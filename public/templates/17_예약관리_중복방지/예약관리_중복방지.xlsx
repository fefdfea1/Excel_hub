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자원목록" sheetId="2" state="visible" r:id="rId4"/>
    <sheet name="고객목록" sheetId="3" state="visible" r:id="rId5"/>
    <sheet name="예약내역" sheetId="4" state="visible" r:id="rId6"/>
    <sheet name="일별현황" sheetId="5" state="visible" r:id="rId7"/>
    <sheet name="자원별현황" sheetId="6" state="visible" r:id="rId8"/>
    <sheet name="월별집계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<sst xmlns="http://schemas.openxmlformats.org/spreadsheetml/2006/main" count="108" uniqueCount="89">
  <si>
    <t xml:space="preserve">예약관리 (중복 방지)</t>
  </si>
  <si>
    <t xml:space="preserve">핵심</t>
  </si>
  <si>
    <t xml:space="preserve">예약을 넣으면 같은 자리·같은 시간에 이미 예약이 있는지 즉시 알려줍니다.</t>
  </si>
  <si>
    <t xml:space="preserve">입력 규칙</t>
  </si>
  <si>
    <t xml:space="preserve">파란색 글씨 칸만 입력하세요. 검은색은 자동 계산입니다.</t>
  </si>
  <si>
    <t xml:space="preserve">① 자원목록</t>
  </si>
  <si>
    <t xml:space="preserve">예약을 받는 대상을 등록합니다. 방·좌석·장비·강사·시술대 등 무엇이든 됩니다.</t>
  </si>
  <si>
    <t xml:space="preserve">② 고객목록</t>
  </si>
  <si>
    <t xml:space="preserve">단골은 등록해두면 다음 예약부터 연락처가 자동으로 붙습니다.</t>
  </si>
  <si>
    <t xml:space="preserve">③ 예약내역</t>
  </si>
  <si>
    <t xml:space="preserve">예약마다 한 줄. 날짜·자원·시작·종료만 넣으면 중복 여부가 바로 나옵니다.</t>
  </si>
  <si>
    <t xml:space="preserve">시각은 콜론(:) 없이 숫자 네 자리로 넣으세요.  오후 2시 30분 → 1430</t>
  </si>
  <si>
    <t xml:space="preserve">④ 일별현황</t>
  </si>
  <si>
    <t xml:space="preserve">날짜 하나를 고르면 그날 예약이 시간 순서로 나옵니다.</t>
  </si>
  <si>
    <t xml:space="preserve">⑤ 자원별현황</t>
  </si>
  <si>
    <t xml:space="preserve">자원별 예약 건수와 총 이용 시간이 나옵니다.</t>
  </si>
  <si>
    <t xml:space="preserve">⑥ 월별집계</t>
  </si>
  <si>
    <t xml:space="preserve">월별 예약·취소·노쇼 건수입니다.</t>
  </si>
  <si>
    <t xml:space="preserve">중복 판정 방식</t>
  </si>
  <si>
    <t xml:space="preserve">같은 날짜·같은 자원에서 시간이 조금이라도 겹치면 중복으로 표시합니다.</t>
  </si>
  <si>
    <t xml:space="preserve">취소한 예약</t>
  </si>
  <si>
    <t xml:space="preserve">지우지 말고 상태를 '취소'로 바꾸세요. 중복 판정에서 빠집니다.</t>
  </si>
  <si>
    <t xml:space="preserve">※ 이 파일은 예약 2,000건까지 처리하도록 만들어졌습니다.</t>
  </si>
  <si>
    <t xml:space="preserve">※ 자정을 넘기는 예약은 계산되지 않습니다. 같은 날 안에서 끝나는 예약만 지원합니다.</t>
  </si>
  <si>
    <t xml:space="preserve">자원목록  (방·좌석·장비·강사 등 예약 받는 대상)</t>
  </si>
  <si>
    <t xml:space="preserve">자원코드</t>
  </si>
  <si>
    <t xml:space="preserve">자원명</t>
  </si>
  <si>
    <t xml:space="preserve">구분</t>
  </si>
  <si>
    <t xml:space="preserve">수용 인원</t>
  </si>
  <si>
    <t xml:space="preserve">비고</t>
  </si>
  <si>
    <t xml:space="preserve">R01</t>
  </si>
  <si>
    <r>
      <rPr>
        <sz val="10"/>
        <color rgb="FF0000FF"/>
        <rFont val="맑은 고딕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번 방</t>
    </r>
  </si>
  <si>
    <t xml:space="preserve">룸</t>
  </si>
  <si>
    <t xml:space="preserve">R02</t>
  </si>
  <si>
    <r>
      <rPr>
        <sz val="10"/>
        <color rgb="FF0000FF"/>
        <rFont val="맑은 고딕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번 방</t>
    </r>
  </si>
  <si>
    <t xml:space="preserve">R03</t>
  </si>
  <si>
    <t xml:space="preserve">세미나실</t>
  </si>
  <si>
    <t xml:space="preserve">E01</t>
  </si>
  <si>
    <t xml:space="preserve">빔프로젝터</t>
  </si>
  <si>
    <t xml:space="preserve">장비</t>
  </si>
  <si>
    <t xml:space="preserve">고객목록</t>
  </si>
  <si>
    <t xml:space="preserve">고객명</t>
  </si>
  <si>
    <t xml:space="preserve">연락처</t>
  </si>
  <si>
    <t xml:space="preserve">김고객</t>
  </si>
  <si>
    <t xml:space="preserve">010-0000-0001</t>
  </si>
  <si>
    <t xml:space="preserve">일반</t>
  </si>
  <si>
    <t xml:space="preserve">이고객</t>
  </si>
  <si>
    <t xml:space="preserve">010-0000-0002</t>
  </si>
  <si>
    <t xml:space="preserve">단골</t>
  </si>
  <si>
    <t xml:space="preserve">예약내역  (날짜·자원·시작·종료만 넣으면 중복 여부가 바로 나옵니다)</t>
  </si>
  <si>
    <t xml:space="preserve">예약일</t>
  </si>
  <si>
    <t xml:space="preserve">자원명(자동)</t>
  </si>
  <si>
    <t xml:space="preserve">연락처(자동)</t>
  </si>
  <si>
    <t xml:space="preserve">시작시각
(예: 1400)</t>
  </si>
  <si>
    <t xml:space="preserve">종료시각
(예: 1600)</t>
  </si>
  <si>
    <t xml:space="preserve">이용시간(자동)</t>
  </si>
  <si>
    <t xml:space="preserve">인원</t>
  </si>
  <si>
    <t xml:space="preserve">상태</t>
  </si>
  <si>
    <t xml:space="preserve">메모</t>
  </si>
  <si>
    <t xml:space="preserve">시작(분,자동)</t>
  </si>
  <si>
    <t xml:space="preserve">종료(분,자동)</t>
  </si>
  <si>
    <t xml:space="preserve">중복(자동)</t>
  </si>
  <si>
    <t xml:space="preserve">※ 중복이 뜨면 겹치는 두 줄이 모두 빨간색이 됩니다. 어느 쪽을 고칠지 정하세요.</t>
  </si>
  <si>
    <t xml:space="preserve">※ 시작·종료 시각이 같은 예약(0분짜리)은 중복으로 잡히지 않습니다.</t>
  </si>
  <si>
    <t xml:space="preserve">일별현황</t>
  </si>
  <si>
    <t xml:space="preserve">기준일</t>
  </si>
  <si>
    <t xml:space="preserve">예약 건수</t>
  </si>
  <si>
    <t xml:space="preserve">중복 건수</t>
  </si>
  <si>
    <t xml:space="preserve">순번</t>
  </si>
  <si>
    <t xml:space="preserve">시작</t>
  </si>
  <si>
    <t xml:space="preserve">종료</t>
  </si>
  <si>
    <t xml:space="preserve">대상(자동)</t>
  </si>
  <si>
    <t xml:space="preserve">정렬키(자동)</t>
  </si>
  <si>
    <t xml:space="preserve">순위키(자동)</t>
  </si>
  <si>
    <t xml:space="preserve">※ 시작 시각이 이른 순서로 정렬됩니다. 60건까지 표시됩니다.</t>
  </si>
  <si>
    <t xml:space="preserve">자원별현황</t>
  </si>
  <si>
    <t xml:space="preserve">대상 연도</t>
  </si>
  <si>
    <t xml:space="preserve">대상 월</t>
  </si>
  <si>
    <t xml:space="preserve">← 두 칸만 바꾸세요</t>
  </si>
  <si>
    <t xml:space="preserve">총 이용시간</t>
  </si>
  <si>
    <t xml:space="preserve">취소</t>
  </si>
  <si>
    <t xml:space="preserve">노쇼</t>
  </si>
  <si>
    <t xml:space="preserve">중복</t>
  </si>
  <si>
    <t xml:space="preserve">합계</t>
  </si>
  <si>
    <t xml:space="preserve">월별집계</t>
  </si>
  <si>
    <t xml:space="preserve">월</t>
  </si>
  <si>
    <t xml:space="preserve">예약</t>
  </si>
  <si>
    <t xml:space="preserve">완료</t>
  </si>
  <si>
    <t xml:space="preserve">노쇼율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</si>
</sst>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yyyy\-mm\-dd"/>
    <numFmt numFmtId="167" formatCode="00\:00"/>
    <numFmt numFmtId="168" formatCode="0.00"/>
    <numFmt numFmtId="169" formatCode="General"/>
    <numFmt numFmtId="170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9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</font>
    <font>
      <sz val="10"/>
      <color rgb="FF0000FF"/>
      <name val="Noto Sans CJK SC"/>
      <family val="2"/>
      <charset val="1"/>
    </font>
    <font>
      <sz val="10"/>
      <name val="맑은 고딕"/>
      <family val="0"/>
      <charset val="1"/>
    </font>
    <font>
      <b val="true"/>
      <sz val="11"/>
      <name val="Noto Sans CJK SC"/>
      <family val="2"/>
      <charset val="1"/>
    </font>
    <font>
      <b val="true"/>
      <sz val="11"/>
      <name val="맑은 고딕"/>
      <family val="0"/>
      <charset val="1"/>
    </font>
    <font>
      <sz val="9"/>
      <color rgb="FF808080"/>
      <name val="맑은 고딕"/>
      <family val="0"/>
      <charset val="1"/>
    </font>
    <font>
      <b val="true"/>
      <sz val="10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FCE4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E4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/>
      <c r="C9" s="4" t="s">
        <v>11</v>
      </c>
    </row>
    <row r="10" customFormat="false" ht="15" hidden="false" customHeight="true" outlineLevel="0" collapsed="false">
      <c r="B10" s="3" t="s">
        <v>12</v>
      </c>
      <c r="C10" s="4" t="s">
        <v>13</v>
      </c>
    </row>
    <row r="11" customFormat="false" ht="15" hidden="false" customHeight="true" outlineLevel="0" collapsed="false">
      <c r="B11" s="3" t="s">
        <v>14</v>
      </c>
      <c r="C11" s="4" t="s">
        <v>15</v>
      </c>
    </row>
    <row r="12" customFormat="false" ht="15" hidden="false" customHeight="true" outlineLevel="0" collapsed="false">
      <c r="B12" s="3" t="s">
        <v>16</v>
      </c>
      <c r="C12" s="4" t="s">
        <v>17</v>
      </c>
    </row>
    <row r="13" customFormat="false" ht="15" hidden="false" customHeight="true" outlineLevel="0" collapsed="false">
      <c r="B13" s="3" t="s">
        <v>18</v>
      </c>
      <c r="C13" s="4" t="s">
        <v>19</v>
      </c>
    </row>
    <row r="14" customFormat="false" ht="15" hidden="false" customHeight="true" outlineLevel="0" collapsed="false">
      <c r="B14" s="3" t="s">
        <v>20</v>
      </c>
      <c r="C14" s="4" t="s">
        <v>21</v>
      </c>
    </row>
    <row r="16" customFormat="false" ht="15" hidden="false" customHeight="true" outlineLevel="0" collapsed="false">
      <c r="B16" s="5" t="s">
        <v>22</v>
      </c>
    </row>
    <row r="17" customFormat="false" ht="15" hidden="false" customHeight="true" outlineLevel="0" collapsed="false">
      <c r="B17" s="5" t="s">
        <v>23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24"/>
  </cols>
  <sheetData>
    <row r="1" customFormat="false" ht="25.5" hidden="false" customHeight="true" outlineLevel="0" collapsed="false">
      <c r="A1" s="2" t="s">
        <v>24</v>
      </c>
      <c r="B1" s="2"/>
      <c r="C1" s="2"/>
      <c r="D1" s="2"/>
      <c r="E1" s="2"/>
    </row>
    <row r="2" customFormat="false" ht="15" hidden="false" customHeight="true" outlineLevel="0" collapsed="false">
      <c r="A2" s="6" t="s">
        <v>25</v>
      </c>
      <c r="B2" s="6" t="s">
        <v>26</v>
      </c>
      <c r="C2" s="6" t="s">
        <v>27</v>
      </c>
      <c r="D2" s="6" t="s">
        <v>28</v>
      </c>
      <c r="E2" s="6" t="s">
        <v>29</v>
      </c>
    </row>
    <row r="3" customFormat="false" ht="15" hidden="false" customHeight="true" outlineLevel="0" collapsed="false">
      <c r="A3" s="7" t="s">
        <v>30</v>
      </c>
      <c r="B3" s="7" t="s">
        <v>31</v>
      </c>
      <c r="C3" s="8" t="s">
        <v>32</v>
      </c>
      <c r="D3" s="9" t="n">
        <v>4</v>
      </c>
      <c r="E3" s="7"/>
    </row>
    <row r="4" customFormat="false" ht="15" hidden="false" customHeight="true" outlineLevel="0" collapsed="false">
      <c r="A4" s="7" t="s">
        <v>33</v>
      </c>
      <c r="B4" s="7" t="s">
        <v>34</v>
      </c>
      <c r="C4" s="8" t="s">
        <v>32</v>
      </c>
      <c r="D4" s="9" t="n">
        <v>6</v>
      </c>
      <c r="E4" s="7"/>
    </row>
    <row r="5" customFormat="false" ht="15" hidden="false" customHeight="true" outlineLevel="0" collapsed="false">
      <c r="A5" s="7" t="s">
        <v>35</v>
      </c>
      <c r="B5" s="8" t="s">
        <v>36</v>
      </c>
      <c r="C5" s="8" t="s">
        <v>32</v>
      </c>
      <c r="D5" s="9" t="n">
        <v>20</v>
      </c>
      <c r="E5" s="7"/>
    </row>
    <row r="6" customFormat="false" ht="15" hidden="false" customHeight="true" outlineLevel="0" collapsed="false">
      <c r="A6" s="7" t="s">
        <v>37</v>
      </c>
      <c r="B6" s="8" t="s">
        <v>38</v>
      </c>
      <c r="C6" s="8" t="s">
        <v>39</v>
      </c>
      <c r="D6" s="9" t="n">
        <v>1</v>
      </c>
      <c r="E6" s="7"/>
    </row>
    <row r="7" customFormat="false" ht="15" hidden="false" customHeight="true" outlineLevel="0" collapsed="false">
      <c r="A7" s="7"/>
      <c r="B7" s="7"/>
      <c r="C7" s="7"/>
      <c r="D7" s="9"/>
      <c r="E7" s="7"/>
    </row>
    <row r="8" customFormat="false" ht="15" hidden="false" customHeight="true" outlineLevel="0" collapsed="false">
      <c r="A8" s="7"/>
      <c r="B8" s="7"/>
      <c r="C8" s="7"/>
      <c r="D8" s="9"/>
      <c r="E8" s="7"/>
    </row>
    <row r="9" customFormat="false" ht="15" hidden="false" customHeight="true" outlineLevel="0" collapsed="false">
      <c r="A9" s="7"/>
      <c r="B9" s="7"/>
      <c r="C9" s="7"/>
      <c r="D9" s="9"/>
      <c r="E9" s="7"/>
    </row>
    <row r="10" customFormat="false" ht="15" hidden="false" customHeight="true" outlineLevel="0" collapsed="false">
      <c r="A10" s="7"/>
      <c r="B10" s="7"/>
      <c r="C10" s="7"/>
      <c r="D10" s="9"/>
      <c r="E10" s="7"/>
    </row>
    <row r="11" customFormat="false" ht="15" hidden="false" customHeight="true" outlineLevel="0" collapsed="false">
      <c r="A11" s="7"/>
      <c r="B11" s="7"/>
      <c r="C11" s="7"/>
      <c r="D11" s="9"/>
      <c r="E11" s="7"/>
    </row>
    <row r="12" customFormat="false" ht="15" hidden="false" customHeight="true" outlineLevel="0" collapsed="false">
      <c r="A12" s="7"/>
      <c r="B12" s="7"/>
      <c r="C12" s="7"/>
      <c r="D12" s="9"/>
      <c r="E12" s="7"/>
    </row>
    <row r="13" customFormat="false" ht="15" hidden="false" customHeight="true" outlineLevel="0" collapsed="false">
      <c r="A13" s="7"/>
      <c r="B13" s="7"/>
      <c r="C13" s="7"/>
      <c r="D13" s="9"/>
      <c r="E13" s="7"/>
    </row>
    <row r="14" customFormat="false" ht="15" hidden="false" customHeight="true" outlineLevel="0" collapsed="false">
      <c r="A14" s="7"/>
      <c r="B14" s="7"/>
      <c r="C14" s="7"/>
      <c r="D14" s="9"/>
      <c r="E14" s="7"/>
    </row>
    <row r="15" customFormat="false" ht="15" hidden="false" customHeight="true" outlineLevel="0" collapsed="false">
      <c r="A15" s="7"/>
      <c r="B15" s="7"/>
      <c r="C15" s="7"/>
      <c r="D15" s="9"/>
      <c r="E15" s="7"/>
    </row>
    <row r="16" customFormat="false" ht="15" hidden="false" customHeight="true" outlineLevel="0" collapsed="false">
      <c r="A16" s="7"/>
      <c r="B16" s="7"/>
      <c r="C16" s="7"/>
      <c r="D16" s="9"/>
      <c r="E16" s="7"/>
    </row>
    <row r="17" customFormat="false" ht="15" hidden="false" customHeight="true" outlineLevel="0" collapsed="false">
      <c r="A17" s="7"/>
      <c r="B17" s="7"/>
      <c r="C17" s="7"/>
      <c r="D17" s="9"/>
      <c r="E17" s="7"/>
    </row>
    <row r="18" customFormat="false" ht="15" hidden="false" customHeight="true" outlineLevel="0" collapsed="false">
      <c r="A18" s="7"/>
      <c r="B18" s="7"/>
      <c r="C18" s="7"/>
      <c r="D18" s="9"/>
      <c r="E18" s="7"/>
    </row>
    <row r="19" customFormat="false" ht="15" hidden="false" customHeight="true" outlineLevel="0" collapsed="false">
      <c r="A19" s="7"/>
      <c r="B19" s="7"/>
      <c r="C19" s="7"/>
      <c r="D19" s="9"/>
      <c r="E19" s="7"/>
    </row>
    <row r="20" customFormat="false" ht="15" hidden="false" customHeight="true" outlineLevel="0" collapsed="false">
      <c r="A20" s="7"/>
      <c r="B20" s="7"/>
      <c r="C20" s="7"/>
      <c r="D20" s="9"/>
      <c r="E20" s="7"/>
    </row>
    <row r="21" customFormat="false" ht="15" hidden="false" customHeight="true" outlineLevel="0" collapsed="false">
      <c r="A21" s="7"/>
      <c r="B21" s="7"/>
      <c r="C21" s="7"/>
      <c r="D21" s="9"/>
      <c r="E21" s="7"/>
    </row>
    <row r="22" customFormat="false" ht="15" hidden="false" customHeight="true" outlineLevel="0" collapsed="false">
      <c r="A22" s="7"/>
      <c r="B22" s="7"/>
      <c r="C22" s="7"/>
      <c r="D22" s="9"/>
      <c r="E22" s="7"/>
    </row>
    <row r="23" customFormat="false" ht="15" hidden="false" customHeight="true" outlineLevel="0" collapsed="false">
      <c r="A23" s="7"/>
      <c r="B23" s="7"/>
      <c r="C23" s="7"/>
      <c r="D23" s="9"/>
      <c r="E23" s="7"/>
    </row>
    <row r="24" customFormat="false" ht="15" hidden="false" customHeight="true" outlineLevel="0" collapsed="false">
      <c r="A24" s="7"/>
      <c r="B24" s="7"/>
      <c r="C24" s="7"/>
      <c r="D24" s="9"/>
      <c r="E24" s="7"/>
    </row>
    <row r="25" customFormat="false" ht="15" hidden="false" customHeight="true" outlineLevel="0" collapsed="false">
      <c r="A25" s="7"/>
      <c r="B25" s="7"/>
      <c r="C25" s="7"/>
      <c r="D25" s="9"/>
      <c r="E25" s="7"/>
    </row>
    <row r="26" customFormat="false" ht="15" hidden="false" customHeight="true" outlineLevel="0" collapsed="false">
      <c r="A26" s="7"/>
      <c r="B26" s="7"/>
      <c r="C26" s="7"/>
      <c r="D26" s="9"/>
      <c r="E26" s="7"/>
    </row>
    <row r="27" customFormat="false" ht="15" hidden="false" customHeight="true" outlineLevel="0" collapsed="false">
      <c r="A27" s="7"/>
      <c r="B27" s="7"/>
      <c r="C27" s="7"/>
      <c r="D27" s="9"/>
      <c r="E27" s="7"/>
    </row>
    <row r="28" customFormat="false" ht="15" hidden="false" customHeight="true" outlineLevel="0" collapsed="false">
      <c r="A28" s="7"/>
      <c r="B28" s="7"/>
      <c r="C28" s="7"/>
      <c r="D28" s="9"/>
      <c r="E28" s="7"/>
    </row>
    <row r="29" customFormat="false" ht="15" hidden="false" customHeight="true" outlineLevel="0" collapsed="false">
      <c r="A29" s="7"/>
      <c r="B29" s="7"/>
      <c r="C29" s="7"/>
      <c r="D29" s="9"/>
      <c r="E29" s="7"/>
    </row>
    <row r="30" customFormat="false" ht="15" hidden="false" customHeight="true" outlineLevel="0" collapsed="false">
      <c r="A30" s="7"/>
      <c r="B30" s="7"/>
      <c r="C30" s="7"/>
      <c r="D30" s="9"/>
      <c r="E30" s="7"/>
    </row>
    <row r="31" customFormat="false" ht="15" hidden="false" customHeight="true" outlineLevel="0" collapsed="false">
      <c r="A31" s="7"/>
      <c r="B31" s="7"/>
      <c r="C31" s="7"/>
      <c r="D31" s="9"/>
      <c r="E31" s="7"/>
    </row>
    <row r="32" customFormat="false" ht="15" hidden="false" customHeight="true" outlineLevel="0" collapsed="false">
      <c r="A32" s="7"/>
      <c r="B32" s="7"/>
      <c r="C32" s="7"/>
      <c r="D32" s="9"/>
      <c r="E32" s="7"/>
    </row>
    <row r="33" customFormat="false" ht="15" hidden="false" customHeight="true" outlineLevel="0" collapsed="false">
      <c r="A33" s="7"/>
      <c r="B33" s="7"/>
      <c r="C33" s="7"/>
      <c r="D33" s="9"/>
      <c r="E33" s="7"/>
    </row>
    <row r="34" customFormat="false" ht="15" hidden="false" customHeight="true" outlineLevel="0" collapsed="false">
      <c r="A34" s="7"/>
      <c r="B34" s="7"/>
      <c r="C34" s="7"/>
      <c r="D34" s="9"/>
      <c r="E34" s="7"/>
    </row>
    <row r="35" customFormat="false" ht="15" hidden="false" customHeight="true" outlineLevel="0" collapsed="false">
      <c r="A35" s="7"/>
      <c r="B35" s="7"/>
      <c r="C35" s="7"/>
      <c r="D35" s="9"/>
      <c r="E35" s="7"/>
    </row>
    <row r="36" customFormat="false" ht="15" hidden="false" customHeight="true" outlineLevel="0" collapsed="false">
      <c r="A36" s="7"/>
      <c r="B36" s="7"/>
      <c r="C36" s="7"/>
      <c r="D36" s="9"/>
      <c r="E36" s="7"/>
    </row>
    <row r="37" customFormat="false" ht="15" hidden="false" customHeight="true" outlineLevel="0" collapsed="false">
      <c r="A37" s="7"/>
      <c r="B37" s="7"/>
      <c r="C37" s="7"/>
      <c r="D37" s="9"/>
      <c r="E37" s="7"/>
    </row>
    <row r="38" customFormat="false" ht="15" hidden="false" customHeight="true" outlineLevel="0" collapsed="false">
      <c r="A38" s="7"/>
      <c r="B38" s="7"/>
      <c r="C38" s="7"/>
      <c r="D38" s="9"/>
      <c r="E38" s="7"/>
    </row>
    <row r="39" customFormat="false" ht="15" hidden="false" customHeight="true" outlineLevel="0" collapsed="false">
      <c r="A39" s="7"/>
      <c r="B39" s="7"/>
      <c r="C39" s="7"/>
      <c r="D39" s="9"/>
      <c r="E39" s="7"/>
    </row>
    <row r="40" customFormat="false" ht="15" hidden="false" customHeight="true" outlineLevel="0" collapsed="false">
      <c r="A40" s="7"/>
      <c r="B40" s="7"/>
      <c r="C40" s="7"/>
      <c r="D40" s="9"/>
      <c r="E40" s="7"/>
    </row>
    <row r="41" customFormat="false" ht="15" hidden="false" customHeight="true" outlineLevel="0" collapsed="false">
      <c r="A41" s="7"/>
      <c r="B41" s="7"/>
      <c r="C41" s="7"/>
      <c r="D41" s="9"/>
      <c r="E41" s="7"/>
    </row>
    <row r="42" customFormat="false" ht="15" hidden="false" customHeight="true" outlineLevel="0" collapsed="false">
      <c r="A42" s="7"/>
      <c r="B42" s="7"/>
      <c r="C42" s="7"/>
      <c r="D42" s="9"/>
      <c r="E42" s="7"/>
    </row>
    <row r="43" customFormat="false" ht="15" hidden="false" customHeight="true" outlineLevel="0" collapsed="false">
      <c r="A43" s="7"/>
      <c r="B43" s="7"/>
      <c r="C43" s="7"/>
      <c r="D43" s="9"/>
      <c r="E43" s="7"/>
    </row>
    <row r="44" customFormat="false" ht="15" hidden="false" customHeight="true" outlineLevel="0" collapsed="false">
      <c r="A44" s="7"/>
      <c r="B44" s="7"/>
      <c r="C44" s="7"/>
      <c r="D44" s="9"/>
      <c r="E44" s="7"/>
    </row>
    <row r="45" customFormat="false" ht="15" hidden="false" customHeight="true" outlineLevel="0" collapsed="false">
      <c r="A45" s="7"/>
      <c r="B45" s="7"/>
      <c r="C45" s="7"/>
      <c r="D45" s="9"/>
      <c r="E45" s="7"/>
    </row>
    <row r="46" customFormat="false" ht="15" hidden="false" customHeight="true" outlineLevel="0" collapsed="false">
      <c r="A46" s="7"/>
      <c r="B46" s="7"/>
      <c r="C46" s="7"/>
      <c r="D46" s="9"/>
      <c r="E46" s="7"/>
    </row>
    <row r="47" customFormat="false" ht="15" hidden="false" customHeight="true" outlineLevel="0" collapsed="false">
      <c r="A47" s="7"/>
      <c r="B47" s="7"/>
      <c r="C47" s="7"/>
      <c r="D47" s="9"/>
      <c r="E47" s="7"/>
    </row>
    <row r="48" customFormat="false" ht="15" hidden="false" customHeight="true" outlineLevel="0" collapsed="false">
      <c r="A48" s="7"/>
      <c r="B48" s="7"/>
      <c r="C48" s="7"/>
      <c r="D48" s="9"/>
      <c r="E48" s="7"/>
    </row>
    <row r="49" customFormat="false" ht="15" hidden="false" customHeight="true" outlineLevel="0" collapsed="false">
      <c r="A49" s="7"/>
      <c r="B49" s="7"/>
      <c r="C49" s="7"/>
      <c r="D49" s="9"/>
      <c r="E49" s="7"/>
    </row>
    <row r="50" customFormat="false" ht="15" hidden="false" customHeight="true" outlineLevel="0" collapsed="false">
      <c r="A50" s="7"/>
      <c r="B50" s="7"/>
      <c r="C50" s="7"/>
      <c r="D50" s="9"/>
      <c r="E50" s="7"/>
    </row>
    <row r="51" customFormat="false" ht="15" hidden="false" customHeight="true" outlineLevel="0" collapsed="false">
      <c r="A51" s="7"/>
      <c r="B51" s="7"/>
      <c r="C51" s="7"/>
      <c r="D51" s="9"/>
      <c r="E51" s="7"/>
    </row>
    <row r="52" customFormat="false" ht="15" hidden="false" customHeight="true" outlineLevel="0" collapsed="false">
      <c r="A52" s="7"/>
      <c r="B52" s="7"/>
      <c r="C52" s="7"/>
      <c r="D52" s="9"/>
      <c r="E52" s="7"/>
    </row>
    <row r="53" customFormat="false" ht="15" hidden="false" customHeight="true" outlineLevel="0" collapsed="false">
      <c r="A53" s="7"/>
      <c r="B53" s="7"/>
      <c r="C53" s="7"/>
      <c r="D53" s="9"/>
      <c r="E53" s="7"/>
    </row>
    <row r="54" customFormat="false" ht="15" hidden="false" customHeight="true" outlineLevel="0" collapsed="false">
      <c r="A54" s="7"/>
      <c r="B54" s="7"/>
      <c r="C54" s="7"/>
      <c r="D54" s="9"/>
      <c r="E54" s="7"/>
    </row>
    <row r="55" customFormat="false" ht="15" hidden="false" customHeight="true" outlineLevel="0" collapsed="false">
      <c r="A55" s="7"/>
      <c r="B55" s="7"/>
      <c r="C55" s="7"/>
      <c r="D55" s="9"/>
      <c r="E55" s="7"/>
    </row>
    <row r="56" customFormat="false" ht="15" hidden="false" customHeight="true" outlineLevel="0" collapsed="false">
      <c r="A56" s="7"/>
      <c r="B56" s="7"/>
      <c r="C56" s="7"/>
      <c r="D56" s="9"/>
      <c r="E56" s="7"/>
    </row>
    <row r="57" customFormat="false" ht="15" hidden="false" customHeight="true" outlineLevel="0" collapsed="false">
      <c r="A57" s="7"/>
      <c r="B57" s="7"/>
      <c r="C57" s="7"/>
      <c r="D57" s="9"/>
      <c r="E57" s="7"/>
    </row>
    <row r="58" customFormat="false" ht="15" hidden="false" customHeight="true" outlineLevel="0" collapsed="false">
      <c r="A58" s="7"/>
      <c r="B58" s="7"/>
      <c r="C58" s="7"/>
      <c r="D58" s="9"/>
      <c r="E58" s="7"/>
    </row>
    <row r="59" customFormat="false" ht="15" hidden="false" customHeight="true" outlineLevel="0" collapsed="false">
      <c r="A59" s="7"/>
      <c r="B59" s="7"/>
      <c r="C59" s="7"/>
      <c r="D59" s="9"/>
      <c r="E59" s="7"/>
    </row>
    <row r="60" customFormat="false" ht="15" hidden="false" customHeight="true" outlineLevel="0" collapsed="false">
      <c r="A60" s="7"/>
      <c r="B60" s="7"/>
      <c r="C60" s="7"/>
      <c r="D60" s="9"/>
      <c r="E60" s="7"/>
    </row>
    <row r="61" customFormat="false" ht="15" hidden="false" customHeight="true" outlineLevel="0" collapsed="false">
      <c r="A61" s="7"/>
      <c r="B61" s="7"/>
      <c r="C61" s="7"/>
      <c r="D61" s="9"/>
      <c r="E61" s="7"/>
    </row>
    <row r="62" customFormat="false" ht="15" hidden="false" customHeight="true" outlineLevel="0" collapsed="false">
      <c r="A62" s="7"/>
      <c r="B62" s="7"/>
      <c r="C62" s="7"/>
      <c r="D62" s="9"/>
      <c r="E62" s="7"/>
    </row>
    <row r="63" customFormat="false" ht="15" hidden="false" customHeight="true" outlineLevel="0" collapsed="false">
      <c r="A63" s="7"/>
      <c r="B63" s="7"/>
      <c r="C63" s="7"/>
      <c r="D63" s="9"/>
      <c r="E63" s="7"/>
    </row>
    <row r="64" customFormat="false" ht="15" hidden="false" customHeight="true" outlineLevel="0" collapsed="false">
      <c r="A64" s="7"/>
      <c r="B64" s="7"/>
      <c r="C64" s="7"/>
      <c r="D64" s="9"/>
      <c r="E64" s="7"/>
    </row>
    <row r="65" customFormat="false" ht="15" hidden="false" customHeight="true" outlineLevel="0" collapsed="false">
      <c r="A65" s="7"/>
      <c r="B65" s="7"/>
      <c r="C65" s="7"/>
      <c r="D65" s="9"/>
      <c r="E65" s="7"/>
    </row>
    <row r="66" customFormat="false" ht="15" hidden="false" customHeight="true" outlineLevel="0" collapsed="false">
      <c r="A66" s="7"/>
      <c r="B66" s="7"/>
      <c r="C66" s="7"/>
      <c r="D66" s="9"/>
      <c r="E66" s="7"/>
    </row>
    <row r="67" customFormat="false" ht="15" hidden="false" customHeight="true" outlineLevel="0" collapsed="false">
      <c r="A67" s="7"/>
      <c r="B67" s="7"/>
      <c r="C67" s="7"/>
      <c r="D67" s="9"/>
      <c r="E67" s="7"/>
    </row>
    <row r="68" customFormat="false" ht="15" hidden="false" customHeight="true" outlineLevel="0" collapsed="false">
      <c r="A68" s="7"/>
      <c r="B68" s="7"/>
      <c r="C68" s="7"/>
      <c r="D68" s="9"/>
      <c r="E68" s="7"/>
    </row>
    <row r="69" customFormat="false" ht="15" hidden="false" customHeight="true" outlineLevel="0" collapsed="false">
      <c r="A69" s="7"/>
      <c r="B69" s="7"/>
      <c r="C69" s="7"/>
      <c r="D69" s="9"/>
      <c r="E69" s="7"/>
    </row>
    <row r="70" customFormat="false" ht="15" hidden="false" customHeight="true" outlineLevel="0" collapsed="false">
      <c r="A70" s="7"/>
      <c r="B70" s="7"/>
      <c r="C70" s="7"/>
      <c r="D70" s="9"/>
      <c r="E70" s="7"/>
    </row>
    <row r="71" customFormat="false" ht="15" hidden="false" customHeight="true" outlineLevel="0" collapsed="false">
      <c r="A71" s="7"/>
      <c r="B71" s="7"/>
      <c r="C71" s="7"/>
      <c r="D71" s="9"/>
      <c r="E71" s="7"/>
    </row>
    <row r="72" customFormat="false" ht="15" hidden="false" customHeight="true" outlineLevel="0" collapsed="false">
      <c r="A72" s="7"/>
      <c r="B72" s="7"/>
      <c r="C72" s="7"/>
      <c r="D72" s="9"/>
      <c r="E72" s="7"/>
    </row>
    <row r="73" customFormat="false" ht="15" hidden="false" customHeight="true" outlineLevel="0" collapsed="false">
      <c r="A73" s="7"/>
      <c r="B73" s="7"/>
      <c r="C73" s="7"/>
      <c r="D73" s="9"/>
      <c r="E73" s="7"/>
    </row>
    <row r="74" customFormat="false" ht="15" hidden="false" customHeight="true" outlineLevel="0" collapsed="false">
      <c r="A74" s="7"/>
      <c r="B74" s="7"/>
      <c r="C74" s="7"/>
      <c r="D74" s="9"/>
      <c r="E74" s="7"/>
    </row>
    <row r="75" customFormat="false" ht="15" hidden="false" customHeight="true" outlineLevel="0" collapsed="false">
      <c r="A75" s="7"/>
      <c r="B75" s="7"/>
      <c r="C75" s="7"/>
      <c r="D75" s="9"/>
      <c r="E75" s="7"/>
    </row>
    <row r="76" customFormat="false" ht="15" hidden="false" customHeight="true" outlineLevel="0" collapsed="false">
      <c r="A76" s="7"/>
      <c r="B76" s="7"/>
      <c r="C76" s="7"/>
      <c r="D76" s="9"/>
      <c r="E76" s="7"/>
    </row>
    <row r="77" customFormat="false" ht="15" hidden="false" customHeight="true" outlineLevel="0" collapsed="false">
      <c r="A77" s="7"/>
      <c r="B77" s="7"/>
      <c r="C77" s="7"/>
      <c r="D77" s="9"/>
      <c r="E77" s="7"/>
    </row>
    <row r="78" customFormat="false" ht="15" hidden="false" customHeight="true" outlineLevel="0" collapsed="false">
      <c r="A78" s="7"/>
      <c r="B78" s="7"/>
      <c r="C78" s="7"/>
      <c r="D78" s="9"/>
      <c r="E78" s="7"/>
    </row>
    <row r="79" customFormat="false" ht="15" hidden="false" customHeight="true" outlineLevel="0" collapsed="false">
      <c r="A79" s="7"/>
      <c r="B79" s="7"/>
      <c r="C79" s="7"/>
      <c r="D79" s="9"/>
      <c r="E79" s="7"/>
    </row>
    <row r="80" customFormat="false" ht="15" hidden="false" customHeight="true" outlineLevel="0" collapsed="false">
      <c r="A80" s="7"/>
      <c r="B80" s="7"/>
      <c r="C80" s="7"/>
      <c r="D80" s="9"/>
      <c r="E80" s="7"/>
    </row>
    <row r="81" customFormat="false" ht="15" hidden="false" customHeight="true" outlineLevel="0" collapsed="false">
      <c r="A81" s="7"/>
      <c r="B81" s="7"/>
      <c r="C81" s="7"/>
      <c r="D81" s="9"/>
      <c r="E81" s="7"/>
    </row>
    <row r="82" customFormat="false" ht="15" hidden="false" customHeight="true" outlineLevel="0" collapsed="false">
      <c r="A82" s="7"/>
      <c r="B82" s="7"/>
      <c r="C82" s="7"/>
      <c r="D82" s="9"/>
      <c r="E82" s="7"/>
    </row>
    <row r="83" customFormat="false" ht="15" hidden="false" customHeight="true" outlineLevel="0" collapsed="false">
      <c r="A83" s="7"/>
      <c r="B83" s="7"/>
      <c r="C83" s="7"/>
      <c r="D83" s="9"/>
      <c r="E83" s="7"/>
    </row>
    <row r="84" customFormat="false" ht="15" hidden="false" customHeight="true" outlineLevel="0" collapsed="false">
      <c r="A84" s="7"/>
      <c r="B84" s="7"/>
      <c r="C84" s="7"/>
      <c r="D84" s="9"/>
      <c r="E84" s="7"/>
    </row>
    <row r="85" customFormat="false" ht="15" hidden="false" customHeight="true" outlineLevel="0" collapsed="false">
      <c r="A85" s="7"/>
      <c r="B85" s="7"/>
      <c r="C85" s="7"/>
      <c r="D85" s="9"/>
      <c r="E85" s="7"/>
    </row>
    <row r="86" customFormat="false" ht="15" hidden="false" customHeight="true" outlineLevel="0" collapsed="false">
      <c r="A86" s="7"/>
      <c r="B86" s="7"/>
      <c r="C86" s="7"/>
      <c r="D86" s="9"/>
      <c r="E86" s="7"/>
    </row>
    <row r="87" customFormat="false" ht="15" hidden="false" customHeight="true" outlineLevel="0" collapsed="false">
      <c r="A87" s="7"/>
      <c r="B87" s="7"/>
      <c r="C87" s="7"/>
      <c r="D87" s="9"/>
      <c r="E87" s="7"/>
    </row>
    <row r="88" customFormat="false" ht="15" hidden="false" customHeight="true" outlineLevel="0" collapsed="false">
      <c r="A88" s="7"/>
      <c r="B88" s="7"/>
      <c r="C88" s="7"/>
      <c r="D88" s="9"/>
      <c r="E88" s="7"/>
    </row>
    <row r="89" customFormat="false" ht="15" hidden="false" customHeight="true" outlineLevel="0" collapsed="false">
      <c r="A89" s="7"/>
      <c r="B89" s="7"/>
      <c r="C89" s="7"/>
      <c r="D89" s="9"/>
      <c r="E89" s="7"/>
    </row>
    <row r="90" customFormat="false" ht="15" hidden="false" customHeight="true" outlineLevel="0" collapsed="false">
      <c r="A90" s="7"/>
      <c r="B90" s="7"/>
      <c r="C90" s="7"/>
      <c r="D90" s="9"/>
      <c r="E90" s="7"/>
    </row>
    <row r="91" customFormat="false" ht="15" hidden="false" customHeight="true" outlineLevel="0" collapsed="false">
      <c r="A91" s="7"/>
      <c r="B91" s="7"/>
      <c r="C91" s="7"/>
      <c r="D91" s="9"/>
      <c r="E91" s="7"/>
    </row>
    <row r="92" customFormat="false" ht="15" hidden="false" customHeight="true" outlineLevel="0" collapsed="false">
      <c r="A92" s="7"/>
      <c r="B92" s="7"/>
      <c r="C92" s="7"/>
      <c r="D92" s="9"/>
      <c r="E92" s="7"/>
    </row>
    <row r="93" customFormat="false" ht="15" hidden="false" customHeight="true" outlineLevel="0" collapsed="false">
      <c r="A93" s="7"/>
      <c r="B93" s="7"/>
      <c r="C93" s="7"/>
      <c r="D93" s="9"/>
      <c r="E93" s="7"/>
    </row>
    <row r="94" customFormat="false" ht="15" hidden="false" customHeight="true" outlineLevel="0" collapsed="false">
      <c r="A94" s="7"/>
      <c r="B94" s="7"/>
      <c r="C94" s="7"/>
      <c r="D94" s="9"/>
      <c r="E94" s="7"/>
    </row>
    <row r="95" customFormat="false" ht="15" hidden="false" customHeight="true" outlineLevel="0" collapsed="false">
      <c r="A95" s="7"/>
      <c r="B95" s="7"/>
      <c r="C95" s="7"/>
      <c r="D95" s="9"/>
      <c r="E95" s="7"/>
    </row>
    <row r="96" customFormat="false" ht="15" hidden="false" customHeight="true" outlineLevel="0" collapsed="false">
      <c r="A96" s="7"/>
      <c r="B96" s="7"/>
      <c r="C96" s="7"/>
      <c r="D96" s="9"/>
      <c r="E96" s="7"/>
    </row>
    <row r="97" customFormat="false" ht="15" hidden="false" customHeight="true" outlineLevel="0" collapsed="false">
      <c r="A97" s="7"/>
      <c r="B97" s="7"/>
      <c r="C97" s="7"/>
      <c r="D97" s="9"/>
      <c r="E97" s="7"/>
    </row>
    <row r="98" customFormat="false" ht="15" hidden="false" customHeight="true" outlineLevel="0" collapsed="false">
      <c r="A98" s="7"/>
      <c r="B98" s="7"/>
      <c r="C98" s="7"/>
      <c r="D98" s="9"/>
      <c r="E98" s="7"/>
    </row>
    <row r="99" customFormat="false" ht="15" hidden="false" customHeight="true" outlineLevel="0" collapsed="false">
      <c r="A99" s="7"/>
      <c r="B99" s="7"/>
      <c r="C99" s="7"/>
      <c r="D99" s="9"/>
      <c r="E99" s="7"/>
    </row>
    <row r="100" customFormat="false" ht="15" hidden="false" customHeight="true" outlineLevel="0" collapsed="false">
      <c r="A100" s="7"/>
      <c r="B100" s="7"/>
      <c r="C100" s="7"/>
      <c r="D100" s="9"/>
      <c r="E100" s="7"/>
    </row>
    <row r="101" customFormat="false" ht="15" hidden="false" customHeight="true" outlineLevel="0" collapsed="false">
      <c r="A101" s="7"/>
      <c r="B101" s="7"/>
      <c r="C101" s="7"/>
      <c r="D101" s="9"/>
      <c r="E101" s="7"/>
    </row>
    <row r="102" customFormat="false" ht="15" hidden="false" customHeight="true" outlineLevel="0" collapsed="false">
      <c r="A102" s="7"/>
      <c r="B102" s="7"/>
      <c r="C102" s="7"/>
      <c r="D102" s="9"/>
      <c r="E102" s="7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7"/>
    <col collapsed="false" customWidth="true" hidden="false" outlineLevel="0" max="3" min="3" style="1" width="14"/>
    <col collapsed="false" customWidth="true" hidden="false" outlineLevel="0" max="4" min="4" style="1" width="26"/>
  </cols>
  <sheetData>
    <row r="1" customFormat="false" ht="25.5" hidden="false" customHeight="true" outlineLevel="0" collapsed="false">
      <c r="A1" s="2" t="s">
        <v>40</v>
      </c>
      <c r="B1" s="2"/>
      <c r="C1" s="2"/>
      <c r="D1" s="2"/>
    </row>
    <row r="2" customFormat="false" ht="15" hidden="false" customHeight="true" outlineLevel="0" collapsed="false">
      <c r="A2" s="6" t="s">
        <v>41</v>
      </c>
      <c r="B2" s="6" t="s">
        <v>42</v>
      </c>
      <c r="C2" s="6" t="s">
        <v>27</v>
      </c>
      <c r="D2" s="6" t="s">
        <v>29</v>
      </c>
    </row>
    <row r="3" customFormat="false" ht="15" hidden="false" customHeight="true" outlineLevel="0" collapsed="false">
      <c r="A3" s="8" t="s">
        <v>43</v>
      </c>
      <c r="B3" s="7" t="s">
        <v>44</v>
      </c>
      <c r="C3" s="8" t="s">
        <v>45</v>
      </c>
      <c r="D3" s="7"/>
    </row>
    <row r="4" customFormat="false" ht="15" hidden="false" customHeight="true" outlineLevel="0" collapsed="false">
      <c r="A4" s="8" t="s">
        <v>46</v>
      </c>
      <c r="B4" s="7" t="s">
        <v>47</v>
      </c>
      <c r="C4" s="8" t="s">
        <v>48</v>
      </c>
      <c r="D4" s="7"/>
    </row>
    <row r="5" customFormat="false" ht="15" hidden="false" customHeight="true" outlineLevel="0" collapsed="false">
      <c r="A5" s="7"/>
      <c r="B5" s="7"/>
      <c r="C5" s="8"/>
      <c r="D5" s="7"/>
    </row>
    <row r="6" customFormat="false" ht="15" hidden="false" customHeight="true" outlineLevel="0" collapsed="false">
      <c r="A6" s="7"/>
      <c r="B6" s="7"/>
      <c r="C6" s="8"/>
      <c r="D6" s="7"/>
    </row>
    <row r="7" customFormat="false" ht="15" hidden="false" customHeight="true" outlineLevel="0" collapsed="false">
      <c r="A7" s="7"/>
      <c r="B7" s="7"/>
      <c r="C7" s="8"/>
      <c r="D7" s="7"/>
    </row>
    <row r="8" customFormat="false" ht="15" hidden="false" customHeight="true" outlineLevel="0" collapsed="false">
      <c r="A8" s="7"/>
      <c r="B8" s="7"/>
      <c r="C8" s="8"/>
      <c r="D8" s="7"/>
    </row>
    <row r="9" customFormat="false" ht="15" hidden="false" customHeight="true" outlineLevel="0" collapsed="false">
      <c r="A9" s="7"/>
      <c r="B9" s="7"/>
      <c r="C9" s="8"/>
      <c r="D9" s="7"/>
    </row>
    <row r="10" customFormat="false" ht="15" hidden="false" customHeight="true" outlineLevel="0" collapsed="false">
      <c r="A10" s="7"/>
      <c r="B10" s="7"/>
      <c r="C10" s="8"/>
      <c r="D10" s="7"/>
    </row>
    <row r="11" customFormat="false" ht="15" hidden="false" customHeight="true" outlineLevel="0" collapsed="false">
      <c r="A11" s="7"/>
      <c r="B11" s="7"/>
      <c r="C11" s="8"/>
      <c r="D11" s="7"/>
    </row>
    <row r="12" customFormat="false" ht="15" hidden="false" customHeight="true" outlineLevel="0" collapsed="false">
      <c r="A12" s="7"/>
      <c r="B12" s="7"/>
      <c r="C12" s="8"/>
      <c r="D12" s="7"/>
    </row>
    <row r="13" customFormat="false" ht="15" hidden="false" customHeight="true" outlineLevel="0" collapsed="false">
      <c r="A13" s="7"/>
      <c r="B13" s="7"/>
      <c r="C13" s="8"/>
      <c r="D13" s="7"/>
    </row>
    <row r="14" customFormat="false" ht="15" hidden="false" customHeight="true" outlineLevel="0" collapsed="false">
      <c r="A14" s="7"/>
      <c r="B14" s="7"/>
      <c r="C14" s="8"/>
      <c r="D14" s="7"/>
    </row>
    <row r="15" customFormat="false" ht="15" hidden="false" customHeight="true" outlineLevel="0" collapsed="false">
      <c r="A15" s="7"/>
      <c r="B15" s="7"/>
      <c r="C15" s="8"/>
      <c r="D15" s="7"/>
    </row>
    <row r="16" customFormat="false" ht="15" hidden="false" customHeight="true" outlineLevel="0" collapsed="false">
      <c r="A16" s="7"/>
      <c r="B16" s="7"/>
      <c r="C16" s="8"/>
      <c r="D16" s="7"/>
    </row>
    <row r="17" customFormat="false" ht="15" hidden="false" customHeight="true" outlineLevel="0" collapsed="false">
      <c r="A17" s="7"/>
      <c r="B17" s="7"/>
      <c r="C17" s="8"/>
      <c r="D17" s="7"/>
    </row>
    <row r="18" customFormat="false" ht="15" hidden="false" customHeight="true" outlineLevel="0" collapsed="false">
      <c r="A18" s="7"/>
      <c r="B18" s="7"/>
      <c r="C18" s="8"/>
      <c r="D18" s="7"/>
    </row>
    <row r="19" customFormat="false" ht="15" hidden="false" customHeight="true" outlineLevel="0" collapsed="false">
      <c r="A19" s="7"/>
      <c r="B19" s="7"/>
      <c r="C19" s="8"/>
      <c r="D19" s="7"/>
    </row>
    <row r="20" customFormat="false" ht="15" hidden="false" customHeight="true" outlineLevel="0" collapsed="false">
      <c r="A20" s="7"/>
      <c r="B20" s="7"/>
      <c r="C20" s="8"/>
      <c r="D20" s="7"/>
    </row>
    <row r="21" customFormat="false" ht="15" hidden="false" customHeight="true" outlineLevel="0" collapsed="false">
      <c r="A21" s="7"/>
      <c r="B21" s="7"/>
      <c r="C21" s="8"/>
      <c r="D21" s="7"/>
    </row>
    <row r="22" customFormat="false" ht="15" hidden="false" customHeight="true" outlineLevel="0" collapsed="false">
      <c r="A22" s="7"/>
      <c r="B22" s="7"/>
      <c r="C22" s="8"/>
      <c r="D22" s="7"/>
    </row>
    <row r="23" customFormat="false" ht="15" hidden="false" customHeight="true" outlineLevel="0" collapsed="false">
      <c r="A23" s="7"/>
      <c r="B23" s="7"/>
      <c r="C23" s="8"/>
      <c r="D23" s="7"/>
    </row>
    <row r="24" customFormat="false" ht="15" hidden="false" customHeight="true" outlineLevel="0" collapsed="false">
      <c r="A24" s="7"/>
      <c r="B24" s="7"/>
      <c r="C24" s="8"/>
      <c r="D24" s="7"/>
    </row>
    <row r="25" customFormat="false" ht="15" hidden="false" customHeight="true" outlineLevel="0" collapsed="false">
      <c r="A25" s="7"/>
      <c r="B25" s="7"/>
      <c r="C25" s="8"/>
      <c r="D25" s="7"/>
    </row>
    <row r="26" customFormat="false" ht="15" hidden="false" customHeight="true" outlineLevel="0" collapsed="false">
      <c r="A26" s="7"/>
      <c r="B26" s="7"/>
      <c r="C26" s="8"/>
      <c r="D26" s="7"/>
    </row>
    <row r="27" customFormat="false" ht="15" hidden="false" customHeight="true" outlineLevel="0" collapsed="false">
      <c r="A27" s="7"/>
      <c r="B27" s="7"/>
      <c r="C27" s="8"/>
      <c r="D27" s="7"/>
    </row>
    <row r="28" customFormat="false" ht="15" hidden="false" customHeight="true" outlineLevel="0" collapsed="false">
      <c r="A28" s="7"/>
      <c r="B28" s="7"/>
      <c r="C28" s="8"/>
      <c r="D28" s="7"/>
    </row>
    <row r="29" customFormat="false" ht="15" hidden="false" customHeight="true" outlineLevel="0" collapsed="false">
      <c r="A29" s="7"/>
      <c r="B29" s="7"/>
      <c r="C29" s="8"/>
      <c r="D29" s="7"/>
    </row>
    <row r="30" customFormat="false" ht="15" hidden="false" customHeight="true" outlineLevel="0" collapsed="false">
      <c r="A30" s="7"/>
      <c r="B30" s="7"/>
      <c r="C30" s="8"/>
      <c r="D30" s="7"/>
    </row>
    <row r="31" customFormat="false" ht="15" hidden="false" customHeight="true" outlineLevel="0" collapsed="false">
      <c r="A31" s="7"/>
      <c r="B31" s="7"/>
      <c r="C31" s="8"/>
      <c r="D31" s="7"/>
    </row>
    <row r="32" customFormat="false" ht="15" hidden="false" customHeight="true" outlineLevel="0" collapsed="false">
      <c r="A32" s="7"/>
      <c r="B32" s="7"/>
      <c r="C32" s="8"/>
      <c r="D32" s="7"/>
    </row>
    <row r="33" customFormat="false" ht="15" hidden="false" customHeight="true" outlineLevel="0" collapsed="false">
      <c r="A33" s="7"/>
      <c r="B33" s="7"/>
      <c r="C33" s="8"/>
      <c r="D33" s="7"/>
    </row>
    <row r="34" customFormat="false" ht="15" hidden="false" customHeight="true" outlineLevel="0" collapsed="false">
      <c r="A34" s="7"/>
      <c r="B34" s="7"/>
      <c r="C34" s="8"/>
      <c r="D34" s="7"/>
    </row>
    <row r="35" customFormat="false" ht="15" hidden="false" customHeight="true" outlineLevel="0" collapsed="false">
      <c r="A35" s="7"/>
      <c r="B35" s="7"/>
      <c r="C35" s="8"/>
      <c r="D35" s="7"/>
    </row>
    <row r="36" customFormat="false" ht="15" hidden="false" customHeight="true" outlineLevel="0" collapsed="false">
      <c r="A36" s="7"/>
      <c r="B36" s="7"/>
      <c r="C36" s="8"/>
      <c r="D36" s="7"/>
    </row>
    <row r="37" customFormat="false" ht="15" hidden="false" customHeight="true" outlineLevel="0" collapsed="false">
      <c r="A37" s="7"/>
      <c r="B37" s="7"/>
      <c r="C37" s="8"/>
      <c r="D37" s="7"/>
    </row>
    <row r="38" customFormat="false" ht="15" hidden="false" customHeight="true" outlineLevel="0" collapsed="false">
      <c r="A38" s="7"/>
      <c r="B38" s="7"/>
      <c r="C38" s="8"/>
      <c r="D38" s="7"/>
    </row>
    <row r="39" customFormat="false" ht="15" hidden="false" customHeight="true" outlineLevel="0" collapsed="false">
      <c r="A39" s="7"/>
      <c r="B39" s="7"/>
      <c r="C39" s="8"/>
      <c r="D39" s="7"/>
    </row>
    <row r="40" customFormat="false" ht="15" hidden="false" customHeight="true" outlineLevel="0" collapsed="false">
      <c r="A40" s="7"/>
      <c r="B40" s="7"/>
      <c r="C40" s="8"/>
      <c r="D40" s="7"/>
    </row>
    <row r="41" customFormat="false" ht="15" hidden="false" customHeight="true" outlineLevel="0" collapsed="false">
      <c r="A41" s="7"/>
      <c r="B41" s="7"/>
      <c r="C41" s="8"/>
      <c r="D41" s="7"/>
    </row>
    <row r="42" customFormat="false" ht="15" hidden="false" customHeight="true" outlineLevel="0" collapsed="false">
      <c r="A42" s="7"/>
      <c r="B42" s="7"/>
      <c r="C42" s="8"/>
      <c r="D42" s="7"/>
    </row>
    <row r="43" customFormat="false" ht="15" hidden="false" customHeight="true" outlineLevel="0" collapsed="false">
      <c r="A43" s="7"/>
      <c r="B43" s="7"/>
      <c r="C43" s="8"/>
      <c r="D43" s="7"/>
    </row>
    <row r="44" customFormat="false" ht="15" hidden="false" customHeight="true" outlineLevel="0" collapsed="false">
      <c r="A44" s="7"/>
      <c r="B44" s="7"/>
      <c r="C44" s="8"/>
      <c r="D44" s="7"/>
    </row>
    <row r="45" customFormat="false" ht="15" hidden="false" customHeight="true" outlineLevel="0" collapsed="false">
      <c r="A45" s="7"/>
      <c r="B45" s="7"/>
      <c r="C45" s="8"/>
      <c r="D45" s="7"/>
    </row>
    <row r="46" customFormat="false" ht="15" hidden="false" customHeight="true" outlineLevel="0" collapsed="false">
      <c r="A46" s="7"/>
      <c r="B46" s="7"/>
      <c r="C46" s="8"/>
      <c r="D46" s="7"/>
    </row>
    <row r="47" customFormat="false" ht="15" hidden="false" customHeight="true" outlineLevel="0" collapsed="false">
      <c r="A47" s="7"/>
      <c r="B47" s="7"/>
      <c r="C47" s="8"/>
      <c r="D47" s="7"/>
    </row>
    <row r="48" customFormat="false" ht="15" hidden="false" customHeight="true" outlineLevel="0" collapsed="false">
      <c r="A48" s="7"/>
      <c r="B48" s="7"/>
      <c r="C48" s="8"/>
      <c r="D48" s="7"/>
    </row>
    <row r="49" customFormat="false" ht="15" hidden="false" customHeight="true" outlineLevel="0" collapsed="false">
      <c r="A49" s="7"/>
      <c r="B49" s="7"/>
      <c r="C49" s="8"/>
      <c r="D49" s="7"/>
    </row>
    <row r="50" customFormat="false" ht="15" hidden="false" customHeight="true" outlineLevel="0" collapsed="false">
      <c r="A50" s="7"/>
      <c r="B50" s="7"/>
      <c r="C50" s="8"/>
      <c r="D50" s="7"/>
    </row>
    <row r="51" customFormat="false" ht="15" hidden="false" customHeight="true" outlineLevel="0" collapsed="false">
      <c r="A51" s="7"/>
      <c r="B51" s="7"/>
      <c r="C51" s="8"/>
      <c r="D51" s="7"/>
    </row>
    <row r="52" customFormat="false" ht="15" hidden="false" customHeight="true" outlineLevel="0" collapsed="false">
      <c r="A52" s="7"/>
      <c r="B52" s="7"/>
      <c r="C52" s="8"/>
      <c r="D52" s="7"/>
    </row>
    <row r="53" customFormat="false" ht="15" hidden="false" customHeight="true" outlineLevel="0" collapsed="false">
      <c r="A53" s="7"/>
      <c r="B53" s="7"/>
      <c r="C53" s="8"/>
      <c r="D53" s="7"/>
    </row>
    <row r="54" customFormat="false" ht="15" hidden="false" customHeight="true" outlineLevel="0" collapsed="false">
      <c r="A54" s="7"/>
      <c r="B54" s="7"/>
      <c r="C54" s="8"/>
      <c r="D54" s="7"/>
    </row>
    <row r="55" customFormat="false" ht="15" hidden="false" customHeight="true" outlineLevel="0" collapsed="false">
      <c r="A55" s="7"/>
      <c r="B55" s="7"/>
      <c r="C55" s="8"/>
      <c r="D55" s="7"/>
    </row>
    <row r="56" customFormat="false" ht="15" hidden="false" customHeight="true" outlineLevel="0" collapsed="false">
      <c r="A56" s="7"/>
      <c r="B56" s="7"/>
      <c r="C56" s="8"/>
      <c r="D56" s="7"/>
    </row>
    <row r="57" customFormat="false" ht="15" hidden="false" customHeight="true" outlineLevel="0" collapsed="false">
      <c r="A57" s="7"/>
      <c r="B57" s="7"/>
      <c r="C57" s="8"/>
      <c r="D57" s="7"/>
    </row>
    <row r="58" customFormat="false" ht="15" hidden="false" customHeight="true" outlineLevel="0" collapsed="false">
      <c r="A58" s="7"/>
      <c r="B58" s="7"/>
      <c r="C58" s="8"/>
      <c r="D58" s="7"/>
    </row>
    <row r="59" customFormat="false" ht="15" hidden="false" customHeight="true" outlineLevel="0" collapsed="false">
      <c r="A59" s="7"/>
      <c r="B59" s="7"/>
      <c r="C59" s="8"/>
      <c r="D59" s="7"/>
    </row>
    <row r="60" customFormat="false" ht="15" hidden="false" customHeight="true" outlineLevel="0" collapsed="false">
      <c r="A60" s="7"/>
      <c r="B60" s="7"/>
      <c r="C60" s="8"/>
      <c r="D60" s="7"/>
    </row>
    <row r="61" customFormat="false" ht="15" hidden="false" customHeight="true" outlineLevel="0" collapsed="false">
      <c r="A61" s="7"/>
      <c r="B61" s="7"/>
      <c r="C61" s="8"/>
      <c r="D61" s="7"/>
    </row>
    <row r="62" customFormat="false" ht="15" hidden="false" customHeight="true" outlineLevel="0" collapsed="false">
      <c r="A62" s="7"/>
      <c r="B62" s="7"/>
      <c r="C62" s="8"/>
      <c r="D62" s="7"/>
    </row>
    <row r="63" customFormat="false" ht="15" hidden="false" customHeight="true" outlineLevel="0" collapsed="false">
      <c r="A63" s="7"/>
      <c r="B63" s="7"/>
      <c r="C63" s="8"/>
      <c r="D63" s="7"/>
    </row>
    <row r="64" customFormat="false" ht="15" hidden="false" customHeight="true" outlineLevel="0" collapsed="false">
      <c r="A64" s="7"/>
      <c r="B64" s="7"/>
      <c r="C64" s="8"/>
      <c r="D64" s="7"/>
    </row>
    <row r="65" customFormat="false" ht="15" hidden="false" customHeight="true" outlineLevel="0" collapsed="false">
      <c r="A65" s="7"/>
      <c r="B65" s="7"/>
      <c r="C65" s="8"/>
      <c r="D65" s="7"/>
    </row>
    <row r="66" customFormat="false" ht="15" hidden="false" customHeight="true" outlineLevel="0" collapsed="false">
      <c r="A66" s="7"/>
      <c r="B66" s="7"/>
      <c r="C66" s="8"/>
      <c r="D66" s="7"/>
    </row>
    <row r="67" customFormat="false" ht="15" hidden="false" customHeight="true" outlineLevel="0" collapsed="false">
      <c r="A67" s="7"/>
      <c r="B67" s="7"/>
      <c r="C67" s="8"/>
      <c r="D67" s="7"/>
    </row>
    <row r="68" customFormat="false" ht="15" hidden="false" customHeight="true" outlineLevel="0" collapsed="false">
      <c r="A68" s="7"/>
      <c r="B68" s="7"/>
      <c r="C68" s="8"/>
      <c r="D68" s="7"/>
    </row>
    <row r="69" customFormat="false" ht="15" hidden="false" customHeight="true" outlineLevel="0" collapsed="false">
      <c r="A69" s="7"/>
      <c r="B69" s="7"/>
      <c r="C69" s="8"/>
      <c r="D69" s="7"/>
    </row>
    <row r="70" customFormat="false" ht="15" hidden="false" customHeight="true" outlineLevel="0" collapsed="false">
      <c r="A70" s="7"/>
      <c r="B70" s="7"/>
      <c r="C70" s="8"/>
      <c r="D70" s="7"/>
    </row>
    <row r="71" customFormat="false" ht="15" hidden="false" customHeight="true" outlineLevel="0" collapsed="false">
      <c r="A71" s="7"/>
      <c r="B71" s="7"/>
      <c r="C71" s="8"/>
      <c r="D71" s="7"/>
    </row>
    <row r="72" customFormat="false" ht="15" hidden="false" customHeight="true" outlineLevel="0" collapsed="false">
      <c r="A72" s="7"/>
      <c r="B72" s="7"/>
      <c r="C72" s="8"/>
      <c r="D72" s="7"/>
    </row>
    <row r="73" customFormat="false" ht="15" hidden="false" customHeight="true" outlineLevel="0" collapsed="false">
      <c r="A73" s="7"/>
      <c r="B73" s="7"/>
      <c r="C73" s="8"/>
      <c r="D73" s="7"/>
    </row>
    <row r="74" customFormat="false" ht="15" hidden="false" customHeight="true" outlineLevel="0" collapsed="false">
      <c r="A74" s="7"/>
      <c r="B74" s="7"/>
      <c r="C74" s="8"/>
      <c r="D74" s="7"/>
    </row>
    <row r="75" customFormat="false" ht="15" hidden="false" customHeight="true" outlineLevel="0" collapsed="false">
      <c r="A75" s="7"/>
      <c r="B75" s="7"/>
      <c r="C75" s="8"/>
      <c r="D75" s="7"/>
    </row>
    <row r="76" customFormat="false" ht="15" hidden="false" customHeight="true" outlineLevel="0" collapsed="false">
      <c r="A76" s="7"/>
      <c r="B76" s="7"/>
      <c r="C76" s="8"/>
      <c r="D76" s="7"/>
    </row>
    <row r="77" customFormat="false" ht="15" hidden="false" customHeight="true" outlineLevel="0" collapsed="false">
      <c r="A77" s="7"/>
      <c r="B77" s="7"/>
      <c r="C77" s="8"/>
      <c r="D77" s="7"/>
    </row>
    <row r="78" customFormat="false" ht="15" hidden="false" customHeight="true" outlineLevel="0" collapsed="false">
      <c r="A78" s="7"/>
      <c r="B78" s="7"/>
      <c r="C78" s="8"/>
      <c r="D78" s="7"/>
    </row>
    <row r="79" customFormat="false" ht="15" hidden="false" customHeight="true" outlineLevel="0" collapsed="false">
      <c r="A79" s="7"/>
      <c r="B79" s="7"/>
      <c r="C79" s="8"/>
      <c r="D79" s="7"/>
    </row>
    <row r="80" customFormat="false" ht="15" hidden="false" customHeight="true" outlineLevel="0" collapsed="false">
      <c r="A80" s="7"/>
      <c r="B80" s="7"/>
      <c r="C80" s="8"/>
      <c r="D80" s="7"/>
    </row>
    <row r="81" customFormat="false" ht="15" hidden="false" customHeight="true" outlineLevel="0" collapsed="false">
      <c r="A81" s="7"/>
      <c r="B81" s="7"/>
      <c r="C81" s="8"/>
      <c r="D81" s="7"/>
    </row>
    <row r="82" customFormat="false" ht="15" hidden="false" customHeight="true" outlineLevel="0" collapsed="false">
      <c r="A82" s="7"/>
      <c r="B82" s="7"/>
      <c r="C82" s="8"/>
      <c r="D82" s="7"/>
    </row>
    <row r="83" customFormat="false" ht="15" hidden="false" customHeight="true" outlineLevel="0" collapsed="false">
      <c r="A83" s="7"/>
      <c r="B83" s="7"/>
      <c r="C83" s="8"/>
      <c r="D83" s="7"/>
    </row>
    <row r="84" customFormat="false" ht="15" hidden="false" customHeight="true" outlineLevel="0" collapsed="false">
      <c r="A84" s="7"/>
      <c r="B84" s="7"/>
      <c r="C84" s="8"/>
      <c r="D84" s="7"/>
    </row>
    <row r="85" customFormat="false" ht="15" hidden="false" customHeight="true" outlineLevel="0" collapsed="false">
      <c r="A85" s="7"/>
      <c r="B85" s="7"/>
      <c r="C85" s="8"/>
      <c r="D85" s="7"/>
    </row>
    <row r="86" customFormat="false" ht="15" hidden="false" customHeight="true" outlineLevel="0" collapsed="false">
      <c r="A86" s="7"/>
      <c r="B86" s="7"/>
      <c r="C86" s="8"/>
      <c r="D86" s="7"/>
    </row>
    <row r="87" customFormat="false" ht="15" hidden="false" customHeight="true" outlineLevel="0" collapsed="false">
      <c r="A87" s="7"/>
      <c r="B87" s="7"/>
      <c r="C87" s="8"/>
      <c r="D87" s="7"/>
    </row>
    <row r="88" customFormat="false" ht="15" hidden="false" customHeight="true" outlineLevel="0" collapsed="false">
      <c r="A88" s="7"/>
      <c r="B88" s="7"/>
      <c r="C88" s="8"/>
      <c r="D88" s="7"/>
    </row>
    <row r="89" customFormat="false" ht="15" hidden="false" customHeight="true" outlineLevel="0" collapsed="false">
      <c r="A89" s="7"/>
      <c r="B89" s="7"/>
      <c r="C89" s="8"/>
      <c r="D89" s="7"/>
    </row>
    <row r="90" customFormat="false" ht="15" hidden="false" customHeight="true" outlineLevel="0" collapsed="false">
      <c r="A90" s="7"/>
      <c r="B90" s="7"/>
      <c r="C90" s="8"/>
      <c r="D90" s="7"/>
    </row>
    <row r="91" customFormat="false" ht="15" hidden="false" customHeight="true" outlineLevel="0" collapsed="false">
      <c r="A91" s="7"/>
      <c r="B91" s="7"/>
      <c r="C91" s="8"/>
      <c r="D91" s="7"/>
    </row>
    <row r="92" customFormat="false" ht="15" hidden="false" customHeight="true" outlineLevel="0" collapsed="false">
      <c r="A92" s="7"/>
      <c r="B92" s="7"/>
      <c r="C92" s="8"/>
      <c r="D92" s="7"/>
    </row>
    <row r="93" customFormat="false" ht="15" hidden="false" customHeight="true" outlineLevel="0" collapsed="false">
      <c r="A93" s="7"/>
      <c r="B93" s="7"/>
      <c r="C93" s="8"/>
      <c r="D93" s="7"/>
    </row>
    <row r="94" customFormat="false" ht="15" hidden="false" customHeight="true" outlineLevel="0" collapsed="false">
      <c r="A94" s="7"/>
      <c r="B94" s="7"/>
      <c r="C94" s="8"/>
      <c r="D94" s="7"/>
    </row>
    <row r="95" customFormat="false" ht="15" hidden="false" customHeight="true" outlineLevel="0" collapsed="false">
      <c r="A95" s="7"/>
      <c r="B95" s="7"/>
      <c r="C95" s="8"/>
      <c r="D95" s="7"/>
    </row>
    <row r="96" customFormat="false" ht="15" hidden="false" customHeight="true" outlineLevel="0" collapsed="false">
      <c r="A96" s="7"/>
      <c r="B96" s="7"/>
      <c r="C96" s="8"/>
      <c r="D96" s="7"/>
    </row>
    <row r="97" customFormat="false" ht="15" hidden="false" customHeight="true" outlineLevel="0" collapsed="false">
      <c r="A97" s="7"/>
      <c r="B97" s="7"/>
      <c r="C97" s="8"/>
      <c r="D97" s="7"/>
    </row>
    <row r="98" customFormat="false" ht="15" hidden="false" customHeight="true" outlineLevel="0" collapsed="false">
      <c r="A98" s="7"/>
      <c r="B98" s="7"/>
      <c r="C98" s="8"/>
      <c r="D98" s="7"/>
    </row>
    <row r="99" customFormat="false" ht="15" hidden="false" customHeight="true" outlineLevel="0" collapsed="false">
      <c r="A99" s="7"/>
      <c r="B99" s="7"/>
      <c r="C99" s="8"/>
      <c r="D99" s="7"/>
    </row>
    <row r="100" customFormat="false" ht="15" hidden="false" customHeight="true" outlineLevel="0" collapsed="false">
      <c r="A100" s="7"/>
      <c r="B100" s="7"/>
      <c r="C100" s="8"/>
      <c r="D100" s="7"/>
    </row>
    <row r="101" customFormat="false" ht="15" hidden="false" customHeight="true" outlineLevel="0" collapsed="false">
      <c r="A101" s="7"/>
      <c r="B101" s="7"/>
      <c r="C101" s="8"/>
      <c r="D101" s="7"/>
    </row>
    <row r="102" customFormat="false" ht="15" hidden="false" customHeight="true" outlineLevel="0" collapsed="false">
      <c r="A102" s="7"/>
      <c r="B102" s="7"/>
      <c r="C102" s="8"/>
      <c r="D102" s="7"/>
    </row>
    <row r="103" customFormat="false" ht="15" hidden="false" customHeight="true" outlineLevel="0" collapsed="false">
      <c r="A103" s="7"/>
      <c r="B103" s="7"/>
      <c r="C103" s="8"/>
      <c r="D103" s="7"/>
    </row>
    <row r="104" customFormat="false" ht="15" hidden="false" customHeight="true" outlineLevel="0" collapsed="false">
      <c r="A104" s="7"/>
      <c r="B104" s="7"/>
      <c r="C104" s="8"/>
      <c r="D104" s="7"/>
    </row>
    <row r="105" customFormat="false" ht="15" hidden="false" customHeight="true" outlineLevel="0" collapsed="false">
      <c r="A105" s="7"/>
      <c r="B105" s="7"/>
      <c r="C105" s="8"/>
      <c r="D105" s="7"/>
    </row>
    <row r="106" customFormat="false" ht="15" hidden="false" customHeight="true" outlineLevel="0" collapsed="false">
      <c r="A106" s="7"/>
      <c r="B106" s="7"/>
      <c r="C106" s="8"/>
      <c r="D106" s="7"/>
    </row>
    <row r="107" customFormat="false" ht="15" hidden="false" customHeight="true" outlineLevel="0" collapsed="false">
      <c r="A107" s="7"/>
      <c r="B107" s="7"/>
      <c r="C107" s="8"/>
      <c r="D107" s="7"/>
    </row>
    <row r="108" customFormat="false" ht="15" hidden="false" customHeight="true" outlineLevel="0" collapsed="false">
      <c r="A108" s="7"/>
      <c r="B108" s="7"/>
      <c r="C108" s="8"/>
      <c r="D108" s="7"/>
    </row>
    <row r="109" customFormat="false" ht="15" hidden="false" customHeight="true" outlineLevel="0" collapsed="false">
      <c r="A109" s="7"/>
      <c r="B109" s="7"/>
      <c r="C109" s="8"/>
      <c r="D109" s="7"/>
    </row>
    <row r="110" customFormat="false" ht="15" hidden="false" customHeight="true" outlineLevel="0" collapsed="false">
      <c r="A110" s="7"/>
      <c r="B110" s="7"/>
      <c r="C110" s="8"/>
      <c r="D110" s="7"/>
    </row>
    <row r="111" customFormat="false" ht="15" hidden="false" customHeight="true" outlineLevel="0" collapsed="false">
      <c r="A111" s="7"/>
      <c r="B111" s="7"/>
      <c r="C111" s="8"/>
      <c r="D111" s="7"/>
    </row>
    <row r="112" customFormat="false" ht="15" hidden="false" customHeight="true" outlineLevel="0" collapsed="false">
      <c r="A112" s="7"/>
      <c r="B112" s="7"/>
      <c r="C112" s="8"/>
      <c r="D112" s="7"/>
    </row>
    <row r="113" customFormat="false" ht="15" hidden="false" customHeight="true" outlineLevel="0" collapsed="false">
      <c r="A113" s="7"/>
      <c r="B113" s="7"/>
      <c r="C113" s="8"/>
      <c r="D113" s="7"/>
    </row>
    <row r="114" customFormat="false" ht="15" hidden="false" customHeight="true" outlineLevel="0" collapsed="false">
      <c r="A114" s="7"/>
      <c r="B114" s="7"/>
      <c r="C114" s="8"/>
      <c r="D114" s="7"/>
    </row>
    <row r="115" customFormat="false" ht="15" hidden="false" customHeight="true" outlineLevel="0" collapsed="false">
      <c r="A115" s="7"/>
      <c r="B115" s="7"/>
      <c r="C115" s="8"/>
      <c r="D115" s="7"/>
    </row>
    <row r="116" customFormat="false" ht="15" hidden="false" customHeight="true" outlineLevel="0" collapsed="false">
      <c r="A116" s="7"/>
      <c r="B116" s="7"/>
      <c r="C116" s="8"/>
      <c r="D116" s="7"/>
    </row>
    <row r="117" customFormat="false" ht="15" hidden="false" customHeight="true" outlineLevel="0" collapsed="false">
      <c r="A117" s="7"/>
      <c r="B117" s="7"/>
      <c r="C117" s="8"/>
      <c r="D117" s="7"/>
    </row>
    <row r="118" customFormat="false" ht="15" hidden="false" customHeight="true" outlineLevel="0" collapsed="false">
      <c r="A118" s="7"/>
      <c r="B118" s="7"/>
      <c r="C118" s="8"/>
      <c r="D118" s="7"/>
    </row>
    <row r="119" customFormat="false" ht="15" hidden="false" customHeight="true" outlineLevel="0" collapsed="false">
      <c r="A119" s="7"/>
      <c r="B119" s="7"/>
      <c r="C119" s="8"/>
      <c r="D119" s="7"/>
    </row>
    <row r="120" customFormat="false" ht="15" hidden="false" customHeight="true" outlineLevel="0" collapsed="false">
      <c r="A120" s="7"/>
      <c r="B120" s="7"/>
      <c r="C120" s="8"/>
      <c r="D120" s="7"/>
    </row>
    <row r="121" customFormat="false" ht="15" hidden="false" customHeight="true" outlineLevel="0" collapsed="false">
      <c r="A121" s="7"/>
      <c r="B121" s="7"/>
      <c r="C121" s="8"/>
      <c r="D121" s="7"/>
    </row>
    <row r="122" customFormat="false" ht="15" hidden="false" customHeight="true" outlineLevel="0" collapsed="false">
      <c r="A122" s="7"/>
      <c r="B122" s="7"/>
      <c r="C122" s="8"/>
      <c r="D122" s="7"/>
    </row>
    <row r="123" customFormat="false" ht="15" hidden="false" customHeight="true" outlineLevel="0" collapsed="false">
      <c r="A123" s="7"/>
      <c r="B123" s="7"/>
      <c r="C123" s="8"/>
      <c r="D123" s="7"/>
    </row>
    <row r="124" customFormat="false" ht="15" hidden="false" customHeight="true" outlineLevel="0" collapsed="false">
      <c r="A124" s="7"/>
      <c r="B124" s="7"/>
      <c r="C124" s="8"/>
      <c r="D124" s="7"/>
    </row>
    <row r="125" customFormat="false" ht="15" hidden="false" customHeight="true" outlineLevel="0" collapsed="false">
      <c r="A125" s="7"/>
      <c r="B125" s="7"/>
      <c r="C125" s="8"/>
      <c r="D125" s="7"/>
    </row>
    <row r="126" customFormat="false" ht="15" hidden="false" customHeight="true" outlineLevel="0" collapsed="false">
      <c r="A126" s="7"/>
      <c r="B126" s="7"/>
      <c r="C126" s="8"/>
      <c r="D126" s="7"/>
    </row>
    <row r="127" customFormat="false" ht="15" hidden="false" customHeight="true" outlineLevel="0" collapsed="false">
      <c r="A127" s="7"/>
      <c r="B127" s="7"/>
      <c r="C127" s="8"/>
      <c r="D127" s="7"/>
    </row>
    <row r="128" customFormat="false" ht="15" hidden="false" customHeight="true" outlineLevel="0" collapsed="false">
      <c r="A128" s="7"/>
      <c r="B128" s="7"/>
      <c r="C128" s="8"/>
      <c r="D128" s="7"/>
    </row>
    <row r="129" customFormat="false" ht="15" hidden="false" customHeight="true" outlineLevel="0" collapsed="false">
      <c r="A129" s="7"/>
      <c r="B129" s="7"/>
      <c r="C129" s="8"/>
      <c r="D129" s="7"/>
    </row>
    <row r="130" customFormat="false" ht="15" hidden="false" customHeight="true" outlineLevel="0" collapsed="false">
      <c r="A130" s="7"/>
      <c r="B130" s="7"/>
      <c r="C130" s="8"/>
      <c r="D130" s="7"/>
    </row>
    <row r="131" customFormat="false" ht="15" hidden="false" customHeight="true" outlineLevel="0" collapsed="false">
      <c r="A131" s="7"/>
      <c r="B131" s="7"/>
      <c r="C131" s="8"/>
      <c r="D131" s="7"/>
    </row>
    <row r="132" customFormat="false" ht="15" hidden="false" customHeight="true" outlineLevel="0" collapsed="false">
      <c r="A132" s="7"/>
      <c r="B132" s="7"/>
      <c r="C132" s="8"/>
      <c r="D132" s="7"/>
    </row>
    <row r="133" customFormat="false" ht="15" hidden="false" customHeight="true" outlineLevel="0" collapsed="false">
      <c r="A133" s="7"/>
      <c r="B133" s="7"/>
      <c r="C133" s="8"/>
      <c r="D133" s="7"/>
    </row>
    <row r="134" customFormat="false" ht="15" hidden="false" customHeight="true" outlineLevel="0" collapsed="false">
      <c r="A134" s="7"/>
      <c r="B134" s="7"/>
      <c r="C134" s="8"/>
      <c r="D134" s="7"/>
    </row>
    <row r="135" customFormat="false" ht="15" hidden="false" customHeight="true" outlineLevel="0" collapsed="false">
      <c r="A135" s="7"/>
      <c r="B135" s="7"/>
      <c r="C135" s="8"/>
      <c r="D135" s="7"/>
    </row>
    <row r="136" customFormat="false" ht="15" hidden="false" customHeight="true" outlineLevel="0" collapsed="false">
      <c r="A136" s="7"/>
      <c r="B136" s="7"/>
      <c r="C136" s="8"/>
      <c r="D136" s="7"/>
    </row>
    <row r="137" customFormat="false" ht="15" hidden="false" customHeight="true" outlineLevel="0" collapsed="false">
      <c r="A137" s="7"/>
      <c r="B137" s="7"/>
      <c r="C137" s="8"/>
      <c r="D137" s="7"/>
    </row>
    <row r="138" customFormat="false" ht="15" hidden="false" customHeight="true" outlineLevel="0" collapsed="false">
      <c r="A138" s="7"/>
      <c r="B138" s="7"/>
      <c r="C138" s="8"/>
      <c r="D138" s="7"/>
    </row>
    <row r="139" customFormat="false" ht="15" hidden="false" customHeight="true" outlineLevel="0" collapsed="false">
      <c r="A139" s="7"/>
      <c r="B139" s="7"/>
      <c r="C139" s="8"/>
      <c r="D139" s="7"/>
    </row>
    <row r="140" customFormat="false" ht="15" hidden="false" customHeight="true" outlineLevel="0" collapsed="false">
      <c r="A140" s="7"/>
      <c r="B140" s="7"/>
      <c r="C140" s="8"/>
      <c r="D140" s="7"/>
    </row>
    <row r="141" customFormat="false" ht="15" hidden="false" customHeight="true" outlineLevel="0" collapsed="false">
      <c r="A141" s="7"/>
      <c r="B141" s="7"/>
      <c r="C141" s="8"/>
      <c r="D141" s="7"/>
    </row>
    <row r="142" customFormat="false" ht="15" hidden="false" customHeight="true" outlineLevel="0" collapsed="false">
      <c r="A142" s="7"/>
      <c r="B142" s="7"/>
      <c r="C142" s="8"/>
      <c r="D142" s="7"/>
    </row>
    <row r="143" customFormat="false" ht="15" hidden="false" customHeight="true" outlineLevel="0" collapsed="false">
      <c r="A143" s="7"/>
      <c r="B143" s="7"/>
      <c r="C143" s="8"/>
      <c r="D143" s="7"/>
    </row>
    <row r="144" customFormat="false" ht="15" hidden="false" customHeight="true" outlineLevel="0" collapsed="false">
      <c r="A144" s="7"/>
      <c r="B144" s="7"/>
      <c r="C144" s="8"/>
      <c r="D144" s="7"/>
    </row>
    <row r="145" customFormat="false" ht="15" hidden="false" customHeight="true" outlineLevel="0" collapsed="false">
      <c r="A145" s="7"/>
      <c r="B145" s="7"/>
      <c r="C145" s="8"/>
      <c r="D145" s="7"/>
    </row>
    <row r="146" customFormat="false" ht="15" hidden="false" customHeight="true" outlineLevel="0" collapsed="false">
      <c r="A146" s="7"/>
      <c r="B146" s="7"/>
      <c r="C146" s="8"/>
      <c r="D146" s="7"/>
    </row>
    <row r="147" customFormat="false" ht="15" hidden="false" customHeight="true" outlineLevel="0" collapsed="false">
      <c r="A147" s="7"/>
      <c r="B147" s="7"/>
      <c r="C147" s="8"/>
      <c r="D147" s="7"/>
    </row>
    <row r="148" customFormat="false" ht="15" hidden="false" customHeight="true" outlineLevel="0" collapsed="false">
      <c r="A148" s="7"/>
      <c r="B148" s="7"/>
      <c r="C148" s="8"/>
      <c r="D148" s="7"/>
    </row>
    <row r="149" customFormat="false" ht="15" hidden="false" customHeight="true" outlineLevel="0" collapsed="false">
      <c r="A149" s="7"/>
      <c r="B149" s="7"/>
      <c r="C149" s="8"/>
      <c r="D149" s="7"/>
    </row>
    <row r="150" customFormat="false" ht="15" hidden="false" customHeight="true" outlineLevel="0" collapsed="false">
      <c r="A150" s="7"/>
      <c r="B150" s="7"/>
      <c r="C150" s="8"/>
      <c r="D150" s="7"/>
    </row>
    <row r="151" customFormat="false" ht="15" hidden="false" customHeight="true" outlineLevel="0" collapsed="false">
      <c r="A151" s="7"/>
      <c r="B151" s="7"/>
      <c r="C151" s="8"/>
      <c r="D151" s="7"/>
    </row>
    <row r="152" customFormat="false" ht="15" hidden="false" customHeight="true" outlineLevel="0" collapsed="false">
      <c r="A152" s="7"/>
      <c r="B152" s="7"/>
      <c r="C152" s="8"/>
      <c r="D152" s="7"/>
    </row>
    <row r="153" customFormat="false" ht="15" hidden="false" customHeight="true" outlineLevel="0" collapsed="false">
      <c r="A153" s="7"/>
      <c r="B153" s="7"/>
      <c r="C153" s="8"/>
      <c r="D153" s="7"/>
    </row>
    <row r="154" customFormat="false" ht="15" hidden="false" customHeight="true" outlineLevel="0" collapsed="false">
      <c r="A154" s="7"/>
      <c r="B154" s="7"/>
      <c r="C154" s="8"/>
      <c r="D154" s="7"/>
    </row>
    <row r="155" customFormat="false" ht="15" hidden="false" customHeight="true" outlineLevel="0" collapsed="false">
      <c r="A155" s="7"/>
      <c r="B155" s="7"/>
      <c r="C155" s="8"/>
      <c r="D155" s="7"/>
    </row>
    <row r="156" customFormat="false" ht="15" hidden="false" customHeight="true" outlineLevel="0" collapsed="false">
      <c r="A156" s="7"/>
      <c r="B156" s="7"/>
      <c r="C156" s="8"/>
      <c r="D156" s="7"/>
    </row>
    <row r="157" customFormat="false" ht="15" hidden="false" customHeight="true" outlineLevel="0" collapsed="false">
      <c r="A157" s="7"/>
      <c r="B157" s="7"/>
      <c r="C157" s="8"/>
      <c r="D157" s="7"/>
    </row>
    <row r="158" customFormat="false" ht="15" hidden="false" customHeight="true" outlineLevel="0" collapsed="false">
      <c r="A158" s="7"/>
      <c r="B158" s="7"/>
      <c r="C158" s="8"/>
      <c r="D158" s="7"/>
    </row>
    <row r="159" customFormat="false" ht="15" hidden="false" customHeight="true" outlineLevel="0" collapsed="false">
      <c r="A159" s="7"/>
      <c r="B159" s="7"/>
      <c r="C159" s="8"/>
      <c r="D159" s="7"/>
    </row>
    <row r="160" customFormat="false" ht="15" hidden="false" customHeight="true" outlineLevel="0" collapsed="false">
      <c r="A160" s="7"/>
      <c r="B160" s="7"/>
      <c r="C160" s="8"/>
      <c r="D160" s="7"/>
    </row>
    <row r="161" customFormat="false" ht="15" hidden="false" customHeight="true" outlineLevel="0" collapsed="false">
      <c r="A161" s="7"/>
      <c r="B161" s="7"/>
      <c r="C161" s="8"/>
      <c r="D161" s="7"/>
    </row>
    <row r="162" customFormat="false" ht="15" hidden="false" customHeight="true" outlineLevel="0" collapsed="false">
      <c r="A162" s="7"/>
      <c r="B162" s="7"/>
      <c r="C162" s="8"/>
      <c r="D162" s="7"/>
    </row>
    <row r="163" customFormat="false" ht="15" hidden="false" customHeight="true" outlineLevel="0" collapsed="false">
      <c r="A163" s="7"/>
      <c r="B163" s="7"/>
      <c r="C163" s="8"/>
      <c r="D163" s="7"/>
    </row>
    <row r="164" customFormat="false" ht="15" hidden="false" customHeight="true" outlineLevel="0" collapsed="false">
      <c r="A164" s="7"/>
      <c r="B164" s="7"/>
      <c r="C164" s="8"/>
      <c r="D164" s="7"/>
    </row>
    <row r="165" customFormat="false" ht="15" hidden="false" customHeight="true" outlineLevel="0" collapsed="false">
      <c r="A165" s="7"/>
      <c r="B165" s="7"/>
      <c r="C165" s="8"/>
      <c r="D165" s="7"/>
    </row>
    <row r="166" customFormat="false" ht="15" hidden="false" customHeight="true" outlineLevel="0" collapsed="false">
      <c r="A166" s="7"/>
      <c r="B166" s="7"/>
      <c r="C166" s="8"/>
      <c r="D166" s="7"/>
    </row>
    <row r="167" customFormat="false" ht="15" hidden="false" customHeight="true" outlineLevel="0" collapsed="false">
      <c r="A167" s="7"/>
      <c r="B167" s="7"/>
      <c r="C167" s="8"/>
      <c r="D167" s="7"/>
    </row>
    <row r="168" customFormat="false" ht="15" hidden="false" customHeight="true" outlineLevel="0" collapsed="false">
      <c r="A168" s="7"/>
      <c r="B168" s="7"/>
      <c r="C168" s="8"/>
      <c r="D168" s="7"/>
    </row>
    <row r="169" customFormat="false" ht="15" hidden="false" customHeight="true" outlineLevel="0" collapsed="false">
      <c r="A169" s="7"/>
      <c r="B169" s="7"/>
      <c r="C169" s="8"/>
      <c r="D169" s="7"/>
    </row>
    <row r="170" customFormat="false" ht="15" hidden="false" customHeight="true" outlineLevel="0" collapsed="false">
      <c r="A170" s="7"/>
      <c r="B170" s="7"/>
      <c r="C170" s="8"/>
      <c r="D170" s="7"/>
    </row>
    <row r="171" customFormat="false" ht="15" hidden="false" customHeight="true" outlineLevel="0" collapsed="false">
      <c r="A171" s="7"/>
      <c r="B171" s="7"/>
      <c r="C171" s="8"/>
      <c r="D171" s="7"/>
    </row>
    <row r="172" customFormat="false" ht="15" hidden="false" customHeight="true" outlineLevel="0" collapsed="false">
      <c r="A172" s="7"/>
      <c r="B172" s="7"/>
      <c r="C172" s="8"/>
      <c r="D172" s="7"/>
    </row>
    <row r="173" customFormat="false" ht="15" hidden="false" customHeight="true" outlineLevel="0" collapsed="false">
      <c r="A173" s="7"/>
      <c r="B173" s="7"/>
      <c r="C173" s="8"/>
      <c r="D173" s="7"/>
    </row>
    <row r="174" customFormat="false" ht="15" hidden="false" customHeight="true" outlineLevel="0" collapsed="false">
      <c r="A174" s="7"/>
      <c r="B174" s="7"/>
      <c r="C174" s="8"/>
      <c r="D174" s="7"/>
    </row>
    <row r="175" customFormat="false" ht="15" hidden="false" customHeight="true" outlineLevel="0" collapsed="false">
      <c r="A175" s="7"/>
      <c r="B175" s="7"/>
      <c r="C175" s="8"/>
      <c r="D175" s="7"/>
    </row>
    <row r="176" customFormat="false" ht="15" hidden="false" customHeight="true" outlineLevel="0" collapsed="false">
      <c r="A176" s="7"/>
      <c r="B176" s="7"/>
      <c r="C176" s="8"/>
      <c r="D176" s="7"/>
    </row>
    <row r="177" customFormat="false" ht="15" hidden="false" customHeight="true" outlineLevel="0" collapsed="false">
      <c r="A177" s="7"/>
      <c r="B177" s="7"/>
      <c r="C177" s="8"/>
      <c r="D177" s="7"/>
    </row>
    <row r="178" customFormat="false" ht="15" hidden="false" customHeight="true" outlineLevel="0" collapsed="false">
      <c r="A178" s="7"/>
      <c r="B178" s="7"/>
      <c r="C178" s="8"/>
      <c r="D178" s="7"/>
    </row>
    <row r="179" customFormat="false" ht="15" hidden="false" customHeight="true" outlineLevel="0" collapsed="false">
      <c r="A179" s="7"/>
      <c r="B179" s="7"/>
      <c r="C179" s="8"/>
      <c r="D179" s="7"/>
    </row>
    <row r="180" customFormat="false" ht="15" hidden="false" customHeight="true" outlineLevel="0" collapsed="false">
      <c r="A180" s="7"/>
      <c r="B180" s="7"/>
      <c r="C180" s="8"/>
      <c r="D180" s="7"/>
    </row>
    <row r="181" customFormat="false" ht="15" hidden="false" customHeight="true" outlineLevel="0" collapsed="false">
      <c r="A181" s="7"/>
      <c r="B181" s="7"/>
      <c r="C181" s="8"/>
      <c r="D181" s="7"/>
    </row>
    <row r="182" customFormat="false" ht="15" hidden="false" customHeight="true" outlineLevel="0" collapsed="false">
      <c r="A182" s="7"/>
      <c r="B182" s="7"/>
      <c r="C182" s="8"/>
      <c r="D182" s="7"/>
    </row>
    <row r="183" customFormat="false" ht="15" hidden="false" customHeight="true" outlineLevel="0" collapsed="false">
      <c r="A183" s="7"/>
      <c r="B183" s="7"/>
      <c r="C183" s="8"/>
      <c r="D183" s="7"/>
    </row>
    <row r="184" customFormat="false" ht="15" hidden="false" customHeight="true" outlineLevel="0" collapsed="false">
      <c r="A184" s="7"/>
      <c r="B184" s="7"/>
      <c r="C184" s="8"/>
      <c r="D184" s="7"/>
    </row>
    <row r="185" customFormat="false" ht="15" hidden="false" customHeight="true" outlineLevel="0" collapsed="false">
      <c r="A185" s="7"/>
      <c r="B185" s="7"/>
      <c r="C185" s="8"/>
      <c r="D185" s="7"/>
    </row>
    <row r="186" customFormat="false" ht="15" hidden="false" customHeight="true" outlineLevel="0" collapsed="false">
      <c r="A186" s="7"/>
      <c r="B186" s="7"/>
      <c r="C186" s="8"/>
      <c r="D186" s="7"/>
    </row>
    <row r="187" customFormat="false" ht="15" hidden="false" customHeight="true" outlineLevel="0" collapsed="false">
      <c r="A187" s="7"/>
      <c r="B187" s="7"/>
      <c r="C187" s="8"/>
      <c r="D187" s="7"/>
    </row>
    <row r="188" customFormat="false" ht="15" hidden="false" customHeight="true" outlineLevel="0" collapsed="false">
      <c r="A188" s="7"/>
      <c r="B188" s="7"/>
      <c r="C188" s="8"/>
      <c r="D188" s="7"/>
    </row>
    <row r="189" customFormat="false" ht="15" hidden="false" customHeight="true" outlineLevel="0" collapsed="false">
      <c r="A189" s="7"/>
      <c r="B189" s="7"/>
      <c r="C189" s="8"/>
      <c r="D189" s="7"/>
    </row>
    <row r="190" customFormat="false" ht="15" hidden="false" customHeight="true" outlineLevel="0" collapsed="false">
      <c r="A190" s="7"/>
      <c r="B190" s="7"/>
      <c r="C190" s="8"/>
      <c r="D190" s="7"/>
    </row>
    <row r="191" customFormat="false" ht="15" hidden="false" customHeight="true" outlineLevel="0" collapsed="false">
      <c r="A191" s="7"/>
      <c r="B191" s="7"/>
      <c r="C191" s="8"/>
      <c r="D191" s="7"/>
    </row>
    <row r="192" customFormat="false" ht="15" hidden="false" customHeight="true" outlineLevel="0" collapsed="false">
      <c r="A192" s="7"/>
      <c r="B192" s="7"/>
      <c r="C192" s="8"/>
      <c r="D192" s="7"/>
    </row>
    <row r="193" customFormat="false" ht="15" hidden="false" customHeight="true" outlineLevel="0" collapsed="false">
      <c r="A193" s="7"/>
      <c r="B193" s="7"/>
      <c r="C193" s="8"/>
      <c r="D193" s="7"/>
    </row>
    <row r="194" customFormat="false" ht="15" hidden="false" customHeight="true" outlineLevel="0" collapsed="false">
      <c r="A194" s="7"/>
      <c r="B194" s="7"/>
      <c r="C194" s="8"/>
      <c r="D194" s="7"/>
    </row>
    <row r="195" customFormat="false" ht="15" hidden="false" customHeight="true" outlineLevel="0" collapsed="false">
      <c r="A195" s="7"/>
      <c r="B195" s="7"/>
      <c r="C195" s="8"/>
      <c r="D195" s="7"/>
    </row>
    <row r="196" customFormat="false" ht="15" hidden="false" customHeight="true" outlineLevel="0" collapsed="false">
      <c r="A196" s="7"/>
      <c r="B196" s="7"/>
      <c r="C196" s="8"/>
      <c r="D196" s="7"/>
    </row>
    <row r="197" customFormat="false" ht="15" hidden="false" customHeight="true" outlineLevel="0" collapsed="false">
      <c r="A197" s="7"/>
      <c r="B197" s="7"/>
      <c r="C197" s="8"/>
      <c r="D197" s="7"/>
    </row>
    <row r="198" customFormat="false" ht="15" hidden="false" customHeight="true" outlineLevel="0" collapsed="false">
      <c r="A198" s="7"/>
      <c r="B198" s="7"/>
      <c r="C198" s="8"/>
      <c r="D198" s="7"/>
    </row>
    <row r="199" customFormat="false" ht="15" hidden="false" customHeight="true" outlineLevel="0" collapsed="false">
      <c r="A199" s="7"/>
      <c r="B199" s="7"/>
      <c r="C199" s="8"/>
      <c r="D199" s="7"/>
    </row>
    <row r="200" customFormat="false" ht="15" hidden="false" customHeight="true" outlineLevel="0" collapsed="false">
      <c r="A200" s="7"/>
      <c r="B200" s="7"/>
      <c r="C200" s="8"/>
      <c r="D200" s="7"/>
    </row>
    <row r="201" customFormat="false" ht="15" hidden="false" customHeight="true" outlineLevel="0" collapsed="false">
      <c r="A201" s="7"/>
      <c r="B201" s="7"/>
      <c r="C201" s="8"/>
      <c r="D201" s="7"/>
    </row>
    <row r="202" customFormat="false" ht="15" hidden="false" customHeight="true" outlineLevel="0" collapsed="false">
      <c r="A202" s="7"/>
      <c r="B202" s="7"/>
      <c r="C202" s="8"/>
      <c r="D202" s="7"/>
    </row>
    <row r="203" customFormat="false" ht="15" hidden="false" customHeight="true" outlineLevel="0" collapsed="false">
      <c r="A203" s="7"/>
      <c r="B203" s="7"/>
      <c r="C203" s="8"/>
      <c r="D203" s="7"/>
    </row>
    <row r="204" customFormat="false" ht="15" hidden="false" customHeight="true" outlineLevel="0" collapsed="false">
      <c r="A204" s="7"/>
      <c r="B204" s="7"/>
      <c r="C204" s="8"/>
      <c r="D204" s="7"/>
    </row>
    <row r="205" customFormat="false" ht="15" hidden="false" customHeight="true" outlineLevel="0" collapsed="false">
      <c r="A205" s="7"/>
      <c r="B205" s="7"/>
      <c r="C205" s="8"/>
      <c r="D205" s="7"/>
    </row>
    <row r="206" customFormat="false" ht="15" hidden="false" customHeight="true" outlineLevel="0" collapsed="false">
      <c r="A206" s="7"/>
      <c r="B206" s="7"/>
      <c r="C206" s="8"/>
      <c r="D206" s="7"/>
    </row>
    <row r="207" customFormat="false" ht="15" hidden="false" customHeight="true" outlineLevel="0" collapsed="false">
      <c r="A207" s="7"/>
      <c r="B207" s="7"/>
      <c r="C207" s="8"/>
      <c r="D207" s="7"/>
    </row>
    <row r="208" customFormat="false" ht="15" hidden="false" customHeight="true" outlineLevel="0" collapsed="false">
      <c r="A208" s="7"/>
      <c r="B208" s="7"/>
      <c r="C208" s="8"/>
      <c r="D208" s="7"/>
    </row>
    <row r="209" customFormat="false" ht="15" hidden="false" customHeight="true" outlineLevel="0" collapsed="false">
      <c r="A209" s="7"/>
      <c r="B209" s="7"/>
      <c r="C209" s="8"/>
      <c r="D209" s="7"/>
    </row>
    <row r="210" customFormat="false" ht="15" hidden="false" customHeight="true" outlineLevel="0" collapsed="false">
      <c r="A210" s="7"/>
      <c r="B210" s="7"/>
      <c r="C210" s="8"/>
      <c r="D210" s="7"/>
    </row>
    <row r="211" customFormat="false" ht="15" hidden="false" customHeight="true" outlineLevel="0" collapsed="false">
      <c r="A211" s="7"/>
      <c r="B211" s="7"/>
      <c r="C211" s="8"/>
      <c r="D211" s="7"/>
    </row>
    <row r="212" customFormat="false" ht="15" hidden="false" customHeight="true" outlineLevel="0" collapsed="false">
      <c r="A212" s="7"/>
      <c r="B212" s="7"/>
      <c r="C212" s="8"/>
      <c r="D212" s="7"/>
    </row>
    <row r="213" customFormat="false" ht="15" hidden="false" customHeight="true" outlineLevel="0" collapsed="false">
      <c r="A213" s="7"/>
      <c r="B213" s="7"/>
      <c r="C213" s="8"/>
      <c r="D213" s="7"/>
    </row>
    <row r="214" customFormat="false" ht="15" hidden="false" customHeight="true" outlineLevel="0" collapsed="false">
      <c r="A214" s="7"/>
      <c r="B214" s="7"/>
      <c r="C214" s="8"/>
      <c r="D214" s="7"/>
    </row>
    <row r="215" customFormat="false" ht="15" hidden="false" customHeight="true" outlineLevel="0" collapsed="false">
      <c r="A215" s="7"/>
      <c r="B215" s="7"/>
      <c r="C215" s="8"/>
      <c r="D215" s="7"/>
    </row>
    <row r="216" customFormat="false" ht="15" hidden="false" customHeight="true" outlineLevel="0" collapsed="false">
      <c r="A216" s="7"/>
      <c r="B216" s="7"/>
      <c r="C216" s="8"/>
      <c r="D216" s="7"/>
    </row>
    <row r="217" customFormat="false" ht="15" hidden="false" customHeight="true" outlineLevel="0" collapsed="false">
      <c r="A217" s="7"/>
      <c r="B217" s="7"/>
      <c r="C217" s="8"/>
      <c r="D217" s="7"/>
    </row>
    <row r="218" customFormat="false" ht="15" hidden="false" customHeight="true" outlineLevel="0" collapsed="false">
      <c r="A218" s="7"/>
      <c r="B218" s="7"/>
      <c r="C218" s="8"/>
      <c r="D218" s="7"/>
    </row>
    <row r="219" customFormat="false" ht="15" hidden="false" customHeight="true" outlineLevel="0" collapsed="false">
      <c r="A219" s="7"/>
      <c r="B219" s="7"/>
      <c r="C219" s="8"/>
      <c r="D219" s="7"/>
    </row>
    <row r="220" customFormat="false" ht="15" hidden="false" customHeight="true" outlineLevel="0" collapsed="false">
      <c r="A220" s="7"/>
      <c r="B220" s="7"/>
      <c r="C220" s="8"/>
      <c r="D220" s="7"/>
    </row>
    <row r="221" customFormat="false" ht="15" hidden="false" customHeight="true" outlineLevel="0" collapsed="false">
      <c r="A221" s="7"/>
      <c r="B221" s="7"/>
      <c r="C221" s="8"/>
      <c r="D221" s="7"/>
    </row>
    <row r="222" customFormat="false" ht="15" hidden="false" customHeight="true" outlineLevel="0" collapsed="false">
      <c r="A222" s="7"/>
      <c r="B222" s="7"/>
      <c r="C222" s="8"/>
      <c r="D222" s="7"/>
    </row>
    <row r="223" customFormat="false" ht="15" hidden="false" customHeight="true" outlineLevel="0" collapsed="false">
      <c r="A223" s="7"/>
      <c r="B223" s="7"/>
      <c r="C223" s="8"/>
      <c r="D223" s="7"/>
    </row>
    <row r="224" customFormat="false" ht="15" hidden="false" customHeight="true" outlineLevel="0" collapsed="false">
      <c r="A224" s="7"/>
      <c r="B224" s="7"/>
      <c r="C224" s="8"/>
      <c r="D224" s="7"/>
    </row>
    <row r="225" customFormat="false" ht="15" hidden="false" customHeight="true" outlineLevel="0" collapsed="false">
      <c r="A225" s="7"/>
      <c r="B225" s="7"/>
      <c r="C225" s="8"/>
      <c r="D225" s="7"/>
    </row>
    <row r="226" customFormat="false" ht="15" hidden="false" customHeight="true" outlineLevel="0" collapsed="false">
      <c r="A226" s="7"/>
      <c r="B226" s="7"/>
      <c r="C226" s="8"/>
      <c r="D226" s="7"/>
    </row>
    <row r="227" customFormat="false" ht="15" hidden="false" customHeight="true" outlineLevel="0" collapsed="false">
      <c r="A227" s="7"/>
      <c r="B227" s="7"/>
      <c r="C227" s="8"/>
      <c r="D227" s="7"/>
    </row>
    <row r="228" customFormat="false" ht="15" hidden="false" customHeight="true" outlineLevel="0" collapsed="false">
      <c r="A228" s="7"/>
      <c r="B228" s="7"/>
      <c r="C228" s="8"/>
      <c r="D228" s="7"/>
    </row>
    <row r="229" customFormat="false" ht="15" hidden="false" customHeight="true" outlineLevel="0" collapsed="false">
      <c r="A229" s="7"/>
      <c r="B229" s="7"/>
      <c r="C229" s="8"/>
      <c r="D229" s="7"/>
    </row>
    <row r="230" customFormat="false" ht="15" hidden="false" customHeight="true" outlineLevel="0" collapsed="false">
      <c r="A230" s="7"/>
      <c r="B230" s="7"/>
      <c r="C230" s="8"/>
      <c r="D230" s="7"/>
    </row>
    <row r="231" customFormat="false" ht="15" hidden="false" customHeight="true" outlineLevel="0" collapsed="false">
      <c r="A231" s="7"/>
      <c r="B231" s="7"/>
      <c r="C231" s="8"/>
      <c r="D231" s="7"/>
    </row>
    <row r="232" customFormat="false" ht="15" hidden="false" customHeight="true" outlineLevel="0" collapsed="false">
      <c r="A232" s="7"/>
      <c r="B232" s="7"/>
      <c r="C232" s="8"/>
      <c r="D232" s="7"/>
    </row>
    <row r="233" customFormat="false" ht="15" hidden="false" customHeight="true" outlineLevel="0" collapsed="false">
      <c r="A233" s="7"/>
      <c r="B233" s="7"/>
      <c r="C233" s="8"/>
      <c r="D233" s="7"/>
    </row>
    <row r="234" customFormat="false" ht="15" hidden="false" customHeight="true" outlineLevel="0" collapsed="false">
      <c r="A234" s="7"/>
      <c r="B234" s="7"/>
      <c r="C234" s="8"/>
      <c r="D234" s="7"/>
    </row>
    <row r="235" customFormat="false" ht="15" hidden="false" customHeight="true" outlineLevel="0" collapsed="false">
      <c r="A235" s="7"/>
      <c r="B235" s="7"/>
      <c r="C235" s="8"/>
      <c r="D235" s="7"/>
    </row>
    <row r="236" customFormat="false" ht="15" hidden="false" customHeight="true" outlineLevel="0" collapsed="false">
      <c r="A236" s="7"/>
      <c r="B236" s="7"/>
      <c r="C236" s="8"/>
      <c r="D236" s="7"/>
    </row>
    <row r="237" customFormat="false" ht="15" hidden="false" customHeight="true" outlineLevel="0" collapsed="false">
      <c r="A237" s="7"/>
      <c r="B237" s="7"/>
      <c r="C237" s="8"/>
      <c r="D237" s="7"/>
    </row>
    <row r="238" customFormat="false" ht="15" hidden="false" customHeight="true" outlineLevel="0" collapsed="false">
      <c r="A238" s="7"/>
      <c r="B238" s="7"/>
      <c r="C238" s="8"/>
      <c r="D238" s="7"/>
    </row>
    <row r="239" customFormat="false" ht="15" hidden="false" customHeight="true" outlineLevel="0" collapsed="false">
      <c r="A239" s="7"/>
      <c r="B239" s="7"/>
      <c r="C239" s="8"/>
      <c r="D239" s="7"/>
    </row>
    <row r="240" customFormat="false" ht="15" hidden="false" customHeight="true" outlineLevel="0" collapsed="false">
      <c r="A240" s="7"/>
      <c r="B240" s="7"/>
      <c r="C240" s="8"/>
      <c r="D240" s="7"/>
    </row>
    <row r="241" customFormat="false" ht="15" hidden="false" customHeight="true" outlineLevel="0" collapsed="false">
      <c r="A241" s="7"/>
      <c r="B241" s="7"/>
      <c r="C241" s="8"/>
      <c r="D241" s="7"/>
    </row>
    <row r="242" customFormat="false" ht="15" hidden="false" customHeight="true" outlineLevel="0" collapsed="false">
      <c r="A242" s="7"/>
      <c r="B242" s="7"/>
      <c r="C242" s="8"/>
      <c r="D242" s="7"/>
    </row>
    <row r="243" customFormat="false" ht="15" hidden="false" customHeight="true" outlineLevel="0" collapsed="false">
      <c r="A243" s="7"/>
      <c r="B243" s="7"/>
      <c r="C243" s="8"/>
      <c r="D243" s="7"/>
    </row>
    <row r="244" customFormat="false" ht="15" hidden="false" customHeight="true" outlineLevel="0" collapsed="false">
      <c r="A244" s="7"/>
      <c r="B244" s="7"/>
      <c r="C244" s="8"/>
      <c r="D244" s="7"/>
    </row>
    <row r="245" customFormat="false" ht="15" hidden="false" customHeight="true" outlineLevel="0" collapsed="false">
      <c r="A245" s="7"/>
      <c r="B245" s="7"/>
      <c r="C245" s="8"/>
      <c r="D245" s="7"/>
    </row>
    <row r="246" customFormat="false" ht="15" hidden="false" customHeight="true" outlineLevel="0" collapsed="false">
      <c r="A246" s="7"/>
      <c r="B246" s="7"/>
      <c r="C246" s="8"/>
      <c r="D246" s="7"/>
    </row>
    <row r="247" customFormat="false" ht="15" hidden="false" customHeight="true" outlineLevel="0" collapsed="false">
      <c r="A247" s="7"/>
      <c r="B247" s="7"/>
      <c r="C247" s="8"/>
      <c r="D247" s="7"/>
    </row>
    <row r="248" customFormat="false" ht="15" hidden="false" customHeight="true" outlineLevel="0" collapsed="false">
      <c r="A248" s="7"/>
      <c r="B248" s="7"/>
      <c r="C248" s="8"/>
      <c r="D248" s="7"/>
    </row>
    <row r="249" customFormat="false" ht="15" hidden="false" customHeight="true" outlineLevel="0" collapsed="false">
      <c r="A249" s="7"/>
      <c r="B249" s="7"/>
      <c r="C249" s="8"/>
      <c r="D249" s="7"/>
    </row>
    <row r="250" customFormat="false" ht="15" hidden="false" customHeight="true" outlineLevel="0" collapsed="false">
      <c r="A250" s="7"/>
      <c r="B250" s="7"/>
      <c r="C250" s="8"/>
      <c r="D250" s="7"/>
    </row>
    <row r="251" customFormat="false" ht="15" hidden="false" customHeight="true" outlineLevel="0" collapsed="false">
      <c r="A251" s="7"/>
      <c r="B251" s="7"/>
      <c r="C251" s="8"/>
      <c r="D251" s="7"/>
    </row>
    <row r="252" customFormat="false" ht="15" hidden="false" customHeight="true" outlineLevel="0" collapsed="false">
      <c r="A252" s="7"/>
      <c r="B252" s="7"/>
      <c r="C252" s="8"/>
      <c r="D252" s="7"/>
    </row>
    <row r="253" customFormat="false" ht="15" hidden="false" customHeight="true" outlineLevel="0" collapsed="false">
      <c r="A253" s="7"/>
      <c r="B253" s="7"/>
      <c r="C253" s="8"/>
      <c r="D253" s="7"/>
    </row>
    <row r="254" customFormat="false" ht="15" hidden="false" customHeight="true" outlineLevel="0" collapsed="false">
      <c r="A254" s="7"/>
      <c r="B254" s="7"/>
      <c r="C254" s="8"/>
      <c r="D254" s="7"/>
    </row>
    <row r="255" customFormat="false" ht="15" hidden="false" customHeight="true" outlineLevel="0" collapsed="false">
      <c r="A255" s="7"/>
      <c r="B255" s="7"/>
      <c r="C255" s="8"/>
      <c r="D255" s="7"/>
    </row>
    <row r="256" customFormat="false" ht="15" hidden="false" customHeight="true" outlineLevel="0" collapsed="false">
      <c r="A256" s="7"/>
      <c r="B256" s="7"/>
      <c r="C256" s="8"/>
      <c r="D256" s="7"/>
    </row>
    <row r="257" customFormat="false" ht="15" hidden="false" customHeight="true" outlineLevel="0" collapsed="false">
      <c r="A257" s="7"/>
      <c r="B257" s="7"/>
      <c r="C257" s="8"/>
      <c r="D257" s="7"/>
    </row>
    <row r="258" customFormat="false" ht="15" hidden="false" customHeight="true" outlineLevel="0" collapsed="false">
      <c r="A258" s="7"/>
      <c r="B258" s="7"/>
      <c r="C258" s="8"/>
      <c r="D258" s="7"/>
    </row>
    <row r="259" customFormat="false" ht="15" hidden="false" customHeight="true" outlineLevel="0" collapsed="false">
      <c r="A259" s="7"/>
      <c r="B259" s="7"/>
      <c r="C259" s="8"/>
      <c r="D259" s="7"/>
    </row>
    <row r="260" customFormat="false" ht="15" hidden="false" customHeight="true" outlineLevel="0" collapsed="false">
      <c r="A260" s="7"/>
      <c r="B260" s="7"/>
      <c r="C260" s="8"/>
      <c r="D260" s="7"/>
    </row>
    <row r="261" customFormat="false" ht="15" hidden="false" customHeight="true" outlineLevel="0" collapsed="false">
      <c r="A261" s="7"/>
      <c r="B261" s="7"/>
      <c r="C261" s="8"/>
      <c r="D261" s="7"/>
    </row>
    <row r="262" customFormat="false" ht="15" hidden="false" customHeight="true" outlineLevel="0" collapsed="false">
      <c r="A262" s="7"/>
      <c r="B262" s="7"/>
      <c r="C262" s="8"/>
      <c r="D262" s="7"/>
    </row>
    <row r="263" customFormat="false" ht="15" hidden="false" customHeight="true" outlineLevel="0" collapsed="false">
      <c r="A263" s="7"/>
      <c r="B263" s="7"/>
      <c r="C263" s="8"/>
      <c r="D263" s="7"/>
    </row>
    <row r="264" customFormat="false" ht="15" hidden="false" customHeight="true" outlineLevel="0" collapsed="false">
      <c r="A264" s="7"/>
      <c r="B264" s="7"/>
      <c r="C264" s="8"/>
      <c r="D264" s="7"/>
    </row>
    <row r="265" customFormat="false" ht="15" hidden="false" customHeight="true" outlineLevel="0" collapsed="false">
      <c r="A265" s="7"/>
      <c r="B265" s="7"/>
      <c r="C265" s="8"/>
      <c r="D265" s="7"/>
    </row>
    <row r="266" customFormat="false" ht="15" hidden="false" customHeight="true" outlineLevel="0" collapsed="false">
      <c r="A266" s="7"/>
      <c r="B266" s="7"/>
      <c r="C266" s="8"/>
      <c r="D266" s="7"/>
    </row>
    <row r="267" customFormat="false" ht="15" hidden="false" customHeight="true" outlineLevel="0" collapsed="false">
      <c r="A267" s="7"/>
      <c r="B267" s="7"/>
      <c r="C267" s="8"/>
      <c r="D267" s="7"/>
    </row>
    <row r="268" customFormat="false" ht="15" hidden="false" customHeight="true" outlineLevel="0" collapsed="false">
      <c r="A268" s="7"/>
      <c r="B268" s="7"/>
      <c r="C268" s="8"/>
      <c r="D268" s="7"/>
    </row>
    <row r="269" customFormat="false" ht="15" hidden="false" customHeight="true" outlineLevel="0" collapsed="false">
      <c r="A269" s="7"/>
      <c r="B269" s="7"/>
      <c r="C269" s="8"/>
      <c r="D269" s="7"/>
    </row>
    <row r="270" customFormat="false" ht="15" hidden="false" customHeight="true" outlineLevel="0" collapsed="false">
      <c r="A270" s="7"/>
      <c r="B270" s="7"/>
      <c r="C270" s="8"/>
      <c r="D270" s="7"/>
    </row>
    <row r="271" customFormat="false" ht="15" hidden="false" customHeight="true" outlineLevel="0" collapsed="false">
      <c r="A271" s="7"/>
      <c r="B271" s="7"/>
      <c r="C271" s="8"/>
      <c r="D271" s="7"/>
    </row>
    <row r="272" customFormat="false" ht="15" hidden="false" customHeight="true" outlineLevel="0" collapsed="false">
      <c r="A272" s="7"/>
      <c r="B272" s="7"/>
      <c r="C272" s="8"/>
      <c r="D272" s="7"/>
    </row>
    <row r="273" customFormat="false" ht="15" hidden="false" customHeight="true" outlineLevel="0" collapsed="false">
      <c r="A273" s="7"/>
      <c r="B273" s="7"/>
      <c r="C273" s="8"/>
      <c r="D273" s="7"/>
    </row>
    <row r="274" customFormat="false" ht="15" hidden="false" customHeight="true" outlineLevel="0" collapsed="false">
      <c r="A274" s="7"/>
      <c r="B274" s="7"/>
      <c r="C274" s="8"/>
      <c r="D274" s="7"/>
    </row>
    <row r="275" customFormat="false" ht="15" hidden="false" customHeight="true" outlineLevel="0" collapsed="false">
      <c r="A275" s="7"/>
      <c r="B275" s="7"/>
      <c r="C275" s="8"/>
      <c r="D275" s="7"/>
    </row>
    <row r="276" customFormat="false" ht="15" hidden="false" customHeight="true" outlineLevel="0" collapsed="false">
      <c r="A276" s="7"/>
      <c r="B276" s="7"/>
      <c r="C276" s="8"/>
      <c r="D276" s="7"/>
    </row>
    <row r="277" customFormat="false" ht="15" hidden="false" customHeight="true" outlineLevel="0" collapsed="false">
      <c r="A277" s="7"/>
      <c r="B277" s="7"/>
      <c r="C277" s="8"/>
      <c r="D277" s="7"/>
    </row>
    <row r="278" customFormat="false" ht="15" hidden="false" customHeight="true" outlineLevel="0" collapsed="false">
      <c r="A278" s="7"/>
      <c r="B278" s="7"/>
      <c r="C278" s="8"/>
      <c r="D278" s="7"/>
    </row>
    <row r="279" customFormat="false" ht="15" hidden="false" customHeight="true" outlineLevel="0" collapsed="false">
      <c r="A279" s="7"/>
      <c r="B279" s="7"/>
      <c r="C279" s="8"/>
      <c r="D279" s="7"/>
    </row>
    <row r="280" customFormat="false" ht="15" hidden="false" customHeight="true" outlineLevel="0" collapsed="false">
      <c r="A280" s="7"/>
      <c r="B280" s="7"/>
      <c r="C280" s="8"/>
      <c r="D280" s="7"/>
    </row>
    <row r="281" customFormat="false" ht="15" hidden="false" customHeight="true" outlineLevel="0" collapsed="false">
      <c r="A281" s="7"/>
      <c r="B281" s="7"/>
      <c r="C281" s="8"/>
      <c r="D281" s="7"/>
    </row>
    <row r="282" customFormat="false" ht="15" hidden="false" customHeight="true" outlineLevel="0" collapsed="false">
      <c r="A282" s="7"/>
      <c r="B282" s="7"/>
      <c r="C282" s="8"/>
      <c r="D282" s="7"/>
    </row>
    <row r="283" customFormat="false" ht="15" hidden="false" customHeight="true" outlineLevel="0" collapsed="false">
      <c r="A283" s="7"/>
      <c r="B283" s="7"/>
      <c r="C283" s="8"/>
      <c r="D283" s="7"/>
    </row>
    <row r="284" customFormat="false" ht="15" hidden="false" customHeight="true" outlineLevel="0" collapsed="false">
      <c r="A284" s="7"/>
      <c r="B284" s="7"/>
      <c r="C284" s="8"/>
      <c r="D284" s="7"/>
    </row>
    <row r="285" customFormat="false" ht="15" hidden="false" customHeight="true" outlineLevel="0" collapsed="false">
      <c r="A285" s="7"/>
      <c r="B285" s="7"/>
      <c r="C285" s="8"/>
      <c r="D285" s="7"/>
    </row>
    <row r="286" customFormat="false" ht="15" hidden="false" customHeight="true" outlineLevel="0" collapsed="false">
      <c r="A286" s="7"/>
      <c r="B286" s="7"/>
      <c r="C286" s="8"/>
      <c r="D286" s="7"/>
    </row>
    <row r="287" customFormat="false" ht="15" hidden="false" customHeight="true" outlineLevel="0" collapsed="false">
      <c r="A287" s="7"/>
      <c r="B287" s="7"/>
      <c r="C287" s="8"/>
      <c r="D287" s="7"/>
    </row>
    <row r="288" customFormat="false" ht="15" hidden="false" customHeight="true" outlineLevel="0" collapsed="false">
      <c r="A288" s="7"/>
      <c r="B288" s="7"/>
      <c r="C288" s="8"/>
      <c r="D288" s="7"/>
    </row>
    <row r="289" customFormat="false" ht="15" hidden="false" customHeight="true" outlineLevel="0" collapsed="false">
      <c r="A289" s="7"/>
      <c r="B289" s="7"/>
      <c r="C289" s="8"/>
      <c r="D289" s="7"/>
    </row>
    <row r="290" customFormat="false" ht="15" hidden="false" customHeight="true" outlineLevel="0" collapsed="false">
      <c r="A290" s="7"/>
      <c r="B290" s="7"/>
      <c r="C290" s="8"/>
      <c r="D290" s="7"/>
    </row>
    <row r="291" customFormat="false" ht="15" hidden="false" customHeight="true" outlineLevel="0" collapsed="false">
      <c r="A291" s="7"/>
      <c r="B291" s="7"/>
      <c r="C291" s="8"/>
      <c r="D291" s="7"/>
    </row>
    <row r="292" customFormat="false" ht="15" hidden="false" customHeight="true" outlineLevel="0" collapsed="false">
      <c r="A292" s="7"/>
      <c r="B292" s="7"/>
      <c r="C292" s="8"/>
      <c r="D292" s="7"/>
    </row>
    <row r="293" customFormat="false" ht="15" hidden="false" customHeight="true" outlineLevel="0" collapsed="false">
      <c r="A293" s="7"/>
      <c r="B293" s="7"/>
      <c r="C293" s="8"/>
      <c r="D293" s="7"/>
    </row>
    <row r="294" customFormat="false" ht="15" hidden="false" customHeight="true" outlineLevel="0" collapsed="false">
      <c r="A294" s="7"/>
      <c r="B294" s="7"/>
      <c r="C294" s="8"/>
      <c r="D294" s="7"/>
    </row>
    <row r="295" customFormat="false" ht="15" hidden="false" customHeight="true" outlineLevel="0" collapsed="false">
      <c r="A295" s="7"/>
      <c r="B295" s="7"/>
      <c r="C295" s="8"/>
      <c r="D295" s="7"/>
    </row>
    <row r="296" customFormat="false" ht="15" hidden="false" customHeight="true" outlineLevel="0" collapsed="false">
      <c r="A296" s="7"/>
      <c r="B296" s="7"/>
      <c r="C296" s="8"/>
      <c r="D296" s="7"/>
    </row>
    <row r="297" customFormat="false" ht="15" hidden="false" customHeight="true" outlineLevel="0" collapsed="false">
      <c r="A297" s="7"/>
      <c r="B297" s="7"/>
      <c r="C297" s="8"/>
      <c r="D297" s="7"/>
    </row>
    <row r="298" customFormat="false" ht="15" hidden="false" customHeight="true" outlineLevel="0" collapsed="false">
      <c r="A298" s="7"/>
      <c r="B298" s="7"/>
      <c r="C298" s="8"/>
      <c r="D298" s="7"/>
    </row>
    <row r="299" customFormat="false" ht="15" hidden="false" customHeight="true" outlineLevel="0" collapsed="false">
      <c r="A299" s="7"/>
      <c r="B299" s="7"/>
      <c r="C299" s="8"/>
      <c r="D299" s="7"/>
    </row>
    <row r="300" customFormat="false" ht="15" hidden="false" customHeight="true" outlineLevel="0" collapsed="false">
      <c r="A300" s="7"/>
      <c r="B300" s="7"/>
      <c r="C300" s="8"/>
      <c r="D300" s="7"/>
    </row>
    <row r="301" customFormat="false" ht="15" hidden="false" customHeight="true" outlineLevel="0" collapsed="false">
      <c r="A301" s="7"/>
      <c r="B301" s="7"/>
      <c r="C301" s="8"/>
      <c r="D301" s="7"/>
    </row>
    <row r="302" customFormat="false" ht="15" hidden="false" customHeight="true" outlineLevel="0" collapsed="false">
      <c r="A302" s="7"/>
      <c r="B302" s="7"/>
      <c r="C302" s="8"/>
      <c r="D302" s="7"/>
    </row>
    <row r="303" customFormat="false" ht="15" hidden="false" customHeight="true" outlineLevel="0" collapsed="false">
      <c r="A303" s="7"/>
      <c r="B303" s="7"/>
      <c r="C303" s="8"/>
      <c r="D303" s="7"/>
    </row>
    <row r="304" customFormat="false" ht="15" hidden="false" customHeight="true" outlineLevel="0" collapsed="false">
      <c r="A304" s="7"/>
      <c r="B304" s="7"/>
      <c r="C304" s="8"/>
      <c r="D304" s="7"/>
    </row>
    <row r="305" customFormat="false" ht="15" hidden="false" customHeight="true" outlineLevel="0" collapsed="false">
      <c r="A305" s="7"/>
      <c r="B305" s="7"/>
      <c r="C305" s="8"/>
      <c r="D305" s="7"/>
    </row>
    <row r="306" customFormat="false" ht="15" hidden="false" customHeight="true" outlineLevel="0" collapsed="false">
      <c r="A306" s="7"/>
      <c r="B306" s="7"/>
      <c r="C306" s="8"/>
      <c r="D306" s="7"/>
    </row>
    <row r="307" customFormat="false" ht="15" hidden="false" customHeight="true" outlineLevel="0" collapsed="false">
      <c r="A307" s="7"/>
      <c r="B307" s="7"/>
      <c r="C307" s="8"/>
      <c r="D307" s="7"/>
    </row>
    <row r="308" customFormat="false" ht="15" hidden="false" customHeight="true" outlineLevel="0" collapsed="false">
      <c r="A308" s="7"/>
      <c r="B308" s="7"/>
      <c r="C308" s="8"/>
      <c r="D308" s="7"/>
    </row>
    <row r="309" customFormat="false" ht="15" hidden="false" customHeight="true" outlineLevel="0" collapsed="false">
      <c r="A309" s="7"/>
      <c r="B309" s="7"/>
      <c r="C309" s="8"/>
      <c r="D309" s="7"/>
    </row>
    <row r="310" customFormat="false" ht="15" hidden="false" customHeight="true" outlineLevel="0" collapsed="false">
      <c r="A310" s="7"/>
      <c r="B310" s="7"/>
      <c r="C310" s="8"/>
      <c r="D310" s="7"/>
    </row>
    <row r="311" customFormat="false" ht="15" hidden="false" customHeight="true" outlineLevel="0" collapsed="false">
      <c r="A311" s="7"/>
      <c r="B311" s="7"/>
      <c r="C311" s="8"/>
      <c r="D311" s="7"/>
    </row>
    <row r="312" customFormat="false" ht="15" hidden="false" customHeight="true" outlineLevel="0" collapsed="false">
      <c r="A312" s="7"/>
      <c r="B312" s="7"/>
      <c r="C312" s="8"/>
      <c r="D312" s="7"/>
    </row>
    <row r="313" customFormat="false" ht="15" hidden="false" customHeight="true" outlineLevel="0" collapsed="false">
      <c r="A313" s="7"/>
      <c r="B313" s="7"/>
      <c r="C313" s="8"/>
      <c r="D313" s="7"/>
    </row>
    <row r="314" customFormat="false" ht="15" hidden="false" customHeight="true" outlineLevel="0" collapsed="false">
      <c r="A314" s="7"/>
      <c r="B314" s="7"/>
      <c r="C314" s="8"/>
      <c r="D314" s="7"/>
    </row>
    <row r="315" customFormat="false" ht="15" hidden="false" customHeight="true" outlineLevel="0" collapsed="false">
      <c r="A315" s="7"/>
      <c r="B315" s="7"/>
      <c r="C315" s="8"/>
      <c r="D315" s="7"/>
    </row>
    <row r="316" customFormat="false" ht="15" hidden="false" customHeight="true" outlineLevel="0" collapsed="false">
      <c r="A316" s="7"/>
      <c r="B316" s="7"/>
      <c r="C316" s="8"/>
      <c r="D316" s="7"/>
    </row>
    <row r="317" customFormat="false" ht="15" hidden="false" customHeight="true" outlineLevel="0" collapsed="false">
      <c r="A317" s="7"/>
      <c r="B317" s="7"/>
      <c r="C317" s="8"/>
      <c r="D317" s="7"/>
    </row>
    <row r="318" customFormat="false" ht="15" hidden="false" customHeight="true" outlineLevel="0" collapsed="false">
      <c r="A318" s="7"/>
      <c r="B318" s="7"/>
      <c r="C318" s="8"/>
      <c r="D318" s="7"/>
    </row>
    <row r="319" customFormat="false" ht="15" hidden="false" customHeight="true" outlineLevel="0" collapsed="false">
      <c r="A319" s="7"/>
      <c r="B319" s="7"/>
      <c r="C319" s="8"/>
      <c r="D319" s="7"/>
    </row>
    <row r="320" customFormat="false" ht="15" hidden="false" customHeight="true" outlineLevel="0" collapsed="false">
      <c r="A320" s="7"/>
      <c r="B320" s="7"/>
      <c r="C320" s="8"/>
      <c r="D320" s="7"/>
    </row>
    <row r="321" customFormat="false" ht="15" hidden="false" customHeight="true" outlineLevel="0" collapsed="false">
      <c r="A321" s="7"/>
      <c r="B321" s="7"/>
      <c r="C321" s="8"/>
      <c r="D321" s="7"/>
    </row>
    <row r="322" customFormat="false" ht="15" hidden="false" customHeight="true" outlineLevel="0" collapsed="false">
      <c r="A322" s="7"/>
      <c r="B322" s="7"/>
      <c r="C322" s="8"/>
      <c r="D322" s="7"/>
    </row>
    <row r="323" customFormat="false" ht="15" hidden="false" customHeight="true" outlineLevel="0" collapsed="false">
      <c r="A323" s="7"/>
      <c r="B323" s="7"/>
      <c r="C323" s="8"/>
      <c r="D323" s="7"/>
    </row>
    <row r="324" customFormat="false" ht="15" hidden="false" customHeight="true" outlineLevel="0" collapsed="false">
      <c r="A324" s="7"/>
      <c r="B324" s="7"/>
      <c r="C324" s="8"/>
      <c r="D324" s="7"/>
    </row>
    <row r="325" customFormat="false" ht="15" hidden="false" customHeight="true" outlineLevel="0" collapsed="false">
      <c r="A325" s="7"/>
      <c r="B325" s="7"/>
      <c r="C325" s="8"/>
      <c r="D325" s="7"/>
    </row>
    <row r="326" customFormat="false" ht="15" hidden="false" customHeight="true" outlineLevel="0" collapsed="false">
      <c r="A326" s="7"/>
      <c r="B326" s="7"/>
      <c r="C326" s="8"/>
      <c r="D326" s="7"/>
    </row>
    <row r="327" customFormat="false" ht="15" hidden="false" customHeight="true" outlineLevel="0" collapsed="false">
      <c r="A327" s="7"/>
      <c r="B327" s="7"/>
      <c r="C327" s="8"/>
      <c r="D327" s="7"/>
    </row>
    <row r="328" customFormat="false" ht="15" hidden="false" customHeight="true" outlineLevel="0" collapsed="false">
      <c r="A328" s="7"/>
      <c r="B328" s="7"/>
      <c r="C328" s="8"/>
      <c r="D328" s="7"/>
    </row>
    <row r="329" customFormat="false" ht="15" hidden="false" customHeight="true" outlineLevel="0" collapsed="false">
      <c r="A329" s="7"/>
      <c r="B329" s="7"/>
      <c r="C329" s="8"/>
      <c r="D329" s="7"/>
    </row>
    <row r="330" customFormat="false" ht="15" hidden="false" customHeight="true" outlineLevel="0" collapsed="false">
      <c r="A330" s="7"/>
      <c r="B330" s="7"/>
      <c r="C330" s="8"/>
      <c r="D330" s="7"/>
    </row>
    <row r="331" customFormat="false" ht="15" hidden="false" customHeight="true" outlineLevel="0" collapsed="false">
      <c r="A331" s="7"/>
      <c r="B331" s="7"/>
      <c r="C331" s="8"/>
      <c r="D331" s="7"/>
    </row>
    <row r="332" customFormat="false" ht="15" hidden="false" customHeight="true" outlineLevel="0" collapsed="false">
      <c r="A332" s="7"/>
      <c r="B332" s="7"/>
      <c r="C332" s="8"/>
      <c r="D332" s="7"/>
    </row>
    <row r="333" customFormat="false" ht="15" hidden="false" customHeight="true" outlineLevel="0" collapsed="false">
      <c r="A333" s="7"/>
      <c r="B333" s="7"/>
      <c r="C333" s="8"/>
      <c r="D333" s="7"/>
    </row>
    <row r="334" customFormat="false" ht="15" hidden="false" customHeight="true" outlineLevel="0" collapsed="false">
      <c r="A334" s="7"/>
      <c r="B334" s="7"/>
      <c r="C334" s="8"/>
      <c r="D334" s="7"/>
    </row>
    <row r="335" customFormat="false" ht="15" hidden="false" customHeight="true" outlineLevel="0" collapsed="false">
      <c r="A335" s="7"/>
      <c r="B335" s="7"/>
      <c r="C335" s="8"/>
      <c r="D335" s="7"/>
    </row>
    <row r="336" customFormat="false" ht="15" hidden="false" customHeight="true" outlineLevel="0" collapsed="false">
      <c r="A336" s="7"/>
      <c r="B336" s="7"/>
      <c r="C336" s="8"/>
      <c r="D336" s="7"/>
    </row>
    <row r="337" customFormat="false" ht="15" hidden="false" customHeight="true" outlineLevel="0" collapsed="false">
      <c r="A337" s="7"/>
      <c r="B337" s="7"/>
      <c r="C337" s="8"/>
      <c r="D337" s="7"/>
    </row>
    <row r="338" customFormat="false" ht="15" hidden="false" customHeight="true" outlineLevel="0" collapsed="false">
      <c r="A338" s="7"/>
      <c r="B338" s="7"/>
      <c r="C338" s="8"/>
      <c r="D338" s="7"/>
    </row>
    <row r="339" customFormat="false" ht="15" hidden="false" customHeight="true" outlineLevel="0" collapsed="false">
      <c r="A339" s="7"/>
      <c r="B339" s="7"/>
      <c r="C339" s="8"/>
      <c r="D339" s="7"/>
    </row>
    <row r="340" customFormat="false" ht="15" hidden="false" customHeight="true" outlineLevel="0" collapsed="false">
      <c r="A340" s="7"/>
      <c r="B340" s="7"/>
      <c r="C340" s="8"/>
      <c r="D340" s="7"/>
    </row>
    <row r="341" customFormat="false" ht="15" hidden="false" customHeight="true" outlineLevel="0" collapsed="false">
      <c r="A341" s="7"/>
      <c r="B341" s="7"/>
      <c r="C341" s="8"/>
      <c r="D341" s="7"/>
    </row>
    <row r="342" customFormat="false" ht="15" hidden="false" customHeight="true" outlineLevel="0" collapsed="false">
      <c r="A342" s="7"/>
      <c r="B342" s="7"/>
      <c r="C342" s="8"/>
      <c r="D342" s="7"/>
    </row>
    <row r="343" customFormat="false" ht="15" hidden="false" customHeight="true" outlineLevel="0" collapsed="false">
      <c r="A343" s="7"/>
      <c r="B343" s="7"/>
      <c r="C343" s="8"/>
      <c r="D343" s="7"/>
    </row>
    <row r="344" customFormat="false" ht="15" hidden="false" customHeight="true" outlineLevel="0" collapsed="false">
      <c r="A344" s="7"/>
      <c r="B344" s="7"/>
      <c r="C344" s="8"/>
      <c r="D344" s="7"/>
    </row>
    <row r="345" customFormat="false" ht="15" hidden="false" customHeight="true" outlineLevel="0" collapsed="false">
      <c r="A345" s="7"/>
      <c r="B345" s="7"/>
      <c r="C345" s="8"/>
      <c r="D345" s="7"/>
    </row>
    <row r="346" customFormat="false" ht="15" hidden="false" customHeight="true" outlineLevel="0" collapsed="false">
      <c r="A346" s="7"/>
      <c r="B346" s="7"/>
      <c r="C346" s="8"/>
      <c r="D346" s="7"/>
    </row>
    <row r="347" customFormat="false" ht="15" hidden="false" customHeight="true" outlineLevel="0" collapsed="false">
      <c r="A347" s="7"/>
      <c r="B347" s="7"/>
      <c r="C347" s="8"/>
      <c r="D347" s="7"/>
    </row>
    <row r="348" customFormat="false" ht="15" hidden="false" customHeight="true" outlineLevel="0" collapsed="false">
      <c r="A348" s="7"/>
      <c r="B348" s="7"/>
      <c r="C348" s="8"/>
      <c r="D348" s="7"/>
    </row>
    <row r="349" customFormat="false" ht="15" hidden="false" customHeight="true" outlineLevel="0" collapsed="false">
      <c r="A349" s="7"/>
      <c r="B349" s="7"/>
      <c r="C349" s="8"/>
      <c r="D349" s="7"/>
    </row>
    <row r="350" customFormat="false" ht="15" hidden="false" customHeight="true" outlineLevel="0" collapsed="false">
      <c r="A350" s="7"/>
      <c r="B350" s="7"/>
      <c r="C350" s="8"/>
      <c r="D350" s="7"/>
    </row>
    <row r="351" customFormat="false" ht="15" hidden="false" customHeight="true" outlineLevel="0" collapsed="false">
      <c r="A351" s="7"/>
      <c r="B351" s="7"/>
      <c r="C351" s="8"/>
      <c r="D351" s="7"/>
    </row>
    <row r="352" customFormat="false" ht="15" hidden="false" customHeight="true" outlineLevel="0" collapsed="false">
      <c r="A352" s="7"/>
      <c r="B352" s="7"/>
      <c r="C352" s="8"/>
      <c r="D352" s="7"/>
    </row>
    <row r="353" customFormat="false" ht="15" hidden="false" customHeight="true" outlineLevel="0" collapsed="false">
      <c r="A353" s="7"/>
      <c r="B353" s="7"/>
      <c r="C353" s="8"/>
      <c r="D353" s="7"/>
    </row>
    <row r="354" customFormat="false" ht="15" hidden="false" customHeight="true" outlineLevel="0" collapsed="false">
      <c r="A354" s="7"/>
      <c r="B354" s="7"/>
      <c r="C354" s="8"/>
      <c r="D354" s="7"/>
    </row>
    <row r="355" customFormat="false" ht="15" hidden="false" customHeight="true" outlineLevel="0" collapsed="false">
      <c r="A355" s="7"/>
      <c r="B355" s="7"/>
      <c r="C355" s="8"/>
      <c r="D355" s="7"/>
    </row>
    <row r="356" customFormat="false" ht="15" hidden="false" customHeight="true" outlineLevel="0" collapsed="false">
      <c r="A356" s="7"/>
      <c r="B356" s="7"/>
      <c r="C356" s="8"/>
      <c r="D356" s="7"/>
    </row>
    <row r="357" customFormat="false" ht="15" hidden="false" customHeight="true" outlineLevel="0" collapsed="false">
      <c r="A357" s="7"/>
      <c r="B357" s="7"/>
      <c r="C357" s="8"/>
      <c r="D357" s="7"/>
    </row>
    <row r="358" customFormat="false" ht="15" hidden="false" customHeight="true" outlineLevel="0" collapsed="false">
      <c r="A358" s="7"/>
      <c r="B358" s="7"/>
      <c r="C358" s="8"/>
      <c r="D358" s="7"/>
    </row>
    <row r="359" customFormat="false" ht="15" hidden="false" customHeight="true" outlineLevel="0" collapsed="false">
      <c r="A359" s="7"/>
      <c r="B359" s="7"/>
      <c r="C359" s="8"/>
      <c r="D359" s="7"/>
    </row>
    <row r="360" customFormat="false" ht="15" hidden="false" customHeight="true" outlineLevel="0" collapsed="false">
      <c r="A360" s="7"/>
      <c r="B360" s="7"/>
      <c r="C360" s="8"/>
      <c r="D360" s="7"/>
    </row>
    <row r="361" customFormat="false" ht="15" hidden="false" customHeight="true" outlineLevel="0" collapsed="false">
      <c r="A361" s="7"/>
      <c r="B361" s="7"/>
      <c r="C361" s="8"/>
      <c r="D361" s="7"/>
    </row>
    <row r="362" customFormat="false" ht="15" hidden="false" customHeight="true" outlineLevel="0" collapsed="false">
      <c r="A362" s="7"/>
      <c r="B362" s="7"/>
      <c r="C362" s="8"/>
      <c r="D362" s="7"/>
    </row>
    <row r="363" customFormat="false" ht="15" hidden="false" customHeight="true" outlineLevel="0" collapsed="false">
      <c r="A363" s="7"/>
      <c r="B363" s="7"/>
      <c r="C363" s="8"/>
      <c r="D363" s="7"/>
    </row>
    <row r="364" customFormat="false" ht="15" hidden="false" customHeight="true" outlineLevel="0" collapsed="false">
      <c r="A364" s="7"/>
      <c r="B364" s="7"/>
      <c r="C364" s="8"/>
      <c r="D364" s="7"/>
    </row>
    <row r="365" customFormat="false" ht="15" hidden="false" customHeight="true" outlineLevel="0" collapsed="false">
      <c r="A365" s="7"/>
      <c r="B365" s="7"/>
      <c r="C365" s="8"/>
      <c r="D365" s="7"/>
    </row>
    <row r="366" customFormat="false" ht="15" hidden="false" customHeight="true" outlineLevel="0" collapsed="false">
      <c r="A366" s="7"/>
      <c r="B366" s="7"/>
      <c r="C366" s="8"/>
      <c r="D366" s="7"/>
    </row>
    <row r="367" customFormat="false" ht="15" hidden="false" customHeight="true" outlineLevel="0" collapsed="false">
      <c r="A367" s="7"/>
      <c r="B367" s="7"/>
      <c r="C367" s="8"/>
      <c r="D367" s="7"/>
    </row>
    <row r="368" customFormat="false" ht="15" hidden="false" customHeight="true" outlineLevel="0" collapsed="false">
      <c r="A368" s="7"/>
      <c r="B368" s="7"/>
      <c r="C368" s="8"/>
      <c r="D368" s="7"/>
    </row>
    <row r="369" customFormat="false" ht="15" hidden="false" customHeight="true" outlineLevel="0" collapsed="false">
      <c r="A369" s="7"/>
      <c r="B369" s="7"/>
      <c r="C369" s="8"/>
      <c r="D369" s="7"/>
    </row>
    <row r="370" customFormat="false" ht="15" hidden="false" customHeight="true" outlineLevel="0" collapsed="false">
      <c r="A370" s="7"/>
      <c r="B370" s="7"/>
      <c r="C370" s="8"/>
      <c r="D370" s="7"/>
    </row>
    <row r="371" customFormat="false" ht="15" hidden="false" customHeight="true" outlineLevel="0" collapsed="false">
      <c r="A371" s="7"/>
      <c r="B371" s="7"/>
      <c r="C371" s="8"/>
      <c r="D371" s="7"/>
    </row>
    <row r="372" customFormat="false" ht="15" hidden="false" customHeight="true" outlineLevel="0" collapsed="false">
      <c r="A372" s="7"/>
      <c r="B372" s="7"/>
      <c r="C372" s="8"/>
      <c r="D372" s="7"/>
    </row>
    <row r="373" customFormat="false" ht="15" hidden="false" customHeight="true" outlineLevel="0" collapsed="false">
      <c r="A373" s="7"/>
      <c r="B373" s="7"/>
      <c r="C373" s="8"/>
      <c r="D373" s="7"/>
    </row>
    <row r="374" customFormat="false" ht="15" hidden="false" customHeight="true" outlineLevel="0" collapsed="false">
      <c r="A374" s="7"/>
      <c r="B374" s="7"/>
      <c r="C374" s="8"/>
      <c r="D374" s="7"/>
    </row>
    <row r="375" customFormat="false" ht="15" hidden="false" customHeight="true" outlineLevel="0" collapsed="false">
      <c r="A375" s="7"/>
      <c r="B375" s="7"/>
      <c r="C375" s="8"/>
      <c r="D375" s="7"/>
    </row>
    <row r="376" customFormat="false" ht="15" hidden="false" customHeight="true" outlineLevel="0" collapsed="false">
      <c r="A376" s="7"/>
      <c r="B376" s="7"/>
      <c r="C376" s="8"/>
      <c r="D376" s="7"/>
    </row>
    <row r="377" customFormat="false" ht="15" hidden="false" customHeight="true" outlineLevel="0" collapsed="false">
      <c r="A377" s="7"/>
      <c r="B377" s="7"/>
      <c r="C377" s="8"/>
      <c r="D377" s="7"/>
    </row>
    <row r="378" customFormat="false" ht="15" hidden="false" customHeight="true" outlineLevel="0" collapsed="false">
      <c r="A378" s="7"/>
      <c r="B378" s="7"/>
      <c r="C378" s="8"/>
      <c r="D378" s="7"/>
    </row>
    <row r="379" customFormat="false" ht="15" hidden="false" customHeight="true" outlineLevel="0" collapsed="false">
      <c r="A379" s="7"/>
      <c r="B379" s="7"/>
      <c r="C379" s="8"/>
      <c r="D379" s="7"/>
    </row>
    <row r="380" customFormat="false" ht="15" hidden="false" customHeight="true" outlineLevel="0" collapsed="false">
      <c r="A380" s="7"/>
      <c r="B380" s="7"/>
      <c r="C380" s="8"/>
      <c r="D380" s="7"/>
    </row>
    <row r="381" customFormat="false" ht="15" hidden="false" customHeight="true" outlineLevel="0" collapsed="false">
      <c r="A381" s="7"/>
      <c r="B381" s="7"/>
      <c r="C381" s="8"/>
      <c r="D381" s="7"/>
    </row>
    <row r="382" customFormat="false" ht="15" hidden="false" customHeight="true" outlineLevel="0" collapsed="false">
      <c r="A382" s="7"/>
      <c r="B382" s="7"/>
      <c r="C382" s="8"/>
      <c r="D382" s="7"/>
    </row>
    <row r="383" customFormat="false" ht="15" hidden="false" customHeight="true" outlineLevel="0" collapsed="false">
      <c r="A383" s="7"/>
      <c r="B383" s="7"/>
      <c r="C383" s="8"/>
      <c r="D383" s="7"/>
    </row>
    <row r="384" customFormat="false" ht="15" hidden="false" customHeight="true" outlineLevel="0" collapsed="false">
      <c r="A384" s="7"/>
      <c r="B384" s="7"/>
      <c r="C384" s="8"/>
      <c r="D384" s="7"/>
    </row>
    <row r="385" customFormat="false" ht="15" hidden="false" customHeight="true" outlineLevel="0" collapsed="false">
      <c r="A385" s="7"/>
      <c r="B385" s="7"/>
      <c r="C385" s="8"/>
      <c r="D385" s="7"/>
    </row>
    <row r="386" customFormat="false" ht="15" hidden="false" customHeight="true" outlineLevel="0" collapsed="false">
      <c r="A386" s="7"/>
      <c r="B386" s="7"/>
      <c r="C386" s="8"/>
      <c r="D386" s="7"/>
    </row>
    <row r="387" customFormat="false" ht="15" hidden="false" customHeight="true" outlineLevel="0" collapsed="false">
      <c r="A387" s="7"/>
      <c r="B387" s="7"/>
      <c r="C387" s="8"/>
      <c r="D387" s="7"/>
    </row>
    <row r="388" customFormat="false" ht="15" hidden="false" customHeight="true" outlineLevel="0" collapsed="false">
      <c r="A388" s="7"/>
      <c r="B388" s="7"/>
      <c r="C388" s="8"/>
      <c r="D388" s="7"/>
    </row>
    <row r="389" customFormat="false" ht="15" hidden="false" customHeight="true" outlineLevel="0" collapsed="false">
      <c r="A389" s="7"/>
      <c r="B389" s="7"/>
      <c r="C389" s="8"/>
      <c r="D389" s="7"/>
    </row>
    <row r="390" customFormat="false" ht="15" hidden="false" customHeight="true" outlineLevel="0" collapsed="false">
      <c r="A390" s="7"/>
      <c r="B390" s="7"/>
      <c r="C390" s="8"/>
      <c r="D390" s="7"/>
    </row>
    <row r="391" customFormat="false" ht="15" hidden="false" customHeight="true" outlineLevel="0" collapsed="false">
      <c r="A391" s="7"/>
      <c r="B391" s="7"/>
      <c r="C391" s="8"/>
      <c r="D391" s="7"/>
    </row>
    <row r="392" customFormat="false" ht="15" hidden="false" customHeight="true" outlineLevel="0" collapsed="false">
      <c r="A392" s="7"/>
      <c r="B392" s="7"/>
      <c r="C392" s="8"/>
      <c r="D392" s="7"/>
    </row>
    <row r="393" customFormat="false" ht="15" hidden="false" customHeight="true" outlineLevel="0" collapsed="false">
      <c r="A393" s="7"/>
      <c r="B393" s="7"/>
      <c r="C393" s="8"/>
      <c r="D393" s="7"/>
    </row>
    <row r="394" customFormat="false" ht="15" hidden="false" customHeight="true" outlineLevel="0" collapsed="false">
      <c r="A394" s="7"/>
      <c r="B394" s="7"/>
      <c r="C394" s="8"/>
      <c r="D394" s="7"/>
    </row>
    <row r="395" customFormat="false" ht="15" hidden="false" customHeight="true" outlineLevel="0" collapsed="false">
      <c r="A395" s="7"/>
      <c r="B395" s="7"/>
      <c r="C395" s="8"/>
      <c r="D395" s="7"/>
    </row>
    <row r="396" customFormat="false" ht="15" hidden="false" customHeight="true" outlineLevel="0" collapsed="false">
      <c r="A396" s="7"/>
      <c r="B396" s="7"/>
      <c r="C396" s="8"/>
      <c r="D396" s="7"/>
    </row>
    <row r="397" customFormat="false" ht="15" hidden="false" customHeight="true" outlineLevel="0" collapsed="false">
      <c r="A397" s="7"/>
      <c r="B397" s="7"/>
      <c r="C397" s="8"/>
      <c r="D397" s="7"/>
    </row>
    <row r="398" customFormat="false" ht="15" hidden="false" customHeight="true" outlineLevel="0" collapsed="false">
      <c r="A398" s="7"/>
      <c r="B398" s="7"/>
      <c r="C398" s="8"/>
      <c r="D398" s="7"/>
    </row>
    <row r="399" customFormat="false" ht="15" hidden="false" customHeight="true" outlineLevel="0" collapsed="false">
      <c r="A399" s="7"/>
      <c r="B399" s="7"/>
      <c r="C399" s="8"/>
      <c r="D399" s="7"/>
    </row>
    <row r="400" customFormat="false" ht="15" hidden="false" customHeight="true" outlineLevel="0" collapsed="false">
      <c r="A400" s="7"/>
      <c r="B400" s="7"/>
      <c r="C400" s="8"/>
      <c r="D400" s="7"/>
    </row>
    <row r="401" customFormat="false" ht="15" hidden="false" customHeight="true" outlineLevel="0" collapsed="false">
      <c r="A401" s="7"/>
      <c r="B401" s="7"/>
      <c r="C401" s="8"/>
      <c r="D401" s="7"/>
    </row>
    <row r="402" customFormat="false" ht="15" hidden="false" customHeight="true" outlineLevel="0" collapsed="false">
      <c r="A402" s="7"/>
      <c r="B402" s="7"/>
      <c r="C402" s="8"/>
      <c r="D402" s="7"/>
    </row>
    <row r="403" customFormat="false" ht="15" hidden="false" customHeight="true" outlineLevel="0" collapsed="false">
      <c r="A403" s="7"/>
      <c r="B403" s="7"/>
      <c r="C403" s="8"/>
      <c r="D403" s="7"/>
    </row>
    <row r="404" customFormat="false" ht="15" hidden="false" customHeight="true" outlineLevel="0" collapsed="false">
      <c r="A404" s="7"/>
      <c r="B404" s="7"/>
      <c r="C404" s="8"/>
      <c r="D404" s="7"/>
    </row>
    <row r="405" customFormat="false" ht="15" hidden="false" customHeight="true" outlineLevel="0" collapsed="false">
      <c r="A405" s="7"/>
      <c r="B405" s="7"/>
      <c r="C405" s="8"/>
      <c r="D405" s="7"/>
    </row>
    <row r="406" customFormat="false" ht="15" hidden="false" customHeight="true" outlineLevel="0" collapsed="false">
      <c r="A406" s="7"/>
      <c r="B406" s="7"/>
      <c r="C406" s="8"/>
      <c r="D406" s="7"/>
    </row>
    <row r="407" customFormat="false" ht="15" hidden="false" customHeight="true" outlineLevel="0" collapsed="false">
      <c r="A407" s="7"/>
      <c r="B407" s="7"/>
      <c r="C407" s="8"/>
      <c r="D407" s="7"/>
    </row>
    <row r="408" customFormat="false" ht="15" hidden="false" customHeight="true" outlineLevel="0" collapsed="false">
      <c r="A408" s="7"/>
      <c r="B408" s="7"/>
      <c r="C408" s="8"/>
      <c r="D408" s="7"/>
    </row>
    <row r="409" customFormat="false" ht="15" hidden="false" customHeight="true" outlineLevel="0" collapsed="false">
      <c r="A409" s="7"/>
      <c r="B409" s="7"/>
      <c r="C409" s="8"/>
      <c r="D409" s="7"/>
    </row>
    <row r="410" customFormat="false" ht="15" hidden="false" customHeight="true" outlineLevel="0" collapsed="false">
      <c r="A410" s="7"/>
      <c r="B410" s="7"/>
      <c r="C410" s="8"/>
      <c r="D410" s="7"/>
    </row>
    <row r="411" customFormat="false" ht="15" hidden="false" customHeight="true" outlineLevel="0" collapsed="false">
      <c r="A411" s="7"/>
      <c r="B411" s="7"/>
      <c r="C411" s="8"/>
      <c r="D411" s="7"/>
    </row>
    <row r="412" customFormat="false" ht="15" hidden="false" customHeight="true" outlineLevel="0" collapsed="false">
      <c r="A412" s="7"/>
      <c r="B412" s="7"/>
      <c r="C412" s="8"/>
      <c r="D412" s="7"/>
    </row>
    <row r="413" customFormat="false" ht="15" hidden="false" customHeight="true" outlineLevel="0" collapsed="false">
      <c r="A413" s="7"/>
      <c r="B413" s="7"/>
      <c r="C413" s="8"/>
      <c r="D413" s="7"/>
    </row>
    <row r="414" customFormat="false" ht="15" hidden="false" customHeight="true" outlineLevel="0" collapsed="false">
      <c r="A414" s="7"/>
      <c r="B414" s="7"/>
      <c r="C414" s="8"/>
      <c r="D414" s="7"/>
    </row>
    <row r="415" customFormat="false" ht="15" hidden="false" customHeight="true" outlineLevel="0" collapsed="false">
      <c r="A415" s="7"/>
      <c r="B415" s="7"/>
      <c r="C415" s="8"/>
      <c r="D415" s="7"/>
    </row>
    <row r="416" customFormat="false" ht="15" hidden="false" customHeight="true" outlineLevel="0" collapsed="false">
      <c r="A416" s="7"/>
      <c r="B416" s="7"/>
      <c r="C416" s="8"/>
      <c r="D416" s="7"/>
    </row>
    <row r="417" customFormat="false" ht="15" hidden="false" customHeight="true" outlineLevel="0" collapsed="false">
      <c r="A417" s="7"/>
      <c r="B417" s="7"/>
      <c r="C417" s="8"/>
      <c r="D417" s="7"/>
    </row>
    <row r="418" customFormat="false" ht="15" hidden="false" customHeight="true" outlineLevel="0" collapsed="false">
      <c r="A418" s="7"/>
      <c r="B418" s="7"/>
      <c r="C418" s="8"/>
      <c r="D418" s="7"/>
    </row>
    <row r="419" customFormat="false" ht="15" hidden="false" customHeight="true" outlineLevel="0" collapsed="false">
      <c r="A419" s="7"/>
      <c r="B419" s="7"/>
      <c r="C419" s="8"/>
      <c r="D419" s="7"/>
    </row>
    <row r="420" customFormat="false" ht="15" hidden="false" customHeight="true" outlineLevel="0" collapsed="false">
      <c r="A420" s="7"/>
      <c r="B420" s="7"/>
      <c r="C420" s="8"/>
      <c r="D420" s="7"/>
    </row>
    <row r="421" customFormat="false" ht="15" hidden="false" customHeight="true" outlineLevel="0" collapsed="false">
      <c r="A421" s="7"/>
      <c r="B421" s="7"/>
      <c r="C421" s="8"/>
      <c r="D421" s="7"/>
    </row>
    <row r="422" customFormat="false" ht="15" hidden="false" customHeight="true" outlineLevel="0" collapsed="false">
      <c r="A422" s="7"/>
      <c r="B422" s="7"/>
      <c r="C422" s="8"/>
      <c r="D422" s="7"/>
    </row>
    <row r="423" customFormat="false" ht="15" hidden="false" customHeight="true" outlineLevel="0" collapsed="false">
      <c r="A423" s="7"/>
      <c r="B423" s="7"/>
      <c r="C423" s="8"/>
      <c r="D423" s="7"/>
    </row>
    <row r="424" customFormat="false" ht="15" hidden="false" customHeight="true" outlineLevel="0" collapsed="false">
      <c r="A424" s="7"/>
      <c r="B424" s="7"/>
      <c r="C424" s="8"/>
      <c r="D424" s="7"/>
    </row>
    <row r="425" customFormat="false" ht="15" hidden="false" customHeight="true" outlineLevel="0" collapsed="false">
      <c r="A425" s="7"/>
      <c r="B425" s="7"/>
      <c r="C425" s="8"/>
      <c r="D425" s="7"/>
    </row>
    <row r="426" customFormat="false" ht="15" hidden="false" customHeight="true" outlineLevel="0" collapsed="false">
      <c r="A426" s="7"/>
      <c r="B426" s="7"/>
      <c r="C426" s="8"/>
      <c r="D426" s="7"/>
    </row>
    <row r="427" customFormat="false" ht="15" hidden="false" customHeight="true" outlineLevel="0" collapsed="false">
      <c r="A427" s="7"/>
      <c r="B427" s="7"/>
      <c r="C427" s="8"/>
      <c r="D427" s="7"/>
    </row>
    <row r="428" customFormat="false" ht="15" hidden="false" customHeight="true" outlineLevel="0" collapsed="false">
      <c r="A428" s="7"/>
      <c r="B428" s="7"/>
      <c r="C428" s="8"/>
      <c r="D428" s="7"/>
    </row>
    <row r="429" customFormat="false" ht="15" hidden="false" customHeight="true" outlineLevel="0" collapsed="false">
      <c r="A429" s="7"/>
      <c r="B429" s="7"/>
      <c r="C429" s="8"/>
      <c r="D429" s="7"/>
    </row>
    <row r="430" customFormat="false" ht="15" hidden="false" customHeight="true" outlineLevel="0" collapsed="false">
      <c r="A430" s="7"/>
      <c r="B430" s="7"/>
      <c r="C430" s="8"/>
      <c r="D430" s="7"/>
    </row>
    <row r="431" customFormat="false" ht="15" hidden="false" customHeight="true" outlineLevel="0" collapsed="false">
      <c r="A431" s="7"/>
      <c r="B431" s="7"/>
      <c r="C431" s="8"/>
      <c r="D431" s="7"/>
    </row>
    <row r="432" customFormat="false" ht="15" hidden="false" customHeight="true" outlineLevel="0" collapsed="false">
      <c r="A432" s="7"/>
      <c r="B432" s="7"/>
      <c r="C432" s="8"/>
      <c r="D432" s="7"/>
    </row>
    <row r="433" customFormat="false" ht="15" hidden="false" customHeight="true" outlineLevel="0" collapsed="false">
      <c r="A433" s="7"/>
      <c r="B433" s="7"/>
      <c r="C433" s="8"/>
      <c r="D433" s="7"/>
    </row>
    <row r="434" customFormat="false" ht="15" hidden="false" customHeight="true" outlineLevel="0" collapsed="false">
      <c r="A434" s="7"/>
      <c r="B434" s="7"/>
      <c r="C434" s="8"/>
      <c r="D434" s="7"/>
    </row>
    <row r="435" customFormat="false" ht="15" hidden="false" customHeight="true" outlineLevel="0" collapsed="false">
      <c r="A435" s="7"/>
      <c r="B435" s="7"/>
      <c r="C435" s="8"/>
      <c r="D435" s="7"/>
    </row>
    <row r="436" customFormat="false" ht="15" hidden="false" customHeight="true" outlineLevel="0" collapsed="false">
      <c r="A436" s="7"/>
      <c r="B436" s="7"/>
      <c r="C436" s="8"/>
      <c r="D436" s="7"/>
    </row>
    <row r="437" customFormat="false" ht="15" hidden="false" customHeight="true" outlineLevel="0" collapsed="false">
      <c r="A437" s="7"/>
      <c r="B437" s="7"/>
      <c r="C437" s="8"/>
      <c r="D437" s="7"/>
    </row>
    <row r="438" customFormat="false" ht="15" hidden="false" customHeight="true" outlineLevel="0" collapsed="false">
      <c r="A438" s="7"/>
      <c r="B438" s="7"/>
      <c r="C438" s="8"/>
      <c r="D438" s="7"/>
    </row>
    <row r="439" customFormat="false" ht="15" hidden="false" customHeight="true" outlineLevel="0" collapsed="false">
      <c r="A439" s="7"/>
      <c r="B439" s="7"/>
      <c r="C439" s="8"/>
      <c r="D439" s="7"/>
    </row>
    <row r="440" customFormat="false" ht="15" hidden="false" customHeight="true" outlineLevel="0" collapsed="false">
      <c r="A440" s="7"/>
      <c r="B440" s="7"/>
      <c r="C440" s="8"/>
      <c r="D440" s="7"/>
    </row>
    <row r="441" customFormat="false" ht="15" hidden="false" customHeight="true" outlineLevel="0" collapsed="false">
      <c r="A441" s="7"/>
      <c r="B441" s="7"/>
      <c r="C441" s="8"/>
      <c r="D441" s="7"/>
    </row>
    <row r="442" customFormat="false" ht="15" hidden="false" customHeight="true" outlineLevel="0" collapsed="false">
      <c r="A442" s="7"/>
      <c r="B442" s="7"/>
      <c r="C442" s="8"/>
      <c r="D442" s="7"/>
    </row>
    <row r="443" customFormat="false" ht="15" hidden="false" customHeight="true" outlineLevel="0" collapsed="false">
      <c r="A443" s="7"/>
      <c r="B443" s="7"/>
      <c r="C443" s="8"/>
      <c r="D443" s="7"/>
    </row>
    <row r="444" customFormat="false" ht="15" hidden="false" customHeight="true" outlineLevel="0" collapsed="false">
      <c r="A444" s="7"/>
      <c r="B444" s="7"/>
      <c r="C444" s="8"/>
      <c r="D444" s="7"/>
    </row>
    <row r="445" customFormat="false" ht="15" hidden="false" customHeight="true" outlineLevel="0" collapsed="false">
      <c r="A445" s="7"/>
      <c r="B445" s="7"/>
      <c r="C445" s="8"/>
      <c r="D445" s="7"/>
    </row>
    <row r="446" customFormat="false" ht="15" hidden="false" customHeight="true" outlineLevel="0" collapsed="false">
      <c r="A446" s="7"/>
      <c r="B446" s="7"/>
      <c r="C446" s="8"/>
      <c r="D446" s="7"/>
    </row>
    <row r="447" customFormat="false" ht="15" hidden="false" customHeight="true" outlineLevel="0" collapsed="false">
      <c r="A447" s="7"/>
      <c r="B447" s="7"/>
      <c r="C447" s="8"/>
      <c r="D447" s="7"/>
    </row>
    <row r="448" customFormat="false" ht="15" hidden="false" customHeight="true" outlineLevel="0" collapsed="false">
      <c r="A448" s="7"/>
      <c r="B448" s="7"/>
      <c r="C448" s="8"/>
      <c r="D448" s="7"/>
    </row>
    <row r="449" customFormat="false" ht="15" hidden="false" customHeight="true" outlineLevel="0" collapsed="false">
      <c r="A449" s="7"/>
      <c r="B449" s="7"/>
      <c r="C449" s="8"/>
      <c r="D449" s="7"/>
    </row>
    <row r="450" customFormat="false" ht="15" hidden="false" customHeight="true" outlineLevel="0" collapsed="false">
      <c r="A450" s="7"/>
      <c r="B450" s="7"/>
      <c r="C450" s="8"/>
      <c r="D450" s="7"/>
    </row>
    <row r="451" customFormat="false" ht="15" hidden="false" customHeight="true" outlineLevel="0" collapsed="false">
      <c r="A451" s="7"/>
      <c r="B451" s="7"/>
      <c r="C451" s="8"/>
      <c r="D451" s="7"/>
    </row>
    <row r="452" customFormat="false" ht="15" hidden="false" customHeight="true" outlineLevel="0" collapsed="false">
      <c r="A452" s="7"/>
      <c r="B452" s="7"/>
      <c r="C452" s="8"/>
      <c r="D452" s="7"/>
    </row>
    <row r="453" customFormat="false" ht="15" hidden="false" customHeight="true" outlineLevel="0" collapsed="false">
      <c r="A453" s="7"/>
      <c r="B453" s="7"/>
      <c r="C453" s="8"/>
      <c r="D453" s="7"/>
    </row>
    <row r="454" customFormat="false" ht="15" hidden="false" customHeight="true" outlineLevel="0" collapsed="false">
      <c r="A454" s="7"/>
      <c r="B454" s="7"/>
      <c r="C454" s="8"/>
      <c r="D454" s="7"/>
    </row>
    <row r="455" customFormat="false" ht="15" hidden="false" customHeight="true" outlineLevel="0" collapsed="false">
      <c r="A455" s="7"/>
      <c r="B455" s="7"/>
      <c r="C455" s="8"/>
      <c r="D455" s="7"/>
    </row>
    <row r="456" customFormat="false" ht="15" hidden="false" customHeight="true" outlineLevel="0" collapsed="false">
      <c r="A456" s="7"/>
      <c r="B456" s="7"/>
      <c r="C456" s="8"/>
      <c r="D456" s="7"/>
    </row>
    <row r="457" customFormat="false" ht="15" hidden="false" customHeight="true" outlineLevel="0" collapsed="false">
      <c r="A457" s="7"/>
      <c r="B457" s="7"/>
      <c r="C457" s="8"/>
      <c r="D457" s="7"/>
    </row>
    <row r="458" customFormat="false" ht="15" hidden="false" customHeight="true" outlineLevel="0" collapsed="false">
      <c r="A458" s="7"/>
      <c r="B458" s="7"/>
      <c r="C458" s="8"/>
      <c r="D458" s="7"/>
    </row>
    <row r="459" customFormat="false" ht="15" hidden="false" customHeight="true" outlineLevel="0" collapsed="false">
      <c r="A459" s="7"/>
      <c r="B459" s="7"/>
      <c r="C459" s="8"/>
      <c r="D459" s="7"/>
    </row>
    <row r="460" customFormat="false" ht="15" hidden="false" customHeight="true" outlineLevel="0" collapsed="false">
      <c r="A460" s="7"/>
      <c r="B460" s="7"/>
      <c r="C460" s="8"/>
      <c r="D460" s="7"/>
    </row>
    <row r="461" customFormat="false" ht="15" hidden="false" customHeight="true" outlineLevel="0" collapsed="false">
      <c r="A461" s="7"/>
      <c r="B461" s="7"/>
      <c r="C461" s="8"/>
      <c r="D461" s="7"/>
    </row>
    <row r="462" customFormat="false" ht="15" hidden="false" customHeight="true" outlineLevel="0" collapsed="false">
      <c r="A462" s="7"/>
      <c r="B462" s="7"/>
      <c r="C462" s="8"/>
      <c r="D462" s="7"/>
    </row>
    <row r="463" customFormat="false" ht="15" hidden="false" customHeight="true" outlineLevel="0" collapsed="false">
      <c r="A463" s="7"/>
      <c r="B463" s="7"/>
      <c r="C463" s="8"/>
      <c r="D463" s="7"/>
    </row>
    <row r="464" customFormat="false" ht="15" hidden="false" customHeight="true" outlineLevel="0" collapsed="false">
      <c r="A464" s="7"/>
      <c r="B464" s="7"/>
      <c r="C464" s="8"/>
      <c r="D464" s="7"/>
    </row>
    <row r="465" customFormat="false" ht="15" hidden="false" customHeight="true" outlineLevel="0" collapsed="false">
      <c r="A465" s="7"/>
      <c r="B465" s="7"/>
      <c r="C465" s="8"/>
      <c r="D465" s="7"/>
    </row>
    <row r="466" customFormat="false" ht="15" hidden="false" customHeight="true" outlineLevel="0" collapsed="false">
      <c r="A466" s="7"/>
      <c r="B466" s="7"/>
      <c r="C466" s="8"/>
      <c r="D466" s="7"/>
    </row>
    <row r="467" customFormat="false" ht="15" hidden="false" customHeight="true" outlineLevel="0" collapsed="false">
      <c r="A467" s="7"/>
      <c r="B467" s="7"/>
      <c r="C467" s="8"/>
      <c r="D467" s="7"/>
    </row>
    <row r="468" customFormat="false" ht="15" hidden="false" customHeight="true" outlineLevel="0" collapsed="false">
      <c r="A468" s="7"/>
      <c r="B468" s="7"/>
      <c r="C468" s="8"/>
      <c r="D468" s="7"/>
    </row>
    <row r="469" customFormat="false" ht="15" hidden="false" customHeight="true" outlineLevel="0" collapsed="false">
      <c r="A469" s="7"/>
      <c r="B469" s="7"/>
      <c r="C469" s="8"/>
      <c r="D469" s="7"/>
    </row>
    <row r="470" customFormat="false" ht="15" hidden="false" customHeight="true" outlineLevel="0" collapsed="false">
      <c r="A470" s="7"/>
      <c r="B470" s="7"/>
      <c r="C470" s="8"/>
      <c r="D470" s="7"/>
    </row>
    <row r="471" customFormat="false" ht="15" hidden="false" customHeight="true" outlineLevel="0" collapsed="false">
      <c r="A471" s="7"/>
      <c r="B471" s="7"/>
      <c r="C471" s="8"/>
      <c r="D471" s="7"/>
    </row>
    <row r="472" customFormat="false" ht="15" hidden="false" customHeight="true" outlineLevel="0" collapsed="false">
      <c r="A472" s="7"/>
      <c r="B472" s="7"/>
      <c r="C472" s="8"/>
      <c r="D472" s="7"/>
    </row>
    <row r="473" customFormat="false" ht="15" hidden="false" customHeight="true" outlineLevel="0" collapsed="false">
      <c r="A473" s="7"/>
      <c r="B473" s="7"/>
      <c r="C473" s="8"/>
      <c r="D473" s="7"/>
    </row>
    <row r="474" customFormat="false" ht="15" hidden="false" customHeight="true" outlineLevel="0" collapsed="false">
      <c r="A474" s="7"/>
      <c r="B474" s="7"/>
      <c r="C474" s="8"/>
      <c r="D474" s="7"/>
    </row>
    <row r="475" customFormat="false" ht="15" hidden="false" customHeight="true" outlineLevel="0" collapsed="false">
      <c r="A475" s="7"/>
      <c r="B475" s="7"/>
      <c r="C475" s="8"/>
      <c r="D475" s="7"/>
    </row>
    <row r="476" customFormat="false" ht="15" hidden="false" customHeight="true" outlineLevel="0" collapsed="false">
      <c r="A476" s="7"/>
      <c r="B476" s="7"/>
      <c r="C476" s="8"/>
      <c r="D476" s="7"/>
    </row>
    <row r="477" customFormat="false" ht="15" hidden="false" customHeight="true" outlineLevel="0" collapsed="false">
      <c r="A477" s="7"/>
      <c r="B477" s="7"/>
      <c r="C477" s="8"/>
      <c r="D477" s="7"/>
    </row>
    <row r="478" customFormat="false" ht="15" hidden="false" customHeight="true" outlineLevel="0" collapsed="false">
      <c r="A478" s="7"/>
      <c r="B478" s="7"/>
      <c r="C478" s="8"/>
      <c r="D478" s="7"/>
    </row>
    <row r="479" customFormat="false" ht="15" hidden="false" customHeight="true" outlineLevel="0" collapsed="false">
      <c r="A479" s="7"/>
      <c r="B479" s="7"/>
      <c r="C479" s="8"/>
      <c r="D479" s="7"/>
    </row>
    <row r="480" customFormat="false" ht="15" hidden="false" customHeight="true" outlineLevel="0" collapsed="false">
      <c r="A480" s="7"/>
      <c r="B480" s="7"/>
      <c r="C480" s="8"/>
      <c r="D480" s="7"/>
    </row>
    <row r="481" customFormat="false" ht="15" hidden="false" customHeight="true" outlineLevel="0" collapsed="false">
      <c r="A481" s="7"/>
      <c r="B481" s="7"/>
      <c r="C481" s="8"/>
      <c r="D481" s="7"/>
    </row>
    <row r="482" customFormat="false" ht="15" hidden="false" customHeight="true" outlineLevel="0" collapsed="false">
      <c r="A482" s="7"/>
      <c r="B482" s="7"/>
      <c r="C482" s="8"/>
      <c r="D482" s="7"/>
    </row>
    <row r="483" customFormat="false" ht="15" hidden="false" customHeight="true" outlineLevel="0" collapsed="false">
      <c r="A483" s="7"/>
      <c r="B483" s="7"/>
      <c r="C483" s="8"/>
      <c r="D483" s="7"/>
    </row>
    <row r="484" customFormat="false" ht="15" hidden="false" customHeight="true" outlineLevel="0" collapsed="false">
      <c r="A484" s="7"/>
      <c r="B484" s="7"/>
      <c r="C484" s="8"/>
      <c r="D484" s="7"/>
    </row>
    <row r="485" customFormat="false" ht="15" hidden="false" customHeight="true" outlineLevel="0" collapsed="false">
      <c r="A485" s="7"/>
      <c r="B485" s="7"/>
      <c r="C485" s="8"/>
      <c r="D485" s="7"/>
    </row>
    <row r="486" customFormat="false" ht="15" hidden="false" customHeight="true" outlineLevel="0" collapsed="false">
      <c r="A486" s="7"/>
      <c r="B486" s="7"/>
      <c r="C486" s="8"/>
      <c r="D486" s="7"/>
    </row>
    <row r="487" customFormat="false" ht="15" hidden="false" customHeight="true" outlineLevel="0" collapsed="false">
      <c r="A487" s="7"/>
      <c r="B487" s="7"/>
      <c r="C487" s="8"/>
      <c r="D487" s="7"/>
    </row>
    <row r="488" customFormat="false" ht="15" hidden="false" customHeight="true" outlineLevel="0" collapsed="false">
      <c r="A488" s="7"/>
      <c r="B488" s="7"/>
      <c r="C488" s="8"/>
      <c r="D488" s="7"/>
    </row>
    <row r="489" customFormat="false" ht="15" hidden="false" customHeight="true" outlineLevel="0" collapsed="false">
      <c r="A489" s="7"/>
      <c r="B489" s="7"/>
      <c r="C489" s="8"/>
      <c r="D489" s="7"/>
    </row>
    <row r="490" customFormat="false" ht="15" hidden="false" customHeight="true" outlineLevel="0" collapsed="false">
      <c r="A490" s="7"/>
      <c r="B490" s="7"/>
      <c r="C490" s="8"/>
      <c r="D490" s="7"/>
    </row>
    <row r="491" customFormat="false" ht="15" hidden="false" customHeight="true" outlineLevel="0" collapsed="false">
      <c r="A491" s="7"/>
      <c r="B491" s="7"/>
      <c r="C491" s="8"/>
      <c r="D491" s="7"/>
    </row>
    <row r="492" customFormat="false" ht="15" hidden="false" customHeight="true" outlineLevel="0" collapsed="false">
      <c r="A492" s="7"/>
      <c r="B492" s="7"/>
      <c r="C492" s="8"/>
      <c r="D492" s="7"/>
    </row>
    <row r="493" customFormat="false" ht="15" hidden="false" customHeight="true" outlineLevel="0" collapsed="false">
      <c r="A493" s="7"/>
      <c r="B493" s="7"/>
      <c r="C493" s="8"/>
      <c r="D493" s="7"/>
    </row>
    <row r="494" customFormat="false" ht="15" hidden="false" customHeight="true" outlineLevel="0" collapsed="false">
      <c r="A494" s="7"/>
      <c r="B494" s="7"/>
      <c r="C494" s="8"/>
      <c r="D494" s="7"/>
    </row>
    <row r="495" customFormat="false" ht="15" hidden="false" customHeight="true" outlineLevel="0" collapsed="false">
      <c r="A495" s="7"/>
      <c r="B495" s="7"/>
      <c r="C495" s="8"/>
      <c r="D495" s="7"/>
    </row>
    <row r="496" customFormat="false" ht="15" hidden="false" customHeight="true" outlineLevel="0" collapsed="false">
      <c r="A496" s="7"/>
      <c r="B496" s="7"/>
      <c r="C496" s="8"/>
      <c r="D496" s="7"/>
    </row>
    <row r="497" customFormat="false" ht="15" hidden="false" customHeight="true" outlineLevel="0" collapsed="false">
      <c r="A497" s="7"/>
      <c r="B497" s="7"/>
      <c r="C497" s="8"/>
      <c r="D497" s="7"/>
    </row>
    <row r="498" customFormat="false" ht="15" hidden="false" customHeight="true" outlineLevel="0" collapsed="false">
      <c r="A498" s="7"/>
      <c r="B498" s="7"/>
      <c r="C498" s="8"/>
      <c r="D498" s="7"/>
    </row>
    <row r="499" customFormat="false" ht="15" hidden="false" customHeight="true" outlineLevel="0" collapsed="false">
      <c r="A499" s="7"/>
      <c r="B499" s="7"/>
      <c r="C499" s="8"/>
      <c r="D499" s="7"/>
    </row>
    <row r="500" customFormat="false" ht="15" hidden="false" customHeight="true" outlineLevel="0" collapsed="false">
      <c r="A500" s="7"/>
      <c r="B500" s="7"/>
      <c r="C500" s="8"/>
      <c r="D500" s="7"/>
    </row>
    <row r="501" customFormat="false" ht="15" hidden="false" customHeight="true" outlineLevel="0" collapsed="false">
      <c r="A501" s="7"/>
      <c r="B501" s="7"/>
      <c r="C501" s="8"/>
      <c r="D501" s="7"/>
    </row>
    <row r="502" customFormat="false" ht="15" hidden="false" customHeight="true" outlineLevel="0" collapsed="false">
      <c r="A502" s="7"/>
      <c r="B502" s="7"/>
      <c r="C502" s="8"/>
      <c r="D502" s="7"/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C3:C502" type="list">
      <formula1>"일반,단골,블랙"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17"/>
    <col collapsed="false" customWidth="true" hidden="false" outlineLevel="0" max="8" min="6" style="1" width="14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26"/>
    <col collapsed="false" customWidth="true" hidden="false" outlineLevel="0" max="13" min="12" style="1" width="15"/>
    <col collapsed="false" customWidth="true" hidden="false" outlineLevel="0" max="14" min="14" style="1" width="12"/>
  </cols>
  <sheetData>
    <row r="1" customFormat="false" ht="25.5" hidden="false" customHeight="true" outlineLevel="0" collapsed="false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1.5" hidden="false" customHeight="true" outlineLevel="0" collapsed="false">
      <c r="A2" s="6" t="s">
        <v>50</v>
      </c>
      <c r="B2" s="6" t="s">
        <v>25</v>
      </c>
      <c r="C2" s="10" t="s">
        <v>51</v>
      </c>
      <c r="D2" s="6" t="s">
        <v>41</v>
      </c>
      <c r="E2" s="10" t="s">
        <v>52</v>
      </c>
      <c r="F2" s="6" t="s">
        <v>53</v>
      </c>
      <c r="G2" s="6" t="s">
        <v>54</v>
      </c>
      <c r="H2" s="10" t="s">
        <v>55</v>
      </c>
      <c r="I2" s="6" t="s">
        <v>56</v>
      </c>
      <c r="J2" s="6" t="s">
        <v>57</v>
      </c>
      <c r="K2" s="6" t="s">
        <v>58</v>
      </c>
      <c r="L2" s="10" t="s">
        <v>59</v>
      </c>
      <c r="M2" s="10" t="s">
        <v>60</v>
      </c>
      <c r="N2" s="10" t="s">
        <v>61</v>
      </c>
    </row>
    <row r="3" customFormat="false" ht="15" hidden="false" customHeight="true" outlineLevel="0" collapsed="false">
      <c r="A3" s="11" t="n">
        <v>46279</v>
      </c>
      <c r="B3" s="7" t="inlineStr">
        <is>
          <t>R01</t>
        </is>
      </c>
      <c r="C3" s="12" t="str">
        <f aca="false">IF($B3="","",IFERROR(INDEX(자원목록!$B$3:$B$102,MATCH($B3,자원목록!$A$3:$A$102,0)),"미등록자원"))</f>
        <v>1번 방</v>
      </c>
      <c r="D3" s="7" t="inlineStr">
        <is>
          <t>김고객</t>
        </is>
      </c>
      <c r="E3" s="12" t="str">
        <f aca="false">IF($D3="","",IFERROR(INDEX(고객목록!$B$3:$B$502,MATCH($D3,고객목록!$A$3:$A$502,0)),""))</f>
        <v>010-0000-0001</v>
      </c>
      <c r="F3" s="13" t="n">
        <v>1000</v>
      </c>
      <c r="G3" s="13" t="n">
        <v>1200</v>
      </c>
      <c r="H3" s="14" t="n">
        <f aca="false">IF(OR($L3="",$M3=""),"",ROUND(($M3-$L3)/60,2))</f>
        <v>2</v>
      </c>
      <c r="I3" s="9" t="n">
        <v>4</v>
      </c>
      <c r="J3" s="7" t="inlineStr">
        <is>
          <t>완료</t>
        </is>
      </c>
      <c r="K3" s="7" t="inlineStr">
        <is>
          <t>← 예시 행입니다. 지우고 쓰세요.</t>
        </is>
      </c>
      <c r="L3" s="15" t="n">
        <f aca="false">IF($F3="","",IF($F3&lt;1,ROUND($F3*1440,0),INT($F3/100)*60+MOD($F3,100)))</f>
        <v>600</v>
      </c>
      <c r="M3" s="15" t="n">
        <f aca="false">IF($G3="","",IF($G3&lt;1,ROUND($G3*1440,0),INT($G3/100)*60+MOD($G3,100)))</f>
        <v>720</v>
      </c>
      <c r="N3" s="15" t="str">
        <f aca="false">IF(OR($A3="",$B3="",$L3="",$M3="",$J3="취소"),"",IF(SUMPRODUCT(($A$3:$A$2002=$A3)*($B$3:$B$2002=$B3)*($J$3:$J$2002&lt;&gt;"취소")*($L$3:$L$2002&lt;&gt;"")*($M$3:$M$2002&lt;&gt;"")*($L$3:$L$2002&lt;$M3)*($M$3:$M$2002&gt;$L3))&gt;1,"중복","-"))</f>
        <v>중복</v>
      </c>
    </row>
    <row r="4" customFormat="false" ht="15" hidden="false" customHeight="true" outlineLevel="0" collapsed="false">
      <c r="A4" s="11" t="n">
        <v>46279</v>
      </c>
      <c r="B4" s="7" t="inlineStr">
        <is>
          <t>R02</t>
        </is>
      </c>
      <c r="C4" s="12" t="str">
        <f aca="false">IF($B4="","",IFERROR(INDEX(자원목록!$B$3:$B$102,MATCH($B4,자원목록!$A$3:$A$102,0)),"미등록자원"))</f>
        <v>2번 방</v>
      </c>
      <c r="D4" s="7" t="inlineStr">
        <is>
          <t>이고객</t>
        </is>
      </c>
      <c r="E4" s="12" t="str">
        <f aca="false">IF($D4="","",IFERROR(INDEX(고객목록!$B$3:$B$502,MATCH($D4,고객목록!$A$3:$A$502,0)),""))</f>
        <v>010-0000-0002</v>
      </c>
      <c r="F4" s="13" t="n">
        <v>1300</v>
      </c>
      <c r="G4" s="13" t="n">
        <v>1500</v>
      </c>
      <c r="H4" s="14" t="n">
        <f aca="false">IF(OR($L4="",$M4=""),"",ROUND(($M4-$L4)/60,2))</f>
        <v>2</v>
      </c>
      <c r="I4" s="9" t="n">
        <v>6</v>
      </c>
      <c r="J4" s="7" t="inlineStr">
        <is>
          <t>예약</t>
        </is>
      </c>
      <c r="K4" s="7"/>
      <c r="L4" s="15" t="n">
        <f aca="false">IF($F4="","",IF($F4&lt;1,ROUND($F4*1440,0),INT($F4/100)*60+MOD($F4,100)))</f>
        <v>780</v>
      </c>
      <c r="M4" s="15" t="n">
        <f aca="false">IF($G4="","",IF($G4&lt;1,ROUND($G4*1440,0),INT($G4/100)*60+MOD($G4,100)))</f>
        <v>900</v>
      </c>
      <c r="N4" s="15" t="str">
        <f aca="false">IF(OR($A4="",$B4="",$L4="",$M4="",$J4="취소"),"",IF(SUMPRODUCT(($A$3:$A$2002=$A4)*($B$3:$B$2002=$B4)*($J$3:$J$2002&lt;&gt;"취소")*($L$3:$L$2002&lt;&gt;"")*($M$3:$M$2002&lt;&gt;"")*($L$3:$L$2002&lt;$M4)*($M$3:$M$2002&gt;$L4))&gt;1,"중복","-"))</f>
        <v>-</v>
      </c>
    </row>
    <row r="5" customFormat="false" ht="15" hidden="false" customHeight="true" outlineLevel="0" collapsed="false">
      <c r="A5" s="11" t="n">
        <v>46279</v>
      </c>
      <c r="B5" s="7" t="inlineStr">
        <is>
          <t>R03</t>
        </is>
      </c>
      <c r="C5" s="12" t="str">
        <f aca="false">IF($B5="","",IFERROR(INDEX(자원목록!$B$3:$B$102,MATCH($B5,자원목록!$A$3:$A$102,0)),"미등록자원"))</f>
        <v>세미나실</v>
      </c>
      <c r="D5" s="7" t="inlineStr">
        <is>
          <t>김고객</t>
        </is>
      </c>
      <c r="E5" s="12" t="str">
        <f aca="false">IF($D5="","",IFERROR(INDEX(고객목록!$B$3:$B$502,MATCH($D5,고객목록!$A$3:$A$502,0)),""))</f>
        <v>010-0000-0001</v>
      </c>
      <c r="F5" s="13" t="n">
        <v>1400</v>
      </c>
      <c r="G5" s="13" t="n">
        <v>1700</v>
      </c>
      <c r="H5" s="14" t="n">
        <f aca="false">IF(OR($L5="",$M5=""),"",ROUND(($M5-$L5)/60,2))</f>
        <v>3</v>
      </c>
      <c r="I5" s="9" t="n">
        <v>15</v>
      </c>
      <c r="J5" s="7" t="inlineStr">
        <is>
          <t>예약</t>
        </is>
      </c>
      <c r="K5" s="7"/>
      <c r="L5" s="15" t="n">
        <f aca="false">IF($F5="","",IF($F5&lt;1,ROUND($F5*1440,0),INT($F5/100)*60+MOD($F5,100)))</f>
        <v>840</v>
      </c>
      <c r="M5" s="15" t="n">
        <f aca="false">IF($G5="","",IF($G5&lt;1,ROUND($G5*1440,0),INT($G5/100)*60+MOD($G5,100)))</f>
        <v>1020</v>
      </c>
      <c r="N5" s="15" t="str">
        <f aca="false">IF(OR($A5="",$B5="",$L5="",$M5="",$J5="취소"),"",IF(SUMPRODUCT(($A$3:$A$2002=$A5)*($B$3:$B$2002=$B5)*($J$3:$J$2002&lt;&gt;"취소")*($L$3:$L$2002&lt;&gt;"")*($M$3:$M$2002&lt;&gt;"")*($L$3:$L$2002&lt;$M5)*($M$3:$M$2002&gt;$L5))&gt;1,"중복","-"))</f>
        <v>-</v>
      </c>
    </row>
    <row r="6" customFormat="false" ht="15" hidden="false" customHeight="true" outlineLevel="0" collapsed="false">
      <c r="A6" s="11" t="n">
        <v>46279</v>
      </c>
      <c r="B6" s="7" t="inlineStr">
        <is>
          <t>R01</t>
        </is>
      </c>
      <c r="C6" s="12" t="str">
        <f aca="false">IF($B6="","",IFERROR(INDEX(자원목록!$B$3:$B$102,MATCH($B6,자원목록!$A$3:$A$102,0)),"미등록자원"))</f>
        <v>1번 방</v>
      </c>
      <c r="D6" s="7" t="inlineStr">
        <is>
          <t>이고객</t>
        </is>
      </c>
      <c r="E6" s="12" t="str">
        <f aca="false">IF($D6="","",IFERROR(INDEX(고객목록!$B$3:$B$502,MATCH($D6,고객목록!$A$3:$A$502,0)),""))</f>
        <v>010-0000-0002</v>
      </c>
      <c r="F6" s="13" t="n">
        <v>1130</v>
      </c>
      <c r="G6" s="13" t="n">
        <v>1300</v>
      </c>
      <c r="H6" s="14" t="n">
        <f aca="false">IF(OR($L6="",$M6=""),"",ROUND(($M6-$L6)/60,2))</f>
        <v>1.5</v>
      </c>
      <c r="I6" s="9" t="n">
        <v>3</v>
      </c>
      <c r="J6" s="7" t="inlineStr">
        <is>
          <t>예약</t>
        </is>
      </c>
      <c r="K6" s="7" t="inlineStr">
        <is>
          <t>시간이 겹칩니다</t>
        </is>
      </c>
      <c r="L6" s="15" t="n">
        <f aca="false">IF($F6="","",IF($F6&lt;1,ROUND($F6*1440,0),INT($F6/100)*60+MOD($F6,100)))</f>
        <v>690</v>
      </c>
      <c r="M6" s="15" t="n">
        <f aca="false">IF($G6="","",IF($G6&lt;1,ROUND($G6*1440,0),INT($G6/100)*60+MOD($G6,100)))</f>
        <v>780</v>
      </c>
      <c r="N6" s="15" t="str">
        <f aca="false">IF(OR($A6="",$B6="",$L6="",$M6="",$J6="취소"),"",IF(SUMPRODUCT(($A$3:$A$2002=$A6)*($B$3:$B$2002=$B6)*($J$3:$J$2002&lt;&gt;"취소")*($L$3:$L$2002&lt;&gt;"")*($M$3:$M$2002&lt;&gt;"")*($L$3:$L$2002&lt;$M6)*($M$3:$M$2002&gt;$L6))&gt;1,"중복","-"))</f>
        <v>중복</v>
      </c>
    </row>
    <row r="7" customFormat="false" ht="15" hidden="false" customHeight="true" outlineLevel="0" collapsed="false">
      <c r="A7" s="11" t="n">
        <v>46280</v>
      </c>
      <c r="B7" s="7" t="inlineStr">
        <is>
          <t>R01</t>
        </is>
      </c>
      <c r="C7" s="12" t="str">
        <f aca="false">IF($B7="","",IFERROR(INDEX(자원목록!$B$3:$B$102,MATCH($B7,자원목록!$A$3:$A$102,0)),"미등록자원"))</f>
        <v>1번 방</v>
      </c>
      <c r="D7" s="7" t="inlineStr">
        <is>
          <t>김고객</t>
        </is>
      </c>
      <c r="E7" s="12" t="str">
        <f aca="false">IF($D7="","",IFERROR(INDEX(고객목록!$B$3:$B$502,MATCH($D7,고객목록!$A$3:$A$502,0)),""))</f>
        <v>010-0000-0001</v>
      </c>
      <c r="F7" s="13" t="n">
        <v>900</v>
      </c>
      <c r="G7" s="13" t="n">
        <v>1100</v>
      </c>
      <c r="H7" s="14" t="n">
        <f aca="false">IF(OR($L7="",$M7=""),"",ROUND(($M7-$L7)/60,2))</f>
        <v>2</v>
      </c>
      <c r="I7" s="9" t="n">
        <v>4</v>
      </c>
      <c r="J7" s="7" t="inlineStr">
        <is>
          <t>예약</t>
        </is>
      </c>
      <c r="K7" s="7"/>
      <c r="L7" s="15" t="n">
        <f aca="false">IF($F7="","",IF($F7&lt;1,ROUND($F7*1440,0),INT($F7/100)*60+MOD($F7,100)))</f>
        <v>540</v>
      </c>
      <c r="M7" s="15" t="n">
        <f aca="false">IF($G7="","",IF($G7&lt;1,ROUND($G7*1440,0),INT($G7/100)*60+MOD($G7,100)))</f>
        <v>660</v>
      </c>
      <c r="N7" s="15" t="str">
        <f aca="false">IF(OR($A7="",$B7="",$L7="",$M7="",$J7="취소"),"",IF(SUMPRODUCT(($A$3:$A$2002=$A7)*($B$3:$B$2002=$B7)*($J$3:$J$2002&lt;&gt;"취소")*($L$3:$L$2002&lt;&gt;"")*($M$3:$M$2002&lt;&gt;"")*($L$3:$L$2002&lt;$M7)*($M$3:$M$2002&gt;$L7))&gt;1,"중복","-"))</f>
        <v>-</v>
      </c>
    </row>
    <row r="8" customFormat="false" ht="15" hidden="false" customHeight="true" outlineLevel="0" collapsed="false">
      <c r="A8" s="11" t="n">
        <v>46280</v>
      </c>
      <c r="B8" s="7" t="inlineStr">
        <is>
          <t>E01</t>
        </is>
      </c>
      <c r="C8" s="12" t="str">
        <f aca="false">IF($B8="","",IFERROR(INDEX(자원목록!$B$3:$B$102,MATCH($B8,자원목록!$A$3:$A$102,0)),"미등록자원"))</f>
        <v>빔프로젝터</v>
      </c>
      <c r="D8" s="7" t="inlineStr">
        <is>
          <t>이고객</t>
        </is>
      </c>
      <c r="E8" s="12" t="str">
        <f aca="false">IF($D8="","",IFERROR(INDEX(고객목록!$B$3:$B$502,MATCH($D8,고객목록!$A$3:$A$502,0)),""))</f>
        <v>010-0000-0002</v>
      </c>
      <c r="F8" s="13" t="n">
        <v>1400</v>
      </c>
      <c r="G8" s="13" t="n">
        <v>1600</v>
      </c>
      <c r="H8" s="14" t="n">
        <f aca="false">IF(OR($L8="",$M8=""),"",ROUND(($M8-$L8)/60,2))</f>
        <v>2</v>
      </c>
      <c r="I8" s="9" t="n">
        <v>1</v>
      </c>
      <c r="J8" s="7" t="inlineStr">
        <is>
          <t>예약</t>
        </is>
      </c>
      <c r="K8" s="7"/>
      <c r="L8" s="15" t="n">
        <f aca="false">IF($F8="","",IF($F8&lt;1,ROUND($F8*1440,0),INT($F8/100)*60+MOD($F8,100)))</f>
        <v>840</v>
      </c>
      <c r="M8" s="15" t="n">
        <f aca="false">IF($G8="","",IF($G8&lt;1,ROUND($G8*1440,0),INT($G8/100)*60+MOD($G8,100)))</f>
        <v>960</v>
      </c>
      <c r="N8" s="15" t="str">
        <f aca="false">IF(OR($A8="",$B8="",$L8="",$M8="",$J8="취소"),"",IF(SUMPRODUCT(($A$3:$A$2002=$A8)*($B$3:$B$2002=$B8)*($J$3:$J$2002&lt;&gt;"취소")*($L$3:$L$2002&lt;&gt;"")*($M$3:$M$2002&lt;&gt;"")*($L$3:$L$2002&lt;$M8)*($M$3:$M$2002&gt;$L8))&gt;1,"중복","-"))</f>
        <v>-</v>
      </c>
    </row>
    <row r="9" customFormat="false" ht="15" hidden="false" customHeight="true" outlineLevel="0" collapsed="false">
      <c r="A9" s="11" t="n">
        <v>46275</v>
      </c>
      <c r="B9" s="7" t="inlineStr">
        <is>
          <t>R02</t>
        </is>
      </c>
      <c r="C9" s="12" t="str">
        <f aca="false">IF($B9="","",IFERROR(INDEX(자원목록!$B$3:$B$102,MATCH($B9,자원목록!$A$3:$A$102,0)),"미등록자원"))</f>
        <v>2번 방</v>
      </c>
      <c r="D9" s="7" t="inlineStr">
        <is>
          <t>김고객</t>
        </is>
      </c>
      <c r="E9" s="12" t="str">
        <f aca="false">IF($D9="","",IFERROR(INDEX(고객목록!$B$3:$B$502,MATCH($D9,고객목록!$A$3:$A$502,0)),""))</f>
        <v>010-0000-0001</v>
      </c>
      <c r="F9" s="13" t="n">
        <v>1000</v>
      </c>
      <c r="G9" s="13" t="n">
        <v>1200</v>
      </c>
      <c r="H9" s="14" t="n">
        <f aca="false">IF(OR($L9="",$M9=""),"",ROUND(($M9-$L9)/60,2))</f>
        <v>2</v>
      </c>
      <c r="I9" s="9" t="n">
        <v>5</v>
      </c>
      <c r="J9" s="7" t="inlineStr">
        <is>
          <t>취소</t>
        </is>
      </c>
      <c r="K9" s="7"/>
      <c r="L9" s="15" t="n">
        <f aca="false">IF($F9="","",IF($F9&lt;1,ROUND($F9*1440,0),INT($F9/100)*60+MOD($F9,100)))</f>
        <v>600</v>
      </c>
      <c r="M9" s="15" t="n">
        <f aca="false">IF($G9="","",IF($G9&lt;1,ROUND($G9*1440,0),INT($G9/100)*60+MOD($G9,100)))</f>
        <v>720</v>
      </c>
      <c r="N9" s="15" t="str">
        <f aca="false">IF(OR($A9="",$B9="",$L9="",$M9="",$J9="취소"),"",IF(SUMPRODUCT(($A$3:$A$2002=$A9)*($B$3:$B$2002=$B9)*($J$3:$J$2002&lt;&gt;"취소")*($L$3:$L$2002&lt;&gt;"")*($M$3:$M$2002&lt;&gt;"")*($L$3:$L$2002&lt;$M9)*($M$3:$M$2002&gt;$L9))&gt;1,"중복","-"))</f>
        <v/>
      </c>
    </row>
    <row r="10" customFormat="false" ht="15" hidden="false" customHeight="true" outlineLevel="0" collapsed="false">
      <c r="A10" s="11" t="n">
        <v>46277</v>
      </c>
      <c r="B10" s="7" t="inlineStr">
        <is>
          <t>R03</t>
        </is>
      </c>
      <c r="C10" s="12" t="str">
        <f aca="false">IF($B10="","",IFERROR(INDEX(자원목록!$B$3:$B$102,MATCH($B10,자원목록!$A$3:$A$102,0)),"미등록자원"))</f>
        <v>세미나실</v>
      </c>
      <c r="D10" s="7" t="inlineStr">
        <is>
          <t>이고객</t>
        </is>
      </c>
      <c r="E10" s="12" t="str">
        <f aca="false">IF($D10="","",IFERROR(INDEX(고객목록!$B$3:$B$502,MATCH($D10,고객목록!$A$3:$A$502,0)),""))</f>
        <v>010-0000-0002</v>
      </c>
      <c r="F10" s="13" t="n">
        <v>1300</v>
      </c>
      <c r="G10" s="13" t="n">
        <v>1600</v>
      </c>
      <c r="H10" s="14" t="n">
        <f aca="false">IF(OR($L10="",$M10=""),"",ROUND(($M10-$L10)/60,2))</f>
        <v>3</v>
      </c>
      <c r="I10" s="9" t="n">
        <v>12</v>
      </c>
      <c r="J10" s="7" t="inlineStr">
        <is>
          <t>노쇼</t>
        </is>
      </c>
      <c r="K10" s="7"/>
      <c r="L10" s="15" t="n">
        <f aca="false">IF($F10="","",IF($F10&lt;1,ROUND($F10*1440,0),INT($F10/100)*60+MOD($F10,100)))</f>
        <v>780</v>
      </c>
      <c r="M10" s="15" t="n">
        <f aca="false">IF($G10="","",IF($G10&lt;1,ROUND($G10*1440,0),INT($G10/100)*60+MOD($G10,100)))</f>
        <v>960</v>
      </c>
      <c r="N10" s="15" t="str">
        <f aca="false">IF(OR($A10="",$B10="",$L10="",$M10="",$J10="취소"),"",IF(SUMPRODUCT(($A$3:$A$2002=$A10)*($B$3:$B$2002=$B10)*($J$3:$J$2002&lt;&gt;"취소")*($L$3:$L$2002&lt;&gt;"")*($M$3:$M$2002&lt;&gt;"")*($L$3:$L$2002&lt;$M10)*($M$3:$M$2002&gt;$L10))&gt;1,"중복","-"))</f>
        <v>-</v>
      </c>
    </row>
    <row r="11" customFormat="false" ht="15" hidden="false" customHeight="true" outlineLevel="0" collapsed="false">
      <c r="A11" s="11"/>
      <c r="B11" s="7"/>
      <c r="C11" s="12" t="str">
        <f aca="false">IF($B11="","",IFERROR(INDEX(자원목록!$B$3:$B$102,MATCH($B11,자원목록!$A$3:$A$102,0)),"미등록자원"))</f>
        <v/>
      </c>
      <c r="D11" s="7"/>
      <c r="E11" s="12" t="str">
        <f aca="false">IF($D11="","",IFERROR(INDEX(고객목록!$B$3:$B$502,MATCH($D11,고객목록!$A$3:$A$502,0)),""))</f>
        <v/>
      </c>
      <c r="F11" s="13"/>
      <c r="G11" s="13"/>
      <c r="H11" s="14" t="str">
        <f aca="false">IF(OR($L11="",$M11=""),"",ROUND(($M11-$L11)/60,2))</f>
        <v/>
      </c>
      <c r="I11" s="9"/>
      <c r="J11" s="7"/>
      <c r="K11" s="7"/>
      <c r="L11" s="15" t="str">
        <f aca="false">IF($F11="","",IF($F11&lt;1,ROUND($F11*1440,0),INT($F11/100)*60+MOD($F11,100)))</f>
        <v/>
      </c>
      <c r="M11" s="15" t="str">
        <f aca="false">IF($G11="","",IF($G11&lt;1,ROUND($G11*1440,0),INT($G11/100)*60+MOD($G11,100)))</f>
        <v/>
      </c>
      <c r="N11" s="15" t="str">
        <f aca="false">IF(OR($A11="",$B11="",$L11="",$M11="",$J11="취소"),"",IF(SUMPRODUCT(($A$3:$A$2002=$A11)*($B$3:$B$2002=$B11)*($J$3:$J$2002&lt;&gt;"취소")*($L$3:$L$2002&lt;&gt;"")*($M$3:$M$2002&lt;&gt;"")*($L$3:$L$2002&lt;$M11)*($M$3:$M$2002&gt;$L11))&gt;1,"중복","-"))</f>
        <v/>
      </c>
    </row>
    <row r="12" customFormat="false" ht="15" hidden="false" customHeight="true" outlineLevel="0" collapsed="false">
      <c r="A12" s="11"/>
      <c r="B12" s="7"/>
      <c r="C12" s="12" t="str">
        <f aca="false">IF($B12="","",IFERROR(INDEX(자원목록!$B$3:$B$102,MATCH($B12,자원목록!$A$3:$A$102,0)),"미등록자원"))</f>
        <v/>
      </c>
      <c r="D12" s="7"/>
      <c r="E12" s="12" t="str">
        <f aca="false">IF($D12="","",IFERROR(INDEX(고객목록!$B$3:$B$502,MATCH($D12,고객목록!$A$3:$A$502,0)),""))</f>
        <v/>
      </c>
      <c r="F12" s="13"/>
      <c r="G12" s="13"/>
      <c r="H12" s="14" t="str">
        <f aca="false">IF(OR($L12="",$M12=""),"",ROUND(($M12-$L12)/60,2))</f>
        <v/>
      </c>
      <c r="I12" s="9"/>
      <c r="J12" s="7"/>
      <c r="K12" s="7"/>
      <c r="L12" s="15" t="str">
        <f aca="false">IF($F12="","",IF($F12&lt;1,ROUND($F12*1440,0),INT($F12/100)*60+MOD($F12,100)))</f>
        <v/>
      </c>
      <c r="M12" s="15" t="str">
        <f aca="false">IF($G12="","",IF($G12&lt;1,ROUND($G12*1440,0),INT($G12/100)*60+MOD($G12,100)))</f>
        <v/>
      </c>
      <c r="N12" s="15" t="str">
        <f aca="false">IF(OR($A12="",$B12="",$L12="",$M12="",$J12="취소"),"",IF(SUMPRODUCT(($A$3:$A$2002=$A12)*($B$3:$B$2002=$B12)*($J$3:$J$2002&lt;&gt;"취소")*($L$3:$L$2002&lt;&gt;"")*($M$3:$M$2002&lt;&gt;"")*($L$3:$L$2002&lt;$M12)*($M$3:$M$2002&gt;$L12))&gt;1,"중복","-"))</f>
        <v/>
      </c>
    </row>
    <row r="13" customFormat="false" ht="15" hidden="false" customHeight="true" outlineLevel="0" collapsed="false">
      <c r="A13" s="11"/>
      <c r="B13" s="7"/>
      <c r="C13" s="12" t="str">
        <f aca="false">IF($B13="","",IFERROR(INDEX(자원목록!$B$3:$B$102,MATCH($B13,자원목록!$A$3:$A$102,0)),"미등록자원"))</f>
        <v/>
      </c>
      <c r="D13" s="7"/>
      <c r="E13" s="12" t="str">
        <f aca="false">IF($D13="","",IFERROR(INDEX(고객목록!$B$3:$B$502,MATCH($D13,고객목록!$A$3:$A$502,0)),""))</f>
        <v/>
      </c>
      <c r="F13" s="13"/>
      <c r="G13" s="13"/>
      <c r="H13" s="14" t="str">
        <f aca="false">IF(OR($L13="",$M13=""),"",ROUND(($M13-$L13)/60,2))</f>
        <v/>
      </c>
      <c r="I13" s="9"/>
      <c r="J13" s="7"/>
      <c r="K13" s="7"/>
      <c r="L13" s="15" t="str">
        <f aca="false">IF($F13="","",IF($F13&lt;1,ROUND($F13*1440,0),INT($F13/100)*60+MOD($F13,100)))</f>
        <v/>
      </c>
      <c r="M13" s="15" t="str">
        <f aca="false">IF($G13="","",IF($G13&lt;1,ROUND($G13*1440,0),INT($G13/100)*60+MOD($G13,100)))</f>
        <v/>
      </c>
      <c r="N13" s="15" t="str">
        <f aca="false">IF(OR($A13="",$B13="",$L13="",$M13="",$J13="취소"),"",IF(SUMPRODUCT(($A$3:$A$2002=$A13)*($B$3:$B$2002=$B13)*($J$3:$J$2002&lt;&gt;"취소")*($L$3:$L$2002&lt;&gt;"")*($M$3:$M$2002&lt;&gt;"")*($L$3:$L$2002&lt;$M13)*($M$3:$M$2002&gt;$L13))&gt;1,"중복","-"))</f>
        <v/>
      </c>
    </row>
    <row r="14" customFormat="false" ht="15" hidden="false" customHeight="true" outlineLevel="0" collapsed="false">
      <c r="A14" s="11"/>
      <c r="B14" s="7"/>
      <c r="C14" s="12" t="str">
        <f aca="false">IF($B14="","",IFERROR(INDEX(자원목록!$B$3:$B$102,MATCH($B14,자원목록!$A$3:$A$102,0)),"미등록자원"))</f>
        <v/>
      </c>
      <c r="D14" s="7"/>
      <c r="E14" s="12" t="str">
        <f aca="false">IF($D14="","",IFERROR(INDEX(고객목록!$B$3:$B$502,MATCH($D14,고객목록!$A$3:$A$502,0)),""))</f>
        <v/>
      </c>
      <c r="F14" s="13"/>
      <c r="G14" s="13"/>
      <c r="H14" s="14" t="str">
        <f aca="false">IF(OR($L14="",$M14=""),"",ROUND(($M14-$L14)/60,2))</f>
        <v/>
      </c>
      <c r="I14" s="9"/>
      <c r="J14" s="7"/>
      <c r="K14" s="7"/>
      <c r="L14" s="15" t="str">
        <f aca="false">IF($F14="","",IF($F14&lt;1,ROUND($F14*1440,0),INT($F14/100)*60+MOD($F14,100)))</f>
        <v/>
      </c>
      <c r="M14" s="15" t="str">
        <f aca="false">IF($G14="","",IF($G14&lt;1,ROUND($G14*1440,0),INT($G14/100)*60+MOD($G14,100)))</f>
        <v/>
      </c>
      <c r="N14" s="15" t="str">
        <f aca="false">IF(OR($A14="",$B14="",$L14="",$M14="",$J14="취소"),"",IF(SUMPRODUCT(($A$3:$A$2002=$A14)*($B$3:$B$2002=$B14)*($J$3:$J$2002&lt;&gt;"취소")*($L$3:$L$2002&lt;&gt;"")*($M$3:$M$2002&lt;&gt;"")*($L$3:$L$2002&lt;$M14)*($M$3:$M$2002&gt;$L14))&gt;1,"중복","-"))</f>
        <v/>
      </c>
    </row>
    <row r="15" customFormat="false" ht="15" hidden="false" customHeight="true" outlineLevel="0" collapsed="false">
      <c r="A15" s="11"/>
      <c r="B15" s="7"/>
      <c r="C15" s="12" t="str">
        <f aca="false">IF($B15="","",IFERROR(INDEX(자원목록!$B$3:$B$102,MATCH($B15,자원목록!$A$3:$A$102,0)),"미등록자원"))</f>
        <v/>
      </c>
      <c r="D15" s="7"/>
      <c r="E15" s="12" t="str">
        <f aca="false">IF($D15="","",IFERROR(INDEX(고객목록!$B$3:$B$502,MATCH($D15,고객목록!$A$3:$A$502,0)),""))</f>
        <v/>
      </c>
      <c r="F15" s="13"/>
      <c r="G15" s="13"/>
      <c r="H15" s="14" t="str">
        <f aca="false">IF(OR($L15="",$M15=""),"",ROUND(($M15-$L15)/60,2))</f>
        <v/>
      </c>
      <c r="I15" s="9"/>
      <c r="J15" s="7"/>
      <c r="K15" s="7"/>
      <c r="L15" s="15" t="str">
        <f aca="false">IF($F15="","",IF($F15&lt;1,ROUND($F15*1440,0),INT($F15/100)*60+MOD($F15,100)))</f>
        <v/>
      </c>
      <c r="M15" s="15" t="str">
        <f aca="false">IF($G15="","",IF($G15&lt;1,ROUND($G15*1440,0),INT($G15/100)*60+MOD($G15,100)))</f>
        <v/>
      </c>
      <c r="N15" s="15" t="str">
        <f aca="false">IF(OR($A15="",$B15="",$L15="",$M15="",$J15="취소"),"",IF(SUMPRODUCT(($A$3:$A$2002=$A15)*($B$3:$B$2002=$B15)*($J$3:$J$2002&lt;&gt;"취소")*($L$3:$L$2002&lt;&gt;"")*($M$3:$M$2002&lt;&gt;"")*($L$3:$L$2002&lt;$M15)*($M$3:$M$2002&gt;$L15))&gt;1,"중복","-"))</f>
        <v/>
      </c>
    </row>
    <row r="16" customFormat="false" ht="15" hidden="false" customHeight="true" outlineLevel="0" collapsed="false">
      <c r="A16" s="11"/>
      <c r="B16" s="7"/>
      <c r="C16" s="12" t="str">
        <f aca="false">IF($B16="","",IFERROR(INDEX(자원목록!$B$3:$B$102,MATCH($B16,자원목록!$A$3:$A$102,0)),"미등록자원"))</f>
        <v/>
      </c>
      <c r="D16" s="7"/>
      <c r="E16" s="12" t="str">
        <f aca="false">IF($D16="","",IFERROR(INDEX(고객목록!$B$3:$B$502,MATCH($D16,고객목록!$A$3:$A$502,0)),""))</f>
        <v/>
      </c>
      <c r="F16" s="13"/>
      <c r="G16" s="13"/>
      <c r="H16" s="14" t="str">
        <f aca="false">IF(OR($L16="",$M16=""),"",ROUND(($M16-$L16)/60,2))</f>
        <v/>
      </c>
      <c r="I16" s="9"/>
      <c r="J16" s="7"/>
      <c r="K16" s="7"/>
      <c r="L16" s="15" t="str">
        <f aca="false">IF($F16="","",IF($F16&lt;1,ROUND($F16*1440,0),INT($F16/100)*60+MOD($F16,100)))</f>
        <v/>
      </c>
      <c r="M16" s="15" t="str">
        <f aca="false">IF($G16="","",IF($G16&lt;1,ROUND($G16*1440,0),INT($G16/100)*60+MOD($G16,100)))</f>
        <v/>
      </c>
      <c r="N16" s="15" t="str">
        <f aca="false">IF(OR($A16="",$B16="",$L16="",$M16="",$J16="취소"),"",IF(SUMPRODUCT(($A$3:$A$2002=$A16)*($B$3:$B$2002=$B16)*($J$3:$J$2002&lt;&gt;"취소")*($L$3:$L$2002&lt;&gt;"")*($M$3:$M$2002&lt;&gt;"")*($L$3:$L$2002&lt;$M16)*($M$3:$M$2002&gt;$L16))&gt;1,"중복","-"))</f>
        <v/>
      </c>
    </row>
    <row r="17" customFormat="false" ht="15" hidden="false" customHeight="true" outlineLevel="0" collapsed="false">
      <c r="A17" s="11"/>
      <c r="B17" s="7"/>
      <c r="C17" s="12" t="str">
        <f aca="false">IF($B17="","",IFERROR(INDEX(자원목록!$B$3:$B$102,MATCH($B17,자원목록!$A$3:$A$102,0)),"미등록자원"))</f>
        <v/>
      </c>
      <c r="D17" s="7"/>
      <c r="E17" s="12" t="str">
        <f aca="false">IF($D17="","",IFERROR(INDEX(고객목록!$B$3:$B$502,MATCH($D17,고객목록!$A$3:$A$502,0)),""))</f>
        <v/>
      </c>
      <c r="F17" s="13"/>
      <c r="G17" s="13"/>
      <c r="H17" s="14" t="str">
        <f aca="false">IF(OR($L17="",$M17=""),"",ROUND(($M17-$L17)/60,2))</f>
        <v/>
      </c>
      <c r="I17" s="9"/>
      <c r="J17" s="7"/>
      <c r="K17" s="7"/>
      <c r="L17" s="15" t="str">
        <f aca="false">IF($F17="","",IF($F17&lt;1,ROUND($F17*1440,0),INT($F17/100)*60+MOD($F17,100)))</f>
        <v/>
      </c>
      <c r="M17" s="15" t="str">
        <f aca="false">IF($G17="","",IF($G17&lt;1,ROUND($G17*1440,0),INT($G17/100)*60+MOD($G17,100)))</f>
        <v/>
      </c>
      <c r="N17" s="15" t="str">
        <f aca="false">IF(OR($A17="",$B17="",$L17="",$M17="",$J17="취소"),"",IF(SUMPRODUCT(($A$3:$A$2002=$A17)*($B$3:$B$2002=$B17)*($J$3:$J$2002&lt;&gt;"취소")*($L$3:$L$2002&lt;&gt;"")*($M$3:$M$2002&lt;&gt;"")*($L$3:$L$2002&lt;$M17)*($M$3:$M$2002&gt;$L17))&gt;1,"중복","-"))</f>
        <v/>
      </c>
    </row>
    <row r="18" customFormat="false" ht="15" hidden="false" customHeight="true" outlineLevel="0" collapsed="false">
      <c r="A18" s="11"/>
      <c r="B18" s="7"/>
      <c r="C18" s="12" t="str">
        <f aca="false">IF($B18="","",IFERROR(INDEX(자원목록!$B$3:$B$102,MATCH($B18,자원목록!$A$3:$A$102,0)),"미등록자원"))</f>
        <v/>
      </c>
      <c r="D18" s="7"/>
      <c r="E18" s="12" t="str">
        <f aca="false">IF($D18="","",IFERROR(INDEX(고객목록!$B$3:$B$502,MATCH($D18,고객목록!$A$3:$A$502,0)),""))</f>
        <v/>
      </c>
      <c r="F18" s="13"/>
      <c r="G18" s="13"/>
      <c r="H18" s="14" t="str">
        <f aca="false">IF(OR($L18="",$M18=""),"",ROUND(($M18-$L18)/60,2))</f>
        <v/>
      </c>
      <c r="I18" s="9"/>
      <c r="J18" s="7"/>
      <c r="K18" s="7"/>
      <c r="L18" s="15" t="str">
        <f aca="false">IF($F18="","",IF($F18&lt;1,ROUND($F18*1440,0),INT($F18/100)*60+MOD($F18,100)))</f>
        <v/>
      </c>
      <c r="M18" s="15" t="str">
        <f aca="false">IF($G18="","",IF($G18&lt;1,ROUND($G18*1440,0),INT($G18/100)*60+MOD($G18,100)))</f>
        <v/>
      </c>
      <c r="N18" s="15" t="str">
        <f aca="false">IF(OR($A18="",$B18="",$L18="",$M18="",$J18="취소"),"",IF(SUMPRODUCT(($A$3:$A$2002=$A18)*($B$3:$B$2002=$B18)*($J$3:$J$2002&lt;&gt;"취소")*($L$3:$L$2002&lt;&gt;"")*($M$3:$M$2002&lt;&gt;"")*($L$3:$L$2002&lt;$M18)*($M$3:$M$2002&gt;$L18))&gt;1,"중복","-"))</f>
        <v/>
      </c>
    </row>
    <row r="19" customFormat="false" ht="15" hidden="false" customHeight="true" outlineLevel="0" collapsed="false">
      <c r="A19" s="11"/>
      <c r="B19" s="7"/>
      <c r="C19" s="12" t="str">
        <f aca="false">IF($B19="","",IFERROR(INDEX(자원목록!$B$3:$B$102,MATCH($B19,자원목록!$A$3:$A$102,0)),"미등록자원"))</f>
        <v/>
      </c>
      <c r="D19" s="7"/>
      <c r="E19" s="12" t="str">
        <f aca="false">IF($D19="","",IFERROR(INDEX(고객목록!$B$3:$B$502,MATCH($D19,고객목록!$A$3:$A$502,0)),""))</f>
        <v/>
      </c>
      <c r="F19" s="13"/>
      <c r="G19" s="13"/>
      <c r="H19" s="14" t="str">
        <f aca="false">IF(OR($L19="",$M19=""),"",ROUND(($M19-$L19)/60,2))</f>
        <v/>
      </c>
      <c r="I19" s="9"/>
      <c r="J19" s="7"/>
      <c r="K19" s="7"/>
      <c r="L19" s="15" t="str">
        <f aca="false">IF($F19="","",IF($F19&lt;1,ROUND($F19*1440,0),INT($F19/100)*60+MOD($F19,100)))</f>
        <v/>
      </c>
      <c r="M19" s="15" t="str">
        <f aca="false">IF($G19="","",IF($G19&lt;1,ROUND($G19*1440,0),INT($G19/100)*60+MOD($G19,100)))</f>
        <v/>
      </c>
      <c r="N19" s="15" t="str">
        <f aca="false">IF(OR($A19="",$B19="",$L19="",$M19="",$J19="취소"),"",IF(SUMPRODUCT(($A$3:$A$2002=$A19)*($B$3:$B$2002=$B19)*($J$3:$J$2002&lt;&gt;"취소")*($L$3:$L$2002&lt;&gt;"")*($M$3:$M$2002&lt;&gt;"")*($L$3:$L$2002&lt;$M19)*($M$3:$M$2002&gt;$L19))&gt;1,"중복","-"))</f>
        <v/>
      </c>
    </row>
    <row r="20" customFormat="false" ht="15" hidden="false" customHeight="true" outlineLevel="0" collapsed="false">
      <c r="A20" s="11"/>
      <c r="B20" s="7"/>
      <c r="C20" s="12" t="str">
        <f aca="false">IF($B20="","",IFERROR(INDEX(자원목록!$B$3:$B$102,MATCH($B20,자원목록!$A$3:$A$102,0)),"미등록자원"))</f>
        <v/>
      </c>
      <c r="D20" s="7"/>
      <c r="E20" s="12" t="str">
        <f aca="false">IF($D20="","",IFERROR(INDEX(고객목록!$B$3:$B$502,MATCH($D20,고객목록!$A$3:$A$502,0)),""))</f>
        <v/>
      </c>
      <c r="F20" s="13"/>
      <c r="G20" s="13"/>
      <c r="H20" s="14" t="str">
        <f aca="false">IF(OR($L20="",$M20=""),"",ROUND(($M20-$L20)/60,2))</f>
        <v/>
      </c>
      <c r="I20" s="9"/>
      <c r="J20" s="7"/>
      <c r="K20" s="7"/>
      <c r="L20" s="15" t="str">
        <f aca="false">IF($F20="","",IF($F20&lt;1,ROUND($F20*1440,0),INT($F20/100)*60+MOD($F20,100)))</f>
        <v/>
      </c>
      <c r="M20" s="15" t="str">
        <f aca="false">IF($G20="","",IF($G20&lt;1,ROUND($G20*1440,0),INT($G20/100)*60+MOD($G20,100)))</f>
        <v/>
      </c>
      <c r="N20" s="15" t="str">
        <f aca="false">IF(OR($A20="",$B20="",$L20="",$M20="",$J20="취소"),"",IF(SUMPRODUCT(($A$3:$A$2002=$A20)*($B$3:$B$2002=$B20)*($J$3:$J$2002&lt;&gt;"취소")*($L$3:$L$2002&lt;&gt;"")*($M$3:$M$2002&lt;&gt;"")*($L$3:$L$2002&lt;$M20)*($M$3:$M$2002&gt;$L20))&gt;1,"중복","-"))</f>
        <v/>
      </c>
    </row>
    <row r="21" customFormat="false" ht="15" hidden="false" customHeight="true" outlineLevel="0" collapsed="false">
      <c r="A21" s="11"/>
      <c r="B21" s="7"/>
      <c r="C21" s="12" t="str">
        <f aca="false">IF($B21="","",IFERROR(INDEX(자원목록!$B$3:$B$102,MATCH($B21,자원목록!$A$3:$A$102,0)),"미등록자원"))</f>
        <v/>
      </c>
      <c r="D21" s="7"/>
      <c r="E21" s="12" t="str">
        <f aca="false">IF($D21="","",IFERROR(INDEX(고객목록!$B$3:$B$502,MATCH($D21,고객목록!$A$3:$A$502,0)),""))</f>
        <v/>
      </c>
      <c r="F21" s="13"/>
      <c r="G21" s="13"/>
      <c r="H21" s="14" t="str">
        <f aca="false">IF(OR($L21="",$M21=""),"",ROUND(($M21-$L21)/60,2))</f>
        <v/>
      </c>
      <c r="I21" s="9"/>
      <c r="J21" s="7"/>
      <c r="K21" s="7"/>
      <c r="L21" s="15" t="str">
        <f aca="false">IF($F21="","",IF($F21&lt;1,ROUND($F21*1440,0),INT($F21/100)*60+MOD($F21,100)))</f>
        <v/>
      </c>
      <c r="M21" s="15" t="str">
        <f aca="false">IF($G21="","",IF($G21&lt;1,ROUND($G21*1440,0),INT($G21/100)*60+MOD($G21,100)))</f>
        <v/>
      </c>
      <c r="N21" s="15" t="str">
        <f aca="false">IF(OR($A21="",$B21="",$L21="",$M21="",$J21="취소"),"",IF(SUMPRODUCT(($A$3:$A$2002=$A21)*($B$3:$B$2002=$B21)*($J$3:$J$2002&lt;&gt;"취소")*($L$3:$L$2002&lt;&gt;"")*($M$3:$M$2002&lt;&gt;"")*($L$3:$L$2002&lt;$M21)*($M$3:$M$2002&gt;$L21))&gt;1,"중복","-"))</f>
        <v/>
      </c>
    </row>
    <row r="22" customFormat="false" ht="15" hidden="false" customHeight="true" outlineLevel="0" collapsed="false">
      <c r="A22" s="11"/>
      <c r="B22" s="7"/>
      <c r="C22" s="12" t="str">
        <f aca="false">IF($B22="","",IFERROR(INDEX(자원목록!$B$3:$B$102,MATCH($B22,자원목록!$A$3:$A$102,0)),"미등록자원"))</f>
        <v/>
      </c>
      <c r="D22" s="7"/>
      <c r="E22" s="12" t="str">
        <f aca="false">IF($D22="","",IFERROR(INDEX(고객목록!$B$3:$B$502,MATCH($D22,고객목록!$A$3:$A$502,0)),""))</f>
        <v/>
      </c>
      <c r="F22" s="13"/>
      <c r="G22" s="13"/>
      <c r="H22" s="14" t="str">
        <f aca="false">IF(OR($L22="",$M22=""),"",ROUND(($M22-$L22)/60,2))</f>
        <v/>
      </c>
      <c r="I22" s="9"/>
      <c r="J22" s="7"/>
      <c r="K22" s="7"/>
      <c r="L22" s="15" t="str">
        <f aca="false">IF($F22="","",IF($F22&lt;1,ROUND($F22*1440,0),INT($F22/100)*60+MOD($F22,100)))</f>
        <v/>
      </c>
      <c r="M22" s="15" t="str">
        <f aca="false">IF($G22="","",IF($G22&lt;1,ROUND($G22*1440,0),INT($G22/100)*60+MOD($G22,100)))</f>
        <v/>
      </c>
      <c r="N22" s="15" t="str">
        <f aca="false">IF(OR($A22="",$B22="",$L22="",$M22="",$J22="취소"),"",IF(SUMPRODUCT(($A$3:$A$2002=$A22)*($B$3:$B$2002=$B22)*($J$3:$J$2002&lt;&gt;"취소")*($L$3:$L$2002&lt;&gt;"")*($M$3:$M$2002&lt;&gt;"")*($L$3:$L$2002&lt;$M22)*($M$3:$M$2002&gt;$L22))&gt;1,"중복","-"))</f>
        <v/>
      </c>
    </row>
    <row r="23" customFormat="false" ht="15" hidden="false" customHeight="true" outlineLevel="0" collapsed="false">
      <c r="A23" s="11"/>
      <c r="B23" s="7"/>
      <c r="C23" s="12" t="str">
        <f aca="false">IF($B23="","",IFERROR(INDEX(자원목록!$B$3:$B$102,MATCH($B23,자원목록!$A$3:$A$102,0)),"미등록자원"))</f>
        <v/>
      </c>
      <c r="D23" s="7"/>
      <c r="E23" s="12" t="str">
        <f aca="false">IF($D23="","",IFERROR(INDEX(고객목록!$B$3:$B$502,MATCH($D23,고객목록!$A$3:$A$502,0)),""))</f>
        <v/>
      </c>
      <c r="F23" s="13"/>
      <c r="G23" s="13"/>
      <c r="H23" s="14" t="str">
        <f aca="false">IF(OR($L23="",$M23=""),"",ROUND(($M23-$L23)/60,2))</f>
        <v/>
      </c>
      <c r="I23" s="9"/>
      <c r="J23" s="7"/>
      <c r="K23" s="7"/>
      <c r="L23" s="15" t="str">
        <f aca="false">IF($F23="","",IF($F23&lt;1,ROUND($F23*1440,0),INT($F23/100)*60+MOD($F23,100)))</f>
        <v/>
      </c>
      <c r="M23" s="15" t="str">
        <f aca="false">IF($G23="","",IF($G23&lt;1,ROUND($G23*1440,0),INT($G23/100)*60+MOD($G23,100)))</f>
        <v/>
      </c>
      <c r="N23" s="15" t="str">
        <f aca="false">IF(OR($A23="",$B23="",$L23="",$M23="",$J23="취소"),"",IF(SUMPRODUCT(($A$3:$A$2002=$A23)*($B$3:$B$2002=$B23)*($J$3:$J$2002&lt;&gt;"취소")*($L$3:$L$2002&lt;&gt;"")*($M$3:$M$2002&lt;&gt;"")*($L$3:$L$2002&lt;$M23)*($M$3:$M$2002&gt;$L23))&gt;1,"중복","-"))</f>
        <v/>
      </c>
    </row>
    <row r="24" customFormat="false" ht="15" hidden="false" customHeight="true" outlineLevel="0" collapsed="false">
      <c r="A24" s="11"/>
      <c r="B24" s="7"/>
      <c r="C24" s="12" t="str">
        <f aca="false">IF($B24="","",IFERROR(INDEX(자원목록!$B$3:$B$102,MATCH($B24,자원목록!$A$3:$A$102,0)),"미등록자원"))</f>
        <v/>
      </c>
      <c r="D24" s="7"/>
      <c r="E24" s="12" t="str">
        <f aca="false">IF($D24="","",IFERROR(INDEX(고객목록!$B$3:$B$502,MATCH($D24,고객목록!$A$3:$A$502,0)),""))</f>
        <v/>
      </c>
      <c r="F24" s="13"/>
      <c r="G24" s="13"/>
      <c r="H24" s="14" t="str">
        <f aca="false">IF(OR($L24="",$M24=""),"",ROUND(($M24-$L24)/60,2))</f>
        <v/>
      </c>
      <c r="I24" s="9"/>
      <c r="J24" s="7"/>
      <c r="K24" s="7"/>
      <c r="L24" s="15" t="str">
        <f aca="false">IF($F24="","",IF($F24&lt;1,ROUND($F24*1440,0),INT($F24/100)*60+MOD($F24,100)))</f>
        <v/>
      </c>
      <c r="M24" s="15" t="str">
        <f aca="false">IF($G24="","",IF($G24&lt;1,ROUND($G24*1440,0),INT($G24/100)*60+MOD($G24,100)))</f>
        <v/>
      </c>
      <c r="N24" s="15" t="str">
        <f aca="false">IF(OR($A24="",$B24="",$L24="",$M24="",$J24="취소"),"",IF(SUMPRODUCT(($A$3:$A$2002=$A24)*($B$3:$B$2002=$B24)*($J$3:$J$2002&lt;&gt;"취소")*($L$3:$L$2002&lt;&gt;"")*($M$3:$M$2002&lt;&gt;"")*($L$3:$L$2002&lt;$M24)*($M$3:$M$2002&gt;$L24))&gt;1,"중복","-"))</f>
        <v/>
      </c>
    </row>
    <row r="25" customFormat="false" ht="15" hidden="false" customHeight="true" outlineLevel="0" collapsed="false">
      <c r="A25" s="11"/>
      <c r="B25" s="7"/>
      <c r="C25" s="12" t="str">
        <f aca="false">IF($B25="","",IFERROR(INDEX(자원목록!$B$3:$B$102,MATCH($B25,자원목록!$A$3:$A$102,0)),"미등록자원"))</f>
        <v/>
      </c>
      <c r="D25" s="7"/>
      <c r="E25" s="12" t="str">
        <f aca="false">IF($D25="","",IFERROR(INDEX(고객목록!$B$3:$B$502,MATCH($D25,고객목록!$A$3:$A$502,0)),""))</f>
        <v/>
      </c>
      <c r="F25" s="13"/>
      <c r="G25" s="13"/>
      <c r="H25" s="14" t="str">
        <f aca="false">IF(OR($L25="",$M25=""),"",ROUND(($M25-$L25)/60,2))</f>
        <v/>
      </c>
      <c r="I25" s="9"/>
      <c r="J25" s="7"/>
      <c r="K25" s="7"/>
      <c r="L25" s="15" t="str">
        <f aca="false">IF($F25="","",IF($F25&lt;1,ROUND($F25*1440,0),INT($F25/100)*60+MOD($F25,100)))</f>
        <v/>
      </c>
      <c r="M25" s="15" t="str">
        <f aca="false">IF($G25="","",IF($G25&lt;1,ROUND($G25*1440,0),INT($G25/100)*60+MOD($G25,100)))</f>
        <v/>
      </c>
      <c r="N25" s="15" t="str">
        <f aca="false">IF(OR($A25="",$B25="",$L25="",$M25="",$J25="취소"),"",IF(SUMPRODUCT(($A$3:$A$2002=$A25)*($B$3:$B$2002=$B25)*($J$3:$J$2002&lt;&gt;"취소")*($L$3:$L$2002&lt;&gt;"")*($M$3:$M$2002&lt;&gt;"")*($L$3:$L$2002&lt;$M25)*($M$3:$M$2002&gt;$L25))&gt;1,"중복","-"))</f>
        <v/>
      </c>
    </row>
    <row r="26" customFormat="false" ht="15" hidden="false" customHeight="true" outlineLevel="0" collapsed="false">
      <c r="A26" s="11"/>
      <c r="B26" s="7"/>
      <c r="C26" s="12" t="str">
        <f aca="false">IF($B26="","",IFERROR(INDEX(자원목록!$B$3:$B$102,MATCH($B26,자원목록!$A$3:$A$102,0)),"미등록자원"))</f>
        <v/>
      </c>
      <c r="D26" s="7"/>
      <c r="E26" s="12" t="str">
        <f aca="false">IF($D26="","",IFERROR(INDEX(고객목록!$B$3:$B$502,MATCH($D26,고객목록!$A$3:$A$502,0)),""))</f>
        <v/>
      </c>
      <c r="F26" s="13"/>
      <c r="G26" s="13"/>
      <c r="H26" s="14" t="str">
        <f aca="false">IF(OR($L26="",$M26=""),"",ROUND(($M26-$L26)/60,2))</f>
        <v/>
      </c>
      <c r="I26" s="9"/>
      <c r="J26" s="7"/>
      <c r="K26" s="7"/>
      <c r="L26" s="15" t="str">
        <f aca="false">IF($F26="","",IF($F26&lt;1,ROUND($F26*1440,0),INT($F26/100)*60+MOD($F26,100)))</f>
        <v/>
      </c>
      <c r="M26" s="15" t="str">
        <f aca="false">IF($G26="","",IF($G26&lt;1,ROUND($G26*1440,0),INT($G26/100)*60+MOD($G26,100)))</f>
        <v/>
      </c>
      <c r="N26" s="15" t="str">
        <f aca="false">IF(OR($A26="",$B26="",$L26="",$M26="",$J26="취소"),"",IF(SUMPRODUCT(($A$3:$A$2002=$A26)*($B$3:$B$2002=$B26)*($J$3:$J$2002&lt;&gt;"취소")*($L$3:$L$2002&lt;&gt;"")*($M$3:$M$2002&lt;&gt;"")*($L$3:$L$2002&lt;$M26)*($M$3:$M$2002&gt;$L26))&gt;1,"중복","-"))</f>
        <v/>
      </c>
    </row>
    <row r="27" customFormat="false" ht="15" hidden="false" customHeight="true" outlineLevel="0" collapsed="false">
      <c r="A27" s="11"/>
      <c r="B27" s="7"/>
      <c r="C27" s="12" t="str">
        <f aca="false">IF($B27="","",IFERROR(INDEX(자원목록!$B$3:$B$102,MATCH($B27,자원목록!$A$3:$A$102,0)),"미등록자원"))</f>
        <v/>
      </c>
      <c r="D27" s="7"/>
      <c r="E27" s="12" t="str">
        <f aca="false">IF($D27="","",IFERROR(INDEX(고객목록!$B$3:$B$502,MATCH($D27,고객목록!$A$3:$A$502,0)),""))</f>
        <v/>
      </c>
      <c r="F27" s="13"/>
      <c r="G27" s="13"/>
      <c r="H27" s="14" t="str">
        <f aca="false">IF(OR($L27="",$M27=""),"",ROUND(($M27-$L27)/60,2))</f>
        <v/>
      </c>
      <c r="I27" s="9"/>
      <c r="J27" s="7"/>
      <c r="K27" s="7"/>
      <c r="L27" s="15" t="str">
        <f aca="false">IF($F27="","",IF($F27&lt;1,ROUND($F27*1440,0),INT($F27/100)*60+MOD($F27,100)))</f>
        <v/>
      </c>
      <c r="M27" s="15" t="str">
        <f aca="false">IF($G27="","",IF($G27&lt;1,ROUND($G27*1440,0),INT($G27/100)*60+MOD($G27,100)))</f>
        <v/>
      </c>
      <c r="N27" s="15" t="str">
        <f aca="false">IF(OR($A27="",$B27="",$L27="",$M27="",$J27="취소"),"",IF(SUMPRODUCT(($A$3:$A$2002=$A27)*($B$3:$B$2002=$B27)*($J$3:$J$2002&lt;&gt;"취소")*($L$3:$L$2002&lt;&gt;"")*($M$3:$M$2002&lt;&gt;"")*($L$3:$L$2002&lt;$M27)*($M$3:$M$2002&gt;$L27))&gt;1,"중복","-"))</f>
        <v/>
      </c>
    </row>
    <row r="28" customFormat="false" ht="15" hidden="false" customHeight="true" outlineLevel="0" collapsed="false">
      <c r="A28" s="11"/>
      <c r="B28" s="7"/>
      <c r="C28" s="12" t="str">
        <f aca="false">IF($B28="","",IFERROR(INDEX(자원목록!$B$3:$B$102,MATCH($B28,자원목록!$A$3:$A$102,0)),"미등록자원"))</f>
        <v/>
      </c>
      <c r="D28" s="7"/>
      <c r="E28" s="12" t="str">
        <f aca="false">IF($D28="","",IFERROR(INDEX(고객목록!$B$3:$B$502,MATCH($D28,고객목록!$A$3:$A$502,0)),""))</f>
        <v/>
      </c>
      <c r="F28" s="13"/>
      <c r="G28" s="13"/>
      <c r="H28" s="14" t="str">
        <f aca="false">IF(OR($L28="",$M28=""),"",ROUND(($M28-$L28)/60,2))</f>
        <v/>
      </c>
      <c r="I28" s="9"/>
      <c r="J28" s="7"/>
      <c r="K28" s="7"/>
      <c r="L28" s="15" t="str">
        <f aca="false">IF($F28="","",IF($F28&lt;1,ROUND($F28*1440,0),INT($F28/100)*60+MOD($F28,100)))</f>
        <v/>
      </c>
      <c r="M28" s="15" t="str">
        <f aca="false">IF($G28="","",IF($G28&lt;1,ROUND($G28*1440,0),INT($G28/100)*60+MOD($G28,100)))</f>
        <v/>
      </c>
      <c r="N28" s="15" t="str">
        <f aca="false">IF(OR($A28="",$B28="",$L28="",$M28="",$J28="취소"),"",IF(SUMPRODUCT(($A$3:$A$2002=$A28)*($B$3:$B$2002=$B28)*($J$3:$J$2002&lt;&gt;"취소")*($L$3:$L$2002&lt;&gt;"")*($M$3:$M$2002&lt;&gt;"")*($L$3:$L$2002&lt;$M28)*($M$3:$M$2002&gt;$L28))&gt;1,"중복","-"))</f>
        <v/>
      </c>
    </row>
    <row r="29" customFormat="false" ht="15" hidden="false" customHeight="true" outlineLevel="0" collapsed="false">
      <c r="A29" s="11"/>
      <c r="B29" s="7"/>
      <c r="C29" s="12" t="str">
        <f aca="false">IF($B29="","",IFERROR(INDEX(자원목록!$B$3:$B$102,MATCH($B29,자원목록!$A$3:$A$102,0)),"미등록자원"))</f>
        <v/>
      </c>
      <c r="D29" s="7"/>
      <c r="E29" s="12" t="str">
        <f aca="false">IF($D29="","",IFERROR(INDEX(고객목록!$B$3:$B$502,MATCH($D29,고객목록!$A$3:$A$502,0)),""))</f>
        <v/>
      </c>
      <c r="F29" s="13"/>
      <c r="G29" s="13"/>
      <c r="H29" s="14" t="str">
        <f aca="false">IF(OR($L29="",$M29=""),"",ROUND(($M29-$L29)/60,2))</f>
        <v/>
      </c>
      <c r="I29" s="9"/>
      <c r="J29" s="7"/>
      <c r="K29" s="7"/>
      <c r="L29" s="15" t="str">
        <f aca="false">IF($F29="","",IF($F29&lt;1,ROUND($F29*1440,0),INT($F29/100)*60+MOD($F29,100)))</f>
        <v/>
      </c>
      <c r="M29" s="15" t="str">
        <f aca="false">IF($G29="","",IF($G29&lt;1,ROUND($G29*1440,0),INT($G29/100)*60+MOD($G29,100)))</f>
        <v/>
      </c>
      <c r="N29" s="15" t="str">
        <f aca="false">IF(OR($A29="",$B29="",$L29="",$M29="",$J29="취소"),"",IF(SUMPRODUCT(($A$3:$A$2002=$A29)*($B$3:$B$2002=$B29)*($J$3:$J$2002&lt;&gt;"취소")*($L$3:$L$2002&lt;&gt;"")*($M$3:$M$2002&lt;&gt;"")*($L$3:$L$2002&lt;$M29)*($M$3:$M$2002&gt;$L29))&gt;1,"중복","-"))</f>
        <v/>
      </c>
    </row>
    <row r="30" customFormat="false" ht="15" hidden="false" customHeight="true" outlineLevel="0" collapsed="false">
      <c r="A30" s="11"/>
      <c r="B30" s="7"/>
      <c r="C30" s="12" t="str">
        <f aca="false">IF($B30="","",IFERROR(INDEX(자원목록!$B$3:$B$102,MATCH($B30,자원목록!$A$3:$A$102,0)),"미등록자원"))</f>
        <v/>
      </c>
      <c r="D30" s="7"/>
      <c r="E30" s="12" t="str">
        <f aca="false">IF($D30="","",IFERROR(INDEX(고객목록!$B$3:$B$502,MATCH($D30,고객목록!$A$3:$A$502,0)),""))</f>
        <v/>
      </c>
      <c r="F30" s="13"/>
      <c r="G30" s="13"/>
      <c r="H30" s="14" t="str">
        <f aca="false">IF(OR($L30="",$M30=""),"",ROUND(($M30-$L30)/60,2))</f>
        <v/>
      </c>
      <c r="I30" s="9"/>
      <c r="J30" s="7"/>
      <c r="K30" s="7"/>
      <c r="L30" s="15" t="str">
        <f aca="false">IF($F30="","",IF($F30&lt;1,ROUND($F30*1440,0),INT($F30/100)*60+MOD($F30,100)))</f>
        <v/>
      </c>
      <c r="M30" s="15" t="str">
        <f aca="false">IF($G30="","",IF($G30&lt;1,ROUND($G30*1440,0),INT($G30/100)*60+MOD($G30,100)))</f>
        <v/>
      </c>
      <c r="N30" s="15" t="str">
        <f aca="false">IF(OR($A30="",$B30="",$L30="",$M30="",$J30="취소"),"",IF(SUMPRODUCT(($A$3:$A$2002=$A30)*($B$3:$B$2002=$B30)*($J$3:$J$2002&lt;&gt;"취소")*($L$3:$L$2002&lt;&gt;"")*($M$3:$M$2002&lt;&gt;"")*($L$3:$L$2002&lt;$M30)*($M$3:$M$2002&gt;$L30))&gt;1,"중복","-"))</f>
        <v/>
      </c>
    </row>
    <row r="31" customFormat="false" ht="15" hidden="false" customHeight="true" outlineLevel="0" collapsed="false">
      <c r="A31" s="11"/>
      <c r="B31" s="7"/>
      <c r="C31" s="12" t="str">
        <f aca="false">IF($B31="","",IFERROR(INDEX(자원목록!$B$3:$B$102,MATCH($B31,자원목록!$A$3:$A$102,0)),"미등록자원"))</f>
        <v/>
      </c>
      <c r="D31" s="7"/>
      <c r="E31" s="12" t="str">
        <f aca="false">IF($D31="","",IFERROR(INDEX(고객목록!$B$3:$B$502,MATCH($D31,고객목록!$A$3:$A$502,0)),""))</f>
        <v/>
      </c>
      <c r="F31" s="13"/>
      <c r="G31" s="13"/>
      <c r="H31" s="14" t="str">
        <f aca="false">IF(OR($L31="",$M31=""),"",ROUND(($M31-$L31)/60,2))</f>
        <v/>
      </c>
      <c r="I31" s="9"/>
      <c r="J31" s="7"/>
      <c r="K31" s="7"/>
      <c r="L31" s="15" t="str">
        <f aca="false">IF($F31="","",IF($F31&lt;1,ROUND($F31*1440,0),INT($F31/100)*60+MOD($F31,100)))</f>
        <v/>
      </c>
      <c r="M31" s="15" t="str">
        <f aca="false">IF($G31="","",IF($G31&lt;1,ROUND($G31*1440,0),INT($G31/100)*60+MOD($G31,100)))</f>
        <v/>
      </c>
      <c r="N31" s="15" t="str">
        <f aca="false">IF(OR($A31="",$B31="",$L31="",$M31="",$J31="취소"),"",IF(SUMPRODUCT(($A$3:$A$2002=$A31)*($B$3:$B$2002=$B31)*($J$3:$J$2002&lt;&gt;"취소")*($L$3:$L$2002&lt;&gt;"")*($M$3:$M$2002&lt;&gt;"")*($L$3:$L$2002&lt;$M31)*($M$3:$M$2002&gt;$L31))&gt;1,"중복","-"))</f>
        <v/>
      </c>
    </row>
    <row r="32" customFormat="false" ht="15" hidden="false" customHeight="true" outlineLevel="0" collapsed="false">
      <c r="A32" s="11"/>
      <c r="B32" s="7"/>
      <c r="C32" s="12" t="str">
        <f aca="false">IF($B32="","",IFERROR(INDEX(자원목록!$B$3:$B$102,MATCH($B32,자원목록!$A$3:$A$102,0)),"미등록자원"))</f>
        <v/>
      </c>
      <c r="D32" s="7"/>
      <c r="E32" s="12" t="str">
        <f aca="false">IF($D32="","",IFERROR(INDEX(고객목록!$B$3:$B$502,MATCH($D32,고객목록!$A$3:$A$502,0)),""))</f>
        <v/>
      </c>
      <c r="F32" s="13"/>
      <c r="G32" s="13"/>
      <c r="H32" s="14" t="str">
        <f aca="false">IF(OR($L32="",$M32=""),"",ROUND(($M32-$L32)/60,2))</f>
        <v/>
      </c>
      <c r="I32" s="9"/>
      <c r="J32" s="7"/>
      <c r="K32" s="7"/>
      <c r="L32" s="15" t="str">
        <f aca="false">IF($F32="","",IF($F32&lt;1,ROUND($F32*1440,0),INT($F32/100)*60+MOD($F32,100)))</f>
        <v/>
      </c>
      <c r="M32" s="15" t="str">
        <f aca="false">IF($G32="","",IF($G32&lt;1,ROUND($G32*1440,0),INT($G32/100)*60+MOD($G32,100)))</f>
        <v/>
      </c>
      <c r="N32" s="15" t="str">
        <f aca="false">IF(OR($A32="",$B32="",$L32="",$M32="",$J32="취소"),"",IF(SUMPRODUCT(($A$3:$A$2002=$A32)*($B$3:$B$2002=$B32)*($J$3:$J$2002&lt;&gt;"취소")*($L$3:$L$2002&lt;&gt;"")*($M$3:$M$2002&lt;&gt;"")*($L$3:$L$2002&lt;$M32)*($M$3:$M$2002&gt;$L32))&gt;1,"중복","-"))</f>
        <v/>
      </c>
    </row>
    <row r="33" customFormat="false" ht="15" hidden="false" customHeight="true" outlineLevel="0" collapsed="false">
      <c r="A33" s="11"/>
      <c r="B33" s="7"/>
      <c r="C33" s="12" t="str">
        <f aca="false">IF($B33="","",IFERROR(INDEX(자원목록!$B$3:$B$102,MATCH($B33,자원목록!$A$3:$A$102,0)),"미등록자원"))</f>
        <v/>
      </c>
      <c r="D33" s="7"/>
      <c r="E33" s="12" t="str">
        <f aca="false">IF($D33="","",IFERROR(INDEX(고객목록!$B$3:$B$502,MATCH($D33,고객목록!$A$3:$A$502,0)),""))</f>
        <v/>
      </c>
      <c r="F33" s="13"/>
      <c r="G33" s="13"/>
      <c r="H33" s="14" t="str">
        <f aca="false">IF(OR($L33="",$M33=""),"",ROUND(($M33-$L33)/60,2))</f>
        <v/>
      </c>
      <c r="I33" s="9"/>
      <c r="J33" s="7"/>
      <c r="K33" s="7"/>
      <c r="L33" s="15" t="str">
        <f aca="false">IF($F33="","",IF($F33&lt;1,ROUND($F33*1440,0),INT($F33/100)*60+MOD($F33,100)))</f>
        <v/>
      </c>
      <c r="M33" s="15" t="str">
        <f aca="false">IF($G33="","",IF($G33&lt;1,ROUND($G33*1440,0),INT($G33/100)*60+MOD($G33,100)))</f>
        <v/>
      </c>
      <c r="N33" s="15" t="str">
        <f aca="false">IF(OR($A33="",$B33="",$L33="",$M33="",$J33="취소"),"",IF(SUMPRODUCT(($A$3:$A$2002=$A33)*($B$3:$B$2002=$B33)*($J$3:$J$2002&lt;&gt;"취소")*($L$3:$L$2002&lt;&gt;"")*($M$3:$M$2002&lt;&gt;"")*($L$3:$L$2002&lt;$M33)*($M$3:$M$2002&gt;$L33))&gt;1,"중복","-"))</f>
        <v/>
      </c>
    </row>
    <row r="34" customFormat="false" ht="15" hidden="false" customHeight="true" outlineLevel="0" collapsed="false">
      <c r="A34" s="11"/>
      <c r="B34" s="7"/>
      <c r="C34" s="12" t="str">
        <f aca="false">IF($B34="","",IFERROR(INDEX(자원목록!$B$3:$B$102,MATCH($B34,자원목록!$A$3:$A$102,0)),"미등록자원"))</f>
        <v/>
      </c>
      <c r="D34" s="7"/>
      <c r="E34" s="12" t="str">
        <f aca="false">IF($D34="","",IFERROR(INDEX(고객목록!$B$3:$B$502,MATCH($D34,고객목록!$A$3:$A$502,0)),""))</f>
        <v/>
      </c>
      <c r="F34" s="13"/>
      <c r="G34" s="13"/>
      <c r="H34" s="14" t="str">
        <f aca="false">IF(OR($L34="",$M34=""),"",ROUND(($M34-$L34)/60,2))</f>
        <v/>
      </c>
      <c r="I34" s="9"/>
      <c r="J34" s="7"/>
      <c r="K34" s="7"/>
      <c r="L34" s="15" t="str">
        <f aca="false">IF($F34="","",IF($F34&lt;1,ROUND($F34*1440,0),INT($F34/100)*60+MOD($F34,100)))</f>
        <v/>
      </c>
      <c r="M34" s="15" t="str">
        <f aca="false">IF($G34="","",IF($G34&lt;1,ROUND($G34*1440,0),INT($G34/100)*60+MOD($G34,100)))</f>
        <v/>
      </c>
      <c r="N34" s="15" t="str">
        <f aca="false">IF(OR($A34="",$B34="",$L34="",$M34="",$J34="취소"),"",IF(SUMPRODUCT(($A$3:$A$2002=$A34)*($B$3:$B$2002=$B34)*($J$3:$J$2002&lt;&gt;"취소")*($L$3:$L$2002&lt;&gt;"")*($M$3:$M$2002&lt;&gt;"")*($L$3:$L$2002&lt;$M34)*($M$3:$M$2002&gt;$L34))&gt;1,"중복","-"))</f>
        <v/>
      </c>
    </row>
    <row r="35" customFormat="false" ht="15" hidden="false" customHeight="true" outlineLevel="0" collapsed="false">
      <c r="A35" s="11"/>
      <c r="B35" s="7"/>
      <c r="C35" s="12" t="str">
        <f aca="false">IF($B35="","",IFERROR(INDEX(자원목록!$B$3:$B$102,MATCH($B35,자원목록!$A$3:$A$102,0)),"미등록자원"))</f>
        <v/>
      </c>
      <c r="D35" s="7"/>
      <c r="E35" s="12" t="str">
        <f aca="false">IF($D35="","",IFERROR(INDEX(고객목록!$B$3:$B$502,MATCH($D35,고객목록!$A$3:$A$502,0)),""))</f>
        <v/>
      </c>
      <c r="F35" s="13"/>
      <c r="G35" s="13"/>
      <c r="H35" s="14" t="str">
        <f aca="false">IF(OR($L35="",$M35=""),"",ROUND(($M35-$L35)/60,2))</f>
        <v/>
      </c>
      <c r="I35" s="9"/>
      <c r="J35" s="7"/>
      <c r="K35" s="7"/>
      <c r="L35" s="15" t="str">
        <f aca="false">IF($F35="","",IF($F35&lt;1,ROUND($F35*1440,0),INT($F35/100)*60+MOD($F35,100)))</f>
        <v/>
      </c>
      <c r="M35" s="15" t="str">
        <f aca="false">IF($G35="","",IF($G35&lt;1,ROUND($G35*1440,0),INT($G35/100)*60+MOD($G35,100)))</f>
        <v/>
      </c>
      <c r="N35" s="15" t="str">
        <f aca="false">IF(OR($A35="",$B35="",$L35="",$M35="",$J35="취소"),"",IF(SUMPRODUCT(($A$3:$A$2002=$A35)*($B$3:$B$2002=$B35)*($J$3:$J$2002&lt;&gt;"취소")*($L$3:$L$2002&lt;&gt;"")*($M$3:$M$2002&lt;&gt;"")*($L$3:$L$2002&lt;$M35)*($M$3:$M$2002&gt;$L35))&gt;1,"중복","-"))</f>
        <v/>
      </c>
    </row>
    <row r="36" customFormat="false" ht="15" hidden="false" customHeight="true" outlineLevel="0" collapsed="false">
      <c r="A36" s="11"/>
      <c r="B36" s="7"/>
      <c r="C36" s="12" t="str">
        <f aca="false">IF($B36="","",IFERROR(INDEX(자원목록!$B$3:$B$102,MATCH($B36,자원목록!$A$3:$A$102,0)),"미등록자원"))</f>
        <v/>
      </c>
      <c r="D36" s="7"/>
      <c r="E36" s="12" t="str">
        <f aca="false">IF($D36="","",IFERROR(INDEX(고객목록!$B$3:$B$502,MATCH($D36,고객목록!$A$3:$A$502,0)),""))</f>
        <v/>
      </c>
      <c r="F36" s="13"/>
      <c r="G36" s="13"/>
      <c r="H36" s="14" t="str">
        <f aca="false">IF(OR($L36="",$M36=""),"",ROUND(($M36-$L36)/60,2))</f>
        <v/>
      </c>
      <c r="I36" s="9"/>
      <c r="J36" s="7"/>
      <c r="K36" s="7"/>
      <c r="L36" s="15" t="str">
        <f aca="false">IF($F36="","",IF($F36&lt;1,ROUND($F36*1440,0),INT($F36/100)*60+MOD($F36,100)))</f>
        <v/>
      </c>
      <c r="M36" s="15" t="str">
        <f aca="false">IF($G36="","",IF($G36&lt;1,ROUND($G36*1440,0),INT($G36/100)*60+MOD($G36,100)))</f>
        <v/>
      </c>
      <c r="N36" s="15" t="str">
        <f aca="false">IF(OR($A36="",$B36="",$L36="",$M36="",$J36="취소"),"",IF(SUMPRODUCT(($A$3:$A$2002=$A36)*($B$3:$B$2002=$B36)*($J$3:$J$2002&lt;&gt;"취소")*($L$3:$L$2002&lt;&gt;"")*($M$3:$M$2002&lt;&gt;"")*($L$3:$L$2002&lt;$M36)*($M$3:$M$2002&gt;$L36))&gt;1,"중복","-"))</f>
        <v/>
      </c>
    </row>
    <row r="37" customFormat="false" ht="15" hidden="false" customHeight="true" outlineLevel="0" collapsed="false">
      <c r="A37" s="11"/>
      <c r="B37" s="7"/>
      <c r="C37" s="12" t="str">
        <f aca="false">IF($B37="","",IFERROR(INDEX(자원목록!$B$3:$B$102,MATCH($B37,자원목록!$A$3:$A$102,0)),"미등록자원"))</f>
        <v/>
      </c>
      <c r="D37" s="7"/>
      <c r="E37" s="12" t="str">
        <f aca="false">IF($D37="","",IFERROR(INDEX(고객목록!$B$3:$B$502,MATCH($D37,고객목록!$A$3:$A$502,0)),""))</f>
        <v/>
      </c>
      <c r="F37" s="13"/>
      <c r="G37" s="13"/>
      <c r="H37" s="14" t="str">
        <f aca="false">IF(OR($L37="",$M37=""),"",ROUND(($M37-$L37)/60,2))</f>
        <v/>
      </c>
      <c r="I37" s="9"/>
      <c r="J37" s="7"/>
      <c r="K37" s="7"/>
      <c r="L37" s="15" t="str">
        <f aca="false">IF($F37="","",IF($F37&lt;1,ROUND($F37*1440,0),INT($F37/100)*60+MOD($F37,100)))</f>
        <v/>
      </c>
      <c r="M37" s="15" t="str">
        <f aca="false">IF($G37="","",IF($G37&lt;1,ROUND($G37*1440,0),INT($G37/100)*60+MOD($G37,100)))</f>
        <v/>
      </c>
      <c r="N37" s="15" t="str">
        <f aca="false">IF(OR($A37="",$B37="",$L37="",$M37="",$J37="취소"),"",IF(SUMPRODUCT(($A$3:$A$2002=$A37)*($B$3:$B$2002=$B37)*($J$3:$J$2002&lt;&gt;"취소")*($L$3:$L$2002&lt;&gt;"")*($M$3:$M$2002&lt;&gt;"")*($L$3:$L$2002&lt;$M37)*($M$3:$M$2002&gt;$L37))&gt;1,"중복","-"))</f>
        <v/>
      </c>
    </row>
    <row r="38" customFormat="false" ht="15" hidden="false" customHeight="true" outlineLevel="0" collapsed="false">
      <c r="A38" s="11"/>
      <c r="B38" s="7"/>
      <c r="C38" s="12" t="str">
        <f aca="false">IF($B38="","",IFERROR(INDEX(자원목록!$B$3:$B$102,MATCH($B38,자원목록!$A$3:$A$102,0)),"미등록자원"))</f>
        <v/>
      </c>
      <c r="D38" s="7"/>
      <c r="E38" s="12" t="str">
        <f aca="false">IF($D38="","",IFERROR(INDEX(고객목록!$B$3:$B$502,MATCH($D38,고객목록!$A$3:$A$502,0)),""))</f>
        <v/>
      </c>
      <c r="F38" s="13"/>
      <c r="G38" s="13"/>
      <c r="H38" s="14" t="str">
        <f aca="false">IF(OR($L38="",$M38=""),"",ROUND(($M38-$L38)/60,2))</f>
        <v/>
      </c>
      <c r="I38" s="9"/>
      <c r="J38" s="7"/>
      <c r="K38" s="7"/>
      <c r="L38" s="15" t="str">
        <f aca="false">IF($F38="","",IF($F38&lt;1,ROUND($F38*1440,0),INT($F38/100)*60+MOD($F38,100)))</f>
        <v/>
      </c>
      <c r="M38" s="15" t="str">
        <f aca="false">IF($G38="","",IF($G38&lt;1,ROUND($G38*1440,0),INT($G38/100)*60+MOD($G38,100)))</f>
        <v/>
      </c>
      <c r="N38" s="15" t="str">
        <f aca="false">IF(OR($A38="",$B38="",$L38="",$M38="",$J38="취소"),"",IF(SUMPRODUCT(($A$3:$A$2002=$A38)*($B$3:$B$2002=$B38)*($J$3:$J$2002&lt;&gt;"취소")*($L$3:$L$2002&lt;&gt;"")*($M$3:$M$2002&lt;&gt;"")*($L$3:$L$2002&lt;$M38)*($M$3:$M$2002&gt;$L38))&gt;1,"중복","-"))</f>
        <v/>
      </c>
    </row>
    <row r="39" customFormat="false" ht="15" hidden="false" customHeight="true" outlineLevel="0" collapsed="false">
      <c r="A39" s="11"/>
      <c r="B39" s="7"/>
      <c r="C39" s="12" t="str">
        <f aca="false">IF($B39="","",IFERROR(INDEX(자원목록!$B$3:$B$102,MATCH($B39,자원목록!$A$3:$A$102,0)),"미등록자원"))</f>
        <v/>
      </c>
      <c r="D39" s="7"/>
      <c r="E39" s="12" t="str">
        <f aca="false">IF($D39="","",IFERROR(INDEX(고객목록!$B$3:$B$502,MATCH($D39,고객목록!$A$3:$A$502,0)),""))</f>
        <v/>
      </c>
      <c r="F39" s="13"/>
      <c r="G39" s="13"/>
      <c r="H39" s="14" t="str">
        <f aca="false">IF(OR($L39="",$M39=""),"",ROUND(($M39-$L39)/60,2))</f>
        <v/>
      </c>
      <c r="I39" s="9"/>
      <c r="J39" s="7"/>
      <c r="K39" s="7"/>
      <c r="L39" s="15" t="str">
        <f aca="false">IF($F39="","",IF($F39&lt;1,ROUND($F39*1440,0),INT($F39/100)*60+MOD($F39,100)))</f>
        <v/>
      </c>
      <c r="M39" s="15" t="str">
        <f aca="false">IF($G39="","",IF($G39&lt;1,ROUND($G39*1440,0),INT($G39/100)*60+MOD($G39,100)))</f>
        <v/>
      </c>
      <c r="N39" s="15" t="str">
        <f aca="false">IF(OR($A39="",$B39="",$L39="",$M39="",$J39="취소"),"",IF(SUMPRODUCT(($A$3:$A$2002=$A39)*($B$3:$B$2002=$B39)*($J$3:$J$2002&lt;&gt;"취소")*($L$3:$L$2002&lt;&gt;"")*($M$3:$M$2002&lt;&gt;"")*($L$3:$L$2002&lt;$M39)*($M$3:$M$2002&gt;$L39))&gt;1,"중복","-"))</f>
        <v/>
      </c>
    </row>
    <row r="40" customFormat="false" ht="15" hidden="false" customHeight="true" outlineLevel="0" collapsed="false">
      <c r="A40" s="11"/>
      <c r="B40" s="7"/>
      <c r="C40" s="12" t="str">
        <f aca="false">IF($B40="","",IFERROR(INDEX(자원목록!$B$3:$B$102,MATCH($B40,자원목록!$A$3:$A$102,0)),"미등록자원"))</f>
        <v/>
      </c>
      <c r="D40" s="7"/>
      <c r="E40" s="12" t="str">
        <f aca="false">IF($D40="","",IFERROR(INDEX(고객목록!$B$3:$B$502,MATCH($D40,고객목록!$A$3:$A$502,0)),""))</f>
        <v/>
      </c>
      <c r="F40" s="13"/>
      <c r="G40" s="13"/>
      <c r="H40" s="14" t="str">
        <f aca="false">IF(OR($L40="",$M40=""),"",ROUND(($M40-$L40)/60,2))</f>
        <v/>
      </c>
      <c r="I40" s="9"/>
      <c r="J40" s="7"/>
      <c r="K40" s="7"/>
      <c r="L40" s="15" t="str">
        <f aca="false">IF($F40="","",IF($F40&lt;1,ROUND($F40*1440,0),INT($F40/100)*60+MOD($F40,100)))</f>
        <v/>
      </c>
      <c r="M40" s="15" t="str">
        <f aca="false">IF($G40="","",IF($G40&lt;1,ROUND($G40*1440,0),INT($G40/100)*60+MOD($G40,100)))</f>
        <v/>
      </c>
      <c r="N40" s="15" t="str">
        <f aca="false">IF(OR($A40="",$B40="",$L40="",$M40="",$J40="취소"),"",IF(SUMPRODUCT(($A$3:$A$2002=$A40)*($B$3:$B$2002=$B40)*($J$3:$J$2002&lt;&gt;"취소")*($L$3:$L$2002&lt;&gt;"")*($M$3:$M$2002&lt;&gt;"")*($L$3:$L$2002&lt;$M40)*($M$3:$M$2002&gt;$L40))&gt;1,"중복","-"))</f>
        <v/>
      </c>
    </row>
    <row r="41" customFormat="false" ht="15" hidden="false" customHeight="true" outlineLevel="0" collapsed="false">
      <c r="A41" s="11"/>
      <c r="B41" s="7"/>
      <c r="C41" s="12" t="str">
        <f aca="false">IF($B41="","",IFERROR(INDEX(자원목록!$B$3:$B$102,MATCH($B41,자원목록!$A$3:$A$102,0)),"미등록자원"))</f>
        <v/>
      </c>
      <c r="D41" s="7"/>
      <c r="E41" s="12" t="str">
        <f aca="false">IF($D41="","",IFERROR(INDEX(고객목록!$B$3:$B$502,MATCH($D41,고객목록!$A$3:$A$502,0)),""))</f>
        <v/>
      </c>
      <c r="F41" s="13"/>
      <c r="G41" s="13"/>
      <c r="H41" s="14" t="str">
        <f aca="false">IF(OR($L41="",$M41=""),"",ROUND(($M41-$L41)/60,2))</f>
        <v/>
      </c>
      <c r="I41" s="9"/>
      <c r="J41" s="7"/>
      <c r="K41" s="7"/>
      <c r="L41" s="15" t="str">
        <f aca="false">IF($F41="","",IF($F41&lt;1,ROUND($F41*1440,0),INT($F41/100)*60+MOD($F41,100)))</f>
        <v/>
      </c>
      <c r="M41" s="15" t="str">
        <f aca="false">IF($G41="","",IF($G41&lt;1,ROUND($G41*1440,0),INT($G41/100)*60+MOD($G41,100)))</f>
        <v/>
      </c>
      <c r="N41" s="15" t="str">
        <f aca="false">IF(OR($A41="",$B41="",$L41="",$M41="",$J41="취소"),"",IF(SUMPRODUCT(($A$3:$A$2002=$A41)*($B$3:$B$2002=$B41)*($J$3:$J$2002&lt;&gt;"취소")*($L$3:$L$2002&lt;&gt;"")*($M$3:$M$2002&lt;&gt;"")*($L$3:$L$2002&lt;$M41)*($M$3:$M$2002&gt;$L41))&gt;1,"중복","-"))</f>
        <v/>
      </c>
    </row>
    <row r="42" customFormat="false" ht="15" hidden="false" customHeight="true" outlineLevel="0" collapsed="false">
      <c r="A42" s="11"/>
      <c r="B42" s="7"/>
      <c r="C42" s="12" t="str">
        <f aca="false">IF($B42="","",IFERROR(INDEX(자원목록!$B$3:$B$102,MATCH($B42,자원목록!$A$3:$A$102,0)),"미등록자원"))</f>
        <v/>
      </c>
      <c r="D42" s="7"/>
      <c r="E42" s="12" t="str">
        <f aca="false">IF($D42="","",IFERROR(INDEX(고객목록!$B$3:$B$502,MATCH($D42,고객목록!$A$3:$A$502,0)),""))</f>
        <v/>
      </c>
      <c r="F42" s="13"/>
      <c r="G42" s="13"/>
      <c r="H42" s="14" t="str">
        <f aca="false">IF(OR($L42="",$M42=""),"",ROUND(($M42-$L42)/60,2))</f>
        <v/>
      </c>
      <c r="I42" s="9"/>
      <c r="J42" s="7"/>
      <c r="K42" s="7"/>
      <c r="L42" s="15" t="str">
        <f aca="false">IF($F42="","",IF($F42&lt;1,ROUND($F42*1440,0),INT($F42/100)*60+MOD($F42,100)))</f>
        <v/>
      </c>
      <c r="M42" s="15" t="str">
        <f aca="false">IF($G42="","",IF($G42&lt;1,ROUND($G42*1440,0),INT($G42/100)*60+MOD($G42,100)))</f>
        <v/>
      </c>
      <c r="N42" s="15" t="str">
        <f aca="false">IF(OR($A42="",$B42="",$L42="",$M42="",$J42="취소"),"",IF(SUMPRODUCT(($A$3:$A$2002=$A42)*($B$3:$B$2002=$B42)*($J$3:$J$2002&lt;&gt;"취소")*($L$3:$L$2002&lt;&gt;"")*($M$3:$M$2002&lt;&gt;"")*($L$3:$L$2002&lt;$M42)*($M$3:$M$2002&gt;$L42))&gt;1,"중복","-"))</f>
        <v/>
      </c>
    </row>
    <row r="43" customFormat="false" ht="15" hidden="false" customHeight="true" outlineLevel="0" collapsed="false">
      <c r="A43" s="11"/>
      <c r="B43" s="7"/>
      <c r="C43" s="12" t="str">
        <f aca="false">IF($B43="","",IFERROR(INDEX(자원목록!$B$3:$B$102,MATCH($B43,자원목록!$A$3:$A$102,0)),"미등록자원"))</f>
        <v/>
      </c>
      <c r="D43" s="7"/>
      <c r="E43" s="12" t="str">
        <f aca="false">IF($D43="","",IFERROR(INDEX(고객목록!$B$3:$B$502,MATCH($D43,고객목록!$A$3:$A$502,0)),""))</f>
        <v/>
      </c>
      <c r="F43" s="13"/>
      <c r="G43" s="13"/>
      <c r="H43" s="14" t="str">
        <f aca="false">IF(OR($L43="",$M43=""),"",ROUND(($M43-$L43)/60,2))</f>
        <v/>
      </c>
      <c r="I43" s="9"/>
      <c r="J43" s="7"/>
      <c r="K43" s="7"/>
      <c r="L43" s="15" t="str">
        <f aca="false">IF($F43="","",IF($F43&lt;1,ROUND($F43*1440,0),INT($F43/100)*60+MOD($F43,100)))</f>
        <v/>
      </c>
      <c r="M43" s="15" t="str">
        <f aca="false">IF($G43="","",IF($G43&lt;1,ROUND($G43*1440,0),INT($G43/100)*60+MOD($G43,100)))</f>
        <v/>
      </c>
      <c r="N43" s="15" t="str">
        <f aca="false">IF(OR($A43="",$B43="",$L43="",$M43="",$J43="취소"),"",IF(SUMPRODUCT(($A$3:$A$2002=$A43)*($B$3:$B$2002=$B43)*($J$3:$J$2002&lt;&gt;"취소")*($L$3:$L$2002&lt;&gt;"")*($M$3:$M$2002&lt;&gt;"")*($L$3:$L$2002&lt;$M43)*($M$3:$M$2002&gt;$L43))&gt;1,"중복","-"))</f>
        <v/>
      </c>
    </row>
    <row r="44" customFormat="false" ht="15" hidden="false" customHeight="true" outlineLevel="0" collapsed="false">
      <c r="A44" s="11"/>
      <c r="B44" s="7"/>
      <c r="C44" s="12" t="str">
        <f aca="false">IF($B44="","",IFERROR(INDEX(자원목록!$B$3:$B$102,MATCH($B44,자원목록!$A$3:$A$102,0)),"미등록자원"))</f>
        <v/>
      </c>
      <c r="D44" s="7"/>
      <c r="E44" s="12" t="str">
        <f aca="false">IF($D44="","",IFERROR(INDEX(고객목록!$B$3:$B$502,MATCH($D44,고객목록!$A$3:$A$502,0)),""))</f>
        <v/>
      </c>
      <c r="F44" s="13"/>
      <c r="G44" s="13"/>
      <c r="H44" s="14" t="str">
        <f aca="false">IF(OR($L44="",$M44=""),"",ROUND(($M44-$L44)/60,2))</f>
        <v/>
      </c>
      <c r="I44" s="9"/>
      <c r="J44" s="7"/>
      <c r="K44" s="7"/>
      <c r="L44" s="15" t="str">
        <f aca="false">IF($F44="","",IF($F44&lt;1,ROUND($F44*1440,0),INT($F44/100)*60+MOD($F44,100)))</f>
        <v/>
      </c>
      <c r="M44" s="15" t="str">
        <f aca="false">IF($G44="","",IF($G44&lt;1,ROUND($G44*1440,0),INT($G44/100)*60+MOD($G44,100)))</f>
        <v/>
      </c>
      <c r="N44" s="15" t="str">
        <f aca="false">IF(OR($A44="",$B44="",$L44="",$M44="",$J44="취소"),"",IF(SUMPRODUCT(($A$3:$A$2002=$A44)*($B$3:$B$2002=$B44)*($J$3:$J$2002&lt;&gt;"취소")*($L$3:$L$2002&lt;&gt;"")*($M$3:$M$2002&lt;&gt;"")*($L$3:$L$2002&lt;$M44)*($M$3:$M$2002&gt;$L44))&gt;1,"중복","-"))</f>
        <v/>
      </c>
    </row>
    <row r="45" customFormat="false" ht="15" hidden="false" customHeight="true" outlineLevel="0" collapsed="false">
      <c r="A45" s="11"/>
      <c r="B45" s="7"/>
      <c r="C45" s="12" t="str">
        <f aca="false">IF($B45="","",IFERROR(INDEX(자원목록!$B$3:$B$102,MATCH($B45,자원목록!$A$3:$A$102,0)),"미등록자원"))</f>
        <v/>
      </c>
      <c r="D45" s="7"/>
      <c r="E45" s="12" t="str">
        <f aca="false">IF($D45="","",IFERROR(INDEX(고객목록!$B$3:$B$502,MATCH($D45,고객목록!$A$3:$A$502,0)),""))</f>
        <v/>
      </c>
      <c r="F45" s="13"/>
      <c r="G45" s="13"/>
      <c r="H45" s="14" t="str">
        <f aca="false">IF(OR($L45="",$M45=""),"",ROUND(($M45-$L45)/60,2))</f>
        <v/>
      </c>
      <c r="I45" s="9"/>
      <c r="J45" s="7"/>
      <c r="K45" s="7"/>
      <c r="L45" s="15" t="str">
        <f aca="false">IF($F45="","",IF($F45&lt;1,ROUND($F45*1440,0),INT($F45/100)*60+MOD($F45,100)))</f>
        <v/>
      </c>
      <c r="M45" s="15" t="str">
        <f aca="false">IF($G45="","",IF($G45&lt;1,ROUND($G45*1440,0),INT($G45/100)*60+MOD($G45,100)))</f>
        <v/>
      </c>
      <c r="N45" s="15" t="str">
        <f aca="false">IF(OR($A45="",$B45="",$L45="",$M45="",$J45="취소"),"",IF(SUMPRODUCT(($A$3:$A$2002=$A45)*($B$3:$B$2002=$B45)*($J$3:$J$2002&lt;&gt;"취소")*($L$3:$L$2002&lt;&gt;"")*($M$3:$M$2002&lt;&gt;"")*($L$3:$L$2002&lt;$M45)*($M$3:$M$2002&gt;$L45))&gt;1,"중복","-"))</f>
        <v/>
      </c>
    </row>
    <row r="46" customFormat="false" ht="15" hidden="false" customHeight="true" outlineLevel="0" collapsed="false">
      <c r="A46" s="11"/>
      <c r="B46" s="7"/>
      <c r="C46" s="12" t="str">
        <f aca="false">IF($B46="","",IFERROR(INDEX(자원목록!$B$3:$B$102,MATCH($B46,자원목록!$A$3:$A$102,0)),"미등록자원"))</f>
        <v/>
      </c>
      <c r="D46" s="7"/>
      <c r="E46" s="12" t="str">
        <f aca="false">IF($D46="","",IFERROR(INDEX(고객목록!$B$3:$B$502,MATCH($D46,고객목록!$A$3:$A$502,0)),""))</f>
        <v/>
      </c>
      <c r="F46" s="13"/>
      <c r="G46" s="13"/>
      <c r="H46" s="14" t="str">
        <f aca="false">IF(OR($L46="",$M46=""),"",ROUND(($M46-$L46)/60,2))</f>
        <v/>
      </c>
      <c r="I46" s="9"/>
      <c r="J46" s="7"/>
      <c r="K46" s="7"/>
      <c r="L46" s="15" t="str">
        <f aca="false">IF($F46="","",IF($F46&lt;1,ROUND($F46*1440,0),INT($F46/100)*60+MOD($F46,100)))</f>
        <v/>
      </c>
      <c r="M46" s="15" t="str">
        <f aca="false">IF($G46="","",IF($G46&lt;1,ROUND($G46*1440,0),INT($G46/100)*60+MOD($G46,100)))</f>
        <v/>
      </c>
      <c r="N46" s="15" t="str">
        <f aca="false">IF(OR($A46="",$B46="",$L46="",$M46="",$J46="취소"),"",IF(SUMPRODUCT(($A$3:$A$2002=$A46)*($B$3:$B$2002=$B46)*($J$3:$J$2002&lt;&gt;"취소")*($L$3:$L$2002&lt;&gt;"")*($M$3:$M$2002&lt;&gt;"")*($L$3:$L$2002&lt;$M46)*($M$3:$M$2002&gt;$L46))&gt;1,"중복","-"))</f>
        <v/>
      </c>
    </row>
    <row r="47" customFormat="false" ht="15" hidden="false" customHeight="true" outlineLevel="0" collapsed="false">
      <c r="A47" s="11"/>
      <c r="B47" s="7"/>
      <c r="C47" s="12" t="str">
        <f aca="false">IF($B47="","",IFERROR(INDEX(자원목록!$B$3:$B$102,MATCH($B47,자원목록!$A$3:$A$102,0)),"미등록자원"))</f>
        <v/>
      </c>
      <c r="D47" s="7"/>
      <c r="E47" s="12" t="str">
        <f aca="false">IF($D47="","",IFERROR(INDEX(고객목록!$B$3:$B$502,MATCH($D47,고객목록!$A$3:$A$502,0)),""))</f>
        <v/>
      </c>
      <c r="F47" s="13"/>
      <c r="G47" s="13"/>
      <c r="H47" s="14" t="str">
        <f aca="false">IF(OR($L47="",$M47=""),"",ROUND(($M47-$L47)/60,2))</f>
        <v/>
      </c>
      <c r="I47" s="9"/>
      <c r="J47" s="7"/>
      <c r="K47" s="7"/>
      <c r="L47" s="15" t="str">
        <f aca="false">IF($F47="","",IF($F47&lt;1,ROUND($F47*1440,0),INT($F47/100)*60+MOD($F47,100)))</f>
        <v/>
      </c>
      <c r="M47" s="15" t="str">
        <f aca="false">IF($G47="","",IF($G47&lt;1,ROUND($G47*1440,0),INT($G47/100)*60+MOD($G47,100)))</f>
        <v/>
      </c>
      <c r="N47" s="15" t="str">
        <f aca="false">IF(OR($A47="",$B47="",$L47="",$M47="",$J47="취소"),"",IF(SUMPRODUCT(($A$3:$A$2002=$A47)*($B$3:$B$2002=$B47)*($J$3:$J$2002&lt;&gt;"취소")*($L$3:$L$2002&lt;&gt;"")*($M$3:$M$2002&lt;&gt;"")*($L$3:$L$2002&lt;$M47)*($M$3:$M$2002&gt;$L47))&gt;1,"중복","-"))</f>
        <v/>
      </c>
    </row>
    <row r="48" customFormat="false" ht="15" hidden="false" customHeight="true" outlineLevel="0" collapsed="false">
      <c r="A48" s="11"/>
      <c r="B48" s="7"/>
      <c r="C48" s="12" t="str">
        <f aca="false">IF($B48="","",IFERROR(INDEX(자원목록!$B$3:$B$102,MATCH($B48,자원목록!$A$3:$A$102,0)),"미등록자원"))</f>
        <v/>
      </c>
      <c r="D48" s="7"/>
      <c r="E48" s="12" t="str">
        <f aca="false">IF($D48="","",IFERROR(INDEX(고객목록!$B$3:$B$502,MATCH($D48,고객목록!$A$3:$A$502,0)),""))</f>
        <v/>
      </c>
      <c r="F48" s="13"/>
      <c r="G48" s="13"/>
      <c r="H48" s="14" t="str">
        <f aca="false">IF(OR($L48="",$M48=""),"",ROUND(($M48-$L48)/60,2))</f>
        <v/>
      </c>
      <c r="I48" s="9"/>
      <c r="J48" s="7"/>
      <c r="K48" s="7"/>
      <c r="L48" s="15" t="str">
        <f aca="false">IF($F48="","",IF($F48&lt;1,ROUND($F48*1440,0),INT($F48/100)*60+MOD($F48,100)))</f>
        <v/>
      </c>
      <c r="M48" s="15" t="str">
        <f aca="false">IF($G48="","",IF($G48&lt;1,ROUND($G48*1440,0),INT($G48/100)*60+MOD($G48,100)))</f>
        <v/>
      </c>
      <c r="N48" s="15" t="str">
        <f aca="false">IF(OR($A48="",$B48="",$L48="",$M48="",$J48="취소"),"",IF(SUMPRODUCT(($A$3:$A$2002=$A48)*($B$3:$B$2002=$B48)*($J$3:$J$2002&lt;&gt;"취소")*($L$3:$L$2002&lt;&gt;"")*($M$3:$M$2002&lt;&gt;"")*($L$3:$L$2002&lt;$M48)*($M$3:$M$2002&gt;$L48))&gt;1,"중복","-"))</f>
        <v/>
      </c>
    </row>
    <row r="49" customFormat="false" ht="15" hidden="false" customHeight="true" outlineLevel="0" collapsed="false">
      <c r="A49" s="11"/>
      <c r="B49" s="7"/>
      <c r="C49" s="12" t="str">
        <f aca="false">IF($B49="","",IFERROR(INDEX(자원목록!$B$3:$B$102,MATCH($B49,자원목록!$A$3:$A$102,0)),"미등록자원"))</f>
        <v/>
      </c>
      <c r="D49" s="7"/>
      <c r="E49" s="12" t="str">
        <f aca="false">IF($D49="","",IFERROR(INDEX(고객목록!$B$3:$B$502,MATCH($D49,고객목록!$A$3:$A$502,0)),""))</f>
        <v/>
      </c>
      <c r="F49" s="13"/>
      <c r="G49" s="13"/>
      <c r="H49" s="14" t="str">
        <f aca="false">IF(OR($L49="",$M49=""),"",ROUND(($M49-$L49)/60,2))</f>
        <v/>
      </c>
      <c r="I49" s="9"/>
      <c r="J49" s="7"/>
      <c r="K49" s="7"/>
      <c r="L49" s="15" t="str">
        <f aca="false">IF($F49="","",IF($F49&lt;1,ROUND($F49*1440,0),INT($F49/100)*60+MOD($F49,100)))</f>
        <v/>
      </c>
      <c r="M49" s="15" t="str">
        <f aca="false">IF($G49="","",IF($G49&lt;1,ROUND($G49*1440,0),INT($G49/100)*60+MOD($G49,100)))</f>
        <v/>
      </c>
      <c r="N49" s="15" t="str">
        <f aca="false">IF(OR($A49="",$B49="",$L49="",$M49="",$J49="취소"),"",IF(SUMPRODUCT(($A$3:$A$2002=$A49)*($B$3:$B$2002=$B49)*($J$3:$J$2002&lt;&gt;"취소")*($L$3:$L$2002&lt;&gt;"")*($M$3:$M$2002&lt;&gt;"")*($L$3:$L$2002&lt;$M49)*($M$3:$M$2002&gt;$L49))&gt;1,"중복","-"))</f>
        <v/>
      </c>
    </row>
    <row r="50" customFormat="false" ht="15" hidden="false" customHeight="true" outlineLevel="0" collapsed="false">
      <c r="A50" s="11"/>
      <c r="B50" s="7"/>
      <c r="C50" s="12" t="str">
        <f aca="false">IF($B50="","",IFERROR(INDEX(자원목록!$B$3:$B$102,MATCH($B50,자원목록!$A$3:$A$102,0)),"미등록자원"))</f>
        <v/>
      </c>
      <c r="D50" s="7"/>
      <c r="E50" s="12" t="str">
        <f aca="false">IF($D50="","",IFERROR(INDEX(고객목록!$B$3:$B$502,MATCH($D50,고객목록!$A$3:$A$502,0)),""))</f>
        <v/>
      </c>
      <c r="F50" s="13"/>
      <c r="G50" s="13"/>
      <c r="H50" s="14" t="str">
        <f aca="false">IF(OR($L50="",$M50=""),"",ROUND(($M50-$L50)/60,2))</f>
        <v/>
      </c>
      <c r="I50" s="9"/>
      <c r="J50" s="7"/>
      <c r="K50" s="7"/>
      <c r="L50" s="15" t="str">
        <f aca="false">IF($F50="","",IF($F50&lt;1,ROUND($F50*1440,0),INT($F50/100)*60+MOD($F50,100)))</f>
        <v/>
      </c>
      <c r="M50" s="15" t="str">
        <f aca="false">IF($G50="","",IF($G50&lt;1,ROUND($G50*1440,0),INT($G50/100)*60+MOD($G50,100)))</f>
        <v/>
      </c>
      <c r="N50" s="15" t="str">
        <f aca="false">IF(OR($A50="",$B50="",$L50="",$M50="",$J50="취소"),"",IF(SUMPRODUCT(($A$3:$A$2002=$A50)*($B$3:$B$2002=$B50)*($J$3:$J$2002&lt;&gt;"취소")*($L$3:$L$2002&lt;&gt;"")*($M$3:$M$2002&lt;&gt;"")*($L$3:$L$2002&lt;$M50)*($M$3:$M$2002&gt;$L50))&gt;1,"중복","-"))</f>
        <v/>
      </c>
    </row>
    <row r="51" customFormat="false" ht="15" hidden="false" customHeight="true" outlineLevel="0" collapsed="false">
      <c r="A51" s="11"/>
      <c r="B51" s="7"/>
      <c r="C51" s="12" t="str">
        <f aca="false">IF($B51="","",IFERROR(INDEX(자원목록!$B$3:$B$102,MATCH($B51,자원목록!$A$3:$A$102,0)),"미등록자원"))</f>
        <v/>
      </c>
      <c r="D51" s="7"/>
      <c r="E51" s="12" t="str">
        <f aca="false">IF($D51="","",IFERROR(INDEX(고객목록!$B$3:$B$502,MATCH($D51,고객목록!$A$3:$A$502,0)),""))</f>
        <v/>
      </c>
      <c r="F51" s="13"/>
      <c r="G51" s="13"/>
      <c r="H51" s="14" t="str">
        <f aca="false">IF(OR($L51="",$M51=""),"",ROUND(($M51-$L51)/60,2))</f>
        <v/>
      </c>
      <c r="I51" s="9"/>
      <c r="J51" s="7"/>
      <c r="K51" s="7"/>
      <c r="L51" s="15" t="str">
        <f aca="false">IF($F51="","",IF($F51&lt;1,ROUND($F51*1440,0),INT($F51/100)*60+MOD($F51,100)))</f>
        <v/>
      </c>
      <c r="M51" s="15" t="str">
        <f aca="false">IF($G51="","",IF($G51&lt;1,ROUND($G51*1440,0),INT($G51/100)*60+MOD($G51,100)))</f>
        <v/>
      </c>
      <c r="N51" s="15" t="str">
        <f aca="false">IF(OR($A51="",$B51="",$L51="",$M51="",$J51="취소"),"",IF(SUMPRODUCT(($A$3:$A$2002=$A51)*($B$3:$B$2002=$B51)*($J$3:$J$2002&lt;&gt;"취소")*($L$3:$L$2002&lt;&gt;"")*($M$3:$M$2002&lt;&gt;"")*($L$3:$L$2002&lt;$M51)*($M$3:$M$2002&gt;$L51))&gt;1,"중복","-"))</f>
        <v/>
      </c>
    </row>
    <row r="52" customFormat="false" ht="15" hidden="false" customHeight="true" outlineLevel="0" collapsed="false">
      <c r="A52" s="11"/>
      <c r="B52" s="7"/>
      <c r="C52" s="12" t="str">
        <f aca="false">IF($B52="","",IFERROR(INDEX(자원목록!$B$3:$B$102,MATCH($B52,자원목록!$A$3:$A$102,0)),"미등록자원"))</f>
        <v/>
      </c>
      <c r="D52" s="7"/>
      <c r="E52" s="12" t="str">
        <f aca="false">IF($D52="","",IFERROR(INDEX(고객목록!$B$3:$B$502,MATCH($D52,고객목록!$A$3:$A$502,0)),""))</f>
        <v/>
      </c>
      <c r="F52" s="13"/>
      <c r="G52" s="13"/>
      <c r="H52" s="14" t="str">
        <f aca="false">IF(OR($L52="",$M52=""),"",ROUND(($M52-$L52)/60,2))</f>
        <v/>
      </c>
      <c r="I52" s="9"/>
      <c r="J52" s="7"/>
      <c r="K52" s="7"/>
      <c r="L52" s="15" t="str">
        <f aca="false">IF($F52="","",IF($F52&lt;1,ROUND($F52*1440,0),INT($F52/100)*60+MOD($F52,100)))</f>
        <v/>
      </c>
      <c r="M52" s="15" t="str">
        <f aca="false">IF($G52="","",IF($G52&lt;1,ROUND($G52*1440,0),INT($G52/100)*60+MOD($G52,100)))</f>
        <v/>
      </c>
      <c r="N52" s="15" t="str">
        <f aca="false">IF(OR($A52="",$B52="",$L52="",$M52="",$J52="취소"),"",IF(SUMPRODUCT(($A$3:$A$2002=$A52)*($B$3:$B$2002=$B52)*($J$3:$J$2002&lt;&gt;"취소")*($L$3:$L$2002&lt;&gt;"")*($M$3:$M$2002&lt;&gt;"")*($L$3:$L$2002&lt;$M52)*($M$3:$M$2002&gt;$L52))&gt;1,"중복","-"))</f>
        <v/>
      </c>
    </row>
    <row r="53" customFormat="false" ht="15" hidden="false" customHeight="true" outlineLevel="0" collapsed="false">
      <c r="A53" s="11"/>
      <c r="B53" s="7"/>
      <c r="C53" s="12" t="str">
        <f aca="false">IF($B53="","",IFERROR(INDEX(자원목록!$B$3:$B$102,MATCH($B53,자원목록!$A$3:$A$102,0)),"미등록자원"))</f>
        <v/>
      </c>
      <c r="D53" s="7"/>
      <c r="E53" s="12" t="str">
        <f aca="false">IF($D53="","",IFERROR(INDEX(고객목록!$B$3:$B$502,MATCH($D53,고객목록!$A$3:$A$502,0)),""))</f>
        <v/>
      </c>
      <c r="F53" s="13"/>
      <c r="G53" s="13"/>
      <c r="H53" s="14" t="str">
        <f aca="false">IF(OR($L53="",$M53=""),"",ROUND(($M53-$L53)/60,2))</f>
        <v/>
      </c>
      <c r="I53" s="9"/>
      <c r="J53" s="7"/>
      <c r="K53" s="7"/>
      <c r="L53" s="15" t="str">
        <f aca="false">IF($F53="","",IF($F53&lt;1,ROUND($F53*1440,0),INT($F53/100)*60+MOD($F53,100)))</f>
        <v/>
      </c>
      <c r="M53" s="15" t="str">
        <f aca="false">IF($G53="","",IF($G53&lt;1,ROUND($G53*1440,0),INT($G53/100)*60+MOD($G53,100)))</f>
        <v/>
      </c>
      <c r="N53" s="15" t="str">
        <f aca="false">IF(OR($A53="",$B53="",$L53="",$M53="",$J53="취소"),"",IF(SUMPRODUCT(($A$3:$A$2002=$A53)*($B$3:$B$2002=$B53)*($J$3:$J$2002&lt;&gt;"취소")*($L$3:$L$2002&lt;&gt;"")*($M$3:$M$2002&lt;&gt;"")*($L$3:$L$2002&lt;$M53)*($M$3:$M$2002&gt;$L53))&gt;1,"중복","-"))</f>
        <v/>
      </c>
    </row>
    <row r="54" customFormat="false" ht="15" hidden="false" customHeight="true" outlineLevel="0" collapsed="false">
      <c r="A54" s="11"/>
      <c r="B54" s="7"/>
      <c r="C54" s="12" t="str">
        <f aca="false">IF($B54="","",IFERROR(INDEX(자원목록!$B$3:$B$102,MATCH($B54,자원목록!$A$3:$A$102,0)),"미등록자원"))</f>
        <v/>
      </c>
      <c r="D54" s="7"/>
      <c r="E54" s="12" t="str">
        <f aca="false">IF($D54="","",IFERROR(INDEX(고객목록!$B$3:$B$502,MATCH($D54,고객목록!$A$3:$A$502,0)),""))</f>
        <v/>
      </c>
      <c r="F54" s="13"/>
      <c r="G54" s="13"/>
      <c r="H54" s="14" t="str">
        <f aca="false">IF(OR($L54="",$M54=""),"",ROUND(($M54-$L54)/60,2))</f>
        <v/>
      </c>
      <c r="I54" s="9"/>
      <c r="J54" s="7"/>
      <c r="K54" s="7"/>
      <c r="L54" s="15" t="str">
        <f aca="false">IF($F54="","",IF($F54&lt;1,ROUND($F54*1440,0),INT($F54/100)*60+MOD($F54,100)))</f>
        <v/>
      </c>
      <c r="M54" s="15" t="str">
        <f aca="false">IF($G54="","",IF($G54&lt;1,ROUND($G54*1440,0),INT($G54/100)*60+MOD($G54,100)))</f>
        <v/>
      </c>
      <c r="N54" s="15" t="str">
        <f aca="false">IF(OR($A54="",$B54="",$L54="",$M54="",$J54="취소"),"",IF(SUMPRODUCT(($A$3:$A$2002=$A54)*($B$3:$B$2002=$B54)*($J$3:$J$2002&lt;&gt;"취소")*($L$3:$L$2002&lt;&gt;"")*($M$3:$M$2002&lt;&gt;"")*($L$3:$L$2002&lt;$M54)*($M$3:$M$2002&gt;$L54))&gt;1,"중복","-"))</f>
        <v/>
      </c>
    </row>
    <row r="55" customFormat="false" ht="15" hidden="false" customHeight="true" outlineLevel="0" collapsed="false">
      <c r="A55" s="11"/>
      <c r="B55" s="7"/>
      <c r="C55" s="12" t="str">
        <f aca="false">IF($B55="","",IFERROR(INDEX(자원목록!$B$3:$B$102,MATCH($B55,자원목록!$A$3:$A$102,0)),"미등록자원"))</f>
        <v/>
      </c>
      <c r="D55" s="7"/>
      <c r="E55" s="12" t="str">
        <f aca="false">IF($D55="","",IFERROR(INDEX(고객목록!$B$3:$B$502,MATCH($D55,고객목록!$A$3:$A$502,0)),""))</f>
        <v/>
      </c>
      <c r="F55" s="13"/>
      <c r="G55" s="13"/>
      <c r="H55" s="14" t="str">
        <f aca="false">IF(OR($L55="",$M55=""),"",ROUND(($M55-$L55)/60,2))</f>
        <v/>
      </c>
      <c r="I55" s="9"/>
      <c r="J55" s="7"/>
      <c r="K55" s="7"/>
      <c r="L55" s="15" t="str">
        <f aca="false">IF($F55="","",IF($F55&lt;1,ROUND($F55*1440,0),INT($F55/100)*60+MOD($F55,100)))</f>
        <v/>
      </c>
      <c r="M55" s="15" t="str">
        <f aca="false">IF($G55="","",IF($G55&lt;1,ROUND($G55*1440,0),INT($G55/100)*60+MOD($G55,100)))</f>
        <v/>
      </c>
      <c r="N55" s="15" t="str">
        <f aca="false">IF(OR($A55="",$B55="",$L55="",$M55="",$J55="취소"),"",IF(SUMPRODUCT(($A$3:$A$2002=$A55)*($B$3:$B$2002=$B55)*($J$3:$J$2002&lt;&gt;"취소")*($L$3:$L$2002&lt;&gt;"")*($M$3:$M$2002&lt;&gt;"")*($L$3:$L$2002&lt;$M55)*($M$3:$M$2002&gt;$L55))&gt;1,"중복","-"))</f>
        <v/>
      </c>
    </row>
    <row r="56" customFormat="false" ht="15" hidden="false" customHeight="true" outlineLevel="0" collapsed="false">
      <c r="A56" s="11"/>
      <c r="B56" s="7"/>
      <c r="C56" s="12" t="str">
        <f aca="false">IF($B56="","",IFERROR(INDEX(자원목록!$B$3:$B$102,MATCH($B56,자원목록!$A$3:$A$102,0)),"미등록자원"))</f>
        <v/>
      </c>
      <c r="D56" s="7"/>
      <c r="E56" s="12" t="str">
        <f aca="false">IF($D56="","",IFERROR(INDEX(고객목록!$B$3:$B$502,MATCH($D56,고객목록!$A$3:$A$502,0)),""))</f>
        <v/>
      </c>
      <c r="F56" s="13"/>
      <c r="G56" s="13"/>
      <c r="H56" s="14" t="str">
        <f aca="false">IF(OR($L56="",$M56=""),"",ROUND(($M56-$L56)/60,2))</f>
        <v/>
      </c>
      <c r="I56" s="9"/>
      <c r="J56" s="7"/>
      <c r="K56" s="7"/>
      <c r="L56" s="15" t="str">
        <f aca="false">IF($F56="","",IF($F56&lt;1,ROUND($F56*1440,0),INT($F56/100)*60+MOD($F56,100)))</f>
        <v/>
      </c>
      <c r="M56" s="15" t="str">
        <f aca="false">IF($G56="","",IF($G56&lt;1,ROUND($G56*1440,0),INT($G56/100)*60+MOD($G56,100)))</f>
        <v/>
      </c>
      <c r="N56" s="15" t="str">
        <f aca="false">IF(OR($A56="",$B56="",$L56="",$M56="",$J56="취소"),"",IF(SUMPRODUCT(($A$3:$A$2002=$A56)*($B$3:$B$2002=$B56)*($J$3:$J$2002&lt;&gt;"취소")*($L$3:$L$2002&lt;&gt;"")*($M$3:$M$2002&lt;&gt;"")*($L$3:$L$2002&lt;$M56)*($M$3:$M$2002&gt;$L56))&gt;1,"중복","-"))</f>
        <v/>
      </c>
    </row>
    <row r="57" customFormat="false" ht="15" hidden="false" customHeight="true" outlineLevel="0" collapsed="false">
      <c r="A57" s="11"/>
      <c r="B57" s="7"/>
      <c r="C57" s="12" t="str">
        <f aca="false">IF($B57="","",IFERROR(INDEX(자원목록!$B$3:$B$102,MATCH($B57,자원목록!$A$3:$A$102,0)),"미등록자원"))</f>
        <v/>
      </c>
      <c r="D57" s="7"/>
      <c r="E57" s="12" t="str">
        <f aca="false">IF($D57="","",IFERROR(INDEX(고객목록!$B$3:$B$502,MATCH($D57,고객목록!$A$3:$A$502,0)),""))</f>
        <v/>
      </c>
      <c r="F57" s="13"/>
      <c r="G57" s="13"/>
      <c r="H57" s="14" t="str">
        <f aca="false">IF(OR($L57="",$M57=""),"",ROUND(($M57-$L57)/60,2))</f>
        <v/>
      </c>
      <c r="I57" s="9"/>
      <c r="J57" s="7"/>
      <c r="K57" s="7"/>
      <c r="L57" s="15" t="str">
        <f aca="false">IF($F57="","",IF($F57&lt;1,ROUND($F57*1440,0),INT($F57/100)*60+MOD($F57,100)))</f>
        <v/>
      </c>
      <c r="M57" s="15" t="str">
        <f aca="false">IF($G57="","",IF($G57&lt;1,ROUND($G57*1440,0),INT($G57/100)*60+MOD($G57,100)))</f>
        <v/>
      </c>
      <c r="N57" s="15" t="str">
        <f aca="false">IF(OR($A57="",$B57="",$L57="",$M57="",$J57="취소"),"",IF(SUMPRODUCT(($A$3:$A$2002=$A57)*($B$3:$B$2002=$B57)*($J$3:$J$2002&lt;&gt;"취소")*($L$3:$L$2002&lt;&gt;"")*($M$3:$M$2002&lt;&gt;"")*($L$3:$L$2002&lt;$M57)*($M$3:$M$2002&gt;$L57))&gt;1,"중복","-"))</f>
        <v/>
      </c>
    </row>
    <row r="58" customFormat="false" ht="15" hidden="false" customHeight="true" outlineLevel="0" collapsed="false">
      <c r="A58" s="11"/>
      <c r="B58" s="7"/>
      <c r="C58" s="12" t="str">
        <f aca="false">IF($B58="","",IFERROR(INDEX(자원목록!$B$3:$B$102,MATCH($B58,자원목록!$A$3:$A$102,0)),"미등록자원"))</f>
        <v/>
      </c>
      <c r="D58" s="7"/>
      <c r="E58" s="12" t="str">
        <f aca="false">IF($D58="","",IFERROR(INDEX(고객목록!$B$3:$B$502,MATCH($D58,고객목록!$A$3:$A$502,0)),""))</f>
        <v/>
      </c>
      <c r="F58" s="13"/>
      <c r="G58" s="13"/>
      <c r="H58" s="14" t="str">
        <f aca="false">IF(OR($L58="",$M58=""),"",ROUND(($M58-$L58)/60,2))</f>
        <v/>
      </c>
      <c r="I58" s="9"/>
      <c r="J58" s="7"/>
      <c r="K58" s="7"/>
      <c r="L58" s="15" t="str">
        <f aca="false">IF($F58="","",IF($F58&lt;1,ROUND($F58*1440,0),INT($F58/100)*60+MOD($F58,100)))</f>
        <v/>
      </c>
      <c r="M58" s="15" t="str">
        <f aca="false">IF($G58="","",IF($G58&lt;1,ROUND($G58*1440,0),INT($G58/100)*60+MOD($G58,100)))</f>
        <v/>
      </c>
      <c r="N58" s="15" t="str">
        <f aca="false">IF(OR($A58="",$B58="",$L58="",$M58="",$J58="취소"),"",IF(SUMPRODUCT(($A$3:$A$2002=$A58)*($B$3:$B$2002=$B58)*($J$3:$J$2002&lt;&gt;"취소")*($L$3:$L$2002&lt;&gt;"")*($M$3:$M$2002&lt;&gt;"")*($L$3:$L$2002&lt;$M58)*($M$3:$M$2002&gt;$L58))&gt;1,"중복","-"))</f>
        <v/>
      </c>
    </row>
    <row r="59" customFormat="false" ht="15" hidden="false" customHeight="true" outlineLevel="0" collapsed="false">
      <c r="A59" s="11"/>
      <c r="B59" s="7"/>
      <c r="C59" s="12" t="str">
        <f aca="false">IF($B59="","",IFERROR(INDEX(자원목록!$B$3:$B$102,MATCH($B59,자원목록!$A$3:$A$102,0)),"미등록자원"))</f>
        <v/>
      </c>
      <c r="D59" s="7"/>
      <c r="E59" s="12" t="str">
        <f aca="false">IF($D59="","",IFERROR(INDEX(고객목록!$B$3:$B$502,MATCH($D59,고객목록!$A$3:$A$502,0)),""))</f>
        <v/>
      </c>
      <c r="F59" s="13"/>
      <c r="G59" s="13"/>
      <c r="H59" s="14" t="str">
        <f aca="false">IF(OR($L59="",$M59=""),"",ROUND(($M59-$L59)/60,2))</f>
        <v/>
      </c>
      <c r="I59" s="9"/>
      <c r="J59" s="7"/>
      <c r="K59" s="7"/>
      <c r="L59" s="15" t="str">
        <f aca="false">IF($F59="","",IF($F59&lt;1,ROUND($F59*1440,0),INT($F59/100)*60+MOD($F59,100)))</f>
        <v/>
      </c>
      <c r="M59" s="15" t="str">
        <f aca="false">IF($G59="","",IF($G59&lt;1,ROUND($G59*1440,0),INT($G59/100)*60+MOD($G59,100)))</f>
        <v/>
      </c>
      <c r="N59" s="15" t="str">
        <f aca="false">IF(OR($A59="",$B59="",$L59="",$M59="",$J59="취소"),"",IF(SUMPRODUCT(($A$3:$A$2002=$A59)*($B$3:$B$2002=$B59)*($J$3:$J$2002&lt;&gt;"취소")*($L$3:$L$2002&lt;&gt;"")*($M$3:$M$2002&lt;&gt;"")*($L$3:$L$2002&lt;$M59)*($M$3:$M$2002&gt;$L59))&gt;1,"중복","-"))</f>
        <v/>
      </c>
    </row>
    <row r="60" customFormat="false" ht="15" hidden="false" customHeight="true" outlineLevel="0" collapsed="false">
      <c r="A60" s="11"/>
      <c r="B60" s="7"/>
      <c r="C60" s="12" t="str">
        <f aca="false">IF($B60="","",IFERROR(INDEX(자원목록!$B$3:$B$102,MATCH($B60,자원목록!$A$3:$A$102,0)),"미등록자원"))</f>
        <v/>
      </c>
      <c r="D60" s="7"/>
      <c r="E60" s="12" t="str">
        <f aca="false">IF($D60="","",IFERROR(INDEX(고객목록!$B$3:$B$502,MATCH($D60,고객목록!$A$3:$A$502,0)),""))</f>
        <v/>
      </c>
      <c r="F60" s="13"/>
      <c r="G60" s="13"/>
      <c r="H60" s="14" t="str">
        <f aca="false">IF(OR($L60="",$M60=""),"",ROUND(($M60-$L60)/60,2))</f>
        <v/>
      </c>
      <c r="I60" s="9"/>
      <c r="J60" s="7"/>
      <c r="K60" s="7"/>
      <c r="L60" s="15" t="str">
        <f aca="false">IF($F60="","",IF($F60&lt;1,ROUND($F60*1440,0),INT($F60/100)*60+MOD($F60,100)))</f>
        <v/>
      </c>
      <c r="M60" s="15" t="str">
        <f aca="false">IF($G60="","",IF($G60&lt;1,ROUND($G60*1440,0),INT($G60/100)*60+MOD($G60,100)))</f>
        <v/>
      </c>
      <c r="N60" s="15" t="str">
        <f aca="false">IF(OR($A60="",$B60="",$L60="",$M60="",$J60="취소"),"",IF(SUMPRODUCT(($A$3:$A$2002=$A60)*($B$3:$B$2002=$B60)*($J$3:$J$2002&lt;&gt;"취소")*($L$3:$L$2002&lt;&gt;"")*($M$3:$M$2002&lt;&gt;"")*($L$3:$L$2002&lt;$M60)*($M$3:$M$2002&gt;$L60))&gt;1,"중복","-"))</f>
        <v/>
      </c>
    </row>
    <row r="61" customFormat="false" ht="15" hidden="false" customHeight="true" outlineLevel="0" collapsed="false">
      <c r="A61" s="11"/>
      <c r="B61" s="7"/>
      <c r="C61" s="12" t="str">
        <f aca="false">IF($B61="","",IFERROR(INDEX(자원목록!$B$3:$B$102,MATCH($B61,자원목록!$A$3:$A$102,0)),"미등록자원"))</f>
        <v/>
      </c>
      <c r="D61" s="7"/>
      <c r="E61" s="12" t="str">
        <f aca="false">IF($D61="","",IFERROR(INDEX(고객목록!$B$3:$B$502,MATCH($D61,고객목록!$A$3:$A$502,0)),""))</f>
        <v/>
      </c>
      <c r="F61" s="13"/>
      <c r="G61" s="13"/>
      <c r="H61" s="14" t="str">
        <f aca="false">IF(OR($L61="",$M61=""),"",ROUND(($M61-$L61)/60,2))</f>
        <v/>
      </c>
      <c r="I61" s="9"/>
      <c r="J61" s="7"/>
      <c r="K61" s="7"/>
      <c r="L61" s="15" t="str">
        <f aca="false">IF($F61="","",IF($F61&lt;1,ROUND($F61*1440,0),INT($F61/100)*60+MOD($F61,100)))</f>
        <v/>
      </c>
      <c r="M61" s="15" t="str">
        <f aca="false">IF($G61="","",IF($G61&lt;1,ROUND($G61*1440,0),INT($G61/100)*60+MOD($G61,100)))</f>
        <v/>
      </c>
      <c r="N61" s="15" t="str">
        <f aca="false">IF(OR($A61="",$B61="",$L61="",$M61="",$J61="취소"),"",IF(SUMPRODUCT(($A$3:$A$2002=$A61)*($B$3:$B$2002=$B61)*($J$3:$J$2002&lt;&gt;"취소")*($L$3:$L$2002&lt;&gt;"")*($M$3:$M$2002&lt;&gt;"")*($L$3:$L$2002&lt;$M61)*($M$3:$M$2002&gt;$L61))&gt;1,"중복","-"))</f>
        <v/>
      </c>
    </row>
    <row r="62" customFormat="false" ht="15" hidden="false" customHeight="true" outlineLevel="0" collapsed="false">
      <c r="A62" s="11"/>
      <c r="B62" s="7"/>
      <c r="C62" s="12" t="str">
        <f aca="false">IF($B62="","",IFERROR(INDEX(자원목록!$B$3:$B$102,MATCH($B62,자원목록!$A$3:$A$102,0)),"미등록자원"))</f>
        <v/>
      </c>
      <c r="D62" s="7"/>
      <c r="E62" s="12" t="str">
        <f aca="false">IF($D62="","",IFERROR(INDEX(고객목록!$B$3:$B$502,MATCH($D62,고객목록!$A$3:$A$502,0)),""))</f>
        <v/>
      </c>
      <c r="F62" s="13"/>
      <c r="G62" s="13"/>
      <c r="H62" s="14" t="str">
        <f aca="false">IF(OR($L62="",$M62=""),"",ROUND(($M62-$L62)/60,2))</f>
        <v/>
      </c>
      <c r="I62" s="9"/>
      <c r="J62" s="7"/>
      <c r="K62" s="7"/>
      <c r="L62" s="15" t="str">
        <f aca="false">IF($F62="","",IF($F62&lt;1,ROUND($F62*1440,0),INT($F62/100)*60+MOD($F62,100)))</f>
        <v/>
      </c>
      <c r="M62" s="15" t="str">
        <f aca="false">IF($G62="","",IF($G62&lt;1,ROUND($G62*1440,0),INT($G62/100)*60+MOD($G62,100)))</f>
        <v/>
      </c>
      <c r="N62" s="15" t="str">
        <f aca="false">IF(OR($A62="",$B62="",$L62="",$M62="",$J62="취소"),"",IF(SUMPRODUCT(($A$3:$A$2002=$A62)*($B$3:$B$2002=$B62)*($J$3:$J$2002&lt;&gt;"취소")*($L$3:$L$2002&lt;&gt;"")*($M$3:$M$2002&lt;&gt;"")*($L$3:$L$2002&lt;$M62)*($M$3:$M$2002&gt;$L62))&gt;1,"중복","-"))</f>
        <v/>
      </c>
    </row>
    <row r="63" customFormat="false" ht="15" hidden="false" customHeight="true" outlineLevel="0" collapsed="false">
      <c r="A63" s="11"/>
      <c r="B63" s="7"/>
      <c r="C63" s="12" t="str">
        <f aca="false">IF($B63="","",IFERROR(INDEX(자원목록!$B$3:$B$102,MATCH($B63,자원목록!$A$3:$A$102,0)),"미등록자원"))</f>
        <v/>
      </c>
      <c r="D63" s="7"/>
      <c r="E63" s="12" t="str">
        <f aca="false">IF($D63="","",IFERROR(INDEX(고객목록!$B$3:$B$502,MATCH($D63,고객목록!$A$3:$A$502,0)),""))</f>
        <v/>
      </c>
      <c r="F63" s="13"/>
      <c r="G63" s="13"/>
      <c r="H63" s="14" t="str">
        <f aca="false">IF(OR($L63="",$M63=""),"",ROUND(($M63-$L63)/60,2))</f>
        <v/>
      </c>
      <c r="I63" s="9"/>
      <c r="J63" s="7"/>
      <c r="K63" s="7"/>
      <c r="L63" s="15" t="str">
        <f aca="false">IF($F63="","",IF($F63&lt;1,ROUND($F63*1440,0),INT($F63/100)*60+MOD($F63,100)))</f>
        <v/>
      </c>
      <c r="M63" s="15" t="str">
        <f aca="false">IF($G63="","",IF($G63&lt;1,ROUND($G63*1440,0),INT($G63/100)*60+MOD($G63,100)))</f>
        <v/>
      </c>
      <c r="N63" s="15" t="str">
        <f aca="false">IF(OR($A63="",$B63="",$L63="",$M63="",$J63="취소"),"",IF(SUMPRODUCT(($A$3:$A$2002=$A63)*($B$3:$B$2002=$B63)*($J$3:$J$2002&lt;&gt;"취소")*($L$3:$L$2002&lt;&gt;"")*($M$3:$M$2002&lt;&gt;"")*($L$3:$L$2002&lt;$M63)*($M$3:$M$2002&gt;$L63))&gt;1,"중복","-"))</f>
        <v/>
      </c>
    </row>
    <row r="64" customFormat="false" ht="15" hidden="false" customHeight="true" outlineLevel="0" collapsed="false">
      <c r="A64" s="11"/>
      <c r="B64" s="7"/>
      <c r="C64" s="12" t="str">
        <f aca="false">IF($B64="","",IFERROR(INDEX(자원목록!$B$3:$B$102,MATCH($B64,자원목록!$A$3:$A$102,0)),"미등록자원"))</f>
        <v/>
      </c>
      <c r="D64" s="7"/>
      <c r="E64" s="12" t="str">
        <f aca="false">IF($D64="","",IFERROR(INDEX(고객목록!$B$3:$B$502,MATCH($D64,고객목록!$A$3:$A$502,0)),""))</f>
        <v/>
      </c>
      <c r="F64" s="13"/>
      <c r="G64" s="13"/>
      <c r="H64" s="14" t="str">
        <f aca="false">IF(OR($L64="",$M64=""),"",ROUND(($M64-$L64)/60,2))</f>
        <v/>
      </c>
      <c r="I64" s="9"/>
      <c r="J64" s="7"/>
      <c r="K64" s="7"/>
      <c r="L64" s="15" t="str">
        <f aca="false">IF($F64="","",IF($F64&lt;1,ROUND($F64*1440,0),INT($F64/100)*60+MOD($F64,100)))</f>
        <v/>
      </c>
      <c r="M64" s="15" t="str">
        <f aca="false">IF($G64="","",IF($G64&lt;1,ROUND($G64*1440,0),INT($G64/100)*60+MOD($G64,100)))</f>
        <v/>
      </c>
      <c r="N64" s="15" t="str">
        <f aca="false">IF(OR($A64="",$B64="",$L64="",$M64="",$J64="취소"),"",IF(SUMPRODUCT(($A$3:$A$2002=$A64)*($B$3:$B$2002=$B64)*($J$3:$J$2002&lt;&gt;"취소")*($L$3:$L$2002&lt;&gt;"")*($M$3:$M$2002&lt;&gt;"")*($L$3:$L$2002&lt;$M64)*($M$3:$M$2002&gt;$L64))&gt;1,"중복","-"))</f>
        <v/>
      </c>
    </row>
    <row r="65" customFormat="false" ht="15" hidden="false" customHeight="true" outlineLevel="0" collapsed="false">
      <c r="A65" s="11"/>
      <c r="B65" s="7"/>
      <c r="C65" s="12" t="str">
        <f aca="false">IF($B65="","",IFERROR(INDEX(자원목록!$B$3:$B$102,MATCH($B65,자원목록!$A$3:$A$102,0)),"미등록자원"))</f>
        <v/>
      </c>
      <c r="D65" s="7"/>
      <c r="E65" s="12" t="str">
        <f aca="false">IF($D65="","",IFERROR(INDEX(고객목록!$B$3:$B$502,MATCH($D65,고객목록!$A$3:$A$502,0)),""))</f>
        <v/>
      </c>
      <c r="F65" s="13"/>
      <c r="G65" s="13"/>
      <c r="H65" s="14" t="str">
        <f aca="false">IF(OR($L65="",$M65=""),"",ROUND(($M65-$L65)/60,2))</f>
        <v/>
      </c>
      <c r="I65" s="9"/>
      <c r="J65" s="7"/>
      <c r="K65" s="7"/>
      <c r="L65" s="15" t="str">
        <f aca="false">IF($F65="","",IF($F65&lt;1,ROUND($F65*1440,0),INT($F65/100)*60+MOD($F65,100)))</f>
        <v/>
      </c>
      <c r="M65" s="15" t="str">
        <f aca="false">IF($G65="","",IF($G65&lt;1,ROUND($G65*1440,0),INT($G65/100)*60+MOD($G65,100)))</f>
        <v/>
      </c>
      <c r="N65" s="15" t="str">
        <f aca="false">IF(OR($A65="",$B65="",$L65="",$M65="",$J65="취소"),"",IF(SUMPRODUCT(($A$3:$A$2002=$A65)*($B$3:$B$2002=$B65)*($J$3:$J$2002&lt;&gt;"취소")*($L$3:$L$2002&lt;&gt;"")*($M$3:$M$2002&lt;&gt;"")*($L$3:$L$2002&lt;$M65)*($M$3:$M$2002&gt;$L65))&gt;1,"중복","-"))</f>
        <v/>
      </c>
    </row>
    <row r="66" customFormat="false" ht="15" hidden="false" customHeight="true" outlineLevel="0" collapsed="false">
      <c r="A66" s="11"/>
      <c r="B66" s="7"/>
      <c r="C66" s="12" t="str">
        <f aca="false">IF($B66="","",IFERROR(INDEX(자원목록!$B$3:$B$102,MATCH($B66,자원목록!$A$3:$A$102,0)),"미등록자원"))</f>
        <v/>
      </c>
      <c r="D66" s="7"/>
      <c r="E66" s="12" t="str">
        <f aca="false">IF($D66="","",IFERROR(INDEX(고객목록!$B$3:$B$502,MATCH($D66,고객목록!$A$3:$A$502,0)),""))</f>
        <v/>
      </c>
      <c r="F66" s="13"/>
      <c r="G66" s="13"/>
      <c r="H66" s="14" t="str">
        <f aca="false">IF(OR($L66="",$M66=""),"",ROUND(($M66-$L66)/60,2))</f>
        <v/>
      </c>
      <c r="I66" s="9"/>
      <c r="J66" s="7"/>
      <c r="K66" s="7"/>
      <c r="L66" s="15" t="str">
        <f aca="false">IF($F66="","",IF($F66&lt;1,ROUND($F66*1440,0),INT($F66/100)*60+MOD($F66,100)))</f>
        <v/>
      </c>
      <c r="M66" s="15" t="str">
        <f aca="false">IF($G66="","",IF($G66&lt;1,ROUND($G66*1440,0),INT($G66/100)*60+MOD($G66,100)))</f>
        <v/>
      </c>
      <c r="N66" s="15" t="str">
        <f aca="false">IF(OR($A66="",$B66="",$L66="",$M66="",$J66="취소"),"",IF(SUMPRODUCT(($A$3:$A$2002=$A66)*($B$3:$B$2002=$B66)*($J$3:$J$2002&lt;&gt;"취소")*($L$3:$L$2002&lt;&gt;"")*($M$3:$M$2002&lt;&gt;"")*($L$3:$L$2002&lt;$M66)*($M$3:$M$2002&gt;$L66))&gt;1,"중복","-"))</f>
        <v/>
      </c>
    </row>
    <row r="67" customFormat="false" ht="15" hidden="false" customHeight="true" outlineLevel="0" collapsed="false">
      <c r="A67" s="11"/>
      <c r="B67" s="7"/>
      <c r="C67" s="12" t="str">
        <f aca="false">IF($B67="","",IFERROR(INDEX(자원목록!$B$3:$B$102,MATCH($B67,자원목록!$A$3:$A$102,0)),"미등록자원"))</f>
        <v/>
      </c>
      <c r="D67" s="7"/>
      <c r="E67" s="12" t="str">
        <f aca="false">IF($D67="","",IFERROR(INDEX(고객목록!$B$3:$B$502,MATCH($D67,고객목록!$A$3:$A$502,0)),""))</f>
        <v/>
      </c>
      <c r="F67" s="13"/>
      <c r="G67" s="13"/>
      <c r="H67" s="14" t="str">
        <f aca="false">IF(OR($L67="",$M67=""),"",ROUND(($M67-$L67)/60,2))</f>
        <v/>
      </c>
      <c r="I67" s="9"/>
      <c r="J67" s="7"/>
      <c r="K67" s="7"/>
      <c r="L67" s="15" t="str">
        <f aca="false">IF($F67="","",IF($F67&lt;1,ROUND($F67*1440,0),INT($F67/100)*60+MOD($F67,100)))</f>
        <v/>
      </c>
      <c r="M67" s="15" t="str">
        <f aca="false">IF($G67="","",IF($G67&lt;1,ROUND($G67*1440,0),INT($G67/100)*60+MOD($G67,100)))</f>
        <v/>
      </c>
      <c r="N67" s="15" t="str">
        <f aca="false">IF(OR($A67="",$B67="",$L67="",$M67="",$J67="취소"),"",IF(SUMPRODUCT(($A$3:$A$2002=$A67)*($B$3:$B$2002=$B67)*($J$3:$J$2002&lt;&gt;"취소")*($L$3:$L$2002&lt;&gt;"")*($M$3:$M$2002&lt;&gt;"")*($L$3:$L$2002&lt;$M67)*($M$3:$M$2002&gt;$L67))&gt;1,"중복","-"))</f>
        <v/>
      </c>
    </row>
    <row r="68" customFormat="false" ht="15" hidden="false" customHeight="true" outlineLevel="0" collapsed="false">
      <c r="A68" s="11"/>
      <c r="B68" s="7"/>
      <c r="C68" s="12" t="str">
        <f aca="false">IF($B68="","",IFERROR(INDEX(자원목록!$B$3:$B$102,MATCH($B68,자원목록!$A$3:$A$102,0)),"미등록자원"))</f>
        <v/>
      </c>
      <c r="D68" s="7"/>
      <c r="E68" s="12" t="str">
        <f aca="false">IF($D68="","",IFERROR(INDEX(고객목록!$B$3:$B$502,MATCH($D68,고객목록!$A$3:$A$502,0)),""))</f>
        <v/>
      </c>
      <c r="F68" s="13"/>
      <c r="G68" s="13"/>
      <c r="H68" s="14" t="str">
        <f aca="false">IF(OR($L68="",$M68=""),"",ROUND(($M68-$L68)/60,2))</f>
        <v/>
      </c>
      <c r="I68" s="9"/>
      <c r="J68" s="7"/>
      <c r="K68" s="7"/>
      <c r="L68" s="15" t="str">
        <f aca="false">IF($F68="","",IF($F68&lt;1,ROUND($F68*1440,0),INT($F68/100)*60+MOD($F68,100)))</f>
        <v/>
      </c>
      <c r="M68" s="15" t="str">
        <f aca="false">IF($G68="","",IF($G68&lt;1,ROUND($G68*1440,0),INT($G68/100)*60+MOD($G68,100)))</f>
        <v/>
      </c>
      <c r="N68" s="15" t="str">
        <f aca="false">IF(OR($A68="",$B68="",$L68="",$M68="",$J68="취소"),"",IF(SUMPRODUCT(($A$3:$A$2002=$A68)*($B$3:$B$2002=$B68)*($J$3:$J$2002&lt;&gt;"취소")*($L$3:$L$2002&lt;&gt;"")*($M$3:$M$2002&lt;&gt;"")*($L$3:$L$2002&lt;$M68)*($M$3:$M$2002&gt;$L68))&gt;1,"중복","-"))</f>
        <v/>
      </c>
    </row>
    <row r="69" customFormat="false" ht="15" hidden="false" customHeight="true" outlineLevel="0" collapsed="false">
      <c r="A69" s="11"/>
      <c r="B69" s="7"/>
      <c r="C69" s="12" t="str">
        <f aca="false">IF($B69="","",IFERROR(INDEX(자원목록!$B$3:$B$102,MATCH($B69,자원목록!$A$3:$A$102,0)),"미등록자원"))</f>
        <v/>
      </c>
      <c r="D69" s="7"/>
      <c r="E69" s="12" t="str">
        <f aca="false">IF($D69="","",IFERROR(INDEX(고객목록!$B$3:$B$502,MATCH($D69,고객목록!$A$3:$A$502,0)),""))</f>
        <v/>
      </c>
      <c r="F69" s="13"/>
      <c r="G69" s="13"/>
      <c r="H69" s="14" t="str">
        <f aca="false">IF(OR($L69="",$M69=""),"",ROUND(($M69-$L69)/60,2))</f>
        <v/>
      </c>
      <c r="I69" s="9"/>
      <c r="J69" s="7"/>
      <c r="K69" s="7"/>
      <c r="L69" s="15" t="str">
        <f aca="false">IF($F69="","",IF($F69&lt;1,ROUND($F69*1440,0),INT($F69/100)*60+MOD($F69,100)))</f>
        <v/>
      </c>
      <c r="M69" s="15" t="str">
        <f aca="false">IF($G69="","",IF($G69&lt;1,ROUND($G69*1440,0),INT($G69/100)*60+MOD($G69,100)))</f>
        <v/>
      </c>
      <c r="N69" s="15" t="str">
        <f aca="false">IF(OR($A69="",$B69="",$L69="",$M69="",$J69="취소"),"",IF(SUMPRODUCT(($A$3:$A$2002=$A69)*($B$3:$B$2002=$B69)*($J$3:$J$2002&lt;&gt;"취소")*($L$3:$L$2002&lt;&gt;"")*($M$3:$M$2002&lt;&gt;"")*($L$3:$L$2002&lt;$M69)*($M$3:$M$2002&gt;$L69))&gt;1,"중복","-"))</f>
        <v/>
      </c>
    </row>
    <row r="70" customFormat="false" ht="15" hidden="false" customHeight="true" outlineLevel="0" collapsed="false">
      <c r="A70" s="11"/>
      <c r="B70" s="7"/>
      <c r="C70" s="12" t="str">
        <f aca="false">IF($B70="","",IFERROR(INDEX(자원목록!$B$3:$B$102,MATCH($B70,자원목록!$A$3:$A$102,0)),"미등록자원"))</f>
        <v/>
      </c>
      <c r="D70" s="7"/>
      <c r="E70" s="12" t="str">
        <f aca="false">IF($D70="","",IFERROR(INDEX(고객목록!$B$3:$B$502,MATCH($D70,고객목록!$A$3:$A$502,0)),""))</f>
        <v/>
      </c>
      <c r="F70" s="13"/>
      <c r="G70" s="13"/>
      <c r="H70" s="14" t="str">
        <f aca="false">IF(OR($L70="",$M70=""),"",ROUND(($M70-$L70)/60,2))</f>
        <v/>
      </c>
      <c r="I70" s="9"/>
      <c r="J70" s="7"/>
      <c r="K70" s="7"/>
      <c r="L70" s="15" t="str">
        <f aca="false">IF($F70="","",IF($F70&lt;1,ROUND($F70*1440,0),INT($F70/100)*60+MOD($F70,100)))</f>
        <v/>
      </c>
      <c r="M70" s="15" t="str">
        <f aca="false">IF($G70="","",IF($G70&lt;1,ROUND($G70*1440,0),INT($G70/100)*60+MOD($G70,100)))</f>
        <v/>
      </c>
      <c r="N70" s="15" t="str">
        <f aca="false">IF(OR($A70="",$B70="",$L70="",$M70="",$J70="취소"),"",IF(SUMPRODUCT(($A$3:$A$2002=$A70)*($B$3:$B$2002=$B70)*($J$3:$J$2002&lt;&gt;"취소")*($L$3:$L$2002&lt;&gt;"")*($M$3:$M$2002&lt;&gt;"")*($L$3:$L$2002&lt;$M70)*($M$3:$M$2002&gt;$L70))&gt;1,"중복","-"))</f>
        <v/>
      </c>
    </row>
    <row r="71" customFormat="false" ht="15" hidden="false" customHeight="true" outlineLevel="0" collapsed="false">
      <c r="A71" s="11"/>
      <c r="B71" s="7"/>
      <c r="C71" s="12" t="str">
        <f aca="false">IF($B71="","",IFERROR(INDEX(자원목록!$B$3:$B$102,MATCH($B71,자원목록!$A$3:$A$102,0)),"미등록자원"))</f>
        <v/>
      </c>
      <c r="D71" s="7"/>
      <c r="E71" s="12" t="str">
        <f aca="false">IF($D71="","",IFERROR(INDEX(고객목록!$B$3:$B$502,MATCH($D71,고객목록!$A$3:$A$502,0)),""))</f>
        <v/>
      </c>
      <c r="F71" s="13"/>
      <c r="G71" s="13"/>
      <c r="H71" s="14" t="str">
        <f aca="false">IF(OR($L71="",$M71=""),"",ROUND(($M71-$L71)/60,2))</f>
        <v/>
      </c>
      <c r="I71" s="9"/>
      <c r="J71" s="7"/>
      <c r="K71" s="7"/>
      <c r="L71" s="15" t="str">
        <f aca="false">IF($F71="","",IF($F71&lt;1,ROUND($F71*1440,0),INT($F71/100)*60+MOD($F71,100)))</f>
        <v/>
      </c>
      <c r="M71" s="15" t="str">
        <f aca="false">IF($G71="","",IF($G71&lt;1,ROUND($G71*1440,0),INT($G71/100)*60+MOD($G71,100)))</f>
        <v/>
      </c>
      <c r="N71" s="15" t="str">
        <f aca="false">IF(OR($A71="",$B71="",$L71="",$M71="",$J71="취소"),"",IF(SUMPRODUCT(($A$3:$A$2002=$A71)*($B$3:$B$2002=$B71)*($J$3:$J$2002&lt;&gt;"취소")*($L$3:$L$2002&lt;&gt;"")*($M$3:$M$2002&lt;&gt;"")*($L$3:$L$2002&lt;$M71)*($M$3:$M$2002&gt;$L71))&gt;1,"중복","-"))</f>
        <v/>
      </c>
    </row>
    <row r="72" customFormat="false" ht="15" hidden="false" customHeight="true" outlineLevel="0" collapsed="false">
      <c r="A72" s="11"/>
      <c r="B72" s="7"/>
      <c r="C72" s="12" t="str">
        <f aca="false">IF($B72="","",IFERROR(INDEX(자원목록!$B$3:$B$102,MATCH($B72,자원목록!$A$3:$A$102,0)),"미등록자원"))</f>
        <v/>
      </c>
      <c r="D72" s="7"/>
      <c r="E72" s="12" t="str">
        <f aca="false">IF($D72="","",IFERROR(INDEX(고객목록!$B$3:$B$502,MATCH($D72,고객목록!$A$3:$A$502,0)),""))</f>
        <v/>
      </c>
      <c r="F72" s="13"/>
      <c r="G72" s="13"/>
      <c r="H72" s="14" t="str">
        <f aca="false">IF(OR($L72="",$M72=""),"",ROUND(($M72-$L72)/60,2))</f>
        <v/>
      </c>
      <c r="I72" s="9"/>
      <c r="J72" s="7"/>
      <c r="K72" s="7"/>
      <c r="L72" s="15" t="str">
        <f aca="false">IF($F72="","",IF($F72&lt;1,ROUND($F72*1440,0),INT($F72/100)*60+MOD($F72,100)))</f>
        <v/>
      </c>
      <c r="M72" s="15" t="str">
        <f aca="false">IF($G72="","",IF($G72&lt;1,ROUND($G72*1440,0),INT($G72/100)*60+MOD($G72,100)))</f>
        <v/>
      </c>
      <c r="N72" s="15" t="str">
        <f aca="false">IF(OR($A72="",$B72="",$L72="",$M72="",$J72="취소"),"",IF(SUMPRODUCT(($A$3:$A$2002=$A72)*($B$3:$B$2002=$B72)*($J$3:$J$2002&lt;&gt;"취소")*($L$3:$L$2002&lt;&gt;"")*($M$3:$M$2002&lt;&gt;"")*($L$3:$L$2002&lt;$M72)*($M$3:$M$2002&gt;$L72))&gt;1,"중복","-"))</f>
        <v/>
      </c>
    </row>
    <row r="73" customFormat="false" ht="15" hidden="false" customHeight="true" outlineLevel="0" collapsed="false">
      <c r="A73" s="11"/>
      <c r="B73" s="7"/>
      <c r="C73" s="12" t="str">
        <f aca="false">IF($B73="","",IFERROR(INDEX(자원목록!$B$3:$B$102,MATCH($B73,자원목록!$A$3:$A$102,0)),"미등록자원"))</f>
        <v/>
      </c>
      <c r="D73" s="7"/>
      <c r="E73" s="12" t="str">
        <f aca="false">IF($D73="","",IFERROR(INDEX(고객목록!$B$3:$B$502,MATCH($D73,고객목록!$A$3:$A$502,0)),""))</f>
        <v/>
      </c>
      <c r="F73" s="13"/>
      <c r="G73" s="13"/>
      <c r="H73" s="14" t="str">
        <f aca="false">IF(OR($L73="",$M73=""),"",ROUND(($M73-$L73)/60,2))</f>
        <v/>
      </c>
      <c r="I73" s="9"/>
      <c r="J73" s="7"/>
      <c r="K73" s="7"/>
      <c r="L73" s="15" t="str">
        <f aca="false">IF($F73="","",IF($F73&lt;1,ROUND($F73*1440,0),INT($F73/100)*60+MOD($F73,100)))</f>
        <v/>
      </c>
      <c r="M73" s="15" t="str">
        <f aca="false">IF($G73="","",IF($G73&lt;1,ROUND($G73*1440,0),INT($G73/100)*60+MOD($G73,100)))</f>
        <v/>
      </c>
      <c r="N73" s="15" t="str">
        <f aca="false">IF(OR($A73="",$B73="",$L73="",$M73="",$J73="취소"),"",IF(SUMPRODUCT(($A$3:$A$2002=$A73)*($B$3:$B$2002=$B73)*($J$3:$J$2002&lt;&gt;"취소")*($L$3:$L$2002&lt;&gt;"")*($M$3:$M$2002&lt;&gt;"")*($L$3:$L$2002&lt;$M73)*($M$3:$M$2002&gt;$L73))&gt;1,"중복","-"))</f>
        <v/>
      </c>
    </row>
    <row r="74" customFormat="false" ht="15" hidden="false" customHeight="true" outlineLevel="0" collapsed="false">
      <c r="A74" s="11"/>
      <c r="B74" s="7"/>
      <c r="C74" s="12" t="str">
        <f aca="false">IF($B74="","",IFERROR(INDEX(자원목록!$B$3:$B$102,MATCH($B74,자원목록!$A$3:$A$102,0)),"미등록자원"))</f>
        <v/>
      </c>
      <c r="D74" s="7"/>
      <c r="E74" s="12" t="str">
        <f aca="false">IF($D74="","",IFERROR(INDEX(고객목록!$B$3:$B$502,MATCH($D74,고객목록!$A$3:$A$502,0)),""))</f>
        <v/>
      </c>
      <c r="F74" s="13"/>
      <c r="G74" s="13"/>
      <c r="H74" s="14" t="str">
        <f aca="false">IF(OR($L74="",$M74=""),"",ROUND(($M74-$L74)/60,2))</f>
        <v/>
      </c>
      <c r="I74" s="9"/>
      <c r="J74" s="7"/>
      <c r="K74" s="7"/>
      <c r="L74" s="15" t="str">
        <f aca="false">IF($F74="","",IF($F74&lt;1,ROUND($F74*1440,0),INT($F74/100)*60+MOD($F74,100)))</f>
        <v/>
      </c>
      <c r="M74" s="15" t="str">
        <f aca="false">IF($G74="","",IF($G74&lt;1,ROUND($G74*1440,0),INT($G74/100)*60+MOD($G74,100)))</f>
        <v/>
      </c>
      <c r="N74" s="15" t="str">
        <f aca="false">IF(OR($A74="",$B74="",$L74="",$M74="",$J74="취소"),"",IF(SUMPRODUCT(($A$3:$A$2002=$A74)*($B$3:$B$2002=$B74)*($J$3:$J$2002&lt;&gt;"취소")*($L$3:$L$2002&lt;&gt;"")*($M$3:$M$2002&lt;&gt;"")*($L$3:$L$2002&lt;$M74)*($M$3:$M$2002&gt;$L74))&gt;1,"중복","-"))</f>
        <v/>
      </c>
    </row>
    <row r="75" customFormat="false" ht="15" hidden="false" customHeight="true" outlineLevel="0" collapsed="false">
      <c r="A75" s="11"/>
      <c r="B75" s="7"/>
      <c r="C75" s="12" t="str">
        <f aca="false">IF($B75="","",IFERROR(INDEX(자원목록!$B$3:$B$102,MATCH($B75,자원목록!$A$3:$A$102,0)),"미등록자원"))</f>
        <v/>
      </c>
      <c r="D75" s="7"/>
      <c r="E75" s="12" t="str">
        <f aca="false">IF($D75="","",IFERROR(INDEX(고객목록!$B$3:$B$502,MATCH($D75,고객목록!$A$3:$A$502,0)),""))</f>
        <v/>
      </c>
      <c r="F75" s="13"/>
      <c r="G75" s="13"/>
      <c r="H75" s="14" t="str">
        <f aca="false">IF(OR($L75="",$M75=""),"",ROUND(($M75-$L75)/60,2))</f>
        <v/>
      </c>
      <c r="I75" s="9"/>
      <c r="J75" s="7"/>
      <c r="K75" s="7"/>
      <c r="L75" s="15" t="str">
        <f aca="false">IF($F75="","",IF($F75&lt;1,ROUND($F75*1440,0),INT($F75/100)*60+MOD($F75,100)))</f>
        <v/>
      </c>
      <c r="M75" s="15" t="str">
        <f aca="false">IF($G75="","",IF($G75&lt;1,ROUND($G75*1440,0),INT($G75/100)*60+MOD($G75,100)))</f>
        <v/>
      </c>
      <c r="N75" s="15" t="str">
        <f aca="false">IF(OR($A75="",$B75="",$L75="",$M75="",$J75="취소"),"",IF(SUMPRODUCT(($A$3:$A$2002=$A75)*($B$3:$B$2002=$B75)*($J$3:$J$2002&lt;&gt;"취소")*($L$3:$L$2002&lt;&gt;"")*($M$3:$M$2002&lt;&gt;"")*($L$3:$L$2002&lt;$M75)*($M$3:$M$2002&gt;$L75))&gt;1,"중복","-"))</f>
        <v/>
      </c>
    </row>
    <row r="76" customFormat="false" ht="15" hidden="false" customHeight="true" outlineLevel="0" collapsed="false">
      <c r="A76" s="11"/>
      <c r="B76" s="7"/>
      <c r="C76" s="12" t="str">
        <f aca="false">IF($B76="","",IFERROR(INDEX(자원목록!$B$3:$B$102,MATCH($B76,자원목록!$A$3:$A$102,0)),"미등록자원"))</f>
        <v/>
      </c>
      <c r="D76" s="7"/>
      <c r="E76" s="12" t="str">
        <f aca="false">IF($D76="","",IFERROR(INDEX(고객목록!$B$3:$B$502,MATCH($D76,고객목록!$A$3:$A$502,0)),""))</f>
        <v/>
      </c>
      <c r="F76" s="13"/>
      <c r="G76" s="13"/>
      <c r="H76" s="14" t="str">
        <f aca="false">IF(OR($L76="",$M76=""),"",ROUND(($M76-$L76)/60,2))</f>
        <v/>
      </c>
      <c r="I76" s="9"/>
      <c r="J76" s="7"/>
      <c r="K76" s="7"/>
      <c r="L76" s="15" t="str">
        <f aca="false">IF($F76="","",IF($F76&lt;1,ROUND($F76*1440,0),INT($F76/100)*60+MOD($F76,100)))</f>
        <v/>
      </c>
      <c r="M76" s="15" t="str">
        <f aca="false">IF($G76="","",IF($G76&lt;1,ROUND($G76*1440,0),INT($G76/100)*60+MOD($G76,100)))</f>
        <v/>
      </c>
      <c r="N76" s="15" t="str">
        <f aca="false">IF(OR($A76="",$B76="",$L76="",$M76="",$J76="취소"),"",IF(SUMPRODUCT(($A$3:$A$2002=$A76)*($B$3:$B$2002=$B76)*($J$3:$J$2002&lt;&gt;"취소")*($L$3:$L$2002&lt;&gt;"")*($M$3:$M$2002&lt;&gt;"")*($L$3:$L$2002&lt;$M76)*($M$3:$M$2002&gt;$L76))&gt;1,"중복","-"))</f>
        <v/>
      </c>
    </row>
    <row r="77" customFormat="false" ht="15" hidden="false" customHeight="true" outlineLevel="0" collapsed="false">
      <c r="A77" s="11"/>
      <c r="B77" s="7"/>
      <c r="C77" s="12" t="str">
        <f aca="false">IF($B77="","",IFERROR(INDEX(자원목록!$B$3:$B$102,MATCH($B77,자원목록!$A$3:$A$102,0)),"미등록자원"))</f>
        <v/>
      </c>
      <c r="D77" s="7"/>
      <c r="E77" s="12" t="str">
        <f aca="false">IF($D77="","",IFERROR(INDEX(고객목록!$B$3:$B$502,MATCH($D77,고객목록!$A$3:$A$502,0)),""))</f>
        <v/>
      </c>
      <c r="F77" s="13"/>
      <c r="G77" s="13"/>
      <c r="H77" s="14" t="str">
        <f aca="false">IF(OR($L77="",$M77=""),"",ROUND(($M77-$L77)/60,2))</f>
        <v/>
      </c>
      <c r="I77" s="9"/>
      <c r="J77" s="7"/>
      <c r="K77" s="7"/>
      <c r="L77" s="15" t="str">
        <f aca="false">IF($F77="","",IF($F77&lt;1,ROUND($F77*1440,0),INT($F77/100)*60+MOD($F77,100)))</f>
        <v/>
      </c>
      <c r="M77" s="15" t="str">
        <f aca="false">IF($G77="","",IF($G77&lt;1,ROUND($G77*1440,0),INT($G77/100)*60+MOD($G77,100)))</f>
        <v/>
      </c>
      <c r="N77" s="15" t="str">
        <f aca="false">IF(OR($A77="",$B77="",$L77="",$M77="",$J77="취소"),"",IF(SUMPRODUCT(($A$3:$A$2002=$A77)*($B$3:$B$2002=$B77)*($J$3:$J$2002&lt;&gt;"취소")*($L$3:$L$2002&lt;&gt;"")*($M$3:$M$2002&lt;&gt;"")*($L$3:$L$2002&lt;$M77)*($M$3:$M$2002&gt;$L77))&gt;1,"중복","-"))</f>
        <v/>
      </c>
    </row>
    <row r="78" customFormat="false" ht="15" hidden="false" customHeight="true" outlineLevel="0" collapsed="false">
      <c r="A78" s="11"/>
      <c r="B78" s="7"/>
      <c r="C78" s="12" t="str">
        <f aca="false">IF($B78="","",IFERROR(INDEX(자원목록!$B$3:$B$102,MATCH($B78,자원목록!$A$3:$A$102,0)),"미등록자원"))</f>
        <v/>
      </c>
      <c r="D78" s="7"/>
      <c r="E78" s="12" t="str">
        <f aca="false">IF($D78="","",IFERROR(INDEX(고객목록!$B$3:$B$502,MATCH($D78,고객목록!$A$3:$A$502,0)),""))</f>
        <v/>
      </c>
      <c r="F78" s="13"/>
      <c r="G78" s="13"/>
      <c r="H78" s="14" t="str">
        <f aca="false">IF(OR($L78="",$M78=""),"",ROUND(($M78-$L78)/60,2))</f>
        <v/>
      </c>
      <c r="I78" s="9"/>
      <c r="J78" s="7"/>
      <c r="K78" s="7"/>
      <c r="L78" s="15" t="str">
        <f aca="false">IF($F78="","",IF($F78&lt;1,ROUND($F78*1440,0),INT($F78/100)*60+MOD($F78,100)))</f>
        <v/>
      </c>
      <c r="M78" s="15" t="str">
        <f aca="false">IF($G78="","",IF($G78&lt;1,ROUND($G78*1440,0),INT($G78/100)*60+MOD($G78,100)))</f>
        <v/>
      </c>
      <c r="N78" s="15" t="str">
        <f aca="false">IF(OR($A78="",$B78="",$L78="",$M78="",$J78="취소"),"",IF(SUMPRODUCT(($A$3:$A$2002=$A78)*($B$3:$B$2002=$B78)*($J$3:$J$2002&lt;&gt;"취소")*($L$3:$L$2002&lt;&gt;"")*($M$3:$M$2002&lt;&gt;"")*($L$3:$L$2002&lt;$M78)*($M$3:$M$2002&gt;$L78))&gt;1,"중복","-"))</f>
        <v/>
      </c>
    </row>
    <row r="79" customFormat="false" ht="15" hidden="false" customHeight="true" outlineLevel="0" collapsed="false">
      <c r="A79" s="11"/>
      <c r="B79" s="7"/>
      <c r="C79" s="12" t="str">
        <f aca="false">IF($B79="","",IFERROR(INDEX(자원목록!$B$3:$B$102,MATCH($B79,자원목록!$A$3:$A$102,0)),"미등록자원"))</f>
        <v/>
      </c>
      <c r="D79" s="7"/>
      <c r="E79" s="12" t="str">
        <f aca="false">IF($D79="","",IFERROR(INDEX(고객목록!$B$3:$B$502,MATCH($D79,고객목록!$A$3:$A$502,0)),""))</f>
        <v/>
      </c>
      <c r="F79" s="13"/>
      <c r="G79" s="13"/>
      <c r="H79" s="14" t="str">
        <f aca="false">IF(OR($L79="",$M79=""),"",ROUND(($M79-$L79)/60,2))</f>
        <v/>
      </c>
      <c r="I79" s="9"/>
      <c r="J79" s="7"/>
      <c r="K79" s="7"/>
      <c r="L79" s="15" t="str">
        <f aca="false">IF($F79="","",IF($F79&lt;1,ROUND($F79*1440,0),INT($F79/100)*60+MOD($F79,100)))</f>
        <v/>
      </c>
      <c r="M79" s="15" t="str">
        <f aca="false">IF($G79="","",IF($G79&lt;1,ROUND($G79*1440,0),INT($G79/100)*60+MOD($G79,100)))</f>
        <v/>
      </c>
      <c r="N79" s="15" t="str">
        <f aca="false">IF(OR($A79="",$B79="",$L79="",$M79="",$J79="취소"),"",IF(SUMPRODUCT(($A$3:$A$2002=$A79)*($B$3:$B$2002=$B79)*($J$3:$J$2002&lt;&gt;"취소")*($L$3:$L$2002&lt;&gt;"")*($M$3:$M$2002&lt;&gt;"")*($L$3:$L$2002&lt;$M79)*($M$3:$M$2002&gt;$L79))&gt;1,"중복","-"))</f>
        <v/>
      </c>
    </row>
    <row r="80" customFormat="false" ht="15" hidden="false" customHeight="true" outlineLevel="0" collapsed="false">
      <c r="A80" s="11"/>
      <c r="B80" s="7"/>
      <c r="C80" s="12" t="str">
        <f aca="false">IF($B80="","",IFERROR(INDEX(자원목록!$B$3:$B$102,MATCH($B80,자원목록!$A$3:$A$102,0)),"미등록자원"))</f>
        <v/>
      </c>
      <c r="D80" s="7"/>
      <c r="E80" s="12" t="str">
        <f aca="false">IF($D80="","",IFERROR(INDEX(고객목록!$B$3:$B$502,MATCH($D80,고객목록!$A$3:$A$502,0)),""))</f>
        <v/>
      </c>
      <c r="F80" s="13"/>
      <c r="G80" s="13"/>
      <c r="H80" s="14" t="str">
        <f aca="false">IF(OR($L80="",$M80=""),"",ROUND(($M80-$L80)/60,2))</f>
        <v/>
      </c>
      <c r="I80" s="9"/>
      <c r="J80" s="7"/>
      <c r="K80" s="7"/>
      <c r="L80" s="15" t="str">
        <f aca="false">IF($F80="","",IF($F80&lt;1,ROUND($F80*1440,0),INT($F80/100)*60+MOD($F80,100)))</f>
        <v/>
      </c>
      <c r="M80" s="15" t="str">
        <f aca="false">IF($G80="","",IF($G80&lt;1,ROUND($G80*1440,0),INT($G80/100)*60+MOD($G80,100)))</f>
        <v/>
      </c>
      <c r="N80" s="15" t="str">
        <f aca="false">IF(OR($A80="",$B80="",$L80="",$M80="",$J80="취소"),"",IF(SUMPRODUCT(($A$3:$A$2002=$A80)*($B$3:$B$2002=$B80)*($J$3:$J$2002&lt;&gt;"취소")*($L$3:$L$2002&lt;&gt;"")*($M$3:$M$2002&lt;&gt;"")*($L$3:$L$2002&lt;$M80)*($M$3:$M$2002&gt;$L80))&gt;1,"중복","-"))</f>
        <v/>
      </c>
    </row>
    <row r="81" customFormat="false" ht="15" hidden="false" customHeight="true" outlineLevel="0" collapsed="false">
      <c r="A81" s="11"/>
      <c r="B81" s="7"/>
      <c r="C81" s="12" t="str">
        <f aca="false">IF($B81="","",IFERROR(INDEX(자원목록!$B$3:$B$102,MATCH($B81,자원목록!$A$3:$A$102,0)),"미등록자원"))</f>
        <v/>
      </c>
      <c r="D81" s="7"/>
      <c r="E81" s="12" t="str">
        <f aca="false">IF($D81="","",IFERROR(INDEX(고객목록!$B$3:$B$502,MATCH($D81,고객목록!$A$3:$A$502,0)),""))</f>
        <v/>
      </c>
      <c r="F81" s="13"/>
      <c r="G81" s="13"/>
      <c r="H81" s="14" t="str">
        <f aca="false">IF(OR($L81="",$M81=""),"",ROUND(($M81-$L81)/60,2))</f>
        <v/>
      </c>
      <c r="I81" s="9"/>
      <c r="J81" s="7"/>
      <c r="K81" s="7"/>
      <c r="L81" s="15" t="str">
        <f aca="false">IF($F81="","",IF($F81&lt;1,ROUND($F81*1440,0),INT($F81/100)*60+MOD($F81,100)))</f>
        <v/>
      </c>
      <c r="M81" s="15" t="str">
        <f aca="false">IF($G81="","",IF($G81&lt;1,ROUND($G81*1440,0),INT($G81/100)*60+MOD($G81,100)))</f>
        <v/>
      </c>
      <c r="N81" s="15" t="str">
        <f aca="false">IF(OR($A81="",$B81="",$L81="",$M81="",$J81="취소"),"",IF(SUMPRODUCT(($A$3:$A$2002=$A81)*($B$3:$B$2002=$B81)*($J$3:$J$2002&lt;&gt;"취소")*($L$3:$L$2002&lt;&gt;"")*($M$3:$M$2002&lt;&gt;"")*($L$3:$L$2002&lt;$M81)*($M$3:$M$2002&gt;$L81))&gt;1,"중복","-"))</f>
        <v/>
      </c>
    </row>
    <row r="82" customFormat="false" ht="15" hidden="false" customHeight="true" outlineLevel="0" collapsed="false">
      <c r="A82" s="11"/>
      <c r="B82" s="7"/>
      <c r="C82" s="12" t="str">
        <f aca="false">IF($B82="","",IFERROR(INDEX(자원목록!$B$3:$B$102,MATCH($B82,자원목록!$A$3:$A$102,0)),"미등록자원"))</f>
        <v/>
      </c>
      <c r="D82" s="7"/>
      <c r="E82" s="12" t="str">
        <f aca="false">IF($D82="","",IFERROR(INDEX(고객목록!$B$3:$B$502,MATCH($D82,고객목록!$A$3:$A$502,0)),""))</f>
        <v/>
      </c>
      <c r="F82" s="13"/>
      <c r="G82" s="13"/>
      <c r="H82" s="14" t="str">
        <f aca="false">IF(OR($L82="",$M82=""),"",ROUND(($M82-$L82)/60,2))</f>
        <v/>
      </c>
      <c r="I82" s="9"/>
      <c r="J82" s="7"/>
      <c r="K82" s="7"/>
      <c r="L82" s="15" t="str">
        <f aca="false">IF($F82="","",IF($F82&lt;1,ROUND($F82*1440,0),INT($F82/100)*60+MOD($F82,100)))</f>
        <v/>
      </c>
      <c r="M82" s="15" t="str">
        <f aca="false">IF($G82="","",IF($G82&lt;1,ROUND($G82*1440,0),INT($G82/100)*60+MOD($G82,100)))</f>
        <v/>
      </c>
      <c r="N82" s="15" t="str">
        <f aca="false">IF(OR($A82="",$B82="",$L82="",$M82="",$J82="취소"),"",IF(SUMPRODUCT(($A$3:$A$2002=$A82)*($B$3:$B$2002=$B82)*($J$3:$J$2002&lt;&gt;"취소")*($L$3:$L$2002&lt;&gt;"")*($M$3:$M$2002&lt;&gt;"")*($L$3:$L$2002&lt;$M82)*($M$3:$M$2002&gt;$L82))&gt;1,"중복","-"))</f>
        <v/>
      </c>
    </row>
    <row r="83" customFormat="false" ht="15" hidden="false" customHeight="true" outlineLevel="0" collapsed="false">
      <c r="A83" s="11"/>
      <c r="B83" s="7"/>
      <c r="C83" s="12" t="str">
        <f aca="false">IF($B83="","",IFERROR(INDEX(자원목록!$B$3:$B$102,MATCH($B83,자원목록!$A$3:$A$102,0)),"미등록자원"))</f>
        <v/>
      </c>
      <c r="D83" s="7"/>
      <c r="E83" s="12" t="str">
        <f aca="false">IF($D83="","",IFERROR(INDEX(고객목록!$B$3:$B$502,MATCH($D83,고객목록!$A$3:$A$502,0)),""))</f>
        <v/>
      </c>
      <c r="F83" s="13"/>
      <c r="G83" s="13"/>
      <c r="H83" s="14" t="str">
        <f aca="false">IF(OR($L83="",$M83=""),"",ROUND(($M83-$L83)/60,2))</f>
        <v/>
      </c>
      <c r="I83" s="9"/>
      <c r="J83" s="7"/>
      <c r="K83" s="7"/>
      <c r="L83" s="15" t="str">
        <f aca="false">IF($F83="","",IF($F83&lt;1,ROUND($F83*1440,0),INT($F83/100)*60+MOD($F83,100)))</f>
        <v/>
      </c>
      <c r="M83" s="15" t="str">
        <f aca="false">IF($G83="","",IF($G83&lt;1,ROUND($G83*1440,0),INT($G83/100)*60+MOD($G83,100)))</f>
        <v/>
      </c>
      <c r="N83" s="15" t="str">
        <f aca="false">IF(OR($A83="",$B83="",$L83="",$M83="",$J83="취소"),"",IF(SUMPRODUCT(($A$3:$A$2002=$A83)*($B$3:$B$2002=$B83)*($J$3:$J$2002&lt;&gt;"취소")*($L$3:$L$2002&lt;&gt;"")*($M$3:$M$2002&lt;&gt;"")*($L$3:$L$2002&lt;$M83)*($M$3:$M$2002&gt;$L83))&gt;1,"중복","-"))</f>
        <v/>
      </c>
    </row>
    <row r="84" customFormat="false" ht="15" hidden="false" customHeight="true" outlineLevel="0" collapsed="false">
      <c r="A84" s="11"/>
      <c r="B84" s="7"/>
      <c r="C84" s="12" t="str">
        <f aca="false">IF($B84="","",IFERROR(INDEX(자원목록!$B$3:$B$102,MATCH($B84,자원목록!$A$3:$A$102,0)),"미등록자원"))</f>
        <v/>
      </c>
      <c r="D84" s="7"/>
      <c r="E84" s="12" t="str">
        <f aca="false">IF($D84="","",IFERROR(INDEX(고객목록!$B$3:$B$502,MATCH($D84,고객목록!$A$3:$A$502,0)),""))</f>
        <v/>
      </c>
      <c r="F84" s="13"/>
      <c r="G84" s="13"/>
      <c r="H84" s="14" t="str">
        <f aca="false">IF(OR($L84="",$M84=""),"",ROUND(($M84-$L84)/60,2))</f>
        <v/>
      </c>
      <c r="I84" s="9"/>
      <c r="J84" s="7"/>
      <c r="K84" s="7"/>
      <c r="L84" s="15" t="str">
        <f aca="false">IF($F84="","",IF($F84&lt;1,ROUND($F84*1440,0),INT($F84/100)*60+MOD($F84,100)))</f>
        <v/>
      </c>
      <c r="M84" s="15" t="str">
        <f aca="false">IF($G84="","",IF($G84&lt;1,ROUND($G84*1440,0),INT($G84/100)*60+MOD($G84,100)))</f>
        <v/>
      </c>
      <c r="N84" s="15" t="str">
        <f aca="false">IF(OR($A84="",$B84="",$L84="",$M84="",$J84="취소"),"",IF(SUMPRODUCT(($A$3:$A$2002=$A84)*($B$3:$B$2002=$B84)*($J$3:$J$2002&lt;&gt;"취소")*($L$3:$L$2002&lt;&gt;"")*($M$3:$M$2002&lt;&gt;"")*($L$3:$L$2002&lt;$M84)*($M$3:$M$2002&gt;$L84))&gt;1,"중복","-"))</f>
        <v/>
      </c>
    </row>
    <row r="85" customFormat="false" ht="15" hidden="false" customHeight="true" outlineLevel="0" collapsed="false">
      <c r="A85" s="11"/>
      <c r="B85" s="7"/>
      <c r="C85" s="12" t="str">
        <f aca="false">IF($B85="","",IFERROR(INDEX(자원목록!$B$3:$B$102,MATCH($B85,자원목록!$A$3:$A$102,0)),"미등록자원"))</f>
        <v/>
      </c>
      <c r="D85" s="7"/>
      <c r="E85" s="12" t="str">
        <f aca="false">IF($D85="","",IFERROR(INDEX(고객목록!$B$3:$B$502,MATCH($D85,고객목록!$A$3:$A$502,0)),""))</f>
        <v/>
      </c>
      <c r="F85" s="13"/>
      <c r="G85" s="13"/>
      <c r="H85" s="14" t="str">
        <f aca="false">IF(OR($L85="",$M85=""),"",ROUND(($M85-$L85)/60,2))</f>
        <v/>
      </c>
      <c r="I85" s="9"/>
      <c r="J85" s="7"/>
      <c r="K85" s="7"/>
      <c r="L85" s="15" t="str">
        <f aca="false">IF($F85="","",IF($F85&lt;1,ROUND($F85*1440,0),INT($F85/100)*60+MOD($F85,100)))</f>
        <v/>
      </c>
      <c r="M85" s="15" t="str">
        <f aca="false">IF($G85="","",IF($G85&lt;1,ROUND($G85*1440,0),INT($G85/100)*60+MOD($G85,100)))</f>
        <v/>
      </c>
      <c r="N85" s="15" t="str">
        <f aca="false">IF(OR($A85="",$B85="",$L85="",$M85="",$J85="취소"),"",IF(SUMPRODUCT(($A$3:$A$2002=$A85)*($B$3:$B$2002=$B85)*($J$3:$J$2002&lt;&gt;"취소")*($L$3:$L$2002&lt;&gt;"")*($M$3:$M$2002&lt;&gt;"")*($L$3:$L$2002&lt;$M85)*($M$3:$M$2002&gt;$L85))&gt;1,"중복","-"))</f>
        <v/>
      </c>
    </row>
    <row r="86" customFormat="false" ht="15" hidden="false" customHeight="true" outlineLevel="0" collapsed="false">
      <c r="A86" s="11"/>
      <c r="B86" s="7"/>
      <c r="C86" s="12" t="str">
        <f aca="false">IF($B86="","",IFERROR(INDEX(자원목록!$B$3:$B$102,MATCH($B86,자원목록!$A$3:$A$102,0)),"미등록자원"))</f>
        <v/>
      </c>
      <c r="D86" s="7"/>
      <c r="E86" s="12" t="str">
        <f aca="false">IF($D86="","",IFERROR(INDEX(고객목록!$B$3:$B$502,MATCH($D86,고객목록!$A$3:$A$502,0)),""))</f>
        <v/>
      </c>
      <c r="F86" s="13"/>
      <c r="G86" s="13"/>
      <c r="H86" s="14" t="str">
        <f aca="false">IF(OR($L86="",$M86=""),"",ROUND(($M86-$L86)/60,2))</f>
        <v/>
      </c>
      <c r="I86" s="9"/>
      <c r="J86" s="7"/>
      <c r="K86" s="7"/>
      <c r="L86" s="15" t="str">
        <f aca="false">IF($F86="","",IF($F86&lt;1,ROUND($F86*1440,0),INT($F86/100)*60+MOD($F86,100)))</f>
        <v/>
      </c>
      <c r="M86" s="15" t="str">
        <f aca="false">IF($G86="","",IF($G86&lt;1,ROUND($G86*1440,0),INT($G86/100)*60+MOD($G86,100)))</f>
        <v/>
      </c>
      <c r="N86" s="15" t="str">
        <f aca="false">IF(OR($A86="",$B86="",$L86="",$M86="",$J86="취소"),"",IF(SUMPRODUCT(($A$3:$A$2002=$A86)*($B$3:$B$2002=$B86)*($J$3:$J$2002&lt;&gt;"취소")*($L$3:$L$2002&lt;&gt;"")*($M$3:$M$2002&lt;&gt;"")*($L$3:$L$2002&lt;$M86)*($M$3:$M$2002&gt;$L86))&gt;1,"중복","-"))</f>
        <v/>
      </c>
    </row>
    <row r="87" customFormat="false" ht="15" hidden="false" customHeight="true" outlineLevel="0" collapsed="false">
      <c r="A87" s="11"/>
      <c r="B87" s="7"/>
      <c r="C87" s="12" t="str">
        <f aca="false">IF($B87="","",IFERROR(INDEX(자원목록!$B$3:$B$102,MATCH($B87,자원목록!$A$3:$A$102,0)),"미등록자원"))</f>
        <v/>
      </c>
      <c r="D87" s="7"/>
      <c r="E87" s="12" t="str">
        <f aca="false">IF($D87="","",IFERROR(INDEX(고객목록!$B$3:$B$502,MATCH($D87,고객목록!$A$3:$A$502,0)),""))</f>
        <v/>
      </c>
      <c r="F87" s="13"/>
      <c r="G87" s="13"/>
      <c r="H87" s="14" t="str">
        <f aca="false">IF(OR($L87="",$M87=""),"",ROUND(($M87-$L87)/60,2))</f>
        <v/>
      </c>
      <c r="I87" s="9"/>
      <c r="J87" s="7"/>
      <c r="K87" s="7"/>
      <c r="L87" s="15" t="str">
        <f aca="false">IF($F87="","",IF($F87&lt;1,ROUND($F87*1440,0),INT($F87/100)*60+MOD($F87,100)))</f>
        <v/>
      </c>
      <c r="M87" s="15" t="str">
        <f aca="false">IF($G87="","",IF($G87&lt;1,ROUND($G87*1440,0),INT($G87/100)*60+MOD($G87,100)))</f>
        <v/>
      </c>
      <c r="N87" s="15" t="str">
        <f aca="false">IF(OR($A87="",$B87="",$L87="",$M87="",$J87="취소"),"",IF(SUMPRODUCT(($A$3:$A$2002=$A87)*($B$3:$B$2002=$B87)*($J$3:$J$2002&lt;&gt;"취소")*($L$3:$L$2002&lt;&gt;"")*($M$3:$M$2002&lt;&gt;"")*($L$3:$L$2002&lt;$M87)*($M$3:$M$2002&gt;$L87))&gt;1,"중복","-"))</f>
        <v/>
      </c>
    </row>
    <row r="88" customFormat="false" ht="15" hidden="false" customHeight="true" outlineLevel="0" collapsed="false">
      <c r="A88" s="11"/>
      <c r="B88" s="7"/>
      <c r="C88" s="12" t="str">
        <f aca="false">IF($B88="","",IFERROR(INDEX(자원목록!$B$3:$B$102,MATCH($B88,자원목록!$A$3:$A$102,0)),"미등록자원"))</f>
        <v/>
      </c>
      <c r="D88" s="7"/>
      <c r="E88" s="12" t="str">
        <f aca="false">IF($D88="","",IFERROR(INDEX(고객목록!$B$3:$B$502,MATCH($D88,고객목록!$A$3:$A$502,0)),""))</f>
        <v/>
      </c>
      <c r="F88" s="13"/>
      <c r="G88" s="13"/>
      <c r="H88" s="14" t="str">
        <f aca="false">IF(OR($L88="",$M88=""),"",ROUND(($M88-$L88)/60,2))</f>
        <v/>
      </c>
      <c r="I88" s="9"/>
      <c r="J88" s="7"/>
      <c r="K88" s="7"/>
      <c r="L88" s="15" t="str">
        <f aca="false">IF($F88="","",IF($F88&lt;1,ROUND($F88*1440,0),INT($F88/100)*60+MOD($F88,100)))</f>
        <v/>
      </c>
      <c r="M88" s="15" t="str">
        <f aca="false">IF($G88="","",IF($G88&lt;1,ROUND($G88*1440,0),INT($G88/100)*60+MOD($G88,100)))</f>
        <v/>
      </c>
      <c r="N88" s="15" t="str">
        <f aca="false">IF(OR($A88="",$B88="",$L88="",$M88="",$J88="취소"),"",IF(SUMPRODUCT(($A$3:$A$2002=$A88)*($B$3:$B$2002=$B88)*($J$3:$J$2002&lt;&gt;"취소")*($L$3:$L$2002&lt;&gt;"")*($M$3:$M$2002&lt;&gt;"")*($L$3:$L$2002&lt;$M88)*($M$3:$M$2002&gt;$L88))&gt;1,"중복","-"))</f>
        <v/>
      </c>
    </row>
    <row r="89" customFormat="false" ht="15" hidden="false" customHeight="true" outlineLevel="0" collapsed="false">
      <c r="A89" s="11"/>
      <c r="B89" s="7"/>
      <c r="C89" s="12" t="str">
        <f aca="false">IF($B89="","",IFERROR(INDEX(자원목록!$B$3:$B$102,MATCH($B89,자원목록!$A$3:$A$102,0)),"미등록자원"))</f>
        <v/>
      </c>
      <c r="D89" s="7"/>
      <c r="E89" s="12" t="str">
        <f aca="false">IF($D89="","",IFERROR(INDEX(고객목록!$B$3:$B$502,MATCH($D89,고객목록!$A$3:$A$502,0)),""))</f>
        <v/>
      </c>
      <c r="F89" s="13"/>
      <c r="G89" s="13"/>
      <c r="H89" s="14" t="str">
        <f aca="false">IF(OR($L89="",$M89=""),"",ROUND(($M89-$L89)/60,2))</f>
        <v/>
      </c>
      <c r="I89" s="9"/>
      <c r="J89" s="7"/>
      <c r="K89" s="7"/>
      <c r="L89" s="15" t="str">
        <f aca="false">IF($F89="","",IF($F89&lt;1,ROUND($F89*1440,0),INT($F89/100)*60+MOD($F89,100)))</f>
        <v/>
      </c>
      <c r="M89" s="15" t="str">
        <f aca="false">IF($G89="","",IF($G89&lt;1,ROUND($G89*1440,0),INT($G89/100)*60+MOD($G89,100)))</f>
        <v/>
      </c>
      <c r="N89" s="15" t="str">
        <f aca="false">IF(OR($A89="",$B89="",$L89="",$M89="",$J89="취소"),"",IF(SUMPRODUCT(($A$3:$A$2002=$A89)*($B$3:$B$2002=$B89)*($J$3:$J$2002&lt;&gt;"취소")*($L$3:$L$2002&lt;&gt;"")*($M$3:$M$2002&lt;&gt;"")*($L$3:$L$2002&lt;$M89)*($M$3:$M$2002&gt;$L89))&gt;1,"중복","-"))</f>
        <v/>
      </c>
    </row>
    <row r="90" customFormat="false" ht="15" hidden="false" customHeight="true" outlineLevel="0" collapsed="false">
      <c r="A90" s="11"/>
      <c r="B90" s="7"/>
      <c r="C90" s="12" t="str">
        <f aca="false">IF($B90="","",IFERROR(INDEX(자원목록!$B$3:$B$102,MATCH($B90,자원목록!$A$3:$A$102,0)),"미등록자원"))</f>
        <v/>
      </c>
      <c r="D90" s="7"/>
      <c r="E90" s="12" t="str">
        <f aca="false">IF($D90="","",IFERROR(INDEX(고객목록!$B$3:$B$502,MATCH($D90,고객목록!$A$3:$A$502,0)),""))</f>
        <v/>
      </c>
      <c r="F90" s="13"/>
      <c r="G90" s="13"/>
      <c r="H90" s="14" t="str">
        <f aca="false">IF(OR($L90="",$M90=""),"",ROUND(($M90-$L90)/60,2))</f>
        <v/>
      </c>
      <c r="I90" s="9"/>
      <c r="J90" s="7"/>
      <c r="K90" s="7"/>
      <c r="L90" s="15" t="str">
        <f aca="false">IF($F90="","",IF($F90&lt;1,ROUND($F90*1440,0),INT($F90/100)*60+MOD($F90,100)))</f>
        <v/>
      </c>
      <c r="M90" s="15" t="str">
        <f aca="false">IF($G90="","",IF($G90&lt;1,ROUND($G90*1440,0),INT($G90/100)*60+MOD($G90,100)))</f>
        <v/>
      </c>
      <c r="N90" s="15" t="str">
        <f aca="false">IF(OR($A90="",$B90="",$L90="",$M90="",$J90="취소"),"",IF(SUMPRODUCT(($A$3:$A$2002=$A90)*($B$3:$B$2002=$B90)*($J$3:$J$2002&lt;&gt;"취소")*($L$3:$L$2002&lt;&gt;"")*($M$3:$M$2002&lt;&gt;"")*($L$3:$L$2002&lt;$M90)*($M$3:$M$2002&gt;$L90))&gt;1,"중복","-"))</f>
        <v/>
      </c>
    </row>
    <row r="91" customFormat="false" ht="15" hidden="false" customHeight="true" outlineLevel="0" collapsed="false">
      <c r="A91" s="11"/>
      <c r="B91" s="7"/>
      <c r="C91" s="12" t="str">
        <f aca="false">IF($B91="","",IFERROR(INDEX(자원목록!$B$3:$B$102,MATCH($B91,자원목록!$A$3:$A$102,0)),"미등록자원"))</f>
        <v/>
      </c>
      <c r="D91" s="7"/>
      <c r="E91" s="12" t="str">
        <f aca="false">IF($D91="","",IFERROR(INDEX(고객목록!$B$3:$B$502,MATCH($D91,고객목록!$A$3:$A$502,0)),""))</f>
        <v/>
      </c>
      <c r="F91" s="13"/>
      <c r="G91" s="13"/>
      <c r="H91" s="14" t="str">
        <f aca="false">IF(OR($L91="",$M91=""),"",ROUND(($M91-$L91)/60,2))</f>
        <v/>
      </c>
      <c r="I91" s="9"/>
      <c r="J91" s="7"/>
      <c r="K91" s="7"/>
      <c r="L91" s="15" t="str">
        <f aca="false">IF($F91="","",IF($F91&lt;1,ROUND($F91*1440,0),INT($F91/100)*60+MOD($F91,100)))</f>
        <v/>
      </c>
      <c r="M91" s="15" t="str">
        <f aca="false">IF($G91="","",IF($G91&lt;1,ROUND($G91*1440,0),INT($G91/100)*60+MOD($G91,100)))</f>
        <v/>
      </c>
      <c r="N91" s="15" t="str">
        <f aca="false">IF(OR($A91="",$B91="",$L91="",$M91="",$J91="취소"),"",IF(SUMPRODUCT(($A$3:$A$2002=$A91)*($B$3:$B$2002=$B91)*($J$3:$J$2002&lt;&gt;"취소")*($L$3:$L$2002&lt;&gt;"")*($M$3:$M$2002&lt;&gt;"")*($L$3:$L$2002&lt;$M91)*($M$3:$M$2002&gt;$L91))&gt;1,"중복","-"))</f>
        <v/>
      </c>
    </row>
    <row r="92" customFormat="false" ht="15" hidden="false" customHeight="true" outlineLevel="0" collapsed="false">
      <c r="A92" s="11"/>
      <c r="B92" s="7"/>
      <c r="C92" s="12" t="str">
        <f aca="false">IF($B92="","",IFERROR(INDEX(자원목록!$B$3:$B$102,MATCH($B92,자원목록!$A$3:$A$102,0)),"미등록자원"))</f>
        <v/>
      </c>
      <c r="D92" s="7"/>
      <c r="E92" s="12" t="str">
        <f aca="false">IF($D92="","",IFERROR(INDEX(고객목록!$B$3:$B$502,MATCH($D92,고객목록!$A$3:$A$502,0)),""))</f>
        <v/>
      </c>
      <c r="F92" s="13"/>
      <c r="G92" s="13"/>
      <c r="H92" s="14" t="str">
        <f aca="false">IF(OR($L92="",$M92=""),"",ROUND(($M92-$L92)/60,2))</f>
        <v/>
      </c>
      <c r="I92" s="9"/>
      <c r="J92" s="7"/>
      <c r="K92" s="7"/>
      <c r="L92" s="15" t="str">
        <f aca="false">IF($F92="","",IF($F92&lt;1,ROUND($F92*1440,0),INT($F92/100)*60+MOD($F92,100)))</f>
        <v/>
      </c>
      <c r="M92" s="15" t="str">
        <f aca="false">IF($G92="","",IF($G92&lt;1,ROUND($G92*1440,0),INT($G92/100)*60+MOD($G92,100)))</f>
        <v/>
      </c>
      <c r="N92" s="15" t="str">
        <f aca="false">IF(OR($A92="",$B92="",$L92="",$M92="",$J92="취소"),"",IF(SUMPRODUCT(($A$3:$A$2002=$A92)*($B$3:$B$2002=$B92)*($J$3:$J$2002&lt;&gt;"취소")*($L$3:$L$2002&lt;&gt;"")*($M$3:$M$2002&lt;&gt;"")*($L$3:$L$2002&lt;$M92)*($M$3:$M$2002&gt;$L92))&gt;1,"중복","-"))</f>
        <v/>
      </c>
    </row>
    <row r="93" customFormat="false" ht="15" hidden="false" customHeight="true" outlineLevel="0" collapsed="false">
      <c r="A93" s="11"/>
      <c r="B93" s="7"/>
      <c r="C93" s="12" t="str">
        <f aca="false">IF($B93="","",IFERROR(INDEX(자원목록!$B$3:$B$102,MATCH($B93,자원목록!$A$3:$A$102,0)),"미등록자원"))</f>
        <v/>
      </c>
      <c r="D93" s="7"/>
      <c r="E93" s="12" t="str">
        <f aca="false">IF($D93="","",IFERROR(INDEX(고객목록!$B$3:$B$502,MATCH($D93,고객목록!$A$3:$A$502,0)),""))</f>
        <v/>
      </c>
      <c r="F93" s="13"/>
      <c r="G93" s="13"/>
      <c r="H93" s="14" t="str">
        <f aca="false">IF(OR($L93="",$M93=""),"",ROUND(($M93-$L93)/60,2))</f>
        <v/>
      </c>
      <c r="I93" s="9"/>
      <c r="J93" s="7"/>
      <c r="K93" s="7"/>
      <c r="L93" s="15" t="str">
        <f aca="false">IF($F93="","",IF($F93&lt;1,ROUND($F93*1440,0),INT($F93/100)*60+MOD($F93,100)))</f>
        <v/>
      </c>
      <c r="M93" s="15" t="str">
        <f aca="false">IF($G93="","",IF($G93&lt;1,ROUND($G93*1440,0),INT($G93/100)*60+MOD($G93,100)))</f>
        <v/>
      </c>
      <c r="N93" s="15" t="str">
        <f aca="false">IF(OR($A93="",$B93="",$L93="",$M93="",$J93="취소"),"",IF(SUMPRODUCT(($A$3:$A$2002=$A93)*($B$3:$B$2002=$B93)*($J$3:$J$2002&lt;&gt;"취소")*($L$3:$L$2002&lt;&gt;"")*($M$3:$M$2002&lt;&gt;"")*($L$3:$L$2002&lt;$M93)*($M$3:$M$2002&gt;$L93))&gt;1,"중복","-"))</f>
        <v/>
      </c>
    </row>
    <row r="94" customFormat="false" ht="15" hidden="false" customHeight="true" outlineLevel="0" collapsed="false">
      <c r="A94" s="11"/>
      <c r="B94" s="7"/>
      <c r="C94" s="12" t="str">
        <f aca="false">IF($B94="","",IFERROR(INDEX(자원목록!$B$3:$B$102,MATCH($B94,자원목록!$A$3:$A$102,0)),"미등록자원"))</f>
        <v/>
      </c>
      <c r="D94" s="7"/>
      <c r="E94" s="12" t="str">
        <f aca="false">IF($D94="","",IFERROR(INDEX(고객목록!$B$3:$B$502,MATCH($D94,고객목록!$A$3:$A$502,0)),""))</f>
        <v/>
      </c>
      <c r="F94" s="13"/>
      <c r="G94" s="13"/>
      <c r="H94" s="14" t="str">
        <f aca="false">IF(OR($L94="",$M94=""),"",ROUND(($M94-$L94)/60,2))</f>
        <v/>
      </c>
      <c r="I94" s="9"/>
      <c r="J94" s="7"/>
      <c r="K94" s="7"/>
      <c r="L94" s="15" t="str">
        <f aca="false">IF($F94="","",IF($F94&lt;1,ROUND($F94*1440,0),INT($F94/100)*60+MOD($F94,100)))</f>
        <v/>
      </c>
      <c r="M94" s="15" t="str">
        <f aca="false">IF($G94="","",IF($G94&lt;1,ROUND($G94*1440,0),INT($G94/100)*60+MOD($G94,100)))</f>
        <v/>
      </c>
      <c r="N94" s="15" t="str">
        <f aca="false">IF(OR($A94="",$B94="",$L94="",$M94="",$J94="취소"),"",IF(SUMPRODUCT(($A$3:$A$2002=$A94)*($B$3:$B$2002=$B94)*($J$3:$J$2002&lt;&gt;"취소")*($L$3:$L$2002&lt;&gt;"")*($M$3:$M$2002&lt;&gt;"")*($L$3:$L$2002&lt;$M94)*($M$3:$M$2002&gt;$L94))&gt;1,"중복","-"))</f>
        <v/>
      </c>
    </row>
    <row r="95" customFormat="false" ht="15" hidden="false" customHeight="true" outlineLevel="0" collapsed="false">
      <c r="A95" s="11"/>
      <c r="B95" s="7"/>
      <c r="C95" s="12" t="str">
        <f aca="false">IF($B95="","",IFERROR(INDEX(자원목록!$B$3:$B$102,MATCH($B95,자원목록!$A$3:$A$102,0)),"미등록자원"))</f>
        <v/>
      </c>
      <c r="D95" s="7"/>
      <c r="E95" s="12" t="str">
        <f aca="false">IF($D95="","",IFERROR(INDEX(고객목록!$B$3:$B$502,MATCH($D95,고객목록!$A$3:$A$502,0)),""))</f>
        <v/>
      </c>
      <c r="F95" s="13"/>
      <c r="G95" s="13"/>
      <c r="H95" s="14" t="str">
        <f aca="false">IF(OR($L95="",$M95=""),"",ROUND(($M95-$L95)/60,2))</f>
        <v/>
      </c>
      <c r="I95" s="9"/>
      <c r="J95" s="7"/>
      <c r="K95" s="7"/>
      <c r="L95" s="15" t="str">
        <f aca="false">IF($F95="","",IF($F95&lt;1,ROUND($F95*1440,0),INT($F95/100)*60+MOD($F95,100)))</f>
        <v/>
      </c>
      <c r="M95" s="15" t="str">
        <f aca="false">IF($G95="","",IF($G95&lt;1,ROUND($G95*1440,0),INT($G95/100)*60+MOD($G95,100)))</f>
        <v/>
      </c>
      <c r="N95" s="15" t="str">
        <f aca="false">IF(OR($A95="",$B95="",$L95="",$M95="",$J95="취소"),"",IF(SUMPRODUCT(($A$3:$A$2002=$A95)*($B$3:$B$2002=$B95)*($J$3:$J$2002&lt;&gt;"취소")*($L$3:$L$2002&lt;&gt;"")*($M$3:$M$2002&lt;&gt;"")*($L$3:$L$2002&lt;$M95)*($M$3:$M$2002&gt;$L95))&gt;1,"중복","-"))</f>
        <v/>
      </c>
    </row>
    <row r="96" customFormat="false" ht="15" hidden="false" customHeight="true" outlineLevel="0" collapsed="false">
      <c r="A96" s="11"/>
      <c r="B96" s="7"/>
      <c r="C96" s="12" t="str">
        <f aca="false">IF($B96="","",IFERROR(INDEX(자원목록!$B$3:$B$102,MATCH($B96,자원목록!$A$3:$A$102,0)),"미등록자원"))</f>
        <v/>
      </c>
      <c r="D96" s="7"/>
      <c r="E96" s="12" t="str">
        <f aca="false">IF($D96="","",IFERROR(INDEX(고객목록!$B$3:$B$502,MATCH($D96,고객목록!$A$3:$A$502,0)),""))</f>
        <v/>
      </c>
      <c r="F96" s="13"/>
      <c r="G96" s="13"/>
      <c r="H96" s="14" t="str">
        <f aca="false">IF(OR($L96="",$M96=""),"",ROUND(($M96-$L96)/60,2))</f>
        <v/>
      </c>
      <c r="I96" s="9"/>
      <c r="J96" s="7"/>
      <c r="K96" s="7"/>
      <c r="L96" s="15" t="str">
        <f aca="false">IF($F96="","",IF($F96&lt;1,ROUND($F96*1440,0),INT($F96/100)*60+MOD($F96,100)))</f>
        <v/>
      </c>
      <c r="M96" s="15" t="str">
        <f aca="false">IF($G96="","",IF($G96&lt;1,ROUND($G96*1440,0),INT($G96/100)*60+MOD($G96,100)))</f>
        <v/>
      </c>
      <c r="N96" s="15" t="str">
        <f aca="false">IF(OR($A96="",$B96="",$L96="",$M96="",$J96="취소"),"",IF(SUMPRODUCT(($A$3:$A$2002=$A96)*($B$3:$B$2002=$B96)*($J$3:$J$2002&lt;&gt;"취소")*($L$3:$L$2002&lt;&gt;"")*($M$3:$M$2002&lt;&gt;"")*($L$3:$L$2002&lt;$M96)*($M$3:$M$2002&gt;$L96))&gt;1,"중복","-"))</f>
        <v/>
      </c>
    </row>
    <row r="97" customFormat="false" ht="15" hidden="false" customHeight="true" outlineLevel="0" collapsed="false">
      <c r="A97" s="11"/>
      <c r="B97" s="7"/>
      <c r="C97" s="12" t="str">
        <f aca="false">IF($B97="","",IFERROR(INDEX(자원목록!$B$3:$B$102,MATCH($B97,자원목록!$A$3:$A$102,0)),"미등록자원"))</f>
        <v/>
      </c>
      <c r="D97" s="7"/>
      <c r="E97" s="12" t="str">
        <f aca="false">IF($D97="","",IFERROR(INDEX(고객목록!$B$3:$B$502,MATCH($D97,고객목록!$A$3:$A$502,0)),""))</f>
        <v/>
      </c>
      <c r="F97" s="13"/>
      <c r="G97" s="13"/>
      <c r="H97" s="14" t="str">
        <f aca="false">IF(OR($L97="",$M97=""),"",ROUND(($M97-$L97)/60,2))</f>
        <v/>
      </c>
      <c r="I97" s="9"/>
      <c r="J97" s="7"/>
      <c r="K97" s="7"/>
      <c r="L97" s="15" t="str">
        <f aca="false">IF($F97="","",IF($F97&lt;1,ROUND($F97*1440,0),INT($F97/100)*60+MOD($F97,100)))</f>
        <v/>
      </c>
      <c r="M97" s="15" t="str">
        <f aca="false">IF($G97="","",IF($G97&lt;1,ROUND($G97*1440,0),INT($G97/100)*60+MOD($G97,100)))</f>
        <v/>
      </c>
      <c r="N97" s="15" t="str">
        <f aca="false">IF(OR($A97="",$B97="",$L97="",$M97="",$J97="취소"),"",IF(SUMPRODUCT(($A$3:$A$2002=$A97)*($B$3:$B$2002=$B97)*($J$3:$J$2002&lt;&gt;"취소")*($L$3:$L$2002&lt;&gt;"")*($M$3:$M$2002&lt;&gt;"")*($L$3:$L$2002&lt;$M97)*($M$3:$M$2002&gt;$L97))&gt;1,"중복","-"))</f>
        <v/>
      </c>
    </row>
    <row r="98" customFormat="false" ht="15" hidden="false" customHeight="true" outlineLevel="0" collapsed="false">
      <c r="A98" s="11"/>
      <c r="B98" s="7"/>
      <c r="C98" s="12" t="str">
        <f aca="false">IF($B98="","",IFERROR(INDEX(자원목록!$B$3:$B$102,MATCH($B98,자원목록!$A$3:$A$102,0)),"미등록자원"))</f>
        <v/>
      </c>
      <c r="D98" s="7"/>
      <c r="E98" s="12" t="str">
        <f aca="false">IF($D98="","",IFERROR(INDEX(고객목록!$B$3:$B$502,MATCH($D98,고객목록!$A$3:$A$502,0)),""))</f>
        <v/>
      </c>
      <c r="F98" s="13"/>
      <c r="G98" s="13"/>
      <c r="H98" s="14" t="str">
        <f aca="false">IF(OR($L98="",$M98=""),"",ROUND(($M98-$L98)/60,2))</f>
        <v/>
      </c>
      <c r="I98" s="9"/>
      <c r="J98" s="7"/>
      <c r="K98" s="7"/>
      <c r="L98" s="15" t="str">
        <f aca="false">IF($F98="","",IF($F98&lt;1,ROUND($F98*1440,0),INT($F98/100)*60+MOD($F98,100)))</f>
        <v/>
      </c>
      <c r="M98" s="15" t="str">
        <f aca="false">IF($G98="","",IF($G98&lt;1,ROUND($G98*1440,0),INT($G98/100)*60+MOD($G98,100)))</f>
        <v/>
      </c>
      <c r="N98" s="15" t="str">
        <f aca="false">IF(OR($A98="",$B98="",$L98="",$M98="",$J98="취소"),"",IF(SUMPRODUCT(($A$3:$A$2002=$A98)*($B$3:$B$2002=$B98)*($J$3:$J$2002&lt;&gt;"취소")*($L$3:$L$2002&lt;&gt;"")*($M$3:$M$2002&lt;&gt;"")*($L$3:$L$2002&lt;$M98)*($M$3:$M$2002&gt;$L98))&gt;1,"중복","-"))</f>
        <v/>
      </c>
    </row>
    <row r="99" customFormat="false" ht="15" hidden="false" customHeight="true" outlineLevel="0" collapsed="false">
      <c r="A99" s="11"/>
      <c r="B99" s="7"/>
      <c r="C99" s="12" t="str">
        <f aca="false">IF($B99="","",IFERROR(INDEX(자원목록!$B$3:$B$102,MATCH($B99,자원목록!$A$3:$A$102,0)),"미등록자원"))</f>
        <v/>
      </c>
      <c r="D99" s="7"/>
      <c r="E99" s="12" t="str">
        <f aca="false">IF($D99="","",IFERROR(INDEX(고객목록!$B$3:$B$502,MATCH($D99,고객목록!$A$3:$A$502,0)),""))</f>
        <v/>
      </c>
      <c r="F99" s="13"/>
      <c r="G99" s="13"/>
      <c r="H99" s="14" t="str">
        <f aca="false">IF(OR($L99="",$M99=""),"",ROUND(($M99-$L99)/60,2))</f>
        <v/>
      </c>
      <c r="I99" s="9"/>
      <c r="J99" s="7"/>
      <c r="K99" s="7"/>
      <c r="L99" s="15" t="str">
        <f aca="false">IF($F99="","",IF($F99&lt;1,ROUND($F99*1440,0),INT($F99/100)*60+MOD($F99,100)))</f>
        <v/>
      </c>
      <c r="M99" s="15" t="str">
        <f aca="false">IF($G99="","",IF($G99&lt;1,ROUND($G99*1440,0),INT($G99/100)*60+MOD($G99,100)))</f>
        <v/>
      </c>
      <c r="N99" s="15" t="str">
        <f aca="false">IF(OR($A99="",$B99="",$L99="",$M99="",$J99="취소"),"",IF(SUMPRODUCT(($A$3:$A$2002=$A99)*($B$3:$B$2002=$B99)*($J$3:$J$2002&lt;&gt;"취소")*($L$3:$L$2002&lt;&gt;"")*($M$3:$M$2002&lt;&gt;"")*($L$3:$L$2002&lt;$M99)*($M$3:$M$2002&gt;$L99))&gt;1,"중복","-"))</f>
        <v/>
      </c>
    </row>
    <row r="100" customFormat="false" ht="15" hidden="false" customHeight="true" outlineLevel="0" collapsed="false">
      <c r="A100" s="11"/>
      <c r="B100" s="7"/>
      <c r="C100" s="12" t="str">
        <f aca="false">IF($B100="","",IFERROR(INDEX(자원목록!$B$3:$B$102,MATCH($B100,자원목록!$A$3:$A$102,0)),"미등록자원"))</f>
        <v/>
      </c>
      <c r="D100" s="7"/>
      <c r="E100" s="12" t="str">
        <f aca="false">IF($D100="","",IFERROR(INDEX(고객목록!$B$3:$B$502,MATCH($D100,고객목록!$A$3:$A$502,0)),""))</f>
        <v/>
      </c>
      <c r="F100" s="13"/>
      <c r="G100" s="13"/>
      <c r="H100" s="14" t="str">
        <f aca="false">IF(OR($L100="",$M100=""),"",ROUND(($M100-$L100)/60,2))</f>
        <v/>
      </c>
      <c r="I100" s="9"/>
      <c r="J100" s="7"/>
      <c r="K100" s="7"/>
      <c r="L100" s="15" t="str">
        <f aca="false">IF($F100="","",IF($F100&lt;1,ROUND($F100*1440,0),INT($F100/100)*60+MOD($F100,100)))</f>
        <v/>
      </c>
      <c r="M100" s="15" t="str">
        <f aca="false">IF($G100="","",IF($G100&lt;1,ROUND($G100*1440,0),INT($G100/100)*60+MOD($G100,100)))</f>
        <v/>
      </c>
      <c r="N100" s="15" t="str">
        <f aca="false">IF(OR($A100="",$B100="",$L100="",$M100="",$J100="취소"),"",IF(SUMPRODUCT(($A$3:$A$2002=$A100)*($B$3:$B$2002=$B100)*($J$3:$J$2002&lt;&gt;"취소")*($L$3:$L$2002&lt;&gt;"")*($M$3:$M$2002&lt;&gt;"")*($L$3:$L$2002&lt;$M100)*($M$3:$M$2002&gt;$L100))&gt;1,"중복","-"))</f>
        <v/>
      </c>
    </row>
    <row r="101" customFormat="false" ht="15" hidden="false" customHeight="true" outlineLevel="0" collapsed="false">
      <c r="A101" s="11"/>
      <c r="B101" s="7"/>
      <c r="C101" s="12" t="str">
        <f aca="false">IF($B101="","",IFERROR(INDEX(자원목록!$B$3:$B$102,MATCH($B101,자원목록!$A$3:$A$102,0)),"미등록자원"))</f>
        <v/>
      </c>
      <c r="D101" s="7"/>
      <c r="E101" s="12" t="str">
        <f aca="false">IF($D101="","",IFERROR(INDEX(고객목록!$B$3:$B$502,MATCH($D101,고객목록!$A$3:$A$502,0)),""))</f>
        <v/>
      </c>
      <c r="F101" s="13"/>
      <c r="G101" s="13"/>
      <c r="H101" s="14" t="str">
        <f aca="false">IF(OR($L101="",$M101=""),"",ROUND(($M101-$L101)/60,2))</f>
        <v/>
      </c>
      <c r="I101" s="9"/>
      <c r="J101" s="7"/>
      <c r="K101" s="7"/>
      <c r="L101" s="15" t="str">
        <f aca="false">IF($F101="","",IF($F101&lt;1,ROUND($F101*1440,0),INT($F101/100)*60+MOD($F101,100)))</f>
        <v/>
      </c>
      <c r="M101" s="15" t="str">
        <f aca="false">IF($G101="","",IF($G101&lt;1,ROUND($G101*1440,0),INT($G101/100)*60+MOD($G101,100)))</f>
        <v/>
      </c>
      <c r="N101" s="15" t="str">
        <f aca="false">IF(OR($A101="",$B101="",$L101="",$M101="",$J101="취소"),"",IF(SUMPRODUCT(($A$3:$A$2002=$A101)*($B$3:$B$2002=$B101)*($J$3:$J$2002&lt;&gt;"취소")*($L$3:$L$2002&lt;&gt;"")*($M$3:$M$2002&lt;&gt;"")*($L$3:$L$2002&lt;$M101)*($M$3:$M$2002&gt;$L101))&gt;1,"중복","-"))</f>
        <v/>
      </c>
    </row>
    <row r="102" customFormat="false" ht="15" hidden="false" customHeight="true" outlineLevel="0" collapsed="false">
      <c r="A102" s="11"/>
      <c r="B102" s="7"/>
      <c r="C102" s="12" t="str">
        <f aca="false">IF($B102="","",IFERROR(INDEX(자원목록!$B$3:$B$102,MATCH($B102,자원목록!$A$3:$A$102,0)),"미등록자원"))</f>
        <v/>
      </c>
      <c r="D102" s="7"/>
      <c r="E102" s="12" t="str">
        <f aca="false">IF($D102="","",IFERROR(INDEX(고객목록!$B$3:$B$502,MATCH($D102,고객목록!$A$3:$A$502,0)),""))</f>
        <v/>
      </c>
      <c r="F102" s="13"/>
      <c r="G102" s="13"/>
      <c r="H102" s="14" t="str">
        <f aca="false">IF(OR($L102="",$M102=""),"",ROUND(($M102-$L102)/60,2))</f>
        <v/>
      </c>
      <c r="I102" s="9"/>
      <c r="J102" s="7"/>
      <c r="K102" s="7"/>
      <c r="L102" s="15" t="str">
        <f aca="false">IF($F102="","",IF($F102&lt;1,ROUND($F102*1440,0),INT($F102/100)*60+MOD($F102,100)))</f>
        <v/>
      </c>
      <c r="M102" s="15" t="str">
        <f aca="false">IF($G102="","",IF($G102&lt;1,ROUND($G102*1440,0),INT($G102/100)*60+MOD($G102,100)))</f>
        <v/>
      </c>
      <c r="N102" s="15" t="str">
        <f aca="false">IF(OR($A102="",$B102="",$L102="",$M102="",$J102="취소"),"",IF(SUMPRODUCT(($A$3:$A$2002=$A102)*($B$3:$B$2002=$B102)*($J$3:$J$2002&lt;&gt;"취소")*($L$3:$L$2002&lt;&gt;"")*($M$3:$M$2002&lt;&gt;"")*($L$3:$L$2002&lt;$M102)*($M$3:$M$2002&gt;$L102))&gt;1,"중복","-"))</f>
        <v/>
      </c>
    </row>
    <row r="103" customFormat="false" ht="15" hidden="false" customHeight="true" outlineLevel="0" collapsed="false">
      <c r="A103" s="11"/>
      <c r="B103" s="7"/>
      <c r="C103" s="12" t="str">
        <f aca="false">IF($B103="","",IFERROR(INDEX(자원목록!$B$3:$B$102,MATCH($B103,자원목록!$A$3:$A$102,0)),"미등록자원"))</f>
        <v/>
      </c>
      <c r="D103" s="7"/>
      <c r="E103" s="12" t="str">
        <f aca="false">IF($D103="","",IFERROR(INDEX(고객목록!$B$3:$B$502,MATCH($D103,고객목록!$A$3:$A$502,0)),""))</f>
        <v/>
      </c>
      <c r="F103" s="13"/>
      <c r="G103" s="13"/>
      <c r="H103" s="14" t="str">
        <f aca="false">IF(OR($L103="",$M103=""),"",ROUND(($M103-$L103)/60,2))</f>
        <v/>
      </c>
      <c r="I103" s="9"/>
      <c r="J103" s="7"/>
      <c r="K103" s="7"/>
      <c r="L103" s="15" t="str">
        <f aca="false">IF($F103="","",IF($F103&lt;1,ROUND($F103*1440,0),INT($F103/100)*60+MOD($F103,100)))</f>
        <v/>
      </c>
      <c r="M103" s="15" t="str">
        <f aca="false">IF($G103="","",IF($G103&lt;1,ROUND($G103*1440,0),INT($G103/100)*60+MOD($G103,100)))</f>
        <v/>
      </c>
      <c r="N103" s="15" t="str">
        <f aca="false">IF(OR($A103="",$B103="",$L103="",$M103="",$J103="취소"),"",IF(SUMPRODUCT(($A$3:$A$2002=$A103)*($B$3:$B$2002=$B103)*($J$3:$J$2002&lt;&gt;"취소")*($L$3:$L$2002&lt;&gt;"")*($M$3:$M$2002&lt;&gt;"")*($L$3:$L$2002&lt;$M103)*($M$3:$M$2002&gt;$L103))&gt;1,"중복","-"))</f>
        <v/>
      </c>
    </row>
    <row r="104" customFormat="false" ht="15" hidden="false" customHeight="true" outlineLevel="0" collapsed="false">
      <c r="A104" s="11"/>
      <c r="B104" s="7"/>
      <c r="C104" s="12" t="str">
        <f aca="false">IF($B104="","",IFERROR(INDEX(자원목록!$B$3:$B$102,MATCH($B104,자원목록!$A$3:$A$102,0)),"미등록자원"))</f>
        <v/>
      </c>
      <c r="D104" s="7"/>
      <c r="E104" s="12" t="str">
        <f aca="false">IF($D104="","",IFERROR(INDEX(고객목록!$B$3:$B$502,MATCH($D104,고객목록!$A$3:$A$502,0)),""))</f>
        <v/>
      </c>
      <c r="F104" s="13"/>
      <c r="G104" s="13"/>
      <c r="H104" s="14" t="str">
        <f aca="false">IF(OR($L104="",$M104=""),"",ROUND(($M104-$L104)/60,2))</f>
        <v/>
      </c>
      <c r="I104" s="9"/>
      <c r="J104" s="7"/>
      <c r="K104" s="7"/>
      <c r="L104" s="15" t="str">
        <f aca="false">IF($F104="","",IF($F104&lt;1,ROUND($F104*1440,0),INT($F104/100)*60+MOD($F104,100)))</f>
        <v/>
      </c>
      <c r="M104" s="15" t="str">
        <f aca="false">IF($G104="","",IF($G104&lt;1,ROUND($G104*1440,0),INT($G104/100)*60+MOD($G104,100)))</f>
        <v/>
      </c>
      <c r="N104" s="15" t="str">
        <f aca="false">IF(OR($A104="",$B104="",$L104="",$M104="",$J104="취소"),"",IF(SUMPRODUCT(($A$3:$A$2002=$A104)*($B$3:$B$2002=$B104)*($J$3:$J$2002&lt;&gt;"취소")*($L$3:$L$2002&lt;&gt;"")*($M$3:$M$2002&lt;&gt;"")*($L$3:$L$2002&lt;$M104)*($M$3:$M$2002&gt;$L104))&gt;1,"중복","-"))</f>
        <v/>
      </c>
    </row>
    <row r="105" customFormat="false" ht="15" hidden="false" customHeight="true" outlineLevel="0" collapsed="false">
      <c r="A105" s="11"/>
      <c r="B105" s="7"/>
      <c r="C105" s="12" t="str">
        <f aca="false">IF($B105="","",IFERROR(INDEX(자원목록!$B$3:$B$102,MATCH($B105,자원목록!$A$3:$A$102,0)),"미등록자원"))</f>
        <v/>
      </c>
      <c r="D105" s="7"/>
      <c r="E105" s="12" t="str">
        <f aca="false">IF($D105="","",IFERROR(INDEX(고객목록!$B$3:$B$502,MATCH($D105,고객목록!$A$3:$A$502,0)),""))</f>
        <v/>
      </c>
      <c r="F105" s="13"/>
      <c r="G105" s="13"/>
      <c r="H105" s="14" t="str">
        <f aca="false">IF(OR($L105="",$M105=""),"",ROUND(($M105-$L105)/60,2))</f>
        <v/>
      </c>
      <c r="I105" s="9"/>
      <c r="J105" s="7"/>
      <c r="K105" s="7"/>
      <c r="L105" s="15" t="str">
        <f aca="false">IF($F105="","",IF($F105&lt;1,ROUND($F105*1440,0),INT($F105/100)*60+MOD($F105,100)))</f>
        <v/>
      </c>
      <c r="M105" s="15" t="str">
        <f aca="false">IF($G105="","",IF($G105&lt;1,ROUND($G105*1440,0),INT($G105/100)*60+MOD($G105,100)))</f>
        <v/>
      </c>
      <c r="N105" s="15" t="str">
        <f aca="false">IF(OR($A105="",$B105="",$L105="",$M105="",$J105="취소"),"",IF(SUMPRODUCT(($A$3:$A$2002=$A105)*($B$3:$B$2002=$B105)*($J$3:$J$2002&lt;&gt;"취소")*($L$3:$L$2002&lt;&gt;"")*($M$3:$M$2002&lt;&gt;"")*($L$3:$L$2002&lt;$M105)*($M$3:$M$2002&gt;$L105))&gt;1,"중복","-"))</f>
        <v/>
      </c>
    </row>
    <row r="106" customFormat="false" ht="15" hidden="false" customHeight="true" outlineLevel="0" collapsed="false">
      <c r="A106" s="11"/>
      <c r="B106" s="7"/>
      <c r="C106" s="12" t="str">
        <f aca="false">IF($B106="","",IFERROR(INDEX(자원목록!$B$3:$B$102,MATCH($B106,자원목록!$A$3:$A$102,0)),"미등록자원"))</f>
        <v/>
      </c>
      <c r="D106" s="7"/>
      <c r="E106" s="12" t="str">
        <f aca="false">IF($D106="","",IFERROR(INDEX(고객목록!$B$3:$B$502,MATCH($D106,고객목록!$A$3:$A$502,0)),""))</f>
        <v/>
      </c>
      <c r="F106" s="13"/>
      <c r="G106" s="13"/>
      <c r="H106" s="14" t="str">
        <f aca="false">IF(OR($L106="",$M106=""),"",ROUND(($M106-$L106)/60,2))</f>
        <v/>
      </c>
      <c r="I106" s="9"/>
      <c r="J106" s="7"/>
      <c r="K106" s="7"/>
      <c r="L106" s="15" t="str">
        <f aca="false">IF($F106="","",IF($F106&lt;1,ROUND($F106*1440,0),INT($F106/100)*60+MOD($F106,100)))</f>
        <v/>
      </c>
      <c r="M106" s="15" t="str">
        <f aca="false">IF($G106="","",IF($G106&lt;1,ROUND($G106*1440,0),INT($G106/100)*60+MOD($G106,100)))</f>
        <v/>
      </c>
      <c r="N106" s="15" t="str">
        <f aca="false">IF(OR($A106="",$B106="",$L106="",$M106="",$J106="취소"),"",IF(SUMPRODUCT(($A$3:$A$2002=$A106)*($B$3:$B$2002=$B106)*($J$3:$J$2002&lt;&gt;"취소")*($L$3:$L$2002&lt;&gt;"")*($M$3:$M$2002&lt;&gt;"")*($L$3:$L$2002&lt;$M106)*($M$3:$M$2002&gt;$L106))&gt;1,"중복","-"))</f>
        <v/>
      </c>
    </row>
    <row r="107" customFormat="false" ht="15" hidden="false" customHeight="true" outlineLevel="0" collapsed="false">
      <c r="A107" s="11"/>
      <c r="B107" s="7"/>
      <c r="C107" s="12" t="str">
        <f aca="false">IF($B107="","",IFERROR(INDEX(자원목록!$B$3:$B$102,MATCH($B107,자원목록!$A$3:$A$102,0)),"미등록자원"))</f>
        <v/>
      </c>
      <c r="D107" s="7"/>
      <c r="E107" s="12" t="str">
        <f aca="false">IF($D107="","",IFERROR(INDEX(고객목록!$B$3:$B$502,MATCH($D107,고객목록!$A$3:$A$502,0)),""))</f>
        <v/>
      </c>
      <c r="F107" s="13"/>
      <c r="G107" s="13"/>
      <c r="H107" s="14" t="str">
        <f aca="false">IF(OR($L107="",$M107=""),"",ROUND(($M107-$L107)/60,2))</f>
        <v/>
      </c>
      <c r="I107" s="9"/>
      <c r="J107" s="7"/>
      <c r="K107" s="7"/>
      <c r="L107" s="15" t="str">
        <f aca="false">IF($F107="","",IF($F107&lt;1,ROUND($F107*1440,0),INT($F107/100)*60+MOD($F107,100)))</f>
        <v/>
      </c>
      <c r="M107" s="15" t="str">
        <f aca="false">IF($G107="","",IF($G107&lt;1,ROUND($G107*1440,0),INT($G107/100)*60+MOD($G107,100)))</f>
        <v/>
      </c>
      <c r="N107" s="15" t="str">
        <f aca="false">IF(OR($A107="",$B107="",$L107="",$M107="",$J107="취소"),"",IF(SUMPRODUCT(($A$3:$A$2002=$A107)*($B$3:$B$2002=$B107)*($J$3:$J$2002&lt;&gt;"취소")*($L$3:$L$2002&lt;&gt;"")*($M$3:$M$2002&lt;&gt;"")*($L$3:$L$2002&lt;$M107)*($M$3:$M$2002&gt;$L107))&gt;1,"중복","-"))</f>
        <v/>
      </c>
    </row>
    <row r="108" customFormat="false" ht="15" hidden="false" customHeight="true" outlineLevel="0" collapsed="false">
      <c r="A108" s="11"/>
      <c r="B108" s="7"/>
      <c r="C108" s="12" t="str">
        <f aca="false">IF($B108="","",IFERROR(INDEX(자원목록!$B$3:$B$102,MATCH($B108,자원목록!$A$3:$A$102,0)),"미등록자원"))</f>
        <v/>
      </c>
      <c r="D108" s="7"/>
      <c r="E108" s="12" t="str">
        <f aca="false">IF($D108="","",IFERROR(INDEX(고객목록!$B$3:$B$502,MATCH($D108,고객목록!$A$3:$A$502,0)),""))</f>
        <v/>
      </c>
      <c r="F108" s="13"/>
      <c r="G108" s="13"/>
      <c r="H108" s="14" t="str">
        <f aca="false">IF(OR($L108="",$M108=""),"",ROUND(($M108-$L108)/60,2))</f>
        <v/>
      </c>
      <c r="I108" s="9"/>
      <c r="J108" s="7"/>
      <c r="K108" s="7"/>
      <c r="L108" s="15" t="str">
        <f aca="false">IF($F108="","",IF($F108&lt;1,ROUND($F108*1440,0),INT($F108/100)*60+MOD($F108,100)))</f>
        <v/>
      </c>
      <c r="M108" s="15" t="str">
        <f aca="false">IF($G108="","",IF($G108&lt;1,ROUND($G108*1440,0),INT($G108/100)*60+MOD($G108,100)))</f>
        <v/>
      </c>
      <c r="N108" s="15" t="str">
        <f aca="false">IF(OR($A108="",$B108="",$L108="",$M108="",$J108="취소"),"",IF(SUMPRODUCT(($A$3:$A$2002=$A108)*($B$3:$B$2002=$B108)*($J$3:$J$2002&lt;&gt;"취소")*($L$3:$L$2002&lt;&gt;"")*($M$3:$M$2002&lt;&gt;"")*($L$3:$L$2002&lt;$M108)*($M$3:$M$2002&gt;$L108))&gt;1,"중복","-"))</f>
        <v/>
      </c>
    </row>
    <row r="109" customFormat="false" ht="15" hidden="false" customHeight="true" outlineLevel="0" collapsed="false">
      <c r="A109" s="11"/>
      <c r="B109" s="7"/>
      <c r="C109" s="12" t="str">
        <f aca="false">IF($B109="","",IFERROR(INDEX(자원목록!$B$3:$B$102,MATCH($B109,자원목록!$A$3:$A$102,0)),"미등록자원"))</f>
        <v/>
      </c>
      <c r="D109" s="7"/>
      <c r="E109" s="12" t="str">
        <f aca="false">IF($D109="","",IFERROR(INDEX(고객목록!$B$3:$B$502,MATCH($D109,고객목록!$A$3:$A$502,0)),""))</f>
        <v/>
      </c>
      <c r="F109" s="13"/>
      <c r="G109" s="13"/>
      <c r="H109" s="14" t="str">
        <f aca="false">IF(OR($L109="",$M109=""),"",ROUND(($M109-$L109)/60,2))</f>
        <v/>
      </c>
      <c r="I109" s="9"/>
      <c r="J109" s="7"/>
      <c r="K109" s="7"/>
      <c r="L109" s="15" t="str">
        <f aca="false">IF($F109="","",IF($F109&lt;1,ROUND($F109*1440,0),INT($F109/100)*60+MOD($F109,100)))</f>
        <v/>
      </c>
      <c r="M109" s="15" t="str">
        <f aca="false">IF($G109="","",IF($G109&lt;1,ROUND($G109*1440,0),INT($G109/100)*60+MOD($G109,100)))</f>
        <v/>
      </c>
      <c r="N109" s="15" t="str">
        <f aca="false">IF(OR($A109="",$B109="",$L109="",$M109="",$J109="취소"),"",IF(SUMPRODUCT(($A$3:$A$2002=$A109)*($B$3:$B$2002=$B109)*($J$3:$J$2002&lt;&gt;"취소")*($L$3:$L$2002&lt;&gt;"")*($M$3:$M$2002&lt;&gt;"")*($L$3:$L$2002&lt;$M109)*($M$3:$M$2002&gt;$L109))&gt;1,"중복","-"))</f>
        <v/>
      </c>
    </row>
    <row r="110" customFormat="false" ht="15" hidden="false" customHeight="true" outlineLevel="0" collapsed="false">
      <c r="A110" s="11"/>
      <c r="B110" s="7"/>
      <c r="C110" s="12" t="str">
        <f aca="false">IF($B110="","",IFERROR(INDEX(자원목록!$B$3:$B$102,MATCH($B110,자원목록!$A$3:$A$102,0)),"미등록자원"))</f>
        <v/>
      </c>
      <c r="D110" s="7"/>
      <c r="E110" s="12" t="str">
        <f aca="false">IF($D110="","",IFERROR(INDEX(고객목록!$B$3:$B$502,MATCH($D110,고객목록!$A$3:$A$502,0)),""))</f>
        <v/>
      </c>
      <c r="F110" s="13"/>
      <c r="G110" s="13"/>
      <c r="H110" s="14" t="str">
        <f aca="false">IF(OR($L110="",$M110=""),"",ROUND(($M110-$L110)/60,2))</f>
        <v/>
      </c>
      <c r="I110" s="9"/>
      <c r="J110" s="7"/>
      <c r="K110" s="7"/>
      <c r="L110" s="15" t="str">
        <f aca="false">IF($F110="","",IF($F110&lt;1,ROUND($F110*1440,0),INT($F110/100)*60+MOD($F110,100)))</f>
        <v/>
      </c>
      <c r="M110" s="15" t="str">
        <f aca="false">IF($G110="","",IF($G110&lt;1,ROUND($G110*1440,0),INT($G110/100)*60+MOD($G110,100)))</f>
        <v/>
      </c>
      <c r="N110" s="15" t="str">
        <f aca="false">IF(OR($A110="",$B110="",$L110="",$M110="",$J110="취소"),"",IF(SUMPRODUCT(($A$3:$A$2002=$A110)*($B$3:$B$2002=$B110)*($J$3:$J$2002&lt;&gt;"취소")*($L$3:$L$2002&lt;&gt;"")*($M$3:$M$2002&lt;&gt;"")*($L$3:$L$2002&lt;$M110)*($M$3:$M$2002&gt;$L110))&gt;1,"중복","-"))</f>
        <v/>
      </c>
    </row>
    <row r="111" customFormat="false" ht="15" hidden="false" customHeight="true" outlineLevel="0" collapsed="false">
      <c r="A111" s="11"/>
      <c r="B111" s="7"/>
      <c r="C111" s="12" t="str">
        <f aca="false">IF($B111="","",IFERROR(INDEX(자원목록!$B$3:$B$102,MATCH($B111,자원목록!$A$3:$A$102,0)),"미등록자원"))</f>
        <v/>
      </c>
      <c r="D111" s="7"/>
      <c r="E111" s="12" t="str">
        <f aca="false">IF($D111="","",IFERROR(INDEX(고객목록!$B$3:$B$502,MATCH($D111,고객목록!$A$3:$A$502,0)),""))</f>
        <v/>
      </c>
      <c r="F111" s="13"/>
      <c r="G111" s="13"/>
      <c r="H111" s="14" t="str">
        <f aca="false">IF(OR($L111="",$M111=""),"",ROUND(($M111-$L111)/60,2))</f>
        <v/>
      </c>
      <c r="I111" s="9"/>
      <c r="J111" s="7"/>
      <c r="K111" s="7"/>
      <c r="L111" s="15" t="str">
        <f aca="false">IF($F111="","",IF($F111&lt;1,ROUND($F111*1440,0),INT($F111/100)*60+MOD($F111,100)))</f>
        <v/>
      </c>
      <c r="M111" s="15" t="str">
        <f aca="false">IF($G111="","",IF($G111&lt;1,ROUND($G111*1440,0),INT($G111/100)*60+MOD($G111,100)))</f>
        <v/>
      </c>
      <c r="N111" s="15" t="str">
        <f aca="false">IF(OR($A111="",$B111="",$L111="",$M111="",$J111="취소"),"",IF(SUMPRODUCT(($A$3:$A$2002=$A111)*($B$3:$B$2002=$B111)*($J$3:$J$2002&lt;&gt;"취소")*($L$3:$L$2002&lt;&gt;"")*($M$3:$M$2002&lt;&gt;"")*($L$3:$L$2002&lt;$M111)*($M$3:$M$2002&gt;$L111))&gt;1,"중복","-"))</f>
        <v/>
      </c>
    </row>
    <row r="112" customFormat="false" ht="15" hidden="false" customHeight="true" outlineLevel="0" collapsed="false">
      <c r="A112" s="11"/>
      <c r="B112" s="7"/>
      <c r="C112" s="12" t="str">
        <f aca="false">IF($B112="","",IFERROR(INDEX(자원목록!$B$3:$B$102,MATCH($B112,자원목록!$A$3:$A$102,0)),"미등록자원"))</f>
        <v/>
      </c>
      <c r="D112" s="7"/>
      <c r="E112" s="12" t="str">
        <f aca="false">IF($D112="","",IFERROR(INDEX(고객목록!$B$3:$B$502,MATCH($D112,고객목록!$A$3:$A$502,0)),""))</f>
        <v/>
      </c>
      <c r="F112" s="13"/>
      <c r="G112" s="13"/>
      <c r="H112" s="14" t="str">
        <f aca="false">IF(OR($L112="",$M112=""),"",ROUND(($M112-$L112)/60,2))</f>
        <v/>
      </c>
      <c r="I112" s="9"/>
      <c r="J112" s="7"/>
      <c r="K112" s="7"/>
      <c r="L112" s="15" t="str">
        <f aca="false">IF($F112="","",IF($F112&lt;1,ROUND($F112*1440,0),INT($F112/100)*60+MOD($F112,100)))</f>
        <v/>
      </c>
      <c r="M112" s="15" t="str">
        <f aca="false">IF($G112="","",IF($G112&lt;1,ROUND($G112*1440,0),INT($G112/100)*60+MOD($G112,100)))</f>
        <v/>
      </c>
      <c r="N112" s="15" t="str">
        <f aca="false">IF(OR($A112="",$B112="",$L112="",$M112="",$J112="취소"),"",IF(SUMPRODUCT(($A$3:$A$2002=$A112)*($B$3:$B$2002=$B112)*($J$3:$J$2002&lt;&gt;"취소")*($L$3:$L$2002&lt;&gt;"")*($M$3:$M$2002&lt;&gt;"")*($L$3:$L$2002&lt;$M112)*($M$3:$M$2002&gt;$L112))&gt;1,"중복","-"))</f>
        <v/>
      </c>
    </row>
    <row r="113" customFormat="false" ht="15" hidden="false" customHeight="true" outlineLevel="0" collapsed="false">
      <c r="A113" s="11"/>
      <c r="B113" s="7"/>
      <c r="C113" s="12" t="str">
        <f aca="false">IF($B113="","",IFERROR(INDEX(자원목록!$B$3:$B$102,MATCH($B113,자원목록!$A$3:$A$102,0)),"미등록자원"))</f>
        <v/>
      </c>
      <c r="D113" s="7"/>
      <c r="E113" s="12" t="str">
        <f aca="false">IF($D113="","",IFERROR(INDEX(고객목록!$B$3:$B$502,MATCH($D113,고객목록!$A$3:$A$502,0)),""))</f>
        <v/>
      </c>
      <c r="F113" s="13"/>
      <c r="G113" s="13"/>
      <c r="H113" s="14" t="str">
        <f aca="false">IF(OR($L113="",$M113=""),"",ROUND(($M113-$L113)/60,2))</f>
        <v/>
      </c>
      <c r="I113" s="9"/>
      <c r="J113" s="7"/>
      <c r="K113" s="7"/>
      <c r="L113" s="15" t="str">
        <f aca="false">IF($F113="","",IF($F113&lt;1,ROUND($F113*1440,0),INT($F113/100)*60+MOD($F113,100)))</f>
        <v/>
      </c>
      <c r="M113" s="15" t="str">
        <f aca="false">IF($G113="","",IF($G113&lt;1,ROUND($G113*1440,0),INT($G113/100)*60+MOD($G113,100)))</f>
        <v/>
      </c>
      <c r="N113" s="15" t="str">
        <f aca="false">IF(OR($A113="",$B113="",$L113="",$M113="",$J113="취소"),"",IF(SUMPRODUCT(($A$3:$A$2002=$A113)*($B$3:$B$2002=$B113)*($J$3:$J$2002&lt;&gt;"취소")*($L$3:$L$2002&lt;&gt;"")*($M$3:$M$2002&lt;&gt;"")*($L$3:$L$2002&lt;$M113)*($M$3:$M$2002&gt;$L113))&gt;1,"중복","-"))</f>
        <v/>
      </c>
    </row>
    <row r="114" customFormat="false" ht="15" hidden="false" customHeight="true" outlineLevel="0" collapsed="false">
      <c r="A114" s="11"/>
      <c r="B114" s="7"/>
      <c r="C114" s="12" t="str">
        <f aca="false">IF($B114="","",IFERROR(INDEX(자원목록!$B$3:$B$102,MATCH($B114,자원목록!$A$3:$A$102,0)),"미등록자원"))</f>
        <v/>
      </c>
      <c r="D114" s="7"/>
      <c r="E114" s="12" t="str">
        <f aca="false">IF($D114="","",IFERROR(INDEX(고객목록!$B$3:$B$502,MATCH($D114,고객목록!$A$3:$A$502,0)),""))</f>
        <v/>
      </c>
      <c r="F114" s="13"/>
      <c r="G114" s="13"/>
      <c r="H114" s="14" t="str">
        <f aca="false">IF(OR($L114="",$M114=""),"",ROUND(($M114-$L114)/60,2))</f>
        <v/>
      </c>
      <c r="I114" s="9"/>
      <c r="J114" s="7"/>
      <c r="K114" s="7"/>
      <c r="L114" s="15" t="str">
        <f aca="false">IF($F114="","",IF($F114&lt;1,ROUND($F114*1440,0),INT($F114/100)*60+MOD($F114,100)))</f>
        <v/>
      </c>
      <c r="M114" s="15" t="str">
        <f aca="false">IF($G114="","",IF($G114&lt;1,ROUND($G114*1440,0),INT($G114/100)*60+MOD($G114,100)))</f>
        <v/>
      </c>
      <c r="N114" s="15" t="str">
        <f aca="false">IF(OR($A114="",$B114="",$L114="",$M114="",$J114="취소"),"",IF(SUMPRODUCT(($A$3:$A$2002=$A114)*($B$3:$B$2002=$B114)*($J$3:$J$2002&lt;&gt;"취소")*($L$3:$L$2002&lt;&gt;"")*($M$3:$M$2002&lt;&gt;"")*($L$3:$L$2002&lt;$M114)*($M$3:$M$2002&gt;$L114))&gt;1,"중복","-"))</f>
        <v/>
      </c>
    </row>
    <row r="115" customFormat="false" ht="15" hidden="false" customHeight="true" outlineLevel="0" collapsed="false">
      <c r="A115" s="11"/>
      <c r="B115" s="7"/>
      <c r="C115" s="12" t="str">
        <f aca="false">IF($B115="","",IFERROR(INDEX(자원목록!$B$3:$B$102,MATCH($B115,자원목록!$A$3:$A$102,0)),"미등록자원"))</f>
        <v/>
      </c>
      <c r="D115" s="7"/>
      <c r="E115" s="12" t="str">
        <f aca="false">IF($D115="","",IFERROR(INDEX(고객목록!$B$3:$B$502,MATCH($D115,고객목록!$A$3:$A$502,0)),""))</f>
        <v/>
      </c>
      <c r="F115" s="13"/>
      <c r="G115" s="13"/>
      <c r="H115" s="14" t="str">
        <f aca="false">IF(OR($L115="",$M115=""),"",ROUND(($M115-$L115)/60,2))</f>
        <v/>
      </c>
      <c r="I115" s="9"/>
      <c r="J115" s="7"/>
      <c r="K115" s="7"/>
      <c r="L115" s="15" t="str">
        <f aca="false">IF($F115="","",IF($F115&lt;1,ROUND($F115*1440,0),INT($F115/100)*60+MOD($F115,100)))</f>
        <v/>
      </c>
      <c r="M115" s="15" t="str">
        <f aca="false">IF($G115="","",IF($G115&lt;1,ROUND($G115*1440,0),INT($G115/100)*60+MOD($G115,100)))</f>
        <v/>
      </c>
      <c r="N115" s="15" t="str">
        <f aca="false">IF(OR($A115="",$B115="",$L115="",$M115="",$J115="취소"),"",IF(SUMPRODUCT(($A$3:$A$2002=$A115)*($B$3:$B$2002=$B115)*($J$3:$J$2002&lt;&gt;"취소")*($L$3:$L$2002&lt;&gt;"")*($M$3:$M$2002&lt;&gt;"")*($L$3:$L$2002&lt;$M115)*($M$3:$M$2002&gt;$L115))&gt;1,"중복","-"))</f>
        <v/>
      </c>
    </row>
    <row r="116" customFormat="false" ht="15" hidden="false" customHeight="true" outlineLevel="0" collapsed="false">
      <c r="A116" s="11"/>
      <c r="B116" s="7"/>
      <c r="C116" s="12" t="str">
        <f aca="false">IF($B116="","",IFERROR(INDEX(자원목록!$B$3:$B$102,MATCH($B116,자원목록!$A$3:$A$102,0)),"미등록자원"))</f>
        <v/>
      </c>
      <c r="D116" s="7"/>
      <c r="E116" s="12" t="str">
        <f aca="false">IF($D116="","",IFERROR(INDEX(고객목록!$B$3:$B$502,MATCH($D116,고객목록!$A$3:$A$502,0)),""))</f>
        <v/>
      </c>
      <c r="F116" s="13"/>
      <c r="G116" s="13"/>
      <c r="H116" s="14" t="str">
        <f aca="false">IF(OR($L116="",$M116=""),"",ROUND(($M116-$L116)/60,2))</f>
        <v/>
      </c>
      <c r="I116" s="9"/>
      <c r="J116" s="7"/>
      <c r="K116" s="7"/>
      <c r="L116" s="15" t="str">
        <f aca="false">IF($F116="","",IF($F116&lt;1,ROUND($F116*1440,0),INT($F116/100)*60+MOD($F116,100)))</f>
        <v/>
      </c>
      <c r="M116" s="15" t="str">
        <f aca="false">IF($G116="","",IF($G116&lt;1,ROUND($G116*1440,0),INT($G116/100)*60+MOD($G116,100)))</f>
        <v/>
      </c>
      <c r="N116" s="15" t="str">
        <f aca="false">IF(OR($A116="",$B116="",$L116="",$M116="",$J116="취소"),"",IF(SUMPRODUCT(($A$3:$A$2002=$A116)*($B$3:$B$2002=$B116)*($J$3:$J$2002&lt;&gt;"취소")*($L$3:$L$2002&lt;&gt;"")*($M$3:$M$2002&lt;&gt;"")*($L$3:$L$2002&lt;$M116)*($M$3:$M$2002&gt;$L116))&gt;1,"중복","-"))</f>
        <v/>
      </c>
    </row>
    <row r="117" customFormat="false" ht="15" hidden="false" customHeight="true" outlineLevel="0" collapsed="false">
      <c r="A117" s="11"/>
      <c r="B117" s="7"/>
      <c r="C117" s="12" t="str">
        <f aca="false">IF($B117="","",IFERROR(INDEX(자원목록!$B$3:$B$102,MATCH($B117,자원목록!$A$3:$A$102,0)),"미등록자원"))</f>
        <v/>
      </c>
      <c r="D117" s="7"/>
      <c r="E117" s="12" t="str">
        <f aca="false">IF($D117="","",IFERROR(INDEX(고객목록!$B$3:$B$502,MATCH($D117,고객목록!$A$3:$A$502,0)),""))</f>
        <v/>
      </c>
      <c r="F117" s="13"/>
      <c r="G117" s="13"/>
      <c r="H117" s="14" t="str">
        <f aca="false">IF(OR($L117="",$M117=""),"",ROUND(($M117-$L117)/60,2))</f>
        <v/>
      </c>
      <c r="I117" s="9"/>
      <c r="J117" s="7"/>
      <c r="K117" s="7"/>
      <c r="L117" s="15" t="str">
        <f aca="false">IF($F117="","",IF($F117&lt;1,ROUND($F117*1440,0),INT($F117/100)*60+MOD($F117,100)))</f>
        <v/>
      </c>
      <c r="M117" s="15" t="str">
        <f aca="false">IF($G117="","",IF($G117&lt;1,ROUND($G117*1440,0),INT($G117/100)*60+MOD($G117,100)))</f>
        <v/>
      </c>
      <c r="N117" s="15" t="str">
        <f aca="false">IF(OR($A117="",$B117="",$L117="",$M117="",$J117="취소"),"",IF(SUMPRODUCT(($A$3:$A$2002=$A117)*($B$3:$B$2002=$B117)*($J$3:$J$2002&lt;&gt;"취소")*($L$3:$L$2002&lt;&gt;"")*($M$3:$M$2002&lt;&gt;"")*($L$3:$L$2002&lt;$M117)*($M$3:$M$2002&gt;$L117))&gt;1,"중복","-"))</f>
        <v/>
      </c>
    </row>
    <row r="118" customFormat="false" ht="15" hidden="false" customHeight="true" outlineLevel="0" collapsed="false">
      <c r="A118" s="11"/>
      <c r="B118" s="7"/>
      <c r="C118" s="12" t="str">
        <f aca="false">IF($B118="","",IFERROR(INDEX(자원목록!$B$3:$B$102,MATCH($B118,자원목록!$A$3:$A$102,0)),"미등록자원"))</f>
        <v/>
      </c>
      <c r="D118" s="7"/>
      <c r="E118" s="12" t="str">
        <f aca="false">IF($D118="","",IFERROR(INDEX(고객목록!$B$3:$B$502,MATCH($D118,고객목록!$A$3:$A$502,0)),""))</f>
        <v/>
      </c>
      <c r="F118" s="13"/>
      <c r="G118" s="13"/>
      <c r="H118" s="14" t="str">
        <f aca="false">IF(OR($L118="",$M118=""),"",ROUND(($M118-$L118)/60,2))</f>
        <v/>
      </c>
      <c r="I118" s="9"/>
      <c r="J118" s="7"/>
      <c r="K118" s="7"/>
      <c r="L118" s="15" t="str">
        <f aca="false">IF($F118="","",IF($F118&lt;1,ROUND($F118*1440,0),INT($F118/100)*60+MOD($F118,100)))</f>
        <v/>
      </c>
      <c r="M118" s="15" t="str">
        <f aca="false">IF($G118="","",IF($G118&lt;1,ROUND($G118*1440,0),INT($G118/100)*60+MOD($G118,100)))</f>
        <v/>
      </c>
      <c r="N118" s="15" t="str">
        <f aca="false">IF(OR($A118="",$B118="",$L118="",$M118="",$J118="취소"),"",IF(SUMPRODUCT(($A$3:$A$2002=$A118)*($B$3:$B$2002=$B118)*($J$3:$J$2002&lt;&gt;"취소")*($L$3:$L$2002&lt;&gt;"")*($M$3:$M$2002&lt;&gt;"")*($L$3:$L$2002&lt;$M118)*($M$3:$M$2002&gt;$L118))&gt;1,"중복","-"))</f>
        <v/>
      </c>
    </row>
    <row r="119" customFormat="false" ht="15" hidden="false" customHeight="true" outlineLevel="0" collapsed="false">
      <c r="A119" s="11"/>
      <c r="B119" s="7"/>
      <c r="C119" s="12" t="str">
        <f aca="false">IF($B119="","",IFERROR(INDEX(자원목록!$B$3:$B$102,MATCH($B119,자원목록!$A$3:$A$102,0)),"미등록자원"))</f>
        <v/>
      </c>
      <c r="D119" s="7"/>
      <c r="E119" s="12" t="str">
        <f aca="false">IF($D119="","",IFERROR(INDEX(고객목록!$B$3:$B$502,MATCH($D119,고객목록!$A$3:$A$502,0)),""))</f>
        <v/>
      </c>
      <c r="F119" s="13"/>
      <c r="G119" s="13"/>
      <c r="H119" s="14" t="str">
        <f aca="false">IF(OR($L119="",$M119=""),"",ROUND(($M119-$L119)/60,2))</f>
        <v/>
      </c>
      <c r="I119" s="9"/>
      <c r="J119" s="7"/>
      <c r="K119" s="7"/>
      <c r="L119" s="15" t="str">
        <f aca="false">IF($F119="","",IF($F119&lt;1,ROUND($F119*1440,0),INT($F119/100)*60+MOD($F119,100)))</f>
        <v/>
      </c>
      <c r="M119" s="15" t="str">
        <f aca="false">IF($G119="","",IF($G119&lt;1,ROUND($G119*1440,0),INT($G119/100)*60+MOD($G119,100)))</f>
        <v/>
      </c>
      <c r="N119" s="15" t="str">
        <f aca="false">IF(OR($A119="",$B119="",$L119="",$M119="",$J119="취소"),"",IF(SUMPRODUCT(($A$3:$A$2002=$A119)*($B$3:$B$2002=$B119)*($J$3:$J$2002&lt;&gt;"취소")*($L$3:$L$2002&lt;&gt;"")*($M$3:$M$2002&lt;&gt;"")*($L$3:$L$2002&lt;$M119)*($M$3:$M$2002&gt;$L119))&gt;1,"중복","-"))</f>
        <v/>
      </c>
    </row>
    <row r="120" customFormat="false" ht="15" hidden="false" customHeight="true" outlineLevel="0" collapsed="false">
      <c r="A120" s="11"/>
      <c r="B120" s="7"/>
      <c r="C120" s="12" t="str">
        <f aca="false">IF($B120="","",IFERROR(INDEX(자원목록!$B$3:$B$102,MATCH($B120,자원목록!$A$3:$A$102,0)),"미등록자원"))</f>
        <v/>
      </c>
      <c r="D120" s="7"/>
      <c r="E120" s="12" t="str">
        <f aca="false">IF($D120="","",IFERROR(INDEX(고객목록!$B$3:$B$502,MATCH($D120,고객목록!$A$3:$A$502,0)),""))</f>
        <v/>
      </c>
      <c r="F120" s="13"/>
      <c r="G120" s="13"/>
      <c r="H120" s="14" t="str">
        <f aca="false">IF(OR($L120="",$M120=""),"",ROUND(($M120-$L120)/60,2))</f>
        <v/>
      </c>
      <c r="I120" s="9"/>
      <c r="J120" s="7"/>
      <c r="K120" s="7"/>
      <c r="L120" s="15" t="str">
        <f aca="false">IF($F120="","",IF($F120&lt;1,ROUND($F120*1440,0),INT($F120/100)*60+MOD($F120,100)))</f>
        <v/>
      </c>
      <c r="M120" s="15" t="str">
        <f aca="false">IF($G120="","",IF($G120&lt;1,ROUND($G120*1440,0),INT($G120/100)*60+MOD($G120,100)))</f>
        <v/>
      </c>
      <c r="N120" s="15" t="str">
        <f aca="false">IF(OR($A120="",$B120="",$L120="",$M120="",$J120="취소"),"",IF(SUMPRODUCT(($A$3:$A$2002=$A120)*($B$3:$B$2002=$B120)*($J$3:$J$2002&lt;&gt;"취소")*($L$3:$L$2002&lt;&gt;"")*($M$3:$M$2002&lt;&gt;"")*($L$3:$L$2002&lt;$M120)*($M$3:$M$2002&gt;$L120))&gt;1,"중복","-"))</f>
        <v/>
      </c>
    </row>
    <row r="121" customFormat="false" ht="15" hidden="false" customHeight="true" outlineLevel="0" collapsed="false">
      <c r="A121" s="11"/>
      <c r="B121" s="7"/>
      <c r="C121" s="12" t="str">
        <f aca="false">IF($B121="","",IFERROR(INDEX(자원목록!$B$3:$B$102,MATCH($B121,자원목록!$A$3:$A$102,0)),"미등록자원"))</f>
        <v/>
      </c>
      <c r="D121" s="7"/>
      <c r="E121" s="12" t="str">
        <f aca="false">IF($D121="","",IFERROR(INDEX(고객목록!$B$3:$B$502,MATCH($D121,고객목록!$A$3:$A$502,0)),""))</f>
        <v/>
      </c>
      <c r="F121" s="13"/>
      <c r="G121" s="13"/>
      <c r="H121" s="14" t="str">
        <f aca="false">IF(OR($L121="",$M121=""),"",ROUND(($M121-$L121)/60,2))</f>
        <v/>
      </c>
      <c r="I121" s="9"/>
      <c r="J121" s="7"/>
      <c r="K121" s="7"/>
      <c r="L121" s="15" t="str">
        <f aca="false">IF($F121="","",IF($F121&lt;1,ROUND($F121*1440,0),INT($F121/100)*60+MOD($F121,100)))</f>
        <v/>
      </c>
      <c r="M121" s="15" t="str">
        <f aca="false">IF($G121="","",IF($G121&lt;1,ROUND($G121*1440,0),INT($G121/100)*60+MOD($G121,100)))</f>
        <v/>
      </c>
      <c r="N121" s="15" t="str">
        <f aca="false">IF(OR($A121="",$B121="",$L121="",$M121="",$J121="취소"),"",IF(SUMPRODUCT(($A$3:$A$2002=$A121)*($B$3:$B$2002=$B121)*($J$3:$J$2002&lt;&gt;"취소")*($L$3:$L$2002&lt;&gt;"")*($M$3:$M$2002&lt;&gt;"")*($L$3:$L$2002&lt;$M121)*($M$3:$M$2002&gt;$L121))&gt;1,"중복","-"))</f>
        <v/>
      </c>
    </row>
    <row r="122" customFormat="false" ht="15" hidden="false" customHeight="true" outlineLevel="0" collapsed="false">
      <c r="A122" s="11"/>
      <c r="B122" s="7"/>
      <c r="C122" s="12" t="str">
        <f aca="false">IF($B122="","",IFERROR(INDEX(자원목록!$B$3:$B$102,MATCH($B122,자원목록!$A$3:$A$102,0)),"미등록자원"))</f>
        <v/>
      </c>
      <c r="D122" s="7"/>
      <c r="E122" s="12" t="str">
        <f aca="false">IF($D122="","",IFERROR(INDEX(고객목록!$B$3:$B$502,MATCH($D122,고객목록!$A$3:$A$502,0)),""))</f>
        <v/>
      </c>
      <c r="F122" s="13"/>
      <c r="G122" s="13"/>
      <c r="H122" s="14" t="str">
        <f aca="false">IF(OR($L122="",$M122=""),"",ROUND(($M122-$L122)/60,2))</f>
        <v/>
      </c>
      <c r="I122" s="9"/>
      <c r="J122" s="7"/>
      <c r="K122" s="7"/>
      <c r="L122" s="15" t="str">
        <f aca="false">IF($F122="","",IF($F122&lt;1,ROUND($F122*1440,0),INT($F122/100)*60+MOD($F122,100)))</f>
        <v/>
      </c>
      <c r="M122" s="15" t="str">
        <f aca="false">IF($G122="","",IF($G122&lt;1,ROUND($G122*1440,0),INT($G122/100)*60+MOD($G122,100)))</f>
        <v/>
      </c>
      <c r="N122" s="15" t="str">
        <f aca="false">IF(OR($A122="",$B122="",$L122="",$M122="",$J122="취소"),"",IF(SUMPRODUCT(($A$3:$A$2002=$A122)*($B$3:$B$2002=$B122)*($J$3:$J$2002&lt;&gt;"취소")*($L$3:$L$2002&lt;&gt;"")*($M$3:$M$2002&lt;&gt;"")*($L$3:$L$2002&lt;$M122)*($M$3:$M$2002&gt;$L122))&gt;1,"중복","-"))</f>
        <v/>
      </c>
    </row>
    <row r="123" customFormat="false" ht="15" hidden="false" customHeight="true" outlineLevel="0" collapsed="false">
      <c r="A123" s="11"/>
      <c r="B123" s="7"/>
      <c r="C123" s="12" t="str">
        <f aca="false">IF($B123="","",IFERROR(INDEX(자원목록!$B$3:$B$102,MATCH($B123,자원목록!$A$3:$A$102,0)),"미등록자원"))</f>
        <v/>
      </c>
      <c r="D123" s="7"/>
      <c r="E123" s="12" t="str">
        <f aca="false">IF($D123="","",IFERROR(INDEX(고객목록!$B$3:$B$502,MATCH($D123,고객목록!$A$3:$A$502,0)),""))</f>
        <v/>
      </c>
      <c r="F123" s="13"/>
      <c r="G123" s="13"/>
      <c r="H123" s="14" t="str">
        <f aca="false">IF(OR($L123="",$M123=""),"",ROUND(($M123-$L123)/60,2))</f>
        <v/>
      </c>
      <c r="I123" s="9"/>
      <c r="J123" s="7"/>
      <c r="K123" s="7"/>
      <c r="L123" s="15" t="str">
        <f aca="false">IF($F123="","",IF($F123&lt;1,ROUND($F123*1440,0),INT($F123/100)*60+MOD($F123,100)))</f>
        <v/>
      </c>
      <c r="M123" s="15" t="str">
        <f aca="false">IF($G123="","",IF($G123&lt;1,ROUND($G123*1440,0),INT($G123/100)*60+MOD($G123,100)))</f>
        <v/>
      </c>
      <c r="N123" s="15" t="str">
        <f aca="false">IF(OR($A123="",$B123="",$L123="",$M123="",$J123="취소"),"",IF(SUMPRODUCT(($A$3:$A$2002=$A123)*($B$3:$B$2002=$B123)*($J$3:$J$2002&lt;&gt;"취소")*($L$3:$L$2002&lt;&gt;"")*($M$3:$M$2002&lt;&gt;"")*($L$3:$L$2002&lt;$M123)*($M$3:$M$2002&gt;$L123))&gt;1,"중복","-"))</f>
        <v/>
      </c>
    </row>
    <row r="124" customFormat="false" ht="15" hidden="false" customHeight="true" outlineLevel="0" collapsed="false">
      <c r="A124" s="11"/>
      <c r="B124" s="7"/>
      <c r="C124" s="12" t="str">
        <f aca="false">IF($B124="","",IFERROR(INDEX(자원목록!$B$3:$B$102,MATCH($B124,자원목록!$A$3:$A$102,0)),"미등록자원"))</f>
        <v/>
      </c>
      <c r="D124" s="7"/>
      <c r="E124" s="12" t="str">
        <f aca="false">IF($D124="","",IFERROR(INDEX(고객목록!$B$3:$B$502,MATCH($D124,고객목록!$A$3:$A$502,0)),""))</f>
        <v/>
      </c>
      <c r="F124" s="13"/>
      <c r="G124" s="13"/>
      <c r="H124" s="14" t="str">
        <f aca="false">IF(OR($L124="",$M124=""),"",ROUND(($M124-$L124)/60,2))</f>
        <v/>
      </c>
      <c r="I124" s="9"/>
      <c r="J124" s="7"/>
      <c r="K124" s="7"/>
      <c r="L124" s="15" t="str">
        <f aca="false">IF($F124="","",IF($F124&lt;1,ROUND($F124*1440,0),INT($F124/100)*60+MOD($F124,100)))</f>
        <v/>
      </c>
      <c r="M124" s="15" t="str">
        <f aca="false">IF($G124="","",IF($G124&lt;1,ROUND($G124*1440,0),INT($G124/100)*60+MOD($G124,100)))</f>
        <v/>
      </c>
      <c r="N124" s="15" t="str">
        <f aca="false">IF(OR($A124="",$B124="",$L124="",$M124="",$J124="취소"),"",IF(SUMPRODUCT(($A$3:$A$2002=$A124)*($B$3:$B$2002=$B124)*($J$3:$J$2002&lt;&gt;"취소")*($L$3:$L$2002&lt;&gt;"")*($M$3:$M$2002&lt;&gt;"")*($L$3:$L$2002&lt;$M124)*($M$3:$M$2002&gt;$L124))&gt;1,"중복","-"))</f>
        <v/>
      </c>
    </row>
    <row r="125" customFormat="false" ht="15" hidden="false" customHeight="true" outlineLevel="0" collapsed="false">
      <c r="A125" s="11"/>
      <c r="B125" s="7"/>
      <c r="C125" s="12" t="str">
        <f aca="false">IF($B125="","",IFERROR(INDEX(자원목록!$B$3:$B$102,MATCH($B125,자원목록!$A$3:$A$102,0)),"미등록자원"))</f>
        <v/>
      </c>
      <c r="D125" s="7"/>
      <c r="E125" s="12" t="str">
        <f aca="false">IF($D125="","",IFERROR(INDEX(고객목록!$B$3:$B$502,MATCH($D125,고객목록!$A$3:$A$502,0)),""))</f>
        <v/>
      </c>
      <c r="F125" s="13"/>
      <c r="G125" s="13"/>
      <c r="H125" s="14" t="str">
        <f aca="false">IF(OR($L125="",$M125=""),"",ROUND(($M125-$L125)/60,2))</f>
        <v/>
      </c>
      <c r="I125" s="9"/>
      <c r="J125" s="7"/>
      <c r="K125" s="7"/>
      <c r="L125" s="15" t="str">
        <f aca="false">IF($F125="","",IF($F125&lt;1,ROUND($F125*1440,0),INT($F125/100)*60+MOD($F125,100)))</f>
        <v/>
      </c>
      <c r="M125" s="15" t="str">
        <f aca="false">IF($G125="","",IF($G125&lt;1,ROUND($G125*1440,0),INT($G125/100)*60+MOD($G125,100)))</f>
        <v/>
      </c>
      <c r="N125" s="15" t="str">
        <f aca="false">IF(OR($A125="",$B125="",$L125="",$M125="",$J125="취소"),"",IF(SUMPRODUCT(($A$3:$A$2002=$A125)*($B$3:$B$2002=$B125)*($J$3:$J$2002&lt;&gt;"취소")*($L$3:$L$2002&lt;&gt;"")*($M$3:$M$2002&lt;&gt;"")*($L$3:$L$2002&lt;$M125)*($M$3:$M$2002&gt;$L125))&gt;1,"중복","-"))</f>
        <v/>
      </c>
    </row>
    <row r="126" customFormat="false" ht="15" hidden="false" customHeight="true" outlineLevel="0" collapsed="false">
      <c r="A126" s="11"/>
      <c r="B126" s="7"/>
      <c r="C126" s="12" t="str">
        <f aca="false">IF($B126="","",IFERROR(INDEX(자원목록!$B$3:$B$102,MATCH($B126,자원목록!$A$3:$A$102,0)),"미등록자원"))</f>
        <v/>
      </c>
      <c r="D126" s="7"/>
      <c r="E126" s="12" t="str">
        <f aca="false">IF($D126="","",IFERROR(INDEX(고객목록!$B$3:$B$502,MATCH($D126,고객목록!$A$3:$A$502,0)),""))</f>
        <v/>
      </c>
      <c r="F126" s="13"/>
      <c r="G126" s="13"/>
      <c r="H126" s="14" t="str">
        <f aca="false">IF(OR($L126="",$M126=""),"",ROUND(($M126-$L126)/60,2))</f>
        <v/>
      </c>
      <c r="I126" s="9"/>
      <c r="J126" s="7"/>
      <c r="K126" s="7"/>
      <c r="L126" s="15" t="str">
        <f aca="false">IF($F126="","",IF($F126&lt;1,ROUND($F126*1440,0),INT($F126/100)*60+MOD($F126,100)))</f>
        <v/>
      </c>
      <c r="M126" s="15" t="str">
        <f aca="false">IF($G126="","",IF($G126&lt;1,ROUND($G126*1440,0),INT($G126/100)*60+MOD($G126,100)))</f>
        <v/>
      </c>
      <c r="N126" s="15" t="str">
        <f aca="false">IF(OR($A126="",$B126="",$L126="",$M126="",$J126="취소"),"",IF(SUMPRODUCT(($A$3:$A$2002=$A126)*($B$3:$B$2002=$B126)*($J$3:$J$2002&lt;&gt;"취소")*($L$3:$L$2002&lt;&gt;"")*($M$3:$M$2002&lt;&gt;"")*($L$3:$L$2002&lt;$M126)*($M$3:$M$2002&gt;$L126))&gt;1,"중복","-"))</f>
        <v/>
      </c>
    </row>
    <row r="127" customFormat="false" ht="15" hidden="false" customHeight="true" outlineLevel="0" collapsed="false">
      <c r="A127" s="11"/>
      <c r="B127" s="7"/>
      <c r="C127" s="12" t="str">
        <f aca="false">IF($B127="","",IFERROR(INDEX(자원목록!$B$3:$B$102,MATCH($B127,자원목록!$A$3:$A$102,0)),"미등록자원"))</f>
        <v/>
      </c>
      <c r="D127" s="7"/>
      <c r="E127" s="12" t="str">
        <f aca="false">IF($D127="","",IFERROR(INDEX(고객목록!$B$3:$B$502,MATCH($D127,고객목록!$A$3:$A$502,0)),""))</f>
        <v/>
      </c>
      <c r="F127" s="13"/>
      <c r="G127" s="13"/>
      <c r="H127" s="14" t="str">
        <f aca="false">IF(OR($L127="",$M127=""),"",ROUND(($M127-$L127)/60,2))</f>
        <v/>
      </c>
      <c r="I127" s="9"/>
      <c r="J127" s="7"/>
      <c r="K127" s="7"/>
      <c r="L127" s="15" t="str">
        <f aca="false">IF($F127="","",IF($F127&lt;1,ROUND($F127*1440,0),INT($F127/100)*60+MOD($F127,100)))</f>
        <v/>
      </c>
      <c r="M127" s="15" t="str">
        <f aca="false">IF($G127="","",IF($G127&lt;1,ROUND($G127*1440,0),INT($G127/100)*60+MOD($G127,100)))</f>
        <v/>
      </c>
      <c r="N127" s="15" t="str">
        <f aca="false">IF(OR($A127="",$B127="",$L127="",$M127="",$J127="취소"),"",IF(SUMPRODUCT(($A$3:$A$2002=$A127)*($B$3:$B$2002=$B127)*($J$3:$J$2002&lt;&gt;"취소")*($L$3:$L$2002&lt;&gt;"")*($M$3:$M$2002&lt;&gt;"")*($L$3:$L$2002&lt;$M127)*($M$3:$M$2002&gt;$L127))&gt;1,"중복","-"))</f>
        <v/>
      </c>
    </row>
    <row r="128" customFormat="false" ht="15" hidden="false" customHeight="true" outlineLevel="0" collapsed="false">
      <c r="A128" s="11"/>
      <c r="B128" s="7"/>
      <c r="C128" s="12" t="str">
        <f aca="false">IF($B128="","",IFERROR(INDEX(자원목록!$B$3:$B$102,MATCH($B128,자원목록!$A$3:$A$102,0)),"미등록자원"))</f>
        <v/>
      </c>
      <c r="D128" s="7"/>
      <c r="E128" s="12" t="str">
        <f aca="false">IF($D128="","",IFERROR(INDEX(고객목록!$B$3:$B$502,MATCH($D128,고객목록!$A$3:$A$502,0)),""))</f>
        <v/>
      </c>
      <c r="F128" s="13"/>
      <c r="G128" s="13"/>
      <c r="H128" s="14" t="str">
        <f aca="false">IF(OR($L128="",$M128=""),"",ROUND(($M128-$L128)/60,2))</f>
        <v/>
      </c>
      <c r="I128" s="9"/>
      <c r="J128" s="7"/>
      <c r="K128" s="7"/>
      <c r="L128" s="15" t="str">
        <f aca="false">IF($F128="","",IF($F128&lt;1,ROUND($F128*1440,0),INT($F128/100)*60+MOD($F128,100)))</f>
        <v/>
      </c>
      <c r="M128" s="15" t="str">
        <f aca="false">IF($G128="","",IF($G128&lt;1,ROUND($G128*1440,0),INT($G128/100)*60+MOD($G128,100)))</f>
        <v/>
      </c>
      <c r="N128" s="15" t="str">
        <f aca="false">IF(OR($A128="",$B128="",$L128="",$M128="",$J128="취소"),"",IF(SUMPRODUCT(($A$3:$A$2002=$A128)*($B$3:$B$2002=$B128)*($J$3:$J$2002&lt;&gt;"취소")*($L$3:$L$2002&lt;&gt;"")*($M$3:$M$2002&lt;&gt;"")*($L$3:$L$2002&lt;$M128)*($M$3:$M$2002&gt;$L128))&gt;1,"중복","-"))</f>
        <v/>
      </c>
    </row>
    <row r="129" customFormat="false" ht="15" hidden="false" customHeight="true" outlineLevel="0" collapsed="false">
      <c r="A129" s="11"/>
      <c r="B129" s="7"/>
      <c r="C129" s="12" t="str">
        <f aca="false">IF($B129="","",IFERROR(INDEX(자원목록!$B$3:$B$102,MATCH($B129,자원목록!$A$3:$A$102,0)),"미등록자원"))</f>
        <v/>
      </c>
      <c r="D129" s="7"/>
      <c r="E129" s="12" t="str">
        <f aca="false">IF($D129="","",IFERROR(INDEX(고객목록!$B$3:$B$502,MATCH($D129,고객목록!$A$3:$A$502,0)),""))</f>
        <v/>
      </c>
      <c r="F129" s="13"/>
      <c r="G129" s="13"/>
      <c r="H129" s="14" t="str">
        <f aca="false">IF(OR($L129="",$M129=""),"",ROUND(($M129-$L129)/60,2))</f>
        <v/>
      </c>
      <c r="I129" s="9"/>
      <c r="J129" s="7"/>
      <c r="K129" s="7"/>
      <c r="L129" s="15" t="str">
        <f aca="false">IF($F129="","",IF($F129&lt;1,ROUND($F129*1440,0),INT($F129/100)*60+MOD($F129,100)))</f>
        <v/>
      </c>
      <c r="M129" s="15" t="str">
        <f aca="false">IF($G129="","",IF($G129&lt;1,ROUND($G129*1440,0),INT($G129/100)*60+MOD($G129,100)))</f>
        <v/>
      </c>
      <c r="N129" s="15" t="str">
        <f aca="false">IF(OR($A129="",$B129="",$L129="",$M129="",$J129="취소"),"",IF(SUMPRODUCT(($A$3:$A$2002=$A129)*($B$3:$B$2002=$B129)*($J$3:$J$2002&lt;&gt;"취소")*($L$3:$L$2002&lt;&gt;"")*($M$3:$M$2002&lt;&gt;"")*($L$3:$L$2002&lt;$M129)*($M$3:$M$2002&gt;$L129))&gt;1,"중복","-"))</f>
        <v/>
      </c>
    </row>
    <row r="130" customFormat="false" ht="15" hidden="false" customHeight="true" outlineLevel="0" collapsed="false">
      <c r="A130" s="11"/>
      <c r="B130" s="7"/>
      <c r="C130" s="12" t="str">
        <f aca="false">IF($B130="","",IFERROR(INDEX(자원목록!$B$3:$B$102,MATCH($B130,자원목록!$A$3:$A$102,0)),"미등록자원"))</f>
        <v/>
      </c>
      <c r="D130" s="7"/>
      <c r="E130" s="12" t="str">
        <f aca="false">IF($D130="","",IFERROR(INDEX(고객목록!$B$3:$B$502,MATCH($D130,고객목록!$A$3:$A$502,0)),""))</f>
        <v/>
      </c>
      <c r="F130" s="13"/>
      <c r="G130" s="13"/>
      <c r="H130" s="14" t="str">
        <f aca="false">IF(OR($L130="",$M130=""),"",ROUND(($M130-$L130)/60,2))</f>
        <v/>
      </c>
      <c r="I130" s="9"/>
      <c r="J130" s="7"/>
      <c r="K130" s="7"/>
      <c r="L130" s="15" t="str">
        <f aca="false">IF($F130="","",IF($F130&lt;1,ROUND($F130*1440,0),INT($F130/100)*60+MOD($F130,100)))</f>
        <v/>
      </c>
      <c r="M130" s="15" t="str">
        <f aca="false">IF($G130="","",IF($G130&lt;1,ROUND($G130*1440,0),INT($G130/100)*60+MOD($G130,100)))</f>
        <v/>
      </c>
      <c r="N130" s="15" t="str">
        <f aca="false">IF(OR($A130="",$B130="",$L130="",$M130="",$J130="취소"),"",IF(SUMPRODUCT(($A$3:$A$2002=$A130)*($B$3:$B$2002=$B130)*($J$3:$J$2002&lt;&gt;"취소")*($L$3:$L$2002&lt;&gt;"")*($M$3:$M$2002&lt;&gt;"")*($L$3:$L$2002&lt;$M130)*($M$3:$M$2002&gt;$L130))&gt;1,"중복","-"))</f>
        <v/>
      </c>
    </row>
    <row r="131" customFormat="false" ht="15" hidden="false" customHeight="true" outlineLevel="0" collapsed="false">
      <c r="A131" s="11"/>
      <c r="B131" s="7"/>
      <c r="C131" s="12" t="str">
        <f aca="false">IF($B131="","",IFERROR(INDEX(자원목록!$B$3:$B$102,MATCH($B131,자원목록!$A$3:$A$102,0)),"미등록자원"))</f>
        <v/>
      </c>
      <c r="D131" s="7"/>
      <c r="E131" s="12" t="str">
        <f aca="false">IF($D131="","",IFERROR(INDEX(고객목록!$B$3:$B$502,MATCH($D131,고객목록!$A$3:$A$502,0)),""))</f>
        <v/>
      </c>
      <c r="F131" s="13"/>
      <c r="G131" s="13"/>
      <c r="H131" s="14" t="str">
        <f aca="false">IF(OR($L131="",$M131=""),"",ROUND(($M131-$L131)/60,2))</f>
        <v/>
      </c>
      <c r="I131" s="9"/>
      <c r="J131" s="7"/>
      <c r="K131" s="7"/>
      <c r="L131" s="15" t="str">
        <f aca="false">IF($F131="","",IF($F131&lt;1,ROUND($F131*1440,0),INT($F131/100)*60+MOD($F131,100)))</f>
        <v/>
      </c>
      <c r="M131" s="15" t="str">
        <f aca="false">IF($G131="","",IF($G131&lt;1,ROUND($G131*1440,0),INT($G131/100)*60+MOD($G131,100)))</f>
        <v/>
      </c>
      <c r="N131" s="15" t="str">
        <f aca="false">IF(OR($A131="",$B131="",$L131="",$M131="",$J131="취소"),"",IF(SUMPRODUCT(($A$3:$A$2002=$A131)*($B$3:$B$2002=$B131)*($J$3:$J$2002&lt;&gt;"취소")*($L$3:$L$2002&lt;&gt;"")*($M$3:$M$2002&lt;&gt;"")*($L$3:$L$2002&lt;$M131)*($M$3:$M$2002&gt;$L131))&gt;1,"중복","-"))</f>
        <v/>
      </c>
    </row>
    <row r="132" customFormat="false" ht="15" hidden="false" customHeight="true" outlineLevel="0" collapsed="false">
      <c r="A132" s="11"/>
      <c r="B132" s="7"/>
      <c r="C132" s="12" t="str">
        <f aca="false">IF($B132="","",IFERROR(INDEX(자원목록!$B$3:$B$102,MATCH($B132,자원목록!$A$3:$A$102,0)),"미등록자원"))</f>
        <v/>
      </c>
      <c r="D132" s="7"/>
      <c r="E132" s="12" t="str">
        <f aca="false">IF($D132="","",IFERROR(INDEX(고객목록!$B$3:$B$502,MATCH($D132,고객목록!$A$3:$A$502,0)),""))</f>
        <v/>
      </c>
      <c r="F132" s="13"/>
      <c r="G132" s="13"/>
      <c r="H132" s="14" t="str">
        <f aca="false">IF(OR($L132="",$M132=""),"",ROUND(($M132-$L132)/60,2))</f>
        <v/>
      </c>
      <c r="I132" s="9"/>
      <c r="J132" s="7"/>
      <c r="K132" s="7"/>
      <c r="L132" s="15" t="str">
        <f aca="false">IF($F132="","",IF($F132&lt;1,ROUND($F132*1440,0),INT($F132/100)*60+MOD($F132,100)))</f>
        <v/>
      </c>
      <c r="M132" s="15" t="str">
        <f aca="false">IF($G132="","",IF($G132&lt;1,ROUND($G132*1440,0),INT($G132/100)*60+MOD($G132,100)))</f>
        <v/>
      </c>
      <c r="N132" s="15" t="str">
        <f aca="false">IF(OR($A132="",$B132="",$L132="",$M132="",$J132="취소"),"",IF(SUMPRODUCT(($A$3:$A$2002=$A132)*($B$3:$B$2002=$B132)*($J$3:$J$2002&lt;&gt;"취소")*($L$3:$L$2002&lt;&gt;"")*($M$3:$M$2002&lt;&gt;"")*($L$3:$L$2002&lt;$M132)*($M$3:$M$2002&gt;$L132))&gt;1,"중복","-"))</f>
        <v/>
      </c>
    </row>
    <row r="133" customFormat="false" ht="15" hidden="false" customHeight="true" outlineLevel="0" collapsed="false">
      <c r="A133" s="11"/>
      <c r="B133" s="7"/>
      <c r="C133" s="12" t="str">
        <f aca="false">IF($B133="","",IFERROR(INDEX(자원목록!$B$3:$B$102,MATCH($B133,자원목록!$A$3:$A$102,0)),"미등록자원"))</f>
        <v/>
      </c>
      <c r="D133" s="7"/>
      <c r="E133" s="12" t="str">
        <f aca="false">IF($D133="","",IFERROR(INDEX(고객목록!$B$3:$B$502,MATCH($D133,고객목록!$A$3:$A$502,0)),""))</f>
        <v/>
      </c>
      <c r="F133" s="13"/>
      <c r="G133" s="13"/>
      <c r="H133" s="14" t="str">
        <f aca="false">IF(OR($L133="",$M133=""),"",ROUND(($M133-$L133)/60,2))</f>
        <v/>
      </c>
      <c r="I133" s="9"/>
      <c r="J133" s="7"/>
      <c r="K133" s="7"/>
      <c r="L133" s="15" t="str">
        <f aca="false">IF($F133="","",IF($F133&lt;1,ROUND($F133*1440,0),INT($F133/100)*60+MOD($F133,100)))</f>
        <v/>
      </c>
      <c r="M133" s="15" t="str">
        <f aca="false">IF($G133="","",IF($G133&lt;1,ROUND($G133*1440,0),INT($G133/100)*60+MOD($G133,100)))</f>
        <v/>
      </c>
      <c r="N133" s="15" t="str">
        <f aca="false">IF(OR($A133="",$B133="",$L133="",$M133="",$J133="취소"),"",IF(SUMPRODUCT(($A$3:$A$2002=$A133)*($B$3:$B$2002=$B133)*($J$3:$J$2002&lt;&gt;"취소")*($L$3:$L$2002&lt;&gt;"")*($M$3:$M$2002&lt;&gt;"")*($L$3:$L$2002&lt;$M133)*($M$3:$M$2002&gt;$L133))&gt;1,"중복","-"))</f>
        <v/>
      </c>
    </row>
    <row r="134" customFormat="false" ht="15" hidden="false" customHeight="true" outlineLevel="0" collapsed="false">
      <c r="A134" s="11"/>
      <c r="B134" s="7"/>
      <c r="C134" s="12" t="str">
        <f aca="false">IF($B134="","",IFERROR(INDEX(자원목록!$B$3:$B$102,MATCH($B134,자원목록!$A$3:$A$102,0)),"미등록자원"))</f>
        <v/>
      </c>
      <c r="D134" s="7"/>
      <c r="E134" s="12" t="str">
        <f aca="false">IF($D134="","",IFERROR(INDEX(고객목록!$B$3:$B$502,MATCH($D134,고객목록!$A$3:$A$502,0)),""))</f>
        <v/>
      </c>
      <c r="F134" s="13"/>
      <c r="G134" s="13"/>
      <c r="H134" s="14" t="str">
        <f aca="false">IF(OR($L134="",$M134=""),"",ROUND(($M134-$L134)/60,2))</f>
        <v/>
      </c>
      <c r="I134" s="9"/>
      <c r="J134" s="7"/>
      <c r="K134" s="7"/>
      <c r="L134" s="15" t="str">
        <f aca="false">IF($F134="","",IF($F134&lt;1,ROUND($F134*1440,0),INT($F134/100)*60+MOD($F134,100)))</f>
        <v/>
      </c>
      <c r="M134" s="15" t="str">
        <f aca="false">IF($G134="","",IF($G134&lt;1,ROUND($G134*1440,0),INT($G134/100)*60+MOD($G134,100)))</f>
        <v/>
      </c>
      <c r="N134" s="15" t="str">
        <f aca="false">IF(OR($A134="",$B134="",$L134="",$M134="",$J134="취소"),"",IF(SUMPRODUCT(($A$3:$A$2002=$A134)*($B$3:$B$2002=$B134)*($J$3:$J$2002&lt;&gt;"취소")*($L$3:$L$2002&lt;&gt;"")*($M$3:$M$2002&lt;&gt;"")*($L$3:$L$2002&lt;$M134)*($M$3:$M$2002&gt;$L134))&gt;1,"중복","-"))</f>
        <v/>
      </c>
    </row>
    <row r="135" customFormat="false" ht="15" hidden="false" customHeight="true" outlineLevel="0" collapsed="false">
      <c r="A135" s="11"/>
      <c r="B135" s="7"/>
      <c r="C135" s="12" t="str">
        <f aca="false">IF($B135="","",IFERROR(INDEX(자원목록!$B$3:$B$102,MATCH($B135,자원목록!$A$3:$A$102,0)),"미등록자원"))</f>
        <v/>
      </c>
      <c r="D135" s="7"/>
      <c r="E135" s="12" t="str">
        <f aca="false">IF($D135="","",IFERROR(INDEX(고객목록!$B$3:$B$502,MATCH($D135,고객목록!$A$3:$A$502,0)),""))</f>
        <v/>
      </c>
      <c r="F135" s="13"/>
      <c r="G135" s="13"/>
      <c r="H135" s="14" t="str">
        <f aca="false">IF(OR($L135="",$M135=""),"",ROUND(($M135-$L135)/60,2))</f>
        <v/>
      </c>
      <c r="I135" s="9"/>
      <c r="J135" s="7"/>
      <c r="K135" s="7"/>
      <c r="L135" s="15" t="str">
        <f aca="false">IF($F135="","",IF($F135&lt;1,ROUND($F135*1440,0),INT($F135/100)*60+MOD($F135,100)))</f>
        <v/>
      </c>
      <c r="M135" s="15" t="str">
        <f aca="false">IF($G135="","",IF($G135&lt;1,ROUND($G135*1440,0),INT($G135/100)*60+MOD($G135,100)))</f>
        <v/>
      </c>
      <c r="N135" s="15" t="str">
        <f aca="false">IF(OR($A135="",$B135="",$L135="",$M135="",$J135="취소"),"",IF(SUMPRODUCT(($A$3:$A$2002=$A135)*($B$3:$B$2002=$B135)*($J$3:$J$2002&lt;&gt;"취소")*($L$3:$L$2002&lt;&gt;"")*($M$3:$M$2002&lt;&gt;"")*($L$3:$L$2002&lt;$M135)*($M$3:$M$2002&gt;$L135))&gt;1,"중복","-"))</f>
        <v/>
      </c>
    </row>
    <row r="136" customFormat="false" ht="15" hidden="false" customHeight="true" outlineLevel="0" collapsed="false">
      <c r="A136" s="11"/>
      <c r="B136" s="7"/>
      <c r="C136" s="12" t="str">
        <f aca="false">IF($B136="","",IFERROR(INDEX(자원목록!$B$3:$B$102,MATCH($B136,자원목록!$A$3:$A$102,0)),"미등록자원"))</f>
        <v/>
      </c>
      <c r="D136" s="7"/>
      <c r="E136" s="12" t="str">
        <f aca="false">IF($D136="","",IFERROR(INDEX(고객목록!$B$3:$B$502,MATCH($D136,고객목록!$A$3:$A$502,0)),""))</f>
        <v/>
      </c>
      <c r="F136" s="13"/>
      <c r="G136" s="13"/>
      <c r="H136" s="14" t="str">
        <f aca="false">IF(OR($L136="",$M136=""),"",ROUND(($M136-$L136)/60,2))</f>
        <v/>
      </c>
      <c r="I136" s="9"/>
      <c r="J136" s="7"/>
      <c r="K136" s="7"/>
      <c r="L136" s="15" t="str">
        <f aca="false">IF($F136="","",IF($F136&lt;1,ROUND($F136*1440,0),INT($F136/100)*60+MOD($F136,100)))</f>
        <v/>
      </c>
      <c r="M136" s="15" t="str">
        <f aca="false">IF($G136="","",IF($G136&lt;1,ROUND($G136*1440,0),INT($G136/100)*60+MOD($G136,100)))</f>
        <v/>
      </c>
      <c r="N136" s="15" t="str">
        <f aca="false">IF(OR($A136="",$B136="",$L136="",$M136="",$J136="취소"),"",IF(SUMPRODUCT(($A$3:$A$2002=$A136)*($B$3:$B$2002=$B136)*($J$3:$J$2002&lt;&gt;"취소")*($L$3:$L$2002&lt;&gt;"")*($M$3:$M$2002&lt;&gt;"")*($L$3:$L$2002&lt;$M136)*($M$3:$M$2002&gt;$L136))&gt;1,"중복","-"))</f>
        <v/>
      </c>
    </row>
    <row r="137" customFormat="false" ht="15" hidden="false" customHeight="true" outlineLevel="0" collapsed="false">
      <c r="A137" s="11"/>
      <c r="B137" s="7"/>
      <c r="C137" s="12" t="str">
        <f aca="false">IF($B137="","",IFERROR(INDEX(자원목록!$B$3:$B$102,MATCH($B137,자원목록!$A$3:$A$102,0)),"미등록자원"))</f>
        <v/>
      </c>
      <c r="D137" s="7"/>
      <c r="E137" s="12" t="str">
        <f aca="false">IF($D137="","",IFERROR(INDEX(고객목록!$B$3:$B$502,MATCH($D137,고객목록!$A$3:$A$502,0)),""))</f>
        <v/>
      </c>
      <c r="F137" s="13"/>
      <c r="G137" s="13"/>
      <c r="H137" s="14" t="str">
        <f aca="false">IF(OR($L137="",$M137=""),"",ROUND(($M137-$L137)/60,2))</f>
        <v/>
      </c>
      <c r="I137" s="9"/>
      <c r="J137" s="7"/>
      <c r="K137" s="7"/>
      <c r="L137" s="15" t="str">
        <f aca="false">IF($F137="","",IF($F137&lt;1,ROUND($F137*1440,0),INT($F137/100)*60+MOD($F137,100)))</f>
        <v/>
      </c>
      <c r="M137" s="15" t="str">
        <f aca="false">IF($G137="","",IF($G137&lt;1,ROUND($G137*1440,0),INT($G137/100)*60+MOD($G137,100)))</f>
        <v/>
      </c>
      <c r="N137" s="15" t="str">
        <f aca="false">IF(OR($A137="",$B137="",$L137="",$M137="",$J137="취소"),"",IF(SUMPRODUCT(($A$3:$A$2002=$A137)*($B$3:$B$2002=$B137)*($J$3:$J$2002&lt;&gt;"취소")*($L$3:$L$2002&lt;&gt;"")*($M$3:$M$2002&lt;&gt;"")*($L$3:$L$2002&lt;$M137)*($M$3:$M$2002&gt;$L137))&gt;1,"중복","-"))</f>
        <v/>
      </c>
    </row>
    <row r="138" customFormat="false" ht="15" hidden="false" customHeight="true" outlineLevel="0" collapsed="false">
      <c r="A138" s="11"/>
      <c r="B138" s="7"/>
      <c r="C138" s="12" t="str">
        <f aca="false">IF($B138="","",IFERROR(INDEX(자원목록!$B$3:$B$102,MATCH($B138,자원목록!$A$3:$A$102,0)),"미등록자원"))</f>
        <v/>
      </c>
      <c r="D138" s="7"/>
      <c r="E138" s="12" t="str">
        <f aca="false">IF($D138="","",IFERROR(INDEX(고객목록!$B$3:$B$502,MATCH($D138,고객목록!$A$3:$A$502,0)),""))</f>
        <v/>
      </c>
      <c r="F138" s="13"/>
      <c r="G138" s="13"/>
      <c r="H138" s="14" t="str">
        <f aca="false">IF(OR($L138="",$M138=""),"",ROUND(($M138-$L138)/60,2))</f>
        <v/>
      </c>
      <c r="I138" s="9"/>
      <c r="J138" s="7"/>
      <c r="K138" s="7"/>
      <c r="L138" s="15" t="str">
        <f aca="false">IF($F138="","",IF($F138&lt;1,ROUND($F138*1440,0),INT($F138/100)*60+MOD($F138,100)))</f>
        <v/>
      </c>
      <c r="M138" s="15" t="str">
        <f aca="false">IF($G138="","",IF($G138&lt;1,ROUND($G138*1440,0),INT($G138/100)*60+MOD($G138,100)))</f>
        <v/>
      </c>
      <c r="N138" s="15" t="str">
        <f aca="false">IF(OR($A138="",$B138="",$L138="",$M138="",$J138="취소"),"",IF(SUMPRODUCT(($A$3:$A$2002=$A138)*($B$3:$B$2002=$B138)*($J$3:$J$2002&lt;&gt;"취소")*($L$3:$L$2002&lt;&gt;"")*($M$3:$M$2002&lt;&gt;"")*($L$3:$L$2002&lt;$M138)*($M$3:$M$2002&gt;$L138))&gt;1,"중복","-"))</f>
        <v/>
      </c>
    </row>
    <row r="139" customFormat="false" ht="15" hidden="false" customHeight="true" outlineLevel="0" collapsed="false">
      <c r="A139" s="11"/>
      <c r="B139" s="7"/>
      <c r="C139" s="12" t="str">
        <f aca="false">IF($B139="","",IFERROR(INDEX(자원목록!$B$3:$B$102,MATCH($B139,자원목록!$A$3:$A$102,0)),"미등록자원"))</f>
        <v/>
      </c>
      <c r="D139" s="7"/>
      <c r="E139" s="12" t="str">
        <f aca="false">IF($D139="","",IFERROR(INDEX(고객목록!$B$3:$B$502,MATCH($D139,고객목록!$A$3:$A$502,0)),""))</f>
        <v/>
      </c>
      <c r="F139" s="13"/>
      <c r="G139" s="13"/>
      <c r="H139" s="14" t="str">
        <f aca="false">IF(OR($L139="",$M139=""),"",ROUND(($M139-$L139)/60,2))</f>
        <v/>
      </c>
      <c r="I139" s="9"/>
      <c r="J139" s="7"/>
      <c r="K139" s="7"/>
      <c r="L139" s="15" t="str">
        <f aca="false">IF($F139="","",IF($F139&lt;1,ROUND($F139*1440,0),INT($F139/100)*60+MOD($F139,100)))</f>
        <v/>
      </c>
      <c r="M139" s="15" t="str">
        <f aca="false">IF($G139="","",IF($G139&lt;1,ROUND($G139*1440,0),INT($G139/100)*60+MOD($G139,100)))</f>
        <v/>
      </c>
      <c r="N139" s="15" t="str">
        <f aca="false">IF(OR($A139="",$B139="",$L139="",$M139="",$J139="취소"),"",IF(SUMPRODUCT(($A$3:$A$2002=$A139)*($B$3:$B$2002=$B139)*($J$3:$J$2002&lt;&gt;"취소")*($L$3:$L$2002&lt;&gt;"")*($M$3:$M$2002&lt;&gt;"")*($L$3:$L$2002&lt;$M139)*($M$3:$M$2002&gt;$L139))&gt;1,"중복","-"))</f>
        <v/>
      </c>
    </row>
    <row r="140" customFormat="false" ht="15" hidden="false" customHeight="true" outlineLevel="0" collapsed="false">
      <c r="A140" s="11"/>
      <c r="B140" s="7"/>
      <c r="C140" s="12" t="str">
        <f aca="false">IF($B140="","",IFERROR(INDEX(자원목록!$B$3:$B$102,MATCH($B140,자원목록!$A$3:$A$102,0)),"미등록자원"))</f>
        <v/>
      </c>
      <c r="D140" s="7"/>
      <c r="E140" s="12" t="str">
        <f aca="false">IF($D140="","",IFERROR(INDEX(고객목록!$B$3:$B$502,MATCH($D140,고객목록!$A$3:$A$502,0)),""))</f>
        <v/>
      </c>
      <c r="F140" s="13"/>
      <c r="G140" s="13"/>
      <c r="H140" s="14" t="str">
        <f aca="false">IF(OR($L140="",$M140=""),"",ROUND(($M140-$L140)/60,2))</f>
        <v/>
      </c>
      <c r="I140" s="9"/>
      <c r="J140" s="7"/>
      <c r="K140" s="7"/>
      <c r="L140" s="15" t="str">
        <f aca="false">IF($F140="","",IF($F140&lt;1,ROUND($F140*1440,0),INT($F140/100)*60+MOD($F140,100)))</f>
        <v/>
      </c>
      <c r="M140" s="15" t="str">
        <f aca="false">IF($G140="","",IF($G140&lt;1,ROUND($G140*1440,0),INT($G140/100)*60+MOD($G140,100)))</f>
        <v/>
      </c>
      <c r="N140" s="15" t="str">
        <f aca="false">IF(OR($A140="",$B140="",$L140="",$M140="",$J140="취소"),"",IF(SUMPRODUCT(($A$3:$A$2002=$A140)*($B$3:$B$2002=$B140)*($J$3:$J$2002&lt;&gt;"취소")*($L$3:$L$2002&lt;&gt;"")*($M$3:$M$2002&lt;&gt;"")*($L$3:$L$2002&lt;$M140)*($M$3:$M$2002&gt;$L140))&gt;1,"중복","-"))</f>
        <v/>
      </c>
    </row>
    <row r="141" customFormat="false" ht="15" hidden="false" customHeight="true" outlineLevel="0" collapsed="false">
      <c r="A141" s="11"/>
      <c r="B141" s="7"/>
      <c r="C141" s="12" t="str">
        <f aca="false">IF($B141="","",IFERROR(INDEX(자원목록!$B$3:$B$102,MATCH($B141,자원목록!$A$3:$A$102,0)),"미등록자원"))</f>
        <v/>
      </c>
      <c r="D141" s="7"/>
      <c r="E141" s="12" t="str">
        <f aca="false">IF($D141="","",IFERROR(INDEX(고객목록!$B$3:$B$502,MATCH($D141,고객목록!$A$3:$A$502,0)),""))</f>
        <v/>
      </c>
      <c r="F141" s="13"/>
      <c r="G141" s="13"/>
      <c r="H141" s="14" t="str">
        <f aca="false">IF(OR($L141="",$M141=""),"",ROUND(($M141-$L141)/60,2))</f>
        <v/>
      </c>
      <c r="I141" s="9"/>
      <c r="J141" s="7"/>
      <c r="K141" s="7"/>
      <c r="L141" s="15" t="str">
        <f aca="false">IF($F141="","",IF($F141&lt;1,ROUND($F141*1440,0),INT($F141/100)*60+MOD($F141,100)))</f>
        <v/>
      </c>
      <c r="M141" s="15" t="str">
        <f aca="false">IF($G141="","",IF($G141&lt;1,ROUND($G141*1440,0),INT($G141/100)*60+MOD($G141,100)))</f>
        <v/>
      </c>
      <c r="N141" s="15" t="str">
        <f aca="false">IF(OR($A141="",$B141="",$L141="",$M141="",$J141="취소"),"",IF(SUMPRODUCT(($A$3:$A$2002=$A141)*($B$3:$B$2002=$B141)*($J$3:$J$2002&lt;&gt;"취소")*($L$3:$L$2002&lt;&gt;"")*($M$3:$M$2002&lt;&gt;"")*($L$3:$L$2002&lt;$M141)*($M$3:$M$2002&gt;$L141))&gt;1,"중복","-"))</f>
        <v/>
      </c>
    </row>
    <row r="142" customFormat="false" ht="15" hidden="false" customHeight="true" outlineLevel="0" collapsed="false">
      <c r="A142" s="11"/>
      <c r="B142" s="7"/>
      <c r="C142" s="12" t="str">
        <f aca="false">IF($B142="","",IFERROR(INDEX(자원목록!$B$3:$B$102,MATCH($B142,자원목록!$A$3:$A$102,0)),"미등록자원"))</f>
        <v/>
      </c>
      <c r="D142" s="7"/>
      <c r="E142" s="12" t="str">
        <f aca="false">IF($D142="","",IFERROR(INDEX(고객목록!$B$3:$B$502,MATCH($D142,고객목록!$A$3:$A$502,0)),""))</f>
        <v/>
      </c>
      <c r="F142" s="13"/>
      <c r="G142" s="13"/>
      <c r="H142" s="14" t="str">
        <f aca="false">IF(OR($L142="",$M142=""),"",ROUND(($M142-$L142)/60,2))</f>
        <v/>
      </c>
      <c r="I142" s="9"/>
      <c r="J142" s="7"/>
      <c r="K142" s="7"/>
      <c r="L142" s="15" t="str">
        <f aca="false">IF($F142="","",IF($F142&lt;1,ROUND($F142*1440,0),INT($F142/100)*60+MOD($F142,100)))</f>
        <v/>
      </c>
      <c r="M142" s="15" t="str">
        <f aca="false">IF($G142="","",IF($G142&lt;1,ROUND($G142*1440,0),INT($G142/100)*60+MOD($G142,100)))</f>
        <v/>
      </c>
      <c r="N142" s="15" t="str">
        <f aca="false">IF(OR($A142="",$B142="",$L142="",$M142="",$J142="취소"),"",IF(SUMPRODUCT(($A$3:$A$2002=$A142)*($B$3:$B$2002=$B142)*($J$3:$J$2002&lt;&gt;"취소")*($L$3:$L$2002&lt;&gt;"")*($M$3:$M$2002&lt;&gt;"")*($L$3:$L$2002&lt;$M142)*($M$3:$M$2002&gt;$L142))&gt;1,"중복","-"))</f>
        <v/>
      </c>
    </row>
    <row r="143" customFormat="false" ht="15" hidden="false" customHeight="true" outlineLevel="0" collapsed="false">
      <c r="A143" s="11"/>
      <c r="B143" s="7"/>
      <c r="C143" s="12" t="str">
        <f aca="false">IF($B143="","",IFERROR(INDEX(자원목록!$B$3:$B$102,MATCH($B143,자원목록!$A$3:$A$102,0)),"미등록자원"))</f>
        <v/>
      </c>
      <c r="D143" s="7"/>
      <c r="E143" s="12" t="str">
        <f aca="false">IF($D143="","",IFERROR(INDEX(고객목록!$B$3:$B$502,MATCH($D143,고객목록!$A$3:$A$502,0)),""))</f>
        <v/>
      </c>
      <c r="F143" s="13"/>
      <c r="G143" s="13"/>
      <c r="H143" s="14" t="str">
        <f aca="false">IF(OR($L143="",$M143=""),"",ROUND(($M143-$L143)/60,2))</f>
        <v/>
      </c>
      <c r="I143" s="9"/>
      <c r="J143" s="7"/>
      <c r="K143" s="7"/>
      <c r="L143" s="15" t="str">
        <f aca="false">IF($F143="","",IF($F143&lt;1,ROUND($F143*1440,0),INT($F143/100)*60+MOD($F143,100)))</f>
        <v/>
      </c>
      <c r="M143" s="15" t="str">
        <f aca="false">IF($G143="","",IF($G143&lt;1,ROUND($G143*1440,0),INT($G143/100)*60+MOD($G143,100)))</f>
        <v/>
      </c>
      <c r="N143" s="15" t="str">
        <f aca="false">IF(OR($A143="",$B143="",$L143="",$M143="",$J143="취소"),"",IF(SUMPRODUCT(($A$3:$A$2002=$A143)*($B$3:$B$2002=$B143)*($J$3:$J$2002&lt;&gt;"취소")*($L$3:$L$2002&lt;&gt;"")*($M$3:$M$2002&lt;&gt;"")*($L$3:$L$2002&lt;$M143)*($M$3:$M$2002&gt;$L143))&gt;1,"중복","-"))</f>
        <v/>
      </c>
    </row>
    <row r="144" customFormat="false" ht="15" hidden="false" customHeight="true" outlineLevel="0" collapsed="false">
      <c r="A144" s="11"/>
      <c r="B144" s="7"/>
      <c r="C144" s="12" t="str">
        <f aca="false">IF($B144="","",IFERROR(INDEX(자원목록!$B$3:$B$102,MATCH($B144,자원목록!$A$3:$A$102,0)),"미등록자원"))</f>
        <v/>
      </c>
      <c r="D144" s="7"/>
      <c r="E144" s="12" t="str">
        <f aca="false">IF($D144="","",IFERROR(INDEX(고객목록!$B$3:$B$502,MATCH($D144,고객목록!$A$3:$A$502,0)),""))</f>
        <v/>
      </c>
      <c r="F144" s="13"/>
      <c r="G144" s="13"/>
      <c r="H144" s="14" t="str">
        <f aca="false">IF(OR($L144="",$M144=""),"",ROUND(($M144-$L144)/60,2))</f>
        <v/>
      </c>
      <c r="I144" s="9"/>
      <c r="J144" s="7"/>
      <c r="K144" s="7"/>
      <c r="L144" s="15" t="str">
        <f aca="false">IF($F144="","",IF($F144&lt;1,ROUND($F144*1440,0),INT($F144/100)*60+MOD($F144,100)))</f>
        <v/>
      </c>
      <c r="M144" s="15" t="str">
        <f aca="false">IF($G144="","",IF($G144&lt;1,ROUND($G144*1440,0),INT($G144/100)*60+MOD($G144,100)))</f>
        <v/>
      </c>
      <c r="N144" s="15" t="str">
        <f aca="false">IF(OR($A144="",$B144="",$L144="",$M144="",$J144="취소"),"",IF(SUMPRODUCT(($A$3:$A$2002=$A144)*($B$3:$B$2002=$B144)*($J$3:$J$2002&lt;&gt;"취소")*($L$3:$L$2002&lt;&gt;"")*($M$3:$M$2002&lt;&gt;"")*($L$3:$L$2002&lt;$M144)*($M$3:$M$2002&gt;$L144))&gt;1,"중복","-"))</f>
        <v/>
      </c>
    </row>
    <row r="145" customFormat="false" ht="15" hidden="false" customHeight="true" outlineLevel="0" collapsed="false">
      <c r="A145" s="11"/>
      <c r="B145" s="7"/>
      <c r="C145" s="12" t="str">
        <f aca="false">IF($B145="","",IFERROR(INDEX(자원목록!$B$3:$B$102,MATCH($B145,자원목록!$A$3:$A$102,0)),"미등록자원"))</f>
        <v/>
      </c>
      <c r="D145" s="7"/>
      <c r="E145" s="12" t="str">
        <f aca="false">IF($D145="","",IFERROR(INDEX(고객목록!$B$3:$B$502,MATCH($D145,고객목록!$A$3:$A$502,0)),""))</f>
        <v/>
      </c>
      <c r="F145" s="13"/>
      <c r="G145" s="13"/>
      <c r="H145" s="14" t="str">
        <f aca="false">IF(OR($L145="",$M145=""),"",ROUND(($M145-$L145)/60,2))</f>
        <v/>
      </c>
      <c r="I145" s="9"/>
      <c r="J145" s="7"/>
      <c r="K145" s="7"/>
      <c r="L145" s="15" t="str">
        <f aca="false">IF($F145="","",IF($F145&lt;1,ROUND($F145*1440,0),INT($F145/100)*60+MOD($F145,100)))</f>
        <v/>
      </c>
      <c r="M145" s="15" t="str">
        <f aca="false">IF($G145="","",IF($G145&lt;1,ROUND($G145*1440,0),INT($G145/100)*60+MOD($G145,100)))</f>
        <v/>
      </c>
      <c r="N145" s="15" t="str">
        <f aca="false">IF(OR($A145="",$B145="",$L145="",$M145="",$J145="취소"),"",IF(SUMPRODUCT(($A$3:$A$2002=$A145)*($B$3:$B$2002=$B145)*($J$3:$J$2002&lt;&gt;"취소")*($L$3:$L$2002&lt;&gt;"")*($M$3:$M$2002&lt;&gt;"")*($L$3:$L$2002&lt;$M145)*($M$3:$M$2002&gt;$L145))&gt;1,"중복","-"))</f>
        <v/>
      </c>
    </row>
    <row r="146" customFormat="false" ht="15" hidden="false" customHeight="true" outlineLevel="0" collapsed="false">
      <c r="A146" s="11"/>
      <c r="B146" s="7"/>
      <c r="C146" s="12" t="str">
        <f aca="false">IF($B146="","",IFERROR(INDEX(자원목록!$B$3:$B$102,MATCH($B146,자원목록!$A$3:$A$102,0)),"미등록자원"))</f>
        <v/>
      </c>
      <c r="D146" s="7"/>
      <c r="E146" s="12" t="str">
        <f aca="false">IF($D146="","",IFERROR(INDEX(고객목록!$B$3:$B$502,MATCH($D146,고객목록!$A$3:$A$502,0)),""))</f>
        <v/>
      </c>
      <c r="F146" s="13"/>
      <c r="G146" s="13"/>
      <c r="H146" s="14" t="str">
        <f aca="false">IF(OR($L146="",$M146=""),"",ROUND(($M146-$L146)/60,2))</f>
        <v/>
      </c>
      <c r="I146" s="9"/>
      <c r="J146" s="7"/>
      <c r="K146" s="7"/>
      <c r="L146" s="15" t="str">
        <f aca="false">IF($F146="","",IF($F146&lt;1,ROUND($F146*1440,0),INT($F146/100)*60+MOD($F146,100)))</f>
        <v/>
      </c>
      <c r="M146" s="15" t="str">
        <f aca="false">IF($G146="","",IF($G146&lt;1,ROUND($G146*1440,0),INT($G146/100)*60+MOD($G146,100)))</f>
        <v/>
      </c>
      <c r="N146" s="15" t="str">
        <f aca="false">IF(OR($A146="",$B146="",$L146="",$M146="",$J146="취소"),"",IF(SUMPRODUCT(($A$3:$A$2002=$A146)*($B$3:$B$2002=$B146)*($J$3:$J$2002&lt;&gt;"취소")*($L$3:$L$2002&lt;&gt;"")*($M$3:$M$2002&lt;&gt;"")*($L$3:$L$2002&lt;$M146)*($M$3:$M$2002&gt;$L146))&gt;1,"중복","-"))</f>
        <v/>
      </c>
    </row>
    <row r="147" customFormat="false" ht="15" hidden="false" customHeight="true" outlineLevel="0" collapsed="false">
      <c r="A147" s="11"/>
      <c r="B147" s="7"/>
      <c r="C147" s="12" t="str">
        <f aca="false">IF($B147="","",IFERROR(INDEX(자원목록!$B$3:$B$102,MATCH($B147,자원목록!$A$3:$A$102,0)),"미등록자원"))</f>
        <v/>
      </c>
      <c r="D147" s="7"/>
      <c r="E147" s="12" t="str">
        <f aca="false">IF($D147="","",IFERROR(INDEX(고객목록!$B$3:$B$502,MATCH($D147,고객목록!$A$3:$A$502,0)),""))</f>
        <v/>
      </c>
      <c r="F147" s="13"/>
      <c r="G147" s="13"/>
      <c r="H147" s="14" t="str">
        <f aca="false">IF(OR($L147="",$M147=""),"",ROUND(($M147-$L147)/60,2))</f>
        <v/>
      </c>
      <c r="I147" s="9"/>
      <c r="J147" s="7"/>
      <c r="K147" s="7"/>
      <c r="L147" s="15" t="str">
        <f aca="false">IF($F147="","",IF($F147&lt;1,ROUND($F147*1440,0),INT($F147/100)*60+MOD($F147,100)))</f>
        <v/>
      </c>
      <c r="M147" s="15" t="str">
        <f aca="false">IF($G147="","",IF($G147&lt;1,ROUND($G147*1440,0),INT($G147/100)*60+MOD($G147,100)))</f>
        <v/>
      </c>
      <c r="N147" s="15" t="str">
        <f aca="false">IF(OR($A147="",$B147="",$L147="",$M147="",$J147="취소"),"",IF(SUMPRODUCT(($A$3:$A$2002=$A147)*($B$3:$B$2002=$B147)*($J$3:$J$2002&lt;&gt;"취소")*($L$3:$L$2002&lt;&gt;"")*($M$3:$M$2002&lt;&gt;"")*($L$3:$L$2002&lt;$M147)*($M$3:$M$2002&gt;$L147))&gt;1,"중복","-"))</f>
        <v/>
      </c>
    </row>
    <row r="148" customFormat="false" ht="15" hidden="false" customHeight="true" outlineLevel="0" collapsed="false">
      <c r="A148" s="11"/>
      <c r="B148" s="7"/>
      <c r="C148" s="12" t="str">
        <f aca="false">IF($B148="","",IFERROR(INDEX(자원목록!$B$3:$B$102,MATCH($B148,자원목록!$A$3:$A$102,0)),"미등록자원"))</f>
        <v/>
      </c>
      <c r="D148" s="7"/>
      <c r="E148" s="12" t="str">
        <f aca="false">IF($D148="","",IFERROR(INDEX(고객목록!$B$3:$B$502,MATCH($D148,고객목록!$A$3:$A$502,0)),""))</f>
        <v/>
      </c>
      <c r="F148" s="13"/>
      <c r="G148" s="13"/>
      <c r="H148" s="14" t="str">
        <f aca="false">IF(OR($L148="",$M148=""),"",ROUND(($M148-$L148)/60,2))</f>
        <v/>
      </c>
      <c r="I148" s="9"/>
      <c r="J148" s="7"/>
      <c r="K148" s="7"/>
      <c r="L148" s="15" t="str">
        <f aca="false">IF($F148="","",IF($F148&lt;1,ROUND($F148*1440,0),INT($F148/100)*60+MOD($F148,100)))</f>
        <v/>
      </c>
      <c r="M148" s="15" t="str">
        <f aca="false">IF($G148="","",IF($G148&lt;1,ROUND($G148*1440,0),INT($G148/100)*60+MOD($G148,100)))</f>
        <v/>
      </c>
      <c r="N148" s="15" t="str">
        <f aca="false">IF(OR($A148="",$B148="",$L148="",$M148="",$J148="취소"),"",IF(SUMPRODUCT(($A$3:$A$2002=$A148)*($B$3:$B$2002=$B148)*($J$3:$J$2002&lt;&gt;"취소")*($L$3:$L$2002&lt;&gt;"")*($M$3:$M$2002&lt;&gt;"")*($L$3:$L$2002&lt;$M148)*($M$3:$M$2002&gt;$L148))&gt;1,"중복","-"))</f>
        <v/>
      </c>
    </row>
    <row r="149" customFormat="false" ht="15" hidden="false" customHeight="true" outlineLevel="0" collapsed="false">
      <c r="A149" s="11"/>
      <c r="B149" s="7"/>
      <c r="C149" s="12" t="str">
        <f aca="false">IF($B149="","",IFERROR(INDEX(자원목록!$B$3:$B$102,MATCH($B149,자원목록!$A$3:$A$102,0)),"미등록자원"))</f>
        <v/>
      </c>
      <c r="D149" s="7"/>
      <c r="E149" s="12" t="str">
        <f aca="false">IF($D149="","",IFERROR(INDEX(고객목록!$B$3:$B$502,MATCH($D149,고객목록!$A$3:$A$502,0)),""))</f>
        <v/>
      </c>
      <c r="F149" s="13"/>
      <c r="G149" s="13"/>
      <c r="H149" s="14" t="str">
        <f aca="false">IF(OR($L149="",$M149=""),"",ROUND(($M149-$L149)/60,2))</f>
        <v/>
      </c>
      <c r="I149" s="9"/>
      <c r="J149" s="7"/>
      <c r="K149" s="7"/>
      <c r="L149" s="15" t="str">
        <f aca="false">IF($F149="","",IF($F149&lt;1,ROUND($F149*1440,0),INT($F149/100)*60+MOD($F149,100)))</f>
        <v/>
      </c>
      <c r="M149" s="15" t="str">
        <f aca="false">IF($G149="","",IF($G149&lt;1,ROUND($G149*1440,0),INT($G149/100)*60+MOD($G149,100)))</f>
        <v/>
      </c>
      <c r="N149" s="15" t="str">
        <f aca="false">IF(OR($A149="",$B149="",$L149="",$M149="",$J149="취소"),"",IF(SUMPRODUCT(($A$3:$A$2002=$A149)*($B$3:$B$2002=$B149)*($J$3:$J$2002&lt;&gt;"취소")*($L$3:$L$2002&lt;&gt;"")*($M$3:$M$2002&lt;&gt;"")*($L$3:$L$2002&lt;$M149)*($M$3:$M$2002&gt;$L149))&gt;1,"중복","-"))</f>
        <v/>
      </c>
    </row>
    <row r="150" customFormat="false" ht="15" hidden="false" customHeight="true" outlineLevel="0" collapsed="false">
      <c r="A150" s="11"/>
      <c r="B150" s="7"/>
      <c r="C150" s="12" t="str">
        <f aca="false">IF($B150="","",IFERROR(INDEX(자원목록!$B$3:$B$102,MATCH($B150,자원목록!$A$3:$A$102,0)),"미등록자원"))</f>
        <v/>
      </c>
      <c r="D150" s="7"/>
      <c r="E150" s="12" t="str">
        <f aca="false">IF($D150="","",IFERROR(INDEX(고객목록!$B$3:$B$502,MATCH($D150,고객목록!$A$3:$A$502,0)),""))</f>
        <v/>
      </c>
      <c r="F150" s="13"/>
      <c r="G150" s="13"/>
      <c r="H150" s="14" t="str">
        <f aca="false">IF(OR($L150="",$M150=""),"",ROUND(($M150-$L150)/60,2))</f>
        <v/>
      </c>
      <c r="I150" s="9"/>
      <c r="J150" s="7"/>
      <c r="K150" s="7"/>
      <c r="L150" s="15" t="str">
        <f aca="false">IF($F150="","",IF($F150&lt;1,ROUND($F150*1440,0),INT($F150/100)*60+MOD($F150,100)))</f>
        <v/>
      </c>
      <c r="M150" s="15" t="str">
        <f aca="false">IF($G150="","",IF($G150&lt;1,ROUND($G150*1440,0),INT($G150/100)*60+MOD($G150,100)))</f>
        <v/>
      </c>
      <c r="N150" s="15" t="str">
        <f aca="false">IF(OR($A150="",$B150="",$L150="",$M150="",$J150="취소"),"",IF(SUMPRODUCT(($A$3:$A$2002=$A150)*($B$3:$B$2002=$B150)*($J$3:$J$2002&lt;&gt;"취소")*($L$3:$L$2002&lt;&gt;"")*($M$3:$M$2002&lt;&gt;"")*($L$3:$L$2002&lt;$M150)*($M$3:$M$2002&gt;$L150))&gt;1,"중복","-"))</f>
        <v/>
      </c>
    </row>
    <row r="151" customFormat="false" ht="15" hidden="false" customHeight="true" outlineLevel="0" collapsed="false">
      <c r="A151" s="11"/>
      <c r="B151" s="7"/>
      <c r="C151" s="12" t="str">
        <f aca="false">IF($B151="","",IFERROR(INDEX(자원목록!$B$3:$B$102,MATCH($B151,자원목록!$A$3:$A$102,0)),"미등록자원"))</f>
        <v/>
      </c>
      <c r="D151" s="7"/>
      <c r="E151" s="12" t="str">
        <f aca="false">IF($D151="","",IFERROR(INDEX(고객목록!$B$3:$B$502,MATCH($D151,고객목록!$A$3:$A$502,0)),""))</f>
        <v/>
      </c>
      <c r="F151" s="13"/>
      <c r="G151" s="13"/>
      <c r="H151" s="14" t="str">
        <f aca="false">IF(OR($L151="",$M151=""),"",ROUND(($M151-$L151)/60,2))</f>
        <v/>
      </c>
      <c r="I151" s="9"/>
      <c r="J151" s="7"/>
      <c r="K151" s="7"/>
      <c r="L151" s="15" t="str">
        <f aca="false">IF($F151="","",IF($F151&lt;1,ROUND($F151*1440,0),INT($F151/100)*60+MOD($F151,100)))</f>
        <v/>
      </c>
      <c r="M151" s="15" t="str">
        <f aca="false">IF($G151="","",IF($G151&lt;1,ROUND($G151*1440,0),INT($G151/100)*60+MOD($G151,100)))</f>
        <v/>
      </c>
      <c r="N151" s="15" t="str">
        <f aca="false">IF(OR($A151="",$B151="",$L151="",$M151="",$J151="취소"),"",IF(SUMPRODUCT(($A$3:$A$2002=$A151)*($B$3:$B$2002=$B151)*($J$3:$J$2002&lt;&gt;"취소")*($L$3:$L$2002&lt;&gt;"")*($M$3:$M$2002&lt;&gt;"")*($L$3:$L$2002&lt;$M151)*($M$3:$M$2002&gt;$L151))&gt;1,"중복","-"))</f>
        <v/>
      </c>
    </row>
    <row r="152" customFormat="false" ht="15" hidden="false" customHeight="true" outlineLevel="0" collapsed="false">
      <c r="A152" s="11"/>
      <c r="B152" s="7"/>
      <c r="C152" s="12" t="str">
        <f aca="false">IF($B152="","",IFERROR(INDEX(자원목록!$B$3:$B$102,MATCH($B152,자원목록!$A$3:$A$102,0)),"미등록자원"))</f>
        <v/>
      </c>
      <c r="D152" s="7"/>
      <c r="E152" s="12" t="str">
        <f aca="false">IF($D152="","",IFERROR(INDEX(고객목록!$B$3:$B$502,MATCH($D152,고객목록!$A$3:$A$502,0)),""))</f>
        <v/>
      </c>
      <c r="F152" s="13"/>
      <c r="G152" s="13"/>
      <c r="H152" s="14" t="str">
        <f aca="false">IF(OR($L152="",$M152=""),"",ROUND(($M152-$L152)/60,2))</f>
        <v/>
      </c>
      <c r="I152" s="9"/>
      <c r="J152" s="7"/>
      <c r="K152" s="7"/>
      <c r="L152" s="15" t="str">
        <f aca="false">IF($F152="","",IF($F152&lt;1,ROUND($F152*1440,0),INT($F152/100)*60+MOD($F152,100)))</f>
        <v/>
      </c>
      <c r="M152" s="15" t="str">
        <f aca="false">IF($G152="","",IF($G152&lt;1,ROUND($G152*1440,0),INT($G152/100)*60+MOD($G152,100)))</f>
        <v/>
      </c>
      <c r="N152" s="15" t="str">
        <f aca="false">IF(OR($A152="",$B152="",$L152="",$M152="",$J152="취소"),"",IF(SUMPRODUCT(($A$3:$A$2002=$A152)*($B$3:$B$2002=$B152)*($J$3:$J$2002&lt;&gt;"취소")*($L$3:$L$2002&lt;&gt;"")*($M$3:$M$2002&lt;&gt;"")*($L$3:$L$2002&lt;$M152)*($M$3:$M$2002&gt;$L152))&gt;1,"중복","-"))</f>
        <v/>
      </c>
    </row>
    <row r="153" customFormat="false" ht="15" hidden="false" customHeight="true" outlineLevel="0" collapsed="false">
      <c r="A153" s="11"/>
      <c r="B153" s="7"/>
      <c r="C153" s="12" t="str">
        <f aca="false">IF($B153="","",IFERROR(INDEX(자원목록!$B$3:$B$102,MATCH($B153,자원목록!$A$3:$A$102,0)),"미등록자원"))</f>
        <v/>
      </c>
      <c r="D153" s="7"/>
      <c r="E153" s="12" t="str">
        <f aca="false">IF($D153="","",IFERROR(INDEX(고객목록!$B$3:$B$502,MATCH($D153,고객목록!$A$3:$A$502,0)),""))</f>
        <v/>
      </c>
      <c r="F153" s="13"/>
      <c r="G153" s="13"/>
      <c r="H153" s="14" t="str">
        <f aca="false">IF(OR($L153="",$M153=""),"",ROUND(($M153-$L153)/60,2))</f>
        <v/>
      </c>
      <c r="I153" s="9"/>
      <c r="J153" s="7"/>
      <c r="K153" s="7"/>
      <c r="L153" s="15" t="str">
        <f aca="false">IF($F153="","",IF($F153&lt;1,ROUND($F153*1440,0),INT($F153/100)*60+MOD($F153,100)))</f>
        <v/>
      </c>
      <c r="M153" s="15" t="str">
        <f aca="false">IF($G153="","",IF($G153&lt;1,ROUND($G153*1440,0),INT($G153/100)*60+MOD($G153,100)))</f>
        <v/>
      </c>
      <c r="N153" s="15" t="str">
        <f aca="false">IF(OR($A153="",$B153="",$L153="",$M153="",$J153="취소"),"",IF(SUMPRODUCT(($A$3:$A$2002=$A153)*($B$3:$B$2002=$B153)*($J$3:$J$2002&lt;&gt;"취소")*($L$3:$L$2002&lt;&gt;"")*($M$3:$M$2002&lt;&gt;"")*($L$3:$L$2002&lt;$M153)*($M$3:$M$2002&gt;$L153))&gt;1,"중복","-"))</f>
        <v/>
      </c>
    </row>
    <row r="154" customFormat="false" ht="15" hidden="false" customHeight="true" outlineLevel="0" collapsed="false">
      <c r="A154" s="11"/>
      <c r="B154" s="7"/>
      <c r="C154" s="12" t="str">
        <f aca="false">IF($B154="","",IFERROR(INDEX(자원목록!$B$3:$B$102,MATCH($B154,자원목록!$A$3:$A$102,0)),"미등록자원"))</f>
        <v/>
      </c>
      <c r="D154" s="7"/>
      <c r="E154" s="12" t="str">
        <f aca="false">IF($D154="","",IFERROR(INDEX(고객목록!$B$3:$B$502,MATCH($D154,고객목록!$A$3:$A$502,0)),""))</f>
        <v/>
      </c>
      <c r="F154" s="13"/>
      <c r="G154" s="13"/>
      <c r="H154" s="14" t="str">
        <f aca="false">IF(OR($L154="",$M154=""),"",ROUND(($M154-$L154)/60,2))</f>
        <v/>
      </c>
      <c r="I154" s="9"/>
      <c r="J154" s="7"/>
      <c r="K154" s="7"/>
      <c r="L154" s="15" t="str">
        <f aca="false">IF($F154="","",IF($F154&lt;1,ROUND($F154*1440,0),INT($F154/100)*60+MOD($F154,100)))</f>
        <v/>
      </c>
      <c r="M154" s="15" t="str">
        <f aca="false">IF($G154="","",IF($G154&lt;1,ROUND($G154*1440,0),INT($G154/100)*60+MOD($G154,100)))</f>
        <v/>
      </c>
      <c r="N154" s="15" t="str">
        <f aca="false">IF(OR($A154="",$B154="",$L154="",$M154="",$J154="취소"),"",IF(SUMPRODUCT(($A$3:$A$2002=$A154)*($B$3:$B$2002=$B154)*($J$3:$J$2002&lt;&gt;"취소")*($L$3:$L$2002&lt;&gt;"")*($M$3:$M$2002&lt;&gt;"")*($L$3:$L$2002&lt;$M154)*($M$3:$M$2002&gt;$L154))&gt;1,"중복","-"))</f>
        <v/>
      </c>
    </row>
    <row r="155" customFormat="false" ht="15" hidden="false" customHeight="true" outlineLevel="0" collapsed="false">
      <c r="A155" s="11"/>
      <c r="B155" s="7"/>
      <c r="C155" s="12" t="str">
        <f aca="false">IF($B155="","",IFERROR(INDEX(자원목록!$B$3:$B$102,MATCH($B155,자원목록!$A$3:$A$102,0)),"미등록자원"))</f>
        <v/>
      </c>
      <c r="D155" s="7"/>
      <c r="E155" s="12" t="str">
        <f aca="false">IF($D155="","",IFERROR(INDEX(고객목록!$B$3:$B$502,MATCH($D155,고객목록!$A$3:$A$502,0)),""))</f>
        <v/>
      </c>
      <c r="F155" s="13"/>
      <c r="G155" s="13"/>
      <c r="H155" s="14" t="str">
        <f aca="false">IF(OR($L155="",$M155=""),"",ROUND(($M155-$L155)/60,2))</f>
        <v/>
      </c>
      <c r="I155" s="9"/>
      <c r="J155" s="7"/>
      <c r="K155" s="7"/>
      <c r="L155" s="15" t="str">
        <f aca="false">IF($F155="","",IF($F155&lt;1,ROUND($F155*1440,0),INT($F155/100)*60+MOD($F155,100)))</f>
        <v/>
      </c>
      <c r="M155" s="15" t="str">
        <f aca="false">IF($G155="","",IF($G155&lt;1,ROUND($G155*1440,0),INT($G155/100)*60+MOD($G155,100)))</f>
        <v/>
      </c>
      <c r="N155" s="15" t="str">
        <f aca="false">IF(OR($A155="",$B155="",$L155="",$M155="",$J155="취소"),"",IF(SUMPRODUCT(($A$3:$A$2002=$A155)*($B$3:$B$2002=$B155)*($J$3:$J$2002&lt;&gt;"취소")*($L$3:$L$2002&lt;&gt;"")*($M$3:$M$2002&lt;&gt;"")*($L$3:$L$2002&lt;$M155)*($M$3:$M$2002&gt;$L155))&gt;1,"중복","-"))</f>
        <v/>
      </c>
    </row>
    <row r="156" customFormat="false" ht="15" hidden="false" customHeight="true" outlineLevel="0" collapsed="false">
      <c r="A156" s="11"/>
      <c r="B156" s="7"/>
      <c r="C156" s="12" t="str">
        <f aca="false">IF($B156="","",IFERROR(INDEX(자원목록!$B$3:$B$102,MATCH($B156,자원목록!$A$3:$A$102,0)),"미등록자원"))</f>
        <v/>
      </c>
      <c r="D156" s="7"/>
      <c r="E156" s="12" t="str">
        <f aca="false">IF($D156="","",IFERROR(INDEX(고객목록!$B$3:$B$502,MATCH($D156,고객목록!$A$3:$A$502,0)),""))</f>
        <v/>
      </c>
      <c r="F156" s="13"/>
      <c r="G156" s="13"/>
      <c r="H156" s="14" t="str">
        <f aca="false">IF(OR($L156="",$M156=""),"",ROUND(($M156-$L156)/60,2))</f>
        <v/>
      </c>
      <c r="I156" s="9"/>
      <c r="J156" s="7"/>
      <c r="K156" s="7"/>
      <c r="L156" s="15" t="str">
        <f aca="false">IF($F156="","",IF($F156&lt;1,ROUND($F156*1440,0),INT($F156/100)*60+MOD($F156,100)))</f>
        <v/>
      </c>
      <c r="M156" s="15" t="str">
        <f aca="false">IF($G156="","",IF($G156&lt;1,ROUND($G156*1440,0),INT($G156/100)*60+MOD($G156,100)))</f>
        <v/>
      </c>
      <c r="N156" s="15" t="str">
        <f aca="false">IF(OR($A156="",$B156="",$L156="",$M156="",$J156="취소"),"",IF(SUMPRODUCT(($A$3:$A$2002=$A156)*($B$3:$B$2002=$B156)*($J$3:$J$2002&lt;&gt;"취소")*($L$3:$L$2002&lt;&gt;"")*($M$3:$M$2002&lt;&gt;"")*($L$3:$L$2002&lt;$M156)*($M$3:$M$2002&gt;$L156))&gt;1,"중복","-"))</f>
        <v/>
      </c>
    </row>
    <row r="157" customFormat="false" ht="15" hidden="false" customHeight="true" outlineLevel="0" collapsed="false">
      <c r="A157" s="11"/>
      <c r="B157" s="7"/>
      <c r="C157" s="12" t="str">
        <f aca="false">IF($B157="","",IFERROR(INDEX(자원목록!$B$3:$B$102,MATCH($B157,자원목록!$A$3:$A$102,0)),"미등록자원"))</f>
        <v/>
      </c>
      <c r="D157" s="7"/>
      <c r="E157" s="12" t="str">
        <f aca="false">IF($D157="","",IFERROR(INDEX(고객목록!$B$3:$B$502,MATCH($D157,고객목록!$A$3:$A$502,0)),""))</f>
        <v/>
      </c>
      <c r="F157" s="13"/>
      <c r="G157" s="13"/>
      <c r="H157" s="14" t="str">
        <f aca="false">IF(OR($L157="",$M157=""),"",ROUND(($M157-$L157)/60,2))</f>
        <v/>
      </c>
      <c r="I157" s="9"/>
      <c r="J157" s="7"/>
      <c r="K157" s="7"/>
      <c r="L157" s="15" t="str">
        <f aca="false">IF($F157="","",IF($F157&lt;1,ROUND($F157*1440,0),INT($F157/100)*60+MOD($F157,100)))</f>
        <v/>
      </c>
      <c r="M157" s="15" t="str">
        <f aca="false">IF($G157="","",IF($G157&lt;1,ROUND($G157*1440,0),INT($G157/100)*60+MOD($G157,100)))</f>
        <v/>
      </c>
      <c r="N157" s="15" t="str">
        <f aca="false">IF(OR($A157="",$B157="",$L157="",$M157="",$J157="취소"),"",IF(SUMPRODUCT(($A$3:$A$2002=$A157)*($B$3:$B$2002=$B157)*($J$3:$J$2002&lt;&gt;"취소")*($L$3:$L$2002&lt;&gt;"")*($M$3:$M$2002&lt;&gt;"")*($L$3:$L$2002&lt;$M157)*($M$3:$M$2002&gt;$L157))&gt;1,"중복","-"))</f>
        <v/>
      </c>
    </row>
    <row r="158" customFormat="false" ht="15" hidden="false" customHeight="true" outlineLevel="0" collapsed="false">
      <c r="A158" s="11"/>
      <c r="B158" s="7"/>
      <c r="C158" s="12" t="str">
        <f aca="false">IF($B158="","",IFERROR(INDEX(자원목록!$B$3:$B$102,MATCH($B158,자원목록!$A$3:$A$102,0)),"미등록자원"))</f>
        <v/>
      </c>
      <c r="D158" s="7"/>
      <c r="E158" s="12" t="str">
        <f aca="false">IF($D158="","",IFERROR(INDEX(고객목록!$B$3:$B$502,MATCH($D158,고객목록!$A$3:$A$502,0)),""))</f>
        <v/>
      </c>
      <c r="F158" s="13"/>
      <c r="G158" s="13"/>
      <c r="H158" s="14" t="str">
        <f aca="false">IF(OR($L158="",$M158=""),"",ROUND(($M158-$L158)/60,2))</f>
        <v/>
      </c>
      <c r="I158" s="9"/>
      <c r="J158" s="7"/>
      <c r="K158" s="7"/>
      <c r="L158" s="15" t="str">
        <f aca="false">IF($F158="","",IF($F158&lt;1,ROUND($F158*1440,0),INT($F158/100)*60+MOD($F158,100)))</f>
        <v/>
      </c>
      <c r="M158" s="15" t="str">
        <f aca="false">IF($G158="","",IF($G158&lt;1,ROUND($G158*1440,0),INT($G158/100)*60+MOD($G158,100)))</f>
        <v/>
      </c>
      <c r="N158" s="15" t="str">
        <f aca="false">IF(OR($A158="",$B158="",$L158="",$M158="",$J158="취소"),"",IF(SUMPRODUCT(($A$3:$A$2002=$A158)*($B$3:$B$2002=$B158)*($J$3:$J$2002&lt;&gt;"취소")*($L$3:$L$2002&lt;&gt;"")*($M$3:$M$2002&lt;&gt;"")*($L$3:$L$2002&lt;$M158)*($M$3:$M$2002&gt;$L158))&gt;1,"중복","-"))</f>
        <v/>
      </c>
    </row>
    <row r="159" customFormat="false" ht="15" hidden="false" customHeight="true" outlineLevel="0" collapsed="false">
      <c r="A159" s="11"/>
      <c r="B159" s="7"/>
      <c r="C159" s="12" t="str">
        <f aca="false">IF($B159="","",IFERROR(INDEX(자원목록!$B$3:$B$102,MATCH($B159,자원목록!$A$3:$A$102,0)),"미등록자원"))</f>
        <v/>
      </c>
      <c r="D159" s="7"/>
      <c r="E159" s="12" t="str">
        <f aca="false">IF($D159="","",IFERROR(INDEX(고객목록!$B$3:$B$502,MATCH($D159,고객목록!$A$3:$A$502,0)),""))</f>
        <v/>
      </c>
      <c r="F159" s="13"/>
      <c r="G159" s="13"/>
      <c r="H159" s="14" t="str">
        <f aca="false">IF(OR($L159="",$M159=""),"",ROUND(($M159-$L159)/60,2))</f>
        <v/>
      </c>
      <c r="I159" s="9"/>
      <c r="J159" s="7"/>
      <c r="K159" s="7"/>
      <c r="L159" s="15" t="str">
        <f aca="false">IF($F159="","",IF($F159&lt;1,ROUND($F159*1440,0),INT($F159/100)*60+MOD($F159,100)))</f>
        <v/>
      </c>
      <c r="M159" s="15" t="str">
        <f aca="false">IF($G159="","",IF($G159&lt;1,ROUND($G159*1440,0),INT($G159/100)*60+MOD($G159,100)))</f>
        <v/>
      </c>
      <c r="N159" s="15" t="str">
        <f aca="false">IF(OR($A159="",$B159="",$L159="",$M159="",$J159="취소"),"",IF(SUMPRODUCT(($A$3:$A$2002=$A159)*($B$3:$B$2002=$B159)*($J$3:$J$2002&lt;&gt;"취소")*($L$3:$L$2002&lt;&gt;"")*($M$3:$M$2002&lt;&gt;"")*($L$3:$L$2002&lt;$M159)*($M$3:$M$2002&gt;$L159))&gt;1,"중복","-"))</f>
        <v/>
      </c>
    </row>
    <row r="160" customFormat="false" ht="15" hidden="false" customHeight="true" outlineLevel="0" collapsed="false">
      <c r="A160" s="11"/>
      <c r="B160" s="7"/>
      <c r="C160" s="12" t="str">
        <f aca="false">IF($B160="","",IFERROR(INDEX(자원목록!$B$3:$B$102,MATCH($B160,자원목록!$A$3:$A$102,0)),"미등록자원"))</f>
        <v/>
      </c>
      <c r="D160" s="7"/>
      <c r="E160" s="12" t="str">
        <f aca="false">IF($D160="","",IFERROR(INDEX(고객목록!$B$3:$B$502,MATCH($D160,고객목록!$A$3:$A$502,0)),""))</f>
        <v/>
      </c>
      <c r="F160" s="13"/>
      <c r="G160" s="13"/>
      <c r="H160" s="14" t="str">
        <f aca="false">IF(OR($L160="",$M160=""),"",ROUND(($M160-$L160)/60,2))</f>
        <v/>
      </c>
      <c r="I160" s="9"/>
      <c r="J160" s="7"/>
      <c r="K160" s="7"/>
      <c r="L160" s="15" t="str">
        <f aca="false">IF($F160="","",IF($F160&lt;1,ROUND($F160*1440,0),INT($F160/100)*60+MOD($F160,100)))</f>
        <v/>
      </c>
      <c r="M160" s="15" t="str">
        <f aca="false">IF($G160="","",IF($G160&lt;1,ROUND($G160*1440,0),INT($G160/100)*60+MOD($G160,100)))</f>
        <v/>
      </c>
      <c r="N160" s="15" t="str">
        <f aca="false">IF(OR($A160="",$B160="",$L160="",$M160="",$J160="취소"),"",IF(SUMPRODUCT(($A$3:$A$2002=$A160)*($B$3:$B$2002=$B160)*($J$3:$J$2002&lt;&gt;"취소")*($L$3:$L$2002&lt;&gt;"")*($M$3:$M$2002&lt;&gt;"")*($L$3:$L$2002&lt;$M160)*($M$3:$M$2002&gt;$L160))&gt;1,"중복","-"))</f>
        <v/>
      </c>
    </row>
    <row r="161" customFormat="false" ht="15" hidden="false" customHeight="true" outlineLevel="0" collapsed="false">
      <c r="A161" s="11"/>
      <c r="B161" s="7"/>
      <c r="C161" s="12" t="str">
        <f aca="false">IF($B161="","",IFERROR(INDEX(자원목록!$B$3:$B$102,MATCH($B161,자원목록!$A$3:$A$102,0)),"미등록자원"))</f>
        <v/>
      </c>
      <c r="D161" s="7"/>
      <c r="E161" s="12" t="str">
        <f aca="false">IF($D161="","",IFERROR(INDEX(고객목록!$B$3:$B$502,MATCH($D161,고객목록!$A$3:$A$502,0)),""))</f>
        <v/>
      </c>
      <c r="F161" s="13"/>
      <c r="G161" s="13"/>
      <c r="H161" s="14" t="str">
        <f aca="false">IF(OR($L161="",$M161=""),"",ROUND(($M161-$L161)/60,2))</f>
        <v/>
      </c>
      <c r="I161" s="9"/>
      <c r="J161" s="7"/>
      <c r="K161" s="7"/>
      <c r="L161" s="15" t="str">
        <f aca="false">IF($F161="","",IF($F161&lt;1,ROUND($F161*1440,0),INT($F161/100)*60+MOD($F161,100)))</f>
        <v/>
      </c>
      <c r="M161" s="15" t="str">
        <f aca="false">IF($G161="","",IF($G161&lt;1,ROUND($G161*1440,0),INT($G161/100)*60+MOD($G161,100)))</f>
        <v/>
      </c>
      <c r="N161" s="15" t="str">
        <f aca="false">IF(OR($A161="",$B161="",$L161="",$M161="",$J161="취소"),"",IF(SUMPRODUCT(($A$3:$A$2002=$A161)*($B$3:$B$2002=$B161)*($J$3:$J$2002&lt;&gt;"취소")*($L$3:$L$2002&lt;&gt;"")*($M$3:$M$2002&lt;&gt;"")*($L$3:$L$2002&lt;$M161)*($M$3:$M$2002&gt;$L161))&gt;1,"중복","-"))</f>
        <v/>
      </c>
    </row>
    <row r="162" customFormat="false" ht="15" hidden="false" customHeight="true" outlineLevel="0" collapsed="false">
      <c r="A162" s="11"/>
      <c r="B162" s="7"/>
      <c r="C162" s="12" t="str">
        <f aca="false">IF($B162="","",IFERROR(INDEX(자원목록!$B$3:$B$102,MATCH($B162,자원목록!$A$3:$A$102,0)),"미등록자원"))</f>
        <v/>
      </c>
      <c r="D162" s="7"/>
      <c r="E162" s="12" t="str">
        <f aca="false">IF($D162="","",IFERROR(INDEX(고객목록!$B$3:$B$502,MATCH($D162,고객목록!$A$3:$A$502,0)),""))</f>
        <v/>
      </c>
      <c r="F162" s="13"/>
      <c r="G162" s="13"/>
      <c r="H162" s="14" t="str">
        <f aca="false">IF(OR($L162="",$M162=""),"",ROUND(($M162-$L162)/60,2))</f>
        <v/>
      </c>
      <c r="I162" s="9"/>
      <c r="J162" s="7"/>
      <c r="K162" s="7"/>
      <c r="L162" s="15" t="str">
        <f aca="false">IF($F162="","",IF($F162&lt;1,ROUND($F162*1440,0),INT($F162/100)*60+MOD($F162,100)))</f>
        <v/>
      </c>
      <c r="M162" s="15" t="str">
        <f aca="false">IF($G162="","",IF($G162&lt;1,ROUND($G162*1440,0),INT($G162/100)*60+MOD($G162,100)))</f>
        <v/>
      </c>
      <c r="N162" s="15" t="str">
        <f aca="false">IF(OR($A162="",$B162="",$L162="",$M162="",$J162="취소"),"",IF(SUMPRODUCT(($A$3:$A$2002=$A162)*($B$3:$B$2002=$B162)*($J$3:$J$2002&lt;&gt;"취소")*($L$3:$L$2002&lt;&gt;"")*($M$3:$M$2002&lt;&gt;"")*($L$3:$L$2002&lt;$M162)*($M$3:$M$2002&gt;$L162))&gt;1,"중복","-"))</f>
        <v/>
      </c>
    </row>
    <row r="163" customFormat="false" ht="15" hidden="false" customHeight="true" outlineLevel="0" collapsed="false">
      <c r="A163" s="11"/>
      <c r="B163" s="7"/>
      <c r="C163" s="12" t="str">
        <f aca="false">IF($B163="","",IFERROR(INDEX(자원목록!$B$3:$B$102,MATCH($B163,자원목록!$A$3:$A$102,0)),"미등록자원"))</f>
        <v/>
      </c>
      <c r="D163" s="7"/>
      <c r="E163" s="12" t="str">
        <f aca="false">IF($D163="","",IFERROR(INDEX(고객목록!$B$3:$B$502,MATCH($D163,고객목록!$A$3:$A$502,0)),""))</f>
        <v/>
      </c>
      <c r="F163" s="13"/>
      <c r="G163" s="13"/>
      <c r="H163" s="14" t="str">
        <f aca="false">IF(OR($L163="",$M163=""),"",ROUND(($M163-$L163)/60,2))</f>
        <v/>
      </c>
      <c r="I163" s="9"/>
      <c r="J163" s="7"/>
      <c r="K163" s="7"/>
      <c r="L163" s="15" t="str">
        <f aca="false">IF($F163="","",IF($F163&lt;1,ROUND($F163*1440,0),INT($F163/100)*60+MOD($F163,100)))</f>
        <v/>
      </c>
      <c r="M163" s="15" t="str">
        <f aca="false">IF($G163="","",IF($G163&lt;1,ROUND($G163*1440,0),INT($G163/100)*60+MOD($G163,100)))</f>
        <v/>
      </c>
      <c r="N163" s="15" t="str">
        <f aca="false">IF(OR($A163="",$B163="",$L163="",$M163="",$J163="취소"),"",IF(SUMPRODUCT(($A$3:$A$2002=$A163)*($B$3:$B$2002=$B163)*($J$3:$J$2002&lt;&gt;"취소")*($L$3:$L$2002&lt;&gt;"")*($M$3:$M$2002&lt;&gt;"")*($L$3:$L$2002&lt;$M163)*($M$3:$M$2002&gt;$L163))&gt;1,"중복","-"))</f>
        <v/>
      </c>
    </row>
    <row r="164" customFormat="false" ht="15" hidden="false" customHeight="true" outlineLevel="0" collapsed="false">
      <c r="A164" s="11"/>
      <c r="B164" s="7"/>
      <c r="C164" s="12" t="str">
        <f aca="false">IF($B164="","",IFERROR(INDEX(자원목록!$B$3:$B$102,MATCH($B164,자원목록!$A$3:$A$102,0)),"미등록자원"))</f>
        <v/>
      </c>
      <c r="D164" s="7"/>
      <c r="E164" s="12" t="str">
        <f aca="false">IF($D164="","",IFERROR(INDEX(고객목록!$B$3:$B$502,MATCH($D164,고객목록!$A$3:$A$502,0)),""))</f>
        <v/>
      </c>
      <c r="F164" s="13"/>
      <c r="G164" s="13"/>
      <c r="H164" s="14" t="str">
        <f aca="false">IF(OR($L164="",$M164=""),"",ROUND(($M164-$L164)/60,2))</f>
        <v/>
      </c>
      <c r="I164" s="9"/>
      <c r="J164" s="7"/>
      <c r="K164" s="7"/>
      <c r="L164" s="15" t="str">
        <f aca="false">IF($F164="","",IF($F164&lt;1,ROUND($F164*1440,0),INT($F164/100)*60+MOD($F164,100)))</f>
        <v/>
      </c>
      <c r="M164" s="15" t="str">
        <f aca="false">IF($G164="","",IF($G164&lt;1,ROUND($G164*1440,0),INT($G164/100)*60+MOD($G164,100)))</f>
        <v/>
      </c>
      <c r="N164" s="15" t="str">
        <f aca="false">IF(OR($A164="",$B164="",$L164="",$M164="",$J164="취소"),"",IF(SUMPRODUCT(($A$3:$A$2002=$A164)*($B$3:$B$2002=$B164)*($J$3:$J$2002&lt;&gt;"취소")*($L$3:$L$2002&lt;&gt;"")*($M$3:$M$2002&lt;&gt;"")*($L$3:$L$2002&lt;$M164)*($M$3:$M$2002&gt;$L164))&gt;1,"중복","-"))</f>
        <v/>
      </c>
    </row>
    <row r="165" customFormat="false" ht="15" hidden="false" customHeight="true" outlineLevel="0" collapsed="false">
      <c r="A165" s="11"/>
      <c r="B165" s="7"/>
      <c r="C165" s="12" t="str">
        <f aca="false">IF($B165="","",IFERROR(INDEX(자원목록!$B$3:$B$102,MATCH($B165,자원목록!$A$3:$A$102,0)),"미등록자원"))</f>
        <v/>
      </c>
      <c r="D165" s="7"/>
      <c r="E165" s="12" t="str">
        <f aca="false">IF($D165="","",IFERROR(INDEX(고객목록!$B$3:$B$502,MATCH($D165,고객목록!$A$3:$A$502,0)),""))</f>
        <v/>
      </c>
      <c r="F165" s="13"/>
      <c r="G165" s="13"/>
      <c r="H165" s="14" t="str">
        <f aca="false">IF(OR($L165="",$M165=""),"",ROUND(($M165-$L165)/60,2))</f>
        <v/>
      </c>
      <c r="I165" s="9"/>
      <c r="J165" s="7"/>
      <c r="K165" s="7"/>
      <c r="L165" s="15" t="str">
        <f aca="false">IF($F165="","",IF($F165&lt;1,ROUND($F165*1440,0),INT($F165/100)*60+MOD($F165,100)))</f>
        <v/>
      </c>
      <c r="M165" s="15" t="str">
        <f aca="false">IF($G165="","",IF($G165&lt;1,ROUND($G165*1440,0),INT($G165/100)*60+MOD($G165,100)))</f>
        <v/>
      </c>
      <c r="N165" s="15" t="str">
        <f aca="false">IF(OR($A165="",$B165="",$L165="",$M165="",$J165="취소"),"",IF(SUMPRODUCT(($A$3:$A$2002=$A165)*($B$3:$B$2002=$B165)*($J$3:$J$2002&lt;&gt;"취소")*($L$3:$L$2002&lt;&gt;"")*($M$3:$M$2002&lt;&gt;"")*($L$3:$L$2002&lt;$M165)*($M$3:$M$2002&gt;$L165))&gt;1,"중복","-"))</f>
        <v/>
      </c>
    </row>
    <row r="166" customFormat="false" ht="15" hidden="false" customHeight="true" outlineLevel="0" collapsed="false">
      <c r="A166" s="11"/>
      <c r="B166" s="7"/>
      <c r="C166" s="12" t="str">
        <f aca="false">IF($B166="","",IFERROR(INDEX(자원목록!$B$3:$B$102,MATCH($B166,자원목록!$A$3:$A$102,0)),"미등록자원"))</f>
        <v/>
      </c>
      <c r="D166" s="7"/>
      <c r="E166" s="12" t="str">
        <f aca="false">IF($D166="","",IFERROR(INDEX(고객목록!$B$3:$B$502,MATCH($D166,고객목록!$A$3:$A$502,0)),""))</f>
        <v/>
      </c>
      <c r="F166" s="13"/>
      <c r="G166" s="13"/>
      <c r="H166" s="14" t="str">
        <f aca="false">IF(OR($L166="",$M166=""),"",ROUND(($M166-$L166)/60,2))</f>
        <v/>
      </c>
      <c r="I166" s="9"/>
      <c r="J166" s="7"/>
      <c r="K166" s="7"/>
      <c r="L166" s="15" t="str">
        <f aca="false">IF($F166="","",IF($F166&lt;1,ROUND($F166*1440,0),INT($F166/100)*60+MOD($F166,100)))</f>
        <v/>
      </c>
      <c r="M166" s="15" t="str">
        <f aca="false">IF($G166="","",IF($G166&lt;1,ROUND($G166*1440,0),INT($G166/100)*60+MOD($G166,100)))</f>
        <v/>
      </c>
      <c r="N166" s="15" t="str">
        <f aca="false">IF(OR($A166="",$B166="",$L166="",$M166="",$J166="취소"),"",IF(SUMPRODUCT(($A$3:$A$2002=$A166)*($B$3:$B$2002=$B166)*($J$3:$J$2002&lt;&gt;"취소")*($L$3:$L$2002&lt;&gt;"")*($M$3:$M$2002&lt;&gt;"")*($L$3:$L$2002&lt;$M166)*($M$3:$M$2002&gt;$L166))&gt;1,"중복","-"))</f>
        <v/>
      </c>
    </row>
    <row r="167" customFormat="false" ht="15" hidden="false" customHeight="true" outlineLevel="0" collapsed="false">
      <c r="A167" s="11"/>
      <c r="B167" s="7"/>
      <c r="C167" s="12" t="str">
        <f aca="false">IF($B167="","",IFERROR(INDEX(자원목록!$B$3:$B$102,MATCH($B167,자원목록!$A$3:$A$102,0)),"미등록자원"))</f>
        <v/>
      </c>
      <c r="D167" s="7"/>
      <c r="E167" s="12" t="str">
        <f aca="false">IF($D167="","",IFERROR(INDEX(고객목록!$B$3:$B$502,MATCH($D167,고객목록!$A$3:$A$502,0)),""))</f>
        <v/>
      </c>
      <c r="F167" s="13"/>
      <c r="G167" s="13"/>
      <c r="H167" s="14" t="str">
        <f aca="false">IF(OR($L167="",$M167=""),"",ROUND(($M167-$L167)/60,2))</f>
        <v/>
      </c>
      <c r="I167" s="9"/>
      <c r="J167" s="7"/>
      <c r="K167" s="7"/>
      <c r="L167" s="15" t="str">
        <f aca="false">IF($F167="","",IF($F167&lt;1,ROUND($F167*1440,0),INT($F167/100)*60+MOD($F167,100)))</f>
        <v/>
      </c>
      <c r="M167" s="15" t="str">
        <f aca="false">IF($G167="","",IF($G167&lt;1,ROUND($G167*1440,0),INT($G167/100)*60+MOD($G167,100)))</f>
        <v/>
      </c>
      <c r="N167" s="15" t="str">
        <f aca="false">IF(OR($A167="",$B167="",$L167="",$M167="",$J167="취소"),"",IF(SUMPRODUCT(($A$3:$A$2002=$A167)*($B$3:$B$2002=$B167)*($J$3:$J$2002&lt;&gt;"취소")*($L$3:$L$2002&lt;&gt;"")*($M$3:$M$2002&lt;&gt;"")*($L$3:$L$2002&lt;$M167)*($M$3:$M$2002&gt;$L167))&gt;1,"중복","-"))</f>
        <v/>
      </c>
    </row>
    <row r="168" customFormat="false" ht="15" hidden="false" customHeight="true" outlineLevel="0" collapsed="false">
      <c r="A168" s="11"/>
      <c r="B168" s="7"/>
      <c r="C168" s="12" t="str">
        <f aca="false">IF($B168="","",IFERROR(INDEX(자원목록!$B$3:$B$102,MATCH($B168,자원목록!$A$3:$A$102,0)),"미등록자원"))</f>
        <v/>
      </c>
      <c r="D168" s="7"/>
      <c r="E168" s="12" t="str">
        <f aca="false">IF($D168="","",IFERROR(INDEX(고객목록!$B$3:$B$502,MATCH($D168,고객목록!$A$3:$A$502,0)),""))</f>
        <v/>
      </c>
      <c r="F168" s="13"/>
      <c r="G168" s="13"/>
      <c r="H168" s="14" t="str">
        <f aca="false">IF(OR($L168="",$M168=""),"",ROUND(($M168-$L168)/60,2))</f>
        <v/>
      </c>
      <c r="I168" s="9"/>
      <c r="J168" s="7"/>
      <c r="K168" s="7"/>
      <c r="L168" s="15" t="str">
        <f aca="false">IF($F168="","",IF($F168&lt;1,ROUND($F168*1440,0),INT($F168/100)*60+MOD($F168,100)))</f>
        <v/>
      </c>
      <c r="M168" s="15" t="str">
        <f aca="false">IF($G168="","",IF($G168&lt;1,ROUND($G168*1440,0),INT($G168/100)*60+MOD($G168,100)))</f>
        <v/>
      </c>
      <c r="N168" s="15" t="str">
        <f aca="false">IF(OR($A168="",$B168="",$L168="",$M168="",$J168="취소"),"",IF(SUMPRODUCT(($A$3:$A$2002=$A168)*($B$3:$B$2002=$B168)*($J$3:$J$2002&lt;&gt;"취소")*($L$3:$L$2002&lt;&gt;"")*($M$3:$M$2002&lt;&gt;"")*($L$3:$L$2002&lt;$M168)*($M$3:$M$2002&gt;$L168))&gt;1,"중복","-"))</f>
        <v/>
      </c>
    </row>
    <row r="169" customFormat="false" ht="15" hidden="false" customHeight="true" outlineLevel="0" collapsed="false">
      <c r="A169" s="11"/>
      <c r="B169" s="7"/>
      <c r="C169" s="12" t="str">
        <f aca="false">IF($B169="","",IFERROR(INDEX(자원목록!$B$3:$B$102,MATCH($B169,자원목록!$A$3:$A$102,0)),"미등록자원"))</f>
        <v/>
      </c>
      <c r="D169" s="7"/>
      <c r="E169" s="12" t="str">
        <f aca="false">IF($D169="","",IFERROR(INDEX(고객목록!$B$3:$B$502,MATCH($D169,고객목록!$A$3:$A$502,0)),""))</f>
        <v/>
      </c>
      <c r="F169" s="13"/>
      <c r="G169" s="13"/>
      <c r="H169" s="14" t="str">
        <f aca="false">IF(OR($L169="",$M169=""),"",ROUND(($M169-$L169)/60,2))</f>
        <v/>
      </c>
      <c r="I169" s="9"/>
      <c r="J169" s="7"/>
      <c r="K169" s="7"/>
      <c r="L169" s="15" t="str">
        <f aca="false">IF($F169="","",IF($F169&lt;1,ROUND($F169*1440,0),INT($F169/100)*60+MOD($F169,100)))</f>
        <v/>
      </c>
      <c r="M169" s="15" t="str">
        <f aca="false">IF($G169="","",IF($G169&lt;1,ROUND($G169*1440,0),INT($G169/100)*60+MOD($G169,100)))</f>
        <v/>
      </c>
      <c r="N169" s="15" t="str">
        <f aca="false">IF(OR($A169="",$B169="",$L169="",$M169="",$J169="취소"),"",IF(SUMPRODUCT(($A$3:$A$2002=$A169)*($B$3:$B$2002=$B169)*($J$3:$J$2002&lt;&gt;"취소")*($L$3:$L$2002&lt;&gt;"")*($M$3:$M$2002&lt;&gt;"")*($L$3:$L$2002&lt;$M169)*($M$3:$M$2002&gt;$L169))&gt;1,"중복","-"))</f>
        <v/>
      </c>
    </row>
    <row r="170" customFormat="false" ht="15" hidden="false" customHeight="true" outlineLevel="0" collapsed="false">
      <c r="A170" s="11"/>
      <c r="B170" s="7"/>
      <c r="C170" s="12" t="str">
        <f aca="false">IF($B170="","",IFERROR(INDEX(자원목록!$B$3:$B$102,MATCH($B170,자원목록!$A$3:$A$102,0)),"미등록자원"))</f>
        <v/>
      </c>
      <c r="D170" s="7"/>
      <c r="E170" s="12" t="str">
        <f aca="false">IF($D170="","",IFERROR(INDEX(고객목록!$B$3:$B$502,MATCH($D170,고객목록!$A$3:$A$502,0)),""))</f>
        <v/>
      </c>
      <c r="F170" s="13"/>
      <c r="G170" s="13"/>
      <c r="H170" s="14" t="str">
        <f aca="false">IF(OR($L170="",$M170=""),"",ROUND(($M170-$L170)/60,2))</f>
        <v/>
      </c>
      <c r="I170" s="9"/>
      <c r="J170" s="7"/>
      <c r="K170" s="7"/>
      <c r="L170" s="15" t="str">
        <f aca="false">IF($F170="","",IF($F170&lt;1,ROUND($F170*1440,0),INT($F170/100)*60+MOD($F170,100)))</f>
        <v/>
      </c>
      <c r="M170" s="15" t="str">
        <f aca="false">IF($G170="","",IF($G170&lt;1,ROUND($G170*1440,0),INT($G170/100)*60+MOD($G170,100)))</f>
        <v/>
      </c>
      <c r="N170" s="15" t="str">
        <f aca="false">IF(OR($A170="",$B170="",$L170="",$M170="",$J170="취소"),"",IF(SUMPRODUCT(($A$3:$A$2002=$A170)*($B$3:$B$2002=$B170)*($J$3:$J$2002&lt;&gt;"취소")*($L$3:$L$2002&lt;&gt;"")*($M$3:$M$2002&lt;&gt;"")*($L$3:$L$2002&lt;$M170)*($M$3:$M$2002&gt;$L170))&gt;1,"중복","-"))</f>
        <v/>
      </c>
    </row>
    <row r="171" customFormat="false" ht="15" hidden="false" customHeight="true" outlineLevel="0" collapsed="false">
      <c r="A171" s="11"/>
      <c r="B171" s="7"/>
      <c r="C171" s="12" t="str">
        <f aca="false">IF($B171="","",IFERROR(INDEX(자원목록!$B$3:$B$102,MATCH($B171,자원목록!$A$3:$A$102,0)),"미등록자원"))</f>
        <v/>
      </c>
      <c r="D171" s="7"/>
      <c r="E171" s="12" t="str">
        <f aca="false">IF($D171="","",IFERROR(INDEX(고객목록!$B$3:$B$502,MATCH($D171,고객목록!$A$3:$A$502,0)),""))</f>
        <v/>
      </c>
      <c r="F171" s="13"/>
      <c r="G171" s="13"/>
      <c r="H171" s="14" t="str">
        <f aca="false">IF(OR($L171="",$M171=""),"",ROUND(($M171-$L171)/60,2))</f>
        <v/>
      </c>
      <c r="I171" s="9"/>
      <c r="J171" s="7"/>
      <c r="K171" s="7"/>
      <c r="L171" s="15" t="str">
        <f aca="false">IF($F171="","",IF($F171&lt;1,ROUND($F171*1440,0),INT($F171/100)*60+MOD($F171,100)))</f>
        <v/>
      </c>
      <c r="M171" s="15" t="str">
        <f aca="false">IF($G171="","",IF($G171&lt;1,ROUND($G171*1440,0),INT($G171/100)*60+MOD($G171,100)))</f>
        <v/>
      </c>
      <c r="N171" s="15" t="str">
        <f aca="false">IF(OR($A171="",$B171="",$L171="",$M171="",$J171="취소"),"",IF(SUMPRODUCT(($A$3:$A$2002=$A171)*($B$3:$B$2002=$B171)*($J$3:$J$2002&lt;&gt;"취소")*($L$3:$L$2002&lt;&gt;"")*($M$3:$M$2002&lt;&gt;"")*($L$3:$L$2002&lt;$M171)*($M$3:$M$2002&gt;$L171))&gt;1,"중복","-"))</f>
        <v/>
      </c>
    </row>
    <row r="172" customFormat="false" ht="15" hidden="false" customHeight="true" outlineLevel="0" collapsed="false">
      <c r="A172" s="11"/>
      <c r="B172" s="7"/>
      <c r="C172" s="12" t="str">
        <f aca="false">IF($B172="","",IFERROR(INDEX(자원목록!$B$3:$B$102,MATCH($B172,자원목록!$A$3:$A$102,0)),"미등록자원"))</f>
        <v/>
      </c>
      <c r="D172" s="7"/>
      <c r="E172" s="12" t="str">
        <f aca="false">IF($D172="","",IFERROR(INDEX(고객목록!$B$3:$B$502,MATCH($D172,고객목록!$A$3:$A$502,0)),""))</f>
        <v/>
      </c>
      <c r="F172" s="13"/>
      <c r="G172" s="13"/>
      <c r="H172" s="14" t="str">
        <f aca="false">IF(OR($L172="",$M172=""),"",ROUND(($M172-$L172)/60,2))</f>
        <v/>
      </c>
      <c r="I172" s="9"/>
      <c r="J172" s="7"/>
      <c r="K172" s="7"/>
      <c r="L172" s="15" t="str">
        <f aca="false">IF($F172="","",IF($F172&lt;1,ROUND($F172*1440,0),INT($F172/100)*60+MOD($F172,100)))</f>
        <v/>
      </c>
      <c r="M172" s="15" t="str">
        <f aca="false">IF($G172="","",IF($G172&lt;1,ROUND($G172*1440,0),INT($G172/100)*60+MOD($G172,100)))</f>
        <v/>
      </c>
      <c r="N172" s="15" t="str">
        <f aca="false">IF(OR($A172="",$B172="",$L172="",$M172="",$J172="취소"),"",IF(SUMPRODUCT(($A$3:$A$2002=$A172)*($B$3:$B$2002=$B172)*($J$3:$J$2002&lt;&gt;"취소")*($L$3:$L$2002&lt;&gt;"")*($M$3:$M$2002&lt;&gt;"")*($L$3:$L$2002&lt;$M172)*($M$3:$M$2002&gt;$L172))&gt;1,"중복","-"))</f>
        <v/>
      </c>
    </row>
    <row r="173" customFormat="false" ht="15" hidden="false" customHeight="true" outlineLevel="0" collapsed="false">
      <c r="A173" s="11"/>
      <c r="B173" s="7"/>
      <c r="C173" s="12" t="str">
        <f aca="false">IF($B173="","",IFERROR(INDEX(자원목록!$B$3:$B$102,MATCH($B173,자원목록!$A$3:$A$102,0)),"미등록자원"))</f>
        <v/>
      </c>
      <c r="D173" s="7"/>
      <c r="E173" s="12" t="str">
        <f aca="false">IF($D173="","",IFERROR(INDEX(고객목록!$B$3:$B$502,MATCH($D173,고객목록!$A$3:$A$502,0)),""))</f>
        <v/>
      </c>
      <c r="F173" s="13"/>
      <c r="G173" s="13"/>
      <c r="H173" s="14" t="str">
        <f aca="false">IF(OR($L173="",$M173=""),"",ROUND(($M173-$L173)/60,2))</f>
        <v/>
      </c>
      <c r="I173" s="9"/>
      <c r="J173" s="7"/>
      <c r="K173" s="7"/>
      <c r="L173" s="15" t="str">
        <f aca="false">IF($F173="","",IF($F173&lt;1,ROUND($F173*1440,0),INT($F173/100)*60+MOD($F173,100)))</f>
        <v/>
      </c>
      <c r="M173" s="15" t="str">
        <f aca="false">IF($G173="","",IF($G173&lt;1,ROUND($G173*1440,0),INT($G173/100)*60+MOD($G173,100)))</f>
        <v/>
      </c>
      <c r="N173" s="15" t="str">
        <f aca="false">IF(OR($A173="",$B173="",$L173="",$M173="",$J173="취소"),"",IF(SUMPRODUCT(($A$3:$A$2002=$A173)*($B$3:$B$2002=$B173)*($J$3:$J$2002&lt;&gt;"취소")*($L$3:$L$2002&lt;&gt;"")*($M$3:$M$2002&lt;&gt;"")*($L$3:$L$2002&lt;$M173)*($M$3:$M$2002&gt;$L173))&gt;1,"중복","-"))</f>
        <v/>
      </c>
    </row>
    <row r="174" customFormat="false" ht="15" hidden="false" customHeight="true" outlineLevel="0" collapsed="false">
      <c r="A174" s="11"/>
      <c r="B174" s="7"/>
      <c r="C174" s="12" t="str">
        <f aca="false">IF($B174="","",IFERROR(INDEX(자원목록!$B$3:$B$102,MATCH($B174,자원목록!$A$3:$A$102,0)),"미등록자원"))</f>
        <v/>
      </c>
      <c r="D174" s="7"/>
      <c r="E174" s="12" t="str">
        <f aca="false">IF($D174="","",IFERROR(INDEX(고객목록!$B$3:$B$502,MATCH($D174,고객목록!$A$3:$A$502,0)),""))</f>
        <v/>
      </c>
      <c r="F174" s="13"/>
      <c r="G174" s="13"/>
      <c r="H174" s="14" t="str">
        <f aca="false">IF(OR($L174="",$M174=""),"",ROUND(($M174-$L174)/60,2))</f>
        <v/>
      </c>
      <c r="I174" s="9"/>
      <c r="J174" s="7"/>
      <c r="K174" s="7"/>
      <c r="L174" s="15" t="str">
        <f aca="false">IF($F174="","",IF($F174&lt;1,ROUND($F174*1440,0),INT($F174/100)*60+MOD($F174,100)))</f>
        <v/>
      </c>
      <c r="M174" s="15" t="str">
        <f aca="false">IF($G174="","",IF($G174&lt;1,ROUND($G174*1440,0),INT($G174/100)*60+MOD($G174,100)))</f>
        <v/>
      </c>
      <c r="N174" s="15" t="str">
        <f aca="false">IF(OR($A174="",$B174="",$L174="",$M174="",$J174="취소"),"",IF(SUMPRODUCT(($A$3:$A$2002=$A174)*($B$3:$B$2002=$B174)*($J$3:$J$2002&lt;&gt;"취소")*($L$3:$L$2002&lt;&gt;"")*($M$3:$M$2002&lt;&gt;"")*($L$3:$L$2002&lt;$M174)*($M$3:$M$2002&gt;$L174))&gt;1,"중복","-"))</f>
        <v/>
      </c>
    </row>
    <row r="175" customFormat="false" ht="15" hidden="false" customHeight="true" outlineLevel="0" collapsed="false">
      <c r="A175" s="11"/>
      <c r="B175" s="7"/>
      <c r="C175" s="12" t="str">
        <f aca="false">IF($B175="","",IFERROR(INDEX(자원목록!$B$3:$B$102,MATCH($B175,자원목록!$A$3:$A$102,0)),"미등록자원"))</f>
        <v/>
      </c>
      <c r="D175" s="7"/>
      <c r="E175" s="12" t="str">
        <f aca="false">IF($D175="","",IFERROR(INDEX(고객목록!$B$3:$B$502,MATCH($D175,고객목록!$A$3:$A$502,0)),""))</f>
        <v/>
      </c>
      <c r="F175" s="13"/>
      <c r="G175" s="13"/>
      <c r="H175" s="14" t="str">
        <f aca="false">IF(OR($L175="",$M175=""),"",ROUND(($M175-$L175)/60,2))</f>
        <v/>
      </c>
      <c r="I175" s="9"/>
      <c r="J175" s="7"/>
      <c r="K175" s="7"/>
      <c r="L175" s="15" t="str">
        <f aca="false">IF($F175="","",IF($F175&lt;1,ROUND($F175*1440,0),INT($F175/100)*60+MOD($F175,100)))</f>
        <v/>
      </c>
      <c r="M175" s="15" t="str">
        <f aca="false">IF($G175="","",IF($G175&lt;1,ROUND($G175*1440,0),INT($G175/100)*60+MOD($G175,100)))</f>
        <v/>
      </c>
      <c r="N175" s="15" t="str">
        <f aca="false">IF(OR($A175="",$B175="",$L175="",$M175="",$J175="취소"),"",IF(SUMPRODUCT(($A$3:$A$2002=$A175)*($B$3:$B$2002=$B175)*($J$3:$J$2002&lt;&gt;"취소")*($L$3:$L$2002&lt;&gt;"")*($M$3:$M$2002&lt;&gt;"")*($L$3:$L$2002&lt;$M175)*($M$3:$M$2002&gt;$L175))&gt;1,"중복","-"))</f>
        <v/>
      </c>
    </row>
    <row r="176" customFormat="false" ht="15" hidden="false" customHeight="true" outlineLevel="0" collapsed="false">
      <c r="A176" s="11"/>
      <c r="B176" s="7"/>
      <c r="C176" s="12" t="str">
        <f aca="false">IF($B176="","",IFERROR(INDEX(자원목록!$B$3:$B$102,MATCH($B176,자원목록!$A$3:$A$102,0)),"미등록자원"))</f>
        <v/>
      </c>
      <c r="D176" s="7"/>
      <c r="E176" s="12" t="str">
        <f aca="false">IF($D176="","",IFERROR(INDEX(고객목록!$B$3:$B$502,MATCH($D176,고객목록!$A$3:$A$502,0)),""))</f>
        <v/>
      </c>
      <c r="F176" s="13"/>
      <c r="G176" s="13"/>
      <c r="H176" s="14" t="str">
        <f aca="false">IF(OR($L176="",$M176=""),"",ROUND(($M176-$L176)/60,2))</f>
        <v/>
      </c>
      <c r="I176" s="9"/>
      <c r="J176" s="7"/>
      <c r="K176" s="7"/>
      <c r="L176" s="15" t="str">
        <f aca="false">IF($F176="","",IF($F176&lt;1,ROUND($F176*1440,0),INT($F176/100)*60+MOD($F176,100)))</f>
        <v/>
      </c>
      <c r="M176" s="15" t="str">
        <f aca="false">IF($G176="","",IF($G176&lt;1,ROUND($G176*1440,0),INT($G176/100)*60+MOD($G176,100)))</f>
        <v/>
      </c>
      <c r="N176" s="15" t="str">
        <f aca="false">IF(OR($A176="",$B176="",$L176="",$M176="",$J176="취소"),"",IF(SUMPRODUCT(($A$3:$A$2002=$A176)*($B$3:$B$2002=$B176)*($J$3:$J$2002&lt;&gt;"취소")*($L$3:$L$2002&lt;&gt;"")*($M$3:$M$2002&lt;&gt;"")*($L$3:$L$2002&lt;$M176)*($M$3:$M$2002&gt;$L176))&gt;1,"중복","-"))</f>
        <v/>
      </c>
    </row>
    <row r="177" customFormat="false" ht="15" hidden="false" customHeight="true" outlineLevel="0" collapsed="false">
      <c r="A177" s="11"/>
      <c r="B177" s="7"/>
      <c r="C177" s="12" t="str">
        <f aca="false">IF($B177="","",IFERROR(INDEX(자원목록!$B$3:$B$102,MATCH($B177,자원목록!$A$3:$A$102,0)),"미등록자원"))</f>
        <v/>
      </c>
      <c r="D177" s="7"/>
      <c r="E177" s="12" t="str">
        <f aca="false">IF($D177="","",IFERROR(INDEX(고객목록!$B$3:$B$502,MATCH($D177,고객목록!$A$3:$A$502,0)),""))</f>
        <v/>
      </c>
      <c r="F177" s="13"/>
      <c r="G177" s="13"/>
      <c r="H177" s="14" t="str">
        <f aca="false">IF(OR($L177="",$M177=""),"",ROUND(($M177-$L177)/60,2))</f>
        <v/>
      </c>
      <c r="I177" s="9"/>
      <c r="J177" s="7"/>
      <c r="K177" s="7"/>
      <c r="L177" s="15" t="str">
        <f aca="false">IF($F177="","",IF($F177&lt;1,ROUND($F177*1440,0),INT($F177/100)*60+MOD($F177,100)))</f>
        <v/>
      </c>
      <c r="M177" s="15" t="str">
        <f aca="false">IF($G177="","",IF($G177&lt;1,ROUND($G177*1440,0),INT($G177/100)*60+MOD($G177,100)))</f>
        <v/>
      </c>
      <c r="N177" s="15" t="str">
        <f aca="false">IF(OR($A177="",$B177="",$L177="",$M177="",$J177="취소"),"",IF(SUMPRODUCT(($A$3:$A$2002=$A177)*($B$3:$B$2002=$B177)*($J$3:$J$2002&lt;&gt;"취소")*($L$3:$L$2002&lt;&gt;"")*($M$3:$M$2002&lt;&gt;"")*($L$3:$L$2002&lt;$M177)*($M$3:$M$2002&gt;$L177))&gt;1,"중복","-"))</f>
        <v/>
      </c>
    </row>
    <row r="178" customFormat="false" ht="15" hidden="false" customHeight="true" outlineLevel="0" collapsed="false">
      <c r="A178" s="11"/>
      <c r="B178" s="7"/>
      <c r="C178" s="12" t="str">
        <f aca="false">IF($B178="","",IFERROR(INDEX(자원목록!$B$3:$B$102,MATCH($B178,자원목록!$A$3:$A$102,0)),"미등록자원"))</f>
        <v/>
      </c>
      <c r="D178" s="7"/>
      <c r="E178" s="12" t="str">
        <f aca="false">IF($D178="","",IFERROR(INDEX(고객목록!$B$3:$B$502,MATCH($D178,고객목록!$A$3:$A$502,0)),""))</f>
        <v/>
      </c>
      <c r="F178" s="13"/>
      <c r="G178" s="13"/>
      <c r="H178" s="14" t="str">
        <f aca="false">IF(OR($L178="",$M178=""),"",ROUND(($M178-$L178)/60,2))</f>
        <v/>
      </c>
      <c r="I178" s="9"/>
      <c r="J178" s="7"/>
      <c r="K178" s="7"/>
      <c r="L178" s="15" t="str">
        <f aca="false">IF($F178="","",IF($F178&lt;1,ROUND($F178*1440,0),INT($F178/100)*60+MOD($F178,100)))</f>
        <v/>
      </c>
      <c r="M178" s="15" t="str">
        <f aca="false">IF($G178="","",IF($G178&lt;1,ROUND($G178*1440,0),INT($G178/100)*60+MOD($G178,100)))</f>
        <v/>
      </c>
      <c r="N178" s="15" t="str">
        <f aca="false">IF(OR($A178="",$B178="",$L178="",$M178="",$J178="취소"),"",IF(SUMPRODUCT(($A$3:$A$2002=$A178)*($B$3:$B$2002=$B178)*($J$3:$J$2002&lt;&gt;"취소")*($L$3:$L$2002&lt;&gt;"")*($M$3:$M$2002&lt;&gt;"")*($L$3:$L$2002&lt;$M178)*($M$3:$M$2002&gt;$L178))&gt;1,"중복","-"))</f>
        <v/>
      </c>
    </row>
    <row r="179" customFormat="false" ht="15" hidden="false" customHeight="true" outlineLevel="0" collapsed="false">
      <c r="A179" s="11"/>
      <c r="B179" s="7"/>
      <c r="C179" s="12" t="str">
        <f aca="false">IF($B179="","",IFERROR(INDEX(자원목록!$B$3:$B$102,MATCH($B179,자원목록!$A$3:$A$102,0)),"미등록자원"))</f>
        <v/>
      </c>
      <c r="D179" s="7"/>
      <c r="E179" s="12" t="str">
        <f aca="false">IF($D179="","",IFERROR(INDEX(고객목록!$B$3:$B$502,MATCH($D179,고객목록!$A$3:$A$502,0)),""))</f>
        <v/>
      </c>
      <c r="F179" s="13"/>
      <c r="G179" s="13"/>
      <c r="H179" s="14" t="str">
        <f aca="false">IF(OR($L179="",$M179=""),"",ROUND(($M179-$L179)/60,2))</f>
        <v/>
      </c>
      <c r="I179" s="9"/>
      <c r="J179" s="7"/>
      <c r="K179" s="7"/>
      <c r="L179" s="15" t="str">
        <f aca="false">IF($F179="","",IF($F179&lt;1,ROUND($F179*1440,0),INT($F179/100)*60+MOD($F179,100)))</f>
        <v/>
      </c>
      <c r="M179" s="15" t="str">
        <f aca="false">IF($G179="","",IF($G179&lt;1,ROUND($G179*1440,0),INT($G179/100)*60+MOD($G179,100)))</f>
        <v/>
      </c>
      <c r="N179" s="15" t="str">
        <f aca="false">IF(OR($A179="",$B179="",$L179="",$M179="",$J179="취소"),"",IF(SUMPRODUCT(($A$3:$A$2002=$A179)*($B$3:$B$2002=$B179)*($J$3:$J$2002&lt;&gt;"취소")*($L$3:$L$2002&lt;&gt;"")*($M$3:$M$2002&lt;&gt;"")*($L$3:$L$2002&lt;$M179)*($M$3:$M$2002&gt;$L179))&gt;1,"중복","-"))</f>
        <v/>
      </c>
    </row>
    <row r="180" customFormat="false" ht="15" hidden="false" customHeight="true" outlineLevel="0" collapsed="false">
      <c r="A180" s="11"/>
      <c r="B180" s="7"/>
      <c r="C180" s="12" t="str">
        <f aca="false">IF($B180="","",IFERROR(INDEX(자원목록!$B$3:$B$102,MATCH($B180,자원목록!$A$3:$A$102,0)),"미등록자원"))</f>
        <v/>
      </c>
      <c r="D180" s="7"/>
      <c r="E180" s="12" t="str">
        <f aca="false">IF($D180="","",IFERROR(INDEX(고객목록!$B$3:$B$502,MATCH($D180,고객목록!$A$3:$A$502,0)),""))</f>
        <v/>
      </c>
      <c r="F180" s="13"/>
      <c r="G180" s="13"/>
      <c r="H180" s="14" t="str">
        <f aca="false">IF(OR($L180="",$M180=""),"",ROUND(($M180-$L180)/60,2))</f>
        <v/>
      </c>
      <c r="I180" s="9"/>
      <c r="J180" s="7"/>
      <c r="K180" s="7"/>
      <c r="L180" s="15" t="str">
        <f aca="false">IF($F180="","",IF($F180&lt;1,ROUND($F180*1440,0),INT($F180/100)*60+MOD($F180,100)))</f>
        <v/>
      </c>
      <c r="M180" s="15" t="str">
        <f aca="false">IF($G180="","",IF($G180&lt;1,ROUND($G180*1440,0),INT($G180/100)*60+MOD($G180,100)))</f>
        <v/>
      </c>
      <c r="N180" s="15" t="str">
        <f aca="false">IF(OR($A180="",$B180="",$L180="",$M180="",$J180="취소"),"",IF(SUMPRODUCT(($A$3:$A$2002=$A180)*($B$3:$B$2002=$B180)*($J$3:$J$2002&lt;&gt;"취소")*($L$3:$L$2002&lt;&gt;"")*($M$3:$M$2002&lt;&gt;"")*($L$3:$L$2002&lt;$M180)*($M$3:$M$2002&gt;$L180))&gt;1,"중복","-"))</f>
        <v/>
      </c>
    </row>
    <row r="181" customFormat="false" ht="15" hidden="false" customHeight="true" outlineLevel="0" collapsed="false">
      <c r="A181" s="11"/>
      <c r="B181" s="7"/>
      <c r="C181" s="12" t="str">
        <f aca="false">IF($B181="","",IFERROR(INDEX(자원목록!$B$3:$B$102,MATCH($B181,자원목록!$A$3:$A$102,0)),"미등록자원"))</f>
        <v/>
      </c>
      <c r="D181" s="7"/>
      <c r="E181" s="12" t="str">
        <f aca="false">IF($D181="","",IFERROR(INDEX(고객목록!$B$3:$B$502,MATCH($D181,고객목록!$A$3:$A$502,0)),""))</f>
        <v/>
      </c>
      <c r="F181" s="13"/>
      <c r="G181" s="13"/>
      <c r="H181" s="14" t="str">
        <f aca="false">IF(OR($L181="",$M181=""),"",ROUND(($M181-$L181)/60,2))</f>
        <v/>
      </c>
      <c r="I181" s="9"/>
      <c r="J181" s="7"/>
      <c r="K181" s="7"/>
      <c r="L181" s="15" t="str">
        <f aca="false">IF($F181="","",IF($F181&lt;1,ROUND($F181*1440,0),INT($F181/100)*60+MOD($F181,100)))</f>
        <v/>
      </c>
      <c r="M181" s="15" t="str">
        <f aca="false">IF($G181="","",IF($G181&lt;1,ROUND($G181*1440,0),INT($G181/100)*60+MOD($G181,100)))</f>
        <v/>
      </c>
      <c r="N181" s="15" t="str">
        <f aca="false">IF(OR($A181="",$B181="",$L181="",$M181="",$J181="취소"),"",IF(SUMPRODUCT(($A$3:$A$2002=$A181)*($B$3:$B$2002=$B181)*($J$3:$J$2002&lt;&gt;"취소")*($L$3:$L$2002&lt;&gt;"")*($M$3:$M$2002&lt;&gt;"")*($L$3:$L$2002&lt;$M181)*($M$3:$M$2002&gt;$L181))&gt;1,"중복","-"))</f>
        <v/>
      </c>
    </row>
    <row r="182" customFormat="false" ht="15" hidden="false" customHeight="true" outlineLevel="0" collapsed="false">
      <c r="A182" s="11"/>
      <c r="B182" s="7"/>
      <c r="C182" s="12" t="str">
        <f aca="false">IF($B182="","",IFERROR(INDEX(자원목록!$B$3:$B$102,MATCH($B182,자원목록!$A$3:$A$102,0)),"미등록자원"))</f>
        <v/>
      </c>
      <c r="D182" s="7"/>
      <c r="E182" s="12" t="str">
        <f aca="false">IF($D182="","",IFERROR(INDEX(고객목록!$B$3:$B$502,MATCH($D182,고객목록!$A$3:$A$502,0)),""))</f>
        <v/>
      </c>
      <c r="F182" s="13"/>
      <c r="G182" s="13"/>
      <c r="H182" s="14" t="str">
        <f aca="false">IF(OR($L182="",$M182=""),"",ROUND(($M182-$L182)/60,2))</f>
        <v/>
      </c>
      <c r="I182" s="9"/>
      <c r="J182" s="7"/>
      <c r="K182" s="7"/>
      <c r="L182" s="15" t="str">
        <f aca="false">IF($F182="","",IF($F182&lt;1,ROUND($F182*1440,0),INT($F182/100)*60+MOD($F182,100)))</f>
        <v/>
      </c>
      <c r="M182" s="15" t="str">
        <f aca="false">IF($G182="","",IF($G182&lt;1,ROUND($G182*1440,0),INT($G182/100)*60+MOD($G182,100)))</f>
        <v/>
      </c>
      <c r="N182" s="15" t="str">
        <f aca="false">IF(OR($A182="",$B182="",$L182="",$M182="",$J182="취소"),"",IF(SUMPRODUCT(($A$3:$A$2002=$A182)*($B$3:$B$2002=$B182)*($J$3:$J$2002&lt;&gt;"취소")*($L$3:$L$2002&lt;&gt;"")*($M$3:$M$2002&lt;&gt;"")*($L$3:$L$2002&lt;$M182)*($M$3:$M$2002&gt;$L182))&gt;1,"중복","-"))</f>
        <v/>
      </c>
    </row>
    <row r="183" customFormat="false" ht="15" hidden="false" customHeight="true" outlineLevel="0" collapsed="false">
      <c r="A183" s="11"/>
      <c r="B183" s="7"/>
      <c r="C183" s="12" t="str">
        <f aca="false">IF($B183="","",IFERROR(INDEX(자원목록!$B$3:$B$102,MATCH($B183,자원목록!$A$3:$A$102,0)),"미등록자원"))</f>
        <v/>
      </c>
      <c r="D183" s="7"/>
      <c r="E183" s="12" t="str">
        <f aca="false">IF($D183="","",IFERROR(INDEX(고객목록!$B$3:$B$502,MATCH($D183,고객목록!$A$3:$A$502,0)),""))</f>
        <v/>
      </c>
      <c r="F183" s="13"/>
      <c r="G183" s="13"/>
      <c r="H183" s="14" t="str">
        <f aca="false">IF(OR($L183="",$M183=""),"",ROUND(($M183-$L183)/60,2))</f>
        <v/>
      </c>
      <c r="I183" s="9"/>
      <c r="J183" s="7"/>
      <c r="K183" s="7"/>
      <c r="L183" s="15" t="str">
        <f aca="false">IF($F183="","",IF($F183&lt;1,ROUND($F183*1440,0),INT($F183/100)*60+MOD($F183,100)))</f>
        <v/>
      </c>
      <c r="M183" s="15" t="str">
        <f aca="false">IF($G183="","",IF($G183&lt;1,ROUND($G183*1440,0),INT($G183/100)*60+MOD($G183,100)))</f>
        <v/>
      </c>
      <c r="N183" s="15" t="str">
        <f aca="false">IF(OR($A183="",$B183="",$L183="",$M183="",$J183="취소"),"",IF(SUMPRODUCT(($A$3:$A$2002=$A183)*($B$3:$B$2002=$B183)*($J$3:$J$2002&lt;&gt;"취소")*($L$3:$L$2002&lt;&gt;"")*($M$3:$M$2002&lt;&gt;"")*($L$3:$L$2002&lt;$M183)*($M$3:$M$2002&gt;$L183))&gt;1,"중복","-"))</f>
        <v/>
      </c>
    </row>
    <row r="184" customFormat="false" ht="15" hidden="false" customHeight="true" outlineLevel="0" collapsed="false">
      <c r="A184" s="11"/>
      <c r="B184" s="7"/>
      <c r="C184" s="12" t="str">
        <f aca="false">IF($B184="","",IFERROR(INDEX(자원목록!$B$3:$B$102,MATCH($B184,자원목록!$A$3:$A$102,0)),"미등록자원"))</f>
        <v/>
      </c>
      <c r="D184" s="7"/>
      <c r="E184" s="12" t="str">
        <f aca="false">IF($D184="","",IFERROR(INDEX(고객목록!$B$3:$B$502,MATCH($D184,고객목록!$A$3:$A$502,0)),""))</f>
        <v/>
      </c>
      <c r="F184" s="13"/>
      <c r="G184" s="13"/>
      <c r="H184" s="14" t="str">
        <f aca="false">IF(OR($L184="",$M184=""),"",ROUND(($M184-$L184)/60,2))</f>
        <v/>
      </c>
      <c r="I184" s="9"/>
      <c r="J184" s="7"/>
      <c r="K184" s="7"/>
      <c r="L184" s="15" t="str">
        <f aca="false">IF($F184="","",IF($F184&lt;1,ROUND($F184*1440,0),INT($F184/100)*60+MOD($F184,100)))</f>
        <v/>
      </c>
      <c r="M184" s="15" t="str">
        <f aca="false">IF($G184="","",IF($G184&lt;1,ROUND($G184*1440,0),INT($G184/100)*60+MOD($G184,100)))</f>
        <v/>
      </c>
      <c r="N184" s="15" t="str">
        <f aca="false">IF(OR($A184="",$B184="",$L184="",$M184="",$J184="취소"),"",IF(SUMPRODUCT(($A$3:$A$2002=$A184)*($B$3:$B$2002=$B184)*($J$3:$J$2002&lt;&gt;"취소")*($L$3:$L$2002&lt;&gt;"")*($M$3:$M$2002&lt;&gt;"")*($L$3:$L$2002&lt;$M184)*($M$3:$M$2002&gt;$L184))&gt;1,"중복","-"))</f>
        <v/>
      </c>
    </row>
    <row r="185" customFormat="false" ht="15" hidden="false" customHeight="true" outlineLevel="0" collapsed="false">
      <c r="A185" s="11"/>
      <c r="B185" s="7"/>
      <c r="C185" s="12" t="str">
        <f aca="false">IF($B185="","",IFERROR(INDEX(자원목록!$B$3:$B$102,MATCH($B185,자원목록!$A$3:$A$102,0)),"미등록자원"))</f>
        <v/>
      </c>
      <c r="D185" s="7"/>
      <c r="E185" s="12" t="str">
        <f aca="false">IF($D185="","",IFERROR(INDEX(고객목록!$B$3:$B$502,MATCH($D185,고객목록!$A$3:$A$502,0)),""))</f>
        <v/>
      </c>
      <c r="F185" s="13"/>
      <c r="G185" s="13"/>
      <c r="H185" s="14" t="str">
        <f aca="false">IF(OR($L185="",$M185=""),"",ROUND(($M185-$L185)/60,2))</f>
        <v/>
      </c>
      <c r="I185" s="9"/>
      <c r="J185" s="7"/>
      <c r="K185" s="7"/>
      <c r="L185" s="15" t="str">
        <f aca="false">IF($F185="","",IF($F185&lt;1,ROUND($F185*1440,0),INT($F185/100)*60+MOD($F185,100)))</f>
        <v/>
      </c>
      <c r="M185" s="15" t="str">
        <f aca="false">IF($G185="","",IF($G185&lt;1,ROUND($G185*1440,0),INT($G185/100)*60+MOD($G185,100)))</f>
        <v/>
      </c>
      <c r="N185" s="15" t="str">
        <f aca="false">IF(OR($A185="",$B185="",$L185="",$M185="",$J185="취소"),"",IF(SUMPRODUCT(($A$3:$A$2002=$A185)*($B$3:$B$2002=$B185)*($J$3:$J$2002&lt;&gt;"취소")*($L$3:$L$2002&lt;&gt;"")*($M$3:$M$2002&lt;&gt;"")*($L$3:$L$2002&lt;$M185)*($M$3:$M$2002&gt;$L185))&gt;1,"중복","-"))</f>
        <v/>
      </c>
    </row>
    <row r="186" customFormat="false" ht="15" hidden="false" customHeight="true" outlineLevel="0" collapsed="false">
      <c r="A186" s="11"/>
      <c r="B186" s="7"/>
      <c r="C186" s="12" t="str">
        <f aca="false">IF($B186="","",IFERROR(INDEX(자원목록!$B$3:$B$102,MATCH($B186,자원목록!$A$3:$A$102,0)),"미등록자원"))</f>
        <v/>
      </c>
      <c r="D186" s="7"/>
      <c r="E186" s="12" t="str">
        <f aca="false">IF($D186="","",IFERROR(INDEX(고객목록!$B$3:$B$502,MATCH($D186,고객목록!$A$3:$A$502,0)),""))</f>
        <v/>
      </c>
      <c r="F186" s="13"/>
      <c r="G186" s="13"/>
      <c r="H186" s="14" t="str">
        <f aca="false">IF(OR($L186="",$M186=""),"",ROUND(($M186-$L186)/60,2))</f>
        <v/>
      </c>
      <c r="I186" s="9"/>
      <c r="J186" s="7"/>
      <c r="K186" s="7"/>
      <c r="L186" s="15" t="str">
        <f aca="false">IF($F186="","",IF($F186&lt;1,ROUND($F186*1440,0),INT($F186/100)*60+MOD($F186,100)))</f>
        <v/>
      </c>
      <c r="M186" s="15" t="str">
        <f aca="false">IF($G186="","",IF($G186&lt;1,ROUND($G186*1440,0),INT($G186/100)*60+MOD($G186,100)))</f>
        <v/>
      </c>
      <c r="N186" s="15" t="str">
        <f aca="false">IF(OR($A186="",$B186="",$L186="",$M186="",$J186="취소"),"",IF(SUMPRODUCT(($A$3:$A$2002=$A186)*($B$3:$B$2002=$B186)*($J$3:$J$2002&lt;&gt;"취소")*($L$3:$L$2002&lt;&gt;"")*($M$3:$M$2002&lt;&gt;"")*($L$3:$L$2002&lt;$M186)*($M$3:$M$2002&gt;$L186))&gt;1,"중복","-"))</f>
        <v/>
      </c>
    </row>
    <row r="187" customFormat="false" ht="15" hidden="false" customHeight="true" outlineLevel="0" collapsed="false">
      <c r="A187" s="11"/>
      <c r="B187" s="7"/>
      <c r="C187" s="12" t="str">
        <f aca="false">IF($B187="","",IFERROR(INDEX(자원목록!$B$3:$B$102,MATCH($B187,자원목록!$A$3:$A$102,0)),"미등록자원"))</f>
        <v/>
      </c>
      <c r="D187" s="7"/>
      <c r="E187" s="12" t="str">
        <f aca="false">IF($D187="","",IFERROR(INDEX(고객목록!$B$3:$B$502,MATCH($D187,고객목록!$A$3:$A$502,0)),""))</f>
        <v/>
      </c>
      <c r="F187" s="13"/>
      <c r="G187" s="13"/>
      <c r="H187" s="14" t="str">
        <f aca="false">IF(OR($L187="",$M187=""),"",ROUND(($M187-$L187)/60,2))</f>
        <v/>
      </c>
      <c r="I187" s="9"/>
      <c r="J187" s="7"/>
      <c r="K187" s="7"/>
      <c r="L187" s="15" t="str">
        <f aca="false">IF($F187="","",IF($F187&lt;1,ROUND($F187*1440,0),INT($F187/100)*60+MOD($F187,100)))</f>
        <v/>
      </c>
      <c r="M187" s="15" t="str">
        <f aca="false">IF($G187="","",IF($G187&lt;1,ROUND($G187*1440,0),INT($G187/100)*60+MOD($G187,100)))</f>
        <v/>
      </c>
      <c r="N187" s="15" t="str">
        <f aca="false">IF(OR($A187="",$B187="",$L187="",$M187="",$J187="취소"),"",IF(SUMPRODUCT(($A$3:$A$2002=$A187)*($B$3:$B$2002=$B187)*($J$3:$J$2002&lt;&gt;"취소")*($L$3:$L$2002&lt;&gt;"")*($M$3:$M$2002&lt;&gt;"")*($L$3:$L$2002&lt;$M187)*($M$3:$M$2002&gt;$L187))&gt;1,"중복","-"))</f>
        <v/>
      </c>
    </row>
    <row r="188" customFormat="false" ht="15" hidden="false" customHeight="true" outlineLevel="0" collapsed="false">
      <c r="A188" s="11"/>
      <c r="B188" s="7"/>
      <c r="C188" s="12" t="str">
        <f aca="false">IF($B188="","",IFERROR(INDEX(자원목록!$B$3:$B$102,MATCH($B188,자원목록!$A$3:$A$102,0)),"미등록자원"))</f>
        <v/>
      </c>
      <c r="D188" s="7"/>
      <c r="E188" s="12" t="str">
        <f aca="false">IF($D188="","",IFERROR(INDEX(고객목록!$B$3:$B$502,MATCH($D188,고객목록!$A$3:$A$502,0)),""))</f>
        <v/>
      </c>
      <c r="F188" s="13"/>
      <c r="G188" s="13"/>
      <c r="H188" s="14" t="str">
        <f aca="false">IF(OR($L188="",$M188=""),"",ROUND(($M188-$L188)/60,2))</f>
        <v/>
      </c>
      <c r="I188" s="9"/>
      <c r="J188" s="7"/>
      <c r="K188" s="7"/>
      <c r="L188" s="15" t="str">
        <f aca="false">IF($F188="","",IF($F188&lt;1,ROUND($F188*1440,0),INT($F188/100)*60+MOD($F188,100)))</f>
        <v/>
      </c>
      <c r="M188" s="15" t="str">
        <f aca="false">IF($G188="","",IF($G188&lt;1,ROUND($G188*1440,0),INT($G188/100)*60+MOD($G188,100)))</f>
        <v/>
      </c>
      <c r="N188" s="15" t="str">
        <f aca="false">IF(OR($A188="",$B188="",$L188="",$M188="",$J188="취소"),"",IF(SUMPRODUCT(($A$3:$A$2002=$A188)*($B$3:$B$2002=$B188)*($J$3:$J$2002&lt;&gt;"취소")*($L$3:$L$2002&lt;&gt;"")*($M$3:$M$2002&lt;&gt;"")*($L$3:$L$2002&lt;$M188)*($M$3:$M$2002&gt;$L188))&gt;1,"중복","-"))</f>
        <v/>
      </c>
    </row>
    <row r="189" customFormat="false" ht="15" hidden="false" customHeight="true" outlineLevel="0" collapsed="false">
      <c r="A189" s="11"/>
      <c r="B189" s="7"/>
      <c r="C189" s="12" t="str">
        <f aca="false">IF($B189="","",IFERROR(INDEX(자원목록!$B$3:$B$102,MATCH($B189,자원목록!$A$3:$A$102,0)),"미등록자원"))</f>
        <v/>
      </c>
      <c r="D189" s="7"/>
      <c r="E189" s="12" t="str">
        <f aca="false">IF($D189="","",IFERROR(INDEX(고객목록!$B$3:$B$502,MATCH($D189,고객목록!$A$3:$A$502,0)),""))</f>
        <v/>
      </c>
      <c r="F189" s="13"/>
      <c r="G189" s="13"/>
      <c r="H189" s="14" t="str">
        <f aca="false">IF(OR($L189="",$M189=""),"",ROUND(($M189-$L189)/60,2))</f>
        <v/>
      </c>
      <c r="I189" s="9"/>
      <c r="J189" s="7"/>
      <c r="K189" s="7"/>
      <c r="L189" s="15" t="str">
        <f aca="false">IF($F189="","",IF($F189&lt;1,ROUND($F189*1440,0),INT($F189/100)*60+MOD($F189,100)))</f>
        <v/>
      </c>
      <c r="M189" s="15" t="str">
        <f aca="false">IF($G189="","",IF($G189&lt;1,ROUND($G189*1440,0),INT($G189/100)*60+MOD($G189,100)))</f>
        <v/>
      </c>
      <c r="N189" s="15" t="str">
        <f aca="false">IF(OR($A189="",$B189="",$L189="",$M189="",$J189="취소"),"",IF(SUMPRODUCT(($A$3:$A$2002=$A189)*($B$3:$B$2002=$B189)*($J$3:$J$2002&lt;&gt;"취소")*($L$3:$L$2002&lt;&gt;"")*($M$3:$M$2002&lt;&gt;"")*($L$3:$L$2002&lt;$M189)*($M$3:$M$2002&gt;$L189))&gt;1,"중복","-"))</f>
        <v/>
      </c>
    </row>
    <row r="190" customFormat="false" ht="15" hidden="false" customHeight="true" outlineLevel="0" collapsed="false">
      <c r="A190" s="11"/>
      <c r="B190" s="7"/>
      <c r="C190" s="12" t="str">
        <f aca="false">IF($B190="","",IFERROR(INDEX(자원목록!$B$3:$B$102,MATCH($B190,자원목록!$A$3:$A$102,0)),"미등록자원"))</f>
        <v/>
      </c>
      <c r="D190" s="7"/>
      <c r="E190" s="12" t="str">
        <f aca="false">IF($D190="","",IFERROR(INDEX(고객목록!$B$3:$B$502,MATCH($D190,고객목록!$A$3:$A$502,0)),""))</f>
        <v/>
      </c>
      <c r="F190" s="13"/>
      <c r="G190" s="13"/>
      <c r="H190" s="14" t="str">
        <f aca="false">IF(OR($L190="",$M190=""),"",ROUND(($M190-$L190)/60,2))</f>
        <v/>
      </c>
      <c r="I190" s="9"/>
      <c r="J190" s="7"/>
      <c r="K190" s="7"/>
      <c r="L190" s="15" t="str">
        <f aca="false">IF($F190="","",IF($F190&lt;1,ROUND($F190*1440,0),INT($F190/100)*60+MOD($F190,100)))</f>
        <v/>
      </c>
      <c r="M190" s="15" t="str">
        <f aca="false">IF($G190="","",IF($G190&lt;1,ROUND($G190*1440,0),INT($G190/100)*60+MOD($G190,100)))</f>
        <v/>
      </c>
      <c r="N190" s="15" t="str">
        <f aca="false">IF(OR($A190="",$B190="",$L190="",$M190="",$J190="취소"),"",IF(SUMPRODUCT(($A$3:$A$2002=$A190)*($B$3:$B$2002=$B190)*($J$3:$J$2002&lt;&gt;"취소")*($L$3:$L$2002&lt;&gt;"")*($M$3:$M$2002&lt;&gt;"")*($L$3:$L$2002&lt;$M190)*($M$3:$M$2002&gt;$L190))&gt;1,"중복","-"))</f>
        <v/>
      </c>
    </row>
    <row r="191" customFormat="false" ht="15" hidden="false" customHeight="true" outlineLevel="0" collapsed="false">
      <c r="A191" s="11"/>
      <c r="B191" s="7"/>
      <c r="C191" s="12" t="str">
        <f aca="false">IF($B191="","",IFERROR(INDEX(자원목록!$B$3:$B$102,MATCH($B191,자원목록!$A$3:$A$102,0)),"미등록자원"))</f>
        <v/>
      </c>
      <c r="D191" s="7"/>
      <c r="E191" s="12" t="str">
        <f aca="false">IF($D191="","",IFERROR(INDEX(고객목록!$B$3:$B$502,MATCH($D191,고객목록!$A$3:$A$502,0)),""))</f>
        <v/>
      </c>
      <c r="F191" s="13"/>
      <c r="G191" s="13"/>
      <c r="H191" s="14" t="str">
        <f aca="false">IF(OR($L191="",$M191=""),"",ROUND(($M191-$L191)/60,2))</f>
        <v/>
      </c>
      <c r="I191" s="9"/>
      <c r="J191" s="7"/>
      <c r="K191" s="7"/>
      <c r="L191" s="15" t="str">
        <f aca="false">IF($F191="","",IF($F191&lt;1,ROUND($F191*1440,0),INT($F191/100)*60+MOD($F191,100)))</f>
        <v/>
      </c>
      <c r="M191" s="15" t="str">
        <f aca="false">IF($G191="","",IF($G191&lt;1,ROUND($G191*1440,0),INT($G191/100)*60+MOD($G191,100)))</f>
        <v/>
      </c>
      <c r="N191" s="15" t="str">
        <f aca="false">IF(OR($A191="",$B191="",$L191="",$M191="",$J191="취소"),"",IF(SUMPRODUCT(($A$3:$A$2002=$A191)*($B$3:$B$2002=$B191)*($J$3:$J$2002&lt;&gt;"취소")*($L$3:$L$2002&lt;&gt;"")*($M$3:$M$2002&lt;&gt;"")*($L$3:$L$2002&lt;$M191)*($M$3:$M$2002&gt;$L191))&gt;1,"중복","-"))</f>
        <v/>
      </c>
    </row>
    <row r="192" customFormat="false" ht="15" hidden="false" customHeight="true" outlineLevel="0" collapsed="false">
      <c r="A192" s="11"/>
      <c r="B192" s="7"/>
      <c r="C192" s="12" t="str">
        <f aca="false">IF($B192="","",IFERROR(INDEX(자원목록!$B$3:$B$102,MATCH($B192,자원목록!$A$3:$A$102,0)),"미등록자원"))</f>
        <v/>
      </c>
      <c r="D192" s="7"/>
      <c r="E192" s="12" t="str">
        <f aca="false">IF($D192="","",IFERROR(INDEX(고객목록!$B$3:$B$502,MATCH($D192,고객목록!$A$3:$A$502,0)),""))</f>
        <v/>
      </c>
      <c r="F192" s="13"/>
      <c r="G192" s="13"/>
      <c r="H192" s="14" t="str">
        <f aca="false">IF(OR($L192="",$M192=""),"",ROUND(($M192-$L192)/60,2))</f>
        <v/>
      </c>
      <c r="I192" s="9"/>
      <c r="J192" s="7"/>
      <c r="K192" s="7"/>
      <c r="L192" s="15" t="str">
        <f aca="false">IF($F192="","",IF($F192&lt;1,ROUND($F192*1440,0),INT($F192/100)*60+MOD($F192,100)))</f>
        <v/>
      </c>
      <c r="M192" s="15" t="str">
        <f aca="false">IF($G192="","",IF($G192&lt;1,ROUND($G192*1440,0),INT($G192/100)*60+MOD($G192,100)))</f>
        <v/>
      </c>
      <c r="N192" s="15" t="str">
        <f aca="false">IF(OR($A192="",$B192="",$L192="",$M192="",$J192="취소"),"",IF(SUMPRODUCT(($A$3:$A$2002=$A192)*($B$3:$B$2002=$B192)*($J$3:$J$2002&lt;&gt;"취소")*($L$3:$L$2002&lt;&gt;"")*($M$3:$M$2002&lt;&gt;"")*($L$3:$L$2002&lt;$M192)*($M$3:$M$2002&gt;$L192))&gt;1,"중복","-"))</f>
        <v/>
      </c>
    </row>
    <row r="193" customFormat="false" ht="15" hidden="false" customHeight="true" outlineLevel="0" collapsed="false">
      <c r="A193" s="11"/>
      <c r="B193" s="7"/>
      <c r="C193" s="12" t="str">
        <f aca="false">IF($B193="","",IFERROR(INDEX(자원목록!$B$3:$B$102,MATCH($B193,자원목록!$A$3:$A$102,0)),"미등록자원"))</f>
        <v/>
      </c>
      <c r="D193" s="7"/>
      <c r="E193" s="12" t="str">
        <f aca="false">IF($D193="","",IFERROR(INDEX(고객목록!$B$3:$B$502,MATCH($D193,고객목록!$A$3:$A$502,0)),""))</f>
        <v/>
      </c>
      <c r="F193" s="13"/>
      <c r="G193" s="13"/>
      <c r="H193" s="14" t="str">
        <f aca="false">IF(OR($L193="",$M193=""),"",ROUND(($M193-$L193)/60,2))</f>
        <v/>
      </c>
      <c r="I193" s="9"/>
      <c r="J193" s="7"/>
      <c r="K193" s="7"/>
      <c r="L193" s="15" t="str">
        <f aca="false">IF($F193="","",IF($F193&lt;1,ROUND($F193*1440,0),INT($F193/100)*60+MOD($F193,100)))</f>
        <v/>
      </c>
      <c r="M193" s="15" t="str">
        <f aca="false">IF($G193="","",IF($G193&lt;1,ROUND($G193*1440,0),INT($G193/100)*60+MOD($G193,100)))</f>
        <v/>
      </c>
      <c r="N193" s="15" t="str">
        <f aca="false">IF(OR($A193="",$B193="",$L193="",$M193="",$J193="취소"),"",IF(SUMPRODUCT(($A$3:$A$2002=$A193)*($B$3:$B$2002=$B193)*($J$3:$J$2002&lt;&gt;"취소")*($L$3:$L$2002&lt;&gt;"")*($M$3:$M$2002&lt;&gt;"")*($L$3:$L$2002&lt;$M193)*($M$3:$M$2002&gt;$L193))&gt;1,"중복","-"))</f>
        <v/>
      </c>
    </row>
    <row r="194" customFormat="false" ht="15" hidden="false" customHeight="true" outlineLevel="0" collapsed="false">
      <c r="A194" s="11"/>
      <c r="B194" s="7"/>
      <c r="C194" s="12" t="str">
        <f aca="false">IF($B194="","",IFERROR(INDEX(자원목록!$B$3:$B$102,MATCH($B194,자원목록!$A$3:$A$102,0)),"미등록자원"))</f>
        <v/>
      </c>
      <c r="D194" s="7"/>
      <c r="E194" s="12" t="str">
        <f aca="false">IF($D194="","",IFERROR(INDEX(고객목록!$B$3:$B$502,MATCH($D194,고객목록!$A$3:$A$502,0)),""))</f>
        <v/>
      </c>
      <c r="F194" s="13"/>
      <c r="G194" s="13"/>
      <c r="H194" s="14" t="str">
        <f aca="false">IF(OR($L194="",$M194=""),"",ROUND(($M194-$L194)/60,2))</f>
        <v/>
      </c>
      <c r="I194" s="9"/>
      <c r="J194" s="7"/>
      <c r="K194" s="7"/>
      <c r="L194" s="15" t="str">
        <f aca="false">IF($F194="","",IF($F194&lt;1,ROUND($F194*1440,0),INT($F194/100)*60+MOD($F194,100)))</f>
        <v/>
      </c>
      <c r="M194" s="15" t="str">
        <f aca="false">IF($G194="","",IF($G194&lt;1,ROUND($G194*1440,0),INT($G194/100)*60+MOD($G194,100)))</f>
        <v/>
      </c>
      <c r="N194" s="15" t="str">
        <f aca="false">IF(OR($A194="",$B194="",$L194="",$M194="",$J194="취소"),"",IF(SUMPRODUCT(($A$3:$A$2002=$A194)*($B$3:$B$2002=$B194)*($J$3:$J$2002&lt;&gt;"취소")*($L$3:$L$2002&lt;&gt;"")*($M$3:$M$2002&lt;&gt;"")*($L$3:$L$2002&lt;$M194)*($M$3:$M$2002&gt;$L194))&gt;1,"중복","-"))</f>
        <v/>
      </c>
    </row>
    <row r="195" customFormat="false" ht="15" hidden="false" customHeight="true" outlineLevel="0" collapsed="false">
      <c r="A195" s="11"/>
      <c r="B195" s="7"/>
      <c r="C195" s="12" t="str">
        <f aca="false">IF($B195="","",IFERROR(INDEX(자원목록!$B$3:$B$102,MATCH($B195,자원목록!$A$3:$A$102,0)),"미등록자원"))</f>
        <v/>
      </c>
      <c r="D195" s="7"/>
      <c r="E195" s="12" t="str">
        <f aca="false">IF($D195="","",IFERROR(INDEX(고객목록!$B$3:$B$502,MATCH($D195,고객목록!$A$3:$A$502,0)),""))</f>
        <v/>
      </c>
      <c r="F195" s="13"/>
      <c r="G195" s="13"/>
      <c r="H195" s="14" t="str">
        <f aca="false">IF(OR($L195="",$M195=""),"",ROUND(($M195-$L195)/60,2))</f>
        <v/>
      </c>
      <c r="I195" s="9"/>
      <c r="J195" s="7"/>
      <c r="K195" s="7"/>
      <c r="L195" s="15" t="str">
        <f aca="false">IF($F195="","",IF($F195&lt;1,ROUND($F195*1440,0),INT($F195/100)*60+MOD($F195,100)))</f>
        <v/>
      </c>
      <c r="M195" s="15" t="str">
        <f aca="false">IF($G195="","",IF($G195&lt;1,ROUND($G195*1440,0),INT($G195/100)*60+MOD($G195,100)))</f>
        <v/>
      </c>
      <c r="N195" s="15" t="str">
        <f aca="false">IF(OR($A195="",$B195="",$L195="",$M195="",$J195="취소"),"",IF(SUMPRODUCT(($A$3:$A$2002=$A195)*($B$3:$B$2002=$B195)*($J$3:$J$2002&lt;&gt;"취소")*($L$3:$L$2002&lt;&gt;"")*($M$3:$M$2002&lt;&gt;"")*($L$3:$L$2002&lt;$M195)*($M$3:$M$2002&gt;$L195))&gt;1,"중복","-"))</f>
        <v/>
      </c>
    </row>
    <row r="196" customFormat="false" ht="15" hidden="false" customHeight="true" outlineLevel="0" collapsed="false">
      <c r="A196" s="11"/>
      <c r="B196" s="7"/>
      <c r="C196" s="12" t="str">
        <f aca="false">IF($B196="","",IFERROR(INDEX(자원목록!$B$3:$B$102,MATCH($B196,자원목록!$A$3:$A$102,0)),"미등록자원"))</f>
        <v/>
      </c>
      <c r="D196" s="7"/>
      <c r="E196" s="12" t="str">
        <f aca="false">IF($D196="","",IFERROR(INDEX(고객목록!$B$3:$B$502,MATCH($D196,고객목록!$A$3:$A$502,0)),""))</f>
        <v/>
      </c>
      <c r="F196" s="13"/>
      <c r="G196" s="13"/>
      <c r="H196" s="14" t="str">
        <f aca="false">IF(OR($L196="",$M196=""),"",ROUND(($M196-$L196)/60,2))</f>
        <v/>
      </c>
      <c r="I196" s="9"/>
      <c r="J196" s="7"/>
      <c r="K196" s="7"/>
      <c r="L196" s="15" t="str">
        <f aca="false">IF($F196="","",IF($F196&lt;1,ROUND($F196*1440,0),INT($F196/100)*60+MOD($F196,100)))</f>
        <v/>
      </c>
      <c r="M196" s="15" t="str">
        <f aca="false">IF($G196="","",IF($G196&lt;1,ROUND($G196*1440,0),INT($G196/100)*60+MOD($G196,100)))</f>
        <v/>
      </c>
      <c r="N196" s="15" t="str">
        <f aca="false">IF(OR($A196="",$B196="",$L196="",$M196="",$J196="취소"),"",IF(SUMPRODUCT(($A$3:$A$2002=$A196)*($B$3:$B$2002=$B196)*($J$3:$J$2002&lt;&gt;"취소")*($L$3:$L$2002&lt;&gt;"")*($M$3:$M$2002&lt;&gt;"")*($L$3:$L$2002&lt;$M196)*($M$3:$M$2002&gt;$L196))&gt;1,"중복","-"))</f>
        <v/>
      </c>
    </row>
    <row r="197" customFormat="false" ht="15" hidden="false" customHeight="true" outlineLevel="0" collapsed="false">
      <c r="A197" s="11"/>
      <c r="B197" s="7"/>
      <c r="C197" s="12" t="str">
        <f aca="false">IF($B197="","",IFERROR(INDEX(자원목록!$B$3:$B$102,MATCH($B197,자원목록!$A$3:$A$102,0)),"미등록자원"))</f>
        <v/>
      </c>
      <c r="D197" s="7"/>
      <c r="E197" s="12" t="str">
        <f aca="false">IF($D197="","",IFERROR(INDEX(고객목록!$B$3:$B$502,MATCH($D197,고객목록!$A$3:$A$502,0)),""))</f>
        <v/>
      </c>
      <c r="F197" s="13"/>
      <c r="G197" s="13"/>
      <c r="H197" s="14" t="str">
        <f aca="false">IF(OR($L197="",$M197=""),"",ROUND(($M197-$L197)/60,2))</f>
        <v/>
      </c>
      <c r="I197" s="9"/>
      <c r="J197" s="7"/>
      <c r="K197" s="7"/>
      <c r="L197" s="15" t="str">
        <f aca="false">IF($F197="","",IF($F197&lt;1,ROUND($F197*1440,0),INT($F197/100)*60+MOD($F197,100)))</f>
        <v/>
      </c>
      <c r="M197" s="15" t="str">
        <f aca="false">IF($G197="","",IF($G197&lt;1,ROUND($G197*1440,0),INT($G197/100)*60+MOD($G197,100)))</f>
        <v/>
      </c>
      <c r="N197" s="15" t="str">
        <f aca="false">IF(OR($A197="",$B197="",$L197="",$M197="",$J197="취소"),"",IF(SUMPRODUCT(($A$3:$A$2002=$A197)*($B$3:$B$2002=$B197)*($J$3:$J$2002&lt;&gt;"취소")*($L$3:$L$2002&lt;&gt;"")*($M$3:$M$2002&lt;&gt;"")*($L$3:$L$2002&lt;$M197)*($M$3:$M$2002&gt;$L197))&gt;1,"중복","-"))</f>
        <v/>
      </c>
    </row>
    <row r="198" customFormat="false" ht="15" hidden="false" customHeight="true" outlineLevel="0" collapsed="false">
      <c r="A198" s="11"/>
      <c r="B198" s="7"/>
      <c r="C198" s="12" t="str">
        <f aca="false">IF($B198="","",IFERROR(INDEX(자원목록!$B$3:$B$102,MATCH($B198,자원목록!$A$3:$A$102,0)),"미등록자원"))</f>
        <v/>
      </c>
      <c r="D198" s="7"/>
      <c r="E198" s="12" t="str">
        <f aca="false">IF($D198="","",IFERROR(INDEX(고객목록!$B$3:$B$502,MATCH($D198,고객목록!$A$3:$A$502,0)),""))</f>
        <v/>
      </c>
      <c r="F198" s="13"/>
      <c r="G198" s="13"/>
      <c r="H198" s="14" t="str">
        <f aca="false">IF(OR($L198="",$M198=""),"",ROUND(($M198-$L198)/60,2))</f>
        <v/>
      </c>
      <c r="I198" s="9"/>
      <c r="J198" s="7"/>
      <c r="K198" s="7"/>
      <c r="L198" s="15" t="str">
        <f aca="false">IF($F198="","",IF($F198&lt;1,ROUND($F198*1440,0),INT($F198/100)*60+MOD($F198,100)))</f>
        <v/>
      </c>
      <c r="M198" s="15" t="str">
        <f aca="false">IF($G198="","",IF($G198&lt;1,ROUND($G198*1440,0),INT($G198/100)*60+MOD($G198,100)))</f>
        <v/>
      </c>
      <c r="N198" s="15" t="str">
        <f aca="false">IF(OR($A198="",$B198="",$L198="",$M198="",$J198="취소"),"",IF(SUMPRODUCT(($A$3:$A$2002=$A198)*($B$3:$B$2002=$B198)*($J$3:$J$2002&lt;&gt;"취소")*($L$3:$L$2002&lt;&gt;"")*($M$3:$M$2002&lt;&gt;"")*($L$3:$L$2002&lt;$M198)*($M$3:$M$2002&gt;$L198))&gt;1,"중복","-"))</f>
        <v/>
      </c>
    </row>
    <row r="199" customFormat="false" ht="15" hidden="false" customHeight="true" outlineLevel="0" collapsed="false">
      <c r="A199" s="11"/>
      <c r="B199" s="7"/>
      <c r="C199" s="12" t="str">
        <f aca="false">IF($B199="","",IFERROR(INDEX(자원목록!$B$3:$B$102,MATCH($B199,자원목록!$A$3:$A$102,0)),"미등록자원"))</f>
        <v/>
      </c>
      <c r="D199" s="7"/>
      <c r="E199" s="12" t="str">
        <f aca="false">IF($D199="","",IFERROR(INDEX(고객목록!$B$3:$B$502,MATCH($D199,고객목록!$A$3:$A$502,0)),""))</f>
        <v/>
      </c>
      <c r="F199" s="13"/>
      <c r="G199" s="13"/>
      <c r="H199" s="14" t="str">
        <f aca="false">IF(OR($L199="",$M199=""),"",ROUND(($M199-$L199)/60,2))</f>
        <v/>
      </c>
      <c r="I199" s="9"/>
      <c r="J199" s="7"/>
      <c r="K199" s="7"/>
      <c r="L199" s="15" t="str">
        <f aca="false">IF($F199="","",IF($F199&lt;1,ROUND($F199*1440,0),INT($F199/100)*60+MOD($F199,100)))</f>
        <v/>
      </c>
      <c r="M199" s="15" t="str">
        <f aca="false">IF($G199="","",IF($G199&lt;1,ROUND($G199*1440,0),INT($G199/100)*60+MOD($G199,100)))</f>
        <v/>
      </c>
      <c r="N199" s="15" t="str">
        <f aca="false">IF(OR($A199="",$B199="",$L199="",$M199="",$J199="취소"),"",IF(SUMPRODUCT(($A$3:$A$2002=$A199)*($B$3:$B$2002=$B199)*($J$3:$J$2002&lt;&gt;"취소")*($L$3:$L$2002&lt;&gt;"")*($M$3:$M$2002&lt;&gt;"")*($L$3:$L$2002&lt;$M199)*($M$3:$M$2002&gt;$L199))&gt;1,"중복","-"))</f>
        <v/>
      </c>
    </row>
    <row r="200" customFormat="false" ht="15" hidden="false" customHeight="true" outlineLevel="0" collapsed="false">
      <c r="A200" s="11"/>
      <c r="B200" s="7"/>
      <c r="C200" s="12" t="str">
        <f aca="false">IF($B200="","",IFERROR(INDEX(자원목록!$B$3:$B$102,MATCH($B200,자원목록!$A$3:$A$102,0)),"미등록자원"))</f>
        <v/>
      </c>
      <c r="D200" s="7"/>
      <c r="E200" s="12" t="str">
        <f aca="false">IF($D200="","",IFERROR(INDEX(고객목록!$B$3:$B$502,MATCH($D200,고객목록!$A$3:$A$502,0)),""))</f>
        <v/>
      </c>
      <c r="F200" s="13"/>
      <c r="G200" s="13"/>
      <c r="H200" s="14" t="str">
        <f aca="false">IF(OR($L200="",$M200=""),"",ROUND(($M200-$L200)/60,2))</f>
        <v/>
      </c>
      <c r="I200" s="9"/>
      <c r="J200" s="7"/>
      <c r="K200" s="7"/>
      <c r="L200" s="15" t="str">
        <f aca="false">IF($F200="","",IF($F200&lt;1,ROUND($F200*1440,0),INT($F200/100)*60+MOD($F200,100)))</f>
        <v/>
      </c>
      <c r="M200" s="15" t="str">
        <f aca="false">IF($G200="","",IF($G200&lt;1,ROUND($G200*1440,0),INT($G200/100)*60+MOD($G200,100)))</f>
        <v/>
      </c>
      <c r="N200" s="15" t="str">
        <f aca="false">IF(OR($A200="",$B200="",$L200="",$M200="",$J200="취소"),"",IF(SUMPRODUCT(($A$3:$A$2002=$A200)*($B$3:$B$2002=$B200)*($J$3:$J$2002&lt;&gt;"취소")*($L$3:$L$2002&lt;&gt;"")*($M$3:$M$2002&lt;&gt;"")*($L$3:$L$2002&lt;$M200)*($M$3:$M$2002&gt;$L200))&gt;1,"중복","-"))</f>
        <v/>
      </c>
    </row>
    <row r="201" customFormat="false" ht="15" hidden="false" customHeight="true" outlineLevel="0" collapsed="false">
      <c r="A201" s="11"/>
      <c r="B201" s="7"/>
      <c r="C201" s="12" t="str">
        <f aca="false">IF($B201="","",IFERROR(INDEX(자원목록!$B$3:$B$102,MATCH($B201,자원목록!$A$3:$A$102,0)),"미등록자원"))</f>
        <v/>
      </c>
      <c r="D201" s="7"/>
      <c r="E201" s="12" t="str">
        <f aca="false">IF($D201="","",IFERROR(INDEX(고객목록!$B$3:$B$502,MATCH($D201,고객목록!$A$3:$A$502,0)),""))</f>
        <v/>
      </c>
      <c r="F201" s="13"/>
      <c r="G201" s="13"/>
      <c r="H201" s="14" t="str">
        <f aca="false">IF(OR($L201="",$M201=""),"",ROUND(($M201-$L201)/60,2))</f>
        <v/>
      </c>
      <c r="I201" s="9"/>
      <c r="J201" s="7"/>
      <c r="K201" s="7"/>
      <c r="L201" s="15" t="str">
        <f aca="false">IF($F201="","",IF($F201&lt;1,ROUND($F201*1440,0),INT($F201/100)*60+MOD($F201,100)))</f>
        <v/>
      </c>
      <c r="M201" s="15" t="str">
        <f aca="false">IF($G201="","",IF($G201&lt;1,ROUND($G201*1440,0),INT($G201/100)*60+MOD($G201,100)))</f>
        <v/>
      </c>
      <c r="N201" s="15" t="str">
        <f aca="false">IF(OR($A201="",$B201="",$L201="",$M201="",$J201="취소"),"",IF(SUMPRODUCT(($A$3:$A$2002=$A201)*($B$3:$B$2002=$B201)*($J$3:$J$2002&lt;&gt;"취소")*($L$3:$L$2002&lt;&gt;"")*($M$3:$M$2002&lt;&gt;"")*($L$3:$L$2002&lt;$M201)*($M$3:$M$2002&gt;$L201))&gt;1,"중복","-"))</f>
        <v/>
      </c>
    </row>
    <row r="202" customFormat="false" ht="15" hidden="false" customHeight="true" outlineLevel="0" collapsed="false">
      <c r="A202" s="11"/>
      <c r="B202" s="7"/>
      <c r="C202" s="12" t="str">
        <f aca="false">IF($B202="","",IFERROR(INDEX(자원목록!$B$3:$B$102,MATCH($B202,자원목록!$A$3:$A$102,0)),"미등록자원"))</f>
        <v/>
      </c>
      <c r="D202" s="7"/>
      <c r="E202" s="12" t="str">
        <f aca="false">IF($D202="","",IFERROR(INDEX(고객목록!$B$3:$B$502,MATCH($D202,고객목록!$A$3:$A$502,0)),""))</f>
        <v/>
      </c>
      <c r="F202" s="13"/>
      <c r="G202" s="13"/>
      <c r="H202" s="14" t="str">
        <f aca="false">IF(OR($L202="",$M202=""),"",ROUND(($M202-$L202)/60,2))</f>
        <v/>
      </c>
      <c r="I202" s="9"/>
      <c r="J202" s="7"/>
      <c r="K202" s="7"/>
      <c r="L202" s="15" t="str">
        <f aca="false">IF($F202="","",IF($F202&lt;1,ROUND($F202*1440,0),INT($F202/100)*60+MOD($F202,100)))</f>
        <v/>
      </c>
      <c r="M202" s="15" t="str">
        <f aca="false">IF($G202="","",IF($G202&lt;1,ROUND($G202*1440,0),INT($G202/100)*60+MOD($G202,100)))</f>
        <v/>
      </c>
      <c r="N202" s="15" t="str">
        <f aca="false">IF(OR($A202="",$B202="",$L202="",$M202="",$J202="취소"),"",IF(SUMPRODUCT(($A$3:$A$2002=$A202)*($B$3:$B$2002=$B202)*($J$3:$J$2002&lt;&gt;"취소")*($L$3:$L$2002&lt;&gt;"")*($M$3:$M$2002&lt;&gt;"")*($L$3:$L$2002&lt;$M202)*($M$3:$M$2002&gt;$L202))&gt;1,"중복","-"))</f>
        <v/>
      </c>
    </row>
    <row r="203" customFormat="false" ht="15" hidden="false" customHeight="true" outlineLevel="0" collapsed="false">
      <c r="A203" s="11"/>
      <c r="B203" s="7"/>
      <c r="C203" s="12" t="str">
        <f aca="false">IF($B203="","",IFERROR(INDEX(자원목록!$B$3:$B$102,MATCH($B203,자원목록!$A$3:$A$102,0)),"미등록자원"))</f>
        <v/>
      </c>
      <c r="D203" s="7"/>
      <c r="E203" s="12" t="str">
        <f aca="false">IF($D203="","",IFERROR(INDEX(고객목록!$B$3:$B$502,MATCH($D203,고객목록!$A$3:$A$502,0)),""))</f>
        <v/>
      </c>
      <c r="F203" s="13"/>
      <c r="G203" s="13"/>
      <c r="H203" s="14" t="str">
        <f aca="false">IF(OR($L203="",$M203=""),"",ROUND(($M203-$L203)/60,2))</f>
        <v/>
      </c>
      <c r="I203" s="9"/>
      <c r="J203" s="7"/>
      <c r="K203" s="7"/>
      <c r="L203" s="15" t="str">
        <f aca="false">IF($F203="","",IF($F203&lt;1,ROUND($F203*1440,0),INT($F203/100)*60+MOD($F203,100)))</f>
        <v/>
      </c>
      <c r="M203" s="15" t="str">
        <f aca="false">IF($G203="","",IF($G203&lt;1,ROUND($G203*1440,0),INT($G203/100)*60+MOD($G203,100)))</f>
        <v/>
      </c>
      <c r="N203" s="15" t="str">
        <f aca="false">IF(OR($A203="",$B203="",$L203="",$M203="",$J203="취소"),"",IF(SUMPRODUCT(($A$3:$A$2002=$A203)*($B$3:$B$2002=$B203)*($J$3:$J$2002&lt;&gt;"취소")*($L$3:$L$2002&lt;&gt;"")*($M$3:$M$2002&lt;&gt;"")*($L$3:$L$2002&lt;$M203)*($M$3:$M$2002&gt;$L203))&gt;1,"중복","-"))</f>
        <v/>
      </c>
    </row>
    <row r="204" customFormat="false" ht="15" hidden="false" customHeight="true" outlineLevel="0" collapsed="false">
      <c r="A204" s="11"/>
      <c r="B204" s="7"/>
      <c r="C204" s="12" t="str">
        <f aca="false">IF($B204="","",IFERROR(INDEX(자원목록!$B$3:$B$102,MATCH($B204,자원목록!$A$3:$A$102,0)),"미등록자원"))</f>
        <v/>
      </c>
      <c r="D204" s="7"/>
      <c r="E204" s="12" t="str">
        <f aca="false">IF($D204="","",IFERROR(INDEX(고객목록!$B$3:$B$502,MATCH($D204,고객목록!$A$3:$A$502,0)),""))</f>
        <v/>
      </c>
      <c r="F204" s="13"/>
      <c r="G204" s="13"/>
      <c r="H204" s="14" t="str">
        <f aca="false">IF(OR($L204="",$M204=""),"",ROUND(($M204-$L204)/60,2))</f>
        <v/>
      </c>
      <c r="I204" s="9"/>
      <c r="J204" s="7"/>
      <c r="K204" s="7"/>
      <c r="L204" s="15" t="str">
        <f aca="false">IF($F204="","",IF($F204&lt;1,ROUND($F204*1440,0),INT($F204/100)*60+MOD($F204,100)))</f>
        <v/>
      </c>
      <c r="M204" s="15" t="str">
        <f aca="false">IF($G204="","",IF($G204&lt;1,ROUND($G204*1440,0),INT($G204/100)*60+MOD($G204,100)))</f>
        <v/>
      </c>
      <c r="N204" s="15" t="str">
        <f aca="false">IF(OR($A204="",$B204="",$L204="",$M204="",$J204="취소"),"",IF(SUMPRODUCT(($A$3:$A$2002=$A204)*($B$3:$B$2002=$B204)*($J$3:$J$2002&lt;&gt;"취소")*($L$3:$L$2002&lt;&gt;"")*($M$3:$M$2002&lt;&gt;"")*($L$3:$L$2002&lt;$M204)*($M$3:$M$2002&gt;$L204))&gt;1,"중복","-"))</f>
        <v/>
      </c>
    </row>
    <row r="205" customFormat="false" ht="15" hidden="false" customHeight="true" outlineLevel="0" collapsed="false">
      <c r="A205" s="11"/>
      <c r="B205" s="7"/>
      <c r="C205" s="12" t="str">
        <f aca="false">IF($B205="","",IFERROR(INDEX(자원목록!$B$3:$B$102,MATCH($B205,자원목록!$A$3:$A$102,0)),"미등록자원"))</f>
        <v/>
      </c>
      <c r="D205" s="7"/>
      <c r="E205" s="12" t="str">
        <f aca="false">IF($D205="","",IFERROR(INDEX(고객목록!$B$3:$B$502,MATCH($D205,고객목록!$A$3:$A$502,0)),""))</f>
        <v/>
      </c>
      <c r="F205" s="13"/>
      <c r="G205" s="13"/>
      <c r="H205" s="14" t="str">
        <f aca="false">IF(OR($L205="",$M205=""),"",ROUND(($M205-$L205)/60,2))</f>
        <v/>
      </c>
      <c r="I205" s="9"/>
      <c r="J205" s="7"/>
      <c r="K205" s="7"/>
      <c r="L205" s="15" t="str">
        <f aca="false">IF($F205="","",IF($F205&lt;1,ROUND($F205*1440,0),INT($F205/100)*60+MOD($F205,100)))</f>
        <v/>
      </c>
      <c r="M205" s="15" t="str">
        <f aca="false">IF($G205="","",IF($G205&lt;1,ROUND($G205*1440,0),INT($G205/100)*60+MOD($G205,100)))</f>
        <v/>
      </c>
      <c r="N205" s="15" t="str">
        <f aca="false">IF(OR($A205="",$B205="",$L205="",$M205="",$J205="취소"),"",IF(SUMPRODUCT(($A$3:$A$2002=$A205)*($B$3:$B$2002=$B205)*($J$3:$J$2002&lt;&gt;"취소")*($L$3:$L$2002&lt;&gt;"")*($M$3:$M$2002&lt;&gt;"")*($L$3:$L$2002&lt;$M205)*($M$3:$M$2002&gt;$L205))&gt;1,"중복","-"))</f>
        <v/>
      </c>
    </row>
    <row r="206" customFormat="false" ht="15" hidden="false" customHeight="true" outlineLevel="0" collapsed="false">
      <c r="A206" s="11"/>
      <c r="B206" s="7"/>
      <c r="C206" s="12" t="str">
        <f aca="false">IF($B206="","",IFERROR(INDEX(자원목록!$B$3:$B$102,MATCH($B206,자원목록!$A$3:$A$102,0)),"미등록자원"))</f>
        <v/>
      </c>
      <c r="D206" s="7"/>
      <c r="E206" s="12" t="str">
        <f aca="false">IF($D206="","",IFERROR(INDEX(고객목록!$B$3:$B$502,MATCH($D206,고객목록!$A$3:$A$502,0)),""))</f>
        <v/>
      </c>
      <c r="F206" s="13"/>
      <c r="G206" s="13"/>
      <c r="H206" s="14" t="str">
        <f aca="false">IF(OR($L206="",$M206=""),"",ROUND(($M206-$L206)/60,2))</f>
        <v/>
      </c>
      <c r="I206" s="9"/>
      <c r="J206" s="7"/>
      <c r="K206" s="7"/>
      <c r="L206" s="15" t="str">
        <f aca="false">IF($F206="","",IF($F206&lt;1,ROUND($F206*1440,0),INT($F206/100)*60+MOD($F206,100)))</f>
        <v/>
      </c>
      <c r="M206" s="15" t="str">
        <f aca="false">IF($G206="","",IF($G206&lt;1,ROUND($G206*1440,0),INT($G206/100)*60+MOD($G206,100)))</f>
        <v/>
      </c>
      <c r="N206" s="15" t="str">
        <f aca="false">IF(OR($A206="",$B206="",$L206="",$M206="",$J206="취소"),"",IF(SUMPRODUCT(($A$3:$A$2002=$A206)*($B$3:$B$2002=$B206)*($J$3:$J$2002&lt;&gt;"취소")*($L$3:$L$2002&lt;&gt;"")*($M$3:$M$2002&lt;&gt;"")*($L$3:$L$2002&lt;$M206)*($M$3:$M$2002&gt;$L206))&gt;1,"중복","-"))</f>
        <v/>
      </c>
    </row>
    <row r="207" customFormat="false" ht="15" hidden="false" customHeight="true" outlineLevel="0" collapsed="false">
      <c r="A207" s="11"/>
      <c r="B207" s="7"/>
      <c r="C207" s="12" t="str">
        <f aca="false">IF($B207="","",IFERROR(INDEX(자원목록!$B$3:$B$102,MATCH($B207,자원목록!$A$3:$A$102,0)),"미등록자원"))</f>
        <v/>
      </c>
      <c r="D207" s="7"/>
      <c r="E207" s="12" t="str">
        <f aca="false">IF($D207="","",IFERROR(INDEX(고객목록!$B$3:$B$502,MATCH($D207,고객목록!$A$3:$A$502,0)),""))</f>
        <v/>
      </c>
      <c r="F207" s="13"/>
      <c r="G207" s="13"/>
      <c r="H207" s="14" t="str">
        <f aca="false">IF(OR($L207="",$M207=""),"",ROUND(($M207-$L207)/60,2))</f>
        <v/>
      </c>
      <c r="I207" s="9"/>
      <c r="J207" s="7"/>
      <c r="K207" s="7"/>
      <c r="L207" s="15" t="str">
        <f aca="false">IF($F207="","",IF($F207&lt;1,ROUND($F207*1440,0),INT($F207/100)*60+MOD($F207,100)))</f>
        <v/>
      </c>
      <c r="M207" s="15" t="str">
        <f aca="false">IF($G207="","",IF($G207&lt;1,ROUND($G207*1440,0),INT($G207/100)*60+MOD($G207,100)))</f>
        <v/>
      </c>
      <c r="N207" s="15" t="str">
        <f aca="false">IF(OR($A207="",$B207="",$L207="",$M207="",$J207="취소"),"",IF(SUMPRODUCT(($A$3:$A$2002=$A207)*($B$3:$B$2002=$B207)*($J$3:$J$2002&lt;&gt;"취소")*($L$3:$L$2002&lt;&gt;"")*($M$3:$M$2002&lt;&gt;"")*($L$3:$L$2002&lt;$M207)*($M$3:$M$2002&gt;$L207))&gt;1,"중복","-"))</f>
        <v/>
      </c>
    </row>
    <row r="208" customFormat="false" ht="15" hidden="false" customHeight="true" outlineLevel="0" collapsed="false">
      <c r="A208" s="11"/>
      <c r="B208" s="7"/>
      <c r="C208" s="12" t="str">
        <f aca="false">IF($B208="","",IFERROR(INDEX(자원목록!$B$3:$B$102,MATCH($B208,자원목록!$A$3:$A$102,0)),"미등록자원"))</f>
        <v/>
      </c>
      <c r="D208" s="7"/>
      <c r="E208" s="12" t="str">
        <f aca="false">IF($D208="","",IFERROR(INDEX(고객목록!$B$3:$B$502,MATCH($D208,고객목록!$A$3:$A$502,0)),""))</f>
        <v/>
      </c>
      <c r="F208" s="13"/>
      <c r="G208" s="13"/>
      <c r="H208" s="14" t="str">
        <f aca="false">IF(OR($L208="",$M208=""),"",ROUND(($M208-$L208)/60,2))</f>
        <v/>
      </c>
      <c r="I208" s="9"/>
      <c r="J208" s="7"/>
      <c r="K208" s="7"/>
      <c r="L208" s="15" t="str">
        <f aca="false">IF($F208="","",IF($F208&lt;1,ROUND($F208*1440,0),INT($F208/100)*60+MOD($F208,100)))</f>
        <v/>
      </c>
      <c r="M208" s="15" t="str">
        <f aca="false">IF($G208="","",IF($G208&lt;1,ROUND($G208*1440,0),INT($G208/100)*60+MOD($G208,100)))</f>
        <v/>
      </c>
      <c r="N208" s="15" t="str">
        <f aca="false">IF(OR($A208="",$B208="",$L208="",$M208="",$J208="취소"),"",IF(SUMPRODUCT(($A$3:$A$2002=$A208)*($B$3:$B$2002=$B208)*($J$3:$J$2002&lt;&gt;"취소")*($L$3:$L$2002&lt;&gt;"")*($M$3:$M$2002&lt;&gt;"")*($L$3:$L$2002&lt;$M208)*($M$3:$M$2002&gt;$L208))&gt;1,"중복","-"))</f>
        <v/>
      </c>
    </row>
    <row r="209" customFormat="false" ht="15" hidden="false" customHeight="true" outlineLevel="0" collapsed="false">
      <c r="A209" s="11"/>
      <c r="B209" s="7"/>
      <c r="C209" s="12" t="str">
        <f aca="false">IF($B209="","",IFERROR(INDEX(자원목록!$B$3:$B$102,MATCH($B209,자원목록!$A$3:$A$102,0)),"미등록자원"))</f>
        <v/>
      </c>
      <c r="D209" s="7"/>
      <c r="E209" s="12" t="str">
        <f aca="false">IF($D209="","",IFERROR(INDEX(고객목록!$B$3:$B$502,MATCH($D209,고객목록!$A$3:$A$502,0)),""))</f>
        <v/>
      </c>
      <c r="F209" s="13"/>
      <c r="G209" s="13"/>
      <c r="H209" s="14" t="str">
        <f aca="false">IF(OR($L209="",$M209=""),"",ROUND(($M209-$L209)/60,2))</f>
        <v/>
      </c>
      <c r="I209" s="9"/>
      <c r="J209" s="7"/>
      <c r="K209" s="7"/>
      <c r="L209" s="15" t="str">
        <f aca="false">IF($F209="","",IF($F209&lt;1,ROUND($F209*1440,0),INT($F209/100)*60+MOD($F209,100)))</f>
        <v/>
      </c>
      <c r="M209" s="15" t="str">
        <f aca="false">IF($G209="","",IF($G209&lt;1,ROUND($G209*1440,0),INT($G209/100)*60+MOD($G209,100)))</f>
        <v/>
      </c>
      <c r="N209" s="15" t="str">
        <f aca="false">IF(OR($A209="",$B209="",$L209="",$M209="",$J209="취소"),"",IF(SUMPRODUCT(($A$3:$A$2002=$A209)*($B$3:$B$2002=$B209)*($J$3:$J$2002&lt;&gt;"취소")*($L$3:$L$2002&lt;&gt;"")*($M$3:$M$2002&lt;&gt;"")*($L$3:$L$2002&lt;$M209)*($M$3:$M$2002&gt;$L209))&gt;1,"중복","-"))</f>
        <v/>
      </c>
    </row>
    <row r="210" customFormat="false" ht="15" hidden="false" customHeight="true" outlineLevel="0" collapsed="false">
      <c r="A210" s="11"/>
      <c r="B210" s="7"/>
      <c r="C210" s="12" t="str">
        <f aca="false">IF($B210="","",IFERROR(INDEX(자원목록!$B$3:$B$102,MATCH($B210,자원목록!$A$3:$A$102,0)),"미등록자원"))</f>
        <v/>
      </c>
      <c r="D210" s="7"/>
      <c r="E210" s="12" t="str">
        <f aca="false">IF($D210="","",IFERROR(INDEX(고객목록!$B$3:$B$502,MATCH($D210,고객목록!$A$3:$A$502,0)),""))</f>
        <v/>
      </c>
      <c r="F210" s="13"/>
      <c r="G210" s="13"/>
      <c r="H210" s="14" t="str">
        <f aca="false">IF(OR($L210="",$M210=""),"",ROUND(($M210-$L210)/60,2))</f>
        <v/>
      </c>
      <c r="I210" s="9"/>
      <c r="J210" s="7"/>
      <c r="K210" s="7"/>
      <c r="L210" s="15" t="str">
        <f aca="false">IF($F210="","",IF($F210&lt;1,ROUND($F210*1440,0),INT($F210/100)*60+MOD($F210,100)))</f>
        <v/>
      </c>
      <c r="M210" s="15" t="str">
        <f aca="false">IF($G210="","",IF($G210&lt;1,ROUND($G210*1440,0),INT($G210/100)*60+MOD($G210,100)))</f>
        <v/>
      </c>
      <c r="N210" s="15" t="str">
        <f aca="false">IF(OR($A210="",$B210="",$L210="",$M210="",$J210="취소"),"",IF(SUMPRODUCT(($A$3:$A$2002=$A210)*($B$3:$B$2002=$B210)*($J$3:$J$2002&lt;&gt;"취소")*($L$3:$L$2002&lt;&gt;"")*($M$3:$M$2002&lt;&gt;"")*($L$3:$L$2002&lt;$M210)*($M$3:$M$2002&gt;$L210))&gt;1,"중복","-"))</f>
        <v/>
      </c>
    </row>
    <row r="211" customFormat="false" ht="15" hidden="false" customHeight="true" outlineLevel="0" collapsed="false">
      <c r="A211" s="11"/>
      <c r="B211" s="7"/>
      <c r="C211" s="12" t="str">
        <f aca="false">IF($B211="","",IFERROR(INDEX(자원목록!$B$3:$B$102,MATCH($B211,자원목록!$A$3:$A$102,0)),"미등록자원"))</f>
        <v/>
      </c>
      <c r="D211" s="7"/>
      <c r="E211" s="12" t="str">
        <f aca="false">IF($D211="","",IFERROR(INDEX(고객목록!$B$3:$B$502,MATCH($D211,고객목록!$A$3:$A$502,0)),""))</f>
        <v/>
      </c>
      <c r="F211" s="13"/>
      <c r="G211" s="13"/>
      <c r="H211" s="14" t="str">
        <f aca="false">IF(OR($L211="",$M211=""),"",ROUND(($M211-$L211)/60,2))</f>
        <v/>
      </c>
      <c r="I211" s="9"/>
      <c r="J211" s="7"/>
      <c r="K211" s="7"/>
      <c r="L211" s="15" t="str">
        <f aca="false">IF($F211="","",IF($F211&lt;1,ROUND($F211*1440,0),INT($F211/100)*60+MOD($F211,100)))</f>
        <v/>
      </c>
      <c r="M211" s="15" t="str">
        <f aca="false">IF($G211="","",IF($G211&lt;1,ROUND($G211*1440,0),INT($G211/100)*60+MOD($G211,100)))</f>
        <v/>
      </c>
      <c r="N211" s="15" t="str">
        <f aca="false">IF(OR($A211="",$B211="",$L211="",$M211="",$J211="취소"),"",IF(SUMPRODUCT(($A$3:$A$2002=$A211)*($B$3:$B$2002=$B211)*($J$3:$J$2002&lt;&gt;"취소")*($L$3:$L$2002&lt;&gt;"")*($M$3:$M$2002&lt;&gt;"")*($L$3:$L$2002&lt;$M211)*($M$3:$M$2002&gt;$L211))&gt;1,"중복","-"))</f>
        <v/>
      </c>
    </row>
    <row r="212" customFormat="false" ht="15" hidden="false" customHeight="true" outlineLevel="0" collapsed="false">
      <c r="A212" s="11"/>
      <c r="B212" s="7"/>
      <c r="C212" s="12" t="str">
        <f aca="false">IF($B212="","",IFERROR(INDEX(자원목록!$B$3:$B$102,MATCH($B212,자원목록!$A$3:$A$102,0)),"미등록자원"))</f>
        <v/>
      </c>
      <c r="D212" s="7"/>
      <c r="E212" s="12" t="str">
        <f aca="false">IF($D212="","",IFERROR(INDEX(고객목록!$B$3:$B$502,MATCH($D212,고객목록!$A$3:$A$502,0)),""))</f>
        <v/>
      </c>
      <c r="F212" s="13"/>
      <c r="G212" s="13"/>
      <c r="H212" s="14" t="str">
        <f aca="false">IF(OR($L212="",$M212=""),"",ROUND(($M212-$L212)/60,2))</f>
        <v/>
      </c>
      <c r="I212" s="9"/>
      <c r="J212" s="7"/>
      <c r="K212" s="7"/>
      <c r="L212" s="15" t="str">
        <f aca="false">IF($F212="","",IF($F212&lt;1,ROUND($F212*1440,0),INT($F212/100)*60+MOD($F212,100)))</f>
        <v/>
      </c>
      <c r="M212" s="15" t="str">
        <f aca="false">IF($G212="","",IF($G212&lt;1,ROUND($G212*1440,0),INT($G212/100)*60+MOD($G212,100)))</f>
        <v/>
      </c>
      <c r="N212" s="15" t="str">
        <f aca="false">IF(OR($A212="",$B212="",$L212="",$M212="",$J212="취소"),"",IF(SUMPRODUCT(($A$3:$A$2002=$A212)*($B$3:$B$2002=$B212)*($J$3:$J$2002&lt;&gt;"취소")*($L$3:$L$2002&lt;&gt;"")*($M$3:$M$2002&lt;&gt;"")*($L$3:$L$2002&lt;$M212)*($M$3:$M$2002&gt;$L212))&gt;1,"중복","-"))</f>
        <v/>
      </c>
    </row>
    <row r="213" customFormat="false" ht="15" hidden="false" customHeight="true" outlineLevel="0" collapsed="false">
      <c r="A213" s="11"/>
      <c r="B213" s="7"/>
      <c r="C213" s="12" t="str">
        <f aca="false">IF($B213="","",IFERROR(INDEX(자원목록!$B$3:$B$102,MATCH($B213,자원목록!$A$3:$A$102,0)),"미등록자원"))</f>
        <v/>
      </c>
      <c r="D213" s="7"/>
      <c r="E213" s="12" t="str">
        <f aca="false">IF($D213="","",IFERROR(INDEX(고객목록!$B$3:$B$502,MATCH($D213,고객목록!$A$3:$A$502,0)),""))</f>
        <v/>
      </c>
      <c r="F213" s="13"/>
      <c r="G213" s="13"/>
      <c r="H213" s="14" t="str">
        <f aca="false">IF(OR($L213="",$M213=""),"",ROUND(($M213-$L213)/60,2))</f>
        <v/>
      </c>
      <c r="I213" s="9"/>
      <c r="J213" s="7"/>
      <c r="K213" s="7"/>
      <c r="L213" s="15" t="str">
        <f aca="false">IF($F213="","",IF($F213&lt;1,ROUND($F213*1440,0),INT($F213/100)*60+MOD($F213,100)))</f>
        <v/>
      </c>
      <c r="M213" s="15" t="str">
        <f aca="false">IF($G213="","",IF($G213&lt;1,ROUND($G213*1440,0),INT($G213/100)*60+MOD($G213,100)))</f>
        <v/>
      </c>
      <c r="N213" s="15" t="str">
        <f aca="false">IF(OR($A213="",$B213="",$L213="",$M213="",$J213="취소"),"",IF(SUMPRODUCT(($A$3:$A$2002=$A213)*($B$3:$B$2002=$B213)*($J$3:$J$2002&lt;&gt;"취소")*($L$3:$L$2002&lt;&gt;"")*($M$3:$M$2002&lt;&gt;"")*($L$3:$L$2002&lt;$M213)*($M$3:$M$2002&gt;$L213))&gt;1,"중복","-"))</f>
        <v/>
      </c>
    </row>
    <row r="214" customFormat="false" ht="15" hidden="false" customHeight="true" outlineLevel="0" collapsed="false">
      <c r="A214" s="11"/>
      <c r="B214" s="7"/>
      <c r="C214" s="12" t="str">
        <f aca="false">IF($B214="","",IFERROR(INDEX(자원목록!$B$3:$B$102,MATCH($B214,자원목록!$A$3:$A$102,0)),"미등록자원"))</f>
        <v/>
      </c>
      <c r="D214" s="7"/>
      <c r="E214" s="12" t="str">
        <f aca="false">IF($D214="","",IFERROR(INDEX(고객목록!$B$3:$B$502,MATCH($D214,고객목록!$A$3:$A$502,0)),""))</f>
        <v/>
      </c>
      <c r="F214" s="13"/>
      <c r="G214" s="13"/>
      <c r="H214" s="14" t="str">
        <f aca="false">IF(OR($L214="",$M214=""),"",ROUND(($M214-$L214)/60,2))</f>
        <v/>
      </c>
      <c r="I214" s="9"/>
      <c r="J214" s="7"/>
      <c r="K214" s="7"/>
      <c r="L214" s="15" t="str">
        <f aca="false">IF($F214="","",IF($F214&lt;1,ROUND($F214*1440,0),INT($F214/100)*60+MOD($F214,100)))</f>
        <v/>
      </c>
      <c r="M214" s="15" t="str">
        <f aca="false">IF($G214="","",IF($G214&lt;1,ROUND($G214*1440,0),INT($G214/100)*60+MOD($G214,100)))</f>
        <v/>
      </c>
      <c r="N214" s="15" t="str">
        <f aca="false">IF(OR($A214="",$B214="",$L214="",$M214="",$J214="취소"),"",IF(SUMPRODUCT(($A$3:$A$2002=$A214)*($B$3:$B$2002=$B214)*($J$3:$J$2002&lt;&gt;"취소")*($L$3:$L$2002&lt;&gt;"")*($M$3:$M$2002&lt;&gt;"")*($L$3:$L$2002&lt;$M214)*($M$3:$M$2002&gt;$L214))&gt;1,"중복","-"))</f>
        <v/>
      </c>
    </row>
    <row r="215" customFormat="false" ht="15" hidden="false" customHeight="true" outlineLevel="0" collapsed="false">
      <c r="A215" s="11"/>
      <c r="B215" s="7"/>
      <c r="C215" s="12" t="str">
        <f aca="false">IF($B215="","",IFERROR(INDEX(자원목록!$B$3:$B$102,MATCH($B215,자원목록!$A$3:$A$102,0)),"미등록자원"))</f>
        <v/>
      </c>
      <c r="D215" s="7"/>
      <c r="E215" s="12" t="str">
        <f aca="false">IF($D215="","",IFERROR(INDEX(고객목록!$B$3:$B$502,MATCH($D215,고객목록!$A$3:$A$502,0)),""))</f>
        <v/>
      </c>
      <c r="F215" s="13"/>
      <c r="G215" s="13"/>
      <c r="H215" s="14" t="str">
        <f aca="false">IF(OR($L215="",$M215=""),"",ROUND(($M215-$L215)/60,2))</f>
        <v/>
      </c>
      <c r="I215" s="9"/>
      <c r="J215" s="7"/>
      <c r="K215" s="7"/>
      <c r="L215" s="15" t="str">
        <f aca="false">IF($F215="","",IF($F215&lt;1,ROUND($F215*1440,0),INT($F215/100)*60+MOD($F215,100)))</f>
        <v/>
      </c>
      <c r="M215" s="15" t="str">
        <f aca="false">IF($G215="","",IF($G215&lt;1,ROUND($G215*1440,0),INT($G215/100)*60+MOD($G215,100)))</f>
        <v/>
      </c>
      <c r="N215" s="15" t="str">
        <f aca="false">IF(OR($A215="",$B215="",$L215="",$M215="",$J215="취소"),"",IF(SUMPRODUCT(($A$3:$A$2002=$A215)*($B$3:$B$2002=$B215)*($J$3:$J$2002&lt;&gt;"취소")*($L$3:$L$2002&lt;&gt;"")*($M$3:$M$2002&lt;&gt;"")*($L$3:$L$2002&lt;$M215)*($M$3:$M$2002&gt;$L215))&gt;1,"중복","-"))</f>
        <v/>
      </c>
    </row>
    <row r="216" customFormat="false" ht="15" hidden="false" customHeight="true" outlineLevel="0" collapsed="false">
      <c r="A216" s="11"/>
      <c r="B216" s="7"/>
      <c r="C216" s="12" t="str">
        <f aca="false">IF($B216="","",IFERROR(INDEX(자원목록!$B$3:$B$102,MATCH($B216,자원목록!$A$3:$A$102,0)),"미등록자원"))</f>
        <v/>
      </c>
      <c r="D216" s="7"/>
      <c r="E216" s="12" t="str">
        <f aca="false">IF($D216="","",IFERROR(INDEX(고객목록!$B$3:$B$502,MATCH($D216,고객목록!$A$3:$A$502,0)),""))</f>
        <v/>
      </c>
      <c r="F216" s="13"/>
      <c r="G216" s="13"/>
      <c r="H216" s="14" t="str">
        <f aca="false">IF(OR($L216="",$M216=""),"",ROUND(($M216-$L216)/60,2))</f>
        <v/>
      </c>
      <c r="I216" s="9"/>
      <c r="J216" s="7"/>
      <c r="K216" s="7"/>
      <c r="L216" s="15" t="str">
        <f aca="false">IF($F216="","",IF($F216&lt;1,ROUND($F216*1440,0),INT($F216/100)*60+MOD($F216,100)))</f>
        <v/>
      </c>
      <c r="M216" s="15" t="str">
        <f aca="false">IF($G216="","",IF($G216&lt;1,ROUND($G216*1440,0),INT($G216/100)*60+MOD($G216,100)))</f>
        <v/>
      </c>
      <c r="N216" s="15" t="str">
        <f aca="false">IF(OR($A216="",$B216="",$L216="",$M216="",$J216="취소"),"",IF(SUMPRODUCT(($A$3:$A$2002=$A216)*($B$3:$B$2002=$B216)*($J$3:$J$2002&lt;&gt;"취소")*($L$3:$L$2002&lt;&gt;"")*($M$3:$M$2002&lt;&gt;"")*($L$3:$L$2002&lt;$M216)*($M$3:$M$2002&gt;$L216))&gt;1,"중복","-"))</f>
        <v/>
      </c>
    </row>
    <row r="217" customFormat="false" ht="15" hidden="false" customHeight="true" outlineLevel="0" collapsed="false">
      <c r="A217" s="11"/>
      <c r="B217" s="7"/>
      <c r="C217" s="12" t="str">
        <f aca="false">IF($B217="","",IFERROR(INDEX(자원목록!$B$3:$B$102,MATCH($B217,자원목록!$A$3:$A$102,0)),"미등록자원"))</f>
        <v/>
      </c>
      <c r="D217" s="7"/>
      <c r="E217" s="12" t="str">
        <f aca="false">IF($D217="","",IFERROR(INDEX(고객목록!$B$3:$B$502,MATCH($D217,고객목록!$A$3:$A$502,0)),""))</f>
        <v/>
      </c>
      <c r="F217" s="13"/>
      <c r="G217" s="13"/>
      <c r="H217" s="14" t="str">
        <f aca="false">IF(OR($L217="",$M217=""),"",ROUND(($M217-$L217)/60,2))</f>
        <v/>
      </c>
      <c r="I217" s="9"/>
      <c r="J217" s="7"/>
      <c r="K217" s="7"/>
      <c r="L217" s="15" t="str">
        <f aca="false">IF($F217="","",IF($F217&lt;1,ROUND($F217*1440,0),INT($F217/100)*60+MOD($F217,100)))</f>
        <v/>
      </c>
      <c r="M217" s="15" t="str">
        <f aca="false">IF($G217="","",IF($G217&lt;1,ROUND($G217*1440,0),INT($G217/100)*60+MOD($G217,100)))</f>
        <v/>
      </c>
      <c r="N217" s="15" t="str">
        <f aca="false">IF(OR($A217="",$B217="",$L217="",$M217="",$J217="취소"),"",IF(SUMPRODUCT(($A$3:$A$2002=$A217)*($B$3:$B$2002=$B217)*($J$3:$J$2002&lt;&gt;"취소")*($L$3:$L$2002&lt;&gt;"")*($M$3:$M$2002&lt;&gt;"")*($L$3:$L$2002&lt;$M217)*($M$3:$M$2002&gt;$L217))&gt;1,"중복","-"))</f>
        <v/>
      </c>
    </row>
    <row r="218" customFormat="false" ht="15" hidden="false" customHeight="true" outlineLevel="0" collapsed="false">
      <c r="A218" s="11"/>
      <c r="B218" s="7"/>
      <c r="C218" s="12" t="str">
        <f aca="false">IF($B218="","",IFERROR(INDEX(자원목록!$B$3:$B$102,MATCH($B218,자원목록!$A$3:$A$102,0)),"미등록자원"))</f>
        <v/>
      </c>
      <c r="D218" s="7"/>
      <c r="E218" s="12" t="str">
        <f aca="false">IF($D218="","",IFERROR(INDEX(고객목록!$B$3:$B$502,MATCH($D218,고객목록!$A$3:$A$502,0)),""))</f>
        <v/>
      </c>
      <c r="F218" s="13"/>
      <c r="G218" s="13"/>
      <c r="H218" s="14" t="str">
        <f aca="false">IF(OR($L218="",$M218=""),"",ROUND(($M218-$L218)/60,2))</f>
        <v/>
      </c>
      <c r="I218" s="9"/>
      <c r="J218" s="7"/>
      <c r="K218" s="7"/>
      <c r="L218" s="15" t="str">
        <f aca="false">IF($F218="","",IF($F218&lt;1,ROUND($F218*1440,0),INT($F218/100)*60+MOD($F218,100)))</f>
        <v/>
      </c>
      <c r="M218" s="15" t="str">
        <f aca="false">IF($G218="","",IF($G218&lt;1,ROUND($G218*1440,0),INT($G218/100)*60+MOD($G218,100)))</f>
        <v/>
      </c>
      <c r="N218" s="15" t="str">
        <f aca="false">IF(OR($A218="",$B218="",$L218="",$M218="",$J218="취소"),"",IF(SUMPRODUCT(($A$3:$A$2002=$A218)*($B$3:$B$2002=$B218)*($J$3:$J$2002&lt;&gt;"취소")*($L$3:$L$2002&lt;&gt;"")*($M$3:$M$2002&lt;&gt;"")*($L$3:$L$2002&lt;$M218)*($M$3:$M$2002&gt;$L218))&gt;1,"중복","-"))</f>
        <v/>
      </c>
    </row>
    <row r="219" customFormat="false" ht="15" hidden="false" customHeight="true" outlineLevel="0" collapsed="false">
      <c r="A219" s="11"/>
      <c r="B219" s="7"/>
      <c r="C219" s="12" t="str">
        <f aca="false">IF($B219="","",IFERROR(INDEX(자원목록!$B$3:$B$102,MATCH($B219,자원목록!$A$3:$A$102,0)),"미등록자원"))</f>
        <v/>
      </c>
      <c r="D219" s="7"/>
      <c r="E219" s="12" t="str">
        <f aca="false">IF($D219="","",IFERROR(INDEX(고객목록!$B$3:$B$502,MATCH($D219,고객목록!$A$3:$A$502,0)),""))</f>
        <v/>
      </c>
      <c r="F219" s="13"/>
      <c r="G219" s="13"/>
      <c r="H219" s="14" t="str">
        <f aca="false">IF(OR($L219="",$M219=""),"",ROUND(($M219-$L219)/60,2))</f>
        <v/>
      </c>
      <c r="I219" s="9"/>
      <c r="J219" s="7"/>
      <c r="K219" s="7"/>
      <c r="L219" s="15" t="str">
        <f aca="false">IF($F219="","",IF($F219&lt;1,ROUND($F219*1440,0),INT($F219/100)*60+MOD($F219,100)))</f>
        <v/>
      </c>
      <c r="M219" s="15" t="str">
        <f aca="false">IF($G219="","",IF($G219&lt;1,ROUND($G219*1440,0),INT($G219/100)*60+MOD($G219,100)))</f>
        <v/>
      </c>
      <c r="N219" s="15" t="str">
        <f aca="false">IF(OR($A219="",$B219="",$L219="",$M219="",$J219="취소"),"",IF(SUMPRODUCT(($A$3:$A$2002=$A219)*($B$3:$B$2002=$B219)*($J$3:$J$2002&lt;&gt;"취소")*($L$3:$L$2002&lt;&gt;"")*($M$3:$M$2002&lt;&gt;"")*($L$3:$L$2002&lt;$M219)*($M$3:$M$2002&gt;$L219))&gt;1,"중복","-"))</f>
        <v/>
      </c>
    </row>
    <row r="220" customFormat="false" ht="15" hidden="false" customHeight="true" outlineLevel="0" collapsed="false">
      <c r="A220" s="11"/>
      <c r="B220" s="7"/>
      <c r="C220" s="12" t="str">
        <f aca="false">IF($B220="","",IFERROR(INDEX(자원목록!$B$3:$B$102,MATCH($B220,자원목록!$A$3:$A$102,0)),"미등록자원"))</f>
        <v/>
      </c>
      <c r="D220" s="7"/>
      <c r="E220" s="12" t="str">
        <f aca="false">IF($D220="","",IFERROR(INDEX(고객목록!$B$3:$B$502,MATCH($D220,고객목록!$A$3:$A$502,0)),""))</f>
        <v/>
      </c>
      <c r="F220" s="13"/>
      <c r="G220" s="13"/>
      <c r="H220" s="14" t="str">
        <f aca="false">IF(OR($L220="",$M220=""),"",ROUND(($M220-$L220)/60,2))</f>
        <v/>
      </c>
      <c r="I220" s="9"/>
      <c r="J220" s="7"/>
      <c r="K220" s="7"/>
      <c r="L220" s="15" t="str">
        <f aca="false">IF($F220="","",IF($F220&lt;1,ROUND($F220*1440,0),INT($F220/100)*60+MOD($F220,100)))</f>
        <v/>
      </c>
      <c r="M220" s="15" t="str">
        <f aca="false">IF($G220="","",IF($G220&lt;1,ROUND($G220*1440,0),INT($G220/100)*60+MOD($G220,100)))</f>
        <v/>
      </c>
      <c r="N220" s="15" t="str">
        <f aca="false">IF(OR($A220="",$B220="",$L220="",$M220="",$J220="취소"),"",IF(SUMPRODUCT(($A$3:$A$2002=$A220)*($B$3:$B$2002=$B220)*($J$3:$J$2002&lt;&gt;"취소")*($L$3:$L$2002&lt;&gt;"")*($M$3:$M$2002&lt;&gt;"")*($L$3:$L$2002&lt;$M220)*($M$3:$M$2002&gt;$L220))&gt;1,"중복","-"))</f>
        <v/>
      </c>
    </row>
    <row r="221" customFormat="false" ht="15" hidden="false" customHeight="true" outlineLevel="0" collapsed="false">
      <c r="A221" s="11"/>
      <c r="B221" s="7"/>
      <c r="C221" s="12" t="str">
        <f aca="false">IF($B221="","",IFERROR(INDEX(자원목록!$B$3:$B$102,MATCH($B221,자원목록!$A$3:$A$102,0)),"미등록자원"))</f>
        <v/>
      </c>
      <c r="D221" s="7"/>
      <c r="E221" s="12" t="str">
        <f aca="false">IF($D221="","",IFERROR(INDEX(고객목록!$B$3:$B$502,MATCH($D221,고객목록!$A$3:$A$502,0)),""))</f>
        <v/>
      </c>
      <c r="F221" s="13"/>
      <c r="G221" s="13"/>
      <c r="H221" s="14" t="str">
        <f aca="false">IF(OR($L221="",$M221=""),"",ROUND(($M221-$L221)/60,2))</f>
        <v/>
      </c>
      <c r="I221" s="9"/>
      <c r="J221" s="7"/>
      <c r="K221" s="7"/>
      <c r="L221" s="15" t="str">
        <f aca="false">IF($F221="","",IF($F221&lt;1,ROUND($F221*1440,0),INT($F221/100)*60+MOD($F221,100)))</f>
        <v/>
      </c>
      <c r="M221" s="15" t="str">
        <f aca="false">IF($G221="","",IF($G221&lt;1,ROUND($G221*1440,0),INT($G221/100)*60+MOD($G221,100)))</f>
        <v/>
      </c>
      <c r="N221" s="15" t="str">
        <f aca="false">IF(OR($A221="",$B221="",$L221="",$M221="",$J221="취소"),"",IF(SUMPRODUCT(($A$3:$A$2002=$A221)*($B$3:$B$2002=$B221)*($J$3:$J$2002&lt;&gt;"취소")*($L$3:$L$2002&lt;&gt;"")*($M$3:$M$2002&lt;&gt;"")*($L$3:$L$2002&lt;$M221)*($M$3:$M$2002&gt;$L221))&gt;1,"중복","-"))</f>
        <v/>
      </c>
    </row>
    <row r="222" customFormat="false" ht="15" hidden="false" customHeight="true" outlineLevel="0" collapsed="false">
      <c r="A222" s="11"/>
      <c r="B222" s="7"/>
      <c r="C222" s="12" t="str">
        <f aca="false">IF($B222="","",IFERROR(INDEX(자원목록!$B$3:$B$102,MATCH($B222,자원목록!$A$3:$A$102,0)),"미등록자원"))</f>
        <v/>
      </c>
      <c r="D222" s="7"/>
      <c r="E222" s="12" t="str">
        <f aca="false">IF($D222="","",IFERROR(INDEX(고객목록!$B$3:$B$502,MATCH($D222,고객목록!$A$3:$A$502,0)),""))</f>
        <v/>
      </c>
      <c r="F222" s="13"/>
      <c r="G222" s="13"/>
      <c r="H222" s="14" t="str">
        <f aca="false">IF(OR($L222="",$M222=""),"",ROUND(($M222-$L222)/60,2))</f>
        <v/>
      </c>
      <c r="I222" s="9"/>
      <c r="J222" s="7"/>
      <c r="K222" s="7"/>
      <c r="L222" s="15" t="str">
        <f aca="false">IF($F222="","",IF($F222&lt;1,ROUND($F222*1440,0),INT($F222/100)*60+MOD($F222,100)))</f>
        <v/>
      </c>
      <c r="M222" s="15" t="str">
        <f aca="false">IF($G222="","",IF($G222&lt;1,ROUND($G222*1440,0),INT($G222/100)*60+MOD($G222,100)))</f>
        <v/>
      </c>
      <c r="N222" s="15" t="str">
        <f aca="false">IF(OR($A222="",$B222="",$L222="",$M222="",$J222="취소"),"",IF(SUMPRODUCT(($A$3:$A$2002=$A222)*($B$3:$B$2002=$B222)*($J$3:$J$2002&lt;&gt;"취소")*($L$3:$L$2002&lt;&gt;"")*($M$3:$M$2002&lt;&gt;"")*($L$3:$L$2002&lt;$M222)*($M$3:$M$2002&gt;$L222))&gt;1,"중복","-"))</f>
        <v/>
      </c>
    </row>
    <row r="223" customFormat="false" ht="15" hidden="false" customHeight="true" outlineLevel="0" collapsed="false">
      <c r="A223" s="11"/>
      <c r="B223" s="7"/>
      <c r="C223" s="12" t="str">
        <f aca="false">IF($B223="","",IFERROR(INDEX(자원목록!$B$3:$B$102,MATCH($B223,자원목록!$A$3:$A$102,0)),"미등록자원"))</f>
        <v/>
      </c>
      <c r="D223" s="7"/>
      <c r="E223" s="12" t="str">
        <f aca="false">IF($D223="","",IFERROR(INDEX(고객목록!$B$3:$B$502,MATCH($D223,고객목록!$A$3:$A$502,0)),""))</f>
        <v/>
      </c>
      <c r="F223" s="13"/>
      <c r="G223" s="13"/>
      <c r="H223" s="14" t="str">
        <f aca="false">IF(OR($L223="",$M223=""),"",ROUND(($M223-$L223)/60,2))</f>
        <v/>
      </c>
      <c r="I223" s="9"/>
      <c r="J223" s="7"/>
      <c r="K223" s="7"/>
      <c r="L223" s="15" t="str">
        <f aca="false">IF($F223="","",IF($F223&lt;1,ROUND($F223*1440,0),INT($F223/100)*60+MOD($F223,100)))</f>
        <v/>
      </c>
      <c r="M223" s="15" t="str">
        <f aca="false">IF($G223="","",IF($G223&lt;1,ROUND($G223*1440,0),INT($G223/100)*60+MOD($G223,100)))</f>
        <v/>
      </c>
      <c r="N223" s="15" t="str">
        <f aca="false">IF(OR($A223="",$B223="",$L223="",$M223="",$J223="취소"),"",IF(SUMPRODUCT(($A$3:$A$2002=$A223)*($B$3:$B$2002=$B223)*($J$3:$J$2002&lt;&gt;"취소")*($L$3:$L$2002&lt;&gt;"")*($M$3:$M$2002&lt;&gt;"")*($L$3:$L$2002&lt;$M223)*($M$3:$M$2002&gt;$L223))&gt;1,"중복","-"))</f>
        <v/>
      </c>
    </row>
    <row r="224" customFormat="false" ht="15" hidden="false" customHeight="true" outlineLevel="0" collapsed="false">
      <c r="A224" s="11"/>
      <c r="B224" s="7"/>
      <c r="C224" s="12" t="str">
        <f aca="false">IF($B224="","",IFERROR(INDEX(자원목록!$B$3:$B$102,MATCH($B224,자원목록!$A$3:$A$102,0)),"미등록자원"))</f>
        <v/>
      </c>
      <c r="D224" s="7"/>
      <c r="E224" s="12" t="str">
        <f aca="false">IF($D224="","",IFERROR(INDEX(고객목록!$B$3:$B$502,MATCH($D224,고객목록!$A$3:$A$502,0)),""))</f>
        <v/>
      </c>
      <c r="F224" s="13"/>
      <c r="G224" s="13"/>
      <c r="H224" s="14" t="str">
        <f aca="false">IF(OR($L224="",$M224=""),"",ROUND(($M224-$L224)/60,2))</f>
        <v/>
      </c>
      <c r="I224" s="9"/>
      <c r="J224" s="7"/>
      <c r="K224" s="7"/>
      <c r="L224" s="15" t="str">
        <f aca="false">IF($F224="","",IF($F224&lt;1,ROUND($F224*1440,0),INT($F224/100)*60+MOD($F224,100)))</f>
        <v/>
      </c>
      <c r="M224" s="15" t="str">
        <f aca="false">IF($G224="","",IF($G224&lt;1,ROUND($G224*1440,0),INT($G224/100)*60+MOD($G224,100)))</f>
        <v/>
      </c>
      <c r="N224" s="15" t="str">
        <f aca="false">IF(OR($A224="",$B224="",$L224="",$M224="",$J224="취소"),"",IF(SUMPRODUCT(($A$3:$A$2002=$A224)*($B$3:$B$2002=$B224)*($J$3:$J$2002&lt;&gt;"취소")*($L$3:$L$2002&lt;&gt;"")*($M$3:$M$2002&lt;&gt;"")*($L$3:$L$2002&lt;$M224)*($M$3:$M$2002&gt;$L224))&gt;1,"중복","-"))</f>
        <v/>
      </c>
    </row>
    <row r="225" customFormat="false" ht="15" hidden="false" customHeight="true" outlineLevel="0" collapsed="false">
      <c r="A225" s="11"/>
      <c r="B225" s="7"/>
      <c r="C225" s="12" t="str">
        <f aca="false">IF($B225="","",IFERROR(INDEX(자원목록!$B$3:$B$102,MATCH($B225,자원목록!$A$3:$A$102,0)),"미등록자원"))</f>
        <v/>
      </c>
      <c r="D225" s="7"/>
      <c r="E225" s="12" t="str">
        <f aca="false">IF($D225="","",IFERROR(INDEX(고객목록!$B$3:$B$502,MATCH($D225,고객목록!$A$3:$A$502,0)),""))</f>
        <v/>
      </c>
      <c r="F225" s="13"/>
      <c r="G225" s="13"/>
      <c r="H225" s="14" t="str">
        <f aca="false">IF(OR($L225="",$M225=""),"",ROUND(($M225-$L225)/60,2))</f>
        <v/>
      </c>
      <c r="I225" s="9"/>
      <c r="J225" s="7"/>
      <c r="K225" s="7"/>
      <c r="L225" s="15" t="str">
        <f aca="false">IF($F225="","",IF($F225&lt;1,ROUND($F225*1440,0),INT($F225/100)*60+MOD($F225,100)))</f>
        <v/>
      </c>
      <c r="M225" s="15" t="str">
        <f aca="false">IF($G225="","",IF($G225&lt;1,ROUND($G225*1440,0),INT($G225/100)*60+MOD($G225,100)))</f>
        <v/>
      </c>
      <c r="N225" s="15" t="str">
        <f aca="false">IF(OR($A225="",$B225="",$L225="",$M225="",$J225="취소"),"",IF(SUMPRODUCT(($A$3:$A$2002=$A225)*($B$3:$B$2002=$B225)*($J$3:$J$2002&lt;&gt;"취소")*($L$3:$L$2002&lt;&gt;"")*($M$3:$M$2002&lt;&gt;"")*($L$3:$L$2002&lt;$M225)*($M$3:$M$2002&gt;$L225))&gt;1,"중복","-"))</f>
        <v/>
      </c>
    </row>
    <row r="226" customFormat="false" ht="15" hidden="false" customHeight="true" outlineLevel="0" collapsed="false">
      <c r="A226" s="11"/>
      <c r="B226" s="7"/>
      <c r="C226" s="12" t="str">
        <f aca="false">IF($B226="","",IFERROR(INDEX(자원목록!$B$3:$B$102,MATCH($B226,자원목록!$A$3:$A$102,0)),"미등록자원"))</f>
        <v/>
      </c>
      <c r="D226" s="7"/>
      <c r="E226" s="12" t="str">
        <f aca="false">IF($D226="","",IFERROR(INDEX(고객목록!$B$3:$B$502,MATCH($D226,고객목록!$A$3:$A$502,0)),""))</f>
        <v/>
      </c>
      <c r="F226" s="13"/>
      <c r="G226" s="13"/>
      <c r="H226" s="14" t="str">
        <f aca="false">IF(OR($L226="",$M226=""),"",ROUND(($M226-$L226)/60,2))</f>
        <v/>
      </c>
      <c r="I226" s="9"/>
      <c r="J226" s="7"/>
      <c r="K226" s="7"/>
      <c r="L226" s="15" t="str">
        <f aca="false">IF($F226="","",IF($F226&lt;1,ROUND($F226*1440,0),INT($F226/100)*60+MOD($F226,100)))</f>
        <v/>
      </c>
      <c r="M226" s="15" t="str">
        <f aca="false">IF($G226="","",IF($G226&lt;1,ROUND($G226*1440,0),INT($G226/100)*60+MOD($G226,100)))</f>
        <v/>
      </c>
      <c r="N226" s="15" t="str">
        <f aca="false">IF(OR($A226="",$B226="",$L226="",$M226="",$J226="취소"),"",IF(SUMPRODUCT(($A$3:$A$2002=$A226)*($B$3:$B$2002=$B226)*($J$3:$J$2002&lt;&gt;"취소")*($L$3:$L$2002&lt;&gt;"")*($M$3:$M$2002&lt;&gt;"")*($L$3:$L$2002&lt;$M226)*($M$3:$M$2002&gt;$L226))&gt;1,"중복","-"))</f>
        <v/>
      </c>
    </row>
    <row r="227" customFormat="false" ht="15" hidden="false" customHeight="true" outlineLevel="0" collapsed="false">
      <c r="A227" s="11"/>
      <c r="B227" s="7"/>
      <c r="C227" s="12" t="str">
        <f aca="false">IF($B227="","",IFERROR(INDEX(자원목록!$B$3:$B$102,MATCH($B227,자원목록!$A$3:$A$102,0)),"미등록자원"))</f>
        <v/>
      </c>
      <c r="D227" s="7"/>
      <c r="E227" s="12" t="str">
        <f aca="false">IF($D227="","",IFERROR(INDEX(고객목록!$B$3:$B$502,MATCH($D227,고객목록!$A$3:$A$502,0)),""))</f>
        <v/>
      </c>
      <c r="F227" s="13"/>
      <c r="G227" s="13"/>
      <c r="H227" s="14" t="str">
        <f aca="false">IF(OR($L227="",$M227=""),"",ROUND(($M227-$L227)/60,2))</f>
        <v/>
      </c>
      <c r="I227" s="9"/>
      <c r="J227" s="7"/>
      <c r="K227" s="7"/>
      <c r="L227" s="15" t="str">
        <f aca="false">IF($F227="","",IF($F227&lt;1,ROUND($F227*1440,0),INT($F227/100)*60+MOD($F227,100)))</f>
        <v/>
      </c>
      <c r="M227" s="15" t="str">
        <f aca="false">IF($G227="","",IF($G227&lt;1,ROUND($G227*1440,0),INT($G227/100)*60+MOD($G227,100)))</f>
        <v/>
      </c>
      <c r="N227" s="15" t="str">
        <f aca="false">IF(OR($A227="",$B227="",$L227="",$M227="",$J227="취소"),"",IF(SUMPRODUCT(($A$3:$A$2002=$A227)*($B$3:$B$2002=$B227)*($J$3:$J$2002&lt;&gt;"취소")*($L$3:$L$2002&lt;&gt;"")*($M$3:$M$2002&lt;&gt;"")*($L$3:$L$2002&lt;$M227)*($M$3:$M$2002&gt;$L227))&gt;1,"중복","-"))</f>
        <v/>
      </c>
    </row>
    <row r="228" customFormat="false" ht="15" hidden="false" customHeight="true" outlineLevel="0" collapsed="false">
      <c r="A228" s="11"/>
      <c r="B228" s="7"/>
      <c r="C228" s="12" t="str">
        <f aca="false">IF($B228="","",IFERROR(INDEX(자원목록!$B$3:$B$102,MATCH($B228,자원목록!$A$3:$A$102,0)),"미등록자원"))</f>
        <v/>
      </c>
      <c r="D228" s="7"/>
      <c r="E228" s="12" t="str">
        <f aca="false">IF($D228="","",IFERROR(INDEX(고객목록!$B$3:$B$502,MATCH($D228,고객목록!$A$3:$A$502,0)),""))</f>
        <v/>
      </c>
      <c r="F228" s="13"/>
      <c r="G228" s="13"/>
      <c r="H228" s="14" t="str">
        <f aca="false">IF(OR($L228="",$M228=""),"",ROUND(($M228-$L228)/60,2))</f>
        <v/>
      </c>
      <c r="I228" s="9"/>
      <c r="J228" s="7"/>
      <c r="K228" s="7"/>
      <c r="L228" s="15" t="str">
        <f aca="false">IF($F228="","",IF($F228&lt;1,ROUND($F228*1440,0),INT($F228/100)*60+MOD($F228,100)))</f>
        <v/>
      </c>
      <c r="M228" s="15" t="str">
        <f aca="false">IF($G228="","",IF($G228&lt;1,ROUND($G228*1440,0),INT($G228/100)*60+MOD($G228,100)))</f>
        <v/>
      </c>
      <c r="N228" s="15" t="str">
        <f aca="false">IF(OR($A228="",$B228="",$L228="",$M228="",$J228="취소"),"",IF(SUMPRODUCT(($A$3:$A$2002=$A228)*($B$3:$B$2002=$B228)*($J$3:$J$2002&lt;&gt;"취소")*($L$3:$L$2002&lt;&gt;"")*($M$3:$M$2002&lt;&gt;"")*($L$3:$L$2002&lt;$M228)*($M$3:$M$2002&gt;$L228))&gt;1,"중복","-"))</f>
        <v/>
      </c>
    </row>
    <row r="229" customFormat="false" ht="15" hidden="false" customHeight="true" outlineLevel="0" collapsed="false">
      <c r="A229" s="11"/>
      <c r="B229" s="7"/>
      <c r="C229" s="12" t="str">
        <f aca="false">IF($B229="","",IFERROR(INDEX(자원목록!$B$3:$B$102,MATCH($B229,자원목록!$A$3:$A$102,0)),"미등록자원"))</f>
        <v/>
      </c>
      <c r="D229" s="7"/>
      <c r="E229" s="12" t="str">
        <f aca="false">IF($D229="","",IFERROR(INDEX(고객목록!$B$3:$B$502,MATCH($D229,고객목록!$A$3:$A$502,0)),""))</f>
        <v/>
      </c>
      <c r="F229" s="13"/>
      <c r="G229" s="13"/>
      <c r="H229" s="14" t="str">
        <f aca="false">IF(OR($L229="",$M229=""),"",ROUND(($M229-$L229)/60,2))</f>
        <v/>
      </c>
      <c r="I229" s="9"/>
      <c r="J229" s="7"/>
      <c r="K229" s="7"/>
      <c r="L229" s="15" t="str">
        <f aca="false">IF($F229="","",IF($F229&lt;1,ROUND($F229*1440,0),INT($F229/100)*60+MOD($F229,100)))</f>
        <v/>
      </c>
      <c r="M229" s="15" t="str">
        <f aca="false">IF($G229="","",IF($G229&lt;1,ROUND($G229*1440,0),INT($G229/100)*60+MOD($G229,100)))</f>
        <v/>
      </c>
      <c r="N229" s="15" t="str">
        <f aca="false">IF(OR($A229="",$B229="",$L229="",$M229="",$J229="취소"),"",IF(SUMPRODUCT(($A$3:$A$2002=$A229)*($B$3:$B$2002=$B229)*($J$3:$J$2002&lt;&gt;"취소")*($L$3:$L$2002&lt;&gt;"")*($M$3:$M$2002&lt;&gt;"")*($L$3:$L$2002&lt;$M229)*($M$3:$M$2002&gt;$L229))&gt;1,"중복","-"))</f>
        <v/>
      </c>
    </row>
    <row r="230" customFormat="false" ht="15" hidden="false" customHeight="true" outlineLevel="0" collapsed="false">
      <c r="A230" s="11"/>
      <c r="B230" s="7"/>
      <c r="C230" s="12" t="str">
        <f aca="false">IF($B230="","",IFERROR(INDEX(자원목록!$B$3:$B$102,MATCH($B230,자원목록!$A$3:$A$102,0)),"미등록자원"))</f>
        <v/>
      </c>
      <c r="D230" s="7"/>
      <c r="E230" s="12" t="str">
        <f aca="false">IF($D230="","",IFERROR(INDEX(고객목록!$B$3:$B$502,MATCH($D230,고객목록!$A$3:$A$502,0)),""))</f>
        <v/>
      </c>
      <c r="F230" s="13"/>
      <c r="G230" s="13"/>
      <c r="H230" s="14" t="str">
        <f aca="false">IF(OR($L230="",$M230=""),"",ROUND(($M230-$L230)/60,2))</f>
        <v/>
      </c>
      <c r="I230" s="9"/>
      <c r="J230" s="7"/>
      <c r="K230" s="7"/>
      <c r="L230" s="15" t="str">
        <f aca="false">IF($F230="","",IF($F230&lt;1,ROUND($F230*1440,0),INT($F230/100)*60+MOD($F230,100)))</f>
        <v/>
      </c>
      <c r="M230" s="15" t="str">
        <f aca="false">IF($G230="","",IF($G230&lt;1,ROUND($G230*1440,0),INT($G230/100)*60+MOD($G230,100)))</f>
        <v/>
      </c>
      <c r="N230" s="15" t="str">
        <f aca="false">IF(OR($A230="",$B230="",$L230="",$M230="",$J230="취소"),"",IF(SUMPRODUCT(($A$3:$A$2002=$A230)*($B$3:$B$2002=$B230)*($J$3:$J$2002&lt;&gt;"취소")*($L$3:$L$2002&lt;&gt;"")*($M$3:$M$2002&lt;&gt;"")*($L$3:$L$2002&lt;$M230)*($M$3:$M$2002&gt;$L230))&gt;1,"중복","-"))</f>
        <v/>
      </c>
    </row>
    <row r="231" customFormat="false" ht="15" hidden="false" customHeight="true" outlineLevel="0" collapsed="false">
      <c r="A231" s="11"/>
      <c r="B231" s="7"/>
      <c r="C231" s="12" t="str">
        <f aca="false">IF($B231="","",IFERROR(INDEX(자원목록!$B$3:$B$102,MATCH($B231,자원목록!$A$3:$A$102,0)),"미등록자원"))</f>
        <v/>
      </c>
      <c r="D231" s="7"/>
      <c r="E231" s="12" t="str">
        <f aca="false">IF($D231="","",IFERROR(INDEX(고객목록!$B$3:$B$502,MATCH($D231,고객목록!$A$3:$A$502,0)),""))</f>
        <v/>
      </c>
      <c r="F231" s="13"/>
      <c r="G231" s="13"/>
      <c r="H231" s="14" t="str">
        <f aca="false">IF(OR($L231="",$M231=""),"",ROUND(($M231-$L231)/60,2))</f>
        <v/>
      </c>
      <c r="I231" s="9"/>
      <c r="J231" s="7"/>
      <c r="K231" s="7"/>
      <c r="L231" s="15" t="str">
        <f aca="false">IF($F231="","",IF($F231&lt;1,ROUND($F231*1440,0),INT($F231/100)*60+MOD($F231,100)))</f>
        <v/>
      </c>
      <c r="M231" s="15" t="str">
        <f aca="false">IF($G231="","",IF($G231&lt;1,ROUND($G231*1440,0),INT($G231/100)*60+MOD($G231,100)))</f>
        <v/>
      </c>
      <c r="N231" s="15" t="str">
        <f aca="false">IF(OR($A231="",$B231="",$L231="",$M231="",$J231="취소"),"",IF(SUMPRODUCT(($A$3:$A$2002=$A231)*($B$3:$B$2002=$B231)*($J$3:$J$2002&lt;&gt;"취소")*($L$3:$L$2002&lt;&gt;"")*($M$3:$M$2002&lt;&gt;"")*($L$3:$L$2002&lt;$M231)*($M$3:$M$2002&gt;$L231))&gt;1,"중복","-"))</f>
        <v/>
      </c>
    </row>
    <row r="232" customFormat="false" ht="15" hidden="false" customHeight="true" outlineLevel="0" collapsed="false">
      <c r="A232" s="11"/>
      <c r="B232" s="7"/>
      <c r="C232" s="12" t="str">
        <f aca="false">IF($B232="","",IFERROR(INDEX(자원목록!$B$3:$B$102,MATCH($B232,자원목록!$A$3:$A$102,0)),"미등록자원"))</f>
        <v/>
      </c>
      <c r="D232" s="7"/>
      <c r="E232" s="12" t="str">
        <f aca="false">IF($D232="","",IFERROR(INDEX(고객목록!$B$3:$B$502,MATCH($D232,고객목록!$A$3:$A$502,0)),""))</f>
        <v/>
      </c>
      <c r="F232" s="13"/>
      <c r="G232" s="13"/>
      <c r="H232" s="14" t="str">
        <f aca="false">IF(OR($L232="",$M232=""),"",ROUND(($M232-$L232)/60,2))</f>
        <v/>
      </c>
      <c r="I232" s="9"/>
      <c r="J232" s="7"/>
      <c r="K232" s="7"/>
      <c r="L232" s="15" t="str">
        <f aca="false">IF($F232="","",IF($F232&lt;1,ROUND($F232*1440,0),INT($F232/100)*60+MOD($F232,100)))</f>
        <v/>
      </c>
      <c r="M232" s="15" t="str">
        <f aca="false">IF($G232="","",IF($G232&lt;1,ROUND($G232*1440,0),INT($G232/100)*60+MOD($G232,100)))</f>
        <v/>
      </c>
      <c r="N232" s="15" t="str">
        <f aca="false">IF(OR($A232="",$B232="",$L232="",$M232="",$J232="취소"),"",IF(SUMPRODUCT(($A$3:$A$2002=$A232)*($B$3:$B$2002=$B232)*($J$3:$J$2002&lt;&gt;"취소")*($L$3:$L$2002&lt;&gt;"")*($M$3:$M$2002&lt;&gt;"")*($L$3:$L$2002&lt;$M232)*($M$3:$M$2002&gt;$L232))&gt;1,"중복","-"))</f>
        <v/>
      </c>
    </row>
    <row r="233" customFormat="false" ht="15" hidden="false" customHeight="true" outlineLevel="0" collapsed="false">
      <c r="A233" s="11"/>
      <c r="B233" s="7"/>
      <c r="C233" s="12" t="str">
        <f aca="false">IF($B233="","",IFERROR(INDEX(자원목록!$B$3:$B$102,MATCH($B233,자원목록!$A$3:$A$102,0)),"미등록자원"))</f>
        <v/>
      </c>
      <c r="D233" s="7"/>
      <c r="E233" s="12" t="str">
        <f aca="false">IF($D233="","",IFERROR(INDEX(고객목록!$B$3:$B$502,MATCH($D233,고객목록!$A$3:$A$502,0)),""))</f>
        <v/>
      </c>
      <c r="F233" s="13"/>
      <c r="G233" s="13"/>
      <c r="H233" s="14" t="str">
        <f aca="false">IF(OR($L233="",$M233=""),"",ROUND(($M233-$L233)/60,2))</f>
        <v/>
      </c>
      <c r="I233" s="9"/>
      <c r="J233" s="7"/>
      <c r="K233" s="7"/>
      <c r="L233" s="15" t="str">
        <f aca="false">IF($F233="","",IF($F233&lt;1,ROUND($F233*1440,0),INT($F233/100)*60+MOD($F233,100)))</f>
        <v/>
      </c>
      <c r="M233" s="15" t="str">
        <f aca="false">IF($G233="","",IF($G233&lt;1,ROUND($G233*1440,0),INT($G233/100)*60+MOD($G233,100)))</f>
        <v/>
      </c>
      <c r="N233" s="15" t="str">
        <f aca="false">IF(OR($A233="",$B233="",$L233="",$M233="",$J233="취소"),"",IF(SUMPRODUCT(($A$3:$A$2002=$A233)*($B$3:$B$2002=$B233)*($J$3:$J$2002&lt;&gt;"취소")*($L$3:$L$2002&lt;&gt;"")*($M$3:$M$2002&lt;&gt;"")*($L$3:$L$2002&lt;$M233)*($M$3:$M$2002&gt;$L233))&gt;1,"중복","-"))</f>
        <v/>
      </c>
    </row>
    <row r="234" customFormat="false" ht="15" hidden="false" customHeight="true" outlineLevel="0" collapsed="false">
      <c r="A234" s="11"/>
      <c r="B234" s="7"/>
      <c r="C234" s="12" t="str">
        <f aca="false">IF($B234="","",IFERROR(INDEX(자원목록!$B$3:$B$102,MATCH($B234,자원목록!$A$3:$A$102,0)),"미등록자원"))</f>
        <v/>
      </c>
      <c r="D234" s="7"/>
      <c r="E234" s="12" t="str">
        <f aca="false">IF($D234="","",IFERROR(INDEX(고객목록!$B$3:$B$502,MATCH($D234,고객목록!$A$3:$A$502,0)),""))</f>
        <v/>
      </c>
      <c r="F234" s="13"/>
      <c r="G234" s="13"/>
      <c r="H234" s="14" t="str">
        <f aca="false">IF(OR($L234="",$M234=""),"",ROUND(($M234-$L234)/60,2))</f>
        <v/>
      </c>
      <c r="I234" s="9"/>
      <c r="J234" s="7"/>
      <c r="K234" s="7"/>
      <c r="L234" s="15" t="str">
        <f aca="false">IF($F234="","",IF($F234&lt;1,ROUND($F234*1440,0),INT($F234/100)*60+MOD($F234,100)))</f>
        <v/>
      </c>
      <c r="M234" s="15" t="str">
        <f aca="false">IF($G234="","",IF($G234&lt;1,ROUND($G234*1440,0),INT($G234/100)*60+MOD($G234,100)))</f>
        <v/>
      </c>
      <c r="N234" s="15" t="str">
        <f aca="false">IF(OR($A234="",$B234="",$L234="",$M234="",$J234="취소"),"",IF(SUMPRODUCT(($A$3:$A$2002=$A234)*($B$3:$B$2002=$B234)*($J$3:$J$2002&lt;&gt;"취소")*($L$3:$L$2002&lt;&gt;"")*($M$3:$M$2002&lt;&gt;"")*($L$3:$L$2002&lt;$M234)*($M$3:$M$2002&gt;$L234))&gt;1,"중복","-"))</f>
        <v/>
      </c>
    </row>
    <row r="235" customFormat="false" ht="15" hidden="false" customHeight="true" outlineLevel="0" collapsed="false">
      <c r="A235" s="11"/>
      <c r="B235" s="7"/>
      <c r="C235" s="12" t="str">
        <f aca="false">IF($B235="","",IFERROR(INDEX(자원목록!$B$3:$B$102,MATCH($B235,자원목록!$A$3:$A$102,0)),"미등록자원"))</f>
        <v/>
      </c>
      <c r="D235" s="7"/>
      <c r="E235" s="12" t="str">
        <f aca="false">IF($D235="","",IFERROR(INDEX(고객목록!$B$3:$B$502,MATCH($D235,고객목록!$A$3:$A$502,0)),""))</f>
        <v/>
      </c>
      <c r="F235" s="13"/>
      <c r="G235" s="13"/>
      <c r="H235" s="14" t="str">
        <f aca="false">IF(OR($L235="",$M235=""),"",ROUND(($M235-$L235)/60,2))</f>
        <v/>
      </c>
      <c r="I235" s="9"/>
      <c r="J235" s="7"/>
      <c r="K235" s="7"/>
      <c r="L235" s="15" t="str">
        <f aca="false">IF($F235="","",IF($F235&lt;1,ROUND($F235*1440,0),INT($F235/100)*60+MOD($F235,100)))</f>
        <v/>
      </c>
      <c r="M235" s="15" t="str">
        <f aca="false">IF($G235="","",IF($G235&lt;1,ROUND($G235*1440,0),INT($G235/100)*60+MOD($G235,100)))</f>
        <v/>
      </c>
      <c r="N235" s="15" t="str">
        <f aca="false">IF(OR($A235="",$B235="",$L235="",$M235="",$J235="취소"),"",IF(SUMPRODUCT(($A$3:$A$2002=$A235)*($B$3:$B$2002=$B235)*($J$3:$J$2002&lt;&gt;"취소")*($L$3:$L$2002&lt;&gt;"")*($M$3:$M$2002&lt;&gt;"")*($L$3:$L$2002&lt;$M235)*($M$3:$M$2002&gt;$L235))&gt;1,"중복","-"))</f>
        <v/>
      </c>
    </row>
    <row r="236" customFormat="false" ht="15" hidden="false" customHeight="true" outlineLevel="0" collapsed="false">
      <c r="A236" s="11"/>
      <c r="B236" s="7"/>
      <c r="C236" s="12" t="str">
        <f aca="false">IF($B236="","",IFERROR(INDEX(자원목록!$B$3:$B$102,MATCH($B236,자원목록!$A$3:$A$102,0)),"미등록자원"))</f>
        <v/>
      </c>
      <c r="D236" s="7"/>
      <c r="E236" s="12" t="str">
        <f aca="false">IF($D236="","",IFERROR(INDEX(고객목록!$B$3:$B$502,MATCH($D236,고객목록!$A$3:$A$502,0)),""))</f>
        <v/>
      </c>
      <c r="F236" s="13"/>
      <c r="G236" s="13"/>
      <c r="H236" s="14" t="str">
        <f aca="false">IF(OR($L236="",$M236=""),"",ROUND(($M236-$L236)/60,2))</f>
        <v/>
      </c>
      <c r="I236" s="9"/>
      <c r="J236" s="7"/>
      <c r="K236" s="7"/>
      <c r="L236" s="15" t="str">
        <f aca="false">IF($F236="","",IF($F236&lt;1,ROUND($F236*1440,0),INT($F236/100)*60+MOD($F236,100)))</f>
        <v/>
      </c>
      <c r="M236" s="15" t="str">
        <f aca="false">IF($G236="","",IF($G236&lt;1,ROUND($G236*1440,0),INT($G236/100)*60+MOD($G236,100)))</f>
        <v/>
      </c>
      <c r="N236" s="15" t="str">
        <f aca="false">IF(OR($A236="",$B236="",$L236="",$M236="",$J236="취소"),"",IF(SUMPRODUCT(($A$3:$A$2002=$A236)*($B$3:$B$2002=$B236)*($J$3:$J$2002&lt;&gt;"취소")*($L$3:$L$2002&lt;&gt;"")*($M$3:$M$2002&lt;&gt;"")*($L$3:$L$2002&lt;$M236)*($M$3:$M$2002&gt;$L236))&gt;1,"중복","-"))</f>
        <v/>
      </c>
    </row>
    <row r="237" customFormat="false" ht="15" hidden="false" customHeight="true" outlineLevel="0" collapsed="false">
      <c r="A237" s="11"/>
      <c r="B237" s="7"/>
      <c r="C237" s="12" t="str">
        <f aca="false">IF($B237="","",IFERROR(INDEX(자원목록!$B$3:$B$102,MATCH($B237,자원목록!$A$3:$A$102,0)),"미등록자원"))</f>
        <v/>
      </c>
      <c r="D237" s="7"/>
      <c r="E237" s="12" t="str">
        <f aca="false">IF($D237="","",IFERROR(INDEX(고객목록!$B$3:$B$502,MATCH($D237,고객목록!$A$3:$A$502,0)),""))</f>
        <v/>
      </c>
      <c r="F237" s="13"/>
      <c r="G237" s="13"/>
      <c r="H237" s="14" t="str">
        <f aca="false">IF(OR($L237="",$M237=""),"",ROUND(($M237-$L237)/60,2))</f>
        <v/>
      </c>
      <c r="I237" s="9"/>
      <c r="J237" s="7"/>
      <c r="K237" s="7"/>
      <c r="L237" s="15" t="str">
        <f aca="false">IF($F237="","",IF($F237&lt;1,ROUND($F237*1440,0),INT($F237/100)*60+MOD($F237,100)))</f>
        <v/>
      </c>
      <c r="M237" s="15" t="str">
        <f aca="false">IF($G237="","",IF($G237&lt;1,ROUND($G237*1440,0),INT($G237/100)*60+MOD($G237,100)))</f>
        <v/>
      </c>
      <c r="N237" s="15" t="str">
        <f aca="false">IF(OR($A237="",$B237="",$L237="",$M237="",$J237="취소"),"",IF(SUMPRODUCT(($A$3:$A$2002=$A237)*($B$3:$B$2002=$B237)*($J$3:$J$2002&lt;&gt;"취소")*($L$3:$L$2002&lt;&gt;"")*($M$3:$M$2002&lt;&gt;"")*($L$3:$L$2002&lt;$M237)*($M$3:$M$2002&gt;$L237))&gt;1,"중복","-"))</f>
        <v/>
      </c>
    </row>
    <row r="238" customFormat="false" ht="15" hidden="false" customHeight="true" outlineLevel="0" collapsed="false">
      <c r="A238" s="11"/>
      <c r="B238" s="7"/>
      <c r="C238" s="12" t="str">
        <f aca="false">IF($B238="","",IFERROR(INDEX(자원목록!$B$3:$B$102,MATCH($B238,자원목록!$A$3:$A$102,0)),"미등록자원"))</f>
        <v/>
      </c>
      <c r="D238" s="7"/>
      <c r="E238" s="12" t="str">
        <f aca="false">IF($D238="","",IFERROR(INDEX(고객목록!$B$3:$B$502,MATCH($D238,고객목록!$A$3:$A$502,0)),""))</f>
        <v/>
      </c>
      <c r="F238" s="13"/>
      <c r="G238" s="13"/>
      <c r="H238" s="14" t="str">
        <f aca="false">IF(OR($L238="",$M238=""),"",ROUND(($M238-$L238)/60,2))</f>
        <v/>
      </c>
      <c r="I238" s="9"/>
      <c r="J238" s="7"/>
      <c r="K238" s="7"/>
      <c r="L238" s="15" t="str">
        <f aca="false">IF($F238="","",IF($F238&lt;1,ROUND($F238*1440,0),INT($F238/100)*60+MOD($F238,100)))</f>
        <v/>
      </c>
      <c r="M238" s="15" t="str">
        <f aca="false">IF($G238="","",IF($G238&lt;1,ROUND($G238*1440,0),INT($G238/100)*60+MOD($G238,100)))</f>
        <v/>
      </c>
      <c r="N238" s="15" t="str">
        <f aca="false">IF(OR($A238="",$B238="",$L238="",$M238="",$J238="취소"),"",IF(SUMPRODUCT(($A$3:$A$2002=$A238)*($B$3:$B$2002=$B238)*($J$3:$J$2002&lt;&gt;"취소")*($L$3:$L$2002&lt;&gt;"")*($M$3:$M$2002&lt;&gt;"")*($L$3:$L$2002&lt;$M238)*($M$3:$M$2002&gt;$L238))&gt;1,"중복","-"))</f>
        <v/>
      </c>
    </row>
    <row r="239" customFormat="false" ht="15" hidden="false" customHeight="true" outlineLevel="0" collapsed="false">
      <c r="A239" s="11"/>
      <c r="B239" s="7"/>
      <c r="C239" s="12" t="str">
        <f aca="false">IF($B239="","",IFERROR(INDEX(자원목록!$B$3:$B$102,MATCH($B239,자원목록!$A$3:$A$102,0)),"미등록자원"))</f>
        <v/>
      </c>
      <c r="D239" s="7"/>
      <c r="E239" s="12" t="str">
        <f aca="false">IF($D239="","",IFERROR(INDEX(고객목록!$B$3:$B$502,MATCH($D239,고객목록!$A$3:$A$502,0)),""))</f>
        <v/>
      </c>
      <c r="F239" s="13"/>
      <c r="G239" s="13"/>
      <c r="H239" s="14" t="str">
        <f aca="false">IF(OR($L239="",$M239=""),"",ROUND(($M239-$L239)/60,2))</f>
        <v/>
      </c>
      <c r="I239" s="9"/>
      <c r="J239" s="7"/>
      <c r="K239" s="7"/>
      <c r="L239" s="15" t="str">
        <f aca="false">IF($F239="","",IF($F239&lt;1,ROUND($F239*1440,0),INT($F239/100)*60+MOD($F239,100)))</f>
        <v/>
      </c>
      <c r="M239" s="15" t="str">
        <f aca="false">IF($G239="","",IF($G239&lt;1,ROUND($G239*1440,0),INT($G239/100)*60+MOD($G239,100)))</f>
        <v/>
      </c>
      <c r="N239" s="15" t="str">
        <f aca="false">IF(OR($A239="",$B239="",$L239="",$M239="",$J239="취소"),"",IF(SUMPRODUCT(($A$3:$A$2002=$A239)*($B$3:$B$2002=$B239)*($J$3:$J$2002&lt;&gt;"취소")*($L$3:$L$2002&lt;&gt;"")*($M$3:$M$2002&lt;&gt;"")*($L$3:$L$2002&lt;$M239)*($M$3:$M$2002&gt;$L239))&gt;1,"중복","-"))</f>
        <v/>
      </c>
    </row>
    <row r="240" customFormat="false" ht="15" hidden="false" customHeight="true" outlineLevel="0" collapsed="false">
      <c r="A240" s="11"/>
      <c r="B240" s="7"/>
      <c r="C240" s="12" t="str">
        <f aca="false">IF($B240="","",IFERROR(INDEX(자원목록!$B$3:$B$102,MATCH($B240,자원목록!$A$3:$A$102,0)),"미등록자원"))</f>
        <v/>
      </c>
      <c r="D240" s="7"/>
      <c r="E240" s="12" t="str">
        <f aca="false">IF($D240="","",IFERROR(INDEX(고객목록!$B$3:$B$502,MATCH($D240,고객목록!$A$3:$A$502,0)),""))</f>
        <v/>
      </c>
      <c r="F240" s="13"/>
      <c r="G240" s="13"/>
      <c r="H240" s="14" t="str">
        <f aca="false">IF(OR($L240="",$M240=""),"",ROUND(($M240-$L240)/60,2))</f>
        <v/>
      </c>
      <c r="I240" s="9"/>
      <c r="J240" s="7"/>
      <c r="K240" s="7"/>
      <c r="L240" s="15" t="str">
        <f aca="false">IF($F240="","",IF($F240&lt;1,ROUND($F240*1440,0),INT($F240/100)*60+MOD($F240,100)))</f>
        <v/>
      </c>
      <c r="M240" s="15" t="str">
        <f aca="false">IF($G240="","",IF($G240&lt;1,ROUND($G240*1440,0),INT($G240/100)*60+MOD($G240,100)))</f>
        <v/>
      </c>
      <c r="N240" s="15" t="str">
        <f aca="false">IF(OR($A240="",$B240="",$L240="",$M240="",$J240="취소"),"",IF(SUMPRODUCT(($A$3:$A$2002=$A240)*($B$3:$B$2002=$B240)*($J$3:$J$2002&lt;&gt;"취소")*($L$3:$L$2002&lt;&gt;"")*($M$3:$M$2002&lt;&gt;"")*($L$3:$L$2002&lt;$M240)*($M$3:$M$2002&gt;$L240))&gt;1,"중복","-"))</f>
        <v/>
      </c>
    </row>
    <row r="241" customFormat="false" ht="15" hidden="false" customHeight="true" outlineLevel="0" collapsed="false">
      <c r="A241" s="11"/>
      <c r="B241" s="7"/>
      <c r="C241" s="12" t="str">
        <f aca="false">IF($B241="","",IFERROR(INDEX(자원목록!$B$3:$B$102,MATCH($B241,자원목록!$A$3:$A$102,0)),"미등록자원"))</f>
        <v/>
      </c>
      <c r="D241" s="7"/>
      <c r="E241" s="12" t="str">
        <f aca="false">IF($D241="","",IFERROR(INDEX(고객목록!$B$3:$B$502,MATCH($D241,고객목록!$A$3:$A$502,0)),""))</f>
        <v/>
      </c>
      <c r="F241" s="13"/>
      <c r="G241" s="13"/>
      <c r="H241" s="14" t="str">
        <f aca="false">IF(OR($L241="",$M241=""),"",ROUND(($M241-$L241)/60,2))</f>
        <v/>
      </c>
      <c r="I241" s="9"/>
      <c r="J241" s="7"/>
      <c r="K241" s="7"/>
      <c r="L241" s="15" t="str">
        <f aca="false">IF($F241="","",IF($F241&lt;1,ROUND($F241*1440,0),INT($F241/100)*60+MOD($F241,100)))</f>
        <v/>
      </c>
      <c r="M241" s="15" t="str">
        <f aca="false">IF($G241="","",IF($G241&lt;1,ROUND($G241*1440,0),INT($G241/100)*60+MOD($G241,100)))</f>
        <v/>
      </c>
      <c r="N241" s="15" t="str">
        <f aca="false">IF(OR($A241="",$B241="",$L241="",$M241="",$J241="취소"),"",IF(SUMPRODUCT(($A$3:$A$2002=$A241)*($B$3:$B$2002=$B241)*($J$3:$J$2002&lt;&gt;"취소")*($L$3:$L$2002&lt;&gt;"")*($M$3:$M$2002&lt;&gt;"")*($L$3:$L$2002&lt;$M241)*($M$3:$M$2002&gt;$L241))&gt;1,"중복","-"))</f>
        <v/>
      </c>
    </row>
    <row r="242" customFormat="false" ht="15" hidden="false" customHeight="true" outlineLevel="0" collapsed="false">
      <c r="A242" s="11"/>
      <c r="B242" s="7"/>
      <c r="C242" s="12" t="str">
        <f aca="false">IF($B242="","",IFERROR(INDEX(자원목록!$B$3:$B$102,MATCH($B242,자원목록!$A$3:$A$102,0)),"미등록자원"))</f>
        <v/>
      </c>
      <c r="D242" s="7"/>
      <c r="E242" s="12" t="str">
        <f aca="false">IF($D242="","",IFERROR(INDEX(고객목록!$B$3:$B$502,MATCH($D242,고객목록!$A$3:$A$502,0)),""))</f>
        <v/>
      </c>
      <c r="F242" s="13"/>
      <c r="G242" s="13"/>
      <c r="H242" s="14" t="str">
        <f aca="false">IF(OR($L242="",$M242=""),"",ROUND(($M242-$L242)/60,2))</f>
        <v/>
      </c>
      <c r="I242" s="9"/>
      <c r="J242" s="7"/>
      <c r="K242" s="7"/>
      <c r="L242" s="15" t="str">
        <f aca="false">IF($F242="","",IF($F242&lt;1,ROUND($F242*1440,0),INT($F242/100)*60+MOD($F242,100)))</f>
        <v/>
      </c>
      <c r="M242" s="15" t="str">
        <f aca="false">IF($G242="","",IF($G242&lt;1,ROUND($G242*1440,0),INT($G242/100)*60+MOD($G242,100)))</f>
        <v/>
      </c>
      <c r="N242" s="15" t="str">
        <f aca="false">IF(OR($A242="",$B242="",$L242="",$M242="",$J242="취소"),"",IF(SUMPRODUCT(($A$3:$A$2002=$A242)*($B$3:$B$2002=$B242)*($J$3:$J$2002&lt;&gt;"취소")*($L$3:$L$2002&lt;&gt;"")*($M$3:$M$2002&lt;&gt;"")*($L$3:$L$2002&lt;$M242)*($M$3:$M$2002&gt;$L242))&gt;1,"중복","-"))</f>
        <v/>
      </c>
    </row>
    <row r="243" customFormat="false" ht="15" hidden="false" customHeight="true" outlineLevel="0" collapsed="false">
      <c r="A243" s="11"/>
      <c r="B243" s="7"/>
      <c r="C243" s="12" t="str">
        <f aca="false">IF($B243="","",IFERROR(INDEX(자원목록!$B$3:$B$102,MATCH($B243,자원목록!$A$3:$A$102,0)),"미등록자원"))</f>
        <v/>
      </c>
      <c r="D243" s="7"/>
      <c r="E243" s="12" t="str">
        <f aca="false">IF($D243="","",IFERROR(INDEX(고객목록!$B$3:$B$502,MATCH($D243,고객목록!$A$3:$A$502,0)),""))</f>
        <v/>
      </c>
      <c r="F243" s="13"/>
      <c r="G243" s="13"/>
      <c r="H243" s="14" t="str">
        <f aca="false">IF(OR($L243="",$M243=""),"",ROUND(($M243-$L243)/60,2))</f>
        <v/>
      </c>
      <c r="I243" s="9"/>
      <c r="J243" s="7"/>
      <c r="K243" s="7"/>
      <c r="L243" s="15" t="str">
        <f aca="false">IF($F243="","",IF($F243&lt;1,ROUND($F243*1440,0),INT($F243/100)*60+MOD($F243,100)))</f>
        <v/>
      </c>
      <c r="M243" s="15" t="str">
        <f aca="false">IF($G243="","",IF($G243&lt;1,ROUND($G243*1440,0),INT($G243/100)*60+MOD($G243,100)))</f>
        <v/>
      </c>
      <c r="N243" s="15" t="str">
        <f aca="false">IF(OR($A243="",$B243="",$L243="",$M243="",$J243="취소"),"",IF(SUMPRODUCT(($A$3:$A$2002=$A243)*($B$3:$B$2002=$B243)*($J$3:$J$2002&lt;&gt;"취소")*($L$3:$L$2002&lt;&gt;"")*($M$3:$M$2002&lt;&gt;"")*($L$3:$L$2002&lt;$M243)*($M$3:$M$2002&gt;$L243))&gt;1,"중복","-"))</f>
        <v/>
      </c>
    </row>
    <row r="244" customFormat="false" ht="15" hidden="false" customHeight="true" outlineLevel="0" collapsed="false">
      <c r="A244" s="11"/>
      <c r="B244" s="7"/>
      <c r="C244" s="12" t="str">
        <f aca="false">IF($B244="","",IFERROR(INDEX(자원목록!$B$3:$B$102,MATCH($B244,자원목록!$A$3:$A$102,0)),"미등록자원"))</f>
        <v/>
      </c>
      <c r="D244" s="7"/>
      <c r="E244" s="12" t="str">
        <f aca="false">IF($D244="","",IFERROR(INDEX(고객목록!$B$3:$B$502,MATCH($D244,고객목록!$A$3:$A$502,0)),""))</f>
        <v/>
      </c>
      <c r="F244" s="13"/>
      <c r="G244" s="13"/>
      <c r="H244" s="14" t="str">
        <f aca="false">IF(OR($L244="",$M244=""),"",ROUND(($M244-$L244)/60,2))</f>
        <v/>
      </c>
      <c r="I244" s="9"/>
      <c r="J244" s="7"/>
      <c r="K244" s="7"/>
      <c r="L244" s="15" t="str">
        <f aca="false">IF($F244="","",IF($F244&lt;1,ROUND($F244*1440,0),INT($F244/100)*60+MOD($F244,100)))</f>
        <v/>
      </c>
      <c r="M244" s="15" t="str">
        <f aca="false">IF($G244="","",IF($G244&lt;1,ROUND($G244*1440,0),INT($G244/100)*60+MOD($G244,100)))</f>
        <v/>
      </c>
      <c r="N244" s="15" t="str">
        <f aca="false">IF(OR($A244="",$B244="",$L244="",$M244="",$J244="취소"),"",IF(SUMPRODUCT(($A$3:$A$2002=$A244)*($B$3:$B$2002=$B244)*($J$3:$J$2002&lt;&gt;"취소")*($L$3:$L$2002&lt;&gt;"")*($M$3:$M$2002&lt;&gt;"")*($L$3:$L$2002&lt;$M244)*($M$3:$M$2002&gt;$L244))&gt;1,"중복","-"))</f>
        <v/>
      </c>
    </row>
    <row r="245" customFormat="false" ht="15" hidden="false" customHeight="true" outlineLevel="0" collapsed="false">
      <c r="A245" s="11"/>
      <c r="B245" s="7"/>
      <c r="C245" s="12" t="str">
        <f aca="false">IF($B245="","",IFERROR(INDEX(자원목록!$B$3:$B$102,MATCH($B245,자원목록!$A$3:$A$102,0)),"미등록자원"))</f>
        <v/>
      </c>
      <c r="D245" s="7"/>
      <c r="E245" s="12" t="str">
        <f aca="false">IF($D245="","",IFERROR(INDEX(고객목록!$B$3:$B$502,MATCH($D245,고객목록!$A$3:$A$502,0)),""))</f>
        <v/>
      </c>
      <c r="F245" s="13"/>
      <c r="G245" s="13"/>
      <c r="H245" s="14" t="str">
        <f aca="false">IF(OR($L245="",$M245=""),"",ROUND(($M245-$L245)/60,2))</f>
        <v/>
      </c>
      <c r="I245" s="9"/>
      <c r="J245" s="7"/>
      <c r="K245" s="7"/>
      <c r="L245" s="15" t="str">
        <f aca="false">IF($F245="","",IF($F245&lt;1,ROUND($F245*1440,0),INT($F245/100)*60+MOD($F245,100)))</f>
        <v/>
      </c>
      <c r="M245" s="15" t="str">
        <f aca="false">IF($G245="","",IF($G245&lt;1,ROUND($G245*1440,0),INT($G245/100)*60+MOD($G245,100)))</f>
        <v/>
      </c>
      <c r="N245" s="15" t="str">
        <f aca="false">IF(OR($A245="",$B245="",$L245="",$M245="",$J245="취소"),"",IF(SUMPRODUCT(($A$3:$A$2002=$A245)*($B$3:$B$2002=$B245)*($J$3:$J$2002&lt;&gt;"취소")*($L$3:$L$2002&lt;&gt;"")*($M$3:$M$2002&lt;&gt;"")*($L$3:$L$2002&lt;$M245)*($M$3:$M$2002&gt;$L245))&gt;1,"중복","-"))</f>
        <v/>
      </c>
    </row>
    <row r="246" customFormat="false" ht="15" hidden="false" customHeight="true" outlineLevel="0" collapsed="false">
      <c r="A246" s="11"/>
      <c r="B246" s="7"/>
      <c r="C246" s="12" t="str">
        <f aca="false">IF($B246="","",IFERROR(INDEX(자원목록!$B$3:$B$102,MATCH($B246,자원목록!$A$3:$A$102,0)),"미등록자원"))</f>
        <v/>
      </c>
      <c r="D246" s="7"/>
      <c r="E246" s="12" t="str">
        <f aca="false">IF($D246="","",IFERROR(INDEX(고객목록!$B$3:$B$502,MATCH($D246,고객목록!$A$3:$A$502,0)),""))</f>
        <v/>
      </c>
      <c r="F246" s="13"/>
      <c r="G246" s="13"/>
      <c r="H246" s="14" t="str">
        <f aca="false">IF(OR($L246="",$M246=""),"",ROUND(($M246-$L246)/60,2))</f>
        <v/>
      </c>
      <c r="I246" s="9"/>
      <c r="J246" s="7"/>
      <c r="K246" s="7"/>
      <c r="L246" s="15" t="str">
        <f aca="false">IF($F246="","",IF($F246&lt;1,ROUND($F246*1440,0),INT($F246/100)*60+MOD($F246,100)))</f>
        <v/>
      </c>
      <c r="M246" s="15" t="str">
        <f aca="false">IF($G246="","",IF($G246&lt;1,ROUND($G246*1440,0),INT($G246/100)*60+MOD($G246,100)))</f>
        <v/>
      </c>
      <c r="N246" s="15" t="str">
        <f aca="false">IF(OR($A246="",$B246="",$L246="",$M246="",$J246="취소"),"",IF(SUMPRODUCT(($A$3:$A$2002=$A246)*($B$3:$B$2002=$B246)*($J$3:$J$2002&lt;&gt;"취소")*($L$3:$L$2002&lt;&gt;"")*($M$3:$M$2002&lt;&gt;"")*($L$3:$L$2002&lt;$M246)*($M$3:$M$2002&gt;$L246))&gt;1,"중복","-"))</f>
        <v/>
      </c>
    </row>
    <row r="247" customFormat="false" ht="15" hidden="false" customHeight="true" outlineLevel="0" collapsed="false">
      <c r="A247" s="11"/>
      <c r="B247" s="7"/>
      <c r="C247" s="12" t="str">
        <f aca="false">IF($B247="","",IFERROR(INDEX(자원목록!$B$3:$B$102,MATCH($B247,자원목록!$A$3:$A$102,0)),"미등록자원"))</f>
        <v/>
      </c>
      <c r="D247" s="7"/>
      <c r="E247" s="12" t="str">
        <f aca="false">IF($D247="","",IFERROR(INDEX(고객목록!$B$3:$B$502,MATCH($D247,고객목록!$A$3:$A$502,0)),""))</f>
        <v/>
      </c>
      <c r="F247" s="13"/>
      <c r="G247" s="13"/>
      <c r="H247" s="14" t="str">
        <f aca="false">IF(OR($L247="",$M247=""),"",ROUND(($M247-$L247)/60,2))</f>
        <v/>
      </c>
      <c r="I247" s="9"/>
      <c r="J247" s="7"/>
      <c r="K247" s="7"/>
      <c r="L247" s="15" t="str">
        <f aca="false">IF($F247="","",IF($F247&lt;1,ROUND($F247*1440,0),INT($F247/100)*60+MOD($F247,100)))</f>
        <v/>
      </c>
      <c r="M247" s="15" t="str">
        <f aca="false">IF($G247="","",IF($G247&lt;1,ROUND($G247*1440,0),INT($G247/100)*60+MOD($G247,100)))</f>
        <v/>
      </c>
      <c r="N247" s="15" t="str">
        <f aca="false">IF(OR($A247="",$B247="",$L247="",$M247="",$J247="취소"),"",IF(SUMPRODUCT(($A$3:$A$2002=$A247)*($B$3:$B$2002=$B247)*($J$3:$J$2002&lt;&gt;"취소")*($L$3:$L$2002&lt;&gt;"")*($M$3:$M$2002&lt;&gt;"")*($L$3:$L$2002&lt;$M247)*($M$3:$M$2002&gt;$L247))&gt;1,"중복","-"))</f>
        <v/>
      </c>
    </row>
    <row r="248" customFormat="false" ht="15" hidden="false" customHeight="true" outlineLevel="0" collapsed="false">
      <c r="A248" s="11"/>
      <c r="B248" s="7"/>
      <c r="C248" s="12" t="str">
        <f aca="false">IF($B248="","",IFERROR(INDEX(자원목록!$B$3:$B$102,MATCH($B248,자원목록!$A$3:$A$102,0)),"미등록자원"))</f>
        <v/>
      </c>
      <c r="D248" s="7"/>
      <c r="E248" s="12" t="str">
        <f aca="false">IF($D248="","",IFERROR(INDEX(고객목록!$B$3:$B$502,MATCH($D248,고객목록!$A$3:$A$502,0)),""))</f>
        <v/>
      </c>
      <c r="F248" s="13"/>
      <c r="G248" s="13"/>
      <c r="H248" s="14" t="str">
        <f aca="false">IF(OR($L248="",$M248=""),"",ROUND(($M248-$L248)/60,2))</f>
        <v/>
      </c>
      <c r="I248" s="9"/>
      <c r="J248" s="7"/>
      <c r="K248" s="7"/>
      <c r="L248" s="15" t="str">
        <f aca="false">IF($F248="","",IF($F248&lt;1,ROUND($F248*1440,0),INT($F248/100)*60+MOD($F248,100)))</f>
        <v/>
      </c>
      <c r="M248" s="15" t="str">
        <f aca="false">IF($G248="","",IF($G248&lt;1,ROUND($G248*1440,0),INT($G248/100)*60+MOD($G248,100)))</f>
        <v/>
      </c>
      <c r="N248" s="15" t="str">
        <f aca="false">IF(OR($A248="",$B248="",$L248="",$M248="",$J248="취소"),"",IF(SUMPRODUCT(($A$3:$A$2002=$A248)*($B$3:$B$2002=$B248)*($J$3:$J$2002&lt;&gt;"취소")*($L$3:$L$2002&lt;&gt;"")*($M$3:$M$2002&lt;&gt;"")*($L$3:$L$2002&lt;$M248)*($M$3:$M$2002&gt;$L248))&gt;1,"중복","-"))</f>
        <v/>
      </c>
    </row>
    <row r="249" customFormat="false" ht="15" hidden="false" customHeight="true" outlineLevel="0" collapsed="false">
      <c r="A249" s="11"/>
      <c r="B249" s="7"/>
      <c r="C249" s="12" t="str">
        <f aca="false">IF($B249="","",IFERROR(INDEX(자원목록!$B$3:$B$102,MATCH($B249,자원목록!$A$3:$A$102,0)),"미등록자원"))</f>
        <v/>
      </c>
      <c r="D249" s="7"/>
      <c r="E249" s="12" t="str">
        <f aca="false">IF($D249="","",IFERROR(INDEX(고객목록!$B$3:$B$502,MATCH($D249,고객목록!$A$3:$A$502,0)),""))</f>
        <v/>
      </c>
      <c r="F249" s="13"/>
      <c r="G249" s="13"/>
      <c r="H249" s="14" t="str">
        <f aca="false">IF(OR($L249="",$M249=""),"",ROUND(($M249-$L249)/60,2))</f>
        <v/>
      </c>
      <c r="I249" s="9"/>
      <c r="J249" s="7"/>
      <c r="K249" s="7"/>
      <c r="L249" s="15" t="str">
        <f aca="false">IF($F249="","",IF($F249&lt;1,ROUND($F249*1440,0),INT($F249/100)*60+MOD($F249,100)))</f>
        <v/>
      </c>
      <c r="M249" s="15" t="str">
        <f aca="false">IF($G249="","",IF($G249&lt;1,ROUND($G249*1440,0),INT($G249/100)*60+MOD($G249,100)))</f>
        <v/>
      </c>
      <c r="N249" s="15" t="str">
        <f aca="false">IF(OR($A249="",$B249="",$L249="",$M249="",$J249="취소"),"",IF(SUMPRODUCT(($A$3:$A$2002=$A249)*($B$3:$B$2002=$B249)*($J$3:$J$2002&lt;&gt;"취소")*($L$3:$L$2002&lt;&gt;"")*($M$3:$M$2002&lt;&gt;"")*($L$3:$L$2002&lt;$M249)*($M$3:$M$2002&gt;$L249))&gt;1,"중복","-"))</f>
        <v/>
      </c>
    </row>
    <row r="250" customFormat="false" ht="15" hidden="false" customHeight="true" outlineLevel="0" collapsed="false">
      <c r="A250" s="11"/>
      <c r="B250" s="7"/>
      <c r="C250" s="12" t="str">
        <f aca="false">IF($B250="","",IFERROR(INDEX(자원목록!$B$3:$B$102,MATCH($B250,자원목록!$A$3:$A$102,0)),"미등록자원"))</f>
        <v/>
      </c>
      <c r="D250" s="7"/>
      <c r="E250" s="12" t="str">
        <f aca="false">IF($D250="","",IFERROR(INDEX(고객목록!$B$3:$B$502,MATCH($D250,고객목록!$A$3:$A$502,0)),""))</f>
        <v/>
      </c>
      <c r="F250" s="13"/>
      <c r="G250" s="13"/>
      <c r="H250" s="14" t="str">
        <f aca="false">IF(OR($L250="",$M250=""),"",ROUND(($M250-$L250)/60,2))</f>
        <v/>
      </c>
      <c r="I250" s="9"/>
      <c r="J250" s="7"/>
      <c r="K250" s="7"/>
      <c r="L250" s="15" t="str">
        <f aca="false">IF($F250="","",IF($F250&lt;1,ROUND($F250*1440,0),INT($F250/100)*60+MOD($F250,100)))</f>
        <v/>
      </c>
      <c r="M250" s="15" t="str">
        <f aca="false">IF($G250="","",IF($G250&lt;1,ROUND($G250*1440,0),INT($G250/100)*60+MOD($G250,100)))</f>
        <v/>
      </c>
      <c r="N250" s="15" t="str">
        <f aca="false">IF(OR($A250="",$B250="",$L250="",$M250="",$J250="취소"),"",IF(SUMPRODUCT(($A$3:$A$2002=$A250)*($B$3:$B$2002=$B250)*($J$3:$J$2002&lt;&gt;"취소")*($L$3:$L$2002&lt;&gt;"")*($M$3:$M$2002&lt;&gt;"")*($L$3:$L$2002&lt;$M250)*($M$3:$M$2002&gt;$L250))&gt;1,"중복","-"))</f>
        <v/>
      </c>
    </row>
    <row r="251" customFormat="false" ht="15" hidden="false" customHeight="true" outlineLevel="0" collapsed="false">
      <c r="A251" s="11"/>
      <c r="B251" s="7"/>
      <c r="C251" s="12" t="str">
        <f aca="false">IF($B251="","",IFERROR(INDEX(자원목록!$B$3:$B$102,MATCH($B251,자원목록!$A$3:$A$102,0)),"미등록자원"))</f>
        <v/>
      </c>
      <c r="D251" s="7"/>
      <c r="E251" s="12" t="str">
        <f aca="false">IF($D251="","",IFERROR(INDEX(고객목록!$B$3:$B$502,MATCH($D251,고객목록!$A$3:$A$502,0)),""))</f>
        <v/>
      </c>
      <c r="F251" s="13"/>
      <c r="G251" s="13"/>
      <c r="H251" s="14" t="str">
        <f aca="false">IF(OR($L251="",$M251=""),"",ROUND(($M251-$L251)/60,2))</f>
        <v/>
      </c>
      <c r="I251" s="9"/>
      <c r="J251" s="7"/>
      <c r="K251" s="7"/>
      <c r="L251" s="15" t="str">
        <f aca="false">IF($F251="","",IF($F251&lt;1,ROUND($F251*1440,0),INT($F251/100)*60+MOD($F251,100)))</f>
        <v/>
      </c>
      <c r="M251" s="15" t="str">
        <f aca="false">IF($G251="","",IF($G251&lt;1,ROUND($G251*1440,0),INT($G251/100)*60+MOD($G251,100)))</f>
        <v/>
      </c>
      <c r="N251" s="15" t="str">
        <f aca="false">IF(OR($A251="",$B251="",$L251="",$M251="",$J251="취소"),"",IF(SUMPRODUCT(($A$3:$A$2002=$A251)*($B$3:$B$2002=$B251)*($J$3:$J$2002&lt;&gt;"취소")*($L$3:$L$2002&lt;&gt;"")*($M$3:$M$2002&lt;&gt;"")*($L$3:$L$2002&lt;$M251)*($M$3:$M$2002&gt;$L251))&gt;1,"중복","-"))</f>
        <v/>
      </c>
    </row>
    <row r="252" customFormat="false" ht="15" hidden="false" customHeight="true" outlineLevel="0" collapsed="false">
      <c r="A252" s="11"/>
      <c r="B252" s="7"/>
      <c r="C252" s="12" t="str">
        <f aca="false">IF($B252="","",IFERROR(INDEX(자원목록!$B$3:$B$102,MATCH($B252,자원목록!$A$3:$A$102,0)),"미등록자원"))</f>
        <v/>
      </c>
      <c r="D252" s="7"/>
      <c r="E252" s="12" t="str">
        <f aca="false">IF($D252="","",IFERROR(INDEX(고객목록!$B$3:$B$502,MATCH($D252,고객목록!$A$3:$A$502,0)),""))</f>
        <v/>
      </c>
      <c r="F252" s="13"/>
      <c r="G252" s="13"/>
      <c r="H252" s="14" t="str">
        <f aca="false">IF(OR($L252="",$M252=""),"",ROUND(($M252-$L252)/60,2))</f>
        <v/>
      </c>
      <c r="I252" s="9"/>
      <c r="J252" s="7"/>
      <c r="K252" s="7"/>
      <c r="L252" s="15" t="str">
        <f aca="false">IF($F252="","",IF($F252&lt;1,ROUND($F252*1440,0),INT($F252/100)*60+MOD($F252,100)))</f>
        <v/>
      </c>
      <c r="M252" s="15" t="str">
        <f aca="false">IF($G252="","",IF($G252&lt;1,ROUND($G252*1440,0),INT($G252/100)*60+MOD($G252,100)))</f>
        <v/>
      </c>
      <c r="N252" s="15" t="str">
        <f aca="false">IF(OR($A252="",$B252="",$L252="",$M252="",$J252="취소"),"",IF(SUMPRODUCT(($A$3:$A$2002=$A252)*($B$3:$B$2002=$B252)*($J$3:$J$2002&lt;&gt;"취소")*($L$3:$L$2002&lt;&gt;"")*($M$3:$M$2002&lt;&gt;"")*($L$3:$L$2002&lt;$M252)*($M$3:$M$2002&gt;$L252))&gt;1,"중복","-"))</f>
        <v/>
      </c>
    </row>
    <row r="253" customFormat="false" ht="15" hidden="false" customHeight="true" outlineLevel="0" collapsed="false">
      <c r="A253" s="11"/>
      <c r="B253" s="7"/>
      <c r="C253" s="12" t="str">
        <f aca="false">IF($B253="","",IFERROR(INDEX(자원목록!$B$3:$B$102,MATCH($B253,자원목록!$A$3:$A$102,0)),"미등록자원"))</f>
        <v/>
      </c>
      <c r="D253" s="7"/>
      <c r="E253" s="12" t="str">
        <f aca="false">IF($D253="","",IFERROR(INDEX(고객목록!$B$3:$B$502,MATCH($D253,고객목록!$A$3:$A$502,0)),""))</f>
        <v/>
      </c>
      <c r="F253" s="13"/>
      <c r="G253" s="13"/>
      <c r="H253" s="14" t="str">
        <f aca="false">IF(OR($L253="",$M253=""),"",ROUND(($M253-$L253)/60,2))</f>
        <v/>
      </c>
      <c r="I253" s="9"/>
      <c r="J253" s="7"/>
      <c r="K253" s="7"/>
      <c r="L253" s="15" t="str">
        <f aca="false">IF($F253="","",IF($F253&lt;1,ROUND($F253*1440,0),INT($F253/100)*60+MOD($F253,100)))</f>
        <v/>
      </c>
      <c r="M253" s="15" t="str">
        <f aca="false">IF($G253="","",IF($G253&lt;1,ROUND($G253*1440,0),INT($G253/100)*60+MOD($G253,100)))</f>
        <v/>
      </c>
      <c r="N253" s="15" t="str">
        <f aca="false">IF(OR($A253="",$B253="",$L253="",$M253="",$J253="취소"),"",IF(SUMPRODUCT(($A$3:$A$2002=$A253)*($B$3:$B$2002=$B253)*($J$3:$J$2002&lt;&gt;"취소")*($L$3:$L$2002&lt;&gt;"")*($M$3:$M$2002&lt;&gt;"")*($L$3:$L$2002&lt;$M253)*($M$3:$M$2002&gt;$L253))&gt;1,"중복","-"))</f>
        <v/>
      </c>
    </row>
    <row r="254" customFormat="false" ht="15" hidden="false" customHeight="true" outlineLevel="0" collapsed="false">
      <c r="A254" s="11"/>
      <c r="B254" s="7"/>
      <c r="C254" s="12" t="str">
        <f aca="false">IF($B254="","",IFERROR(INDEX(자원목록!$B$3:$B$102,MATCH($B254,자원목록!$A$3:$A$102,0)),"미등록자원"))</f>
        <v/>
      </c>
      <c r="D254" s="7"/>
      <c r="E254" s="12" t="str">
        <f aca="false">IF($D254="","",IFERROR(INDEX(고객목록!$B$3:$B$502,MATCH($D254,고객목록!$A$3:$A$502,0)),""))</f>
        <v/>
      </c>
      <c r="F254" s="13"/>
      <c r="G254" s="13"/>
      <c r="H254" s="14" t="str">
        <f aca="false">IF(OR($L254="",$M254=""),"",ROUND(($M254-$L254)/60,2))</f>
        <v/>
      </c>
      <c r="I254" s="9"/>
      <c r="J254" s="7"/>
      <c r="K254" s="7"/>
      <c r="L254" s="15" t="str">
        <f aca="false">IF($F254="","",IF($F254&lt;1,ROUND($F254*1440,0),INT($F254/100)*60+MOD($F254,100)))</f>
        <v/>
      </c>
      <c r="M254" s="15" t="str">
        <f aca="false">IF($G254="","",IF($G254&lt;1,ROUND($G254*1440,0),INT($G254/100)*60+MOD($G254,100)))</f>
        <v/>
      </c>
      <c r="N254" s="15" t="str">
        <f aca="false">IF(OR($A254="",$B254="",$L254="",$M254="",$J254="취소"),"",IF(SUMPRODUCT(($A$3:$A$2002=$A254)*($B$3:$B$2002=$B254)*($J$3:$J$2002&lt;&gt;"취소")*($L$3:$L$2002&lt;&gt;"")*($M$3:$M$2002&lt;&gt;"")*($L$3:$L$2002&lt;$M254)*($M$3:$M$2002&gt;$L254))&gt;1,"중복","-"))</f>
        <v/>
      </c>
    </row>
    <row r="255" customFormat="false" ht="15" hidden="false" customHeight="true" outlineLevel="0" collapsed="false">
      <c r="A255" s="11"/>
      <c r="B255" s="7"/>
      <c r="C255" s="12" t="str">
        <f aca="false">IF($B255="","",IFERROR(INDEX(자원목록!$B$3:$B$102,MATCH($B255,자원목록!$A$3:$A$102,0)),"미등록자원"))</f>
        <v/>
      </c>
      <c r="D255" s="7"/>
      <c r="E255" s="12" t="str">
        <f aca="false">IF($D255="","",IFERROR(INDEX(고객목록!$B$3:$B$502,MATCH($D255,고객목록!$A$3:$A$502,0)),""))</f>
        <v/>
      </c>
      <c r="F255" s="13"/>
      <c r="G255" s="13"/>
      <c r="H255" s="14" t="str">
        <f aca="false">IF(OR($L255="",$M255=""),"",ROUND(($M255-$L255)/60,2))</f>
        <v/>
      </c>
      <c r="I255" s="9"/>
      <c r="J255" s="7"/>
      <c r="K255" s="7"/>
      <c r="L255" s="15" t="str">
        <f aca="false">IF($F255="","",IF($F255&lt;1,ROUND($F255*1440,0),INT($F255/100)*60+MOD($F255,100)))</f>
        <v/>
      </c>
      <c r="M255" s="15" t="str">
        <f aca="false">IF($G255="","",IF($G255&lt;1,ROUND($G255*1440,0),INT($G255/100)*60+MOD($G255,100)))</f>
        <v/>
      </c>
      <c r="N255" s="15" t="str">
        <f aca="false">IF(OR($A255="",$B255="",$L255="",$M255="",$J255="취소"),"",IF(SUMPRODUCT(($A$3:$A$2002=$A255)*($B$3:$B$2002=$B255)*($J$3:$J$2002&lt;&gt;"취소")*($L$3:$L$2002&lt;&gt;"")*($M$3:$M$2002&lt;&gt;"")*($L$3:$L$2002&lt;$M255)*($M$3:$M$2002&gt;$L255))&gt;1,"중복","-"))</f>
        <v/>
      </c>
    </row>
    <row r="256" customFormat="false" ht="15" hidden="false" customHeight="true" outlineLevel="0" collapsed="false">
      <c r="A256" s="11"/>
      <c r="B256" s="7"/>
      <c r="C256" s="12" t="str">
        <f aca="false">IF($B256="","",IFERROR(INDEX(자원목록!$B$3:$B$102,MATCH($B256,자원목록!$A$3:$A$102,0)),"미등록자원"))</f>
        <v/>
      </c>
      <c r="D256" s="7"/>
      <c r="E256" s="12" t="str">
        <f aca="false">IF($D256="","",IFERROR(INDEX(고객목록!$B$3:$B$502,MATCH($D256,고객목록!$A$3:$A$502,0)),""))</f>
        <v/>
      </c>
      <c r="F256" s="13"/>
      <c r="G256" s="13"/>
      <c r="H256" s="14" t="str">
        <f aca="false">IF(OR($L256="",$M256=""),"",ROUND(($M256-$L256)/60,2))</f>
        <v/>
      </c>
      <c r="I256" s="9"/>
      <c r="J256" s="7"/>
      <c r="K256" s="7"/>
      <c r="L256" s="15" t="str">
        <f aca="false">IF($F256="","",IF($F256&lt;1,ROUND($F256*1440,0),INT($F256/100)*60+MOD($F256,100)))</f>
        <v/>
      </c>
      <c r="M256" s="15" t="str">
        <f aca="false">IF($G256="","",IF($G256&lt;1,ROUND($G256*1440,0),INT($G256/100)*60+MOD($G256,100)))</f>
        <v/>
      </c>
      <c r="N256" s="15" t="str">
        <f aca="false">IF(OR($A256="",$B256="",$L256="",$M256="",$J256="취소"),"",IF(SUMPRODUCT(($A$3:$A$2002=$A256)*($B$3:$B$2002=$B256)*($J$3:$J$2002&lt;&gt;"취소")*($L$3:$L$2002&lt;&gt;"")*($M$3:$M$2002&lt;&gt;"")*($L$3:$L$2002&lt;$M256)*($M$3:$M$2002&gt;$L256))&gt;1,"중복","-"))</f>
        <v/>
      </c>
    </row>
    <row r="257" customFormat="false" ht="15" hidden="false" customHeight="true" outlineLevel="0" collapsed="false">
      <c r="A257" s="11"/>
      <c r="B257" s="7"/>
      <c r="C257" s="12" t="str">
        <f aca="false">IF($B257="","",IFERROR(INDEX(자원목록!$B$3:$B$102,MATCH($B257,자원목록!$A$3:$A$102,0)),"미등록자원"))</f>
        <v/>
      </c>
      <c r="D257" s="7"/>
      <c r="E257" s="12" t="str">
        <f aca="false">IF($D257="","",IFERROR(INDEX(고객목록!$B$3:$B$502,MATCH($D257,고객목록!$A$3:$A$502,0)),""))</f>
        <v/>
      </c>
      <c r="F257" s="13"/>
      <c r="G257" s="13"/>
      <c r="H257" s="14" t="str">
        <f aca="false">IF(OR($L257="",$M257=""),"",ROUND(($M257-$L257)/60,2))</f>
        <v/>
      </c>
      <c r="I257" s="9"/>
      <c r="J257" s="7"/>
      <c r="K257" s="7"/>
      <c r="L257" s="15" t="str">
        <f aca="false">IF($F257="","",IF($F257&lt;1,ROUND($F257*1440,0),INT($F257/100)*60+MOD($F257,100)))</f>
        <v/>
      </c>
      <c r="M257" s="15" t="str">
        <f aca="false">IF($G257="","",IF($G257&lt;1,ROUND($G257*1440,0),INT($G257/100)*60+MOD($G257,100)))</f>
        <v/>
      </c>
      <c r="N257" s="15" t="str">
        <f aca="false">IF(OR($A257="",$B257="",$L257="",$M257="",$J257="취소"),"",IF(SUMPRODUCT(($A$3:$A$2002=$A257)*($B$3:$B$2002=$B257)*($J$3:$J$2002&lt;&gt;"취소")*($L$3:$L$2002&lt;&gt;"")*($M$3:$M$2002&lt;&gt;"")*($L$3:$L$2002&lt;$M257)*($M$3:$M$2002&gt;$L257))&gt;1,"중복","-"))</f>
        <v/>
      </c>
    </row>
    <row r="258" customFormat="false" ht="15" hidden="false" customHeight="true" outlineLevel="0" collapsed="false">
      <c r="A258" s="11"/>
      <c r="B258" s="7"/>
      <c r="C258" s="12" t="str">
        <f aca="false">IF($B258="","",IFERROR(INDEX(자원목록!$B$3:$B$102,MATCH($B258,자원목록!$A$3:$A$102,0)),"미등록자원"))</f>
        <v/>
      </c>
      <c r="D258" s="7"/>
      <c r="E258" s="12" t="str">
        <f aca="false">IF($D258="","",IFERROR(INDEX(고객목록!$B$3:$B$502,MATCH($D258,고객목록!$A$3:$A$502,0)),""))</f>
        <v/>
      </c>
      <c r="F258" s="13"/>
      <c r="G258" s="13"/>
      <c r="H258" s="14" t="str">
        <f aca="false">IF(OR($L258="",$M258=""),"",ROUND(($M258-$L258)/60,2))</f>
        <v/>
      </c>
      <c r="I258" s="9"/>
      <c r="J258" s="7"/>
      <c r="K258" s="7"/>
      <c r="L258" s="15" t="str">
        <f aca="false">IF($F258="","",IF($F258&lt;1,ROUND($F258*1440,0),INT($F258/100)*60+MOD($F258,100)))</f>
        <v/>
      </c>
      <c r="M258" s="15" t="str">
        <f aca="false">IF($G258="","",IF($G258&lt;1,ROUND($G258*1440,0),INT($G258/100)*60+MOD($G258,100)))</f>
        <v/>
      </c>
      <c r="N258" s="15" t="str">
        <f aca="false">IF(OR($A258="",$B258="",$L258="",$M258="",$J258="취소"),"",IF(SUMPRODUCT(($A$3:$A$2002=$A258)*($B$3:$B$2002=$B258)*($J$3:$J$2002&lt;&gt;"취소")*($L$3:$L$2002&lt;&gt;"")*($M$3:$M$2002&lt;&gt;"")*($L$3:$L$2002&lt;$M258)*($M$3:$M$2002&gt;$L258))&gt;1,"중복","-"))</f>
        <v/>
      </c>
    </row>
    <row r="259" customFormat="false" ht="15" hidden="false" customHeight="true" outlineLevel="0" collapsed="false">
      <c r="A259" s="11"/>
      <c r="B259" s="7"/>
      <c r="C259" s="12" t="str">
        <f aca="false">IF($B259="","",IFERROR(INDEX(자원목록!$B$3:$B$102,MATCH($B259,자원목록!$A$3:$A$102,0)),"미등록자원"))</f>
        <v/>
      </c>
      <c r="D259" s="7"/>
      <c r="E259" s="12" t="str">
        <f aca="false">IF($D259="","",IFERROR(INDEX(고객목록!$B$3:$B$502,MATCH($D259,고객목록!$A$3:$A$502,0)),""))</f>
        <v/>
      </c>
      <c r="F259" s="13"/>
      <c r="G259" s="13"/>
      <c r="H259" s="14" t="str">
        <f aca="false">IF(OR($L259="",$M259=""),"",ROUND(($M259-$L259)/60,2))</f>
        <v/>
      </c>
      <c r="I259" s="9"/>
      <c r="J259" s="7"/>
      <c r="K259" s="7"/>
      <c r="L259" s="15" t="str">
        <f aca="false">IF($F259="","",IF($F259&lt;1,ROUND($F259*1440,0),INT($F259/100)*60+MOD($F259,100)))</f>
        <v/>
      </c>
      <c r="M259" s="15" t="str">
        <f aca="false">IF($G259="","",IF($G259&lt;1,ROUND($G259*1440,0),INT($G259/100)*60+MOD($G259,100)))</f>
        <v/>
      </c>
      <c r="N259" s="15" t="str">
        <f aca="false">IF(OR($A259="",$B259="",$L259="",$M259="",$J259="취소"),"",IF(SUMPRODUCT(($A$3:$A$2002=$A259)*($B$3:$B$2002=$B259)*($J$3:$J$2002&lt;&gt;"취소")*($L$3:$L$2002&lt;&gt;"")*($M$3:$M$2002&lt;&gt;"")*($L$3:$L$2002&lt;$M259)*($M$3:$M$2002&gt;$L259))&gt;1,"중복","-"))</f>
        <v/>
      </c>
    </row>
    <row r="260" customFormat="false" ht="15" hidden="false" customHeight="true" outlineLevel="0" collapsed="false">
      <c r="A260" s="11"/>
      <c r="B260" s="7"/>
      <c r="C260" s="12" t="str">
        <f aca="false">IF($B260="","",IFERROR(INDEX(자원목록!$B$3:$B$102,MATCH($B260,자원목록!$A$3:$A$102,0)),"미등록자원"))</f>
        <v/>
      </c>
      <c r="D260" s="7"/>
      <c r="E260" s="12" t="str">
        <f aca="false">IF($D260="","",IFERROR(INDEX(고객목록!$B$3:$B$502,MATCH($D260,고객목록!$A$3:$A$502,0)),""))</f>
        <v/>
      </c>
      <c r="F260" s="13"/>
      <c r="G260" s="13"/>
      <c r="H260" s="14" t="str">
        <f aca="false">IF(OR($L260="",$M260=""),"",ROUND(($M260-$L260)/60,2))</f>
        <v/>
      </c>
      <c r="I260" s="9"/>
      <c r="J260" s="7"/>
      <c r="K260" s="7"/>
      <c r="L260" s="15" t="str">
        <f aca="false">IF($F260="","",IF($F260&lt;1,ROUND($F260*1440,0),INT($F260/100)*60+MOD($F260,100)))</f>
        <v/>
      </c>
      <c r="M260" s="15" t="str">
        <f aca="false">IF($G260="","",IF($G260&lt;1,ROUND($G260*1440,0),INT($G260/100)*60+MOD($G260,100)))</f>
        <v/>
      </c>
      <c r="N260" s="15" t="str">
        <f aca="false">IF(OR($A260="",$B260="",$L260="",$M260="",$J260="취소"),"",IF(SUMPRODUCT(($A$3:$A$2002=$A260)*($B$3:$B$2002=$B260)*($J$3:$J$2002&lt;&gt;"취소")*($L$3:$L$2002&lt;&gt;"")*($M$3:$M$2002&lt;&gt;"")*($L$3:$L$2002&lt;$M260)*($M$3:$M$2002&gt;$L260))&gt;1,"중복","-"))</f>
        <v/>
      </c>
    </row>
    <row r="261" customFormat="false" ht="15" hidden="false" customHeight="true" outlineLevel="0" collapsed="false">
      <c r="A261" s="11"/>
      <c r="B261" s="7"/>
      <c r="C261" s="12" t="str">
        <f aca="false">IF($B261="","",IFERROR(INDEX(자원목록!$B$3:$B$102,MATCH($B261,자원목록!$A$3:$A$102,0)),"미등록자원"))</f>
        <v/>
      </c>
      <c r="D261" s="7"/>
      <c r="E261" s="12" t="str">
        <f aca="false">IF($D261="","",IFERROR(INDEX(고객목록!$B$3:$B$502,MATCH($D261,고객목록!$A$3:$A$502,0)),""))</f>
        <v/>
      </c>
      <c r="F261" s="13"/>
      <c r="G261" s="13"/>
      <c r="H261" s="14" t="str">
        <f aca="false">IF(OR($L261="",$M261=""),"",ROUND(($M261-$L261)/60,2))</f>
        <v/>
      </c>
      <c r="I261" s="9"/>
      <c r="J261" s="7"/>
      <c r="K261" s="7"/>
      <c r="L261" s="15" t="str">
        <f aca="false">IF($F261="","",IF($F261&lt;1,ROUND($F261*1440,0),INT($F261/100)*60+MOD($F261,100)))</f>
        <v/>
      </c>
      <c r="M261" s="15" t="str">
        <f aca="false">IF($G261="","",IF($G261&lt;1,ROUND($G261*1440,0),INT($G261/100)*60+MOD($G261,100)))</f>
        <v/>
      </c>
      <c r="N261" s="15" t="str">
        <f aca="false">IF(OR($A261="",$B261="",$L261="",$M261="",$J261="취소"),"",IF(SUMPRODUCT(($A$3:$A$2002=$A261)*($B$3:$B$2002=$B261)*($J$3:$J$2002&lt;&gt;"취소")*($L$3:$L$2002&lt;&gt;"")*($M$3:$M$2002&lt;&gt;"")*($L$3:$L$2002&lt;$M261)*($M$3:$M$2002&gt;$L261))&gt;1,"중복","-"))</f>
        <v/>
      </c>
    </row>
    <row r="262" customFormat="false" ht="15" hidden="false" customHeight="true" outlineLevel="0" collapsed="false">
      <c r="A262" s="11"/>
      <c r="B262" s="7"/>
      <c r="C262" s="12" t="str">
        <f aca="false">IF($B262="","",IFERROR(INDEX(자원목록!$B$3:$B$102,MATCH($B262,자원목록!$A$3:$A$102,0)),"미등록자원"))</f>
        <v/>
      </c>
      <c r="D262" s="7"/>
      <c r="E262" s="12" t="str">
        <f aca="false">IF($D262="","",IFERROR(INDEX(고객목록!$B$3:$B$502,MATCH($D262,고객목록!$A$3:$A$502,0)),""))</f>
        <v/>
      </c>
      <c r="F262" s="13"/>
      <c r="G262" s="13"/>
      <c r="H262" s="14" t="str">
        <f aca="false">IF(OR($L262="",$M262=""),"",ROUND(($M262-$L262)/60,2))</f>
        <v/>
      </c>
      <c r="I262" s="9"/>
      <c r="J262" s="7"/>
      <c r="K262" s="7"/>
      <c r="L262" s="15" t="str">
        <f aca="false">IF($F262="","",IF($F262&lt;1,ROUND($F262*1440,0),INT($F262/100)*60+MOD($F262,100)))</f>
        <v/>
      </c>
      <c r="M262" s="15" t="str">
        <f aca="false">IF($G262="","",IF($G262&lt;1,ROUND($G262*1440,0),INT($G262/100)*60+MOD($G262,100)))</f>
        <v/>
      </c>
      <c r="N262" s="15" t="str">
        <f aca="false">IF(OR($A262="",$B262="",$L262="",$M262="",$J262="취소"),"",IF(SUMPRODUCT(($A$3:$A$2002=$A262)*($B$3:$B$2002=$B262)*($J$3:$J$2002&lt;&gt;"취소")*($L$3:$L$2002&lt;&gt;"")*($M$3:$M$2002&lt;&gt;"")*($L$3:$L$2002&lt;$M262)*($M$3:$M$2002&gt;$L262))&gt;1,"중복","-"))</f>
        <v/>
      </c>
    </row>
    <row r="263" customFormat="false" ht="15" hidden="false" customHeight="true" outlineLevel="0" collapsed="false">
      <c r="A263" s="11"/>
      <c r="B263" s="7"/>
      <c r="C263" s="12" t="str">
        <f aca="false">IF($B263="","",IFERROR(INDEX(자원목록!$B$3:$B$102,MATCH($B263,자원목록!$A$3:$A$102,0)),"미등록자원"))</f>
        <v/>
      </c>
      <c r="D263" s="7"/>
      <c r="E263" s="12" t="str">
        <f aca="false">IF($D263="","",IFERROR(INDEX(고객목록!$B$3:$B$502,MATCH($D263,고객목록!$A$3:$A$502,0)),""))</f>
        <v/>
      </c>
      <c r="F263" s="13"/>
      <c r="G263" s="13"/>
      <c r="H263" s="14" t="str">
        <f aca="false">IF(OR($L263="",$M263=""),"",ROUND(($M263-$L263)/60,2))</f>
        <v/>
      </c>
      <c r="I263" s="9"/>
      <c r="J263" s="7"/>
      <c r="K263" s="7"/>
      <c r="L263" s="15" t="str">
        <f aca="false">IF($F263="","",IF($F263&lt;1,ROUND($F263*1440,0),INT($F263/100)*60+MOD($F263,100)))</f>
        <v/>
      </c>
      <c r="M263" s="15" t="str">
        <f aca="false">IF($G263="","",IF($G263&lt;1,ROUND($G263*1440,0),INT($G263/100)*60+MOD($G263,100)))</f>
        <v/>
      </c>
      <c r="N263" s="15" t="str">
        <f aca="false">IF(OR($A263="",$B263="",$L263="",$M263="",$J263="취소"),"",IF(SUMPRODUCT(($A$3:$A$2002=$A263)*($B$3:$B$2002=$B263)*($J$3:$J$2002&lt;&gt;"취소")*($L$3:$L$2002&lt;&gt;"")*($M$3:$M$2002&lt;&gt;"")*($L$3:$L$2002&lt;$M263)*($M$3:$M$2002&gt;$L263))&gt;1,"중복","-"))</f>
        <v/>
      </c>
    </row>
    <row r="264" customFormat="false" ht="15" hidden="false" customHeight="true" outlineLevel="0" collapsed="false">
      <c r="A264" s="11"/>
      <c r="B264" s="7"/>
      <c r="C264" s="12" t="str">
        <f aca="false">IF($B264="","",IFERROR(INDEX(자원목록!$B$3:$B$102,MATCH($B264,자원목록!$A$3:$A$102,0)),"미등록자원"))</f>
        <v/>
      </c>
      <c r="D264" s="7"/>
      <c r="E264" s="12" t="str">
        <f aca="false">IF($D264="","",IFERROR(INDEX(고객목록!$B$3:$B$502,MATCH($D264,고객목록!$A$3:$A$502,0)),""))</f>
        <v/>
      </c>
      <c r="F264" s="13"/>
      <c r="G264" s="13"/>
      <c r="H264" s="14" t="str">
        <f aca="false">IF(OR($L264="",$M264=""),"",ROUND(($M264-$L264)/60,2))</f>
        <v/>
      </c>
      <c r="I264" s="9"/>
      <c r="J264" s="7"/>
      <c r="K264" s="7"/>
      <c r="L264" s="15" t="str">
        <f aca="false">IF($F264="","",IF($F264&lt;1,ROUND($F264*1440,0),INT($F264/100)*60+MOD($F264,100)))</f>
        <v/>
      </c>
      <c r="M264" s="15" t="str">
        <f aca="false">IF($G264="","",IF($G264&lt;1,ROUND($G264*1440,0),INT($G264/100)*60+MOD($G264,100)))</f>
        <v/>
      </c>
      <c r="N264" s="15" t="str">
        <f aca="false">IF(OR($A264="",$B264="",$L264="",$M264="",$J264="취소"),"",IF(SUMPRODUCT(($A$3:$A$2002=$A264)*($B$3:$B$2002=$B264)*($J$3:$J$2002&lt;&gt;"취소")*($L$3:$L$2002&lt;&gt;"")*($M$3:$M$2002&lt;&gt;"")*($L$3:$L$2002&lt;$M264)*($M$3:$M$2002&gt;$L264))&gt;1,"중복","-"))</f>
        <v/>
      </c>
    </row>
    <row r="265" customFormat="false" ht="15" hidden="false" customHeight="true" outlineLevel="0" collapsed="false">
      <c r="A265" s="11"/>
      <c r="B265" s="7"/>
      <c r="C265" s="12" t="str">
        <f aca="false">IF($B265="","",IFERROR(INDEX(자원목록!$B$3:$B$102,MATCH($B265,자원목록!$A$3:$A$102,0)),"미등록자원"))</f>
        <v/>
      </c>
      <c r="D265" s="7"/>
      <c r="E265" s="12" t="str">
        <f aca="false">IF($D265="","",IFERROR(INDEX(고객목록!$B$3:$B$502,MATCH($D265,고객목록!$A$3:$A$502,0)),""))</f>
        <v/>
      </c>
      <c r="F265" s="13"/>
      <c r="G265" s="13"/>
      <c r="H265" s="14" t="str">
        <f aca="false">IF(OR($L265="",$M265=""),"",ROUND(($M265-$L265)/60,2))</f>
        <v/>
      </c>
      <c r="I265" s="9"/>
      <c r="J265" s="7"/>
      <c r="K265" s="7"/>
      <c r="L265" s="15" t="str">
        <f aca="false">IF($F265="","",IF($F265&lt;1,ROUND($F265*1440,0),INT($F265/100)*60+MOD($F265,100)))</f>
        <v/>
      </c>
      <c r="M265" s="15" t="str">
        <f aca="false">IF($G265="","",IF($G265&lt;1,ROUND($G265*1440,0),INT($G265/100)*60+MOD($G265,100)))</f>
        <v/>
      </c>
      <c r="N265" s="15" t="str">
        <f aca="false">IF(OR($A265="",$B265="",$L265="",$M265="",$J265="취소"),"",IF(SUMPRODUCT(($A$3:$A$2002=$A265)*($B$3:$B$2002=$B265)*($J$3:$J$2002&lt;&gt;"취소")*($L$3:$L$2002&lt;&gt;"")*($M$3:$M$2002&lt;&gt;"")*($L$3:$L$2002&lt;$M265)*($M$3:$M$2002&gt;$L265))&gt;1,"중복","-"))</f>
        <v/>
      </c>
    </row>
    <row r="266" customFormat="false" ht="15" hidden="false" customHeight="true" outlineLevel="0" collapsed="false">
      <c r="A266" s="11"/>
      <c r="B266" s="7"/>
      <c r="C266" s="12" t="str">
        <f aca="false">IF($B266="","",IFERROR(INDEX(자원목록!$B$3:$B$102,MATCH($B266,자원목록!$A$3:$A$102,0)),"미등록자원"))</f>
        <v/>
      </c>
      <c r="D266" s="7"/>
      <c r="E266" s="12" t="str">
        <f aca="false">IF($D266="","",IFERROR(INDEX(고객목록!$B$3:$B$502,MATCH($D266,고객목록!$A$3:$A$502,0)),""))</f>
        <v/>
      </c>
      <c r="F266" s="13"/>
      <c r="G266" s="13"/>
      <c r="H266" s="14" t="str">
        <f aca="false">IF(OR($L266="",$M266=""),"",ROUND(($M266-$L266)/60,2))</f>
        <v/>
      </c>
      <c r="I266" s="9"/>
      <c r="J266" s="7"/>
      <c r="K266" s="7"/>
      <c r="L266" s="15" t="str">
        <f aca="false">IF($F266="","",IF($F266&lt;1,ROUND($F266*1440,0),INT($F266/100)*60+MOD($F266,100)))</f>
        <v/>
      </c>
      <c r="M266" s="15" t="str">
        <f aca="false">IF($G266="","",IF($G266&lt;1,ROUND($G266*1440,0),INT($G266/100)*60+MOD($G266,100)))</f>
        <v/>
      </c>
      <c r="N266" s="15" t="str">
        <f aca="false">IF(OR($A266="",$B266="",$L266="",$M266="",$J266="취소"),"",IF(SUMPRODUCT(($A$3:$A$2002=$A266)*($B$3:$B$2002=$B266)*($J$3:$J$2002&lt;&gt;"취소")*($L$3:$L$2002&lt;&gt;"")*($M$3:$M$2002&lt;&gt;"")*($L$3:$L$2002&lt;$M266)*($M$3:$M$2002&gt;$L266))&gt;1,"중복","-"))</f>
        <v/>
      </c>
    </row>
    <row r="267" customFormat="false" ht="15" hidden="false" customHeight="true" outlineLevel="0" collapsed="false">
      <c r="A267" s="11"/>
      <c r="B267" s="7"/>
      <c r="C267" s="12" t="str">
        <f aca="false">IF($B267="","",IFERROR(INDEX(자원목록!$B$3:$B$102,MATCH($B267,자원목록!$A$3:$A$102,0)),"미등록자원"))</f>
        <v/>
      </c>
      <c r="D267" s="7"/>
      <c r="E267" s="12" t="str">
        <f aca="false">IF($D267="","",IFERROR(INDEX(고객목록!$B$3:$B$502,MATCH($D267,고객목록!$A$3:$A$502,0)),""))</f>
        <v/>
      </c>
      <c r="F267" s="13"/>
      <c r="G267" s="13"/>
      <c r="H267" s="14" t="str">
        <f aca="false">IF(OR($L267="",$M267=""),"",ROUND(($M267-$L267)/60,2))</f>
        <v/>
      </c>
      <c r="I267" s="9"/>
      <c r="J267" s="7"/>
      <c r="K267" s="7"/>
      <c r="L267" s="15" t="str">
        <f aca="false">IF($F267="","",IF($F267&lt;1,ROUND($F267*1440,0),INT($F267/100)*60+MOD($F267,100)))</f>
        <v/>
      </c>
      <c r="M267" s="15" t="str">
        <f aca="false">IF($G267="","",IF($G267&lt;1,ROUND($G267*1440,0),INT($G267/100)*60+MOD($G267,100)))</f>
        <v/>
      </c>
      <c r="N267" s="15" t="str">
        <f aca="false">IF(OR($A267="",$B267="",$L267="",$M267="",$J267="취소"),"",IF(SUMPRODUCT(($A$3:$A$2002=$A267)*($B$3:$B$2002=$B267)*($J$3:$J$2002&lt;&gt;"취소")*($L$3:$L$2002&lt;&gt;"")*($M$3:$M$2002&lt;&gt;"")*($L$3:$L$2002&lt;$M267)*($M$3:$M$2002&gt;$L267))&gt;1,"중복","-"))</f>
        <v/>
      </c>
    </row>
    <row r="268" customFormat="false" ht="15" hidden="false" customHeight="true" outlineLevel="0" collapsed="false">
      <c r="A268" s="11"/>
      <c r="B268" s="7"/>
      <c r="C268" s="12" t="str">
        <f aca="false">IF($B268="","",IFERROR(INDEX(자원목록!$B$3:$B$102,MATCH($B268,자원목록!$A$3:$A$102,0)),"미등록자원"))</f>
        <v/>
      </c>
      <c r="D268" s="7"/>
      <c r="E268" s="12" t="str">
        <f aca="false">IF($D268="","",IFERROR(INDEX(고객목록!$B$3:$B$502,MATCH($D268,고객목록!$A$3:$A$502,0)),""))</f>
        <v/>
      </c>
      <c r="F268" s="13"/>
      <c r="G268" s="13"/>
      <c r="H268" s="14" t="str">
        <f aca="false">IF(OR($L268="",$M268=""),"",ROUND(($M268-$L268)/60,2))</f>
        <v/>
      </c>
      <c r="I268" s="9"/>
      <c r="J268" s="7"/>
      <c r="K268" s="7"/>
      <c r="L268" s="15" t="str">
        <f aca="false">IF($F268="","",IF($F268&lt;1,ROUND($F268*1440,0),INT($F268/100)*60+MOD($F268,100)))</f>
        <v/>
      </c>
      <c r="M268" s="15" t="str">
        <f aca="false">IF($G268="","",IF($G268&lt;1,ROUND($G268*1440,0),INT($G268/100)*60+MOD($G268,100)))</f>
        <v/>
      </c>
      <c r="N268" s="15" t="str">
        <f aca="false">IF(OR($A268="",$B268="",$L268="",$M268="",$J268="취소"),"",IF(SUMPRODUCT(($A$3:$A$2002=$A268)*($B$3:$B$2002=$B268)*($J$3:$J$2002&lt;&gt;"취소")*($L$3:$L$2002&lt;&gt;"")*($M$3:$M$2002&lt;&gt;"")*($L$3:$L$2002&lt;$M268)*($M$3:$M$2002&gt;$L268))&gt;1,"중복","-"))</f>
        <v/>
      </c>
    </row>
    <row r="269" customFormat="false" ht="15" hidden="false" customHeight="true" outlineLevel="0" collapsed="false">
      <c r="A269" s="11"/>
      <c r="B269" s="7"/>
      <c r="C269" s="12" t="str">
        <f aca="false">IF($B269="","",IFERROR(INDEX(자원목록!$B$3:$B$102,MATCH($B269,자원목록!$A$3:$A$102,0)),"미등록자원"))</f>
        <v/>
      </c>
      <c r="D269" s="7"/>
      <c r="E269" s="12" t="str">
        <f aca="false">IF($D269="","",IFERROR(INDEX(고객목록!$B$3:$B$502,MATCH($D269,고객목록!$A$3:$A$502,0)),""))</f>
        <v/>
      </c>
      <c r="F269" s="13"/>
      <c r="G269" s="13"/>
      <c r="H269" s="14" t="str">
        <f aca="false">IF(OR($L269="",$M269=""),"",ROUND(($M269-$L269)/60,2))</f>
        <v/>
      </c>
      <c r="I269" s="9"/>
      <c r="J269" s="7"/>
      <c r="K269" s="7"/>
      <c r="L269" s="15" t="str">
        <f aca="false">IF($F269="","",IF($F269&lt;1,ROUND($F269*1440,0),INT($F269/100)*60+MOD($F269,100)))</f>
        <v/>
      </c>
      <c r="M269" s="15" t="str">
        <f aca="false">IF($G269="","",IF($G269&lt;1,ROUND($G269*1440,0),INT($G269/100)*60+MOD($G269,100)))</f>
        <v/>
      </c>
      <c r="N269" s="15" t="str">
        <f aca="false">IF(OR($A269="",$B269="",$L269="",$M269="",$J269="취소"),"",IF(SUMPRODUCT(($A$3:$A$2002=$A269)*($B$3:$B$2002=$B269)*($J$3:$J$2002&lt;&gt;"취소")*($L$3:$L$2002&lt;&gt;"")*($M$3:$M$2002&lt;&gt;"")*($L$3:$L$2002&lt;$M269)*($M$3:$M$2002&gt;$L269))&gt;1,"중복","-"))</f>
        <v/>
      </c>
    </row>
    <row r="270" customFormat="false" ht="15" hidden="false" customHeight="true" outlineLevel="0" collapsed="false">
      <c r="A270" s="11"/>
      <c r="B270" s="7"/>
      <c r="C270" s="12" t="str">
        <f aca="false">IF($B270="","",IFERROR(INDEX(자원목록!$B$3:$B$102,MATCH($B270,자원목록!$A$3:$A$102,0)),"미등록자원"))</f>
        <v/>
      </c>
      <c r="D270" s="7"/>
      <c r="E270" s="12" t="str">
        <f aca="false">IF($D270="","",IFERROR(INDEX(고객목록!$B$3:$B$502,MATCH($D270,고객목록!$A$3:$A$502,0)),""))</f>
        <v/>
      </c>
      <c r="F270" s="13"/>
      <c r="G270" s="13"/>
      <c r="H270" s="14" t="str">
        <f aca="false">IF(OR($L270="",$M270=""),"",ROUND(($M270-$L270)/60,2))</f>
        <v/>
      </c>
      <c r="I270" s="9"/>
      <c r="J270" s="7"/>
      <c r="K270" s="7"/>
      <c r="L270" s="15" t="str">
        <f aca="false">IF($F270="","",IF($F270&lt;1,ROUND($F270*1440,0),INT($F270/100)*60+MOD($F270,100)))</f>
        <v/>
      </c>
      <c r="M270" s="15" t="str">
        <f aca="false">IF($G270="","",IF($G270&lt;1,ROUND($G270*1440,0),INT($G270/100)*60+MOD($G270,100)))</f>
        <v/>
      </c>
      <c r="N270" s="15" t="str">
        <f aca="false">IF(OR($A270="",$B270="",$L270="",$M270="",$J270="취소"),"",IF(SUMPRODUCT(($A$3:$A$2002=$A270)*($B$3:$B$2002=$B270)*($J$3:$J$2002&lt;&gt;"취소")*($L$3:$L$2002&lt;&gt;"")*($M$3:$M$2002&lt;&gt;"")*($L$3:$L$2002&lt;$M270)*($M$3:$M$2002&gt;$L270))&gt;1,"중복","-"))</f>
        <v/>
      </c>
    </row>
    <row r="271" customFormat="false" ht="15" hidden="false" customHeight="true" outlineLevel="0" collapsed="false">
      <c r="A271" s="11"/>
      <c r="B271" s="7"/>
      <c r="C271" s="12" t="str">
        <f aca="false">IF($B271="","",IFERROR(INDEX(자원목록!$B$3:$B$102,MATCH($B271,자원목록!$A$3:$A$102,0)),"미등록자원"))</f>
        <v/>
      </c>
      <c r="D271" s="7"/>
      <c r="E271" s="12" t="str">
        <f aca="false">IF($D271="","",IFERROR(INDEX(고객목록!$B$3:$B$502,MATCH($D271,고객목록!$A$3:$A$502,0)),""))</f>
        <v/>
      </c>
      <c r="F271" s="13"/>
      <c r="G271" s="13"/>
      <c r="H271" s="14" t="str">
        <f aca="false">IF(OR($L271="",$M271=""),"",ROUND(($M271-$L271)/60,2))</f>
        <v/>
      </c>
      <c r="I271" s="9"/>
      <c r="J271" s="7"/>
      <c r="K271" s="7"/>
      <c r="L271" s="15" t="str">
        <f aca="false">IF($F271="","",IF($F271&lt;1,ROUND($F271*1440,0),INT($F271/100)*60+MOD($F271,100)))</f>
        <v/>
      </c>
      <c r="M271" s="15" t="str">
        <f aca="false">IF($G271="","",IF($G271&lt;1,ROUND($G271*1440,0),INT($G271/100)*60+MOD($G271,100)))</f>
        <v/>
      </c>
      <c r="N271" s="15" t="str">
        <f aca="false">IF(OR($A271="",$B271="",$L271="",$M271="",$J271="취소"),"",IF(SUMPRODUCT(($A$3:$A$2002=$A271)*($B$3:$B$2002=$B271)*($J$3:$J$2002&lt;&gt;"취소")*($L$3:$L$2002&lt;&gt;"")*($M$3:$M$2002&lt;&gt;"")*($L$3:$L$2002&lt;$M271)*($M$3:$M$2002&gt;$L271))&gt;1,"중복","-"))</f>
        <v/>
      </c>
    </row>
    <row r="272" customFormat="false" ht="15" hidden="false" customHeight="true" outlineLevel="0" collapsed="false">
      <c r="A272" s="11"/>
      <c r="B272" s="7"/>
      <c r="C272" s="12" t="str">
        <f aca="false">IF($B272="","",IFERROR(INDEX(자원목록!$B$3:$B$102,MATCH($B272,자원목록!$A$3:$A$102,0)),"미등록자원"))</f>
        <v/>
      </c>
      <c r="D272" s="7"/>
      <c r="E272" s="12" t="str">
        <f aca="false">IF($D272="","",IFERROR(INDEX(고객목록!$B$3:$B$502,MATCH($D272,고객목록!$A$3:$A$502,0)),""))</f>
        <v/>
      </c>
      <c r="F272" s="13"/>
      <c r="G272" s="13"/>
      <c r="H272" s="14" t="str">
        <f aca="false">IF(OR($L272="",$M272=""),"",ROUND(($M272-$L272)/60,2))</f>
        <v/>
      </c>
      <c r="I272" s="9"/>
      <c r="J272" s="7"/>
      <c r="K272" s="7"/>
      <c r="L272" s="15" t="str">
        <f aca="false">IF($F272="","",IF($F272&lt;1,ROUND($F272*1440,0),INT($F272/100)*60+MOD($F272,100)))</f>
        <v/>
      </c>
      <c r="M272" s="15" t="str">
        <f aca="false">IF($G272="","",IF($G272&lt;1,ROUND($G272*1440,0),INT($G272/100)*60+MOD($G272,100)))</f>
        <v/>
      </c>
      <c r="N272" s="15" t="str">
        <f aca="false">IF(OR($A272="",$B272="",$L272="",$M272="",$J272="취소"),"",IF(SUMPRODUCT(($A$3:$A$2002=$A272)*($B$3:$B$2002=$B272)*($J$3:$J$2002&lt;&gt;"취소")*($L$3:$L$2002&lt;&gt;"")*($M$3:$M$2002&lt;&gt;"")*($L$3:$L$2002&lt;$M272)*($M$3:$M$2002&gt;$L272))&gt;1,"중복","-"))</f>
        <v/>
      </c>
    </row>
    <row r="273" customFormat="false" ht="15" hidden="false" customHeight="true" outlineLevel="0" collapsed="false">
      <c r="A273" s="11"/>
      <c r="B273" s="7"/>
      <c r="C273" s="12" t="str">
        <f aca="false">IF($B273="","",IFERROR(INDEX(자원목록!$B$3:$B$102,MATCH($B273,자원목록!$A$3:$A$102,0)),"미등록자원"))</f>
        <v/>
      </c>
      <c r="D273" s="7"/>
      <c r="E273" s="12" t="str">
        <f aca="false">IF($D273="","",IFERROR(INDEX(고객목록!$B$3:$B$502,MATCH($D273,고객목록!$A$3:$A$502,0)),""))</f>
        <v/>
      </c>
      <c r="F273" s="13"/>
      <c r="G273" s="13"/>
      <c r="H273" s="14" t="str">
        <f aca="false">IF(OR($L273="",$M273=""),"",ROUND(($M273-$L273)/60,2))</f>
        <v/>
      </c>
      <c r="I273" s="9"/>
      <c r="J273" s="7"/>
      <c r="K273" s="7"/>
      <c r="L273" s="15" t="str">
        <f aca="false">IF($F273="","",IF($F273&lt;1,ROUND($F273*1440,0),INT($F273/100)*60+MOD($F273,100)))</f>
        <v/>
      </c>
      <c r="M273" s="15" t="str">
        <f aca="false">IF($G273="","",IF($G273&lt;1,ROUND($G273*1440,0),INT($G273/100)*60+MOD($G273,100)))</f>
        <v/>
      </c>
      <c r="N273" s="15" t="str">
        <f aca="false">IF(OR($A273="",$B273="",$L273="",$M273="",$J273="취소"),"",IF(SUMPRODUCT(($A$3:$A$2002=$A273)*($B$3:$B$2002=$B273)*($J$3:$J$2002&lt;&gt;"취소")*($L$3:$L$2002&lt;&gt;"")*($M$3:$M$2002&lt;&gt;"")*($L$3:$L$2002&lt;$M273)*($M$3:$M$2002&gt;$L273))&gt;1,"중복","-"))</f>
        <v/>
      </c>
    </row>
    <row r="274" customFormat="false" ht="15" hidden="false" customHeight="true" outlineLevel="0" collapsed="false">
      <c r="A274" s="11"/>
      <c r="B274" s="7"/>
      <c r="C274" s="12" t="str">
        <f aca="false">IF($B274="","",IFERROR(INDEX(자원목록!$B$3:$B$102,MATCH($B274,자원목록!$A$3:$A$102,0)),"미등록자원"))</f>
        <v/>
      </c>
      <c r="D274" s="7"/>
      <c r="E274" s="12" t="str">
        <f aca="false">IF($D274="","",IFERROR(INDEX(고객목록!$B$3:$B$502,MATCH($D274,고객목록!$A$3:$A$502,0)),""))</f>
        <v/>
      </c>
      <c r="F274" s="13"/>
      <c r="G274" s="13"/>
      <c r="H274" s="14" t="str">
        <f aca="false">IF(OR($L274="",$M274=""),"",ROUND(($M274-$L274)/60,2))</f>
        <v/>
      </c>
      <c r="I274" s="9"/>
      <c r="J274" s="7"/>
      <c r="K274" s="7"/>
      <c r="L274" s="15" t="str">
        <f aca="false">IF($F274="","",IF($F274&lt;1,ROUND($F274*1440,0),INT($F274/100)*60+MOD($F274,100)))</f>
        <v/>
      </c>
      <c r="M274" s="15" t="str">
        <f aca="false">IF($G274="","",IF($G274&lt;1,ROUND($G274*1440,0),INT($G274/100)*60+MOD($G274,100)))</f>
        <v/>
      </c>
      <c r="N274" s="15" t="str">
        <f aca="false">IF(OR($A274="",$B274="",$L274="",$M274="",$J274="취소"),"",IF(SUMPRODUCT(($A$3:$A$2002=$A274)*($B$3:$B$2002=$B274)*($J$3:$J$2002&lt;&gt;"취소")*($L$3:$L$2002&lt;&gt;"")*($M$3:$M$2002&lt;&gt;"")*($L$3:$L$2002&lt;$M274)*($M$3:$M$2002&gt;$L274))&gt;1,"중복","-"))</f>
        <v/>
      </c>
    </row>
    <row r="275" customFormat="false" ht="15" hidden="false" customHeight="true" outlineLevel="0" collapsed="false">
      <c r="A275" s="11"/>
      <c r="B275" s="7"/>
      <c r="C275" s="12" t="str">
        <f aca="false">IF($B275="","",IFERROR(INDEX(자원목록!$B$3:$B$102,MATCH($B275,자원목록!$A$3:$A$102,0)),"미등록자원"))</f>
        <v/>
      </c>
      <c r="D275" s="7"/>
      <c r="E275" s="12" t="str">
        <f aca="false">IF($D275="","",IFERROR(INDEX(고객목록!$B$3:$B$502,MATCH($D275,고객목록!$A$3:$A$502,0)),""))</f>
        <v/>
      </c>
      <c r="F275" s="13"/>
      <c r="G275" s="13"/>
      <c r="H275" s="14" t="str">
        <f aca="false">IF(OR($L275="",$M275=""),"",ROUND(($M275-$L275)/60,2))</f>
        <v/>
      </c>
      <c r="I275" s="9"/>
      <c r="J275" s="7"/>
      <c r="K275" s="7"/>
      <c r="L275" s="15" t="str">
        <f aca="false">IF($F275="","",IF($F275&lt;1,ROUND($F275*1440,0),INT($F275/100)*60+MOD($F275,100)))</f>
        <v/>
      </c>
      <c r="M275" s="15" t="str">
        <f aca="false">IF($G275="","",IF($G275&lt;1,ROUND($G275*1440,0),INT($G275/100)*60+MOD($G275,100)))</f>
        <v/>
      </c>
      <c r="N275" s="15" t="str">
        <f aca="false">IF(OR($A275="",$B275="",$L275="",$M275="",$J275="취소"),"",IF(SUMPRODUCT(($A$3:$A$2002=$A275)*($B$3:$B$2002=$B275)*($J$3:$J$2002&lt;&gt;"취소")*($L$3:$L$2002&lt;&gt;"")*($M$3:$M$2002&lt;&gt;"")*($L$3:$L$2002&lt;$M275)*($M$3:$M$2002&gt;$L275))&gt;1,"중복","-"))</f>
        <v/>
      </c>
    </row>
    <row r="276" customFormat="false" ht="15" hidden="false" customHeight="true" outlineLevel="0" collapsed="false">
      <c r="A276" s="11"/>
      <c r="B276" s="7"/>
      <c r="C276" s="12" t="str">
        <f aca="false">IF($B276="","",IFERROR(INDEX(자원목록!$B$3:$B$102,MATCH($B276,자원목록!$A$3:$A$102,0)),"미등록자원"))</f>
        <v/>
      </c>
      <c r="D276" s="7"/>
      <c r="E276" s="12" t="str">
        <f aca="false">IF($D276="","",IFERROR(INDEX(고객목록!$B$3:$B$502,MATCH($D276,고객목록!$A$3:$A$502,0)),""))</f>
        <v/>
      </c>
      <c r="F276" s="13"/>
      <c r="G276" s="13"/>
      <c r="H276" s="14" t="str">
        <f aca="false">IF(OR($L276="",$M276=""),"",ROUND(($M276-$L276)/60,2))</f>
        <v/>
      </c>
      <c r="I276" s="9"/>
      <c r="J276" s="7"/>
      <c r="K276" s="7"/>
      <c r="L276" s="15" t="str">
        <f aca="false">IF($F276="","",IF($F276&lt;1,ROUND($F276*1440,0),INT($F276/100)*60+MOD($F276,100)))</f>
        <v/>
      </c>
      <c r="M276" s="15" t="str">
        <f aca="false">IF($G276="","",IF($G276&lt;1,ROUND($G276*1440,0),INT($G276/100)*60+MOD($G276,100)))</f>
        <v/>
      </c>
      <c r="N276" s="15" t="str">
        <f aca="false">IF(OR($A276="",$B276="",$L276="",$M276="",$J276="취소"),"",IF(SUMPRODUCT(($A$3:$A$2002=$A276)*($B$3:$B$2002=$B276)*($J$3:$J$2002&lt;&gt;"취소")*($L$3:$L$2002&lt;&gt;"")*($M$3:$M$2002&lt;&gt;"")*($L$3:$L$2002&lt;$M276)*($M$3:$M$2002&gt;$L276))&gt;1,"중복","-"))</f>
        <v/>
      </c>
    </row>
    <row r="277" customFormat="false" ht="15" hidden="false" customHeight="true" outlineLevel="0" collapsed="false">
      <c r="A277" s="11"/>
      <c r="B277" s="7"/>
      <c r="C277" s="12" t="str">
        <f aca="false">IF($B277="","",IFERROR(INDEX(자원목록!$B$3:$B$102,MATCH($B277,자원목록!$A$3:$A$102,0)),"미등록자원"))</f>
        <v/>
      </c>
      <c r="D277" s="7"/>
      <c r="E277" s="12" t="str">
        <f aca="false">IF($D277="","",IFERROR(INDEX(고객목록!$B$3:$B$502,MATCH($D277,고객목록!$A$3:$A$502,0)),""))</f>
        <v/>
      </c>
      <c r="F277" s="13"/>
      <c r="G277" s="13"/>
      <c r="H277" s="14" t="str">
        <f aca="false">IF(OR($L277="",$M277=""),"",ROUND(($M277-$L277)/60,2))</f>
        <v/>
      </c>
      <c r="I277" s="9"/>
      <c r="J277" s="7"/>
      <c r="K277" s="7"/>
      <c r="L277" s="15" t="str">
        <f aca="false">IF($F277="","",IF($F277&lt;1,ROUND($F277*1440,0),INT($F277/100)*60+MOD($F277,100)))</f>
        <v/>
      </c>
      <c r="M277" s="15" t="str">
        <f aca="false">IF($G277="","",IF($G277&lt;1,ROUND($G277*1440,0),INT($G277/100)*60+MOD($G277,100)))</f>
        <v/>
      </c>
      <c r="N277" s="15" t="str">
        <f aca="false">IF(OR($A277="",$B277="",$L277="",$M277="",$J277="취소"),"",IF(SUMPRODUCT(($A$3:$A$2002=$A277)*($B$3:$B$2002=$B277)*($J$3:$J$2002&lt;&gt;"취소")*($L$3:$L$2002&lt;&gt;"")*($M$3:$M$2002&lt;&gt;"")*($L$3:$L$2002&lt;$M277)*($M$3:$M$2002&gt;$L277))&gt;1,"중복","-"))</f>
        <v/>
      </c>
    </row>
    <row r="278" customFormat="false" ht="15" hidden="false" customHeight="true" outlineLevel="0" collapsed="false">
      <c r="A278" s="11"/>
      <c r="B278" s="7"/>
      <c r="C278" s="12" t="str">
        <f aca="false">IF($B278="","",IFERROR(INDEX(자원목록!$B$3:$B$102,MATCH($B278,자원목록!$A$3:$A$102,0)),"미등록자원"))</f>
        <v/>
      </c>
      <c r="D278" s="7"/>
      <c r="E278" s="12" t="str">
        <f aca="false">IF($D278="","",IFERROR(INDEX(고객목록!$B$3:$B$502,MATCH($D278,고객목록!$A$3:$A$502,0)),""))</f>
        <v/>
      </c>
      <c r="F278" s="13"/>
      <c r="G278" s="13"/>
      <c r="H278" s="14" t="str">
        <f aca="false">IF(OR($L278="",$M278=""),"",ROUND(($M278-$L278)/60,2))</f>
        <v/>
      </c>
      <c r="I278" s="9"/>
      <c r="J278" s="7"/>
      <c r="K278" s="7"/>
      <c r="L278" s="15" t="str">
        <f aca="false">IF($F278="","",IF($F278&lt;1,ROUND($F278*1440,0),INT($F278/100)*60+MOD($F278,100)))</f>
        <v/>
      </c>
      <c r="M278" s="15" t="str">
        <f aca="false">IF($G278="","",IF($G278&lt;1,ROUND($G278*1440,0),INT($G278/100)*60+MOD($G278,100)))</f>
        <v/>
      </c>
      <c r="N278" s="15" t="str">
        <f aca="false">IF(OR($A278="",$B278="",$L278="",$M278="",$J278="취소"),"",IF(SUMPRODUCT(($A$3:$A$2002=$A278)*($B$3:$B$2002=$B278)*($J$3:$J$2002&lt;&gt;"취소")*($L$3:$L$2002&lt;&gt;"")*($M$3:$M$2002&lt;&gt;"")*($L$3:$L$2002&lt;$M278)*($M$3:$M$2002&gt;$L278))&gt;1,"중복","-"))</f>
        <v/>
      </c>
    </row>
    <row r="279" customFormat="false" ht="15" hidden="false" customHeight="true" outlineLevel="0" collapsed="false">
      <c r="A279" s="11"/>
      <c r="B279" s="7"/>
      <c r="C279" s="12" t="str">
        <f aca="false">IF($B279="","",IFERROR(INDEX(자원목록!$B$3:$B$102,MATCH($B279,자원목록!$A$3:$A$102,0)),"미등록자원"))</f>
        <v/>
      </c>
      <c r="D279" s="7"/>
      <c r="E279" s="12" t="str">
        <f aca="false">IF($D279="","",IFERROR(INDEX(고객목록!$B$3:$B$502,MATCH($D279,고객목록!$A$3:$A$502,0)),""))</f>
        <v/>
      </c>
      <c r="F279" s="13"/>
      <c r="G279" s="13"/>
      <c r="H279" s="14" t="str">
        <f aca="false">IF(OR($L279="",$M279=""),"",ROUND(($M279-$L279)/60,2))</f>
        <v/>
      </c>
      <c r="I279" s="9"/>
      <c r="J279" s="7"/>
      <c r="K279" s="7"/>
      <c r="L279" s="15" t="str">
        <f aca="false">IF($F279="","",IF($F279&lt;1,ROUND($F279*1440,0),INT($F279/100)*60+MOD($F279,100)))</f>
        <v/>
      </c>
      <c r="M279" s="15" t="str">
        <f aca="false">IF($G279="","",IF($G279&lt;1,ROUND($G279*1440,0),INT($G279/100)*60+MOD($G279,100)))</f>
        <v/>
      </c>
      <c r="N279" s="15" t="str">
        <f aca="false">IF(OR($A279="",$B279="",$L279="",$M279="",$J279="취소"),"",IF(SUMPRODUCT(($A$3:$A$2002=$A279)*($B$3:$B$2002=$B279)*($J$3:$J$2002&lt;&gt;"취소")*($L$3:$L$2002&lt;&gt;"")*($M$3:$M$2002&lt;&gt;"")*($L$3:$L$2002&lt;$M279)*($M$3:$M$2002&gt;$L279))&gt;1,"중복","-"))</f>
        <v/>
      </c>
    </row>
    <row r="280" customFormat="false" ht="15" hidden="false" customHeight="true" outlineLevel="0" collapsed="false">
      <c r="A280" s="11"/>
      <c r="B280" s="7"/>
      <c r="C280" s="12" t="str">
        <f aca="false">IF($B280="","",IFERROR(INDEX(자원목록!$B$3:$B$102,MATCH($B280,자원목록!$A$3:$A$102,0)),"미등록자원"))</f>
        <v/>
      </c>
      <c r="D280" s="7"/>
      <c r="E280" s="12" t="str">
        <f aca="false">IF($D280="","",IFERROR(INDEX(고객목록!$B$3:$B$502,MATCH($D280,고객목록!$A$3:$A$502,0)),""))</f>
        <v/>
      </c>
      <c r="F280" s="13"/>
      <c r="G280" s="13"/>
      <c r="H280" s="14" t="str">
        <f aca="false">IF(OR($L280="",$M280=""),"",ROUND(($M280-$L280)/60,2))</f>
        <v/>
      </c>
      <c r="I280" s="9"/>
      <c r="J280" s="7"/>
      <c r="K280" s="7"/>
      <c r="L280" s="15" t="str">
        <f aca="false">IF($F280="","",IF($F280&lt;1,ROUND($F280*1440,0),INT($F280/100)*60+MOD($F280,100)))</f>
        <v/>
      </c>
      <c r="M280" s="15" t="str">
        <f aca="false">IF($G280="","",IF($G280&lt;1,ROUND($G280*1440,0),INT($G280/100)*60+MOD($G280,100)))</f>
        <v/>
      </c>
      <c r="N280" s="15" t="str">
        <f aca="false">IF(OR($A280="",$B280="",$L280="",$M280="",$J280="취소"),"",IF(SUMPRODUCT(($A$3:$A$2002=$A280)*($B$3:$B$2002=$B280)*($J$3:$J$2002&lt;&gt;"취소")*($L$3:$L$2002&lt;&gt;"")*($M$3:$M$2002&lt;&gt;"")*($L$3:$L$2002&lt;$M280)*($M$3:$M$2002&gt;$L280))&gt;1,"중복","-"))</f>
        <v/>
      </c>
    </row>
    <row r="281" customFormat="false" ht="15" hidden="false" customHeight="true" outlineLevel="0" collapsed="false">
      <c r="A281" s="11"/>
      <c r="B281" s="7"/>
      <c r="C281" s="12" t="str">
        <f aca="false">IF($B281="","",IFERROR(INDEX(자원목록!$B$3:$B$102,MATCH($B281,자원목록!$A$3:$A$102,0)),"미등록자원"))</f>
        <v/>
      </c>
      <c r="D281" s="7"/>
      <c r="E281" s="12" t="str">
        <f aca="false">IF($D281="","",IFERROR(INDEX(고객목록!$B$3:$B$502,MATCH($D281,고객목록!$A$3:$A$502,0)),""))</f>
        <v/>
      </c>
      <c r="F281" s="13"/>
      <c r="G281" s="13"/>
      <c r="H281" s="14" t="str">
        <f aca="false">IF(OR($L281="",$M281=""),"",ROUND(($M281-$L281)/60,2))</f>
        <v/>
      </c>
      <c r="I281" s="9"/>
      <c r="J281" s="7"/>
      <c r="K281" s="7"/>
      <c r="L281" s="15" t="str">
        <f aca="false">IF($F281="","",IF($F281&lt;1,ROUND($F281*1440,0),INT($F281/100)*60+MOD($F281,100)))</f>
        <v/>
      </c>
      <c r="M281" s="15" t="str">
        <f aca="false">IF($G281="","",IF($G281&lt;1,ROUND($G281*1440,0),INT($G281/100)*60+MOD($G281,100)))</f>
        <v/>
      </c>
      <c r="N281" s="15" t="str">
        <f aca="false">IF(OR($A281="",$B281="",$L281="",$M281="",$J281="취소"),"",IF(SUMPRODUCT(($A$3:$A$2002=$A281)*($B$3:$B$2002=$B281)*($J$3:$J$2002&lt;&gt;"취소")*($L$3:$L$2002&lt;&gt;"")*($M$3:$M$2002&lt;&gt;"")*($L$3:$L$2002&lt;$M281)*($M$3:$M$2002&gt;$L281))&gt;1,"중복","-"))</f>
        <v/>
      </c>
    </row>
    <row r="282" customFormat="false" ht="15" hidden="false" customHeight="true" outlineLevel="0" collapsed="false">
      <c r="A282" s="11"/>
      <c r="B282" s="7"/>
      <c r="C282" s="12" t="str">
        <f aca="false">IF($B282="","",IFERROR(INDEX(자원목록!$B$3:$B$102,MATCH($B282,자원목록!$A$3:$A$102,0)),"미등록자원"))</f>
        <v/>
      </c>
      <c r="D282" s="7"/>
      <c r="E282" s="12" t="str">
        <f aca="false">IF($D282="","",IFERROR(INDEX(고객목록!$B$3:$B$502,MATCH($D282,고객목록!$A$3:$A$502,0)),""))</f>
        <v/>
      </c>
      <c r="F282" s="13"/>
      <c r="G282" s="13"/>
      <c r="H282" s="14" t="str">
        <f aca="false">IF(OR($L282="",$M282=""),"",ROUND(($M282-$L282)/60,2))</f>
        <v/>
      </c>
      <c r="I282" s="9"/>
      <c r="J282" s="7"/>
      <c r="K282" s="7"/>
      <c r="L282" s="15" t="str">
        <f aca="false">IF($F282="","",IF($F282&lt;1,ROUND($F282*1440,0),INT($F282/100)*60+MOD($F282,100)))</f>
        <v/>
      </c>
      <c r="M282" s="15" t="str">
        <f aca="false">IF($G282="","",IF($G282&lt;1,ROUND($G282*1440,0),INT($G282/100)*60+MOD($G282,100)))</f>
        <v/>
      </c>
      <c r="N282" s="15" t="str">
        <f aca="false">IF(OR($A282="",$B282="",$L282="",$M282="",$J282="취소"),"",IF(SUMPRODUCT(($A$3:$A$2002=$A282)*($B$3:$B$2002=$B282)*($J$3:$J$2002&lt;&gt;"취소")*($L$3:$L$2002&lt;&gt;"")*($M$3:$M$2002&lt;&gt;"")*($L$3:$L$2002&lt;$M282)*($M$3:$M$2002&gt;$L282))&gt;1,"중복","-"))</f>
        <v/>
      </c>
    </row>
    <row r="283" customFormat="false" ht="15" hidden="false" customHeight="true" outlineLevel="0" collapsed="false">
      <c r="A283" s="11"/>
      <c r="B283" s="7"/>
      <c r="C283" s="12" t="str">
        <f aca="false">IF($B283="","",IFERROR(INDEX(자원목록!$B$3:$B$102,MATCH($B283,자원목록!$A$3:$A$102,0)),"미등록자원"))</f>
        <v/>
      </c>
      <c r="D283" s="7"/>
      <c r="E283" s="12" t="str">
        <f aca="false">IF($D283="","",IFERROR(INDEX(고객목록!$B$3:$B$502,MATCH($D283,고객목록!$A$3:$A$502,0)),""))</f>
        <v/>
      </c>
      <c r="F283" s="13"/>
      <c r="G283" s="13"/>
      <c r="H283" s="14" t="str">
        <f aca="false">IF(OR($L283="",$M283=""),"",ROUND(($M283-$L283)/60,2))</f>
        <v/>
      </c>
      <c r="I283" s="9"/>
      <c r="J283" s="7"/>
      <c r="K283" s="7"/>
      <c r="L283" s="15" t="str">
        <f aca="false">IF($F283="","",IF($F283&lt;1,ROUND($F283*1440,0),INT($F283/100)*60+MOD($F283,100)))</f>
        <v/>
      </c>
      <c r="M283" s="15" t="str">
        <f aca="false">IF($G283="","",IF($G283&lt;1,ROUND($G283*1440,0),INT($G283/100)*60+MOD($G283,100)))</f>
        <v/>
      </c>
      <c r="N283" s="15" t="str">
        <f aca="false">IF(OR($A283="",$B283="",$L283="",$M283="",$J283="취소"),"",IF(SUMPRODUCT(($A$3:$A$2002=$A283)*($B$3:$B$2002=$B283)*($J$3:$J$2002&lt;&gt;"취소")*($L$3:$L$2002&lt;&gt;"")*($M$3:$M$2002&lt;&gt;"")*($L$3:$L$2002&lt;$M283)*($M$3:$M$2002&gt;$L283))&gt;1,"중복","-"))</f>
        <v/>
      </c>
    </row>
    <row r="284" customFormat="false" ht="15" hidden="false" customHeight="true" outlineLevel="0" collapsed="false">
      <c r="A284" s="11"/>
      <c r="B284" s="7"/>
      <c r="C284" s="12" t="str">
        <f aca="false">IF($B284="","",IFERROR(INDEX(자원목록!$B$3:$B$102,MATCH($B284,자원목록!$A$3:$A$102,0)),"미등록자원"))</f>
        <v/>
      </c>
      <c r="D284" s="7"/>
      <c r="E284" s="12" t="str">
        <f aca="false">IF($D284="","",IFERROR(INDEX(고객목록!$B$3:$B$502,MATCH($D284,고객목록!$A$3:$A$502,0)),""))</f>
        <v/>
      </c>
      <c r="F284" s="13"/>
      <c r="G284" s="13"/>
      <c r="H284" s="14" t="str">
        <f aca="false">IF(OR($L284="",$M284=""),"",ROUND(($M284-$L284)/60,2))</f>
        <v/>
      </c>
      <c r="I284" s="9"/>
      <c r="J284" s="7"/>
      <c r="K284" s="7"/>
      <c r="L284" s="15" t="str">
        <f aca="false">IF($F284="","",IF($F284&lt;1,ROUND($F284*1440,0),INT($F284/100)*60+MOD($F284,100)))</f>
        <v/>
      </c>
      <c r="M284" s="15" t="str">
        <f aca="false">IF($G284="","",IF($G284&lt;1,ROUND($G284*1440,0),INT($G284/100)*60+MOD($G284,100)))</f>
        <v/>
      </c>
      <c r="N284" s="15" t="str">
        <f aca="false">IF(OR($A284="",$B284="",$L284="",$M284="",$J284="취소"),"",IF(SUMPRODUCT(($A$3:$A$2002=$A284)*($B$3:$B$2002=$B284)*($J$3:$J$2002&lt;&gt;"취소")*($L$3:$L$2002&lt;&gt;"")*($M$3:$M$2002&lt;&gt;"")*($L$3:$L$2002&lt;$M284)*($M$3:$M$2002&gt;$L284))&gt;1,"중복","-"))</f>
        <v/>
      </c>
    </row>
    <row r="285" customFormat="false" ht="15" hidden="false" customHeight="true" outlineLevel="0" collapsed="false">
      <c r="A285" s="11"/>
      <c r="B285" s="7"/>
      <c r="C285" s="12" t="str">
        <f aca="false">IF($B285="","",IFERROR(INDEX(자원목록!$B$3:$B$102,MATCH($B285,자원목록!$A$3:$A$102,0)),"미등록자원"))</f>
        <v/>
      </c>
      <c r="D285" s="7"/>
      <c r="E285" s="12" t="str">
        <f aca="false">IF($D285="","",IFERROR(INDEX(고객목록!$B$3:$B$502,MATCH($D285,고객목록!$A$3:$A$502,0)),""))</f>
        <v/>
      </c>
      <c r="F285" s="13"/>
      <c r="G285" s="13"/>
      <c r="H285" s="14" t="str">
        <f aca="false">IF(OR($L285="",$M285=""),"",ROUND(($M285-$L285)/60,2))</f>
        <v/>
      </c>
      <c r="I285" s="9"/>
      <c r="J285" s="7"/>
      <c r="K285" s="7"/>
      <c r="L285" s="15" t="str">
        <f aca="false">IF($F285="","",IF($F285&lt;1,ROUND($F285*1440,0),INT($F285/100)*60+MOD($F285,100)))</f>
        <v/>
      </c>
      <c r="M285" s="15" t="str">
        <f aca="false">IF($G285="","",IF($G285&lt;1,ROUND($G285*1440,0),INT($G285/100)*60+MOD($G285,100)))</f>
        <v/>
      </c>
      <c r="N285" s="15" t="str">
        <f aca="false">IF(OR($A285="",$B285="",$L285="",$M285="",$J285="취소"),"",IF(SUMPRODUCT(($A$3:$A$2002=$A285)*($B$3:$B$2002=$B285)*($J$3:$J$2002&lt;&gt;"취소")*($L$3:$L$2002&lt;&gt;"")*($M$3:$M$2002&lt;&gt;"")*($L$3:$L$2002&lt;$M285)*($M$3:$M$2002&gt;$L285))&gt;1,"중복","-"))</f>
        <v/>
      </c>
    </row>
    <row r="286" customFormat="false" ht="15" hidden="false" customHeight="true" outlineLevel="0" collapsed="false">
      <c r="A286" s="11"/>
      <c r="B286" s="7"/>
      <c r="C286" s="12" t="str">
        <f aca="false">IF($B286="","",IFERROR(INDEX(자원목록!$B$3:$B$102,MATCH($B286,자원목록!$A$3:$A$102,0)),"미등록자원"))</f>
        <v/>
      </c>
      <c r="D286" s="7"/>
      <c r="E286" s="12" t="str">
        <f aca="false">IF($D286="","",IFERROR(INDEX(고객목록!$B$3:$B$502,MATCH($D286,고객목록!$A$3:$A$502,0)),""))</f>
        <v/>
      </c>
      <c r="F286" s="13"/>
      <c r="G286" s="13"/>
      <c r="H286" s="14" t="str">
        <f aca="false">IF(OR($L286="",$M286=""),"",ROUND(($M286-$L286)/60,2))</f>
        <v/>
      </c>
      <c r="I286" s="9"/>
      <c r="J286" s="7"/>
      <c r="K286" s="7"/>
      <c r="L286" s="15" t="str">
        <f aca="false">IF($F286="","",IF($F286&lt;1,ROUND($F286*1440,0),INT($F286/100)*60+MOD($F286,100)))</f>
        <v/>
      </c>
      <c r="M286" s="15" t="str">
        <f aca="false">IF($G286="","",IF($G286&lt;1,ROUND($G286*1440,0),INT($G286/100)*60+MOD($G286,100)))</f>
        <v/>
      </c>
      <c r="N286" s="15" t="str">
        <f aca="false">IF(OR($A286="",$B286="",$L286="",$M286="",$J286="취소"),"",IF(SUMPRODUCT(($A$3:$A$2002=$A286)*($B$3:$B$2002=$B286)*($J$3:$J$2002&lt;&gt;"취소")*($L$3:$L$2002&lt;&gt;"")*($M$3:$M$2002&lt;&gt;"")*($L$3:$L$2002&lt;$M286)*($M$3:$M$2002&gt;$L286))&gt;1,"중복","-"))</f>
        <v/>
      </c>
    </row>
    <row r="287" customFormat="false" ht="15" hidden="false" customHeight="true" outlineLevel="0" collapsed="false">
      <c r="A287" s="11"/>
      <c r="B287" s="7"/>
      <c r="C287" s="12" t="str">
        <f aca="false">IF($B287="","",IFERROR(INDEX(자원목록!$B$3:$B$102,MATCH($B287,자원목록!$A$3:$A$102,0)),"미등록자원"))</f>
        <v/>
      </c>
      <c r="D287" s="7"/>
      <c r="E287" s="12" t="str">
        <f aca="false">IF($D287="","",IFERROR(INDEX(고객목록!$B$3:$B$502,MATCH($D287,고객목록!$A$3:$A$502,0)),""))</f>
        <v/>
      </c>
      <c r="F287" s="13"/>
      <c r="G287" s="13"/>
      <c r="H287" s="14" t="str">
        <f aca="false">IF(OR($L287="",$M287=""),"",ROUND(($M287-$L287)/60,2))</f>
        <v/>
      </c>
      <c r="I287" s="9"/>
      <c r="J287" s="7"/>
      <c r="K287" s="7"/>
      <c r="L287" s="15" t="str">
        <f aca="false">IF($F287="","",IF($F287&lt;1,ROUND($F287*1440,0),INT($F287/100)*60+MOD($F287,100)))</f>
        <v/>
      </c>
      <c r="M287" s="15" t="str">
        <f aca="false">IF($G287="","",IF($G287&lt;1,ROUND($G287*1440,0),INT($G287/100)*60+MOD($G287,100)))</f>
        <v/>
      </c>
      <c r="N287" s="15" t="str">
        <f aca="false">IF(OR($A287="",$B287="",$L287="",$M287="",$J287="취소"),"",IF(SUMPRODUCT(($A$3:$A$2002=$A287)*($B$3:$B$2002=$B287)*($J$3:$J$2002&lt;&gt;"취소")*($L$3:$L$2002&lt;&gt;"")*($M$3:$M$2002&lt;&gt;"")*($L$3:$L$2002&lt;$M287)*($M$3:$M$2002&gt;$L287))&gt;1,"중복","-"))</f>
        <v/>
      </c>
    </row>
    <row r="288" customFormat="false" ht="15" hidden="false" customHeight="true" outlineLevel="0" collapsed="false">
      <c r="A288" s="11"/>
      <c r="B288" s="7"/>
      <c r="C288" s="12" t="str">
        <f aca="false">IF($B288="","",IFERROR(INDEX(자원목록!$B$3:$B$102,MATCH($B288,자원목록!$A$3:$A$102,0)),"미등록자원"))</f>
        <v/>
      </c>
      <c r="D288" s="7"/>
      <c r="E288" s="12" t="str">
        <f aca="false">IF($D288="","",IFERROR(INDEX(고객목록!$B$3:$B$502,MATCH($D288,고객목록!$A$3:$A$502,0)),""))</f>
        <v/>
      </c>
      <c r="F288" s="13"/>
      <c r="G288" s="13"/>
      <c r="H288" s="14" t="str">
        <f aca="false">IF(OR($L288="",$M288=""),"",ROUND(($M288-$L288)/60,2))</f>
        <v/>
      </c>
      <c r="I288" s="9"/>
      <c r="J288" s="7"/>
      <c r="K288" s="7"/>
      <c r="L288" s="15" t="str">
        <f aca="false">IF($F288="","",IF($F288&lt;1,ROUND($F288*1440,0),INT($F288/100)*60+MOD($F288,100)))</f>
        <v/>
      </c>
      <c r="M288" s="15" t="str">
        <f aca="false">IF($G288="","",IF($G288&lt;1,ROUND($G288*1440,0),INT($G288/100)*60+MOD($G288,100)))</f>
        <v/>
      </c>
      <c r="N288" s="15" t="str">
        <f aca="false">IF(OR($A288="",$B288="",$L288="",$M288="",$J288="취소"),"",IF(SUMPRODUCT(($A$3:$A$2002=$A288)*($B$3:$B$2002=$B288)*($J$3:$J$2002&lt;&gt;"취소")*($L$3:$L$2002&lt;&gt;"")*($M$3:$M$2002&lt;&gt;"")*($L$3:$L$2002&lt;$M288)*($M$3:$M$2002&gt;$L288))&gt;1,"중복","-"))</f>
        <v/>
      </c>
    </row>
    <row r="289" customFormat="false" ht="15" hidden="false" customHeight="true" outlineLevel="0" collapsed="false">
      <c r="A289" s="11"/>
      <c r="B289" s="7"/>
      <c r="C289" s="12" t="str">
        <f aca="false">IF($B289="","",IFERROR(INDEX(자원목록!$B$3:$B$102,MATCH($B289,자원목록!$A$3:$A$102,0)),"미등록자원"))</f>
        <v/>
      </c>
      <c r="D289" s="7"/>
      <c r="E289" s="12" t="str">
        <f aca="false">IF($D289="","",IFERROR(INDEX(고객목록!$B$3:$B$502,MATCH($D289,고객목록!$A$3:$A$502,0)),""))</f>
        <v/>
      </c>
      <c r="F289" s="13"/>
      <c r="G289" s="13"/>
      <c r="H289" s="14" t="str">
        <f aca="false">IF(OR($L289="",$M289=""),"",ROUND(($M289-$L289)/60,2))</f>
        <v/>
      </c>
      <c r="I289" s="9"/>
      <c r="J289" s="7"/>
      <c r="K289" s="7"/>
      <c r="L289" s="15" t="str">
        <f aca="false">IF($F289="","",IF($F289&lt;1,ROUND($F289*1440,0),INT($F289/100)*60+MOD($F289,100)))</f>
        <v/>
      </c>
      <c r="M289" s="15" t="str">
        <f aca="false">IF($G289="","",IF($G289&lt;1,ROUND($G289*1440,0),INT($G289/100)*60+MOD($G289,100)))</f>
        <v/>
      </c>
      <c r="N289" s="15" t="str">
        <f aca="false">IF(OR($A289="",$B289="",$L289="",$M289="",$J289="취소"),"",IF(SUMPRODUCT(($A$3:$A$2002=$A289)*($B$3:$B$2002=$B289)*($J$3:$J$2002&lt;&gt;"취소")*($L$3:$L$2002&lt;&gt;"")*($M$3:$M$2002&lt;&gt;"")*($L$3:$L$2002&lt;$M289)*($M$3:$M$2002&gt;$L289))&gt;1,"중복","-"))</f>
        <v/>
      </c>
    </row>
    <row r="290" customFormat="false" ht="15" hidden="false" customHeight="true" outlineLevel="0" collapsed="false">
      <c r="A290" s="11"/>
      <c r="B290" s="7"/>
      <c r="C290" s="12" t="str">
        <f aca="false">IF($B290="","",IFERROR(INDEX(자원목록!$B$3:$B$102,MATCH($B290,자원목록!$A$3:$A$102,0)),"미등록자원"))</f>
        <v/>
      </c>
      <c r="D290" s="7"/>
      <c r="E290" s="12" t="str">
        <f aca="false">IF($D290="","",IFERROR(INDEX(고객목록!$B$3:$B$502,MATCH($D290,고객목록!$A$3:$A$502,0)),""))</f>
        <v/>
      </c>
      <c r="F290" s="13"/>
      <c r="G290" s="13"/>
      <c r="H290" s="14" t="str">
        <f aca="false">IF(OR($L290="",$M290=""),"",ROUND(($M290-$L290)/60,2))</f>
        <v/>
      </c>
      <c r="I290" s="9"/>
      <c r="J290" s="7"/>
      <c r="K290" s="7"/>
      <c r="L290" s="15" t="str">
        <f aca="false">IF($F290="","",IF($F290&lt;1,ROUND($F290*1440,0),INT($F290/100)*60+MOD($F290,100)))</f>
        <v/>
      </c>
      <c r="M290" s="15" t="str">
        <f aca="false">IF($G290="","",IF($G290&lt;1,ROUND($G290*1440,0),INT($G290/100)*60+MOD($G290,100)))</f>
        <v/>
      </c>
      <c r="N290" s="15" t="str">
        <f aca="false">IF(OR($A290="",$B290="",$L290="",$M290="",$J290="취소"),"",IF(SUMPRODUCT(($A$3:$A$2002=$A290)*($B$3:$B$2002=$B290)*($J$3:$J$2002&lt;&gt;"취소")*($L$3:$L$2002&lt;&gt;"")*($M$3:$M$2002&lt;&gt;"")*($L$3:$L$2002&lt;$M290)*($M$3:$M$2002&gt;$L290))&gt;1,"중복","-"))</f>
        <v/>
      </c>
    </row>
    <row r="291" customFormat="false" ht="15" hidden="false" customHeight="true" outlineLevel="0" collapsed="false">
      <c r="A291" s="11"/>
      <c r="B291" s="7"/>
      <c r="C291" s="12" t="str">
        <f aca="false">IF($B291="","",IFERROR(INDEX(자원목록!$B$3:$B$102,MATCH($B291,자원목록!$A$3:$A$102,0)),"미등록자원"))</f>
        <v/>
      </c>
      <c r="D291" s="7"/>
      <c r="E291" s="12" t="str">
        <f aca="false">IF($D291="","",IFERROR(INDEX(고객목록!$B$3:$B$502,MATCH($D291,고객목록!$A$3:$A$502,0)),""))</f>
        <v/>
      </c>
      <c r="F291" s="13"/>
      <c r="G291" s="13"/>
      <c r="H291" s="14" t="str">
        <f aca="false">IF(OR($L291="",$M291=""),"",ROUND(($M291-$L291)/60,2))</f>
        <v/>
      </c>
      <c r="I291" s="9"/>
      <c r="J291" s="7"/>
      <c r="K291" s="7"/>
      <c r="L291" s="15" t="str">
        <f aca="false">IF($F291="","",IF($F291&lt;1,ROUND($F291*1440,0),INT($F291/100)*60+MOD($F291,100)))</f>
        <v/>
      </c>
      <c r="M291" s="15" t="str">
        <f aca="false">IF($G291="","",IF($G291&lt;1,ROUND($G291*1440,0),INT($G291/100)*60+MOD($G291,100)))</f>
        <v/>
      </c>
      <c r="N291" s="15" t="str">
        <f aca="false">IF(OR($A291="",$B291="",$L291="",$M291="",$J291="취소"),"",IF(SUMPRODUCT(($A$3:$A$2002=$A291)*($B$3:$B$2002=$B291)*($J$3:$J$2002&lt;&gt;"취소")*($L$3:$L$2002&lt;&gt;"")*($M$3:$M$2002&lt;&gt;"")*($L$3:$L$2002&lt;$M291)*($M$3:$M$2002&gt;$L291))&gt;1,"중복","-"))</f>
        <v/>
      </c>
    </row>
    <row r="292" customFormat="false" ht="15" hidden="false" customHeight="true" outlineLevel="0" collapsed="false">
      <c r="A292" s="11"/>
      <c r="B292" s="7"/>
      <c r="C292" s="12" t="str">
        <f aca="false">IF($B292="","",IFERROR(INDEX(자원목록!$B$3:$B$102,MATCH($B292,자원목록!$A$3:$A$102,0)),"미등록자원"))</f>
        <v/>
      </c>
      <c r="D292" s="7"/>
      <c r="E292" s="12" t="str">
        <f aca="false">IF($D292="","",IFERROR(INDEX(고객목록!$B$3:$B$502,MATCH($D292,고객목록!$A$3:$A$502,0)),""))</f>
        <v/>
      </c>
      <c r="F292" s="13"/>
      <c r="G292" s="13"/>
      <c r="H292" s="14" t="str">
        <f aca="false">IF(OR($L292="",$M292=""),"",ROUND(($M292-$L292)/60,2))</f>
        <v/>
      </c>
      <c r="I292" s="9"/>
      <c r="J292" s="7"/>
      <c r="K292" s="7"/>
      <c r="L292" s="15" t="str">
        <f aca="false">IF($F292="","",IF($F292&lt;1,ROUND($F292*1440,0),INT($F292/100)*60+MOD($F292,100)))</f>
        <v/>
      </c>
      <c r="M292" s="15" t="str">
        <f aca="false">IF($G292="","",IF($G292&lt;1,ROUND($G292*1440,0),INT($G292/100)*60+MOD($G292,100)))</f>
        <v/>
      </c>
      <c r="N292" s="15" t="str">
        <f aca="false">IF(OR($A292="",$B292="",$L292="",$M292="",$J292="취소"),"",IF(SUMPRODUCT(($A$3:$A$2002=$A292)*($B$3:$B$2002=$B292)*($J$3:$J$2002&lt;&gt;"취소")*($L$3:$L$2002&lt;&gt;"")*($M$3:$M$2002&lt;&gt;"")*($L$3:$L$2002&lt;$M292)*($M$3:$M$2002&gt;$L292))&gt;1,"중복","-"))</f>
        <v/>
      </c>
    </row>
    <row r="293" customFormat="false" ht="15" hidden="false" customHeight="true" outlineLevel="0" collapsed="false">
      <c r="A293" s="11"/>
      <c r="B293" s="7"/>
      <c r="C293" s="12" t="str">
        <f aca="false">IF($B293="","",IFERROR(INDEX(자원목록!$B$3:$B$102,MATCH($B293,자원목록!$A$3:$A$102,0)),"미등록자원"))</f>
        <v/>
      </c>
      <c r="D293" s="7"/>
      <c r="E293" s="12" t="str">
        <f aca="false">IF($D293="","",IFERROR(INDEX(고객목록!$B$3:$B$502,MATCH($D293,고객목록!$A$3:$A$502,0)),""))</f>
        <v/>
      </c>
      <c r="F293" s="13"/>
      <c r="G293" s="13"/>
      <c r="H293" s="14" t="str">
        <f aca="false">IF(OR($L293="",$M293=""),"",ROUND(($M293-$L293)/60,2))</f>
        <v/>
      </c>
      <c r="I293" s="9"/>
      <c r="J293" s="7"/>
      <c r="K293" s="7"/>
      <c r="L293" s="15" t="str">
        <f aca="false">IF($F293="","",IF($F293&lt;1,ROUND($F293*1440,0),INT($F293/100)*60+MOD($F293,100)))</f>
        <v/>
      </c>
      <c r="M293" s="15" t="str">
        <f aca="false">IF($G293="","",IF($G293&lt;1,ROUND($G293*1440,0),INT($G293/100)*60+MOD($G293,100)))</f>
        <v/>
      </c>
      <c r="N293" s="15" t="str">
        <f aca="false">IF(OR($A293="",$B293="",$L293="",$M293="",$J293="취소"),"",IF(SUMPRODUCT(($A$3:$A$2002=$A293)*($B$3:$B$2002=$B293)*($J$3:$J$2002&lt;&gt;"취소")*($L$3:$L$2002&lt;&gt;"")*($M$3:$M$2002&lt;&gt;"")*($L$3:$L$2002&lt;$M293)*($M$3:$M$2002&gt;$L293))&gt;1,"중복","-"))</f>
        <v/>
      </c>
    </row>
    <row r="294" customFormat="false" ht="15" hidden="false" customHeight="true" outlineLevel="0" collapsed="false">
      <c r="A294" s="11"/>
      <c r="B294" s="7"/>
      <c r="C294" s="12" t="str">
        <f aca="false">IF($B294="","",IFERROR(INDEX(자원목록!$B$3:$B$102,MATCH($B294,자원목록!$A$3:$A$102,0)),"미등록자원"))</f>
        <v/>
      </c>
      <c r="D294" s="7"/>
      <c r="E294" s="12" t="str">
        <f aca="false">IF($D294="","",IFERROR(INDEX(고객목록!$B$3:$B$502,MATCH($D294,고객목록!$A$3:$A$502,0)),""))</f>
        <v/>
      </c>
      <c r="F294" s="13"/>
      <c r="G294" s="13"/>
      <c r="H294" s="14" t="str">
        <f aca="false">IF(OR($L294="",$M294=""),"",ROUND(($M294-$L294)/60,2))</f>
        <v/>
      </c>
      <c r="I294" s="9"/>
      <c r="J294" s="7"/>
      <c r="K294" s="7"/>
      <c r="L294" s="15" t="str">
        <f aca="false">IF($F294="","",IF($F294&lt;1,ROUND($F294*1440,0),INT($F294/100)*60+MOD($F294,100)))</f>
        <v/>
      </c>
      <c r="M294" s="15" t="str">
        <f aca="false">IF($G294="","",IF($G294&lt;1,ROUND($G294*1440,0),INT($G294/100)*60+MOD($G294,100)))</f>
        <v/>
      </c>
      <c r="N294" s="15" t="str">
        <f aca="false">IF(OR($A294="",$B294="",$L294="",$M294="",$J294="취소"),"",IF(SUMPRODUCT(($A$3:$A$2002=$A294)*($B$3:$B$2002=$B294)*($J$3:$J$2002&lt;&gt;"취소")*($L$3:$L$2002&lt;&gt;"")*($M$3:$M$2002&lt;&gt;"")*($L$3:$L$2002&lt;$M294)*($M$3:$M$2002&gt;$L294))&gt;1,"중복","-"))</f>
        <v/>
      </c>
    </row>
    <row r="295" customFormat="false" ht="15" hidden="false" customHeight="true" outlineLevel="0" collapsed="false">
      <c r="A295" s="11"/>
      <c r="B295" s="7"/>
      <c r="C295" s="12" t="str">
        <f aca="false">IF($B295="","",IFERROR(INDEX(자원목록!$B$3:$B$102,MATCH($B295,자원목록!$A$3:$A$102,0)),"미등록자원"))</f>
        <v/>
      </c>
      <c r="D295" s="7"/>
      <c r="E295" s="12" t="str">
        <f aca="false">IF($D295="","",IFERROR(INDEX(고객목록!$B$3:$B$502,MATCH($D295,고객목록!$A$3:$A$502,0)),""))</f>
        <v/>
      </c>
      <c r="F295" s="13"/>
      <c r="G295" s="13"/>
      <c r="H295" s="14" t="str">
        <f aca="false">IF(OR($L295="",$M295=""),"",ROUND(($M295-$L295)/60,2))</f>
        <v/>
      </c>
      <c r="I295" s="9"/>
      <c r="J295" s="7"/>
      <c r="K295" s="7"/>
      <c r="L295" s="15" t="str">
        <f aca="false">IF($F295="","",IF($F295&lt;1,ROUND($F295*1440,0),INT($F295/100)*60+MOD($F295,100)))</f>
        <v/>
      </c>
      <c r="M295" s="15" t="str">
        <f aca="false">IF($G295="","",IF($G295&lt;1,ROUND($G295*1440,0),INT($G295/100)*60+MOD($G295,100)))</f>
        <v/>
      </c>
      <c r="N295" s="15" t="str">
        <f aca="false">IF(OR($A295="",$B295="",$L295="",$M295="",$J295="취소"),"",IF(SUMPRODUCT(($A$3:$A$2002=$A295)*($B$3:$B$2002=$B295)*($J$3:$J$2002&lt;&gt;"취소")*($L$3:$L$2002&lt;&gt;"")*($M$3:$M$2002&lt;&gt;"")*($L$3:$L$2002&lt;$M295)*($M$3:$M$2002&gt;$L295))&gt;1,"중복","-"))</f>
        <v/>
      </c>
    </row>
    <row r="296" customFormat="false" ht="15" hidden="false" customHeight="true" outlineLevel="0" collapsed="false">
      <c r="A296" s="11"/>
      <c r="B296" s="7"/>
      <c r="C296" s="12" t="str">
        <f aca="false">IF($B296="","",IFERROR(INDEX(자원목록!$B$3:$B$102,MATCH($B296,자원목록!$A$3:$A$102,0)),"미등록자원"))</f>
        <v/>
      </c>
      <c r="D296" s="7"/>
      <c r="E296" s="12" t="str">
        <f aca="false">IF($D296="","",IFERROR(INDEX(고객목록!$B$3:$B$502,MATCH($D296,고객목록!$A$3:$A$502,0)),""))</f>
        <v/>
      </c>
      <c r="F296" s="13"/>
      <c r="G296" s="13"/>
      <c r="H296" s="14" t="str">
        <f aca="false">IF(OR($L296="",$M296=""),"",ROUND(($M296-$L296)/60,2))</f>
        <v/>
      </c>
      <c r="I296" s="9"/>
      <c r="J296" s="7"/>
      <c r="K296" s="7"/>
      <c r="L296" s="15" t="str">
        <f aca="false">IF($F296="","",IF($F296&lt;1,ROUND($F296*1440,0),INT($F296/100)*60+MOD($F296,100)))</f>
        <v/>
      </c>
      <c r="M296" s="15" t="str">
        <f aca="false">IF($G296="","",IF($G296&lt;1,ROUND($G296*1440,0),INT($G296/100)*60+MOD($G296,100)))</f>
        <v/>
      </c>
      <c r="N296" s="15" t="str">
        <f aca="false">IF(OR($A296="",$B296="",$L296="",$M296="",$J296="취소"),"",IF(SUMPRODUCT(($A$3:$A$2002=$A296)*($B$3:$B$2002=$B296)*($J$3:$J$2002&lt;&gt;"취소")*($L$3:$L$2002&lt;&gt;"")*($M$3:$M$2002&lt;&gt;"")*($L$3:$L$2002&lt;$M296)*($M$3:$M$2002&gt;$L296))&gt;1,"중복","-"))</f>
        <v/>
      </c>
    </row>
    <row r="297" customFormat="false" ht="15" hidden="false" customHeight="true" outlineLevel="0" collapsed="false">
      <c r="A297" s="11"/>
      <c r="B297" s="7"/>
      <c r="C297" s="12" t="str">
        <f aca="false">IF($B297="","",IFERROR(INDEX(자원목록!$B$3:$B$102,MATCH($B297,자원목록!$A$3:$A$102,0)),"미등록자원"))</f>
        <v/>
      </c>
      <c r="D297" s="7"/>
      <c r="E297" s="12" t="str">
        <f aca="false">IF($D297="","",IFERROR(INDEX(고객목록!$B$3:$B$502,MATCH($D297,고객목록!$A$3:$A$502,0)),""))</f>
        <v/>
      </c>
      <c r="F297" s="13"/>
      <c r="G297" s="13"/>
      <c r="H297" s="14" t="str">
        <f aca="false">IF(OR($L297="",$M297=""),"",ROUND(($M297-$L297)/60,2))</f>
        <v/>
      </c>
      <c r="I297" s="9"/>
      <c r="J297" s="7"/>
      <c r="K297" s="7"/>
      <c r="L297" s="15" t="str">
        <f aca="false">IF($F297="","",IF($F297&lt;1,ROUND($F297*1440,0),INT($F297/100)*60+MOD($F297,100)))</f>
        <v/>
      </c>
      <c r="M297" s="15" t="str">
        <f aca="false">IF($G297="","",IF($G297&lt;1,ROUND($G297*1440,0),INT($G297/100)*60+MOD($G297,100)))</f>
        <v/>
      </c>
      <c r="N297" s="15" t="str">
        <f aca="false">IF(OR($A297="",$B297="",$L297="",$M297="",$J297="취소"),"",IF(SUMPRODUCT(($A$3:$A$2002=$A297)*($B$3:$B$2002=$B297)*($J$3:$J$2002&lt;&gt;"취소")*($L$3:$L$2002&lt;&gt;"")*($M$3:$M$2002&lt;&gt;"")*($L$3:$L$2002&lt;$M297)*($M$3:$M$2002&gt;$L297))&gt;1,"중복","-"))</f>
        <v/>
      </c>
    </row>
    <row r="298" customFormat="false" ht="15" hidden="false" customHeight="true" outlineLevel="0" collapsed="false">
      <c r="A298" s="11"/>
      <c r="B298" s="7"/>
      <c r="C298" s="12" t="str">
        <f aca="false">IF($B298="","",IFERROR(INDEX(자원목록!$B$3:$B$102,MATCH($B298,자원목록!$A$3:$A$102,0)),"미등록자원"))</f>
        <v/>
      </c>
      <c r="D298" s="7"/>
      <c r="E298" s="12" t="str">
        <f aca="false">IF($D298="","",IFERROR(INDEX(고객목록!$B$3:$B$502,MATCH($D298,고객목록!$A$3:$A$502,0)),""))</f>
        <v/>
      </c>
      <c r="F298" s="13"/>
      <c r="G298" s="13"/>
      <c r="H298" s="14" t="str">
        <f aca="false">IF(OR($L298="",$M298=""),"",ROUND(($M298-$L298)/60,2))</f>
        <v/>
      </c>
      <c r="I298" s="9"/>
      <c r="J298" s="7"/>
      <c r="K298" s="7"/>
      <c r="L298" s="15" t="str">
        <f aca="false">IF($F298="","",IF($F298&lt;1,ROUND($F298*1440,0),INT($F298/100)*60+MOD($F298,100)))</f>
        <v/>
      </c>
      <c r="M298" s="15" t="str">
        <f aca="false">IF($G298="","",IF($G298&lt;1,ROUND($G298*1440,0),INT($G298/100)*60+MOD($G298,100)))</f>
        <v/>
      </c>
      <c r="N298" s="15" t="str">
        <f aca="false">IF(OR($A298="",$B298="",$L298="",$M298="",$J298="취소"),"",IF(SUMPRODUCT(($A$3:$A$2002=$A298)*($B$3:$B$2002=$B298)*($J$3:$J$2002&lt;&gt;"취소")*($L$3:$L$2002&lt;&gt;"")*($M$3:$M$2002&lt;&gt;"")*($L$3:$L$2002&lt;$M298)*($M$3:$M$2002&gt;$L298))&gt;1,"중복","-"))</f>
        <v/>
      </c>
    </row>
    <row r="299" customFormat="false" ht="15" hidden="false" customHeight="true" outlineLevel="0" collapsed="false">
      <c r="A299" s="11"/>
      <c r="B299" s="7"/>
      <c r="C299" s="12" t="str">
        <f aca="false">IF($B299="","",IFERROR(INDEX(자원목록!$B$3:$B$102,MATCH($B299,자원목록!$A$3:$A$102,0)),"미등록자원"))</f>
        <v/>
      </c>
      <c r="D299" s="7"/>
      <c r="E299" s="12" t="str">
        <f aca="false">IF($D299="","",IFERROR(INDEX(고객목록!$B$3:$B$502,MATCH($D299,고객목록!$A$3:$A$502,0)),""))</f>
        <v/>
      </c>
      <c r="F299" s="13"/>
      <c r="G299" s="13"/>
      <c r="H299" s="14" t="str">
        <f aca="false">IF(OR($L299="",$M299=""),"",ROUND(($M299-$L299)/60,2))</f>
        <v/>
      </c>
      <c r="I299" s="9"/>
      <c r="J299" s="7"/>
      <c r="K299" s="7"/>
      <c r="L299" s="15" t="str">
        <f aca="false">IF($F299="","",IF($F299&lt;1,ROUND($F299*1440,0),INT($F299/100)*60+MOD($F299,100)))</f>
        <v/>
      </c>
      <c r="M299" s="15" t="str">
        <f aca="false">IF($G299="","",IF($G299&lt;1,ROUND($G299*1440,0),INT($G299/100)*60+MOD($G299,100)))</f>
        <v/>
      </c>
      <c r="N299" s="15" t="str">
        <f aca="false">IF(OR($A299="",$B299="",$L299="",$M299="",$J299="취소"),"",IF(SUMPRODUCT(($A$3:$A$2002=$A299)*($B$3:$B$2002=$B299)*($J$3:$J$2002&lt;&gt;"취소")*($L$3:$L$2002&lt;&gt;"")*($M$3:$M$2002&lt;&gt;"")*($L$3:$L$2002&lt;$M299)*($M$3:$M$2002&gt;$L299))&gt;1,"중복","-"))</f>
        <v/>
      </c>
    </row>
    <row r="300" customFormat="false" ht="15" hidden="false" customHeight="true" outlineLevel="0" collapsed="false">
      <c r="A300" s="11"/>
      <c r="B300" s="7"/>
      <c r="C300" s="12" t="str">
        <f aca="false">IF($B300="","",IFERROR(INDEX(자원목록!$B$3:$B$102,MATCH($B300,자원목록!$A$3:$A$102,0)),"미등록자원"))</f>
        <v/>
      </c>
      <c r="D300" s="7"/>
      <c r="E300" s="12" t="str">
        <f aca="false">IF($D300="","",IFERROR(INDEX(고객목록!$B$3:$B$502,MATCH($D300,고객목록!$A$3:$A$502,0)),""))</f>
        <v/>
      </c>
      <c r="F300" s="13"/>
      <c r="G300" s="13"/>
      <c r="H300" s="14" t="str">
        <f aca="false">IF(OR($L300="",$M300=""),"",ROUND(($M300-$L300)/60,2))</f>
        <v/>
      </c>
      <c r="I300" s="9"/>
      <c r="J300" s="7"/>
      <c r="K300" s="7"/>
      <c r="L300" s="15" t="str">
        <f aca="false">IF($F300="","",IF($F300&lt;1,ROUND($F300*1440,0),INT($F300/100)*60+MOD($F300,100)))</f>
        <v/>
      </c>
      <c r="M300" s="15" t="str">
        <f aca="false">IF($G300="","",IF($G300&lt;1,ROUND($G300*1440,0),INT($G300/100)*60+MOD($G300,100)))</f>
        <v/>
      </c>
      <c r="N300" s="15" t="str">
        <f aca="false">IF(OR($A300="",$B300="",$L300="",$M300="",$J300="취소"),"",IF(SUMPRODUCT(($A$3:$A$2002=$A300)*($B$3:$B$2002=$B300)*($J$3:$J$2002&lt;&gt;"취소")*($L$3:$L$2002&lt;&gt;"")*($M$3:$M$2002&lt;&gt;"")*($L$3:$L$2002&lt;$M300)*($M$3:$M$2002&gt;$L300))&gt;1,"중복","-"))</f>
        <v/>
      </c>
    </row>
    <row r="301" customFormat="false" ht="15" hidden="false" customHeight="true" outlineLevel="0" collapsed="false">
      <c r="A301" s="11"/>
      <c r="B301" s="7"/>
      <c r="C301" s="12" t="str">
        <f aca="false">IF($B301="","",IFERROR(INDEX(자원목록!$B$3:$B$102,MATCH($B301,자원목록!$A$3:$A$102,0)),"미등록자원"))</f>
        <v/>
      </c>
      <c r="D301" s="7"/>
      <c r="E301" s="12" t="str">
        <f aca="false">IF($D301="","",IFERROR(INDEX(고객목록!$B$3:$B$502,MATCH($D301,고객목록!$A$3:$A$502,0)),""))</f>
        <v/>
      </c>
      <c r="F301" s="13"/>
      <c r="G301" s="13"/>
      <c r="H301" s="14" t="str">
        <f aca="false">IF(OR($L301="",$M301=""),"",ROUND(($M301-$L301)/60,2))</f>
        <v/>
      </c>
      <c r="I301" s="9"/>
      <c r="J301" s="7"/>
      <c r="K301" s="7"/>
      <c r="L301" s="15" t="str">
        <f aca="false">IF($F301="","",IF($F301&lt;1,ROUND($F301*1440,0),INT($F301/100)*60+MOD($F301,100)))</f>
        <v/>
      </c>
      <c r="M301" s="15" t="str">
        <f aca="false">IF($G301="","",IF($G301&lt;1,ROUND($G301*1440,0),INT($G301/100)*60+MOD($G301,100)))</f>
        <v/>
      </c>
      <c r="N301" s="15" t="str">
        <f aca="false">IF(OR($A301="",$B301="",$L301="",$M301="",$J301="취소"),"",IF(SUMPRODUCT(($A$3:$A$2002=$A301)*($B$3:$B$2002=$B301)*($J$3:$J$2002&lt;&gt;"취소")*($L$3:$L$2002&lt;&gt;"")*($M$3:$M$2002&lt;&gt;"")*($L$3:$L$2002&lt;$M301)*($M$3:$M$2002&gt;$L301))&gt;1,"중복","-"))</f>
        <v/>
      </c>
    </row>
    <row r="302" customFormat="false" ht="15" hidden="false" customHeight="true" outlineLevel="0" collapsed="false">
      <c r="A302" s="11"/>
      <c r="B302" s="7"/>
      <c r="C302" s="12" t="str">
        <f aca="false">IF($B302="","",IFERROR(INDEX(자원목록!$B$3:$B$102,MATCH($B302,자원목록!$A$3:$A$102,0)),"미등록자원"))</f>
        <v/>
      </c>
      <c r="D302" s="7"/>
      <c r="E302" s="12" t="str">
        <f aca="false">IF($D302="","",IFERROR(INDEX(고객목록!$B$3:$B$502,MATCH($D302,고객목록!$A$3:$A$502,0)),""))</f>
        <v/>
      </c>
      <c r="F302" s="13"/>
      <c r="G302" s="13"/>
      <c r="H302" s="14" t="str">
        <f aca="false">IF(OR($L302="",$M302=""),"",ROUND(($M302-$L302)/60,2))</f>
        <v/>
      </c>
      <c r="I302" s="9"/>
      <c r="J302" s="7"/>
      <c r="K302" s="7"/>
      <c r="L302" s="15" t="str">
        <f aca="false">IF($F302="","",IF($F302&lt;1,ROUND($F302*1440,0),INT($F302/100)*60+MOD($F302,100)))</f>
        <v/>
      </c>
      <c r="M302" s="15" t="str">
        <f aca="false">IF($G302="","",IF($G302&lt;1,ROUND($G302*1440,0),INT($G302/100)*60+MOD($G302,100)))</f>
        <v/>
      </c>
      <c r="N302" s="15" t="str">
        <f aca="false">IF(OR($A302="",$B302="",$L302="",$M302="",$J302="취소"),"",IF(SUMPRODUCT(($A$3:$A$2002=$A302)*($B$3:$B$2002=$B302)*($J$3:$J$2002&lt;&gt;"취소")*($L$3:$L$2002&lt;&gt;"")*($M$3:$M$2002&lt;&gt;"")*($L$3:$L$2002&lt;$M302)*($M$3:$M$2002&gt;$L302))&gt;1,"중복","-"))</f>
        <v/>
      </c>
    </row>
    <row r="303" customFormat="false" ht="15" hidden="false" customHeight="true" outlineLevel="0" collapsed="false">
      <c r="A303" s="11"/>
      <c r="B303" s="7"/>
      <c r="C303" s="12" t="str">
        <f aca="false">IF($B303="","",IFERROR(INDEX(자원목록!$B$3:$B$102,MATCH($B303,자원목록!$A$3:$A$102,0)),"미등록자원"))</f>
        <v/>
      </c>
      <c r="D303" s="7"/>
      <c r="E303" s="12" t="str">
        <f aca="false">IF($D303="","",IFERROR(INDEX(고객목록!$B$3:$B$502,MATCH($D303,고객목록!$A$3:$A$502,0)),""))</f>
        <v/>
      </c>
      <c r="F303" s="13"/>
      <c r="G303" s="13"/>
      <c r="H303" s="14" t="str">
        <f aca="false">IF(OR($L303="",$M303=""),"",ROUND(($M303-$L303)/60,2))</f>
        <v/>
      </c>
      <c r="I303" s="9"/>
      <c r="J303" s="7"/>
      <c r="K303" s="7"/>
      <c r="L303" s="15" t="str">
        <f aca="false">IF($F303="","",IF($F303&lt;1,ROUND($F303*1440,0),INT($F303/100)*60+MOD($F303,100)))</f>
        <v/>
      </c>
      <c r="M303" s="15" t="str">
        <f aca="false">IF($G303="","",IF($G303&lt;1,ROUND($G303*1440,0),INT($G303/100)*60+MOD($G303,100)))</f>
        <v/>
      </c>
      <c r="N303" s="15" t="str">
        <f aca="false">IF(OR($A303="",$B303="",$L303="",$M303="",$J303="취소"),"",IF(SUMPRODUCT(($A$3:$A$2002=$A303)*($B$3:$B$2002=$B303)*($J$3:$J$2002&lt;&gt;"취소")*($L$3:$L$2002&lt;&gt;"")*($M$3:$M$2002&lt;&gt;"")*($L$3:$L$2002&lt;$M303)*($M$3:$M$2002&gt;$L303))&gt;1,"중복","-"))</f>
        <v/>
      </c>
    </row>
    <row r="304" customFormat="false" ht="15" hidden="false" customHeight="true" outlineLevel="0" collapsed="false">
      <c r="A304" s="11"/>
      <c r="B304" s="7"/>
      <c r="C304" s="12" t="str">
        <f aca="false">IF($B304="","",IFERROR(INDEX(자원목록!$B$3:$B$102,MATCH($B304,자원목록!$A$3:$A$102,0)),"미등록자원"))</f>
        <v/>
      </c>
      <c r="D304" s="7"/>
      <c r="E304" s="12" t="str">
        <f aca="false">IF($D304="","",IFERROR(INDEX(고객목록!$B$3:$B$502,MATCH($D304,고객목록!$A$3:$A$502,0)),""))</f>
        <v/>
      </c>
      <c r="F304" s="13"/>
      <c r="G304" s="13"/>
      <c r="H304" s="14" t="str">
        <f aca="false">IF(OR($L304="",$M304=""),"",ROUND(($M304-$L304)/60,2))</f>
        <v/>
      </c>
      <c r="I304" s="9"/>
      <c r="J304" s="7"/>
      <c r="K304" s="7"/>
      <c r="L304" s="15" t="str">
        <f aca="false">IF($F304="","",IF($F304&lt;1,ROUND($F304*1440,0),INT($F304/100)*60+MOD($F304,100)))</f>
        <v/>
      </c>
      <c r="M304" s="15" t="str">
        <f aca="false">IF($G304="","",IF($G304&lt;1,ROUND($G304*1440,0),INT($G304/100)*60+MOD($G304,100)))</f>
        <v/>
      </c>
      <c r="N304" s="15" t="str">
        <f aca="false">IF(OR($A304="",$B304="",$L304="",$M304="",$J304="취소"),"",IF(SUMPRODUCT(($A$3:$A$2002=$A304)*($B$3:$B$2002=$B304)*($J$3:$J$2002&lt;&gt;"취소")*($L$3:$L$2002&lt;&gt;"")*($M$3:$M$2002&lt;&gt;"")*($L$3:$L$2002&lt;$M304)*($M$3:$M$2002&gt;$L304))&gt;1,"중복","-"))</f>
        <v/>
      </c>
    </row>
    <row r="305" customFormat="false" ht="15" hidden="false" customHeight="true" outlineLevel="0" collapsed="false">
      <c r="A305" s="11"/>
      <c r="B305" s="7"/>
      <c r="C305" s="12" t="str">
        <f aca="false">IF($B305="","",IFERROR(INDEX(자원목록!$B$3:$B$102,MATCH($B305,자원목록!$A$3:$A$102,0)),"미등록자원"))</f>
        <v/>
      </c>
      <c r="D305" s="7"/>
      <c r="E305" s="12" t="str">
        <f aca="false">IF($D305="","",IFERROR(INDEX(고객목록!$B$3:$B$502,MATCH($D305,고객목록!$A$3:$A$502,0)),""))</f>
        <v/>
      </c>
      <c r="F305" s="13"/>
      <c r="G305" s="13"/>
      <c r="H305" s="14" t="str">
        <f aca="false">IF(OR($L305="",$M305=""),"",ROUND(($M305-$L305)/60,2))</f>
        <v/>
      </c>
      <c r="I305" s="9"/>
      <c r="J305" s="7"/>
      <c r="K305" s="7"/>
      <c r="L305" s="15" t="str">
        <f aca="false">IF($F305="","",IF($F305&lt;1,ROUND($F305*1440,0),INT($F305/100)*60+MOD($F305,100)))</f>
        <v/>
      </c>
      <c r="M305" s="15" t="str">
        <f aca="false">IF($G305="","",IF($G305&lt;1,ROUND($G305*1440,0),INT($G305/100)*60+MOD($G305,100)))</f>
        <v/>
      </c>
      <c r="N305" s="15" t="str">
        <f aca="false">IF(OR($A305="",$B305="",$L305="",$M305="",$J305="취소"),"",IF(SUMPRODUCT(($A$3:$A$2002=$A305)*($B$3:$B$2002=$B305)*($J$3:$J$2002&lt;&gt;"취소")*($L$3:$L$2002&lt;&gt;"")*($M$3:$M$2002&lt;&gt;"")*($L$3:$L$2002&lt;$M305)*($M$3:$M$2002&gt;$L305))&gt;1,"중복","-"))</f>
        <v/>
      </c>
    </row>
    <row r="306" customFormat="false" ht="15" hidden="false" customHeight="true" outlineLevel="0" collapsed="false">
      <c r="A306" s="11"/>
      <c r="B306" s="7"/>
      <c r="C306" s="12" t="str">
        <f aca="false">IF($B306="","",IFERROR(INDEX(자원목록!$B$3:$B$102,MATCH($B306,자원목록!$A$3:$A$102,0)),"미등록자원"))</f>
        <v/>
      </c>
      <c r="D306" s="7"/>
      <c r="E306" s="12" t="str">
        <f aca="false">IF($D306="","",IFERROR(INDEX(고객목록!$B$3:$B$502,MATCH($D306,고객목록!$A$3:$A$502,0)),""))</f>
        <v/>
      </c>
      <c r="F306" s="13"/>
      <c r="G306" s="13"/>
      <c r="H306" s="14" t="str">
        <f aca="false">IF(OR($L306="",$M306=""),"",ROUND(($M306-$L306)/60,2))</f>
        <v/>
      </c>
      <c r="I306" s="9"/>
      <c r="J306" s="7"/>
      <c r="K306" s="7"/>
      <c r="L306" s="15" t="str">
        <f aca="false">IF($F306="","",IF($F306&lt;1,ROUND($F306*1440,0),INT($F306/100)*60+MOD($F306,100)))</f>
        <v/>
      </c>
      <c r="M306" s="15" t="str">
        <f aca="false">IF($G306="","",IF($G306&lt;1,ROUND($G306*1440,0),INT($G306/100)*60+MOD($G306,100)))</f>
        <v/>
      </c>
      <c r="N306" s="15" t="str">
        <f aca="false">IF(OR($A306="",$B306="",$L306="",$M306="",$J306="취소"),"",IF(SUMPRODUCT(($A$3:$A$2002=$A306)*($B$3:$B$2002=$B306)*($J$3:$J$2002&lt;&gt;"취소")*($L$3:$L$2002&lt;&gt;"")*($M$3:$M$2002&lt;&gt;"")*($L$3:$L$2002&lt;$M306)*($M$3:$M$2002&gt;$L306))&gt;1,"중복","-"))</f>
        <v/>
      </c>
    </row>
    <row r="307" customFormat="false" ht="15" hidden="false" customHeight="true" outlineLevel="0" collapsed="false">
      <c r="A307" s="11"/>
      <c r="B307" s="7"/>
      <c r="C307" s="12" t="str">
        <f aca="false">IF($B307="","",IFERROR(INDEX(자원목록!$B$3:$B$102,MATCH($B307,자원목록!$A$3:$A$102,0)),"미등록자원"))</f>
        <v/>
      </c>
      <c r="D307" s="7"/>
      <c r="E307" s="12" t="str">
        <f aca="false">IF($D307="","",IFERROR(INDEX(고객목록!$B$3:$B$502,MATCH($D307,고객목록!$A$3:$A$502,0)),""))</f>
        <v/>
      </c>
      <c r="F307" s="13"/>
      <c r="G307" s="13"/>
      <c r="H307" s="14" t="str">
        <f aca="false">IF(OR($L307="",$M307=""),"",ROUND(($M307-$L307)/60,2))</f>
        <v/>
      </c>
      <c r="I307" s="9"/>
      <c r="J307" s="7"/>
      <c r="K307" s="7"/>
      <c r="L307" s="15" t="str">
        <f aca="false">IF($F307="","",IF($F307&lt;1,ROUND($F307*1440,0),INT($F307/100)*60+MOD($F307,100)))</f>
        <v/>
      </c>
      <c r="M307" s="15" t="str">
        <f aca="false">IF($G307="","",IF($G307&lt;1,ROUND($G307*1440,0),INT($G307/100)*60+MOD($G307,100)))</f>
        <v/>
      </c>
      <c r="N307" s="15" t="str">
        <f aca="false">IF(OR($A307="",$B307="",$L307="",$M307="",$J307="취소"),"",IF(SUMPRODUCT(($A$3:$A$2002=$A307)*($B$3:$B$2002=$B307)*($J$3:$J$2002&lt;&gt;"취소")*($L$3:$L$2002&lt;&gt;"")*($M$3:$M$2002&lt;&gt;"")*($L$3:$L$2002&lt;$M307)*($M$3:$M$2002&gt;$L307))&gt;1,"중복","-"))</f>
        <v/>
      </c>
    </row>
    <row r="308" customFormat="false" ht="15" hidden="false" customHeight="true" outlineLevel="0" collapsed="false">
      <c r="A308" s="11"/>
      <c r="B308" s="7"/>
      <c r="C308" s="12" t="str">
        <f aca="false">IF($B308="","",IFERROR(INDEX(자원목록!$B$3:$B$102,MATCH($B308,자원목록!$A$3:$A$102,0)),"미등록자원"))</f>
        <v/>
      </c>
      <c r="D308" s="7"/>
      <c r="E308" s="12" t="str">
        <f aca="false">IF($D308="","",IFERROR(INDEX(고객목록!$B$3:$B$502,MATCH($D308,고객목록!$A$3:$A$502,0)),""))</f>
        <v/>
      </c>
      <c r="F308" s="13"/>
      <c r="G308" s="13"/>
      <c r="H308" s="14" t="str">
        <f aca="false">IF(OR($L308="",$M308=""),"",ROUND(($M308-$L308)/60,2))</f>
        <v/>
      </c>
      <c r="I308" s="9"/>
      <c r="J308" s="7"/>
      <c r="K308" s="7"/>
      <c r="L308" s="15" t="str">
        <f aca="false">IF($F308="","",IF($F308&lt;1,ROUND($F308*1440,0),INT($F308/100)*60+MOD($F308,100)))</f>
        <v/>
      </c>
      <c r="M308" s="15" t="str">
        <f aca="false">IF($G308="","",IF($G308&lt;1,ROUND($G308*1440,0),INT($G308/100)*60+MOD($G308,100)))</f>
        <v/>
      </c>
      <c r="N308" s="15" t="str">
        <f aca="false">IF(OR($A308="",$B308="",$L308="",$M308="",$J308="취소"),"",IF(SUMPRODUCT(($A$3:$A$2002=$A308)*($B$3:$B$2002=$B308)*($J$3:$J$2002&lt;&gt;"취소")*($L$3:$L$2002&lt;&gt;"")*($M$3:$M$2002&lt;&gt;"")*($L$3:$L$2002&lt;$M308)*($M$3:$M$2002&gt;$L308))&gt;1,"중복","-"))</f>
        <v/>
      </c>
    </row>
    <row r="309" customFormat="false" ht="15" hidden="false" customHeight="true" outlineLevel="0" collapsed="false">
      <c r="A309" s="11"/>
      <c r="B309" s="7"/>
      <c r="C309" s="12" t="str">
        <f aca="false">IF($B309="","",IFERROR(INDEX(자원목록!$B$3:$B$102,MATCH($B309,자원목록!$A$3:$A$102,0)),"미등록자원"))</f>
        <v/>
      </c>
      <c r="D309" s="7"/>
      <c r="E309" s="12" t="str">
        <f aca="false">IF($D309="","",IFERROR(INDEX(고객목록!$B$3:$B$502,MATCH($D309,고객목록!$A$3:$A$502,0)),""))</f>
        <v/>
      </c>
      <c r="F309" s="13"/>
      <c r="G309" s="13"/>
      <c r="H309" s="14" t="str">
        <f aca="false">IF(OR($L309="",$M309=""),"",ROUND(($M309-$L309)/60,2))</f>
        <v/>
      </c>
      <c r="I309" s="9"/>
      <c r="J309" s="7"/>
      <c r="K309" s="7"/>
      <c r="L309" s="15" t="str">
        <f aca="false">IF($F309="","",IF($F309&lt;1,ROUND($F309*1440,0),INT($F309/100)*60+MOD($F309,100)))</f>
        <v/>
      </c>
      <c r="M309" s="15" t="str">
        <f aca="false">IF($G309="","",IF($G309&lt;1,ROUND($G309*1440,0),INT($G309/100)*60+MOD($G309,100)))</f>
        <v/>
      </c>
      <c r="N309" s="15" t="str">
        <f aca="false">IF(OR($A309="",$B309="",$L309="",$M309="",$J309="취소"),"",IF(SUMPRODUCT(($A$3:$A$2002=$A309)*($B$3:$B$2002=$B309)*($J$3:$J$2002&lt;&gt;"취소")*($L$3:$L$2002&lt;&gt;"")*($M$3:$M$2002&lt;&gt;"")*($L$3:$L$2002&lt;$M309)*($M$3:$M$2002&gt;$L309))&gt;1,"중복","-"))</f>
        <v/>
      </c>
    </row>
    <row r="310" customFormat="false" ht="15" hidden="false" customHeight="true" outlineLevel="0" collapsed="false">
      <c r="A310" s="11"/>
      <c r="B310" s="7"/>
      <c r="C310" s="12" t="str">
        <f aca="false">IF($B310="","",IFERROR(INDEX(자원목록!$B$3:$B$102,MATCH($B310,자원목록!$A$3:$A$102,0)),"미등록자원"))</f>
        <v/>
      </c>
      <c r="D310" s="7"/>
      <c r="E310" s="12" t="str">
        <f aca="false">IF($D310="","",IFERROR(INDEX(고객목록!$B$3:$B$502,MATCH($D310,고객목록!$A$3:$A$502,0)),""))</f>
        <v/>
      </c>
      <c r="F310" s="13"/>
      <c r="G310" s="13"/>
      <c r="H310" s="14" t="str">
        <f aca="false">IF(OR($L310="",$M310=""),"",ROUND(($M310-$L310)/60,2))</f>
        <v/>
      </c>
      <c r="I310" s="9"/>
      <c r="J310" s="7"/>
      <c r="K310" s="7"/>
      <c r="L310" s="15" t="str">
        <f aca="false">IF($F310="","",IF($F310&lt;1,ROUND($F310*1440,0),INT($F310/100)*60+MOD($F310,100)))</f>
        <v/>
      </c>
      <c r="M310" s="15" t="str">
        <f aca="false">IF($G310="","",IF($G310&lt;1,ROUND($G310*1440,0),INT($G310/100)*60+MOD($G310,100)))</f>
        <v/>
      </c>
      <c r="N310" s="15" t="str">
        <f aca="false">IF(OR($A310="",$B310="",$L310="",$M310="",$J310="취소"),"",IF(SUMPRODUCT(($A$3:$A$2002=$A310)*($B$3:$B$2002=$B310)*($J$3:$J$2002&lt;&gt;"취소")*($L$3:$L$2002&lt;&gt;"")*($M$3:$M$2002&lt;&gt;"")*($L$3:$L$2002&lt;$M310)*($M$3:$M$2002&gt;$L310))&gt;1,"중복","-"))</f>
        <v/>
      </c>
    </row>
    <row r="311" customFormat="false" ht="15" hidden="false" customHeight="true" outlineLevel="0" collapsed="false">
      <c r="A311" s="11"/>
      <c r="B311" s="7"/>
      <c r="C311" s="12" t="str">
        <f aca="false">IF($B311="","",IFERROR(INDEX(자원목록!$B$3:$B$102,MATCH($B311,자원목록!$A$3:$A$102,0)),"미등록자원"))</f>
        <v/>
      </c>
      <c r="D311" s="7"/>
      <c r="E311" s="12" t="str">
        <f aca="false">IF($D311="","",IFERROR(INDEX(고객목록!$B$3:$B$502,MATCH($D311,고객목록!$A$3:$A$502,0)),""))</f>
        <v/>
      </c>
      <c r="F311" s="13"/>
      <c r="G311" s="13"/>
      <c r="H311" s="14" t="str">
        <f aca="false">IF(OR($L311="",$M311=""),"",ROUND(($M311-$L311)/60,2))</f>
        <v/>
      </c>
      <c r="I311" s="9"/>
      <c r="J311" s="7"/>
      <c r="K311" s="7"/>
      <c r="L311" s="15" t="str">
        <f aca="false">IF($F311="","",IF($F311&lt;1,ROUND($F311*1440,0),INT($F311/100)*60+MOD($F311,100)))</f>
        <v/>
      </c>
      <c r="M311" s="15" t="str">
        <f aca="false">IF($G311="","",IF($G311&lt;1,ROUND($G311*1440,0),INT($G311/100)*60+MOD($G311,100)))</f>
        <v/>
      </c>
      <c r="N311" s="15" t="str">
        <f aca="false">IF(OR($A311="",$B311="",$L311="",$M311="",$J311="취소"),"",IF(SUMPRODUCT(($A$3:$A$2002=$A311)*($B$3:$B$2002=$B311)*($J$3:$J$2002&lt;&gt;"취소")*($L$3:$L$2002&lt;&gt;"")*($M$3:$M$2002&lt;&gt;"")*($L$3:$L$2002&lt;$M311)*($M$3:$M$2002&gt;$L311))&gt;1,"중복","-"))</f>
        <v/>
      </c>
    </row>
    <row r="312" customFormat="false" ht="15" hidden="false" customHeight="true" outlineLevel="0" collapsed="false">
      <c r="A312" s="11"/>
      <c r="B312" s="7"/>
      <c r="C312" s="12" t="str">
        <f aca="false">IF($B312="","",IFERROR(INDEX(자원목록!$B$3:$B$102,MATCH($B312,자원목록!$A$3:$A$102,0)),"미등록자원"))</f>
        <v/>
      </c>
      <c r="D312" s="7"/>
      <c r="E312" s="12" t="str">
        <f aca="false">IF($D312="","",IFERROR(INDEX(고객목록!$B$3:$B$502,MATCH($D312,고객목록!$A$3:$A$502,0)),""))</f>
        <v/>
      </c>
      <c r="F312" s="13"/>
      <c r="G312" s="13"/>
      <c r="H312" s="14" t="str">
        <f aca="false">IF(OR($L312="",$M312=""),"",ROUND(($M312-$L312)/60,2))</f>
        <v/>
      </c>
      <c r="I312" s="9"/>
      <c r="J312" s="7"/>
      <c r="K312" s="7"/>
      <c r="L312" s="15" t="str">
        <f aca="false">IF($F312="","",IF($F312&lt;1,ROUND($F312*1440,0),INT($F312/100)*60+MOD($F312,100)))</f>
        <v/>
      </c>
      <c r="M312" s="15" t="str">
        <f aca="false">IF($G312="","",IF($G312&lt;1,ROUND($G312*1440,0),INT($G312/100)*60+MOD($G312,100)))</f>
        <v/>
      </c>
      <c r="N312" s="15" t="str">
        <f aca="false">IF(OR($A312="",$B312="",$L312="",$M312="",$J312="취소"),"",IF(SUMPRODUCT(($A$3:$A$2002=$A312)*($B$3:$B$2002=$B312)*($J$3:$J$2002&lt;&gt;"취소")*($L$3:$L$2002&lt;&gt;"")*($M$3:$M$2002&lt;&gt;"")*($L$3:$L$2002&lt;$M312)*($M$3:$M$2002&gt;$L312))&gt;1,"중복","-"))</f>
        <v/>
      </c>
    </row>
    <row r="313" customFormat="false" ht="15" hidden="false" customHeight="true" outlineLevel="0" collapsed="false">
      <c r="A313" s="11"/>
      <c r="B313" s="7"/>
      <c r="C313" s="12" t="str">
        <f aca="false">IF($B313="","",IFERROR(INDEX(자원목록!$B$3:$B$102,MATCH($B313,자원목록!$A$3:$A$102,0)),"미등록자원"))</f>
        <v/>
      </c>
      <c r="D313" s="7"/>
      <c r="E313" s="12" t="str">
        <f aca="false">IF($D313="","",IFERROR(INDEX(고객목록!$B$3:$B$502,MATCH($D313,고객목록!$A$3:$A$502,0)),""))</f>
        <v/>
      </c>
      <c r="F313" s="13"/>
      <c r="G313" s="13"/>
      <c r="H313" s="14" t="str">
        <f aca="false">IF(OR($L313="",$M313=""),"",ROUND(($M313-$L313)/60,2))</f>
        <v/>
      </c>
      <c r="I313" s="9"/>
      <c r="J313" s="7"/>
      <c r="K313" s="7"/>
      <c r="L313" s="15" t="str">
        <f aca="false">IF($F313="","",IF($F313&lt;1,ROUND($F313*1440,0),INT($F313/100)*60+MOD($F313,100)))</f>
        <v/>
      </c>
      <c r="M313" s="15" t="str">
        <f aca="false">IF($G313="","",IF($G313&lt;1,ROUND($G313*1440,0),INT($G313/100)*60+MOD($G313,100)))</f>
        <v/>
      </c>
      <c r="N313" s="15" t="str">
        <f aca="false">IF(OR($A313="",$B313="",$L313="",$M313="",$J313="취소"),"",IF(SUMPRODUCT(($A$3:$A$2002=$A313)*($B$3:$B$2002=$B313)*($J$3:$J$2002&lt;&gt;"취소")*($L$3:$L$2002&lt;&gt;"")*($M$3:$M$2002&lt;&gt;"")*($L$3:$L$2002&lt;$M313)*($M$3:$M$2002&gt;$L313))&gt;1,"중복","-"))</f>
        <v/>
      </c>
    </row>
    <row r="314" customFormat="false" ht="15" hidden="false" customHeight="true" outlineLevel="0" collapsed="false">
      <c r="A314" s="11"/>
      <c r="B314" s="7"/>
      <c r="C314" s="12" t="str">
        <f aca="false">IF($B314="","",IFERROR(INDEX(자원목록!$B$3:$B$102,MATCH($B314,자원목록!$A$3:$A$102,0)),"미등록자원"))</f>
        <v/>
      </c>
      <c r="D314" s="7"/>
      <c r="E314" s="12" t="str">
        <f aca="false">IF($D314="","",IFERROR(INDEX(고객목록!$B$3:$B$502,MATCH($D314,고객목록!$A$3:$A$502,0)),""))</f>
        <v/>
      </c>
      <c r="F314" s="13"/>
      <c r="G314" s="13"/>
      <c r="H314" s="14" t="str">
        <f aca="false">IF(OR($L314="",$M314=""),"",ROUND(($M314-$L314)/60,2))</f>
        <v/>
      </c>
      <c r="I314" s="9"/>
      <c r="J314" s="7"/>
      <c r="K314" s="7"/>
      <c r="L314" s="15" t="str">
        <f aca="false">IF($F314="","",IF($F314&lt;1,ROUND($F314*1440,0),INT($F314/100)*60+MOD($F314,100)))</f>
        <v/>
      </c>
      <c r="M314" s="15" t="str">
        <f aca="false">IF($G314="","",IF($G314&lt;1,ROUND($G314*1440,0),INT($G314/100)*60+MOD($G314,100)))</f>
        <v/>
      </c>
      <c r="N314" s="15" t="str">
        <f aca="false">IF(OR($A314="",$B314="",$L314="",$M314="",$J314="취소"),"",IF(SUMPRODUCT(($A$3:$A$2002=$A314)*($B$3:$B$2002=$B314)*($J$3:$J$2002&lt;&gt;"취소")*($L$3:$L$2002&lt;&gt;"")*($M$3:$M$2002&lt;&gt;"")*($L$3:$L$2002&lt;$M314)*($M$3:$M$2002&gt;$L314))&gt;1,"중복","-"))</f>
        <v/>
      </c>
    </row>
    <row r="315" customFormat="false" ht="15" hidden="false" customHeight="true" outlineLevel="0" collapsed="false">
      <c r="A315" s="11"/>
      <c r="B315" s="7"/>
      <c r="C315" s="12" t="str">
        <f aca="false">IF($B315="","",IFERROR(INDEX(자원목록!$B$3:$B$102,MATCH($B315,자원목록!$A$3:$A$102,0)),"미등록자원"))</f>
        <v/>
      </c>
      <c r="D315" s="7"/>
      <c r="E315" s="12" t="str">
        <f aca="false">IF($D315="","",IFERROR(INDEX(고객목록!$B$3:$B$502,MATCH($D315,고객목록!$A$3:$A$502,0)),""))</f>
        <v/>
      </c>
      <c r="F315" s="13"/>
      <c r="G315" s="13"/>
      <c r="H315" s="14" t="str">
        <f aca="false">IF(OR($L315="",$M315=""),"",ROUND(($M315-$L315)/60,2))</f>
        <v/>
      </c>
      <c r="I315" s="9"/>
      <c r="J315" s="7"/>
      <c r="K315" s="7"/>
      <c r="L315" s="15" t="str">
        <f aca="false">IF($F315="","",IF($F315&lt;1,ROUND($F315*1440,0),INT($F315/100)*60+MOD($F315,100)))</f>
        <v/>
      </c>
      <c r="M315" s="15" t="str">
        <f aca="false">IF($G315="","",IF($G315&lt;1,ROUND($G315*1440,0),INT($G315/100)*60+MOD($G315,100)))</f>
        <v/>
      </c>
      <c r="N315" s="15" t="str">
        <f aca="false">IF(OR($A315="",$B315="",$L315="",$M315="",$J315="취소"),"",IF(SUMPRODUCT(($A$3:$A$2002=$A315)*($B$3:$B$2002=$B315)*($J$3:$J$2002&lt;&gt;"취소")*($L$3:$L$2002&lt;&gt;"")*($M$3:$M$2002&lt;&gt;"")*($L$3:$L$2002&lt;$M315)*($M$3:$M$2002&gt;$L315))&gt;1,"중복","-"))</f>
        <v/>
      </c>
    </row>
    <row r="316" customFormat="false" ht="15" hidden="false" customHeight="true" outlineLevel="0" collapsed="false">
      <c r="A316" s="11"/>
      <c r="B316" s="7"/>
      <c r="C316" s="12" t="str">
        <f aca="false">IF($B316="","",IFERROR(INDEX(자원목록!$B$3:$B$102,MATCH($B316,자원목록!$A$3:$A$102,0)),"미등록자원"))</f>
        <v/>
      </c>
      <c r="D316" s="7"/>
      <c r="E316" s="12" t="str">
        <f aca="false">IF($D316="","",IFERROR(INDEX(고객목록!$B$3:$B$502,MATCH($D316,고객목록!$A$3:$A$502,0)),""))</f>
        <v/>
      </c>
      <c r="F316" s="13"/>
      <c r="G316" s="13"/>
      <c r="H316" s="14" t="str">
        <f aca="false">IF(OR($L316="",$M316=""),"",ROUND(($M316-$L316)/60,2))</f>
        <v/>
      </c>
      <c r="I316" s="9"/>
      <c r="J316" s="7"/>
      <c r="K316" s="7"/>
      <c r="L316" s="15" t="str">
        <f aca="false">IF($F316="","",IF($F316&lt;1,ROUND($F316*1440,0),INT($F316/100)*60+MOD($F316,100)))</f>
        <v/>
      </c>
      <c r="M316" s="15" t="str">
        <f aca="false">IF($G316="","",IF($G316&lt;1,ROUND($G316*1440,0),INT($G316/100)*60+MOD($G316,100)))</f>
        <v/>
      </c>
      <c r="N316" s="15" t="str">
        <f aca="false">IF(OR($A316="",$B316="",$L316="",$M316="",$J316="취소"),"",IF(SUMPRODUCT(($A$3:$A$2002=$A316)*($B$3:$B$2002=$B316)*($J$3:$J$2002&lt;&gt;"취소")*($L$3:$L$2002&lt;&gt;"")*($M$3:$M$2002&lt;&gt;"")*($L$3:$L$2002&lt;$M316)*($M$3:$M$2002&gt;$L316))&gt;1,"중복","-"))</f>
        <v/>
      </c>
    </row>
    <row r="317" customFormat="false" ht="15" hidden="false" customHeight="true" outlineLevel="0" collapsed="false">
      <c r="A317" s="11"/>
      <c r="B317" s="7"/>
      <c r="C317" s="12" t="str">
        <f aca="false">IF($B317="","",IFERROR(INDEX(자원목록!$B$3:$B$102,MATCH($B317,자원목록!$A$3:$A$102,0)),"미등록자원"))</f>
        <v/>
      </c>
      <c r="D317" s="7"/>
      <c r="E317" s="12" t="str">
        <f aca="false">IF($D317="","",IFERROR(INDEX(고객목록!$B$3:$B$502,MATCH($D317,고객목록!$A$3:$A$502,0)),""))</f>
        <v/>
      </c>
      <c r="F317" s="13"/>
      <c r="G317" s="13"/>
      <c r="H317" s="14" t="str">
        <f aca="false">IF(OR($L317="",$M317=""),"",ROUND(($M317-$L317)/60,2))</f>
        <v/>
      </c>
      <c r="I317" s="9"/>
      <c r="J317" s="7"/>
      <c r="K317" s="7"/>
      <c r="L317" s="15" t="str">
        <f aca="false">IF($F317="","",IF($F317&lt;1,ROUND($F317*1440,0),INT($F317/100)*60+MOD($F317,100)))</f>
        <v/>
      </c>
      <c r="M317" s="15" t="str">
        <f aca="false">IF($G317="","",IF($G317&lt;1,ROUND($G317*1440,0),INT($G317/100)*60+MOD($G317,100)))</f>
        <v/>
      </c>
      <c r="N317" s="15" t="str">
        <f aca="false">IF(OR($A317="",$B317="",$L317="",$M317="",$J317="취소"),"",IF(SUMPRODUCT(($A$3:$A$2002=$A317)*($B$3:$B$2002=$B317)*($J$3:$J$2002&lt;&gt;"취소")*($L$3:$L$2002&lt;&gt;"")*($M$3:$M$2002&lt;&gt;"")*($L$3:$L$2002&lt;$M317)*($M$3:$M$2002&gt;$L317))&gt;1,"중복","-"))</f>
        <v/>
      </c>
    </row>
    <row r="318" customFormat="false" ht="15" hidden="false" customHeight="true" outlineLevel="0" collapsed="false">
      <c r="A318" s="11"/>
      <c r="B318" s="7"/>
      <c r="C318" s="12" t="str">
        <f aca="false">IF($B318="","",IFERROR(INDEX(자원목록!$B$3:$B$102,MATCH($B318,자원목록!$A$3:$A$102,0)),"미등록자원"))</f>
        <v/>
      </c>
      <c r="D318" s="7"/>
      <c r="E318" s="12" t="str">
        <f aca="false">IF($D318="","",IFERROR(INDEX(고객목록!$B$3:$B$502,MATCH($D318,고객목록!$A$3:$A$502,0)),""))</f>
        <v/>
      </c>
      <c r="F318" s="13"/>
      <c r="G318" s="13"/>
      <c r="H318" s="14" t="str">
        <f aca="false">IF(OR($L318="",$M318=""),"",ROUND(($M318-$L318)/60,2))</f>
        <v/>
      </c>
      <c r="I318" s="9"/>
      <c r="J318" s="7"/>
      <c r="K318" s="7"/>
      <c r="L318" s="15" t="str">
        <f aca="false">IF($F318="","",IF($F318&lt;1,ROUND($F318*1440,0),INT($F318/100)*60+MOD($F318,100)))</f>
        <v/>
      </c>
      <c r="M318" s="15" t="str">
        <f aca="false">IF($G318="","",IF($G318&lt;1,ROUND($G318*1440,0),INT($G318/100)*60+MOD($G318,100)))</f>
        <v/>
      </c>
      <c r="N318" s="15" t="str">
        <f aca="false">IF(OR($A318="",$B318="",$L318="",$M318="",$J318="취소"),"",IF(SUMPRODUCT(($A$3:$A$2002=$A318)*($B$3:$B$2002=$B318)*($J$3:$J$2002&lt;&gt;"취소")*($L$3:$L$2002&lt;&gt;"")*($M$3:$M$2002&lt;&gt;"")*($L$3:$L$2002&lt;$M318)*($M$3:$M$2002&gt;$L318))&gt;1,"중복","-"))</f>
        <v/>
      </c>
    </row>
    <row r="319" customFormat="false" ht="15" hidden="false" customHeight="true" outlineLevel="0" collapsed="false">
      <c r="A319" s="11"/>
      <c r="B319" s="7"/>
      <c r="C319" s="12" t="str">
        <f aca="false">IF($B319="","",IFERROR(INDEX(자원목록!$B$3:$B$102,MATCH($B319,자원목록!$A$3:$A$102,0)),"미등록자원"))</f>
        <v/>
      </c>
      <c r="D319" s="7"/>
      <c r="E319" s="12" t="str">
        <f aca="false">IF($D319="","",IFERROR(INDEX(고객목록!$B$3:$B$502,MATCH($D319,고객목록!$A$3:$A$502,0)),""))</f>
        <v/>
      </c>
      <c r="F319" s="13"/>
      <c r="G319" s="13"/>
      <c r="H319" s="14" t="str">
        <f aca="false">IF(OR($L319="",$M319=""),"",ROUND(($M319-$L319)/60,2))</f>
        <v/>
      </c>
      <c r="I319" s="9"/>
      <c r="J319" s="7"/>
      <c r="K319" s="7"/>
      <c r="L319" s="15" t="str">
        <f aca="false">IF($F319="","",IF($F319&lt;1,ROUND($F319*1440,0),INT($F319/100)*60+MOD($F319,100)))</f>
        <v/>
      </c>
      <c r="M319" s="15" t="str">
        <f aca="false">IF($G319="","",IF($G319&lt;1,ROUND($G319*1440,0),INT($G319/100)*60+MOD($G319,100)))</f>
        <v/>
      </c>
      <c r="N319" s="15" t="str">
        <f aca="false">IF(OR($A319="",$B319="",$L319="",$M319="",$J319="취소"),"",IF(SUMPRODUCT(($A$3:$A$2002=$A319)*($B$3:$B$2002=$B319)*($J$3:$J$2002&lt;&gt;"취소")*($L$3:$L$2002&lt;&gt;"")*($M$3:$M$2002&lt;&gt;"")*($L$3:$L$2002&lt;$M319)*($M$3:$M$2002&gt;$L319))&gt;1,"중복","-"))</f>
        <v/>
      </c>
    </row>
    <row r="320" customFormat="false" ht="15" hidden="false" customHeight="true" outlineLevel="0" collapsed="false">
      <c r="A320" s="11"/>
      <c r="B320" s="7"/>
      <c r="C320" s="12" t="str">
        <f aca="false">IF($B320="","",IFERROR(INDEX(자원목록!$B$3:$B$102,MATCH($B320,자원목록!$A$3:$A$102,0)),"미등록자원"))</f>
        <v/>
      </c>
      <c r="D320" s="7"/>
      <c r="E320" s="12" t="str">
        <f aca="false">IF($D320="","",IFERROR(INDEX(고객목록!$B$3:$B$502,MATCH($D320,고객목록!$A$3:$A$502,0)),""))</f>
        <v/>
      </c>
      <c r="F320" s="13"/>
      <c r="G320" s="13"/>
      <c r="H320" s="14" t="str">
        <f aca="false">IF(OR($L320="",$M320=""),"",ROUND(($M320-$L320)/60,2))</f>
        <v/>
      </c>
      <c r="I320" s="9"/>
      <c r="J320" s="7"/>
      <c r="K320" s="7"/>
      <c r="L320" s="15" t="str">
        <f aca="false">IF($F320="","",IF($F320&lt;1,ROUND($F320*1440,0),INT($F320/100)*60+MOD($F320,100)))</f>
        <v/>
      </c>
      <c r="M320" s="15" t="str">
        <f aca="false">IF($G320="","",IF($G320&lt;1,ROUND($G320*1440,0),INT($G320/100)*60+MOD($G320,100)))</f>
        <v/>
      </c>
      <c r="N320" s="15" t="str">
        <f aca="false">IF(OR($A320="",$B320="",$L320="",$M320="",$J320="취소"),"",IF(SUMPRODUCT(($A$3:$A$2002=$A320)*($B$3:$B$2002=$B320)*($J$3:$J$2002&lt;&gt;"취소")*($L$3:$L$2002&lt;&gt;"")*($M$3:$M$2002&lt;&gt;"")*($L$3:$L$2002&lt;$M320)*($M$3:$M$2002&gt;$L320))&gt;1,"중복","-"))</f>
        <v/>
      </c>
    </row>
    <row r="321" customFormat="false" ht="15" hidden="false" customHeight="true" outlineLevel="0" collapsed="false">
      <c r="A321" s="11"/>
      <c r="B321" s="7"/>
      <c r="C321" s="12" t="str">
        <f aca="false">IF($B321="","",IFERROR(INDEX(자원목록!$B$3:$B$102,MATCH($B321,자원목록!$A$3:$A$102,0)),"미등록자원"))</f>
        <v/>
      </c>
      <c r="D321" s="7"/>
      <c r="E321" s="12" t="str">
        <f aca="false">IF($D321="","",IFERROR(INDEX(고객목록!$B$3:$B$502,MATCH($D321,고객목록!$A$3:$A$502,0)),""))</f>
        <v/>
      </c>
      <c r="F321" s="13"/>
      <c r="G321" s="13"/>
      <c r="H321" s="14" t="str">
        <f aca="false">IF(OR($L321="",$M321=""),"",ROUND(($M321-$L321)/60,2))</f>
        <v/>
      </c>
      <c r="I321" s="9"/>
      <c r="J321" s="7"/>
      <c r="K321" s="7"/>
      <c r="L321" s="15" t="str">
        <f aca="false">IF($F321="","",IF($F321&lt;1,ROUND($F321*1440,0),INT($F321/100)*60+MOD($F321,100)))</f>
        <v/>
      </c>
      <c r="M321" s="15" t="str">
        <f aca="false">IF($G321="","",IF($G321&lt;1,ROUND($G321*1440,0),INT($G321/100)*60+MOD($G321,100)))</f>
        <v/>
      </c>
      <c r="N321" s="15" t="str">
        <f aca="false">IF(OR($A321="",$B321="",$L321="",$M321="",$J321="취소"),"",IF(SUMPRODUCT(($A$3:$A$2002=$A321)*($B$3:$B$2002=$B321)*($J$3:$J$2002&lt;&gt;"취소")*($L$3:$L$2002&lt;&gt;"")*($M$3:$M$2002&lt;&gt;"")*($L$3:$L$2002&lt;$M321)*($M$3:$M$2002&gt;$L321))&gt;1,"중복","-"))</f>
        <v/>
      </c>
    </row>
    <row r="322" customFormat="false" ht="15" hidden="false" customHeight="true" outlineLevel="0" collapsed="false">
      <c r="A322" s="11"/>
      <c r="B322" s="7"/>
      <c r="C322" s="12" t="str">
        <f aca="false">IF($B322="","",IFERROR(INDEX(자원목록!$B$3:$B$102,MATCH($B322,자원목록!$A$3:$A$102,0)),"미등록자원"))</f>
        <v/>
      </c>
      <c r="D322" s="7"/>
      <c r="E322" s="12" t="str">
        <f aca="false">IF($D322="","",IFERROR(INDEX(고객목록!$B$3:$B$502,MATCH($D322,고객목록!$A$3:$A$502,0)),""))</f>
        <v/>
      </c>
      <c r="F322" s="13"/>
      <c r="G322" s="13"/>
      <c r="H322" s="14" t="str">
        <f aca="false">IF(OR($L322="",$M322=""),"",ROUND(($M322-$L322)/60,2))</f>
        <v/>
      </c>
      <c r="I322" s="9"/>
      <c r="J322" s="7"/>
      <c r="K322" s="7"/>
      <c r="L322" s="15" t="str">
        <f aca="false">IF($F322="","",IF($F322&lt;1,ROUND($F322*1440,0),INT($F322/100)*60+MOD($F322,100)))</f>
        <v/>
      </c>
      <c r="M322" s="15" t="str">
        <f aca="false">IF($G322="","",IF($G322&lt;1,ROUND($G322*1440,0),INT($G322/100)*60+MOD($G322,100)))</f>
        <v/>
      </c>
      <c r="N322" s="15" t="str">
        <f aca="false">IF(OR($A322="",$B322="",$L322="",$M322="",$J322="취소"),"",IF(SUMPRODUCT(($A$3:$A$2002=$A322)*($B$3:$B$2002=$B322)*($J$3:$J$2002&lt;&gt;"취소")*($L$3:$L$2002&lt;&gt;"")*($M$3:$M$2002&lt;&gt;"")*($L$3:$L$2002&lt;$M322)*($M$3:$M$2002&gt;$L322))&gt;1,"중복","-"))</f>
        <v/>
      </c>
    </row>
    <row r="323" customFormat="false" ht="15" hidden="false" customHeight="true" outlineLevel="0" collapsed="false">
      <c r="A323" s="11"/>
      <c r="B323" s="7"/>
      <c r="C323" s="12" t="str">
        <f aca="false">IF($B323="","",IFERROR(INDEX(자원목록!$B$3:$B$102,MATCH($B323,자원목록!$A$3:$A$102,0)),"미등록자원"))</f>
        <v/>
      </c>
      <c r="D323" s="7"/>
      <c r="E323" s="12" t="str">
        <f aca="false">IF($D323="","",IFERROR(INDEX(고객목록!$B$3:$B$502,MATCH($D323,고객목록!$A$3:$A$502,0)),""))</f>
        <v/>
      </c>
      <c r="F323" s="13"/>
      <c r="G323" s="13"/>
      <c r="H323" s="14" t="str">
        <f aca="false">IF(OR($L323="",$M323=""),"",ROUND(($M323-$L323)/60,2))</f>
        <v/>
      </c>
      <c r="I323" s="9"/>
      <c r="J323" s="7"/>
      <c r="K323" s="7"/>
      <c r="L323" s="15" t="str">
        <f aca="false">IF($F323="","",IF($F323&lt;1,ROUND($F323*1440,0),INT($F323/100)*60+MOD($F323,100)))</f>
        <v/>
      </c>
      <c r="M323" s="15" t="str">
        <f aca="false">IF($G323="","",IF($G323&lt;1,ROUND($G323*1440,0),INT($G323/100)*60+MOD($G323,100)))</f>
        <v/>
      </c>
      <c r="N323" s="15" t="str">
        <f aca="false">IF(OR($A323="",$B323="",$L323="",$M323="",$J323="취소"),"",IF(SUMPRODUCT(($A$3:$A$2002=$A323)*($B$3:$B$2002=$B323)*($J$3:$J$2002&lt;&gt;"취소")*($L$3:$L$2002&lt;&gt;"")*($M$3:$M$2002&lt;&gt;"")*($L$3:$L$2002&lt;$M323)*($M$3:$M$2002&gt;$L323))&gt;1,"중복","-"))</f>
        <v/>
      </c>
    </row>
    <row r="324" customFormat="false" ht="15" hidden="false" customHeight="true" outlineLevel="0" collapsed="false">
      <c r="A324" s="11"/>
      <c r="B324" s="7"/>
      <c r="C324" s="12" t="str">
        <f aca="false">IF($B324="","",IFERROR(INDEX(자원목록!$B$3:$B$102,MATCH($B324,자원목록!$A$3:$A$102,0)),"미등록자원"))</f>
        <v/>
      </c>
      <c r="D324" s="7"/>
      <c r="E324" s="12" t="str">
        <f aca="false">IF($D324="","",IFERROR(INDEX(고객목록!$B$3:$B$502,MATCH($D324,고객목록!$A$3:$A$502,0)),""))</f>
        <v/>
      </c>
      <c r="F324" s="13"/>
      <c r="G324" s="13"/>
      <c r="H324" s="14" t="str">
        <f aca="false">IF(OR($L324="",$M324=""),"",ROUND(($M324-$L324)/60,2))</f>
        <v/>
      </c>
      <c r="I324" s="9"/>
      <c r="J324" s="7"/>
      <c r="K324" s="7"/>
      <c r="L324" s="15" t="str">
        <f aca="false">IF($F324="","",IF($F324&lt;1,ROUND($F324*1440,0),INT($F324/100)*60+MOD($F324,100)))</f>
        <v/>
      </c>
      <c r="M324" s="15" t="str">
        <f aca="false">IF($G324="","",IF($G324&lt;1,ROUND($G324*1440,0),INT($G324/100)*60+MOD($G324,100)))</f>
        <v/>
      </c>
      <c r="N324" s="15" t="str">
        <f aca="false">IF(OR($A324="",$B324="",$L324="",$M324="",$J324="취소"),"",IF(SUMPRODUCT(($A$3:$A$2002=$A324)*($B$3:$B$2002=$B324)*($J$3:$J$2002&lt;&gt;"취소")*($L$3:$L$2002&lt;&gt;"")*($M$3:$M$2002&lt;&gt;"")*($L$3:$L$2002&lt;$M324)*($M$3:$M$2002&gt;$L324))&gt;1,"중복","-"))</f>
        <v/>
      </c>
    </row>
    <row r="325" customFormat="false" ht="15" hidden="false" customHeight="true" outlineLevel="0" collapsed="false">
      <c r="A325" s="11"/>
      <c r="B325" s="7"/>
      <c r="C325" s="12" t="str">
        <f aca="false">IF($B325="","",IFERROR(INDEX(자원목록!$B$3:$B$102,MATCH($B325,자원목록!$A$3:$A$102,0)),"미등록자원"))</f>
        <v/>
      </c>
      <c r="D325" s="7"/>
      <c r="E325" s="12" t="str">
        <f aca="false">IF($D325="","",IFERROR(INDEX(고객목록!$B$3:$B$502,MATCH($D325,고객목록!$A$3:$A$502,0)),""))</f>
        <v/>
      </c>
      <c r="F325" s="13"/>
      <c r="G325" s="13"/>
      <c r="H325" s="14" t="str">
        <f aca="false">IF(OR($L325="",$M325=""),"",ROUND(($M325-$L325)/60,2))</f>
        <v/>
      </c>
      <c r="I325" s="9"/>
      <c r="J325" s="7"/>
      <c r="K325" s="7"/>
      <c r="L325" s="15" t="str">
        <f aca="false">IF($F325="","",IF($F325&lt;1,ROUND($F325*1440,0),INT($F325/100)*60+MOD($F325,100)))</f>
        <v/>
      </c>
      <c r="M325" s="15" t="str">
        <f aca="false">IF($G325="","",IF($G325&lt;1,ROUND($G325*1440,0),INT($G325/100)*60+MOD($G325,100)))</f>
        <v/>
      </c>
      <c r="N325" s="15" t="str">
        <f aca="false">IF(OR($A325="",$B325="",$L325="",$M325="",$J325="취소"),"",IF(SUMPRODUCT(($A$3:$A$2002=$A325)*($B$3:$B$2002=$B325)*($J$3:$J$2002&lt;&gt;"취소")*($L$3:$L$2002&lt;&gt;"")*($M$3:$M$2002&lt;&gt;"")*($L$3:$L$2002&lt;$M325)*($M$3:$M$2002&gt;$L325))&gt;1,"중복","-"))</f>
        <v/>
      </c>
    </row>
    <row r="326" customFormat="false" ht="15" hidden="false" customHeight="true" outlineLevel="0" collapsed="false">
      <c r="A326" s="11"/>
      <c r="B326" s="7"/>
      <c r="C326" s="12" t="str">
        <f aca="false">IF($B326="","",IFERROR(INDEX(자원목록!$B$3:$B$102,MATCH($B326,자원목록!$A$3:$A$102,0)),"미등록자원"))</f>
        <v/>
      </c>
      <c r="D326" s="7"/>
      <c r="E326" s="12" t="str">
        <f aca="false">IF($D326="","",IFERROR(INDEX(고객목록!$B$3:$B$502,MATCH($D326,고객목록!$A$3:$A$502,0)),""))</f>
        <v/>
      </c>
      <c r="F326" s="13"/>
      <c r="G326" s="13"/>
      <c r="H326" s="14" t="str">
        <f aca="false">IF(OR($L326="",$M326=""),"",ROUND(($M326-$L326)/60,2))</f>
        <v/>
      </c>
      <c r="I326" s="9"/>
      <c r="J326" s="7"/>
      <c r="K326" s="7"/>
      <c r="L326" s="15" t="str">
        <f aca="false">IF($F326="","",IF($F326&lt;1,ROUND($F326*1440,0),INT($F326/100)*60+MOD($F326,100)))</f>
        <v/>
      </c>
      <c r="M326" s="15" t="str">
        <f aca="false">IF($G326="","",IF($G326&lt;1,ROUND($G326*1440,0),INT($G326/100)*60+MOD($G326,100)))</f>
        <v/>
      </c>
      <c r="N326" s="15" t="str">
        <f aca="false">IF(OR($A326="",$B326="",$L326="",$M326="",$J326="취소"),"",IF(SUMPRODUCT(($A$3:$A$2002=$A326)*($B$3:$B$2002=$B326)*($J$3:$J$2002&lt;&gt;"취소")*($L$3:$L$2002&lt;&gt;"")*($M$3:$M$2002&lt;&gt;"")*($L$3:$L$2002&lt;$M326)*($M$3:$M$2002&gt;$L326))&gt;1,"중복","-"))</f>
        <v/>
      </c>
    </row>
    <row r="327" customFormat="false" ht="15" hidden="false" customHeight="true" outlineLevel="0" collapsed="false">
      <c r="A327" s="11"/>
      <c r="B327" s="7"/>
      <c r="C327" s="12" t="str">
        <f aca="false">IF($B327="","",IFERROR(INDEX(자원목록!$B$3:$B$102,MATCH($B327,자원목록!$A$3:$A$102,0)),"미등록자원"))</f>
        <v/>
      </c>
      <c r="D327" s="7"/>
      <c r="E327" s="12" t="str">
        <f aca="false">IF($D327="","",IFERROR(INDEX(고객목록!$B$3:$B$502,MATCH($D327,고객목록!$A$3:$A$502,0)),""))</f>
        <v/>
      </c>
      <c r="F327" s="13"/>
      <c r="G327" s="13"/>
      <c r="H327" s="14" t="str">
        <f aca="false">IF(OR($L327="",$M327=""),"",ROUND(($M327-$L327)/60,2))</f>
        <v/>
      </c>
      <c r="I327" s="9"/>
      <c r="J327" s="7"/>
      <c r="K327" s="7"/>
      <c r="L327" s="15" t="str">
        <f aca="false">IF($F327="","",IF($F327&lt;1,ROUND($F327*1440,0),INT($F327/100)*60+MOD($F327,100)))</f>
        <v/>
      </c>
      <c r="M327" s="15" t="str">
        <f aca="false">IF($G327="","",IF($G327&lt;1,ROUND($G327*1440,0),INT($G327/100)*60+MOD($G327,100)))</f>
        <v/>
      </c>
      <c r="N327" s="15" t="str">
        <f aca="false">IF(OR($A327="",$B327="",$L327="",$M327="",$J327="취소"),"",IF(SUMPRODUCT(($A$3:$A$2002=$A327)*($B$3:$B$2002=$B327)*($J$3:$J$2002&lt;&gt;"취소")*($L$3:$L$2002&lt;&gt;"")*($M$3:$M$2002&lt;&gt;"")*($L$3:$L$2002&lt;$M327)*($M$3:$M$2002&gt;$L327))&gt;1,"중복","-"))</f>
        <v/>
      </c>
    </row>
    <row r="328" customFormat="false" ht="15" hidden="false" customHeight="true" outlineLevel="0" collapsed="false">
      <c r="A328" s="11"/>
      <c r="B328" s="7"/>
      <c r="C328" s="12" t="str">
        <f aca="false">IF($B328="","",IFERROR(INDEX(자원목록!$B$3:$B$102,MATCH($B328,자원목록!$A$3:$A$102,0)),"미등록자원"))</f>
        <v/>
      </c>
      <c r="D328" s="7"/>
      <c r="E328" s="12" t="str">
        <f aca="false">IF($D328="","",IFERROR(INDEX(고객목록!$B$3:$B$502,MATCH($D328,고객목록!$A$3:$A$502,0)),""))</f>
        <v/>
      </c>
      <c r="F328" s="13"/>
      <c r="G328" s="13"/>
      <c r="H328" s="14" t="str">
        <f aca="false">IF(OR($L328="",$M328=""),"",ROUND(($M328-$L328)/60,2))</f>
        <v/>
      </c>
      <c r="I328" s="9"/>
      <c r="J328" s="7"/>
      <c r="K328" s="7"/>
      <c r="L328" s="15" t="str">
        <f aca="false">IF($F328="","",IF($F328&lt;1,ROUND($F328*1440,0),INT($F328/100)*60+MOD($F328,100)))</f>
        <v/>
      </c>
      <c r="M328" s="15" t="str">
        <f aca="false">IF($G328="","",IF($G328&lt;1,ROUND($G328*1440,0),INT($G328/100)*60+MOD($G328,100)))</f>
        <v/>
      </c>
      <c r="N328" s="15" t="str">
        <f aca="false">IF(OR($A328="",$B328="",$L328="",$M328="",$J328="취소"),"",IF(SUMPRODUCT(($A$3:$A$2002=$A328)*($B$3:$B$2002=$B328)*($J$3:$J$2002&lt;&gt;"취소")*($L$3:$L$2002&lt;&gt;"")*($M$3:$M$2002&lt;&gt;"")*($L$3:$L$2002&lt;$M328)*($M$3:$M$2002&gt;$L328))&gt;1,"중복","-"))</f>
        <v/>
      </c>
    </row>
    <row r="329" customFormat="false" ht="15" hidden="false" customHeight="true" outlineLevel="0" collapsed="false">
      <c r="A329" s="11"/>
      <c r="B329" s="7"/>
      <c r="C329" s="12" t="str">
        <f aca="false">IF($B329="","",IFERROR(INDEX(자원목록!$B$3:$B$102,MATCH($B329,자원목록!$A$3:$A$102,0)),"미등록자원"))</f>
        <v/>
      </c>
      <c r="D329" s="7"/>
      <c r="E329" s="12" t="str">
        <f aca="false">IF($D329="","",IFERROR(INDEX(고객목록!$B$3:$B$502,MATCH($D329,고객목록!$A$3:$A$502,0)),""))</f>
        <v/>
      </c>
      <c r="F329" s="13"/>
      <c r="G329" s="13"/>
      <c r="H329" s="14" t="str">
        <f aca="false">IF(OR($L329="",$M329=""),"",ROUND(($M329-$L329)/60,2))</f>
        <v/>
      </c>
      <c r="I329" s="9"/>
      <c r="J329" s="7"/>
      <c r="K329" s="7"/>
      <c r="L329" s="15" t="str">
        <f aca="false">IF($F329="","",IF($F329&lt;1,ROUND($F329*1440,0),INT($F329/100)*60+MOD($F329,100)))</f>
        <v/>
      </c>
      <c r="M329" s="15" t="str">
        <f aca="false">IF($G329="","",IF($G329&lt;1,ROUND($G329*1440,0),INT($G329/100)*60+MOD($G329,100)))</f>
        <v/>
      </c>
      <c r="N329" s="15" t="str">
        <f aca="false">IF(OR($A329="",$B329="",$L329="",$M329="",$J329="취소"),"",IF(SUMPRODUCT(($A$3:$A$2002=$A329)*($B$3:$B$2002=$B329)*($J$3:$J$2002&lt;&gt;"취소")*($L$3:$L$2002&lt;&gt;"")*($M$3:$M$2002&lt;&gt;"")*($L$3:$L$2002&lt;$M329)*($M$3:$M$2002&gt;$L329))&gt;1,"중복","-"))</f>
        <v/>
      </c>
    </row>
    <row r="330" customFormat="false" ht="15" hidden="false" customHeight="true" outlineLevel="0" collapsed="false">
      <c r="A330" s="11"/>
      <c r="B330" s="7"/>
      <c r="C330" s="12" t="str">
        <f aca="false">IF($B330="","",IFERROR(INDEX(자원목록!$B$3:$B$102,MATCH($B330,자원목록!$A$3:$A$102,0)),"미등록자원"))</f>
        <v/>
      </c>
      <c r="D330" s="7"/>
      <c r="E330" s="12" t="str">
        <f aca="false">IF($D330="","",IFERROR(INDEX(고객목록!$B$3:$B$502,MATCH($D330,고객목록!$A$3:$A$502,0)),""))</f>
        <v/>
      </c>
      <c r="F330" s="13"/>
      <c r="G330" s="13"/>
      <c r="H330" s="14" t="str">
        <f aca="false">IF(OR($L330="",$M330=""),"",ROUND(($M330-$L330)/60,2))</f>
        <v/>
      </c>
      <c r="I330" s="9"/>
      <c r="J330" s="7"/>
      <c r="K330" s="7"/>
      <c r="L330" s="15" t="str">
        <f aca="false">IF($F330="","",IF($F330&lt;1,ROUND($F330*1440,0),INT($F330/100)*60+MOD($F330,100)))</f>
        <v/>
      </c>
      <c r="M330" s="15" t="str">
        <f aca="false">IF($G330="","",IF($G330&lt;1,ROUND($G330*1440,0),INT($G330/100)*60+MOD($G330,100)))</f>
        <v/>
      </c>
      <c r="N330" s="15" t="str">
        <f aca="false">IF(OR($A330="",$B330="",$L330="",$M330="",$J330="취소"),"",IF(SUMPRODUCT(($A$3:$A$2002=$A330)*($B$3:$B$2002=$B330)*($J$3:$J$2002&lt;&gt;"취소")*($L$3:$L$2002&lt;&gt;"")*($M$3:$M$2002&lt;&gt;"")*($L$3:$L$2002&lt;$M330)*($M$3:$M$2002&gt;$L330))&gt;1,"중복","-"))</f>
        <v/>
      </c>
    </row>
    <row r="331" customFormat="false" ht="15" hidden="false" customHeight="true" outlineLevel="0" collapsed="false">
      <c r="A331" s="11"/>
      <c r="B331" s="7"/>
      <c r="C331" s="12" t="str">
        <f aca="false">IF($B331="","",IFERROR(INDEX(자원목록!$B$3:$B$102,MATCH($B331,자원목록!$A$3:$A$102,0)),"미등록자원"))</f>
        <v/>
      </c>
      <c r="D331" s="7"/>
      <c r="E331" s="12" t="str">
        <f aca="false">IF($D331="","",IFERROR(INDEX(고객목록!$B$3:$B$502,MATCH($D331,고객목록!$A$3:$A$502,0)),""))</f>
        <v/>
      </c>
      <c r="F331" s="13"/>
      <c r="G331" s="13"/>
      <c r="H331" s="14" t="str">
        <f aca="false">IF(OR($L331="",$M331=""),"",ROUND(($M331-$L331)/60,2))</f>
        <v/>
      </c>
      <c r="I331" s="9"/>
      <c r="J331" s="7"/>
      <c r="K331" s="7"/>
      <c r="L331" s="15" t="str">
        <f aca="false">IF($F331="","",IF($F331&lt;1,ROUND($F331*1440,0),INT($F331/100)*60+MOD($F331,100)))</f>
        <v/>
      </c>
      <c r="M331" s="15" t="str">
        <f aca="false">IF($G331="","",IF($G331&lt;1,ROUND($G331*1440,0),INT($G331/100)*60+MOD($G331,100)))</f>
        <v/>
      </c>
      <c r="N331" s="15" t="str">
        <f aca="false">IF(OR($A331="",$B331="",$L331="",$M331="",$J331="취소"),"",IF(SUMPRODUCT(($A$3:$A$2002=$A331)*($B$3:$B$2002=$B331)*($J$3:$J$2002&lt;&gt;"취소")*($L$3:$L$2002&lt;&gt;"")*($M$3:$M$2002&lt;&gt;"")*($L$3:$L$2002&lt;$M331)*($M$3:$M$2002&gt;$L331))&gt;1,"중복","-"))</f>
        <v/>
      </c>
    </row>
    <row r="332" customFormat="false" ht="15" hidden="false" customHeight="true" outlineLevel="0" collapsed="false">
      <c r="A332" s="11"/>
      <c r="B332" s="7"/>
      <c r="C332" s="12" t="str">
        <f aca="false">IF($B332="","",IFERROR(INDEX(자원목록!$B$3:$B$102,MATCH($B332,자원목록!$A$3:$A$102,0)),"미등록자원"))</f>
        <v/>
      </c>
      <c r="D332" s="7"/>
      <c r="E332" s="12" t="str">
        <f aca="false">IF($D332="","",IFERROR(INDEX(고객목록!$B$3:$B$502,MATCH($D332,고객목록!$A$3:$A$502,0)),""))</f>
        <v/>
      </c>
      <c r="F332" s="13"/>
      <c r="G332" s="13"/>
      <c r="H332" s="14" t="str">
        <f aca="false">IF(OR($L332="",$M332=""),"",ROUND(($M332-$L332)/60,2))</f>
        <v/>
      </c>
      <c r="I332" s="9"/>
      <c r="J332" s="7"/>
      <c r="K332" s="7"/>
      <c r="L332" s="15" t="str">
        <f aca="false">IF($F332="","",IF($F332&lt;1,ROUND($F332*1440,0),INT($F332/100)*60+MOD($F332,100)))</f>
        <v/>
      </c>
      <c r="M332" s="15" t="str">
        <f aca="false">IF($G332="","",IF($G332&lt;1,ROUND($G332*1440,0),INT($G332/100)*60+MOD($G332,100)))</f>
        <v/>
      </c>
      <c r="N332" s="15" t="str">
        <f aca="false">IF(OR($A332="",$B332="",$L332="",$M332="",$J332="취소"),"",IF(SUMPRODUCT(($A$3:$A$2002=$A332)*($B$3:$B$2002=$B332)*($J$3:$J$2002&lt;&gt;"취소")*($L$3:$L$2002&lt;&gt;"")*($M$3:$M$2002&lt;&gt;"")*($L$3:$L$2002&lt;$M332)*($M$3:$M$2002&gt;$L332))&gt;1,"중복","-"))</f>
        <v/>
      </c>
    </row>
    <row r="333" customFormat="false" ht="15" hidden="false" customHeight="true" outlineLevel="0" collapsed="false">
      <c r="A333" s="11"/>
      <c r="B333" s="7"/>
      <c r="C333" s="12" t="str">
        <f aca="false">IF($B333="","",IFERROR(INDEX(자원목록!$B$3:$B$102,MATCH($B333,자원목록!$A$3:$A$102,0)),"미등록자원"))</f>
        <v/>
      </c>
      <c r="D333" s="7"/>
      <c r="E333" s="12" t="str">
        <f aca="false">IF($D333="","",IFERROR(INDEX(고객목록!$B$3:$B$502,MATCH($D333,고객목록!$A$3:$A$502,0)),""))</f>
        <v/>
      </c>
      <c r="F333" s="13"/>
      <c r="G333" s="13"/>
      <c r="H333" s="14" t="str">
        <f aca="false">IF(OR($L333="",$M333=""),"",ROUND(($M333-$L333)/60,2))</f>
        <v/>
      </c>
      <c r="I333" s="9"/>
      <c r="J333" s="7"/>
      <c r="K333" s="7"/>
      <c r="L333" s="15" t="str">
        <f aca="false">IF($F333="","",IF($F333&lt;1,ROUND($F333*1440,0),INT($F333/100)*60+MOD($F333,100)))</f>
        <v/>
      </c>
      <c r="M333" s="15" t="str">
        <f aca="false">IF($G333="","",IF($G333&lt;1,ROUND($G333*1440,0),INT($G333/100)*60+MOD($G333,100)))</f>
        <v/>
      </c>
      <c r="N333" s="15" t="str">
        <f aca="false">IF(OR($A333="",$B333="",$L333="",$M333="",$J333="취소"),"",IF(SUMPRODUCT(($A$3:$A$2002=$A333)*($B$3:$B$2002=$B333)*($J$3:$J$2002&lt;&gt;"취소")*($L$3:$L$2002&lt;&gt;"")*($M$3:$M$2002&lt;&gt;"")*($L$3:$L$2002&lt;$M333)*($M$3:$M$2002&gt;$L333))&gt;1,"중복","-"))</f>
        <v/>
      </c>
    </row>
    <row r="334" customFormat="false" ht="15" hidden="false" customHeight="true" outlineLevel="0" collapsed="false">
      <c r="A334" s="11"/>
      <c r="B334" s="7"/>
      <c r="C334" s="12" t="str">
        <f aca="false">IF($B334="","",IFERROR(INDEX(자원목록!$B$3:$B$102,MATCH($B334,자원목록!$A$3:$A$102,0)),"미등록자원"))</f>
        <v/>
      </c>
      <c r="D334" s="7"/>
      <c r="E334" s="12" t="str">
        <f aca="false">IF($D334="","",IFERROR(INDEX(고객목록!$B$3:$B$502,MATCH($D334,고객목록!$A$3:$A$502,0)),""))</f>
        <v/>
      </c>
      <c r="F334" s="13"/>
      <c r="G334" s="13"/>
      <c r="H334" s="14" t="str">
        <f aca="false">IF(OR($L334="",$M334=""),"",ROUND(($M334-$L334)/60,2))</f>
        <v/>
      </c>
      <c r="I334" s="9"/>
      <c r="J334" s="7"/>
      <c r="K334" s="7"/>
      <c r="L334" s="15" t="str">
        <f aca="false">IF($F334="","",IF($F334&lt;1,ROUND($F334*1440,0),INT($F334/100)*60+MOD($F334,100)))</f>
        <v/>
      </c>
      <c r="M334" s="15" t="str">
        <f aca="false">IF($G334="","",IF($G334&lt;1,ROUND($G334*1440,0),INT($G334/100)*60+MOD($G334,100)))</f>
        <v/>
      </c>
      <c r="N334" s="15" t="str">
        <f aca="false">IF(OR($A334="",$B334="",$L334="",$M334="",$J334="취소"),"",IF(SUMPRODUCT(($A$3:$A$2002=$A334)*($B$3:$B$2002=$B334)*($J$3:$J$2002&lt;&gt;"취소")*($L$3:$L$2002&lt;&gt;"")*($M$3:$M$2002&lt;&gt;"")*($L$3:$L$2002&lt;$M334)*($M$3:$M$2002&gt;$L334))&gt;1,"중복","-"))</f>
        <v/>
      </c>
    </row>
    <row r="335" customFormat="false" ht="15" hidden="false" customHeight="true" outlineLevel="0" collapsed="false">
      <c r="A335" s="11"/>
      <c r="B335" s="7"/>
      <c r="C335" s="12" t="str">
        <f aca="false">IF($B335="","",IFERROR(INDEX(자원목록!$B$3:$B$102,MATCH($B335,자원목록!$A$3:$A$102,0)),"미등록자원"))</f>
        <v/>
      </c>
      <c r="D335" s="7"/>
      <c r="E335" s="12" t="str">
        <f aca="false">IF($D335="","",IFERROR(INDEX(고객목록!$B$3:$B$502,MATCH($D335,고객목록!$A$3:$A$502,0)),""))</f>
        <v/>
      </c>
      <c r="F335" s="13"/>
      <c r="G335" s="13"/>
      <c r="H335" s="14" t="str">
        <f aca="false">IF(OR($L335="",$M335=""),"",ROUND(($M335-$L335)/60,2))</f>
        <v/>
      </c>
      <c r="I335" s="9"/>
      <c r="J335" s="7"/>
      <c r="K335" s="7"/>
      <c r="L335" s="15" t="str">
        <f aca="false">IF($F335="","",IF($F335&lt;1,ROUND($F335*1440,0),INT($F335/100)*60+MOD($F335,100)))</f>
        <v/>
      </c>
      <c r="M335" s="15" t="str">
        <f aca="false">IF($G335="","",IF($G335&lt;1,ROUND($G335*1440,0),INT($G335/100)*60+MOD($G335,100)))</f>
        <v/>
      </c>
      <c r="N335" s="15" t="str">
        <f aca="false">IF(OR($A335="",$B335="",$L335="",$M335="",$J335="취소"),"",IF(SUMPRODUCT(($A$3:$A$2002=$A335)*($B$3:$B$2002=$B335)*($J$3:$J$2002&lt;&gt;"취소")*($L$3:$L$2002&lt;&gt;"")*($M$3:$M$2002&lt;&gt;"")*($L$3:$L$2002&lt;$M335)*($M$3:$M$2002&gt;$L335))&gt;1,"중복","-"))</f>
        <v/>
      </c>
    </row>
    <row r="336" customFormat="false" ht="15" hidden="false" customHeight="true" outlineLevel="0" collapsed="false">
      <c r="A336" s="11"/>
      <c r="B336" s="7"/>
      <c r="C336" s="12" t="str">
        <f aca="false">IF($B336="","",IFERROR(INDEX(자원목록!$B$3:$B$102,MATCH($B336,자원목록!$A$3:$A$102,0)),"미등록자원"))</f>
        <v/>
      </c>
      <c r="D336" s="7"/>
      <c r="E336" s="12" t="str">
        <f aca="false">IF($D336="","",IFERROR(INDEX(고객목록!$B$3:$B$502,MATCH($D336,고객목록!$A$3:$A$502,0)),""))</f>
        <v/>
      </c>
      <c r="F336" s="13"/>
      <c r="G336" s="13"/>
      <c r="H336" s="14" t="str">
        <f aca="false">IF(OR($L336="",$M336=""),"",ROUND(($M336-$L336)/60,2))</f>
        <v/>
      </c>
      <c r="I336" s="9"/>
      <c r="J336" s="7"/>
      <c r="K336" s="7"/>
      <c r="L336" s="15" t="str">
        <f aca="false">IF($F336="","",IF($F336&lt;1,ROUND($F336*1440,0),INT($F336/100)*60+MOD($F336,100)))</f>
        <v/>
      </c>
      <c r="M336" s="15" t="str">
        <f aca="false">IF($G336="","",IF($G336&lt;1,ROUND($G336*1440,0),INT($G336/100)*60+MOD($G336,100)))</f>
        <v/>
      </c>
      <c r="N336" s="15" t="str">
        <f aca="false">IF(OR($A336="",$B336="",$L336="",$M336="",$J336="취소"),"",IF(SUMPRODUCT(($A$3:$A$2002=$A336)*($B$3:$B$2002=$B336)*($J$3:$J$2002&lt;&gt;"취소")*($L$3:$L$2002&lt;&gt;"")*($M$3:$M$2002&lt;&gt;"")*($L$3:$L$2002&lt;$M336)*($M$3:$M$2002&gt;$L336))&gt;1,"중복","-"))</f>
        <v/>
      </c>
    </row>
    <row r="337" customFormat="false" ht="15" hidden="false" customHeight="true" outlineLevel="0" collapsed="false">
      <c r="A337" s="11"/>
      <c r="B337" s="7"/>
      <c r="C337" s="12" t="str">
        <f aca="false">IF($B337="","",IFERROR(INDEX(자원목록!$B$3:$B$102,MATCH($B337,자원목록!$A$3:$A$102,0)),"미등록자원"))</f>
        <v/>
      </c>
      <c r="D337" s="7"/>
      <c r="E337" s="12" t="str">
        <f aca="false">IF($D337="","",IFERROR(INDEX(고객목록!$B$3:$B$502,MATCH($D337,고객목록!$A$3:$A$502,0)),""))</f>
        <v/>
      </c>
      <c r="F337" s="13"/>
      <c r="G337" s="13"/>
      <c r="H337" s="14" t="str">
        <f aca="false">IF(OR($L337="",$M337=""),"",ROUND(($M337-$L337)/60,2))</f>
        <v/>
      </c>
      <c r="I337" s="9"/>
      <c r="J337" s="7"/>
      <c r="K337" s="7"/>
      <c r="L337" s="15" t="str">
        <f aca="false">IF($F337="","",IF($F337&lt;1,ROUND($F337*1440,0),INT($F337/100)*60+MOD($F337,100)))</f>
        <v/>
      </c>
      <c r="M337" s="15" t="str">
        <f aca="false">IF($G337="","",IF($G337&lt;1,ROUND($G337*1440,0),INT($G337/100)*60+MOD($G337,100)))</f>
        <v/>
      </c>
      <c r="N337" s="15" t="str">
        <f aca="false">IF(OR($A337="",$B337="",$L337="",$M337="",$J337="취소"),"",IF(SUMPRODUCT(($A$3:$A$2002=$A337)*($B$3:$B$2002=$B337)*($J$3:$J$2002&lt;&gt;"취소")*($L$3:$L$2002&lt;&gt;"")*($M$3:$M$2002&lt;&gt;"")*($L$3:$L$2002&lt;$M337)*($M$3:$M$2002&gt;$L337))&gt;1,"중복","-"))</f>
        <v/>
      </c>
    </row>
    <row r="338" customFormat="false" ht="15" hidden="false" customHeight="true" outlineLevel="0" collapsed="false">
      <c r="A338" s="11"/>
      <c r="B338" s="7"/>
      <c r="C338" s="12" t="str">
        <f aca="false">IF($B338="","",IFERROR(INDEX(자원목록!$B$3:$B$102,MATCH($B338,자원목록!$A$3:$A$102,0)),"미등록자원"))</f>
        <v/>
      </c>
      <c r="D338" s="7"/>
      <c r="E338" s="12" t="str">
        <f aca="false">IF($D338="","",IFERROR(INDEX(고객목록!$B$3:$B$502,MATCH($D338,고객목록!$A$3:$A$502,0)),""))</f>
        <v/>
      </c>
      <c r="F338" s="13"/>
      <c r="G338" s="13"/>
      <c r="H338" s="14" t="str">
        <f aca="false">IF(OR($L338="",$M338=""),"",ROUND(($M338-$L338)/60,2))</f>
        <v/>
      </c>
      <c r="I338" s="9"/>
      <c r="J338" s="7"/>
      <c r="K338" s="7"/>
      <c r="L338" s="15" t="str">
        <f aca="false">IF($F338="","",IF($F338&lt;1,ROUND($F338*1440,0),INT($F338/100)*60+MOD($F338,100)))</f>
        <v/>
      </c>
      <c r="M338" s="15" t="str">
        <f aca="false">IF($G338="","",IF($G338&lt;1,ROUND($G338*1440,0),INT($G338/100)*60+MOD($G338,100)))</f>
        <v/>
      </c>
      <c r="N338" s="15" t="str">
        <f aca="false">IF(OR($A338="",$B338="",$L338="",$M338="",$J338="취소"),"",IF(SUMPRODUCT(($A$3:$A$2002=$A338)*($B$3:$B$2002=$B338)*($J$3:$J$2002&lt;&gt;"취소")*($L$3:$L$2002&lt;&gt;"")*($M$3:$M$2002&lt;&gt;"")*($L$3:$L$2002&lt;$M338)*($M$3:$M$2002&gt;$L338))&gt;1,"중복","-"))</f>
        <v/>
      </c>
    </row>
    <row r="339" customFormat="false" ht="15" hidden="false" customHeight="true" outlineLevel="0" collapsed="false">
      <c r="A339" s="11"/>
      <c r="B339" s="7"/>
      <c r="C339" s="12" t="str">
        <f aca="false">IF($B339="","",IFERROR(INDEX(자원목록!$B$3:$B$102,MATCH($B339,자원목록!$A$3:$A$102,0)),"미등록자원"))</f>
        <v/>
      </c>
      <c r="D339" s="7"/>
      <c r="E339" s="12" t="str">
        <f aca="false">IF($D339="","",IFERROR(INDEX(고객목록!$B$3:$B$502,MATCH($D339,고객목록!$A$3:$A$502,0)),""))</f>
        <v/>
      </c>
      <c r="F339" s="13"/>
      <c r="G339" s="13"/>
      <c r="H339" s="14" t="str">
        <f aca="false">IF(OR($L339="",$M339=""),"",ROUND(($M339-$L339)/60,2))</f>
        <v/>
      </c>
      <c r="I339" s="9"/>
      <c r="J339" s="7"/>
      <c r="K339" s="7"/>
      <c r="L339" s="15" t="str">
        <f aca="false">IF($F339="","",IF($F339&lt;1,ROUND($F339*1440,0),INT($F339/100)*60+MOD($F339,100)))</f>
        <v/>
      </c>
      <c r="M339" s="15" t="str">
        <f aca="false">IF($G339="","",IF($G339&lt;1,ROUND($G339*1440,0),INT($G339/100)*60+MOD($G339,100)))</f>
        <v/>
      </c>
      <c r="N339" s="15" t="str">
        <f aca="false">IF(OR($A339="",$B339="",$L339="",$M339="",$J339="취소"),"",IF(SUMPRODUCT(($A$3:$A$2002=$A339)*($B$3:$B$2002=$B339)*($J$3:$J$2002&lt;&gt;"취소")*($L$3:$L$2002&lt;&gt;"")*($M$3:$M$2002&lt;&gt;"")*($L$3:$L$2002&lt;$M339)*($M$3:$M$2002&gt;$L339))&gt;1,"중복","-"))</f>
        <v/>
      </c>
    </row>
    <row r="340" customFormat="false" ht="15" hidden="false" customHeight="true" outlineLevel="0" collapsed="false">
      <c r="A340" s="11"/>
      <c r="B340" s="7"/>
      <c r="C340" s="12" t="str">
        <f aca="false">IF($B340="","",IFERROR(INDEX(자원목록!$B$3:$B$102,MATCH($B340,자원목록!$A$3:$A$102,0)),"미등록자원"))</f>
        <v/>
      </c>
      <c r="D340" s="7"/>
      <c r="E340" s="12" t="str">
        <f aca="false">IF($D340="","",IFERROR(INDEX(고객목록!$B$3:$B$502,MATCH($D340,고객목록!$A$3:$A$502,0)),""))</f>
        <v/>
      </c>
      <c r="F340" s="13"/>
      <c r="G340" s="13"/>
      <c r="H340" s="14" t="str">
        <f aca="false">IF(OR($L340="",$M340=""),"",ROUND(($M340-$L340)/60,2))</f>
        <v/>
      </c>
      <c r="I340" s="9"/>
      <c r="J340" s="7"/>
      <c r="K340" s="7"/>
      <c r="L340" s="15" t="str">
        <f aca="false">IF($F340="","",IF($F340&lt;1,ROUND($F340*1440,0),INT($F340/100)*60+MOD($F340,100)))</f>
        <v/>
      </c>
      <c r="M340" s="15" t="str">
        <f aca="false">IF($G340="","",IF($G340&lt;1,ROUND($G340*1440,0),INT($G340/100)*60+MOD($G340,100)))</f>
        <v/>
      </c>
      <c r="N340" s="15" t="str">
        <f aca="false">IF(OR($A340="",$B340="",$L340="",$M340="",$J340="취소"),"",IF(SUMPRODUCT(($A$3:$A$2002=$A340)*($B$3:$B$2002=$B340)*($J$3:$J$2002&lt;&gt;"취소")*($L$3:$L$2002&lt;&gt;"")*($M$3:$M$2002&lt;&gt;"")*($L$3:$L$2002&lt;$M340)*($M$3:$M$2002&gt;$L340))&gt;1,"중복","-"))</f>
        <v/>
      </c>
    </row>
    <row r="341" customFormat="false" ht="15" hidden="false" customHeight="true" outlineLevel="0" collapsed="false">
      <c r="A341" s="11"/>
      <c r="B341" s="7"/>
      <c r="C341" s="12" t="str">
        <f aca="false">IF($B341="","",IFERROR(INDEX(자원목록!$B$3:$B$102,MATCH($B341,자원목록!$A$3:$A$102,0)),"미등록자원"))</f>
        <v/>
      </c>
      <c r="D341" s="7"/>
      <c r="E341" s="12" t="str">
        <f aca="false">IF($D341="","",IFERROR(INDEX(고객목록!$B$3:$B$502,MATCH($D341,고객목록!$A$3:$A$502,0)),""))</f>
        <v/>
      </c>
      <c r="F341" s="13"/>
      <c r="G341" s="13"/>
      <c r="H341" s="14" t="str">
        <f aca="false">IF(OR($L341="",$M341=""),"",ROUND(($M341-$L341)/60,2))</f>
        <v/>
      </c>
      <c r="I341" s="9"/>
      <c r="J341" s="7"/>
      <c r="K341" s="7"/>
      <c r="L341" s="15" t="str">
        <f aca="false">IF($F341="","",IF($F341&lt;1,ROUND($F341*1440,0),INT($F341/100)*60+MOD($F341,100)))</f>
        <v/>
      </c>
      <c r="M341" s="15" t="str">
        <f aca="false">IF($G341="","",IF($G341&lt;1,ROUND($G341*1440,0),INT($G341/100)*60+MOD($G341,100)))</f>
        <v/>
      </c>
      <c r="N341" s="15" t="str">
        <f aca="false">IF(OR($A341="",$B341="",$L341="",$M341="",$J341="취소"),"",IF(SUMPRODUCT(($A$3:$A$2002=$A341)*($B$3:$B$2002=$B341)*($J$3:$J$2002&lt;&gt;"취소")*($L$3:$L$2002&lt;&gt;"")*($M$3:$M$2002&lt;&gt;"")*($L$3:$L$2002&lt;$M341)*($M$3:$M$2002&gt;$L341))&gt;1,"중복","-"))</f>
        <v/>
      </c>
    </row>
    <row r="342" customFormat="false" ht="15" hidden="false" customHeight="true" outlineLevel="0" collapsed="false">
      <c r="A342" s="11"/>
      <c r="B342" s="7"/>
      <c r="C342" s="12" t="str">
        <f aca="false">IF($B342="","",IFERROR(INDEX(자원목록!$B$3:$B$102,MATCH($B342,자원목록!$A$3:$A$102,0)),"미등록자원"))</f>
        <v/>
      </c>
      <c r="D342" s="7"/>
      <c r="E342" s="12" t="str">
        <f aca="false">IF($D342="","",IFERROR(INDEX(고객목록!$B$3:$B$502,MATCH($D342,고객목록!$A$3:$A$502,0)),""))</f>
        <v/>
      </c>
      <c r="F342" s="13"/>
      <c r="G342" s="13"/>
      <c r="H342" s="14" t="str">
        <f aca="false">IF(OR($L342="",$M342=""),"",ROUND(($M342-$L342)/60,2))</f>
        <v/>
      </c>
      <c r="I342" s="9"/>
      <c r="J342" s="7"/>
      <c r="K342" s="7"/>
      <c r="L342" s="15" t="str">
        <f aca="false">IF($F342="","",IF($F342&lt;1,ROUND($F342*1440,0),INT($F342/100)*60+MOD($F342,100)))</f>
        <v/>
      </c>
      <c r="M342" s="15" t="str">
        <f aca="false">IF($G342="","",IF($G342&lt;1,ROUND($G342*1440,0),INT($G342/100)*60+MOD($G342,100)))</f>
        <v/>
      </c>
      <c r="N342" s="15" t="str">
        <f aca="false">IF(OR($A342="",$B342="",$L342="",$M342="",$J342="취소"),"",IF(SUMPRODUCT(($A$3:$A$2002=$A342)*($B$3:$B$2002=$B342)*($J$3:$J$2002&lt;&gt;"취소")*($L$3:$L$2002&lt;&gt;"")*($M$3:$M$2002&lt;&gt;"")*($L$3:$L$2002&lt;$M342)*($M$3:$M$2002&gt;$L342))&gt;1,"중복","-"))</f>
        <v/>
      </c>
    </row>
    <row r="343" customFormat="false" ht="15" hidden="false" customHeight="true" outlineLevel="0" collapsed="false">
      <c r="A343" s="11"/>
      <c r="B343" s="7"/>
      <c r="C343" s="12" t="str">
        <f aca="false">IF($B343="","",IFERROR(INDEX(자원목록!$B$3:$B$102,MATCH($B343,자원목록!$A$3:$A$102,0)),"미등록자원"))</f>
        <v/>
      </c>
      <c r="D343" s="7"/>
      <c r="E343" s="12" t="str">
        <f aca="false">IF($D343="","",IFERROR(INDEX(고객목록!$B$3:$B$502,MATCH($D343,고객목록!$A$3:$A$502,0)),""))</f>
        <v/>
      </c>
      <c r="F343" s="13"/>
      <c r="G343" s="13"/>
      <c r="H343" s="14" t="str">
        <f aca="false">IF(OR($L343="",$M343=""),"",ROUND(($M343-$L343)/60,2))</f>
        <v/>
      </c>
      <c r="I343" s="9"/>
      <c r="J343" s="7"/>
      <c r="K343" s="7"/>
      <c r="L343" s="15" t="str">
        <f aca="false">IF($F343="","",IF($F343&lt;1,ROUND($F343*1440,0),INT($F343/100)*60+MOD($F343,100)))</f>
        <v/>
      </c>
      <c r="M343" s="15" t="str">
        <f aca="false">IF($G343="","",IF($G343&lt;1,ROUND($G343*1440,0),INT($G343/100)*60+MOD($G343,100)))</f>
        <v/>
      </c>
      <c r="N343" s="15" t="str">
        <f aca="false">IF(OR($A343="",$B343="",$L343="",$M343="",$J343="취소"),"",IF(SUMPRODUCT(($A$3:$A$2002=$A343)*($B$3:$B$2002=$B343)*($J$3:$J$2002&lt;&gt;"취소")*($L$3:$L$2002&lt;&gt;"")*($M$3:$M$2002&lt;&gt;"")*($L$3:$L$2002&lt;$M343)*($M$3:$M$2002&gt;$L343))&gt;1,"중복","-"))</f>
        <v/>
      </c>
    </row>
    <row r="344" customFormat="false" ht="15" hidden="false" customHeight="true" outlineLevel="0" collapsed="false">
      <c r="A344" s="11"/>
      <c r="B344" s="7"/>
      <c r="C344" s="12" t="str">
        <f aca="false">IF($B344="","",IFERROR(INDEX(자원목록!$B$3:$B$102,MATCH($B344,자원목록!$A$3:$A$102,0)),"미등록자원"))</f>
        <v/>
      </c>
      <c r="D344" s="7"/>
      <c r="E344" s="12" t="str">
        <f aca="false">IF($D344="","",IFERROR(INDEX(고객목록!$B$3:$B$502,MATCH($D344,고객목록!$A$3:$A$502,0)),""))</f>
        <v/>
      </c>
      <c r="F344" s="13"/>
      <c r="G344" s="13"/>
      <c r="H344" s="14" t="str">
        <f aca="false">IF(OR($L344="",$M344=""),"",ROUND(($M344-$L344)/60,2))</f>
        <v/>
      </c>
      <c r="I344" s="9"/>
      <c r="J344" s="7"/>
      <c r="K344" s="7"/>
      <c r="L344" s="15" t="str">
        <f aca="false">IF($F344="","",IF($F344&lt;1,ROUND($F344*1440,0),INT($F344/100)*60+MOD($F344,100)))</f>
        <v/>
      </c>
      <c r="M344" s="15" t="str">
        <f aca="false">IF($G344="","",IF($G344&lt;1,ROUND($G344*1440,0),INT($G344/100)*60+MOD($G344,100)))</f>
        <v/>
      </c>
      <c r="N344" s="15" t="str">
        <f aca="false">IF(OR($A344="",$B344="",$L344="",$M344="",$J344="취소"),"",IF(SUMPRODUCT(($A$3:$A$2002=$A344)*($B$3:$B$2002=$B344)*($J$3:$J$2002&lt;&gt;"취소")*($L$3:$L$2002&lt;&gt;"")*($M$3:$M$2002&lt;&gt;"")*($L$3:$L$2002&lt;$M344)*($M$3:$M$2002&gt;$L344))&gt;1,"중복","-"))</f>
        <v/>
      </c>
    </row>
    <row r="345" customFormat="false" ht="15" hidden="false" customHeight="true" outlineLevel="0" collapsed="false">
      <c r="A345" s="11"/>
      <c r="B345" s="7"/>
      <c r="C345" s="12" t="str">
        <f aca="false">IF($B345="","",IFERROR(INDEX(자원목록!$B$3:$B$102,MATCH($B345,자원목록!$A$3:$A$102,0)),"미등록자원"))</f>
        <v/>
      </c>
      <c r="D345" s="7"/>
      <c r="E345" s="12" t="str">
        <f aca="false">IF($D345="","",IFERROR(INDEX(고객목록!$B$3:$B$502,MATCH($D345,고객목록!$A$3:$A$502,0)),""))</f>
        <v/>
      </c>
      <c r="F345" s="13"/>
      <c r="G345" s="13"/>
      <c r="H345" s="14" t="str">
        <f aca="false">IF(OR($L345="",$M345=""),"",ROUND(($M345-$L345)/60,2))</f>
        <v/>
      </c>
      <c r="I345" s="9"/>
      <c r="J345" s="7"/>
      <c r="K345" s="7"/>
      <c r="L345" s="15" t="str">
        <f aca="false">IF($F345="","",IF($F345&lt;1,ROUND($F345*1440,0),INT($F345/100)*60+MOD($F345,100)))</f>
        <v/>
      </c>
      <c r="M345" s="15" t="str">
        <f aca="false">IF($G345="","",IF($G345&lt;1,ROUND($G345*1440,0),INT($G345/100)*60+MOD($G345,100)))</f>
        <v/>
      </c>
      <c r="N345" s="15" t="str">
        <f aca="false">IF(OR($A345="",$B345="",$L345="",$M345="",$J345="취소"),"",IF(SUMPRODUCT(($A$3:$A$2002=$A345)*($B$3:$B$2002=$B345)*($J$3:$J$2002&lt;&gt;"취소")*($L$3:$L$2002&lt;&gt;"")*($M$3:$M$2002&lt;&gt;"")*($L$3:$L$2002&lt;$M345)*($M$3:$M$2002&gt;$L345))&gt;1,"중복","-"))</f>
        <v/>
      </c>
    </row>
    <row r="346" customFormat="false" ht="15" hidden="false" customHeight="true" outlineLevel="0" collapsed="false">
      <c r="A346" s="11"/>
      <c r="B346" s="7"/>
      <c r="C346" s="12" t="str">
        <f aca="false">IF($B346="","",IFERROR(INDEX(자원목록!$B$3:$B$102,MATCH($B346,자원목록!$A$3:$A$102,0)),"미등록자원"))</f>
        <v/>
      </c>
      <c r="D346" s="7"/>
      <c r="E346" s="12" t="str">
        <f aca="false">IF($D346="","",IFERROR(INDEX(고객목록!$B$3:$B$502,MATCH($D346,고객목록!$A$3:$A$502,0)),""))</f>
        <v/>
      </c>
      <c r="F346" s="13"/>
      <c r="G346" s="13"/>
      <c r="H346" s="14" t="str">
        <f aca="false">IF(OR($L346="",$M346=""),"",ROUND(($M346-$L346)/60,2))</f>
        <v/>
      </c>
      <c r="I346" s="9"/>
      <c r="J346" s="7"/>
      <c r="K346" s="7"/>
      <c r="L346" s="15" t="str">
        <f aca="false">IF($F346="","",IF($F346&lt;1,ROUND($F346*1440,0),INT($F346/100)*60+MOD($F346,100)))</f>
        <v/>
      </c>
      <c r="M346" s="15" t="str">
        <f aca="false">IF($G346="","",IF($G346&lt;1,ROUND($G346*1440,0),INT($G346/100)*60+MOD($G346,100)))</f>
        <v/>
      </c>
      <c r="N346" s="15" t="str">
        <f aca="false">IF(OR($A346="",$B346="",$L346="",$M346="",$J346="취소"),"",IF(SUMPRODUCT(($A$3:$A$2002=$A346)*($B$3:$B$2002=$B346)*($J$3:$J$2002&lt;&gt;"취소")*($L$3:$L$2002&lt;&gt;"")*($M$3:$M$2002&lt;&gt;"")*($L$3:$L$2002&lt;$M346)*($M$3:$M$2002&gt;$L346))&gt;1,"중복","-"))</f>
        <v/>
      </c>
    </row>
    <row r="347" customFormat="false" ht="15" hidden="false" customHeight="true" outlineLevel="0" collapsed="false">
      <c r="A347" s="11"/>
      <c r="B347" s="7"/>
      <c r="C347" s="12" t="str">
        <f aca="false">IF($B347="","",IFERROR(INDEX(자원목록!$B$3:$B$102,MATCH($B347,자원목록!$A$3:$A$102,0)),"미등록자원"))</f>
        <v/>
      </c>
      <c r="D347" s="7"/>
      <c r="E347" s="12" t="str">
        <f aca="false">IF($D347="","",IFERROR(INDEX(고객목록!$B$3:$B$502,MATCH($D347,고객목록!$A$3:$A$502,0)),""))</f>
        <v/>
      </c>
      <c r="F347" s="13"/>
      <c r="G347" s="13"/>
      <c r="H347" s="14" t="str">
        <f aca="false">IF(OR($L347="",$M347=""),"",ROUND(($M347-$L347)/60,2))</f>
        <v/>
      </c>
      <c r="I347" s="9"/>
      <c r="J347" s="7"/>
      <c r="K347" s="7"/>
      <c r="L347" s="15" t="str">
        <f aca="false">IF($F347="","",IF($F347&lt;1,ROUND($F347*1440,0),INT($F347/100)*60+MOD($F347,100)))</f>
        <v/>
      </c>
      <c r="M347" s="15" t="str">
        <f aca="false">IF($G347="","",IF($G347&lt;1,ROUND($G347*1440,0),INT($G347/100)*60+MOD($G347,100)))</f>
        <v/>
      </c>
      <c r="N347" s="15" t="str">
        <f aca="false">IF(OR($A347="",$B347="",$L347="",$M347="",$J347="취소"),"",IF(SUMPRODUCT(($A$3:$A$2002=$A347)*($B$3:$B$2002=$B347)*($J$3:$J$2002&lt;&gt;"취소")*($L$3:$L$2002&lt;&gt;"")*($M$3:$M$2002&lt;&gt;"")*($L$3:$L$2002&lt;$M347)*($M$3:$M$2002&gt;$L347))&gt;1,"중복","-"))</f>
        <v/>
      </c>
    </row>
    <row r="348" customFormat="false" ht="15" hidden="false" customHeight="true" outlineLevel="0" collapsed="false">
      <c r="A348" s="11"/>
      <c r="B348" s="7"/>
      <c r="C348" s="12" t="str">
        <f aca="false">IF($B348="","",IFERROR(INDEX(자원목록!$B$3:$B$102,MATCH($B348,자원목록!$A$3:$A$102,0)),"미등록자원"))</f>
        <v/>
      </c>
      <c r="D348" s="7"/>
      <c r="E348" s="12" t="str">
        <f aca="false">IF($D348="","",IFERROR(INDEX(고객목록!$B$3:$B$502,MATCH($D348,고객목록!$A$3:$A$502,0)),""))</f>
        <v/>
      </c>
      <c r="F348" s="13"/>
      <c r="G348" s="13"/>
      <c r="H348" s="14" t="str">
        <f aca="false">IF(OR($L348="",$M348=""),"",ROUND(($M348-$L348)/60,2))</f>
        <v/>
      </c>
      <c r="I348" s="9"/>
      <c r="J348" s="7"/>
      <c r="K348" s="7"/>
      <c r="L348" s="15" t="str">
        <f aca="false">IF($F348="","",IF($F348&lt;1,ROUND($F348*1440,0),INT($F348/100)*60+MOD($F348,100)))</f>
        <v/>
      </c>
      <c r="M348" s="15" t="str">
        <f aca="false">IF($G348="","",IF($G348&lt;1,ROUND($G348*1440,0),INT($G348/100)*60+MOD($G348,100)))</f>
        <v/>
      </c>
      <c r="N348" s="15" t="str">
        <f aca="false">IF(OR($A348="",$B348="",$L348="",$M348="",$J348="취소"),"",IF(SUMPRODUCT(($A$3:$A$2002=$A348)*($B$3:$B$2002=$B348)*($J$3:$J$2002&lt;&gt;"취소")*($L$3:$L$2002&lt;&gt;"")*($M$3:$M$2002&lt;&gt;"")*($L$3:$L$2002&lt;$M348)*($M$3:$M$2002&gt;$L348))&gt;1,"중복","-"))</f>
        <v/>
      </c>
    </row>
    <row r="349" customFormat="false" ht="15" hidden="false" customHeight="true" outlineLevel="0" collapsed="false">
      <c r="A349" s="11"/>
      <c r="B349" s="7"/>
      <c r="C349" s="12" t="str">
        <f aca="false">IF($B349="","",IFERROR(INDEX(자원목록!$B$3:$B$102,MATCH($B349,자원목록!$A$3:$A$102,0)),"미등록자원"))</f>
        <v/>
      </c>
      <c r="D349" s="7"/>
      <c r="E349" s="12" t="str">
        <f aca="false">IF($D349="","",IFERROR(INDEX(고객목록!$B$3:$B$502,MATCH($D349,고객목록!$A$3:$A$502,0)),""))</f>
        <v/>
      </c>
      <c r="F349" s="13"/>
      <c r="G349" s="13"/>
      <c r="H349" s="14" t="str">
        <f aca="false">IF(OR($L349="",$M349=""),"",ROUND(($M349-$L349)/60,2))</f>
        <v/>
      </c>
      <c r="I349" s="9"/>
      <c r="J349" s="7"/>
      <c r="K349" s="7"/>
      <c r="L349" s="15" t="str">
        <f aca="false">IF($F349="","",IF($F349&lt;1,ROUND($F349*1440,0),INT($F349/100)*60+MOD($F349,100)))</f>
        <v/>
      </c>
      <c r="M349" s="15" t="str">
        <f aca="false">IF($G349="","",IF($G349&lt;1,ROUND($G349*1440,0),INT($G349/100)*60+MOD($G349,100)))</f>
        <v/>
      </c>
      <c r="N349" s="15" t="str">
        <f aca="false">IF(OR($A349="",$B349="",$L349="",$M349="",$J349="취소"),"",IF(SUMPRODUCT(($A$3:$A$2002=$A349)*($B$3:$B$2002=$B349)*($J$3:$J$2002&lt;&gt;"취소")*($L$3:$L$2002&lt;&gt;"")*($M$3:$M$2002&lt;&gt;"")*($L$3:$L$2002&lt;$M349)*($M$3:$M$2002&gt;$L349))&gt;1,"중복","-"))</f>
        <v/>
      </c>
    </row>
    <row r="350" customFormat="false" ht="15" hidden="false" customHeight="true" outlineLevel="0" collapsed="false">
      <c r="A350" s="11"/>
      <c r="B350" s="7"/>
      <c r="C350" s="12" t="str">
        <f aca="false">IF($B350="","",IFERROR(INDEX(자원목록!$B$3:$B$102,MATCH($B350,자원목록!$A$3:$A$102,0)),"미등록자원"))</f>
        <v/>
      </c>
      <c r="D350" s="7"/>
      <c r="E350" s="12" t="str">
        <f aca="false">IF($D350="","",IFERROR(INDEX(고객목록!$B$3:$B$502,MATCH($D350,고객목록!$A$3:$A$502,0)),""))</f>
        <v/>
      </c>
      <c r="F350" s="13"/>
      <c r="G350" s="13"/>
      <c r="H350" s="14" t="str">
        <f aca="false">IF(OR($L350="",$M350=""),"",ROUND(($M350-$L350)/60,2))</f>
        <v/>
      </c>
      <c r="I350" s="9"/>
      <c r="J350" s="7"/>
      <c r="K350" s="7"/>
      <c r="L350" s="15" t="str">
        <f aca="false">IF($F350="","",IF($F350&lt;1,ROUND($F350*1440,0),INT($F350/100)*60+MOD($F350,100)))</f>
        <v/>
      </c>
      <c r="M350" s="15" t="str">
        <f aca="false">IF($G350="","",IF($G350&lt;1,ROUND($G350*1440,0),INT($G350/100)*60+MOD($G350,100)))</f>
        <v/>
      </c>
      <c r="N350" s="15" t="str">
        <f aca="false">IF(OR($A350="",$B350="",$L350="",$M350="",$J350="취소"),"",IF(SUMPRODUCT(($A$3:$A$2002=$A350)*($B$3:$B$2002=$B350)*($J$3:$J$2002&lt;&gt;"취소")*($L$3:$L$2002&lt;&gt;"")*($M$3:$M$2002&lt;&gt;"")*($L$3:$L$2002&lt;$M350)*($M$3:$M$2002&gt;$L350))&gt;1,"중복","-"))</f>
        <v/>
      </c>
    </row>
    <row r="351" customFormat="false" ht="15" hidden="false" customHeight="true" outlineLevel="0" collapsed="false">
      <c r="A351" s="11"/>
      <c r="B351" s="7"/>
      <c r="C351" s="12" t="str">
        <f aca="false">IF($B351="","",IFERROR(INDEX(자원목록!$B$3:$B$102,MATCH($B351,자원목록!$A$3:$A$102,0)),"미등록자원"))</f>
        <v/>
      </c>
      <c r="D351" s="7"/>
      <c r="E351" s="12" t="str">
        <f aca="false">IF($D351="","",IFERROR(INDEX(고객목록!$B$3:$B$502,MATCH($D351,고객목록!$A$3:$A$502,0)),""))</f>
        <v/>
      </c>
      <c r="F351" s="13"/>
      <c r="G351" s="13"/>
      <c r="H351" s="14" t="str">
        <f aca="false">IF(OR($L351="",$M351=""),"",ROUND(($M351-$L351)/60,2))</f>
        <v/>
      </c>
      <c r="I351" s="9"/>
      <c r="J351" s="7"/>
      <c r="K351" s="7"/>
      <c r="L351" s="15" t="str">
        <f aca="false">IF($F351="","",IF($F351&lt;1,ROUND($F351*1440,0),INT($F351/100)*60+MOD($F351,100)))</f>
        <v/>
      </c>
      <c r="M351" s="15" t="str">
        <f aca="false">IF($G351="","",IF($G351&lt;1,ROUND($G351*1440,0),INT($G351/100)*60+MOD($G351,100)))</f>
        <v/>
      </c>
      <c r="N351" s="15" t="str">
        <f aca="false">IF(OR($A351="",$B351="",$L351="",$M351="",$J351="취소"),"",IF(SUMPRODUCT(($A$3:$A$2002=$A351)*($B$3:$B$2002=$B351)*($J$3:$J$2002&lt;&gt;"취소")*($L$3:$L$2002&lt;&gt;"")*($M$3:$M$2002&lt;&gt;"")*($L$3:$L$2002&lt;$M351)*($M$3:$M$2002&gt;$L351))&gt;1,"중복","-"))</f>
        <v/>
      </c>
    </row>
    <row r="352" customFormat="false" ht="15" hidden="false" customHeight="true" outlineLevel="0" collapsed="false">
      <c r="A352" s="11"/>
      <c r="B352" s="7"/>
      <c r="C352" s="12" t="str">
        <f aca="false">IF($B352="","",IFERROR(INDEX(자원목록!$B$3:$B$102,MATCH($B352,자원목록!$A$3:$A$102,0)),"미등록자원"))</f>
        <v/>
      </c>
      <c r="D352" s="7"/>
      <c r="E352" s="12" t="str">
        <f aca="false">IF($D352="","",IFERROR(INDEX(고객목록!$B$3:$B$502,MATCH($D352,고객목록!$A$3:$A$502,0)),""))</f>
        <v/>
      </c>
      <c r="F352" s="13"/>
      <c r="G352" s="13"/>
      <c r="H352" s="14" t="str">
        <f aca="false">IF(OR($L352="",$M352=""),"",ROUND(($M352-$L352)/60,2))</f>
        <v/>
      </c>
      <c r="I352" s="9"/>
      <c r="J352" s="7"/>
      <c r="K352" s="7"/>
      <c r="L352" s="15" t="str">
        <f aca="false">IF($F352="","",IF($F352&lt;1,ROUND($F352*1440,0),INT($F352/100)*60+MOD($F352,100)))</f>
        <v/>
      </c>
      <c r="M352" s="15" t="str">
        <f aca="false">IF($G352="","",IF($G352&lt;1,ROUND($G352*1440,0),INT($G352/100)*60+MOD($G352,100)))</f>
        <v/>
      </c>
      <c r="N352" s="15" t="str">
        <f aca="false">IF(OR($A352="",$B352="",$L352="",$M352="",$J352="취소"),"",IF(SUMPRODUCT(($A$3:$A$2002=$A352)*($B$3:$B$2002=$B352)*($J$3:$J$2002&lt;&gt;"취소")*($L$3:$L$2002&lt;&gt;"")*($M$3:$M$2002&lt;&gt;"")*($L$3:$L$2002&lt;$M352)*($M$3:$M$2002&gt;$L352))&gt;1,"중복","-"))</f>
        <v/>
      </c>
    </row>
    <row r="353" customFormat="false" ht="15" hidden="false" customHeight="true" outlineLevel="0" collapsed="false">
      <c r="A353" s="11"/>
      <c r="B353" s="7"/>
      <c r="C353" s="12" t="str">
        <f aca="false">IF($B353="","",IFERROR(INDEX(자원목록!$B$3:$B$102,MATCH($B353,자원목록!$A$3:$A$102,0)),"미등록자원"))</f>
        <v/>
      </c>
      <c r="D353" s="7"/>
      <c r="E353" s="12" t="str">
        <f aca="false">IF($D353="","",IFERROR(INDEX(고객목록!$B$3:$B$502,MATCH($D353,고객목록!$A$3:$A$502,0)),""))</f>
        <v/>
      </c>
      <c r="F353" s="13"/>
      <c r="G353" s="13"/>
      <c r="H353" s="14" t="str">
        <f aca="false">IF(OR($L353="",$M353=""),"",ROUND(($M353-$L353)/60,2))</f>
        <v/>
      </c>
      <c r="I353" s="9"/>
      <c r="J353" s="7"/>
      <c r="K353" s="7"/>
      <c r="L353" s="15" t="str">
        <f aca="false">IF($F353="","",IF($F353&lt;1,ROUND($F353*1440,0),INT($F353/100)*60+MOD($F353,100)))</f>
        <v/>
      </c>
      <c r="M353" s="15" t="str">
        <f aca="false">IF($G353="","",IF($G353&lt;1,ROUND($G353*1440,0),INT($G353/100)*60+MOD($G353,100)))</f>
        <v/>
      </c>
      <c r="N353" s="15" t="str">
        <f aca="false">IF(OR($A353="",$B353="",$L353="",$M353="",$J353="취소"),"",IF(SUMPRODUCT(($A$3:$A$2002=$A353)*($B$3:$B$2002=$B353)*($J$3:$J$2002&lt;&gt;"취소")*($L$3:$L$2002&lt;&gt;"")*($M$3:$M$2002&lt;&gt;"")*($L$3:$L$2002&lt;$M353)*($M$3:$M$2002&gt;$L353))&gt;1,"중복","-"))</f>
        <v/>
      </c>
    </row>
    <row r="354" customFormat="false" ht="15" hidden="false" customHeight="true" outlineLevel="0" collapsed="false">
      <c r="A354" s="11"/>
      <c r="B354" s="7"/>
      <c r="C354" s="12" t="str">
        <f aca="false">IF($B354="","",IFERROR(INDEX(자원목록!$B$3:$B$102,MATCH($B354,자원목록!$A$3:$A$102,0)),"미등록자원"))</f>
        <v/>
      </c>
      <c r="D354" s="7"/>
      <c r="E354" s="12" t="str">
        <f aca="false">IF($D354="","",IFERROR(INDEX(고객목록!$B$3:$B$502,MATCH($D354,고객목록!$A$3:$A$502,0)),""))</f>
        <v/>
      </c>
      <c r="F354" s="13"/>
      <c r="G354" s="13"/>
      <c r="H354" s="14" t="str">
        <f aca="false">IF(OR($L354="",$M354=""),"",ROUND(($M354-$L354)/60,2))</f>
        <v/>
      </c>
      <c r="I354" s="9"/>
      <c r="J354" s="7"/>
      <c r="K354" s="7"/>
      <c r="L354" s="15" t="str">
        <f aca="false">IF($F354="","",IF($F354&lt;1,ROUND($F354*1440,0),INT($F354/100)*60+MOD($F354,100)))</f>
        <v/>
      </c>
      <c r="M354" s="15" t="str">
        <f aca="false">IF($G354="","",IF($G354&lt;1,ROUND($G354*1440,0),INT($G354/100)*60+MOD($G354,100)))</f>
        <v/>
      </c>
      <c r="N354" s="15" t="str">
        <f aca="false">IF(OR($A354="",$B354="",$L354="",$M354="",$J354="취소"),"",IF(SUMPRODUCT(($A$3:$A$2002=$A354)*($B$3:$B$2002=$B354)*($J$3:$J$2002&lt;&gt;"취소")*($L$3:$L$2002&lt;&gt;"")*($M$3:$M$2002&lt;&gt;"")*($L$3:$L$2002&lt;$M354)*($M$3:$M$2002&gt;$L354))&gt;1,"중복","-"))</f>
        <v/>
      </c>
    </row>
    <row r="355" customFormat="false" ht="15" hidden="false" customHeight="true" outlineLevel="0" collapsed="false">
      <c r="A355" s="11"/>
      <c r="B355" s="7"/>
      <c r="C355" s="12" t="str">
        <f aca="false">IF($B355="","",IFERROR(INDEX(자원목록!$B$3:$B$102,MATCH($B355,자원목록!$A$3:$A$102,0)),"미등록자원"))</f>
        <v/>
      </c>
      <c r="D355" s="7"/>
      <c r="E355" s="12" t="str">
        <f aca="false">IF($D355="","",IFERROR(INDEX(고객목록!$B$3:$B$502,MATCH($D355,고객목록!$A$3:$A$502,0)),""))</f>
        <v/>
      </c>
      <c r="F355" s="13"/>
      <c r="G355" s="13"/>
      <c r="H355" s="14" t="str">
        <f aca="false">IF(OR($L355="",$M355=""),"",ROUND(($M355-$L355)/60,2))</f>
        <v/>
      </c>
      <c r="I355" s="9"/>
      <c r="J355" s="7"/>
      <c r="K355" s="7"/>
      <c r="L355" s="15" t="str">
        <f aca="false">IF($F355="","",IF($F355&lt;1,ROUND($F355*1440,0),INT($F355/100)*60+MOD($F355,100)))</f>
        <v/>
      </c>
      <c r="M355" s="15" t="str">
        <f aca="false">IF($G355="","",IF($G355&lt;1,ROUND($G355*1440,0),INT($G355/100)*60+MOD($G355,100)))</f>
        <v/>
      </c>
      <c r="N355" s="15" t="str">
        <f aca="false">IF(OR($A355="",$B355="",$L355="",$M355="",$J355="취소"),"",IF(SUMPRODUCT(($A$3:$A$2002=$A355)*($B$3:$B$2002=$B355)*($J$3:$J$2002&lt;&gt;"취소")*($L$3:$L$2002&lt;&gt;"")*($M$3:$M$2002&lt;&gt;"")*($L$3:$L$2002&lt;$M355)*($M$3:$M$2002&gt;$L355))&gt;1,"중복","-"))</f>
        <v/>
      </c>
    </row>
    <row r="356" customFormat="false" ht="15" hidden="false" customHeight="true" outlineLevel="0" collapsed="false">
      <c r="A356" s="11"/>
      <c r="B356" s="7"/>
      <c r="C356" s="12" t="str">
        <f aca="false">IF($B356="","",IFERROR(INDEX(자원목록!$B$3:$B$102,MATCH($B356,자원목록!$A$3:$A$102,0)),"미등록자원"))</f>
        <v/>
      </c>
      <c r="D356" s="7"/>
      <c r="E356" s="12" t="str">
        <f aca="false">IF($D356="","",IFERROR(INDEX(고객목록!$B$3:$B$502,MATCH($D356,고객목록!$A$3:$A$502,0)),""))</f>
        <v/>
      </c>
      <c r="F356" s="13"/>
      <c r="G356" s="13"/>
      <c r="H356" s="14" t="str">
        <f aca="false">IF(OR($L356="",$M356=""),"",ROUND(($M356-$L356)/60,2))</f>
        <v/>
      </c>
      <c r="I356" s="9"/>
      <c r="J356" s="7"/>
      <c r="K356" s="7"/>
      <c r="L356" s="15" t="str">
        <f aca="false">IF($F356="","",IF($F356&lt;1,ROUND($F356*1440,0),INT($F356/100)*60+MOD($F356,100)))</f>
        <v/>
      </c>
      <c r="M356" s="15" t="str">
        <f aca="false">IF($G356="","",IF($G356&lt;1,ROUND($G356*1440,0),INT($G356/100)*60+MOD($G356,100)))</f>
        <v/>
      </c>
      <c r="N356" s="15" t="str">
        <f aca="false">IF(OR($A356="",$B356="",$L356="",$M356="",$J356="취소"),"",IF(SUMPRODUCT(($A$3:$A$2002=$A356)*($B$3:$B$2002=$B356)*($J$3:$J$2002&lt;&gt;"취소")*($L$3:$L$2002&lt;&gt;"")*($M$3:$M$2002&lt;&gt;"")*($L$3:$L$2002&lt;$M356)*($M$3:$M$2002&gt;$L356))&gt;1,"중복","-"))</f>
        <v/>
      </c>
    </row>
    <row r="357" customFormat="false" ht="15" hidden="false" customHeight="true" outlineLevel="0" collapsed="false">
      <c r="A357" s="11"/>
      <c r="B357" s="7"/>
      <c r="C357" s="12" t="str">
        <f aca="false">IF($B357="","",IFERROR(INDEX(자원목록!$B$3:$B$102,MATCH($B357,자원목록!$A$3:$A$102,0)),"미등록자원"))</f>
        <v/>
      </c>
      <c r="D357" s="7"/>
      <c r="E357" s="12" t="str">
        <f aca="false">IF($D357="","",IFERROR(INDEX(고객목록!$B$3:$B$502,MATCH($D357,고객목록!$A$3:$A$502,0)),""))</f>
        <v/>
      </c>
      <c r="F357" s="13"/>
      <c r="G357" s="13"/>
      <c r="H357" s="14" t="str">
        <f aca="false">IF(OR($L357="",$M357=""),"",ROUND(($M357-$L357)/60,2))</f>
        <v/>
      </c>
      <c r="I357" s="9"/>
      <c r="J357" s="7"/>
      <c r="K357" s="7"/>
      <c r="L357" s="15" t="str">
        <f aca="false">IF($F357="","",IF($F357&lt;1,ROUND($F357*1440,0),INT($F357/100)*60+MOD($F357,100)))</f>
        <v/>
      </c>
      <c r="M357" s="15" t="str">
        <f aca="false">IF($G357="","",IF($G357&lt;1,ROUND($G357*1440,0),INT($G357/100)*60+MOD($G357,100)))</f>
        <v/>
      </c>
      <c r="N357" s="15" t="str">
        <f aca="false">IF(OR($A357="",$B357="",$L357="",$M357="",$J357="취소"),"",IF(SUMPRODUCT(($A$3:$A$2002=$A357)*($B$3:$B$2002=$B357)*($J$3:$J$2002&lt;&gt;"취소")*($L$3:$L$2002&lt;&gt;"")*($M$3:$M$2002&lt;&gt;"")*($L$3:$L$2002&lt;$M357)*($M$3:$M$2002&gt;$L357))&gt;1,"중복","-"))</f>
        <v/>
      </c>
    </row>
    <row r="358" customFormat="false" ht="15" hidden="false" customHeight="true" outlineLevel="0" collapsed="false">
      <c r="A358" s="11"/>
      <c r="B358" s="7"/>
      <c r="C358" s="12" t="str">
        <f aca="false">IF($B358="","",IFERROR(INDEX(자원목록!$B$3:$B$102,MATCH($B358,자원목록!$A$3:$A$102,0)),"미등록자원"))</f>
        <v/>
      </c>
      <c r="D358" s="7"/>
      <c r="E358" s="12" t="str">
        <f aca="false">IF($D358="","",IFERROR(INDEX(고객목록!$B$3:$B$502,MATCH($D358,고객목록!$A$3:$A$502,0)),""))</f>
        <v/>
      </c>
      <c r="F358" s="13"/>
      <c r="G358" s="13"/>
      <c r="H358" s="14" t="str">
        <f aca="false">IF(OR($L358="",$M358=""),"",ROUND(($M358-$L358)/60,2))</f>
        <v/>
      </c>
      <c r="I358" s="9"/>
      <c r="J358" s="7"/>
      <c r="K358" s="7"/>
      <c r="L358" s="15" t="str">
        <f aca="false">IF($F358="","",IF($F358&lt;1,ROUND($F358*1440,0),INT($F358/100)*60+MOD($F358,100)))</f>
        <v/>
      </c>
      <c r="M358" s="15" t="str">
        <f aca="false">IF($G358="","",IF($G358&lt;1,ROUND($G358*1440,0),INT($G358/100)*60+MOD($G358,100)))</f>
        <v/>
      </c>
      <c r="N358" s="15" t="str">
        <f aca="false">IF(OR($A358="",$B358="",$L358="",$M358="",$J358="취소"),"",IF(SUMPRODUCT(($A$3:$A$2002=$A358)*($B$3:$B$2002=$B358)*($J$3:$J$2002&lt;&gt;"취소")*($L$3:$L$2002&lt;&gt;"")*($M$3:$M$2002&lt;&gt;"")*($L$3:$L$2002&lt;$M358)*($M$3:$M$2002&gt;$L358))&gt;1,"중복","-"))</f>
        <v/>
      </c>
    </row>
    <row r="359" customFormat="false" ht="15" hidden="false" customHeight="true" outlineLevel="0" collapsed="false">
      <c r="A359" s="11"/>
      <c r="B359" s="7"/>
      <c r="C359" s="12" t="str">
        <f aca="false">IF($B359="","",IFERROR(INDEX(자원목록!$B$3:$B$102,MATCH($B359,자원목록!$A$3:$A$102,0)),"미등록자원"))</f>
        <v/>
      </c>
      <c r="D359" s="7"/>
      <c r="E359" s="12" t="str">
        <f aca="false">IF($D359="","",IFERROR(INDEX(고객목록!$B$3:$B$502,MATCH($D359,고객목록!$A$3:$A$502,0)),""))</f>
        <v/>
      </c>
      <c r="F359" s="13"/>
      <c r="G359" s="13"/>
      <c r="H359" s="14" t="str">
        <f aca="false">IF(OR($L359="",$M359=""),"",ROUND(($M359-$L359)/60,2))</f>
        <v/>
      </c>
      <c r="I359" s="9"/>
      <c r="J359" s="7"/>
      <c r="K359" s="7"/>
      <c r="L359" s="15" t="str">
        <f aca="false">IF($F359="","",IF($F359&lt;1,ROUND($F359*1440,0),INT($F359/100)*60+MOD($F359,100)))</f>
        <v/>
      </c>
      <c r="M359" s="15" t="str">
        <f aca="false">IF($G359="","",IF($G359&lt;1,ROUND($G359*1440,0),INT($G359/100)*60+MOD($G359,100)))</f>
        <v/>
      </c>
      <c r="N359" s="15" t="str">
        <f aca="false">IF(OR($A359="",$B359="",$L359="",$M359="",$J359="취소"),"",IF(SUMPRODUCT(($A$3:$A$2002=$A359)*($B$3:$B$2002=$B359)*($J$3:$J$2002&lt;&gt;"취소")*($L$3:$L$2002&lt;&gt;"")*($M$3:$M$2002&lt;&gt;"")*($L$3:$L$2002&lt;$M359)*($M$3:$M$2002&gt;$L359))&gt;1,"중복","-"))</f>
        <v/>
      </c>
    </row>
    <row r="360" customFormat="false" ht="15" hidden="false" customHeight="true" outlineLevel="0" collapsed="false">
      <c r="A360" s="11"/>
      <c r="B360" s="7"/>
      <c r="C360" s="12" t="str">
        <f aca="false">IF($B360="","",IFERROR(INDEX(자원목록!$B$3:$B$102,MATCH($B360,자원목록!$A$3:$A$102,0)),"미등록자원"))</f>
        <v/>
      </c>
      <c r="D360" s="7"/>
      <c r="E360" s="12" t="str">
        <f aca="false">IF($D360="","",IFERROR(INDEX(고객목록!$B$3:$B$502,MATCH($D360,고객목록!$A$3:$A$502,0)),""))</f>
        <v/>
      </c>
      <c r="F360" s="13"/>
      <c r="G360" s="13"/>
      <c r="H360" s="14" t="str">
        <f aca="false">IF(OR($L360="",$M360=""),"",ROUND(($M360-$L360)/60,2))</f>
        <v/>
      </c>
      <c r="I360" s="9"/>
      <c r="J360" s="7"/>
      <c r="K360" s="7"/>
      <c r="L360" s="15" t="str">
        <f aca="false">IF($F360="","",IF($F360&lt;1,ROUND($F360*1440,0),INT($F360/100)*60+MOD($F360,100)))</f>
        <v/>
      </c>
      <c r="M360" s="15" t="str">
        <f aca="false">IF($G360="","",IF($G360&lt;1,ROUND($G360*1440,0),INT($G360/100)*60+MOD($G360,100)))</f>
        <v/>
      </c>
      <c r="N360" s="15" t="str">
        <f aca="false">IF(OR($A360="",$B360="",$L360="",$M360="",$J360="취소"),"",IF(SUMPRODUCT(($A$3:$A$2002=$A360)*($B$3:$B$2002=$B360)*($J$3:$J$2002&lt;&gt;"취소")*($L$3:$L$2002&lt;&gt;"")*($M$3:$M$2002&lt;&gt;"")*($L$3:$L$2002&lt;$M360)*($M$3:$M$2002&gt;$L360))&gt;1,"중복","-"))</f>
        <v/>
      </c>
    </row>
    <row r="361" customFormat="false" ht="15" hidden="false" customHeight="true" outlineLevel="0" collapsed="false">
      <c r="A361" s="11"/>
      <c r="B361" s="7"/>
      <c r="C361" s="12" t="str">
        <f aca="false">IF($B361="","",IFERROR(INDEX(자원목록!$B$3:$B$102,MATCH($B361,자원목록!$A$3:$A$102,0)),"미등록자원"))</f>
        <v/>
      </c>
      <c r="D361" s="7"/>
      <c r="E361" s="12" t="str">
        <f aca="false">IF($D361="","",IFERROR(INDEX(고객목록!$B$3:$B$502,MATCH($D361,고객목록!$A$3:$A$502,0)),""))</f>
        <v/>
      </c>
      <c r="F361" s="13"/>
      <c r="G361" s="13"/>
      <c r="H361" s="14" t="str">
        <f aca="false">IF(OR($L361="",$M361=""),"",ROUND(($M361-$L361)/60,2))</f>
        <v/>
      </c>
      <c r="I361" s="9"/>
      <c r="J361" s="7"/>
      <c r="K361" s="7"/>
      <c r="L361" s="15" t="str">
        <f aca="false">IF($F361="","",IF($F361&lt;1,ROUND($F361*1440,0),INT($F361/100)*60+MOD($F361,100)))</f>
        <v/>
      </c>
      <c r="M361" s="15" t="str">
        <f aca="false">IF($G361="","",IF($G361&lt;1,ROUND($G361*1440,0),INT($G361/100)*60+MOD($G361,100)))</f>
        <v/>
      </c>
      <c r="N361" s="15" t="str">
        <f aca="false">IF(OR($A361="",$B361="",$L361="",$M361="",$J361="취소"),"",IF(SUMPRODUCT(($A$3:$A$2002=$A361)*($B$3:$B$2002=$B361)*($J$3:$J$2002&lt;&gt;"취소")*($L$3:$L$2002&lt;&gt;"")*($M$3:$M$2002&lt;&gt;"")*($L$3:$L$2002&lt;$M361)*($M$3:$M$2002&gt;$L361))&gt;1,"중복","-"))</f>
        <v/>
      </c>
    </row>
    <row r="362" customFormat="false" ht="15" hidden="false" customHeight="true" outlineLevel="0" collapsed="false">
      <c r="A362" s="11"/>
      <c r="B362" s="7"/>
      <c r="C362" s="12" t="str">
        <f aca="false">IF($B362="","",IFERROR(INDEX(자원목록!$B$3:$B$102,MATCH($B362,자원목록!$A$3:$A$102,0)),"미등록자원"))</f>
        <v/>
      </c>
      <c r="D362" s="7"/>
      <c r="E362" s="12" t="str">
        <f aca="false">IF($D362="","",IFERROR(INDEX(고객목록!$B$3:$B$502,MATCH($D362,고객목록!$A$3:$A$502,0)),""))</f>
        <v/>
      </c>
      <c r="F362" s="13"/>
      <c r="G362" s="13"/>
      <c r="H362" s="14" t="str">
        <f aca="false">IF(OR($L362="",$M362=""),"",ROUND(($M362-$L362)/60,2))</f>
        <v/>
      </c>
      <c r="I362" s="9"/>
      <c r="J362" s="7"/>
      <c r="K362" s="7"/>
      <c r="L362" s="15" t="str">
        <f aca="false">IF($F362="","",IF($F362&lt;1,ROUND($F362*1440,0),INT($F362/100)*60+MOD($F362,100)))</f>
        <v/>
      </c>
      <c r="M362" s="15" t="str">
        <f aca="false">IF($G362="","",IF($G362&lt;1,ROUND($G362*1440,0),INT($G362/100)*60+MOD($G362,100)))</f>
        <v/>
      </c>
      <c r="N362" s="15" t="str">
        <f aca="false">IF(OR($A362="",$B362="",$L362="",$M362="",$J362="취소"),"",IF(SUMPRODUCT(($A$3:$A$2002=$A362)*($B$3:$B$2002=$B362)*($J$3:$J$2002&lt;&gt;"취소")*($L$3:$L$2002&lt;&gt;"")*($M$3:$M$2002&lt;&gt;"")*($L$3:$L$2002&lt;$M362)*($M$3:$M$2002&gt;$L362))&gt;1,"중복","-"))</f>
        <v/>
      </c>
    </row>
    <row r="363" customFormat="false" ht="15" hidden="false" customHeight="true" outlineLevel="0" collapsed="false">
      <c r="A363" s="11"/>
      <c r="B363" s="7"/>
      <c r="C363" s="12" t="str">
        <f aca="false">IF($B363="","",IFERROR(INDEX(자원목록!$B$3:$B$102,MATCH($B363,자원목록!$A$3:$A$102,0)),"미등록자원"))</f>
        <v/>
      </c>
      <c r="D363" s="7"/>
      <c r="E363" s="12" t="str">
        <f aca="false">IF($D363="","",IFERROR(INDEX(고객목록!$B$3:$B$502,MATCH($D363,고객목록!$A$3:$A$502,0)),""))</f>
        <v/>
      </c>
      <c r="F363" s="13"/>
      <c r="G363" s="13"/>
      <c r="H363" s="14" t="str">
        <f aca="false">IF(OR($L363="",$M363=""),"",ROUND(($M363-$L363)/60,2))</f>
        <v/>
      </c>
      <c r="I363" s="9"/>
      <c r="J363" s="7"/>
      <c r="K363" s="7"/>
      <c r="L363" s="15" t="str">
        <f aca="false">IF($F363="","",IF($F363&lt;1,ROUND($F363*1440,0),INT($F363/100)*60+MOD($F363,100)))</f>
        <v/>
      </c>
      <c r="M363" s="15" t="str">
        <f aca="false">IF($G363="","",IF($G363&lt;1,ROUND($G363*1440,0),INT($G363/100)*60+MOD($G363,100)))</f>
        <v/>
      </c>
      <c r="N363" s="15" t="str">
        <f aca="false">IF(OR($A363="",$B363="",$L363="",$M363="",$J363="취소"),"",IF(SUMPRODUCT(($A$3:$A$2002=$A363)*($B$3:$B$2002=$B363)*($J$3:$J$2002&lt;&gt;"취소")*($L$3:$L$2002&lt;&gt;"")*($M$3:$M$2002&lt;&gt;"")*($L$3:$L$2002&lt;$M363)*($M$3:$M$2002&gt;$L363))&gt;1,"중복","-"))</f>
        <v/>
      </c>
    </row>
    <row r="364" customFormat="false" ht="15" hidden="false" customHeight="true" outlineLevel="0" collapsed="false">
      <c r="A364" s="11"/>
      <c r="B364" s="7"/>
      <c r="C364" s="12" t="str">
        <f aca="false">IF($B364="","",IFERROR(INDEX(자원목록!$B$3:$B$102,MATCH($B364,자원목록!$A$3:$A$102,0)),"미등록자원"))</f>
        <v/>
      </c>
      <c r="D364" s="7"/>
      <c r="E364" s="12" t="str">
        <f aca="false">IF($D364="","",IFERROR(INDEX(고객목록!$B$3:$B$502,MATCH($D364,고객목록!$A$3:$A$502,0)),""))</f>
        <v/>
      </c>
      <c r="F364" s="13"/>
      <c r="G364" s="13"/>
      <c r="H364" s="14" t="str">
        <f aca="false">IF(OR($L364="",$M364=""),"",ROUND(($M364-$L364)/60,2))</f>
        <v/>
      </c>
      <c r="I364" s="9"/>
      <c r="J364" s="7"/>
      <c r="K364" s="7"/>
      <c r="L364" s="15" t="str">
        <f aca="false">IF($F364="","",IF($F364&lt;1,ROUND($F364*1440,0),INT($F364/100)*60+MOD($F364,100)))</f>
        <v/>
      </c>
      <c r="M364" s="15" t="str">
        <f aca="false">IF($G364="","",IF($G364&lt;1,ROUND($G364*1440,0),INT($G364/100)*60+MOD($G364,100)))</f>
        <v/>
      </c>
      <c r="N364" s="15" t="str">
        <f aca="false">IF(OR($A364="",$B364="",$L364="",$M364="",$J364="취소"),"",IF(SUMPRODUCT(($A$3:$A$2002=$A364)*($B$3:$B$2002=$B364)*($J$3:$J$2002&lt;&gt;"취소")*($L$3:$L$2002&lt;&gt;"")*($M$3:$M$2002&lt;&gt;"")*($L$3:$L$2002&lt;$M364)*($M$3:$M$2002&gt;$L364))&gt;1,"중복","-"))</f>
        <v/>
      </c>
    </row>
    <row r="365" customFormat="false" ht="15" hidden="false" customHeight="true" outlineLevel="0" collapsed="false">
      <c r="A365" s="11"/>
      <c r="B365" s="7"/>
      <c r="C365" s="12" t="str">
        <f aca="false">IF($B365="","",IFERROR(INDEX(자원목록!$B$3:$B$102,MATCH($B365,자원목록!$A$3:$A$102,0)),"미등록자원"))</f>
        <v/>
      </c>
      <c r="D365" s="7"/>
      <c r="E365" s="12" t="str">
        <f aca="false">IF($D365="","",IFERROR(INDEX(고객목록!$B$3:$B$502,MATCH($D365,고객목록!$A$3:$A$502,0)),""))</f>
        <v/>
      </c>
      <c r="F365" s="13"/>
      <c r="G365" s="13"/>
      <c r="H365" s="14" t="str">
        <f aca="false">IF(OR($L365="",$M365=""),"",ROUND(($M365-$L365)/60,2))</f>
        <v/>
      </c>
      <c r="I365" s="9"/>
      <c r="J365" s="7"/>
      <c r="K365" s="7"/>
      <c r="L365" s="15" t="str">
        <f aca="false">IF($F365="","",IF($F365&lt;1,ROUND($F365*1440,0),INT($F365/100)*60+MOD($F365,100)))</f>
        <v/>
      </c>
      <c r="M365" s="15" t="str">
        <f aca="false">IF($G365="","",IF($G365&lt;1,ROUND($G365*1440,0),INT($G365/100)*60+MOD($G365,100)))</f>
        <v/>
      </c>
      <c r="N365" s="15" t="str">
        <f aca="false">IF(OR($A365="",$B365="",$L365="",$M365="",$J365="취소"),"",IF(SUMPRODUCT(($A$3:$A$2002=$A365)*($B$3:$B$2002=$B365)*($J$3:$J$2002&lt;&gt;"취소")*($L$3:$L$2002&lt;&gt;"")*($M$3:$M$2002&lt;&gt;"")*($L$3:$L$2002&lt;$M365)*($M$3:$M$2002&gt;$L365))&gt;1,"중복","-"))</f>
        <v/>
      </c>
    </row>
    <row r="366" customFormat="false" ht="15" hidden="false" customHeight="true" outlineLevel="0" collapsed="false">
      <c r="A366" s="11"/>
      <c r="B366" s="7"/>
      <c r="C366" s="12" t="str">
        <f aca="false">IF($B366="","",IFERROR(INDEX(자원목록!$B$3:$B$102,MATCH($B366,자원목록!$A$3:$A$102,0)),"미등록자원"))</f>
        <v/>
      </c>
      <c r="D366" s="7"/>
      <c r="E366" s="12" t="str">
        <f aca="false">IF($D366="","",IFERROR(INDEX(고객목록!$B$3:$B$502,MATCH($D366,고객목록!$A$3:$A$502,0)),""))</f>
        <v/>
      </c>
      <c r="F366" s="13"/>
      <c r="G366" s="13"/>
      <c r="H366" s="14" t="str">
        <f aca="false">IF(OR($L366="",$M366=""),"",ROUND(($M366-$L366)/60,2))</f>
        <v/>
      </c>
      <c r="I366" s="9"/>
      <c r="J366" s="7"/>
      <c r="K366" s="7"/>
      <c r="L366" s="15" t="str">
        <f aca="false">IF($F366="","",IF($F366&lt;1,ROUND($F366*1440,0),INT($F366/100)*60+MOD($F366,100)))</f>
        <v/>
      </c>
      <c r="M366" s="15" t="str">
        <f aca="false">IF($G366="","",IF($G366&lt;1,ROUND($G366*1440,0),INT($G366/100)*60+MOD($G366,100)))</f>
        <v/>
      </c>
      <c r="N366" s="15" t="str">
        <f aca="false">IF(OR($A366="",$B366="",$L366="",$M366="",$J366="취소"),"",IF(SUMPRODUCT(($A$3:$A$2002=$A366)*($B$3:$B$2002=$B366)*($J$3:$J$2002&lt;&gt;"취소")*($L$3:$L$2002&lt;&gt;"")*($M$3:$M$2002&lt;&gt;"")*($L$3:$L$2002&lt;$M366)*($M$3:$M$2002&gt;$L366))&gt;1,"중복","-"))</f>
        <v/>
      </c>
    </row>
    <row r="367" customFormat="false" ht="15" hidden="false" customHeight="true" outlineLevel="0" collapsed="false">
      <c r="A367" s="11"/>
      <c r="B367" s="7"/>
      <c r="C367" s="12" t="str">
        <f aca="false">IF($B367="","",IFERROR(INDEX(자원목록!$B$3:$B$102,MATCH($B367,자원목록!$A$3:$A$102,0)),"미등록자원"))</f>
        <v/>
      </c>
      <c r="D367" s="7"/>
      <c r="E367" s="12" t="str">
        <f aca="false">IF($D367="","",IFERROR(INDEX(고객목록!$B$3:$B$502,MATCH($D367,고객목록!$A$3:$A$502,0)),""))</f>
        <v/>
      </c>
      <c r="F367" s="13"/>
      <c r="G367" s="13"/>
      <c r="H367" s="14" t="str">
        <f aca="false">IF(OR($L367="",$M367=""),"",ROUND(($M367-$L367)/60,2))</f>
        <v/>
      </c>
      <c r="I367" s="9"/>
      <c r="J367" s="7"/>
      <c r="K367" s="7"/>
      <c r="L367" s="15" t="str">
        <f aca="false">IF($F367="","",IF($F367&lt;1,ROUND($F367*1440,0),INT($F367/100)*60+MOD($F367,100)))</f>
        <v/>
      </c>
      <c r="M367" s="15" t="str">
        <f aca="false">IF($G367="","",IF($G367&lt;1,ROUND($G367*1440,0),INT($G367/100)*60+MOD($G367,100)))</f>
        <v/>
      </c>
      <c r="N367" s="15" t="str">
        <f aca="false">IF(OR($A367="",$B367="",$L367="",$M367="",$J367="취소"),"",IF(SUMPRODUCT(($A$3:$A$2002=$A367)*($B$3:$B$2002=$B367)*($J$3:$J$2002&lt;&gt;"취소")*($L$3:$L$2002&lt;&gt;"")*($M$3:$M$2002&lt;&gt;"")*($L$3:$L$2002&lt;$M367)*($M$3:$M$2002&gt;$L367))&gt;1,"중복","-"))</f>
        <v/>
      </c>
    </row>
    <row r="368" customFormat="false" ht="15" hidden="false" customHeight="true" outlineLevel="0" collapsed="false">
      <c r="A368" s="11"/>
      <c r="B368" s="7"/>
      <c r="C368" s="12" t="str">
        <f aca="false">IF($B368="","",IFERROR(INDEX(자원목록!$B$3:$B$102,MATCH($B368,자원목록!$A$3:$A$102,0)),"미등록자원"))</f>
        <v/>
      </c>
      <c r="D368" s="7"/>
      <c r="E368" s="12" t="str">
        <f aca="false">IF($D368="","",IFERROR(INDEX(고객목록!$B$3:$B$502,MATCH($D368,고객목록!$A$3:$A$502,0)),""))</f>
        <v/>
      </c>
      <c r="F368" s="13"/>
      <c r="G368" s="13"/>
      <c r="H368" s="14" t="str">
        <f aca="false">IF(OR($L368="",$M368=""),"",ROUND(($M368-$L368)/60,2))</f>
        <v/>
      </c>
      <c r="I368" s="9"/>
      <c r="J368" s="7"/>
      <c r="K368" s="7"/>
      <c r="L368" s="15" t="str">
        <f aca="false">IF($F368="","",IF($F368&lt;1,ROUND($F368*1440,0),INT($F368/100)*60+MOD($F368,100)))</f>
        <v/>
      </c>
      <c r="M368" s="15" t="str">
        <f aca="false">IF($G368="","",IF($G368&lt;1,ROUND($G368*1440,0),INT($G368/100)*60+MOD($G368,100)))</f>
        <v/>
      </c>
      <c r="N368" s="15" t="str">
        <f aca="false">IF(OR($A368="",$B368="",$L368="",$M368="",$J368="취소"),"",IF(SUMPRODUCT(($A$3:$A$2002=$A368)*($B$3:$B$2002=$B368)*($J$3:$J$2002&lt;&gt;"취소")*($L$3:$L$2002&lt;&gt;"")*($M$3:$M$2002&lt;&gt;"")*($L$3:$L$2002&lt;$M368)*($M$3:$M$2002&gt;$L368))&gt;1,"중복","-"))</f>
        <v/>
      </c>
    </row>
    <row r="369" customFormat="false" ht="15" hidden="false" customHeight="true" outlineLevel="0" collapsed="false">
      <c r="A369" s="11"/>
      <c r="B369" s="7"/>
      <c r="C369" s="12" t="str">
        <f aca="false">IF($B369="","",IFERROR(INDEX(자원목록!$B$3:$B$102,MATCH($B369,자원목록!$A$3:$A$102,0)),"미등록자원"))</f>
        <v/>
      </c>
      <c r="D369" s="7"/>
      <c r="E369" s="12" t="str">
        <f aca="false">IF($D369="","",IFERROR(INDEX(고객목록!$B$3:$B$502,MATCH($D369,고객목록!$A$3:$A$502,0)),""))</f>
        <v/>
      </c>
      <c r="F369" s="13"/>
      <c r="G369" s="13"/>
      <c r="H369" s="14" t="str">
        <f aca="false">IF(OR($L369="",$M369=""),"",ROUND(($M369-$L369)/60,2))</f>
        <v/>
      </c>
      <c r="I369" s="9"/>
      <c r="J369" s="7"/>
      <c r="K369" s="7"/>
      <c r="L369" s="15" t="str">
        <f aca="false">IF($F369="","",IF($F369&lt;1,ROUND($F369*1440,0),INT($F369/100)*60+MOD($F369,100)))</f>
        <v/>
      </c>
      <c r="M369" s="15" t="str">
        <f aca="false">IF($G369="","",IF($G369&lt;1,ROUND($G369*1440,0),INT($G369/100)*60+MOD($G369,100)))</f>
        <v/>
      </c>
      <c r="N369" s="15" t="str">
        <f aca="false">IF(OR($A369="",$B369="",$L369="",$M369="",$J369="취소"),"",IF(SUMPRODUCT(($A$3:$A$2002=$A369)*($B$3:$B$2002=$B369)*($J$3:$J$2002&lt;&gt;"취소")*($L$3:$L$2002&lt;&gt;"")*($M$3:$M$2002&lt;&gt;"")*($L$3:$L$2002&lt;$M369)*($M$3:$M$2002&gt;$L369))&gt;1,"중복","-"))</f>
        <v/>
      </c>
    </row>
    <row r="370" customFormat="false" ht="15" hidden="false" customHeight="true" outlineLevel="0" collapsed="false">
      <c r="A370" s="11"/>
      <c r="B370" s="7"/>
      <c r="C370" s="12" t="str">
        <f aca="false">IF($B370="","",IFERROR(INDEX(자원목록!$B$3:$B$102,MATCH($B370,자원목록!$A$3:$A$102,0)),"미등록자원"))</f>
        <v/>
      </c>
      <c r="D370" s="7"/>
      <c r="E370" s="12" t="str">
        <f aca="false">IF($D370="","",IFERROR(INDEX(고객목록!$B$3:$B$502,MATCH($D370,고객목록!$A$3:$A$502,0)),""))</f>
        <v/>
      </c>
      <c r="F370" s="13"/>
      <c r="G370" s="13"/>
      <c r="H370" s="14" t="str">
        <f aca="false">IF(OR($L370="",$M370=""),"",ROUND(($M370-$L370)/60,2))</f>
        <v/>
      </c>
      <c r="I370" s="9"/>
      <c r="J370" s="7"/>
      <c r="K370" s="7"/>
      <c r="L370" s="15" t="str">
        <f aca="false">IF($F370="","",IF($F370&lt;1,ROUND($F370*1440,0),INT($F370/100)*60+MOD($F370,100)))</f>
        <v/>
      </c>
      <c r="M370" s="15" t="str">
        <f aca="false">IF($G370="","",IF($G370&lt;1,ROUND($G370*1440,0),INT($G370/100)*60+MOD($G370,100)))</f>
        <v/>
      </c>
      <c r="N370" s="15" t="str">
        <f aca="false">IF(OR($A370="",$B370="",$L370="",$M370="",$J370="취소"),"",IF(SUMPRODUCT(($A$3:$A$2002=$A370)*($B$3:$B$2002=$B370)*($J$3:$J$2002&lt;&gt;"취소")*($L$3:$L$2002&lt;&gt;"")*($M$3:$M$2002&lt;&gt;"")*($L$3:$L$2002&lt;$M370)*($M$3:$M$2002&gt;$L370))&gt;1,"중복","-"))</f>
        <v/>
      </c>
    </row>
    <row r="371" customFormat="false" ht="15" hidden="false" customHeight="true" outlineLevel="0" collapsed="false">
      <c r="A371" s="11"/>
      <c r="B371" s="7"/>
      <c r="C371" s="12" t="str">
        <f aca="false">IF($B371="","",IFERROR(INDEX(자원목록!$B$3:$B$102,MATCH($B371,자원목록!$A$3:$A$102,0)),"미등록자원"))</f>
        <v/>
      </c>
      <c r="D371" s="7"/>
      <c r="E371" s="12" t="str">
        <f aca="false">IF($D371="","",IFERROR(INDEX(고객목록!$B$3:$B$502,MATCH($D371,고객목록!$A$3:$A$502,0)),""))</f>
        <v/>
      </c>
      <c r="F371" s="13"/>
      <c r="G371" s="13"/>
      <c r="H371" s="14" t="str">
        <f aca="false">IF(OR($L371="",$M371=""),"",ROUND(($M371-$L371)/60,2))</f>
        <v/>
      </c>
      <c r="I371" s="9"/>
      <c r="J371" s="7"/>
      <c r="K371" s="7"/>
      <c r="L371" s="15" t="str">
        <f aca="false">IF($F371="","",IF($F371&lt;1,ROUND($F371*1440,0),INT($F371/100)*60+MOD($F371,100)))</f>
        <v/>
      </c>
      <c r="M371" s="15" t="str">
        <f aca="false">IF($G371="","",IF($G371&lt;1,ROUND($G371*1440,0),INT($G371/100)*60+MOD($G371,100)))</f>
        <v/>
      </c>
      <c r="N371" s="15" t="str">
        <f aca="false">IF(OR($A371="",$B371="",$L371="",$M371="",$J371="취소"),"",IF(SUMPRODUCT(($A$3:$A$2002=$A371)*($B$3:$B$2002=$B371)*($J$3:$J$2002&lt;&gt;"취소")*($L$3:$L$2002&lt;&gt;"")*($M$3:$M$2002&lt;&gt;"")*($L$3:$L$2002&lt;$M371)*($M$3:$M$2002&gt;$L371))&gt;1,"중복","-"))</f>
        <v/>
      </c>
    </row>
    <row r="372" customFormat="false" ht="15" hidden="false" customHeight="true" outlineLevel="0" collapsed="false">
      <c r="A372" s="11"/>
      <c r="B372" s="7"/>
      <c r="C372" s="12" t="str">
        <f aca="false">IF($B372="","",IFERROR(INDEX(자원목록!$B$3:$B$102,MATCH($B372,자원목록!$A$3:$A$102,0)),"미등록자원"))</f>
        <v/>
      </c>
      <c r="D372" s="7"/>
      <c r="E372" s="12" t="str">
        <f aca="false">IF($D372="","",IFERROR(INDEX(고객목록!$B$3:$B$502,MATCH($D372,고객목록!$A$3:$A$502,0)),""))</f>
        <v/>
      </c>
      <c r="F372" s="13"/>
      <c r="G372" s="13"/>
      <c r="H372" s="14" t="str">
        <f aca="false">IF(OR($L372="",$M372=""),"",ROUND(($M372-$L372)/60,2))</f>
        <v/>
      </c>
      <c r="I372" s="9"/>
      <c r="J372" s="7"/>
      <c r="K372" s="7"/>
      <c r="L372" s="15" t="str">
        <f aca="false">IF($F372="","",IF($F372&lt;1,ROUND($F372*1440,0),INT($F372/100)*60+MOD($F372,100)))</f>
        <v/>
      </c>
      <c r="M372" s="15" t="str">
        <f aca="false">IF($G372="","",IF($G372&lt;1,ROUND($G372*1440,0),INT($G372/100)*60+MOD($G372,100)))</f>
        <v/>
      </c>
      <c r="N372" s="15" t="str">
        <f aca="false">IF(OR($A372="",$B372="",$L372="",$M372="",$J372="취소"),"",IF(SUMPRODUCT(($A$3:$A$2002=$A372)*($B$3:$B$2002=$B372)*($J$3:$J$2002&lt;&gt;"취소")*($L$3:$L$2002&lt;&gt;"")*($M$3:$M$2002&lt;&gt;"")*($L$3:$L$2002&lt;$M372)*($M$3:$M$2002&gt;$L372))&gt;1,"중복","-"))</f>
        <v/>
      </c>
    </row>
    <row r="373" customFormat="false" ht="15" hidden="false" customHeight="true" outlineLevel="0" collapsed="false">
      <c r="A373" s="11"/>
      <c r="B373" s="7"/>
      <c r="C373" s="12" t="str">
        <f aca="false">IF($B373="","",IFERROR(INDEX(자원목록!$B$3:$B$102,MATCH($B373,자원목록!$A$3:$A$102,0)),"미등록자원"))</f>
        <v/>
      </c>
      <c r="D373" s="7"/>
      <c r="E373" s="12" t="str">
        <f aca="false">IF($D373="","",IFERROR(INDEX(고객목록!$B$3:$B$502,MATCH($D373,고객목록!$A$3:$A$502,0)),""))</f>
        <v/>
      </c>
      <c r="F373" s="13"/>
      <c r="G373" s="13"/>
      <c r="H373" s="14" t="str">
        <f aca="false">IF(OR($L373="",$M373=""),"",ROUND(($M373-$L373)/60,2))</f>
        <v/>
      </c>
      <c r="I373" s="9"/>
      <c r="J373" s="7"/>
      <c r="K373" s="7"/>
      <c r="L373" s="15" t="str">
        <f aca="false">IF($F373="","",IF($F373&lt;1,ROUND($F373*1440,0),INT($F373/100)*60+MOD($F373,100)))</f>
        <v/>
      </c>
      <c r="M373" s="15" t="str">
        <f aca="false">IF($G373="","",IF($G373&lt;1,ROUND($G373*1440,0),INT($G373/100)*60+MOD($G373,100)))</f>
        <v/>
      </c>
      <c r="N373" s="15" t="str">
        <f aca="false">IF(OR($A373="",$B373="",$L373="",$M373="",$J373="취소"),"",IF(SUMPRODUCT(($A$3:$A$2002=$A373)*($B$3:$B$2002=$B373)*($J$3:$J$2002&lt;&gt;"취소")*($L$3:$L$2002&lt;&gt;"")*($M$3:$M$2002&lt;&gt;"")*($L$3:$L$2002&lt;$M373)*($M$3:$M$2002&gt;$L373))&gt;1,"중복","-"))</f>
        <v/>
      </c>
    </row>
    <row r="374" customFormat="false" ht="15" hidden="false" customHeight="true" outlineLevel="0" collapsed="false">
      <c r="A374" s="11"/>
      <c r="B374" s="7"/>
      <c r="C374" s="12" t="str">
        <f aca="false">IF($B374="","",IFERROR(INDEX(자원목록!$B$3:$B$102,MATCH($B374,자원목록!$A$3:$A$102,0)),"미등록자원"))</f>
        <v/>
      </c>
      <c r="D374" s="7"/>
      <c r="E374" s="12" t="str">
        <f aca="false">IF($D374="","",IFERROR(INDEX(고객목록!$B$3:$B$502,MATCH($D374,고객목록!$A$3:$A$502,0)),""))</f>
        <v/>
      </c>
      <c r="F374" s="13"/>
      <c r="G374" s="13"/>
      <c r="H374" s="14" t="str">
        <f aca="false">IF(OR($L374="",$M374=""),"",ROUND(($M374-$L374)/60,2))</f>
        <v/>
      </c>
      <c r="I374" s="9"/>
      <c r="J374" s="7"/>
      <c r="K374" s="7"/>
      <c r="L374" s="15" t="str">
        <f aca="false">IF($F374="","",IF($F374&lt;1,ROUND($F374*1440,0),INT($F374/100)*60+MOD($F374,100)))</f>
        <v/>
      </c>
      <c r="M374" s="15" t="str">
        <f aca="false">IF($G374="","",IF($G374&lt;1,ROUND($G374*1440,0),INT($G374/100)*60+MOD($G374,100)))</f>
        <v/>
      </c>
      <c r="N374" s="15" t="str">
        <f aca="false">IF(OR($A374="",$B374="",$L374="",$M374="",$J374="취소"),"",IF(SUMPRODUCT(($A$3:$A$2002=$A374)*($B$3:$B$2002=$B374)*($J$3:$J$2002&lt;&gt;"취소")*($L$3:$L$2002&lt;&gt;"")*($M$3:$M$2002&lt;&gt;"")*($L$3:$L$2002&lt;$M374)*($M$3:$M$2002&gt;$L374))&gt;1,"중복","-"))</f>
        <v/>
      </c>
    </row>
    <row r="375" customFormat="false" ht="15" hidden="false" customHeight="true" outlineLevel="0" collapsed="false">
      <c r="A375" s="11"/>
      <c r="B375" s="7"/>
      <c r="C375" s="12" t="str">
        <f aca="false">IF($B375="","",IFERROR(INDEX(자원목록!$B$3:$B$102,MATCH($B375,자원목록!$A$3:$A$102,0)),"미등록자원"))</f>
        <v/>
      </c>
      <c r="D375" s="7"/>
      <c r="E375" s="12" t="str">
        <f aca="false">IF($D375="","",IFERROR(INDEX(고객목록!$B$3:$B$502,MATCH($D375,고객목록!$A$3:$A$502,0)),""))</f>
        <v/>
      </c>
      <c r="F375" s="13"/>
      <c r="G375" s="13"/>
      <c r="H375" s="14" t="str">
        <f aca="false">IF(OR($L375="",$M375=""),"",ROUND(($M375-$L375)/60,2))</f>
        <v/>
      </c>
      <c r="I375" s="9"/>
      <c r="J375" s="7"/>
      <c r="K375" s="7"/>
      <c r="L375" s="15" t="str">
        <f aca="false">IF($F375="","",IF($F375&lt;1,ROUND($F375*1440,0),INT($F375/100)*60+MOD($F375,100)))</f>
        <v/>
      </c>
      <c r="M375" s="15" t="str">
        <f aca="false">IF($G375="","",IF($G375&lt;1,ROUND($G375*1440,0),INT($G375/100)*60+MOD($G375,100)))</f>
        <v/>
      </c>
      <c r="N375" s="15" t="str">
        <f aca="false">IF(OR($A375="",$B375="",$L375="",$M375="",$J375="취소"),"",IF(SUMPRODUCT(($A$3:$A$2002=$A375)*($B$3:$B$2002=$B375)*($J$3:$J$2002&lt;&gt;"취소")*($L$3:$L$2002&lt;&gt;"")*($M$3:$M$2002&lt;&gt;"")*($L$3:$L$2002&lt;$M375)*($M$3:$M$2002&gt;$L375))&gt;1,"중복","-"))</f>
        <v/>
      </c>
    </row>
    <row r="376" customFormat="false" ht="15" hidden="false" customHeight="true" outlineLevel="0" collapsed="false">
      <c r="A376" s="11"/>
      <c r="B376" s="7"/>
      <c r="C376" s="12" t="str">
        <f aca="false">IF($B376="","",IFERROR(INDEX(자원목록!$B$3:$B$102,MATCH($B376,자원목록!$A$3:$A$102,0)),"미등록자원"))</f>
        <v/>
      </c>
      <c r="D376" s="7"/>
      <c r="E376" s="12" t="str">
        <f aca="false">IF($D376="","",IFERROR(INDEX(고객목록!$B$3:$B$502,MATCH($D376,고객목록!$A$3:$A$502,0)),""))</f>
        <v/>
      </c>
      <c r="F376" s="13"/>
      <c r="G376" s="13"/>
      <c r="H376" s="14" t="str">
        <f aca="false">IF(OR($L376="",$M376=""),"",ROUND(($M376-$L376)/60,2))</f>
        <v/>
      </c>
      <c r="I376" s="9"/>
      <c r="J376" s="7"/>
      <c r="K376" s="7"/>
      <c r="L376" s="15" t="str">
        <f aca="false">IF($F376="","",IF($F376&lt;1,ROUND($F376*1440,0),INT($F376/100)*60+MOD($F376,100)))</f>
        <v/>
      </c>
      <c r="M376" s="15" t="str">
        <f aca="false">IF($G376="","",IF($G376&lt;1,ROUND($G376*1440,0),INT($G376/100)*60+MOD($G376,100)))</f>
        <v/>
      </c>
      <c r="N376" s="15" t="str">
        <f aca="false">IF(OR($A376="",$B376="",$L376="",$M376="",$J376="취소"),"",IF(SUMPRODUCT(($A$3:$A$2002=$A376)*($B$3:$B$2002=$B376)*($J$3:$J$2002&lt;&gt;"취소")*($L$3:$L$2002&lt;&gt;"")*($M$3:$M$2002&lt;&gt;"")*($L$3:$L$2002&lt;$M376)*($M$3:$M$2002&gt;$L376))&gt;1,"중복","-"))</f>
        <v/>
      </c>
    </row>
    <row r="377" customFormat="false" ht="15" hidden="false" customHeight="true" outlineLevel="0" collapsed="false">
      <c r="A377" s="11"/>
      <c r="B377" s="7"/>
      <c r="C377" s="12" t="str">
        <f aca="false">IF($B377="","",IFERROR(INDEX(자원목록!$B$3:$B$102,MATCH($B377,자원목록!$A$3:$A$102,0)),"미등록자원"))</f>
        <v/>
      </c>
      <c r="D377" s="7"/>
      <c r="E377" s="12" t="str">
        <f aca="false">IF($D377="","",IFERROR(INDEX(고객목록!$B$3:$B$502,MATCH($D377,고객목록!$A$3:$A$502,0)),""))</f>
        <v/>
      </c>
      <c r="F377" s="13"/>
      <c r="G377" s="13"/>
      <c r="H377" s="14" t="str">
        <f aca="false">IF(OR($L377="",$M377=""),"",ROUND(($M377-$L377)/60,2))</f>
        <v/>
      </c>
      <c r="I377" s="9"/>
      <c r="J377" s="7"/>
      <c r="K377" s="7"/>
      <c r="L377" s="15" t="str">
        <f aca="false">IF($F377="","",IF($F377&lt;1,ROUND($F377*1440,0),INT($F377/100)*60+MOD($F377,100)))</f>
        <v/>
      </c>
      <c r="M377" s="15" t="str">
        <f aca="false">IF($G377="","",IF($G377&lt;1,ROUND($G377*1440,0),INT($G377/100)*60+MOD($G377,100)))</f>
        <v/>
      </c>
      <c r="N377" s="15" t="str">
        <f aca="false">IF(OR($A377="",$B377="",$L377="",$M377="",$J377="취소"),"",IF(SUMPRODUCT(($A$3:$A$2002=$A377)*($B$3:$B$2002=$B377)*($J$3:$J$2002&lt;&gt;"취소")*($L$3:$L$2002&lt;&gt;"")*($M$3:$M$2002&lt;&gt;"")*($L$3:$L$2002&lt;$M377)*($M$3:$M$2002&gt;$L377))&gt;1,"중복","-"))</f>
        <v/>
      </c>
    </row>
    <row r="378" customFormat="false" ht="15" hidden="false" customHeight="true" outlineLevel="0" collapsed="false">
      <c r="A378" s="11"/>
      <c r="B378" s="7"/>
      <c r="C378" s="12" t="str">
        <f aca="false">IF($B378="","",IFERROR(INDEX(자원목록!$B$3:$B$102,MATCH($B378,자원목록!$A$3:$A$102,0)),"미등록자원"))</f>
        <v/>
      </c>
      <c r="D378" s="7"/>
      <c r="E378" s="12" t="str">
        <f aca="false">IF($D378="","",IFERROR(INDEX(고객목록!$B$3:$B$502,MATCH($D378,고객목록!$A$3:$A$502,0)),""))</f>
        <v/>
      </c>
      <c r="F378" s="13"/>
      <c r="G378" s="13"/>
      <c r="H378" s="14" t="str">
        <f aca="false">IF(OR($L378="",$M378=""),"",ROUND(($M378-$L378)/60,2))</f>
        <v/>
      </c>
      <c r="I378" s="9"/>
      <c r="J378" s="7"/>
      <c r="K378" s="7"/>
      <c r="L378" s="15" t="str">
        <f aca="false">IF($F378="","",IF($F378&lt;1,ROUND($F378*1440,0),INT($F378/100)*60+MOD($F378,100)))</f>
        <v/>
      </c>
      <c r="M378" s="15" t="str">
        <f aca="false">IF($G378="","",IF($G378&lt;1,ROUND($G378*1440,0),INT($G378/100)*60+MOD($G378,100)))</f>
        <v/>
      </c>
      <c r="N378" s="15" t="str">
        <f aca="false">IF(OR($A378="",$B378="",$L378="",$M378="",$J378="취소"),"",IF(SUMPRODUCT(($A$3:$A$2002=$A378)*($B$3:$B$2002=$B378)*($J$3:$J$2002&lt;&gt;"취소")*($L$3:$L$2002&lt;&gt;"")*($M$3:$M$2002&lt;&gt;"")*($L$3:$L$2002&lt;$M378)*($M$3:$M$2002&gt;$L378))&gt;1,"중복","-"))</f>
        <v/>
      </c>
    </row>
    <row r="379" customFormat="false" ht="15" hidden="false" customHeight="true" outlineLevel="0" collapsed="false">
      <c r="A379" s="11"/>
      <c r="B379" s="7"/>
      <c r="C379" s="12" t="str">
        <f aca="false">IF($B379="","",IFERROR(INDEX(자원목록!$B$3:$B$102,MATCH($B379,자원목록!$A$3:$A$102,0)),"미등록자원"))</f>
        <v/>
      </c>
      <c r="D379" s="7"/>
      <c r="E379" s="12" t="str">
        <f aca="false">IF($D379="","",IFERROR(INDEX(고객목록!$B$3:$B$502,MATCH($D379,고객목록!$A$3:$A$502,0)),""))</f>
        <v/>
      </c>
      <c r="F379" s="13"/>
      <c r="G379" s="13"/>
      <c r="H379" s="14" t="str">
        <f aca="false">IF(OR($L379="",$M379=""),"",ROUND(($M379-$L379)/60,2))</f>
        <v/>
      </c>
      <c r="I379" s="9"/>
      <c r="J379" s="7"/>
      <c r="K379" s="7"/>
      <c r="L379" s="15" t="str">
        <f aca="false">IF($F379="","",IF($F379&lt;1,ROUND($F379*1440,0),INT($F379/100)*60+MOD($F379,100)))</f>
        <v/>
      </c>
      <c r="M379" s="15" t="str">
        <f aca="false">IF($G379="","",IF($G379&lt;1,ROUND($G379*1440,0),INT($G379/100)*60+MOD($G379,100)))</f>
        <v/>
      </c>
      <c r="N379" s="15" t="str">
        <f aca="false">IF(OR($A379="",$B379="",$L379="",$M379="",$J379="취소"),"",IF(SUMPRODUCT(($A$3:$A$2002=$A379)*($B$3:$B$2002=$B379)*($J$3:$J$2002&lt;&gt;"취소")*($L$3:$L$2002&lt;&gt;"")*($M$3:$M$2002&lt;&gt;"")*($L$3:$L$2002&lt;$M379)*($M$3:$M$2002&gt;$L379))&gt;1,"중복","-"))</f>
        <v/>
      </c>
    </row>
    <row r="380" customFormat="false" ht="15" hidden="false" customHeight="true" outlineLevel="0" collapsed="false">
      <c r="A380" s="11"/>
      <c r="B380" s="7"/>
      <c r="C380" s="12" t="str">
        <f aca="false">IF($B380="","",IFERROR(INDEX(자원목록!$B$3:$B$102,MATCH($B380,자원목록!$A$3:$A$102,0)),"미등록자원"))</f>
        <v/>
      </c>
      <c r="D380" s="7"/>
      <c r="E380" s="12" t="str">
        <f aca="false">IF($D380="","",IFERROR(INDEX(고객목록!$B$3:$B$502,MATCH($D380,고객목록!$A$3:$A$502,0)),""))</f>
        <v/>
      </c>
      <c r="F380" s="13"/>
      <c r="G380" s="13"/>
      <c r="H380" s="14" t="str">
        <f aca="false">IF(OR($L380="",$M380=""),"",ROUND(($M380-$L380)/60,2))</f>
        <v/>
      </c>
      <c r="I380" s="9"/>
      <c r="J380" s="7"/>
      <c r="K380" s="7"/>
      <c r="L380" s="15" t="str">
        <f aca="false">IF($F380="","",IF($F380&lt;1,ROUND($F380*1440,0),INT($F380/100)*60+MOD($F380,100)))</f>
        <v/>
      </c>
      <c r="M380" s="15" t="str">
        <f aca="false">IF($G380="","",IF($G380&lt;1,ROUND($G380*1440,0),INT($G380/100)*60+MOD($G380,100)))</f>
        <v/>
      </c>
      <c r="N380" s="15" t="str">
        <f aca="false">IF(OR($A380="",$B380="",$L380="",$M380="",$J380="취소"),"",IF(SUMPRODUCT(($A$3:$A$2002=$A380)*($B$3:$B$2002=$B380)*($J$3:$J$2002&lt;&gt;"취소")*($L$3:$L$2002&lt;&gt;"")*($M$3:$M$2002&lt;&gt;"")*($L$3:$L$2002&lt;$M380)*($M$3:$M$2002&gt;$L380))&gt;1,"중복","-"))</f>
        <v/>
      </c>
    </row>
    <row r="381" customFormat="false" ht="15" hidden="false" customHeight="true" outlineLevel="0" collapsed="false">
      <c r="A381" s="11"/>
      <c r="B381" s="7"/>
      <c r="C381" s="12" t="str">
        <f aca="false">IF($B381="","",IFERROR(INDEX(자원목록!$B$3:$B$102,MATCH($B381,자원목록!$A$3:$A$102,0)),"미등록자원"))</f>
        <v/>
      </c>
      <c r="D381" s="7"/>
      <c r="E381" s="12" t="str">
        <f aca="false">IF($D381="","",IFERROR(INDEX(고객목록!$B$3:$B$502,MATCH($D381,고객목록!$A$3:$A$502,0)),""))</f>
        <v/>
      </c>
      <c r="F381" s="13"/>
      <c r="G381" s="13"/>
      <c r="H381" s="14" t="str">
        <f aca="false">IF(OR($L381="",$M381=""),"",ROUND(($M381-$L381)/60,2))</f>
        <v/>
      </c>
      <c r="I381" s="9"/>
      <c r="J381" s="7"/>
      <c r="K381" s="7"/>
      <c r="L381" s="15" t="str">
        <f aca="false">IF($F381="","",IF($F381&lt;1,ROUND($F381*1440,0),INT($F381/100)*60+MOD($F381,100)))</f>
        <v/>
      </c>
      <c r="M381" s="15" t="str">
        <f aca="false">IF($G381="","",IF($G381&lt;1,ROUND($G381*1440,0),INT($G381/100)*60+MOD($G381,100)))</f>
        <v/>
      </c>
      <c r="N381" s="15" t="str">
        <f aca="false">IF(OR($A381="",$B381="",$L381="",$M381="",$J381="취소"),"",IF(SUMPRODUCT(($A$3:$A$2002=$A381)*($B$3:$B$2002=$B381)*($J$3:$J$2002&lt;&gt;"취소")*($L$3:$L$2002&lt;&gt;"")*($M$3:$M$2002&lt;&gt;"")*($L$3:$L$2002&lt;$M381)*($M$3:$M$2002&gt;$L381))&gt;1,"중복","-"))</f>
        <v/>
      </c>
    </row>
    <row r="382" customFormat="false" ht="15" hidden="false" customHeight="true" outlineLevel="0" collapsed="false">
      <c r="A382" s="11"/>
      <c r="B382" s="7"/>
      <c r="C382" s="12" t="str">
        <f aca="false">IF($B382="","",IFERROR(INDEX(자원목록!$B$3:$B$102,MATCH($B382,자원목록!$A$3:$A$102,0)),"미등록자원"))</f>
        <v/>
      </c>
      <c r="D382" s="7"/>
      <c r="E382" s="12" t="str">
        <f aca="false">IF($D382="","",IFERROR(INDEX(고객목록!$B$3:$B$502,MATCH($D382,고객목록!$A$3:$A$502,0)),""))</f>
        <v/>
      </c>
      <c r="F382" s="13"/>
      <c r="G382" s="13"/>
      <c r="H382" s="14" t="str">
        <f aca="false">IF(OR($L382="",$M382=""),"",ROUND(($M382-$L382)/60,2))</f>
        <v/>
      </c>
      <c r="I382" s="9"/>
      <c r="J382" s="7"/>
      <c r="K382" s="7"/>
      <c r="L382" s="15" t="str">
        <f aca="false">IF($F382="","",IF($F382&lt;1,ROUND($F382*1440,0),INT($F382/100)*60+MOD($F382,100)))</f>
        <v/>
      </c>
      <c r="M382" s="15" t="str">
        <f aca="false">IF($G382="","",IF($G382&lt;1,ROUND($G382*1440,0),INT($G382/100)*60+MOD($G382,100)))</f>
        <v/>
      </c>
      <c r="N382" s="15" t="str">
        <f aca="false">IF(OR($A382="",$B382="",$L382="",$M382="",$J382="취소"),"",IF(SUMPRODUCT(($A$3:$A$2002=$A382)*($B$3:$B$2002=$B382)*($J$3:$J$2002&lt;&gt;"취소")*($L$3:$L$2002&lt;&gt;"")*($M$3:$M$2002&lt;&gt;"")*($L$3:$L$2002&lt;$M382)*($M$3:$M$2002&gt;$L382))&gt;1,"중복","-"))</f>
        <v/>
      </c>
    </row>
    <row r="383" customFormat="false" ht="15" hidden="false" customHeight="true" outlineLevel="0" collapsed="false">
      <c r="A383" s="11"/>
      <c r="B383" s="7"/>
      <c r="C383" s="12" t="str">
        <f aca="false">IF($B383="","",IFERROR(INDEX(자원목록!$B$3:$B$102,MATCH($B383,자원목록!$A$3:$A$102,0)),"미등록자원"))</f>
        <v/>
      </c>
      <c r="D383" s="7"/>
      <c r="E383" s="12" t="str">
        <f aca="false">IF($D383="","",IFERROR(INDEX(고객목록!$B$3:$B$502,MATCH($D383,고객목록!$A$3:$A$502,0)),""))</f>
        <v/>
      </c>
      <c r="F383" s="13"/>
      <c r="G383" s="13"/>
      <c r="H383" s="14" t="str">
        <f aca="false">IF(OR($L383="",$M383=""),"",ROUND(($M383-$L383)/60,2))</f>
        <v/>
      </c>
      <c r="I383" s="9"/>
      <c r="J383" s="7"/>
      <c r="K383" s="7"/>
      <c r="L383" s="15" t="str">
        <f aca="false">IF($F383="","",IF($F383&lt;1,ROUND($F383*1440,0),INT($F383/100)*60+MOD($F383,100)))</f>
        <v/>
      </c>
      <c r="M383" s="15" t="str">
        <f aca="false">IF($G383="","",IF($G383&lt;1,ROUND($G383*1440,0),INT($G383/100)*60+MOD($G383,100)))</f>
        <v/>
      </c>
      <c r="N383" s="15" t="str">
        <f aca="false">IF(OR($A383="",$B383="",$L383="",$M383="",$J383="취소"),"",IF(SUMPRODUCT(($A$3:$A$2002=$A383)*($B$3:$B$2002=$B383)*($J$3:$J$2002&lt;&gt;"취소")*($L$3:$L$2002&lt;&gt;"")*($M$3:$M$2002&lt;&gt;"")*($L$3:$L$2002&lt;$M383)*($M$3:$M$2002&gt;$L383))&gt;1,"중복","-"))</f>
        <v/>
      </c>
    </row>
    <row r="384" customFormat="false" ht="15" hidden="false" customHeight="true" outlineLevel="0" collapsed="false">
      <c r="A384" s="11"/>
      <c r="B384" s="7"/>
      <c r="C384" s="12" t="str">
        <f aca="false">IF($B384="","",IFERROR(INDEX(자원목록!$B$3:$B$102,MATCH($B384,자원목록!$A$3:$A$102,0)),"미등록자원"))</f>
        <v/>
      </c>
      <c r="D384" s="7"/>
      <c r="E384" s="12" t="str">
        <f aca="false">IF($D384="","",IFERROR(INDEX(고객목록!$B$3:$B$502,MATCH($D384,고객목록!$A$3:$A$502,0)),""))</f>
        <v/>
      </c>
      <c r="F384" s="13"/>
      <c r="G384" s="13"/>
      <c r="H384" s="14" t="str">
        <f aca="false">IF(OR($L384="",$M384=""),"",ROUND(($M384-$L384)/60,2))</f>
        <v/>
      </c>
      <c r="I384" s="9"/>
      <c r="J384" s="7"/>
      <c r="K384" s="7"/>
      <c r="L384" s="15" t="str">
        <f aca="false">IF($F384="","",IF($F384&lt;1,ROUND($F384*1440,0),INT($F384/100)*60+MOD($F384,100)))</f>
        <v/>
      </c>
      <c r="M384" s="15" t="str">
        <f aca="false">IF($G384="","",IF($G384&lt;1,ROUND($G384*1440,0),INT($G384/100)*60+MOD($G384,100)))</f>
        <v/>
      </c>
      <c r="N384" s="15" t="str">
        <f aca="false">IF(OR($A384="",$B384="",$L384="",$M384="",$J384="취소"),"",IF(SUMPRODUCT(($A$3:$A$2002=$A384)*($B$3:$B$2002=$B384)*($J$3:$J$2002&lt;&gt;"취소")*($L$3:$L$2002&lt;&gt;"")*($M$3:$M$2002&lt;&gt;"")*($L$3:$L$2002&lt;$M384)*($M$3:$M$2002&gt;$L384))&gt;1,"중복","-"))</f>
        <v/>
      </c>
    </row>
    <row r="385" customFormat="false" ht="15" hidden="false" customHeight="true" outlineLevel="0" collapsed="false">
      <c r="A385" s="11"/>
      <c r="B385" s="7"/>
      <c r="C385" s="12" t="str">
        <f aca="false">IF($B385="","",IFERROR(INDEX(자원목록!$B$3:$B$102,MATCH($B385,자원목록!$A$3:$A$102,0)),"미등록자원"))</f>
        <v/>
      </c>
      <c r="D385" s="7"/>
      <c r="E385" s="12" t="str">
        <f aca="false">IF($D385="","",IFERROR(INDEX(고객목록!$B$3:$B$502,MATCH($D385,고객목록!$A$3:$A$502,0)),""))</f>
        <v/>
      </c>
      <c r="F385" s="13"/>
      <c r="G385" s="13"/>
      <c r="H385" s="14" t="str">
        <f aca="false">IF(OR($L385="",$M385=""),"",ROUND(($M385-$L385)/60,2))</f>
        <v/>
      </c>
      <c r="I385" s="9"/>
      <c r="J385" s="7"/>
      <c r="K385" s="7"/>
      <c r="L385" s="15" t="str">
        <f aca="false">IF($F385="","",IF($F385&lt;1,ROUND($F385*1440,0),INT($F385/100)*60+MOD($F385,100)))</f>
        <v/>
      </c>
      <c r="M385" s="15" t="str">
        <f aca="false">IF($G385="","",IF($G385&lt;1,ROUND($G385*1440,0),INT($G385/100)*60+MOD($G385,100)))</f>
        <v/>
      </c>
      <c r="N385" s="15" t="str">
        <f aca="false">IF(OR($A385="",$B385="",$L385="",$M385="",$J385="취소"),"",IF(SUMPRODUCT(($A$3:$A$2002=$A385)*($B$3:$B$2002=$B385)*($J$3:$J$2002&lt;&gt;"취소")*($L$3:$L$2002&lt;&gt;"")*($M$3:$M$2002&lt;&gt;"")*($L$3:$L$2002&lt;$M385)*($M$3:$M$2002&gt;$L385))&gt;1,"중복","-"))</f>
        <v/>
      </c>
    </row>
    <row r="386" customFormat="false" ht="15" hidden="false" customHeight="true" outlineLevel="0" collapsed="false">
      <c r="A386" s="11"/>
      <c r="B386" s="7"/>
      <c r="C386" s="12" t="str">
        <f aca="false">IF($B386="","",IFERROR(INDEX(자원목록!$B$3:$B$102,MATCH($B386,자원목록!$A$3:$A$102,0)),"미등록자원"))</f>
        <v/>
      </c>
      <c r="D386" s="7"/>
      <c r="E386" s="12" t="str">
        <f aca="false">IF($D386="","",IFERROR(INDEX(고객목록!$B$3:$B$502,MATCH($D386,고객목록!$A$3:$A$502,0)),""))</f>
        <v/>
      </c>
      <c r="F386" s="13"/>
      <c r="G386" s="13"/>
      <c r="H386" s="14" t="str">
        <f aca="false">IF(OR($L386="",$M386=""),"",ROUND(($M386-$L386)/60,2))</f>
        <v/>
      </c>
      <c r="I386" s="9"/>
      <c r="J386" s="7"/>
      <c r="K386" s="7"/>
      <c r="L386" s="15" t="str">
        <f aca="false">IF($F386="","",IF($F386&lt;1,ROUND($F386*1440,0),INT($F386/100)*60+MOD($F386,100)))</f>
        <v/>
      </c>
      <c r="M386" s="15" t="str">
        <f aca="false">IF($G386="","",IF($G386&lt;1,ROUND($G386*1440,0),INT($G386/100)*60+MOD($G386,100)))</f>
        <v/>
      </c>
      <c r="N386" s="15" t="str">
        <f aca="false">IF(OR($A386="",$B386="",$L386="",$M386="",$J386="취소"),"",IF(SUMPRODUCT(($A$3:$A$2002=$A386)*($B$3:$B$2002=$B386)*($J$3:$J$2002&lt;&gt;"취소")*($L$3:$L$2002&lt;&gt;"")*($M$3:$M$2002&lt;&gt;"")*($L$3:$L$2002&lt;$M386)*($M$3:$M$2002&gt;$L386))&gt;1,"중복","-"))</f>
        <v/>
      </c>
    </row>
    <row r="387" customFormat="false" ht="15" hidden="false" customHeight="true" outlineLevel="0" collapsed="false">
      <c r="A387" s="11"/>
      <c r="B387" s="7"/>
      <c r="C387" s="12" t="str">
        <f aca="false">IF($B387="","",IFERROR(INDEX(자원목록!$B$3:$B$102,MATCH($B387,자원목록!$A$3:$A$102,0)),"미등록자원"))</f>
        <v/>
      </c>
      <c r="D387" s="7"/>
      <c r="E387" s="12" t="str">
        <f aca="false">IF($D387="","",IFERROR(INDEX(고객목록!$B$3:$B$502,MATCH($D387,고객목록!$A$3:$A$502,0)),""))</f>
        <v/>
      </c>
      <c r="F387" s="13"/>
      <c r="G387" s="13"/>
      <c r="H387" s="14" t="str">
        <f aca="false">IF(OR($L387="",$M387=""),"",ROUND(($M387-$L387)/60,2))</f>
        <v/>
      </c>
      <c r="I387" s="9"/>
      <c r="J387" s="7"/>
      <c r="K387" s="7"/>
      <c r="L387" s="15" t="str">
        <f aca="false">IF($F387="","",IF($F387&lt;1,ROUND($F387*1440,0),INT($F387/100)*60+MOD($F387,100)))</f>
        <v/>
      </c>
      <c r="M387" s="15" t="str">
        <f aca="false">IF($G387="","",IF($G387&lt;1,ROUND($G387*1440,0),INT($G387/100)*60+MOD($G387,100)))</f>
        <v/>
      </c>
      <c r="N387" s="15" t="str">
        <f aca="false">IF(OR($A387="",$B387="",$L387="",$M387="",$J387="취소"),"",IF(SUMPRODUCT(($A$3:$A$2002=$A387)*($B$3:$B$2002=$B387)*($J$3:$J$2002&lt;&gt;"취소")*($L$3:$L$2002&lt;&gt;"")*($M$3:$M$2002&lt;&gt;"")*($L$3:$L$2002&lt;$M387)*($M$3:$M$2002&gt;$L387))&gt;1,"중복","-"))</f>
        <v/>
      </c>
    </row>
    <row r="388" customFormat="false" ht="15" hidden="false" customHeight="true" outlineLevel="0" collapsed="false">
      <c r="A388" s="11"/>
      <c r="B388" s="7"/>
      <c r="C388" s="12" t="str">
        <f aca="false">IF($B388="","",IFERROR(INDEX(자원목록!$B$3:$B$102,MATCH($B388,자원목록!$A$3:$A$102,0)),"미등록자원"))</f>
        <v/>
      </c>
      <c r="D388" s="7"/>
      <c r="E388" s="12" t="str">
        <f aca="false">IF($D388="","",IFERROR(INDEX(고객목록!$B$3:$B$502,MATCH($D388,고객목록!$A$3:$A$502,0)),""))</f>
        <v/>
      </c>
      <c r="F388" s="13"/>
      <c r="G388" s="13"/>
      <c r="H388" s="14" t="str">
        <f aca="false">IF(OR($L388="",$M388=""),"",ROUND(($M388-$L388)/60,2))</f>
        <v/>
      </c>
      <c r="I388" s="9"/>
      <c r="J388" s="7"/>
      <c r="K388" s="7"/>
      <c r="L388" s="15" t="str">
        <f aca="false">IF($F388="","",IF($F388&lt;1,ROUND($F388*1440,0),INT($F388/100)*60+MOD($F388,100)))</f>
        <v/>
      </c>
      <c r="M388" s="15" t="str">
        <f aca="false">IF($G388="","",IF($G388&lt;1,ROUND($G388*1440,0),INT($G388/100)*60+MOD($G388,100)))</f>
        <v/>
      </c>
      <c r="N388" s="15" t="str">
        <f aca="false">IF(OR($A388="",$B388="",$L388="",$M388="",$J388="취소"),"",IF(SUMPRODUCT(($A$3:$A$2002=$A388)*($B$3:$B$2002=$B388)*($J$3:$J$2002&lt;&gt;"취소")*($L$3:$L$2002&lt;&gt;"")*($M$3:$M$2002&lt;&gt;"")*($L$3:$L$2002&lt;$M388)*($M$3:$M$2002&gt;$L388))&gt;1,"중복","-"))</f>
        <v/>
      </c>
    </row>
    <row r="389" customFormat="false" ht="15" hidden="false" customHeight="true" outlineLevel="0" collapsed="false">
      <c r="A389" s="11"/>
      <c r="B389" s="7"/>
      <c r="C389" s="12" t="str">
        <f aca="false">IF($B389="","",IFERROR(INDEX(자원목록!$B$3:$B$102,MATCH($B389,자원목록!$A$3:$A$102,0)),"미등록자원"))</f>
        <v/>
      </c>
      <c r="D389" s="7"/>
      <c r="E389" s="12" t="str">
        <f aca="false">IF($D389="","",IFERROR(INDEX(고객목록!$B$3:$B$502,MATCH($D389,고객목록!$A$3:$A$502,0)),""))</f>
        <v/>
      </c>
      <c r="F389" s="13"/>
      <c r="G389" s="13"/>
      <c r="H389" s="14" t="str">
        <f aca="false">IF(OR($L389="",$M389=""),"",ROUND(($M389-$L389)/60,2))</f>
        <v/>
      </c>
      <c r="I389" s="9"/>
      <c r="J389" s="7"/>
      <c r="K389" s="7"/>
      <c r="L389" s="15" t="str">
        <f aca="false">IF($F389="","",IF($F389&lt;1,ROUND($F389*1440,0),INT($F389/100)*60+MOD($F389,100)))</f>
        <v/>
      </c>
      <c r="M389" s="15" t="str">
        <f aca="false">IF($G389="","",IF($G389&lt;1,ROUND($G389*1440,0),INT($G389/100)*60+MOD($G389,100)))</f>
        <v/>
      </c>
      <c r="N389" s="15" t="str">
        <f aca="false">IF(OR($A389="",$B389="",$L389="",$M389="",$J389="취소"),"",IF(SUMPRODUCT(($A$3:$A$2002=$A389)*($B$3:$B$2002=$B389)*($J$3:$J$2002&lt;&gt;"취소")*($L$3:$L$2002&lt;&gt;"")*($M$3:$M$2002&lt;&gt;"")*($L$3:$L$2002&lt;$M389)*($M$3:$M$2002&gt;$L389))&gt;1,"중복","-"))</f>
        <v/>
      </c>
    </row>
    <row r="390" customFormat="false" ht="15" hidden="false" customHeight="true" outlineLevel="0" collapsed="false">
      <c r="A390" s="11"/>
      <c r="B390" s="7"/>
      <c r="C390" s="12" t="str">
        <f aca="false">IF($B390="","",IFERROR(INDEX(자원목록!$B$3:$B$102,MATCH($B390,자원목록!$A$3:$A$102,0)),"미등록자원"))</f>
        <v/>
      </c>
      <c r="D390" s="7"/>
      <c r="E390" s="12" t="str">
        <f aca="false">IF($D390="","",IFERROR(INDEX(고객목록!$B$3:$B$502,MATCH($D390,고객목록!$A$3:$A$502,0)),""))</f>
        <v/>
      </c>
      <c r="F390" s="13"/>
      <c r="G390" s="13"/>
      <c r="H390" s="14" t="str">
        <f aca="false">IF(OR($L390="",$M390=""),"",ROUND(($M390-$L390)/60,2))</f>
        <v/>
      </c>
      <c r="I390" s="9"/>
      <c r="J390" s="7"/>
      <c r="K390" s="7"/>
      <c r="L390" s="15" t="str">
        <f aca="false">IF($F390="","",IF($F390&lt;1,ROUND($F390*1440,0),INT($F390/100)*60+MOD($F390,100)))</f>
        <v/>
      </c>
      <c r="M390" s="15" t="str">
        <f aca="false">IF($G390="","",IF($G390&lt;1,ROUND($G390*1440,0),INT($G390/100)*60+MOD($G390,100)))</f>
        <v/>
      </c>
      <c r="N390" s="15" t="str">
        <f aca="false">IF(OR($A390="",$B390="",$L390="",$M390="",$J390="취소"),"",IF(SUMPRODUCT(($A$3:$A$2002=$A390)*($B$3:$B$2002=$B390)*($J$3:$J$2002&lt;&gt;"취소")*($L$3:$L$2002&lt;&gt;"")*($M$3:$M$2002&lt;&gt;"")*($L$3:$L$2002&lt;$M390)*($M$3:$M$2002&gt;$L390))&gt;1,"중복","-"))</f>
        <v/>
      </c>
    </row>
    <row r="391" customFormat="false" ht="15" hidden="false" customHeight="true" outlineLevel="0" collapsed="false">
      <c r="A391" s="11"/>
      <c r="B391" s="7"/>
      <c r="C391" s="12" t="str">
        <f aca="false">IF($B391="","",IFERROR(INDEX(자원목록!$B$3:$B$102,MATCH($B391,자원목록!$A$3:$A$102,0)),"미등록자원"))</f>
        <v/>
      </c>
      <c r="D391" s="7"/>
      <c r="E391" s="12" t="str">
        <f aca="false">IF($D391="","",IFERROR(INDEX(고객목록!$B$3:$B$502,MATCH($D391,고객목록!$A$3:$A$502,0)),""))</f>
        <v/>
      </c>
      <c r="F391" s="13"/>
      <c r="G391" s="13"/>
      <c r="H391" s="14" t="str">
        <f aca="false">IF(OR($L391="",$M391=""),"",ROUND(($M391-$L391)/60,2))</f>
        <v/>
      </c>
      <c r="I391" s="9"/>
      <c r="J391" s="7"/>
      <c r="K391" s="7"/>
      <c r="L391" s="15" t="str">
        <f aca="false">IF($F391="","",IF($F391&lt;1,ROUND($F391*1440,0),INT($F391/100)*60+MOD($F391,100)))</f>
        <v/>
      </c>
      <c r="M391" s="15" t="str">
        <f aca="false">IF($G391="","",IF($G391&lt;1,ROUND($G391*1440,0),INT($G391/100)*60+MOD($G391,100)))</f>
        <v/>
      </c>
      <c r="N391" s="15" t="str">
        <f aca="false">IF(OR($A391="",$B391="",$L391="",$M391="",$J391="취소"),"",IF(SUMPRODUCT(($A$3:$A$2002=$A391)*($B$3:$B$2002=$B391)*($J$3:$J$2002&lt;&gt;"취소")*($L$3:$L$2002&lt;&gt;"")*($M$3:$M$2002&lt;&gt;"")*($L$3:$L$2002&lt;$M391)*($M$3:$M$2002&gt;$L391))&gt;1,"중복","-"))</f>
        <v/>
      </c>
    </row>
    <row r="392" customFormat="false" ht="15" hidden="false" customHeight="true" outlineLevel="0" collapsed="false">
      <c r="A392" s="11"/>
      <c r="B392" s="7"/>
      <c r="C392" s="12" t="str">
        <f aca="false">IF($B392="","",IFERROR(INDEX(자원목록!$B$3:$B$102,MATCH($B392,자원목록!$A$3:$A$102,0)),"미등록자원"))</f>
        <v/>
      </c>
      <c r="D392" s="7"/>
      <c r="E392" s="12" t="str">
        <f aca="false">IF($D392="","",IFERROR(INDEX(고객목록!$B$3:$B$502,MATCH($D392,고객목록!$A$3:$A$502,0)),""))</f>
        <v/>
      </c>
      <c r="F392" s="13"/>
      <c r="G392" s="13"/>
      <c r="H392" s="14" t="str">
        <f aca="false">IF(OR($L392="",$M392=""),"",ROUND(($M392-$L392)/60,2))</f>
        <v/>
      </c>
      <c r="I392" s="9"/>
      <c r="J392" s="7"/>
      <c r="K392" s="7"/>
      <c r="L392" s="15" t="str">
        <f aca="false">IF($F392="","",IF($F392&lt;1,ROUND($F392*1440,0),INT($F392/100)*60+MOD($F392,100)))</f>
        <v/>
      </c>
      <c r="M392" s="15" t="str">
        <f aca="false">IF($G392="","",IF($G392&lt;1,ROUND($G392*1440,0),INT($G392/100)*60+MOD($G392,100)))</f>
        <v/>
      </c>
      <c r="N392" s="15" t="str">
        <f aca="false">IF(OR($A392="",$B392="",$L392="",$M392="",$J392="취소"),"",IF(SUMPRODUCT(($A$3:$A$2002=$A392)*($B$3:$B$2002=$B392)*($J$3:$J$2002&lt;&gt;"취소")*($L$3:$L$2002&lt;&gt;"")*($M$3:$M$2002&lt;&gt;"")*($L$3:$L$2002&lt;$M392)*($M$3:$M$2002&gt;$L392))&gt;1,"중복","-"))</f>
        <v/>
      </c>
    </row>
    <row r="393" customFormat="false" ht="15" hidden="false" customHeight="true" outlineLevel="0" collapsed="false">
      <c r="A393" s="11"/>
      <c r="B393" s="7"/>
      <c r="C393" s="12" t="str">
        <f aca="false">IF($B393="","",IFERROR(INDEX(자원목록!$B$3:$B$102,MATCH($B393,자원목록!$A$3:$A$102,0)),"미등록자원"))</f>
        <v/>
      </c>
      <c r="D393" s="7"/>
      <c r="E393" s="12" t="str">
        <f aca="false">IF($D393="","",IFERROR(INDEX(고객목록!$B$3:$B$502,MATCH($D393,고객목록!$A$3:$A$502,0)),""))</f>
        <v/>
      </c>
      <c r="F393" s="13"/>
      <c r="G393" s="13"/>
      <c r="H393" s="14" t="str">
        <f aca="false">IF(OR($L393="",$M393=""),"",ROUND(($M393-$L393)/60,2))</f>
        <v/>
      </c>
      <c r="I393" s="9"/>
      <c r="J393" s="7"/>
      <c r="K393" s="7"/>
      <c r="L393" s="15" t="str">
        <f aca="false">IF($F393="","",IF($F393&lt;1,ROUND($F393*1440,0),INT($F393/100)*60+MOD($F393,100)))</f>
        <v/>
      </c>
      <c r="M393" s="15" t="str">
        <f aca="false">IF($G393="","",IF($G393&lt;1,ROUND($G393*1440,0),INT($G393/100)*60+MOD($G393,100)))</f>
        <v/>
      </c>
      <c r="N393" s="15" t="str">
        <f aca="false">IF(OR($A393="",$B393="",$L393="",$M393="",$J393="취소"),"",IF(SUMPRODUCT(($A$3:$A$2002=$A393)*($B$3:$B$2002=$B393)*($J$3:$J$2002&lt;&gt;"취소")*($L$3:$L$2002&lt;&gt;"")*($M$3:$M$2002&lt;&gt;"")*($L$3:$L$2002&lt;$M393)*($M$3:$M$2002&gt;$L393))&gt;1,"중복","-"))</f>
        <v/>
      </c>
    </row>
    <row r="394" customFormat="false" ht="15" hidden="false" customHeight="true" outlineLevel="0" collapsed="false">
      <c r="A394" s="11"/>
      <c r="B394" s="7"/>
      <c r="C394" s="12" t="str">
        <f aca="false">IF($B394="","",IFERROR(INDEX(자원목록!$B$3:$B$102,MATCH($B394,자원목록!$A$3:$A$102,0)),"미등록자원"))</f>
        <v/>
      </c>
      <c r="D394" s="7"/>
      <c r="E394" s="12" t="str">
        <f aca="false">IF($D394="","",IFERROR(INDEX(고객목록!$B$3:$B$502,MATCH($D394,고객목록!$A$3:$A$502,0)),""))</f>
        <v/>
      </c>
      <c r="F394" s="13"/>
      <c r="G394" s="13"/>
      <c r="H394" s="14" t="str">
        <f aca="false">IF(OR($L394="",$M394=""),"",ROUND(($M394-$L394)/60,2))</f>
        <v/>
      </c>
      <c r="I394" s="9"/>
      <c r="J394" s="7"/>
      <c r="K394" s="7"/>
      <c r="L394" s="15" t="str">
        <f aca="false">IF($F394="","",IF($F394&lt;1,ROUND($F394*1440,0),INT($F394/100)*60+MOD($F394,100)))</f>
        <v/>
      </c>
      <c r="M394" s="15" t="str">
        <f aca="false">IF($G394="","",IF($G394&lt;1,ROUND($G394*1440,0),INT($G394/100)*60+MOD($G394,100)))</f>
        <v/>
      </c>
      <c r="N394" s="15" t="str">
        <f aca="false">IF(OR($A394="",$B394="",$L394="",$M394="",$J394="취소"),"",IF(SUMPRODUCT(($A$3:$A$2002=$A394)*($B$3:$B$2002=$B394)*($J$3:$J$2002&lt;&gt;"취소")*($L$3:$L$2002&lt;&gt;"")*($M$3:$M$2002&lt;&gt;"")*($L$3:$L$2002&lt;$M394)*($M$3:$M$2002&gt;$L394))&gt;1,"중복","-"))</f>
        <v/>
      </c>
    </row>
    <row r="395" customFormat="false" ht="15" hidden="false" customHeight="true" outlineLevel="0" collapsed="false">
      <c r="A395" s="11"/>
      <c r="B395" s="7"/>
      <c r="C395" s="12" t="str">
        <f aca="false">IF($B395="","",IFERROR(INDEX(자원목록!$B$3:$B$102,MATCH($B395,자원목록!$A$3:$A$102,0)),"미등록자원"))</f>
        <v/>
      </c>
      <c r="D395" s="7"/>
      <c r="E395" s="12" t="str">
        <f aca="false">IF($D395="","",IFERROR(INDEX(고객목록!$B$3:$B$502,MATCH($D395,고객목록!$A$3:$A$502,0)),""))</f>
        <v/>
      </c>
      <c r="F395" s="13"/>
      <c r="G395" s="13"/>
      <c r="H395" s="14" t="str">
        <f aca="false">IF(OR($L395="",$M395=""),"",ROUND(($M395-$L395)/60,2))</f>
        <v/>
      </c>
      <c r="I395" s="9"/>
      <c r="J395" s="7"/>
      <c r="K395" s="7"/>
      <c r="L395" s="15" t="str">
        <f aca="false">IF($F395="","",IF($F395&lt;1,ROUND($F395*1440,0),INT($F395/100)*60+MOD($F395,100)))</f>
        <v/>
      </c>
      <c r="M395" s="15" t="str">
        <f aca="false">IF($G395="","",IF($G395&lt;1,ROUND($G395*1440,0),INT($G395/100)*60+MOD($G395,100)))</f>
        <v/>
      </c>
      <c r="N395" s="15" t="str">
        <f aca="false">IF(OR($A395="",$B395="",$L395="",$M395="",$J395="취소"),"",IF(SUMPRODUCT(($A$3:$A$2002=$A395)*($B$3:$B$2002=$B395)*($J$3:$J$2002&lt;&gt;"취소")*($L$3:$L$2002&lt;&gt;"")*($M$3:$M$2002&lt;&gt;"")*($L$3:$L$2002&lt;$M395)*($M$3:$M$2002&gt;$L395))&gt;1,"중복","-"))</f>
        <v/>
      </c>
    </row>
    <row r="396" customFormat="false" ht="15" hidden="false" customHeight="true" outlineLevel="0" collapsed="false">
      <c r="A396" s="11"/>
      <c r="B396" s="7"/>
      <c r="C396" s="12" t="str">
        <f aca="false">IF($B396="","",IFERROR(INDEX(자원목록!$B$3:$B$102,MATCH($B396,자원목록!$A$3:$A$102,0)),"미등록자원"))</f>
        <v/>
      </c>
      <c r="D396" s="7"/>
      <c r="E396" s="12" t="str">
        <f aca="false">IF($D396="","",IFERROR(INDEX(고객목록!$B$3:$B$502,MATCH($D396,고객목록!$A$3:$A$502,0)),""))</f>
        <v/>
      </c>
      <c r="F396" s="13"/>
      <c r="G396" s="13"/>
      <c r="H396" s="14" t="str">
        <f aca="false">IF(OR($L396="",$M396=""),"",ROUND(($M396-$L396)/60,2))</f>
        <v/>
      </c>
      <c r="I396" s="9"/>
      <c r="J396" s="7"/>
      <c r="K396" s="7"/>
      <c r="L396" s="15" t="str">
        <f aca="false">IF($F396="","",IF($F396&lt;1,ROUND($F396*1440,0),INT($F396/100)*60+MOD($F396,100)))</f>
        <v/>
      </c>
      <c r="M396" s="15" t="str">
        <f aca="false">IF($G396="","",IF($G396&lt;1,ROUND($G396*1440,0),INT($G396/100)*60+MOD($G396,100)))</f>
        <v/>
      </c>
      <c r="N396" s="15" t="str">
        <f aca="false">IF(OR($A396="",$B396="",$L396="",$M396="",$J396="취소"),"",IF(SUMPRODUCT(($A$3:$A$2002=$A396)*($B$3:$B$2002=$B396)*($J$3:$J$2002&lt;&gt;"취소")*($L$3:$L$2002&lt;&gt;"")*($M$3:$M$2002&lt;&gt;"")*($L$3:$L$2002&lt;$M396)*($M$3:$M$2002&gt;$L396))&gt;1,"중복","-"))</f>
        <v/>
      </c>
    </row>
    <row r="397" customFormat="false" ht="15" hidden="false" customHeight="true" outlineLevel="0" collapsed="false">
      <c r="A397" s="11"/>
      <c r="B397" s="7"/>
      <c r="C397" s="12" t="str">
        <f aca="false">IF($B397="","",IFERROR(INDEX(자원목록!$B$3:$B$102,MATCH($B397,자원목록!$A$3:$A$102,0)),"미등록자원"))</f>
        <v/>
      </c>
      <c r="D397" s="7"/>
      <c r="E397" s="12" t="str">
        <f aca="false">IF($D397="","",IFERROR(INDEX(고객목록!$B$3:$B$502,MATCH($D397,고객목록!$A$3:$A$502,0)),""))</f>
        <v/>
      </c>
      <c r="F397" s="13"/>
      <c r="G397" s="13"/>
      <c r="H397" s="14" t="str">
        <f aca="false">IF(OR($L397="",$M397=""),"",ROUND(($M397-$L397)/60,2))</f>
        <v/>
      </c>
      <c r="I397" s="9"/>
      <c r="J397" s="7"/>
      <c r="K397" s="7"/>
      <c r="L397" s="15" t="str">
        <f aca="false">IF($F397="","",IF($F397&lt;1,ROUND($F397*1440,0),INT($F397/100)*60+MOD($F397,100)))</f>
        <v/>
      </c>
      <c r="M397" s="15" t="str">
        <f aca="false">IF($G397="","",IF($G397&lt;1,ROUND($G397*1440,0),INT($G397/100)*60+MOD($G397,100)))</f>
        <v/>
      </c>
      <c r="N397" s="15" t="str">
        <f aca="false">IF(OR($A397="",$B397="",$L397="",$M397="",$J397="취소"),"",IF(SUMPRODUCT(($A$3:$A$2002=$A397)*($B$3:$B$2002=$B397)*($J$3:$J$2002&lt;&gt;"취소")*($L$3:$L$2002&lt;&gt;"")*($M$3:$M$2002&lt;&gt;"")*($L$3:$L$2002&lt;$M397)*($M$3:$M$2002&gt;$L397))&gt;1,"중복","-"))</f>
        <v/>
      </c>
    </row>
    <row r="398" customFormat="false" ht="15" hidden="false" customHeight="true" outlineLevel="0" collapsed="false">
      <c r="A398" s="11"/>
      <c r="B398" s="7"/>
      <c r="C398" s="12" t="str">
        <f aca="false">IF($B398="","",IFERROR(INDEX(자원목록!$B$3:$B$102,MATCH($B398,자원목록!$A$3:$A$102,0)),"미등록자원"))</f>
        <v/>
      </c>
      <c r="D398" s="7"/>
      <c r="E398" s="12" t="str">
        <f aca="false">IF($D398="","",IFERROR(INDEX(고객목록!$B$3:$B$502,MATCH($D398,고객목록!$A$3:$A$502,0)),""))</f>
        <v/>
      </c>
      <c r="F398" s="13"/>
      <c r="G398" s="13"/>
      <c r="H398" s="14" t="str">
        <f aca="false">IF(OR($L398="",$M398=""),"",ROUND(($M398-$L398)/60,2))</f>
        <v/>
      </c>
      <c r="I398" s="9"/>
      <c r="J398" s="7"/>
      <c r="K398" s="7"/>
      <c r="L398" s="15" t="str">
        <f aca="false">IF($F398="","",IF($F398&lt;1,ROUND($F398*1440,0),INT($F398/100)*60+MOD($F398,100)))</f>
        <v/>
      </c>
      <c r="M398" s="15" t="str">
        <f aca="false">IF($G398="","",IF($G398&lt;1,ROUND($G398*1440,0),INT($G398/100)*60+MOD($G398,100)))</f>
        <v/>
      </c>
      <c r="N398" s="15" t="str">
        <f aca="false">IF(OR($A398="",$B398="",$L398="",$M398="",$J398="취소"),"",IF(SUMPRODUCT(($A$3:$A$2002=$A398)*($B$3:$B$2002=$B398)*($J$3:$J$2002&lt;&gt;"취소")*($L$3:$L$2002&lt;&gt;"")*($M$3:$M$2002&lt;&gt;"")*($L$3:$L$2002&lt;$M398)*($M$3:$M$2002&gt;$L398))&gt;1,"중복","-"))</f>
        <v/>
      </c>
    </row>
    <row r="399" customFormat="false" ht="15" hidden="false" customHeight="true" outlineLevel="0" collapsed="false">
      <c r="A399" s="11"/>
      <c r="B399" s="7"/>
      <c r="C399" s="12" t="str">
        <f aca="false">IF($B399="","",IFERROR(INDEX(자원목록!$B$3:$B$102,MATCH($B399,자원목록!$A$3:$A$102,0)),"미등록자원"))</f>
        <v/>
      </c>
      <c r="D399" s="7"/>
      <c r="E399" s="12" t="str">
        <f aca="false">IF($D399="","",IFERROR(INDEX(고객목록!$B$3:$B$502,MATCH($D399,고객목록!$A$3:$A$502,0)),""))</f>
        <v/>
      </c>
      <c r="F399" s="13"/>
      <c r="G399" s="13"/>
      <c r="H399" s="14" t="str">
        <f aca="false">IF(OR($L399="",$M399=""),"",ROUND(($M399-$L399)/60,2))</f>
        <v/>
      </c>
      <c r="I399" s="9"/>
      <c r="J399" s="7"/>
      <c r="K399" s="7"/>
      <c r="L399" s="15" t="str">
        <f aca="false">IF($F399="","",IF($F399&lt;1,ROUND($F399*1440,0),INT($F399/100)*60+MOD($F399,100)))</f>
        <v/>
      </c>
      <c r="M399" s="15" t="str">
        <f aca="false">IF($G399="","",IF($G399&lt;1,ROUND($G399*1440,0),INT($G399/100)*60+MOD($G399,100)))</f>
        <v/>
      </c>
      <c r="N399" s="15" t="str">
        <f aca="false">IF(OR($A399="",$B399="",$L399="",$M399="",$J399="취소"),"",IF(SUMPRODUCT(($A$3:$A$2002=$A399)*($B$3:$B$2002=$B399)*($J$3:$J$2002&lt;&gt;"취소")*($L$3:$L$2002&lt;&gt;"")*($M$3:$M$2002&lt;&gt;"")*($L$3:$L$2002&lt;$M399)*($M$3:$M$2002&gt;$L399))&gt;1,"중복","-"))</f>
        <v/>
      </c>
    </row>
    <row r="400" customFormat="false" ht="15" hidden="false" customHeight="true" outlineLevel="0" collapsed="false">
      <c r="A400" s="11"/>
      <c r="B400" s="7"/>
      <c r="C400" s="12" t="str">
        <f aca="false">IF($B400="","",IFERROR(INDEX(자원목록!$B$3:$B$102,MATCH($B400,자원목록!$A$3:$A$102,0)),"미등록자원"))</f>
        <v/>
      </c>
      <c r="D400" s="7"/>
      <c r="E400" s="12" t="str">
        <f aca="false">IF($D400="","",IFERROR(INDEX(고객목록!$B$3:$B$502,MATCH($D400,고객목록!$A$3:$A$502,0)),""))</f>
        <v/>
      </c>
      <c r="F400" s="13"/>
      <c r="G400" s="13"/>
      <c r="H400" s="14" t="str">
        <f aca="false">IF(OR($L400="",$M400=""),"",ROUND(($M400-$L400)/60,2))</f>
        <v/>
      </c>
      <c r="I400" s="9"/>
      <c r="J400" s="7"/>
      <c r="K400" s="7"/>
      <c r="L400" s="15" t="str">
        <f aca="false">IF($F400="","",IF($F400&lt;1,ROUND($F400*1440,0),INT($F400/100)*60+MOD($F400,100)))</f>
        <v/>
      </c>
      <c r="M400" s="15" t="str">
        <f aca="false">IF($G400="","",IF($G400&lt;1,ROUND($G400*1440,0),INT($G400/100)*60+MOD($G400,100)))</f>
        <v/>
      </c>
      <c r="N400" s="15" t="str">
        <f aca="false">IF(OR($A400="",$B400="",$L400="",$M400="",$J400="취소"),"",IF(SUMPRODUCT(($A$3:$A$2002=$A400)*($B$3:$B$2002=$B400)*($J$3:$J$2002&lt;&gt;"취소")*($L$3:$L$2002&lt;&gt;"")*($M$3:$M$2002&lt;&gt;"")*($L$3:$L$2002&lt;$M400)*($M$3:$M$2002&gt;$L400))&gt;1,"중복","-"))</f>
        <v/>
      </c>
    </row>
    <row r="401" customFormat="false" ht="15" hidden="false" customHeight="true" outlineLevel="0" collapsed="false">
      <c r="A401" s="11"/>
      <c r="B401" s="7"/>
      <c r="C401" s="12" t="str">
        <f aca="false">IF($B401="","",IFERROR(INDEX(자원목록!$B$3:$B$102,MATCH($B401,자원목록!$A$3:$A$102,0)),"미등록자원"))</f>
        <v/>
      </c>
      <c r="D401" s="7"/>
      <c r="E401" s="12" t="str">
        <f aca="false">IF($D401="","",IFERROR(INDEX(고객목록!$B$3:$B$502,MATCH($D401,고객목록!$A$3:$A$502,0)),""))</f>
        <v/>
      </c>
      <c r="F401" s="13"/>
      <c r="G401" s="13"/>
      <c r="H401" s="14" t="str">
        <f aca="false">IF(OR($L401="",$M401=""),"",ROUND(($M401-$L401)/60,2))</f>
        <v/>
      </c>
      <c r="I401" s="9"/>
      <c r="J401" s="7"/>
      <c r="K401" s="7"/>
      <c r="L401" s="15" t="str">
        <f aca="false">IF($F401="","",IF($F401&lt;1,ROUND($F401*1440,0),INT($F401/100)*60+MOD($F401,100)))</f>
        <v/>
      </c>
      <c r="M401" s="15" t="str">
        <f aca="false">IF($G401="","",IF($G401&lt;1,ROUND($G401*1440,0),INT($G401/100)*60+MOD($G401,100)))</f>
        <v/>
      </c>
      <c r="N401" s="15" t="str">
        <f aca="false">IF(OR($A401="",$B401="",$L401="",$M401="",$J401="취소"),"",IF(SUMPRODUCT(($A$3:$A$2002=$A401)*($B$3:$B$2002=$B401)*($J$3:$J$2002&lt;&gt;"취소")*($L$3:$L$2002&lt;&gt;"")*($M$3:$M$2002&lt;&gt;"")*($L$3:$L$2002&lt;$M401)*($M$3:$M$2002&gt;$L401))&gt;1,"중복","-"))</f>
        <v/>
      </c>
    </row>
    <row r="402" customFormat="false" ht="15" hidden="false" customHeight="true" outlineLevel="0" collapsed="false">
      <c r="A402" s="11"/>
      <c r="B402" s="7"/>
      <c r="C402" s="12" t="str">
        <f aca="false">IF($B402="","",IFERROR(INDEX(자원목록!$B$3:$B$102,MATCH($B402,자원목록!$A$3:$A$102,0)),"미등록자원"))</f>
        <v/>
      </c>
      <c r="D402" s="7"/>
      <c r="E402" s="12" t="str">
        <f aca="false">IF($D402="","",IFERROR(INDEX(고객목록!$B$3:$B$502,MATCH($D402,고객목록!$A$3:$A$502,0)),""))</f>
        <v/>
      </c>
      <c r="F402" s="13"/>
      <c r="G402" s="13"/>
      <c r="H402" s="14" t="str">
        <f aca="false">IF(OR($L402="",$M402=""),"",ROUND(($M402-$L402)/60,2))</f>
        <v/>
      </c>
      <c r="I402" s="9"/>
      <c r="J402" s="7"/>
      <c r="K402" s="7"/>
      <c r="L402" s="15" t="str">
        <f aca="false">IF($F402="","",IF($F402&lt;1,ROUND($F402*1440,0),INT($F402/100)*60+MOD($F402,100)))</f>
        <v/>
      </c>
      <c r="M402" s="15" t="str">
        <f aca="false">IF($G402="","",IF($G402&lt;1,ROUND($G402*1440,0),INT($G402/100)*60+MOD($G402,100)))</f>
        <v/>
      </c>
      <c r="N402" s="15" t="str">
        <f aca="false">IF(OR($A402="",$B402="",$L402="",$M402="",$J402="취소"),"",IF(SUMPRODUCT(($A$3:$A$2002=$A402)*($B$3:$B$2002=$B402)*($J$3:$J$2002&lt;&gt;"취소")*($L$3:$L$2002&lt;&gt;"")*($M$3:$M$2002&lt;&gt;"")*($L$3:$L$2002&lt;$M402)*($M$3:$M$2002&gt;$L402))&gt;1,"중복","-"))</f>
        <v/>
      </c>
    </row>
    <row r="403" customFormat="false" ht="15" hidden="false" customHeight="true" outlineLevel="0" collapsed="false">
      <c r="A403" s="11"/>
      <c r="B403" s="7"/>
      <c r="C403" s="12" t="str">
        <f aca="false">IF($B403="","",IFERROR(INDEX(자원목록!$B$3:$B$102,MATCH($B403,자원목록!$A$3:$A$102,0)),"미등록자원"))</f>
        <v/>
      </c>
      <c r="D403" s="7"/>
      <c r="E403" s="12" t="str">
        <f aca="false">IF($D403="","",IFERROR(INDEX(고객목록!$B$3:$B$502,MATCH($D403,고객목록!$A$3:$A$502,0)),""))</f>
        <v/>
      </c>
      <c r="F403" s="13"/>
      <c r="G403" s="13"/>
      <c r="H403" s="14" t="str">
        <f aca="false">IF(OR($L403="",$M403=""),"",ROUND(($M403-$L403)/60,2))</f>
        <v/>
      </c>
      <c r="I403" s="9"/>
      <c r="J403" s="7"/>
      <c r="K403" s="7"/>
      <c r="L403" s="15" t="str">
        <f aca="false">IF($F403="","",IF($F403&lt;1,ROUND($F403*1440,0),INT($F403/100)*60+MOD($F403,100)))</f>
        <v/>
      </c>
      <c r="M403" s="15" t="str">
        <f aca="false">IF($G403="","",IF($G403&lt;1,ROUND($G403*1440,0),INT($G403/100)*60+MOD($G403,100)))</f>
        <v/>
      </c>
      <c r="N403" s="15" t="str">
        <f aca="false">IF(OR($A403="",$B403="",$L403="",$M403="",$J403="취소"),"",IF(SUMPRODUCT(($A$3:$A$2002=$A403)*($B$3:$B$2002=$B403)*($J$3:$J$2002&lt;&gt;"취소")*($L$3:$L$2002&lt;&gt;"")*($M$3:$M$2002&lt;&gt;"")*($L$3:$L$2002&lt;$M403)*($M$3:$M$2002&gt;$L403))&gt;1,"중복","-"))</f>
        <v/>
      </c>
    </row>
    <row r="404" customFormat="false" ht="15" hidden="false" customHeight="true" outlineLevel="0" collapsed="false">
      <c r="A404" s="11"/>
      <c r="B404" s="7"/>
      <c r="C404" s="12" t="str">
        <f aca="false">IF($B404="","",IFERROR(INDEX(자원목록!$B$3:$B$102,MATCH($B404,자원목록!$A$3:$A$102,0)),"미등록자원"))</f>
        <v/>
      </c>
      <c r="D404" s="7"/>
      <c r="E404" s="12" t="str">
        <f aca="false">IF($D404="","",IFERROR(INDEX(고객목록!$B$3:$B$502,MATCH($D404,고객목록!$A$3:$A$502,0)),""))</f>
        <v/>
      </c>
      <c r="F404" s="13"/>
      <c r="G404" s="13"/>
      <c r="H404" s="14" t="str">
        <f aca="false">IF(OR($L404="",$M404=""),"",ROUND(($M404-$L404)/60,2))</f>
        <v/>
      </c>
      <c r="I404" s="9"/>
      <c r="J404" s="7"/>
      <c r="K404" s="7"/>
      <c r="L404" s="15" t="str">
        <f aca="false">IF($F404="","",IF($F404&lt;1,ROUND($F404*1440,0),INT($F404/100)*60+MOD($F404,100)))</f>
        <v/>
      </c>
      <c r="M404" s="15" t="str">
        <f aca="false">IF($G404="","",IF($G404&lt;1,ROUND($G404*1440,0),INT($G404/100)*60+MOD($G404,100)))</f>
        <v/>
      </c>
      <c r="N404" s="15" t="str">
        <f aca="false">IF(OR($A404="",$B404="",$L404="",$M404="",$J404="취소"),"",IF(SUMPRODUCT(($A$3:$A$2002=$A404)*($B$3:$B$2002=$B404)*($J$3:$J$2002&lt;&gt;"취소")*($L$3:$L$2002&lt;&gt;"")*($M$3:$M$2002&lt;&gt;"")*($L$3:$L$2002&lt;$M404)*($M$3:$M$2002&gt;$L404))&gt;1,"중복","-"))</f>
        <v/>
      </c>
    </row>
    <row r="405" customFormat="false" ht="15" hidden="false" customHeight="true" outlineLevel="0" collapsed="false">
      <c r="A405" s="11"/>
      <c r="B405" s="7"/>
      <c r="C405" s="12" t="str">
        <f aca="false">IF($B405="","",IFERROR(INDEX(자원목록!$B$3:$B$102,MATCH($B405,자원목록!$A$3:$A$102,0)),"미등록자원"))</f>
        <v/>
      </c>
      <c r="D405" s="7"/>
      <c r="E405" s="12" t="str">
        <f aca="false">IF($D405="","",IFERROR(INDEX(고객목록!$B$3:$B$502,MATCH($D405,고객목록!$A$3:$A$502,0)),""))</f>
        <v/>
      </c>
      <c r="F405" s="13"/>
      <c r="G405" s="13"/>
      <c r="H405" s="14" t="str">
        <f aca="false">IF(OR($L405="",$M405=""),"",ROUND(($M405-$L405)/60,2))</f>
        <v/>
      </c>
      <c r="I405" s="9"/>
      <c r="J405" s="7"/>
      <c r="K405" s="7"/>
      <c r="L405" s="15" t="str">
        <f aca="false">IF($F405="","",IF($F405&lt;1,ROUND($F405*1440,0),INT($F405/100)*60+MOD($F405,100)))</f>
        <v/>
      </c>
      <c r="M405" s="15" t="str">
        <f aca="false">IF($G405="","",IF($G405&lt;1,ROUND($G405*1440,0),INT($G405/100)*60+MOD($G405,100)))</f>
        <v/>
      </c>
      <c r="N405" s="15" t="str">
        <f aca="false">IF(OR($A405="",$B405="",$L405="",$M405="",$J405="취소"),"",IF(SUMPRODUCT(($A$3:$A$2002=$A405)*($B$3:$B$2002=$B405)*($J$3:$J$2002&lt;&gt;"취소")*($L$3:$L$2002&lt;&gt;"")*($M$3:$M$2002&lt;&gt;"")*($L$3:$L$2002&lt;$M405)*($M$3:$M$2002&gt;$L405))&gt;1,"중복","-"))</f>
        <v/>
      </c>
    </row>
    <row r="406" customFormat="false" ht="15" hidden="false" customHeight="true" outlineLevel="0" collapsed="false">
      <c r="A406" s="11"/>
      <c r="B406" s="7"/>
      <c r="C406" s="12" t="str">
        <f aca="false">IF($B406="","",IFERROR(INDEX(자원목록!$B$3:$B$102,MATCH($B406,자원목록!$A$3:$A$102,0)),"미등록자원"))</f>
        <v/>
      </c>
      <c r="D406" s="7"/>
      <c r="E406" s="12" t="str">
        <f aca="false">IF($D406="","",IFERROR(INDEX(고객목록!$B$3:$B$502,MATCH($D406,고객목록!$A$3:$A$502,0)),""))</f>
        <v/>
      </c>
      <c r="F406" s="13"/>
      <c r="G406" s="13"/>
      <c r="H406" s="14" t="str">
        <f aca="false">IF(OR($L406="",$M406=""),"",ROUND(($M406-$L406)/60,2))</f>
        <v/>
      </c>
      <c r="I406" s="9"/>
      <c r="J406" s="7"/>
      <c r="K406" s="7"/>
      <c r="L406" s="15" t="str">
        <f aca="false">IF($F406="","",IF($F406&lt;1,ROUND($F406*1440,0),INT($F406/100)*60+MOD($F406,100)))</f>
        <v/>
      </c>
      <c r="M406" s="15" t="str">
        <f aca="false">IF($G406="","",IF($G406&lt;1,ROUND($G406*1440,0),INT($G406/100)*60+MOD($G406,100)))</f>
        <v/>
      </c>
      <c r="N406" s="15" t="str">
        <f aca="false">IF(OR($A406="",$B406="",$L406="",$M406="",$J406="취소"),"",IF(SUMPRODUCT(($A$3:$A$2002=$A406)*($B$3:$B$2002=$B406)*($J$3:$J$2002&lt;&gt;"취소")*($L$3:$L$2002&lt;&gt;"")*($M$3:$M$2002&lt;&gt;"")*($L$3:$L$2002&lt;$M406)*($M$3:$M$2002&gt;$L406))&gt;1,"중복","-"))</f>
        <v/>
      </c>
    </row>
    <row r="407" customFormat="false" ht="15" hidden="false" customHeight="true" outlineLevel="0" collapsed="false">
      <c r="A407" s="11"/>
      <c r="B407" s="7"/>
      <c r="C407" s="12" t="str">
        <f aca="false">IF($B407="","",IFERROR(INDEX(자원목록!$B$3:$B$102,MATCH($B407,자원목록!$A$3:$A$102,0)),"미등록자원"))</f>
        <v/>
      </c>
      <c r="D407" s="7"/>
      <c r="E407" s="12" t="str">
        <f aca="false">IF($D407="","",IFERROR(INDEX(고객목록!$B$3:$B$502,MATCH($D407,고객목록!$A$3:$A$502,0)),""))</f>
        <v/>
      </c>
      <c r="F407" s="13"/>
      <c r="G407" s="13"/>
      <c r="H407" s="14" t="str">
        <f aca="false">IF(OR($L407="",$M407=""),"",ROUND(($M407-$L407)/60,2))</f>
        <v/>
      </c>
      <c r="I407" s="9"/>
      <c r="J407" s="7"/>
      <c r="K407" s="7"/>
      <c r="L407" s="15" t="str">
        <f aca="false">IF($F407="","",IF($F407&lt;1,ROUND($F407*1440,0),INT($F407/100)*60+MOD($F407,100)))</f>
        <v/>
      </c>
      <c r="M407" s="15" t="str">
        <f aca="false">IF($G407="","",IF($G407&lt;1,ROUND($G407*1440,0),INT($G407/100)*60+MOD($G407,100)))</f>
        <v/>
      </c>
      <c r="N407" s="15" t="str">
        <f aca="false">IF(OR($A407="",$B407="",$L407="",$M407="",$J407="취소"),"",IF(SUMPRODUCT(($A$3:$A$2002=$A407)*($B$3:$B$2002=$B407)*($J$3:$J$2002&lt;&gt;"취소")*($L$3:$L$2002&lt;&gt;"")*($M$3:$M$2002&lt;&gt;"")*($L$3:$L$2002&lt;$M407)*($M$3:$M$2002&gt;$L407))&gt;1,"중복","-"))</f>
        <v/>
      </c>
    </row>
    <row r="408" customFormat="false" ht="15" hidden="false" customHeight="true" outlineLevel="0" collapsed="false">
      <c r="A408" s="11"/>
      <c r="B408" s="7"/>
      <c r="C408" s="12" t="str">
        <f aca="false">IF($B408="","",IFERROR(INDEX(자원목록!$B$3:$B$102,MATCH($B408,자원목록!$A$3:$A$102,0)),"미등록자원"))</f>
        <v/>
      </c>
      <c r="D408" s="7"/>
      <c r="E408" s="12" t="str">
        <f aca="false">IF($D408="","",IFERROR(INDEX(고객목록!$B$3:$B$502,MATCH($D408,고객목록!$A$3:$A$502,0)),""))</f>
        <v/>
      </c>
      <c r="F408" s="13"/>
      <c r="G408" s="13"/>
      <c r="H408" s="14" t="str">
        <f aca="false">IF(OR($L408="",$M408=""),"",ROUND(($M408-$L408)/60,2))</f>
        <v/>
      </c>
      <c r="I408" s="9"/>
      <c r="J408" s="7"/>
      <c r="K408" s="7"/>
      <c r="L408" s="15" t="str">
        <f aca="false">IF($F408="","",IF($F408&lt;1,ROUND($F408*1440,0),INT($F408/100)*60+MOD($F408,100)))</f>
        <v/>
      </c>
      <c r="M408" s="15" t="str">
        <f aca="false">IF($G408="","",IF($G408&lt;1,ROUND($G408*1440,0),INT($G408/100)*60+MOD($G408,100)))</f>
        <v/>
      </c>
      <c r="N408" s="15" t="str">
        <f aca="false">IF(OR($A408="",$B408="",$L408="",$M408="",$J408="취소"),"",IF(SUMPRODUCT(($A$3:$A$2002=$A408)*($B$3:$B$2002=$B408)*($J$3:$J$2002&lt;&gt;"취소")*($L$3:$L$2002&lt;&gt;"")*($M$3:$M$2002&lt;&gt;"")*($L$3:$L$2002&lt;$M408)*($M$3:$M$2002&gt;$L408))&gt;1,"중복","-"))</f>
        <v/>
      </c>
    </row>
    <row r="409" customFormat="false" ht="15" hidden="false" customHeight="true" outlineLevel="0" collapsed="false">
      <c r="A409" s="11"/>
      <c r="B409" s="7"/>
      <c r="C409" s="12" t="str">
        <f aca="false">IF($B409="","",IFERROR(INDEX(자원목록!$B$3:$B$102,MATCH($B409,자원목록!$A$3:$A$102,0)),"미등록자원"))</f>
        <v/>
      </c>
      <c r="D409" s="7"/>
      <c r="E409" s="12" t="str">
        <f aca="false">IF($D409="","",IFERROR(INDEX(고객목록!$B$3:$B$502,MATCH($D409,고객목록!$A$3:$A$502,0)),""))</f>
        <v/>
      </c>
      <c r="F409" s="13"/>
      <c r="G409" s="13"/>
      <c r="H409" s="14" t="str">
        <f aca="false">IF(OR($L409="",$M409=""),"",ROUND(($M409-$L409)/60,2))</f>
        <v/>
      </c>
      <c r="I409" s="9"/>
      <c r="J409" s="7"/>
      <c r="K409" s="7"/>
      <c r="L409" s="15" t="str">
        <f aca="false">IF($F409="","",IF($F409&lt;1,ROUND($F409*1440,0),INT($F409/100)*60+MOD($F409,100)))</f>
        <v/>
      </c>
      <c r="M409" s="15" t="str">
        <f aca="false">IF($G409="","",IF($G409&lt;1,ROUND($G409*1440,0),INT($G409/100)*60+MOD($G409,100)))</f>
        <v/>
      </c>
      <c r="N409" s="15" t="str">
        <f aca="false">IF(OR($A409="",$B409="",$L409="",$M409="",$J409="취소"),"",IF(SUMPRODUCT(($A$3:$A$2002=$A409)*($B$3:$B$2002=$B409)*($J$3:$J$2002&lt;&gt;"취소")*($L$3:$L$2002&lt;&gt;"")*($M$3:$M$2002&lt;&gt;"")*($L$3:$L$2002&lt;$M409)*($M$3:$M$2002&gt;$L409))&gt;1,"중복","-"))</f>
        <v/>
      </c>
    </row>
    <row r="410" customFormat="false" ht="15" hidden="false" customHeight="true" outlineLevel="0" collapsed="false">
      <c r="A410" s="11"/>
      <c r="B410" s="7"/>
      <c r="C410" s="12" t="str">
        <f aca="false">IF($B410="","",IFERROR(INDEX(자원목록!$B$3:$B$102,MATCH($B410,자원목록!$A$3:$A$102,0)),"미등록자원"))</f>
        <v/>
      </c>
      <c r="D410" s="7"/>
      <c r="E410" s="12" t="str">
        <f aca="false">IF($D410="","",IFERROR(INDEX(고객목록!$B$3:$B$502,MATCH($D410,고객목록!$A$3:$A$502,0)),""))</f>
        <v/>
      </c>
      <c r="F410" s="13"/>
      <c r="G410" s="13"/>
      <c r="H410" s="14" t="str">
        <f aca="false">IF(OR($L410="",$M410=""),"",ROUND(($M410-$L410)/60,2))</f>
        <v/>
      </c>
      <c r="I410" s="9"/>
      <c r="J410" s="7"/>
      <c r="K410" s="7"/>
      <c r="L410" s="15" t="str">
        <f aca="false">IF($F410="","",IF($F410&lt;1,ROUND($F410*1440,0),INT($F410/100)*60+MOD($F410,100)))</f>
        <v/>
      </c>
      <c r="M410" s="15" t="str">
        <f aca="false">IF($G410="","",IF($G410&lt;1,ROUND($G410*1440,0),INT($G410/100)*60+MOD($G410,100)))</f>
        <v/>
      </c>
      <c r="N410" s="15" t="str">
        <f aca="false">IF(OR($A410="",$B410="",$L410="",$M410="",$J410="취소"),"",IF(SUMPRODUCT(($A$3:$A$2002=$A410)*($B$3:$B$2002=$B410)*($J$3:$J$2002&lt;&gt;"취소")*($L$3:$L$2002&lt;&gt;"")*($M$3:$M$2002&lt;&gt;"")*($L$3:$L$2002&lt;$M410)*($M$3:$M$2002&gt;$L410))&gt;1,"중복","-"))</f>
        <v/>
      </c>
    </row>
    <row r="411" customFormat="false" ht="15" hidden="false" customHeight="true" outlineLevel="0" collapsed="false">
      <c r="A411" s="11"/>
      <c r="B411" s="7"/>
      <c r="C411" s="12" t="str">
        <f aca="false">IF($B411="","",IFERROR(INDEX(자원목록!$B$3:$B$102,MATCH($B411,자원목록!$A$3:$A$102,0)),"미등록자원"))</f>
        <v/>
      </c>
      <c r="D411" s="7"/>
      <c r="E411" s="12" t="str">
        <f aca="false">IF($D411="","",IFERROR(INDEX(고객목록!$B$3:$B$502,MATCH($D411,고객목록!$A$3:$A$502,0)),""))</f>
        <v/>
      </c>
      <c r="F411" s="13"/>
      <c r="G411" s="13"/>
      <c r="H411" s="14" t="str">
        <f aca="false">IF(OR($L411="",$M411=""),"",ROUND(($M411-$L411)/60,2))</f>
        <v/>
      </c>
      <c r="I411" s="9"/>
      <c r="J411" s="7"/>
      <c r="K411" s="7"/>
      <c r="L411" s="15" t="str">
        <f aca="false">IF($F411="","",IF($F411&lt;1,ROUND($F411*1440,0),INT($F411/100)*60+MOD($F411,100)))</f>
        <v/>
      </c>
      <c r="M411" s="15" t="str">
        <f aca="false">IF($G411="","",IF($G411&lt;1,ROUND($G411*1440,0),INT($G411/100)*60+MOD($G411,100)))</f>
        <v/>
      </c>
      <c r="N411" s="15" t="str">
        <f aca="false">IF(OR($A411="",$B411="",$L411="",$M411="",$J411="취소"),"",IF(SUMPRODUCT(($A$3:$A$2002=$A411)*($B$3:$B$2002=$B411)*($J$3:$J$2002&lt;&gt;"취소")*($L$3:$L$2002&lt;&gt;"")*($M$3:$M$2002&lt;&gt;"")*($L$3:$L$2002&lt;$M411)*($M$3:$M$2002&gt;$L411))&gt;1,"중복","-"))</f>
        <v/>
      </c>
    </row>
    <row r="412" customFormat="false" ht="15" hidden="false" customHeight="true" outlineLevel="0" collapsed="false">
      <c r="A412" s="11"/>
      <c r="B412" s="7"/>
      <c r="C412" s="12" t="str">
        <f aca="false">IF($B412="","",IFERROR(INDEX(자원목록!$B$3:$B$102,MATCH($B412,자원목록!$A$3:$A$102,0)),"미등록자원"))</f>
        <v/>
      </c>
      <c r="D412" s="7"/>
      <c r="E412" s="12" t="str">
        <f aca="false">IF($D412="","",IFERROR(INDEX(고객목록!$B$3:$B$502,MATCH($D412,고객목록!$A$3:$A$502,0)),""))</f>
        <v/>
      </c>
      <c r="F412" s="13"/>
      <c r="G412" s="13"/>
      <c r="H412" s="14" t="str">
        <f aca="false">IF(OR($L412="",$M412=""),"",ROUND(($M412-$L412)/60,2))</f>
        <v/>
      </c>
      <c r="I412" s="9"/>
      <c r="J412" s="7"/>
      <c r="K412" s="7"/>
      <c r="L412" s="15" t="str">
        <f aca="false">IF($F412="","",IF($F412&lt;1,ROUND($F412*1440,0),INT($F412/100)*60+MOD($F412,100)))</f>
        <v/>
      </c>
      <c r="M412" s="15" t="str">
        <f aca="false">IF($G412="","",IF($G412&lt;1,ROUND($G412*1440,0),INT($G412/100)*60+MOD($G412,100)))</f>
        <v/>
      </c>
      <c r="N412" s="15" t="str">
        <f aca="false">IF(OR($A412="",$B412="",$L412="",$M412="",$J412="취소"),"",IF(SUMPRODUCT(($A$3:$A$2002=$A412)*($B$3:$B$2002=$B412)*($J$3:$J$2002&lt;&gt;"취소")*($L$3:$L$2002&lt;&gt;"")*($M$3:$M$2002&lt;&gt;"")*($L$3:$L$2002&lt;$M412)*($M$3:$M$2002&gt;$L412))&gt;1,"중복","-"))</f>
        <v/>
      </c>
    </row>
    <row r="413" customFormat="false" ht="15" hidden="false" customHeight="true" outlineLevel="0" collapsed="false">
      <c r="A413" s="11"/>
      <c r="B413" s="7"/>
      <c r="C413" s="12" t="str">
        <f aca="false">IF($B413="","",IFERROR(INDEX(자원목록!$B$3:$B$102,MATCH($B413,자원목록!$A$3:$A$102,0)),"미등록자원"))</f>
        <v/>
      </c>
      <c r="D413" s="7"/>
      <c r="E413" s="12" t="str">
        <f aca="false">IF($D413="","",IFERROR(INDEX(고객목록!$B$3:$B$502,MATCH($D413,고객목록!$A$3:$A$502,0)),""))</f>
        <v/>
      </c>
      <c r="F413" s="13"/>
      <c r="G413" s="13"/>
      <c r="H413" s="14" t="str">
        <f aca="false">IF(OR($L413="",$M413=""),"",ROUND(($M413-$L413)/60,2))</f>
        <v/>
      </c>
      <c r="I413" s="9"/>
      <c r="J413" s="7"/>
      <c r="K413" s="7"/>
      <c r="L413" s="15" t="str">
        <f aca="false">IF($F413="","",IF($F413&lt;1,ROUND($F413*1440,0),INT($F413/100)*60+MOD($F413,100)))</f>
        <v/>
      </c>
      <c r="M413" s="15" t="str">
        <f aca="false">IF($G413="","",IF($G413&lt;1,ROUND($G413*1440,0),INT($G413/100)*60+MOD($G413,100)))</f>
        <v/>
      </c>
      <c r="N413" s="15" t="str">
        <f aca="false">IF(OR($A413="",$B413="",$L413="",$M413="",$J413="취소"),"",IF(SUMPRODUCT(($A$3:$A$2002=$A413)*($B$3:$B$2002=$B413)*($J$3:$J$2002&lt;&gt;"취소")*($L$3:$L$2002&lt;&gt;"")*($M$3:$M$2002&lt;&gt;"")*($L$3:$L$2002&lt;$M413)*($M$3:$M$2002&gt;$L413))&gt;1,"중복","-"))</f>
        <v/>
      </c>
    </row>
    <row r="414" customFormat="false" ht="15" hidden="false" customHeight="true" outlineLevel="0" collapsed="false">
      <c r="A414" s="11"/>
      <c r="B414" s="7"/>
      <c r="C414" s="12" t="str">
        <f aca="false">IF($B414="","",IFERROR(INDEX(자원목록!$B$3:$B$102,MATCH($B414,자원목록!$A$3:$A$102,0)),"미등록자원"))</f>
        <v/>
      </c>
      <c r="D414" s="7"/>
      <c r="E414" s="12" t="str">
        <f aca="false">IF($D414="","",IFERROR(INDEX(고객목록!$B$3:$B$502,MATCH($D414,고객목록!$A$3:$A$502,0)),""))</f>
        <v/>
      </c>
      <c r="F414" s="13"/>
      <c r="G414" s="13"/>
      <c r="H414" s="14" t="str">
        <f aca="false">IF(OR($L414="",$M414=""),"",ROUND(($M414-$L414)/60,2))</f>
        <v/>
      </c>
      <c r="I414" s="9"/>
      <c r="J414" s="7"/>
      <c r="K414" s="7"/>
      <c r="L414" s="15" t="str">
        <f aca="false">IF($F414="","",IF($F414&lt;1,ROUND($F414*1440,0),INT($F414/100)*60+MOD($F414,100)))</f>
        <v/>
      </c>
      <c r="M414" s="15" t="str">
        <f aca="false">IF($G414="","",IF($G414&lt;1,ROUND($G414*1440,0),INT($G414/100)*60+MOD($G414,100)))</f>
        <v/>
      </c>
      <c r="N414" s="15" t="str">
        <f aca="false">IF(OR($A414="",$B414="",$L414="",$M414="",$J414="취소"),"",IF(SUMPRODUCT(($A$3:$A$2002=$A414)*($B$3:$B$2002=$B414)*($J$3:$J$2002&lt;&gt;"취소")*($L$3:$L$2002&lt;&gt;"")*($M$3:$M$2002&lt;&gt;"")*($L$3:$L$2002&lt;$M414)*($M$3:$M$2002&gt;$L414))&gt;1,"중복","-"))</f>
        <v/>
      </c>
    </row>
    <row r="415" customFormat="false" ht="15" hidden="false" customHeight="true" outlineLevel="0" collapsed="false">
      <c r="A415" s="11"/>
      <c r="B415" s="7"/>
      <c r="C415" s="12" t="str">
        <f aca="false">IF($B415="","",IFERROR(INDEX(자원목록!$B$3:$B$102,MATCH($B415,자원목록!$A$3:$A$102,0)),"미등록자원"))</f>
        <v/>
      </c>
      <c r="D415" s="7"/>
      <c r="E415" s="12" t="str">
        <f aca="false">IF($D415="","",IFERROR(INDEX(고객목록!$B$3:$B$502,MATCH($D415,고객목록!$A$3:$A$502,0)),""))</f>
        <v/>
      </c>
      <c r="F415" s="13"/>
      <c r="G415" s="13"/>
      <c r="H415" s="14" t="str">
        <f aca="false">IF(OR($L415="",$M415=""),"",ROUND(($M415-$L415)/60,2))</f>
        <v/>
      </c>
      <c r="I415" s="9"/>
      <c r="J415" s="7"/>
      <c r="K415" s="7"/>
      <c r="L415" s="15" t="str">
        <f aca="false">IF($F415="","",IF($F415&lt;1,ROUND($F415*1440,0),INT($F415/100)*60+MOD($F415,100)))</f>
        <v/>
      </c>
      <c r="M415" s="15" t="str">
        <f aca="false">IF($G415="","",IF($G415&lt;1,ROUND($G415*1440,0),INT($G415/100)*60+MOD($G415,100)))</f>
        <v/>
      </c>
      <c r="N415" s="15" t="str">
        <f aca="false">IF(OR($A415="",$B415="",$L415="",$M415="",$J415="취소"),"",IF(SUMPRODUCT(($A$3:$A$2002=$A415)*($B$3:$B$2002=$B415)*($J$3:$J$2002&lt;&gt;"취소")*($L$3:$L$2002&lt;&gt;"")*($M$3:$M$2002&lt;&gt;"")*($L$3:$L$2002&lt;$M415)*($M$3:$M$2002&gt;$L415))&gt;1,"중복","-"))</f>
        <v/>
      </c>
    </row>
    <row r="416" customFormat="false" ht="15" hidden="false" customHeight="true" outlineLevel="0" collapsed="false">
      <c r="A416" s="11"/>
      <c r="B416" s="7"/>
      <c r="C416" s="12" t="str">
        <f aca="false">IF($B416="","",IFERROR(INDEX(자원목록!$B$3:$B$102,MATCH($B416,자원목록!$A$3:$A$102,0)),"미등록자원"))</f>
        <v/>
      </c>
      <c r="D416" s="7"/>
      <c r="E416" s="12" t="str">
        <f aca="false">IF($D416="","",IFERROR(INDEX(고객목록!$B$3:$B$502,MATCH($D416,고객목록!$A$3:$A$502,0)),""))</f>
        <v/>
      </c>
      <c r="F416" s="13"/>
      <c r="G416" s="13"/>
      <c r="H416" s="14" t="str">
        <f aca="false">IF(OR($L416="",$M416=""),"",ROUND(($M416-$L416)/60,2))</f>
        <v/>
      </c>
      <c r="I416" s="9"/>
      <c r="J416" s="7"/>
      <c r="K416" s="7"/>
      <c r="L416" s="15" t="str">
        <f aca="false">IF($F416="","",IF($F416&lt;1,ROUND($F416*1440,0),INT($F416/100)*60+MOD($F416,100)))</f>
        <v/>
      </c>
      <c r="M416" s="15" t="str">
        <f aca="false">IF($G416="","",IF($G416&lt;1,ROUND($G416*1440,0),INT($G416/100)*60+MOD($G416,100)))</f>
        <v/>
      </c>
      <c r="N416" s="15" t="str">
        <f aca="false">IF(OR($A416="",$B416="",$L416="",$M416="",$J416="취소"),"",IF(SUMPRODUCT(($A$3:$A$2002=$A416)*($B$3:$B$2002=$B416)*($J$3:$J$2002&lt;&gt;"취소")*($L$3:$L$2002&lt;&gt;"")*($M$3:$M$2002&lt;&gt;"")*($L$3:$L$2002&lt;$M416)*($M$3:$M$2002&gt;$L416))&gt;1,"중복","-"))</f>
        <v/>
      </c>
    </row>
    <row r="417" customFormat="false" ht="15" hidden="false" customHeight="true" outlineLevel="0" collapsed="false">
      <c r="A417" s="11"/>
      <c r="B417" s="7"/>
      <c r="C417" s="12" t="str">
        <f aca="false">IF($B417="","",IFERROR(INDEX(자원목록!$B$3:$B$102,MATCH($B417,자원목록!$A$3:$A$102,0)),"미등록자원"))</f>
        <v/>
      </c>
      <c r="D417" s="7"/>
      <c r="E417" s="12" t="str">
        <f aca="false">IF($D417="","",IFERROR(INDEX(고객목록!$B$3:$B$502,MATCH($D417,고객목록!$A$3:$A$502,0)),""))</f>
        <v/>
      </c>
      <c r="F417" s="13"/>
      <c r="G417" s="13"/>
      <c r="H417" s="14" t="str">
        <f aca="false">IF(OR($L417="",$M417=""),"",ROUND(($M417-$L417)/60,2))</f>
        <v/>
      </c>
      <c r="I417" s="9"/>
      <c r="J417" s="7"/>
      <c r="K417" s="7"/>
      <c r="L417" s="15" t="str">
        <f aca="false">IF($F417="","",IF($F417&lt;1,ROUND($F417*1440,0),INT($F417/100)*60+MOD($F417,100)))</f>
        <v/>
      </c>
      <c r="M417" s="15" t="str">
        <f aca="false">IF($G417="","",IF($G417&lt;1,ROUND($G417*1440,0),INT($G417/100)*60+MOD($G417,100)))</f>
        <v/>
      </c>
      <c r="N417" s="15" t="str">
        <f aca="false">IF(OR($A417="",$B417="",$L417="",$M417="",$J417="취소"),"",IF(SUMPRODUCT(($A$3:$A$2002=$A417)*($B$3:$B$2002=$B417)*($J$3:$J$2002&lt;&gt;"취소")*($L$3:$L$2002&lt;&gt;"")*($M$3:$M$2002&lt;&gt;"")*($L$3:$L$2002&lt;$M417)*($M$3:$M$2002&gt;$L417))&gt;1,"중복","-"))</f>
        <v/>
      </c>
    </row>
    <row r="418" customFormat="false" ht="15" hidden="false" customHeight="true" outlineLevel="0" collapsed="false">
      <c r="A418" s="11"/>
      <c r="B418" s="7"/>
      <c r="C418" s="12" t="str">
        <f aca="false">IF($B418="","",IFERROR(INDEX(자원목록!$B$3:$B$102,MATCH($B418,자원목록!$A$3:$A$102,0)),"미등록자원"))</f>
        <v/>
      </c>
      <c r="D418" s="7"/>
      <c r="E418" s="12" t="str">
        <f aca="false">IF($D418="","",IFERROR(INDEX(고객목록!$B$3:$B$502,MATCH($D418,고객목록!$A$3:$A$502,0)),""))</f>
        <v/>
      </c>
      <c r="F418" s="13"/>
      <c r="G418" s="13"/>
      <c r="H418" s="14" t="str">
        <f aca="false">IF(OR($L418="",$M418=""),"",ROUND(($M418-$L418)/60,2))</f>
        <v/>
      </c>
      <c r="I418" s="9"/>
      <c r="J418" s="7"/>
      <c r="K418" s="7"/>
      <c r="L418" s="15" t="str">
        <f aca="false">IF($F418="","",IF($F418&lt;1,ROUND($F418*1440,0),INT($F418/100)*60+MOD($F418,100)))</f>
        <v/>
      </c>
      <c r="M418" s="15" t="str">
        <f aca="false">IF($G418="","",IF($G418&lt;1,ROUND($G418*1440,0),INT($G418/100)*60+MOD($G418,100)))</f>
        <v/>
      </c>
      <c r="N418" s="15" t="str">
        <f aca="false">IF(OR($A418="",$B418="",$L418="",$M418="",$J418="취소"),"",IF(SUMPRODUCT(($A$3:$A$2002=$A418)*($B$3:$B$2002=$B418)*($J$3:$J$2002&lt;&gt;"취소")*($L$3:$L$2002&lt;&gt;"")*($M$3:$M$2002&lt;&gt;"")*($L$3:$L$2002&lt;$M418)*($M$3:$M$2002&gt;$L418))&gt;1,"중복","-"))</f>
        <v/>
      </c>
    </row>
    <row r="419" customFormat="false" ht="15" hidden="false" customHeight="true" outlineLevel="0" collapsed="false">
      <c r="A419" s="11"/>
      <c r="B419" s="7"/>
      <c r="C419" s="12" t="str">
        <f aca="false">IF($B419="","",IFERROR(INDEX(자원목록!$B$3:$B$102,MATCH($B419,자원목록!$A$3:$A$102,0)),"미등록자원"))</f>
        <v/>
      </c>
      <c r="D419" s="7"/>
      <c r="E419" s="12" t="str">
        <f aca="false">IF($D419="","",IFERROR(INDEX(고객목록!$B$3:$B$502,MATCH($D419,고객목록!$A$3:$A$502,0)),""))</f>
        <v/>
      </c>
      <c r="F419" s="13"/>
      <c r="G419" s="13"/>
      <c r="H419" s="14" t="str">
        <f aca="false">IF(OR($L419="",$M419=""),"",ROUND(($M419-$L419)/60,2))</f>
        <v/>
      </c>
      <c r="I419" s="9"/>
      <c r="J419" s="7"/>
      <c r="K419" s="7"/>
      <c r="L419" s="15" t="str">
        <f aca="false">IF($F419="","",IF($F419&lt;1,ROUND($F419*1440,0),INT($F419/100)*60+MOD($F419,100)))</f>
        <v/>
      </c>
      <c r="M419" s="15" t="str">
        <f aca="false">IF($G419="","",IF($G419&lt;1,ROUND($G419*1440,0),INT($G419/100)*60+MOD($G419,100)))</f>
        <v/>
      </c>
      <c r="N419" s="15" t="str">
        <f aca="false">IF(OR($A419="",$B419="",$L419="",$M419="",$J419="취소"),"",IF(SUMPRODUCT(($A$3:$A$2002=$A419)*($B$3:$B$2002=$B419)*($J$3:$J$2002&lt;&gt;"취소")*($L$3:$L$2002&lt;&gt;"")*($M$3:$M$2002&lt;&gt;"")*($L$3:$L$2002&lt;$M419)*($M$3:$M$2002&gt;$L419))&gt;1,"중복","-"))</f>
        <v/>
      </c>
    </row>
    <row r="420" customFormat="false" ht="15" hidden="false" customHeight="true" outlineLevel="0" collapsed="false">
      <c r="A420" s="11"/>
      <c r="B420" s="7"/>
      <c r="C420" s="12" t="str">
        <f aca="false">IF($B420="","",IFERROR(INDEX(자원목록!$B$3:$B$102,MATCH($B420,자원목록!$A$3:$A$102,0)),"미등록자원"))</f>
        <v/>
      </c>
      <c r="D420" s="7"/>
      <c r="E420" s="12" t="str">
        <f aca="false">IF($D420="","",IFERROR(INDEX(고객목록!$B$3:$B$502,MATCH($D420,고객목록!$A$3:$A$502,0)),""))</f>
        <v/>
      </c>
      <c r="F420" s="13"/>
      <c r="G420" s="13"/>
      <c r="H420" s="14" t="str">
        <f aca="false">IF(OR($L420="",$M420=""),"",ROUND(($M420-$L420)/60,2))</f>
        <v/>
      </c>
      <c r="I420" s="9"/>
      <c r="J420" s="7"/>
      <c r="K420" s="7"/>
      <c r="L420" s="15" t="str">
        <f aca="false">IF($F420="","",IF($F420&lt;1,ROUND($F420*1440,0),INT($F420/100)*60+MOD($F420,100)))</f>
        <v/>
      </c>
      <c r="M420" s="15" t="str">
        <f aca="false">IF($G420="","",IF($G420&lt;1,ROUND($G420*1440,0),INT($G420/100)*60+MOD($G420,100)))</f>
        <v/>
      </c>
      <c r="N420" s="15" t="str">
        <f aca="false">IF(OR($A420="",$B420="",$L420="",$M420="",$J420="취소"),"",IF(SUMPRODUCT(($A$3:$A$2002=$A420)*($B$3:$B$2002=$B420)*($J$3:$J$2002&lt;&gt;"취소")*($L$3:$L$2002&lt;&gt;"")*($M$3:$M$2002&lt;&gt;"")*($L$3:$L$2002&lt;$M420)*($M$3:$M$2002&gt;$L420))&gt;1,"중복","-"))</f>
        <v/>
      </c>
    </row>
    <row r="421" customFormat="false" ht="15" hidden="false" customHeight="true" outlineLevel="0" collapsed="false">
      <c r="A421" s="11"/>
      <c r="B421" s="7"/>
      <c r="C421" s="12" t="str">
        <f aca="false">IF($B421="","",IFERROR(INDEX(자원목록!$B$3:$B$102,MATCH($B421,자원목록!$A$3:$A$102,0)),"미등록자원"))</f>
        <v/>
      </c>
      <c r="D421" s="7"/>
      <c r="E421" s="12" t="str">
        <f aca="false">IF($D421="","",IFERROR(INDEX(고객목록!$B$3:$B$502,MATCH($D421,고객목록!$A$3:$A$502,0)),""))</f>
        <v/>
      </c>
      <c r="F421" s="13"/>
      <c r="G421" s="13"/>
      <c r="H421" s="14" t="str">
        <f aca="false">IF(OR($L421="",$M421=""),"",ROUND(($M421-$L421)/60,2))</f>
        <v/>
      </c>
      <c r="I421" s="9"/>
      <c r="J421" s="7"/>
      <c r="K421" s="7"/>
      <c r="L421" s="15" t="str">
        <f aca="false">IF($F421="","",IF($F421&lt;1,ROUND($F421*1440,0),INT($F421/100)*60+MOD($F421,100)))</f>
        <v/>
      </c>
      <c r="M421" s="15" t="str">
        <f aca="false">IF($G421="","",IF($G421&lt;1,ROUND($G421*1440,0),INT($G421/100)*60+MOD($G421,100)))</f>
        <v/>
      </c>
      <c r="N421" s="15" t="str">
        <f aca="false">IF(OR($A421="",$B421="",$L421="",$M421="",$J421="취소"),"",IF(SUMPRODUCT(($A$3:$A$2002=$A421)*($B$3:$B$2002=$B421)*($J$3:$J$2002&lt;&gt;"취소")*($L$3:$L$2002&lt;&gt;"")*($M$3:$M$2002&lt;&gt;"")*($L$3:$L$2002&lt;$M421)*($M$3:$M$2002&gt;$L421))&gt;1,"중복","-"))</f>
        <v/>
      </c>
    </row>
    <row r="422" customFormat="false" ht="15" hidden="false" customHeight="true" outlineLevel="0" collapsed="false">
      <c r="A422" s="11"/>
      <c r="B422" s="7"/>
      <c r="C422" s="12" t="str">
        <f aca="false">IF($B422="","",IFERROR(INDEX(자원목록!$B$3:$B$102,MATCH($B422,자원목록!$A$3:$A$102,0)),"미등록자원"))</f>
        <v/>
      </c>
      <c r="D422" s="7"/>
      <c r="E422" s="12" t="str">
        <f aca="false">IF($D422="","",IFERROR(INDEX(고객목록!$B$3:$B$502,MATCH($D422,고객목록!$A$3:$A$502,0)),""))</f>
        <v/>
      </c>
      <c r="F422" s="13"/>
      <c r="G422" s="13"/>
      <c r="H422" s="14" t="str">
        <f aca="false">IF(OR($L422="",$M422=""),"",ROUND(($M422-$L422)/60,2))</f>
        <v/>
      </c>
      <c r="I422" s="9"/>
      <c r="J422" s="7"/>
      <c r="K422" s="7"/>
      <c r="L422" s="15" t="str">
        <f aca="false">IF($F422="","",IF($F422&lt;1,ROUND($F422*1440,0),INT($F422/100)*60+MOD($F422,100)))</f>
        <v/>
      </c>
      <c r="M422" s="15" t="str">
        <f aca="false">IF($G422="","",IF($G422&lt;1,ROUND($G422*1440,0),INT($G422/100)*60+MOD($G422,100)))</f>
        <v/>
      </c>
      <c r="N422" s="15" t="str">
        <f aca="false">IF(OR($A422="",$B422="",$L422="",$M422="",$J422="취소"),"",IF(SUMPRODUCT(($A$3:$A$2002=$A422)*($B$3:$B$2002=$B422)*($J$3:$J$2002&lt;&gt;"취소")*($L$3:$L$2002&lt;&gt;"")*($M$3:$M$2002&lt;&gt;"")*($L$3:$L$2002&lt;$M422)*($M$3:$M$2002&gt;$L422))&gt;1,"중복","-"))</f>
        <v/>
      </c>
    </row>
    <row r="423" customFormat="false" ht="15" hidden="false" customHeight="true" outlineLevel="0" collapsed="false">
      <c r="A423" s="11"/>
      <c r="B423" s="7"/>
      <c r="C423" s="12" t="str">
        <f aca="false">IF($B423="","",IFERROR(INDEX(자원목록!$B$3:$B$102,MATCH($B423,자원목록!$A$3:$A$102,0)),"미등록자원"))</f>
        <v/>
      </c>
      <c r="D423" s="7"/>
      <c r="E423" s="12" t="str">
        <f aca="false">IF($D423="","",IFERROR(INDEX(고객목록!$B$3:$B$502,MATCH($D423,고객목록!$A$3:$A$502,0)),""))</f>
        <v/>
      </c>
      <c r="F423" s="13"/>
      <c r="G423" s="13"/>
      <c r="H423" s="14" t="str">
        <f aca="false">IF(OR($L423="",$M423=""),"",ROUND(($M423-$L423)/60,2))</f>
        <v/>
      </c>
      <c r="I423" s="9"/>
      <c r="J423" s="7"/>
      <c r="K423" s="7"/>
      <c r="L423" s="15" t="str">
        <f aca="false">IF($F423="","",IF($F423&lt;1,ROUND($F423*1440,0),INT($F423/100)*60+MOD($F423,100)))</f>
        <v/>
      </c>
      <c r="M423" s="15" t="str">
        <f aca="false">IF($G423="","",IF($G423&lt;1,ROUND($G423*1440,0),INT($G423/100)*60+MOD($G423,100)))</f>
        <v/>
      </c>
      <c r="N423" s="15" t="str">
        <f aca="false">IF(OR($A423="",$B423="",$L423="",$M423="",$J423="취소"),"",IF(SUMPRODUCT(($A$3:$A$2002=$A423)*($B$3:$B$2002=$B423)*($J$3:$J$2002&lt;&gt;"취소")*($L$3:$L$2002&lt;&gt;"")*($M$3:$M$2002&lt;&gt;"")*($L$3:$L$2002&lt;$M423)*($M$3:$M$2002&gt;$L423))&gt;1,"중복","-"))</f>
        <v/>
      </c>
    </row>
    <row r="424" customFormat="false" ht="15" hidden="false" customHeight="true" outlineLevel="0" collapsed="false">
      <c r="A424" s="11"/>
      <c r="B424" s="7"/>
      <c r="C424" s="12" t="str">
        <f aca="false">IF($B424="","",IFERROR(INDEX(자원목록!$B$3:$B$102,MATCH($B424,자원목록!$A$3:$A$102,0)),"미등록자원"))</f>
        <v/>
      </c>
      <c r="D424" s="7"/>
      <c r="E424" s="12" t="str">
        <f aca="false">IF($D424="","",IFERROR(INDEX(고객목록!$B$3:$B$502,MATCH($D424,고객목록!$A$3:$A$502,0)),""))</f>
        <v/>
      </c>
      <c r="F424" s="13"/>
      <c r="G424" s="13"/>
      <c r="H424" s="14" t="str">
        <f aca="false">IF(OR($L424="",$M424=""),"",ROUND(($M424-$L424)/60,2))</f>
        <v/>
      </c>
      <c r="I424" s="9"/>
      <c r="J424" s="7"/>
      <c r="K424" s="7"/>
      <c r="L424" s="15" t="str">
        <f aca="false">IF($F424="","",IF($F424&lt;1,ROUND($F424*1440,0),INT($F424/100)*60+MOD($F424,100)))</f>
        <v/>
      </c>
      <c r="M424" s="15" t="str">
        <f aca="false">IF($G424="","",IF($G424&lt;1,ROUND($G424*1440,0),INT($G424/100)*60+MOD($G424,100)))</f>
        <v/>
      </c>
      <c r="N424" s="15" t="str">
        <f aca="false">IF(OR($A424="",$B424="",$L424="",$M424="",$J424="취소"),"",IF(SUMPRODUCT(($A$3:$A$2002=$A424)*($B$3:$B$2002=$B424)*($J$3:$J$2002&lt;&gt;"취소")*($L$3:$L$2002&lt;&gt;"")*($M$3:$M$2002&lt;&gt;"")*($L$3:$L$2002&lt;$M424)*($M$3:$M$2002&gt;$L424))&gt;1,"중복","-"))</f>
        <v/>
      </c>
    </row>
    <row r="425" customFormat="false" ht="15" hidden="false" customHeight="true" outlineLevel="0" collapsed="false">
      <c r="A425" s="11"/>
      <c r="B425" s="7"/>
      <c r="C425" s="12" t="str">
        <f aca="false">IF($B425="","",IFERROR(INDEX(자원목록!$B$3:$B$102,MATCH($B425,자원목록!$A$3:$A$102,0)),"미등록자원"))</f>
        <v/>
      </c>
      <c r="D425" s="7"/>
      <c r="E425" s="12" t="str">
        <f aca="false">IF($D425="","",IFERROR(INDEX(고객목록!$B$3:$B$502,MATCH($D425,고객목록!$A$3:$A$502,0)),""))</f>
        <v/>
      </c>
      <c r="F425" s="13"/>
      <c r="G425" s="13"/>
      <c r="H425" s="14" t="str">
        <f aca="false">IF(OR($L425="",$M425=""),"",ROUND(($M425-$L425)/60,2))</f>
        <v/>
      </c>
      <c r="I425" s="9"/>
      <c r="J425" s="7"/>
      <c r="K425" s="7"/>
      <c r="L425" s="15" t="str">
        <f aca="false">IF($F425="","",IF($F425&lt;1,ROUND($F425*1440,0),INT($F425/100)*60+MOD($F425,100)))</f>
        <v/>
      </c>
      <c r="M425" s="15" t="str">
        <f aca="false">IF($G425="","",IF($G425&lt;1,ROUND($G425*1440,0),INT($G425/100)*60+MOD($G425,100)))</f>
        <v/>
      </c>
      <c r="N425" s="15" t="str">
        <f aca="false">IF(OR($A425="",$B425="",$L425="",$M425="",$J425="취소"),"",IF(SUMPRODUCT(($A$3:$A$2002=$A425)*($B$3:$B$2002=$B425)*($J$3:$J$2002&lt;&gt;"취소")*($L$3:$L$2002&lt;&gt;"")*($M$3:$M$2002&lt;&gt;"")*($L$3:$L$2002&lt;$M425)*($M$3:$M$2002&gt;$L425))&gt;1,"중복","-"))</f>
        <v/>
      </c>
    </row>
    <row r="426" customFormat="false" ht="15" hidden="false" customHeight="true" outlineLevel="0" collapsed="false">
      <c r="A426" s="11"/>
      <c r="B426" s="7"/>
      <c r="C426" s="12" t="str">
        <f aca="false">IF($B426="","",IFERROR(INDEX(자원목록!$B$3:$B$102,MATCH($B426,자원목록!$A$3:$A$102,0)),"미등록자원"))</f>
        <v/>
      </c>
      <c r="D426" s="7"/>
      <c r="E426" s="12" t="str">
        <f aca="false">IF($D426="","",IFERROR(INDEX(고객목록!$B$3:$B$502,MATCH($D426,고객목록!$A$3:$A$502,0)),""))</f>
        <v/>
      </c>
      <c r="F426" s="13"/>
      <c r="G426" s="13"/>
      <c r="H426" s="14" t="str">
        <f aca="false">IF(OR($L426="",$M426=""),"",ROUND(($M426-$L426)/60,2))</f>
        <v/>
      </c>
      <c r="I426" s="9"/>
      <c r="J426" s="7"/>
      <c r="K426" s="7"/>
      <c r="L426" s="15" t="str">
        <f aca="false">IF($F426="","",IF($F426&lt;1,ROUND($F426*1440,0),INT($F426/100)*60+MOD($F426,100)))</f>
        <v/>
      </c>
      <c r="M426" s="15" t="str">
        <f aca="false">IF($G426="","",IF($G426&lt;1,ROUND($G426*1440,0),INT($G426/100)*60+MOD($G426,100)))</f>
        <v/>
      </c>
      <c r="N426" s="15" t="str">
        <f aca="false">IF(OR($A426="",$B426="",$L426="",$M426="",$J426="취소"),"",IF(SUMPRODUCT(($A$3:$A$2002=$A426)*($B$3:$B$2002=$B426)*($J$3:$J$2002&lt;&gt;"취소")*($L$3:$L$2002&lt;&gt;"")*($M$3:$M$2002&lt;&gt;"")*($L$3:$L$2002&lt;$M426)*($M$3:$M$2002&gt;$L426))&gt;1,"중복","-"))</f>
        <v/>
      </c>
    </row>
    <row r="427" customFormat="false" ht="15" hidden="false" customHeight="true" outlineLevel="0" collapsed="false">
      <c r="A427" s="11"/>
      <c r="B427" s="7"/>
      <c r="C427" s="12" t="str">
        <f aca="false">IF($B427="","",IFERROR(INDEX(자원목록!$B$3:$B$102,MATCH($B427,자원목록!$A$3:$A$102,0)),"미등록자원"))</f>
        <v/>
      </c>
      <c r="D427" s="7"/>
      <c r="E427" s="12" t="str">
        <f aca="false">IF($D427="","",IFERROR(INDEX(고객목록!$B$3:$B$502,MATCH($D427,고객목록!$A$3:$A$502,0)),""))</f>
        <v/>
      </c>
      <c r="F427" s="13"/>
      <c r="G427" s="13"/>
      <c r="H427" s="14" t="str">
        <f aca="false">IF(OR($L427="",$M427=""),"",ROUND(($M427-$L427)/60,2))</f>
        <v/>
      </c>
      <c r="I427" s="9"/>
      <c r="J427" s="7"/>
      <c r="K427" s="7"/>
      <c r="L427" s="15" t="str">
        <f aca="false">IF($F427="","",IF($F427&lt;1,ROUND($F427*1440,0),INT($F427/100)*60+MOD($F427,100)))</f>
        <v/>
      </c>
      <c r="M427" s="15" t="str">
        <f aca="false">IF($G427="","",IF($G427&lt;1,ROUND($G427*1440,0),INT($G427/100)*60+MOD($G427,100)))</f>
        <v/>
      </c>
      <c r="N427" s="15" t="str">
        <f aca="false">IF(OR($A427="",$B427="",$L427="",$M427="",$J427="취소"),"",IF(SUMPRODUCT(($A$3:$A$2002=$A427)*($B$3:$B$2002=$B427)*($J$3:$J$2002&lt;&gt;"취소")*($L$3:$L$2002&lt;&gt;"")*($M$3:$M$2002&lt;&gt;"")*($L$3:$L$2002&lt;$M427)*($M$3:$M$2002&gt;$L427))&gt;1,"중복","-"))</f>
        <v/>
      </c>
    </row>
    <row r="428" customFormat="false" ht="15" hidden="false" customHeight="true" outlineLevel="0" collapsed="false">
      <c r="A428" s="11"/>
      <c r="B428" s="7"/>
      <c r="C428" s="12" t="str">
        <f aca="false">IF($B428="","",IFERROR(INDEX(자원목록!$B$3:$B$102,MATCH($B428,자원목록!$A$3:$A$102,0)),"미등록자원"))</f>
        <v/>
      </c>
      <c r="D428" s="7"/>
      <c r="E428" s="12" t="str">
        <f aca="false">IF($D428="","",IFERROR(INDEX(고객목록!$B$3:$B$502,MATCH($D428,고객목록!$A$3:$A$502,0)),""))</f>
        <v/>
      </c>
      <c r="F428" s="13"/>
      <c r="G428" s="13"/>
      <c r="H428" s="14" t="str">
        <f aca="false">IF(OR($L428="",$M428=""),"",ROUND(($M428-$L428)/60,2))</f>
        <v/>
      </c>
      <c r="I428" s="9"/>
      <c r="J428" s="7"/>
      <c r="K428" s="7"/>
      <c r="L428" s="15" t="str">
        <f aca="false">IF($F428="","",IF($F428&lt;1,ROUND($F428*1440,0),INT($F428/100)*60+MOD($F428,100)))</f>
        <v/>
      </c>
      <c r="M428" s="15" t="str">
        <f aca="false">IF($G428="","",IF($G428&lt;1,ROUND($G428*1440,0),INT($G428/100)*60+MOD($G428,100)))</f>
        <v/>
      </c>
      <c r="N428" s="15" t="str">
        <f aca="false">IF(OR($A428="",$B428="",$L428="",$M428="",$J428="취소"),"",IF(SUMPRODUCT(($A$3:$A$2002=$A428)*($B$3:$B$2002=$B428)*($J$3:$J$2002&lt;&gt;"취소")*($L$3:$L$2002&lt;&gt;"")*($M$3:$M$2002&lt;&gt;"")*($L$3:$L$2002&lt;$M428)*($M$3:$M$2002&gt;$L428))&gt;1,"중복","-"))</f>
        <v/>
      </c>
    </row>
    <row r="429" customFormat="false" ht="15" hidden="false" customHeight="true" outlineLevel="0" collapsed="false">
      <c r="A429" s="11"/>
      <c r="B429" s="7"/>
      <c r="C429" s="12" t="str">
        <f aca="false">IF($B429="","",IFERROR(INDEX(자원목록!$B$3:$B$102,MATCH($B429,자원목록!$A$3:$A$102,0)),"미등록자원"))</f>
        <v/>
      </c>
      <c r="D429" s="7"/>
      <c r="E429" s="12" t="str">
        <f aca="false">IF($D429="","",IFERROR(INDEX(고객목록!$B$3:$B$502,MATCH($D429,고객목록!$A$3:$A$502,0)),""))</f>
        <v/>
      </c>
      <c r="F429" s="13"/>
      <c r="G429" s="13"/>
      <c r="H429" s="14" t="str">
        <f aca="false">IF(OR($L429="",$M429=""),"",ROUND(($M429-$L429)/60,2))</f>
        <v/>
      </c>
      <c r="I429" s="9"/>
      <c r="J429" s="7"/>
      <c r="K429" s="7"/>
      <c r="L429" s="15" t="str">
        <f aca="false">IF($F429="","",IF($F429&lt;1,ROUND($F429*1440,0),INT($F429/100)*60+MOD($F429,100)))</f>
        <v/>
      </c>
      <c r="M429" s="15" t="str">
        <f aca="false">IF($G429="","",IF($G429&lt;1,ROUND($G429*1440,0),INT($G429/100)*60+MOD($G429,100)))</f>
        <v/>
      </c>
      <c r="N429" s="15" t="str">
        <f aca="false">IF(OR($A429="",$B429="",$L429="",$M429="",$J429="취소"),"",IF(SUMPRODUCT(($A$3:$A$2002=$A429)*($B$3:$B$2002=$B429)*($J$3:$J$2002&lt;&gt;"취소")*($L$3:$L$2002&lt;&gt;"")*($M$3:$M$2002&lt;&gt;"")*($L$3:$L$2002&lt;$M429)*($M$3:$M$2002&gt;$L429))&gt;1,"중복","-"))</f>
        <v/>
      </c>
    </row>
    <row r="430" customFormat="false" ht="15" hidden="false" customHeight="true" outlineLevel="0" collapsed="false">
      <c r="A430" s="11"/>
      <c r="B430" s="7"/>
      <c r="C430" s="12" t="str">
        <f aca="false">IF($B430="","",IFERROR(INDEX(자원목록!$B$3:$B$102,MATCH($B430,자원목록!$A$3:$A$102,0)),"미등록자원"))</f>
        <v/>
      </c>
      <c r="D430" s="7"/>
      <c r="E430" s="12" t="str">
        <f aca="false">IF($D430="","",IFERROR(INDEX(고객목록!$B$3:$B$502,MATCH($D430,고객목록!$A$3:$A$502,0)),""))</f>
        <v/>
      </c>
      <c r="F430" s="13"/>
      <c r="G430" s="13"/>
      <c r="H430" s="14" t="str">
        <f aca="false">IF(OR($L430="",$M430=""),"",ROUND(($M430-$L430)/60,2))</f>
        <v/>
      </c>
      <c r="I430" s="9"/>
      <c r="J430" s="7"/>
      <c r="K430" s="7"/>
      <c r="L430" s="15" t="str">
        <f aca="false">IF($F430="","",IF($F430&lt;1,ROUND($F430*1440,0),INT($F430/100)*60+MOD($F430,100)))</f>
        <v/>
      </c>
      <c r="M430" s="15" t="str">
        <f aca="false">IF($G430="","",IF($G430&lt;1,ROUND($G430*1440,0),INT($G430/100)*60+MOD($G430,100)))</f>
        <v/>
      </c>
      <c r="N430" s="15" t="str">
        <f aca="false">IF(OR($A430="",$B430="",$L430="",$M430="",$J430="취소"),"",IF(SUMPRODUCT(($A$3:$A$2002=$A430)*($B$3:$B$2002=$B430)*($J$3:$J$2002&lt;&gt;"취소")*($L$3:$L$2002&lt;&gt;"")*($M$3:$M$2002&lt;&gt;"")*($L$3:$L$2002&lt;$M430)*($M$3:$M$2002&gt;$L430))&gt;1,"중복","-"))</f>
        <v/>
      </c>
    </row>
    <row r="431" customFormat="false" ht="15" hidden="false" customHeight="true" outlineLevel="0" collapsed="false">
      <c r="A431" s="11"/>
      <c r="B431" s="7"/>
      <c r="C431" s="12" t="str">
        <f aca="false">IF($B431="","",IFERROR(INDEX(자원목록!$B$3:$B$102,MATCH($B431,자원목록!$A$3:$A$102,0)),"미등록자원"))</f>
        <v/>
      </c>
      <c r="D431" s="7"/>
      <c r="E431" s="12" t="str">
        <f aca="false">IF($D431="","",IFERROR(INDEX(고객목록!$B$3:$B$502,MATCH($D431,고객목록!$A$3:$A$502,0)),""))</f>
        <v/>
      </c>
      <c r="F431" s="13"/>
      <c r="G431" s="13"/>
      <c r="H431" s="14" t="str">
        <f aca="false">IF(OR($L431="",$M431=""),"",ROUND(($M431-$L431)/60,2))</f>
        <v/>
      </c>
      <c r="I431" s="9"/>
      <c r="J431" s="7"/>
      <c r="K431" s="7"/>
      <c r="L431" s="15" t="str">
        <f aca="false">IF($F431="","",IF($F431&lt;1,ROUND($F431*1440,0),INT($F431/100)*60+MOD($F431,100)))</f>
        <v/>
      </c>
      <c r="M431" s="15" t="str">
        <f aca="false">IF($G431="","",IF($G431&lt;1,ROUND($G431*1440,0),INT($G431/100)*60+MOD($G431,100)))</f>
        <v/>
      </c>
      <c r="N431" s="15" t="str">
        <f aca="false">IF(OR($A431="",$B431="",$L431="",$M431="",$J431="취소"),"",IF(SUMPRODUCT(($A$3:$A$2002=$A431)*($B$3:$B$2002=$B431)*($J$3:$J$2002&lt;&gt;"취소")*($L$3:$L$2002&lt;&gt;"")*($M$3:$M$2002&lt;&gt;"")*($L$3:$L$2002&lt;$M431)*($M$3:$M$2002&gt;$L431))&gt;1,"중복","-"))</f>
        <v/>
      </c>
    </row>
    <row r="432" customFormat="false" ht="15" hidden="false" customHeight="true" outlineLevel="0" collapsed="false">
      <c r="A432" s="11"/>
      <c r="B432" s="7"/>
      <c r="C432" s="12" t="str">
        <f aca="false">IF($B432="","",IFERROR(INDEX(자원목록!$B$3:$B$102,MATCH($B432,자원목록!$A$3:$A$102,0)),"미등록자원"))</f>
        <v/>
      </c>
      <c r="D432" s="7"/>
      <c r="E432" s="12" t="str">
        <f aca="false">IF($D432="","",IFERROR(INDEX(고객목록!$B$3:$B$502,MATCH($D432,고객목록!$A$3:$A$502,0)),""))</f>
        <v/>
      </c>
      <c r="F432" s="13"/>
      <c r="G432" s="13"/>
      <c r="H432" s="14" t="str">
        <f aca="false">IF(OR($L432="",$M432=""),"",ROUND(($M432-$L432)/60,2))</f>
        <v/>
      </c>
      <c r="I432" s="9"/>
      <c r="J432" s="7"/>
      <c r="K432" s="7"/>
      <c r="L432" s="15" t="str">
        <f aca="false">IF($F432="","",IF($F432&lt;1,ROUND($F432*1440,0),INT($F432/100)*60+MOD($F432,100)))</f>
        <v/>
      </c>
      <c r="M432" s="15" t="str">
        <f aca="false">IF($G432="","",IF($G432&lt;1,ROUND($G432*1440,0),INT($G432/100)*60+MOD($G432,100)))</f>
        <v/>
      </c>
      <c r="N432" s="15" t="str">
        <f aca="false">IF(OR($A432="",$B432="",$L432="",$M432="",$J432="취소"),"",IF(SUMPRODUCT(($A$3:$A$2002=$A432)*($B$3:$B$2002=$B432)*($J$3:$J$2002&lt;&gt;"취소")*($L$3:$L$2002&lt;&gt;"")*($M$3:$M$2002&lt;&gt;"")*($L$3:$L$2002&lt;$M432)*($M$3:$M$2002&gt;$L432))&gt;1,"중복","-"))</f>
        <v/>
      </c>
    </row>
    <row r="433" customFormat="false" ht="15" hidden="false" customHeight="true" outlineLevel="0" collapsed="false">
      <c r="A433" s="11"/>
      <c r="B433" s="7"/>
      <c r="C433" s="12" t="str">
        <f aca="false">IF($B433="","",IFERROR(INDEX(자원목록!$B$3:$B$102,MATCH($B433,자원목록!$A$3:$A$102,0)),"미등록자원"))</f>
        <v/>
      </c>
      <c r="D433" s="7"/>
      <c r="E433" s="12" t="str">
        <f aca="false">IF($D433="","",IFERROR(INDEX(고객목록!$B$3:$B$502,MATCH($D433,고객목록!$A$3:$A$502,0)),""))</f>
        <v/>
      </c>
      <c r="F433" s="13"/>
      <c r="G433" s="13"/>
      <c r="H433" s="14" t="str">
        <f aca="false">IF(OR($L433="",$M433=""),"",ROUND(($M433-$L433)/60,2))</f>
        <v/>
      </c>
      <c r="I433" s="9"/>
      <c r="J433" s="7"/>
      <c r="K433" s="7"/>
      <c r="L433" s="15" t="str">
        <f aca="false">IF($F433="","",IF($F433&lt;1,ROUND($F433*1440,0),INT($F433/100)*60+MOD($F433,100)))</f>
        <v/>
      </c>
      <c r="M433" s="15" t="str">
        <f aca="false">IF($G433="","",IF($G433&lt;1,ROUND($G433*1440,0),INT($G433/100)*60+MOD($G433,100)))</f>
        <v/>
      </c>
      <c r="N433" s="15" t="str">
        <f aca="false">IF(OR($A433="",$B433="",$L433="",$M433="",$J433="취소"),"",IF(SUMPRODUCT(($A$3:$A$2002=$A433)*($B$3:$B$2002=$B433)*($J$3:$J$2002&lt;&gt;"취소")*($L$3:$L$2002&lt;&gt;"")*($M$3:$M$2002&lt;&gt;"")*($L$3:$L$2002&lt;$M433)*($M$3:$M$2002&gt;$L433))&gt;1,"중복","-"))</f>
        <v/>
      </c>
    </row>
    <row r="434" customFormat="false" ht="15" hidden="false" customHeight="true" outlineLevel="0" collapsed="false">
      <c r="A434" s="11"/>
      <c r="B434" s="7"/>
      <c r="C434" s="12" t="str">
        <f aca="false">IF($B434="","",IFERROR(INDEX(자원목록!$B$3:$B$102,MATCH($B434,자원목록!$A$3:$A$102,0)),"미등록자원"))</f>
        <v/>
      </c>
      <c r="D434" s="7"/>
      <c r="E434" s="12" t="str">
        <f aca="false">IF($D434="","",IFERROR(INDEX(고객목록!$B$3:$B$502,MATCH($D434,고객목록!$A$3:$A$502,0)),""))</f>
        <v/>
      </c>
      <c r="F434" s="13"/>
      <c r="G434" s="13"/>
      <c r="H434" s="14" t="str">
        <f aca="false">IF(OR($L434="",$M434=""),"",ROUND(($M434-$L434)/60,2))</f>
        <v/>
      </c>
      <c r="I434" s="9"/>
      <c r="J434" s="7"/>
      <c r="K434" s="7"/>
      <c r="L434" s="15" t="str">
        <f aca="false">IF($F434="","",IF($F434&lt;1,ROUND($F434*1440,0),INT($F434/100)*60+MOD($F434,100)))</f>
        <v/>
      </c>
      <c r="M434" s="15" t="str">
        <f aca="false">IF($G434="","",IF($G434&lt;1,ROUND($G434*1440,0),INT($G434/100)*60+MOD($G434,100)))</f>
        <v/>
      </c>
      <c r="N434" s="15" t="str">
        <f aca="false">IF(OR($A434="",$B434="",$L434="",$M434="",$J434="취소"),"",IF(SUMPRODUCT(($A$3:$A$2002=$A434)*($B$3:$B$2002=$B434)*($J$3:$J$2002&lt;&gt;"취소")*($L$3:$L$2002&lt;&gt;"")*($M$3:$M$2002&lt;&gt;"")*($L$3:$L$2002&lt;$M434)*($M$3:$M$2002&gt;$L434))&gt;1,"중복","-"))</f>
        <v/>
      </c>
    </row>
    <row r="435" customFormat="false" ht="15" hidden="false" customHeight="true" outlineLevel="0" collapsed="false">
      <c r="A435" s="11"/>
      <c r="B435" s="7"/>
      <c r="C435" s="12" t="str">
        <f aca="false">IF($B435="","",IFERROR(INDEX(자원목록!$B$3:$B$102,MATCH($B435,자원목록!$A$3:$A$102,0)),"미등록자원"))</f>
        <v/>
      </c>
      <c r="D435" s="7"/>
      <c r="E435" s="12" t="str">
        <f aca="false">IF($D435="","",IFERROR(INDEX(고객목록!$B$3:$B$502,MATCH($D435,고객목록!$A$3:$A$502,0)),""))</f>
        <v/>
      </c>
      <c r="F435" s="13"/>
      <c r="G435" s="13"/>
      <c r="H435" s="14" t="str">
        <f aca="false">IF(OR($L435="",$M435=""),"",ROUND(($M435-$L435)/60,2))</f>
        <v/>
      </c>
      <c r="I435" s="9"/>
      <c r="J435" s="7"/>
      <c r="K435" s="7"/>
      <c r="L435" s="15" t="str">
        <f aca="false">IF($F435="","",IF($F435&lt;1,ROUND($F435*1440,0),INT($F435/100)*60+MOD($F435,100)))</f>
        <v/>
      </c>
      <c r="M435" s="15" t="str">
        <f aca="false">IF($G435="","",IF($G435&lt;1,ROUND($G435*1440,0),INT($G435/100)*60+MOD($G435,100)))</f>
        <v/>
      </c>
      <c r="N435" s="15" t="str">
        <f aca="false">IF(OR($A435="",$B435="",$L435="",$M435="",$J435="취소"),"",IF(SUMPRODUCT(($A$3:$A$2002=$A435)*($B$3:$B$2002=$B435)*($J$3:$J$2002&lt;&gt;"취소")*($L$3:$L$2002&lt;&gt;"")*($M$3:$M$2002&lt;&gt;"")*($L$3:$L$2002&lt;$M435)*($M$3:$M$2002&gt;$L435))&gt;1,"중복","-"))</f>
        <v/>
      </c>
    </row>
    <row r="436" customFormat="false" ht="15" hidden="false" customHeight="true" outlineLevel="0" collapsed="false">
      <c r="A436" s="11"/>
      <c r="B436" s="7"/>
      <c r="C436" s="12" t="str">
        <f aca="false">IF($B436="","",IFERROR(INDEX(자원목록!$B$3:$B$102,MATCH($B436,자원목록!$A$3:$A$102,0)),"미등록자원"))</f>
        <v/>
      </c>
      <c r="D436" s="7"/>
      <c r="E436" s="12" t="str">
        <f aca="false">IF($D436="","",IFERROR(INDEX(고객목록!$B$3:$B$502,MATCH($D436,고객목록!$A$3:$A$502,0)),""))</f>
        <v/>
      </c>
      <c r="F436" s="13"/>
      <c r="G436" s="13"/>
      <c r="H436" s="14" t="str">
        <f aca="false">IF(OR($L436="",$M436=""),"",ROUND(($M436-$L436)/60,2))</f>
        <v/>
      </c>
      <c r="I436" s="9"/>
      <c r="J436" s="7"/>
      <c r="K436" s="7"/>
      <c r="L436" s="15" t="str">
        <f aca="false">IF($F436="","",IF($F436&lt;1,ROUND($F436*1440,0),INT($F436/100)*60+MOD($F436,100)))</f>
        <v/>
      </c>
      <c r="M436" s="15" t="str">
        <f aca="false">IF($G436="","",IF($G436&lt;1,ROUND($G436*1440,0),INT($G436/100)*60+MOD($G436,100)))</f>
        <v/>
      </c>
      <c r="N436" s="15" t="str">
        <f aca="false">IF(OR($A436="",$B436="",$L436="",$M436="",$J436="취소"),"",IF(SUMPRODUCT(($A$3:$A$2002=$A436)*($B$3:$B$2002=$B436)*($J$3:$J$2002&lt;&gt;"취소")*($L$3:$L$2002&lt;&gt;"")*($M$3:$M$2002&lt;&gt;"")*($L$3:$L$2002&lt;$M436)*($M$3:$M$2002&gt;$L436))&gt;1,"중복","-"))</f>
        <v/>
      </c>
    </row>
    <row r="437" customFormat="false" ht="15" hidden="false" customHeight="true" outlineLevel="0" collapsed="false">
      <c r="A437" s="11"/>
      <c r="B437" s="7"/>
      <c r="C437" s="12" t="str">
        <f aca="false">IF($B437="","",IFERROR(INDEX(자원목록!$B$3:$B$102,MATCH($B437,자원목록!$A$3:$A$102,0)),"미등록자원"))</f>
        <v/>
      </c>
      <c r="D437" s="7"/>
      <c r="E437" s="12" t="str">
        <f aca="false">IF($D437="","",IFERROR(INDEX(고객목록!$B$3:$B$502,MATCH($D437,고객목록!$A$3:$A$502,0)),""))</f>
        <v/>
      </c>
      <c r="F437" s="13"/>
      <c r="G437" s="13"/>
      <c r="H437" s="14" t="str">
        <f aca="false">IF(OR($L437="",$M437=""),"",ROUND(($M437-$L437)/60,2))</f>
        <v/>
      </c>
      <c r="I437" s="9"/>
      <c r="J437" s="7"/>
      <c r="K437" s="7"/>
      <c r="L437" s="15" t="str">
        <f aca="false">IF($F437="","",IF($F437&lt;1,ROUND($F437*1440,0),INT($F437/100)*60+MOD($F437,100)))</f>
        <v/>
      </c>
      <c r="M437" s="15" t="str">
        <f aca="false">IF($G437="","",IF($G437&lt;1,ROUND($G437*1440,0),INT($G437/100)*60+MOD($G437,100)))</f>
        <v/>
      </c>
      <c r="N437" s="15" t="str">
        <f aca="false">IF(OR($A437="",$B437="",$L437="",$M437="",$J437="취소"),"",IF(SUMPRODUCT(($A$3:$A$2002=$A437)*($B$3:$B$2002=$B437)*($J$3:$J$2002&lt;&gt;"취소")*($L$3:$L$2002&lt;&gt;"")*($M$3:$M$2002&lt;&gt;"")*($L$3:$L$2002&lt;$M437)*($M$3:$M$2002&gt;$L437))&gt;1,"중복","-"))</f>
        <v/>
      </c>
    </row>
    <row r="438" customFormat="false" ht="15" hidden="false" customHeight="true" outlineLevel="0" collapsed="false">
      <c r="A438" s="11"/>
      <c r="B438" s="7"/>
      <c r="C438" s="12" t="str">
        <f aca="false">IF($B438="","",IFERROR(INDEX(자원목록!$B$3:$B$102,MATCH($B438,자원목록!$A$3:$A$102,0)),"미등록자원"))</f>
        <v/>
      </c>
      <c r="D438" s="7"/>
      <c r="E438" s="12" t="str">
        <f aca="false">IF($D438="","",IFERROR(INDEX(고객목록!$B$3:$B$502,MATCH($D438,고객목록!$A$3:$A$502,0)),""))</f>
        <v/>
      </c>
      <c r="F438" s="13"/>
      <c r="G438" s="13"/>
      <c r="H438" s="14" t="str">
        <f aca="false">IF(OR($L438="",$M438=""),"",ROUND(($M438-$L438)/60,2))</f>
        <v/>
      </c>
      <c r="I438" s="9"/>
      <c r="J438" s="7"/>
      <c r="K438" s="7"/>
      <c r="L438" s="15" t="str">
        <f aca="false">IF($F438="","",IF($F438&lt;1,ROUND($F438*1440,0),INT($F438/100)*60+MOD($F438,100)))</f>
        <v/>
      </c>
      <c r="M438" s="15" t="str">
        <f aca="false">IF($G438="","",IF($G438&lt;1,ROUND($G438*1440,0),INT($G438/100)*60+MOD($G438,100)))</f>
        <v/>
      </c>
      <c r="N438" s="15" t="str">
        <f aca="false">IF(OR($A438="",$B438="",$L438="",$M438="",$J438="취소"),"",IF(SUMPRODUCT(($A$3:$A$2002=$A438)*($B$3:$B$2002=$B438)*($J$3:$J$2002&lt;&gt;"취소")*($L$3:$L$2002&lt;&gt;"")*($M$3:$M$2002&lt;&gt;"")*($L$3:$L$2002&lt;$M438)*($M$3:$M$2002&gt;$L438))&gt;1,"중복","-"))</f>
        <v/>
      </c>
    </row>
    <row r="439" customFormat="false" ht="15" hidden="false" customHeight="true" outlineLevel="0" collapsed="false">
      <c r="A439" s="11"/>
      <c r="B439" s="7"/>
      <c r="C439" s="12" t="str">
        <f aca="false">IF($B439="","",IFERROR(INDEX(자원목록!$B$3:$B$102,MATCH($B439,자원목록!$A$3:$A$102,0)),"미등록자원"))</f>
        <v/>
      </c>
      <c r="D439" s="7"/>
      <c r="E439" s="12" t="str">
        <f aca="false">IF($D439="","",IFERROR(INDEX(고객목록!$B$3:$B$502,MATCH($D439,고객목록!$A$3:$A$502,0)),""))</f>
        <v/>
      </c>
      <c r="F439" s="13"/>
      <c r="G439" s="13"/>
      <c r="H439" s="14" t="str">
        <f aca="false">IF(OR($L439="",$M439=""),"",ROUND(($M439-$L439)/60,2))</f>
        <v/>
      </c>
      <c r="I439" s="9"/>
      <c r="J439" s="7"/>
      <c r="K439" s="7"/>
      <c r="L439" s="15" t="str">
        <f aca="false">IF($F439="","",IF($F439&lt;1,ROUND($F439*1440,0),INT($F439/100)*60+MOD($F439,100)))</f>
        <v/>
      </c>
      <c r="M439" s="15" t="str">
        <f aca="false">IF($G439="","",IF($G439&lt;1,ROUND($G439*1440,0),INT($G439/100)*60+MOD($G439,100)))</f>
        <v/>
      </c>
      <c r="N439" s="15" t="str">
        <f aca="false">IF(OR($A439="",$B439="",$L439="",$M439="",$J439="취소"),"",IF(SUMPRODUCT(($A$3:$A$2002=$A439)*($B$3:$B$2002=$B439)*($J$3:$J$2002&lt;&gt;"취소")*($L$3:$L$2002&lt;&gt;"")*($M$3:$M$2002&lt;&gt;"")*($L$3:$L$2002&lt;$M439)*($M$3:$M$2002&gt;$L439))&gt;1,"중복","-"))</f>
        <v/>
      </c>
    </row>
    <row r="440" customFormat="false" ht="15" hidden="false" customHeight="true" outlineLevel="0" collapsed="false">
      <c r="A440" s="11"/>
      <c r="B440" s="7"/>
      <c r="C440" s="12" t="str">
        <f aca="false">IF($B440="","",IFERROR(INDEX(자원목록!$B$3:$B$102,MATCH($B440,자원목록!$A$3:$A$102,0)),"미등록자원"))</f>
        <v/>
      </c>
      <c r="D440" s="7"/>
      <c r="E440" s="12" t="str">
        <f aca="false">IF($D440="","",IFERROR(INDEX(고객목록!$B$3:$B$502,MATCH($D440,고객목록!$A$3:$A$502,0)),""))</f>
        <v/>
      </c>
      <c r="F440" s="13"/>
      <c r="G440" s="13"/>
      <c r="H440" s="14" t="str">
        <f aca="false">IF(OR($L440="",$M440=""),"",ROUND(($M440-$L440)/60,2))</f>
        <v/>
      </c>
      <c r="I440" s="9"/>
      <c r="J440" s="7"/>
      <c r="K440" s="7"/>
      <c r="L440" s="15" t="str">
        <f aca="false">IF($F440="","",IF($F440&lt;1,ROUND($F440*1440,0),INT($F440/100)*60+MOD($F440,100)))</f>
        <v/>
      </c>
      <c r="M440" s="15" t="str">
        <f aca="false">IF($G440="","",IF($G440&lt;1,ROUND($G440*1440,0),INT($G440/100)*60+MOD($G440,100)))</f>
        <v/>
      </c>
      <c r="N440" s="15" t="str">
        <f aca="false">IF(OR($A440="",$B440="",$L440="",$M440="",$J440="취소"),"",IF(SUMPRODUCT(($A$3:$A$2002=$A440)*($B$3:$B$2002=$B440)*($J$3:$J$2002&lt;&gt;"취소")*($L$3:$L$2002&lt;&gt;"")*($M$3:$M$2002&lt;&gt;"")*($L$3:$L$2002&lt;$M440)*($M$3:$M$2002&gt;$L440))&gt;1,"중복","-"))</f>
        <v/>
      </c>
    </row>
    <row r="441" customFormat="false" ht="15" hidden="false" customHeight="true" outlineLevel="0" collapsed="false">
      <c r="A441" s="11"/>
      <c r="B441" s="7"/>
      <c r="C441" s="12" t="str">
        <f aca="false">IF($B441="","",IFERROR(INDEX(자원목록!$B$3:$B$102,MATCH($B441,자원목록!$A$3:$A$102,0)),"미등록자원"))</f>
        <v/>
      </c>
      <c r="D441" s="7"/>
      <c r="E441" s="12" t="str">
        <f aca="false">IF($D441="","",IFERROR(INDEX(고객목록!$B$3:$B$502,MATCH($D441,고객목록!$A$3:$A$502,0)),""))</f>
        <v/>
      </c>
      <c r="F441" s="13"/>
      <c r="G441" s="13"/>
      <c r="H441" s="14" t="str">
        <f aca="false">IF(OR($L441="",$M441=""),"",ROUND(($M441-$L441)/60,2))</f>
        <v/>
      </c>
      <c r="I441" s="9"/>
      <c r="J441" s="7"/>
      <c r="K441" s="7"/>
      <c r="L441" s="15" t="str">
        <f aca="false">IF($F441="","",IF($F441&lt;1,ROUND($F441*1440,0),INT($F441/100)*60+MOD($F441,100)))</f>
        <v/>
      </c>
      <c r="M441" s="15" t="str">
        <f aca="false">IF($G441="","",IF($G441&lt;1,ROUND($G441*1440,0),INT($G441/100)*60+MOD($G441,100)))</f>
        <v/>
      </c>
      <c r="N441" s="15" t="str">
        <f aca="false">IF(OR($A441="",$B441="",$L441="",$M441="",$J441="취소"),"",IF(SUMPRODUCT(($A$3:$A$2002=$A441)*($B$3:$B$2002=$B441)*($J$3:$J$2002&lt;&gt;"취소")*($L$3:$L$2002&lt;&gt;"")*($M$3:$M$2002&lt;&gt;"")*($L$3:$L$2002&lt;$M441)*($M$3:$M$2002&gt;$L441))&gt;1,"중복","-"))</f>
        <v/>
      </c>
    </row>
    <row r="442" customFormat="false" ht="15" hidden="false" customHeight="true" outlineLevel="0" collapsed="false">
      <c r="A442" s="11"/>
      <c r="B442" s="7"/>
      <c r="C442" s="12" t="str">
        <f aca="false">IF($B442="","",IFERROR(INDEX(자원목록!$B$3:$B$102,MATCH($B442,자원목록!$A$3:$A$102,0)),"미등록자원"))</f>
        <v/>
      </c>
      <c r="D442" s="7"/>
      <c r="E442" s="12" t="str">
        <f aca="false">IF($D442="","",IFERROR(INDEX(고객목록!$B$3:$B$502,MATCH($D442,고객목록!$A$3:$A$502,0)),""))</f>
        <v/>
      </c>
      <c r="F442" s="13"/>
      <c r="G442" s="13"/>
      <c r="H442" s="14" t="str">
        <f aca="false">IF(OR($L442="",$M442=""),"",ROUND(($M442-$L442)/60,2))</f>
        <v/>
      </c>
      <c r="I442" s="9"/>
      <c r="J442" s="7"/>
      <c r="K442" s="7"/>
      <c r="L442" s="15" t="str">
        <f aca="false">IF($F442="","",IF($F442&lt;1,ROUND($F442*1440,0),INT($F442/100)*60+MOD($F442,100)))</f>
        <v/>
      </c>
      <c r="M442" s="15" t="str">
        <f aca="false">IF($G442="","",IF($G442&lt;1,ROUND($G442*1440,0),INT($G442/100)*60+MOD($G442,100)))</f>
        <v/>
      </c>
      <c r="N442" s="15" t="str">
        <f aca="false">IF(OR($A442="",$B442="",$L442="",$M442="",$J442="취소"),"",IF(SUMPRODUCT(($A$3:$A$2002=$A442)*($B$3:$B$2002=$B442)*($J$3:$J$2002&lt;&gt;"취소")*($L$3:$L$2002&lt;&gt;"")*($M$3:$M$2002&lt;&gt;"")*($L$3:$L$2002&lt;$M442)*($M$3:$M$2002&gt;$L442))&gt;1,"중복","-"))</f>
        <v/>
      </c>
    </row>
    <row r="443" customFormat="false" ht="15" hidden="false" customHeight="true" outlineLevel="0" collapsed="false">
      <c r="A443" s="11"/>
      <c r="B443" s="7"/>
      <c r="C443" s="12" t="str">
        <f aca="false">IF($B443="","",IFERROR(INDEX(자원목록!$B$3:$B$102,MATCH($B443,자원목록!$A$3:$A$102,0)),"미등록자원"))</f>
        <v/>
      </c>
      <c r="D443" s="7"/>
      <c r="E443" s="12" t="str">
        <f aca="false">IF($D443="","",IFERROR(INDEX(고객목록!$B$3:$B$502,MATCH($D443,고객목록!$A$3:$A$502,0)),""))</f>
        <v/>
      </c>
      <c r="F443" s="13"/>
      <c r="G443" s="13"/>
      <c r="H443" s="14" t="str">
        <f aca="false">IF(OR($L443="",$M443=""),"",ROUND(($M443-$L443)/60,2))</f>
        <v/>
      </c>
      <c r="I443" s="9"/>
      <c r="J443" s="7"/>
      <c r="K443" s="7"/>
      <c r="L443" s="15" t="str">
        <f aca="false">IF($F443="","",IF($F443&lt;1,ROUND($F443*1440,0),INT($F443/100)*60+MOD($F443,100)))</f>
        <v/>
      </c>
      <c r="M443" s="15" t="str">
        <f aca="false">IF($G443="","",IF($G443&lt;1,ROUND($G443*1440,0),INT($G443/100)*60+MOD($G443,100)))</f>
        <v/>
      </c>
      <c r="N443" s="15" t="str">
        <f aca="false">IF(OR($A443="",$B443="",$L443="",$M443="",$J443="취소"),"",IF(SUMPRODUCT(($A$3:$A$2002=$A443)*($B$3:$B$2002=$B443)*($J$3:$J$2002&lt;&gt;"취소")*($L$3:$L$2002&lt;&gt;"")*($M$3:$M$2002&lt;&gt;"")*($L$3:$L$2002&lt;$M443)*($M$3:$M$2002&gt;$L443))&gt;1,"중복","-"))</f>
        <v/>
      </c>
    </row>
    <row r="444" customFormat="false" ht="15" hidden="false" customHeight="true" outlineLevel="0" collapsed="false">
      <c r="A444" s="11"/>
      <c r="B444" s="7"/>
      <c r="C444" s="12" t="str">
        <f aca="false">IF($B444="","",IFERROR(INDEX(자원목록!$B$3:$B$102,MATCH($B444,자원목록!$A$3:$A$102,0)),"미등록자원"))</f>
        <v/>
      </c>
      <c r="D444" s="7"/>
      <c r="E444" s="12" t="str">
        <f aca="false">IF($D444="","",IFERROR(INDEX(고객목록!$B$3:$B$502,MATCH($D444,고객목록!$A$3:$A$502,0)),""))</f>
        <v/>
      </c>
      <c r="F444" s="13"/>
      <c r="G444" s="13"/>
      <c r="H444" s="14" t="str">
        <f aca="false">IF(OR($L444="",$M444=""),"",ROUND(($M444-$L444)/60,2))</f>
        <v/>
      </c>
      <c r="I444" s="9"/>
      <c r="J444" s="7"/>
      <c r="K444" s="7"/>
      <c r="L444" s="15" t="str">
        <f aca="false">IF($F444="","",IF($F444&lt;1,ROUND($F444*1440,0),INT($F444/100)*60+MOD($F444,100)))</f>
        <v/>
      </c>
      <c r="M444" s="15" t="str">
        <f aca="false">IF($G444="","",IF($G444&lt;1,ROUND($G444*1440,0),INT($G444/100)*60+MOD($G444,100)))</f>
        <v/>
      </c>
      <c r="N444" s="15" t="str">
        <f aca="false">IF(OR($A444="",$B444="",$L444="",$M444="",$J444="취소"),"",IF(SUMPRODUCT(($A$3:$A$2002=$A444)*($B$3:$B$2002=$B444)*($J$3:$J$2002&lt;&gt;"취소")*($L$3:$L$2002&lt;&gt;"")*($M$3:$M$2002&lt;&gt;"")*($L$3:$L$2002&lt;$M444)*($M$3:$M$2002&gt;$L444))&gt;1,"중복","-"))</f>
        <v/>
      </c>
    </row>
    <row r="445" customFormat="false" ht="15" hidden="false" customHeight="true" outlineLevel="0" collapsed="false">
      <c r="A445" s="11"/>
      <c r="B445" s="7"/>
      <c r="C445" s="12" t="str">
        <f aca="false">IF($B445="","",IFERROR(INDEX(자원목록!$B$3:$B$102,MATCH($B445,자원목록!$A$3:$A$102,0)),"미등록자원"))</f>
        <v/>
      </c>
      <c r="D445" s="7"/>
      <c r="E445" s="12" t="str">
        <f aca="false">IF($D445="","",IFERROR(INDEX(고객목록!$B$3:$B$502,MATCH($D445,고객목록!$A$3:$A$502,0)),""))</f>
        <v/>
      </c>
      <c r="F445" s="13"/>
      <c r="G445" s="13"/>
      <c r="H445" s="14" t="str">
        <f aca="false">IF(OR($L445="",$M445=""),"",ROUND(($M445-$L445)/60,2))</f>
        <v/>
      </c>
      <c r="I445" s="9"/>
      <c r="J445" s="7"/>
      <c r="K445" s="7"/>
      <c r="L445" s="15" t="str">
        <f aca="false">IF($F445="","",IF($F445&lt;1,ROUND($F445*1440,0),INT($F445/100)*60+MOD($F445,100)))</f>
        <v/>
      </c>
      <c r="M445" s="15" t="str">
        <f aca="false">IF($G445="","",IF($G445&lt;1,ROUND($G445*1440,0),INT($G445/100)*60+MOD($G445,100)))</f>
        <v/>
      </c>
      <c r="N445" s="15" t="str">
        <f aca="false">IF(OR($A445="",$B445="",$L445="",$M445="",$J445="취소"),"",IF(SUMPRODUCT(($A$3:$A$2002=$A445)*($B$3:$B$2002=$B445)*($J$3:$J$2002&lt;&gt;"취소")*($L$3:$L$2002&lt;&gt;"")*($M$3:$M$2002&lt;&gt;"")*($L$3:$L$2002&lt;$M445)*($M$3:$M$2002&gt;$L445))&gt;1,"중복","-"))</f>
        <v/>
      </c>
    </row>
    <row r="446" customFormat="false" ht="15" hidden="false" customHeight="true" outlineLevel="0" collapsed="false">
      <c r="A446" s="11"/>
      <c r="B446" s="7"/>
      <c r="C446" s="12" t="str">
        <f aca="false">IF($B446="","",IFERROR(INDEX(자원목록!$B$3:$B$102,MATCH($B446,자원목록!$A$3:$A$102,0)),"미등록자원"))</f>
        <v/>
      </c>
      <c r="D446" s="7"/>
      <c r="E446" s="12" t="str">
        <f aca="false">IF($D446="","",IFERROR(INDEX(고객목록!$B$3:$B$502,MATCH($D446,고객목록!$A$3:$A$502,0)),""))</f>
        <v/>
      </c>
      <c r="F446" s="13"/>
      <c r="G446" s="13"/>
      <c r="H446" s="14" t="str">
        <f aca="false">IF(OR($L446="",$M446=""),"",ROUND(($M446-$L446)/60,2))</f>
        <v/>
      </c>
      <c r="I446" s="9"/>
      <c r="J446" s="7"/>
      <c r="K446" s="7"/>
      <c r="L446" s="15" t="str">
        <f aca="false">IF($F446="","",IF($F446&lt;1,ROUND($F446*1440,0),INT($F446/100)*60+MOD($F446,100)))</f>
        <v/>
      </c>
      <c r="M446" s="15" t="str">
        <f aca="false">IF($G446="","",IF($G446&lt;1,ROUND($G446*1440,0),INT($G446/100)*60+MOD($G446,100)))</f>
        <v/>
      </c>
      <c r="N446" s="15" t="str">
        <f aca="false">IF(OR($A446="",$B446="",$L446="",$M446="",$J446="취소"),"",IF(SUMPRODUCT(($A$3:$A$2002=$A446)*($B$3:$B$2002=$B446)*($J$3:$J$2002&lt;&gt;"취소")*($L$3:$L$2002&lt;&gt;"")*($M$3:$M$2002&lt;&gt;"")*($L$3:$L$2002&lt;$M446)*($M$3:$M$2002&gt;$L446))&gt;1,"중복","-"))</f>
        <v/>
      </c>
    </row>
    <row r="447" customFormat="false" ht="15" hidden="false" customHeight="true" outlineLevel="0" collapsed="false">
      <c r="A447" s="11"/>
      <c r="B447" s="7"/>
      <c r="C447" s="12" t="str">
        <f aca="false">IF($B447="","",IFERROR(INDEX(자원목록!$B$3:$B$102,MATCH($B447,자원목록!$A$3:$A$102,0)),"미등록자원"))</f>
        <v/>
      </c>
      <c r="D447" s="7"/>
      <c r="E447" s="12" t="str">
        <f aca="false">IF($D447="","",IFERROR(INDEX(고객목록!$B$3:$B$502,MATCH($D447,고객목록!$A$3:$A$502,0)),""))</f>
        <v/>
      </c>
      <c r="F447" s="13"/>
      <c r="G447" s="13"/>
      <c r="H447" s="14" t="str">
        <f aca="false">IF(OR($L447="",$M447=""),"",ROUND(($M447-$L447)/60,2))</f>
        <v/>
      </c>
      <c r="I447" s="9"/>
      <c r="J447" s="7"/>
      <c r="K447" s="7"/>
      <c r="L447" s="15" t="str">
        <f aca="false">IF($F447="","",IF($F447&lt;1,ROUND($F447*1440,0),INT($F447/100)*60+MOD($F447,100)))</f>
        <v/>
      </c>
      <c r="M447" s="15" t="str">
        <f aca="false">IF($G447="","",IF($G447&lt;1,ROUND($G447*1440,0),INT($G447/100)*60+MOD($G447,100)))</f>
        <v/>
      </c>
      <c r="N447" s="15" t="str">
        <f aca="false">IF(OR($A447="",$B447="",$L447="",$M447="",$J447="취소"),"",IF(SUMPRODUCT(($A$3:$A$2002=$A447)*($B$3:$B$2002=$B447)*($J$3:$J$2002&lt;&gt;"취소")*($L$3:$L$2002&lt;&gt;"")*($M$3:$M$2002&lt;&gt;"")*($L$3:$L$2002&lt;$M447)*($M$3:$M$2002&gt;$L447))&gt;1,"중복","-"))</f>
        <v/>
      </c>
    </row>
    <row r="448" customFormat="false" ht="15" hidden="false" customHeight="true" outlineLevel="0" collapsed="false">
      <c r="A448" s="11"/>
      <c r="B448" s="7"/>
      <c r="C448" s="12" t="str">
        <f aca="false">IF($B448="","",IFERROR(INDEX(자원목록!$B$3:$B$102,MATCH($B448,자원목록!$A$3:$A$102,0)),"미등록자원"))</f>
        <v/>
      </c>
      <c r="D448" s="7"/>
      <c r="E448" s="12" t="str">
        <f aca="false">IF($D448="","",IFERROR(INDEX(고객목록!$B$3:$B$502,MATCH($D448,고객목록!$A$3:$A$502,0)),""))</f>
        <v/>
      </c>
      <c r="F448" s="13"/>
      <c r="G448" s="13"/>
      <c r="H448" s="14" t="str">
        <f aca="false">IF(OR($L448="",$M448=""),"",ROUND(($M448-$L448)/60,2))</f>
        <v/>
      </c>
      <c r="I448" s="9"/>
      <c r="J448" s="7"/>
      <c r="K448" s="7"/>
      <c r="L448" s="15" t="str">
        <f aca="false">IF($F448="","",IF($F448&lt;1,ROUND($F448*1440,0),INT($F448/100)*60+MOD($F448,100)))</f>
        <v/>
      </c>
      <c r="M448" s="15" t="str">
        <f aca="false">IF($G448="","",IF($G448&lt;1,ROUND($G448*1440,0),INT($G448/100)*60+MOD($G448,100)))</f>
        <v/>
      </c>
      <c r="N448" s="15" t="str">
        <f aca="false">IF(OR($A448="",$B448="",$L448="",$M448="",$J448="취소"),"",IF(SUMPRODUCT(($A$3:$A$2002=$A448)*($B$3:$B$2002=$B448)*($J$3:$J$2002&lt;&gt;"취소")*($L$3:$L$2002&lt;&gt;"")*($M$3:$M$2002&lt;&gt;"")*($L$3:$L$2002&lt;$M448)*($M$3:$M$2002&gt;$L448))&gt;1,"중복","-"))</f>
        <v/>
      </c>
    </row>
    <row r="449" customFormat="false" ht="15" hidden="false" customHeight="true" outlineLevel="0" collapsed="false">
      <c r="A449" s="11"/>
      <c r="B449" s="7"/>
      <c r="C449" s="12" t="str">
        <f aca="false">IF($B449="","",IFERROR(INDEX(자원목록!$B$3:$B$102,MATCH($B449,자원목록!$A$3:$A$102,0)),"미등록자원"))</f>
        <v/>
      </c>
      <c r="D449" s="7"/>
      <c r="E449" s="12" t="str">
        <f aca="false">IF($D449="","",IFERROR(INDEX(고객목록!$B$3:$B$502,MATCH($D449,고객목록!$A$3:$A$502,0)),""))</f>
        <v/>
      </c>
      <c r="F449" s="13"/>
      <c r="G449" s="13"/>
      <c r="H449" s="14" t="str">
        <f aca="false">IF(OR($L449="",$M449=""),"",ROUND(($M449-$L449)/60,2))</f>
        <v/>
      </c>
      <c r="I449" s="9"/>
      <c r="J449" s="7"/>
      <c r="K449" s="7"/>
      <c r="L449" s="15" t="str">
        <f aca="false">IF($F449="","",IF($F449&lt;1,ROUND($F449*1440,0),INT($F449/100)*60+MOD($F449,100)))</f>
        <v/>
      </c>
      <c r="M449" s="15" t="str">
        <f aca="false">IF($G449="","",IF($G449&lt;1,ROUND($G449*1440,0),INT($G449/100)*60+MOD($G449,100)))</f>
        <v/>
      </c>
      <c r="N449" s="15" t="str">
        <f aca="false">IF(OR($A449="",$B449="",$L449="",$M449="",$J449="취소"),"",IF(SUMPRODUCT(($A$3:$A$2002=$A449)*($B$3:$B$2002=$B449)*($J$3:$J$2002&lt;&gt;"취소")*($L$3:$L$2002&lt;&gt;"")*($M$3:$M$2002&lt;&gt;"")*($L$3:$L$2002&lt;$M449)*($M$3:$M$2002&gt;$L449))&gt;1,"중복","-"))</f>
        <v/>
      </c>
    </row>
    <row r="450" customFormat="false" ht="15" hidden="false" customHeight="true" outlineLevel="0" collapsed="false">
      <c r="A450" s="11"/>
      <c r="B450" s="7"/>
      <c r="C450" s="12" t="str">
        <f aca="false">IF($B450="","",IFERROR(INDEX(자원목록!$B$3:$B$102,MATCH($B450,자원목록!$A$3:$A$102,0)),"미등록자원"))</f>
        <v/>
      </c>
      <c r="D450" s="7"/>
      <c r="E450" s="12" t="str">
        <f aca="false">IF($D450="","",IFERROR(INDEX(고객목록!$B$3:$B$502,MATCH($D450,고객목록!$A$3:$A$502,0)),""))</f>
        <v/>
      </c>
      <c r="F450" s="13"/>
      <c r="G450" s="13"/>
      <c r="H450" s="14" t="str">
        <f aca="false">IF(OR($L450="",$M450=""),"",ROUND(($M450-$L450)/60,2))</f>
        <v/>
      </c>
      <c r="I450" s="9"/>
      <c r="J450" s="7"/>
      <c r="K450" s="7"/>
      <c r="L450" s="15" t="str">
        <f aca="false">IF($F450="","",IF($F450&lt;1,ROUND($F450*1440,0),INT($F450/100)*60+MOD($F450,100)))</f>
        <v/>
      </c>
      <c r="M450" s="15" t="str">
        <f aca="false">IF($G450="","",IF($G450&lt;1,ROUND($G450*1440,0),INT($G450/100)*60+MOD($G450,100)))</f>
        <v/>
      </c>
      <c r="N450" s="15" t="str">
        <f aca="false">IF(OR($A450="",$B450="",$L450="",$M450="",$J450="취소"),"",IF(SUMPRODUCT(($A$3:$A$2002=$A450)*($B$3:$B$2002=$B450)*($J$3:$J$2002&lt;&gt;"취소")*($L$3:$L$2002&lt;&gt;"")*($M$3:$M$2002&lt;&gt;"")*($L$3:$L$2002&lt;$M450)*($M$3:$M$2002&gt;$L450))&gt;1,"중복","-"))</f>
        <v/>
      </c>
    </row>
    <row r="451" customFormat="false" ht="15" hidden="false" customHeight="true" outlineLevel="0" collapsed="false">
      <c r="A451" s="11"/>
      <c r="B451" s="7"/>
      <c r="C451" s="12" t="str">
        <f aca="false">IF($B451="","",IFERROR(INDEX(자원목록!$B$3:$B$102,MATCH($B451,자원목록!$A$3:$A$102,0)),"미등록자원"))</f>
        <v/>
      </c>
      <c r="D451" s="7"/>
      <c r="E451" s="12" t="str">
        <f aca="false">IF($D451="","",IFERROR(INDEX(고객목록!$B$3:$B$502,MATCH($D451,고객목록!$A$3:$A$502,0)),""))</f>
        <v/>
      </c>
      <c r="F451" s="13"/>
      <c r="G451" s="13"/>
      <c r="H451" s="14" t="str">
        <f aca="false">IF(OR($L451="",$M451=""),"",ROUND(($M451-$L451)/60,2))</f>
        <v/>
      </c>
      <c r="I451" s="9"/>
      <c r="J451" s="7"/>
      <c r="K451" s="7"/>
      <c r="L451" s="15" t="str">
        <f aca="false">IF($F451="","",IF($F451&lt;1,ROUND($F451*1440,0),INT($F451/100)*60+MOD($F451,100)))</f>
        <v/>
      </c>
      <c r="M451" s="15" t="str">
        <f aca="false">IF($G451="","",IF($G451&lt;1,ROUND($G451*1440,0),INT($G451/100)*60+MOD($G451,100)))</f>
        <v/>
      </c>
      <c r="N451" s="15" t="str">
        <f aca="false">IF(OR($A451="",$B451="",$L451="",$M451="",$J451="취소"),"",IF(SUMPRODUCT(($A$3:$A$2002=$A451)*($B$3:$B$2002=$B451)*($J$3:$J$2002&lt;&gt;"취소")*($L$3:$L$2002&lt;&gt;"")*($M$3:$M$2002&lt;&gt;"")*($L$3:$L$2002&lt;$M451)*($M$3:$M$2002&gt;$L451))&gt;1,"중복","-"))</f>
        <v/>
      </c>
    </row>
    <row r="452" customFormat="false" ht="15" hidden="false" customHeight="true" outlineLevel="0" collapsed="false">
      <c r="A452" s="11"/>
      <c r="B452" s="7"/>
      <c r="C452" s="12" t="str">
        <f aca="false">IF($B452="","",IFERROR(INDEX(자원목록!$B$3:$B$102,MATCH($B452,자원목록!$A$3:$A$102,0)),"미등록자원"))</f>
        <v/>
      </c>
      <c r="D452" s="7"/>
      <c r="E452" s="12" t="str">
        <f aca="false">IF($D452="","",IFERROR(INDEX(고객목록!$B$3:$B$502,MATCH($D452,고객목록!$A$3:$A$502,0)),""))</f>
        <v/>
      </c>
      <c r="F452" s="13"/>
      <c r="G452" s="13"/>
      <c r="H452" s="14" t="str">
        <f aca="false">IF(OR($L452="",$M452=""),"",ROUND(($M452-$L452)/60,2))</f>
        <v/>
      </c>
      <c r="I452" s="9"/>
      <c r="J452" s="7"/>
      <c r="K452" s="7"/>
      <c r="L452" s="15" t="str">
        <f aca="false">IF($F452="","",IF($F452&lt;1,ROUND($F452*1440,0),INT($F452/100)*60+MOD($F452,100)))</f>
        <v/>
      </c>
      <c r="M452" s="15" t="str">
        <f aca="false">IF($G452="","",IF($G452&lt;1,ROUND($G452*1440,0),INT($G452/100)*60+MOD($G452,100)))</f>
        <v/>
      </c>
      <c r="N452" s="15" t="str">
        <f aca="false">IF(OR($A452="",$B452="",$L452="",$M452="",$J452="취소"),"",IF(SUMPRODUCT(($A$3:$A$2002=$A452)*($B$3:$B$2002=$B452)*($J$3:$J$2002&lt;&gt;"취소")*($L$3:$L$2002&lt;&gt;"")*($M$3:$M$2002&lt;&gt;"")*($L$3:$L$2002&lt;$M452)*($M$3:$M$2002&gt;$L452))&gt;1,"중복","-"))</f>
        <v/>
      </c>
    </row>
    <row r="453" customFormat="false" ht="15" hidden="false" customHeight="true" outlineLevel="0" collapsed="false">
      <c r="A453" s="11"/>
      <c r="B453" s="7"/>
      <c r="C453" s="12" t="str">
        <f aca="false">IF($B453="","",IFERROR(INDEX(자원목록!$B$3:$B$102,MATCH($B453,자원목록!$A$3:$A$102,0)),"미등록자원"))</f>
        <v/>
      </c>
      <c r="D453" s="7"/>
      <c r="E453" s="12" t="str">
        <f aca="false">IF($D453="","",IFERROR(INDEX(고객목록!$B$3:$B$502,MATCH($D453,고객목록!$A$3:$A$502,0)),""))</f>
        <v/>
      </c>
      <c r="F453" s="13"/>
      <c r="G453" s="13"/>
      <c r="H453" s="14" t="str">
        <f aca="false">IF(OR($L453="",$M453=""),"",ROUND(($M453-$L453)/60,2))</f>
        <v/>
      </c>
      <c r="I453" s="9"/>
      <c r="J453" s="7"/>
      <c r="K453" s="7"/>
      <c r="L453" s="15" t="str">
        <f aca="false">IF($F453="","",IF($F453&lt;1,ROUND($F453*1440,0),INT($F453/100)*60+MOD($F453,100)))</f>
        <v/>
      </c>
      <c r="M453" s="15" t="str">
        <f aca="false">IF($G453="","",IF($G453&lt;1,ROUND($G453*1440,0),INT($G453/100)*60+MOD($G453,100)))</f>
        <v/>
      </c>
      <c r="N453" s="15" t="str">
        <f aca="false">IF(OR($A453="",$B453="",$L453="",$M453="",$J453="취소"),"",IF(SUMPRODUCT(($A$3:$A$2002=$A453)*($B$3:$B$2002=$B453)*($J$3:$J$2002&lt;&gt;"취소")*($L$3:$L$2002&lt;&gt;"")*($M$3:$M$2002&lt;&gt;"")*($L$3:$L$2002&lt;$M453)*($M$3:$M$2002&gt;$L453))&gt;1,"중복","-"))</f>
        <v/>
      </c>
    </row>
    <row r="454" customFormat="false" ht="15" hidden="false" customHeight="true" outlineLevel="0" collapsed="false">
      <c r="A454" s="11"/>
      <c r="B454" s="7"/>
      <c r="C454" s="12" t="str">
        <f aca="false">IF($B454="","",IFERROR(INDEX(자원목록!$B$3:$B$102,MATCH($B454,자원목록!$A$3:$A$102,0)),"미등록자원"))</f>
        <v/>
      </c>
      <c r="D454" s="7"/>
      <c r="E454" s="12" t="str">
        <f aca="false">IF($D454="","",IFERROR(INDEX(고객목록!$B$3:$B$502,MATCH($D454,고객목록!$A$3:$A$502,0)),""))</f>
        <v/>
      </c>
      <c r="F454" s="13"/>
      <c r="G454" s="13"/>
      <c r="H454" s="14" t="str">
        <f aca="false">IF(OR($L454="",$M454=""),"",ROUND(($M454-$L454)/60,2))</f>
        <v/>
      </c>
      <c r="I454" s="9"/>
      <c r="J454" s="7"/>
      <c r="K454" s="7"/>
      <c r="L454" s="15" t="str">
        <f aca="false">IF($F454="","",IF($F454&lt;1,ROUND($F454*1440,0),INT($F454/100)*60+MOD($F454,100)))</f>
        <v/>
      </c>
      <c r="M454" s="15" t="str">
        <f aca="false">IF($G454="","",IF($G454&lt;1,ROUND($G454*1440,0),INT($G454/100)*60+MOD($G454,100)))</f>
        <v/>
      </c>
      <c r="N454" s="15" t="str">
        <f aca="false">IF(OR($A454="",$B454="",$L454="",$M454="",$J454="취소"),"",IF(SUMPRODUCT(($A$3:$A$2002=$A454)*($B$3:$B$2002=$B454)*($J$3:$J$2002&lt;&gt;"취소")*($L$3:$L$2002&lt;&gt;"")*($M$3:$M$2002&lt;&gt;"")*($L$3:$L$2002&lt;$M454)*($M$3:$M$2002&gt;$L454))&gt;1,"중복","-"))</f>
        <v/>
      </c>
    </row>
    <row r="455" customFormat="false" ht="15" hidden="false" customHeight="true" outlineLevel="0" collapsed="false">
      <c r="A455" s="11"/>
      <c r="B455" s="7"/>
      <c r="C455" s="12" t="str">
        <f aca="false">IF($B455="","",IFERROR(INDEX(자원목록!$B$3:$B$102,MATCH($B455,자원목록!$A$3:$A$102,0)),"미등록자원"))</f>
        <v/>
      </c>
      <c r="D455" s="7"/>
      <c r="E455" s="12" t="str">
        <f aca="false">IF($D455="","",IFERROR(INDEX(고객목록!$B$3:$B$502,MATCH($D455,고객목록!$A$3:$A$502,0)),""))</f>
        <v/>
      </c>
      <c r="F455" s="13"/>
      <c r="G455" s="13"/>
      <c r="H455" s="14" t="str">
        <f aca="false">IF(OR($L455="",$M455=""),"",ROUND(($M455-$L455)/60,2))</f>
        <v/>
      </c>
      <c r="I455" s="9"/>
      <c r="J455" s="7"/>
      <c r="K455" s="7"/>
      <c r="L455" s="15" t="str">
        <f aca="false">IF($F455="","",IF($F455&lt;1,ROUND($F455*1440,0),INT($F455/100)*60+MOD($F455,100)))</f>
        <v/>
      </c>
      <c r="M455" s="15" t="str">
        <f aca="false">IF($G455="","",IF($G455&lt;1,ROUND($G455*1440,0),INT($G455/100)*60+MOD($G455,100)))</f>
        <v/>
      </c>
      <c r="N455" s="15" t="str">
        <f aca="false">IF(OR($A455="",$B455="",$L455="",$M455="",$J455="취소"),"",IF(SUMPRODUCT(($A$3:$A$2002=$A455)*($B$3:$B$2002=$B455)*($J$3:$J$2002&lt;&gt;"취소")*($L$3:$L$2002&lt;&gt;"")*($M$3:$M$2002&lt;&gt;"")*($L$3:$L$2002&lt;$M455)*($M$3:$M$2002&gt;$L455))&gt;1,"중복","-"))</f>
        <v/>
      </c>
    </row>
    <row r="456" customFormat="false" ht="15" hidden="false" customHeight="true" outlineLevel="0" collapsed="false">
      <c r="A456" s="11"/>
      <c r="B456" s="7"/>
      <c r="C456" s="12" t="str">
        <f aca="false">IF($B456="","",IFERROR(INDEX(자원목록!$B$3:$B$102,MATCH($B456,자원목록!$A$3:$A$102,0)),"미등록자원"))</f>
        <v/>
      </c>
      <c r="D456" s="7"/>
      <c r="E456" s="12" t="str">
        <f aca="false">IF($D456="","",IFERROR(INDEX(고객목록!$B$3:$B$502,MATCH($D456,고객목록!$A$3:$A$502,0)),""))</f>
        <v/>
      </c>
      <c r="F456" s="13"/>
      <c r="G456" s="13"/>
      <c r="H456" s="14" t="str">
        <f aca="false">IF(OR($L456="",$M456=""),"",ROUND(($M456-$L456)/60,2))</f>
        <v/>
      </c>
      <c r="I456" s="9"/>
      <c r="J456" s="7"/>
      <c r="K456" s="7"/>
      <c r="L456" s="15" t="str">
        <f aca="false">IF($F456="","",IF($F456&lt;1,ROUND($F456*1440,0),INT($F456/100)*60+MOD($F456,100)))</f>
        <v/>
      </c>
      <c r="M456" s="15" t="str">
        <f aca="false">IF($G456="","",IF($G456&lt;1,ROUND($G456*1440,0),INT($G456/100)*60+MOD($G456,100)))</f>
        <v/>
      </c>
      <c r="N456" s="15" t="str">
        <f aca="false">IF(OR($A456="",$B456="",$L456="",$M456="",$J456="취소"),"",IF(SUMPRODUCT(($A$3:$A$2002=$A456)*($B$3:$B$2002=$B456)*($J$3:$J$2002&lt;&gt;"취소")*($L$3:$L$2002&lt;&gt;"")*($M$3:$M$2002&lt;&gt;"")*($L$3:$L$2002&lt;$M456)*($M$3:$M$2002&gt;$L456))&gt;1,"중복","-"))</f>
        <v/>
      </c>
    </row>
    <row r="457" customFormat="false" ht="15" hidden="false" customHeight="true" outlineLevel="0" collapsed="false">
      <c r="A457" s="11"/>
      <c r="B457" s="7"/>
      <c r="C457" s="12" t="str">
        <f aca="false">IF($B457="","",IFERROR(INDEX(자원목록!$B$3:$B$102,MATCH($B457,자원목록!$A$3:$A$102,0)),"미등록자원"))</f>
        <v/>
      </c>
      <c r="D457" s="7"/>
      <c r="E457" s="12" t="str">
        <f aca="false">IF($D457="","",IFERROR(INDEX(고객목록!$B$3:$B$502,MATCH($D457,고객목록!$A$3:$A$502,0)),""))</f>
        <v/>
      </c>
      <c r="F457" s="13"/>
      <c r="G457" s="13"/>
      <c r="H457" s="14" t="str">
        <f aca="false">IF(OR($L457="",$M457=""),"",ROUND(($M457-$L457)/60,2))</f>
        <v/>
      </c>
      <c r="I457" s="9"/>
      <c r="J457" s="7"/>
      <c r="K457" s="7"/>
      <c r="L457" s="15" t="str">
        <f aca="false">IF($F457="","",IF($F457&lt;1,ROUND($F457*1440,0),INT($F457/100)*60+MOD($F457,100)))</f>
        <v/>
      </c>
      <c r="M457" s="15" t="str">
        <f aca="false">IF($G457="","",IF($G457&lt;1,ROUND($G457*1440,0),INT($G457/100)*60+MOD($G457,100)))</f>
        <v/>
      </c>
      <c r="N457" s="15" t="str">
        <f aca="false">IF(OR($A457="",$B457="",$L457="",$M457="",$J457="취소"),"",IF(SUMPRODUCT(($A$3:$A$2002=$A457)*($B$3:$B$2002=$B457)*($J$3:$J$2002&lt;&gt;"취소")*($L$3:$L$2002&lt;&gt;"")*($M$3:$M$2002&lt;&gt;"")*($L$3:$L$2002&lt;$M457)*($M$3:$M$2002&gt;$L457))&gt;1,"중복","-"))</f>
        <v/>
      </c>
    </row>
    <row r="458" customFormat="false" ht="15" hidden="false" customHeight="true" outlineLevel="0" collapsed="false">
      <c r="A458" s="11"/>
      <c r="B458" s="7"/>
      <c r="C458" s="12" t="str">
        <f aca="false">IF($B458="","",IFERROR(INDEX(자원목록!$B$3:$B$102,MATCH($B458,자원목록!$A$3:$A$102,0)),"미등록자원"))</f>
        <v/>
      </c>
      <c r="D458" s="7"/>
      <c r="E458" s="12" t="str">
        <f aca="false">IF($D458="","",IFERROR(INDEX(고객목록!$B$3:$B$502,MATCH($D458,고객목록!$A$3:$A$502,0)),""))</f>
        <v/>
      </c>
      <c r="F458" s="13"/>
      <c r="G458" s="13"/>
      <c r="H458" s="14" t="str">
        <f aca="false">IF(OR($L458="",$M458=""),"",ROUND(($M458-$L458)/60,2))</f>
        <v/>
      </c>
      <c r="I458" s="9"/>
      <c r="J458" s="7"/>
      <c r="K458" s="7"/>
      <c r="L458" s="15" t="str">
        <f aca="false">IF($F458="","",IF($F458&lt;1,ROUND($F458*1440,0),INT($F458/100)*60+MOD($F458,100)))</f>
        <v/>
      </c>
      <c r="M458" s="15" t="str">
        <f aca="false">IF($G458="","",IF($G458&lt;1,ROUND($G458*1440,0),INT($G458/100)*60+MOD($G458,100)))</f>
        <v/>
      </c>
      <c r="N458" s="15" t="str">
        <f aca="false">IF(OR($A458="",$B458="",$L458="",$M458="",$J458="취소"),"",IF(SUMPRODUCT(($A$3:$A$2002=$A458)*($B$3:$B$2002=$B458)*($J$3:$J$2002&lt;&gt;"취소")*($L$3:$L$2002&lt;&gt;"")*($M$3:$M$2002&lt;&gt;"")*($L$3:$L$2002&lt;$M458)*($M$3:$M$2002&gt;$L458))&gt;1,"중복","-"))</f>
        <v/>
      </c>
    </row>
    <row r="459" customFormat="false" ht="15" hidden="false" customHeight="true" outlineLevel="0" collapsed="false">
      <c r="A459" s="11"/>
      <c r="B459" s="7"/>
      <c r="C459" s="12" t="str">
        <f aca="false">IF($B459="","",IFERROR(INDEX(자원목록!$B$3:$B$102,MATCH($B459,자원목록!$A$3:$A$102,0)),"미등록자원"))</f>
        <v/>
      </c>
      <c r="D459" s="7"/>
      <c r="E459" s="12" t="str">
        <f aca="false">IF($D459="","",IFERROR(INDEX(고객목록!$B$3:$B$502,MATCH($D459,고객목록!$A$3:$A$502,0)),""))</f>
        <v/>
      </c>
      <c r="F459" s="13"/>
      <c r="G459" s="13"/>
      <c r="H459" s="14" t="str">
        <f aca="false">IF(OR($L459="",$M459=""),"",ROUND(($M459-$L459)/60,2))</f>
        <v/>
      </c>
      <c r="I459" s="9"/>
      <c r="J459" s="7"/>
      <c r="K459" s="7"/>
      <c r="L459" s="15" t="str">
        <f aca="false">IF($F459="","",IF($F459&lt;1,ROUND($F459*1440,0),INT($F459/100)*60+MOD($F459,100)))</f>
        <v/>
      </c>
      <c r="M459" s="15" t="str">
        <f aca="false">IF($G459="","",IF($G459&lt;1,ROUND($G459*1440,0),INT($G459/100)*60+MOD($G459,100)))</f>
        <v/>
      </c>
      <c r="N459" s="15" t="str">
        <f aca="false">IF(OR($A459="",$B459="",$L459="",$M459="",$J459="취소"),"",IF(SUMPRODUCT(($A$3:$A$2002=$A459)*($B$3:$B$2002=$B459)*($J$3:$J$2002&lt;&gt;"취소")*($L$3:$L$2002&lt;&gt;"")*($M$3:$M$2002&lt;&gt;"")*($L$3:$L$2002&lt;$M459)*($M$3:$M$2002&gt;$L459))&gt;1,"중복","-"))</f>
        <v/>
      </c>
    </row>
    <row r="460" customFormat="false" ht="15" hidden="false" customHeight="true" outlineLevel="0" collapsed="false">
      <c r="A460" s="11"/>
      <c r="B460" s="7"/>
      <c r="C460" s="12" t="str">
        <f aca="false">IF($B460="","",IFERROR(INDEX(자원목록!$B$3:$B$102,MATCH($B460,자원목록!$A$3:$A$102,0)),"미등록자원"))</f>
        <v/>
      </c>
      <c r="D460" s="7"/>
      <c r="E460" s="12" t="str">
        <f aca="false">IF($D460="","",IFERROR(INDEX(고객목록!$B$3:$B$502,MATCH($D460,고객목록!$A$3:$A$502,0)),""))</f>
        <v/>
      </c>
      <c r="F460" s="13"/>
      <c r="G460" s="13"/>
      <c r="H460" s="14" t="str">
        <f aca="false">IF(OR($L460="",$M460=""),"",ROUND(($M460-$L460)/60,2))</f>
        <v/>
      </c>
      <c r="I460" s="9"/>
      <c r="J460" s="7"/>
      <c r="K460" s="7"/>
      <c r="L460" s="15" t="str">
        <f aca="false">IF($F460="","",IF($F460&lt;1,ROUND($F460*1440,0),INT($F460/100)*60+MOD($F460,100)))</f>
        <v/>
      </c>
      <c r="M460" s="15" t="str">
        <f aca="false">IF($G460="","",IF($G460&lt;1,ROUND($G460*1440,0),INT($G460/100)*60+MOD($G460,100)))</f>
        <v/>
      </c>
      <c r="N460" s="15" t="str">
        <f aca="false">IF(OR($A460="",$B460="",$L460="",$M460="",$J460="취소"),"",IF(SUMPRODUCT(($A$3:$A$2002=$A460)*($B$3:$B$2002=$B460)*($J$3:$J$2002&lt;&gt;"취소")*($L$3:$L$2002&lt;&gt;"")*($M$3:$M$2002&lt;&gt;"")*($L$3:$L$2002&lt;$M460)*($M$3:$M$2002&gt;$L460))&gt;1,"중복","-"))</f>
        <v/>
      </c>
    </row>
    <row r="461" customFormat="false" ht="15" hidden="false" customHeight="true" outlineLevel="0" collapsed="false">
      <c r="A461" s="11"/>
      <c r="B461" s="7"/>
      <c r="C461" s="12" t="str">
        <f aca="false">IF($B461="","",IFERROR(INDEX(자원목록!$B$3:$B$102,MATCH($B461,자원목록!$A$3:$A$102,0)),"미등록자원"))</f>
        <v/>
      </c>
      <c r="D461" s="7"/>
      <c r="E461" s="12" t="str">
        <f aca="false">IF($D461="","",IFERROR(INDEX(고객목록!$B$3:$B$502,MATCH($D461,고객목록!$A$3:$A$502,0)),""))</f>
        <v/>
      </c>
      <c r="F461" s="13"/>
      <c r="G461" s="13"/>
      <c r="H461" s="14" t="str">
        <f aca="false">IF(OR($L461="",$M461=""),"",ROUND(($M461-$L461)/60,2))</f>
        <v/>
      </c>
      <c r="I461" s="9"/>
      <c r="J461" s="7"/>
      <c r="K461" s="7"/>
      <c r="L461" s="15" t="str">
        <f aca="false">IF($F461="","",IF($F461&lt;1,ROUND($F461*1440,0),INT($F461/100)*60+MOD($F461,100)))</f>
        <v/>
      </c>
      <c r="M461" s="15" t="str">
        <f aca="false">IF($G461="","",IF($G461&lt;1,ROUND($G461*1440,0),INT($G461/100)*60+MOD($G461,100)))</f>
        <v/>
      </c>
      <c r="N461" s="15" t="str">
        <f aca="false">IF(OR($A461="",$B461="",$L461="",$M461="",$J461="취소"),"",IF(SUMPRODUCT(($A$3:$A$2002=$A461)*($B$3:$B$2002=$B461)*($J$3:$J$2002&lt;&gt;"취소")*($L$3:$L$2002&lt;&gt;"")*($M$3:$M$2002&lt;&gt;"")*($L$3:$L$2002&lt;$M461)*($M$3:$M$2002&gt;$L461))&gt;1,"중복","-"))</f>
        <v/>
      </c>
    </row>
    <row r="462" customFormat="false" ht="15" hidden="false" customHeight="true" outlineLevel="0" collapsed="false">
      <c r="A462" s="11"/>
      <c r="B462" s="7"/>
      <c r="C462" s="12" t="str">
        <f aca="false">IF($B462="","",IFERROR(INDEX(자원목록!$B$3:$B$102,MATCH($B462,자원목록!$A$3:$A$102,0)),"미등록자원"))</f>
        <v/>
      </c>
      <c r="D462" s="7"/>
      <c r="E462" s="12" t="str">
        <f aca="false">IF($D462="","",IFERROR(INDEX(고객목록!$B$3:$B$502,MATCH($D462,고객목록!$A$3:$A$502,0)),""))</f>
        <v/>
      </c>
      <c r="F462" s="13"/>
      <c r="G462" s="13"/>
      <c r="H462" s="14" t="str">
        <f aca="false">IF(OR($L462="",$M462=""),"",ROUND(($M462-$L462)/60,2))</f>
        <v/>
      </c>
      <c r="I462" s="9"/>
      <c r="J462" s="7"/>
      <c r="K462" s="7"/>
      <c r="L462" s="15" t="str">
        <f aca="false">IF($F462="","",IF($F462&lt;1,ROUND($F462*1440,0),INT($F462/100)*60+MOD($F462,100)))</f>
        <v/>
      </c>
      <c r="M462" s="15" t="str">
        <f aca="false">IF($G462="","",IF($G462&lt;1,ROUND($G462*1440,0),INT($G462/100)*60+MOD($G462,100)))</f>
        <v/>
      </c>
      <c r="N462" s="15" t="str">
        <f aca="false">IF(OR($A462="",$B462="",$L462="",$M462="",$J462="취소"),"",IF(SUMPRODUCT(($A$3:$A$2002=$A462)*($B$3:$B$2002=$B462)*($J$3:$J$2002&lt;&gt;"취소")*($L$3:$L$2002&lt;&gt;"")*($M$3:$M$2002&lt;&gt;"")*($L$3:$L$2002&lt;$M462)*($M$3:$M$2002&gt;$L462))&gt;1,"중복","-"))</f>
        <v/>
      </c>
    </row>
    <row r="463" customFormat="false" ht="15" hidden="false" customHeight="true" outlineLevel="0" collapsed="false">
      <c r="A463" s="11"/>
      <c r="B463" s="7"/>
      <c r="C463" s="12" t="str">
        <f aca="false">IF($B463="","",IFERROR(INDEX(자원목록!$B$3:$B$102,MATCH($B463,자원목록!$A$3:$A$102,0)),"미등록자원"))</f>
        <v/>
      </c>
      <c r="D463" s="7"/>
      <c r="E463" s="12" t="str">
        <f aca="false">IF($D463="","",IFERROR(INDEX(고객목록!$B$3:$B$502,MATCH($D463,고객목록!$A$3:$A$502,0)),""))</f>
        <v/>
      </c>
      <c r="F463" s="13"/>
      <c r="G463" s="13"/>
      <c r="H463" s="14" t="str">
        <f aca="false">IF(OR($L463="",$M463=""),"",ROUND(($M463-$L463)/60,2))</f>
        <v/>
      </c>
      <c r="I463" s="9"/>
      <c r="J463" s="7"/>
      <c r="K463" s="7"/>
      <c r="L463" s="15" t="str">
        <f aca="false">IF($F463="","",IF($F463&lt;1,ROUND($F463*1440,0),INT($F463/100)*60+MOD($F463,100)))</f>
        <v/>
      </c>
      <c r="M463" s="15" t="str">
        <f aca="false">IF($G463="","",IF($G463&lt;1,ROUND($G463*1440,0),INT($G463/100)*60+MOD($G463,100)))</f>
        <v/>
      </c>
      <c r="N463" s="15" t="str">
        <f aca="false">IF(OR($A463="",$B463="",$L463="",$M463="",$J463="취소"),"",IF(SUMPRODUCT(($A$3:$A$2002=$A463)*($B$3:$B$2002=$B463)*($J$3:$J$2002&lt;&gt;"취소")*($L$3:$L$2002&lt;&gt;"")*($M$3:$M$2002&lt;&gt;"")*($L$3:$L$2002&lt;$M463)*($M$3:$M$2002&gt;$L463))&gt;1,"중복","-"))</f>
        <v/>
      </c>
    </row>
    <row r="464" customFormat="false" ht="15" hidden="false" customHeight="true" outlineLevel="0" collapsed="false">
      <c r="A464" s="11"/>
      <c r="B464" s="7"/>
      <c r="C464" s="12" t="str">
        <f aca="false">IF($B464="","",IFERROR(INDEX(자원목록!$B$3:$B$102,MATCH($B464,자원목록!$A$3:$A$102,0)),"미등록자원"))</f>
        <v/>
      </c>
      <c r="D464" s="7"/>
      <c r="E464" s="12" t="str">
        <f aca="false">IF($D464="","",IFERROR(INDEX(고객목록!$B$3:$B$502,MATCH($D464,고객목록!$A$3:$A$502,0)),""))</f>
        <v/>
      </c>
      <c r="F464" s="13"/>
      <c r="G464" s="13"/>
      <c r="H464" s="14" t="str">
        <f aca="false">IF(OR($L464="",$M464=""),"",ROUND(($M464-$L464)/60,2))</f>
        <v/>
      </c>
      <c r="I464" s="9"/>
      <c r="J464" s="7"/>
      <c r="K464" s="7"/>
      <c r="L464" s="15" t="str">
        <f aca="false">IF($F464="","",IF($F464&lt;1,ROUND($F464*1440,0),INT($F464/100)*60+MOD($F464,100)))</f>
        <v/>
      </c>
      <c r="M464" s="15" t="str">
        <f aca="false">IF($G464="","",IF($G464&lt;1,ROUND($G464*1440,0),INT($G464/100)*60+MOD($G464,100)))</f>
        <v/>
      </c>
      <c r="N464" s="15" t="str">
        <f aca="false">IF(OR($A464="",$B464="",$L464="",$M464="",$J464="취소"),"",IF(SUMPRODUCT(($A$3:$A$2002=$A464)*($B$3:$B$2002=$B464)*($J$3:$J$2002&lt;&gt;"취소")*($L$3:$L$2002&lt;&gt;"")*($M$3:$M$2002&lt;&gt;"")*($L$3:$L$2002&lt;$M464)*($M$3:$M$2002&gt;$L464))&gt;1,"중복","-"))</f>
        <v/>
      </c>
    </row>
    <row r="465" customFormat="false" ht="15" hidden="false" customHeight="true" outlineLevel="0" collapsed="false">
      <c r="A465" s="11"/>
      <c r="B465" s="7"/>
      <c r="C465" s="12" t="str">
        <f aca="false">IF($B465="","",IFERROR(INDEX(자원목록!$B$3:$B$102,MATCH($B465,자원목록!$A$3:$A$102,0)),"미등록자원"))</f>
        <v/>
      </c>
      <c r="D465" s="7"/>
      <c r="E465" s="12" t="str">
        <f aca="false">IF($D465="","",IFERROR(INDEX(고객목록!$B$3:$B$502,MATCH($D465,고객목록!$A$3:$A$502,0)),""))</f>
        <v/>
      </c>
      <c r="F465" s="13"/>
      <c r="G465" s="13"/>
      <c r="H465" s="14" t="str">
        <f aca="false">IF(OR($L465="",$M465=""),"",ROUND(($M465-$L465)/60,2))</f>
        <v/>
      </c>
      <c r="I465" s="9"/>
      <c r="J465" s="7"/>
      <c r="K465" s="7"/>
      <c r="L465" s="15" t="str">
        <f aca="false">IF($F465="","",IF($F465&lt;1,ROUND($F465*1440,0),INT($F465/100)*60+MOD($F465,100)))</f>
        <v/>
      </c>
      <c r="M465" s="15" t="str">
        <f aca="false">IF($G465="","",IF($G465&lt;1,ROUND($G465*1440,0),INT($G465/100)*60+MOD($G465,100)))</f>
        <v/>
      </c>
      <c r="N465" s="15" t="str">
        <f aca="false">IF(OR($A465="",$B465="",$L465="",$M465="",$J465="취소"),"",IF(SUMPRODUCT(($A$3:$A$2002=$A465)*($B$3:$B$2002=$B465)*($J$3:$J$2002&lt;&gt;"취소")*($L$3:$L$2002&lt;&gt;"")*($M$3:$M$2002&lt;&gt;"")*($L$3:$L$2002&lt;$M465)*($M$3:$M$2002&gt;$L465))&gt;1,"중복","-"))</f>
        <v/>
      </c>
    </row>
    <row r="466" customFormat="false" ht="15" hidden="false" customHeight="true" outlineLevel="0" collapsed="false">
      <c r="A466" s="11"/>
      <c r="B466" s="7"/>
      <c r="C466" s="12" t="str">
        <f aca="false">IF($B466="","",IFERROR(INDEX(자원목록!$B$3:$B$102,MATCH($B466,자원목록!$A$3:$A$102,0)),"미등록자원"))</f>
        <v/>
      </c>
      <c r="D466" s="7"/>
      <c r="E466" s="12" t="str">
        <f aca="false">IF($D466="","",IFERROR(INDEX(고객목록!$B$3:$B$502,MATCH($D466,고객목록!$A$3:$A$502,0)),""))</f>
        <v/>
      </c>
      <c r="F466" s="13"/>
      <c r="G466" s="13"/>
      <c r="H466" s="14" t="str">
        <f aca="false">IF(OR($L466="",$M466=""),"",ROUND(($M466-$L466)/60,2))</f>
        <v/>
      </c>
      <c r="I466" s="9"/>
      <c r="J466" s="7"/>
      <c r="K466" s="7"/>
      <c r="L466" s="15" t="str">
        <f aca="false">IF($F466="","",IF($F466&lt;1,ROUND($F466*1440,0),INT($F466/100)*60+MOD($F466,100)))</f>
        <v/>
      </c>
      <c r="M466" s="15" t="str">
        <f aca="false">IF($G466="","",IF($G466&lt;1,ROUND($G466*1440,0),INT($G466/100)*60+MOD($G466,100)))</f>
        <v/>
      </c>
      <c r="N466" s="15" t="str">
        <f aca="false">IF(OR($A466="",$B466="",$L466="",$M466="",$J466="취소"),"",IF(SUMPRODUCT(($A$3:$A$2002=$A466)*($B$3:$B$2002=$B466)*($J$3:$J$2002&lt;&gt;"취소")*($L$3:$L$2002&lt;&gt;"")*($M$3:$M$2002&lt;&gt;"")*($L$3:$L$2002&lt;$M466)*($M$3:$M$2002&gt;$L466))&gt;1,"중복","-"))</f>
        <v/>
      </c>
    </row>
    <row r="467" customFormat="false" ht="15" hidden="false" customHeight="true" outlineLevel="0" collapsed="false">
      <c r="A467" s="11"/>
      <c r="B467" s="7"/>
      <c r="C467" s="12" t="str">
        <f aca="false">IF($B467="","",IFERROR(INDEX(자원목록!$B$3:$B$102,MATCH($B467,자원목록!$A$3:$A$102,0)),"미등록자원"))</f>
        <v/>
      </c>
      <c r="D467" s="7"/>
      <c r="E467" s="12" t="str">
        <f aca="false">IF($D467="","",IFERROR(INDEX(고객목록!$B$3:$B$502,MATCH($D467,고객목록!$A$3:$A$502,0)),""))</f>
        <v/>
      </c>
      <c r="F467" s="13"/>
      <c r="G467" s="13"/>
      <c r="H467" s="14" t="str">
        <f aca="false">IF(OR($L467="",$M467=""),"",ROUND(($M467-$L467)/60,2))</f>
        <v/>
      </c>
      <c r="I467" s="9"/>
      <c r="J467" s="7"/>
      <c r="K467" s="7"/>
      <c r="L467" s="15" t="str">
        <f aca="false">IF($F467="","",IF($F467&lt;1,ROUND($F467*1440,0),INT($F467/100)*60+MOD($F467,100)))</f>
        <v/>
      </c>
      <c r="M467" s="15" t="str">
        <f aca="false">IF($G467="","",IF($G467&lt;1,ROUND($G467*1440,0),INT($G467/100)*60+MOD($G467,100)))</f>
        <v/>
      </c>
      <c r="N467" s="15" t="str">
        <f aca="false">IF(OR($A467="",$B467="",$L467="",$M467="",$J467="취소"),"",IF(SUMPRODUCT(($A$3:$A$2002=$A467)*($B$3:$B$2002=$B467)*($J$3:$J$2002&lt;&gt;"취소")*($L$3:$L$2002&lt;&gt;"")*($M$3:$M$2002&lt;&gt;"")*($L$3:$L$2002&lt;$M467)*($M$3:$M$2002&gt;$L467))&gt;1,"중복","-"))</f>
        <v/>
      </c>
    </row>
    <row r="468" customFormat="false" ht="15" hidden="false" customHeight="true" outlineLevel="0" collapsed="false">
      <c r="A468" s="11"/>
      <c r="B468" s="7"/>
      <c r="C468" s="12" t="str">
        <f aca="false">IF($B468="","",IFERROR(INDEX(자원목록!$B$3:$B$102,MATCH($B468,자원목록!$A$3:$A$102,0)),"미등록자원"))</f>
        <v/>
      </c>
      <c r="D468" s="7"/>
      <c r="E468" s="12" t="str">
        <f aca="false">IF($D468="","",IFERROR(INDEX(고객목록!$B$3:$B$502,MATCH($D468,고객목록!$A$3:$A$502,0)),""))</f>
        <v/>
      </c>
      <c r="F468" s="13"/>
      <c r="G468" s="13"/>
      <c r="H468" s="14" t="str">
        <f aca="false">IF(OR($L468="",$M468=""),"",ROUND(($M468-$L468)/60,2))</f>
        <v/>
      </c>
      <c r="I468" s="9"/>
      <c r="J468" s="7"/>
      <c r="K468" s="7"/>
      <c r="L468" s="15" t="str">
        <f aca="false">IF($F468="","",IF($F468&lt;1,ROUND($F468*1440,0),INT($F468/100)*60+MOD($F468,100)))</f>
        <v/>
      </c>
      <c r="M468" s="15" t="str">
        <f aca="false">IF($G468="","",IF($G468&lt;1,ROUND($G468*1440,0),INT($G468/100)*60+MOD($G468,100)))</f>
        <v/>
      </c>
      <c r="N468" s="15" t="str">
        <f aca="false">IF(OR($A468="",$B468="",$L468="",$M468="",$J468="취소"),"",IF(SUMPRODUCT(($A$3:$A$2002=$A468)*($B$3:$B$2002=$B468)*($J$3:$J$2002&lt;&gt;"취소")*($L$3:$L$2002&lt;&gt;"")*($M$3:$M$2002&lt;&gt;"")*($L$3:$L$2002&lt;$M468)*($M$3:$M$2002&gt;$L468))&gt;1,"중복","-"))</f>
        <v/>
      </c>
    </row>
    <row r="469" customFormat="false" ht="15" hidden="false" customHeight="true" outlineLevel="0" collapsed="false">
      <c r="A469" s="11"/>
      <c r="B469" s="7"/>
      <c r="C469" s="12" t="str">
        <f aca="false">IF($B469="","",IFERROR(INDEX(자원목록!$B$3:$B$102,MATCH($B469,자원목록!$A$3:$A$102,0)),"미등록자원"))</f>
        <v/>
      </c>
      <c r="D469" s="7"/>
      <c r="E469" s="12" t="str">
        <f aca="false">IF($D469="","",IFERROR(INDEX(고객목록!$B$3:$B$502,MATCH($D469,고객목록!$A$3:$A$502,0)),""))</f>
        <v/>
      </c>
      <c r="F469" s="13"/>
      <c r="G469" s="13"/>
      <c r="H469" s="14" t="str">
        <f aca="false">IF(OR($L469="",$M469=""),"",ROUND(($M469-$L469)/60,2))</f>
        <v/>
      </c>
      <c r="I469" s="9"/>
      <c r="J469" s="7"/>
      <c r="K469" s="7"/>
      <c r="L469" s="15" t="str">
        <f aca="false">IF($F469="","",IF($F469&lt;1,ROUND($F469*1440,0),INT($F469/100)*60+MOD($F469,100)))</f>
        <v/>
      </c>
      <c r="M469" s="15" t="str">
        <f aca="false">IF($G469="","",IF($G469&lt;1,ROUND($G469*1440,0),INT($G469/100)*60+MOD($G469,100)))</f>
        <v/>
      </c>
      <c r="N469" s="15" t="str">
        <f aca="false">IF(OR($A469="",$B469="",$L469="",$M469="",$J469="취소"),"",IF(SUMPRODUCT(($A$3:$A$2002=$A469)*($B$3:$B$2002=$B469)*($J$3:$J$2002&lt;&gt;"취소")*($L$3:$L$2002&lt;&gt;"")*($M$3:$M$2002&lt;&gt;"")*($L$3:$L$2002&lt;$M469)*($M$3:$M$2002&gt;$L469))&gt;1,"중복","-"))</f>
        <v/>
      </c>
    </row>
    <row r="470" customFormat="false" ht="15" hidden="false" customHeight="true" outlineLevel="0" collapsed="false">
      <c r="A470" s="11"/>
      <c r="B470" s="7"/>
      <c r="C470" s="12" t="str">
        <f aca="false">IF($B470="","",IFERROR(INDEX(자원목록!$B$3:$B$102,MATCH($B470,자원목록!$A$3:$A$102,0)),"미등록자원"))</f>
        <v/>
      </c>
      <c r="D470" s="7"/>
      <c r="E470" s="12" t="str">
        <f aca="false">IF($D470="","",IFERROR(INDEX(고객목록!$B$3:$B$502,MATCH($D470,고객목록!$A$3:$A$502,0)),""))</f>
        <v/>
      </c>
      <c r="F470" s="13"/>
      <c r="G470" s="13"/>
      <c r="H470" s="14" t="str">
        <f aca="false">IF(OR($L470="",$M470=""),"",ROUND(($M470-$L470)/60,2))</f>
        <v/>
      </c>
      <c r="I470" s="9"/>
      <c r="J470" s="7"/>
      <c r="K470" s="7"/>
      <c r="L470" s="15" t="str">
        <f aca="false">IF($F470="","",IF($F470&lt;1,ROUND($F470*1440,0),INT($F470/100)*60+MOD($F470,100)))</f>
        <v/>
      </c>
      <c r="M470" s="15" t="str">
        <f aca="false">IF($G470="","",IF($G470&lt;1,ROUND($G470*1440,0),INT($G470/100)*60+MOD($G470,100)))</f>
        <v/>
      </c>
      <c r="N470" s="15" t="str">
        <f aca="false">IF(OR($A470="",$B470="",$L470="",$M470="",$J470="취소"),"",IF(SUMPRODUCT(($A$3:$A$2002=$A470)*($B$3:$B$2002=$B470)*($J$3:$J$2002&lt;&gt;"취소")*($L$3:$L$2002&lt;&gt;"")*($M$3:$M$2002&lt;&gt;"")*($L$3:$L$2002&lt;$M470)*($M$3:$M$2002&gt;$L470))&gt;1,"중복","-"))</f>
        <v/>
      </c>
    </row>
    <row r="471" customFormat="false" ht="15" hidden="false" customHeight="true" outlineLevel="0" collapsed="false">
      <c r="A471" s="11"/>
      <c r="B471" s="7"/>
      <c r="C471" s="12" t="str">
        <f aca="false">IF($B471="","",IFERROR(INDEX(자원목록!$B$3:$B$102,MATCH($B471,자원목록!$A$3:$A$102,0)),"미등록자원"))</f>
        <v/>
      </c>
      <c r="D471" s="7"/>
      <c r="E471" s="12" t="str">
        <f aca="false">IF($D471="","",IFERROR(INDEX(고객목록!$B$3:$B$502,MATCH($D471,고객목록!$A$3:$A$502,0)),""))</f>
        <v/>
      </c>
      <c r="F471" s="13"/>
      <c r="G471" s="13"/>
      <c r="H471" s="14" t="str">
        <f aca="false">IF(OR($L471="",$M471=""),"",ROUND(($M471-$L471)/60,2))</f>
        <v/>
      </c>
      <c r="I471" s="9"/>
      <c r="J471" s="7"/>
      <c r="K471" s="7"/>
      <c r="L471" s="15" t="str">
        <f aca="false">IF($F471="","",IF($F471&lt;1,ROUND($F471*1440,0),INT($F471/100)*60+MOD($F471,100)))</f>
        <v/>
      </c>
      <c r="M471" s="15" t="str">
        <f aca="false">IF($G471="","",IF($G471&lt;1,ROUND($G471*1440,0),INT($G471/100)*60+MOD($G471,100)))</f>
        <v/>
      </c>
      <c r="N471" s="15" t="str">
        <f aca="false">IF(OR($A471="",$B471="",$L471="",$M471="",$J471="취소"),"",IF(SUMPRODUCT(($A$3:$A$2002=$A471)*($B$3:$B$2002=$B471)*($J$3:$J$2002&lt;&gt;"취소")*($L$3:$L$2002&lt;&gt;"")*($M$3:$M$2002&lt;&gt;"")*($L$3:$L$2002&lt;$M471)*($M$3:$M$2002&gt;$L471))&gt;1,"중복","-"))</f>
        <v/>
      </c>
    </row>
    <row r="472" customFormat="false" ht="15" hidden="false" customHeight="true" outlineLevel="0" collapsed="false">
      <c r="A472" s="11"/>
      <c r="B472" s="7"/>
      <c r="C472" s="12" t="str">
        <f aca="false">IF($B472="","",IFERROR(INDEX(자원목록!$B$3:$B$102,MATCH($B472,자원목록!$A$3:$A$102,0)),"미등록자원"))</f>
        <v/>
      </c>
      <c r="D472" s="7"/>
      <c r="E472" s="12" t="str">
        <f aca="false">IF($D472="","",IFERROR(INDEX(고객목록!$B$3:$B$502,MATCH($D472,고객목록!$A$3:$A$502,0)),""))</f>
        <v/>
      </c>
      <c r="F472" s="13"/>
      <c r="G472" s="13"/>
      <c r="H472" s="14" t="str">
        <f aca="false">IF(OR($L472="",$M472=""),"",ROUND(($M472-$L472)/60,2))</f>
        <v/>
      </c>
      <c r="I472" s="9"/>
      <c r="J472" s="7"/>
      <c r="K472" s="7"/>
      <c r="L472" s="15" t="str">
        <f aca="false">IF($F472="","",IF($F472&lt;1,ROUND($F472*1440,0),INT($F472/100)*60+MOD($F472,100)))</f>
        <v/>
      </c>
      <c r="M472" s="15" t="str">
        <f aca="false">IF($G472="","",IF($G472&lt;1,ROUND($G472*1440,0),INT($G472/100)*60+MOD($G472,100)))</f>
        <v/>
      </c>
      <c r="N472" s="15" t="str">
        <f aca="false">IF(OR($A472="",$B472="",$L472="",$M472="",$J472="취소"),"",IF(SUMPRODUCT(($A$3:$A$2002=$A472)*($B$3:$B$2002=$B472)*($J$3:$J$2002&lt;&gt;"취소")*($L$3:$L$2002&lt;&gt;"")*($M$3:$M$2002&lt;&gt;"")*($L$3:$L$2002&lt;$M472)*($M$3:$M$2002&gt;$L472))&gt;1,"중복","-"))</f>
        <v/>
      </c>
    </row>
    <row r="473" customFormat="false" ht="15" hidden="false" customHeight="true" outlineLevel="0" collapsed="false">
      <c r="A473" s="11"/>
      <c r="B473" s="7"/>
      <c r="C473" s="12" t="str">
        <f aca="false">IF($B473="","",IFERROR(INDEX(자원목록!$B$3:$B$102,MATCH($B473,자원목록!$A$3:$A$102,0)),"미등록자원"))</f>
        <v/>
      </c>
      <c r="D473" s="7"/>
      <c r="E473" s="12" t="str">
        <f aca="false">IF($D473="","",IFERROR(INDEX(고객목록!$B$3:$B$502,MATCH($D473,고객목록!$A$3:$A$502,0)),""))</f>
        <v/>
      </c>
      <c r="F473" s="13"/>
      <c r="G473" s="13"/>
      <c r="H473" s="14" t="str">
        <f aca="false">IF(OR($L473="",$M473=""),"",ROUND(($M473-$L473)/60,2))</f>
        <v/>
      </c>
      <c r="I473" s="9"/>
      <c r="J473" s="7"/>
      <c r="K473" s="7"/>
      <c r="L473" s="15" t="str">
        <f aca="false">IF($F473="","",IF($F473&lt;1,ROUND($F473*1440,0),INT($F473/100)*60+MOD($F473,100)))</f>
        <v/>
      </c>
      <c r="M473" s="15" t="str">
        <f aca="false">IF($G473="","",IF($G473&lt;1,ROUND($G473*1440,0),INT($G473/100)*60+MOD($G473,100)))</f>
        <v/>
      </c>
      <c r="N473" s="15" t="str">
        <f aca="false">IF(OR($A473="",$B473="",$L473="",$M473="",$J473="취소"),"",IF(SUMPRODUCT(($A$3:$A$2002=$A473)*($B$3:$B$2002=$B473)*($J$3:$J$2002&lt;&gt;"취소")*($L$3:$L$2002&lt;&gt;"")*($M$3:$M$2002&lt;&gt;"")*($L$3:$L$2002&lt;$M473)*($M$3:$M$2002&gt;$L473))&gt;1,"중복","-"))</f>
        <v/>
      </c>
    </row>
    <row r="474" customFormat="false" ht="15" hidden="false" customHeight="true" outlineLevel="0" collapsed="false">
      <c r="A474" s="11"/>
      <c r="B474" s="7"/>
      <c r="C474" s="12" t="str">
        <f aca="false">IF($B474="","",IFERROR(INDEX(자원목록!$B$3:$B$102,MATCH($B474,자원목록!$A$3:$A$102,0)),"미등록자원"))</f>
        <v/>
      </c>
      <c r="D474" s="7"/>
      <c r="E474" s="12" t="str">
        <f aca="false">IF($D474="","",IFERROR(INDEX(고객목록!$B$3:$B$502,MATCH($D474,고객목록!$A$3:$A$502,0)),""))</f>
        <v/>
      </c>
      <c r="F474" s="13"/>
      <c r="G474" s="13"/>
      <c r="H474" s="14" t="str">
        <f aca="false">IF(OR($L474="",$M474=""),"",ROUND(($M474-$L474)/60,2))</f>
        <v/>
      </c>
      <c r="I474" s="9"/>
      <c r="J474" s="7"/>
      <c r="K474" s="7"/>
      <c r="L474" s="15" t="str">
        <f aca="false">IF($F474="","",IF($F474&lt;1,ROUND($F474*1440,0),INT($F474/100)*60+MOD($F474,100)))</f>
        <v/>
      </c>
      <c r="M474" s="15" t="str">
        <f aca="false">IF($G474="","",IF($G474&lt;1,ROUND($G474*1440,0),INT($G474/100)*60+MOD($G474,100)))</f>
        <v/>
      </c>
      <c r="N474" s="15" t="str">
        <f aca="false">IF(OR($A474="",$B474="",$L474="",$M474="",$J474="취소"),"",IF(SUMPRODUCT(($A$3:$A$2002=$A474)*($B$3:$B$2002=$B474)*($J$3:$J$2002&lt;&gt;"취소")*($L$3:$L$2002&lt;&gt;"")*($M$3:$M$2002&lt;&gt;"")*($L$3:$L$2002&lt;$M474)*($M$3:$M$2002&gt;$L474))&gt;1,"중복","-"))</f>
        <v/>
      </c>
    </row>
    <row r="475" customFormat="false" ht="15" hidden="false" customHeight="true" outlineLevel="0" collapsed="false">
      <c r="A475" s="11"/>
      <c r="B475" s="7"/>
      <c r="C475" s="12" t="str">
        <f aca="false">IF($B475="","",IFERROR(INDEX(자원목록!$B$3:$B$102,MATCH($B475,자원목록!$A$3:$A$102,0)),"미등록자원"))</f>
        <v/>
      </c>
      <c r="D475" s="7"/>
      <c r="E475" s="12" t="str">
        <f aca="false">IF($D475="","",IFERROR(INDEX(고객목록!$B$3:$B$502,MATCH($D475,고객목록!$A$3:$A$502,0)),""))</f>
        <v/>
      </c>
      <c r="F475" s="13"/>
      <c r="G475" s="13"/>
      <c r="H475" s="14" t="str">
        <f aca="false">IF(OR($L475="",$M475=""),"",ROUND(($M475-$L475)/60,2))</f>
        <v/>
      </c>
      <c r="I475" s="9"/>
      <c r="J475" s="7"/>
      <c r="K475" s="7"/>
      <c r="L475" s="15" t="str">
        <f aca="false">IF($F475="","",IF($F475&lt;1,ROUND($F475*1440,0),INT($F475/100)*60+MOD($F475,100)))</f>
        <v/>
      </c>
      <c r="M475" s="15" t="str">
        <f aca="false">IF($G475="","",IF($G475&lt;1,ROUND($G475*1440,0),INT($G475/100)*60+MOD($G475,100)))</f>
        <v/>
      </c>
      <c r="N475" s="15" t="str">
        <f aca="false">IF(OR($A475="",$B475="",$L475="",$M475="",$J475="취소"),"",IF(SUMPRODUCT(($A$3:$A$2002=$A475)*($B$3:$B$2002=$B475)*($J$3:$J$2002&lt;&gt;"취소")*($L$3:$L$2002&lt;&gt;"")*($M$3:$M$2002&lt;&gt;"")*($L$3:$L$2002&lt;$M475)*($M$3:$M$2002&gt;$L475))&gt;1,"중복","-"))</f>
        <v/>
      </c>
    </row>
    <row r="476" customFormat="false" ht="15" hidden="false" customHeight="true" outlineLevel="0" collapsed="false">
      <c r="A476" s="11"/>
      <c r="B476" s="7"/>
      <c r="C476" s="12" t="str">
        <f aca="false">IF($B476="","",IFERROR(INDEX(자원목록!$B$3:$B$102,MATCH($B476,자원목록!$A$3:$A$102,0)),"미등록자원"))</f>
        <v/>
      </c>
      <c r="D476" s="7"/>
      <c r="E476" s="12" t="str">
        <f aca="false">IF($D476="","",IFERROR(INDEX(고객목록!$B$3:$B$502,MATCH($D476,고객목록!$A$3:$A$502,0)),""))</f>
        <v/>
      </c>
      <c r="F476" s="13"/>
      <c r="G476" s="13"/>
      <c r="H476" s="14" t="str">
        <f aca="false">IF(OR($L476="",$M476=""),"",ROUND(($M476-$L476)/60,2))</f>
        <v/>
      </c>
      <c r="I476" s="9"/>
      <c r="J476" s="7"/>
      <c r="K476" s="7"/>
      <c r="L476" s="15" t="str">
        <f aca="false">IF($F476="","",IF($F476&lt;1,ROUND($F476*1440,0),INT($F476/100)*60+MOD($F476,100)))</f>
        <v/>
      </c>
      <c r="M476" s="15" t="str">
        <f aca="false">IF($G476="","",IF($G476&lt;1,ROUND($G476*1440,0),INT($G476/100)*60+MOD($G476,100)))</f>
        <v/>
      </c>
      <c r="N476" s="15" t="str">
        <f aca="false">IF(OR($A476="",$B476="",$L476="",$M476="",$J476="취소"),"",IF(SUMPRODUCT(($A$3:$A$2002=$A476)*($B$3:$B$2002=$B476)*($J$3:$J$2002&lt;&gt;"취소")*($L$3:$L$2002&lt;&gt;"")*($M$3:$M$2002&lt;&gt;"")*($L$3:$L$2002&lt;$M476)*($M$3:$M$2002&gt;$L476))&gt;1,"중복","-"))</f>
        <v/>
      </c>
    </row>
    <row r="477" customFormat="false" ht="15" hidden="false" customHeight="true" outlineLevel="0" collapsed="false">
      <c r="A477" s="11"/>
      <c r="B477" s="7"/>
      <c r="C477" s="12" t="str">
        <f aca="false">IF($B477="","",IFERROR(INDEX(자원목록!$B$3:$B$102,MATCH($B477,자원목록!$A$3:$A$102,0)),"미등록자원"))</f>
        <v/>
      </c>
      <c r="D477" s="7"/>
      <c r="E477" s="12" t="str">
        <f aca="false">IF($D477="","",IFERROR(INDEX(고객목록!$B$3:$B$502,MATCH($D477,고객목록!$A$3:$A$502,0)),""))</f>
        <v/>
      </c>
      <c r="F477" s="13"/>
      <c r="G477" s="13"/>
      <c r="H477" s="14" t="str">
        <f aca="false">IF(OR($L477="",$M477=""),"",ROUND(($M477-$L477)/60,2))</f>
        <v/>
      </c>
      <c r="I477" s="9"/>
      <c r="J477" s="7"/>
      <c r="K477" s="7"/>
      <c r="L477" s="15" t="str">
        <f aca="false">IF($F477="","",IF($F477&lt;1,ROUND($F477*1440,0),INT($F477/100)*60+MOD($F477,100)))</f>
        <v/>
      </c>
      <c r="M477" s="15" t="str">
        <f aca="false">IF($G477="","",IF($G477&lt;1,ROUND($G477*1440,0),INT($G477/100)*60+MOD($G477,100)))</f>
        <v/>
      </c>
      <c r="N477" s="15" t="str">
        <f aca="false">IF(OR($A477="",$B477="",$L477="",$M477="",$J477="취소"),"",IF(SUMPRODUCT(($A$3:$A$2002=$A477)*($B$3:$B$2002=$B477)*($J$3:$J$2002&lt;&gt;"취소")*($L$3:$L$2002&lt;&gt;"")*($M$3:$M$2002&lt;&gt;"")*($L$3:$L$2002&lt;$M477)*($M$3:$M$2002&gt;$L477))&gt;1,"중복","-"))</f>
        <v/>
      </c>
    </row>
    <row r="478" customFormat="false" ht="15" hidden="false" customHeight="true" outlineLevel="0" collapsed="false">
      <c r="A478" s="11"/>
      <c r="B478" s="7"/>
      <c r="C478" s="12" t="str">
        <f aca="false">IF($B478="","",IFERROR(INDEX(자원목록!$B$3:$B$102,MATCH($B478,자원목록!$A$3:$A$102,0)),"미등록자원"))</f>
        <v/>
      </c>
      <c r="D478" s="7"/>
      <c r="E478" s="12" t="str">
        <f aca="false">IF($D478="","",IFERROR(INDEX(고객목록!$B$3:$B$502,MATCH($D478,고객목록!$A$3:$A$502,0)),""))</f>
        <v/>
      </c>
      <c r="F478" s="13"/>
      <c r="G478" s="13"/>
      <c r="H478" s="14" t="str">
        <f aca="false">IF(OR($L478="",$M478=""),"",ROUND(($M478-$L478)/60,2))</f>
        <v/>
      </c>
      <c r="I478" s="9"/>
      <c r="J478" s="7"/>
      <c r="K478" s="7"/>
      <c r="L478" s="15" t="str">
        <f aca="false">IF($F478="","",IF($F478&lt;1,ROUND($F478*1440,0),INT($F478/100)*60+MOD($F478,100)))</f>
        <v/>
      </c>
      <c r="M478" s="15" t="str">
        <f aca="false">IF($G478="","",IF($G478&lt;1,ROUND($G478*1440,0),INT($G478/100)*60+MOD($G478,100)))</f>
        <v/>
      </c>
      <c r="N478" s="15" t="str">
        <f aca="false">IF(OR($A478="",$B478="",$L478="",$M478="",$J478="취소"),"",IF(SUMPRODUCT(($A$3:$A$2002=$A478)*($B$3:$B$2002=$B478)*($J$3:$J$2002&lt;&gt;"취소")*($L$3:$L$2002&lt;&gt;"")*($M$3:$M$2002&lt;&gt;"")*($L$3:$L$2002&lt;$M478)*($M$3:$M$2002&gt;$L478))&gt;1,"중복","-"))</f>
        <v/>
      </c>
    </row>
    <row r="479" customFormat="false" ht="15" hidden="false" customHeight="true" outlineLevel="0" collapsed="false">
      <c r="A479" s="11"/>
      <c r="B479" s="7"/>
      <c r="C479" s="12" t="str">
        <f aca="false">IF($B479="","",IFERROR(INDEX(자원목록!$B$3:$B$102,MATCH($B479,자원목록!$A$3:$A$102,0)),"미등록자원"))</f>
        <v/>
      </c>
      <c r="D479" s="7"/>
      <c r="E479" s="12" t="str">
        <f aca="false">IF($D479="","",IFERROR(INDEX(고객목록!$B$3:$B$502,MATCH($D479,고객목록!$A$3:$A$502,0)),""))</f>
        <v/>
      </c>
      <c r="F479" s="13"/>
      <c r="G479" s="13"/>
      <c r="H479" s="14" t="str">
        <f aca="false">IF(OR($L479="",$M479=""),"",ROUND(($M479-$L479)/60,2))</f>
        <v/>
      </c>
      <c r="I479" s="9"/>
      <c r="J479" s="7"/>
      <c r="K479" s="7"/>
      <c r="L479" s="15" t="str">
        <f aca="false">IF($F479="","",IF($F479&lt;1,ROUND($F479*1440,0),INT($F479/100)*60+MOD($F479,100)))</f>
        <v/>
      </c>
      <c r="M479" s="15" t="str">
        <f aca="false">IF($G479="","",IF($G479&lt;1,ROUND($G479*1440,0),INT($G479/100)*60+MOD($G479,100)))</f>
        <v/>
      </c>
      <c r="N479" s="15" t="str">
        <f aca="false">IF(OR($A479="",$B479="",$L479="",$M479="",$J479="취소"),"",IF(SUMPRODUCT(($A$3:$A$2002=$A479)*($B$3:$B$2002=$B479)*($J$3:$J$2002&lt;&gt;"취소")*($L$3:$L$2002&lt;&gt;"")*($M$3:$M$2002&lt;&gt;"")*($L$3:$L$2002&lt;$M479)*($M$3:$M$2002&gt;$L479))&gt;1,"중복","-"))</f>
        <v/>
      </c>
    </row>
    <row r="480" customFormat="false" ht="15" hidden="false" customHeight="true" outlineLevel="0" collapsed="false">
      <c r="A480" s="11"/>
      <c r="B480" s="7"/>
      <c r="C480" s="12" t="str">
        <f aca="false">IF($B480="","",IFERROR(INDEX(자원목록!$B$3:$B$102,MATCH($B480,자원목록!$A$3:$A$102,0)),"미등록자원"))</f>
        <v/>
      </c>
      <c r="D480" s="7"/>
      <c r="E480" s="12" t="str">
        <f aca="false">IF($D480="","",IFERROR(INDEX(고객목록!$B$3:$B$502,MATCH($D480,고객목록!$A$3:$A$502,0)),""))</f>
        <v/>
      </c>
      <c r="F480" s="13"/>
      <c r="G480" s="13"/>
      <c r="H480" s="14" t="str">
        <f aca="false">IF(OR($L480="",$M480=""),"",ROUND(($M480-$L480)/60,2))</f>
        <v/>
      </c>
      <c r="I480" s="9"/>
      <c r="J480" s="7"/>
      <c r="K480" s="7"/>
      <c r="L480" s="15" t="str">
        <f aca="false">IF($F480="","",IF($F480&lt;1,ROUND($F480*1440,0),INT($F480/100)*60+MOD($F480,100)))</f>
        <v/>
      </c>
      <c r="M480" s="15" t="str">
        <f aca="false">IF($G480="","",IF($G480&lt;1,ROUND($G480*1440,0),INT($G480/100)*60+MOD($G480,100)))</f>
        <v/>
      </c>
      <c r="N480" s="15" t="str">
        <f aca="false">IF(OR($A480="",$B480="",$L480="",$M480="",$J480="취소"),"",IF(SUMPRODUCT(($A$3:$A$2002=$A480)*($B$3:$B$2002=$B480)*($J$3:$J$2002&lt;&gt;"취소")*($L$3:$L$2002&lt;&gt;"")*($M$3:$M$2002&lt;&gt;"")*($L$3:$L$2002&lt;$M480)*($M$3:$M$2002&gt;$L480))&gt;1,"중복","-"))</f>
        <v/>
      </c>
    </row>
    <row r="481" customFormat="false" ht="15" hidden="false" customHeight="true" outlineLevel="0" collapsed="false">
      <c r="A481" s="11"/>
      <c r="B481" s="7"/>
      <c r="C481" s="12" t="str">
        <f aca="false">IF($B481="","",IFERROR(INDEX(자원목록!$B$3:$B$102,MATCH($B481,자원목록!$A$3:$A$102,0)),"미등록자원"))</f>
        <v/>
      </c>
      <c r="D481" s="7"/>
      <c r="E481" s="12" t="str">
        <f aca="false">IF($D481="","",IFERROR(INDEX(고객목록!$B$3:$B$502,MATCH($D481,고객목록!$A$3:$A$502,0)),""))</f>
        <v/>
      </c>
      <c r="F481" s="13"/>
      <c r="G481" s="13"/>
      <c r="H481" s="14" t="str">
        <f aca="false">IF(OR($L481="",$M481=""),"",ROUND(($M481-$L481)/60,2))</f>
        <v/>
      </c>
      <c r="I481" s="9"/>
      <c r="J481" s="7"/>
      <c r="K481" s="7"/>
      <c r="L481" s="15" t="str">
        <f aca="false">IF($F481="","",IF($F481&lt;1,ROUND($F481*1440,0),INT($F481/100)*60+MOD($F481,100)))</f>
        <v/>
      </c>
      <c r="M481" s="15" t="str">
        <f aca="false">IF($G481="","",IF($G481&lt;1,ROUND($G481*1440,0),INT($G481/100)*60+MOD($G481,100)))</f>
        <v/>
      </c>
      <c r="N481" s="15" t="str">
        <f aca="false">IF(OR($A481="",$B481="",$L481="",$M481="",$J481="취소"),"",IF(SUMPRODUCT(($A$3:$A$2002=$A481)*($B$3:$B$2002=$B481)*($J$3:$J$2002&lt;&gt;"취소")*($L$3:$L$2002&lt;&gt;"")*($M$3:$M$2002&lt;&gt;"")*($L$3:$L$2002&lt;$M481)*($M$3:$M$2002&gt;$L481))&gt;1,"중복","-"))</f>
        <v/>
      </c>
    </row>
    <row r="482" customFormat="false" ht="15" hidden="false" customHeight="true" outlineLevel="0" collapsed="false">
      <c r="A482" s="11"/>
      <c r="B482" s="7"/>
      <c r="C482" s="12" t="str">
        <f aca="false">IF($B482="","",IFERROR(INDEX(자원목록!$B$3:$B$102,MATCH($B482,자원목록!$A$3:$A$102,0)),"미등록자원"))</f>
        <v/>
      </c>
      <c r="D482" s="7"/>
      <c r="E482" s="12" t="str">
        <f aca="false">IF($D482="","",IFERROR(INDEX(고객목록!$B$3:$B$502,MATCH($D482,고객목록!$A$3:$A$502,0)),""))</f>
        <v/>
      </c>
      <c r="F482" s="13"/>
      <c r="G482" s="13"/>
      <c r="H482" s="14" t="str">
        <f aca="false">IF(OR($L482="",$M482=""),"",ROUND(($M482-$L482)/60,2))</f>
        <v/>
      </c>
      <c r="I482" s="9"/>
      <c r="J482" s="7"/>
      <c r="K482" s="7"/>
      <c r="L482" s="15" t="str">
        <f aca="false">IF($F482="","",IF($F482&lt;1,ROUND($F482*1440,0),INT($F482/100)*60+MOD($F482,100)))</f>
        <v/>
      </c>
      <c r="M482" s="15" t="str">
        <f aca="false">IF($G482="","",IF($G482&lt;1,ROUND($G482*1440,0),INT($G482/100)*60+MOD($G482,100)))</f>
        <v/>
      </c>
      <c r="N482" s="15" t="str">
        <f aca="false">IF(OR($A482="",$B482="",$L482="",$M482="",$J482="취소"),"",IF(SUMPRODUCT(($A$3:$A$2002=$A482)*($B$3:$B$2002=$B482)*($J$3:$J$2002&lt;&gt;"취소")*($L$3:$L$2002&lt;&gt;"")*($M$3:$M$2002&lt;&gt;"")*($L$3:$L$2002&lt;$M482)*($M$3:$M$2002&gt;$L482))&gt;1,"중복","-"))</f>
        <v/>
      </c>
    </row>
    <row r="483" customFormat="false" ht="15" hidden="false" customHeight="true" outlineLevel="0" collapsed="false">
      <c r="A483" s="11"/>
      <c r="B483" s="7"/>
      <c r="C483" s="12" t="str">
        <f aca="false">IF($B483="","",IFERROR(INDEX(자원목록!$B$3:$B$102,MATCH($B483,자원목록!$A$3:$A$102,0)),"미등록자원"))</f>
        <v/>
      </c>
      <c r="D483" s="7"/>
      <c r="E483" s="12" t="str">
        <f aca="false">IF($D483="","",IFERROR(INDEX(고객목록!$B$3:$B$502,MATCH($D483,고객목록!$A$3:$A$502,0)),""))</f>
        <v/>
      </c>
      <c r="F483" s="13"/>
      <c r="G483" s="13"/>
      <c r="H483" s="14" t="str">
        <f aca="false">IF(OR($L483="",$M483=""),"",ROUND(($M483-$L483)/60,2))</f>
        <v/>
      </c>
      <c r="I483" s="9"/>
      <c r="J483" s="7"/>
      <c r="K483" s="7"/>
      <c r="L483" s="15" t="str">
        <f aca="false">IF($F483="","",IF($F483&lt;1,ROUND($F483*1440,0),INT($F483/100)*60+MOD($F483,100)))</f>
        <v/>
      </c>
      <c r="M483" s="15" t="str">
        <f aca="false">IF($G483="","",IF($G483&lt;1,ROUND($G483*1440,0),INT($G483/100)*60+MOD($G483,100)))</f>
        <v/>
      </c>
      <c r="N483" s="15" t="str">
        <f aca="false">IF(OR($A483="",$B483="",$L483="",$M483="",$J483="취소"),"",IF(SUMPRODUCT(($A$3:$A$2002=$A483)*($B$3:$B$2002=$B483)*($J$3:$J$2002&lt;&gt;"취소")*($L$3:$L$2002&lt;&gt;"")*($M$3:$M$2002&lt;&gt;"")*($L$3:$L$2002&lt;$M483)*($M$3:$M$2002&gt;$L483))&gt;1,"중복","-"))</f>
        <v/>
      </c>
    </row>
    <row r="484" customFormat="false" ht="15" hidden="false" customHeight="true" outlineLevel="0" collapsed="false">
      <c r="A484" s="11"/>
      <c r="B484" s="7"/>
      <c r="C484" s="12" t="str">
        <f aca="false">IF($B484="","",IFERROR(INDEX(자원목록!$B$3:$B$102,MATCH($B484,자원목록!$A$3:$A$102,0)),"미등록자원"))</f>
        <v/>
      </c>
      <c r="D484" s="7"/>
      <c r="E484" s="12" t="str">
        <f aca="false">IF($D484="","",IFERROR(INDEX(고객목록!$B$3:$B$502,MATCH($D484,고객목록!$A$3:$A$502,0)),""))</f>
        <v/>
      </c>
      <c r="F484" s="13"/>
      <c r="G484" s="13"/>
      <c r="H484" s="14" t="str">
        <f aca="false">IF(OR($L484="",$M484=""),"",ROUND(($M484-$L484)/60,2))</f>
        <v/>
      </c>
      <c r="I484" s="9"/>
      <c r="J484" s="7"/>
      <c r="K484" s="7"/>
      <c r="L484" s="15" t="str">
        <f aca="false">IF($F484="","",IF($F484&lt;1,ROUND($F484*1440,0),INT($F484/100)*60+MOD($F484,100)))</f>
        <v/>
      </c>
      <c r="M484" s="15" t="str">
        <f aca="false">IF($G484="","",IF($G484&lt;1,ROUND($G484*1440,0),INT($G484/100)*60+MOD($G484,100)))</f>
        <v/>
      </c>
      <c r="N484" s="15" t="str">
        <f aca="false">IF(OR($A484="",$B484="",$L484="",$M484="",$J484="취소"),"",IF(SUMPRODUCT(($A$3:$A$2002=$A484)*($B$3:$B$2002=$B484)*($J$3:$J$2002&lt;&gt;"취소")*($L$3:$L$2002&lt;&gt;"")*($M$3:$M$2002&lt;&gt;"")*($L$3:$L$2002&lt;$M484)*($M$3:$M$2002&gt;$L484))&gt;1,"중복","-"))</f>
        <v/>
      </c>
    </row>
    <row r="485" customFormat="false" ht="15" hidden="false" customHeight="true" outlineLevel="0" collapsed="false">
      <c r="A485" s="11"/>
      <c r="B485" s="7"/>
      <c r="C485" s="12" t="str">
        <f aca="false">IF($B485="","",IFERROR(INDEX(자원목록!$B$3:$B$102,MATCH($B485,자원목록!$A$3:$A$102,0)),"미등록자원"))</f>
        <v/>
      </c>
      <c r="D485" s="7"/>
      <c r="E485" s="12" t="str">
        <f aca="false">IF($D485="","",IFERROR(INDEX(고객목록!$B$3:$B$502,MATCH($D485,고객목록!$A$3:$A$502,0)),""))</f>
        <v/>
      </c>
      <c r="F485" s="13"/>
      <c r="G485" s="13"/>
      <c r="H485" s="14" t="str">
        <f aca="false">IF(OR($L485="",$M485=""),"",ROUND(($M485-$L485)/60,2))</f>
        <v/>
      </c>
      <c r="I485" s="9"/>
      <c r="J485" s="7"/>
      <c r="K485" s="7"/>
      <c r="L485" s="15" t="str">
        <f aca="false">IF($F485="","",IF($F485&lt;1,ROUND($F485*1440,0),INT($F485/100)*60+MOD($F485,100)))</f>
        <v/>
      </c>
      <c r="M485" s="15" t="str">
        <f aca="false">IF($G485="","",IF($G485&lt;1,ROUND($G485*1440,0),INT($G485/100)*60+MOD($G485,100)))</f>
        <v/>
      </c>
      <c r="N485" s="15" t="str">
        <f aca="false">IF(OR($A485="",$B485="",$L485="",$M485="",$J485="취소"),"",IF(SUMPRODUCT(($A$3:$A$2002=$A485)*($B$3:$B$2002=$B485)*($J$3:$J$2002&lt;&gt;"취소")*($L$3:$L$2002&lt;&gt;"")*($M$3:$M$2002&lt;&gt;"")*($L$3:$L$2002&lt;$M485)*($M$3:$M$2002&gt;$L485))&gt;1,"중복","-"))</f>
        <v/>
      </c>
    </row>
    <row r="486" customFormat="false" ht="15" hidden="false" customHeight="true" outlineLevel="0" collapsed="false">
      <c r="A486" s="11"/>
      <c r="B486" s="7"/>
      <c r="C486" s="12" t="str">
        <f aca="false">IF($B486="","",IFERROR(INDEX(자원목록!$B$3:$B$102,MATCH($B486,자원목록!$A$3:$A$102,0)),"미등록자원"))</f>
        <v/>
      </c>
      <c r="D486" s="7"/>
      <c r="E486" s="12" t="str">
        <f aca="false">IF($D486="","",IFERROR(INDEX(고객목록!$B$3:$B$502,MATCH($D486,고객목록!$A$3:$A$502,0)),""))</f>
        <v/>
      </c>
      <c r="F486" s="13"/>
      <c r="G486" s="13"/>
      <c r="H486" s="14" t="str">
        <f aca="false">IF(OR($L486="",$M486=""),"",ROUND(($M486-$L486)/60,2))</f>
        <v/>
      </c>
      <c r="I486" s="9"/>
      <c r="J486" s="7"/>
      <c r="K486" s="7"/>
      <c r="L486" s="15" t="str">
        <f aca="false">IF($F486="","",IF($F486&lt;1,ROUND($F486*1440,0),INT($F486/100)*60+MOD($F486,100)))</f>
        <v/>
      </c>
      <c r="M486" s="15" t="str">
        <f aca="false">IF($G486="","",IF($G486&lt;1,ROUND($G486*1440,0),INT($G486/100)*60+MOD($G486,100)))</f>
        <v/>
      </c>
      <c r="N486" s="15" t="str">
        <f aca="false">IF(OR($A486="",$B486="",$L486="",$M486="",$J486="취소"),"",IF(SUMPRODUCT(($A$3:$A$2002=$A486)*($B$3:$B$2002=$B486)*($J$3:$J$2002&lt;&gt;"취소")*($L$3:$L$2002&lt;&gt;"")*($M$3:$M$2002&lt;&gt;"")*($L$3:$L$2002&lt;$M486)*($M$3:$M$2002&gt;$L486))&gt;1,"중복","-"))</f>
        <v/>
      </c>
    </row>
    <row r="487" customFormat="false" ht="15" hidden="false" customHeight="true" outlineLevel="0" collapsed="false">
      <c r="A487" s="11"/>
      <c r="B487" s="7"/>
      <c r="C487" s="12" t="str">
        <f aca="false">IF($B487="","",IFERROR(INDEX(자원목록!$B$3:$B$102,MATCH($B487,자원목록!$A$3:$A$102,0)),"미등록자원"))</f>
        <v/>
      </c>
      <c r="D487" s="7"/>
      <c r="E487" s="12" t="str">
        <f aca="false">IF($D487="","",IFERROR(INDEX(고객목록!$B$3:$B$502,MATCH($D487,고객목록!$A$3:$A$502,0)),""))</f>
        <v/>
      </c>
      <c r="F487" s="13"/>
      <c r="G487" s="13"/>
      <c r="H487" s="14" t="str">
        <f aca="false">IF(OR($L487="",$M487=""),"",ROUND(($M487-$L487)/60,2))</f>
        <v/>
      </c>
      <c r="I487" s="9"/>
      <c r="J487" s="7"/>
      <c r="K487" s="7"/>
      <c r="L487" s="15" t="str">
        <f aca="false">IF($F487="","",IF($F487&lt;1,ROUND($F487*1440,0),INT($F487/100)*60+MOD($F487,100)))</f>
        <v/>
      </c>
      <c r="M487" s="15" t="str">
        <f aca="false">IF($G487="","",IF($G487&lt;1,ROUND($G487*1440,0),INT($G487/100)*60+MOD($G487,100)))</f>
        <v/>
      </c>
      <c r="N487" s="15" t="str">
        <f aca="false">IF(OR($A487="",$B487="",$L487="",$M487="",$J487="취소"),"",IF(SUMPRODUCT(($A$3:$A$2002=$A487)*($B$3:$B$2002=$B487)*($J$3:$J$2002&lt;&gt;"취소")*($L$3:$L$2002&lt;&gt;"")*($M$3:$M$2002&lt;&gt;"")*($L$3:$L$2002&lt;$M487)*($M$3:$M$2002&gt;$L487))&gt;1,"중복","-"))</f>
        <v/>
      </c>
    </row>
    <row r="488" customFormat="false" ht="15" hidden="false" customHeight="true" outlineLevel="0" collapsed="false">
      <c r="A488" s="11"/>
      <c r="B488" s="7"/>
      <c r="C488" s="12" t="str">
        <f aca="false">IF($B488="","",IFERROR(INDEX(자원목록!$B$3:$B$102,MATCH($B488,자원목록!$A$3:$A$102,0)),"미등록자원"))</f>
        <v/>
      </c>
      <c r="D488" s="7"/>
      <c r="E488" s="12" t="str">
        <f aca="false">IF($D488="","",IFERROR(INDEX(고객목록!$B$3:$B$502,MATCH($D488,고객목록!$A$3:$A$502,0)),""))</f>
        <v/>
      </c>
      <c r="F488" s="13"/>
      <c r="G488" s="13"/>
      <c r="H488" s="14" t="str">
        <f aca="false">IF(OR($L488="",$M488=""),"",ROUND(($M488-$L488)/60,2))</f>
        <v/>
      </c>
      <c r="I488" s="9"/>
      <c r="J488" s="7"/>
      <c r="K488" s="7"/>
      <c r="L488" s="15" t="str">
        <f aca="false">IF($F488="","",IF($F488&lt;1,ROUND($F488*1440,0),INT($F488/100)*60+MOD($F488,100)))</f>
        <v/>
      </c>
      <c r="M488" s="15" t="str">
        <f aca="false">IF($G488="","",IF($G488&lt;1,ROUND($G488*1440,0),INT($G488/100)*60+MOD($G488,100)))</f>
        <v/>
      </c>
      <c r="N488" s="15" t="str">
        <f aca="false">IF(OR($A488="",$B488="",$L488="",$M488="",$J488="취소"),"",IF(SUMPRODUCT(($A$3:$A$2002=$A488)*($B$3:$B$2002=$B488)*($J$3:$J$2002&lt;&gt;"취소")*($L$3:$L$2002&lt;&gt;"")*($M$3:$M$2002&lt;&gt;"")*($L$3:$L$2002&lt;$M488)*($M$3:$M$2002&gt;$L488))&gt;1,"중복","-"))</f>
        <v/>
      </c>
    </row>
    <row r="489" customFormat="false" ht="15" hidden="false" customHeight="true" outlineLevel="0" collapsed="false">
      <c r="A489" s="11"/>
      <c r="B489" s="7"/>
      <c r="C489" s="12" t="str">
        <f aca="false">IF($B489="","",IFERROR(INDEX(자원목록!$B$3:$B$102,MATCH($B489,자원목록!$A$3:$A$102,0)),"미등록자원"))</f>
        <v/>
      </c>
      <c r="D489" s="7"/>
      <c r="E489" s="12" t="str">
        <f aca="false">IF($D489="","",IFERROR(INDEX(고객목록!$B$3:$B$502,MATCH($D489,고객목록!$A$3:$A$502,0)),""))</f>
        <v/>
      </c>
      <c r="F489" s="13"/>
      <c r="G489" s="13"/>
      <c r="H489" s="14" t="str">
        <f aca="false">IF(OR($L489="",$M489=""),"",ROUND(($M489-$L489)/60,2))</f>
        <v/>
      </c>
      <c r="I489" s="9"/>
      <c r="J489" s="7"/>
      <c r="K489" s="7"/>
      <c r="L489" s="15" t="str">
        <f aca="false">IF($F489="","",IF($F489&lt;1,ROUND($F489*1440,0),INT($F489/100)*60+MOD($F489,100)))</f>
        <v/>
      </c>
      <c r="M489" s="15" t="str">
        <f aca="false">IF($G489="","",IF($G489&lt;1,ROUND($G489*1440,0),INT($G489/100)*60+MOD($G489,100)))</f>
        <v/>
      </c>
      <c r="N489" s="15" t="str">
        <f aca="false">IF(OR($A489="",$B489="",$L489="",$M489="",$J489="취소"),"",IF(SUMPRODUCT(($A$3:$A$2002=$A489)*($B$3:$B$2002=$B489)*($J$3:$J$2002&lt;&gt;"취소")*($L$3:$L$2002&lt;&gt;"")*($M$3:$M$2002&lt;&gt;"")*($L$3:$L$2002&lt;$M489)*($M$3:$M$2002&gt;$L489))&gt;1,"중복","-"))</f>
        <v/>
      </c>
    </row>
    <row r="490" customFormat="false" ht="15" hidden="false" customHeight="true" outlineLevel="0" collapsed="false">
      <c r="A490" s="11"/>
      <c r="B490" s="7"/>
      <c r="C490" s="12" t="str">
        <f aca="false">IF($B490="","",IFERROR(INDEX(자원목록!$B$3:$B$102,MATCH($B490,자원목록!$A$3:$A$102,0)),"미등록자원"))</f>
        <v/>
      </c>
      <c r="D490" s="7"/>
      <c r="E490" s="12" t="str">
        <f aca="false">IF($D490="","",IFERROR(INDEX(고객목록!$B$3:$B$502,MATCH($D490,고객목록!$A$3:$A$502,0)),""))</f>
        <v/>
      </c>
      <c r="F490" s="13"/>
      <c r="G490" s="13"/>
      <c r="H490" s="14" t="str">
        <f aca="false">IF(OR($L490="",$M490=""),"",ROUND(($M490-$L490)/60,2))</f>
        <v/>
      </c>
      <c r="I490" s="9"/>
      <c r="J490" s="7"/>
      <c r="K490" s="7"/>
      <c r="L490" s="15" t="str">
        <f aca="false">IF($F490="","",IF($F490&lt;1,ROUND($F490*1440,0),INT($F490/100)*60+MOD($F490,100)))</f>
        <v/>
      </c>
      <c r="M490" s="15" t="str">
        <f aca="false">IF($G490="","",IF($G490&lt;1,ROUND($G490*1440,0),INT($G490/100)*60+MOD($G490,100)))</f>
        <v/>
      </c>
      <c r="N490" s="15" t="str">
        <f aca="false">IF(OR($A490="",$B490="",$L490="",$M490="",$J490="취소"),"",IF(SUMPRODUCT(($A$3:$A$2002=$A490)*($B$3:$B$2002=$B490)*($J$3:$J$2002&lt;&gt;"취소")*($L$3:$L$2002&lt;&gt;"")*($M$3:$M$2002&lt;&gt;"")*($L$3:$L$2002&lt;$M490)*($M$3:$M$2002&gt;$L490))&gt;1,"중복","-"))</f>
        <v/>
      </c>
    </row>
    <row r="491" customFormat="false" ht="15" hidden="false" customHeight="true" outlineLevel="0" collapsed="false">
      <c r="A491" s="11"/>
      <c r="B491" s="7"/>
      <c r="C491" s="12" t="str">
        <f aca="false">IF($B491="","",IFERROR(INDEX(자원목록!$B$3:$B$102,MATCH($B491,자원목록!$A$3:$A$102,0)),"미등록자원"))</f>
        <v/>
      </c>
      <c r="D491" s="7"/>
      <c r="E491" s="12" t="str">
        <f aca="false">IF($D491="","",IFERROR(INDEX(고객목록!$B$3:$B$502,MATCH($D491,고객목록!$A$3:$A$502,0)),""))</f>
        <v/>
      </c>
      <c r="F491" s="13"/>
      <c r="G491" s="13"/>
      <c r="H491" s="14" t="str">
        <f aca="false">IF(OR($L491="",$M491=""),"",ROUND(($M491-$L491)/60,2))</f>
        <v/>
      </c>
      <c r="I491" s="9"/>
      <c r="J491" s="7"/>
      <c r="K491" s="7"/>
      <c r="L491" s="15" t="str">
        <f aca="false">IF($F491="","",IF($F491&lt;1,ROUND($F491*1440,0),INT($F491/100)*60+MOD($F491,100)))</f>
        <v/>
      </c>
      <c r="M491" s="15" t="str">
        <f aca="false">IF($G491="","",IF($G491&lt;1,ROUND($G491*1440,0),INT($G491/100)*60+MOD($G491,100)))</f>
        <v/>
      </c>
      <c r="N491" s="15" t="str">
        <f aca="false">IF(OR($A491="",$B491="",$L491="",$M491="",$J491="취소"),"",IF(SUMPRODUCT(($A$3:$A$2002=$A491)*($B$3:$B$2002=$B491)*($J$3:$J$2002&lt;&gt;"취소")*($L$3:$L$2002&lt;&gt;"")*($M$3:$M$2002&lt;&gt;"")*($L$3:$L$2002&lt;$M491)*($M$3:$M$2002&gt;$L491))&gt;1,"중복","-"))</f>
        <v/>
      </c>
    </row>
    <row r="492" customFormat="false" ht="15" hidden="false" customHeight="true" outlineLevel="0" collapsed="false">
      <c r="A492" s="11"/>
      <c r="B492" s="7"/>
      <c r="C492" s="12" t="str">
        <f aca="false">IF($B492="","",IFERROR(INDEX(자원목록!$B$3:$B$102,MATCH($B492,자원목록!$A$3:$A$102,0)),"미등록자원"))</f>
        <v/>
      </c>
      <c r="D492" s="7"/>
      <c r="E492" s="12" t="str">
        <f aca="false">IF($D492="","",IFERROR(INDEX(고객목록!$B$3:$B$502,MATCH($D492,고객목록!$A$3:$A$502,0)),""))</f>
        <v/>
      </c>
      <c r="F492" s="13"/>
      <c r="G492" s="13"/>
      <c r="H492" s="14" t="str">
        <f aca="false">IF(OR($L492="",$M492=""),"",ROUND(($M492-$L492)/60,2))</f>
        <v/>
      </c>
      <c r="I492" s="9"/>
      <c r="J492" s="7"/>
      <c r="K492" s="7"/>
      <c r="L492" s="15" t="str">
        <f aca="false">IF($F492="","",IF($F492&lt;1,ROUND($F492*1440,0),INT($F492/100)*60+MOD($F492,100)))</f>
        <v/>
      </c>
      <c r="M492" s="15" t="str">
        <f aca="false">IF($G492="","",IF($G492&lt;1,ROUND($G492*1440,0),INT($G492/100)*60+MOD($G492,100)))</f>
        <v/>
      </c>
      <c r="N492" s="15" t="str">
        <f aca="false">IF(OR($A492="",$B492="",$L492="",$M492="",$J492="취소"),"",IF(SUMPRODUCT(($A$3:$A$2002=$A492)*($B$3:$B$2002=$B492)*($J$3:$J$2002&lt;&gt;"취소")*($L$3:$L$2002&lt;&gt;"")*($M$3:$M$2002&lt;&gt;"")*($L$3:$L$2002&lt;$M492)*($M$3:$M$2002&gt;$L492))&gt;1,"중복","-"))</f>
        <v/>
      </c>
    </row>
    <row r="493" customFormat="false" ht="15" hidden="false" customHeight="true" outlineLevel="0" collapsed="false">
      <c r="A493" s="11"/>
      <c r="B493" s="7"/>
      <c r="C493" s="12" t="str">
        <f aca="false">IF($B493="","",IFERROR(INDEX(자원목록!$B$3:$B$102,MATCH($B493,자원목록!$A$3:$A$102,0)),"미등록자원"))</f>
        <v/>
      </c>
      <c r="D493" s="7"/>
      <c r="E493" s="12" t="str">
        <f aca="false">IF($D493="","",IFERROR(INDEX(고객목록!$B$3:$B$502,MATCH($D493,고객목록!$A$3:$A$502,0)),""))</f>
        <v/>
      </c>
      <c r="F493" s="13"/>
      <c r="G493" s="13"/>
      <c r="H493" s="14" t="str">
        <f aca="false">IF(OR($L493="",$M493=""),"",ROUND(($M493-$L493)/60,2))</f>
        <v/>
      </c>
      <c r="I493" s="9"/>
      <c r="J493" s="7"/>
      <c r="K493" s="7"/>
      <c r="L493" s="15" t="str">
        <f aca="false">IF($F493="","",IF($F493&lt;1,ROUND($F493*1440,0),INT($F493/100)*60+MOD($F493,100)))</f>
        <v/>
      </c>
      <c r="M493" s="15" t="str">
        <f aca="false">IF($G493="","",IF($G493&lt;1,ROUND($G493*1440,0),INT($G493/100)*60+MOD($G493,100)))</f>
        <v/>
      </c>
      <c r="N493" s="15" t="str">
        <f aca="false">IF(OR($A493="",$B493="",$L493="",$M493="",$J493="취소"),"",IF(SUMPRODUCT(($A$3:$A$2002=$A493)*($B$3:$B$2002=$B493)*($J$3:$J$2002&lt;&gt;"취소")*($L$3:$L$2002&lt;&gt;"")*($M$3:$M$2002&lt;&gt;"")*($L$3:$L$2002&lt;$M493)*($M$3:$M$2002&gt;$L493))&gt;1,"중복","-"))</f>
        <v/>
      </c>
    </row>
    <row r="494" customFormat="false" ht="15" hidden="false" customHeight="true" outlineLevel="0" collapsed="false">
      <c r="A494" s="11"/>
      <c r="B494" s="7"/>
      <c r="C494" s="12" t="str">
        <f aca="false">IF($B494="","",IFERROR(INDEX(자원목록!$B$3:$B$102,MATCH($B494,자원목록!$A$3:$A$102,0)),"미등록자원"))</f>
        <v/>
      </c>
      <c r="D494" s="7"/>
      <c r="E494" s="12" t="str">
        <f aca="false">IF($D494="","",IFERROR(INDEX(고객목록!$B$3:$B$502,MATCH($D494,고객목록!$A$3:$A$502,0)),""))</f>
        <v/>
      </c>
      <c r="F494" s="13"/>
      <c r="G494" s="13"/>
      <c r="H494" s="14" t="str">
        <f aca="false">IF(OR($L494="",$M494=""),"",ROUND(($M494-$L494)/60,2))</f>
        <v/>
      </c>
      <c r="I494" s="9"/>
      <c r="J494" s="7"/>
      <c r="K494" s="7"/>
      <c r="L494" s="15" t="str">
        <f aca="false">IF($F494="","",IF($F494&lt;1,ROUND($F494*1440,0),INT($F494/100)*60+MOD($F494,100)))</f>
        <v/>
      </c>
      <c r="M494" s="15" t="str">
        <f aca="false">IF($G494="","",IF($G494&lt;1,ROUND($G494*1440,0),INT($G494/100)*60+MOD($G494,100)))</f>
        <v/>
      </c>
      <c r="N494" s="15" t="str">
        <f aca="false">IF(OR($A494="",$B494="",$L494="",$M494="",$J494="취소"),"",IF(SUMPRODUCT(($A$3:$A$2002=$A494)*($B$3:$B$2002=$B494)*($J$3:$J$2002&lt;&gt;"취소")*($L$3:$L$2002&lt;&gt;"")*($M$3:$M$2002&lt;&gt;"")*($L$3:$L$2002&lt;$M494)*($M$3:$M$2002&gt;$L494))&gt;1,"중복","-"))</f>
        <v/>
      </c>
    </row>
    <row r="495" customFormat="false" ht="15" hidden="false" customHeight="true" outlineLevel="0" collapsed="false">
      <c r="A495" s="11"/>
      <c r="B495" s="7"/>
      <c r="C495" s="12" t="str">
        <f aca="false">IF($B495="","",IFERROR(INDEX(자원목록!$B$3:$B$102,MATCH($B495,자원목록!$A$3:$A$102,0)),"미등록자원"))</f>
        <v/>
      </c>
      <c r="D495" s="7"/>
      <c r="E495" s="12" t="str">
        <f aca="false">IF($D495="","",IFERROR(INDEX(고객목록!$B$3:$B$502,MATCH($D495,고객목록!$A$3:$A$502,0)),""))</f>
        <v/>
      </c>
      <c r="F495" s="13"/>
      <c r="G495" s="13"/>
      <c r="H495" s="14" t="str">
        <f aca="false">IF(OR($L495="",$M495=""),"",ROUND(($M495-$L495)/60,2))</f>
        <v/>
      </c>
      <c r="I495" s="9"/>
      <c r="J495" s="7"/>
      <c r="K495" s="7"/>
      <c r="L495" s="15" t="str">
        <f aca="false">IF($F495="","",IF($F495&lt;1,ROUND($F495*1440,0),INT($F495/100)*60+MOD($F495,100)))</f>
        <v/>
      </c>
      <c r="M495" s="15" t="str">
        <f aca="false">IF($G495="","",IF($G495&lt;1,ROUND($G495*1440,0),INT($G495/100)*60+MOD($G495,100)))</f>
        <v/>
      </c>
      <c r="N495" s="15" t="str">
        <f aca="false">IF(OR($A495="",$B495="",$L495="",$M495="",$J495="취소"),"",IF(SUMPRODUCT(($A$3:$A$2002=$A495)*($B$3:$B$2002=$B495)*($J$3:$J$2002&lt;&gt;"취소")*($L$3:$L$2002&lt;&gt;"")*($M$3:$M$2002&lt;&gt;"")*($L$3:$L$2002&lt;$M495)*($M$3:$M$2002&gt;$L495))&gt;1,"중복","-"))</f>
        <v/>
      </c>
    </row>
    <row r="496" customFormat="false" ht="15" hidden="false" customHeight="true" outlineLevel="0" collapsed="false">
      <c r="A496" s="11"/>
      <c r="B496" s="7"/>
      <c r="C496" s="12" t="str">
        <f aca="false">IF($B496="","",IFERROR(INDEX(자원목록!$B$3:$B$102,MATCH($B496,자원목록!$A$3:$A$102,0)),"미등록자원"))</f>
        <v/>
      </c>
      <c r="D496" s="7"/>
      <c r="E496" s="12" t="str">
        <f aca="false">IF($D496="","",IFERROR(INDEX(고객목록!$B$3:$B$502,MATCH($D496,고객목록!$A$3:$A$502,0)),""))</f>
        <v/>
      </c>
      <c r="F496" s="13"/>
      <c r="G496" s="13"/>
      <c r="H496" s="14" t="str">
        <f aca="false">IF(OR($L496="",$M496=""),"",ROUND(($M496-$L496)/60,2))</f>
        <v/>
      </c>
      <c r="I496" s="9"/>
      <c r="J496" s="7"/>
      <c r="K496" s="7"/>
      <c r="L496" s="15" t="str">
        <f aca="false">IF($F496="","",IF($F496&lt;1,ROUND($F496*1440,0),INT($F496/100)*60+MOD($F496,100)))</f>
        <v/>
      </c>
      <c r="M496" s="15" t="str">
        <f aca="false">IF($G496="","",IF($G496&lt;1,ROUND($G496*1440,0),INT($G496/100)*60+MOD($G496,100)))</f>
        <v/>
      </c>
      <c r="N496" s="15" t="str">
        <f aca="false">IF(OR($A496="",$B496="",$L496="",$M496="",$J496="취소"),"",IF(SUMPRODUCT(($A$3:$A$2002=$A496)*($B$3:$B$2002=$B496)*($J$3:$J$2002&lt;&gt;"취소")*($L$3:$L$2002&lt;&gt;"")*($M$3:$M$2002&lt;&gt;"")*($L$3:$L$2002&lt;$M496)*($M$3:$M$2002&gt;$L496))&gt;1,"중복","-"))</f>
        <v/>
      </c>
    </row>
    <row r="497" customFormat="false" ht="15" hidden="false" customHeight="true" outlineLevel="0" collapsed="false">
      <c r="A497" s="11"/>
      <c r="B497" s="7"/>
      <c r="C497" s="12" t="str">
        <f aca="false">IF($B497="","",IFERROR(INDEX(자원목록!$B$3:$B$102,MATCH($B497,자원목록!$A$3:$A$102,0)),"미등록자원"))</f>
        <v/>
      </c>
      <c r="D497" s="7"/>
      <c r="E497" s="12" t="str">
        <f aca="false">IF($D497="","",IFERROR(INDEX(고객목록!$B$3:$B$502,MATCH($D497,고객목록!$A$3:$A$502,0)),""))</f>
        <v/>
      </c>
      <c r="F497" s="13"/>
      <c r="G497" s="13"/>
      <c r="H497" s="14" t="str">
        <f aca="false">IF(OR($L497="",$M497=""),"",ROUND(($M497-$L497)/60,2))</f>
        <v/>
      </c>
      <c r="I497" s="9"/>
      <c r="J497" s="7"/>
      <c r="K497" s="7"/>
      <c r="L497" s="15" t="str">
        <f aca="false">IF($F497="","",IF($F497&lt;1,ROUND($F497*1440,0),INT($F497/100)*60+MOD($F497,100)))</f>
        <v/>
      </c>
      <c r="M497" s="15" t="str">
        <f aca="false">IF($G497="","",IF($G497&lt;1,ROUND($G497*1440,0),INT($G497/100)*60+MOD($G497,100)))</f>
        <v/>
      </c>
      <c r="N497" s="15" t="str">
        <f aca="false">IF(OR($A497="",$B497="",$L497="",$M497="",$J497="취소"),"",IF(SUMPRODUCT(($A$3:$A$2002=$A497)*($B$3:$B$2002=$B497)*($J$3:$J$2002&lt;&gt;"취소")*($L$3:$L$2002&lt;&gt;"")*($M$3:$M$2002&lt;&gt;"")*($L$3:$L$2002&lt;$M497)*($M$3:$M$2002&gt;$L497))&gt;1,"중복","-"))</f>
        <v/>
      </c>
    </row>
    <row r="498" customFormat="false" ht="15" hidden="false" customHeight="true" outlineLevel="0" collapsed="false">
      <c r="A498" s="11"/>
      <c r="B498" s="7"/>
      <c r="C498" s="12" t="str">
        <f aca="false">IF($B498="","",IFERROR(INDEX(자원목록!$B$3:$B$102,MATCH($B498,자원목록!$A$3:$A$102,0)),"미등록자원"))</f>
        <v/>
      </c>
      <c r="D498" s="7"/>
      <c r="E498" s="12" t="str">
        <f aca="false">IF($D498="","",IFERROR(INDEX(고객목록!$B$3:$B$502,MATCH($D498,고객목록!$A$3:$A$502,0)),""))</f>
        <v/>
      </c>
      <c r="F498" s="13"/>
      <c r="G498" s="13"/>
      <c r="H498" s="14" t="str">
        <f aca="false">IF(OR($L498="",$M498=""),"",ROUND(($M498-$L498)/60,2))</f>
        <v/>
      </c>
      <c r="I498" s="9"/>
      <c r="J498" s="7"/>
      <c r="K498" s="7"/>
      <c r="L498" s="15" t="str">
        <f aca="false">IF($F498="","",IF($F498&lt;1,ROUND($F498*1440,0),INT($F498/100)*60+MOD($F498,100)))</f>
        <v/>
      </c>
      <c r="M498" s="15" t="str">
        <f aca="false">IF($G498="","",IF($G498&lt;1,ROUND($G498*1440,0),INT($G498/100)*60+MOD($G498,100)))</f>
        <v/>
      </c>
      <c r="N498" s="15" t="str">
        <f aca="false">IF(OR($A498="",$B498="",$L498="",$M498="",$J498="취소"),"",IF(SUMPRODUCT(($A$3:$A$2002=$A498)*($B$3:$B$2002=$B498)*($J$3:$J$2002&lt;&gt;"취소")*($L$3:$L$2002&lt;&gt;"")*($M$3:$M$2002&lt;&gt;"")*($L$3:$L$2002&lt;$M498)*($M$3:$M$2002&gt;$L498))&gt;1,"중복","-"))</f>
        <v/>
      </c>
    </row>
    <row r="499" customFormat="false" ht="15" hidden="false" customHeight="true" outlineLevel="0" collapsed="false">
      <c r="A499" s="11"/>
      <c r="B499" s="7"/>
      <c r="C499" s="12" t="str">
        <f aca="false">IF($B499="","",IFERROR(INDEX(자원목록!$B$3:$B$102,MATCH($B499,자원목록!$A$3:$A$102,0)),"미등록자원"))</f>
        <v/>
      </c>
      <c r="D499" s="7"/>
      <c r="E499" s="12" t="str">
        <f aca="false">IF($D499="","",IFERROR(INDEX(고객목록!$B$3:$B$502,MATCH($D499,고객목록!$A$3:$A$502,0)),""))</f>
        <v/>
      </c>
      <c r="F499" s="13"/>
      <c r="G499" s="13"/>
      <c r="H499" s="14" t="str">
        <f aca="false">IF(OR($L499="",$M499=""),"",ROUND(($M499-$L499)/60,2))</f>
        <v/>
      </c>
      <c r="I499" s="9"/>
      <c r="J499" s="7"/>
      <c r="K499" s="7"/>
      <c r="L499" s="15" t="str">
        <f aca="false">IF($F499="","",IF($F499&lt;1,ROUND($F499*1440,0),INT($F499/100)*60+MOD($F499,100)))</f>
        <v/>
      </c>
      <c r="M499" s="15" t="str">
        <f aca="false">IF($G499="","",IF($G499&lt;1,ROUND($G499*1440,0),INT($G499/100)*60+MOD($G499,100)))</f>
        <v/>
      </c>
      <c r="N499" s="15" t="str">
        <f aca="false">IF(OR($A499="",$B499="",$L499="",$M499="",$J499="취소"),"",IF(SUMPRODUCT(($A$3:$A$2002=$A499)*($B$3:$B$2002=$B499)*($J$3:$J$2002&lt;&gt;"취소")*($L$3:$L$2002&lt;&gt;"")*($M$3:$M$2002&lt;&gt;"")*($L$3:$L$2002&lt;$M499)*($M$3:$M$2002&gt;$L499))&gt;1,"중복","-"))</f>
        <v/>
      </c>
    </row>
    <row r="500" customFormat="false" ht="15" hidden="false" customHeight="true" outlineLevel="0" collapsed="false">
      <c r="A500" s="11"/>
      <c r="B500" s="7"/>
      <c r="C500" s="12" t="str">
        <f aca="false">IF($B500="","",IFERROR(INDEX(자원목록!$B$3:$B$102,MATCH($B500,자원목록!$A$3:$A$102,0)),"미등록자원"))</f>
        <v/>
      </c>
      <c r="D500" s="7"/>
      <c r="E500" s="12" t="str">
        <f aca="false">IF($D500="","",IFERROR(INDEX(고객목록!$B$3:$B$502,MATCH($D500,고객목록!$A$3:$A$502,0)),""))</f>
        <v/>
      </c>
      <c r="F500" s="13"/>
      <c r="G500" s="13"/>
      <c r="H500" s="14" t="str">
        <f aca="false">IF(OR($L500="",$M500=""),"",ROUND(($M500-$L500)/60,2))</f>
        <v/>
      </c>
      <c r="I500" s="9"/>
      <c r="J500" s="7"/>
      <c r="K500" s="7"/>
      <c r="L500" s="15" t="str">
        <f aca="false">IF($F500="","",IF($F500&lt;1,ROUND($F500*1440,0),INT($F500/100)*60+MOD($F500,100)))</f>
        <v/>
      </c>
      <c r="M500" s="15" t="str">
        <f aca="false">IF($G500="","",IF($G500&lt;1,ROUND($G500*1440,0),INT($G500/100)*60+MOD($G500,100)))</f>
        <v/>
      </c>
      <c r="N500" s="15" t="str">
        <f aca="false">IF(OR($A500="",$B500="",$L500="",$M500="",$J500="취소"),"",IF(SUMPRODUCT(($A$3:$A$2002=$A500)*($B$3:$B$2002=$B500)*($J$3:$J$2002&lt;&gt;"취소")*($L$3:$L$2002&lt;&gt;"")*($M$3:$M$2002&lt;&gt;"")*($L$3:$L$2002&lt;$M500)*($M$3:$M$2002&gt;$L500))&gt;1,"중복","-"))</f>
        <v/>
      </c>
    </row>
    <row r="501" customFormat="false" ht="15" hidden="false" customHeight="true" outlineLevel="0" collapsed="false">
      <c r="A501" s="11"/>
      <c r="B501" s="7"/>
      <c r="C501" s="12" t="str">
        <f aca="false">IF($B501="","",IFERROR(INDEX(자원목록!$B$3:$B$102,MATCH($B501,자원목록!$A$3:$A$102,0)),"미등록자원"))</f>
        <v/>
      </c>
      <c r="D501" s="7"/>
      <c r="E501" s="12" t="str">
        <f aca="false">IF($D501="","",IFERROR(INDEX(고객목록!$B$3:$B$502,MATCH($D501,고객목록!$A$3:$A$502,0)),""))</f>
        <v/>
      </c>
      <c r="F501" s="13"/>
      <c r="G501" s="13"/>
      <c r="H501" s="14" t="str">
        <f aca="false">IF(OR($L501="",$M501=""),"",ROUND(($M501-$L501)/60,2))</f>
        <v/>
      </c>
      <c r="I501" s="9"/>
      <c r="J501" s="7"/>
      <c r="K501" s="7"/>
      <c r="L501" s="15" t="str">
        <f aca="false">IF($F501="","",IF($F501&lt;1,ROUND($F501*1440,0),INT($F501/100)*60+MOD($F501,100)))</f>
        <v/>
      </c>
      <c r="M501" s="15" t="str">
        <f aca="false">IF($G501="","",IF($G501&lt;1,ROUND($G501*1440,0),INT($G501/100)*60+MOD($G501,100)))</f>
        <v/>
      </c>
      <c r="N501" s="15" t="str">
        <f aca="false">IF(OR($A501="",$B501="",$L501="",$M501="",$J501="취소"),"",IF(SUMPRODUCT(($A$3:$A$2002=$A501)*($B$3:$B$2002=$B501)*($J$3:$J$2002&lt;&gt;"취소")*($L$3:$L$2002&lt;&gt;"")*($M$3:$M$2002&lt;&gt;"")*($L$3:$L$2002&lt;$M501)*($M$3:$M$2002&gt;$L501))&gt;1,"중복","-"))</f>
        <v/>
      </c>
    </row>
    <row r="502" customFormat="false" ht="15" hidden="false" customHeight="true" outlineLevel="0" collapsed="false">
      <c r="A502" s="11"/>
      <c r="B502" s="7"/>
      <c r="C502" s="12" t="str">
        <f aca="false">IF($B502="","",IFERROR(INDEX(자원목록!$B$3:$B$102,MATCH($B502,자원목록!$A$3:$A$102,0)),"미등록자원"))</f>
        <v/>
      </c>
      <c r="D502" s="7"/>
      <c r="E502" s="12" t="str">
        <f aca="false">IF($D502="","",IFERROR(INDEX(고객목록!$B$3:$B$502,MATCH($D502,고객목록!$A$3:$A$502,0)),""))</f>
        <v/>
      </c>
      <c r="F502" s="13"/>
      <c r="G502" s="13"/>
      <c r="H502" s="14" t="str">
        <f aca="false">IF(OR($L502="",$M502=""),"",ROUND(($M502-$L502)/60,2))</f>
        <v/>
      </c>
      <c r="I502" s="9"/>
      <c r="J502" s="7"/>
      <c r="K502" s="7"/>
      <c r="L502" s="15" t="str">
        <f aca="false">IF($F502="","",IF($F502&lt;1,ROUND($F502*1440,0),INT($F502/100)*60+MOD($F502,100)))</f>
        <v/>
      </c>
      <c r="M502" s="15" t="str">
        <f aca="false">IF($G502="","",IF($G502&lt;1,ROUND($G502*1440,0),INT($G502/100)*60+MOD($G502,100)))</f>
        <v/>
      </c>
      <c r="N502" s="15" t="str">
        <f aca="false">IF(OR($A502="",$B502="",$L502="",$M502="",$J502="취소"),"",IF(SUMPRODUCT(($A$3:$A$2002=$A502)*($B$3:$B$2002=$B502)*($J$3:$J$2002&lt;&gt;"취소")*($L$3:$L$2002&lt;&gt;"")*($M$3:$M$2002&lt;&gt;"")*($L$3:$L$2002&lt;$M502)*($M$3:$M$2002&gt;$L502))&gt;1,"중복","-"))</f>
        <v/>
      </c>
    </row>
    <row r="503" customFormat="false" ht="15" hidden="false" customHeight="true" outlineLevel="0" collapsed="false">
      <c r="A503" s="11"/>
      <c r="B503" s="7"/>
      <c r="C503" s="12" t="str">
        <f aca="false">IF($B503="","",IFERROR(INDEX(자원목록!$B$3:$B$102,MATCH($B503,자원목록!$A$3:$A$102,0)),"미등록자원"))</f>
        <v/>
      </c>
      <c r="D503" s="7"/>
      <c r="E503" s="12" t="str">
        <f aca="false">IF($D503="","",IFERROR(INDEX(고객목록!$B$3:$B$502,MATCH($D503,고객목록!$A$3:$A$502,0)),""))</f>
        <v/>
      </c>
      <c r="F503" s="13"/>
      <c r="G503" s="13"/>
      <c r="H503" s="14" t="str">
        <f aca="false">IF(OR($L503="",$M503=""),"",ROUND(($M503-$L503)/60,2))</f>
        <v/>
      </c>
      <c r="I503" s="9"/>
      <c r="J503" s="7"/>
      <c r="K503" s="7"/>
      <c r="L503" s="15" t="str">
        <f aca="false">IF($F503="","",IF($F503&lt;1,ROUND($F503*1440,0),INT($F503/100)*60+MOD($F503,100)))</f>
        <v/>
      </c>
      <c r="M503" s="15" t="str">
        <f aca="false">IF($G503="","",IF($G503&lt;1,ROUND($G503*1440,0),INT($G503/100)*60+MOD($G503,100)))</f>
        <v/>
      </c>
      <c r="N503" s="15" t="str">
        <f aca="false">IF(OR($A503="",$B503="",$L503="",$M503="",$J503="취소"),"",IF(SUMPRODUCT(($A$3:$A$2002=$A503)*($B$3:$B$2002=$B503)*($J$3:$J$2002&lt;&gt;"취소")*($L$3:$L$2002&lt;&gt;"")*($M$3:$M$2002&lt;&gt;"")*($L$3:$L$2002&lt;$M503)*($M$3:$M$2002&gt;$L503))&gt;1,"중복","-"))</f>
        <v/>
      </c>
    </row>
    <row r="504" customFormat="false" ht="15" hidden="false" customHeight="true" outlineLevel="0" collapsed="false">
      <c r="A504" s="11"/>
      <c r="B504" s="7"/>
      <c r="C504" s="12" t="str">
        <f aca="false">IF($B504="","",IFERROR(INDEX(자원목록!$B$3:$B$102,MATCH($B504,자원목록!$A$3:$A$102,0)),"미등록자원"))</f>
        <v/>
      </c>
      <c r="D504" s="7"/>
      <c r="E504" s="12" t="str">
        <f aca="false">IF($D504="","",IFERROR(INDEX(고객목록!$B$3:$B$502,MATCH($D504,고객목록!$A$3:$A$502,0)),""))</f>
        <v/>
      </c>
      <c r="F504" s="13"/>
      <c r="G504" s="13"/>
      <c r="H504" s="14" t="str">
        <f aca="false">IF(OR($L504="",$M504=""),"",ROUND(($M504-$L504)/60,2))</f>
        <v/>
      </c>
      <c r="I504" s="9"/>
      <c r="J504" s="7"/>
      <c r="K504" s="7"/>
      <c r="L504" s="15" t="str">
        <f aca="false">IF($F504="","",IF($F504&lt;1,ROUND($F504*1440,0),INT($F504/100)*60+MOD($F504,100)))</f>
        <v/>
      </c>
      <c r="M504" s="15" t="str">
        <f aca="false">IF($G504="","",IF($G504&lt;1,ROUND($G504*1440,0),INT($G504/100)*60+MOD($G504,100)))</f>
        <v/>
      </c>
      <c r="N504" s="15" t="str">
        <f aca="false">IF(OR($A504="",$B504="",$L504="",$M504="",$J504="취소"),"",IF(SUMPRODUCT(($A$3:$A$2002=$A504)*($B$3:$B$2002=$B504)*($J$3:$J$2002&lt;&gt;"취소")*($L$3:$L$2002&lt;&gt;"")*($M$3:$M$2002&lt;&gt;"")*($L$3:$L$2002&lt;$M504)*($M$3:$M$2002&gt;$L504))&gt;1,"중복","-"))</f>
        <v/>
      </c>
    </row>
    <row r="505" customFormat="false" ht="15" hidden="false" customHeight="true" outlineLevel="0" collapsed="false">
      <c r="A505" s="11"/>
      <c r="B505" s="7"/>
      <c r="C505" s="12" t="str">
        <f aca="false">IF($B505="","",IFERROR(INDEX(자원목록!$B$3:$B$102,MATCH($B505,자원목록!$A$3:$A$102,0)),"미등록자원"))</f>
        <v/>
      </c>
      <c r="D505" s="7"/>
      <c r="E505" s="12" t="str">
        <f aca="false">IF($D505="","",IFERROR(INDEX(고객목록!$B$3:$B$502,MATCH($D505,고객목록!$A$3:$A$502,0)),""))</f>
        <v/>
      </c>
      <c r="F505" s="13"/>
      <c r="G505" s="13"/>
      <c r="H505" s="14" t="str">
        <f aca="false">IF(OR($L505="",$M505=""),"",ROUND(($M505-$L505)/60,2))</f>
        <v/>
      </c>
      <c r="I505" s="9"/>
      <c r="J505" s="7"/>
      <c r="K505" s="7"/>
      <c r="L505" s="15" t="str">
        <f aca="false">IF($F505="","",IF($F505&lt;1,ROUND($F505*1440,0),INT($F505/100)*60+MOD($F505,100)))</f>
        <v/>
      </c>
      <c r="M505" s="15" t="str">
        <f aca="false">IF($G505="","",IF($G505&lt;1,ROUND($G505*1440,0),INT($G505/100)*60+MOD($G505,100)))</f>
        <v/>
      </c>
      <c r="N505" s="15" t="str">
        <f aca="false">IF(OR($A505="",$B505="",$L505="",$M505="",$J505="취소"),"",IF(SUMPRODUCT(($A$3:$A$2002=$A505)*($B$3:$B$2002=$B505)*($J$3:$J$2002&lt;&gt;"취소")*($L$3:$L$2002&lt;&gt;"")*($M$3:$M$2002&lt;&gt;"")*($L$3:$L$2002&lt;$M505)*($M$3:$M$2002&gt;$L505))&gt;1,"중복","-"))</f>
        <v/>
      </c>
    </row>
    <row r="506" customFormat="false" ht="15" hidden="false" customHeight="true" outlineLevel="0" collapsed="false">
      <c r="A506" s="11"/>
      <c r="B506" s="7"/>
      <c r="C506" s="12" t="str">
        <f aca="false">IF($B506="","",IFERROR(INDEX(자원목록!$B$3:$B$102,MATCH($B506,자원목록!$A$3:$A$102,0)),"미등록자원"))</f>
        <v/>
      </c>
      <c r="D506" s="7"/>
      <c r="E506" s="12" t="str">
        <f aca="false">IF($D506="","",IFERROR(INDEX(고객목록!$B$3:$B$502,MATCH($D506,고객목록!$A$3:$A$502,0)),""))</f>
        <v/>
      </c>
      <c r="F506" s="13"/>
      <c r="G506" s="13"/>
      <c r="H506" s="14" t="str">
        <f aca="false">IF(OR($L506="",$M506=""),"",ROUND(($M506-$L506)/60,2))</f>
        <v/>
      </c>
      <c r="I506" s="9"/>
      <c r="J506" s="7"/>
      <c r="K506" s="7"/>
      <c r="L506" s="15" t="str">
        <f aca="false">IF($F506="","",IF($F506&lt;1,ROUND($F506*1440,0),INT($F506/100)*60+MOD($F506,100)))</f>
        <v/>
      </c>
      <c r="M506" s="15" t="str">
        <f aca="false">IF($G506="","",IF($G506&lt;1,ROUND($G506*1440,0),INT($G506/100)*60+MOD($G506,100)))</f>
        <v/>
      </c>
      <c r="N506" s="15" t="str">
        <f aca="false">IF(OR($A506="",$B506="",$L506="",$M506="",$J506="취소"),"",IF(SUMPRODUCT(($A$3:$A$2002=$A506)*($B$3:$B$2002=$B506)*($J$3:$J$2002&lt;&gt;"취소")*($L$3:$L$2002&lt;&gt;"")*($M$3:$M$2002&lt;&gt;"")*($L$3:$L$2002&lt;$M506)*($M$3:$M$2002&gt;$L506))&gt;1,"중복","-"))</f>
        <v/>
      </c>
    </row>
    <row r="507" customFormat="false" ht="15" hidden="false" customHeight="true" outlineLevel="0" collapsed="false">
      <c r="A507" s="11"/>
      <c r="B507" s="7"/>
      <c r="C507" s="12" t="str">
        <f aca="false">IF($B507="","",IFERROR(INDEX(자원목록!$B$3:$B$102,MATCH($B507,자원목록!$A$3:$A$102,0)),"미등록자원"))</f>
        <v/>
      </c>
      <c r="D507" s="7"/>
      <c r="E507" s="12" t="str">
        <f aca="false">IF($D507="","",IFERROR(INDEX(고객목록!$B$3:$B$502,MATCH($D507,고객목록!$A$3:$A$502,0)),""))</f>
        <v/>
      </c>
      <c r="F507" s="13"/>
      <c r="G507" s="13"/>
      <c r="H507" s="14" t="str">
        <f aca="false">IF(OR($L507="",$M507=""),"",ROUND(($M507-$L507)/60,2))</f>
        <v/>
      </c>
      <c r="I507" s="9"/>
      <c r="J507" s="7"/>
      <c r="K507" s="7"/>
      <c r="L507" s="15" t="str">
        <f aca="false">IF($F507="","",IF($F507&lt;1,ROUND($F507*1440,0),INT($F507/100)*60+MOD($F507,100)))</f>
        <v/>
      </c>
      <c r="M507" s="15" t="str">
        <f aca="false">IF($G507="","",IF($G507&lt;1,ROUND($G507*1440,0),INT($G507/100)*60+MOD($G507,100)))</f>
        <v/>
      </c>
      <c r="N507" s="15" t="str">
        <f aca="false">IF(OR($A507="",$B507="",$L507="",$M507="",$J507="취소"),"",IF(SUMPRODUCT(($A$3:$A$2002=$A507)*($B$3:$B$2002=$B507)*($J$3:$J$2002&lt;&gt;"취소")*($L$3:$L$2002&lt;&gt;"")*($M$3:$M$2002&lt;&gt;"")*($L$3:$L$2002&lt;$M507)*($M$3:$M$2002&gt;$L507))&gt;1,"중복","-"))</f>
        <v/>
      </c>
    </row>
    <row r="508" customFormat="false" ht="15" hidden="false" customHeight="true" outlineLevel="0" collapsed="false">
      <c r="A508" s="11"/>
      <c r="B508" s="7"/>
      <c r="C508" s="12" t="str">
        <f aca="false">IF($B508="","",IFERROR(INDEX(자원목록!$B$3:$B$102,MATCH($B508,자원목록!$A$3:$A$102,0)),"미등록자원"))</f>
        <v/>
      </c>
      <c r="D508" s="7"/>
      <c r="E508" s="12" t="str">
        <f aca="false">IF($D508="","",IFERROR(INDEX(고객목록!$B$3:$B$502,MATCH($D508,고객목록!$A$3:$A$502,0)),""))</f>
        <v/>
      </c>
      <c r="F508" s="13"/>
      <c r="G508" s="13"/>
      <c r="H508" s="14" t="str">
        <f aca="false">IF(OR($L508="",$M508=""),"",ROUND(($M508-$L508)/60,2))</f>
        <v/>
      </c>
      <c r="I508" s="9"/>
      <c r="J508" s="7"/>
      <c r="K508" s="7"/>
      <c r="L508" s="15" t="str">
        <f aca="false">IF($F508="","",IF($F508&lt;1,ROUND($F508*1440,0),INT($F508/100)*60+MOD($F508,100)))</f>
        <v/>
      </c>
      <c r="M508" s="15" t="str">
        <f aca="false">IF($G508="","",IF($G508&lt;1,ROUND($G508*1440,0),INT($G508/100)*60+MOD($G508,100)))</f>
        <v/>
      </c>
      <c r="N508" s="15" t="str">
        <f aca="false">IF(OR($A508="",$B508="",$L508="",$M508="",$J508="취소"),"",IF(SUMPRODUCT(($A$3:$A$2002=$A508)*($B$3:$B$2002=$B508)*($J$3:$J$2002&lt;&gt;"취소")*($L$3:$L$2002&lt;&gt;"")*($M$3:$M$2002&lt;&gt;"")*($L$3:$L$2002&lt;$M508)*($M$3:$M$2002&gt;$L508))&gt;1,"중복","-"))</f>
        <v/>
      </c>
    </row>
    <row r="509" customFormat="false" ht="15" hidden="false" customHeight="true" outlineLevel="0" collapsed="false">
      <c r="A509" s="11"/>
      <c r="B509" s="7"/>
      <c r="C509" s="12" t="str">
        <f aca="false">IF($B509="","",IFERROR(INDEX(자원목록!$B$3:$B$102,MATCH($B509,자원목록!$A$3:$A$102,0)),"미등록자원"))</f>
        <v/>
      </c>
      <c r="D509" s="7"/>
      <c r="E509" s="12" t="str">
        <f aca="false">IF($D509="","",IFERROR(INDEX(고객목록!$B$3:$B$502,MATCH($D509,고객목록!$A$3:$A$502,0)),""))</f>
        <v/>
      </c>
      <c r="F509" s="13"/>
      <c r="G509" s="13"/>
      <c r="H509" s="14" t="str">
        <f aca="false">IF(OR($L509="",$M509=""),"",ROUND(($M509-$L509)/60,2))</f>
        <v/>
      </c>
      <c r="I509" s="9"/>
      <c r="J509" s="7"/>
      <c r="K509" s="7"/>
      <c r="L509" s="15" t="str">
        <f aca="false">IF($F509="","",IF($F509&lt;1,ROUND($F509*1440,0),INT($F509/100)*60+MOD($F509,100)))</f>
        <v/>
      </c>
      <c r="M509" s="15" t="str">
        <f aca="false">IF($G509="","",IF($G509&lt;1,ROUND($G509*1440,0),INT($G509/100)*60+MOD($G509,100)))</f>
        <v/>
      </c>
      <c r="N509" s="15" t="str">
        <f aca="false">IF(OR($A509="",$B509="",$L509="",$M509="",$J509="취소"),"",IF(SUMPRODUCT(($A$3:$A$2002=$A509)*($B$3:$B$2002=$B509)*($J$3:$J$2002&lt;&gt;"취소")*($L$3:$L$2002&lt;&gt;"")*($M$3:$M$2002&lt;&gt;"")*($L$3:$L$2002&lt;$M509)*($M$3:$M$2002&gt;$L509))&gt;1,"중복","-"))</f>
        <v/>
      </c>
    </row>
    <row r="510" customFormat="false" ht="15" hidden="false" customHeight="true" outlineLevel="0" collapsed="false">
      <c r="A510" s="11"/>
      <c r="B510" s="7"/>
      <c r="C510" s="12" t="str">
        <f aca="false">IF($B510="","",IFERROR(INDEX(자원목록!$B$3:$B$102,MATCH($B510,자원목록!$A$3:$A$102,0)),"미등록자원"))</f>
        <v/>
      </c>
      <c r="D510" s="7"/>
      <c r="E510" s="12" t="str">
        <f aca="false">IF($D510="","",IFERROR(INDEX(고객목록!$B$3:$B$502,MATCH($D510,고객목록!$A$3:$A$502,0)),""))</f>
        <v/>
      </c>
      <c r="F510" s="13"/>
      <c r="G510" s="13"/>
      <c r="H510" s="14" t="str">
        <f aca="false">IF(OR($L510="",$M510=""),"",ROUND(($M510-$L510)/60,2))</f>
        <v/>
      </c>
      <c r="I510" s="9"/>
      <c r="J510" s="7"/>
      <c r="K510" s="7"/>
      <c r="L510" s="15" t="str">
        <f aca="false">IF($F510="","",IF($F510&lt;1,ROUND($F510*1440,0),INT($F510/100)*60+MOD($F510,100)))</f>
        <v/>
      </c>
      <c r="M510" s="15" t="str">
        <f aca="false">IF($G510="","",IF($G510&lt;1,ROUND($G510*1440,0),INT($G510/100)*60+MOD($G510,100)))</f>
        <v/>
      </c>
      <c r="N510" s="15" t="str">
        <f aca="false">IF(OR($A510="",$B510="",$L510="",$M510="",$J510="취소"),"",IF(SUMPRODUCT(($A$3:$A$2002=$A510)*($B$3:$B$2002=$B510)*($J$3:$J$2002&lt;&gt;"취소")*($L$3:$L$2002&lt;&gt;"")*($M$3:$M$2002&lt;&gt;"")*($L$3:$L$2002&lt;$M510)*($M$3:$M$2002&gt;$L510))&gt;1,"중복","-"))</f>
        <v/>
      </c>
    </row>
    <row r="511" customFormat="false" ht="15" hidden="false" customHeight="true" outlineLevel="0" collapsed="false">
      <c r="A511" s="11"/>
      <c r="B511" s="7"/>
      <c r="C511" s="12" t="str">
        <f aca="false">IF($B511="","",IFERROR(INDEX(자원목록!$B$3:$B$102,MATCH($B511,자원목록!$A$3:$A$102,0)),"미등록자원"))</f>
        <v/>
      </c>
      <c r="D511" s="7"/>
      <c r="E511" s="12" t="str">
        <f aca="false">IF($D511="","",IFERROR(INDEX(고객목록!$B$3:$B$502,MATCH($D511,고객목록!$A$3:$A$502,0)),""))</f>
        <v/>
      </c>
      <c r="F511" s="13"/>
      <c r="G511" s="13"/>
      <c r="H511" s="14" t="str">
        <f aca="false">IF(OR($L511="",$M511=""),"",ROUND(($M511-$L511)/60,2))</f>
        <v/>
      </c>
      <c r="I511" s="9"/>
      <c r="J511" s="7"/>
      <c r="K511" s="7"/>
      <c r="L511" s="15" t="str">
        <f aca="false">IF($F511="","",IF($F511&lt;1,ROUND($F511*1440,0),INT($F511/100)*60+MOD($F511,100)))</f>
        <v/>
      </c>
      <c r="M511" s="15" t="str">
        <f aca="false">IF($G511="","",IF($G511&lt;1,ROUND($G511*1440,0),INT($G511/100)*60+MOD($G511,100)))</f>
        <v/>
      </c>
      <c r="N511" s="15" t="str">
        <f aca="false">IF(OR($A511="",$B511="",$L511="",$M511="",$J511="취소"),"",IF(SUMPRODUCT(($A$3:$A$2002=$A511)*($B$3:$B$2002=$B511)*($J$3:$J$2002&lt;&gt;"취소")*($L$3:$L$2002&lt;&gt;"")*($M$3:$M$2002&lt;&gt;"")*($L$3:$L$2002&lt;$M511)*($M$3:$M$2002&gt;$L511))&gt;1,"중복","-"))</f>
        <v/>
      </c>
    </row>
    <row r="512" customFormat="false" ht="15" hidden="false" customHeight="true" outlineLevel="0" collapsed="false">
      <c r="A512" s="11"/>
      <c r="B512" s="7"/>
      <c r="C512" s="12" t="str">
        <f aca="false">IF($B512="","",IFERROR(INDEX(자원목록!$B$3:$B$102,MATCH($B512,자원목록!$A$3:$A$102,0)),"미등록자원"))</f>
        <v/>
      </c>
      <c r="D512" s="7"/>
      <c r="E512" s="12" t="str">
        <f aca="false">IF($D512="","",IFERROR(INDEX(고객목록!$B$3:$B$502,MATCH($D512,고객목록!$A$3:$A$502,0)),""))</f>
        <v/>
      </c>
      <c r="F512" s="13"/>
      <c r="G512" s="13"/>
      <c r="H512" s="14" t="str">
        <f aca="false">IF(OR($L512="",$M512=""),"",ROUND(($M512-$L512)/60,2))</f>
        <v/>
      </c>
      <c r="I512" s="9"/>
      <c r="J512" s="7"/>
      <c r="K512" s="7"/>
      <c r="L512" s="15" t="str">
        <f aca="false">IF($F512="","",IF($F512&lt;1,ROUND($F512*1440,0),INT($F512/100)*60+MOD($F512,100)))</f>
        <v/>
      </c>
      <c r="M512" s="15" t="str">
        <f aca="false">IF($G512="","",IF($G512&lt;1,ROUND($G512*1440,0),INT($G512/100)*60+MOD($G512,100)))</f>
        <v/>
      </c>
      <c r="N512" s="15" t="str">
        <f aca="false">IF(OR($A512="",$B512="",$L512="",$M512="",$J512="취소"),"",IF(SUMPRODUCT(($A$3:$A$2002=$A512)*($B$3:$B$2002=$B512)*($J$3:$J$2002&lt;&gt;"취소")*($L$3:$L$2002&lt;&gt;"")*($M$3:$M$2002&lt;&gt;"")*($L$3:$L$2002&lt;$M512)*($M$3:$M$2002&gt;$L512))&gt;1,"중복","-"))</f>
        <v/>
      </c>
    </row>
    <row r="513" customFormat="false" ht="15" hidden="false" customHeight="true" outlineLevel="0" collapsed="false">
      <c r="A513" s="11"/>
      <c r="B513" s="7"/>
      <c r="C513" s="12" t="str">
        <f aca="false">IF($B513="","",IFERROR(INDEX(자원목록!$B$3:$B$102,MATCH($B513,자원목록!$A$3:$A$102,0)),"미등록자원"))</f>
        <v/>
      </c>
      <c r="D513" s="7"/>
      <c r="E513" s="12" t="str">
        <f aca="false">IF($D513="","",IFERROR(INDEX(고객목록!$B$3:$B$502,MATCH($D513,고객목록!$A$3:$A$502,0)),""))</f>
        <v/>
      </c>
      <c r="F513" s="13"/>
      <c r="G513" s="13"/>
      <c r="H513" s="14" t="str">
        <f aca="false">IF(OR($L513="",$M513=""),"",ROUND(($M513-$L513)/60,2))</f>
        <v/>
      </c>
      <c r="I513" s="9"/>
      <c r="J513" s="7"/>
      <c r="K513" s="7"/>
      <c r="L513" s="15" t="str">
        <f aca="false">IF($F513="","",IF($F513&lt;1,ROUND($F513*1440,0),INT($F513/100)*60+MOD($F513,100)))</f>
        <v/>
      </c>
      <c r="M513" s="15" t="str">
        <f aca="false">IF($G513="","",IF($G513&lt;1,ROUND($G513*1440,0),INT($G513/100)*60+MOD($G513,100)))</f>
        <v/>
      </c>
      <c r="N513" s="15" t="str">
        <f aca="false">IF(OR($A513="",$B513="",$L513="",$M513="",$J513="취소"),"",IF(SUMPRODUCT(($A$3:$A$2002=$A513)*($B$3:$B$2002=$B513)*($J$3:$J$2002&lt;&gt;"취소")*($L$3:$L$2002&lt;&gt;"")*($M$3:$M$2002&lt;&gt;"")*($L$3:$L$2002&lt;$M513)*($M$3:$M$2002&gt;$L513))&gt;1,"중복","-"))</f>
        <v/>
      </c>
    </row>
    <row r="514" customFormat="false" ht="15" hidden="false" customHeight="true" outlineLevel="0" collapsed="false">
      <c r="A514" s="11"/>
      <c r="B514" s="7"/>
      <c r="C514" s="12" t="str">
        <f aca="false">IF($B514="","",IFERROR(INDEX(자원목록!$B$3:$B$102,MATCH($B514,자원목록!$A$3:$A$102,0)),"미등록자원"))</f>
        <v/>
      </c>
      <c r="D514" s="7"/>
      <c r="E514" s="12" t="str">
        <f aca="false">IF($D514="","",IFERROR(INDEX(고객목록!$B$3:$B$502,MATCH($D514,고객목록!$A$3:$A$502,0)),""))</f>
        <v/>
      </c>
      <c r="F514" s="13"/>
      <c r="G514" s="13"/>
      <c r="H514" s="14" t="str">
        <f aca="false">IF(OR($L514="",$M514=""),"",ROUND(($M514-$L514)/60,2))</f>
        <v/>
      </c>
      <c r="I514" s="9"/>
      <c r="J514" s="7"/>
      <c r="K514" s="7"/>
      <c r="L514" s="15" t="str">
        <f aca="false">IF($F514="","",IF($F514&lt;1,ROUND($F514*1440,0),INT($F514/100)*60+MOD($F514,100)))</f>
        <v/>
      </c>
      <c r="M514" s="15" t="str">
        <f aca="false">IF($G514="","",IF($G514&lt;1,ROUND($G514*1440,0),INT($G514/100)*60+MOD($G514,100)))</f>
        <v/>
      </c>
      <c r="N514" s="15" t="str">
        <f aca="false">IF(OR($A514="",$B514="",$L514="",$M514="",$J514="취소"),"",IF(SUMPRODUCT(($A$3:$A$2002=$A514)*($B$3:$B$2002=$B514)*($J$3:$J$2002&lt;&gt;"취소")*($L$3:$L$2002&lt;&gt;"")*($M$3:$M$2002&lt;&gt;"")*($L$3:$L$2002&lt;$M514)*($M$3:$M$2002&gt;$L514))&gt;1,"중복","-"))</f>
        <v/>
      </c>
    </row>
    <row r="515" customFormat="false" ht="15" hidden="false" customHeight="true" outlineLevel="0" collapsed="false">
      <c r="A515" s="11"/>
      <c r="B515" s="7"/>
      <c r="C515" s="12" t="str">
        <f aca="false">IF($B515="","",IFERROR(INDEX(자원목록!$B$3:$B$102,MATCH($B515,자원목록!$A$3:$A$102,0)),"미등록자원"))</f>
        <v/>
      </c>
      <c r="D515" s="7"/>
      <c r="E515" s="12" t="str">
        <f aca="false">IF($D515="","",IFERROR(INDEX(고객목록!$B$3:$B$502,MATCH($D515,고객목록!$A$3:$A$502,0)),""))</f>
        <v/>
      </c>
      <c r="F515" s="13"/>
      <c r="G515" s="13"/>
      <c r="H515" s="14" t="str">
        <f aca="false">IF(OR($L515="",$M515=""),"",ROUND(($M515-$L515)/60,2))</f>
        <v/>
      </c>
      <c r="I515" s="9"/>
      <c r="J515" s="7"/>
      <c r="K515" s="7"/>
      <c r="L515" s="15" t="str">
        <f aca="false">IF($F515="","",IF($F515&lt;1,ROUND($F515*1440,0),INT($F515/100)*60+MOD($F515,100)))</f>
        <v/>
      </c>
      <c r="M515" s="15" t="str">
        <f aca="false">IF($G515="","",IF($G515&lt;1,ROUND($G515*1440,0),INT($G515/100)*60+MOD($G515,100)))</f>
        <v/>
      </c>
      <c r="N515" s="15" t="str">
        <f aca="false">IF(OR($A515="",$B515="",$L515="",$M515="",$J515="취소"),"",IF(SUMPRODUCT(($A$3:$A$2002=$A515)*($B$3:$B$2002=$B515)*($J$3:$J$2002&lt;&gt;"취소")*($L$3:$L$2002&lt;&gt;"")*($M$3:$M$2002&lt;&gt;"")*($L$3:$L$2002&lt;$M515)*($M$3:$M$2002&gt;$L515))&gt;1,"중복","-"))</f>
        <v/>
      </c>
    </row>
    <row r="516" customFormat="false" ht="15" hidden="false" customHeight="true" outlineLevel="0" collapsed="false">
      <c r="A516" s="11"/>
      <c r="B516" s="7"/>
      <c r="C516" s="12" t="str">
        <f aca="false">IF($B516="","",IFERROR(INDEX(자원목록!$B$3:$B$102,MATCH($B516,자원목록!$A$3:$A$102,0)),"미등록자원"))</f>
        <v/>
      </c>
      <c r="D516" s="7"/>
      <c r="E516" s="12" t="str">
        <f aca="false">IF($D516="","",IFERROR(INDEX(고객목록!$B$3:$B$502,MATCH($D516,고객목록!$A$3:$A$502,0)),""))</f>
        <v/>
      </c>
      <c r="F516" s="13"/>
      <c r="G516" s="13"/>
      <c r="H516" s="14" t="str">
        <f aca="false">IF(OR($L516="",$M516=""),"",ROUND(($M516-$L516)/60,2))</f>
        <v/>
      </c>
      <c r="I516" s="9"/>
      <c r="J516" s="7"/>
      <c r="K516" s="7"/>
      <c r="L516" s="15" t="str">
        <f aca="false">IF($F516="","",IF($F516&lt;1,ROUND($F516*1440,0),INT($F516/100)*60+MOD($F516,100)))</f>
        <v/>
      </c>
      <c r="M516" s="15" t="str">
        <f aca="false">IF($G516="","",IF($G516&lt;1,ROUND($G516*1440,0),INT($G516/100)*60+MOD($G516,100)))</f>
        <v/>
      </c>
      <c r="N516" s="15" t="str">
        <f aca="false">IF(OR($A516="",$B516="",$L516="",$M516="",$J516="취소"),"",IF(SUMPRODUCT(($A$3:$A$2002=$A516)*($B$3:$B$2002=$B516)*($J$3:$J$2002&lt;&gt;"취소")*($L$3:$L$2002&lt;&gt;"")*($M$3:$M$2002&lt;&gt;"")*($L$3:$L$2002&lt;$M516)*($M$3:$M$2002&gt;$L516))&gt;1,"중복","-"))</f>
        <v/>
      </c>
    </row>
    <row r="517" customFormat="false" ht="15" hidden="false" customHeight="true" outlineLevel="0" collapsed="false">
      <c r="A517" s="11"/>
      <c r="B517" s="7"/>
      <c r="C517" s="12" t="str">
        <f aca="false">IF($B517="","",IFERROR(INDEX(자원목록!$B$3:$B$102,MATCH($B517,자원목록!$A$3:$A$102,0)),"미등록자원"))</f>
        <v/>
      </c>
      <c r="D517" s="7"/>
      <c r="E517" s="12" t="str">
        <f aca="false">IF($D517="","",IFERROR(INDEX(고객목록!$B$3:$B$502,MATCH($D517,고객목록!$A$3:$A$502,0)),""))</f>
        <v/>
      </c>
      <c r="F517" s="13"/>
      <c r="G517" s="13"/>
      <c r="H517" s="14" t="str">
        <f aca="false">IF(OR($L517="",$M517=""),"",ROUND(($M517-$L517)/60,2))</f>
        <v/>
      </c>
      <c r="I517" s="9"/>
      <c r="J517" s="7"/>
      <c r="K517" s="7"/>
      <c r="L517" s="15" t="str">
        <f aca="false">IF($F517="","",IF($F517&lt;1,ROUND($F517*1440,0),INT($F517/100)*60+MOD($F517,100)))</f>
        <v/>
      </c>
      <c r="M517" s="15" t="str">
        <f aca="false">IF($G517="","",IF($G517&lt;1,ROUND($G517*1440,0),INT($G517/100)*60+MOD($G517,100)))</f>
        <v/>
      </c>
      <c r="N517" s="15" t="str">
        <f aca="false">IF(OR($A517="",$B517="",$L517="",$M517="",$J517="취소"),"",IF(SUMPRODUCT(($A$3:$A$2002=$A517)*($B$3:$B$2002=$B517)*($J$3:$J$2002&lt;&gt;"취소")*($L$3:$L$2002&lt;&gt;"")*($M$3:$M$2002&lt;&gt;"")*($L$3:$L$2002&lt;$M517)*($M$3:$M$2002&gt;$L517))&gt;1,"중복","-"))</f>
        <v/>
      </c>
    </row>
    <row r="518" customFormat="false" ht="15" hidden="false" customHeight="true" outlineLevel="0" collapsed="false">
      <c r="A518" s="11"/>
      <c r="B518" s="7"/>
      <c r="C518" s="12" t="str">
        <f aca="false">IF($B518="","",IFERROR(INDEX(자원목록!$B$3:$B$102,MATCH($B518,자원목록!$A$3:$A$102,0)),"미등록자원"))</f>
        <v/>
      </c>
      <c r="D518" s="7"/>
      <c r="E518" s="12" t="str">
        <f aca="false">IF($D518="","",IFERROR(INDEX(고객목록!$B$3:$B$502,MATCH($D518,고객목록!$A$3:$A$502,0)),""))</f>
        <v/>
      </c>
      <c r="F518" s="13"/>
      <c r="G518" s="13"/>
      <c r="H518" s="14" t="str">
        <f aca="false">IF(OR($L518="",$M518=""),"",ROUND(($M518-$L518)/60,2))</f>
        <v/>
      </c>
      <c r="I518" s="9"/>
      <c r="J518" s="7"/>
      <c r="K518" s="7"/>
      <c r="L518" s="15" t="str">
        <f aca="false">IF($F518="","",IF($F518&lt;1,ROUND($F518*1440,0),INT($F518/100)*60+MOD($F518,100)))</f>
        <v/>
      </c>
      <c r="M518" s="15" t="str">
        <f aca="false">IF($G518="","",IF($G518&lt;1,ROUND($G518*1440,0),INT($G518/100)*60+MOD($G518,100)))</f>
        <v/>
      </c>
      <c r="N518" s="15" t="str">
        <f aca="false">IF(OR($A518="",$B518="",$L518="",$M518="",$J518="취소"),"",IF(SUMPRODUCT(($A$3:$A$2002=$A518)*($B$3:$B$2002=$B518)*($J$3:$J$2002&lt;&gt;"취소")*($L$3:$L$2002&lt;&gt;"")*($M$3:$M$2002&lt;&gt;"")*($L$3:$L$2002&lt;$M518)*($M$3:$M$2002&gt;$L518))&gt;1,"중복","-"))</f>
        <v/>
      </c>
    </row>
    <row r="519" customFormat="false" ht="15" hidden="false" customHeight="true" outlineLevel="0" collapsed="false">
      <c r="A519" s="11"/>
      <c r="B519" s="7"/>
      <c r="C519" s="12" t="str">
        <f aca="false">IF($B519="","",IFERROR(INDEX(자원목록!$B$3:$B$102,MATCH($B519,자원목록!$A$3:$A$102,0)),"미등록자원"))</f>
        <v/>
      </c>
      <c r="D519" s="7"/>
      <c r="E519" s="12" t="str">
        <f aca="false">IF($D519="","",IFERROR(INDEX(고객목록!$B$3:$B$502,MATCH($D519,고객목록!$A$3:$A$502,0)),""))</f>
        <v/>
      </c>
      <c r="F519" s="13"/>
      <c r="G519" s="13"/>
      <c r="H519" s="14" t="str">
        <f aca="false">IF(OR($L519="",$M519=""),"",ROUND(($M519-$L519)/60,2))</f>
        <v/>
      </c>
      <c r="I519" s="9"/>
      <c r="J519" s="7"/>
      <c r="K519" s="7"/>
      <c r="L519" s="15" t="str">
        <f aca="false">IF($F519="","",IF($F519&lt;1,ROUND($F519*1440,0),INT($F519/100)*60+MOD($F519,100)))</f>
        <v/>
      </c>
      <c r="M519" s="15" t="str">
        <f aca="false">IF($G519="","",IF($G519&lt;1,ROUND($G519*1440,0),INT($G519/100)*60+MOD($G519,100)))</f>
        <v/>
      </c>
      <c r="N519" s="15" t="str">
        <f aca="false">IF(OR($A519="",$B519="",$L519="",$M519="",$J519="취소"),"",IF(SUMPRODUCT(($A$3:$A$2002=$A519)*($B$3:$B$2002=$B519)*($J$3:$J$2002&lt;&gt;"취소")*($L$3:$L$2002&lt;&gt;"")*($M$3:$M$2002&lt;&gt;"")*($L$3:$L$2002&lt;$M519)*($M$3:$M$2002&gt;$L519))&gt;1,"중복","-"))</f>
        <v/>
      </c>
    </row>
    <row r="520" customFormat="false" ht="15" hidden="false" customHeight="true" outlineLevel="0" collapsed="false">
      <c r="A520" s="11"/>
      <c r="B520" s="7"/>
      <c r="C520" s="12" t="str">
        <f aca="false">IF($B520="","",IFERROR(INDEX(자원목록!$B$3:$B$102,MATCH($B520,자원목록!$A$3:$A$102,0)),"미등록자원"))</f>
        <v/>
      </c>
      <c r="D520" s="7"/>
      <c r="E520" s="12" t="str">
        <f aca="false">IF($D520="","",IFERROR(INDEX(고객목록!$B$3:$B$502,MATCH($D520,고객목록!$A$3:$A$502,0)),""))</f>
        <v/>
      </c>
      <c r="F520" s="13"/>
      <c r="G520" s="13"/>
      <c r="H520" s="14" t="str">
        <f aca="false">IF(OR($L520="",$M520=""),"",ROUND(($M520-$L520)/60,2))</f>
        <v/>
      </c>
      <c r="I520" s="9"/>
      <c r="J520" s="7"/>
      <c r="K520" s="7"/>
      <c r="L520" s="15" t="str">
        <f aca="false">IF($F520="","",IF($F520&lt;1,ROUND($F520*1440,0),INT($F520/100)*60+MOD($F520,100)))</f>
        <v/>
      </c>
      <c r="M520" s="15" t="str">
        <f aca="false">IF($G520="","",IF($G520&lt;1,ROUND($G520*1440,0),INT($G520/100)*60+MOD($G520,100)))</f>
        <v/>
      </c>
      <c r="N520" s="15" t="str">
        <f aca="false">IF(OR($A520="",$B520="",$L520="",$M520="",$J520="취소"),"",IF(SUMPRODUCT(($A$3:$A$2002=$A520)*($B$3:$B$2002=$B520)*($J$3:$J$2002&lt;&gt;"취소")*($L$3:$L$2002&lt;&gt;"")*($M$3:$M$2002&lt;&gt;"")*($L$3:$L$2002&lt;$M520)*($M$3:$M$2002&gt;$L520))&gt;1,"중복","-"))</f>
        <v/>
      </c>
    </row>
    <row r="521" customFormat="false" ht="15" hidden="false" customHeight="true" outlineLevel="0" collapsed="false">
      <c r="A521" s="11"/>
      <c r="B521" s="7"/>
      <c r="C521" s="12" t="str">
        <f aca="false">IF($B521="","",IFERROR(INDEX(자원목록!$B$3:$B$102,MATCH($B521,자원목록!$A$3:$A$102,0)),"미등록자원"))</f>
        <v/>
      </c>
      <c r="D521" s="7"/>
      <c r="E521" s="12" t="str">
        <f aca="false">IF($D521="","",IFERROR(INDEX(고객목록!$B$3:$B$502,MATCH($D521,고객목록!$A$3:$A$502,0)),""))</f>
        <v/>
      </c>
      <c r="F521" s="13"/>
      <c r="G521" s="13"/>
      <c r="H521" s="14" t="str">
        <f aca="false">IF(OR($L521="",$M521=""),"",ROUND(($M521-$L521)/60,2))</f>
        <v/>
      </c>
      <c r="I521" s="9"/>
      <c r="J521" s="7"/>
      <c r="K521" s="7"/>
      <c r="L521" s="15" t="str">
        <f aca="false">IF($F521="","",IF($F521&lt;1,ROUND($F521*1440,0),INT($F521/100)*60+MOD($F521,100)))</f>
        <v/>
      </c>
      <c r="M521" s="15" t="str">
        <f aca="false">IF($G521="","",IF($G521&lt;1,ROUND($G521*1440,0),INT($G521/100)*60+MOD($G521,100)))</f>
        <v/>
      </c>
      <c r="N521" s="15" t="str">
        <f aca="false">IF(OR($A521="",$B521="",$L521="",$M521="",$J521="취소"),"",IF(SUMPRODUCT(($A$3:$A$2002=$A521)*($B$3:$B$2002=$B521)*($J$3:$J$2002&lt;&gt;"취소")*($L$3:$L$2002&lt;&gt;"")*($M$3:$M$2002&lt;&gt;"")*($L$3:$L$2002&lt;$M521)*($M$3:$M$2002&gt;$L521))&gt;1,"중복","-"))</f>
        <v/>
      </c>
    </row>
    <row r="522" customFormat="false" ht="15" hidden="false" customHeight="true" outlineLevel="0" collapsed="false">
      <c r="A522" s="11"/>
      <c r="B522" s="7"/>
      <c r="C522" s="12" t="str">
        <f aca="false">IF($B522="","",IFERROR(INDEX(자원목록!$B$3:$B$102,MATCH($B522,자원목록!$A$3:$A$102,0)),"미등록자원"))</f>
        <v/>
      </c>
      <c r="D522" s="7"/>
      <c r="E522" s="12" t="str">
        <f aca="false">IF($D522="","",IFERROR(INDEX(고객목록!$B$3:$B$502,MATCH($D522,고객목록!$A$3:$A$502,0)),""))</f>
        <v/>
      </c>
      <c r="F522" s="13"/>
      <c r="G522" s="13"/>
      <c r="H522" s="14" t="str">
        <f aca="false">IF(OR($L522="",$M522=""),"",ROUND(($M522-$L522)/60,2))</f>
        <v/>
      </c>
      <c r="I522" s="9"/>
      <c r="J522" s="7"/>
      <c r="K522" s="7"/>
      <c r="L522" s="15" t="str">
        <f aca="false">IF($F522="","",IF($F522&lt;1,ROUND($F522*1440,0),INT($F522/100)*60+MOD($F522,100)))</f>
        <v/>
      </c>
      <c r="M522" s="15" t="str">
        <f aca="false">IF($G522="","",IF($G522&lt;1,ROUND($G522*1440,0),INT($G522/100)*60+MOD($G522,100)))</f>
        <v/>
      </c>
      <c r="N522" s="15" t="str">
        <f aca="false">IF(OR($A522="",$B522="",$L522="",$M522="",$J522="취소"),"",IF(SUMPRODUCT(($A$3:$A$2002=$A522)*($B$3:$B$2002=$B522)*($J$3:$J$2002&lt;&gt;"취소")*($L$3:$L$2002&lt;&gt;"")*($M$3:$M$2002&lt;&gt;"")*($L$3:$L$2002&lt;$M522)*($M$3:$M$2002&gt;$L522))&gt;1,"중복","-"))</f>
        <v/>
      </c>
    </row>
    <row r="523" customFormat="false" ht="15" hidden="false" customHeight="true" outlineLevel="0" collapsed="false">
      <c r="A523" s="11"/>
      <c r="B523" s="7"/>
      <c r="C523" s="12" t="str">
        <f aca="false">IF($B523="","",IFERROR(INDEX(자원목록!$B$3:$B$102,MATCH($B523,자원목록!$A$3:$A$102,0)),"미등록자원"))</f>
        <v/>
      </c>
      <c r="D523" s="7"/>
      <c r="E523" s="12" t="str">
        <f aca="false">IF($D523="","",IFERROR(INDEX(고객목록!$B$3:$B$502,MATCH($D523,고객목록!$A$3:$A$502,0)),""))</f>
        <v/>
      </c>
      <c r="F523" s="13"/>
      <c r="G523" s="13"/>
      <c r="H523" s="14" t="str">
        <f aca="false">IF(OR($L523="",$M523=""),"",ROUND(($M523-$L523)/60,2))</f>
        <v/>
      </c>
      <c r="I523" s="9"/>
      <c r="J523" s="7"/>
      <c r="K523" s="7"/>
      <c r="L523" s="15" t="str">
        <f aca="false">IF($F523="","",IF($F523&lt;1,ROUND($F523*1440,0),INT($F523/100)*60+MOD($F523,100)))</f>
        <v/>
      </c>
      <c r="M523" s="15" t="str">
        <f aca="false">IF($G523="","",IF($G523&lt;1,ROUND($G523*1440,0),INT($G523/100)*60+MOD($G523,100)))</f>
        <v/>
      </c>
      <c r="N523" s="15" t="str">
        <f aca="false">IF(OR($A523="",$B523="",$L523="",$M523="",$J523="취소"),"",IF(SUMPRODUCT(($A$3:$A$2002=$A523)*($B$3:$B$2002=$B523)*($J$3:$J$2002&lt;&gt;"취소")*($L$3:$L$2002&lt;&gt;"")*($M$3:$M$2002&lt;&gt;"")*($L$3:$L$2002&lt;$M523)*($M$3:$M$2002&gt;$L523))&gt;1,"중복","-"))</f>
        <v/>
      </c>
    </row>
    <row r="524" customFormat="false" ht="15" hidden="false" customHeight="true" outlineLevel="0" collapsed="false">
      <c r="A524" s="11"/>
      <c r="B524" s="7"/>
      <c r="C524" s="12" t="str">
        <f aca="false">IF($B524="","",IFERROR(INDEX(자원목록!$B$3:$B$102,MATCH($B524,자원목록!$A$3:$A$102,0)),"미등록자원"))</f>
        <v/>
      </c>
      <c r="D524" s="7"/>
      <c r="E524" s="12" t="str">
        <f aca="false">IF($D524="","",IFERROR(INDEX(고객목록!$B$3:$B$502,MATCH($D524,고객목록!$A$3:$A$502,0)),""))</f>
        <v/>
      </c>
      <c r="F524" s="13"/>
      <c r="G524" s="13"/>
      <c r="H524" s="14" t="str">
        <f aca="false">IF(OR($L524="",$M524=""),"",ROUND(($M524-$L524)/60,2))</f>
        <v/>
      </c>
      <c r="I524" s="9"/>
      <c r="J524" s="7"/>
      <c r="K524" s="7"/>
      <c r="L524" s="15" t="str">
        <f aca="false">IF($F524="","",IF($F524&lt;1,ROUND($F524*1440,0),INT($F524/100)*60+MOD($F524,100)))</f>
        <v/>
      </c>
      <c r="M524" s="15" t="str">
        <f aca="false">IF($G524="","",IF($G524&lt;1,ROUND($G524*1440,0),INT($G524/100)*60+MOD($G524,100)))</f>
        <v/>
      </c>
      <c r="N524" s="15" t="str">
        <f aca="false">IF(OR($A524="",$B524="",$L524="",$M524="",$J524="취소"),"",IF(SUMPRODUCT(($A$3:$A$2002=$A524)*($B$3:$B$2002=$B524)*($J$3:$J$2002&lt;&gt;"취소")*($L$3:$L$2002&lt;&gt;"")*($M$3:$M$2002&lt;&gt;"")*($L$3:$L$2002&lt;$M524)*($M$3:$M$2002&gt;$L524))&gt;1,"중복","-"))</f>
        <v/>
      </c>
    </row>
    <row r="525" customFormat="false" ht="15" hidden="false" customHeight="true" outlineLevel="0" collapsed="false">
      <c r="A525" s="11"/>
      <c r="B525" s="7"/>
      <c r="C525" s="12" t="str">
        <f aca="false">IF($B525="","",IFERROR(INDEX(자원목록!$B$3:$B$102,MATCH($B525,자원목록!$A$3:$A$102,0)),"미등록자원"))</f>
        <v/>
      </c>
      <c r="D525" s="7"/>
      <c r="E525" s="12" t="str">
        <f aca="false">IF($D525="","",IFERROR(INDEX(고객목록!$B$3:$B$502,MATCH($D525,고객목록!$A$3:$A$502,0)),""))</f>
        <v/>
      </c>
      <c r="F525" s="13"/>
      <c r="G525" s="13"/>
      <c r="H525" s="14" t="str">
        <f aca="false">IF(OR($L525="",$M525=""),"",ROUND(($M525-$L525)/60,2))</f>
        <v/>
      </c>
      <c r="I525" s="9"/>
      <c r="J525" s="7"/>
      <c r="K525" s="7"/>
      <c r="L525" s="15" t="str">
        <f aca="false">IF($F525="","",IF($F525&lt;1,ROUND($F525*1440,0),INT($F525/100)*60+MOD($F525,100)))</f>
        <v/>
      </c>
      <c r="M525" s="15" t="str">
        <f aca="false">IF($G525="","",IF($G525&lt;1,ROUND($G525*1440,0),INT($G525/100)*60+MOD($G525,100)))</f>
        <v/>
      </c>
      <c r="N525" s="15" t="str">
        <f aca="false">IF(OR($A525="",$B525="",$L525="",$M525="",$J525="취소"),"",IF(SUMPRODUCT(($A$3:$A$2002=$A525)*($B$3:$B$2002=$B525)*($J$3:$J$2002&lt;&gt;"취소")*($L$3:$L$2002&lt;&gt;"")*($M$3:$M$2002&lt;&gt;"")*($L$3:$L$2002&lt;$M525)*($M$3:$M$2002&gt;$L525))&gt;1,"중복","-"))</f>
        <v/>
      </c>
    </row>
    <row r="526" customFormat="false" ht="15" hidden="false" customHeight="true" outlineLevel="0" collapsed="false">
      <c r="A526" s="11"/>
      <c r="B526" s="7"/>
      <c r="C526" s="12" t="str">
        <f aca="false">IF($B526="","",IFERROR(INDEX(자원목록!$B$3:$B$102,MATCH($B526,자원목록!$A$3:$A$102,0)),"미등록자원"))</f>
        <v/>
      </c>
      <c r="D526" s="7"/>
      <c r="E526" s="12" t="str">
        <f aca="false">IF($D526="","",IFERROR(INDEX(고객목록!$B$3:$B$502,MATCH($D526,고객목록!$A$3:$A$502,0)),""))</f>
        <v/>
      </c>
      <c r="F526" s="13"/>
      <c r="G526" s="13"/>
      <c r="H526" s="14" t="str">
        <f aca="false">IF(OR($L526="",$M526=""),"",ROUND(($M526-$L526)/60,2))</f>
        <v/>
      </c>
      <c r="I526" s="9"/>
      <c r="J526" s="7"/>
      <c r="K526" s="7"/>
      <c r="L526" s="15" t="str">
        <f aca="false">IF($F526="","",IF($F526&lt;1,ROUND($F526*1440,0),INT($F526/100)*60+MOD($F526,100)))</f>
        <v/>
      </c>
      <c r="M526" s="15" t="str">
        <f aca="false">IF($G526="","",IF($G526&lt;1,ROUND($G526*1440,0),INT($G526/100)*60+MOD($G526,100)))</f>
        <v/>
      </c>
      <c r="N526" s="15" t="str">
        <f aca="false">IF(OR($A526="",$B526="",$L526="",$M526="",$J526="취소"),"",IF(SUMPRODUCT(($A$3:$A$2002=$A526)*($B$3:$B$2002=$B526)*($J$3:$J$2002&lt;&gt;"취소")*($L$3:$L$2002&lt;&gt;"")*($M$3:$M$2002&lt;&gt;"")*($L$3:$L$2002&lt;$M526)*($M$3:$M$2002&gt;$L526))&gt;1,"중복","-"))</f>
        <v/>
      </c>
    </row>
    <row r="527" customFormat="false" ht="15" hidden="false" customHeight="true" outlineLevel="0" collapsed="false">
      <c r="A527" s="11"/>
      <c r="B527" s="7"/>
      <c r="C527" s="12" t="str">
        <f aca="false">IF($B527="","",IFERROR(INDEX(자원목록!$B$3:$B$102,MATCH($B527,자원목록!$A$3:$A$102,0)),"미등록자원"))</f>
        <v/>
      </c>
      <c r="D527" s="7"/>
      <c r="E527" s="12" t="str">
        <f aca="false">IF($D527="","",IFERROR(INDEX(고객목록!$B$3:$B$502,MATCH($D527,고객목록!$A$3:$A$502,0)),""))</f>
        <v/>
      </c>
      <c r="F527" s="13"/>
      <c r="G527" s="13"/>
      <c r="H527" s="14" t="str">
        <f aca="false">IF(OR($L527="",$M527=""),"",ROUND(($M527-$L527)/60,2))</f>
        <v/>
      </c>
      <c r="I527" s="9"/>
      <c r="J527" s="7"/>
      <c r="K527" s="7"/>
      <c r="L527" s="15" t="str">
        <f aca="false">IF($F527="","",IF($F527&lt;1,ROUND($F527*1440,0),INT($F527/100)*60+MOD($F527,100)))</f>
        <v/>
      </c>
      <c r="M527" s="15" t="str">
        <f aca="false">IF($G527="","",IF($G527&lt;1,ROUND($G527*1440,0),INT($G527/100)*60+MOD($G527,100)))</f>
        <v/>
      </c>
      <c r="N527" s="15" t="str">
        <f aca="false">IF(OR($A527="",$B527="",$L527="",$M527="",$J527="취소"),"",IF(SUMPRODUCT(($A$3:$A$2002=$A527)*($B$3:$B$2002=$B527)*($J$3:$J$2002&lt;&gt;"취소")*($L$3:$L$2002&lt;&gt;"")*($M$3:$M$2002&lt;&gt;"")*($L$3:$L$2002&lt;$M527)*($M$3:$M$2002&gt;$L527))&gt;1,"중복","-"))</f>
        <v/>
      </c>
    </row>
    <row r="528" customFormat="false" ht="15" hidden="false" customHeight="true" outlineLevel="0" collapsed="false">
      <c r="A528" s="11"/>
      <c r="B528" s="7"/>
      <c r="C528" s="12" t="str">
        <f aca="false">IF($B528="","",IFERROR(INDEX(자원목록!$B$3:$B$102,MATCH($B528,자원목록!$A$3:$A$102,0)),"미등록자원"))</f>
        <v/>
      </c>
      <c r="D528" s="7"/>
      <c r="E528" s="12" t="str">
        <f aca="false">IF($D528="","",IFERROR(INDEX(고객목록!$B$3:$B$502,MATCH($D528,고객목록!$A$3:$A$502,0)),""))</f>
        <v/>
      </c>
      <c r="F528" s="13"/>
      <c r="G528" s="13"/>
      <c r="H528" s="14" t="str">
        <f aca="false">IF(OR($L528="",$M528=""),"",ROUND(($M528-$L528)/60,2))</f>
        <v/>
      </c>
      <c r="I528" s="9"/>
      <c r="J528" s="7"/>
      <c r="K528" s="7"/>
      <c r="L528" s="15" t="str">
        <f aca="false">IF($F528="","",IF($F528&lt;1,ROUND($F528*1440,0),INT($F528/100)*60+MOD($F528,100)))</f>
        <v/>
      </c>
      <c r="M528" s="15" t="str">
        <f aca="false">IF($G528="","",IF($G528&lt;1,ROUND($G528*1440,0),INT($G528/100)*60+MOD($G528,100)))</f>
        <v/>
      </c>
      <c r="N528" s="15" t="str">
        <f aca="false">IF(OR($A528="",$B528="",$L528="",$M528="",$J528="취소"),"",IF(SUMPRODUCT(($A$3:$A$2002=$A528)*($B$3:$B$2002=$B528)*($J$3:$J$2002&lt;&gt;"취소")*($L$3:$L$2002&lt;&gt;"")*($M$3:$M$2002&lt;&gt;"")*($L$3:$L$2002&lt;$M528)*($M$3:$M$2002&gt;$L528))&gt;1,"중복","-"))</f>
        <v/>
      </c>
    </row>
    <row r="529" customFormat="false" ht="15" hidden="false" customHeight="true" outlineLevel="0" collapsed="false">
      <c r="A529" s="11"/>
      <c r="B529" s="7"/>
      <c r="C529" s="12" t="str">
        <f aca="false">IF($B529="","",IFERROR(INDEX(자원목록!$B$3:$B$102,MATCH($B529,자원목록!$A$3:$A$102,0)),"미등록자원"))</f>
        <v/>
      </c>
      <c r="D529" s="7"/>
      <c r="E529" s="12" t="str">
        <f aca="false">IF($D529="","",IFERROR(INDEX(고객목록!$B$3:$B$502,MATCH($D529,고객목록!$A$3:$A$502,0)),""))</f>
        <v/>
      </c>
      <c r="F529" s="13"/>
      <c r="G529" s="13"/>
      <c r="H529" s="14" t="str">
        <f aca="false">IF(OR($L529="",$M529=""),"",ROUND(($M529-$L529)/60,2))</f>
        <v/>
      </c>
      <c r="I529" s="9"/>
      <c r="J529" s="7"/>
      <c r="K529" s="7"/>
      <c r="L529" s="15" t="str">
        <f aca="false">IF($F529="","",IF($F529&lt;1,ROUND($F529*1440,0),INT($F529/100)*60+MOD($F529,100)))</f>
        <v/>
      </c>
      <c r="M529" s="15" t="str">
        <f aca="false">IF($G529="","",IF($G529&lt;1,ROUND($G529*1440,0),INT($G529/100)*60+MOD($G529,100)))</f>
        <v/>
      </c>
      <c r="N529" s="15" t="str">
        <f aca="false">IF(OR($A529="",$B529="",$L529="",$M529="",$J529="취소"),"",IF(SUMPRODUCT(($A$3:$A$2002=$A529)*($B$3:$B$2002=$B529)*($J$3:$J$2002&lt;&gt;"취소")*($L$3:$L$2002&lt;&gt;"")*($M$3:$M$2002&lt;&gt;"")*($L$3:$L$2002&lt;$M529)*($M$3:$M$2002&gt;$L529))&gt;1,"중복","-"))</f>
        <v/>
      </c>
    </row>
    <row r="530" customFormat="false" ht="15" hidden="false" customHeight="true" outlineLevel="0" collapsed="false">
      <c r="A530" s="11"/>
      <c r="B530" s="7"/>
      <c r="C530" s="12" t="str">
        <f aca="false">IF($B530="","",IFERROR(INDEX(자원목록!$B$3:$B$102,MATCH($B530,자원목록!$A$3:$A$102,0)),"미등록자원"))</f>
        <v/>
      </c>
      <c r="D530" s="7"/>
      <c r="E530" s="12" t="str">
        <f aca="false">IF($D530="","",IFERROR(INDEX(고객목록!$B$3:$B$502,MATCH($D530,고객목록!$A$3:$A$502,0)),""))</f>
        <v/>
      </c>
      <c r="F530" s="13"/>
      <c r="G530" s="13"/>
      <c r="H530" s="14" t="str">
        <f aca="false">IF(OR($L530="",$M530=""),"",ROUND(($M530-$L530)/60,2))</f>
        <v/>
      </c>
      <c r="I530" s="9"/>
      <c r="J530" s="7"/>
      <c r="K530" s="7"/>
      <c r="L530" s="15" t="str">
        <f aca="false">IF($F530="","",IF($F530&lt;1,ROUND($F530*1440,0),INT($F530/100)*60+MOD($F530,100)))</f>
        <v/>
      </c>
      <c r="M530" s="15" t="str">
        <f aca="false">IF($G530="","",IF($G530&lt;1,ROUND($G530*1440,0),INT($G530/100)*60+MOD($G530,100)))</f>
        <v/>
      </c>
      <c r="N530" s="15" t="str">
        <f aca="false">IF(OR($A530="",$B530="",$L530="",$M530="",$J530="취소"),"",IF(SUMPRODUCT(($A$3:$A$2002=$A530)*($B$3:$B$2002=$B530)*($J$3:$J$2002&lt;&gt;"취소")*($L$3:$L$2002&lt;&gt;"")*($M$3:$M$2002&lt;&gt;"")*($L$3:$L$2002&lt;$M530)*($M$3:$M$2002&gt;$L530))&gt;1,"중복","-"))</f>
        <v/>
      </c>
    </row>
    <row r="531" customFormat="false" ht="15" hidden="false" customHeight="true" outlineLevel="0" collapsed="false">
      <c r="A531" s="11"/>
      <c r="B531" s="7"/>
      <c r="C531" s="12" t="str">
        <f aca="false">IF($B531="","",IFERROR(INDEX(자원목록!$B$3:$B$102,MATCH($B531,자원목록!$A$3:$A$102,0)),"미등록자원"))</f>
        <v/>
      </c>
      <c r="D531" s="7"/>
      <c r="E531" s="12" t="str">
        <f aca="false">IF($D531="","",IFERROR(INDEX(고객목록!$B$3:$B$502,MATCH($D531,고객목록!$A$3:$A$502,0)),""))</f>
        <v/>
      </c>
      <c r="F531" s="13"/>
      <c r="G531" s="13"/>
      <c r="H531" s="14" t="str">
        <f aca="false">IF(OR($L531="",$M531=""),"",ROUND(($M531-$L531)/60,2))</f>
        <v/>
      </c>
      <c r="I531" s="9"/>
      <c r="J531" s="7"/>
      <c r="K531" s="7"/>
      <c r="L531" s="15" t="str">
        <f aca="false">IF($F531="","",IF($F531&lt;1,ROUND($F531*1440,0),INT($F531/100)*60+MOD($F531,100)))</f>
        <v/>
      </c>
      <c r="M531" s="15" t="str">
        <f aca="false">IF($G531="","",IF($G531&lt;1,ROUND($G531*1440,0),INT($G531/100)*60+MOD($G531,100)))</f>
        <v/>
      </c>
      <c r="N531" s="15" t="str">
        <f aca="false">IF(OR($A531="",$B531="",$L531="",$M531="",$J531="취소"),"",IF(SUMPRODUCT(($A$3:$A$2002=$A531)*($B$3:$B$2002=$B531)*($J$3:$J$2002&lt;&gt;"취소")*($L$3:$L$2002&lt;&gt;"")*($M$3:$M$2002&lt;&gt;"")*($L$3:$L$2002&lt;$M531)*($M$3:$M$2002&gt;$L531))&gt;1,"중복","-"))</f>
        <v/>
      </c>
    </row>
    <row r="532" customFormat="false" ht="15" hidden="false" customHeight="true" outlineLevel="0" collapsed="false">
      <c r="A532" s="11"/>
      <c r="B532" s="7"/>
      <c r="C532" s="12" t="str">
        <f aca="false">IF($B532="","",IFERROR(INDEX(자원목록!$B$3:$B$102,MATCH($B532,자원목록!$A$3:$A$102,0)),"미등록자원"))</f>
        <v/>
      </c>
      <c r="D532" s="7"/>
      <c r="E532" s="12" t="str">
        <f aca="false">IF($D532="","",IFERROR(INDEX(고객목록!$B$3:$B$502,MATCH($D532,고객목록!$A$3:$A$502,0)),""))</f>
        <v/>
      </c>
      <c r="F532" s="13"/>
      <c r="G532" s="13"/>
      <c r="H532" s="14" t="str">
        <f aca="false">IF(OR($L532="",$M532=""),"",ROUND(($M532-$L532)/60,2))</f>
        <v/>
      </c>
      <c r="I532" s="9"/>
      <c r="J532" s="7"/>
      <c r="K532" s="7"/>
      <c r="L532" s="15" t="str">
        <f aca="false">IF($F532="","",IF($F532&lt;1,ROUND($F532*1440,0),INT($F532/100)*60+MOD($F532,100)))</f>
        <v/>
      </c>
      <c r="M532" s="15" t="str">
        <f aca="false">IF($G532="","",IF($G532&lt;1,ROUND($G532*1440,0),INT($G532/100)*60+MOD($G532,100)))</f>
        <v/>
      </c>
      <c r="N532" s="15" t="str">
        <f aca="false">IF(OR($A532="",$B532="",$L532="",$M532="",$J532="취소"),"",IF(SUMPRODUCT(($A$3:$A$2002=$A532)*($B$3:$B$2002=$B532)*($J$3:$J$2002&lt;&gt;"취소")*($L$3:$L$2002&lt;&gt;"")*($M$3:$M$2002&lt;&gt;"")*($L$3:$L$2002&lt;$M532)*($M$3:$M$2002&gt;$L532))&gt;1,"중복","-"))</f>
        <v/>
      </c>
    </row>
    <row r="533" customFormat="false" ht="15" hidden="false" customHeight="true" outlineLevel="0" collapsed="false">
      <c r="A533" s="11"/>
      <c r="B533" s="7"/>
      <c r="C533" s="12" t="str">
        <f aca="false">IF($B533="","",IFERROR(INDEX(자원목록!$B$3:$B$102,MATCH($B533,자원목록!$A$3:$A$102,0)),"미등록자원"))</f>
        <v/>
      </c>
      <c r="D533" s="7"/>
      <c r="E533" s="12" t="str">
        <f aca="false">IF($D533="","",IFERROR(INDEX(고객목록!$B$3:$B$502,MATCH($D533,고객목록!$A$3:$A$502,0)),""))</f>
        <v/>
      </c>
      <c r="F533" s="13"/>
      <c r="G533" s="13"/>
      <c r="H533" s="14" t="str">
        <f aca="false">IF(OR($L533="",$M533=""),"",ROUND(($M533-$L533)/60,2))</f>
        <v/>
      </c>
      <c r="I533" s="9"/>
      <c r="J533" s="7"/>
      <c r="K533" s="7"/>
      <c r="L533" s="15" t="str">
        <f aca="false">IF($F533="","",IF($F533&lt;1,ROUND($F533*1440,0),INT($F533/100)*60+MOD($F533,100)))</f>
        <v/>
      </c>
      <c r="M533" s="15" t="str">
        <f aca="false">IF($G533="","",IF($G533&lt;1,ROUND($G533*1440,0),INT($G533/100)*60+MOD($G533,100)))</f>
        <v/>
      </c>
      <c r="N533" s="15" t="str">
        <f aca="false">IF(OR($A533="",$B533="",$L533="",$M533="",$J533="취소"),"",IF(SUMPRODUCT(($A$3:$A$2002=$A533)*($B$3:$B$2002=$B533)*($J$3:$J$2002&lt;&gt;"취소")*($L$3:$L$2002&lt;&gt;"")*($M$3:$M$2002&lt;&gt;"")*($L$3:$L$2002&lt;$M533)*($M$3:$M$2002&gt;$L533))&gt;1,"중복","-"))</f>
        <v/>
      </c>
    </row>
    <row r="534" customFormat="false" ht="15" hidden="false" customHeight="true" outlineLevel="0" collapsed="false">
      <c r="A534" s="11"/>
      <c r="B534" s="7"/>
      <c r="C534" s="12" t="str">
        <f aca="false">IF($B534="","",IFERROR(INDEX(자원목록!$B$3:$B$102,MATCH($B534,자원목록!$A$3:$A$102,0)),"미등록자원"))</f>
        <v/>
      </c>
      <c r="D534" s="7"/>
      <c r="E534" s="12" t="str">
        <f aca="false">IF($D534="","",IFERROR(INDEX(고객목록!$B$3:$B$502,MATCH($D534,고객목록!$A$3:$A$502,0)),""))</f>
        <v/>
      </c>
      <c r="F534" s="13"/>
      <c r="G534" s="13"/>
      <c r="H534" s="14" t="str">
        <f aca="false">IF(OR($L534="",$M534=""),"",ROUND(($M534-$L534)/60,2))</f>
        <v/>
      </c>
      <c r="I534" s="9"/>
      <c r="J534" s="7"/>
      <c r="K534" s="7"/>
      <c r="L534" s="15" t="str">
        <f aca="false">IF($F534="","",IF($F534&lt;1,ROUND($F534*1440,0),INT($F534/100)*60+MOD($F534,100)))</f>
        <v/>
      </c>
      <c r="M534" s="15" t="str">
        <f aca="false">IF($G534="","",IF($G534&lt;1,ROUND($G534*1440,0),INT($G534/100)*60+MOD($G534,100)))</f>
        <v/>
      </c>
      <c r="N534" s="15" t="str">
        <f aca="false">IF(OR($A534="",$B534="",$L534="",$M534="",$J534="취소"),"",IF(SUMPRODUCT(($A$3:$A$2002=$A534)*($B$3:$B$2002=$B534)*($J$3:$J$2002&lt;&gt;"취소")*($L$3:$L$2002&lt;&gt;"")*($M$3:$M$2002&lt;&gt;"")*($L$3:$L$2002&lt;$M534)*($M$3:$M$2002&gt;$L534))&gt;1,"중복","-"))</f>
        <v/>
      </c>
    </row>
    <row r="535" customFormat="false" ht="15" hidden="false" customHeight="true" outlineLevel="0" collapsed="false">
      <c r="A535" s="11"/>
      <c r="B535" s="7"/>
      <c r="C535" s="12" t="str">
        <f aca="false">IF($B535="","",IFERROR(INDEX(자원목록!$B$3:$B$102,MATCH($B535,자원목록!$A$3:$A$102,0)),"미등록자원"))</f>
        <v/>
      </c>
      <c r="D535" s="7"/>
      <c r="E535" s="12" t="str">
        <f aca="false">IF($D535="","",IFERROR(INDEX(고객목록!$B$3:$B$502,MATCH($D535,고객목록!$A$3:$A$502,0)),""))</f>
        <v/>
      </c>
      <c r="F535" s="13"/>
      <c r="G535" s="13"/>
      <c r="H535" s="14" t="str">
        <f aca="false">IF(OR($L535="",$M535=""),"",ROUND(($M535-$L535)/60,2))</f>
        <v/>
      </c>
      <c r="I535" s="9"/>
      <c r="J535" s="7"/>
      <c r="K535" s="7"/>
      <c r="L535" s="15" t="str">
        <f aca="false">IF($F535="","",IF($F535&lt;1,ROUND($F535*1440,0),INT($F535/100)*60+MOD($F535,100)))</f>
        <v/>
      </c>
      <c r="M535" s="15" t="str">
        <f aca="false">IF($G535="","",IF($G535&lt;1,ROUND($G535*1440,0),INT($G535/100)*60+MOD($G535,100)))</f>
        <v/>
      </c>
      <c r="N535" s="15" t="str">
        <f aca="false">IF(OR($A535="",$B535="",$L535="",$M535="",$J535="취소"),"",IF(SUMPRODUCT(($A$3:$A$2002=$A535)*($B$3:$B$2002=$B535)*($J$3:$J$2002&lt;&gt;"취소")*($L$3:$L$2002&lt;&gt;"")*($M$3:$M$2002&lt;&gt;"")*($L$3:$L$2002&lt;$M535)*($M$3:$M$2002&gt;$L535))&gt;1,"중복","-"))</f>
        <v/>
      </c>
    </row>
    <row r="536" customFormat="false" ht="15" hidden="false" customHeight="true" outlineLevel="0" collapsed="false">
      <c r="A536" s="11"/>
      <c r="B536" s="7"/>
      <c r="C536" s="12" t="str">
        <f aca="false">IF($B536="","",IFERROR(INDEX(자원목록!$B$3:$B$102,MATCH($B536,자원목록!$A$3:$A$102,0)),"미등록자원"))</f>
        <v/>
      </c>
      <c r="D536" s="7"/>
      <c r="E536" s="12" t="str">
        <f aca="false">IF($D536="","",IFERROR(INDEX(고객목록!$B$3:$B$502,MATCH($D536,고객목록!$A$3:$A$502,0)),""))</f>
        <v/>
      </c>
      <c r="F536" s="13"/>
      <c r="G536" s="13"/>
      <c r="H536" s="14" t="str">
        <f aca="false">IF(OR($L536="",$M536=""),"",ROUND(($M536-$L536)/60,2))</f>
        <v/>
      </c>
      <c r="I536" s="9"/>
      <c r="J536" s="7"/>
      <c r="K536" s="7"/>
      <c r="L536" s="15" t="str">
        <f aca="false">IF($F536="","",IF($F536&lt;1,ROUND($F536*1440,0),INT($F536/100)*60+MOD($F536,100)))</f>
        <v/>
      </c>
      <c r="M536" s="15" t="str">
        <f aca="false">IF($G536="","",IF($G536&lt;1,ROUND($G536*1440,0),INT($G536/100)*60+MOD($G536,100)))</f>
        <v/>
      </c>
      <c r="N536" s="15" t="str">
        <f aca="false">IF(OR($A536="",$B536="",$L536="",$M536="",$J536="취소"),"",IF(SUMPRODUCT(($A$3:$A$2002=$A536)*($B$3:$B$2002=$B536)*($J$3:$J$2002&lt;&gt;"취소")*($L$3:$L$2002&lt;&gt;"")*($M$3:$M$2002&lt;&gt;"")*($L$3:$L$2002&lt;$M536)*($M$3:$M$2002&gt;$L536))&gt;1,"중복","-"))</f>
        <v/>
      </c>
    </row>
    <row r="537" customFormat="false" ht="15" hidden="false" customHeight="true" outlineLevel="0" collapsed="false">
      <c r="A537" s="11"/>
      <c r="B537" s="7"/>
      <c r="C537" s="12" t="str">
        <f aca="false">IF($B537="","",IFERROR(INDEX(자원목록!$B$3:$B$102,MATCH($B537,자원목록!$A$3:$A$102,0)),"미등록자원"))</f>
        <v/>
      </c>
      <c r="D537" s="7"/>
      <c r="E537" s="12" t="str">
        <f aca="false">IF($D537="","",IFERROR(INDEX(고객목록!$B$3:$B$502,MATCH($D537,고객목록!$A$3:$A$502,0)),""))</f>
        <v/>
      </c>
      <c r="F537" s="13"/>
      <c r="G537" s="13"/>
      <c r="H537" s="14" t="str">
        <f aca="false">IF(OR($L537="",$M537=""),"",ROUND(($M537-$L537)/60,2))</f>
        <v/>
      </c>
      <c r="I537" s="9"/>
      <c r="J537" s="7"/>
      <c r="K537" s="7"/>
      <c r="L537" s="15" t="str">
        <f aca="false">IF($F537="","",IF($F537&lt;1,ROUND($F537*1440,0),INT($F537/100)*60+MOD($F537,100)))</f>
        <v/>
      </c>
      <c r="M537" s="15" t="str">
        <f aca="false">IF($G537="","",IF($G537&lt;1,ROUND($G537*1440,0),INT($G537/100)*60+MOD($G537,100)))</f>
        <v/>
      </c>
      <c r="N537" s="15" t="str">
        <f aca="false">IF(OR($A537="",$B537="",$L537="",$M537="",$J537="취소"),"",IF(SUMPRODUCT(($A$3:$A$2002=$A537)*($B$3:$B$2002=$B537)*($J$3:$J$2002&lt;&gt;"취소")*($L$3:$L$2002&lt;&gt;"")*($M$3:$M$2002&lt;&gt;"")*($L$3:$L$2002&lt;$M537)*($M$3:$M$2002&gt;$L537))&gt;1,"중복","-"))</f>
        <v/>
      </c>
    </row>
    <row r="538" customFormat="false" ht="15" hidden="false" customHeight="true" outlineLevel="0" collapsed="false">
      <c r="A538" s="11"/>
      <c r="B538" s="7"/>
      <c r="C538" s="12" t="str">
        <f aca="false">IF($B538="","",IFERROR(INDEX(자원목록!$B$3:$B$102,MATCH($B538,자원목록!$A$3:$A$102,0)),"미등록자원"))</f>
        <v/>
      </c>
      <c r="D538" s="7"/>
      <c r="E538" s="12" t="str">
        <f aca="false">IF($D538="","",IFERROR(INDEX(고객목록!$B$3:$B$502,MATCH($D538,고객목록!$A$3:$A$502,0)),""))</f>
        <v/>
      </c>
      <c r="F538" s="13"/>
      <c r="G538" s="13"/>
      <c r="H538" s="14" t="str">
        <f aca="false">IF(OR($L538="",$M538=""),"",ROUND(($M538-$L538)/60,2))</f>
        <v/>
      </c>
      <c r="I538" s="9"/>
      <c r="J538" s="7"/>
      <c r="K538" s="7"/>
      <c r="L538" s="15" t="str">
        <f aca="false">IF($F538="","",IF($F538&lt;1,ROUND($F538*1440,0),INT($F538/100)*60+MOD($F538,100)))</f>
        <v/>
      </c>
      <c r="M538" s="15" t="str">
        <f aca="false">IF($G538="","",IF($G538&lt;1,ROUND($G538*1440,0),INT($G538/100)*60+MOD($G538,100)))</f>
        <v/>
      </c>
      <c r="N538" s="15" t="str">
        <f aca="false">IF(OR($A538="",$B538="",$L538="",$M538="",$J538="취소"),"",IF(SUMPRODUCT(($A$3:$A$2002=$A538)*($B$3:$B$2002=$B538)*($J$3:$J$2002&lt;&gt;"취소")*($L$3:$L$2002&lt;&gt;"")*($M$3:$M$2002&lt;&gt;"")*($L$3:$L$2002&lt;$M538)*($M$3:$M$2002&gt;$L538))&gt;1,"중복","-"))</f>
        <v/>
      </c>
    </row>
    <row r="539" customFormat="false" ht="15" hidden="false" customHeight="true" outlineLevel="0" collapsed="false">
      <c r="A539" s="11"/>
      <c r="B539" s="7"/>
      <c r="C539" s="12" t="str">
        <f aca="false">IF($B539="","",IFERROR(INDEX(자원목록!$B$3:$B$102,MATCH($B539,자원목록!$A$3:$A$102,0)),"미등록자원"))</f>
        <v/>
      </c>
      <c r="D539" s="7"/>
      <c r="E539" s="12" t="str">
        <f aca="false">IF($D539="","",IFERROR(INDEX(고객목록!$B$3:$B$502,MATCH($D539,고객목록!$A$3:$A$502,0)),""))</f>
        <v/>
      </c>
      <c r="F539" s="13"/>
      <c r="G539" s="13"/>
      <c r="H539" s="14" t="str">
        <f aca="false">IF(OR($L539="",$M539=""),"",ROUND(($M539-$L539)/60,2))</f>
        <v/>
      </c>
      <c r="I539" s="9"/>
      <c r="J539" s="7"/>
      <c r="K539" s="7"/>
      <c r="L539" s="15" t="str">
        <f aca="false">IF($F539="","",IF($F539&lt;1,ROUND($F539*1440,0),INT($F539/100)*60+MOD($F539,100)))</f>
        <v/>
      </c>
      <c r="M539" s="15" t="str">
        <f aca="false">IF($G539="","",IF($G539&lt;1,ROUND($G539*1440,0),INT($G539/100)*60+MOD($G539,100)))</f>
        <v/>
      </c>
      <c r="N539" s="15" t="str">
        <f aca="false">IF(OR($A539="",$B539="",$L539="",$M539="",$J539="취소"),"",IF(SUMPRODUCT(($A$3:$A$2002=$A539)*($B$3:$B$2002=$B539)*($J$3:$J$2002&lt;&gt;"취소")*($L$3:$L$2002&lt;&gt;"")*($M$3:$M$2002&lt;&gt;"")*($L$3:$L$2002&lt;$M539)*($M$3:$M$2002&gt;$L539))&gt;1,"중복","-"))</f>
        <v/>
      </c>
    </row>
    <row r="540" customFormat="false" ht="15" hidden="false" customHeight="true" outlineLevel="0" collapsed="false">
      <c r="A540" s="11"/>
      <c r="B540" s="7"/>
      <c r="C540" s="12" t="str">
        <f aca="false">IF($B540="","",IFERROR(INDEX(자원목록!$B$3:$B$102,MATCH($B540,자원목록!$A$3:$A$102,0)),"미등록자원"))</f>
        <v/>
      </c>
      <c r="D540" s="7"/>
      <c r="E540" s="12" t="str">
        <f aca="false">IF($D540="","",IFERROR(INDEX(고객목록!$B$3:$B$502,MATCH($D540,고객목록!$A$3:$A$502,0)),""))</f>
        <v/>
      </c>
      <c r="F540" s="13"/>
      <c r="G540" s="13"/>
      <c r="H540" s="14" t="str">
        <f aca="false">IF(OR($L540="",$M540=""),"",ROUND(($M540-$L540)/60,2))</f>
        <v/>
      </c>
      <c r="I540" s="9"/>
      <c r="J540" s="7"/>
      <c r="K540" s="7"/>
      <c r="L540" s="15" t="str">
        <f aca="false">IF($F540="","",IF($F540&lt;1,ROUND($F540*1440,0),INT($F540/100)*60+MOD($F540,100)))</f>
        <v/>
      </c>
      <c r="M540" s="15" t="str">
        <f aca="false">IF($G540="","",IF($G540&lt;1,ROUND($G540*1440,0),INT($G540/100)*60+MOD($G540,100)))</f>
        <v/>
      </c>
      <c r="N540" s="15" t="str">
        <f aca="false">IF(OR($A540="",$B540="",$L540="",$M540="",$J540="취소"),"",IF(SUMPRODUCT(($A$3:$A$2002=$A540)*($B$3:$B$2002=$B540)*($J$3:$J$2002&lt;&gt;"취소")*($L$3:$L$2002&lt;&gt;"")*($M$3:$M$2002&lt;&gt;"")*($L$3:$L$2002&lt;$M540)*($M$3:$M$2002&gt;$L540))&gt;1,"중복","-"))</f>
        <v/>
      </c>
    </row>
    <row r="541" customFormat="false" ht="15" hidden="false" customHeight="true" outlineLevel="0" collapsed="false">
      <c r="A541" s="11"/>
      <c r="B541" s="7"/>
      <c r="C541" s="12" t="str">
        <f aca="false">IF($B541="","",IFERROR(INDEX(자원목록!$B$3:$B$102,MATCH($B541,자원목록!$A$3:$A$102,0)),"미등록자원"))</f>
        <v/>
      </c>
      <c r="D541" s="7"/>
      <c r="E541" s="12" t="str">
        <f aca="false">IF($D541="","",IFERROR(INDEX(고객목록!$B$3:$B$502,MATCH($D541,고객목록!$A$3:$A$502,0)),""))</f>
        <v/>
      </c>
      <c r="F541" s="13"/>
      <c r="G541" s="13"/>
      <c r="H541" s="14" t="str">
        <f aca="false">IF(OR($L541="",$M541=""),"",ROUND(($M541-$L541)/60,2))</f>
        <v/>
      </c>
      <c r="I541" s="9"/>
      <c r="J541" s="7"/>
      <c r="K541" s="7"/>
      <c r="L541" s="15" t="str">
        <f aca="false">IF($F541="","",IF($F541&lt;1,ROUND($F541*1440,0),INT($F541/100)*60+MOD($F541,100)))</f>
        <v/>
      </c>
      <c r="M541" s="15" t="str">
        <f aca="false">IF($G541="","",IF($G541&lt;1,ROUND($G541*1440,0),INT($G541/100)*60+MOD($G541,100)))</f>
        <v/>
      </c>
      <c r="N541" s="15" t="str">
        <f aca="false">IF(OR($A541="",$B541="",$L541="",$M541="",$J541="취소"),"",IF(SUMPRODUCT(($A$3:$A$2002=$A541)*($B$3:$B$2002=$B541)*($J$3:$J$2002&lt;&gt;"취소")*($L$3:$L$2002&lt;&gt;"")*($M$3:$M$2002&lt;&gt;"")*($L$3:$L$2002&lt;$M541)*($M$3:$M$2002&gt;$L541))&gt;1,"중복","-"))</f>
        <v/>
      </c>
    </row>
    <row r="542" customFormat="false" ht="15" hidden="false" customHeight="true" outlineLevel="0" collapsed="false">
      <c r="A542" s="11"/>
      <c r="B542" s="7"/>
      <c r="C542" s="12" t="str">
        <f aca="false">IF($B542="","",IFERROR(INDEX(자원목록!$B$3:$B$102,MATCH($B542,자원목록!$A$3:$A$102,0)),"미등록자원"))</f>
        <v/>
      </c>
      <c r="D542" s="7"/>
      <c r="E542" s="12" t="str">
        <f aca="false">IF($D542="","",IFERROR(INDEX(고객목록!$B$3:$B$502,MATCH($D542,고객목록!$A$3:$A$502,0)),""))</f>
        <v/>
      </c>
      <c r="F542" s="13"/>
      <c r="G542" s="13"/>
      <c r="H542" s="14" t="str">
        <f aca="false">IF(OR($L542="",$M542=""),"",ROUND(($M542-$L542)/60,2))</f>
        <v/>
      </c>
      <c r="I542" s="9"/>
      <c r="J542" s="7"/>
      <c r="K542" s="7"/>
      <c r="L542" s="15" t="str">
        <f aca="false">IF($F542="","",IF($F542&lt;1,ROUND($F542*1440,0),INT($F542/100)*60+MOD($F542,100)))</f>
        <v/>
      </c>
      <c r="M542" s="15" t="str">
        <f aca="false">IF($G542="","",IF($G542&lt;1,ROUND($G542*1440,0),INT($G542/100)*60+MOD($G542,100)))</f>
        <v/>
      </c>
      <c r="N542" s="15" t="str">
        <f aca="false">IF(OR($A542="",$B542="",$L542="",$M542="",$J542="취소"),"",IF(SUMPRODUCT(($A$3:$A$2002=$A542)*($B$3:$B$2002=$B542)*($J$3:$J$2002&lt;&gt;"취소")*($L$3:$L$2002&lt;&gt;"")*($M$3:$M$2002&lt;&gt;"")*($L$3:$L$2002&lt;$M542)*($M$3:$M$2002&gt;$L542))&gt;1,"중복","-"))</f>
        <v/>
      </c>
    </row>
    <row r="543" customFormat="false" ht="15" hidden="false" customHeight="true" outlineLevel="0" collapsed="false">
      <c r="A543" s="11"/>
      <c r="B543" s="7"/>
      <c r="C543" s="12" t="str">
        <f aca="false">IF($B543="","",IFERROR(INDEX(자원목록!$B$3:$B$102,MATCH($B543,자원목록!$A$3:$A$102,0)),"미등록자원"))</f>
        <v/>
      </c>
      <c r="D543" s="7"/>
      <c r="E543" s="12" t="str">
        <f aca="false">IF($D543="","",IFERROR(INDEX(고객목록!$B$3:$B$502,MATCH($D543,고객목록!$A$3:$A$502,0)),""))</f>
        <v/>
      </c>
      <c r="F543" s="13"/>
      <c r="G543" s="13"/>
      <c r="H543" s="14" t="str">
        <f aca="false">IF(OR($L543="",$M543=""),"",ROUND(($M543-$L543)/60,2))</f>
        <v/>
      </c>
      <c r="I543" s="9"/>
      <c r="J543" s="7"/>
      <c r="K543" s="7"/>
      <c r="L543" s="15" t="str">
        <f aca="false">IF($F543="","",IF($F543&lt;1,ROUND($F543*1440,0),INT($F543/100)*60+MOD($F543,100)))</f>
        <v/>
      </c>
      <c r="M543" s="15" t="str">
        <f aca="false">IF($G543="","",IF($G543&lt;1,ROUND($G543*1440,0),INT($G543/100)*60+MOD($G543,100)))</f>
        <v/>
      </c>
      <c r="N543" s="15" t="str">
        <f aca="false">IF(OR($A543="",$B543="",$L543="",$M543="",$J543="취소"),"",IF(SUMPRODUCT(($A$3:$A$2002=$A543)*($B$3:$B$2002=$B543)*($J$3:$J$2002&lt;&gt;"취소")*($L$3:$L$2002&lt;&gt;"")*($M$3:$M$2002&lt;&gt;"")*($L$3:$L$2002&lt;$M543)*($M$3:$M$2002&gt;$L543))&gt;1,"중복","-"))</f>
        <v/>
      </c>
    </row>
    <row r="544" customFormat="false" ht="15" hidden="false" customHeight="true" outlineLevel="0" collapsed="false">
      <c r="A544" s="11"/>
      <c r="B544" s="7"/>
      <c r="C544" s="12" t="str">
        <f aca="false">IF($B544="","",IFERROR(INDEX(자원목록!$B$3:$B$102,MATCH($B544,자원목록!$A$3:$A$102,0)),"미등록자원"))</f>
        <v/>
      </c>
      <c r="D544" s="7"/>
      <c r="E544" s="12" t="str">
        <f aca="false">IF($D544="","",IFERROR(INDEX(고객목록!$B$3:$B$502,MATCH($D544,고객목록!$A$3:$A$502,0)),""))</f>
        <v/>
      </c>
      <c r="F544" s="13"/>
      <c r="G544" s="13"/>
      <c r="H544" s="14" t="str">
        <f aca="false">IF(OR($L544="",$M544=""),"",ROUND(($M544-$L544)/60,2))</f>
        <v/>
      </c>
      <c r="I544" s="9"/>
      <c r="J544" s="7"/>
      <c r="K544" s="7"/>
      <c r="L544" s="15" t="str">
        <f aca="false">IF($F544="","",IF($F544&lt;1,ROUND($F544*1440,0),INT($F544/100)*60+MOD($F544,100)))</f>
        <v/>
      </c>
      <c r="M544" s="15" t="str">
        <f aca="false">IF($G544="","",IF($G544&lt;1,ROUND($G544*1440,0),INT($G544/100)*60+MOD($G544,100)))</f>
        <v/>
      </c>
      <c r="N544" s="15" t="str">
        <f aca="false">IF(OR($A544="",$B544="",$L544="",$M544="",$J544="취소"),"",IF(SUMPRODUCT(($A$3:$A$2002=$A544)*($B$3:$B$2002=$B544)*($J$3:$J$2002&lt;&gt;"취소")*($L$3:$L$2002&lt;&gt;"")*($M$3:$M$2002&lt;&gt;"")*($L$3:$L$2002&lt;$M544)*($M$3:$M$2002&gt;$L544))&gt;1,"중복","-"))</f>
        <v/>
      </c>
    </row>
    <row r="545" customFormat="false" ht="15" hidden="false" customHeight="true" outlineLevel="0" collapsed="false">
      <c r="A545" s="11"/>
      <c r="B545" s="7"/>
      <c r="C545" s="12" t="str">
        <f aca="false">IF($B545="","",IFERROR(INDEX(자원목록!$B$3:$B$102,MATCH($B545,자원목록!$A$3:$A$102,0)),"미등록자원"))</f>
        <v/>
      </c>
      <c r="D545" s="7"/>
      <c r="E545" s="12" t="str">
        <f aca="false">IF($D545="","",IFERROR(INDEX(고객목록!$B$3:$B$502,MATCH($D545,고객목록!$A$3:$A$502,0)),""))</f>
        <v/>
      </c>
      <c r="F545" s="13"/>
      <c r="G545" s="13"/>
      <c r="H545" s="14" t="str">
        <f aca="false">IF(OR($L545="",$M545=""),"",ROUND(($M545-$L545)/60,2))</f>
        <v/>
      </c>
      <c r="I545" s="9"/>
      <c r="J545" s="7"/>
      <c r="K545" s="7"/>
      <c r="L545" s="15" t="str">
        <f aca="false">IF($F545="","",IF($F545&lt;1,ROUND($F545*1440,0),INT($F545/100)*60+MOD($F545,100)))</f>
        <v/>
      </c>
      <c r="M545" s="15" t="str">
        <f aca="false">IF($G545="","",IF($G545&lt;1,ROUND($G545*1440,0),INT($G545/100)*60+MOD($G545,100)))</f>
        <v/>
      </c>
      <c r="N545" s="15" t="str">
        <f aca="false">IF(OR($A545="",$B545="",$L545="",$M545="",$J545="취소"),"",IF(SUMPRODUCT(($A$3:$A$2002=$A545)*($B$3:$B$2002=$B545)*($J$3:$J$2002&lt;&gt;"취소")*($L$3:$L$2002&lt;&gt;"")*($M$3:$M$2002&lt;&gt;"")*($L$3:$L$2002&lt;$M545)*($M$3:$M$2002&gt;$L545))&gt;1,"중복","-"))</f>
        <v/>
      </c>
    </row>
    <row r="546" customFormat="false" ht="15" hidden="false" customHeight="true" outlineLevel="0" collapsed="false">
      <c r="A546" s="11"/>
      <c r="B546" s="7"/>
      <c r="C546" s="12" t="str">
        <f aca="false">IF($B546="","",IFERROR(INDEX(자원목록!$B$3:$B$102,MATCH($B546,자원목록!$A$3:$A$102,0)),"미등록자원"))</f>
        <v/>
      </c>
      <c r="D546" s="7"/>
      <c r="E546" s="12" t="str">
        <f aca="false">IF($D546="","",IFERROR(INDEX(고객목록!$B$3:$B$502,MATCH($D546,고객목록!$A$3:$A$502,0)),""))</f>
        <v/>
      </c>
      <c r="F546" s="13"/>
      <c r="G546" s="13"/>
      <c r="H546" s="14" t="str">
        <f aca="false">IF(OR($L546="",$M546=""),"",ROUND(($M546-$L546)/60,2))</f>
        <v/>
      </c>
      <c r="I546" s="9"/>
      <c r="J546" s="7"/>
      <c r="K546" s="7"/>
      <c r="L546" s="15" t="str">
        <f aca="false">IF($F546="","",IF($F546&lt;1,ROUND($F546*1440,0),INT($F546/100)*60+MOD($F546,100)))</f>
        <v/>
      </c>
      <c r="M546" s="15" t="str">
        <f aca="false">IF($G546="","",IF($G546&lt;1,ROUND($G546*1440,0),INT($G546/100)*60+MOD($G546,100)))</f>
        <v/>
      </c>
      <c r="N546" s="15" t="str">
        <f aca="false">IF(OR($A546="",$B546="",$L546="",$M546="",$J546="취소"),"",IF(SUMPRODUCT(($A$3:$A$2002=$A546)*($B$3:$B$2002=$B546)*($J$3:$J$2002&lt;&gt;"취소")*($L$3:$L$2002&lt;&gt;"")*($M$3:$M$2002&lt;&gt;"")*($L$3:$L$2002&lt;$M546)*($M$3:$M$2002&gt;$L546))&gt;1,"중복","-"))</f>
        <v/>
      </c>
    </row>
    <row r="547" customFormat="false" ht="15" hidden="false" customHeight="true" outlineLevel="0" collapsed="false">
      <c r="A547" s="11"/>
      <c r="B547" s="7"/>
      <c r="C547" s="12" t="str">
        <f aca="false">IF($B547="","",IFERROR(INDEX(자원목록!$B$3:$B$102,MATCH($B547,자원목록!$A$3:$A$102,0)),"미등록자원"))</f>
        <v/>
      </c>
      <c r="D547" s="7"/>
      <c r="E547" s="12" t="str">
        <f aca="false">IF($D547="","",IFERROR(INDEX(고객목록!$B$3:$B$502,MATCH($D547,고객목록!$A$3:$A$502,0)),""))</f>
        <v/>
      </c>
      <c r="F547" s="13"/>
      <c r="G547" s="13"/>
      <c r="H547" s="14" t="str">
        <f aca="false">IF(OR($L547="",$M547=""),"",ROUND(($M547-$L547)/60,2))</f>
        <v/>
      </c>
      <c r="I547" s="9"/>
      <c r="J547" s="7"/>
      <c r="K547" s="7"/>
      <c r="L547" s="15" t="str">
        <f aca="false">IF($F547="","",IF($F547&lt;1,ROUND($F547*1440,0),INT($F547/100)*60+MOD($F547,100)))</f>
        <v/>
      </c>
      <c r="M547" s="15" t="str">
        <f aca="false">IF($G547="","",IF($G547&lt;1,ROUND($G547*1440,0),INT($G547/100)*60+MOD($G547,100)))</f>
        <v/>
      </c>
      <c r="N547" s="15" t="str">
        <f aca="false">IF(OR($A547="",$B547="",$L547="",$M547="",$J547="취소"),"",IF(SUMPRODUCT(($A$3:$A$2002=$A547)*($B$3:$B$2002=$B547)*($J$3:$J$2002&lt;&gt;"취소")*($L$3:$L$2002&lt;&gt;"")*($M$3:$M$2002&lt;&gt;"")*($L$3:$L$2002&lt;$M547)*($M$3:$M$2002&gt;$L547))&gt;1,"중복","-"))</f>
        <v/>
      </c>
    </row>
    <row r="548" customFormat="false" ht="15" hidden="false" customHeight="true" outlineLevel="0" collapsed="false">
      <c r="A548" s="11"/>
      <c r="B548" s="7"/>
      <c r="C548" s="12" t="str">
        <f aca="false">IF($B548="","",IFERROR(INDEX(자원목록!$B$3:$B$102,MATCH($B548,자원목록!$A$3:$A$102,0)),"미등록자원"))</f>
        <v/>
      </c>
      <c r="D548" s="7"/>
      <c r="E548" s="12" t="str">
        <f aca="false">IF($D548="","",IFERROR(INDEX(고객목록!$B$3:$B$502,MATCH($D548,고객목록!$A$3:$A$502,0)),""))</f>
        <v/>
      </c>
      <c r="F548" s="13"/>
      <c r="G548" s="13"/>
      <c r="H548" s="14" t="str">
        <f aca="false">IF(OR($L548="",$M548=""),"",ROUND(($M548-$L548)/60,2))</f>
        <v/>
      </c>
      <c r="I548" s="9"/>
      <c r="J548" s="7"/>
      <c r="K548" s="7"/>
      <c r="L548" s="15" t="str">
        <f aca="false">IF($F548="","",IF($F548&lt;1,ROUND($F548*1440,0),INT($F548/100)*60+MOD($F548,100)))</f>
        <v/>
      </c>
      <c r="M548" s="15" t="str">
        <f aca="false">IF($G548="","",IF($G548&lt;1,ROUND($G548*1440,0),INT($G548/100)*60+MOD($G548,100)))</f>
        <v/>
      </c>
      <c r="N548" s="15" t="str">
        <f aca="false">IF(OR($A548="",$B548="",$L548="",$M548="",$J548="취소"),"",IF(SUMPRODUCT(($A$3:$A$2002=$A548)*($B$3:$B$2002=$B548)*($J$3:$J$2002&lt;&gt;"취소")*($L$3:$L$2002&lt;&gt;"")*($M$3:$M$2002&lt;&gt;"")*($L$3:$L$2002&lt;$M548)*($M$3:$M$2002&gt;$L548))&gt;1,"중복","-"))</f>
        <v/>
      </c>
    </row>
    <row r="549" customFormat="false" ht="15" hidden="false" customHeight="true" outlineLevel="0" collapsed="false">
      <c r="A549" s="11"/>
      <c r="B549" s="7"/>
      <c r="C549" s="12" t="str">
        <f aca="false">IF($B549="","",IFERROR(INDEX(자원목록!$B$3:$B$102,MATCH($B549,자원목록!$A$3:$A$102,0)),"미등록자원"))</f>
        <v/>
      </c>
      <c r="D549" s="7"/>
      <c r="E549" s="12" t="str">
        <f aca="false">IF($D549="","",IFERROR(INDEX(고객목록!$B$3:$B$502,MATCH($D549,고객목록!$A$3:$A$502,0)),""))</f>
        <v/>
      </c>
      <c r="F549" s="13"/>
      <c r="G549" s="13"/>
      <c r="H549" s="14" t="str">
        <f aca="false">IF(OR($L549="",$M549=""),"",ROUND(($M549-$L549)/60,2))</f>
        <v/>
      </c>
      <c r="I549" s="9"/>
      <c r="J549" s="7"/>
      <c r="K549" s="7"/>
      <c r="L549" s="15" t="str">
        <f aca="false">IF($F549="","",IF($F549&lt;1,ROUND($F549*1440,0),INT($F549/100)*60+MOD($F549,100)))</f>
        <v/>
      </c>
      <c r="M549" s="15" t="str">
        <f aca="false">IF($G549="","",IF($G549&lt;1,ROUND($G549*1440,0),INT($G549/100)*60+MOD($G549,100)))</f>
        <v/>
      </c>
      <c r="N549" s="15" t="str">
        <f aca="false">IF(OR($A549="",$B549="",$L549="",$M549="",$J549="취소"),"",IF(SUMPRODUCT(($A$3:$A$2002=$A549)*($B$3:$B$2002=$B549)*($J$3:$J$2002&lt;&gt;"취소")*($L$3:$L$2002&lt;&gt;"")*($M$3:$M$2002&lt;&gt;"")*($L$3:$L$2002&lt;$M549)*($M$3:$M$2002&gt;$L549))&gt;1,"중복","-"))</f>
        <v/>
      </c>
    </row>
    <row r="550" customFormat="false" ht="15" hidden="false" customHeight="true" outlineLevel="0" collapsed="false">
      <c r="A550" s="11"/>
      <c r="B550" s="7"/>
      <c r="C550" s="12" t="str">
        <f aca="false">IF($B550="","",IFERROR(INDEX(자원목록!$B$3:$B$102,MATCH($B550,자원목록!$A$3:$A$102,0)),"미등록자원"))</f>
        <v/>
      </c>
      <c r="D550" s="7"/>
      <c r="E550" s="12" t="str">
        <f aca="false">IF($D550="","",IFERROR(INDEX(고객목록!$B$3:$B$502,MATCH($D550,고객목록!$A$3:$A$502,0)),""))</f>
        <v/>
      </c>
      <c r="F550" s="13"/>
      <c r="G550" s="13"/>
      <c r="H550" s="14" t="str">
        <f aca="false">IF(OR($L550="",$M550=""),"",ROUND(($M550-$L550)/60,2))</f>
        <v/>
      </c>
      <c r="I550" s="9"/>
      <c r="J550" s="7"/>
      <c r="K550" s="7"/>
      <c r="L550" s="15" t="str">
        <f aca="false">IF($F550="","",IF($F550&lt;1,ROUND($F550*1440,0),INT($F550/100)*60+MOD($F550,100)))</f>
        <v/>
      </c>
      <c r="M550" s="15" t="str">
        <f aca="false">IF($G550="","",IF($G550&lt;1,ROUND($G550*1440,0),INT($G550/100)*60+MOD($G550,100)))</f>
        <v/>
      </c>
      <c r="N550" s="15" t="str">
        <f aca="false">IF(OR($A550="",$B550="",$L550="",$M550="",$J550="취소"),"",IF(SUMPRODUCT(($A$3:$A$2002=$A550)*($B$3:$B$2002=$B550)*($J$3:$J$2002&lt;&gt;"취소")*($L$3:$L$2002&lt;&gt;"")*($M$3:$M$2002&lt;&gt;"")*($L$3:$L$2002&lt;$M550)*($M$3:$M$2002&gt;$L550))&gt;1,"중복","-"))</f>
        <v/>
      </c>
    </row>
    <row r="551" customFormat="false" ht="15" hidden="false" customHeight="true" outlineLevel="0" collapsed="false">
      <c r="A551" s="11"/>
      <c r="B551" s="7"/>
      <c r="C551" s="12" t="str">
        <f aca="false">IF($B551="","",IFERROR(INDEX(자원목록!$B$3:$B$102,MATCH($B551,자원목록!$A$3:$A$102,0)),"미등록자원"))</f>
        <v/>
      </c>
      <c r="D551" s="7"/>
      <c r="E551" s="12" t="str">
        <f aca="false">IF($D551="","",IFERROR(INDEX(고객목록!$B$3:$B$502,MATCH($D551,고객목록!$A$3:$A$502,0)),""))</f>
        <v/>
      </c>
      <c r="F551" s="13"/>
      <c r="G551" s="13"/>
      <c r="H551" s="14" t="str">
        <f aca="false">IF(OR($L551="",$M551=""),"",ROUND(($M551-$L551)/60,2))</f>
        <v/>
      </c>
      <c r="I551" s="9"/>
      <c r="J551" s="7"/>
      <c r="K551" s="7"/>
      <c r="L551" s="15" t="str">
        <f aca="false">IF($F551="","",IF($F551&lt;1,ROUND($F551*1440,0),INT($F551/100)*60+MOD($F551,100)))</f>
        <v/>
      </c>
      <c r="M551" s="15" t="str">
        <f aca="false">IF($G551="","",IF($G551&lt;1,ROUND($G551*1440,0),INT($G551/100)*60+MOD($G551,100)))</f>
        <v/>
      </c>
      <c r="N551" s="15" t="str">
        <f aca="false">IF(OR($A551="",$B551="",$L551="",$M551="",$J551="취소"),"",IF(SUMPRODUCT(($A$3:$A$2002=$A551)*($B$3:$B$2002=$B551)*($J$3:$J$2002&lt;&gt;"취소")*($L$3:$L$2002&lt;&gt;"")*($M$3:$M$2002&lt;&gt;"")*($L$3:$L$2002&lt;$M551)*($M$3:$M$2002&gt;$L551))&gt;1,"중복","-"))</f>
        <v/>
      </c>
    </row>
    <row r="552" customFormat="false" ht="15" hidden="false" customHeight="true" outlineLevel="0" collapsed="false">
      <c r="A552" s="11"/>
      <c r="B552" s="7"/>
      <c r="C552" s="12" t="str">
        <f aca="false">IF($B552="","",IFERROR(INDEX(자원목록!$B$3:$B$102,MATCH($B552,자원목록!$A$3:$A$102,0)),"미등록자원"))</f>
        <v/>
      </c>
      <c r="D552" s="7"/>
      <c r="E552" s="12" t="str">
        <f aca="false">IF($D552="","",IFERROR(INDEX(고객목록!$B$3:$B$502,MATCH($D552,고객목록!$A$3:$A$502,0)),""))</f>
        <v/>
      </c>
      <c r="F552" s="13"/>
      <c r="G552" s="13"/>
      <c r="H552" s="14" t="str">
        <f aca="false">IF(OR($L552="",$M552=""),"",ROUND(($M552-$L552)/60,2))</f>
        <v/>
      </c>
      <c r="I552" s="9"/>
      <c r="J552" s="7"/>
      <c r="K552" s="7"/>
      <c r="L552" s="15" t="str">
        <f aca="false">IF($F552="","",IF($F552&lt;1,ROUND($F552*1440,0),INT($F552/100)*60+MOD($F552,100)))</f>
        <v/>
      </c>
      <c r="M552" s="15" t="str">
        <f aca="false">IF($G552="","",IF($G552&lt;1,ROUND($G552*1440,0),INT($G552/100)*60+MOD($G552,100)))</f>
        <v/>
      </c>
      <c r="N552" s="15" t="str">
        <f aca="false">IF(OR($A552="",$B552="",$L552="",$M552="",$J552="취소"),"",IF(SUMPRODUCT(($A$3:$A$2002=$A552)*($B$3:$B$2002=$B552)*($J$3:$J$2002&lt;&gt;"취소")*($L$3:$L$2002&lt;&gt;"")*($M$3:$M$2002&lt;&gt;"")*($L$3:$L$2002&lt;$M552)*($M$3:$M$2002&gt;$L552))&gt;1,"중복","-"))</f>
        <v/>
      </c>
    </row>
    <row r="553" customFormat="false" ht="15" hidden="false" customHeight="true" outlineLevel="0" collapsed="false">
      <c r="A553" s="11"/>
      <c r="B553" s="7"/>
      <c r="C553" s="12" t="str">
        <f aca="false">IF($B553="","",IFERROR(INDEX(자원목록!$B$3:$B$102,MATCH($B553,자원목록!$A$3:$A$102,0)),"미등록자원"))</f>
        <v/>
      </c>
      <c r="D553" s="7"/>
      <c r="E553" s="12" t="str">
        <f aca="false">IF($D553="","",IFERROR(INDEX(고객목록!$B$3:$B$502,MATCH($D553,고객목록!$A$3:$A$502,0)),""))</f>
        <v/>
      </c>
      <c r="F553" s="13"/>
      <c r="G553" s="13"/>
      <c r="H553" s="14" t="str">
        <f aca="false">IF(OR($L553="",$M553=""),"",ROUND(($M553-$L553)/60,2))</f>
        <v/>
      </c>
      <c r="I553" s="9"/>
      <c r="J553" s="7"/>
      <c r="K553" s="7"/>
      <c r="L553" s="15" t="str">
        <f aca="false">IF($F553="","",IF($F553&lt;1,ROUND($F553*1440,0),INT($F553/100)*60+MOD($F553,100)))</f>
        <v/>
      </c>
      <c r="M553" s="15" t="str">
        <f aca="false">IF($G553="","",IF($G553&lt;1,ROUND($G553*1440,0),INT($G553/100)*60+MOD($G553,100)))</f>
        <v/>
      </c>
      <c r="N553" s="15" t="str">
        <f aca="false">IF(OR($A553="",$B553="",$L553="",$M553="",$J553="취소"),"",IF(SUMPRODUCT(($A$3:$A$2002=$A553)*($B$3:$B$2002=$B553)*($J$3:$J$2002&lt;&gt;"취소")*($L$3:$L$2002&lt;&gt;"")*($M$3:$M$2002&lt;&gt;"")*($L$3:$L$2002&lt;$M553)*($M$3:$M$2002&gt;$L553))&gt;1,"중복","-"))</f>
        <v/>
      </c>
    </row>
    <row r="554" customFormat="false" ht="15" hidden="false" customHeight="true" outlineLevel="0" collapsed="false">
      <c r="A554" s="11"/>
      <c r="B554" s="7"/>
      <c r="C554" s="12" t="str">
        <f aca="false">IF($B554="","",IFERROR(INDEX(자원목록!$B$3:$B$102,MATCH($B554,자원목록!$A$3:$A$102,0)),"미등록자원"))</f>
        <v/>
      </c>
      <c r="D554" s="7"/>
      <c r="E554" s="12" t="str">
        <f aca="false">IF($D554="","",IFERROR(INDEX(고객목록!$B$3:$B$502,MATCH($D554,고객목록!$A$3:$A$502,0)),""))</f>
        <v/>
      </c>
      <c r="F554" s="13"/>
      <c r="G554" s="13"/>
      <c r="H554" s="14" t="str">
        <f aca="false">IF(OR($L554="",$M554=""),"",ROUND(($M554-$L554)/60,2))</f>
        <v/>
      </c>
      <c r="I554" s="9"/>
      <c r="J554" s="7"/>
      <c r="K554" s="7"/>
      <c r="L554" s="15" t="str">
        <f aca="false">IF($F554="","",IF($F554&lt;1,ROUND($F554*1440,0),INT($F554/100)*60+MOD($F554,100)))</f>
        <v/>
      </c>
      <c r="M554" s="15" t="str">
        <f aca="false">IF($G554="","",IF($G554&lt;1,ROUND($G554*1440,0),INT($G554/100)*60+MOD($G554,100)))</f>
        <v/>
      </c>
      <c r="N554" s="15" t="str">
        <f aca="false">IF(OR($A554="",$B554="",$L554="",$M554="",$J554="취소"),"",IF(SUMPRODUCT(($A$3:$A$2002=$A554)*($B$3:$B$2002=$B554)*($J$3:$J$2002&lt;&gt;"취소")*($L$3:$L$2002&lt;&gt;"")*($M$3:$M$2002&lt;&gt;"")*($L$3:$L$2002&lt;$M554)*($M$3:$M$2002&gt;$L554))&gt;1,"중복","-"))</f>
        <v/>
      </c>
    </row>
    <row r="555" customFormat="false" ht="15" hidden="false" customHeight="true" outlineLevel="0" collapsed="false">
      <c r="A555" s="11"/>
      <c r="B555" s="7"/>
      <c r="C555" s="12" t="str">
        <f aca="false">IF($B555="","",IFERROR(INDEX(자원목록!$B$3:$B$102,MATCH($B555,자원목록!$A$3:$A$102,0)),"미등록자원"))</f>
        <v/>
      </c>
      <c r="D555" s="7"/>
      <c r="E555" s="12" t="str">
        <f aca="false">IF($D555="","",IFERROR(INDEX(고객목록!$B$3:$B$502,MATCH($D555,고객목록!$A$3:$A$502,0)),""))</f>
        <v/>
      </c>
      <c r="F555" s="13"/>
      <c r="G555" s="13"/>
      <c r="H555" s="14" t="str">
        <f aca="false">IF(OR($L555="",$M555=""),"",ROUND(($M555-$L555)/60,2))</f>
        <v/>
      </c>
      <c r="I555" s="9"/>
      <c r="J555" s="7"/>
      <c r="K555" s="7"/>
      <c r="L555" s="15" t="str">
        <f aca="false">IF($F555="","",IF($F555&lt;1,ROUND($F555*1440,0),INT($F555/100)*60+MOD($F555,100)))</f>
        <v/>
      </c>
      <c r="M555" s="15" t="str">
        <f aca="false">IF($G555="","",IF($G555&lt;1,ROUND($G555*1440,0),INT($G555/100)*60+MOD($G555,100)))</f>
        <v/>
      </c>
      <c r="N555" s="15" t="str">
        <f aca="false">IF(OR($A555="",$B555="",$L555="",$M555="",$J555="취소"),"",IF(SUMPRODUCT(($A$3:$A$2002=$A555)*($B$3:$B$2002=$B555)*($J$3:$J$2002&lt;&gt;"취소")*($L$3:$L$2002&lt;&gt;"")*($M$3:$M$2002&lt;&gt;"")*($L$3:$L$2002&lt;$M555)*($M$3:$M$2002&gt;$L555))&gt;1,"중복","-"))</f>
        <v/>
      </c>
    </row>
    <row r="556" customFormat="false" ht="15" hidden="false" customHeight="true" outlineLevel="0" collapsed="false">
      <c r="A556" s="11"/>
      <c r="B556" s="7"/>
      <c r="C556" s="12" t="str">
        <f aca="false">IF($B556="","",IFERROR(INDEX(자원목록!$B$3:$B$102,MATCH($B556,자원목록!$A$3:$A$102,0)),"미등록자원"))</f>
        <v/>
      </c>
      <c r="D556" s="7"/>
      <c r="E556" s="12" t="str">
        <f aca="false">IF($D556="","",IFERROR(INDEX(고객목록!$B$3:$B$502,MATCH($D556,고객목록!$A$3:$A$502,0)),""))</f>
        <v/>
      </c>
      <c r="F556" s="13"/>
      <c r="G556" s="13"/>
      <c r="H556" s="14" t="str">
        <f aca="false">IF(OR($L556="",$M556=""),"",ROUND(($M556-$L556)/60,2))</f>
        <v/>
      </c>
      <c r="I556" s="9"/>
      <c r="J556" s="7"/>
      <c r="K556" s="7"/>
      <c r="L556" s="15" t="str">
        <f aca="false">IF($F556="","",IF($F556&lt;1,ROUND($F556*1440,0),INT($F556/100)*60+MOD($F556,100)))</f>
        <v/>
      </c>
      <c r="M556" s="15" t="str">
        <f aca="false">IF($G556="","",IF($G556&lt;1,ROUND($G556*1440,0),INT($G556/100)*60+MOD($G556,100)))</f>
        <v/>
      </c>
      <c r="N556" s="15" t="str">
        <f aca="false">IF(OR($A556="",$B556="",$L556="",$M556="",$J556="취소"),"",IF(SUMPRODUCT(($A$3:$A$2002=$A556)*($B$3:$B$2002=$B556)*($J$3:$J$2002&lt;&gt;"취소")*($L$3:$L$2002&lt;&gt;"")*($M$3:$M$2002&lt;&gt;"")*($L$3:$L$2002&lt;$M556)*($M$3:$M$2002&gt;$L556))&gt;1,"중복","-"))</f>
        <v/>
      </c>
    </row>
    <row r="557" customFormat="false" ht="15" hidden="false" customHeight="true" outlineLevel="0" collapsed="false">
      <c r="A557" s="11"/>
      <c r="B557" s="7"/>
      <c r="C557" s="12" t="str">
        <f aca="false">IF($B557="","",IFERROR(INDEX(자원목록!$B$3:$B$102,MATCH($B557,자원목록!$A$3:$A$102,0)),"미등록자원"))</f>
        <v/>
      </c>
      <c r="D557" s="7"/>
      <c r="E557" s="12" t="str">
        <f aca="false">IF($D557="","",IFERROR(INDEX(고객목록!$B$3:$B$502,MATCH($D557,고객목록!$A$3:$A$502,0)),""))</f>
        <v/>
      </c>
      <c r="F557" s="13"/>
      <c r="G557" s="13"/>
      <c r="H557" s="14" t="str">
        <f aca="false">IF(OR($L557="",$M557=""),"",ROUND(($M557-$L557)/60,2))</f>
        <v/>
      </c>
      <c r="I557" s="9"/>
      <c r="J557" s="7"/>
      <c r="K557" s="7"/>
      <c r="L557" s="15" t="str">
        <f aca="false">IF($F557="","",IF($F557&lt;1,ROUND($F557*1440,0),INT($F557/100)*60+MOD($F557,100)))</f>
        <v/>
      </c>
      <c r="M557" s="15" t="str">
        <f aca="false">IF($G557="","",IF($G557&lt;1,ROUND($G557*1440,0),INT($G557/100)*60+MOD($G557,100)))</f>
        <v/>
      </c>
      <c r="N557" s="15" t="str">
        <f aca="false">IF(OR($A557="",$B557="",$L557="",$M557="",$J557="취소"),"",IF(SUMPRODUCT(($A$3:$A$2002=$A557)*($B$3:$B$2002=$B557)*($J$3:$J$2002&lt;&gt;"취소")*($L$3:$L$2002&lt;&gt;"")*($M$3:$M$2002&lt;&gt;"")*($L$3:$L$2002&lt;$M557)*($M$3:$M$2002&gt;$L557))&gt;1,"중복","-"))</f>
        <v/>
      </c>
    </row>
    <row r="558" customFormat="false" ht="15" hidden="false" customHeight="true" outlineLevel="0" collapsed="false">
      <c r="A558" s="11"/>
      <c r="B558" s="7"/>
      <c r="C558" s="12" t="str">
        <f aca="false">IF($B558="","",IFERROR(INDEX(자원목록!$B$3:$B$102,MATCH($B558,자원목록!$A$3:$A$102,0)),"미등록자원"))</f>
        <v/>
      </c>
      <c r="D558" s="7"/>
      <c r="E558" s="12" t="str">
        <f aca="false">IF($D558="","",IFERROR(INDEX(고객목록!$B$3:$B$502,MATCH($D558,고객목록!$A$3:$A$502,0)),""))</f>
        <v/>
      </c>
      <c r="F558" s="13"/>
      <c r="G558" s="13"/>
      <c r="H558" s="14" t="str">
        <f aca="false">IF(OR($L558="",$M558=""),"",ROUND(($M558-$L558)/60,2))</f>
        <v/>
      </c>
      <c r="I558" s="9"/>
      <c r="J558" s="7"/>
      <c r="K558" s="7"/>
      <c r="L558" s="15" t="str">
        <f aca="false">IF($F558="","",IF($F558&lt;1,ROUND($F558*1440,0),INT($F558/100)*60+MOD($F558,100)))</f>
        <v/>
      </c>
      <c r="M558" s="15" t="str">
        <f aca="false">IF($G558="","",IF($G558&lt;1,ROUND($G558*1440,0),INT($G558/100)*60+MOD($G558,100)))</f>
        <v/>
      </c>
      <c r="N558" s="15" t="str">
        <f aca="false">IF(OR($A558="",$B558="",$L558="",$M558="",$J558="취소"),"",IF(SUMPRODUCT(($A$3:$A$2002=$A558)*($B$3:$B$2002=$B558)*($J$3:$J$2002&lt;&gt;"취소")*($L$3:$L$2002&lt;&gt;"")*($M$3:$M$2002&lt;&gt;"")*($L$3:$L$2002&lt;$M558)*($M$3:$M$2002&gt;$L558))&gt;1,"중복","-"))</f>
        <v/>
      </c>
    </row>
    <row r="559" customFormat="false" ht="15" hidden="false" customHeight="true" outlineLevel="0" collapsed="false">
      <c r="A559" s="11"/>
      <c r="B559" s="7"/>
      <c r="C559" s="12" t="str">
        <f aca="false">IF($B559="","",IFERROR(INDEX(자원목록!$B$3:$B$102,MATCH($B559,자원목록!$A$3:$A$102,0)),"미등록자원"))</f>
        <v/>
      </c>
      <c r="D559" s="7"/>
      <c r="E559" s="12" t="str">
        <f aca="false">IF($D559="","",IFERROR(INDEX(고객목록!$B$3:$B$502,MATCH($D559,고객목록!$A$3:$A$502,0)),""))</f>
        <v/>
      </c>
      <c r="F559" s="13"/>
      <c r="G559" s="13"/>
      <c r="H559" s="14" t="str">
        <f aca="false">IF(OR($L559="",$M559=""),"",ROUND(($M559-$L559)/60,2))</f>
        <v/>
      </c>
      <c r="I559" s="9"/>
      <c r="J559" s="7"/>
      <c r="K559" s="7"/>
      <c r="L559" s="15" t="str">
        <f aca="false">IF($F559="","",IF($F559&lt;1,ROUND($F559*1440,0),INT($F559/100)*60+MOD($F559,100)))</f>
        <v/>
      </c>
      <c r="M559" s="15" t="str">
        <f aca="false">IF($G559="","",IF($G559&lt;1,ROUND($G559*1440,0),INT($G559/100)*60+MOD($G559,100)))</f>
        <v/>
      </c>
      <c r="N559" s="15" t="str">
        <f aca="false">IF(OR($A559="",$B559="",$L559="",$M559="",$J559="취소"),"",IF(SUMPRODUCT(($A$3:$A$2002=$A559)*($B$3:$B$2002=$B559)*($J$3:$J$2002&lt;&gt;"취소")*($L$3:$L$2002&lt;&gt;"")*($M$3:$M$2002&lt;&gt;"")*($L$3:$L$2002&lt;$M559)*($M$3:$M$2002&gt;$L559))&gt;1,"중복","-"))</f>
        <v/>
      </c>
    </row>
    <row r="560" customFormat="false" ht="15" hidden="false" customHeight="true" outlineLevel="0" collapsed="false">
      <c r="A560" s="11"/>
      <c r="B560" s="7"/>
      <c r="C560" s="12" t="str">
        <f aca="false">IF($B560="","",IFERROR(INDEX(자원목록!$B$3:$B$102,MATCH($B560,자원목록!$A$3:$A$102,0)),"미등록자원"))</f>
        <v/>
      </c>
      <c r="D560" s="7"/>
      <c r="E560" s="12" t="str">
        <f aca="false">IF($D560="","",IFERROR(INDEX(고객목록!$B$3:$B$502,MATCH($D560,고객목록!$A$3:$A$502,0)),""))</f>
        <v/>
      </c>
      <c r="F560" s="13"/>
      <c r="G560" s="13"/>
      <c r="H560" s="14" t="str">
        <f aca="false">IF(OR($L560="",$M560=""),"",ROUND(($M560-$L560)/60,2))</f>
        <v/>
      </c>
      <c r="I560" s="9"/>
      <c r="J560" s="7"/>
      <c r="K560" s="7"/>
      <c r="L560" s="15" t="str">
        <f aca="false">IF($F560="","",IF($F560&lt;1,ROUND($F560*1440,0),INT($F560/100)*60+MOD($F560,100)))</f>
        <v/>
      </c>
      <c r="M560" s="15" t="str">
        <f aca="false">IF($G560="","",IF($G560&lt;1,ROUND($G560*1440,0),INT($G560/100)*60+MOD($G560,100)))</f>
        <v/>
      </c>
      <c r="N560" s="15" t="str">
        <f aca="false">IF(OR($A560="",$B560="",$L560="",$M560="",$J560="취소"),"",IF(SUMPRODUCT(($A$3:$A$2002=$A560)*($B$3:$B$2002=$B560)*($J$3:$J$2002&lt;&gt;"취소")*($L$3:$L$2002&lt;&gt;"")*($M$3:$M$2002&lt;&gt;"")*($L$3:$L$2002&lt;$M560)*($M$3:$M$2002&gt;$L560))&gt;1,"중복","-"))</f>
        <v/>
      </c>
    </row>
    <row r="561" customFormat="false" ht="15" hidden="false" customHeight="true" outlineLevel="0" collapsed="false">
      <c r="A561" s="11"/>
      <c r="B561" s="7"/>
      <c r="C561" s="12" t="str">
        <f aca="false">IF($B561="","",IFERROR(INDEX(자원목록!$B$3:$B$102,MATCH($B561,자원목록!$A$3:$A$102,0)),"미등록자원"))</f>
        <v/>
      </c>
      <c r="D561" s="7"/>
      <c r="E561" s="12" t="str">
        <f aca="false">IF($D561="","",IFERROR(INDEX(고객목록!$B$3:$B$502,MATCH($D561,고객목록!$A$3:$A$502,0)),""))</f>
        <v/>
      </c>
      <c r="F561" s="13"/>
      <c r="G561" s="13"/>
      <c r="H561" s="14" t="str">
        <f aca="false">IF(OR($L561="",$M561=""),"",ROUND(($M561-$L561)/60,2))</f>
        <v/>
      </c>
      <c r="I561" s="9"/>
      <c r="J561" s="7"/>
      <c r="K561" s="7"/>
      <c r="L561" s="15" t="str">
        <f aca="false">IF($F561="","",IF($F561&lt;1,ROUND($F561*1440,0),INT($F561/100)*60+MOD($F561,100)))</f>
        <v/>
      </c>
      <c r="M561" s="15" t="str">
        <f aca="false">IF($G561="","",IF($G561&lt;1,ROUND($G561*1440,0),INT($G561/100)*60+MOD($G561,100)))</f>
        <v/>
      </c>
      <c r="N561" s="15" t="str">
        <f aca="false">IF(OR($A561="",$B561="",$L561="",$M561="",$J561="취소"),"",IF(SUMPRODUCT(($A$3:$A$2002=$A561)*($B$3:$B$2002=$B561)*($J$3:$J$2002&lt;&gt;"취소")*($L$3:$L$2002&lt;&gt;"")*($M$3:$M$2002&lt;&gt;"")*($L$3:$L$2002&lt;$M561)*($M$3:$M$2002&gt;$L561))&gt;1,"중복","-"))</f>
        <v/>
      </c>
    </row>
    <row r="562" customFormat="false" ht="15" hidden="false" customHeight="true" outlineLevel="0" collapsed="false">
      <c r="A562" s="11"/>
      <c r="B562" s="7"/>
      <c r="C562" s="12" t="str">
        <f aca="false">IF($B562="","",IFERROR(INDEX(자원목록!$B$3:$B$102,MATCH($B562,자원목록!$A$3:$A$102,0)),"미등록자원"))</f>
        <v/>
      </c>
      <c r="D562" s="7"/>
      <c r="E562" s="12" t="str">
        <f aca="false">IF($D562="","",IFERROR(INDEX(고객목록!$B$3:$B$502,MATCH($D562,고객목록!$A$3:$A$502,0)),""))</f>
        <v/>
      </c>
      <c r="F562" s="13"/>
      <c r="G562" s="13"/>
      <c r="H562" s="14" t="str">
        <f aca="false">IF(OR($L562="",$M562=""),"",ROUND(($M562-$L562)/60,2))</f>
        <v/>
      </c>
      <c r="I562" s="9"/>
      <c r="J562" s="7"/>
      <c r="K562" s="7"/>
      <c r="L562" s="15" t="str">
        <f aca="false">IF($F562="","",IF($F562&lt;1,ROUND($F562*1440,0),INT($F562/100)*60+MOD($F562,100)))</f>
        <v/>
      </c>
      <c r="M562" s="15" t="str">
        <f aca="false">IF($G562="","",IF($G562&lt;1,ROUND($G562*1440,0),INT($G562/100)*60+MOD($G562,100)))</f>
        <v/>
      </c>
      <c r="N562" s="15" t="str">
        <f aca="false">IF(OR($A562="",$B562="",$L562="",$M562="",$J562="취소"),"",IF(SUMPRODUCT(($A$3:$A$2002=$A562)*($B$3:$B$2002=$B562)*($J$3:$J$2002&lt;&gt;"취소")*($L$3:$L$2002&lt;&gt;"")*($M$3:$M$2002&lt;&gt;"")*($L$3:$L$2002&lt;$M562)*($M$3:$M$2002&gt;$L562))&gt;1,"중복","-"))</f>
        <v/>
      </c>
    </row>
    <row r="563" customFormat="false" ht="15" hidden="false" customHeight="true" outlineLevel="0" collapsed="false">
      <c r="A563" s="11"/>
      <c r="B563" s="7"/>
      <c r="C563" s="12" t="str">
        <f aca="false">IF($B563="","",IFERROR(INDEX(자원목록!$B$3:$B$102,MATCH($B563,자원목록!$A$3:$A$102,0)),"미등록자원"))</f>
        <v/>
      </c>
      <c r="D563" s="7"/>
      <c r="E563" s="12" t="str">
        <f aca="false">IF($D563="","",IFERROR(INDEX(고객목록!$B$3:$B$502,MATCH($D563,고객목록!$A$3:$A$502,0)),""))</f>
        <v/>
      </c>
      <c r="F563" s="13"/>
      <c r="G563" s="13"/>
      <c r="H563" s="14" t="str">
        <f aca="false">IF(OR($L563="",$M563=""),"",ROUND(($M563-$L563)/60,2))</f>
        <v/>
      </c>
      <c r="I563" s="9"/>
      <c r="J563" s="7"/>
      <c r="K563" s="7"/>
      <c r="L563" s="15" t="str">
        <f aca="false">IF($F563="","",IF($F563&lt;1,ROUND($F563*1440,0),INT($F563/100)*60+MOD($F563,100)))</f>
        <v/>
      </c>
      <c r="M563" s="15" t="str">
        <f aca="false">IF($G563="","",IF($G563&lt;1,ROUND($G563*1440,0),INT($G563/100)*60+MOD($G563,100)))</f>
        <v/>
      </c>
      <c r="N563" s="15" t="str">
        <f aca="false">IF(OR($A563="",$B563="",$L563="",$M563="",$J563="취소"),"",IF(SUMPRODUCT(($A$3:$A$2002=$A563)*($B$3:$B$2002=$B563)*($J$3:$J$2002&lt;&gt;"취소")*($L$3:$L$2002&lt;&gt;"")*($M$3:$M$2002&lt;&gt;"")*($L$3:$L$2002&lt;$M563)*($M$3:$M$2002&gt;$L563))&gt;1,"중복","-"))</f>
        <v/>
      </c>
    </row>
    <row r="564" customFormat="false" ht="15" hidden="false" customHeight="true" outlineLevel="0" collapsed="false">
      <c r="A564" s="11"/>
      <c r="B564" s="7"/>
      <c r="C564" s="12" t="str">
        <f aca="false">IF($B564="","",IFERROR(INDEX(자원목록!$B$3:$B$102,MATCH($B564,자원목록!$A$3:$A$102,0)),"미등록자원"))</f>
        <v/>
      </c>
      <c r="D564" s="7"/>
      <c r="E564" s="12" t="str">
        <f aca="false">IF($D564="","",IFERROR(INDEX(고객목록!$B$3:$B$502,MATCH($D564,고객목록!$A$3:$A$502,0)),""))</f>
        <v/>
      </c>
      <c r="F564" s="13"/>
      <c r="G564" s="13"/>
      <c r="H564" s="14" t="str">
        <f aca="false">IF(OR($L564="",$M564=""),"",ROUND(($M564-$L564)/60,2))</f>
        <v/>
      </c>
      <c r="I564" s="9"/>
      <c r="J564" s="7"/>
      <c r="K564" s="7"/>
      <c r="L564" s="15" t="str">
        <f aca="false">IF($F564="","",IF($F564&lt;1,ROUND($F564*1440,0),INT($F564/100)*60+MOD($F564,100)))</f>
        <v/>
      </c>
      <c r="M564" s="15" t="str">
        <f aca="false">IF($G564="","",IF($G564&lt;1,ROUND($G564*1440,0),INT($G564/100)*60+MOD($G564,100)))</f>
        <v/>
      </c>
      <c r="N564" s="15" t="str">
        <f aca="false">IF(OR($A564="",$B564="",$L564="",$M564="",$J564="취소"),"",IF(SUMPRODUCT(($A$3:$A$2002=$A564)*($B$3:$B$2002=$B564)*($J$3:$J$2002&lt;&gt;"취소")*($L$3:$L$2002&lt;&gt;"")*($M$3:$M$2002&lt;&gt;"")*($L$3:$L$2002&lt;$M564)*($M$3:$M$2002&gt;$L564))&gt;1,"중복","-"))</f>
        <v/>
      </c>
    </row>
    <row r="565" customFormat="false" ht="15" hidden="false" customHeight="true" outlineLevel="0" collapsed="false">
      <c r="A565" s="11"/>
      <c r="B565" s="7"/>
      <c r="C565" s="12" t="str">
        <f aca="false">IF($B565="","",IFERROR(INDEX(자원목록!$B$3:$B$102,MATCH($B565,자원목록!$A$3:$A$102,0)),"미등록자원"))</f>
        <v/>
      </c>
      <c r="D565" s="7"/>
      <c r="E565" s="12" t="str">
        <f aca="false">IF($D565="","",IFERROR(INDEX(고객목록!$B$3:$B$502,MATCH($D565,고객목록!$A$3:$A$502,0)),""))</f>
        <v/>
      </c>
      <c r="F565" s="13"/>
      <c r="G565" s="13"/>
      <c r="H565" s="14" t="str">
        <f aca="false">IF(OR($L565="",$M565=""),"",ROUND(($M565-$L565)/60,2))</f>
        <v/>
      </c>
      <c r="I565" s="9"/>
      <c r="J565" s="7"/>
      <c r="K565" s="7"/>
      <c r="L565" s="15" t="str">
        <f aca="false">IF($F565="","",IF($F565&lt;1,ROUND($F565*1440,0),INT($F565/100)*60+MOD($F565,100)))</f>
        <v/>
      </c>
      <c r="M565" s="15" t="str">
        <f aca="false">IF($G565="","",IF($G565&lt;1,ROUND($G565*1440,0),INT($G565/100)*60+MOD($G565,100)))</f>
        <v/>
      </c>
      <c r="N565" s="15" t="str">
        <f aca="false">IF(OR($A565="",$B565="",$L565="",$M565="",$J565="취소"),"",IF(SUMPRODUCT(($A$3:$A$2002=$A565)*($B$3:$B$2002=$B565)*($J$3:$J$2002&lt;&gt;"취소")*($L$3:$L$2002&lt;&gt;"")*($M$3:$M$2002&lt;&gt;"")*($L$3:$L$2002&lt;$M565)*($M$3:$M$2002&gt;$L565))&gt;1,"중복","-"))</f>
        <v/>
      </c>
    </row>
    <row r="566" customFormat="false" ht="15" hidden="false" customHeight="true" outlineLevel="0" collapsed="false">
      <c r="A566" s="11"/>
      <c r="B566" s="7"/>
      <c r="C566" s="12" t="str">
        <f aca="false">IF($B566="","",IFERROR(INDEX(자원목록!$B$3:$B$102,MATCH($B566,자원목록!$A$3:$A$102,0)),"미등록자원"))</f>
        <v/>
      </c>
      <c r="D566" s="7"/>
      <c r="E566" s="12" t="str">
        <f aca="false">IF($D566="","",IFERROR(INDEX(고객목록!$B$3:$B$502,MATCH($D566,고객목록!$A$3:$A$502,0)),""))</f>
        <v/>
      </c>
      <c r="F566" s="13"/>
      <c r="G566" s="13"/>
      <c r="H566" s="14" t="str">
        <f aca="false">IF(OR($L566="",$M566=""),"",ROUND(($M566-$L566)/60,2))</f>
        <v/>
      </c>
      <c r="I566" s="9"/>
      <c r="J566" s="7"/>
      <c r="K566" s="7"/>
      <c r="L566" s="15" t="str">
        <f aca="false">IF($F566="","",IF($F566&lt;1,ROUND($F566*1440,0),INT($F566/100)*60+MOD($F566,100)))</f>
        <v/>
      </c>
      <c r="M566" s="15" t="str">
        <f aca="false">IF($G566="","",IF($G566&lt;1,ROUND($G566*1440,0),INT($G566/100)*60+MOD($G566,100)))</f>
        <v/>
      </c>
      <c r="N566" s="15" t="str">
        <f aca="false">IF(OR($A566="",$B566="",$L566="",$M566="",$J566="취소"),"",IF(SUMPRODUCT(($A$3:$A$2002=$A566)*($B$3:$B$2002=$B566)*($J$3:$J$2002&lt;&gt;"취소")*($L$3:$L$2002&lt;&gt;"")*($M$3:$M$2002&lt;&gt;"")*($L$3:$L$2002&lt;$M566)*($M$3:$M$2002&gt;$L566))&gt;1,"중복","-"))</f>
        <v/>
      </c>
    </row>
    <row r="567" customFormat="false" ht="15" hidden="false" customHeight="true" outlineLevel="0" collapsed="false">
      <c r="A567" s="11"/>
      <c r="B567" s="7"/>
      <c r="C567" s="12" t="str">
        <f aca="false">IF($B567="","",IFERROR(INDEX(자원목록!$B$3:$B$102,MATCH($B567,자원목록!$A$3:$A$102,0)),"미등록자원"))</f>
        <v/>
      </c>
      <c r="D567" s="7"/>
      <c r="E567" s="12" t="str">
        <f aca="false">IF($D567="","",IFERROR(INDEX(고객목록!$B$3:$B$502,MATCH($D567,고객목록!$A$3:$A$502,0)),""))</f>
        <v/>
      </c>
      <c r="F567" s="13"/>
      <c r="G567" s="13"/>
      <c r="H567" s="14" t="str">
        <f aca="false">IF(OR($L567="",$M567=""),"",ROUND(($M567-$L567)/60,2))</f>
        <v/>
      </c>
      <c r="I567" s="9"/>
      <c r="J567" s="7"/>
      <c r="K567" s="7"/>
      <c r="L567" s="15" t="str">
        <f aca="false">IF($F567="","",IF($F567&lt;1,ROUND($F567*1440,0),INT($F567/100)*60+MOD($F567,100)))</f>
        <v/>
      </c>
      <c r="M567" s="15" t="str">
        <f aca="false">IF($G567="","",IF($G567&lt;1,ROUND($G567*1440,0),INT($G567/100)*60+MOD($G567,100)))</f>
        <v/>
      </c>
      <c r="N567" s="15" t="str">
        <f aca="false">IF(OR($A567="",$B567="",$L567="",$M567="",$J567="취소"),"",IF(SUMPRODUCT(($A$3:$A$2002=$A567)*($B$3:$B$2002=$B567)*($J$3:$J$2002&lt;&gt;"취소")*($L$3:$L$2002&lt;&gt;"")*($M$3:$M$2002&lt;&gt;"")*($L$3:$L$2002&lt;$M567)*($M$3:$M$2002&gt;$L567))&gt;1,"중복","-"))</f>
        <v/>
      </c>
    </row>
    <row r="568" customFormat="false" ht="15" hidden="false" customHeight="true" outlineLevel="0" collapsed="false">
      <c r="A568" s="11"/>
      <c r="B568" s="7"/>
      <c r="C568" s="12" t="str">
        <f aca="false">IF($B568="","",IFERROR(INDEX(자원목록!$B$3:$B$102,MATCH($B568,자원목록!$A$3:$A$102,0)),"미등록자원"))</f>
        <v/>
      </c>
      <c r="D568" s="7"/>
      <c r="E568" s="12" t="str">
        <f aca="false">IF($D568="","",IFERROR(INDEX(고객목록!$B$3:$B$502,MATCH($D568,고객목록!$A$3:$A$502,0)),""))</f>
        <v/>
      </c>
      <c r="F568" s="13"/>
      <c r="G568" s="13"/>
      <c r="H568" s="14" t="str">
        <f aca="false">IF(OR($L568="",$M568=""),"",ROUND(($M568-$L568)/60,2))</f>
        <v/>
      </c>
      <c r="I568" s="9"/>
      <c r="J568" s="7"/>
      <c r="K568" s="7"/>
      <c r="L568" s="15" t="str">
        <f aca="false">IF($F568="","",IF($F568&lt;1,ROUND($F568*1440,0),INT($F568/100)*60+MOD($F568,100)))</f>
        <v/>
      </c>
      <c r="M568" s="15" t="str">
        <f aca="false">IF($G568="","",IF($G568&lt;1,ROUND($G568*1440,0),INT($G568/100)*60+MOD($G568,100)))</f>
        <v/>
      </c>
      <c r="N568" s="15" t="str">
        <f aca="false">IF(OR($A568="",$B568="",$L568="",$M568="",$J568="취소"),"",IF(SUMPRODUCT(($A$3:$A$2002=$A568)*($B$3:$B$2002=$B568)*($J$3:$J$2002&lt;&gt;"취소")*($L$3:$L$2002&lt;&gt;"")*($M$3:$M$2002&lt;&gt;"")*($L$3:$L$2002&lt;$M568)*($M$3:$M$2002&gt;$L568))&gt;1,"중복","-"))</f>
        <v/>
      </c>
    </row>
    <row r="569" customFormat="false" ht="15" hidden="false" customHeight="true" outlineLevel="0" collapsed="false">
      <c r="A569" s="11"/>
      <c r="B569" s="7"/>
      <c r="C569" s="12" t="str">
        <f aca="false">IF($B569="","",IFERROR(INDEX(자원목록!$B$3:$B$102,MATCH($B569,자원목록!$A$3:$A$102,0)),"미등록자원"))</f>
        <v/>
      </c>
      <c r="D569" s="7"/>
      <c r="E569" s="12" t="str">
        <f aca="false">IF($D569="","",IFERROR(INDEX(고객목록!$B$3:$B$502,MATCH($D569,고객목록!$A$3:$A$502,0)),""))</f>
        <v/>
      </c>
      <c r="F569" s="13"/>
      <c r="G569" s="13"/>
      <c r="H569" s="14" t="str">
        <f aca="false">IF(OR($L569="",$M569=""),"",ROUND(($M569-$L569)/60,2))</f>
        <v/>
      </c>
      <c r="I569" s="9"/>
      <c r="J569" s="7"/>
      <c r="K569" s="7"/>
      <c r="L569" s="15" t="str">
        <f aca="false">IF($F569="","",IF($F569&lt;1,ROUND($F569*1440,0),INT($F569/100)*60+MOD($F569,100)))</f>
        <v/>
      </c>
      <c r="M569" s="15" t="str">
        <f aca="false">IF($G569="","",IF($G569&lt;1,ROUND($G569*1440,0),INT($G569/100)*60+MOD($G569,100)))</f>
        <v/>
      </c>
      <c r="N569" s="15" t="str">
        <f aca="false">IF(OR($A569="",$B569="",$L569="",$M569="",$J569="취소"),"",IF(SUMPRODUCT(($A$3:$A$2002=$A569)*($B$3:$B$2002=$B569)*($J$3:$J$2002&lt;&gt;"취소")*($L$3:$L$2002&lt;&gt;"")*($M$3:$M$2002&lt;&gt;"")*($L$3:$L$2002&lt;$M569)*($M$3:$M$2002&gt;$L569))&gt;1,"중복","-"))</f>
        <v/>
      </c>
    </row>
    <row r="570" customFormat="false" ht="15" hidden="false" customHeight="true" outlineLevel="0" collapsed="false">
      <c r="A570" s="11"/>
      <c r="B570" s="7"/>
      <c r="C570" s="12" t="str">
        <f aca="false">IF($B570="","",IFERROR(INDEX(자원목록!$B$3:$B$102,MATCH($B570,자원목록!$A$3:$A$102,0)),"미등록자원"))</f>
        <v/>
      </c>
      <c r="D570" s="7"/>
      <c r="E570" s="12" t="str">
        <f aca="false">IF($D570="","",IFERROR(INDEX(고객목록!$B$3:$B$502,MATCH($D570,고객목록!$A$3:$A$502,0)),""))</f>
        <v/>
      </c>
      <c r="F570" s="13"/>
      <c r="G570" s="13"/>
      <c r="H570" s="14" t="str">
        <f aca="false">IF(OR($L570="",$M570=""),"",ROUND(($M570-$L570)/60,2))</f>
        <v/>
      </c>
      <c r="I570" s="9"/>
      <c r="J570" s="7"/>
      <c r="K570" s="7"/>
      <c r="L570" s="15" t="str">
        <f aca="false">IF($F570="","",IF($F570&lt;1,ROUND($F570*1440,0),INT($F570/100)*60+MOD($F570,100)))</f>
        <v/>
      </c>
      <c r="M570" s="15" t="str">
        <f aca="false">IF($G570="","",IF($G570&lt;1,ROUND($G570*1440,0),INT($G570/100)*60+MOD($G570,100)))</f>
        <v/>
      </c>
      <c r="N570" s="15" t="str">
        <f aca="false">IF(OR($A570="",$B570="",$L570="",$M570="",$J570="취소"),"",IF(SUMPRODUCT(($A$3:$A$2002=$A570)*($B$3:$B$2002=$B570)*($J$3:$J$2002&lt;&gt;"취소")*($L$3:$L$2002&lt;&gt;"")*($M$3:$M$2002&lt;&gt;"")*($L$3:$L$2002&lt;$M570)*($M$3:$M$2002&gt;$L570))&gt;1,"중복","-"))</f>
        <v/>
      </c>
    </row>
    <row r="571" customFormat="false" ht="15" hidden="false" customHeight="true" outlineLevel="0" collapsed="false">
      <c r="A571" s="11"/>
      <c r="B571" s="7"/>
      <c r="C571" s="12" t="str">
        <f aca="false">IF($B571="","",IFERROR(INDEX(자원목록!$B$3:$B$102,MATCH($B571,자원목록!$A$3:$A$102,0)),"미등록자원"))</f>
        <v/>
      </c>
      <c r="D571" s="7"/>
      <c r="E571" s="12" t="str">
        <f aca="false">IF($D571="","",IFERROR(INDEX(고객목록!$B$3:$B$502,MATCH($D571,고객목록!$A$3:$A$502,0)),""))</f>
        <v/>
      </c>
      <c r="F571" s="13"/>
      <c r="G571" s="13"/>
      <c r="H571" s="14" t="str">
        <f aca="false">IF(OR($L571="",$M571=""),"",ROUND(($M571-$L571)/60,2))</f>
        <v/>
      </c>
      <c r="I571" s="9"/>
      <c r="J571" s="7"/>
      <c r="K571" s="7"/>
      <c r="L571" s="15" t="str">
        <f aca="false">IF($F571="","",IF($F571&lt;1,ROUND($F571*1440,0),INT($F571/100)*60+MOD($F571,100)))</f>
        <v/>
      </c>
      <c r="M571" s="15" t="str">
        <f aca="false">IF($G571="","",IF($G571&lt;1,ROUND($G571*1440,0),INT($G571/100)*60+MOD($G571,100)))</f>
        <v/>
      </c>
      <c r="N571" s="15" t="str">
        <f aca="false">IF(OR($A571="",$B571="",$L571="",$M571="",$J571="취소"),"",IF(SUMPRODUCT(($A$3:$A$2002=$A571)*($B$3:$B$2002=$B571)*($J$3:$J$2002&lt;&gt;"취소")*($L$3:$L$2002&lt;&gt;"")*($M$3:$M$2002&lt;&gt;"")*($L$3:$L$2002&lt;$M571)*($M$3:$M$2002&gt;$L571))&gt;1,"중복","-"))</f>
        <v/>
      </c>
    </row>
    <row r="572" customFormat="false" ht="15" hidden="false" customHeight="true" outlineLevel="0" collapsed="false">
      <c r="A572" s="11"/>
      <c r="B572" s="7"/>
      <c r="C572" s="12" t="str">
        <f aca="false">IF($B572="","",IFERROR(INDEX(자원목록!$B$3:$B$102,MATCH($B572,자원목록!$A$3:$A$102,0)),"미등록자원"))</f>
        <v/>
      </c>
      <c r="D572" s="7"/>
      <c r="E572" s="12" t="str">
        <f aca="false">IF($D572="","",IFERROR(INDEX(고객목록!$B$3:$B$502,MATCH($D572,고객목록!$A$3:$A$502,0)),""))</f>
        <v/>
      </c>
      <c r="F572" s="13"/>
      <c r="G572" s="13"/>
      <c r="H572" s="14" t="str">
        <f aca="false">IF(OR($L572="",$M572=""),"",ROUND(($M572-$L572)/60,2))</f>
        <v/>
      </c>
      <c r="I572" s="9"/>
      <c r="J572" s="7"/>
      <c r="K572" s="7"/>
      <c r="L572" s="15" t="str">
        <f aca="false">IF($F572="","",IF($F572&lt;1,ROUND($F572*1440,0),INT($F572/100)*60+MOD($F572,100)))</f>
        <v/>
      </c>
      <c r="M572" s="15" t="str">
        <f aca="false">IF($G572="","",IF($G572&lt;1,ROUND($G572*1440,0),INT($G572/100)*60+MOD($G572,100)))</f>
        <v/>
      </c>
      <c r="N572" s="15" t="str">
        <f aca="false">IF(OR($A572="",$B572="",$L572="",$M572="",$J572="취소"),"",IF(SUMPRODUCT(($A$3:$A$2002=$A572)*($B$3:$B$2002=$B572)*($J$3:$J$2002&lt;&gt;"취소")*($L$3:$L$2002&lt;&gt;"")*($M$3:$M$2002&lt;&gt;"")*($L$3:$L$2002&lt;$M572)*($M$3:$M$2002&gt;$L572))&gt;1,"중복","-"))</f>
        <v/>
      </c>
    </row>
    <row r="573" customFormat="false" ht="15" hidden="false" customHeight="true" outlineLevel="0" collapsed="false">
      <c r="A573" s="11"/>
      <c r="B573" s="7"/>
      <c r="C573" s="12" t="str">
        <f aca="false">IF($B573="","",IFERROR(INDEX(자원목록!$B$3:$B$102,MATCH($B573,자원목록!$A$3:$A$102,0)),"미등록자원"))</f>
        <v/>
      </c>
      <c r="D573" s="7"/>
      <c r="E573" s="12" t="str">
        <f aca="false">IF($D573="","",IFERROR(INDEX(고객목록!$B$3:$B$502,MATCH($D573,고객목록!$A$3:$A$502,0)),""))</f>
        <v/>
      </c>
      <c r="F573" s="13"/>
      <c r="G573" s="13"/>
      <c r="H573" s="14" t="str">
        <f aca="false">IF(OR($L573="",$M573=""),"",ROUND(($M573-$L573)/60,2))</f>
        <v/>
      </c>
      <c r="I573" s="9"/>
      <c r="J573" s="7"/>
      <c r="K573" s="7"/>
      <c r="L573" s="15" t="str">
        <f aca="false">IF($F573="","",IF($F573&lt;1,ROUND($F573*1440,0),INT($F573/100)*60+MOD($F573,100)))</f>
        <v/>
      </c>
      <c r="M573" s="15" t="str">
        <f aca="false">IF($G573="","",IF($G573&lt;1,ROUND($G573*1440,0),INT($G573/100)*60+MOD($G573,100)))</f>
        <v/>
      </c>
      <c r="N573" s="15" t="str">
        <f aca="false">IF(OR($A573="",$B573="",$L573="",$M573="",$J573="취소"),"",IF(SUMPRODUCT(($A$3:$A$2002=$A573)*($B$3:$B$2002=$B573)*($J$3:$J$2002&lt;&gt;"취소")*($L$3:$L$2002&lt;&gt;"")*($M$3:$M$2002&lt;&gt;"")*($L$3:$L$2002&lt;$M573)*($M$3:$M$2002&gt;$L573))&gt;1,"중복","-"))</f>
        <v/>
      </c>
    </row>
    <row r="574" customFormat="false" ht="15" hidden="false" customHeight="true" outlineLevel="0" collapsed="false">
      <c r="A574" s="11"/>
      <c r="B574" s="7"/>
      <c r="C574" s="12" t="str">
        <f aca="false">IF($B574="","",IFERROR(INDEX(자원목록!$B$3:$B$102,MATCH($B574,자원목록!$A$3:$A$102,0)),"미등록자원"))</f>
        <v/>
      </c>
      <c r="D574" s="7"/>
      <c r="E574" s="12" t="str">
        <f aca="false">IF($D574="","",IFERROR(INDEX(고객목록!$B$3:$B$502,MATCH($D574,고객목록!$A$3:$A$502,0)),""))</f>
        <v/>
      </c>
      <c r="F574" s="13"/>
      <c r="G574" s="13"/>
      <c r="H574" s="14" t="str">
        <f aca="false">IF(OR($L574="",$M574=""),"",ROUND(($M574-$L574)/60,2))</f>
        <v/>
      </c>
      <c r="I574" s="9"/>
      <c r="J574" s="7"/>
      <c r="K574" s="7"/>
      <c r="L574" s="15" t="str">
        <f aca="false">IF($F574="","",IF($F574&lt;1,ROUND($F574*1440,0),INT($F574/100)*60+MOD($F574,100)))</f>
        <v/>
      </c>
      <c r="M574" s="15" t="str">
        <f aca="false">IF($G574="","",IF($G574&lt;1,ROUND($G574*1440,0),INT($G574/100)*60+MOD($G574,100)))</f>
        <v/>
      </c>
      <c r="N574" s="15" t="str">
        <f aca="false">IF(OR($A574="",$B574="",$L574="",$M574="",$J574="취소"),"",IF(SUMPRODUCT(($A$3:$A$2002=$A574)*($B$3:$B$2002=$B574)*($J$3:$J$2002&lt;&gt;"취소")*($L$3:$L$2002&lt;&gt;"")*($M$3:$M$2002&lt;&gt;"")*($L$3:$L$2002&lt;$M574)*($M$3:$M$2002&gt;$L574))&gt;1,"중복","-"))</f>
        <v/>
      </c>
    </row>
    <row r="575" customFormat="false" ht="15" hidden="false" customHeight="true" outlineLevel="0" collapsed="false">
      <c r="A575" s="11"/>
      <c r="B575" s="7"/>
      <c r="C575" s="12" t="str">
        <f aca="false">IF($B575="","",IFERROR(INDEX(자원목록!$B$3:$B$102,MATCH($B575,자원목록!$A$3:$A$102,0)),"미등록자원"))</f>
        <v/>
      </c>
      <c r="D575" s="7"/>
      <c r="E575" s="12" t="str">
        <f aca="false">IF($D575="","",IFERROR(INDEX(고객목록!$B$3:$B$502,MATCH($D575,고객목록!$A$3:$A$502,0)),""))</f>
        <v/>
      </c>
      <c r="F575" s="13"/>
      <c r="G575" s="13"/>
      <c r="H575" s="14" t="str">
        <f aca="false">IF(OR($L575="",$M575=""),"",ROUND(($M575-$L575)/60,2))</f>
        <v/>
      </c>
      <c r="I575" s="9"/>
      <c r="J575" s="7"/>
      <c r="K575" s="7"/>
      <c r="L575" s="15" t="str">
        <f aca="false">IF($F575="","",IF($F575&lt;1,ROUND($F575*1440,0),INT($F575/100)*60+MOD($F575,100)))</f>
        <v/>
      </c>
      <c r="M575" s="15" t="str">
        <f aca="false">IF($G575="","",IF($G575&lt;1,ROUND($G575*1440,0),INT($G575/100)*60+MOD($G575,100)))</f>
        <v/>
      </c>
      <c r="N575" s="15" t="str">
        <f aca="false">IF(OR($A575="",$B575="",$L575="",$M575="",$J575="취소"),"",IF(SUMPRODUCT(($A$3:$A$2002=$A575)*($B$3:$B$2002=$B575)*($J$3:$J$2002&lt;&gt;"취소")*($L$3:$L$2002&lt;&gt;"")*($M$3:$M$2002&lt;&gt;"")*($L$3:$L$2002&lt;$M575)*($M$3:$M$2002&gt;$L575))&gt;1,"중복","-"))</f>
        <v/>
      </c>
    </row>
    <row r="576" customFormat="false" ht="15" hidden="false" customHeight="true" outlineLevel="0" collapsed="false">
      <c r="A576" s="11"/>
      <c r="B576" s="7"/>
      <c r="C576" s="12" t="str">
        <f aca="false">IF($B576="","",IFERROR(INDEX(자원목록!$B$3:$B$102,MATCH($B576,자원목록!$A$3:$A$102,0)),"미등록자원"))</f>
        <v/>
      </c>
      <c r="D576" s="7"/>
      <c r="E576" s="12" t="str">
        <f aca="false">IF($D576="","",IFERROR(INDEX(고객목록!$B$3:$B$502,MATCH($D576,고객목록!$A$3:$A$502,0)),""))</f>
        <v/>
      </c>
      <c r="F576" s="13"/>
      <c r="G576" s="13"/>
      <c r="H576" s="14" t="str">
        <f aca="false">IF(OR($L576="",$M576=""),"",ROUND(($M576-$L576)/60,2))</f>
        <v/>
      </c>
      <c r="I576" s="9"/>
      <c r="J576" s="7"/>
      <c r="K576" s="7"/>
      <c r="L576" s="15" t="str">
        <f aca="false">IF($F576="","",IF($F576&lt;1,ROUND($F576*1440,0),INT($F576/100)*60+MOD($F576,100)))</f>
        <v/>
      </c>
      <c r="M576" s="15" t="str">
        <f aca="false">IF($G576="","",IF($G576&lt;1,ROUND($G576*1440,0),INT($G576/100)*60+MOD($G576,100)))</f>
        <v/>
      </c>
      <c r="N576" s="15" t="str">
        <f aca="false">IF(OR($A576="",$B576="",$L576="",$M576="",$J576="취소"),"",IF(SUMPRODUCT(($A$3:$A$2002=$A576)*($B$3:$B$2002=$B576)*($J$3:$J$2002&lt;&gt;"취소")*($L$3:$L$2002&lt;&gt;"")*($M$3:$M$2002&lt;&gt;"")*($L$3:$L$2002&lt;$M576)*($M$3:$M$2002&gt;$L576))&gt;1,"중복","-"))</f>
        <v/>
      </c>
    </row>
    <row r="577" customFormat="false" ht="15" hidden="false" customHeight="true" outlineLevel="0" collapsed="false">
      <c r="A577" s="11"/>
      <c r="B577" s="7"/>
      <c r="C577" s="12" t="str">
        <f aca="false">IF($B577="","",IFERROR(INDEX(자원목록!$B$3:$B$102,MATCH($B577,자원목록!$A$3:$A$102,0)),"미등록자원"))</f>
        <v/>
      </c>
      <c r="D577" s="7"/>
      <c r="E577" s="12" t="str">
        <f aca="false">IF($D577="","",IFERROR(INDEX(고객목록!$B$3:$B$502,MATCH($D577,고객목록!$A$3:$A$502,0)),""))</f>
        <v/>
      </c>
      <c r="F577" s="13"/>
      <c r="G577" s="13"/>
      <c r="H577" s="14" t="str">
        <f aca="false">IF(OR($L577="",$M577=""),"",ROUND(($M577-$L577)/60,2))</f>
        <v/>
      </c>
      <c r="I577" s="9"/>
      <c r="J577" s="7"/>
      <c r="K577" s="7"/>
      <c r="L577" s="15" t="str">
        <f aca="false">IF($F577="","",IF($F577&lt;1,ROUND($F577*1440,0),INT($F577/100)*60+MOD($F577,100)))</f>
        <v/>
      </c>
      <c r="M577" s="15" t="str">
        <f aca="false">IF($G577="","",IF($G577&lt;1,ROUND($G577*1440,0),INT($G577/100)*60+MOD($G577,100)))</f>
        <v/>
      </c>
      <c r="N577" s="15" t="str">
        <f aca="false">IF(OR($A577="",$B577="",$L577="",$M577="",$J577="취소"),"",IF(SUMPRODUCT(($A$3:$A$2002=$A577)*($B$3:$B$2002=$B577)*($J$3:$J$2002&lt;&gt;"취소")*($L$3:$L$2002&lt;&gt;"")*($M$3:$M$2002&lt;&gt;"")*($L$3:$L$2002&lt;$M577)*($M$3:$M$2002&gt;$L577))&gt;1,"중복","-"))</f>
        <v/>
      </c>
    </row>
    <row r="578" customFormat="false" ht="15" hidden="false" customHeight="true" outlineLevel="0" collapsed="false">
      <c r="A578" s="11"/>
      <c r="B578" s="7"/>
      <c r="C578" s="12" t="str">
        <f aca="false">IF($B578="","",IFERROR(INDEX(자원목록!$B$3:$B$102,MATCH($B578,자원목록!$A$3:$A$102,0)),"미등록자원"))</f>
        <v/>
      </c>
      <c r="D578" s="7"/>
      <c r="E578" s="12" t="str">
        <f aca="false">IF($D578="","",IFERROR(INDEX(고객목록!$B$3:$B$502,MATCH($D578,고객목록!$A$3:$A$502,0)),""))</f>
        <v/>
      </c>
      <c r="F578" s="13"/>
      <c r="G578" s="13"/>
      <c r="H578" s="14" t="str">
        <f aca="false">IF(OR($L578="",$M578=""),"",ROUND(($M578-$L578)/60,2))</f>
        <v/>
      </c>
      <c r="I578" s="9"/>
      <c r="J578" s="7"/>
      <c r="K578" s="7"/>
      <c r="L578" s="15" t="str">
        <f aca="false">IF($F578="","",IF($F578&lt;1,ROUND($F578*1440,0),INT($F578/100)*60+MOD($F578,100)))</f>
        <v/>
      </c>
      <c r="M578" s="15" t="str">
        <f aca="false">IF($G578="","",IF($G578&lt;1,ROUND($G578*1440,0),INT($G578/100)*60+MOD($G578,100)))</f>
        <v/>
      </c>
      <c r="N578" s="15" t="str">
        <f aca="false">IF(OR($A578="",$B578="",$L578="",$M578="",$J578="취소"),"",IF(SUMPRODUCT(($A$3:$A$2002=$A578)*($B$3:$B$2002=$B578)*($J$3:$J$2002&lt;&gt;"취소")*($L$3:$L$2002&lt;&gt;"")*($M$3:$M$2002&lt;&gt;"")*($L$3:$L$2002&lt;$M578)*($M$3:$M$2002&gt;$L578))&gt;1,"중복","-"))</f>
        <v/>
      </c>
    </row>
    <row r="579" customFormat="false" ht="15" hidden="false" customHeight="true" outlineLevel="0" collapsed="false">
      <c r="A579" s="11"/>
      <c r="B579" s="7"/>
      <c r="C579" s="12" t="str">
        <f aca="false">IF($B579="","",IFERROR(INDEX(자원목록!$B$3:$B$102,MATCH($B579,자원목록!$A$3:$A$102,0)),"미등록자원"))</f>
        <v/>
      </c>
      <c r="D579" s="7"/>
      <c r="E579" s="12" t="str">
        <f aca="false">IF($D579="","",IFERROR(INDEX(고객목록!$B$3:$B$502,MATCH($D579,고객목록!$A$3:$A$502,0)),""))</f>
        <v/>
      </c>
      <c r="F579" s="13"/>
      <c r="G579" s="13"/>
      <c r="H579" s="14" t="str">
        <f aca="false">IF(OR($L579="",$M579=""),"",ROUND(($M579-$L579)/60,2))</f>
        <v/>
      </c>
      <c r="I579" s="9"/>
      <c r="J579" s="7"/>
      <c r="K579" s="7"/>
      <c r="L579" s="15" t="str">
        <f aca="false">IF($F579="","",IF($F579&lt;1,ROUND($F579*1440,0),INT($F579/100)*60+MOD($F579,100)))</f>
        <v/>
      </c>
      <c r="M579" s="15" t="str">
        <f aca="false">IF($G579="","",IF($G579&lt;1,ROUND($G579*1440,0),INT($G579/100)*60+MOD($G579,100)))</f>
        <v/>
      </c>
      <c r="N579" s="15" t="str">
        <f aca="false">IF(OR($A579="",$B579="",$L579="",$M579="",$J579="취소"),"",IF(SUMPRODUCT(($A$3:$A$2002=$A579)*($B$3:$B$2002=$B579)*($J$3:$J$2002&lt;&gt;"취소")*($L$3:$L$2002&lt;&gt;"")*($M$3:$M$2002&lt;&gt;"")*($L$3:$L$2002&lt;$M579)*($M$3:$M$2002&gt;$L579))&gt;1,"중복","-"))</f>
        <v/>
      </c>
    </row>
    <row r="580" customFormat="false" ht="15" hidden="false" customHeight="true" outlineLevel="0" collapsed="false">
      <c r="A580" s="11"/>
      <c r="B580" s="7"/>
      <c r="C580" s="12" t="str">
        <f aca="false">IF($B580="","",IFERROR(INDEX(자원목록!$B$3:$B$102,MATCH($B580,자원목록!$A$3:$A$102,0)),"미등록자원"))</f>
        <v/>
      </c>
      <c r="D580" s="7"/>
      <c r="E580" s="12" t="str">
        <f aca="false">IF($D580="","",IFERROR(INDEX(고객목록!$B$3:$B$502,MATCH($D580,고객목록!$A$3:$A$502,0)),""))</f>
        <v/>
      </c>
      <c r="F580" s="13"/>
      <c r="G580" s="13"/>
      <c r="H580" s="14" t="str">
        <f aca="false">IF(OR($L580="",$M580=""),"",ROUND(($M580-$L580)/60,2))</f>
        <v/>
      </c>
      <c r="I580" s="9"/>
      <c r="J580" s="7"/>
      <c r="K580" s="7"/>
      <c r="L580" s="15" t="str">
        <f aca="false">IF($F580="","",IF($F580&lt;1,ROUND($F580*1440,0),INT($F580/100)*60+MOD($F580,100)))</f>
        <v/>
      </c>
      <c r="M580" s="15" t="str">
        <f aca="false">IF($G580="","",IF($G580&lt;1,ROUND($G580*1440,0),INT($G580/100)*60+MOD($G580,100)))</f>
        <v/>
      </c>
      <c r="N580" s="15" t="str">
        <f aca="false">IF(OR($A580="",$B580="",$L580="",$M580="",$J580="취소"),"",IF(SUMPRODUCT(($A$3:$A$2002=$A580)*($B$3:$B$2002=$B580)*($J$3:$J$2002&lt;&gt;"취소")*($L$3:$L$2002&lt;&gt;"")*($M$3:$M$2002&lt;&gt;"")*($L$3:$L$2002&lt;$M580)*($M$3:$M$2002&gt;$L580))&gt;1,"중복","-"))</f>
        <v/>
      </c>
    </row>
    <row r="581" customFormat="false" ht="15" hidden="false" customHeight="true" outlineLevel="0" collapsed="false">
      <c r="A581" s="11"/>
      <c r="B581" s="7"/>
      <c r="C581" s="12" t="str">
        <f aca="false">IF($B581="","",IFERROR(INDEX(자원목록!$B$3:$B$102,MATCH($B581,자원목록!$A$3:$A$102,0)),"미등록자원"))</f>
        <v/>
      </c>
      <c r="D581" s="7"/>
      <c r="E581" s="12" t="str">
        <f aca="false">IF($D581="","",IFERROR(INDEX(고객목록!$B$3:$B$502,MATCH($D581,고객목록!$A$3:$A$502,0)),""))</f>
        <v/>
      </c>
      <c r="F581" s="13"/>
      <c r="G581" s="13"/>
      <c r="H581" s="14" t="str">
        <f aca="false">IF(OR($L581="",$M581=""),"",ROUND(($M581-$L581)/60,2))</f>
        <v/>
      </c>
      <c r="I581" s="9"/>
      <c r="J581" s="7"/>
      <c r="K581" s="7"/>
      <c r="L581" s="15" t="str">
        <f aca="false">IF($F581="","",IF($F581&lt;1,ROUND($F581*1440,0),INT($F581/100)*60+MOD($F581,100)))</f>
        <v/>
      </c>
      <c r="M581" s="15" t="str">
        <f aca="false">IF($G581="","",IF($G581&lt;1,ROUND($G581*1440,0),INT($G581/100)*60+MOD($G581,100)))</f>
        <v/>
      </c>
      <c r="N581" s="15" t="str">
        <f aca="false">IF(OR($A581="",$B581="",$L581="",$M581="",$J581="취소"),"",IF(SUMPRODUCT(($A$3:$A$2002=$A581)*($B$3:$B$2002=$B581)*($J$3:$J$2002&lt;&gt;"취소")*($L$3:$L$2002&lt;&gt;"")*($M$3:$M$2002&lt;&gt;"")*($L$3:$L$2002&lt;$M581)*($M$3:$M$2002&gt;$L581))&gt;1,"중복","-"))</f>
        <v/>
      </c>
    </row>
    <row r="582" customFormat="false" ht="15" hidden="false" customHeight="true" outlineLevel="0" collapsed="false">
      <c r="A582" s="11"/>
      <c r="B582" s="7"/>
      <c r="C582" s="12" t="str">
        <f aca="false">IF($B582="","",IFERROR(INDEX(자원목록!$B$3:$B$102,MATCH($B582,자원목록!$A$3:$A$102,0)),"미등록자원"))</f>
        <v/>
      </c>
      <c r="D582" s="7"/>
      <c r="E582" s="12" t="str">
        <f aca="false">IF($D582="","",IFERROR(INDEX(고객목록!$B$3:$B$502,MATCH($D582,고객목록!$A$3:$A$502,0)),""))</f>
        <v/>
      </c>
      <c r="F582" s="13"/>
      <c r="G582" s="13"/>
      <c r="H582" s="14" t="str">
        <f aca="false">IF(OR($L582="",$M582=""),"",ROUND(($M582-$L582)/60,2))</f>
        <v/>
      </c>
      <c r="I582" s="9"/>
      <c r="J582" s="7"/>
      <c r="K582" s="7"/>
      <c r="L582" s="15" t="str">
        <f aca="false">IF($F582="","",IF($F582&lt;1,ROUND($F582*1440,0),INT($F582/100)*60+MOD($F582,100)))</f>
        <v/>
      </c>
      <c r="M582" s="15" t="str">
        <f aca="false">IF($G582="","",IF($G582&lt;1,ROUND($G582*1440,0),INT($G582/100)*60+MOD($G582,100)))</f>
        <v/>
      </c>
      <c r="N582" s="15" t="str">
        <f aca="false">IF(OR($A582="",$B582="",$L582="",$M582="",$J582="취소"),"",IF(SUMPRODUCT(($A$3:$A$2002=$A582)*($B$3:$B$2002=$B582)*($J$3:$J$2002&lt;&gt;"취소")*($L$3:$L$2002&lt;&gt;"")*($M$3:$M$2002&lt;&gt;"")*($L$3:$L$2002&lt;$M582)*($M$3:$M$2002&gt;$L582))&gt;1,"중복","-"))</f>
        <v/>
      </c>
    </row>
    <row r="583" customFormat="false" ht="15" hidden="false" customHeight="true" outlineLevel="0" collapsed="false">
      <c r="A583" s="11"/>
      <c r="B583" s="7"/>
      <c r="C583" s="12" t="str">
        <f aca="false">IF($B583="","",IFERROR(INDEX(자원목록!$B$3:$B$102,MATCH($B583,자원목록!$A$3:$A$102,0)),"미등록자원"))</f>
        <v/>
      </c>
      <c r="D583" s="7"/>
      <c r="E583" s="12" t="str">
        <f aca="false">IF($D583="","",IFERROR(INDEX(고객목록!$B$3:$B$502,MATCH($D583,고객목록!$A$3:$A$502,0)),""))</f>
        <v/>
      </c>
      <c r="F583" s="13"/>
      <c r="G583" s="13"/>
      <c r="H583" s="14" t="str">
        <f aca="false">IF(OR($L583="",$M583=""),"",ROUND(($M583-$L583)/60,2))</f>
        <v/>
      </c>
      <c r="I583" s="9"/>
      <c r="J583" s="7"/>
      <c r="K583" s="7"/>
      <c r="L583" s="15" t="str">
        <f aca="false">IF($F583="","",IF($F583&lt;1,ROUND($F583*1440,0),INT($F583/100)*60+MOD($F583,100)))</f>
        <v/>
      </c>
      <c r="M583" s="15" t="str">
        <f aca="false">IF($G583="","",IF($G583&lt;1,ROUND($G583*1440,0),INT($G583/100)*60+MOD($G583,100)))</f>
        <v/>
      </c>
      <c r="N583" s="15" t="str">
        <f aca="false">IF(OR($A583="",$B583="",$L583="",$M583="",$J583="취소"),"",IF(SUMPRODUCT(($A$3:$A$2002=$A583)*($B$3:$B$2002=$B583)*($J$3:$J$2002&lt;&gt;"취소")*($L$3:$L$2002&lt;&gt;"")*($M$3:$M$2002&lt;&gt;"")*($L$3:$L$2002&lt;$M583)*($M$3:$M$2002&gt;$L583))&gt;1,"중복","-"))</f>
        <v/>
      </c>
    </row>
    <row r="584" customFormat="false" ht="15" hidden="false" customHeight="true" outlineLevel="0" collapsed="false">
      <c r="A584" s="11"/>
      <c r="B584" s="7"/>
      <c r="C584" s="12" t="str">
        <f aca="false">IF($B584="","",IFERROR(INDEX(자원목록!$B$3:$B$102,MATCH($B584,자원목록!$A$3:$A$102,0)),"미등록자원"))</f>
        <v/>
      </c>
      <c r="D584" s="7"/>
      <c r="E584" s="12" t="str">
        <f aca="false">IF($D584="","",IFERROR(INDEX(고객목록!$B$3:$B$502,MATCH($D584,고객목록!$A$3:$A$502,0)),""))</f>
        <v/>
      </c>
      <c r="F584" s="13"/>
      <c r="G584" s="13"/>
      <c r="H584" s="14" t="str">
        <f aca="false">IF(OR($L584="",$M584=""),"",ROUND(($M584-$L584)/60,2))</f>
        <v/>
      </c>
      <c r="I584" s="9"/>
      <c r="J584" s="7"/>
      <c r="K584" s="7"/>
      <c r="L584" s="15" t="str">
        <f aca="false">IF($F584="","",IF($F584&lt;1,ROUND($F584*1440,0),INT($F584/100)*60+MOD($F584,100)))</f>
        <v/>
      </c>
      <c r="M584" s="15" t="str">
        <f aca="false">IF($G584="","",IF($G584&lt;1,ROUND($G584*1440,0),INT($G584/100)*60+MOD($G584,100)))</f>
        <v/>
      </c>
      <c r="N584" s="15" t="str">
        <f aca="false">IF(OR($A584="",$B584="",$L584="",$M584="",$J584="취소"),"",IF(SUMPRODUCT(($A$3:$A$2002=$A584)*($B$3:$B$2002=$B584)*($J$3:$J$2002&lt;&gt;"취소")*($L$3:$L$2002&lt;&gt;"")*($M$3:$M$2002&lt;&gt;"")*($L$3:$L$2002&lt;$M584)*($M$3:$M$2002&gt;$L584))&gt;1,"중복","-"))</f>
        <v/>
      </c>
    </row>
    <row r="585" customFormat="false" ht="15" hidden="false" customHeight="true" outlineLevel="0" collapsed="false">
      <c r="A585" s="11"/>
      <c r="B585" s="7"/>
      <c r="C585" s="12" t="str">
        <f aca="false">IF($B585="","",IFERROR(INDEX(자원목록!$B$3:$B$102,MATCH($B585,자원목록!$A$3:$A$102,0)),"미등록자원"))</f>
        <v/>
      </c>
      <c r="D585" s="7"/>
      <c r="E585" s="12" t="str">
        <f aca="false">IF($D585="","",IFERROR(INDEX(고객목록!$B$3:$B$502,MATCH($D585,고객목록!$A$3:$A$502,0)),""))</f>
        <v/>
      </c>
      <c r="F585" s="13"/>
      <c r="G585" s="13"/>
      <c r="H585" s="14" t="str">
        <f aca="false">IF(OR($L585="",$M585=""),"",ROUND(($M585-$L585)/60,2))</f>
        <v/>
      </c>
      <c r="I585" s="9"/>
      <c r="J585" s="7"/>
      <c r="K585" s="7"/>
      <c r="L585" s="15" t="str">
        <f aca="false">IF($F585="","",IF($F585&lt;1,ROUND($F585*1440,0),INT($F585/100)*60+MOD($F585,100)))</f>
        <v/>
      </c>
      <c r="M585" s="15" t="str">
        <f aca="false">IF($G585="","",IF($G585&lt;1,ROUND($G585*1440,0),INT($G585/100)*60+MOD($G585,100)))</f>
        <v/>
      </c>
      <c r="N585" s="15" t="str">
        <f aca="false">IF(OR($A585="",$B585="",$L585="",$M585="",$J585="취소"),"",IF(SUMPRODUCT(($A$3:$A$2002=$A585)*($B$3:$B$2002=$B585)*($J$3:$J$2002&lt;&gt;"취소")*($L$3:$L$2002&lt;&gt;"")*($M$3:$M$2002&lt;&gt;"")*($L$3:$L$2002&lt;$M585)*($M$3:$M$2002&gt;$L585))&gt;1,"중복","-"))</f>
        <v/>
      </c>
    </row>
    <row r="586" customFormat="false" ht="15" hidden="false" customHeight="true" outlineLevel="0" collapsed="false">
      <c r="A586" s="11"/>
      <c r="B586" s="7"/>
      <c r="C586" s="12" t="str">
        <f aca="false">IF($B586="","",IFERROR(INDEX(자원목록!$B$3:$B$102,MATCH($B586,자원목록!$A$3:$A$102,0)),"미등록자원"))</f>
        <v/>
      </c>
      <c r="D586" s="7"/>
      <c r="E586" s="12" t="str">
        <f aca="false">IF($D586="","",IFERROR(INDEX(고객목록!$B$3:$B$502,MATCH($D586,고객목록!$A$3:$A$502,0)),""))</f>
        <v/>
      </c>
      <c r="F586" s="13"/>
      <c r="G586" s="13"/>
      <c r="H586" s="14" t="str">
        <f aca="false">IF(OR($L586="",$M586=""),"",ROUND(($M586-$L586)/60,2))</f>
        <v/>
      </c>
      <c r="I586" s="9"/>
      <c r="J586" s="7"/>
      <c r="K586" s="7"/>
      <c r="L586" s="15" t="str">
        <f aca="false">IF($F586="","",IF($F586&lt;1,ROUND($F586*1440,0),INT($F586/100)*60+MOD($F586,100)))</f>
        <v/>
      </c>
      <c r="M586" s="15" t="str">
        <f aca="false">IF($G586="","",IF($G586&lt;1,ROUND($G586*1440,0),INT($G586/100)*60+MOD($G586,100)))</f>
        <v/>
      </c>
      <c r="N586" s="15" t="str">
        <f aca="false">IF(OR($A586="",$B586="",$L586="",$M586="",$J586="취소"),"",IF(SUMPRODUCT(($A$3:$A$2002=$A586)*($B$3:$B$2002=$B586)*($J$3:$J$2002&lt;&gt;"취소")*($L$3:$L$2002&lt;&gt;"")*($M$3:$M$2002&lt;&gt;"")*($L$3:$L$2002&lt;$M586)*($M$3:$M$2002&gt;$L586))&gt;1,"중복","-"))</f>
        <v/>
      </c>
    </row>
    <row r="587" customFormat="false" ht="15" hidden="false" customHeight="true" outlineLevel="0" collapsed="false">
      <c r="A587" s="11"/>
      <c r="B587" s="7"/>
      <c r="C587" s="12" t="str">
        <f aca="false">IF($B587="","",IFERROR(INDEX(자원목록!$B$3:$B$102,MATCH($B587,자원목록!$A$3:$A$102,0)),"미등록자원"))</f>
        <v/>
      </c>
      <c r="D587" s="7"/>
      <c r="E587" s="12" t="str">
        <f aca="false">IF($D587="","",IFERROR(INDEX(고객목록!$B$3:$B$502,MATCH($D587,고객목록!$A$3:$A$502,0)),""))</f>
        <v/>
      </c>
      <c r="F587" s="13"/>
      <c r="G587" s="13"/>
      <c r="H587" s="14" t="str">
        <f aca="false">IF(OR($L587="",$M587=""),"",ROUND(($M587-$L587)/60,2))</f>
        <v/>
      </c>
      <c r="I587" s="9"/>
      <c r="J587" s="7"/>
      <c r="K587" s="7"/>
      <c r="L587" s="15" t="str">
        <f aca="false">IF($F587="","",IF($F587&lt;1,ROUND($F587*1440,0),INT($F587/100)*60+MOD($F587,100)))</f>
        <v/>
      </c>
      <c r="M587" s="15" t="str">
        <f aca="false">IF($G587="","",IF($G587&lt;1,ROUND($G587*1440,0),INT($G587/100)*60+MOD($G587,100)))</f>
        <v/>
      </c>
      <c r="N587" s="15" t="str">
        <f aca="false">IF(OR($A587="",$B587="",$L587="",$M587="",$J587="취소"),"",IF(SUMPRODUCT(($A$3:$A$2002=$A587)*($B$3:$B$2002=$B587)*($J$3:$J$2002&lt;&gt;"취소")*($L$3:$L$2002&lt;&gt;"")*($M$3:$M$2002&lt;&gt;"")*($L$3:$L$2002&lt;$M587)*($M$3:$M$2002&gt;$L587))&gt;1,"중복","-"))</f>
        <v/>
      </c>
    </row>
    <row r="588" customFormat="false" ht="15" hidden="false" customHeight="true" outlineLevel="0" collapsed="false">
      <c r="A588" s="11"/>
      <c r="B588" s="7"/>
      <c r="C588" s="12" t="str">
        <f aca="false">IF($B588="","",IFERROR(INDEX(자원목록!$B$3:$B$102,MATCH($B588,자원목록!$A$3:$A$102,0)),"미등록자원"))</f>
        <v/>
      </c>
      <c r="D588" s="7"/>
      <c r="E588" s="12" t="str">
        <f aca="false">IF($D588="","",IFERROR(INDEX(고객목록!$B$3:$B$502,MATCH($D588,고객목록!$A$3:$A$502,0)),""))</f>
        <v/>
      </c>
      <c r="F588" s="13"/>
      <c r="G588" s="13"/>
      <c r="H588" s="14" t="str">
        <f aca="false">IF(OR($L588="",$M588=""),"",ROUND(($M588-$L588)/60,2))</f>
        <v/>
      </c>
      <c r="I588" s="9"/>
      <c r="J588" s="7"/>
      <c r="K588" s="7"/>
      <c r="L588" s="15" t="str">
        <f aca="false">IF($F588="","",IF($F588&lt;1,ROUND($F588*1440,0),INT($F588/100)*60+MOD($F588,100)))</f>
        <v/>
      </c>
      <c r="M588" s="15" t="str">
        <f aca="false">IF($G588="","",IF($G588&lt;1,ROUND($G588*1440,0),INT($G588/100)*60+MOD($G588,100)))</f>
        <v/>
      </c>
      <c r="N588" s="15" t="str">
        <f aca="false">IF(OR($A588="",$B588="",$L588="",$M588="",$J588="취소"),"",IF(SUMPRODUCT(($A$3:$A$2002=$A588)*($B$3:$B$2002=$B588)*($J$3:$J$2002&lt;&gt;"취소")*($L$3:$L$2002&lt;&gt;"")*($M$3:$M$2002&lt;&gt;"")*($L$3:$L$2002&lt;$M588)*($M$3:$M$2002&gt;$L588))&gt;1,"중복","-"))</f>
        <v/>
      </c>
    </row>
    <row r="589" customFormat="false" ht="15" hidden="false" customHeight="true" outlineLevel="0" collapsed="false">
      <c r="A589" s="11"/>
      <c r="B589" s="7"/>
      <c r="C589" s="12" t="str">
        <f aca="false">IF($B589="","",IFERROR(INDEX(자원목록!$B$3:$B$102,MATCH($B589,자원목록!$A$3:$A$102,0)),"미등록자원"))</f>
        <v/>
      </c>
      <c r="D589" s="7"/>
      <c r="E589" s="12" t="str">
        <f aca="false">IF($D589="","",IFERROR(INDEX(고객목록!$B$3:$B$502,MATCH($D589,고객목록!$A$3:$A$502,0)),""))</f>
        <v/>
      </c>
      <c r="F589" s="13"/>
      <c r="G589" s="13"/>
      <c r="H589" s="14" t="str">
        <f aca="false">IF(OR($L589="",$M589=""),"",ROUND(($M589-$L589)/60,2))</f>
        <v/>
      </c>
      <c r="I589" s="9"/>
      <c r="J589" s="7"/>
      <c r="K589" s="7"/>
      <c r="L589" s="15" t="str">
        <f aca="false">IF($F589="","",IF($F589&lt;1,ROUND($F589*1440,0),INT($F589/100)*60+MOD($F589,100)))</f>
        <v/>
      </c>
      <c r="M589" s="15" t="str">
        <f aca="false">IF($G589="","",IF($G589&lt;1,ROUND($G589*1440,0),INT($G589/100)*60+MOD($G589,100)))</f>
        <v/>
      </c>
      <c r="N589" s="15" t="str">
        <f aca="false">IF(OR($A589="",$B589="",$L589="",$M589="",$J589="취소"),"",IF(SUMPRODUCT(($A$3:$A$2002=$A589)*($B$3:$B$2002=$B589)*($J$3:$J$2002&lt;&gt;"취소")*($L$3:$L$2002&lt;&gt;"")*($M$3:$M$2002&lt;&gt;"")*($L$3:$L$2002&lt;$M589)*($M$3:$M$2002&gt;$L589))&gt;1,"중복","-"))</f>
        <v/>
      </c>
    </row>
    <row r="590" customFormat="false" ht="15" hidden="false" customHeight="true" outlineLevel="0" collapsed="false">
      <c r="A590" s="11"/>
      <c r="B590" s="7"/>
      <c r="C590" s="12" t="str">
        <f aca="false">IF($B590="","",IFERROR(INDEX(자원목록!$B$3:$B$102,MATCH($B590,자원목록!$A$3:$A$102,0)),"미등록자원"))</f>
        <v/>
      </c>
      <c r="D590" s="7"/>
      <c r="E590" s="12" t="str">
        <f aca="false">IF($D590="","",IFERROR(INDEX(고객목록!$B$3:$B$502,MATCH($D590,고객목록!$A$3:$A$502,0)),""))</f>
        <v/>
      </c>
      <c r="F590" s="13"/>
      <c r="G590" s="13"/>
      <c r="H590" s="14" t="str">
        <f aca="false">IF(OR($L590="",$M590=""),"",ROUND(($M590-$L590)/60,2))</f>
        <v/>
      </c>
      <c r="I590" s="9"/>
      <c r="J590" s="7"/>
      <c r="K590" s="7"/>
      <c r="L590" s="15" t="str">
        <f aca="false">IF($F590="","",IF($F590&lt;1,ROUND($F590*1440,0),INT($F590/100)*60+MOD($F590,100)))</f>
        <v/>
      </c>
      <c r="M590" s="15" t="str">
        <f aca="false">IF($G590="","",IF($G590&lt;1,ROUND($G590*1440,0),INT($G590/100)*60+MOD($G590,100)))</f>
        <v/>
      </c>
      <c r="N590" s="15" t="str">
        <f aca="false">IF(OR($A590="",$B590="",$L590="",$M590="",$J590="취소"),"",IF(SUMPRODUCT(($A$3:$A$2002=$A590)*($B$3:$B$2002=$B590)*($J$3:$J$2002&lt;&gt;"취소")*($L$3:$L$2002&lt;&gt;"")*($M$3:$M$2002&lt;&gt;"")*($L$3:$L$2002&lt;$M590)*($M$3:$M$2002&gt;$L590))&gt;1,"중복","-"))</f>
        <v/>
      </c>
    </row>
    <row r="591" customFormat="false" ht="15" hidden="false" customHeight="true" outlineLevel="0" collapsed="false">
      <c r="A591" s="11"/>
      <c r="B591" s="7"/>
      <c r="C591" s="12" t="str">
        <f aca="false">IF($B591="","",IFERROR(INDEX(자원목록!$B$3:$B$102,MATCH($B591,자원목록!$A$3:$A$102,0)),"미등록자원"))</f>
        <v/>
      </c>
      <c r="D591" s="7"/>
      <c r="E591" s="12" t="str">
        <f aca="false">IF($D591="","",IFERROR(INDEX(고객목록!$B$3:$B$502,MATCH($D591,고객목록!$A$3:$A$502,0)),""))</f>
        <v/>
      </c>
      <c r="F591" s="13"/>
      <c r="G591" s="13"/>
      <c r="H591" s="14" t="str">
        <f aca="false">IF(OR($L591="",$M591=""),"",ROUND(($M591-$L591)/60,2))</f>
        <v/>
      </c>
      <c r="I591" s="9"/>
      <c r="J591" s="7"/>
      <c r="K591" s="7"/>
      <c r="L591" s="15" t="str">
        <f aca="false">IF($F591="","",IF($F591&lt;1,ROUND($F591*1440,0),INT($F591/100)*60+MOD($F591,100)))</f>
        <v/>
      </c>
      <c r="M591" s="15" t="str">
        <f aca="false">IF($G591="","",IF($G591&lt;1,ROUND($G591*1440,0),INT($G591/100)*60+MOD($G591,100)))</f>
        <v/>
      </c>
      <c r="N591" s="15" t="str">
        <f aca="false">IF(OR($A591="",$B591="",$L591="",$M591="",$J591="취소"),"",IF(SUMPRODUCT(($A$3:$A$2002=$A591)*($B$3:$B$2002=$B591)*($J$3:$J$2002&lt;&gt;"취소")*($L$3:$L$2002&lt;&gt;"")*($M$3:$M$2002&lt;&gt;"")*($L$3:$L$2002&lt;$M591)*($M$3:$M$2002&gt;$L591))&gt;1,"중복","-"))</f>
        <v/>
      </c>
    </row>
    <row r="592" customFormat="false" ht="15" hidden="false" customHeight="true" outlineLevel="0" collapsed="false">
      <c r="A592" s="11"/>
      <c r="B592" s="7"/>
      <c r="C592" s="12" t="str">
        <f aca="false">IF($B592="","",IFERROR(INDEX(자원목록!$B$3:$B$102,MATCH($B592,자원목록!$A$3:$A$102,0)),"미등록자원"))</f>
        <v/>
      </c>
      <c r="D592" s="7"/>
      <c r="E592" s="12" t="str">
        <f aca="false">IF($D592="","",IFERROR(INDEX(고객목록!$B$3:$B$502,MATCH($D592,고객목록!$A$3:$A$502,0)),""))</f>
        <v/>
      </c>
      <c r="F592" s="13"/>
      <c r="G592" s="13"/>
      <c r="H592" s="14" t="str">
        <f aca="false">IF(OR($L592="",$M592=""),"",ROUND(($M592-$L592)/60,2))</f>
        <v/>
      </c>
      <c r="I592" s="9"/>
      <c r="J592" s="7"/>
      <c r="K592" s="7"/>
      <c r="L592" s="15" t="str">
        <f aca="false">IF($F592="","",IF($F592&lt;1,ROUND($F592*1440,0),INT($F592/100)*60+MOD($F592,100)))</f>
        <v/>
      </c>
      <c r="M592" s="15" t="str">
        <f aca="false">IF($G592="","",IF($G592&lt;1,ROUND($G592*1440,0),INT($G592/100)*60+MOD($G592,100)))</f>
        <v/>
      </c>
      <c r="N592" s="15" t="str">
        <f aca="false">IF(OR($A592="",$B592="",$L592="",$M592="",$J592="취소"),"",IF(SUMPRODUCT(($A$3:$A$2002=$A592)*($B$3:$B$2002=$B592)*($J$3:$J$2002&lt;&gt;"취소")*($L$3:$L$2002&lt;&gt;"")*($M$3:$M$2002&lt;&gt;"")*($L$3:$L$2002&lt;$M592)*($M$3:$M$2002&gt;$L592))&gt;1,"중복","-"))</f>
        <v/>
      </c>
    </row>
    <row r="593" customFormat="false" ht="15" hidden="false" customHeight="true" outlineLevel="0" collapsed="false">
      <c r="A593" s="11"/>
      <c r="B593" s="7"/>
      <c r="C593" s="12" t="str">
        <f aca="false">IF($B593="","",IFERROR(INDEX(자원목록!$B$3:$B$102,MATCH($B593,자원목록!$A$3:$A$102,0)),"미등록자원"))</f>
        <v/>
      </c>
      <c r="D593" s="7"/>
      <c r="E593" s="12" t="str">
        <f aca="false">IF($D593="","",IFERROR(INDEX(고객목록!$B$3:$B$502,MATCH($D593,고객목록!$A$3:$A$502,0)),""))</f>
        <v/>
      </c>
      <c r="F593" s="13"/>
      <c r="G593" s="13"/>
      <c r="H593" s="14" t="str">
        <f aca="false">IF(OR($L593="",$M593=""),"",ROUND(($M593-$L593)/60,2))</f>
        <v/>
      </c>
      <c r="I593" s="9"/>
      <c r="J593" s="7"/>
      <c r="K593" s="7"/>
      <c r="L593" s="15" t="str">
        <f aca="false">IF($F593="","",IF($F593&lt;1,ROUND($F593*1440,0),INT($F593/100)*60+MOD($F593,100)))</f>
        <v/>
      </c>
      <c r="M593" s="15" t="str">
        <f aca="false">IF($G593="","",IF($G593&lt;1,ROUND($G593*1440,0),INT($G593/100)*60+MOD($G593,100)))</f>
        <v/>
      </c>
      <c r="N593" s="15" t="str">
        <f aca="false">IF(OR($A593="",$B593="",$L593="",$M593="",$J593="취소"),"",IF(SUMPRODUCT(($A$3:$A$2002=$A593)*($B$3:$B$2002=$B593)*($J$3:$J$2002&lt;&gt;"취소")*($L$3:$L$2002&lt;&gt;"")*($M$3:$M$2002&lt;&gt;"")*($L$3:$L$2002&lt;$M593)*($M$3:$M$2002&gt;$L593))&gt;1,"중복","-"))</f>
        <v/>
      </c>
    </row>
    <row r="594" customFormat="false" ht="15" hidden="false" customHeight="true" outlineLevel="0" collapsed="false">
      <c r="A594" s="11"/>
      <c r="B594" s="7"/>
      <c r="C594" s="12" t="str">
        <f aca="false">IF($B594="","",IFERROR(INDEX(자원목록!$B$3:$B$102,MATCH($B594,자원목록!$A$3:$A$102,0)),"미등록자원"))</f>
        <v/>
      </c>
      <c r="D594" s="7"/>
      <c r="E594" s="12" t="str">
        <f aca="false">IF($D594="","",IFERROR(INDEX(고객목록!$B$3:$B$502,MATCH($D594,고객목록!$A$3:$A$502,0)),""))</f>
        <v/>
      </c>
      <c r="F594" s="13"/>
      <c r="G594" s="13"/>
      <c r="H594" s="14" t="str">
        <f aca="false">IF(OR($L594="",$M594=""),"",ROUND(($M594-$L594)/60,2))</f>
        <v/>
      </c>
      <c r="I594" s="9"/>
      <c r="J594" s="7"/>
      <c r="K594" s="7"/>
      <c r="L594" s="15" t="str">
        <f aca="false">IF($F594="","",IF($F594&lt;1,ROUND($F594*1440,0),INT($F594/100)*60+MOD($F594,100)))</f>
        <v/>
      </c>
      <c r="M594" s="15" t="str">
        <f aca="false">IF($G594="","",IF($G594&lt;1,ROUND($G594*1440,0),INT($G594/100)*60+MOD($G594,100)))</f>
        <v/>
      </c>
      <c r="N594" s="15" t="str">
        <f aca="false">IF(OR($A594="",$B594="",$L594="",$M594="",$J594="취소"),"",IF(SUMPRODUCT(($A$3:$A$2002=$A594)*($B$3:$B$2002=$B594)*($J$3:$J$2002&lt;&gt;"취소")*($L$3:$L$2002&lt;&gt;"")*($M$3:$M$2002&lt;&gt;"")*($L$3:$L$2002&lt;$M594)*($M$3:$M$2002&gt;$L594))&gt;1,"중복","-"))</f>
        <v/>
      </c>
    </row>
    <row r="595" customFormat="false" ht="15" hidden="false" customHeight="true" outlineLevel="0" collapsed="false">
      <c r="A595" s="11"/>
      <c r="B595" s="7"/>
      <c r="C595" s="12" t="str">
        <f aca="false">IF($B595="","",IFERROR(INDEX(자원목록!$B$3:$B$102,MATCH($B595,자원목록!$A$3:$A$102,0)),"미등록자원"))</f>
        <v/>
      </c>
      <c r="D595" s="7"/>
      <c r="E595" s="12" t="str">
        <f aca="false">IF($D595="","",IFERROR(INDEX(고객목록!$B$3:$B$502,MATCH($D595,고객목록!$A$3:$A$502,0)),""))</f>
        <v/>
      </c>
      <c r="F595" s="13"/>
      <c r="G595" s="13"/>
      <c r="H595" s="14" t="str">
        <f aca="false">IF(OR($L595="",$M595=""),"",ROUND(($M595-$L595)/60,2))</f>
        <v/>
      </c>
      <c r="I595" s="9"/>
      <c r="J595" s="7"/>
      <c r="K595" s="7"/>
      <c r="L595" s="15" t="str">
        <f aca="false">IF($F595="","",IF($F595&lt;1,ROUND($F595*1440,0),INT($F595/100)*60+MOD($F595,100)))</f>
        <v/>
      </c>
      <c r="M595" s="15" t="str">
        <f aca="false">IF($G595="","",IF($G595&lt;1,ROUND($G595*1440,0),INT($G595/100)*60+MOD($G595,100)))</f>
        <v/>
      </c>
      <c r="N595" s="15" t="str">
        <f aca="false">IF(OR($A595="",$B595="",$L595="",$M595="",$J595="취소"),"",IF(SUMPRODUCT(($A$3:$A$2002=$A595)*($B$3:$B$2002=$B595)*($J$3:$J$2002&lt;&gt;"취소")*($L$3:$L$2002&lt;&gt;"")*($M$3:$M$2002&lt;&gt;"")*($L$3:$L$2002&lt;$M595)*($M$3:$M$2002&gt;$L595))&gt;1,"중복","-"))</f>
        <v/>
      </c>
    </row>
    <row r="596" customFormat="false" ht="15" hidden="false" customHeight="true" outlineLevel="0" collapsed="false">
      <c r="A596" s="11"/>
      <c r="B596" s="7"/>
      <c r="C596" s="12" t="str">
        <f aca="false">IF($B596="","",IFERROR(INDEX(자원목록!$B$3:$B$102,MATCH($B596,자원목록!$A$3:$A$102,0)),"미등록자원"))</f>
        <v/>
      </c>
      <c r="D596" s="7"/>
      <c r="E596" s="12" t="str">
        <f aca="false">IF($D596="","",IFERROR(INDEX(고객목록!$B$3:$B$502,MATCH($D596,고객목록!$A$3:$A$502,0)),""))</f>
        <v/>
      </c>
      <c r="F596" s="13"/>
      <c r="G596" s="13"/>
      <c r="H596" s="14" t="str">
        <f aca="false">IF(OR($L596="",$M596=""),"",ROUND(($M596-$L596)/60,2))</f>
        <v/>
      </c>
      <c r="I596" s="9"/>
      <c r="J596" s="7"/>
      <c r="K596" s="7"/>
      <c r="L596" s="15" t="str">
        <f aca="false">IF($F596="","",IF($F596&lt;1,ROUND($F596*1440,0),INT($F596/100)*60+MOD($F596,100)))</f>
        <v/>
      </c>
      <c r="M596" s="15" t="str">
        <f aca="false">IF($G596="","",IF($G596&lt;1,ROUND($G596*1440,0),INT($G596/100)*60+MOD($G596,100)))</f>
        <v/>
      </c>
      <c r="N596" s="15" t="str">
        <f aca="false">IF(OR($A596="",$B596="",$L596="",$M596="",$J596="취소"),"",IF(SUMPRODUCT(($A$3:$A$2002=$A596)*($B$3:$B$2002=$B596)*($J$3:$J$2002&lt;&gt;"취소")*($L$3:$L$2002&lt;&gt;"")*($M$3:$M$2002&lt;&gt;"")*($L$3:$L$2002&lt;$M596)*($M$3:$M$2002&gt;$L596))&gt;1,"중복","-"))</f>
        <v/>
      </c>
    </row>
    <row r="597" customFormat="false" ht="15" hidden="false" customHeight="true" outlineLevel="0" collapsed="false">
      <c r="A597" s="11"/>
      <c r="B597" s="7"/>
      <c r="C597" s="12" t="str">
        <f aca="false">IF($B597="","",IFERROR(INDEX(자원목록!$B$3:$B$102,MATCH($B597,자원목록!$A$3:$A$102,0)),"미등록자원"))</f>
        <v/>
      </c>
      <c r="D597" s="7"/>
      <c r="E597" s="12" t="str">
        <f aca="false">IF($D597="","",IFERROR(INDEX(고객목록!$B$3:$B$502,MATCH($D597,고객목록!$A$3:$A$502,0)),""))</f>
        <v/>
      </c>
      <c r="F597" s="13"/>
      <c r="G597" s="13"/>
      <c r="H597" s="14" t="str">
        <f aca="false">IF(OR($L597="",$M597=""),"",ROUND(($M597-$L597)/60,2))</f>
        <v/>
      </c>
      <c r="I597" s="9"/>
      <c r="J597" s="7"/>
      <c r="K597" s="7"/>
      <c r="L597" s="15" t="str">
        <f aca="false">IF($F597="","",IF($F597&lt;1,ROUND($F597*1440,0),INT($F597/100)*60+MOD($F597,100)))</f>
        <v/>
      </c>
      <c r="M597" s="15" t="str">
        <f aca="false">IF($G597="","",IF($G597&lt;1,ROUND($G597*1440,0),INT($G597/100)*60+MOD($G597,100)))</f>
        <v/>
      </c>
      <c r="N597" s="15" t="str">
        <f aca="false">IF(OR($A597="",$B597="",$L597="",$M597="",$J597="취소"),"",IF(SUMPRODUCT(($A$3:$A$2002=$A597)*($B$3:$B$2002=$B597)*($J$3:$J$2002&lt;&gt;"취소")*($L$3:$L$2002&lt;&gt;"")*($M$3:$M$2002&lt;&gt;"")*($L$3:$L$2002&lt;$M597)*($M$3:$M$2002&gt;$L597))&gt;1,"중복","-"))</f>
        <v/>
      </c>
    </row>
    <row r="598" customFormat="false" ht="15" hidden="false" customHeight="true" outlineLevel="0" collapsed="false">
      <c r="A598" s="11"/>
      <c r="B598" s="7"/>
      <c r="C598" s="12" t="str">
        <f aca="false">IF($B598="","",IFERROR(INDEX(자원목록!$B$3:$B$102,MATCH($B598,자원목록!$A$3:$A$102,0)),"미등록자원"))</f>
        <v/>
      </c>
      <c r="D598" s="7"/>
      <c r="E598" s="12" t="str">
        <f aca="false">IF($D598="","",IFERROR(INDEX(고객목록!$B$3:$B$502,MATCH($D598,고객목록!$A$3:$A$502,0)),""))</f>
        <v/>
      </c>
      <c r="F598" s="13"/>
      <c r="G598" s="13"/>
      <c r="H598" s="14" t="str">
        <f aca="false">IF(OR($L598="",$M598=""),"",ROUND(($M598-$L598)/60,2))</f>
        <v/>
      </c>
      <c r="I598" s="9"/>
      <c r="J598" s="7"/>
      <c r="K598" s="7"/>
      <c r="L598" s="15" t="str">
        <f aca="false">IF($F598="","",IF($F598&lt;1,ROUND($F598*1440,0),INT($F598/100)*60+MOD($F598,100)))</f>
        <v/>
      </c>
      <c r="M598" s="15" t="str">
        <f aca="false">IF($G598="","",IF($G598&lt;1,ROUND($G598*1440,0),INT($G598/100)*60+MOD($G598,100)))</f>
        <v/>
      </c>
      <c r="N598" s="15" t="str">
        <f aca="false">IF(OR($A598="",$B598="",$L598="",$M598="",$J598="취소"),"",IF(SUMPRODUCT(($A$3:$A$2002=$A598)*($B$3:$B$2002=$B598)*($J$3:$J$2002&lt;&gt;"취소")*($L$3:$L$2002&lt;&gt;"")*($M$3:$M$2002&lt;&gt;"")*($L$3:$L$2002&lt;$M598)*($M$3:$M$2002&gt;$L598))&gt;1,"중복","-"))</f>
        <v/>
      </c>
    </row>
    <row r="599" customFormat="false" ht="15" hidden="false" customHeight="true" outlineLevel="0" collapsed="false">
      <c r="A599" s="11"/>
      <c r="B599" s="7"/>
      <c r="C599" s="12" t="str">
        <f aca="false">IF($B599="","",IFERROR(INDEX(자원목록!$B$3:$B$102,MATCH($B599,자원목록!$A$3:$A$102,0)),"미등록자원"))</f>
        <v/>
      </c>
      <c r="D599" s="7"/>
      <c r="E599" s="12" t="str">
        <f aca="false">IF($D599="","",IFERROR(INDEX(고객목록!$B$3:$B$502,MATCH($D599,고객목록!$A$3:$A$502,0)),""))</f>
        <v/>
      </c>
      <c r="F599" s="13"/>
      <c r="G599" s="13"/>
      <c r="H599" s="14" t="str">
        <f aca="false">IF(OR($L599="",$M599=""),"",ROUND(($M599-$L599)/60,2))</f>
        <v/>
      </c>
      <c r="I599" s="9"/>
      <c r="J599" s="7"/>
      <c r="K599" s="7"/>
      <c r="L599" s="15" t="str">
        <f aca="false">IF($F599="","",IF($F599&lt;1,ROUND($F599*1440,0),INT($F599/100)*60+MOD($F599,100)))</f>
        <v/>
      </c>
      <c r="M599" s="15" t="str">
        <f aca="false">IF($G599="","",IF($G599&lt;1,ROUND($G599*1440,0),INT($G599/100)*60+MOD($G599,100)))</f>
        <v/>
      </c>
      <c r="N599" s="15" t="str">
        <f aca="false">IF(OR($A599="",$B599="",$L599="",$M599="",$J599="취소"),"",IF(SUMPRODUCT(($A$3:$A$2002=$A599)*($B$3:$B$2002=$B599)*($J$3:$J$2002&lt;&gt;"취소")*($L$3:$L$2002&lt;&gt;"")*($M$3:$M$2002&lt;&gt;"")*($L$3:$L$2002&lt;$M599)*($M$3:$M$2002&gt;$L599))&gt;1,"중복","-"))</f>
        <v/>
      </c>
    </row>
    <row r="600" customFormat="false" ht="15" hidden="false" customHeight="true" outlineLevel="0" collapsed="false">
      <c r="A600" s="11"/>
      <c r="B600" s="7"/>
      <c r="C600" s="12" t="str">
        <f aca="false">IF($B600="","",IFERROR(INDEX(자원목록!$B$3:$B$102,MATCH($B600,자원목록!$A$3:$A$102,0)),"미등록자원"))</f>
        <v/>
      </c>
      <c r="D600" s="7"/>
      <c r="E600" s="12" t="str">
        <f aca="false">IF($D600="","",IFERROR(INDEX(고객목록!$B$3:$B$502,MATCH($D600,고객목록!$A$3:$A$502,0)),""))</f>
        <v/>
      </c>
      <c r="F600" s="13"/>
      <c r="G600" s="13"/>
      <c r="H600" s="14" t="str">
        <f aca="false">IF(OR($L600="",$M600=""),"",ROUND(($M600-$L600)/60,2))</f>
        <v/>
      </c>
      <c r="I600" s="9"/>
      <c r="J600" s="7"/>
      <c r="K600" s="7"/>
      <c r="L600" s="15" t="str">
        <f aca="false">IF($F600="","",IF($F600&lt;1,ROUND($F600*1440,0),INT($F600/100)*60+MOD($F600,100)))</f>
        <v/>
      </c>
      <c r="M600" s="15" t="str">
        <f aca="false">IF($G600="","",IF($G600&lt;1,ROUND($G600*1440,0),INT($G600/100)*60+MOD($G600,100)))</f>
        <v/>
      </c>
      <c r="N600" s="15" t="str">
        <f aca="false">IF(OR($A600="",$B600="",$L600="",$M600="",$J600="취소"),"",IF(SUMPRODUCT(($A$3:$A$2002=$A600)*($B$3:$B$2002=$B600)*($J$3:$J$2002&lt;&gt;"취소")*($L$3:$L$2002&lt;&gt;"")*($M$3:$M$2002&lt;&gt;"")*($L$3:$L$2002&lt;$M600)*($M$3:$M$2002&gt;$L600))&gt;1,"중복","-"))</f>
        <v/>
      </c>
    </row>
    <row r="601" customFormat="false" ht="15" hidden="false" customHeight="true" outlineLevel="0" collapsed="false">
      <c r="A601" s="11"/>
      <c r="B601" s="7"/>
      <c r="C601" s="12" t="str">
        <f aca="false">IF($B601="","",IFERROR(INDEX(자원목록!$B$3:$B$102,MATCH($B601,자원목록!$A$3:$A$102,0)),"미등록자원"))</f>
        <v/>
      </c>
      <c r="D601" s="7"/>
      <c r="E601" s="12" t="str">
        <f aca="false">IF($D601="","",IFERROR(INDEX(고객목록!$B$3:$B$502,MATCH($D601,고객목록!$A$3:$A$502,0)),""))</f>
        <v/>
      </c>
      <c r="F601" s="13"/>
      <c r="G601" s="13"/>
      <c r="H601" s="14" t="str">
        <f aca="false">IF(OR($L601="",$M601=""),"",ROUND(($M601-$L601)/60,2))</f>
        <v/>
      </c>
      <c r="I601" s="9"/>
      <c r="J601" s="7"/>
      <c r="K601" s="7"/>
      <c r="L601" s="15" t="str">
        <f aca="false">IF($F601="","",IF($F601&lt;1,ROUND($F601*1440,0),INT($F601/100)*60+MOD($F601,100)))</f>
        <v/>
      </c>
      <c r="M601" s="15" t="str">
        <f aca="false">IF($G601="","",IF($G601&lt;1,ROUND($G601*1440,0),INT($G601/100)*60+MOD($G601,100)))</f>
        <v/>
      </c>
      <c r="N601" s="15" t="str">
        <f aca="false">IF(OR($A601="",$B601="",$L601="",$M601="",$J601="취소"),"",IF(SUMPRODUCT(($A$3:$A$2002=$A601)*($B$3:$B$2002=$B601)*($J$3:$J$2002&lt;&gt;"취소")*($L$3:$L$2002&lt;&gt;"")*($M$3:$M$2002&lt;&gt;"")*($L$3:$L$2002&lt;$M601)*($M$3:$M$2002&gt;$L601))&gt;1,"중복","-"))</f>
        <v/>
      </c>
    </row>
    <row r="602" customFormat="false" ht="15" hidden="false" customHeight="true" outlineLevel="0" collapsed="false">
      <c r="A602" s="11"/>
      <c r="B602" s="7"/>
      <c r="C602" s="12" t="str">
        <f aca="false">IF($B602="","",IFERROR(INDEX(자원목록!$B$3:$B$102,MATCH($B602,자원목록!$A$3:$A$102,0)),"미등록자원"))</f>
        <v/>
      </c>
      <c r="D602" s="7"/>
      <c r="E602" s="12" t="str">
        <f aca="false">IF($D602="","",IFERROR(INDEX(고객목록!$B$3:$B$502,MATCH($D602,고객목록!$A$3:$A$502,0)),""))</f>
        <v/>
      </c>
      <c r="F602" s="13"/>
      <c r="G602" s="13"/>
      <c r="H602" s="14" t="str">
        <f aca="false">IF(OR($L602="",$M602=""),"",ROUND(($M602-$L602)/60,2))</f>
        <v/>
      </c>
      <c r="I602" s="9"/>
      <c r="J602" s="7"/>
      <c r="K602" s="7"/>
      <c r="L602" s="15" t="str">
        <f aca="false">IF($F602="","",IF($F602&lt;1,ROUND($F602*1440,0),INT($F602/100)*60+MOD($F602,100)))</f>
        <v/>
      </c>
      <c r="M602" s="15" t="str">
        <f aca="false">IF($G602="","",IF($G602&lt;1,ROUND($G602*1440,0),INT($G602/100)*60+MOD($G602,100)))</f>
        <v/>
      </c>
      <c r="N602" s="15" t="str">
        <f aca="false">IF(OR($A602="",$B602="",$L602="",$M602="",$J602="취소"),"",IF(SUMPRODUCT(($A$3:$A$2002=$A602)*($B$3:$B$2002=$B602)*($J$3:$J$2002&lt;&gt;"취소")*($L$3:$L$2002&lt;&gt;"")*($M$3:$M$2002&lt;&gt;"")*($L$3:$L$2002&lt;$M602)*($M$3:$M$2002&gt;$L602))&gt;1,"중복","-"))</f>
        <v/>
      </c>
    </row>
    <row r="603" customFormat="false" ht="15" hidden="false" customHeight="true" outlineLevel="0" collapsed="false">
      <c r="A603" s="11"/>
      <c r="B603" s="7"/>
      <c r="C603" s="12" t="str">
        <f aca="false">IF($B603="","",IFERROR(INDEX(자원목록!$B$3:$B$102,MATCH($B603,자원목록!$A$3:$A$102,0)),"미등록자원"))</f>
        <v/>
      </c>
      <c r="D603" s="7"/>
      <c r="E603" s="12" t="str">
        <f aca="false">IF($D603="","",IFERROR(INDEX(고객목록!$B$3:$B$502,MATCH($D603,고객목록!$A$3:$A$502,0)),""))</f>
        <v/>
      </c>
      <c r="F603" s="13"/>
      <c r="G603" s="13"/>
      <c r="H603" s="14" t="str">
        <f aca="false">IF(OR($L603="",$M603=""),"",ROUND(($M603-$L603)/60,2))</f>
        <v/>
      </c>
      <c r="I603" s="9"/>
      <c r="J603" s="7"/>
      <c r="K603" s="7"/>
      <c r="L603" s="15" t="str">
        <f aca="false">IF($F603="","",IF($F603&lt;1,ROUND($F603*1440,0),INT($F603/100)*60+MOD($F603,100)))</f>
        <v/>
      </c>
      <c r="M603" s="15" t="str">
        <f aca="false">IF($G603="","",IF($G603&lt;1,ROUND($G603*1440,0),INT($G603/100)*60+MOD($G603,100)))</f>
        <v/>
      </c>
      <c r="N603" s="15" t="str">
        <f aca="false">IF(OR($A603="",$B603="",$L603="",$M603="",$J603="취소"),"",IF(SUMPRODUCT(($A$3:$A$2002=$A603)*($B$3:$B$2002=$B603)*($J$3:$J$2002&lt;&gt;"취소")*($L$3:$L$2002&lt;&gt;"")*($M$3:$M$2002&lt;&gt;"")*($L$3:$L$2002&lt;$M603)*($M$3:$M$2002&gt;$L603))&gt;1,"중복","-"))</f>
        <v/>
      </c>
    </row>
    <row r="604" customFormat="false" ht="15" hidden="false" customHeight="true" outlineLevel="0" collapsed="false">
      <c r="A604" s="11"/>
      <c r="B604" s="7"/>
      <c r="C604" s="12" t="str">
        <f aca="false">IF($B604="","",IFERROR(INDEX(자원목록!$B$3:$B$102,MATCH($B604,자원목록!$A$3:$A$102,0)),"미등록자원"))</f>
        <v/>
      </c>
      <c r="D604" s="7"/>
      <c r="E604" s="12" t="str">
        <f aca="false">IF($D604="","",IFERROR(INDEX(고객목록!$B$3:$B$502,MATCH($D604,고객목록!$A$3:$A$502,0)),""))</f>
        <v/>
      </c>
      <c r="F604" s="13"/>
      <c r="G604" s="13"/>
      <c r="H604" s="14" t="str">
        <f aca="false">IF(OR($L604="",$M604=""),"",ROUND(($M604-$L604)/60,2))</f>
        <v/>
      </c>
      <c r="I604" s="9"/>
      <c r="J604" s="7"/>
      <c r="K604" s="7"/>
      <c r="L604" s="15" t="str">
        <f aca="false">IF($F604="","",IF($F604&lt;1,ROUND($F604*1440,0),INT($F604/100)*60+MOD($F604,100)))</f>
        <v/>
      </c>
      <c r="M604" s="15" t="str">
        <f aca="false">IF($G604="","",IF($G604&lt;1,ROUND($G604*1440,0),INT($G604/100)*60+MOD($G604,100)))</f>
        <v/>
      </c>
      <c r="N604" s="15" t="str">
        <f aca="false">IF(OR($A604="",$B604="",$L604="",$M604="",$J604="취소"),"",IF(SUMPRODUCT(($A$3:$A$2002=$A604)*($B$3:$B$2002=$B604)*($J$3:$J$2002&lt;&gt;"취소")*($L$3:$L$2002&lt;&gt;"")*($M$3:$M$2002&lt;&gt;"")*($L$3:$L$2002&lt;$M604)*($M$3:$M$2002&gt;$L604))&gt;1,"중복","-"))</f>
        <v/>
      </c>
    </row>
    <row r="605" customFormat="false" ht="15" hidden="false" customHeight="true" outlineLevel="0" collapsed="false">
      <c r="A605" s="11"/>
      <c r="B605" s="7"/>
      <c r="C605" s="12" t="str">
        <f aca="false">IF($B605="","",IFERROR(INDEX(자원목록!$B$3:$B$102,MATCH($B605,자원목록!$A$3:$A$102,0)),"미등록자원"))</f>
        <v/>
      </c>
      <c r="D605" s="7"/>
      <c r="E605" s="12" t="str">
        <f aca="false">IF($D605="","",IFERROR(INDEX(고객목록!$B$3:$B$502,MATCH($D605,고객목록!$A$3:$A$502,0)),""))</f>
        <v/>
      </c>
      <c r="F605" s="13"/>
      <c r="G605" s="13"/>
      <c r="H605" s="14" t="str">
        <f aca="false">IF(OR($L605="",$M605=""),"",ROUND(($M605-$L605)/60,2))</f>
        <v/>
      </c>
      <c r="I605" s="9"/>
      <c r="J605" s="7"/>
      <c r="K605" s="7"/>
      <c r="L605" s="15" t="str">
        <f aca="false">IF($F605="","",IF($F605&lt;1,ROUND($F605*1440,0),INT($F605/100)*60+MOD($F605,100)))</f>
        <v/>
      </c>
      <c r="M605" s="15" t="str">
        <f aca="false">IF($G605="","",IF($G605&lt;1,ROUND($G605*1440,0),INT($G605/100)*60+MOD($G605,100)))</f>
        <v/>
      </c>
      <c r="N605" s="15" t="str">
        <f aca="false">IF(OR($A605="",$B605="",$L605="",$M605="",$J605="취소"),"",IF(SUMPRODUCT(($A$3:$A$2002=$A605)*($B$3:$B$2002=$B605)*($J$3:$J$2002&lt;&gt;"취소")*($L$3:$L$2002&lt;&gt;"")*($M$3:$M$2002&lt;&gt;"")*($L$3:$L$2002&lt;$M605)*($M$3:$M$2002&gt;$L605))&gt;1,"중복","-"))</f>
        <v/>
      </c>
    </row>
    <row r="606" customFormat="false" ht="15" hidden="false" customHeight="true" outlineLevel="0" collapsed="false">
      <c r="A606" s="11"/>
      <c r="B606" s="7"/>
      <c r="C606" s="12" t="str">
        <f aca="false">IF($B606="","",IFERROR(INDEX(자원목록!$B$3:$B$102,MATCH($B606,자원목록!$A$3:$A$102,0)),"미등록자원"))</f>
        <v/>
      </c>
      <c r="D606" s="7"/>
      <c r="E606" s="12" t="str">
        <f aca="false">IF($D606="","",IFERROR(INDEX(고객목록!$B$3:$B$502,MATCH($D606,고객목록!$A$3:$A$502,0)),""))</f>
        <v/>
      </c>
      <c r="F606" s="13"/>
      <c r="G606" s="13"/>
      <c r="H606" s="14" t="str">
        <f aca="false">IF(OR($L606="",$M606=""),"",ROUND(($M606-$L606)/60,2))</f>
        <v/>
      </c>
      <c r="I606" s="9"/>
      <c r="J606" s="7"/>
      <c r="K606" s="7"/>
      <c r="L606" s="15" t="str">
        <f aca="false">IF($F606="","",IF($F606&lt;1,ROUND($F606*1440,0),INT($F606/100)*60+MOD($F606,100)))</f>
        <v/>
      </c>
      <c r="M606" s="15" t="str">
        <f aca="false">IF($G606="","",IF($G606&lt;1,ROUND($G606*1440,0),INT($G606/100)*60+MOD($G606,100)))</f>
        <v/>
      </c>
      <c r="N606" s="15" t="str">
        <f aca="false">IF(OR($A606="",$B606="",$L606="",$M606="",$J606="취소"),"",IF(SUMPRODUCT(($A$3:$A$2002=$A606)*($B$3:$B$2002=$B606)*($J$3:$J$2002&lt;&gt;"취소")*($L$3:$L$2002&lt;&gt;"")*($M$3:$M$2002&lt;&gt;"")*($L$3:$L$2002&lt;$M606)*($M$3:$M$2002&gt;$L606))&gt;1,"중복","-"))</f>
        <v/>
      </c>
    </row>
    <row r="607" customFormat="false" ht="15" hidden="false" customHeight="true" outlineLevel="0" collapsed="false">
      <c r="A607" s="11"/>
      <c r="B607" s="7"/>
      <c r="C607" s="12" t="str">
        <f aca="false">IF($B607="","",IFERROR(INDEX(자원목록!$B$3:$B$102,MATCH($B607,자원목록!$A$3:$A$102,0)),"미등록자원"))</f>
        <v/>
      </c>
      <c r="D607" s="7"/>
      <c r="E607" s="12" t="str">
        <f aca="false">IF($D607="","",IFERROR(INDEX(고객목록!$B$3:$B$502,MATCH($D607,고객목록!$A$3:$A$502,0)),""))</f>
        <v/>
      </c>
      <c r="F607" s="13"/>
      <c r="G607" s="13"/>
      <c r="H607" s="14" t="str">
        <f aca="false">IF(OR($L607="",$M607=""),"",ROUND(($M607-$L607)/60,2))</f>
        <v/>
      </c>
      <c r="I607" s="9"/>
      <c r="J607" s="7"/>
      <c r="K607" s="7"/>
      <c r="L607" s="15" t="str">
        <f aca="false">IF($F607="","",IF($F607&lt;1,ROUND($F607*1440,0),INT($F607/100)*60+MOD($F607,100)))</f>
        <v/>
      </c>
      <c r="M607" s="15" t="str">
        <f aca="false">IF($G607="","",IF($G607&lt;1,ROUND($G607*1440,0),INT($G607/100)*60+MOD($G607,100)))</f>
        <v/>
      </c>
      <c r="N607" s="15" t="str">
        <f aca="false">IF(OR($A607="",$B607="",$L607="",$M607="",$J607="취소"),"",IF(SUMPRODUCT(($A$3:$A$2002=$A607)*($B$3:$B$2002=$B607)*($J$3:$J$2002&lt;&gt;"취소")*($L$3:$L$2002&lt;&gt;"")*($M$3:$M$2002&lt;&gt;"")*($L$3:$L$2002&lt;$M607)*($M$3:$M$2002&gt;$L607))&gt;1,"중복","-"))</f>
        <v/>
      </c>
    </row>
    <row r="608" customFormat="false" ht="15" hidden="false" customHeight="true" outlineLevel="0" collapsed="false">
      <c r="A608" s="11"/>
      <c r="B608" s="7"/>
      <c r="C608" s="12" t="str">
        <f aca="false">IF($B608="","",IFERROR(INDEX(자원목록!$B$3:$B$102,MATCH($B608,자원목록!$A$3:$A$102,0)),"미등록자원"))</f>
        <v/>
      </c>
      <c r="D608" s="7"/>
      <c r="E608" s="12" t="str">
        <f aca="false">IF($D608="","",IFERROR(INDEX(고객목록!$B$3:$B$502,MATCH($D608,고객목록!$A$3:$A$502,0)),""))</f>
        <v/>
      </c>
      <c r="F608" s="13"/>
      <c r="G608" s="13"/>
      <c r="H608" s="14" t="str">
        <f aca="false">IF(OR($L608="",$M608=""),"",ROUND(($M608-$L608)/60,2))</f>
        <v/>
      </c>
      <c r="I608" s="9"/>
      <c r="J608" s="7"/>
      <c r="K608" s="7"/>
      <c r="L608" s="15" t="str">
        <f aca="false">IF($F608="","",IF($F608&lt;1,ROUND($F608*1440,0),INT($F608/100)*60+MOD($F608,100)))</f>
        <v/>
      </c>
      <c r="M608" s="15" t="str">
        <f aca="false">IF($G608="","",IF($G608&lt;1,ROUND($G608*1440,0),INT($G608/100)*60+MOD($G608,100)))</f>
        <v/>
      </c>
      <c r="N608" s="15" t="str">
        <f aca="false">IF(OR($A608="",$B608="",$L608="",$M608="",$J608="취소"),"",IF(SUMPRODUCT(($A$3:$A$2002=$A608)*($B$3:$B$2002=$B608)*($J$3:$J$2002&lt;&gt;"취소")*($L$3:$L$2002&lt;&gt;"")*($M$3:$M$2002&lt;&gt;"")*($L$3:$L$2002&lt;$M608)*($M$3:$M$2002&gt;$L608))&gt;1,"중복","-"))</f>
        <v/>
      </c>
    </row>
    <row r="609" customFormat="false" ht="15" hidden="false" customHeight="true" outlineLevel="0" collapsed="false">
      <c r="A609" s="11"/>
      <c r="B609" s="7"/>
      <c r="C609" s="12" t="str">
        <f aca="false">IF($B609="","",IFERROR(INDEX(자원목록!$B$3:$B$102,MATCH($B609,자원목록!$A$3:$A$102,0)),"미등록자원"))</f>
        <v/>
      </c>
      <c r="D609" s="7"/>
      <c r="E609" s="12" t="str">
        <f aca="false">IF($D609="","",IFERROR(INDEX(고객목록!$B$3:$B$502,MATCH($D609,고객목록!$A$3:$A$502,0)),""))</f>
        <v/>
      </c>
      <c r="F609" s="13"/>
      <c r="G609" s="13"/>
      <c r="H609" s="14" t="str">
        <f aca="false">IF(OR($L609="",$M609=""),"",ROUND(($M609-$L609)/60,2))</f>
        <v/>
      </c>
      <c r="I609" s="9"/>
      <c r="J609" s="7"/>
      <c r="K609" s="7"/>
      <c r="L609" s="15" t="str">
        <f aca="false">IF($F609="","",IF($F609&lt;1,ROUND($F609*1440,0),INT($F609/100)*60+MOD($F609,100)))</f>
        <v/>
      </c>
      <c r="M609" s="15" t="str">
        <f aca="false">IF($G609="","",IF($G609&lt;1,ROUND($G609*1440,0),INT($G609/100)*60+MOD($G609,100)))</f>
        <v/>
      </c>
      <c r="N609" s="15" t="str">
        <f aca="false">IF(OR($A609="",$B609="",$L609="",$M609="",$J609="취소"),"",IF(SUMPRODUCT(($A$3:$A$2002=$A609)*($B$3:$B$2002=$B609)*($J$3:$J$2002&lt;&gt;"취소")*($L$3:$L$2002&lt;&gt;"")*($M$3:$M$2002&lt;&gt;"")*($L$3:$L$2002&lt;$M609)*($M$3:$M$2002&gt;$L609))&gt;1,"중복","-"))</f>
        <v/>
      </c>
    </row>
    <row r="610" customFormat="false" ht="15" hidden="false" customHeight="true" outlineLevel="0" collapsed="false">
      <c r="A610" s="11"/>
      <c r="B610" s="7"/>
      <c r="C610" s="12" t="str">
        <f aca="false">IF($B610="","",IFERROR(INDEX(자원목록!$B$3:$B$102,MATCH($B610,자원목록!$A$3:$A$102,0)),"미등록자원"))</f>
        <v/>
      </c>
      <c r="D610" s="7"/>
      <c r="E610" s="12" t="str">
        <f aca="false">IF($D610="","",IFERROR(INDEX(고객목록!$B$3:$B$502,MATCH($D610,고객목록!$A$3:$A$502,0)),""))</f>
        <v/>
      </c>
      <c r="F610" s="13"/>
      <c r="G610" s="13"/>
      <c r="H610" s="14" t="str">
        <f aca="false">IF(OR($L610="",$M610=""),"",ROUND(($M610-$L610)/60,2))</f>
        <v/>
      </c>
      <c r="I610" s="9"/>
      <c r="J610" s="7"/>
      <c r="K610" s="7"/>
      <c r="L610" s="15" t="str">
        <f aca="false">IF($F610="","",IF($F610&lt;1,ROUND($F610*1440,0),INT($F610/100)*60+MOD($F610,100)))</f>
        <v/>
      </c>
      <c r="M610" s="15" t="str">
        <f aca="false">IF($G610="","",IF($G610&lt;1,ROUND($G610*1440,0),INT($G610/100)*60+MOD($G610,100)))</f>
        <v/>
      </c>
      <c r="N610" s="15" t="str">
        <f aca="false">IF(OR($A610="",$B610="",$L610="",$M610="",$J610="취소"),"",IF(SUMPRODUCT(($A$3:$A$2002=$A610)*($B$3:$B$2002=$B610)*($J$3:$J$2002&lt;&gt;"취소")*($L$3:$L$2002&lt;&gt;"")*($M$3:$M$2002&lt;&gt;"")*($L$3:$L$2002&lt;$M610)*($M$3:$M$2002&gt;$L610))&gt;1,"중복","-"))</f>
        <v/>
      </c>
    </row>
    <row r="611" customFormat="false" ht="15" hidden="false" customHeight="true" outlineLevel="0" collapsed="false">
      <c r="A611" s="11"/>
      <c r="B611" s="7"/>
      <c r="C611" s="12" t="str">
        <f aca="false">IF($B611="","",IFERROR(INDEX(자원목록!$B$3:$B$102,MATCH($B611,자원목록!$A$3:$A$102,0)),"미등록자원"))</f>
        <v/>
      </c>
      <c r="D611" s="7"/>
      <c r="E611" s="12" t="str">
        <f aca="false">IF($D611="","",IFERROR(INDEX(고객목록!$B$3:$B$502,MATCH($D611,고객목록!$A$3:$A$502,0)),""))</f>
        <v/>
      </c>
      <c r="F611" s="13"/>
      <c r="G611" s="13"/>
      <c r="H611" s="14" t="str">
        <f aca="false">IF(OR($L611="",$M611=""),"",ROUND(($M611-$L611)/60,2))</f>
        <v/>
      </c>
      <c r="I611" s="9"/>
      <c r="J611" s="7"/>
      <c r="K611" s="7"/>
      <c r="L611" s="15" t="str">
        <f aca="false">IF($F611="","",IF($F611&lt;1,ROUND($F611*1440,0),INT($F611/100)*60+MOD($F611,100)))</f>
        <v/>
      </c>
      <c r="M611" s="15" t="str">
        <f aca="false">IF($G611="","",IF($G611&lt;1,ROUND($G611*1440,0),INT($G611/100)*60+MOD($G611,100)))</f>
        <v/>
      </c>
      <c r="N611" s="15" t="str">
        <f aca="false">IF(OR($A611="",$B611="",$L611="",$M611="",$J611="취소"),"",IF(SUMPRODUCT(($A$3:$A$2002=$A611)*($B$3:$B$2002=$B611)*($J$3:$J$2002&lt;&gt;"취소")*($L$3:$L$2002&lt;&gt;"")*($M$3:$M$2002&lt;&gt;"")*($L$3:$L$2002&lt;$M611)*($M$3:$M$2002&gt;$L611))&gt;1,"중복","-"))</f>
        <v/>
      </c>
    </row>
    <row r="612" customFormat="false" ht="15" hidden="false" customHeight="true" outlineLevel="0" collapsed="false">
      <c r="A612" s="11"/>
      <c r="B612" s="7"/>
      <c r="C612" s="12" t="str">
        <f aca="false">IF($B612="","",IFERROR(INDEX(자원목록!$B$3:$B$102,MATCH($B612,자원목록!$A$3:$A$102,0)),"미등록자원"))</f>
        <v/>
      </c>
      <c r="D612" s="7"/>
      <c r="E612" s="12" t="str">
        <f aca="false">IF($D612="","",IFERROR(INDEX(고객목록!$B$3:$B$502,MATCH($D612,고객목록!$A$3:$A$502,0)),""))</f>
        <v/>
      </c>
      <c r="F612" s="13"/>
      <c r="G612" s="13"/>
      <c r="H612" s="14" t="str">
        <f aca="false">IF(OR($L612="",$M612=""),"",ROUND(($M612-$L612)/60,2))</f>
        <v/>
      </c>
      <c r="I612" s="9"/>
      <c r="J612" s="7"/>
      <c r="K612" s="7"/>
      <c r="L612" s="15" t="str">
        <f aca="false">IF($F612="","",IF($F612&lt;1,ROUND($F612*1440,0),INT($F612/100)*60+MOD($F612,100)))</f>
        <v/>
      </c>
      <c r="M612" s="15" t="str">
        <f aca="false">IF($G612="","",IF($G612&lt;1,ROUND($G612*1440,0),INT($G612/100)*60+MOD($G612,100)))</f>
        <v/>
      </c>
      <c r="N612" s="15" t="str">
        <f aca="false">IF(OR($A612="",$B612="",$L612="",$M612="",$J612="취소"),"",IF(SUMPRODUCT(($A$3:$A$2002=$A612)*($B$3:$B$2002=$B612)*($J$3:$J$2002&lt;&gt;"취소")*($L$3:$L$2002&lt;&gt;"")*($M$3:$M$2002&lt;&gt;"")*($L$3:$L$2002&lt;$M612)*($M$3:$M$2002&gt;$L612))&gt;1,"중복","-"))</f>
        <v/>
      </c>
    </row>
    <row r="613" customFormat="false" ht="15" hidden="false" customHeight="true" outlineLevel="0" collapsed="false">
      <c r="A613" s="11"/>
      <c r="B613" s="7"/>
      <c r="C613" s="12" t="str">
        <f aca="false">IF($B613="","",IFERROR(INDEX(자원목록!$B$3:$B$102,MATCH($B613,자원목록!$A$3:$A$102,0)),"미등록자원"))</f>
        <v/>
      </c>
      <c r="D613" s="7"/>
      <c r="E613" s="12" t="str">
        <f aca="false">IF($D613="","",IFERROR(INDEX(고객목록!$B$3:$B$502,MATCH($D613,고객목록!$A$3:$A$502,0)),""))</f>
        <v/>
      </c>
      <c r="F613" s="13"/>
      <c r="G613" s="13"/>
      <c r="H613" s="14" t="str">
        <f aca="false">IF(OR($L613="",$M613=""),"",ROUND(($M613-$L613)/60,2))</f>
        <v/>
      </c>
      <c r="I613" s="9"/>
      <c r="J613" s="7"/>
      <c r="K613" s="7"/>
      <c r="L613" s="15" t="str">
        <f aca="false">IF($F613="","",IF($F613&lt;1,ROUND($F613*1440,0),INT($F613/100)*60+MOD($F613,100)))</f>
        <v/>
      </c>
      <c r="M613" s="15" t="str">
        <f aca="false">IF($G613="","",IF($G613&lt;1,ROUND($G613*1440,0),INT($G613/100)*60+MOD($G613,100)))</f>
        <v/>
      </c>
      <c r="N613" s="15" t="str">
        <f aca="false">IF(OR($A613="",$B613="",$L613="",$M613="",$J613="취소"),"",IF(SUMPRODUCT(($A$3:$A$2002=$A613)*($B$3:$B$2002=$B613)*($J$3:$J$2002&lt;&gt;"취소")*($L$3:$L$2002&lt;&gt;"")*($M$3:$M$2002&lt;&gt;"")*($L$3:$L$2002&lt;$M613)*($M$3:$M$2002&gt;$L613))&gt;1,"중복","-"))</f>
        <v/>
      </c>
    </row>
    <row r="614" customFormat="false" ht="15" hidden="false" customHeight="true" outlineLevel="0" collapsed="false">
      <c r="A614" s="11"/>
      <c r="B614" s="7"/>
      <c r="C614" s="12" t="str">
        <f aca="false">IF($B614="","",IFERROR(INDEX(자원목록!$B$3:$B$102,MATCH($B614,자원목록!$A$3:$A$102,0)),"미등록자원"))</f>
        <v/>
      </c>
      <c r="D614" s="7"/>
      <c r="E614" s="12" t="str">
        <f aca="false">IF($D614="","",IFERROR(INDEX(고객목록!$B$3:$B$502,MATCH($D614,고객목록!$A$3:$A$502,0)),""))</f>
        <v/>
      </c>
      <c r="F614" s="13"/>
      <c r="G614" s="13"/>
      <c r="H614" s="14" t="str">
        <f aca="false">IF(OR($L614="",$M614=""),"",ROUND(($M614-$L614)/60,2))</f>
        <v/>
      </c>
      <c r="I614" s="9"/>
      <c r="J614" s="7"/>
      <c r="K614" s="7"/>
      <c r="L614" s="15" t="str">
        <f aca="false">IF($F614="","",IF($F614&lt;1,ROUND($F614*1440,0),INT($F614/100)*60+MOD($F614,100)))</f>
        <v/>
      </c>
      <c r="M614" s="15" t="str">
        <f aca="false">IF($G614="","",IF($G614&lt;1,ROUND($G614*1440,0),INT($G614/100)*60+MOD($G614,100)))</f>
        <v/>
      </c>
      <c r="N614" s="15" t="str">
        <f aca="false">IF(OR($A614="",$B614="",$L614="",$M614="",$J614="취소"),"",IF(SUMPRODUCT(($A$3:$A$2002=$A614)*($B$3:$B$2002=$B614)*($J$3:$J$2002&lt;&gt;"취소")*($L$3:$L$2002&lt;&gt;"")*($M$3:$M$2002&lt;&gt;"")*($L$3:$L$2002&lt;$M614)*($M$3:$M$2002&gt;$L614))&gt;1,"중복","-"))</f>
        <v/>
      </c>
    </row>
    <row r="615" customFormat="false" ht="15" hidden="false" customHeight="true" outlineLevel="0" collapsed="false">
      <c r="A615" s="11"/>
      <c r="B615" s="7"/>
      <c r="C615" s="12" t="str">
        <f aca="false">IF($B615="","",IFERROR(INDEX(자원목록!$B$3:$B$102,MATCH($B615,자원목록!$A$3:$A$102,0)),"미등록자원"))</f>
        <v/>
      </c>
      <c r="D615" s="7"/>
      <c r="E615" s="12" t="str">
        <f aca="false">IF($D615="","",IFERROR(INDEX(고객목록!$B$3:$B$502,MATCH($D615,고객목록!$A$3:$A$502,0)),""))</f>
        <v/>
      </c>
      <c r="F615" s="13"/>
      <c r="G615" s="13"/>
      <c r="H615" s="14" t="str">
        <f aca="false">IF(OR($L615="",$M615=""),"",ROUND(($M615-$L615)/60,2))</f>
        <v/>
      </c>
      <c r="I615" s="9"/>
      <c r="J615" s="7"/>
      <c r="K615" s="7"/>
      <c r="L615" s="15" t="str">
        <f aca="false">IF($F615="","",IF($F615&lt;1,ROUND($F615*1440,0),INT($F615/100)*60+MOD($F615,100)))</f>
        <v/>
      </c>
      <c r="M615" s="15" t="str">
        <f aca="false">IF($G615="","",IF($G615&lt;1,ROUND($G615*1440,0),INT($G615/100)*60+MOD($G615,100)))</f>
        <v/>
      </c>
      <c r="N615" s="15" t="str">
        <f aca="false">IF(OR($A615="",$B615="",$L615="",$M615="",$J615="취소"),"",IF(SUMPRODUCT(($A$3:$A$2002=$A615)*($B$3:$B$2002=$B615)*($J$3:$J$2002&lt;&gt;"취소")*($L$3:$L$2002&lt;&gt;"")*($M$3:$M$2002&lt;&gt;"")*($L$3:$L$2002&lt;$M615)*($M$3:$M$2002&gt;$L615))&gt;1,"중복","-"))</f>
        <v/>
      </c>
    </row>
    <row r="616" customFormat="false" ht="15" hidden="false" customHeight="true" outlineLevel="0" collapsed="false">
      <c r="A616" s="11"/>
      <c r="B616" s="7"/>
      <c r="C616" s="12" t="str">
        <f aca="false">IF($B616="","",IFERROR(INDEX(자원목록!$B$3:$B$102,MATCH($B616,자원목록!$A$3:$A$102,0)),"미등록자원"))</f>
        <v/>
      </c>
      <c r="D616" s="7"/>
      <c r="E616" s="12" t="str">
        <f aca="false">IF($D616="","",IFERROR(INDEX(고객목록!$B$3:$B$502,MATCH($D616,고객목록!$A$3:$A$502,0)),""))</f>
        <v/>
      </c>
      <c r="F616" s="13"/>
      <c r="G616" s="13"/>
      <c r="H616" s="14" t="str">
        <f aca="false">IF(OR($L616="",$M616=""),"",ROUND(($M616-$L616)/60,2))</f>
        <v/>
      </c>
      <c r="I616" s="9"/>
      <c r="J616" s="7"/>
      <c r="K616" s="7"/>
      <c r="L616" s="15" t="str">
        <f aca="false">IF($F616="","",IF($F616&lt;1,ROUND($F616*1440,0),INT($F616/100)*60+MOD($F616,100)))</f>
        <v/>
      </c>
      <c r="M616" s="15" t="str">
        <f aca="false">IF($G616="","",IF($G616&lt;1,ROUND($G616*1440,0),INT($G616/100)*60+MOD($G616,100)))</f>
        <v/>
      </c>
      <c r="N616" s="15" t="str">
        <f aca="false">IF(OR($A616="",$B616="",$L616="",$M616="",$J616="취소"),"",IF(SUMPRODUCT(($A$3:$A$2002=$A616)*($B$3:$B$2002=$B616)*($J$3:$J$2002&lt;&gt;"취소")*($L$3:$L$2002&lt;&gt;"")*($M$3:$M$2002&lt;&gt;"")*($L$3:$L$2002&lt;$M616)*($M$3:$M$2002&gt;$L616))&gt;1,"중복","-"))</f>
        <v/>
      </c>
    </row>
    <row r="617" customFormat="false" ht="15" hidden="false" customHeight="true" outlineLevel="0" collapsed="false">
      <c r="A617" s="11"/>
      <c r="B617" s="7"/>
      <c r="C617" s="12" t="str">
        <f aca="false">IF($B617="","",IFERROR(INDEX(자원목록!$B$3:$B$102,MATCH($B617,자원목록!$A$3:$A$102,0)),"미등록자원"))</f>
        <v/>
      </c>
      <c r="D617" s="7"/>
      <c r="E617" s="12" t="str">
        <f aca="false">IF($D617="","",IFERROR(INDEX(고객목록!$B$3:$B$502,MATCH($D617,고객목록!$A$3:$A$502,0)),""))</f>
        <v/>
      </c>
      <c r="F617" s="13"/>
      <c r="G617" s="13"/>
      <c r="H617" s="14" t="str">
        <f aca="false">IF(OR($L617="",$M617=""),"",ROUND(($M617-$L617)/60,2))</f>
        <v/>
      </c>
      <c r="I617" s="9"/>
      <c r="J617" s="7"/>
      <c r="K617" s="7"/>
      <c r="L617" s="15" t="str">
        <f aca="false">IF($F617="","",IF($F617&lt;1,ROUND($F617*1440,0),INT($F617/100)*60+MOD($F617,100)))</f>
        <v/>
      </c>
      <c r="M617" s="15" t="str">
        <f aca="false">IF($G617="","",IF($G617&lt;1,ROUND($G617*1440,0),INT($G617/100)*60+MOD($G617,100)))</f>
        <v/>
      </c>
      <c r="N617" s="15" t="str">
        <f aca="false">IF(OR($A617="",$B617="",$L617="",$M617="",$J617="취소"),"",IF(SUMPRODUCT(($A$3:$A$2002=$A617)*($B$3:$B$2002=$B617)*($J$3:$J$2002&lt;&gt;"취소")*($L$3:$L$2002&lt;&gt;"")*($M$3:$M$2002&lt;&gt;"")*($L$3:$L$2002&lt;$M617)*($M$3:$M$2002&gt;$L617))&gt;1,"중복","-"))</f>
        <v/>
      </c>
    </row>
    <row r="618" customFormat="false" ht="15" hidden="false" customHeight="true" outlineLevel="0" collapsed="false">
      <c r="A618" s="11"/>
      <c r="B618" s="7"/>
      <c r="C618" s="12" t="str">
        <f aca="false">IF($B618="","",IFERROR(INDEX(자원목록!$B$3:$B$102,MATCH($B618,자원목록!$A$3:$A$102,0)),"미등록자원"))</f>
        <v/>
      </c>
      <c r="D618" s="7"/>
      <c r="E618" s="12" t="str">
        <f aca="false">IF($D618="","",IFERROR(INDEX(고객목록!$B$3:$B$502,MATCH($D618,고객목록!$A$3:$A$502,0)),""))</f>
        <v/>
      </c>
      <c r="F618" s="13"/>
      <c r="G618" s="13"/>
      <c r="H618" s="14" t="str">
        <f aca="false">IF(OR($L618="",$M618=""),"",ROUND(($M618-$L618)/60,2))</f>
        <v/>
      </c>
      <c r="I618" s="9"/>
      <c r="J618" s="7"/>
      <c r="K618" s="7"/>
      <c r="L618" s="15" t="str">
        <f aca="false">IF($F618="","",IF($F618&lt;1,ROUND($F618*1440,0),INT($F618/100)*60+MOD($F618,100)))</f>
        <v/>
      </c>
      <c r="M618" s="15" t="str">
        <f aca="false">IF($G618="","",IF($G618&lt;1,ROUND($G618*1440,0),INT($G618/100)*60+MOD($G618,100)))</f>
        <v/>
      </c>
      <c r="N618" s="15" t="str">
        <f aca="false">IF(OR($A618="",$B618="",$L618="",$M618="",$J618="취소"),"",IF(SUMPRODUCT(($A$3:$A$2002=$A618)*($B$3:$B$2002=$B618)*($J$3:$J$2002&lt;&gt;"취소")*($L$3:$L$2002&lt;&gt;"")*($M$3:$M$2002&lt;&gt;"")*($L$3:$L$2002&lt;$M618)*($M$3:$M$2002&gt;$L618))&gt;1,"중복","-"))</f>
        <v/>
      </c>
    </row>
    <row r="619" customFormat="false" ht="15" hidden="false" customHeight="true" outlineLevel="0" collapsed="false">
      <c r="A619" s="11"/>
      <c r="B619" s="7"/>
      <c r="C619" s="12" t="str">
        <f aca="false">IF($B619="","",IFERROR(INDEX(자원목록!$B$3:$B$102,MATCH($B619,자원목록!$A$3:$A$102,0)),"미등록자원"))</f>
        <v/>
      </c>
      <c r="D619" s="7"/>
      <c r="E619" s="12" t="str">
        <f aca="false">IF($D619="","",IFERROR(INDEX(고객목록!$B$3:$B$502,MATCH($D619,고객목록!$A$3:$A$502,0)),""))</f>
        <v/>
      </c>
      <c r="F619" s="13"/>
      <c r="G619" s="13"/>
      <c r="H619" s="14" t="str">
        <f aca="false">IF(OR($L619="",$M619=""),"",ROUND(($M619-$L619)/60,2))</f>
        <v/>
      </c>
      <c r="I619" s="9"/>
      <c r="J619" s="7"/>
      <c r="K619" s="7"/>
      <c r="L619" s="15" t="str">
        <f aca="false">IF($F619="","",IF($F619&lt;1,ROUND($F619*1440,0),INT($F619/100)*60+MOD($F619,100)))</f>
        <v/>
      </c>
      <c r="M619" s="15" t="str">
        <f aca="false">IF($G619="","",IF($G619&lt;1,ROUND($G619*1440,0),INT($G619/100)*60+MOD($G619,100)))</f>
        <v/>
      </c>
      <c r="N619" s="15" t="str">
        <f aca="false">IF(OR($A619="",$B619="",$L619="",$M619="",$J619="취소"),"",IF(SUMPRODUCT(($A$3:$A$2002=$A619)*($B$3:$B$2002=$B619)*($J$3:$J$2002&lt;&gt;"취소")*($L$3:$L$2002&lt;&gt;"")*($M$3:$M$2002&lt;&gt;"")*($L$3:$L$2002&lt;$M619)*($M$3:$M$2002&gt;$L619))&gt;1,"중복","-"))</f>
        <v/>
      </c>
    </row>
    <row r="620" customFormat="false" ht="15" hidden="false" customHeight="true" outlineLevel="0" collapsed="false">
      <c r="A620" s="11"/>
      <c r="B620" s="7"/>
      <c r="C620" s="12" t="str">
        <f aca="false">IF($B620="","",IFERROR(INDEX(자원목록!$B$3:$B$102,MATCH($B620,자원목록!$A$3:$A$102,0)),"미등록자원"))</f>
        <v/>
      </c>
      <c r="D620" s="7"/>
      <c r="E620" s="12" t="str">
        <f aca="false">IF($D620="","",IFERROR(INDEX(고객목록!$B$3:$B$502,MATCH($D620,고객목록!$A$3:$A$502,0)),""))</f>
        <v/>
      </c>
      <c r="F620" s="13"/>
      <c r="G620" s="13"/>
      <c r="H620" s="14" t="str">
        <f aca="false">IF(OR($L620="",$M620=""),"",ROUND(($M620-$L620)/60,2))</f>
        <v/>
      </c>
      <c r="I620" s="9"/>
      <c r="J620" s="7"/>
      <c r="K620" s="7"/>
      <c r="L620" s="15" t="str">
        <f aca="false">IF($F620="","",IF($F620&lt;1,ROUND($F620*1440,0),INT($F620/100)*60+MOD($F620,100)))</f>
        <v/>
      </c>
      <c r="M620" s="15" t="str">
        <f aca="false">IF($G620="","",IF($G620&lt;1,ROUND($G620*1440,0),INT($G620/100)*60+MOD($G620,100)))</f>
        <v/>
      </c>
      <c r="N620" s="15" t="str">
        <f aca="false">IF(OR($A620="",$B620="",$L620="",$M620="",$J620="취소"),"",IF(SUMPRODUCT(($A$3:$A$2002=$A620)*($B$3:$B$2002=$B620)*($J$3:$J$2002&lt;&gt;"취소")*($L$3:$L$2002&lt;&gt;"")*($M$3:$M$2002&lt;&gt;"")*($L$3:$L$2002&lt;$M620)*($M$3:$M$2002&gt;$L620))&gt;1,"중복","-"))</f>
        <v/>
      </c>
    </row>
    <row r="621" customFormat="false" ht="15" hidden="false" customHeight="true" outlineLevel="0" collapsed="false">
      <c r="A621" s="11"/>
      <c r="B621" s="7"/>
      <c r="C621" s="12" t="str">
        <f aca="false">IF($B621="","",IFERROR(INDEX(자원목록!$B$3:$B$102,MATCH($B621,자원목록!$A$3:$A$102,0)),"미등록자원"))</f>
        <v/>
      </c>
      <c r="D621" s="7"/>
      <c r="E621" s="12" t="str">
        <f aca="false">IF($D621="","",IFERROR(INDEX(고객목록!$B$3:$B$502,MATCH($D621,고객목록!$A$3:$A$502,0)),""))</f>
        <v/>
      </c>
      <c r="F621" s="13"/>
      <c r="G621" s="13"/>
      <c r="H621" s="14" t="str">
        <f aca="false">IF(OR($L621="",$M621=""),"",ROUND(($M621-$L621)/60,2))</f>
        <v/>
      </c>
      <c r="I621" s="9"/>
      <c r="J621" s="7"/>
      <c r="K621" s="7"/>
      <c r="L621" s="15" t="str">
        <f aca="false">IF($F621="","",IF($F621&lt;1,ROUND($F621*1440,0),INT($F621/100)*60+MOD($F621,100)))</f>
        <v/>
      </c>
      <c r="M621" s="15" t="str">
        <f aca="false">IF($G621="","",IF($G621&lt;1,ROUND($G621*1440,0),INT($G621/100)*60+MOD($G621,100)))</f>
        <v/>
      </c>
      <c r="N621" s="15" t="str">
        <f aca="false">IF(OR($A621="",$B621="",$L621="",$M621="",$J621="취소"),"",IF(SUMPRODUCT(($A$3:$A$2002=$A621)*($B$3:$B$2002=$B621)*($J$3:$J$2002&lt;&gt;"취소")*($L$3:$L$2002&lt;&gt;"")*($M$3:$M$2002&lt;&gt;"")*($L$3:$L$2002&lt;$M621)*($M$3:$M$2002&gt;$L621))&gt;1,"중복","-"))</f>
        <v/>
      </c>
    </row>
    <row r="622" customFormat="false" ht="15" hidden="false" customHeight="true" outlineLevel="0" collapsed="false">
      <c r="A622" s="11"/>
      <c r="B622" s="7"/>
      <c r="C622" s="12" t="str">
        <f aca="false">IF($B622="","",IFERROR(INDEX(자원목록!$B$3:$B$102,MATCH($B622,자원목록!$A$3:$A$102,0)),"미등록자원"))</f>
        <v/>
      </c>
      <c r="D622" s="7"/>
      <c r="E622" s="12" t="str">
        <f aca="false">IF($D622="","",IFERROR(INDEX(고객목록!$B$3:$B$502,MATCH($D622,고객목록!$A$3:$A$502,0)),""))</f>
        <v/>
      </c>
      <c r="F622" s="13"/>
      <c r="G622" s="13"/>
      <c r="H622" s="14" t="str">
        <f aca="false">IF(OR($L622="",$M622=""),"",ROUND(($M622-$L622)/60,2))</f>
        <v/>
      </c>
      <c r="I622" s="9"/>
      <c r="J622" s="7"/>
      <c r="K622" s="7"/>
      <c r="L622" s="15" t="str">
        <f aca="false">IF($F622="","",IF($F622&lt;1,ROUND($F622*1440,0),INT($F622/100)*60+MOD($F622,100)))</f>
        <v/>
      </c>
      <c r="M622" s="15" t="str">
        <f aca="false">IF($G622="","",IF($G622&lt;1,ROUND($G622*1440,0),INT($G622/100)*60+MOD($G622,100)))</f>
        <v/>
      </c>
      <c r="N622" s="15" t="str">
        <f aca="false">IF(OR($A622="",$B622="",$L622="",$M622="",$J622="취소"),"",IF(SUMPRODUCT(($A$3:$A$2002=$A622)*($B$3:$B$2002=$B622)*($J$3:$J$2002&lt;&gt;"취소")*($L$3:$L$2002&lt;&gt;"")*($M$3:$M$2002&lt;&gt;"")*($L$3:$L$2002&lt;$M622)*($M$3:$M$2002&gt;$L622))&gt;1,"중복","-"))</f>
        <v/>
      </c>
    </row>
    <row r="623" customFormat="false" ht="15" hidden="false" customHeight="true" outlineLevel="0" collapsed="false">
      <c r="A623" s="11"/>
      <c r="B623" s="7"/>
      <c r="C623" s="12" t="str">
        <f aca="false">IF($B623="","",IFERROR(INDEX(자원목록!$B$3:$B$102,MATCH($B623,자원목록!$A$3:$A$102,0)),"미등록자원"))</f>
        <v/>
      </c>
      <c r="D623" s="7"/>
      <c r="E623" s="12" t="str">
        <f aca="false">IF($D623="","",IFERROR(INDEX(고객목록!$B$3:$B$502,MATCH($D623,고객목록!$A$3:$A$502,0)),""))</f>
        <v/>
      </c>
      <c r="F623" s="13"/>
      <c r="G623" s="13"/>
      <c r="H623" s="14" t="str">
        <f aca="false">IF(OR($L623="",$M623=""),"",ROUND(($M623-$L623)/60,2))</f>
        <v/>
      </c>
      <c r="I623" s="9"/>
      <c r="J623" s="7"/>
      <c r="K623" s="7"/>
      <c r="L623" s="15" t="str">
        <f aca="false">IF($F623="","",IF($F623&lt;1,ROUND($F623*1440,0),INT($F623/100)*60+MOD($F623,100)))</f>
        <v/>
      </c>
      <c r="M623" s="15" t="str">
        <f aca="false">IF($G623="","",IF($G623&lt;1,ROUND($G623*1440,0),INT($G623/100)*60+MOD($G623,100)))</f>
        <v/>
      </c>
      <c r="N623" s="15" t="str">
        <f aca="false">IF(OR($A623="",$B623="",$L623="",$M623="",$J623="취소"),"",IF(SUMPRODUCT(($A$3:$A$2002=$A623)*($B$3:$B$2002=$B623)*($J$3:$J$2002&lt;&gt;"취소")*($L$3:$L$2002&lt;&gt;"")*($M$3:$M$2002&lt;&gt;"")*($L$3:$L$2002&lt;$M623)*($M$3:$M$2002&gt;$L623))&gt;1,"중복","-"))</f>
        <v/>
      </c>
    </row>
    <row r="624" customFormat="false" ht="15" hidden="false" customHeight="true" outlineLevel="0" collapsed="false">
      <c r="A624" s="11"/>
      <c r="B624" s="7"/>
      <c r="C624" s="12" t="str">
        <f aca="false">IF($B624="","",IFERROR(INDEX(자원목록!$B$3:$B$102,MATCH($B624,자원목록!$A$3:$A$102,0)),"미등록자원"))</f>
        <v/>
      </c>
      <c r="D624" s="7"/>
      <c r="E624" s="12" t="str">
        <f aca="false">IF($D624="","",IFERROR(INDEX(고객목록!$B$3:$B$502,MATCH($D624,고객목록!$A$3:$A$502,0)),""))</f>
        <v/>
      </c>
      <c r="F624" s="13"/>
      <c r="G624" s="13"/>
      <c r="H624" s="14" t="str">
        <f aca="false">IF(OR($L624="",$M624=""),"",ROUND(($M624-$L624)/60,2))</f>
        <v/>
      </c>
      <c r="I624" s="9"/>
      <c r="J624" s="7"/>
      <c r="K624" s="7"/>
      <c r="L624" s="15" t="str">
        <f aca="false">IF($F624="","",IF($F624&lt;1,ROUND($F624*1440,0),INT($F624/100)*60+MOD($F624,100)))</f>
        <v/>
      </c>
      <c r="M624" s="15" t="str">
        <f aca="false">IF($G624="","",IF($G624&lt;1,ROUND($G624*1440,0),INT($G624/100)*60+MOD($G624,100)))</f>
        <v/>
      </c>
      <c r="N624" s="15" t="str">
        <f aca="false">IF(OR($A624="",$B624="",$L624="",$M624="",$J624="취소"),"",IF(SUMPRODUCT(($A$3:$A$2002=$A624)*($B$3:$B$2002=$B624)*($J$3:$J$2002&lt;&gt;"취소")*($L$3:$L$2002&lt;&gt;"")*($M$3:$M$2002&lt;&gt;"")*($L$3:$L$2002&lt;$M624)*($M$3:$M$2002&gt;$L624))&gt;1,"중복","-"))</f>
        <v/>
      </c>
    </row>
    <row r="625" customFormat="false" ht="15" hidden="false" customHeight="true" outlineLevel="0" collapsed="false">
      <c r="A625" s="11"/>
      <c r="B625" s="7"/>
      <c r="C625" s="12" t="str">
        <f aca="false">IF($B625="","",IFERROR(INDEX(자원목록!$B$3:$B$102,MATCH($B625,자원목록!$A$3:$A$102,0)),"미등록자원"))</f>
        <v/>
      </c>
      <c r="D625" s="7"/>
      <c r="E625" s="12" t="str">
        <f aca="false">IF($D625="","",IFERROR(INDEX(고객목록!$B$3:$B$502,MATCH($D625,고객목록!$A$3:$A$502,0)),""))</f>
        <v/>
      </c>
      <c r="F625" s="13"/>
      <c r="G625" s="13"/>
      <c r="H625" s="14" t="str">
        <f aca="false">IF(OR($L625="",$M625=""),"",ROUND(($M625-$L625)/60,2))</f>
        <v/>
      </c>
      <c r="I625" s="9"/>
      <c r="J625" s="7"/>
      <c r="K625" s="7"/>
      <c r="L625" s="15" t="str">
        <f aca="false">IF($F625="","",IF($F625&lt;1,ROUND($F625*1440,0),INT($F625/100)*60+MOD($F625,100)))</f>
        <v/>
      </c>
      <c r="M625" s="15" t="str">
        <f aca="false">IF($G625="","",IF($G625&lt;1,ROUND($G625*1440,0),INT($G625/100)*60+MOD($G625,100)))</f>
        <v/>
      </c>
      <c r="N625" s="15" t="str">
        <f aca="false">IF(OR($A625="",$B625="",$L625="",$M625="",$J625="취소"),"",IF(SUMPRODUCT(($A$3:$A$2002=$A625)*($B$3:$B$2002=$B625)*($J$3:$J$2002&lt;&gt;"취소")*($L$3:$L$2002&lt;&gt;"")*($M$3:$M$2002&lt;&gt;"")*($L$3:$L$2002&lt;$M625)*($M$3:$M$2002&gt;$L625))&gt;1,"중복","-"))</f>
        <v/>
      </c>
    </row>
    <row r="626" customFormat="false" ht="15" hidden="false" customHeight="true" outlineLevel="0" collapsed="false">
      <c r="A626" s="11"/>
      <c r="B626" s="7"/>
      <c r="C626" s="12" t="str">
        <f aca="false">IF($B626="","",IFERROR(INDEX(자원목록!$B$3:$B$102,MATCH($B626,자원목록!$A$3:$A$102,0)),"미등록자원"))</f>
        <v/>
      </c>
      <c r="D626" s="7"/>
      <c r="E626" s="12" t="str">
        <f aca="false">IF($D626="","",IFERROR(INDEX(고객목록!$B$3:$B$502,MATCH($D626,고객목록!$A$3:$A$502,0)),""))</f>
        <v/>
      </c>
      <c r="F626" s="13"/>
      <c r="G626" s="13"/>
      <c r="H626" s="14" t="str">
        <f aca="false">IF(OR($L626="",$M626=""),"",ROUND(($M626-$L626)/60,2))</f>
        <v/>
      </c>
      <c r="I626" s="9"/>
      <c r="J626" s="7"/>
      <c r="K626" s="7"/>
      <c r="L626" s="15" t="str">
        <f aca="false">IF($F626="","",IF($F626&lt;1,ROUND($F626*1440,0),INT($F626/100)*60+MOD($F626,100)))</f>
        <v/>
      </c>
      <c r="M626" s="15" t="str">
        <f aca="false">IF($G626="","",IF($G626&lt;1,ROUND($G626*1440,0),INT($G626/100)*60+MOD($G626,100)))</f>
        <v/>
      </c>
      <c r="N626" s="15" t="str">
        <f aca="false">IF(OR($A626="",$B626="",$L626="",$M626="",$J626="취소"),"",IF(SUMPRODUCT(($A$3:$A$2002=$A626)*($B$3:$B$2002=$B626)*($J$3:$J$2002&lt;&gt;"취소")*($L$3:$L$2002&lt;&gt;"")*($M$3:$M$2002&lt;&gt;"")*($L$3:$L$2002&lt;$M626)*($M$3:$M$2002&gt;$L626))&gt;1,"중복","-"))</f>
        <v/>
      </c>
    </row>
    <row r="627" customFormat="false" ht="15" hidden="false" customHeight="true" outlineLevel="0" collapsed="false">
      <c r="A627" s="11"/>
      <c r="B627" s="7"/>
      <c r="C627" s="12" t="str">
        <f aca="false">IF($B627="","",IFERROR(INDEX(자원목록!$B$3:$B$102,MATCH($B627,자원목록!$A$3:$A$102,0)),"미등록자원"))</f>
        <v/>
      </c>
      <c r="D627" s="7"/>
      <c r="E627" s="12" t="str">
        <f aca="false">IF($D627="","",IFERROR(INDEX(고객목록!$B$3:$B$502,MATCH($D627,고객목록!$A$3:$A$502,0)),""))</f>
        <v/>
      </c>
      <c r="F627" s="13"/>
      <c r="G627" s="13"/>
      <c r="H627" s="14" t="str">
        <f aca="false">IF(OR($L627="",$M627=""),"",ROUND(($M627-$L627)/60,2))</f>
        <v/>
      </c>
      <c r="I627" s="9"/>
      <c r="J627" s="7"/>
      <c r="K627" s="7"/>
      <c r="L627" s="15" t="str">
        <f aca="false">IF($F627="","",IF($F627&lt;1,ROUND($F627*1440,0),INT($F627/100)*60+MOD($F627,100)))</f>
        <v/>
      </c>
      <c r="M627" s="15" t="str">
        <f aca="false">IF($G627="","",IF($G627&lt;1,ROUND($G627*1440,0),INT($G627/100)*60+MOD($G627,100)))</f>
        <v/>
      </c>
      <c r="N627" s="15" t="str">
        <f aca="false">IF(OR($A627="",$B627="",$L627="",$M627="",$J627="취소"),"",IF(SUMPRODUCT(($A$3:$A$2002=$A627)*($B$3:$B$2002=$B627)*($J$3:$J$2002&lt;&gt;"취소")*($L$3:$L$2002&lt;&gt;"")*($M$3:$M$2002&lt;&gt;"")*($L$3:$L$2002&lt;$M627)*($M$3:$M$2002&gt;$L627))&gt;1,"중복","-"))</f>
        <v/>
      </c>
    </row>
    <row r="628" customFormat="false" ht="15" hidden="false" customHeight="true" outlineLevel="0" collapsed="false">
      <c r="A628" s="11"/>
      <c r="B628" s="7"/>
      <c r="C628" s="12" t="str">
        <f aca="false">IF($B628="","",IFERROR(INDEX(자원목록!$B$3:$B$102,MATCH($B628,자원목록!$A$3:$A$102,0)),"미등록자원"))</f>
        <v/>
      </c>
      <c r="D628" s="7"/>
      <c r="E628" s="12" t="str">
        <f aca="false">IF($D628="","",IFERROR(INDEX(고객목록!$B$3:$B$502,MATCH($D628,고객목록!$A$3:$A$502,0)),""))</f>
        <v/>
      </c>
      <c r="F628" s="13"/>
      <c r="G628" s="13"/>
      <c r="H628" s="14" t="str">
        <f aca="false">IF(OR($L628="",$M628=""),"",ROUND(($M628-$L628)/60,2))</f>
        <v/>
      </c>
      <c r="I628" s="9"/>
      <c r="J628" s="7"/>
      <c r="K628" s="7"/>
      <c r="L628" s="15" t="str">
        <f aca="false">IF($F628="","",IF($F628&lt;1,ROUND($F628*1440,0),INT($F628/100)*60+MOD($F628,100)))</f>
        <v/>
      </c>
      <c r="M628" s="15" t="str">
        <f aca="false">IF($G628="","",IF($G628&lt;1,ROUND($G628*1440,0),INT($G628/100)*60+MOD($G628,100)))</f>
        <v/>
      </c>
      <c r="N628" s="15" t="str">
        <f aca="false">IF(OR($A628="",$B628="",$L628="",$M628="",$J628="취소"),"",IF(SUMPRODUCT(($A$3:$A$2002=$A628)*($B$3:$B$2002=$B628)*($J$3:$J$2002&lt;&gt;"취소")*($L$3:$L$2002&lt;&gt;"")*($M$3:$M$2002&lt;&gt;"")*($L$3:$L$2002&lt;$M628)*($M$3:$M$2002&gt;$L628))&gt;1,"중복","-"))</f>
        <v/>
      </c>
    </row>
    <row r="629" customFormat="false" ht="15" hidden="false" customHeight="true" outlineLevel="0" collapsed="false">
      <c r="A629" s="11"/>
      <c r="B629" s="7"/>
      <c r="C629" s="12" t="str">
        <f aca="false">IF($B629="","",IFERROR(INDEX(자원목록!$B$3:$B$102,MATCH($B629,자원목록!$A$3:$A$102,0)),"미등록자원"))</f>
        <v/>
      </c>
      <c r="D629" s="7"/>
      <c r="E629" s="12" t="str">
        <f aca="false">IF($D629="","",IFERROR(INDEX(고객목록!$B$3:$B$502,MATCH($D629,고객목록!$A$3:$A$502,0)),""))</f>
        <v/>
      </c>
      <c r="F629" s="13"/>
      <c r="G629" s="13"/>
      <c r="H629" s="14" t="str">
        <f aca="false">IF(OR($L629="",$M629=""),"",ROUND(($M629-$L629)/60,2))</f>
        <v/>
      </c>
      <c r="I629" s="9"/>
      <c r="J629" s="7"/>
      <c r="K629" s="7"/>
      <c r="L629" s="15" t="str">
        <f aca="false">IF($F629="","",IF($F629&lt;1,ROUND($F629*1440,0),INT($F629/100)*60+MOD($F629,100)))</f>
        <v/>
      </c>
      <c r="M629" s="15" t="str">
        <f aca="false">IF($G629="","",IF($G629&lt;1,ROUND($G629*1440,0),INT($G629/100)*60+MOD($G629,100)))</f>
        <v/>
      </c>
      <c r="N629" s="15" t="str">
        <f aca="false">IF(OR($A629="",$B629="",$L629="",$M629="",$J629="취소"),"",IF(SUMPRODUCT(($A$3:$A$2002=$A629)*($B$3:$B$2002=$B629)*($J$3:$J$2002&lt;&gt;"취소")*($L$3:$L$2002&lt;&gt;"")*($M$3:$M$2002&lt;&gt;"")*($L$3:$L$2002&lt;$M629)*($M$3:$M$2002&gt;$L629))&gt;1,"중복","-"))</f>
        <v/>
      </c>
    </row>
    <row r="630" customFormat="false" ht="15" hidden="false" customHeight="true" outlineLevel="0" collapsed="false">
      <c r="A630" s="11"/>
      <c r="B630" s="7"/>
      <c r="C630" s="12" t="str">
        <f aca="false">IF($B630="","",IFERROR(INDEX(자원목록!$B$3:$B$102,MATCH($B630,자원목록!$A$3:$A$102,0)),"미등록자원"))</f>
        <v/>
      </c>
      <c r="D630" s="7"/>
      <c r="E630" s="12" t="str">
        <f aca="false">IF($D630="","",IFERROR(INDEX(고객목록!$B$3:$B$502,MATCH($D630,고객목록!$A$3:$A$502,0)),""))</f>
        <v/>
      </c>
      <c r="F630" s="13"/>
      <c r="G630" s="13"/>
      <c r="H630" s="14" t="str">
        <f aca="false">IF(OR($L630="",$M630=""),"",ROUND(($M630-$L630)/60,2))</f>
        <v/>
      </c>
      <c r="I630" s="9"/>
      <c r="J630" s="7"/>
      <c r="K630" s="7"/>
      <c r="L630" s="15" t="str">
        <f aca="false">IF($F630="","",IF($F630&lt;1,ROUND($F630*1440,0),INT($F630/100)*60+MOD($F630,100)))</f>
        <v/>
      </c>
      <c r="M630" s="15" t="str">
        <f aca="false">IF($G630="","",IF($G630&lt;1,ROUND($G630*1440,0),INT($G630/100)*60+MOD($G630,100)))</f>
        <v/>
      </c>
      <c r="N630" s="15" t="str">
        <f aca="false">IF(OR($A630="",$B630="",$L630="",$M630="",$J630="취소"),"",IF(SUMPRODUCT(($A$3:$A$2002=$A630)*($B$3:$B$2002=$B630)*($J$3:$J$2002&lt;&gt;"취소")*($L$3:$L$2002&lt;&gt;"")*($M$3:$M$2002&lt;&gt;"")*($L$3:$L$2002&lt;$M630)*($M$3:$M$2002&gt;$L630))&gt;1,"중복","-"))</f>
        <v/>
      </c>
    </row>
    <row r="631" customFormat="false" ht="15" hidden="false" customHeight="true" outlineLevel="0" collapsed="false">
      <c r="A631" s="11"/>
      <c r="B631" s="7"/>
      <c r="C631" s="12" t="str">
        <f aca="false">IF($B631="","",IFERROR(INDEX(자원목록!$B$3:$B$102,MATCH($B631,자원목록!$A$3:$A$102,0)),"미등록자원"))</f>
        <v/>
      </c>
      <c r="D631" s="7"/>
      <c r="E631" s="12" t="str">
        <f aca="false">IF($D631="","",IFERROR(INDEX(고객목록!$B$3:$B$502,MATCH($D631,고객목록!$A$3:$A$502,0)),""))</f>
        <v/>
      </c>
      <c r="F631" s="13"/>
      <c r="G631" s="13"/>
      <c r="H631" s="14" t="str">
        <f aca="false">IF(OR($L631="",$M631=""),"",ROUND(($M631-$L631)/60,2))</f>
        <v/>
      </c>
      <c r="I631" s="9"/>
      <c r="J631" s="7"/>
      <c r="K631" s="7"/>
      <c r="L631" s="15" t="str">
        <f aca="false">IF($F631="","",IF($F631&lt;1,ROUND($F631*1440,0),INT($F631/100)*60+MOD($F631,100)))</f>
        <v/>
      </c>
      <c r="M631" s="15" t="str">
        <f aca="false">IF($G631="","",IF($G631&lt;1,ROUND($G631*1440,0),INT($G631/100)*60+MOD($G631,100)))</f>
        <v/>
      </c>
      <c r="N631" s="15" t="str">
        <f aca="false">IF(OR($A631="",$B631="",$L631="",$M631="",$J631="취소"),"",IF(SUMPRODUCT(($A$3:$A$2002=$A631)*($B$3:$B$2002=$B631)*($J$3:$J$2002&lt;&gt;"취소")*($L$3:$L$2002&lt;&gt;"")*($M$3:$M$2002&lt;&gt;"")*($L$3:$L$2002&lt;$M631)*($M$3:$M$2002&gt;$L631))&gt;1,"중복","-"))</f>
        <v/>
      </c>
    </row>
    <row r="632" customFormat="false" ht="15" hidden="false" customHeight="true" outlineLevel="0" collapsed="false">
      <c r="A632" s="11"/>
      <c r="B632" s="7"/>
      <c r="C632" s="12" t="str">
        <f aca="false">IF($B632="","",IFERROR(INDEX(자원목록!$B$3:$B$102,MATCH($B632,자원목록!$A$3:$A$102,0)),"미등록자원"))</f>
        <v/>
      </c>
      <c r="D632" s="7"/>
      <c r="E632" s="12" t="str">
        <f aca="false">IF($D632="","",IFERROR(INDEX(고객목록!$B$3:$B$502,MATCH($D632,고객목록!$A$3:$A$502,0)),""))</f>
        <v/>
      </c>
      <c r="F632" s="13"/>
      <c r="G632" s="13"/>
      <c r="H632" s="14" t="str">
        <f aca="false">IF(OR($L632="",$M632=""),"",ROUND(($M632-$L632)/60,2))</f>
        <v/>
      </c>
      <c r="I632" s="9"/>
      <c r="J632" s="7"/>
      <c r="K632" s="7"/>
      <c r="L632" s="15" t="str">
        <f aca="false">IF($F632="","",IF($F632&lt;1,ROUND($F632*1440,0),INT($F632/100)*60+MOD($F632,100)))</f>
        <v/>
      </c>
      <c r="M632" s="15" t="str">
        <f aca="false">IF($G632="","",IF($G632&lt;1,ROUND($G632*1440,0),INT($G632/100)*60+MOD($G632,100)))</f>
        <v/>
      </c>
      <c r="N632" s="15" t="str">
        <f aca="false">IF(OR($A632="",$B632="",$L632="",$M632="",$J632="취소"),"",IF(SUMPRODUCT(($A$3:$A$2002=$A632)*($B$3:$B$2002=$B632)*($J$3:$J$2002&lt;&gt;"취소")*($L$3:$L$2002&lt;&gt;"")*($M$3:$M$2002&lt;&gt;"")*($L$3:$L$2002&lt;$M632)*($M$3:$M$2002&gt;$L632))&gt;1,"중복","-"))</f>
        <v/>
      </c>
    </row>
    <row r="633" customFormat="false" ht="15" hidden="false" customHeight="true" outlineLevel="0" collapsed="false">
      <c r="A633" s="11"/>
      <c r="B633" s="7"/>
      <c r="C633" s="12" t="str">
        <f aca="false">IF($B633="","",IFERROR(INDEX(자원목록!$B$3:$B$102,MATCH($B633,자원목록!$A$3:$A$102,0)),"미등록자원"))</f>
        <v/>
      </c>
      <c r="D633" s="7"/>
      <c r="E633" s="12" t="str">
        <f aca="false">IF($D633="","",IFERROR(INDEX(고객목록!$B$3:$B$502,MATCH($D633,고객목록!$A$3:$A$502,0)),""))</f>
        <v/>
      </c>
      <c r="F633" s="13"/>
      <c r="G633" s="13"/>
      <c r="H633" s="14" t="str">
        <f aca="false">IF(OR($L633="",$M633=""),"",ROUND(($M633-$L633)/60,2))</f>
        <v/>
      </c>
      <c r="I633" s="9"/>
      <c r="J633" s="7"/>
      <c r="K633" s="7"/>
      <c r="L633" s="15" t="str">
        <f aca="false">IF($F633="","",IF($F633&lt;1,ROUND($F633*1440,0),INT($F633/100)*60+MOD($F633,100)))</f>
        <v/>
      </c>
      <c r="M633" s="15" t="str">
        <f aca="false">IF($G633="","",IF($G633&lt;1,ROUND($G633*1440,0),INT($G633/100)*60+MOD($G633,100)))</f>
        <v/>
      </c>
      <c r="N633" s="15" t="str">
        <f aca="false">IF(OR($A633="",$B633="",$L633="",$M633="",$J633="취소"),"",IF(SUMPRODUCT(($A$3:$A$2002=$A633)*($B$3:$B$2002=$B633)*($J$3:$J$2002&lt;&gt;"취소")*($L$3:$L$2002&lt;&gt;"")*($M$3:$M$2002&lt;&gt;"")*($L$3:$L$2002&lt;$M633)*($M$3:$M$2002&gt;$L633))&gt;1,"중복","-"))</f>
        <v/>
      </c>
    </row>
    <row r="634" customFormat="false" ht="15" hidden="false" customHeight="true" outlineLevel="0" collapsed="false">
      <c r="A634" s="11"/>
      <c r="B634" s="7"/>
      <c r="C634" s="12" t="str">
        <f aca="false">IF($B634="","",IFERROR(INDEX(자원목록!$B$3:$B$102,MATCH($B634,자원목록!$A$3:$A$102,0)),"미등록자원"))</f>
        <v/>
      </c>
      <c r="D634" s="7"/>
      <c r="E634" s="12" t="str">
        <f aca="false">IF($D634="","",IFERROR(INDEX(고객목록!$B$3:$B$502,MATCH($D634,고객목록!$A$3:$A$502,0)),""))</f>
        <v/>
      </c>
      <c r="F634" s="13"/>
      <c r="G634" s="13"/>
      <c r="H634" s="14" t="str">
        <f aca="false">IF(OR($L634="",$M634=""),"",ROUND(($M634-$L634)/60,2))</f>
        <v/>
      </c>
      <c r="I634" s="9"/>
      <c r="J634" s="7"/>
      <c r="K634" s="7"/>
      <c r="L634" s="15" t="str">
        <f aca="false">IF($F634="","",IF($F634&lt;1,ROUND($F634*1440,0),INT($F634/100)*60+MOD($F634,100)))</f>
        <v/>
      </c>
      <c r="M634" s="15" t="str">
        <f aca="false">IF($G634="","",IF($G634&lt;1,ROUND($G634*1440,0),INT($G634/100)*60+MOD($G634,100)))</f>
        <v/>
      </c>
      <c r="N634" s="15" t="str">
        <f aca="false">IF(OR($A634="",$B634="",$L634="",$M634="",$J634="취소"),"",IF(SUMPRODUCT(($A$3:$A$2002=$A634)*($B$3:$B$2002=$B634)*($J$3:$J$2002&lt;&gt;"취소")*($L$3:$L$2002&lt;&gt;"")*($M$3:$M$2002&lt;&gt;"")*($L$3:$L$2002&lt;$M634)*($M$3:$M$2002&gt;$L634))&gt;1,"중복","-"))</f>
        <v/>
      </c>
    </row>
    <row r="635" customFormat="false" ht="15" hidden="false" customHeight="true" outlineLevel="0" collapsed="false">
      <c r="A635" s="11"/>
      <c r="B635" s="7"/>
      <c r="C635" s="12" t="str">
        <f aca="false">IF($B635="","",IFERROR(INDEX(자원목록!$B$3:$B$102,MATCH($B635,자원목록!$A$3:$A$102,0)),"미등록자원"))</f>
        <v/>
      </c>
      <c r="D635" s="7"/>
      <c r="E635" s="12" t="str">
        <f aca="false">IF($D635="","",IFERROR(INDEX(고객목록!$B$3:$B$502,MATCH($D635,고객목록!$A$3:$A$502,0)),""))</f>
        <v/>
      </c>
      <c r="F635" s="13"/>
      <c r="G635" s="13"/>
      <c r="H635" s="14" t="str">
        <f aca="false">IF(OR($L635="",$M635=""),"",ROUND(($M635-$L635)/60,2))</f>
        <v/>
      </c>
      <c r="I635" s="9"/>
      <c r="J635" s="7"/>
      <c r="K635" s="7"/>
      <c r="L635" s="15" t="str">
        <f aca="false">IF($F635="","",IF($F635&lt;1,ROUND($F635*1440,0),INT($F635/100)*60+MOD($F635,100)))</f>
        <v/>
      </c>
      <c r="M635" s="15" t="str">
        <f aca="false">IF($G635="","",IF($G635&lt;1,ROUND($G635*1440,0),INT($G635/100)*60+MOD($G635,100)))</f>
        <v/>
      </c>
      <c r="N635" s="15" t="str">
        <f aca="false">IF(OR($A635="",$B635="",$L635="",$M635="",$J635="취소"),"",IF(SUMPRODUCT(($A$3:$A$2002=$A635)*($B$3:$B$2002=$B635)*($J$3:$J$2002&lt;&gt;"취소")*($L$3:$L$2002&lt;&gt;"")*($M$3:$M$2002&lt;&gt;"")*($L$3:$L$2002&lt;$M635)*($M$3:$M$2002&gt;$L635))&gt;1,"중복","-"))</f>
        <v/>
      </c>
    </row>
    <row r="636" customFormat="false" ht="15" hidden="false" customHeight="true" outlineLevel="0" collapsed="false">
      <c r="A636" s="11"/>
      <c r="B636" s="7"/>
      <c r="C636" s="12" t="str">
        <f aca="false">IF($B636="","",IFERROR(INDEX(자원목록!$B$3:$B$102,MATCH($B636,자원목록!$A$3:$A$102,0)),"미등록자원"))</f>
        <v/>
      </c>
      <c r="D636" s="7"/>
      <c r="E636" s="12" t="str">
        <f aca="false">IF($D636="","",IFERROR(INDEX(고객목록!$B$3:$B$502,MATCH($D636,고객목록!$A$3:$A$502,0)),""))</f>
        <v/>
      </c>
      <c r="F636" s="13"/>
      <c r="G636" s="13"/>
      <c r="H636" s="14" t="str">
        <f aca="false">IF(OR($L636="",$M636=""),"",ROUND(($M636-$L636)/60,2))</f>
        <v/>
      </c>
      <c r="I636" s="9"/>
      <c r="J636" s="7"/>
      <c r="K636" s="7"/>
      <c r="L636" s="15" t="str">
        <f aca="false">IF($F636="","",IF($F636&lt;1,ROUND($F636*1440,0),INT($F636/100)*60+MOD($F636,100)))</f>
        <v/>
      </c>
      <c r="M636" s="15" t="str">
        <f aca="false">IF($G636="","",IF($G636&lt;1,ROUND($G636*1440,0),INT($G636/100)*60+MOD($G636,100)))</f>
        <v/>
      </c>
      <c r="N636" s="15" t="str">
        <f aca="false">IF(OR($A636="",$B636="",$L636="",$M636="",$J636="취소"),"",IF(SUMPRODUCT(($A$3:$A$2002=$A636)*($B$3:$B$2002=$B636)*($J$3:$J$2002&lt;&gt;"취소")*($L$3:$L$2002&lt;&gt;"")*($M$3:$M$2002&lt;&gt;"")*($L$3:$L$2002&lt;$M636)*($M$3:$M$2002&gt;$L636))&gt;1,"중복","-"))</f>
        <v/>
      </c>
    </row>
    <row r="637" customFormat="false" ht="15" hidden="false" customHeight="true" outlineLevel="0" collapsed="false">
      <c r="A637" s="11"/>
      <c r="B637" s="7"/>
      <c r="C637" s="12" t="str">
        <f aca="false">IF($B637="","",IFERROR(INDEX(자원목록!$B$3:$B$102,MATCH($B637,자원목록!$A$3:$A$102,0)),"미등록자원"))</f>
        <v/>
      </c>
      <c r="D637" s="7"/>
      <c r="E637" s="12" t="str">
        <f aca="false">IF($D637="","",IFERROR(INDEX(고객목록!$B$3:$B$502,MATCH($D637,고객목록!$A$3:$A$502,0)),""))</f>
        <v/>
      </c>
      <c r="F637" s="13"/>
      <c r="G637" s="13"/>
      <c r="H637" s="14" t="str">
        <f aca="false">IF(OR($L637="",$M637=""),"",ROUND(($M637-$L637)/60,2))</f>
        <v/>
      </c>
      <c r="I637" s="9"/>
      <c r="J637" s="7"/>
      <c r="K637" s="7"/>
      <c r="L637" s="15" t="str">
        <f aca="false">IF($F637="","",IF($F637&lt;1,ROUND($F637*1440,0),INT($F637/100)*60+MOD($F637,100)))</f>
        <v/>
      </c>
      <c r="M637" s="15" t="str">
        <f aca="false">IF($G637="","",IF($G637&lt;1,ROUND($G637*1440,0),INT($G637/100)*60+MOD($G637,100)))</f>
        <v/>
      </c>
      <c r="N637" s="15" t="str">
        <f aca="false">IF(OR($A637="",$B637="",$L637="",$M637="",$J637="취소"),"",IF(SUMPRODUCT(($A$3:$A$2002=$A637)*($B$3:$B$2002=$B637)*($J$3:$J$2002&lt;&gt;"취소")*($L$3:$L$2002&lt;&gt;"")*($M$3:$M$2002&lt;&gt;"")*($L$3:$L$2002&lt;$M637)*($M$3:$M$2002&gt;$L637))&gt;1,"중복","-"))</f>
        <v/>
      </c>
    </row>
    <row r="638" customFormat="false" ht="15" hidden="false" customHeight="true" outlineLevel="0" collapsed="false">
      <c r="A638" s="11"/>
      <c r="B638" s="7"/>
      <c r="C638" s="12" t="str">
        <f aca="false">IF($B638="","",IFERROR(INDEX(자원목록!$B$3:$B$102,MATCH($B638,자원목록!$A$3:$A$102,0)),"미등록자원"))</f>
        <v/>
      </c>
      <c r="D638" s="7"/>
      <c r="E638" s="12" t="str">
        <f aca="false">IF($D638="","",IFERROR(INDEX(고객목록!$B$3:$B$502,MATCH($D638,고객목록!$A$3:$A$502,0)),""))</f>
        <v/>
      </c>
      <c r="F638" s="13"/>
      <c r="G638" s="13"/>
      <c r="H638" s="14" t="str">
        <f aca="false">IF(OR($L638="",$M638=""),"",ROUND(($M638-$L638)/60,2))</f>
        <v/>
      </c>
      <c r="I638" s="9"/>
      <c r="J638" s="7"/>
      <c r="K638" s="7"/>
      <c r="L638" s="15" t="str">
        <f aca="false">IF($F638="","",IF($F638&lt;1,ROUND($F638*1440,0),INT($F638/100)*60+MOD($F638,100)))</f>
        <v/>
      </c>
      <c r="M638" s="15" t="str">
        <f aca="false">IF($G638="","",IF($G638&lt;1,ROUND($G638*1440,0),INT($G638/100)*60+MOD($G638,100)))</f>
        <v/>
      </c>
      <c r="N638" s="15" t="str">
        <f aca="false">IF(OR($A638="",$B638="",$L638="",$M638="",$J638="취소"),"",IF(SUMPRODUCT(($A$3:$A$2002=$A638)*($B$3:$B$2002=$B638)*($J$3:$J$2002&lt;&gt;"취소")*($L$3:$L$2002&lt;&gt;"")*($M$3:$M$2002&lt;&gt;"")*($L$3:$L$2002&lt;$M638)*($M$3:$M$2002&gt;$L638))&gt;1,"중복","-"))</f>
        <v/>
      </c>
    </row>
    <row r="639" customFormat="false" ht="15" hidden="false" customHeight="true" outlineLevel="0" collapsed="false">
      <c r="A639" s="11"/>
      <c r="B639" s="7"/>
      <c r="C639" s="12" t="str">
        <f aca="false">IF($B639="","",IFERROR(INDEX(자원목록!$B$3:$B$102,MATCH($B639,자원목록!$A$3:$A$102,0)),"미등록자원"))</f>
        <v/>
      </c>
      <c r="D639" s="7"/>
      <c r="E639" s="12" t="str">
        <f aca="false">IF($D639="","",IFERROR(INDEX(고객목록!$B$3:$B$502,MATCH($D639,고객목록!$A$3:$A$502,0)),""))</f>
        <v/>
      </c>
      <c r="F639" s="13"/>
      <c r="G639" s="13"/>
      <c r="H639" s="14" t="str">
        <f aca="false">IF(OR($L639="",$M639=""),"",ROUND(($M639-$L639)/60,2))</f>
        <v/>
      </c>
      <c r="I639" s="9"/>
      <c r="J639" s="7"/>
      <c r="K639" s="7"/>
      <c r="L639" s="15" t="str">
        <f aca="false">IF($F639="","",IF($F639&lt;1,ROUND($F639*1440,0),INT($F639/100)*60+MOD($F639,100)))</f>
        <v/>
      </c>
      <c r="M639" s="15" t="str">
        <f aca="false">IF($G639="","",IF($G639&lt;1,ROUND($G639*1440,0),INT($G639/100)*60+MOD($G639,100)))</f>
        <v/>
      </c>
      <c r="N639" s="15" t="str">
        <f aca="false">IF(OR($A639="",$B639="",$L639="",$M639="",$J639="취소"),"",IF(SUMPRODUCT(($A$3:$A$2002=$A639)*($B$3:$B$2002=$B639)*($J$3:$J$2002&lt;&gt;"취소")*($L$3:$L$2002&lt;&gt;"")*($M$3:$M$2002&lt;&gt;"")*($L$3:$L$2002&lt;$M639)*($M$3:$M$2002&gt;$L639))&gt;1,"중복","-"))</f>
        <v/>
      </c>
    </row>
    <row r="640" customFormat="false" ht="15" hidden="false" customHeight="true" outlineLevel="0" collapsed="false">
      <c r="A640" s="11"/>
      <c r="B640" s="7"/>
      <c r="C640" s="12" t="str">
        <f aca="false">IF($B640="","",IFERROR(INDEX(자원목록!$B$3:$B$102,MATCH($B640,자원목록!$A$3:$A$102,0)),"미등록자원"))</f>
        <v/>
      </c>
      <c r="D640" s="7"/>
      <c r="E640" s="12" t="str">
        <f aca="false">IF($D640="","",IFERROR(INDEX(고객목록!$B$3:$B$502,MATCH($D640,고객목록!$A$3:$A$502,0)),""))</f>
        <v/>
      </c>
      <c r="F640" s="13"/>
      <c r="G640" s="13"/>
      <c r="H640" s="14" t="str">
        <f aca="false">IF(OR($L640="",$M640=""),"",ROUND(($M640-$L640)/60,2))</f>
        <v/>
      </c>
      <c r="I640" s="9"/>
      <c r="J640" s="7"/>
      <c r="K640" s="7"/>
      <c r="L640" s="15" t="str">
        <f aca="false">IF($F640="","",IF($F640&lt;1,ROUND($F640*1440,0),INT($F640/100)*60+MOD($F640,100)))</f>
        <v/>
      </c>
      <c r="M640" s="15" t="str">
        <f aca="false">IF($G640="","",IF($G640&lt;1,ROUND($G640*1440,0),INT($G640/100)*60+MOD($G640,100)))</f>
        <v/>
      </c>
      <c r="N640" s="15" t="str">
        <f aca="false">IF(OR($A640="",$B640="",$L640="",$M640="",$J640="취소"),"",IF(SUMPRODUCT(($A$3:$A$2002=$A640)*($B$3:$B$2002=$B640)*($J$3:$J$2002&lt;&gt;"취소")*($L$3:$L$2002&lt;&gt;"")*($M$3:$M$2002&lt;&gt;"")*($L$3:$L$2002&lt;$M640)*($M$3:$M$2002&gt;$L640))&gt;1,"중복","-"))</f>
        <v/>
      </c>
    </row>
    <row r="641" customFormat="false" ht="15" hidden="false" customHeight="true" outlineLevel="0" collapsed="false">
      <c r="A641" s="11"/>
      <c r="B641" s="7"/>
      <c r="C641" s="12" t="str">
        <f aca="false">IF($B641="","",IFERROR(INDEX(자원목록!$B$3:$B$102,MATCH($B641,자원목록!$A$3:$A$102,0)),"미등록자원"))</f>
        <v/>
      </c>
      <c r="D641" s="7"/>
      <c r="E641" s="12" t="str">
        <f aca="false">IF($D641="","",IFERROR(INDEX(고객목록!$B$3:$B$502,MATCH($D641,고객목록!$A$3:$A$502,0)),""))</f>
        <v/>
      </c>
      <c r="F641" s="13"/>
      <c r="G641" s="13"/>
      <c r="H641" s="14" t="str">
        <f aca="false">IF(OR($L641="",$M641=""),"",ROUND(($M641-$L641)/60,2))</f>
        <v/>
      </c>
      <c r="I641" s="9"/>
      <c r="J641" s="7"/>
      <c r="K641" s="7"/>
      <c r="L641" s="15" t="str">
        <f aca="false">IF($F641="","",IF($F641&lt;1,ROUND($F641*1440,0),INT($F641/100)*60+MOD($F641,100)))</f>
        <v/>
      </c>
      <c r="M641" s="15" t="str">
        <f aca="false">IF($G641="","",IF($G641&lt;1,ROUND($G641*1440,0),INT($G641/100)*60+MOD($G641,100)))</f>
        <v/>
      </c>
      <c r="N641" s="15" t="str">
        <f aca="false">IF(OR($A641="",$B641="",$L641="",$M641="",$J641="취소"),"",IF(SUMPRODUCT(($A$3:$A$2002=$A641)*($B$3:$B$2002=$B641)*($J$3:$J$2002&lt;&gt;"취소")*($L$3:$L$2002&lt;&gt;"")*($M$3:$M$2002&lt;&gt;"")*($L$3:$L$2002&lt;$M641)*($M$3:$M$2002&gt;$L641))&gt;1,"중복","-"))</f>
        <v/>
      </c>
    </row>
    <row r="642" customFormat="false" ht="15" hidden="false" customHeight="true" outlineLevel="0" collapsed="false">
      <c r="A642" s="11"/>
      <c r="B642" s="7"/>
      <c r="C642" s="12" t="str">
        <f aca="false">IF($B642="","",IFERROR(INDEX(자원목록!$B$3:$B$102,MATCH($B642,자원목록!$A$3:$A$102,0)),"미등록자원"))</f>
        <v/>
      </c>
      <c r="D642" s="7"/>
      <c r="E642" s="12" t="str">
        <f aca="false">IF($D642="","",IFERROR(INDEX(고객목록!$B$3:$B$502,MATCH($D642,고객목록!$A$3:$A$502,0)),""))</f>
        <v/>
      </c>
      <c r="F642" s="13"/>
      <c r="G642" s="13"/>
      <c r="H642" s="14" t="str">
        <f aca="false">IF(OR($L642="",$M642=""),"",ROUND(($M642-$L642)/60,2))</f>
        <v/>
      </c>
      <c r="I642" s="9"/>
      <c r="J642" s="7"/>
      <c r="K642" s="7"/>
      <c r="L642" s="15" t="str">
        <f aca="false">IF($F642="","",IF($F642&lt;1,ROUND($F642*1440,0),INT($F642/100)*60+MOD($F642,100)))</f>
        <v/>
      </c>
      <c r="M642" s="15" t="str">
        <f aca="false">IF($G642="","",IF($G642&lt;1,ROUND($G642*1440,0),INT($G642/100)*60+MOD($G642,100)))</f>
        <v/>
      </c>
      <c r="N642" s="15" t="str">
        <f aca="false">IF(OR($A642="",$B642="",$L642="",$M642="",$J642="취소"),"",IF(SUMPRODUCT(($A$3:$A$2002=$A642)*($B$3:$B$2002=$B642)*($J$3:$J$2002&lt;&gt;"취소")*($L$3:$L$2002&lt;&gt;"")*($M$3:$M$2002&lt;&gt;"")*($L$3:$L$2002&lt;$M642)*($M$3:$M$2002&gt;$L642))&gt;1,"중복","-"))</f>
        <v/>
      </c>
    </row>
    <row r="643" customFormat="false" ht="15" hidden="false" customHeight="true" outlineLevel="0" collapsed="false">
      <c r="A643" s="11"/>
      <c r="B643" s="7"/>
      <c r="C643" s="12" t="str">
        <f aca="false">IF($B643="","",IFERROR(INDEX(자원목록!$B$3:$B$102,MATCH($B643,자원목록!$A$3:$A$102,0)),"미등록자원"))</f>
        <v/>
      </c>
      <c r="D643" s="7"/>
      <c r="E643" s="12" t="str">
        <f aca="false">IF($D643="","",IFERROR(INDEX(고객목록!$B$3:$B$502,MATCH($D643,고객목록!$A$3:$A$502,0)),""))</f>
        <v/>
      </c>
      <c r="F643" s="13"/>
      <c r="G643" s="13"/>
      <c r="H643" s="14" t="str">
        <f aca="false">IF(OR($L643="",$M643=""),"",ROUND(($M643-$L643)/60,2))</f>
        <v/>
      </c>
      <c r="I643" s="9"/>
      <c r="J643" s="7"/>
      <c r="K643" s="7"/>
      <c r="L643" s="15" t="str">
        <f aca="false">IF($F643="","",IF($F643&lt;1,ROUND($F643*1440,0),INT($F643/100)*60+MOD($F643,100)))</f>
        <v/>
      </c>
      <c r="M643" s="15" t="str">
        <f aca="false">IF($G643="","",IF($G643&lt;1,ROUND($G643*1440,0),INT($G643/100)*60+MOD($G643,100)))</f>
        <v/>
      </c>
      <c r="N643" s="15" t="str">
        <f aca="false">IF(OR($A643="",$B643="",$L643="",$M643="",$J643="취소"),"",IF(SUMPRODUCT(($A$3:$A$2002=$A643)*($B$3:$B$2002=$B643)*($J$3:$J$2002&lt;&gt;"취소")*($L$3:$L$2002&lt;&gt;"")*($M$3:$M$2002&lt;&gt;"")*($L$3:$L$2002&lt;$M643)*($M$3:$M$2002&gt;$L643))&gt;1,"중복","-"))</f>
        <v/>
      </c>
    </row>
    <row r="644" customFormat="false" ht="15" hidden="false" customHeight="true" outlineLevel="0" collapsed="false">
      <c r="A644" s="11"/>
      <c r="B644" s="7"/>
      <c r="C644" s="12" t="str">
        <f aca="false">IF($B644="","",IFERROR(INDEX(자원목록!$B$3:$B$102,MATCH($B644,자원목록!$A$3:$A$102,0)),"미등록자원"))</f>
        <v/>
      </c>
      <c r="D644" s="7"/>
      <c r="E644" s="12" t="str">
        <f aca="false">IF($D644="","",IFERROR(INDEX(고객목록!$B$3:$B$502,MATCH($D644,고객목록!$A$3:$A$502,0)),""))</f>
        <v/>
      </c>
      <c r="F644" s="13"/>
      <c r="G644" s="13"/>
      <c r="H644" s="14" t="str">
        <f aca="false">IF(OR($L644="",$M644=""),"",ROUND(($M644-$L644)/60,2))</f>
        <v/>
      </c>
      <c r="I644" s="9"/>
      <c r="J644" s="7"/>
      <c r="K644" s="7"/>
      <c r="L644" s="15" t="str">
        <f aca="false">IF($F644="","",IF($F644&lt;1,ROUND($F644*1440,0),INT($F644/100)*60+MOD($F644,100)))</f>
        <v/>
      </c>
      <c r="M644" s="15" t="str">
        <f aca="false">IF($G644="","",IF($G644&lt;1,ROUND($G644*1440,0),INT($G644/100)*60+MOD($G644,100)))</f>
        <v/>
      </c>
      <c r="N644" s="15" t="str">
        <f aca="false">IF(OR($A644="",$B644="",$L644="",$M644="",$J644="취소"),"",IF(SUMPRODUCT(($A$3:$A$2002=$A644)*($B$3:$B$2002=$B644)*($J$3:$J$2002&lt;&gt;"취소")*($L$3:$L$2002&lt;&gt;"")*($M$3:$M$2002&lt;&gt;"")*($L$3:$L$2002&lt;$M644)*($M$3:$M$2002&gt;$L644))&gt;1,"중복","-"))</f>
        <v/>
      </c>
    </row>
    <row r="645" customFormat="false" ht="15" hidden="false" customHeight="true" outlineLevel="0" collapsed="false">
      <c r="A645" s="11"/>
      <c r="B645" s="7"/>
      <c r="C645" s="12" t="str">
        <f aca="false">IF($B645="","",IFERROR(INDEX(자원목록!$B$3:$B$102,MATCH($B645,자원목록!$A$3:$A$102,0)),"미등록자원"))</f>
        <v/>
      </c>
      <c r="D645" s="7"/>
      <c r="E645" s="12" t="str">
        <f aca="false">IF($D645="","",IFERROR(INDEX(고객목록!$B$3:$B$502,MATCH($D645,고객목록!$A$3:$A$502,0)),""))</f>
        <v/>
      </c>
      <c r="F645" s="13"/>
      <c r="G645" s="13"/>
      <c r="H645" s="14" t="str">
        <f aca="false">IF(OR($L645="",$M645=""),"",ROUND(($M645-$L645)/60,2))</f>
        <v/>
      </c>
      <c r="I645" s="9"/>
      <c r="J645" s="7"/>
      <c r="K645" s="7"/>
      <c r="L645" s="15" t="str">
        <f aca="false">IF($F645="","",IF($F645&lt;1,ROUND($F645*1440,0),INT($F645/100)*60+MOD($F645,100)))</f>
        <v/>
      </c>
      <c r="M645" s="15" t="str">
        <f aca="false">IF($G645="","",IF($G645&lt;1,ROUND($G645*1440,0),INT($G645/100)*60+MOD($G645,100)))</f>
        <v/>
      </c>
      <c r="N645" s="15" t="str">
        <f aca="false">IF(OR($A645="",$B645="",$L645="",$M645="",$J645="취소"),"",IF(SUMPRODUCT(($A$3:$A$2002=$A645)*($B$3:$B$2002=$B645)*($J$3:$J$2002&lt;&gt;"취소")*($L$3:$L$2002&lt;&gt;"")*($M$3:$M$2002&lt;&gt;"")*($L$3:$L$2002&lt;$M645)*($M$3:$M$2002&gt;$L645))&gt;1,"중복","-"))</f>
        <v/>
      </c>
    </row>
    <row r="646" customFormat="false" ht="15" hidden="false" customHeight="true" outlineLevel="0" collapsed="false">
      <c r="A646" s="11"/>
      <c r="B646" s="7"/>
      <c r="C646" s="12" t="str">
        <f aca="false">IF($B646="","",IFERROR(INDEX(자원목록!$B$3:$B$102,MATCH($B646,자원목록!$A$3:$A$102,0)),"미등록자원"))</f>
        <v/>
      </c>
      <c r="D646" s="7"/>
      <c r="E646" s="12" t="str">
        <f aca="false">IF($D646="","",IFERROR(INDEX(고객목록!$B$3:$B$502,MATCH($D646,고객목록!$A$3:$A$502,0)),""))</f>
        <v/>
      </c>
      <c r="F646" s="13"/>
      <c r="G646" s="13"/>
      <c r="H646" s="14" t="str">
        <f aca="false">IF(OR($L646="",$M646=""),"",ROUND(($M646-$L646)/60,2))</f>
        <v/>
      </c>
      <c r="I646" s="9"/>
      <c r="J646" s="7"/>
      <c r="K646" s="7"/>
      <c r="L646" s="15" t="str">
        <f aca="false">IF($F646="","",IF($F646&lt;1,ROUND($F646*1440,0),INT($F646/100)*60+MOD($F646,100)))</f>
        <v/>
      </c>
      <c r="M646" s="15" t="str">
        <f aca="false">IF($G646="","",IF($G646&lt;1,ROUND($G646*1440,0),INT($G646/100)*60+MOD($G646,100)))</f>
        <v/>
      </c>
      <c r="N646" s="15" t="str">
        <f aca="false">IF(OR($A646="",$B646="",$L646="",$M646="",$J646="취소"),"",IF(SUMPRODUCT(($A$3:$A$2002=$A646)*($B$3:$B$2002=$B646)*($J$3:$J$2002&lt;&gt;"취소")*($L$3:$L$2002&lt;&gt;"")*($M$3:$M$2002&lt;&gt;"")*($L$3:$L$2002&lt;$M646)*($M$3:$M$2002&gt;$L646))&gt;1,"중복","-"))</f>
        <v/>
      </c>
    </row>
    <row r="647" customFormat="false" ht="15" hidden="false" customHeight="true" outlineLevel="0" collapsed="false">
      <c r="A647" s="11"/>
      <c r="B647" s="7"/>
      <c r="C647" s="12" t="str">
        <f aca="false">IF($B647="","",IFERROR(INDEX(자원목록!$B$3:$B$102,MATCH($B647,자원목록!$A$3:$A$102,0)),"미등록자원"))</f>
        <v/>
      </c>
      <c r="D647" s="7"/>
      <c r="E647" s="12" t="str">
        <f aca="false">IF($D647="","",IFERROR(INDEX(고객목록!$B$3:$B$502,MATCH($D647,고객목록!$A$3:$A$502,0)),""))</f>
        <v/>
      </c>
      <c r="F647" s="13"/>
      <c r="G647" s="13"/>
      <c r="H647" s="14" t="str">
        <f aca="false">IF(OR($L647="",$M647=""),"",ROUND(($M647-$L647)/60,2))</f>
        <v/>
      </c>
      <c r="I647" s="9"/>
      <c r="J647" s="7"/>
      <c r="K647" s="7"/>
      <c r="L647" s="15" t="str">
        <f aca="false">IF($F647="","",IF($F647&lt;1,ROUND($F647*1440,0),INT($F647/100)*60+MOD($F647,100)))</f>
        <v/>
      </c>
      <c r="M647" s="15" t="str">
        <f aca="false">IF($G647="","",IF($G647&lt;1,ROUND($G647*1440,0),INT($G647/100)*60+MOD($G647,100)))</f>
        <v/>
      </c>
      <c r="N647" s="15" t="str">
        <f aca="false">IF(OR($A647="",$B647="",$L647="",$M647="",$J647="취소"),"",IF(SUMPRODUCT(($A$3:$A$2002=$A647)*($B$3:$B$2002=$B647)*($J$3:$J$2002&lt;&gt;"취소")*($L$3:$L$2002&lt;&gt;"")*($M$3:$M$2002&lt;&gt;"")*($L$3:$L$2002&lt;$M647)*($M$3:$M$2002&gt;$L647))&gt;1,"중복","-"))</f>
        <v/>
      </c>
    </row>
    <row r="648" customFormat="false" ht="15" hidden="false" customHeight="true" outlineLevel="0" collapsed="false">
      <c r="A648" s="11"/>
      <c r="B648" s="7"/>
      <c r="C648" s="12" t="str">
        <f aca="false">IF($B648="","",IFERROR(INDEX(자원목록!$B$3:$B$102,MATCH($B648,자원목록!$A$3:$A$102,0)),"미등록자원"))</f>
        <v/>
      </c>
      <c r="D648" s="7"/>
      <c r="E648" s="12" t="str">
        <f aca="false">IF($D648="","",IFERROR(INDEX(고객목록!$B$3:$B$502,MATCH($D648,고객목록!$A$3:$A$502,0)),""))</f>
        <v/>
      </c>
      <c r="F648" s="13"/>
      <c r="G648" s="13"/>
      <c r="H648" s="14" t="str">
        <f aca="false">IF(OR($L648="",$M648=""),"",ROUND(($M648-$L648)/60,2))</f>
        <v/>
      </c>
      <c r="I648" s="9"/>
      <c r="J648" s="7"/>
      <c r="K648" s="7"/>
      <c r="L648" s="15" t="str">
        <f aca="false">IF($F648="","",IF($F648&lt;1,ROUND($F648*1440,0),INT($F648/100)*60+MOD($F648,100)))</f>
        <v/>
      </c>
      <c r="M648" s="15" t="str">
        <f aca="false">IF($G648="","",IF($G648&lt;1,ROUND($G648*1440,0),INT($G648/100)*60+MOD($G648,100)))</f>
        <v/>
      </c>
      <c r="N648" s="15" t="str">
        <f aca="false">IF(OR($A648="",$B648="",$L648="",$M648="",$J648="취소"),"",IF(SUMPRODUCT(($A$3:$A$2002=$A648)*($B$3:$B$2002=$B648)*($J$3:$J$2002&lt;&gt;"취소")*($L$3:$L$2002&lt;&gt;"")*($M$3:$M$2002&lt;&gt;"")*($L$3:$L$2002&lt;$M648)*($M$3:$M$2002&gt;$L648))&gt;1,"중복","-"))</f>
        <v/>
      </c>
    </row>
    <row r="649" customFormat="false" ht="15" hidden="false" customHeight="true" outlineLevel="0" collapsed="false">
      <c r="A649" s="11"/>
      <c r="B649" s="7"/>
      <c r="C649" s="12" t="str">
        <f aca="false">IF($B649="","",IFERROR(INDEX(자원목록!$B$3:$B$102,MATCH($B649,자원목록!$A$3:$A$102,0)),"미등록자원"))</f>
        <v/>
      </c>
      <c r="D649" s="7"/>
      <c r="E649" s="12" t="str">
        <f aca="false">IF($D649="","",IFERROR(INDEX(고객목록!$B$3:$B$502,MATCH($D649,고객목록!$A$3:$A$502,0)),""))</f>
        <v/>
      </c>
      <c r="F649" s="13"/>
      <c r="G649" s="13"/>
      <c r="H649" s="14" t="str">
        <f aca="false">IF(OR($L649="",$M649=""),"",ROUND(($M649-$L649)/60,2))</f>
        <v/>
      </c>
      <c r="I649" s="9"/>
      <c r="J649" s="7"/>
      <c r="K649" s="7"/>
      <c r="L649" s="15" t="str">
        <f aca="false">IF($F649="","",IF($F649&lt;1,ROUND($F649*1440,0),INT($F649/100)*60+MOD($F649,100)))</f>
        <v/>
      </c>
      <c r="M649" s="15" t="str">
        <f aca="false">IF($G649="","",IF($G649&lt;1,ROUND($G649*1440,0),INT($G649/100)*60+MOD($G649,100)))</f>
        <v/>
      </c>
      <c r="N649" s="15" t="str">
        <f aca="false">IF(OR($A649="",$B649="",$L649="",$M649="",$J649="취소"),"",IF(SUMPRODUCT(($A$3:$A$2002=$A649)*($B$3:$B$2002=$B649)*($J$3:$J$2002&lt;&gt;"취소")*($L$3:$L$2002&lt;&gt;"")*($M$3:$M$2002&lt;&gt;"")*($L$3:$L$2002&lt;$M649)*($M$3:$M$2002&gt;$L649))&gt;1,"중복","-"))</f>
        <v/>
      </c>
    </row>
    <row r="650" customFormat="false" ht="15" hidden="false" customHeight="true" outlineLevel="0" collapsed="false">
      <c r="A650" s="11"/>
      <c r="B650" s="7"/>
      <c r="C650" s="12" t="str">
        <f aca="false">IF($B650="","",IFERROR(INDEX(자원목록!$B$3:$B$102,MATCH($B650,자원목록!$A$3:$A$102,0)),"미등록자원"))</f>
        <v/>
      </c>
      <c r="D650" s="7"/>
      <c r="E650" s="12" t="str">
        <f aca="false">IF($D650="","",IFERROR(INDEX(고객목록!$B$3:$B$502,MATCH($D650,고객목록!$A$3:$A$502,0)),""))</f>
        <v/>
      </c>
      <c r="F650" s="13"/>
      <c r="G650" s="13"/>
      <c r="H650" s="14" t="str">
        <f aca="false">IF(OR($L650="",$M650=""),"",ROUND(($M650-$L650)/60,2))</f>
        <v/>
      </c>
      <c r="I650" s="9"/>
      <c r="J650" s="7"/>
      <c r="K650" s="7"/>
      <c r="L650" s="15" t="str">
        <f aca="false">IF($F650="","",IF($F650&lt;1,ROUND($F650*1440,0),INT($F650/100)*60+MOD($F650,100)))</f>
        <v/>
      </c>
      <c r="M650" s="15" t="str">
        <f aca="false">IF($G650="","",IF($G650&lt;1,ROUND($G650*1440,0),INT($G650/100)*60+MOD($G650,100)))</f>
        <v/>
      </c>
      <c r="N650" s="15" t="str">
        <f aca="false">IF(OR($A650="",$B650="",$L650="",$M650="",$J650="취소"),"",IF(SUMPRODUCT(($A$3:$A$2002=$A650)*($B$3:$B$2002=$B650)*($J$3:$J$2002&lt;&gt;"취소")*($L$3:$L$2002&lt;&gt;"")*($M$3:$M$2002&lt;&gt;"")*($L$3:$L$2002&lt;$M650)*($M$3:$M$2002&gt;$L650))&gt;1,"중복","-"))</f>
        <v/>
      </c>
    </row>
    <row r="651" customFormat="false" ht="15" hidden="false" customHeight="true" outlineLevel="0" collapsed="false">
      <c r="A651" s="11"/>
      <c r="B651" s="7"/>
      <c r="C651" s="12" t="str">
        <f aca="false">IF($B651="","",IFERROR(INDEX(자원목록!$B$3:$B$102,MATCH($B651,자원목록!$A$3:$A$102,0)),"미등록자원"))</f>
        <v/>
      </c>
      <c r="D651" s="7"/>
      <c r="E651" s="12" t="str">
        <f aca="false">IF($D651="","",IFERROR(INDEX(고객목록!$B$3:$B$502,MATCH($D651,고객목록!$A$3:$A$502,0)),""))</f>
        <v/>
      </c>
      <c r="F651" s="13"/>
      <c r="G651" s="13"/>
      <c r="H651" s="14" t="str">
        <f aca="false">IF(OR($L651="",$M651=""),"",ROUND(($M651-$L651)/60,2))</f>
        <v/>
      </c>
      <c r="I651" s="9"/>
      <c r="J651" s="7"/>
      <c r="K651" s="7"/>
      <c r="L651" s="15" t="str">
        <f aca="false">IF($F651="","",IF($F651&lt;1,ROUND($F651*1440,0),INT($F651/100)*60+MOD($F651,100)))</f>
        <v/>
      </c>
      <c r="M651" s="15" t="str">
        <f aca="false">IF($G651="","",IF($G651&lt;1,ROUND($G651*1440,0),INT($G651/100)*60+MOD($G651,100)))</f>
        <v/>
      </c>
      <c r="N651" s="15" t="str">
        <f aca="false">IF(OR($A651="",$B651="",$L651="",$M651="",$J651="취소"),"",IF(SUMPRODUCT(($A$3:$A$2002=$A651)*($B$3:$B$2002=$B651)*($J$3:$J$2002&lt;&gt;"취소")*($L$3:$L$2002&lt;&gt;"")*($M$3:$M$2002&lt;&gt;"")*($L$3:$L$2002&lt;$M651)*($M$3:$M$2002&gt;$L651))&gt;1,"중복","-"))</f>
        <v/>
      </c>
    </row>
    <row r="652" customFormat="false" ht="15" hidden="false" customHeight="true" outlineLevel="0" collapsed="false">
      <c r="A652" s="11"/>
      <c r="B652" s="7"/>
      <c r="C652" s="12" t="str">
        <f aca="false">IF($B652="","",IFERROR(INDEX(자원목록!$B$3:$B$102,MATCH($B652,자원목록!$A$3:$A$102,0)),"미등록자원"))</f>
        <v/>
      </c>
      <c r="D652" s="7"/>
      <c r="E652" s="12" t="str">
        <f aca="false">IF($D652="","",IFERROR(INDEX(고객목록!$B$3:$B$502,MATCH($D652,고객목록!$A$3:$A$502,0)),""))</f>
        <v/>
      </c>
      <c r="F652" s="13"/>
      <c r="G652" s="13"/>
      <c r="H652" s="14" t="str">
        <f aca="false">IF(OR($L652="",$M652=""),"",ROUND(($M652-$L652)/60,2))</f>
        <v/>
      </c>
      <c r="I652" s="9"/>
      <c r="J652" s="7"/>
      <c r="K652" s="7"/>
      <c r="L652" s="15" t="str">
        <f aca="false">IF($F652="","",IF($F652&lt;1,ROUND($F652*1440,0),INT($F652/100)*60+MOD($F652,100)))</f>
        <v/>
      </c>
      <c r="M652" s="15" t="str">
        <f aca="false">IF($G652="","",IF($G652&lt;1,ROUND($G652*1440,0),INT($G652/100)*60+MOD($G652,100)))</f>
        <v/>
      </c>
      <c r="N652" s="15" t="str">
        <f aca="false">IF(OR($A652="",$B652="",$L652="",$M652="",$J652="취소"),"",IF(SUMPRODUCT(($A$3:$A$2002=$A652)*($B$3:$B$2002=$B652)*($J$3:$J$2002&lt;&gt;"취소")*($L$3:$L$2002&lt;&gt;"")*($M$3:$M$2002&lt;&gt;"")*($L$3:$L$2002&lt;$M652)*($M$3:$M$2002&gt;$L652))&gt;1,"중복","-"))</f>
        <v/>
      </c>
    </row>
    <row r="653" customFormat="false" ht="15" hidden="false" customHeight="true" outlineLevel="0" collapsed="false">
      <c r="A653" s="11"/>
      <c r="B653" s="7"/>
      <c r="C653" s="12" t="str">
        <f aca="false">IF($B653="","",IFERROR(INDEX(자원목록!$B$3:$B$102,MATCH($B653,자원목록!$A$3:$A$102,0)),"미등록자원"))</f>
        <v/>
      </c>
      <c r="D653" s="7"/>
      <c r="E653" s="12" t="str">
        <f aca="false">IF($D653="","",IFERROR(INDEX(고객목록!$B$3:$B$502,MATCH($D653,고객목록!$A$3:$A$502,0)),""))</f>
        <v/>
      </c>
      <c r="F653" s="13"/>
      <c r="G653" s="13"/>
      <c r="H653" s="14" t="str">
        <f aca="false">IF(OR($L653="",$M653=""),"",ROUND(($M653-$L653)/60,2))</f>
        <v/>
      </c>
      <c r="I653" s="9"/>
      <c r="J653" s="7"/>
      <c r="K653" s="7"/>
      <c r="L653" s="15" t="str">
        <f aca="false">IF($F653="","",IF($F653&lt;1,ROUND($F653*1440,0),INT($F653/100)*60+MOD($F653,100)))</f>
        <v/>
      </c>
      <c r="M653" s="15" t="str">
        <f aca="false">IF($G653="","",IF($G653&lt;1,ROUND($G653*1440,0),INT($G653/100)*60+MOD($G653,100)))</f>
        <v/>
      </c>
      <c r="N653" s="15" t="str">
        <f aca="false">IF(OR($A653="",$B653="",$L653="",$M653="",$J653="취소"),"",IF(SUMPRODUCT(($A$3:$A$2002=$A653)*($B$3:$B$2002=$B653)*($J$3:$J$2002&lt;&gt;"취소")*($L$3:$L$2002&lt;&gt;"")*($M$3:$M$2002&lt;&gt;"")*($L$3:$L$2002&lt;$M653)*($M$3:$M$2002&gt;$L653))&gt;1,"중복","-"))</f>
        <v/>
      </c>
    </row>
    <row r="654" customFormat="false" ht="15" hidden="false" customHeight="true" outlineLevel="0" collapsed="false">
      <c r="A654" s="11"/>
      <c r="B654" s="7"/>
      <c r="C654" s="12" t="str">
        <f aca="false">IF($B654="","",IFERROR(INDEX(자원목록!$B$3:$B$102,MATCH($B654,자원목록!$A$3:$A$102,0)),"미등록자원"))</f>
        <v/>
      </c>
      <c r="D654" s="7"/>
      <c r="E654" s="12" t="str">
        <f aca="false">IF($D654="","",IFERROR(INDEX(고객목록!$B$3:$B$502,MATCH($D654,고객목록!$A$3:$A$502,0)),""))</f>
        <v/>
      </c>
      <c r="F654" s="13"/>
      <c r="G654" s="13"/>
      <c r="H654" s="14" t="str">
        <f aca="false">IF(OR($L654="",$M654=""),"",ROUND(($M654-$L654)/60,2))</f>
        <v/>
      </c>
      <c r="I654" s="9"/>
      <c r="J654" s="7"/>
      <c r="K654" s="7"/>
      <c r="L654" s="15" t="str">
        <f aca="false">IF($F654="","",IF($F654&lt;1,ROUND($F654*1440,0),INT($F654/100)*60+MOD($F654,100)))</f>
        <v/>
      </c>
      <c r="M654" s="15" t="str">
        <f aca="false">IF($G654="","",IF($G654&lt;1,ROUND($G654*1440,0),INT($G654/100)*60+MOD($G654,100)))</f>
        <v/>
      </c>
      <c r="N654" s="15" t="str">
        <f aca="false">IF(OR($A654="",$B654="",$L654="",$M654="",$J654="취소"),"",IF(SUMPRODUCT(($A$3:$A$2002=$A654)*($B$3:$B$2002=$B654)*($J$3:$J$2002&lt;&gt;"취소")*($L$3:$L$2002&lt;&gt;"")*($M$3:$M$2002&lt;&gt;"")*($L$3:$L$2002&lt;$M654)*($M$3:$M$2002&gt;$L654))&gt;1,"중복","-"))</f>
        <v/>
      </c>
    </row>
    <row r="655" customFormat="false" ht="15" hidden="false" customHeight="true" outlineLevel="0" collapsed="false">
      <c r="A655" s="11"/>
      <c r="B655" s="7"/>
      <c r="C655" s="12" t="str">
        <f aca="false">IF($B655="","",IFERROR(INDEX(자원목록!$B$3:$B$102,MATCH($B655,자원목록!$A$3:$A$102,0)),"미등록자원"))</f>
        <v/>
      </c>
      <c r="D655" s="7"/>
      <c r="E655" s="12" t="str">
        <f aca="false">IF($D655="","",IFERROR(INDEX(고객목록!$B$3:$B$502,MATCH($D655,고객목록!$A$3:$A$502,0)),""))</f>
        <v/>
      </c>
      <c r="F655" s="13"/>
      <c r="G655" s="13"/>
      <c r="H655" s="14" t="str">
        <f aca="false">IF(OR($L655="",$M655=""),"",ROUND(($M655-$L655)/60,2))</f>
        <v/>
      </c>
      <c r="I655" s="9"/>
      <c r="J655" s="7"/>
      <c r="K655" s="7"/>
      <c r="L655" s="15" t="str">
        <f aca="false">IF($F655="","",IF($F655&lt;1,ROUND($F655*1440,0),INT($F655/100)*60+MOD($F655,100)))</f>
        <v/>
      </c>
      <c r="M655" s="15" t="str">
        <f aca="false">IF($G655="","",IF($G655&lt;1,ROUND($G655*1440,0),INT($G655/100)*60+MOD($G655,100)))</f>
        <v/>
      </c>
      <c r="N655" s="15" t="str">
        <f aca="false">IF(OR($A655="",$B655="",$L655="",$M655="",$J655="취소"),"",IF(SUMPRODUCT(($A$3:$A$2002=$A655)*($B$3:$B$2002=$B655)*($J$3:$J$2002&lt;&gt;"취소")*($L$3:$L$2002&lt;&gt;"")*($M$3:$M$2002&lt;&gt;"")*($L$3:$L$2002&lt;$M655)*($M$3:$M$2002&gt;$L655))&gt;1,"중복","-"))</f>
        <v/>
      </c>
    </row>
    <row r="656" customFormat="false" ht="15" hidden="false" customHeight="true" outlineLevel="0" collapsed="false">
      <c r="A656" s="11"/>
      <c r="B656" s="7"/>
      <c r="C656" s="12" t="str">
        <f aca="false">IF($B656="","",IFERROR(INDEX(자원목록!$B$3:$B$102,MATCH($B656,자원목록!$A$3:$A$102,0)),"미등록자원"))</f>
        <v/>
      </c>
      <c r="D656" s="7"/>
      <c r="E656" s="12" t="str">
        <f aca="false">IF($D656="","",IFERROR(INDEX(고객목록!$B$3:$B$502,MATCH($D656,고객목록!$A$3:$A$502,0)),""))</f>
        <v/>
      </c>
      <c r="F656" s="13"/>
      <c r="G656" s="13"/>
      <c r="H656" s="14" t="str">
        <f aca="false">IF(OR($L656="",$M656=""),"",ROUND(($M656-$L656)/60,2))</f>
        <v/>
      </c>
      <c r="I656" s="9"/>
      <c r="J656" s="7"/>
      <c r="K656" s="7"/>
      <c r="L656" s="15" t="str">
        <f aca="false">IF($F656="","",IF($F656&lt;1,ROUND($F656*1440,0),INT($F656/100)*60+MOD($F656,100)))</f>
        <v/>
      </c>
      <c r="M656" s="15" t="str">
        <f aca="false">IF($G656="","",IF($G656&lt;1,ROUND($G656*1440,0),INT($G656/100)*60+MOD($G656,100)))</f>
        <v/>
      </c>
      <c r="N656" s="15" t="str">
        <f aca="false">IF(OR($A656="",$B656="",$L656="",$M656="",$J656="취소"),"",IF(SUMPRODUCT(($A$3:$A$2002=$A656)*($B$3:$B$2002=$B656)*($J$3:$J$2002&lt;&gt;"취소")*($L$3:$L$2002&lt;&gt;"")*($M$3:$M$2002&lt;&gt;"")*($L$3:$L$2002&lt;$M656)*($M$3:$M$2002&gt;$L656))&gt;1,"중복","-"))</f>
        <v/>
      </c>
    </row>
    <row r="657" customFormat="false" ht="15" hidden="false" customHeight="true" outlineLevel="0" collapsed="false">
      <c r="A657" s="11"/>
      <c r="B657" s="7"/>
      <c r="C657" s="12" t="str">
        <f aca="false">IF($B657="","",IFERROR(INDEX(자원목록!$B$3:$B$102,MATCH($B657,자원목록!$A$3:$A$102,0)),"미등록자원"))</f>
        <v/>
      </c>
      <c r="D657" s="7"/>
      <c r="E657" s="12" t="str">
        <f aca="false">IF($D657="","",IFERROR(INDEX(고객목록!$B$3:$B$502,MATCH($D657,고객목록!$A$3:$A$502,0)),""))</f>
        <v/>
      </c>
      <c r="F657" s="13"/>
      <c r="G657" s="13"/>
      <c r="H657" s="14" t="str">
        <f aca="false">IF(OR($L657="",$M657=""),"",ROUND(($M657-$L657)/60,2))</f>
        <v/>
      </c>
      <c r="I657" s="9"/>
      <c r="J657" s="7"/>
      <c r="K657" s="7"/>
      <c r="L657" s="15" t="str">
        <f aca="false">IF($F657="","",IF($F657&lt;1,ROUND($F657*1440,0),INT($F657/100)*60+MOD($F657,100)))</f>
        <v/>
      </c>
      <c r="M657" s="15" t="str">
        <f aca="false">IF($G657="","",IF($G657&lt;1,ROUND($G657*1440,0),INT($G657/100)*60+MOD($G657,100)))</f>
        <v/>
      </c>
      <c r="N657" s="15" t="str">
        <f aca="false">IF(OR($A657="",$B657="",$L657="",$M657="",$J657="취소"),"",IF(SUMPRODUCT(($A$3:$A$2002=$A657)*($B$3:$B$2002=$B657)*($J$3:$J$2002&lt;&gt;"취소")*($L$3:$L$2002&lt;&gt;"")*($M$3:$M$2002&lt;&gt;"")*($L$3:$L$2002&lt;$M657)*($M$3:$M$2002&gt;$L657))&gt;1,"중복","-"))</f>
        <v/>
      </c>
    </row>
    <row r="658" customFormat="false" ht="15" hidden="false" customHeight="true" outlineLevel="0" collapsed="false">
      <c r="A658" s="11"/>
      <c r="B658" s="7"/>
      <c r="C658" s="12" t="str">
        <f aca="false">IF($B658="","",IFERROR(INDEX(자원목록!$B$3:$B$102,MATCH($B658,자원목록!$A$3:$A$102,0)),"미등록자원"))</f>
        <v/>
      </c>
      <c r="D658" s="7"/>
      <c r="E658" s="12" t="str">
        <f aca="false">IF($D658="","",IFERROR(INDEX(고객목록!$B$3:$B$502,MATCH($D658,고객목록!$A$3:$A$502,0)),""))</f>
        <v/>
      </c>
      <c r="F658" s="13"/>
      <c r="G658" s="13"/>
      <c r="H658" s="14" t="str">
        <f aca="false">IF(OR($L658="",$M658=""),"",ROUND(($M658-$L658)/60,2))</f>
        <v/>
      </c>
      <c r="I658" s="9"/>
      <c r="J658" s="7"/>
      <c r="K658" s="7"/>
      <c r="L658" s="15" t="str">
        <f aca="false">IF($F658="","",IF($F658&lt;1,ROUND($F658*1440,0),INT($F658/100)*60+MOD($F658,100)))</f>
        <v/>
      </c>
      <c r="M658" s="15" t="str">
        <f aca="false">IF($G658="","",IF($G658&lt;1,ROUND($G658*1440,0),INT($G658/100)*60+MOD($G658,100)))</f>
        <v/>
      </c>
      <c r="N658" s="15" t="str">
        <f aca="false">IF(OR($A658="",$B658="",$L658="",$M658="",$J658="취소"),"",IF(SUMPRODUCT(($A$3:$A$2002=$A658)*($B$3:$B$2002=$B658)*($J$3:$J$2002&lt;&gt;"취소")*($L$3:$L$2002&lt;&gt;"")*($M$3:$M$2002&lt;&gt;"")*($L$3:$L$2002&lt;$M658)*($M$3:$M$2002&gt;$L658))&gt;1,"중복","-"))</f>
        <v/>
      </c>
    </row>
    <row r="659" customFormat="false" ht="15" hidden="false" customHeight="true" outlineLevel="0" collapsed="false">
      <c r="A659" s="11"/>
      <c r="B659" s="7"/>
      <c r="C659" s="12" t="str">
        <f aca="false">IF($B659="","",IFERROR(INDEX(자원목록!$B$3:$B$102,MATCH($B659,자원목록!$A$3:$A$102,0)),"미등록자원"))</f>
        <v/>
      </c>
      <c r="D659" s="7"/>
      <c r="E659" s="12" t="str">
        <f aca="false">IF($D659="","",IFERROR(INDEX(고객목록!$B$3:$B$502,MATCH($D659,고객목록!$A$3:$A$502,0)),""))</f>
        <v/>
      </c>
      <c r="F659" s="13"/>
      <c r="G659" s="13"/>
      <c r="H659" s="14" t="str">
        <f aca="false">IF(OR($L659="",$M659=""),"",ROUND(($M659-$L659)/60,2))</f>
        <v/>
      </c>
      <c r="I659" s="9"/>
      <c r="J659" s="7"/>
      <c r="K659" s="7"/>
      <c r="L659" s="15" t="str">
        <f aca="false">IF($F659="","",IF($F659&lt;1,ROUND($F659*1440,0),INT($F659/100)*60+MOD($F659,100)))</f>
        <v/>
      </c>
      <c r="M659" s="15" t="str">
        <f aca="false">IF($G659="","",IF($G659&lt;1,ROUND($G659*1440,0),INT($G659/100)*60+MOD($G659,100)))</f>
        <v/>
      </c>
      <c r="N659" s="15" t="str">
        <f aca="false">IF(OR($A659="",$B659="",$L659="",$M659="",$J659="취소"),"",IF(SUMPRODUCT(($A$3:$A$2002=$A659)*($B$3:$B$2002=$B659)*($J$3:$J$2002&lt;&gt;"취소")*($L$3:$L$2002&lt;&gt;"")*($M$3:$M$2002&lt;&gt;"")*($L$3:$L$2002&lt;$M659)*($M$3:$M$2002&gt;$L659))&gt;1,"중복","-"))</f>
        <v/>
      </c>
    </row>
    <row r="660" customFormat="false" ht="15" hidden="false" customHeight="true" outlineLevel="0" collapsed="false">
      <c r="A660" s="11"/>
      <c r="B660" s="7"/>
      <c r="C660" s="12" t="str">
        <f aca="false">IF($B660="","",IFERROR(INDEX(자원목록!$B$3:$B$102,MATCH($B660,자원목록!$A$3:$A$102,0)),"미등록자원"))</f>
        <v/>
      </c>
      <c r="D660" s="7"/>
      <c r="E660" s="12" t="str">
        <f aca="false">IF($D660="","",IFERROR(INDEX(고객목록!$B$3:$B$502,MATCH($D660,고객목록!$A$3:$A$502,0)),""))</f>
        <v/>
      </c>
      <c r="F660" s="13"/>
      <c r="G660" s="13"/>
      <c r="H660" s="14" t="str">
        <f aca="false">IF(OR($L660="",$M660=""),"",ROUND(($M660-$L660)/60,2))</f>
        <v/>
      </c>
      <c r="I660" s="9"/>
      <c r="J660" s="7"/>
      <c r="K660" s="7"/>
      <c r="L660" s="15" t="str">
        <f aca="false">IF($F660="","",IF($F660&lt;1,ROUND($F660*1440,0),INT($F660/100)*60+MOD($F660,100)))</f>
        <v/>
      </c>
      <c r="M660" s="15" t="str">
        <f aca="false">IF($G660="","",IF($G660&lt;1,ROUND($G660*1440,0),INT($G660/100)*60+MOD($G660,100)))</f>
        <v/>
      </c>
      <c r="N660" s="15" t="str">
        <f aca="false">IF(OR($A660="",$B660="",$L660="",$M660="",$J660="취소"),"",IF(SUMPRODUCT(($A$3:$A$2002=$A660)*($B$3:$B$2002=$B660)*($J$3:$J$2002&lt;&gt;"취소")*($L$3:$L$2002&lt;&gt;"")*($M$3:$M$2002&lt;&gt;"")*($L$3:$L$2002&lt;$M660)*($M$3:$M$2002&gt;$L660))&gt;1,"중복","-"))</f>
        <v/>
      </c>
    </row>
    <row r="661" customFormat="false" ht="15" hidden="false" customHeight="true" outlineLevel="0" collapsed="false">
      <c r="A661" s="11"/>
      <c r="B661" s="7"/>
      <c r="C661" s="12" t="str">
        <f aca="false">IF($B661="","",IFERROR(INDEX(자원목록!$B$3:$B$102,MATCH($B661,자원목록!$A$3:$A$102,0)),"미등록자원"))</f>
        <v/>
      </c>
      <c r="D661" s="7"/>
      <c r="E661" s="12" t="str">
        <f aca="false">IF($D661="","",IFERROR(INDEX(고객목록!$B$3:$B$502,MATCH($D661,고객목록!$A$3:$A$502,0)),""))</f>
        <v/>
      </c>
      <c r="F661" s="13"/>
      <c r="G661" s="13"/>
      <c r="H661" s="14" t="str">
        <f aca="false">IF(OR($L661="",$M661=""),"",ROUND(($M661-$L661)/60,2))</f>
        <v/>
      </c>
      <c r="I661" s="9"/>
      <c r="J661" s="7"/>
      <c r="K661" s="7"/>
      <c r="L661" s="15" t="str">
        <f aca="false">IF($F661="","",IF($F661&lt;1,ROUND($F661*1440,0),INT($F661/100)*60+MOD($F661,100)))</f>
        <v/>
      </c>
      <c r="M661" s="15" t="str">
        <f aca="false">IF($G661="","",IF($G661&lt;1,ROUND($G661*1440,0),INT($G661/100)*60+MOD($G661,100)))</f>
        <v/>
      </c>
      <c r="N661" s="15" t="str">
        <f aca="false">IF(OR($A661="",$B661="",$L661="",$M661="",$J661="취소"),"",IF(SUMPRODUCT(($A$3:$A$2002=$A661)*($B$3:$B$2002=$B661)*($J$3:$J$2002&lt;&gt;"취소")*($L$3:$L$2002&lt;&gt;"")*($M$3:$M$2002&lt;&gt;"")*($L$3:$L$2002&lt;$M661)*($M$3:$M$2002&gt;$L661))&gt;1,"중복","-"))</f>
        <v/>
      </c>
    </row>
    <row r="662" customFormat="false" ht="15" hidden="false" customHeight="true" outlineLevel="0" collapsed="false">
      <c r="A662" s="11"/>
      <c r="B662" s="7"/>
      <c r="C662" s="12" t="str">
        <f aca="false">IF($B662="","",IFERROR(INDEX(자원목록!$B$3:$B$102,MATCH($B662,자원목록!$A$3:$A$102,0)),"미등록자원"))</f>
        <v/>
      </c>
      <c r="D662" s="7"/>
      <c r="E662" s="12" t="str">
        <f aca="false">IF($D662="","",IFERROR(INDEX(고객목록!$B$3:$B$502,MATCH($D662,고객목록!$A$3:$A$502,0)),""))</f>
        <v/>
      </c>
      <c r="F662" s="13"/>
      <c r="G662" s="13"/>
      <c r="H662" s="14" t="str">
        <f aca="false">IF(OR($L662="",$M662=""),"",ROUND(($M662-$L662)/60,2))</f>
        <v/>
      </c>
      <c r="I662" s="9"/>
      <c r="J662" s="7"/>
      <c r="K662" s="7"/>
      <c r="L662" s="15" t="str">
        <f aca="false">IF($F662="","",IF($F662&lt;1,ROUND($F662*1440,0),INT($F662/100)*60+MOD($F662,100)))</f>
        <v/>
      </c>
      <c r="M662" s="15" t="str">
        <f aca="false">IF($G662="","",IF($G662&lt;1,ROUND($G662*1440,0),INT($G662/100)*60+MOD($G662,100)))</f>
        <v/>
      </c>
      <c r="N662" s="15" t="str">
        <f aca="false">IF(OR($A662="",$B662="",$L662="",$M662="",$J662="취소"),"",IF(SUMPRODUCT(($A$3:$A$2002=$A662)*($B$3:$B$2002=$B662)*($J$3:$J$2002&lt;&gt;"취소")*($L$3:$L$2002&lt;&gt;"")*($M$3:$M$2002&lt;&gt;"")*($L$3:$L$2002&lt;$M662)*($M$3:$M$2002&gt;$L662))&gt;1,"중복","-"))</f>
        <v/>
      </c>
    </row>
    <row r="663" customFormat="false" ht="15" hidden="false" customHeight="true" outlineLevel="0" collapsed="false">
      <c r="A663" s="11"/>
      <c r="B663" s="7"/>
      <c r="C663" s="12" t="str">
        <f aca="false">IF($B663="","",IFERROR(INDEX(자원목록!$B$3:$B$102,MATCH($B663,자원목록!$A$3:$A$102,0)),"미등록자원"))</f>
        <v/>
      </c>
      <c r="D663" s="7"/>
      <c r="E663" s="12" t="str">
        <f aca="false">IF($D663="","",IFERROR(INDEX(고객목록!$B$3:$B$502,MATCH($D663,고객목록!$A$3:$A$502,0)),""))</f>
        <v/>
      </c>
      <c r="F663" s="13"/>
      <c r="G663" s="13"/>
      <c r="H663" s="14" t="str">
        <f aca="false">IF(OR($L663="",$M663=""),"",ROUND(($M663-$L663)/60,2))</f>
        <v/>
      </c>
      <c r="I663" s="9"/>
      <c r="J663" s="7"/>
      <c r="K663" s="7"/>
      <c r="L663" s="15" t="str">
        <f aca="false">IF($F663="","",IF($F663&lt;1,ROUND($F663*1440,0),INT($F663/100)*60+MOD($F663,100)))</f>
        <v/>
      </c>
      <c r="M663" s="15" t="str">
        <f aca="false">IF($G663="","",IF($G663&lt;1,ROUND($G663*1440,0),INT($G663/100)*60+MOD($G663,100)))</f>
        <v/>
      </c>
      <c r="N663" s="15" t="str">
        <f aca="false">IF(OR($A663="",$B663="",$L663="",$M663="",$J663="취소"),"",IF(SUMPRODUCT(($A$3:$A$2002=$A663)*($B$3:$B$2002=$B663)*($J$3:$J$2002&lt;&gt;"취소")*($L$3:$L$2002&lt;&gt;"")*($M$3:$M$2002&lt;&gt;"")*($L$3:$L$2002&lt;$M663)*($M$3:$M$2002&gt;$L663))&gt;1,"중복","-"))</f>
        <v/>
      </c>
    </row>
    <row r="664" customFormat="false" ht="15" hidden="false" customHeight="true" outlineLevel="0" collapsed="false">
      <c r="A664" s="11"/>
      <c r="B664" s="7"/>
      <c r="C664" s="12" t="str">
        <f aca="false">IF($B664="","",IFERROR(INDEX(자원목록!$B$3:$B$102,MATCH($B664,자원목록!$A$3:$A$102,0)),"미등록자원"))</f>
        <v/>
      </c>
      <c r="D664" s="7"/>
      <c r="E664" s="12" t="str">
        <f aca="false">IF($D664="","",IFERROR(INDEX(고객목록!$B$3:$B$502,MATCH($D664,고객목록!$A$3:$A$502,0)),""))</f>
        <v/>
      </c>
      <c r="F664" s="13"/>
      <c r="G664" s="13"/>
      <c r="H664" s="14" t="str">
        <f aca="false">IF(OR($L664="",$M664=""),"",ROUND(($M664-$L664)/60,2))</f>
        <v/>
      </c>
      <c r="I664" s="9"/>
      <c r="J664" s="7"/>
      <c r="K664" s="7"/>
      <c r="L664" s="15" t="str">
        <f aca="false">IF($F664="","",IF($F664&lt;1,ROUND($F664*1440,0),INT($F664/100)*60+MOD($F664,100)))</f>
        <v/>
      </c>
      <c r="M664" s="15" t="str">
        <f aca="false">IF($G664="","",IF($G664&lt;1,ROUND($G664*1440,0),INT($G664/100)*60+MOD($G664,100)))</f>
        <v/>
      </c>
      <c r="N664" s="15" t="str">
        <f aca="false">IF(OR($A664="",$B664="",$L664="",$M664="",$J664="취소"),"",IF(SUMPRODUCT(($A$3:$A$2002=$A664)*($B$3:$B$2002=$B664)*($J$3:$J$2002&lt;&gt;"취소")*($L$3:$L$2002&lt;&gt;"")*($M$3:$M$2002&lt;&gt;"")*($L$3:$L$2002&lt;$M664)*($M$3:$M$2002&gt;$L664))&gt;1,"중복","-"))</f>
        <v/>
      </c>
    </row>
    <row r="665" customFormat="false" ht="15" hidden="false" customHeight="true" outlineLevel="0" collapsed="false">
      <c r="A665" s="11"/>
      <c r="B665" s="7"/>
      <c r="C665" s="12" t="str">
        <f aca="false">IF($B665="","",IFERROR(INDEX(자원목록!$B$3:$B$102,MATCH($B665,자원목록!$A$3:$A$102,0)),"미등록자원"))</f>
        <v/>
      </c>
      <c r="D665" s="7"/>
      <c r="E665" s="12" t="str">
        <f aca="false">IF($D665="","",IFERROR(INDEX(고객목록!$B$3:$B$502,MATCH($D665,고객목록!$A$3:$A$502,0)),""))</f>
        <v/>
      </c>
      <c r="F665" s="13"/>
      <c r="G665" s="13"/>
      <c r="H665" s="14" t="str">
        <f aca="false">IF(OR($L665="",$M665=""),"",ROUND(($M665-$L665)/60,2))</f>
        <v/>
      </c>
      <c r="I665" s="9"/>
      <c r="J665" s="7"/>
      <c r="K665" s="7"/>
      <c r="L665" s="15" t="str">
        <f aca="false">IF($F665="","",IF($F665&lt;1,ROUND($F665*1440,0),INT($F665/100)*60+MOD($F665,100)))</f>
        <v/>
      </c>
      <c r="M665" s="15" t="str">
        <f aca="false">IF($G665="","",IF($G665&lt;1,ROUND($G665*1440,0),INT($G665/100)*60+MOD($G665,100)))</f>
        <v/>
      </c>
      <c r="N665" s="15" t="str">
        <f aca="false">IF(OR($A665="",$B665="",$L665="",$M665="",$J665="취소"),"",IF(SUMPRODUCT(($A$3:$A$2002=$A665)*($B$3:$B$2002=$B665)*($J$3:$J$2002&lt;&gt;"취소")*($L$3:$L$2002&lt;&gt;"")*($M$3:$M$2002&lt;&gt;"")*($L$3:$L$2002&lt;$M665)*($M$3:$M$2002&gt;$L665))&gt;1,"중복","-"))</f>
        <v/>
      </c>
    </row>
    <row r="666" customFormat="false" ht="15" hidden="false" customHeight="true" outlineLevel="0" collapsed="false">
      <c r="A666" s="11"/>
      <c r="B666" s="7"/>
      <c r="C666" s="12" t="str">
        <f aca="false">IF($B666="","",IFERROR(INDEX(자원목록!$B$3:$B$102,MATCH($B666,자원목록!$A$3:$A$102,0)),"미등록자원"))</f>
        <v/>
      </c>
      <c r="D666" s="7"/>
      <c r="E666" s="12" t="str">
        <f aca="false">IF($D666="","",IFERROR(INDEX(고객목록!$B$3:$B$502,MATCH($D666,고객목록!$A$3:$A$502,0)),""))</f>
        <v/>
      </c>
      <c r="F666" s="13"/>
      <c r="G666" s="13"/>
      <c r="H666" s="14" t="str">
        <f aca="false">IF(OR($L666="",$M666=""),"",ROUND(($M666-$L666)/60,2))</f>
        <v/>
      </c>
      <c r="I666" s="9"/>
      <c r="J666" s="7"/>
      <c r="K666" s="7"/>
      <c r="L666" s="15" t="str">
        <f aca="false">IF($F666="","",IF($F666&lt;1,ROUND($F666*1440,0),INT($F666/100)*60+MOD($F666,100)))</f>
        <v/>
      </c>
      <c r="M666" s="15" t="str">
        <f aca="false">IF($G666="","",IF($G666&lt;1,ROUND($G666*1440,0),INT($G666/100)*60+MOD($G666,100)))</f>
        <v/>
      </c>
      <c r="N666" s="15" t="str">
        <f aca="false">IF(OR($A666="",$B666="",$L666="",$M666="",$J666="취소"),"",IF(SUMPRODUCT(($A$3:$A$2002=$A666)*($B$3:$B$2002=$B666)*($J$3:$J$2002&lt;&gt;"취소")*($L$3:$L$2002&lt;&gt;"")*($M$3:$M$2002&lt;&gt;"")*($L$3:$L$2002&lt;$M666)*($M$3:$M$2002&gt;$L666))&gt;1,"중복","-"))</f>
        <v/>
      </c>
    </row>
    <row r="667" customFormat="false" ht="15" hidden="false" customHeight="true" outlineLevel="0" collapsed="false">
      <c r="A667" s="11"/>
      <c r="B667" s="7"/>
      <c r="C667" s="12" t="str">
        <f aca="false">IF($B667="","",IFERROR(INDEX(자원목록!$B$3:$B$102,MATCH($B667,자원목록!$A$3:$A$102,0)),"미등록자원"))</f>
        <v/>
      </c>
      <c r="D667" s="7"/>
      <c r="E667" s="12" t="str">
        <f aca="false">IF($D667="","",IFERROR(INDEX(고객목록!$B$3:$B$502,MATCH($D667,고객목록!$A$3:$A$502,0)),""))</f>
        <v/>
      </c>
      <c r="F667" s="13"/>
      <c r="G667" s="13"/>
      <c r="H667" s="14" t="str">
        <f aca="false">IF(OR($L667="",$M667=""),"",ROUND(($M667-$L667)/60,2))</f>
        <v/>
      </c>
      <c r="I667" s="9"/>
      <c r="J667" s="7"/>
      <c r="K667" s="7"/>
      <c r="L667" s="15" t="str">
        <f aca="false">IF($F667="","",IF($F667&lt;1,ROUND($F667*1440,0),INT($F667/100)*60+MOD($F667,100)))</f>
        <v/>
      </c>
      <c r="M667" s="15" t="str">
        <f aca="false">IF($G667="","",IF($G667&lt;1,ROUND($G667*1440,0),INT($G667/100)*60+MOD($G667,100)))</f>
        <v/>
      </c>
      <c r="N667" s="15" t="str">
        <f aca="false">IF(OR($A667="",$B667="",$L667="",$M667="",$J667="취소"),"",IF(SUMPRODUCT(($A$3:$A$2002=$A667)*($B$3:$B$2002=$B667)*($J$3:$J$2002&lt;&gt;"취소")*($L$3:$L$2002&lt;&gt;"")*($M$3:$M$2002&lt;&gt;"")*($L$3:$L$2002&lt;$M667)*($M$3:$M$2002&gt;$L667))&gt;1,"중복","-"))</f>
        <v/>
      </c>
    </row>
    <row r="668" customFormat="false" ht="15" hidden="false" customHeight="true" outlineLevel="0" collapsed="false">
      <c r="A668" s="11"/>
      <c r="B668" s="7"/>
      <c r="C668" s="12" t="str">
        <f aca="false">IF($B668="","",IFERROR(INDEX(자원목록!$B$3:$B$102,MATCH($B668,자원목록!$A$3:$A$102,0)),"미등록자원"))</f>
        <v/>
      </c>
      <c r="D668" s="7"/>
      <c r="E668" s="12" t="str">
        <f aca="false">IF($D668="","",IFERROR(INDEX(고객목록!$B$3:$B$502,MATCH($D668,고객목록!$A$3:$A$502,0)),""))</f>
        <v/>
      </c>
      <c r="F668" s="13"/>
      <c r="G668" s="13"/>
      <c r="H668" s="14" t="str">
        <f aca="false">IF(OR($L668="",$M668=""),"",ROUND(($M668-$L668)/60,2))</f>
        <v/>
      </c>
      <c r="I668" s="9"/>
      <c r="J668" s="7"/>
      <c r="K668" s="7"/>
      <c r="L668" s="15" t="str">
        <f aca="false">IF($F668="","",IF($F668&lt;1,ROUND($F668*1440,0),INT($F668/100)*60+MOD($F668,100)))</f>
        <v/>
      </c>
      <c r="M668" s="15" t="str">
        <f aca="false">IF($G668="","",IF($G668&lt;1,ROUND($G668*1440,0),INT($G668/100)*60+MOD($G668,100)))</f>
        <v/>
      </c>
      <c r="N668" s="15" t="str">
        <f aca="false">IF(OR($A668="",$B668="",$L668="",$M668="",$J668="취소"),"",IF(SUMPRODUCT(($A$3:$A$2002=$A668)*($B$3:$B$2002=$B668)*($J$3:$J$2002&lt;&gt;"취소")*($L$3:$L$2002&lt;&gt;"")*($M$3:$M$2002&lt;&gt;"")*($L$3:$L$2002&lt;$M668)*($M$3:$M$2002&gt;$L668))&gt;1,"중복","-"))</f>
        <v/>
      </c>
    </row>
    <row r="669" customFormat="false" ht="15" hidden="false" customHeight="true" outlineLevel="0" collapsed="false">
      <c r="A669" s="11"/>
      <c r="B669" s="7"/>
      <c r="C669" s="12" t="str">
        <f aca="false">IF($B669="","",IFERROR(INDEX(자원목록!$B$3:$B$102,MATCH($B669,자원목록!$A$3:$A$102,0)),"미등록자원"))</f>
        <v/>
      </c>
      <c r="D669" s="7"/>
      <c r="E669" s="12" t="str">
        <f aca="false">IF($D669="","",IFERROR(INDEX(고객목록!$B$3:$B$502,MATCH($D669,고객목록!$A$3:$A$502,0)),""))</f>
        <v/>
      </c>
      <c r="F669" s="13"/>
      <c r="G669" s="13"/>
      <c r="H669" s="14" t="str">
        <f aca="false">IF(OR($L669="",$M669=""),"",ROUND(($M669-$L669)/60,2))</f>
        <v/>
      </c>
      <c r="I669" s="9"/>
      <c r="J669" s="7"/>
      <c r="K669" s="7"/>
      <c r="L669" s="15" t="str">
        <f aca="false">IF($F669="","",IF($F669&lt;1,ROUND($F669*1440,0),INT($F669/100)*60+MOD($F669,100)))</f>
        <v/>
      </c>
      <c r="M669" s="15" t="str">
        <f aca="false">IF($G669="","",IF($G669&lt;1,ROUND($G669*1440,0),INT($G669/100)*60+MOD($G669,100)))</f>
        <v/>
      </c>
      <c r="N669" s="15" t="str">
        <f aca="false">IF(OR($A669="",$B669="",$L669="",$M669="",$J669="취소"),"",IF(SUMPRODUCT(($A$3:$A$2002=$A669)*($B$3:$B$2002=$B669)*($J$3:$J$2002&lt;&gt;"취소")*($L$3:$L$2002&lt;&gt;"")*($M$3:$M$2002&lt;&gt;"")*($L$3:$L$2002&lt;$M669)*($M$3:$M$2002&gt;$L669))&gt;1,"중복","-"))</f>
        <v/>
      </c>
    </row>
    <row r="670" customFormat="false" ht="15" hidden="false" customHeight="true" outlineLevel="0" collapsed="false">
      <c r="A670" s="11"/>
      <c r="B670" s="7"/>
      <c r="C670" s="12" t="str">
        <f aca="false">IF($B670="","",IFERROR(INDEX(자원목록!$B$3:$B$102,MATCH($B670,자원목록!$A$3:$A$102,0)),"미등록자원"))</f>
        <v/>
      </c>
      <c r="D670" s="7"/>
      <c r="E670" s="12" t="str">
        <f aca="false">IF($D670="","",IFERROR(INDEX(고객목록!$B$3:$B$502,MATCH($D670,고객목록!$A$3:$A$502,0)),""))</f>
        <v/>
      </c>
      <c r="F670" s="13"/>
      <c r="G670" s="13"/>
      <c r="H670" s="14" t="str">
        <f aca="false">IF(OR($L670="",$M670=""),"",ROUND(($M670-$L670)/60,2))</f>
        <v/>
      </c>
      <c r="I670" s="9"/>
      <c r="J670" s="7"/>
      <c r="K670" s="7"/>
      <c r="L670" s="15" t="str">
        <f aca="false">IF($F670="","",IF($F670&lt;1,ROUND($F670*1440,0),INT($F670/100)*60+MOD($F670,100)))</f>
        <v/>
      </c>
      <c r="M670" s="15" t="str">
        <f aca="false">IF($G670="","",IF($G670&lt;1,ROUND($G670*1440,0),INT($G670/100)*60+MOD($G670,100)))</f>
        <v/>
      </c>
      <c r="N670" s="15" t="str">
        <f aca="false">IF(OR($A670="",$B670="",$L670="",$M670="",$J670="취소"),"",IF(SUMPRODUCT(($A$3:$A$2002=$A670)*($B$3:$B$2002=$B670)*($J$3:$J$2002&lt;&gt;"취소")*($L$3:$L$2002&lt;&gt;"")*($M$3:$M$2002&lt;&gt;"")*($L$3:$L$2002&lt;$M670)*($M$3:$M$2002&gt;$L670))&gt;1,"중복","-"))</f>
        <v/>
      </c>
    </row>
    <row r="671" customFormat="false" ht="15" hidden="false" customHeight="true" outlineLevel="0" collapsed="false">
      <c r="A671" s="11"/>
      <c r="B671" s="7"/>
      <c r="C671" s="12" t="str">
        <f aca="false">IF($B671="","",IFERROR(INDEX(자원목록!$B$3:$B$102,MATCH($B671,자원목록!$A$3:$A$102,0)),"미등록자원"))</f>
        <v/>
      </c>
      <c r="D671" s="7"/>
      <c r="E671" s="12" t="str">
        <f aca="false">IF($D671="","",IFERROR(INDEX(고객목록!$B$3:$B$502,MATCH($D671,고객목록!$A$3:$A$502,0)),""))</f>
        <v/>
      </c>
      <c r="F671" s="13"/>
      <c r="G671" s="13"/>
      <c r="H671" s="14" t="str">
        <f aca="false">IF(OR($L671="",$M671=""),"",ROUND(($M671-$L671)/60,2))</f>
        <v/>
      </c>
      <c r="I671" s="9"/>
      <c r="J671" s="7"/>
      <c r="K671" s="7"/>
      <c r="L671" s="15" t="str">
        <f aca="false">IF($F671="","",IF($F671&lt;1,ROUND($F671*1440,0),INT($F671/100)*60+MOD($F671,100)))</f>
        <v/>
      </c>
      <c r="M671" s="15" t="str">
        <f aca="false">IF($G671="","",IF($G671&lt;1,ROUND($G671*1440,0),INT($G671/100)*60+MOD($G671,100)))</f>
        <v/>
      </c>
      <c r="N671" s="15" t="str">
        <f aca="false">IF(OR($A671="",$B671="",$L671="",$M671="",$J671="취소"),"",IF(SUMPRODUCT(($A$3:$A$2002=$A671)*($B$3:$B$2002=$B671)*($J$3:$J$2002&lt;&gt;"취소")*($L$3:$L$2002&lt;&gt;"")*($M$3:$M$2002&lt;&gt;"")*($L$3:$L$2002&lt;$M671)*($M$3:$M$2002&gt;$L671))&gt;1,"중복","-"))</f>
        <v/>
      </c>
    </row>
    <row r="672" customFormat="false" ht="15" hidden="false" customHeight="true" outlineLevel="0" collapsed="false">
      <c r="A672" s="11"/>
      <c r="B672" s="7"/>
      <c r="C672" s="12" t="str">
        <f aca="false">IF($B672="","",IFERROR(INDEX(자원목록!$B$3:$B$102,MATCH($B672,자원목록!$A$3:$A$102,0)),"미등록자원"))</f>
        <v/>
      </c>
      <c r="D672" s="7"/>
      <c r="E672" s="12" t="str">
        <f aca="false">IF($D672="","",IFERROR(INDEX(고객목록!$B$3:$B$502,MATCH($D672,고객목록!$A$3:$A$502,0)),""))</f>
        <v/>
      </c>
      <c r="F672" s="13"/>
      <c r="G672" s="13"/>
      <c r="H672" s="14" t="str">
        <f aca="false">IF(OR($L672="",$M672=""),"",ROUND(($M672-$L672)/60,2))</f>
        <v/>
      </c>
      <c r="I672" s="9"/>
      <c r="J672" s="7"/>
      <c r="K672" s="7"/>
      <c r="L672" s="15" t="str">
        <f aca="false">IF($F672="","",IF($F672&lt;1,ROUND($F672*1440,0),INT($F672/100)*60+MOD($F672,100)))</f>
        <v/>
      </c>
      <c r="M672" s="15" t="str">
        <f aca="false">IF($G672="","",IF($G672&lt;1,ROUND($G672*1440,0),INT($G672/100)*60+MOD($G672,100)))</f>
        <v/>
      </c>
      <c r="N672" s="15" t="str">
        <f aca="false">IF(OR($A672="",$B672="",$L672="",$M672="",$J672="취소"),"",IF(SUMPRODUCT(($A$3:$A$2002=$A672)*($B$3:$B$2002=$B672)*($J$3:$J$2002&lt;&gt;"취소")*($L$3:$L$2002&lt;&gt;"")*($M$3:$M$2002&lt;&gt;"")*($L$3:$L$2002&lt;$M672)*($M$3:$M$2002&gt;$L672))&gt;1,"중복","-"))</f>
        <v/>
      </c>
    </row>
    <row r="673" customFormat="false" ht="15" hidden="false" customHeight="true" outlineLevel="0" collapsed="false">
      <c r="A673" s="11"/>
      <c r="B673" s="7"/>
      <c r="C673" s="12" t="str">
        <f aca="false">IF($B673="","",IFERROR(INDEX(자원목록!$B$3:$B$102,MATCH($B673,자원목록!$A$3:$A$102,0)),"미등록자원"))</f>
        <v/>
      </c>
      <c r="D673" s="7"/>
      <c r="E673" s="12" t="str">
        <f aca="false">IF($D673="","",IFERROR(INDEX(고객목록!$B$3:$B$502,MATCH($D673,고객목록!$A$3:$A$502,0)),""))</f>
        <v/>
      </c>
      <c r="F673" s="13"/>
      <c r="G673" s="13"/>
      <c r="H673" s="14" t="str">
        <f aca="false">IF(OR($L673="",$M673=""),"",ROUND(($M673-$L673)/60,2))</f>
        <v/>
      </c>
      <c r="I673" s="9"/>
      <c r="J673" s="7"/>
      <c r="K673" s="7"/>
      <c r="L673" s="15" t="str">
        <f aca="false">IF($F673="","",IF($F673&lt;1,ROUND($F673*1440,0),INT($F673/100)*60+MOD($F673,100)))</f>
        <v/>
      </c>
      <c r="M673" s="15" t="str">
        <f aca="false">IF($G673="","",IF($G673&lt;1,ROUND($G673*1440,0),INT($G673/100)*60+MOD($G673,100)))</f>
        <v/>
      </c>
      <c r="N673" s="15" t="str">
        <f aca="false">IF(OR($A673="",$B673="",$L673="",$M673="",$J673="취소"),"",IF(SUMPRODUCT(($A$3:$A$2002=$A673)*($B$3:$B$2002=$B673)*($J$3:$J$2002&lt;&gt;"취소")*($L$3:$L$2002&lt;&gt;"")*($M$3:$M$2002&lt;&gt;"")*($L$3:$L$2002&lt;$M673)*($M$3:$M$2002&gt;$L673))&gt;1,"중복","-"))</f>
        <v/>
      </c>
    </row>
    <row r="674" customFormat="false" ht="15" hidden="false" customHeight="true" outlineLevel="0" collapsed="false">
      <c r="A674" s="11"/>
      <c r="B674" s="7"/>
      <c r="C674" s="12" t="str">
        <f aca="false">IF($B674="","",IFERROR(INDEX(자원목록!$B$3:$B$102,MATCH($B674,자원목록!$A$3:$A$102,0)),"미등록자원"))</f>
        <v/>
      </c>
      <c r="D674" s="7"/>
      <c r="E674" s="12" t="str">
        <f aca="false">IF($D674="","",IFERROR(INDEX(고객목록!$B$3:$B$502,MATCH($D674,고객목록!$A$3:$A$502,0)),""))</f>
        <v/>
      </c>
      <c r="F674" s="13"/>
      <c r="G674" s="13"/>
      <c r="H674" s="14" t="str">
        <f aca="false">IF(OR($L674="",$M674=""),"",ROUND(($M674-$L674)/60,2))</f>
        <v/>
      </c>
      <c r="I674" s="9"/>
      <c r="J674" s="7"/>
      <c r="K674" s="7"/>
      <c r="L674" s="15" t="str">
        <f aca="false">IF($F674="","",IF($F674&lt;1,ROUND($F674*1440,0),INT($F674/100)*60+MOD($F674,100)))</f>
        <v/>
      </c>
      <c r="M674" s="15" t="str">
        <f aca="false">IF($G674="","",IF($G674&lt;1,ROUND($G674*1440,0),INT($G674/100)*60+MOD($G674,100)))</f>
        <v/>
      </c>
      <c r="N674" s="15" t="str">
        <f aca="false">IF(OR($A674="",$B674="",$L674="",$M674="",$J674="취소"),"",IF(SUMPRODUCT(($A$3:$A$2002=$A674)*($B$3:$B$2002=$B674)*($J$3:$J$2002&lt;&gt;"취소")*($L$3:$L$2002&lt;&gt;"")*($M$3:$M$2002&lt;&gt;"")*($L$3:$L$2002&lt;$M674)*($M$3:$M$2002&gt;$L674))&gt;1,"중복","-"))</f>
        <v/>
      </c>
    </row>
    <row r="675" customFormat="false" ht="15" hidden="false" customHeight="true" outlineLevel="0" collapsed="false">
      <c r="A675" s="11"/>
      <c r="B675" s="7"/>
      <c r="C675" s="12" t="str">
        <f aca="false">IF($B675="","",IFERROR(INDEX(자원목록!$B$3:$B$102,MATCH($B675,자원목록!$A$3:$A$102,0)),"미등록자원"))</f>
        <v/>
      </c>
      <c r="D675" s="7"/>
      <c r="E675" s="12" t="str">
        <f aca="false">IF($D675="","",IFERROR(INDEX(고객목록!$B$3:$B$502,MATCH($D675,고객목록!$A$3:$A$502,0)),""))</f>
        <v/>
      </c>
      <c r="F675" s="13"/>
      <c r="G675" s="13"/>
      <c r="H675" s="14" t="str">
        <f aca="false">IF(OR($L675="",$M675=""),"",ROUND(($M675-$L675)/60,2))</f>
        <v/>
      </c>
      <c r="I675" s="9"/>
      <c r="J675" s="7"/>
      <c r="K675" s="7"/>
      <c r="L675" s="15" t="str">
        <f aca="false">IF($F675="","",IF($F675&lt;1,ROUND($F675*1440,0),INT($F675/100)*60+MOD($F675,100)))</f>
        <v/>
      </c>
      <c r="M675" s="15" t="str">
        <f aca="false">IF($G675="","",IF($G675&lt;1,ROUND($G675*1440,0),INT($G675/100)*60+MOD($G675,100)))</f>
        <v/>
      </c>
      <c r="N675" s="15" t="str">
        <f aca="false">IF(OR($A675="",$B675="",$L675="",$M675="",$J675="취소"),"",IF(SUMPRODUCT(($A$3:$A$2002=$A675)*($B$3:$B$2002=$B675)*($J$3:$J$2002&lt;&gt;"취소")*($L$3:$L$2002&lt;&gt;"")*($M$3:$M$2002&lt;&gt;"")*($L$3:$L$2002&lt;$M675)*($M$3:$M$2002&gt;$L675))&gt;1,"중복","-"))</f>
        <v/>
      </c>
    </row>
    <row r="676" customFormat="false" ht="15" hidden="false" customHeight="true" outlineLevel="0" collapsed="false">
      <c r="A676" s="11"/>
      <c r="B676" s="7"/>
      <c r="C676" s="12" t="str">
        <f aca="false">IF($B676="","",IFERROR(INDEX(자원목록!$B$3:$B$102,MATCH($B676,자원목록!$A$3:$A$102,0)),"미등록자원"))</f>
        <v/>
      </c>
      <c r="D676" s="7"/>
      <c r="E676" s="12" t="str">
        <f aca="false">IF($D676="","",IFERROR(INDEX(고객목록!$B$3:$B$502,MATCH($D676,고객목록!$A$3:$A$502,0)),""))</f>
        <v/>
      </c>
      <c r="F676" s="13"/>
      <c r="G676" s="13"/>
      <c r="H676" s="14" t="str">
        <f aca="false">IF(OR($L676="",$M676=""),"",ROUND(($M676-$L676)/60,2))</f>
        <v/>
      </c>
      <c r="I676" s="9"/>
      <c r="J676" s="7"/>
      <c r="K676" s="7"/>
      <c r="L676" s="15" t="str">
        <f aca="false">IF($F676="","",IF($F676&lt;1,ROUND($F676*1440,0),INT($F676/100)*60+MOD($F676,100)))</f>
        <v/>
      </c>
      <c r="M676" s="15" t="str">
        <f aca="false">IF($G676="","",IF($G676&lt;1,ROUND($G676*1440,0),INT($G676/100)*60+MOD($G676,100)))</f>
        <v/>
      </c>
      <c r="N676" s="15" t="str">
        <f aca="false">IF(OR($A676="",$B676="",$L676="",$M676="",$J676="취소"),"",IF(SUMPRODUCT(($A$3:$A$2002=$A676)*($B$3:$B$2002=$B676)*($J$3:$J$2002&lt;&gt;"취소")*($L$3:$L$2002&lt;&gt;"")*($M$3:$M$2002&lt;&gt;"")*($L$3:$L$2002&lt;$M676)*($M$3:$M$2002&gt;$L676))&gt;1,"중복","-"))</f>
        <v/>
      </c>
    </row>
    <row r="677" customFormat="false" ht="15" hidden="false" customHeight="true" outlineLevel="0" collapsed="false">
      <c r="A677" s="11"/>
      <c r="B677" s="7"/>
      <c r="C677" s="12" t="str">
        <f aca="false">IF($B677="","",IFERROR(INDEX(자원목록!$B$3:$B$102,MATCH($B677,자원목록!$A$3:$A$102,0)),"미등록자원"))</f>
        <v/>
      </c>
      <c r="D677" s="7"/>
      <c r="E677" s="12" t="str">
        <f aca="false">IF($D677="","",IFERROR(INDEX(고객목록!$B$3:$B$502,MATCH($D677,고객목록!$A$3:$A$502,0)),""))</f>
        <v/>
      </c>
      <c r="F677" s="13"/>
      <c r="G677" s="13"/>
      <c r="H677" s="14" t="str">
        <f aca="false">IF(OR($L677="",$M677=""),"",ROUND(($M677-$L677)/60,2))</f>
        <v/>
      </c>
      <c r="I677" s="9"/>
      <c r="J677" s="7"/>
      <c r="K677" s="7"/>
      <c r="L677" s="15" t="str">
        <f aca="false">IF($F677="","",IF($F677&lt;1,ROUND($F677*1440,0),INT($F677/100)*60+MOD($F677,100)))</f>
        <v/>
      </c>
      <c r="M677" s="15" t="str">
        <f aca="false">IF($G677="","",IF($G677&lt;1,ROUND($G677*1440,0),INT($G677/100)*60+MOD($G677,100)))</f>
        <v/>
      </c>
      <c r="N677" s="15" t="str">
        <f aca="false">IF(OR($A677="",$B677="",$L677="",$M677="",$J677="취소"),"",IF(SUMPRODUCT(($A$3:$A$2002=$A677)*($B$3:$B$2002=$B677)*($J$3:$J$2002&lt;&gt;"취소")*($L$3:$L$2002&lt;&gt;"")*($M$3:$M$2002&lt;&gt;"")*($L$3:$L$2002&lt;$M677)*($M$3:$M$2002&gt;$L677))&gt;1,"중복","-"))</f>
        <v/>
      </c>
    </row>
    <row r="678" customFormat="false" ht="15" hidden="false" customHeight="true" outlineLevel="0" collapsed="false">
      <c r="A678" s="11"/>
      <c r="B678" s="7"/>
      <c r="C678" s="12" t="str">
        <f aca="false">IF($B678="","",IFERROR(INDEX(자원목록!$B$3:$B$102,MATCH($B678,자원목록!$A$3:$A$102,0)),"미등록자원"))</f>
        <v/>
      </c>
      <c r="D678" s="7"/>
      <c r="E678" s="12" t="str">
        <f aca="false">IF($D678="","",IFERROR(INDEX(고객목록!$B$3:$B$502,MATCH($D678,고객목록!$A$3:$A$502,0)),""))</f>
        <v/>
      </c>
      <c r="F678" s="13"/>
      <c r="G678" s="13"/>
      <c r="H678" s="14" t="str">
        <f aca="false">IF(OR($L678="",$M678=""),"",ROUND(($M678-$L678)/60,2))</f>
        <v/>
      </c>
      <c r="I678" s="9"/>
      <c r="J678" s="7"/>
      <c r="K678" s="7"/>
      <c r="L678" s="15" t="str">
        <f aca="false">IF($F678="","",IF($F678&lt;1,ROUND($F678*1440,0),INT($F678/100)*60+MOD($F678,100)))</f>
        <v/>
      </c>
      <c r="M678" s="15" t="str">
        <f aca="false">IF($G678="","",IF($G678&lt;1,ROUND($G678*1440,0),INT($G678/100)*60+MOD($G678,100)))</f>
        <v/>
      </c>
      <c r="N678" s="15" t="str">
        <f aca="false">IF(OR($A678="",$B678="",$L678="",$M678="",$J678="취소"),"",IF(SUMPRODUCT(($A$3:$A$2002=$A678)*($B$3:$B$2002=$B678)*($J$3:$J$2002&lt;&gt;"취소")*($L$3:$L$2002&lt;&gt;"")*($M$3:$M$2002&lt;&gt;"")*($L$3:$L$2002&lt;$M678)*($M$3:$M$2002&gt;$L678))&gt;1,"중복","-"))</f>
        <v/>
      </c>
    </row>
    <row r="679" customFormat="false" ht="15" hidden="false" customHeight="true" outlineLevel="0" collapsed="false">
      <c r="A679" s="11"/>
      <c r="B679" s="7"/>
      <c r="C679" s="12" t="str">
        <f aca="false">IF($B679="","",IFERROR(INDEX(자원목록!$B$3:$B$102,MATCH($B679,자원목록!$A$3:$A$102,0)),"미등록자원"))</f>
        <v/>
      </c>
      <c r="D679" s="7"/>
      <c r="E679" s="12" t="str">
        <f aca="false">IF($D679="","",IFERROR(INDEX(고객목록!$B$3:$B$502,MATCH($D679,고객목록!$A$3:$A$502,0)),""))</f>
        <v/>
      </c>
      <c r="F679" s="13"/>
      <c r="G679" s="13"/>
      <c r="H679" s="14" t="str">
        <f aca="false">IF(OR($L679="",$M679=""),"",ROUND(($M679-$L679)/60,2))</f>
        <v/>
      </c>
      <c r="I679" s="9"/>
      <c r="J679" s="7"/>
      <c r="K679" s="7"/>
      <c r="L679" s="15" t="str">
        <f aca="false">IF($F679="","",IF($F679&lt;1,ROUND($F679*1440,0),INT($F679/100)*60+MOD($F679,100)))</f>
        <v/>
      </c>
      <c r="M679" s="15" t="str">
        <f aca="false">IF($G679="","",IF($G679&lt;1,ROUND($G679*1440,0),INT($G679/100)*60+MOD($G679,100)))</f>
        <v/>
      </c>
      <c r="N679" s="15" t="str">
        <f aca="false">IF(OR($A679="",$B679="",$L679="",$M679="",$J679="취소"),"",IF(SUMPRODUCT(($A$3:$A$2002=$A679)*($B$3:$B$2002=$B679)*($J$3:$J$2002&lt;&gt;"취소")*($L$3:$L$2002&lt;&gt;"")*($M$3:$M$2002&lt;&gt;"")*($L$3:$L$2002&lt;$M679)*($M$3:$M$2002&gt;$L679))&gt;1,"중복","-"))</f>
        <v/>
      </c>
    </row>
    <row r="680" customFormat="false" ht="15" hidden="false" customHeight="true" outlineLevel="0" collapsed="false">
      <c r="A680" s="11"/>
      <c r="B680" s="7"/>
      <c r="C680" s="12" t="str">
        <f aca="false">IF($B680="","",IFERROR(INDEX(자원목록!$B$3:$B$102,MATCH($B680,자원목록!$A$3:$A$102,0)),"미등록자원"))</f>
        <v/>
      </c>
      <c r="D680" s="7"/>
      <c r="E680" s="12" t="str">
        <f aca="false">IF($D680="","",IFERROR(INDEX(고객목록!$B$3:$B$502,MATCH($D680,고객목록!$A$3:$A$502,0)),""))</f>
        <v/>
      </c>
      <c r="F680" s="13"/>
      <c r="G680" s="13"/>
      <c r="H680" s="14" t="str">
        <f aca="false">IF(OR($L680="",$M680=""),"",ROUND(($M680-$L680)/60,2))</f>
        <v/>
      </c>
      <c r="I680" s="9"/>
      <c r="J680" s="7"/>
      <c r="K680" s="7"/>
      <c r="L680" s="15" t="str">
        <f aca="false">IF($F680="","",IF($F680&lt;1,ROUND($F680*1440,0),INT($F680/100)*60+MOD($F680,100)))</f>
        <v/>
      </c>
      <c r="M680" s="15" t="str">
        <f aca="false">IF($G680="","",IF($G680&lt;1,ROUND($G680*1440,0),INT($G680/100)*60+MOD($G680,100)))</f>
        <v/>
      </c>
      <c r="N680" s="15" t="str">
        <f aca="false">IF(OR($A680="",$B680="",$L680="",$M680="",$J680="취소"),"",IF(SUMPRODUCT(($A$3:$A$2002=$A680)*($B$3:$B$2002=$B680)*($J$3:$J$2002&lt;&gt;"취소")*($L$3:$L$2002&lt;&gt;"")*($M$3:$M$2002&lt;&gt;"")*($L$3:$L$2002&lt;$M680)*($M$3:$M$2002&gt;$L680))&gt;1,"중복","-"))</f>
        <v/>
      </c>
    </row>
    <row r="681" customFormat="false" ht="15" hidden="false" customHeight="true" outlineLevel="0" collapsed="false">
      <c r="A681" s="11"/>
      <c r="B681" s="7"/>
      <c r="C681" s="12" t="str">
        <f aca="false">IF($B681="","",IFERROR(INDEX(자원목록!$B$3:$B$102,MATCH($B681,자원목록!$A$3:$A$102,0)),"미등록자원"))</f>
        <v/>
      </c>
      <c r="D681" s="7"/>
      <c r="E681" s="12" t="str">
        <f aca="false">IF($D681="","",IFERROR(INDEX(고객목록!$B$3:$B$502,MATCH($D681,고객목록!$A$3:$A$502,0)),""))</f>
        <v/>
      </c>
      <c r="F681" s="13"/>
      <c r="G681" s="13"/>
      <c r="H681" s="14" t="str">
        <f aca="false">IF(OR($L681="",$M681=""),"",ROUND(($M681-$L681)/60,2))</f>
        <v/>
      </c>
      <c r="I681" s="9"/>
      <c r="J681" s="7"/>
      <c r="K681" s="7"/>
      <c r="L681" s="15" t="str">
        <f aca="false">IF($F681="","",IF($F681&lt;1,ROUND($F681*1440,0),INT($F681/100)*60+MOD($F681,100)))</f>
        <v/>
      </c>
      <c r="M681" s="15" t="str">
        <f aca="false">IF($G681="","",IF($G681&lt;1,ROUND($G681*1440,0),INT($G681/100)*60+MOD($G681,100)))</f>
        <v/>
      </c>
      <c r="N681" s="15" t="str">
        <f aca="false">IF(OR($A681="",$B681="",$L681="",$M681="",$J681="취소"),"",IF(SUMPRODUCT(($A$3:$A$2002=$A681)*($B$3:$B$2002=$B681)*($J$3:$J$2002&lt;&gt;"취소")*($L$3:$L$2002&lt;&gt;"")*($M$3:$M$2002&lt;&gt;"")*($L$3:$L$2002&lt;$M681)*($M$3:$M$2002&gt;$L681))&gt;1,"중복","-"))</f>
        <v/>
      </c>
    </row>
    <row r="682" customFormat="false" ht="15" hidden="false" customHeight="true" outlineLevel="0" collapsed="false">
      <c r="A682" s="11"/>
      <c r="B682" s="7"/>
      <c r="C682" s="12" t="str">
        <f aca="false">IF($B682="","",IFERROR(INDEX(자원목록!$B$3:$B$102,MATCH($B682,자원목록!$A$3:$A$102,0)),"미등록자원"))</f>
        <v/>
      </c>
      <c r="D682" s="7"/>
      <c r="E682" s="12" t="str">
        <f aca="false">IF($D682="","",IFERROR(INDEX(고객목록!$B$3:$B$502,MATCH($D682,고객목록!$A$3:$A$502,0)),""))</f>
        <v/>
      </c>
      <c r="F682" s="13"/>
      <c r="G682" s="13"/>
      <c r="H682" s="14" t="str">
        <f aca="false">IF(OR($L682="",$M682=""),"",ROUND(($M682-$L682)/60,2))</f>
        <v/>
      </c>
      <c r="I682" s="9"/>
      <c r="J682" s="7"/>
      <c r="K682" s="7"/>
      <c r="L682" s="15" t="str">
        <f aca="false">IF($F682="","",IF($F682&lt;1,ROUND($F682*1440,0),INT($F682/100)*60+MOD($F682,100)))</f>
        <v/>
      </c>
      <c r="M682" s="15" t="str">
        <f aca="false">IF($G682="","",IF($G682&lt;1,ROUND($G682*1440,0),INT($G682/100)*60+MOD($G682,100)))</f>
        <v/>
      </c>
      <c r="N682" s="15" t="str">
        <f aca="false">IF(OR($A682="",$B682="",$L682="",$M682="",$J682="취소"),"",IF(SUMPRODUCT(($A$3:$A$2002=$A682)*($B$3:$B$2002=$B682)*($J$3:$J$2002&lt;&gt;"취소")*($L$3:$L$2002&lt;&gt;"")*($M$3:$M$2002&lt;&gt;"")*($L$3:$L$2002&lt;$M682)*($M$3:$M$2002&gt;$L682))&gt;1,"중복","-"))</f>
        <v/>
      </c>
    </row>
    <row r="683" customFormat="false" ht="15" hidden="false" customHeight="true" outlineLevel="0" collapsed="false">
      <c r="A683" s="11"/>
      <c r="B683" s="7"/>
      <c r="C683" s="12" t="str">
        <f aca="false">IF($B683="","",IFERROR(INDEX(자원목록!$B$3:$B$102,MATCH($B683,자원목록!$A$3:$A$102,0)),"미등록자원"))</f>
        <v/>
      </c>
      <c r="D683" s="7"/>
      <c r="E683" s="12" t="str">
        <f aca="false">IF($D683="","",IFERROR(INDEX(고객목록!$B$3:$B$502,MATCH($D683,고객목록!$A$3:$A$502,0)),""))</f>
        <v/>
      </c>
      <c r="F683" s="13"/>
      <c r="G683" s="13"/>
      <c r="H683" s="14" t="str">
        <f aca="false">IF(OR($L683="",$M683=""),"",ROUND(($M683-$L683)/60,2))</f>
        <v/>
      </c>
      <c r="I683" s="9"/>
      <c r="J683" s="7"/>
      <c r="K683" s="7"/>
      <c r="L683" s="15" t="str">
        <f aca="false">IF($F683="","",IF($F683&lt;1,ROUND($F683*1440,0),INT($F683/100)*60+MOD($F683,100)))</f>
        <v/>
      </c>
      <c r="M683" s="15" t="str">
        <f aca="false">IF($G683="","",IF($G683&lt;1,ROUND($G683*1440,0),INT($G683/100)*60+MOD($G683,100)))</f>
        <v/>
      </c>
      <c r="N683" s="15" t="str">
        <f aca="false">IF(OR($A683="",$B683="",$L683="",$M683="",$J683="취소"),"",IF(SUMPRODUCT(($A$3:$A$2002=$A683)*($B$3:$B$2002=$B683)*($J$3:$J$2002&lt;&gt;"취소")*($L$3:$L$2002&lt;&gt;"")*($M$3:$M$2002&lt;&gt;"")*($L$3:$L$2002&lt;$M683)*($M$3:$M$2002&gt;$L683))&gt;1,"중복","-"))</f>
        <v/>
      </c>
    </row>
    <row r="684" customFormat="false" ht="15" hidden="false" customHeight="true" outlineLevel="0" collapsed="false">
      <c r="A684" s="11"/>
      <c r="B684" s="7"/>
      <c r="C684" s="12" t="str">
        <f aca="false">IF($B684="","",IFERROR(INDEX(자원목록!$B$3:$B$102,MATCH($B684,자원목록!$A$3:$A$102,0)),"미등록자원"))</f>
        <v/>
      </c>
      <c r="D684" s="7"/>
      <c r="E684" s="12" t="str">
        <f aca="false">IF($D684="","",IFERROR(INDEX(고객목록!$B$3:$B$502,MATCH($D684,고객목록!$A$3:$A$502,0)),""))</f>
        <v/>
      </c>
      <c r="F684" s="13"/>
      <c r="G684" s="13"/>
      <c r="H684" s="14" t="str">
        <f aca="false">IF(OR($L684="",$M684=""),"",ROUND(($M684-$L684)/60,2))</f>
        <v/>
      </c>
      <c r="I684" s="9"/>
      <c r="J684" s="7"/>
      <c r="K684" s="7"/>
      <c r="L684" s="15" t="str">
        <f aca="false">IF($F684="","",IF($F684&lt;1,ROUND($F684*1440,0),INT($F684/100)*60+MOD($F684,100)))</f>
        <v/>
      </c>
      <c r="M684" s="15" t="str">
        <f aca="false">IF($G684="","",IF($G684&lt;1,ROUND($G684*1440,0),INT($G684/100)*60+MOD($G684,100)))</f>
        <v/>
      </c>
      <c r="N684" s="15" t="str">
        <f aca="false">IF(OR($A684="",$B684="",$L684="",$M684="",$J684="취소"),"",IF(SUMPRODUCT(($A$3:$A$2002=$A684)*($B$3:$B$2002=$B684)*($J$3:$J$2002&lt;&gt;"취소")*($L$3:$L$2002&lt;&gt;"")*($M$3:$M$2002&lt;&gt;"")*($L$3:$L$2002&lt;$M684)*($M$3:$M$2002&gt;$L684))&gt;1,"중복","-"))</f>
        <v/>
      </c>
    </row>
    <row r="685" customFormat="false" ht="15" hidden="false" customHeight="true" outlineLevel="0" collapsed="false">
      <c r="A685" s="11"/>
      <c r="B685" s="7"/>
      <c r="C685" s="12" t="str">
        <f aca="false">IF($B685="","",IFERROR(INDEX(자원목록!$B$3:$B$102,MATCH($B685,자원목록!$A$3:$A$102,0)),"미등록자원"))</f>
        <v/>
      </c>
      <c r="D685" s="7"/>
      <c r="E685" s="12" t="str">
        <f aca="false">IF($D685="","",IFERROR(INDEX(고객목록!$B$3:$B$502,MATCH($D685,고객목록!$A$3:$A$502,0)),""))</f>
        <v/>
      </c>
      <c r="F685" s="13"/>
      <c r="G685" s="13"/>
      <c r="H685" s="14" t="str">
        <f aca="false">IF(OR($L685="",$M685=""),"",ROUND(($M685-$L685)/60,2))</f>
        <v/>
      </c>
      <c r="I685" s="9"/>
      <c r="J685" s="7"/>
      <c r="K685" s="7"/>
      <c r="L685" s="15" t="str">
        <f aca="false">IF($F685="","",IF($F685&lt;1,ROUND($F685*1440,0),INT($F685/100)*60+MOD($F685,100)))</f>
        <v/>
      </c>
      <c r="M685" s="15" t="str">
        <f aca="false">IF($G685="","",IF($G685&lt;1,ROUND($G685*1440,0),INT($G685/100)*60+MOD($G685,100)))</f>
        <v/>
      </c>
      <c r="N685" s="15" t="str">
        <f aca="false">IF(OR($A685="",$B685="",$L685="",$M685="",$J685="취소"),"",IF(SUMPRODUCT(($A$3:$A$2002=$A685)*($B$3:$B$2002=$B685)*($J$3:$J$2002&lt;&gt;"취소")*($L$3:$L$2002&lt;&gt;"")*($M$3:$M$2002&lt;&gt;"")*($L$3:$L$2002&lt;$M685)*($M$3:$M$2002&gt;$L685))&gt;1,"중복","-"))</f>
        <v/>
      </c>
    </row>
    <row r="686" customFormat="false" ht="15" hidden="false" customHeight="true" outlineLevel="0" collapsed="false">
      <c r="A686" s="11"/>
      <c r="B686" s="7"/>
      <c r="C686" s="12" t="str">
        <f aca="false">IF($B686="","",IFERROR(INDEX(자원목록!$B$3:$B$102,MATCH($B686,자원목록!$A$3:$A$102,0)),"미등록자원"))</f>
        <v/>
      </c>
      <c r="D686" s="7"/>
      <c r="E686" s="12" t="str">
        <f aca="false">IF($D686="","",IFERROR(INDEX(고객목록!$B$3:$B$502,MATCH($D686,고객목록!$A$3:$A$502,0)),""))</f>
        <v/>
      </c>
      <c r="F686" s="13"/>
      <c r="G686" s="13"/>
      <c r="H686" s="14" t="str">
        <f aca="false">IF(OR($L686="",$M686=""),"",ROUND(($M686-$L686)/60,2))</f>
        <v/>
      </c>
      <c r="I686" s="9"/>
      <c r="J686" s="7"/>
      <c r="K686" s="7"/>
      <c r="L686" s="15" t="str">
        <f aca="false">IF($F686="","",IF($F686&lt;1,ROUND($F686*1440,0),INT($F686/100)*60+MOD($F686,100)))</f>
        <v/>
      </c>
      <c r="M686" s="15" t="str">
        <f aca="false">IF($G686="","",IF($G686&lt;1,ROUND($G686*1440,0),INT($G686/100)*60+MOD($G686,100)))</f>
        <v/>
      </c>
      <c r="N686" s="15" t="str">
        <f aca="false">IF(OR($A686="",$B686="",$L686="",$M686="",$J686="취소"),"",IF(SUMPRODUCT(($A$3:$A$2002=$A686)*($B$3:$B$2002=$B686)*($J$3:$J$2002&lt;&gt;"취소")*($L$3:$L$2002&lt;&gt;"")*($M$3:$M$2002&lt;&gt;"")*($L$3:$L$2002&lt;$M686)*($M$3:$M$2002&gt;$L686))&gt;1,"중복","-"))</f>
        <v/>
      </c>
    </row>
    <row r="687" customFormat="false" ht="15" hidden="false" customHeight="true" outlineLevel="0" collapsed="false">
      <c r="A687" s="11"/>
      <c r="B687" s="7"/>
      <c r="C687" s="12" t="str">
        <f aca="false">IF($B687="","",IFERROR(INDEX(자원목록!$B$3:$B$102,MATCH($B687,자원목록!$A$3:$A$102,0)),"미등록자원"))</f>
        <v/>
      </c>
      <c r="D687" s="7"/>
      <c r="E687" s="12" t="str">
        <f aca="false">IF($D687="","",IFERROR(INDEX(고객목록!$B$3:$B$502,MATCH($D687,고객목록!$A$3:$A$502,0)),""))</f>
        <v/>
      </c>
      <c r="F687" s="13"/>
      <c r="G687" s="13"/>
      <c r="H687" s="14" t="str">
        <f aca="false">IF(OR($L687="",$M687=""),"",ROUND(($M687-$L687)/60,2))</f>
        <v/>
      </c>
      <c r="I687" s="9"/>
      <c r="J687" s="7"/>
      <c r="K687" s="7"/>
      <c r="L687" s="15" t="str">
        <f aca="false">IF($F687="","",IF($F687&lt;1,ROUND($F687*1440,0),INT($F687/100)*60+MOD($F687,100)))</f>
        <v/>
      </c>
      <c r="M687" s="15" t="str">
        <f aca="false">IF($G687="","",IF($G687&lt;1,ROUND($G687*1440,0),INT($G687/100)*60+MOD($G687,100)))</f>
        <v/>
      </c>
      <c r="N687" s="15" t="str">
        <f aca="false">IF(OR($A687="",$B687="",$L687="",$M687="",$J687="취소"),"",IF(SUMPRODUCT(($A$3:$A$2002=$A687)*($B$3:$B$2002=$B687)*($J$3:$J$2002&lt;&gt;"취소")*($L$3:$L$2002&lt;&gt;"")*($M$3:$M$2002&lt;&gt;"")*($L$3:$L$2002&lt;$M687)*($M$3:$M$2002&gt;$L687))&gt;1,"중복","-"))</f>
        <v/>
      </c>
    </row>
    <row r="688" customFormat="false" ht="15" hidden="false" customHeight="true" outlineLevel="0" collapsed="false">
      <c r="A688" s="11"/>
      <c r="B688" s="7"/>
      <c r="C688" s="12" t="str">
        <f aca="false">IF($B688="","",IFERROR(INDEX(자원목록!$B$3:$B$102,MATCH($B688,자원목록!$A$3:$A$102,0)),"미등록자원"))</f>
        <v/>
      </c>
      <c r="D688" s="7"/>
      <c r="E688" s="12" t="str">
        <f aca="false">IF($D688="","",IFERROR(INDEX(고객목록!$B$3:$B$502,MATCH($D688,고객목록!$A$3:$A$502,0)),""))</f>
        <v/>
      </c>
      <c r="F688" s="13"/>
      <c r="G688" s="13"/>
      <c r="H688" s="14" t="str">
        <f aca="false">IF(OR($L688="",$M688=""),"",ROUND(($M688-$L688)/60,2))</f>
        <v/>
      </c>
      <c r="I688" s="9"/>
      <c r="J688" s="7"/>
      <c r="K688" s="7"/>
      <c r="L688" s="15" t="str">
        <f aca="false">IF($F688="","",IF($F688&lt;1,ROUND($F688*1440,0),INT($F688/100)*60+MOD($F688,100)))</f>
        <v/>
      </c>
      <c r="M688" s="15" t="str">
        <f aca="false">IF($G688="","",IF($G688&lt;1,ROUND($G688*1440,0),INT($G688/100)*60+MOD($G688,100)))</f>
        <v/>
      </c>
      <c r="N688" s="15" t="str">
        <f aca="false">IF(OR($A688="",$B688="",$L688="",$M688="",$J688="취소"),"",IF(SUMPRODUCT(($A$3:$A$2002=$A688)*($B$3:$B$2002=$B688)*($J$3:$J$2002&lt;&gt;"취소")*($L$3:$L$2002&lt;&gt;"")*($M$3:$M$2002&lt;&gt;"")*($L$3:$L$2002&lt;$M688)*($M$3:$M$2002&gt;$L688))&gt;1,"중복","-"))</f>
        <v/>
      </c>
    </row>
    <row r="689" customFormat="false" ht="15" hidden="false" customHeight="true" outlineLevel="0" collapsed="false">
      <c r="A689" s="11"/>
      <c r="B689" s="7"/>
      <c r="C689" s="12" t="str">
        <f aca="false">IF($B689="","",IFERROR(INDEX(자원목록!$B$3:$B$102,MATCH($B689,자원목록!$A$3:$A$102,0)),"미등록자원"))</f>
        <v/>
      </c>
      <c r="D689" s="7"/>
      <c r="E689" s="12" t="str">
        <f aca="false">IF($D689="","",IFERROR(INDEX(고객목록!$B$3:$B$502,MATCH($D689,고객목록!$A$3:$A$502,0)),""))</f>
        <v/>
      </c>
      <c r="F689" s="13"/>
      <c r="G689" s="13"/>
      <c r="H689" s="14" t="str">
        <f aca="false">IF(OR($L689="",$M689=""),"",ROUND(($M689-$L689)/60,2))</f>
        <v/>
      </c>
      <c r="I689" s="9"/>
      <c r="J689" s="7"/>
      <c r="K689" s="7"/>
      <c r="L689" s="15" t="str">
        <f aca="false">IF($F689="","",IF($F689&lt;1,ROUND($F689*1440,0),INT($F689/100)*60+MOD($F689,100)))</f>
        <v/>
      </c>
      <c r="M689" s="15" t="str">
        <f aca="false">IF($G689="","",IF($G689&lt;1,ROUND($G689*1440,0),INT($G689/100)*60+MOD($G689,100)))</f>
        <v/>
      </c>
      <c r="N689" s="15" t="str">
        <f aca="false">IF(OR($A689="",$B689="",$L689="",$M689="",$J689="취소"),"",IF(SUMPRODUCT(($A$3:$A$2002=$A689)*($B$3:$B$2002=$B689)*($J$3:$J$2002&lt;&gt;"취소")*($L$3:$L$2002&lt;&gt;"")*($M$3:$M$2002&lt;&gt;"")*($L$3:$L$2002&lt;$M689)*($M$3:$M$2002&gt;$L689))&gt;1,"중복","-"))</f>
        <v/>
      </c>
    </row>
    <row r="690" customFormat="false" ht="15" hidden="false" customHeight="true" outlineLevel="0" collapsed="false">
      <c r="A690" s="11"/>
      <c r="B690" s="7"/>
      <c r="C690" s="12" t="str">
        <f aca="false">IF($B690="","",IFERROR(INDEX(자원목록!$B$3:$B$102,MATCH($B690,자원목록!$A$3:$A$102,0)),"미등록자원"))</f>
        <v/>
      </c>
      <c r="D690" s="7"/>
      <c r="E690" s="12" t="str">
        <f aca="false">IF($D690="","",IFERROR(INDEX(고객목록!$B$3:$B$502,MATCH($D690,고객목록!$A$3:$A$502,0)),""))</f>
        <v/>
      </c>
      <c r="F690" s="13"/>
      <c r="G690" s="13"/>
      <c r="H690" s="14" t="str">
        <f aca="false">IF(OR($L690="",$M690=""),"",ROUND(($M690-$L690)/60,2))</f>
        <v/>
      </c>
      <c r="I690" s="9"/>
      <c r="J690" s="7"/>
      <c r="K690" s="7"/>
      <c r="L690" s="15" t="str">
        <f aca="false">IF($F690="","",IF($F690&lt;1,ROUND($F690*1440,0),INT($F690/100)*60+MOD($F690,100)))</f>
        <v/>
      </c>
      <c r="M690" s="15" t="str">
        <f aca="false">IF($G690="","",IF($G690&lt;1,ROUND($G690*1440,0),INT($G690/100)*60+MOD($G690,100)))</f>
        <v/>
      </c>
      <c r="N690" s="15" t="str">
        <f aca="false">IF(OR($A690="",$B690="",$L690="",$M690="",$J690="취소"),"",IF(SUMPRODUCT(($A$3:$A$2002=$A690)*($B$3:$B$2002=$B690)*($J$3:$J$2002&lt;&gt;"취소")*($L$3:$L$2002&lt;&gt;"")*($M$3:$M$2002&lt;&gt;"")*($L$3:$L$2002&lt;$M690)*($M$3:$M$2002&gt;$L690))&gt;1,"중복","-"))</f>
        <v/>
      </c>
    </row>
    <row r="691" customFormat="false" ht="15" hidden="false" customHeight="true" outlineLevel="0" collapsed="false">
      <c r="A691" s="11"/>
      <c r="B691" s="7"/>
      <c r="C691" s="12" t="str">
        <f aca="false">IF($B691="","",IFERROR(INDEX(자원목록!$B$3:$B$102,MATCH($B691,자원목록!$A$3:$A$102,0)),"미등록자원"))</f>
        <v/>
      </c>
      <c r="D691" s="7"/>
      <c r="E691" s="12" t="str">
        <f aca="false">IF($D691="","",IFERROR(INDEX(고객목록!$B$3:$B$502,MATCH($D691,고객목록!$A$3:$A$502,0)),""))</f>
        <v/>
      </c>
      <c r="F691" s="13"/>
      <c r="G691" s="13"/>
      <c r="H691" s="14" t="str">
        <f aca="false">IF(OR($L691="",$M691=""),"",ROUND(($M691-$L691)/60,2))</f>
        <v/>
      </c>
      <c r="I691" s="9"/>
      <c r="J691" s="7"/>
      <c r="K691" s="7"/>
      <c r="L691" s="15" t="str">
        <f aca="false">IF($F691="","",IF($F691&lt;1,ROUND($F691*1440,0),INT($F691/100)*60+MOD($F691,100)))</f>
        <v/>
      </c>
      <c r="M691" s="15" t="str">
        <f aca="false">IF($G691="","",IF($G691&lt;1,ROUND($G691*1440,0),INT($G691/100)*60+MOD($G691,100)))</f>
        <v/>
      </c>
      <c r="N691" s="15" t="str">
        <f aca="false">IF(OR($A691="",$B691="",$L691="",$M691="",$J691="취소"),"",IF(SUMPRODUCT(($A$3:$A$2002=$A691)*($B$3:$B$2002=$B691)*($J$3:$J$2002&lt;&gt;"취소")*($L$3:$L$2002&lt;&gt;"")*($M$3:$M$2002&lt;&gt;"")*($L$3:$L$2002&lt;$M691)*($M$3:$M$2002&gt;$L691))&gt;1,"중복","-"))</f>
        <v/>
      </c>
    </row>
    <row r="692" customFormat="false" ht="15" hidden="false" customHeight="true" outlineLevel="0" collapsed="false">
      <c r="A692" s="11"/>
      <c r="B692" s="7"/>
      <c r="C692" s="12" t="str">
        <f aca="false">IF($B692="","",IFERROR(INDEX(자원목록!$B$3:$B$102,MATCH($B692,자원목록!$A$3:$A$102,0)),"미등록자원"))</f>
        <v/>
      </c>
      <c r="D692" s="7"/>
      <c r="E692" s="12" t="str">
        <f aca="false">IF($D692="","",IFERROR(INDEX(고객목록!$B$3:$B$502,MATCH($D692,고객목록!$A$3:$A$502,0)),""))</f>
        <v/>
      </c>
      <c r="F692" s="13"/>
      <c r="G692" s="13"/>
      <c r="H692" s="14" t="str">
        <f aca="false">IF(OR($L692="",$M692=""),"",ROUND(($M692-$L692)/60,2))</f>
        <v/>
      </c>
      <c r="I692" s="9"/>
      <c r="J692" s="7"/>
      <c r="K692" s="7"/>
      <c r="L692" s="15" t="str">
        <f aca="false">IF($F692="","",IF($F692&lt;1,ROUND($F692*1440,0),INT($F692/100)*60+MOD($F692,100)))</f>
        <v/>
      </c>
      <c r="M692" s="15" t="str">
        <f aca="false">IF($G692="","",IF($G692&lt;1,ROUND($G692*1440,0),INT($G692/100)*60+MOD($G692,100)))</f>
        <v/>
      </c>
      <c r="N692" s="15" t="str">
        <f aca="false">IF(OR($A692="",$B692="",$L692="",$M692="",$J692="취소"),"",IF(SUMPRODUCT(($A$3:$A$2002=$A692)*($B$3:$B$2002=$B692)*($J$3:$J$2002&lt;&gt;"취소")*($L$3:$L$2002&lt;&gt;"")*($M$3:$M$2002&lt;&gt;"")*($L$3:$L$2002&lt;$M692)*($M$3:$M$2002&gt;$L692))&gt;1,"중복","-"))</f>
        <v/>
      </c>
    </row>
    <row r="693" customFormat="false" ht="15" hidden="false" customHeight="true" outlineLevel="0" collapsed="false">
      <c r="A693" s="11"/>
      <c r="B693" s="7"/>
      <c r="C693" s="12" t="str">
        <f aca="false">IF($B693="","",IFERROR(INDEX(자원목록!$B$3:$B$102,MATCH($B693,자원목록!$A$3:$A$102,0)),"미등록자원"))</f>
        <v/>
      </c>
      <c r="D693" s="7"/>
      <c r="E693" s="12" t="str">
        <f aca="false">IF($D693="","",IFERROR(INDEX(고객목록!$B$3:$B$502,MATCH($D693,고객목록!$A$3:$A$502,0)),""))</f>
        <v/>
      </c>
      <c r="F693" s="13"/>
      <c r="G693" s="13"/>
      <c r="H693" s="14" t="str">
        <f aca="false">IF(OR($L693="",$M693=""),"",ROUND(($M693-$L693)/60,2))</f>
        <v/>
      </c>
      <c r="I693" s="9"/>
      <c r="J693" s="7"/>
      <c r="K693" s="7"/>
      <c r="L693" s="15" t="str">
        <f aca="false">IF($F693="","",IF($F693&lt;1,ROUND($F693*1440,0),INT($F693/100)*60+MOD($F693,100)))</f>
        <v/>
      </c>
      <c r="M693" s="15" t="str">
        <f aca="false">IF($G693="","",IF($G693&lt;1,ROUND($G693*1440,0),INT($G693/100)*60+MOD($G693,100)))</f>
        <v/>
      </c>
      <c r="N693" s="15" t="str">
        <f aca="false">IF(OR($A693="",$B693="",$L693="",$M693="",$J693="취소"),"",IF(SUMPRODUCT(($A$3:$A$2002=$A693)*($B$3:$B$2002=$B693)*($J$3:$J$2002&lt;&gt;"취소")*($L$3:$L$2002&lt;&gt;"")*($M$3:$M$2002&lt;&gt;"")*($L$3:$L$2002&lt;$M693)*($M$3:$M$2002&gt;$L693))&gt;1,"중복","-"))</f>
        <v/>
      </c>
    </row>
    <row r="694" customFormat="false" ht="15" hidden="false" customHeight="true" outlineLevel="0" collapsed="false">
      <c r="A694" s="11"/>
      <c r="B694" s="7"/>
      <c r="C694" s="12" t="str">
        <f aca="false">IF($B694="","",IFERROR(INDEX(자원목록!$B$3:$B$102,MATCH($B694,자원목록!$A$3:$A$102,0)),"미등록자원"))</f>
        <v/>
      </c>
      <c r="D694" s="7"/>
      <c r="E694" s="12" t="str">
        <f aca="false">IF($D694="","",IFERROR(INDEX(고객목록!$B$3:$B$502,MATCH($D694,고객목록!$A$3:$A$502,0)),""))</f>
        <v/>
      </c>
      <c r="F694" s="13"/>
      <c r="G694" s="13"/>
      <c r="H694" s="14" t="str">
        <f aca="false">IF(OR($L694="",$M694=""),"",ROUND(($M694-$L694)/60,2))</f>
        <v/>
      </c>
      <c r="I694" s="9"/>
      <c r="J694" s="7"/>
      <c r="K694" s="7"/>
      <c r="L694" s="15" t="str">
        <f aca="false">IF($F694="","",IF($F694&lt;1,ROUND($F694*1440,0),INT($F694/100)*60+MOD($F694,100)))</f>
        <v/>
      </c>
      <c r="M694" s="15" t="str">
        <f aca="false">IF($G694="","",IF($G694&lt;1,ROUND($G694*1440,0),INT($G694/100)*60+MOD($G694,100)))</f>
        <v/>
      </c>
      <c r="N694" s="15" t="str">
        <f aca="false">IF(OR($A694="",$B694="",$L694="",$M694="",$J694="취소"),"",IF(SUMPRODUCT(($A$3:$A$2002=$A694)*($B$3:$B$2002=$B694)*($J$3:$J$2002&lt;&gt;"취소")*($L$3:$L$2002&lt;&gt;"")*($M$3:$M$2002&lt;&gt;"")*($L$3:$L$2002&lt;$M694)*($M$3:$M$2002&gt;$L694))&gt;1,"중복","-"))</f>
        <v/>
      </c>
    </row>
    <row r="695" customFormat="false" ht="15" hidden="false" customHeight="true" outlineLevel="0" collapsed="false">
      <c r="A695" s="11"/>
      <c r="B695" s="7"/>
      <c r="C695" s="12" t="str">
        <f aca="false">IF($B695="","",IFERROR(INDEX(자원목록!$B$3:$B$102,MATCH($B695,자원목록!$A$3:$A$102,0)),"미등록자원"))</f>
        <v/>
      </c>
      <c r="D695" s="7"/>
      <c r="E695" s="12" t="str">
        <f aca="false">IF($D695="","",IFERROR(INDEX(고객목록!$B$3:$B$502,MATCH($D695,고객목록!$A$3:$A$502,0)),""))</f>
        <v/>
      </c>
      <c r="F695" s="13"/>
      <c r="G695" s="13"/>
      <c r="H695" s="14" t="str">
        <f aca="false">IF(OR($L695="",$M695=""),"",ROUND(($M695-$L695)/60,2))</f>
        <v/>
      </c>
      <c r="I695" s="9"/>
      <c r="J695" s="7"/>
      <c r="K695" s="7"/>
      <c r="L695" s="15" t="str">
        <f aca="false">IF($F695="","",IF($F695&lt;1,ROUND($F695*1440,0),INT($F695/100)*60+MOD($F695,100)))</f>
        <v/>
      </c>
      <c r="M695" s="15" t="str">
        <f aca="false">IF($G695="","",IF($G695&lt;1,ROUND($G695*1440,0),INT($G695/100)*60+MOD($G695,100)))</f>
        <v/>
      </c>
      <c r="N695" s="15" t="str">
        <f aca="false">IF(OR($A695="",$B695="",$L695="",$M695="",$J695="취소"),"",IF(SUMPRODUCT(($A$3:$A$2002=$A695)*($B$3:$B$2002=$B695)*($J$3:$J$2002&lt;&gt;"취소")*($L$3:$L$2002&lt;&gt;"")*($M$3:$M$2002&lt;&gt;"")*($L$3:$L$2002&lt;$M695)*($M$3:$M$2002&gt;$L695))&gt;1,"중복","-"))</f>
        <v/>
      </c>
    </row>
    <row r="696" customFormat="false" ht="15" hidden="false" customHeight="true" outlineLevel="0" collapsed="false">
      <c r="A696" s="11"/>
      <c r="B696" s="7"/>
      <c r="C696" s="12" t="str">
        <f aca="false">IF($B696="","",IFERROR(INDEX(자원목록!$B$3:$B$102,MATCH($B696,자원목록!$A$3:$A$102,0)),"미등록자원"))</f>
        <v/>
      </c>
      <c r="D696" s="7"/>
      <c r="E696" s="12" t="str">
        <f aca="false">IF($D696="","",IFERROR(INDEX(고객목록!$B$3:$B$502,MATCH($D696,고객목록!$A$3:$A$502,0)),""))</f>
        <v/>
      </c>
      <c r="F696" s="13"/>
      <c r="G696" s="13"/>
      <c r="H696" s="14" t="str">
        <f aca="false">IF(OR($L696="",$M696=""),"",ROUND(($M696-$L696)/60,2))</f>
        <v/>
      </c>
      <c r="I696" s="9"/>
      <c r="J696" s="7"/>
      <c r="K696" s="7"/>
      <c r="L696" s="15" t="str">
        <f aca="false">IF($F696="","",IF($F696&lt;1,ROUND($F696*1440,0),INT($F696/100)*60+MOD($F696,100)))</f>
        <v/>
      </c>
      <c r="M696" s="15" t="str">
        <f aca="false">IF($G696="","",IF($G696&lt;1,ROUND($G696*1440,0),INT($G696/100)*60+MOD($G696,100)))</f>
        <v/>
      </c>
      <c r="N696" s="15" t="str">
        <f aca="false">IF(OR($A696="",$B696="",$L696="",$M696="",$J696="취소"),"",IF(SUMPRODUCT(($A$3:$A$2002=$A696)*($B$3:$B$2002=$B696)*($J$3:$J$2002&lt;&gt;"취소")*($L$3:$L$2002&lt;&gt;"")*($M$3:$M$2002&lt;&gt;"")*($L$3:$L$2002&lt;$M696)*($M$3:$M$2002&gt;$L696))&gt;1,"중복","-"))</f>
        <v/>
      </c>
    </row>
    <row r="697" customFormat="false" ht="15" hidden="false" customHeight="true" outlineLevel="0" collapsed="false">
      <c r="A697" s="11"/>
      <c r="B697" s="7"/>
      <c r="C697" s="12" t="str">
        <f aca="false">IF($B697="","",IFERROR(INDEX(자원목록!$B$3:$B$102,MATCH($B697,자원목록!$A$3:$A$102,0)),"미등록자원"))</f>
        <v/>
      </c>
      <c r="D697" s="7"/>
      <c r="E697" s="12" t="str">
        <f aca="false">IF($D697="","",IFERROR(INDEX(고객목록!$B$3:$B$502,MATCH($D697,고객목록!$A$3:$A$502,0)),""))</f>
        <v/>
      </c>
      <c r="F697" s="13"/>
      <c r="G697" s="13"/>
      <c r="H697" s="14" t="str">
        <f aca="false">IF(OR($L697="",$M697=""),"",ROUND(($M697-$L697)/60,2))</f>
        <v/>
      </c>
      <c r="I697" s="9"/>
      <c r="J697" s="7"/>
      <c r="K697" s="7"/>
      <c r="L697" s="15" t="str">
        <f aca="false">IF($F697="","",IF($F697&lt;1,ROUND($F697*1440,0),INT($F697/100)*60+MOD($F697,100)))</f>
        <v/>
      </c>
      <c r="M697" s="15" t="str">
        <f aca="false">IF($G697="","",IF($G697&lt;1,ROUND($G697*1440,0),INT($G697/100)*60+MOD($G697,100)))</f>
        <v/>
      </c>
      <c r="N697" s="15" t="str">
        <f aca="false">IF(OR($A697="",$B697="",$L697="",$M697="",$J697="취소"),"",IF(SUMPRODUCT(($A$3:$A$2002=$A697)*($B$3:$B$2002=$B697)*($J$3:$J$2002&lt;&gt;"취소")*($L$3:$L$2002&lt;&gt;"")*($M$3:$M$2002&lt;&gt;"")*($L$3:$L$2002&lt;$M697)*($M$3:$M$2002&gt;$L697))&gt;1,"중복","-"))</f>
        <v/>
      </c>
    </row>
    <row r="698" customFormat="false" ht="15" hidden="false" customHeight="true" outlineLevel="0" collapsed="false">
      <c r="A698" s="11"/>
      <c r="B698" s="7"/>
      <c r="C698" s="12" t="str">
        <f aca="false">IF($B698="","",IFERROR(INDEX(자원목록!$B$3:$B$102,MATCH($B698,자원목록!$A$3:$A$102,0)),"미등록자원"))</f>
        <v/>
      </c>
      <c r="D698" s="7"/>
      <c r="E698" s="12" t="str">
        <f aca="false">IF($D698="","",IFERROR(INDEX(고객목록!$B$3:$B$502,MATCH($D698,고객목록!$A$3:$A$502,0)),""))</f>
        <v/>
      </c>
      <c r="F698" s="13"/>
      <c r="G698" s="13"/>
      <c r="H698" s="14" t="str">
        <f aca="false">IF(OR($L698="",$M698=""),"",ROUND(($M698-$L698)/60,2))</f>
        <v/>
      </c>
      <c r="I698" s="9"/>
      <c r="J698" s="7"/>
      <c r="K698" s="7"/>
      <c r="L698" s="15" t="str">
        <f aca="false">IF($F698="","",IF($F698&lt;1,ROUND($F698*1440,0),INT($F698/100)*60+MOD($F698,100)))</f>
        <v/>
      </c>
      <c r="M698" s="15" t="str">
        <f aca="false">IF($G698="","",IF($G698&lt;1,ROUND($G698*1440,0),INT($G698/100)*60+MOD($G698,100)))</f>
        <v/>
      </c>
      <c r="N698" s="15" t="str">
        <f aca="false">IF(OR($A698="",$B698="",$L698="",$M698="",$J698="취소"),"",IF(SUMPRODUCT(($A$3:$A$2002=$A698)*($B$3:$B$2002=$B698)*($J$3:$J$2002&lt;&gt;"취소")*($L$3:$L$2002&lt;&gt;"")*($M$3:$M$2002&lt;&gt;"")*($L$3:$L$2002&lt;$M698)*($M$3:$M$2002&gt;$L698))&gt;1,"중복","-"))</f>
        <v/>
      </c>
    </row>
    <row r="699" customFormat="false" ht="15" hidden="false" customHeight="true" outlineLevel="0" collapsed="false">
      <c r="A699" s="11"/>
      <c r="B699" s="7"/>
      <c r="C699" s="12" t="str">
        <f aca="false">IF($B699="","",IFERROR(INDEX(자원목록!$B$3:$B$102,MATCH($B699,자원목록!$A$3:$A$102,0)),"미등록자원"))</f>
        <v/>
      </c>
      <c r="D699" s="7"/>
      <c r="E699" s="12" t="str">
        <f aca="false">IF($D699="","",IFERROR(INDEX(고객목록!$B$3:$B$502,MATCH($D699,고객목록!$A$3:$A$502,0)),""))</f>
        <v/>
      </c>
      <c r="F699" s="13"/>
      <c r="G699" s="13"/>
      <c r="H699" s="14" t="str">
        <f aca="false">IF(OR($L699="",$M699=""),"",ROUND(($M699-$L699)/60,2))</f>
        <v/>
      </c>
      <c r="I699" s="9"/>
      <c r="J699" s="7"/>
      <c r="K699" s="7"/>
      <c r="L699" s="15" t="str">
        <f aca="false">IF($F699="","",IF($F699&lt;1,ROUND($F699*1440,0),INT($F699/100)*60+MOD($F699,100)))</f>
        <v/>
      </c>
      <c r="M699" s="15" t="str">
        <f aca="false">IF($G699="","",IF($G699&lt;1,ROUND($G699*1440,0),INT($G699/100)*60+MOD($G699,100)))</f>
        <v/>
      </c>
      <c r="N699" s="15" t="str">
        <f aca="false">IF(OR($A699="",$B699="",$L699="",$M699="",$J699="취소"),"",IF(SUMPRODUCT(($A$3:$A$2002=$A699)*($B$3:$B$2002=$B699)*($J$3:$J$2002&lt;&gt;"취소")*($L$3:$L$2002&lt;&gt;"")*($M$3:$M$2002&lt;&gt;"")*($L$3:$L$2002&lt;$M699)*($M$3:$M$2002&gt;$L699))&gt;1,"중복","-"))</f>
        <v/>
      </c>
    </row>
    <row r="700" customFormat="false" ht="15" hidden="false" customHeight="true" outlineLevel="0" collapsed="false">
      <c r="A700" s="11"/>
      <c r="B700" s="7"/>
      <c r="C700" s="12" t="str">
        <f aca="false">IF($B700="","",IFERROR(INDEX(자원목록!$B$3:$B$102,MATCH($B700,자원목록!$A$3:$A$102,0)),"미등록자원"))</f>
        <v/>
      </c>
      <c r="D700" s="7"/>
      <c r="E700" s="12" t="str">
        <f aca="false">IF($D700="","",IFERROR(INDEX(고객목록!$B$3:$B$502,MATCH($D700,고객목록!$A$3:$A$502,0)),""))</f>
        <v/>
      </c>
      <c r="F700" s="13"/>
      <c r="G700" s="13"/>
      <c r="H700" s="14" t="str">
        <f aca="false">IF(OR($L700="",$M700=""),"",ROUND(($M700-$L700)/60,2))</f>
        <v/>
      </c>
      <c r="I700" s="9"/>
      <c r="J700" s="7"/>
      <c r="K700" s="7"/>
      <c r="L700" s="15" t="str">
        <f aca="false">IF($F700="","",IF($F700&lt;1,ROUND($F700*1440,0),INT($F700/100)*60+MOD($F700,100)))</f>
        <v/>
      </c>
      <c r="M700" s="15" t="str">
        <f aca="false">IF($G700="","",IF($G700&lt;1,ROUND($G700*1440,0),INT($G700/100)*60+MOD($G700,100)))</f>
        <v/>
      </c>
      <c r="N700" s="15" t="str">
        <f aca="false">IF(OR($A700="",$B700="",$L700="",$M700="",$J700="취소"),"",IF(SUMPRODUCT(($A$3:$A$2002=$A700)*($B$3:$B$2002=$B700)*($J$3:$J$2002&lt;&gt;"취소")*($L$3:$L$2002&lt;&gt;"")*($M$3:$M$2002&lt;&gt;"")*($L$3:$L$2002&lt;$M700)*($M$3:$M$2002&gt;$L700))&gt;1,"중복","-"))</f>
        <v/>
      </c>
    </row>
    <row r="701" customFormat="false" ht="15" hidden="false" customHeight="true" outlineLevel="0" collapsed="false">
      <c r="A701" s="11"/>
      <c r="B701" s="7"/>
      <c r="C701" s="12" t="str">
        <f aca="false">IF($B701="","",IFERROR(INDEX(자원목록!$B$3:$B$102,MATCH($B701,자원목록!$A$3:$A$102,0)),"미등록자원"))</f>
        <v/>
      </c>
      <c r="D701" s="7"/>
      <c r="E701" s="12" t="str">
        <f aca="false">IF($D701="","",IFERROR(INDEX(고객목록!$B$3:$B$502,MATCH($D701,고객목록!$A$3:$A$502,0)),""))</f>
        <v/>
      </c>
      <c r="F701" s="13"/>
      <c r="G701" s="13"/>
      <c r="H701" s="14" t="str">
        <f aca="false">IF(OR($L701="",$M701=""),"",ROUND(($M701-$L701)/60,2))</f>
        <v/>
      </c>
      <c r="I701" s="9"/>
      <c r="J701" s="7"/>
      <c r="K701" s="7"/>
      <c r="L701" s="15" t="str">
        <f aca="false">IF($F701="","",IF($F701&lt;1,ROUND($F701*1440,0),INT($F701/100)*60+MOD($F701,100)))</f>
        <v/>
      </c>
      <c r="M701" s="15" t="str">
        <f aca="false">IF($G701="","",IF($G701&lt;1,ROUND($G701*1440,0),INT($G701/100)*60+MOD($G701,100)))</f>
        <v/>
      </c>
      <c r="N701" s="15" t="str">
        <f aca="false">IF(OR($A701="",$B701="",$L701="",$M701="",$J701="취소"),"",IF(SUMPRODUCT(($A$3:$A$2002=$A701)*($B$3:$B$2002=$B701)*($J$3:$J$2002&lt;&gt;"취소")*($L$3:$L$2002&lt;&gt;"")*($M$3:$M$2002&lt;&gt;"")*($L$3:$L$2002&lt;$M701)*($M$3:$M$2002&gt;$L701))&gt;1,"중복","-"))</f>
        <v/>
      </c>
    </row>
    <row r="702" customFormat="false" ht="15" hidden="false" customHeight="true" outlineLevel="0" collapsed="false">
      <c r="A702" s="11"/>
      <c r="B702" s="7"/>
      <c r="C702" s="12" t="str">
        <f aca="false">IF($B702="","",IFERROR(INDEX(자원목록!$B$3:$B$102,MATCH($B702,자원목록!$A$3:$A$102,0)),"미등록자원"))</f>
        <v/>
      </c>
      <c r="D702" s="7"/>
      <c r="E702" s="12" t="str">
        <f aca="false">IF($D702="","",IFERROR(INDEX(고객목록!$B$3:$B$502,MATCH($D702,고객목록!$A$3:$A$502,0)),""))</f>
        <v/>
      </c>
      <c r="F702" s="13"/>
      <c r="G702" s="13"/>
      <c r="H702" s="14" t="str">
        <f aca="false">IF(OR($L702="",$M702=""),"",ROUND(($M702-$L702)/60,2))</f>
        <v/>
      </c>
      <c r="I702" s="9"/>
      <c r="J702" s="7"/>
      <c r="K702" s="7"/>
      <c r="L702" s="15" t="str">
        <f aca="false">IF($F702="","",IF($F702&lt;1,ROUND($F702*1440,0),INT($F702/100)*60+MOD($F702,100)))</f>
        <v/>
      </c>
      <c r="M702" s="15" t="str">
        <f aca="false">IF($G702="","",IF($G702&lt;1,ROUND($G702*1440,0),INT($G702/100)*60+MOD($G702,100)))</f>
        <v/>
      </c>
      <c r="N702" s="15" t="str">
        <f aca="false">IF(OR($A702="",$B702="",$L702="",$M702="",$J702="취소"),"",IF(SUMPRODUCT(($A$3:$A$2002=$A702)*($B$3:$B$2002=$B702)*($J$3:$J$2002&lt;&gt;"취소")*($L$3:$L$2002&lt;&gt;"")*($M$3:$M$2002&lt;&gt;"")*($L$3:$L$2002&lt;$M702)*($M$3:$M$2002&gt;$L702))&gt;1,"중복","-"))</f>
        <v/>
      </c>
    </row>
    <row r="703" customFormat="false" ht="15" hidden="false" customHeight="true" outlineLevel="0" collapsed="false">
      <c r="A703" s="11"/>
      <c r="B703" s="7"/>
      <c r="C703" s="12" t="str">
        <f aca="false">IF($B703="","",IFERROR(INDEX(자원목록!$B$3:$B$102,MATCH($B703,자원목록!$A$3:$A$102,0)),"미등록자원"))</f>
        <v/>
      </c>
      <c r="D703" s="7"/>
      <c r="E703" s="12" t="str">
        <f aca="false">IF($D703="","",IFERROR(INDEX(고객목록!$B$3:$B$502,MATCH($D703,고객목록!$A$3:$A$502,0)),""))</f>
        <v/>
      </c>
      <c r="F703" s="13"/>
      <c r="G703" s="13"/>
      <c r="H703" s="14" t="str">
        <f aca="false">IF(OR($L703="",$M703=""),"",ROUND(($M703-$L703)/60,2))</f>
        <v/>
      </c>
      <c r="I703" s="9"/>
      <c r="J703" s="7"/>
      <c r="K703" s="7"/>
      <c r="L703" s="15" t="str">
        <f aca="false">IF($F703="","",IF($F703&lt;1,ROUND($F703*1440,0),INT($F703/100)*60+MOD($F703,100)))</f>
        <v/>
      </c>
      <c r="M703" s="15" t="str">
        <f aca="false">IF($G703="","",IF($G703&lt;1,ROUND($G703*1440,0),INT($G703/100)*60+MOD($G703,100)))</f>
        <v/>
      </c>
      <c r="N703" s="15" t="str">
        <f aca="false">IF(OR($A703="",$B703="",$L703="",$M703="",$J703="취소"),"",IF(SUMPRODUCT(($A$3:$A$2002=$A703)*($B$3:$B$2002=$B703)*($J$3:$J$2002&lt;&gt;"취소")*($L$3:$L$2002&lt;&gt;"")*($M$3:$M$2002&lt;&gt;"")*($L$3:$L$2002&lt;$M703)*($M$3:$M$2002&gt;$L703))&gt;1,"중복","-"))</f>
        <v/>
      </c>
    </row>
    <row r="704" customFormat="false" ht="15" hidden="false" customHeight="true" outlineLevel="0" collapsed="false">
      <c r="A704" s="11"/>
      <c r="B704" s="7"/>
      <c r="C704" s="12" t="str">
        <f aca="false">IF($B704="","",IFERROR(INDEX(자원목록!$B$3:$B$102,MATCH($B704,자원목록!$A$3:$A$102,0)),"미등록자원"))</f>
        <v/>
      </c>
      <c r="D704" s="7"/>
      <c r="E704" s="12" t="str">
        <f aca="false">IF($D704="","",IFERROR(INDEX(고객목록!$B$3:$B$502,MATCH($D704,고객목록!$A$3:$A$502,0)),""))</f>
        <v/>
      </c>
      <c r="F704" s="13"/>
      <c r="G704" s="13"/>
      <c r="H704" s="14" t="str">
        <f aca="false">IF(OR($L704="",$M704=""),"",ROUND(($M704-$L704)/60,2))</f>
        <v/>
      </c>
      <c r="I704" s="9"/>
      <c r="J704" s="7"/>
      <c r="K704" s="7"/>
      <c r="L704" s="15" t="str">
        <f aca="false">IF($F704="","",IF($F704&lt;1,ROUND($F704*1440,0),INT($F704/100)*60+MOD($F704,100)))</f>
        <v/>
      </c>
      <c r="M704" s="15" t="str">
        <f aca="false">IF($G704="","",IF($G704&lt;1,ROUND($G704*1440,0),INT($G704/100)*60+MOD($G704,100)))</f>
        <v/>
      </c>
      <c r="N704" s="15" t="str">
        <f aca="false">IF(OR($A704="",$B704="",$L704="",$M704="",$J704="취소"),"",IF(SUMPRODUCT(($A$3:$A$2002=$A704)*($B$3:$B$2002=$B704)*($J$3:$J$2002&lt;&gt;"취소")*($L$3:$L$2002&lt;&gt;"")*($M$3:$M$2002&lt;&gt;"")*($L$3:$L$2002&lt;$M704)*($M$3:$M$2002&gt;$L704))&gt;1,"중복","-"))</f>
        <v/>
      </c>
    </row>
    <row r="705" customFormat="false" ht="15" hidden="false" customHeight="true" outlineLevel="0" collapsed="false">
      <c r="A705" s="11"/>
      <c r="B705" s="7"/>
      <c r="C705" s="12" t="str">
        <f aca="false">IF($B705="","",IFERROR(INDEX(자원목록!$B$3:$B$102,MATCH($B705,자원목록!$A$3:$A$102,0)),"미등록자원"))</f>
        <v/>
      </c>
      <c r="D705" s="7"/>
      <c r="E705" s="12" t="str">
        <f aca="false">IF($D705="","",IFERROR(INDEX(고객목록!$B$3:$B$502,MATCH($D705,고객목록!$A$3:$A$502,0)),""))</f>
        <v/>
      </c>
      <c r="F705" s="13"/>
      <c r="G705" s="13"/>
      <c r="H705" s="14" t="str">
        <f aca="false">IF(OR($L705="",$M705=""),"",ROUND(($M705-$L705)/60,2))</f>
        <v/>
      </c>
      <c r="I705" s="9"/>
      <c r="J705" s="7"/>
      <c r="K705" s="7"/>
      <c r="L705" s="15" t="str">
        <f aca="false">IF($F705="","",IF($F705&lt;1,ROUND($F705*1440,0),INT($F705/100)*60+MOD($F705,100)))</f>
        <v/>
      </c>
      <c r="M705" s="15" t="str">
        <f aca="false">IF($G705="","",IF($G705&lt;1,ROUND($G705*1440,0),INT($G705/100)*60+MOD($G705,100)))</f>
        <v/>
      </c>
      <c r="N705" s="15" t="str">
        <f aca="false">IF(OR($A705="",$B705="",$L705="",$M705="",$J705="취소"),"",IF(SUMPRODUCT(($A$3:$A$2002=$A705)*($B$3:$B$2002=$B705)*($J$3:$J$2002&lt;&gt;"취소")*($L$3:$L$2002&lt;&gt;"")*($M$3:$M$2002&lt;&gt;"")*($L$3:$L$2002&lt;$M705)*($M$3:$M$2002&gt;$L705))&gt;1,"중복","-"))</f>
        <v/>
      </c>
    </row>
    <row r="706" customFormat="false" ht="15" hidden="false" customHeight="true" outlineLevel="0" collapsed="false">
      <c r="A706" s="11"/>
      <c r="B706" s="7"/>
      <c r="C706" s="12" t="str">
        <f aca="false">IF($B706="","",IFERROR(INDEX(자원목록!$B$3:$B$102,MATCH($B706,자원목록!$A$3:$A$102,0)),"미등록자원"))</f>
        <v/>
      </c>
      <c r="D706" s="7"/>
      <c r="E706" s="12" t="str">
        <f aca="false">IF($D706="","",IFERROR(INDEX(고객목록!$B$3:$B$502,MATCH($D706,고객목록!$A$3:$A$502,0)),""))</f>
        <v/>
      </c>
      <c r="F706" s="13"/>
      <c r="G706" s="13"/>
      <c r="H706" s="14" t="str">
        <f aca="false">IF(OR($L706="",$M706=""),"",ROUND(($M706-$L706)/60,2))</f>
        <v/>
      </c>
      <c r="I706" s="9"/>
      <c r="J706" s="7"/>
      <c r="K706" s="7"/>
      <c r="L706" s="15" t="str">
        <f aca="false">IF($F706="","",IF($F706&lt;1,ROUND($F706*1440,0),INT($F706/100)*60+MOD($F706,100)))</f>
        <v/>
      </c>
      <c r="M706" s="15" t="str">
        <f aca="false">IF($G706="","",IF($G706&lt;1,ROUND($G706*1440,0),INT($G706/100)*60+MOD($G706,100)))</f>
        <v/>
      </c>
      <c r="N706" s="15" t="str">
        <f aca="false">IF(OR($A706="",$B706="",$L706="",$M706="",$J706="취소"),"",IF(SUMPRODUCT(($A$3:$A$2002=$A706)*($B$3:$B$2002=$B706)*($J$3:$J$2002&lt;&gt;"취소")*($L$3:$L$2002&lt;&gt;"")*($M$3:$M$2002&lt;&gt;"")*($L$3:$L$2002&lt;$M706)*($M$3:$M$2002&gt;$L706))&gt;1,"중복","-"))</f>
        <v/>
      </c>
    </row>
    <row r="707" customFormat="false" ht="15" hidden="false" customHeight="true" outlineLevel="0" collapsed="false">
      <c r="A707" s="11"/>
      <c r="B707" s="7"/>
      <c r="C707" s="12" t="str">
        <f aca="false">IF($B707="","",IFERROR(INDEX(자원목록!$B$3:$B$102,MATCH($B707,자원목록!$A$3:$A$102,0)),"미등록자원"))</f>
        <v/>
      </c>
      <c r="D707" s="7"/>
      <c r="E707" s="12" t="str">
        <f aca="false">IF($D707="","",IFERROR(INDEX(고객목록!$B$3:$B$502,MATCH($D707,고객목록!$A$3:$A$502,0)),""))</f>
        <v/>
      </c>
      <c r="F707" s="13"/>
      <c r="G707" s="13"/>
      <c r="H707" s="14" t="str">
        <f aca="false">IF(OR($L707="",$M707=""),"",ROUND(($M707-$L707)/60,2))</f>
        <v/>
      </c>
      <c r="I707" s="9"/>
      <c r="J707" s="7"/>
      <c r="K707" s="7"/>
      <c r="L707" s="15" t="str">
        <f aca="false">IF($F707="","",IF($F707&lt;1,ROUND($F707*1440,0),INT($F707/100)*60+MOD($F707,100)))</f>
        <v/>
      </c>
      <c r="M707" s="15" t="str">
        <f aca="false">IF($G707="","",IF($G707&lt;1,ROUND($G707*1440,0),INT($G707/100)*60+MOD($G707,100)))</f>
        <v/>
      </c>
      <c r="N707" s="15" t="str">
        <f aca="false">IF(OR($A707="",$B707="",$L707="",$M707="",$J707="취소"),"",IF(SUMPRODUCT(($A$3:$A$2002=$A707)*($B$3:$B$2002=$B707)*($J$3:$J$2002&lt;&gt;"취소")*($L$3:$L$2002&lt;&gt;"")*($M$3:$M$2002&lt;&gt;"")*($L$3:$L$2002&lt;$M707)*($M$3:$M$2002&gt;$L707))&gt;1,"중복","-"))</f>
        <v/>
      </c>
    </row>
    <row r="708" customFormat="false" ht="15" hidden="false" customHeight="true" outlineLevel="0" collapsed="false">
      <c r="A708" s="11"/>
      <c r="B708" s="7"/>
      <c r="C708" s="12" t="str">
        <f aca="false">IF($B708="","",IFERROR(INDEX(자원목록!$B$3:$B$102,MATCH($B708,자원목록!$A$3:$A$102,0)),"미등록자원"))</f>
        <v/>
      </c>
      <c r="D708" s="7"/>
      <c r="E708" s="12" t="str">
        <f aca="false">IF($D708="","",IFERROR(INDEX(고객목록!$B$3:$B$502,MATCH($D708,고객목록!$A$3:$A$502,0)),""))</f>
        <v/>
      </c>
      <c r="F708" s="13"/>
      <c r="G708" s="13"/>
      <c r="H708" s="14" t="str">
        <f aca="false">IF(OR($L708="",$M708=""),"",ROUND(($M708-$L708)/60,2))</f>
        <v/>
      </c>
      <c r="I708" s="9"/>
      <c r="J708" s="7"/>
      <c r="K708" s="7"/>
      <c r="L708" s="15" t="str">
        <f aca="false">IF($F708="","",IF($F708&lt;1,ROUND($F708*1440,0),INT($F708/100)*60+MOD($F708,100)))</f>
        <v/>
      </c>
      <c r="M708" s="15" t="str">
        <f aca="false">IF($G708="","",IF($G708&lt;1,ROUND($G708*1440,0),INT($G708/100)*60+MOD($G708,100)))</f>
        <v/>
      </c>
      <c r="N708" s="15" t="str">
        <f aca="false">IF(OR($A708="",$B708="",$L708="",$M708="",$J708="취소"),"",IF(SUMPRODUCT(($A$3:$A$2002=$A708)*($B$3:$B$2002=$B708)*($J$3:$J$2002&lt;&gt;"취소")*($L$3:$L$2002&lt;&gt;"")*($M$3:$M$2002&lt;&gt;"")*($L$3:$L$2002&lt;$M708)*($M$3:$M$2002&gt;$L708))&gt;1,"중복","-"))</f>
        <v/>
      </c>
    </row>
    <row r="709" customFormat="false" ht="15" hidden="false" customHeight="true" outlineLevel="0" collapsed="false">
      <c r="A709" s="11"/>
      <c r="B709" s="7"/>
      <c r="C709" s="12" t="str">
        <f aca="false">IF($B709="","",IFERROR(INDEX(자원목록!$B$3:$B$102,MATCH($B709,자원목록!$A$3:$A$102,0)),"미등록자원"))</f>
        <v/>
      </c>
      <c r="D709" s="7"/>
      <c r="E709" s="12" t="str">
        <f aca="false">IF($D709="","",IFERROR(INDEX(고객목록!$B$3:$B$502,MATCH($D709,고객목록!$A$3:$A$502,0)),""))</f>
        <v/>
      </c>
      <c r="F709" s="13"/>
      <c r="G709" s="13"/>
      <c r="H709" s="14" t="str">
        <f aca="false">IF(OR($L709="",$M709=""),"",ROUND(($M709-$L709)/60,2))</f>
        <v/>
      </c>
      <c r="I709" s="9"/>
      <c r="J709" s="7"/>
      <c r="K709" s="7"/>
      <c r="L709" s="15" t="str">
        <f aca="false">IF($F709="","",IF($F709&lt;1,ROUND($F709*1440,0),INT($F709/100)*60+MOD($F709,100)))</f>
        <v/>
      </c>
      <c r="M709" s="15" t="str">
        <f aca="false">IF($G709="","",IF($G709&lt;1,ROUND($G709*1440,0),INT($G709/100)*60+MOD($G709,100)))</f>
        <v/>
      </c>
      <c r="N709" s="15" t="str">
        <f aca="false">IF(OR($A709="",$B709="",$L709="",$M709="",$J709="취소"),"",IF(SUMPRODUCT(($A$3:$A$2002=$A709)*($B$3:$B$2002=$B709)*($J$3:$J$2002&lt;&gt;"취소")*($L$3:$L$2002&lt;&gt;"")*($M$3:$M$2002&lt;&gt;"")*($L$3:$L$2002&lt;$M709)*($M$3:$M$2002&gt;$L709))&gt;1,"중복","-"))</f>
        <v/>
      </c>
    </row>
    <row r="710" customFormat="false" ht="15" hidden="false" customHeight="true" outlineLevel="0" collapsed="false">
      <c r="A710" s="11"/>
      <c r="B710" s="7"/>
      <c r="C710" s="12" t="str">
        <f aca="false">IF($B710="","",IFERROR(INDEX(자원목록!$B$3:$B$102,MATCH($B710,자원목록!$A$3:$A$102,0)),"미등록자원"))</f>
        <v/>
      </c>
      <c r="D710" s="7"/>
      <c r="E710" s="12" t="str">
        <f aca="false">IF($D710="","",IFERROR(INDEX(고객목록!$B$3:$B$502,MATCH($D710,고객목록!$A$3:$A$502,0)),""))</f>
        <v/>
      </c>
      <c r="F710" s="13"/>
      <c r="G710" s="13"/>
      <c r="H710" s="14" t="str">
        <f aca="false">IF(OR($L710="",$M710=""),"",ROUND(($M710-$L710)/60,2))</f>
        <v/>
      </c>
      <c r="I710" s="9"/>
      <c r="J710" s="7"/>
      <c r="K710" s="7"/>
      <c r="L710" s="15" t="str">
        <f aca="false">IF($F710="","",IF($F710&lt;1,ROUND($F710*1440,0),INT($F710/100)*60+MOD($F710,100)))</f>
        <v/>
      </c>
      <c r="M710" s="15" t="str">
        <f aca="false">IF($G710="","",IF($G710&lt;1,ROUND($G710*1440,0),INT($G710/100)*60+MOD($G710,100)))</f>
        <v/>
      </c>
      <c r="N710" s="15" t="str">
        <f aca="false">IF(OR($A710="",$B710="",$L710="",$M710="",$J710="취소"),"",IF(SUMPRODUCT(($A$3:$A$2002=$A710)*($B$3:$B$2002=$B710)*($J$3:$J$2002&lt;&gt;"취소")*($L$3:$L$2002&lt;&gt;"")*($M$3:$M$2002&lt;&gt;"")*($L$3:$L$2002&lt;$M710)*($M$3:$M$2002&gt;$L710))&gt;1,"중복","-"))</f>
        <v/>
      </c>
    </row>
    <row r="711" customFormat="false" ht="15" hidden="false" customHeight="true" outlineLevel="0" collapsed="false">
      <c r="A711" s="11"/>
      <c r="B711" s="7"/>
      <c r="C711" s="12" t="str">
        <f aca="false">IF($B711="","",IFERROR(INDEX(자원목록!$B$3:$B$102,MATCH($B711,자원목록!$A$3:$A$102,0)),"미등록자원"))</f>
        <v/>
      </c>
      <c r="D711" s="7"/>
      <c r="E711" s="12" t="str">
        <f aca="false">IF($D711="","",IFERROR(INDEX(고객목록!$B$3:$B$502,MATCH($D711,고객목록!$A$3:$A$502,0)),""))</f>
        <v/>
      </c>
      <c r="F711" s="13"/>
      <c r="G711" s="13"/>
      <c r="H711" s="14" t="str">
        <f aca="false">IF(OR($L711="",$M711=""),"",ROUND(($M711-$L711)/60,2))</f>
        <v/>
      </c>
      <c r="I711" s="9"/>
      <c r="J711" s="7"/>
      <c r="K711" s="7"/>
      <c r="L711" s="15" t="str">
        <f aca="false">IF($F711="","",IF($F711&lt;1,ROUND($F711*1440,0),INT($F711/100)*60+MOD($F711,100)))</f>
        <v/>
      </c>
      <c r="M711" s="15" t="str">
        <f aca="false">IF($G711="","",IF($G711&lt;1,ROUND($G711*1440,0),INT($G711/100)*60+MOD($G711,100)))</f>
        <v/>
      </c>
      <c r="N711" s="15" t="str">
        <f aca="false">IF(OR($A711="",$B711="",$L711="",$M711="",$J711="취소"),"",IF(SUMPRODUCT(($A$3:$A$2002=$A711)*($B$3:$B$2002=$B711)*($J$3:$J$2002&lt;&gt;"취소")*($L$3:$L$2002&lt;&gt;"")*($M$3:$M$2002&lt;&gt;"")*($L$3:$L$2002&lt;$M711)*($M$3:$M$2002&gt;$L711))&gt;1,"중복","-"))</f>
        <v/>
      </c>
    </row>
    <row r="712" customFormat="false" ht="15" hidden="false" customHeight="true" outlineLevel="0" collapsed="false">
      <c r="A712" s="11"/>
      <c r="B712" s="7"/>
      <c r="C712" s="12" t="str">
        <f aca="false">IF($B712="","",IFERROR(INDEX(자원목록!$B$3:$B$102,MATCH($B712,자원목록!$A$3:$A$102,0)),"미등록자원"))</f>
        <v/>
      </c>
      <c r="D712" s="7"/>
      <c r="E712" s="12" t="str">
        <f aca="false">IF($D712="","",IFERROR(INDEX(고객목록!$B$3:$B$502,MATCH($D712,고객목록!$A$3:$A$502,0)),""))</f>
        <v/>
      </c>
      <c r="F712" s="13"/>
      <c r="G712" s="13"/>
      <c r="H712" s="14" t="str">
        <f aca="false">IF(OR($L712="",$M712=""),"",ROUND(($M712-$L712)/60,2))</f>
        <v/>
      </c>
      <c r="I712" s="9"/>
      <c r="J712" s="7"/>
      <c r="K712" s="7"/>
      <c r="L712" s="15" t="str">
        <f aca="false">IF($F712="","",IF($F712&lt;1,ROUND($F712*1440,0),INT($F712/100)*60+MOD($F712,100)))</f>
        <v/>
      </c>
      <c r="M712" s="15" t="str">
        <f aca="false">IF($G712="","",IF($G712&lt;1,ROUND($G712*1440,0),INT($G712/100)*60+MOD($G712,100)))</f>
        <v/>
      </c>
      <c r="N712" s="15" t="str">
        <f aca="false">IF(OR($A712="",$B712="",$L712="",$M712="",$J712="취소"),"",IF(SUMPRODUCT(($A$3:$A$2002=$A712)*($B$3:$B$2002=$B712)*($J$3:$J$2002&lt;&gt;"취소")*($L$3:$L$2002&lt;&gt;"")*($M$3:$M$2002&lt;&gt;"")*($L$3:$L$2002&lt;$M712)*($M$3:$M$2002&gt;$L712))&gt;1,"중복","-"))</f>
        <v/>
      </c>
    </row>
    <row r="713" customFormat="false" ht="15" hidden="false" customHeight="true" outlineLevel="0" collapsed="false">
      <c r="A713" s="11"/>
      <c r="B713" s="7"/>
      <c r="C713" s="12" t="str">
        <f aca="false">IF($B713="","",IFERROR(INDEX(자원목록!$B$3:$B$102,MATCH($B713,자원목록!$A$3:$A$102,0)),"미등록자원"))</f>
        <v/>
      </c>
      <c r="D713" s="7"/>
      <c r="E713" s="12" t="str">
        <f aca="false">IF($D713="","",IFERROR(INDEX(고객목록!$B$3:$B$502,MATCH($D713,고객목록!$A$3:$A$502,0)),""))</f>
        <v/>
      </c>
      <c r="F713" s="13"/>
      <c r="G713" s="13"/>
      <c r="H713" s="14" t="str">
        <f aca="false">IF(OR($L713="",$M713=""),"",ROUND(($M713-$L713)/60,2))</f>
        <v/>
      </c>
      <c r="I713" s="9"/>
      <c r="J713" s="7"/>
      <c r="K713" s="7"/>
      <c r="L713" s="15" t="str">
        <f aca="false">IF($F713="","",IF($F713&lt;1,ROUND($F713*1440,0),INT($F713/100)*60+MOD($F713,100)))</f>
        <v/>
      </c>
      <c r="M713" s="15" t="str">
        <f aca="false">IF($G713="","",IF($G713&lt;1,ROUND($G713*1440,0),INT($G713/100)*60+MOD($G713,100)))</f>
        <v/>
      </c>
      <c r="N713" s="15" t="str">
        <f aca="false">IF(OR($A713="",$B713="",$L713="",$M713="",$J713="취소"),"",IF(SUMPRODUCT(($A$3:$A$2002=$A713)*($B$3:$B$2002=$B713)*($J$3:$J$2002&lt;&gt;"취소")*($L$3:$L$2002&lt;&gt;"")*($M$3:$M$2002&lt;&gt;"")*($L$3:$L$2002&lt;$M713)*($M$3:$M$2002&gt;$L713))&gt;1,"중복","-"))</f>
        <v/>
      </c>
    </row>
    <row r="714" customFormat="false" ht="15" hidden="false" customHeight="true" outlineLevel="0" collapsed="false">
      <c r="A714" s="11"/>
      <c r="B714" s="7"/>
      <c r="C714" s="12" t="str">
        <f aca="false">IF($B714="","",IFERROR(INDEX(자원목록!$B$3:$B$102,MATCH($B714,자원목록!$A$3:$A$102,0)),"미등록자원"))</f>
        <v/>
      </c>
      <c r="D714" s="7"/>
      <c r="E714" s="12" t="str">
        <f aca="false">IF($D714="","",IFERROR(INDEX(고객목록!$B$3:$B$502,MATCH($D714,고객목록!$A$3:$A$502,0)),""))</f>
        <v/>
      </c>
      <c r="F714" s="13"/>
      <c r="G714" s="13"/>
      <c r="H714" s="14" t="str">
        <f aca="false">IF(OR($L714="",$M714=""),"",ROUND(($M714-$L714)/60,2))</f>
        <v/>
      </c>
      <c r="I714" s="9"/>
      <c r="J714" s="7"/>
      <c r="K714" s="7"/>
      <c r="L714" s="15" t="str">
        <f aca="false">IF($F714="","",IF($F714&lt;1,ROUND($F714*1440,0),INT($F714/100)*60+MOD($F714,100)))</f>
        <v/>
      </c>
      <c r="M714" s="15" t="str">
        <f aca="false">IF($G714="","",IF($G714&lt;1,ROUND($G714*1440,0),INT($G714/100)*60+MOD($G714,100)))</f>
        <v/>
      </c>
      <c r="N714" s="15" t="str">
        <f aca="false">IF(OR($A714="",$B714="",$L714="",$M714="",$J714="취소"),"",IF(SUMPRODUCT(($A$3:$A$2002=$A714)*($B$3:$B$2002=$B714)*($J$3:$J$2002&lt;&gt;"취소")*($L$3:$L$2002&lt;&gt;"")*($M$3:$M$2002&lt;&gt;"")*($L$3:$L$2002&lt;$M714)*($M$3:$M$2002&gt;$L714))&gt;1,"중복","-"))</f>
        <v/>
      </c>
    </row>
    <row r="715" customFormat="false" ht="15" hidden="false" customHeight="true" outlineLevel="0" collapsed="false">
      <c r="A715" s="11"/>
      <c r="B715" s="7"/>
      <c r="C715" s="12" t="str">
        <f aca="false">IF($B715="","",IFERROR(INDEX(자원목록!$B$3:$B$102,MATCH($B715,자원목록!$A$3:$A$102,0)),"미등록자원"))</f>
        <v/>
      </c>
      <c r="D715" s="7"/>
      <c r="E715" s="12" t="str">
        <f aca="false">IF($D715="","",IFERROR(INDEX(고객목록!$B$3:$B$502,MATCH($D715,고객목록!$A$3:$A$502,0)),""))</f>
        <v/>
      </c>
      <c r="F715" s="13"/>
      <c r="G715" s="13"/>
      <c r="H715" s="14" t="str">
        <f aca="false">IF(OR($L715="",$M715=""),"",ROUND(($M715-$L715)/60,2))</f>
        <v/>
      </c>
      <c r="I715" s="9"/>
      <c r="J715" s="7"/>
      <c r="K715" s="7"/>
      <c r="L715" s="15" t="str">
        <f aca="false">IF($F715="","",IF($F715&lt;1,ROUND($F715*1440,0),INT($F715/100)*60+MOD($F715,100)))</f>
        <v/>
      </c>
      <c r="M715" s="15" t="str">
        <f aca="false">IF($G715="","",IF($G715&lt;1,ROUND($G715*1440,0),INT($G715/100)*60+MOD($G715,100)))</f>
        <v/>
      </c>
      <c r="N715" s="15" t="str">
        <f aca="false">IF(OR($A715="",$B715="",$L715="",$M715="",$J715="취소"),"",IF(SUMPRODUCT(($A$3:$A$2002=$A715)*($B$3:$B$2002=$B715)*($J$3:$J$2002&lt;&gt;"취소")*($L$3:$L$2002&lt;&gt;"")*($M$3:$M$2002&lt;&gt;"")*($L$3:$L$2002&lt;$M715)*($M$3:$M$2002&gt;$L715))&gt;1,"중복","-"))</f>
        <v/>
      </c>
    </row>
    <row r="716" customFormat="false" ht="15" hidden="false" customHeight="true" outlineLevel="0" collapsed="false">
      <c r="A716" s="11"/>
      <c r="B716" s="7"/>
      <c r="C716" s="12" t="str">
        <f aca="false">IF($B716="","",IFERROR(INDEX(자원목록!$B$3:$B$102,MATCH($B716,자원목록!$A$3:$A$102,0)),"미등록자원"))</f>
        <v/>
      </c>
      <c r="D716" s="7"/>
      <c r="E716" s="12" t="str">
        <f aca="false">IF($D716="","",IFERROR(INDEX(고객목록!$B$3:$B$502,MATCH($D716,고객목록!$A$3:$A$502,0)),""))</f>
        <v/>
      </c>
      <c r="F716" s="13"/>
      <c r="G716" s="13"/>
      <c r="H716" s="14" t="str">
        <f aca="false">IF(OR($L716="",$M716=""),"",ROUND(($M716-$L716)/60,2))</f>
        <v/>
      </c>
      <c r="I716" s="9"/>
      <c r="J716" s="7"/>
      <c r="K716" s="7"/>
      <c r="L716" s="15" t="str">
        <f aca="false">IF($F716="","",IF($F716&lt;1,ROUND($F716*1440,0),INT($F716/100)*60+MOD($F716,100)))</f>
        <v/>
      </c>
      <c r="M716" s="15" t="str">
        <f aca="false">IF($G716="","",IF($G716&lt;1,ROUND($G716*1440,0),INT($G716/100)*60+MOD($G716,100)))</f>
        <v/>
      </c>
      <c r="N716" s="15" t="str">
        <f aca="false">IF(OR($A716="",$B716="",$L716="",$M716="",$J716="취소"),"",IF(SUMPRODUCT(($A$3:$A$2002=$A716)*($B$3:$B$2002=$B716)*($J$3:$J$2002&lt;&gt;"취소")*($L$3:$L$2002&lt;&gt;"")*($M$3:$M$2002&lt;&gt;"")*($L$3:$L$2002&lt;$M716)*($M$3:$M$2002&gt;$L716))&gt;1,"중복","-"))</f>
        <v/>
      </c>
    </row>
    <row r="717" customFormat="false" ht="15" hidden="false" customHeight="true" outlineLevel="0" collapsed="false">
      <c r="A717" s="11"/>
      <c r="B717" s="7"/>
      <c r="C717" s="12" t="str">
        <f aca="false">IF($B717="","",IFERROR(INDEX(자원목록!$B$3:$B$102,MATCH($B717,자원목록!$A$3:$A$102,0)),"미등록자원"))</f>
        <v/>
      </c>
      <c r="D717" s="7"/>
      <c r="E717" s="12" t="str">
        <f aca="false">IF($D717="","",IFERROR(INDEX(고객목록!$B$3:$B$502,MATCH($D717,고객목록!$A$3:$A$502,0)),""))</f>
        <v/>
      </c>
      <c r="F717" s="13"/>
      <c r="G717" s="13"/>
      <c r="H717" s="14" t="str">
        <f aca="false">IF(OR($L717="",$M717=""),"",ROUND(($M717-$L717)/60,2))</f>
        <v/>
      </c>
      <c r="I717" s="9"/>
      <c r="J717" s="7"/>
      <c r="K717" s="7"/>
      <c r="L717" s="15" t="str">
        <f aca="false">IF($F717="","",IF($F717&lt;1,ROUND($F717*1440,0),INT($F717/100)*60+MOD($F717,100)))</f>
        <v/>
      </c>
      <c r="M717" s="15" t="str">
        <f aca="false">IF($G717="","",IF($G717&lt;1,ROUND($G717*1440,0),INT($G717/100)*60+MOD($G717,100)))</f>
        <v/>
      </c>
      <c r="N717" s="15" t="str">
        <f aca="false">IF(OR($A717="",$B717="",$L717="",$M717="",$J717="취소"),"",IF(SUMPRODUCT(($A$3:$A$2002=$A717)*($B$3:$B$2002=$B717)*($J$3:$J$2002&lt;&gt;"취소")*($L$3:$L$2002&lt;&gt;"")*($M$3:$M$2002&lt;&gt;"")*($L$3:$L$2002&lt;$M717)*($M$3:$M$2002&gt;$L717))&gt;1,"중복","-"))</f>
        <v/>
      </c>
    </row>
    <row r="718" customFormat="false" ht="15" hidden="false" customHeight="true" outlineLevel="0" collapsed="false">
      <c r="A718" s="11"/>
      <c r="B718" s="7"/>
      <c r="C718" s="12" t="str">
        <f aca="false">IF($B718="","",IFERROR(INDEX(자원목록!$B$3:$B$102,MATCH($B718,자원목록!$A$3:$A$102,0)),"미등록자원"))</f>
        <v/>
      </c>
      <c r="D718" s="7"/>
      <c r="E718" s="12" t="str">
        <f aca="false">IF($D718="","",IFERROR(INDEX(고객목록!$B$3:$B$502,MATCH($D718,고객목록!$A$3:$A$502,0)),""))</f>
        <v/>
      </c>
      <c r="F718" s="13"/>
      <c r="G718" s="13"/>
      <c r="H718" s="14" t="str">
        <f aca="false">IF(OR($L718="",$M718=""),"",ROUND(($M718-$L718)/60,2))</f>
        <v/>
      </c>
      <c r="I718" s="9"/>
      <c r="J718" s="7"/>
      <c r="K718" s="7"/>
      <c r="L718" s="15" t="str">
        <f aca="false">IF($F718="","",IF($F718&lt;1,ROUND($F718*1440,0),INT($F718/100)*60+MOD($F718,100)))</f>
        <v/>
      </c>
      <c r="M718" s="15" t="str">
        <f aca="false">IF($G718="","",IF($G718&lt;1,ROUND($G718*1440,0),INT($G718/100)*60+MOD($G718,100)))</f>
        <v/>
      </c>
      <c r="N718" s="15" t="str">
        <f aca="false">IF(OR($A718="",$B718="",$L718="",$M718="",$J718="취소"),"",IF(SUMPRODUCT(($A$3:$A$2002=$A718)*($B$3:$B$2002=$B718)*($J$3:$J$2002&lt;&gt;"취소")*($L$3:$L$2002&lt;&gt;"")*($M$3:$M$2002&lt;&gt;"")*($L$3:$L$2002&lt;$M718)*($M$3:$M$2002&gt;$L718))&gt;1,"중복","-"))</f>
        <v/>
      </c>
    </row>
    <row r="719" customFormat="false" ht="15" hidden="false" customHeight="true" outlineLevel="0" collapsed="false">
      <c r="A719" s="11"/>
      <c r="B719" s="7"/>
      <c r="C719" s="12" t="str">
        <f aca="false">IF($B719="","",IFERROR(INDEX(자원목록!$B$3:$B$102,MATCH($B719,자원목록!$A$3:$A$102,0)),"미등록자원"))</f>
        <v/>
      </c>
      <c r="D719" s="7"/>
      <c r="E719" s="12" t="str">
        <f aca="false">IF($D719="","",IFERROR(INDEX(고객목록!$B$3:$B$502,MATCH($D719,고객목록!$A$3:$A$502,0)),""))</f>
        <v/>
      </c>
      <c r="F719" s="13"/>
      <c r="G719" s="13"/>
      <c r="H719" s="14" t="str">
        <f aca="false">IF(OR($L719="",$M719=""),"",ROUND(($M719-$L719)/60,2))</f>
        <v/>
      </c>
      <c r="I719" s="9"/>
      <c r="J719" s="7"/>
      <c r="K719" s="7"/>
      <c r="L719" s="15" t="str">
        <f aca="false">IF($F719="","",IF($F719&lt;1,ROUND($F719*1440,0),INT($F719/100)*60+MOD($F719,100)))</f>
        <v/>
      </c>
      <c r="M719" s="15" t="str">
        <f aca="false">IF($G719="","",IF($G719&lt;1,ROUND($G719*1440,0),INT($G719/100)*60+MOD($G719,100)))</f>
        <v/>
      </c>
      <c r="N719" s="15" t="str">
        <f aca="false">IF(OR($A719="",$B719="",$L719="",$M719="",$J719="취소"),"",IF(SUMPRODUCT(($A$3:$A$2002=$A719)*($B$3:$B$2002=$B719)*($J$3:$J$2002&lt;&gt;"취소")*($L$3:$L$2002&lt;&gt;"")*($M$3:$M$2002&lt;&gt;"")*($L$3:$L$2002&lt;$M719)*($M$3:$M$2002&gt;$L719))&gt;1,"중복","-"))</f>
        <v/>
      </c>
    </row>
    <row r="720" customFormat="false" ht="15" hidden="false" customHeight="true" outlineLevel="0" collapsed="false">
      <c r="A720" s="11"/>
      <c r="B720" s="7"/>
      <c r="C720" s="12" t="str">
        <f aca="false">IF($B720="","",IFERROR(INDEX(자원목록!$B$3:$B$102,MATCH($B720,자원목록!$A$3:$A$102,0)),"미등록자원"))</f>
        <v/>
      </c>
      <c r="D720" s="7"/>
      <c r="E720" s="12" t="str">
        <f aca="false">IF($D720="","",IFERROR(INDEX(고객목록!$B$3:$B$502,MATCH($D720,고객목록!$A$3:$A$502,0)),""))</f>
        <v/>
      </c>
      <c r="F720" s="13"/>
      <c r="G720" s="13"/>
      <c r="H720" s="14" t="str">
        <f aca="false">IF(OR($L720="",$M720=""),"",ROUND(($M720-$L720)/60,2))</f>
        <v/>
      </c>
      <c r="I720" s="9"/>
      <c r="J720" s="7"/>
      <c r="K720" s="7"/>
      <c r="L720" s="15" t="str">
        <f aca="false">IF($F720="","",IF($F720&lt;1,ROUND($F720*1440,0),INT($F720/100)*60+MOD($F720,100)))</f>
        <v/>
      </c>
      <c r="M720" s="15" t="str">
        <f aca="false">IF($G720="","",IF($G720&lt;1,ROUND($G720*1440,0),INT($G720/100)*60+MOD($G720,100)))</f>
        <v/>
      </c>
      <c r="N720" s="15" t="str">
        <f aca="false">IF(OR($A720="",$B720="",$L720="",$M720="",$J720="취소"),"",IF(SUMPRODUCT(($A$3:$A$2002=$A720)*($B$3:$B$2002=$B720)*($J$3:$J$2002&lt;&gt;"취소")*($L$3:$L$2002&lt;&gt;"")*($M$3:$M$2002&lt;&gt;"")*($L$3:$L$2002&lt;$M720)*($M$3:$M$2002&gt;$L720))&gt;1,"중복","-"))</f>
        <v/>
      </c>
    </row>
    <row r="721" customFormat="false" ht="15" hidden="false" customHeight="true" outlineLevel="0" collapsed="false">
      <c r="A721" s="11"/>
      <c r="B721" s="7"/>
      <c r="C721" s="12" t="str">
        <f aca="false">IF($B721="","",IFERROR(INDEX(자원목록!$B$3:$B$102,MATCH($B721,자원목록!$A$3:$A$102,0)),"미등록자원"))</f>
        <v/>
      </c>
      <c r="D721" s="7"/>
      <c r="E721" s="12" t="str">
        <f aca="false">IF($D721="","",IFERROR(INDEX(고객목록!$B$3:$B$502,MATCH($D721,고객목록!$A$3:$A$502,0)),""))</f>
        <v/>
      </c>
      <c r="F721" s="13"/>
      <c r="G721" s="13"/>
      <c r="H721" s="14" t="str">
        <f aca="false">IF(OR($L721="",$M721=""),"",ROUND(($M721-$L721)/60,2))</f>
        <v/>
      </c>
      <c r="I721" s="9"/>
      <c r="J721" s="7"/>
      <c r="K721" s="7"/>
      <c r="L721" s="15" t="str">
        <f aca="false">IF($F721="","",IF($F721&lt;1,ROUND($F721*1440,0),INT($F721/100)*60+MOD($F721,100)))</f>
        <v/>
      </c>
      <c r="M721" s="15" t="str">
        <f aca="false">IF($G721="","",IF($G721&lt;1,ROUND($G721*1440,0),INT($G721/100)*60+MOD($G721,100)))</f>
        <v/>
      </c>
      <c r="N721" s="15" t="str">
        <f aca="false">IF(OR($A721="",$B721="",$L721="",$M721="",$J721="취소"),"",IF(SUMPRODUCT(($A$3:$A$2002=$A721)*($B$3:$B$2002=$B721)*($J$3:$J$2002&lt;&gt;"취소")*($L$3:$L$2002&lt;&gt;"")*($M$3:$M$2002&lt;&gt;"")*($L$3:$L$2002&lt;$M721)*($M$3:$M$2002&gt;$L721))&gt;1,"중복","-"))</f>
        <v/>
      </c>
    </row>
    <row r="722" customFormat="false" ht="15" hidden="false" customHeight="true" outlineLevel="0" collapsed="false">
      <c r="A722" s="11"/>
      <c r="B722" s="7"/>
      <c r="C722" s="12" t="str">
        <f aca="false">IF($B722="","",IFERROR(INDEX(자원목록!$B$3:$B$102,MATCH($B722,자원목록!$A$3:$A$102,0)),"미등록자원"))</f>
        <v/>
      </c>
      <c r="D722" s="7"/>
      <c r="E722" s="12" t="str">
        <f aca="false">IF($D722="","",IFERROR(INDEX(고객목록!$B$3:$B$502,MATCH($D722,고객목록!$A$3:$A$502,0)),""))</f>
        <v/>
      </c>
      <c r="F722" s="13"/>
      <c r="G722" s="13"/>
      <c r="H722" s="14" t="str">
        <f aca="false">IF(OR($L722="",$M722=""),"",ROUND(($M722-$L722)/60,2))</f>
        <v/>
      </c>
      <c r="I722" s="9"/>
      <c r="J722" s="7"/>
      <c r="K722" s="7"/>
      <c r="L722" s="15" t="str">
        <f aca="false">IF($F722="","",IF($F722&lt;1,ROUND($F722*1440,0),INT($F722/100)*60+MOD($F722,100)))</f>
        <v/>
      </c>
      <c r="M722" s="15" t="str">
        <f aca="false">IF($G722="","",IF($G722&lt;1,ROUND($G722*1440,0),INT($G722/100)*60+MOD($G722,100)))</f>
        <v/>
      </c>
      <c r="N722" s="15" t="str">
        <f aca="false">IF(OR($A722="",$B722="",$L722="",$M722="",$J722="취소"),"",IF(SUMPRODUCT(($A$3:$A$2002=$A722)*($B$3:$B$2002=$B722)*($J$3:$J$2002&lt;&gt;"취소")*($L$3:$L$2002&lt;&gt;"")*($M$3:$M$2002&lt;&gt;"")*($L$3:$L$2002&lt;$M722)*($M$3:$M$2002&gt;$L722))&gt;1,"중복","-"))</f>
        <v/>
      </c>
    </row>
    <row r="723" customFormat="false" ht="15" hidden="false" customHeight="true" outlineLevel="0" collapsed="false">
      <c r="A723" s="11"/>
      <c r="B723" s="7"/>
      <c r="C723" s="12" t="str">
        <f aca="false">IF($B723="","",IFERROR(INDEX(자원목록!$B$3:$B$102,MATCH($B723,자원목록!$A$3:$A$102,0)),"미등록자원"))</f>
        <v/>
      </c>
      <c r="D723" s="7"/>
      <c r="E723" s="12" t="str">
        <f aca="false">IF($D723="","",IFERROR(INDEX(고객목록!$B$3:$B$502,MATCH($D723,고객목록!$A$3:$A$502,0)),""))</f>
        <v/>
      </c>
      <c r="F723" s="13"/>
      <c r="G723" s="13"/>
      <c r="H723" s="14" t="str">
        <f aca="false">IF(OR($L723="",$M723=""),"",ROUND(($M723-$L723)/60,2))</f>
        <v/>
      </c>
      <c r="I723" s="9"/>
      <c r="J723" s="7"/>
      <c r="K723" s="7"/>
      <c r="L723" s="15" t="str">
        <f aca="false">IF($F723="","",IF($F723&lt;1,ROUND($F723*1440,0),INT($F723/100)*60+MOD($F723,100)))</f>
        <v/>
      </c>
      <c r="M723" s="15" t="str">
        <f aca="false">IF($G723="","",IF($G723&lt;1,ROUND($G723*1440,0),INT($G723/100)*60+MOD($G723,100)))</f>
        <v/>
      </c>
      <c r="N723" s="15" t="str">
        <f aca="false">IF(OR($A723="",$B723="",$L723="",$M723="",$J723="취소"),"",IF(SUMPRODUCT(($A$3:$A$2002=$A723)*($B$3:$B$2002=$B723)*($J$3:$J$2002&lt;&gt;"취소")*($L$3:$L$2002&lt;&gt;"")*($M$3:$M$2002&lt;&gt;"")*($L$3:$L$2002&lt;$M723)*($M$3:$M$2002&gt;$L723))&gt;1,"중복","-"))</f>
        <v/>
      </c>
    </row>
    <row r="724" customFormat="false" ht="15" hidden="false" customHeight="true" outlineLevel="0" collapsed="false">
      <c r="A724" s="11"/>
      <c r="B724" s="7"/>
      <c r="C724" s="12" t="str">
        <f aca="false">IF($B724="","",IFERROR(INDEX(자원목록!$B$3:$B$102,MATCH($B724,자원목록!$A$3:$A$102,0)),"미등록자원"))</f>
        <v/>
      </c>
      <c r="D724" s="7"/>
      <c r="E724" s="12" t="str">
        <f aca="false">IF($D724="","",IFERROR(INDEX(고객목록!$B$3:$B$502,MATCH($D724,고객목록!$A$3:$A$502,0)),""))</f>
        <v/>
      </c>
      <c r="F724" s="13"/>
      <c r="G724" s="13"/>
      <c r="H724" s="14" t="str">
        <f aca="false">IF(OR($L724="",$M724=""),"",ROUND(($M724-$L724)/60,2))</f>
        <v/>
      </c>
      <c r="I724" s="9"/>
      <c r="J724" s="7"/>
      <c r="K724" s="7"/>
      <c r="L724" s="15" t="str">
        <f aca="false">IF($F724="","",IF($F724&lt;1,ROUND($F724*1440,0),INT($F724/100)*60+MOD($F724,100)))</f>
        <v/>
      </c>
      <c r="M724" s="15" t="str">
        <f aca="false">IF($G724="","",IF($G724&lt;1,ROUND($G724*1440,0),INT($G724/100)*60+MOD($G724,100)))</f>
        <v/>
      </c>
      <c r="N724" s="15" t="str">
        <f aca="false">IF(OR($A724="",$B724="",$L724="",$M724="",$J724="취소"),"",IF(SUMPRODUCT(($A$3:$A$2002=$A724)*($B$3:$B$2002=$B724)*($J$3:$J$2002&lt;&gt;"취소")*($L$3:$L$2002&lt;&gt;"")*($M$3:$M$2002&lt;&gt;"")*($L$3:$L$2002&lt;$M724)*($M$3:$M$2002&gt;$L724))&gt;1,"중복","-"))</f>
        <v/>
      </c>
    </row>
    <row r="725" customFormat="false" ht="15" hidden="false" customHeight="true" outlineLevel="0" collapsed="false">
      <c r="A725" s="11"/>
      <c r="B725" s="7"/>
      <c r="C725" s="12" t="str">
        <f aca="false">IF($B725="","",IFERROR(INDEX(자원목록!$B$3:$B$102,MATCH($B725,자원목록!$A$3:$A$102,0)),"미등록자원"))</f>
        <v/>
      </c>
      <c r="D725" s="7"/>
      <c r="E725" s="12" t="str">
        <f aca="false">IF($D725="","",IFERROR(INDEX(고객목록!$B$3:$B$502,MATCH($D725,고객목록!$A$3:$A$502,0)),""))</f>
        <v/>
      </c>
      <c r="F725" s="13"/>
      <c r="G725" s="13"/>
      <c r="H725" s="14" t="str">
        <f aca="false">IF(OR($L725="",$M725=""),"",ROUND(($M725-$L725)/60,2))</f>
        <v/>
      </c>
      <c r="I725" s="9"/>
      <c r="J725" s="7"/>
      <c r="K725" s="7"/>
      <c r="L725" s="15" t="str">
        <f aca="false">IF($F725="","",IF($F725&lt;1,ROUND($F725*1440,0),INT($F725/100)*60+MOD($F725,100)))</f>
        <v/>
      </c>
      <c r="M725" s="15" t="str">
        <f aca="false">IF($G725="","",IF($G725&lt;1,ROUND($G725*1440,0),INT($G725/100)*60+MOD($G725,100)))</f>
        <v/>
      </c>
      <c r="N725" s="15" t="str">
        <f aca="false">IF(OR($A725="",$B725="",$L725="",$M725="",$J725="취소"),"",IF(SUMPRODUCT(($A$3:$A$2002=$A725)*($B$3:$B$2002=$B725)*($J$3:$J$2002&lt;&gt;"취소")*($L$3:$L$2002&lt;&gt;"")*($M$3:$M$2002&lt;&gt;"")*($L$3:$L$2002&lt;$M725)*($M$3:$M$2002&gt;$L725))&gt;1,"중복","-"))</f>
        <v/>
      </c>
    </row>
    <row r="726" customFormat="false" ht="15" hidden="false" customHeight="true" outlineLevel="0" collapsed="false">
      <c r="A726" s="11"/>
      <c r="B726" s="7"/>
      <c r="C726" s="12" t="str">
        <f aca="false">IF($B726="","",IFERROR(INDEX(자원목록!$B$3:$B$102,MATCH($B726,자원목록!$A$3:$A$102,0)),"미등록자원"))</f>
        <v/>
      </c>
      <c r="D726" s="7"/>
      <c r="E726" s="12" t="str">
        <f aca="false">IF($D726="","",IFERROR(INDEX(고객목록!$B$3:$B$502,MATCH($D726,고객목록!$A$3:$A$502,0)),""))</f>
        <v/>
      </c>
      <c r="F726" s="13"/>
      <c r="G726" s="13"/>
      <c r="H726" s="14" t="str">
        <f aca="false">IF(OR($L726="",$M726=""),"",ROUND(($M726-$L726)/60,2))</f>
        <v/>
      </c>
      <c r="I726" s="9"/>
      <c r="J726" s="7"/>
      <c r="K726" s="7"/>
      <c r="L726" s="15" t="str">
        <f aca="false">IF($F726="","",IF($F726&lt;1,ROUND($F726*1440,0),INT($F726/100)*60+MOD($F726,100)))</f>
        <v/>
      </c>
      <c r="M726" s="15" t="str">
        <f aca="false">IF($G726="","",IF($G726&lt;1,ROUND($G726*1440,0),INT($G726/100)*60+MOD($G726,100)))</f>
        <v/>
      </c>
      <c r="N726" s="15" t="str">
        <f aca="false">IF(OR($A726="",$B726="",$L726="",$M726="",$J726="취소"),"",IF(SUMPRODUCT(($A$3:$A$2002=$A726)*($B$3:$B$2002=$B726)*($J$3:$J$2002&lt;&gt;"취소")*($L$3:$L$2002&lt;&gt;"")*($M$3:$M$2002&lt;&gt;"")*($L$3:$L$2002&lt;$M726)*($M$3:$M$2002&gt;$L726))&gt;1,"중복","-"))</f>
        <v/>
      </c>
    </row>
    <row r="727" customFormat="false" ht="15" hidden="false" customHeight="true" outlineLevel="0" collapsed="false">
      <c r="A727" s="11"/>
      <c r="B727" s="7"/>
      <c r="C727" s="12" t="str">
        <f aca="false">IF($B727="","",IFERROR(INDEX(자원목록!$B$3:$B$102,MATCH($B727,자원목록!$A$3:$A$102,0)),"미등록자원"))</f>
        <v/>
      </c>
      <c r="D727" s="7"/>
      <c r="E727" s="12" t="str">
        <f aca="false">IF($D727="","",IFERROR(INDEX(고객목록!$B$3:$B$502,MATCH($D727,고객목록!$A$3:$A$502,0)),""))</f>
        <v/>
      </c>
      <c r="F727" s="13"/>
      <c r="G727" s="13"/>
      <c r="H727" s="14" t="str">
        <f aca="false">IF(OR($L727="",$M727=""),"",ROUND(($M727-$L727)/60,2))</f>
        <v/>
      </c>
      <c r="I727" s="9"/>
      <c r="J727" s="7"/>
      <c r="K727" s="7"/>
      <c r="L727" s="15" t="str">
        <f aca="false">IF($F727="","",IF($F727&lt;1,ROUND($F727*1440,0),INT($F727/100)*60+MOD($F727,100)))</f>
        <v/>
      </c>
      <c r="M727" s="15" t="str">
        <f aca="false">IF($G727="","",IF($G727&lt;1,ROUND($G727*1440,0),INT($G727/100)*60+MOD($G727,100)))</f>
        <v/>
      </c>
      <c r="N727" s="15" t="str">
        <f aca="false">IF(OR($A727="",$B727="",$L727="",$M727="",$J727="취소"),"",IF(SUMPRODUCT(($A$3:$A$2002=$A727)*($B$3:$B$2002=$B727)*($J$3:$J$2002&lt;&gt;"취소")*($L$3:$L$2002&lt;&gt;"")*($M$3:$M$2002&lt;&gt;"")*($L$3:$L$2002&lt;$M727)*($M$3:$M$2002&gt;$L727))&gt;1,"중복","-"))</f>
        <v/>
      </c>
    </row>
    <row r="728" customFormat="false" ht="15" hidden="false" customHeight="true" outlineLevel="0" collapsed="false">
      <c r="A728" s="11"/>
      <c r="B728" s="7"/>
      <c r="C728" s="12" t="str">
        <f aca="false">IF($B728="","",IFERROR(INDEX(자원목록!$B$3:$B$102,MATCH($B728,자원목록!$A$3:$A$102,0)),"미등록자원"))</f>
        <v/>
      </c>
      <c r="D728" s="7"/>
      <c r="E728" s="12" t="str">
        <f aca="false">IF($D728="","",IFERROR(INDEX(고객목록!$B$3:$B$502,MATCH($D728,고객목록!$A$3:$A$502,0)),""))</f>
        <v/>
      </c>
      <c r="F728" s="13"/>
      <c r="G728" s="13"/>
      <c r="H728" s="14" t="str">
        <f aca="false">IF(OR($L728="",$M728=""),"",ROUND(($M728-$L728)/60,2))</f>
        <v/>
      </c>
      <c r="I728" s="9"/>
      <c r="J728" s="7"/>
      <c r="K728" s="7"/>
      <c r="L728" s="15" t="str">
        <f aca="false">IF($F728="","",IF($F728&lt;1,ROUND($F728*1440,0),INT($F728/100)*60+MOD($F728,100)))</f>
        <v/>
      </c>
      <c r="M728" s="15" t="str">
        <f aca="false">IF($G728="","",IF($G728&lt;1,ROUND($G728*1440,0),INT($G728/100)*60+MOD($G728,100)))</f>
        <v/>
      </c>
      <c r="N728" s="15" t="str">
        <f aca="false">IF(OR($A728="",$B728="",$L728="",$M728="",$J728="취소"),"",IF(SUMPRODUCT(($A$3:$A$2002=$A728)*($B$3:$B$2002=$B728)*($J$3:$J$2002&lt;&gt;"취소")*($L$3:$L$2002&lt;&gt;"")*($M$3:$M$2002&lt;&gt;"")*($L$3:$L$2002&lt;$M728)*($M$3:$M$2002&gt;$L728))&gt;1,"중복","-"))</f>
        <v/>
      </c>
    </row>
    <row r="729" customFormat="false" ht="15" hidden="false" customHeight="true" outlineLevel="0" collapsed="false">
      <c r="A729" s="11"/>
      <c r="B729" s="7"/>
      <c r="C729" s="12" t="str">
        <f aca="false">IF($B729="","",IFERROR(INDEX(자원목록!$B$3:$B$102,MATCH($B729,자원목록!$A$3:$A$102,0)),"미등록자원"))</f>
        <v/>
      </c>
      <c r="D729" s="7"/>
      <c r="E729" s="12" t="str">
        <f aca="false">IF($D729="","",IFERROR(INDEX(고객목록!$B$3:$B$502,MATCH($D729,고객목록!$A$3:$A$502,0)),""))</f>
        <v/>
      </c>
      <c r="F729" s="13"/>
      <c r="G729" s="13"/>
      <c r="H729" s="14" t="str">
        <f aca="false">IF(OR($L729="",$M729=""),"",ROUND(($M729-$L729)/60,2))</f>
        <v/>
      </c>
      <c r="I729" s="9"/>
      <c r="J729" s="7"/>
      <c r="K729" s="7"/>
      <c r="L729" s="15" t="str">
        <f aca="false">IF($F729="","",IF($F729&lt;1,ROUND($F729*1440,0),INT($F729/100)*60+MOD($F729,100)))</f>
        <v/>
      </c>
      <c r="M729" s="15" t="str">
        <f aca="false">IF($G729="","",IF($G729&lt;1,ROUND($G729*1440,0),INT($G729/100)*60+MOD($G729,100)))</f>
        <v/>
      </c>
      <c r="N729" s="15" t="str">
        <f aca="false">IF(OR($A729="",$B729="",$L729="",$M729="",$J729="취소"),"",IF(SUMPRODUCT(($A$3:$A$2002=$A729)*($B$3:$B$2002=$B729)*($J$3:$J$2002&lt;&gt;"취소")*($L$3:$L$2002&lt;&gt;"")*($M$3:$M$2002&lt;&gt;"")*($L$3:$L$2002&lt;$M729)*($M$3:$M$2002&gt;$L729))&gt;1,"중복","-"))</f>
        <v/>
      </c>
    </row>
    <row r="730" customFormat="false" ht="15" hidden="false" customHeight="true" outlineLevel="0" collapsed="false">
      <c r="A730" s="11"/>
      <c r="B730" s="7"/>
      <c r="C730" s="12" t="str">
        <f aca="false">IF($B730="","",IFERROR(INDEX(자원목록!$B$3:$B$102,MATCH($B730,자원목록!$A$3:$A$102,0)),"미등록자원"))</f>
        <v/>
      </c>
      <c r="D730" s="7"/>
      <c r="E730" s="12" t="str">
        <f aca="false">IF($D730="","",IFERROR(INDEX(고객목록!$B$3:$B$502,MATCH($D730,고객목록!$A$3:$A$502,0)),""))</f>
        <v/>
      </c>
      <c r="F730" s="13"/>
      <c r="G730" s="13"/>
      <c r="H730" s="14" t="str">
        <f aca="false">IF(OR($L730="",$M730=""),"",ROUND(($M730-$L730)/60,2))</f>
        <v/>
      </c>
      <c r="I730" s="9"/>
      <c r="J730" s="7"/>
      <c r="K730" s="7"/>
      <c r="L730" s="15" t="str">
        <f aca="false">IF($F730="","",IF($F730&lt;1,ROUND($F730*1440,0),INT($F730/100)*60+MOD($F730,100)))</f>
        <v/>
      </c>
      <c r="M730" s="15" t="str">
        <f aca="false">IF($G730="","",IF($G730&lt;1,ROUND($G730*1440,0),INT($G730/100)*60+MOD($G730,100)))</f>
        <v/>
      </c>
      <c r="N730" s="15" t="str">
        <f aca="false">IF(OR($A730="",$B730="",$L730="",$M730="",$J730="취소"),"",IF(SUMPRODUCT(($A$3:$A$2002=$A730)*($B$3:$B$2002=$B730)*($J$3:$J$2002&lt;&gt;"취소")*($L$3:$L$2002&lt;&gt;"")*($M$3:$M$2002&lt;&gt;"")*($L$3:$L$2002&lt;$M730)*($M$3:$M$2002&gt;$L730))&gt;1,"중복","-"))</f>
        <v/>
      </c>
    </row>
    <row r="731" customFormat="false" ht="15" hidden="false" customHeight="true" outlineLevel="0" collapsed="false">
      <c r="A731" s="11"/>
      <c r="B731" s="7"/>
      <c r="C731" s="12" t="str">
        <f aca="false">IF($B731="","",IFERROR(INDEX(자원목록!$B$3:$B$102,MATCH($B731,자원목록!$A$3:$A$102,0)),"미등록자원"))</f>
        <v/>
      </c>
      <c r="D731" s="7"/>
      <c r="E731" s="12" t="str">
        <f aca="false">IF($D731="","",IFERROR(INDEX(고객목록!$B$3:$B$502,MATCH($D731,고객목록!$A$3:$A$502,0)),""))</f>
        <v/>
      </c>
      <c r="F731" s="13"/>
      <c r="G731" s="13"/>
      <c r="H731" s="14" t="str">
        <f aca="false">IF(OR($L731="",$M731=""),"",ROUND(($M731-$L731)/60,2))</f>
        <v/>
      </c>
      <c r="I731" s="9"/>
      <c r="J731" s="7"/>
      <c r="K731" s="7"/>
      <c r="L731" s="15" t="str">
        <f aca="false">IF($F731="","",IF($F731&lt;1,ROUND($F731*1440,0),INT($F731/100)*60+MOD($F731,100)))</f>
        <v/>
      </c>
      <c r="M731" s="15" t="str">
        <f aca="false">IF($G731="","",IF($G731&lt;1,ROUND($G731*1440,0),INT($G731/100)*60+MOD($G731,100)))</f>
        <v/>
      </c>
      <c r="N731" s="15" t="str">
        <f aca="false">IF(OR($A731="",$B731="",$L731="",$M731="",$J731="취소"),"",IF(SUMPRODUCT(($A$3:$A$2002=$A731)*($B$3:$B$2002=$B731)*($J$3:$J$2002&lt;&gt;"취소")*($L$3:$L$2002&lt;&gt;"")*($M$3:$M$2002&lt;&gt;"")*($L$3:$L$2002&lt;$M731)*($M$3:$M$2002&gt;$L731))&gt;1,"중복","-"))</f>
        <v/>
      </c>
    </row>
    <row r="732" customFormat="false" ht="15" hidden="false" customHeight="true" outlineLevel="0" collapsed="false">
      <c r="A732" s="11"/>
      <c r="B732" s="7"/>
      <c r="C732" s="12" t="str">
        <f aca="false">IF($B732="","",IFERROR(INDEX(자원목록!$B$3:$B$102,MATCH($B732,자원목록!$A$3:$A$102,0)),"미등록자원"))</f>
        <v/>
      </c>
      <c r="D732" s="7"/>
      <c r="E732" s="12" t="str">
        <f aca="false">IF($D732="","",IFERROR(INDEX(고객목록!$B$3:$B$502,MATCH($D732,고객목록!$A$3:$A$502,0)),""))</f>
        <v/>
      </c>
      <c r="F732" s="13"/>
      <c r="G732" s="13"/>
      <c r="H732" s="14" t="str">
        <f aca="false">IF(OR($L732="",$M732=""),"",ROUND(($M732-$L732)/60,2))</f>
        <v/>
      </c>
      <c r="I732" s="9"/>
      <c r="J732" s="7"/>
      <c r="K732" s="7"/>
      <c r="L732" s="15" t="str">
        <f aca="false">IF($F732="","",IF($F732&lt;1,ROUND($F732*1440,0),INT($F732/100)*60+MOD($F732,100)))</f>
        <v/>
      </c>
      <c r="M732" s="15" t="str">
        <f aca="false">IF($G732="","",IF($G732&lt;1,ROUND($G732*1440,0),INT($G732/100)*60+MOD($G732,100)))</f>
        <v/>
      </c>
      <c r="N732" s="15" t="str">
        <f aca="false">IF(OR($A732="",$B732="",$L732="",$M732="",$J732="취소"),"",IF(SUMPRODUCT(($A$3:$A$2002=$A732)*($B$3:$B$2002=$B732)*($J$3:$J$2002&lt;&gt;"취소")*($L$3:$L$2002&lt;&gt;"")*($M$3:$M$2002&lt;&gt;"")*($L$3:$L$2002&lt;$M732)*($M$3:$M$2002&gt;$L732))&gt;1,"중복","-"))</f>
        <v/>
      </c>
    </row>
    <row r="733" customFormat="false" ht="15" hidden="false" customHeight="true" outlineLevel="0" collapsed="false">
      <c r="A733" s="11"/>
      <c r="B733" s="7"/>
      <c r="C733" s="12" t="str">
        <f aca="false">IF($B733="","",IFERROR(INDEX(자원목록!$B$3:$B$102,MATCH($B733,자원목록!$A$3:$A$102,0)),"미등록자원"))</f>
        <v/>
      </c>
      <c r="D733" s="7"/>
      <c r="E733" s="12" t="str">
        <f aca="false">IF($D733="","",IFERROR(INDEX(고객목록!$B$3:$B$502,MATCH($D733,고객목록!$A$3:$A$502,0)),""))</f>
        <v/>
      </c>
      <c r="F733" s="13"/>
      <c r="G733" s="13"/>
      <c r="H733" s="14" t="str">
        <f aca="false">IF(OR($L733="",$M733=""),"",ROUND(($M733-$L733)/60,2))</f>
        <v/>
      </c>
      <c r="I733" s="9"/>
      <c r="J733" s="7"/>
      <c r="K733" s="7"/>
      <c r="L733" s="15" t="str">
        <f aca="false">IF($F733="","",IF($F733&lt;1,ROUND($F733*1440,0),INT($F733/100)*60+MOD($F733,100)))</f>
        <v/>
      </c>
      <c r="M733" s="15" t="str">
        <f aca="false">IF($G733="","",IF($G733&lt;1,ROUND($G733*1440,0),INT($G733/100)*60+MOD($G733,100)))</f>
        <v/>
      </c>
      <c r="N733" s="15" t="str">
        <f aca="false">IF(OR($A733="",$B733="",$L733="",$M733="",$J733="취소"),"",IF(SUMPRODUCT(($A$3:$A$2002=$A733)*($B$3:$B$2002=$B733)*($J$3:$J$2002&lt;&gt;"취소")*($L$3:$L$2002&lt;&gt;"")*($M$3:$M$2002&lt;&gt;"")*($L$3:$L$2002&lt;$M733)*($M$3:$M$2002&gt;$L733))&gt;1,"중복","-"))</f>
        <v/>
      </c>
    </row>
    <row r="734" customFormat="false" ht="15" hidden="false" customHeight="true" outlineLevel="0" collapsed="false">
      <c r="A734" s="11"/>
      <c r="B734" s="7"/>
      <c r="C734" s="12" t="str">
        <f aca="false">IF($B734="","",IFERROR(INDEX(자원목록!$B$3:$B$102,MATCH($B734,자원목록!$A$3:$A$102,0)),"미등록자원"))</f>
        <v/>
      </c>
      <c r="D734" s="7"/>
      <c r="E734" s="12" t="str">
        <f aca="false">IF($D734="","",IFERROR(INDEX(고객목록!$B$3:$B$502,MATCH($D734,고객목록!$A$3:$A$502,0)),""))</f>
        <v/>
      </c>
      <c r="F734" s="13"/>
      <c r="G734" s="13"/>
      <c r="H734" s="14" t="str">
        <f aca="false">IF(OR($L734="",$M734=""),"",ROUND(($M734-$L734)/60,2))</f>
        <v/>
      </c>
      <c r="I734" s="9"/>
      <c r="J734" s="7"/>
      <c r="K734" s="7"/>
      <c r="L734" s="15" t="str">
        <f aca="false">IF($F734="","",IF($F734&lt;1,ROUND($F734*1440,0),INT($F734/100)*60+MOD($F734,100)))</f>
        <v/>
      </c>
      <c r="M734" s="15" t="str">
        <f aca="false">IF($G734="","",IF($G734&lt;1,ROUND($G734*1440,0),INT($G734/100)*60+MOD($G734,100)))</f>
        <v/>
      </c>
      <c r="N734" s="15" t="str">
        <f aca="false">IF(OR($A734="",$B734="",$L734="",$M734="",$J734="취소"),"",IF(SUMPRODUCT(($A$3:$A$2002=$A734)*($B$3:$B$2002=$B734)*($J$3:$J$2002&lt;&gt;"취소")*($L$3:$L$2002&lt;&gt;"")*($M$3:$M$2002&lt;&gt;"")*($L$3:$L$2002&lt;$M734)*($M$3:$M$2002&gt;$L734))&gt;1,"중복","-"))</f>
        <v/>
      </c>
    </row>
    <row r="735" customFormat="false" ht="15" hidden="false" customHeight="true" outlineLevel="0" collapsed="false">
      <c r="A735" s="11"/>
      <c r="B735" s="7"/>
      <c r="C735" s="12" t="str">
        <f aca="false">IF($B735="","",IFERROR(INDEX(자원목록!$B$3:$B$102,MATCH($B735,자원목록!$A$3:$A$102,0)),"미등록자원"))</f>
        <v/>
      </c>
      <c r="D735" s="7"/>
      <c r="E735" s="12" t="str">
        <f aca="false">IF($D735="","",IFERROR(INDEX(고객목록!$B$3:$B$502,MATCH($D735,고객목록!$A$3:$A$502,0)),""))</f>
        <v/>
      </c>
      <c r="F735" s="13"/>
      <c r="G735" s="13"/>
      <c r="H735" s="14" t="str">
        <f aca="false">IF(OR($L735="",$M735=""),"",ROUND(($M735-$L735)/60,2))</f>
        <v/>
      </c>
      <c r="I735" s="9"/>
      <c r="J735" s="7"/>
      <c r="K735" s="7"/>
      <c r="L735" s="15" t="str">
        <f aca="false">IF($F735="","",IF($F735&lt;1,ROUND($F735*1440,0),INT($F735/100)*60+MOD($F735,100)))</f>
        <v/>
      </c>
      <c r="M735" s="15" t="str">
        <f aca="false">IF($G735="","",IF($G735&lt;1,ROUND($G735*1440,0),INT($G735/100)*60+MOD($G735,100)))</f>
        <v/>
      </c>
      <c r="N735" s="15" t="str">
        <f aca="false">IF(OR($A735="",$B735="",$L735="",$M735="",$J735="취소"),"",IF(SUMPRODUCT(($A$3:$A$2002=$A735)*($B$3:$B$2002=$B735)*($J$3:$J$2002&lt;&gt;"취소")*($L$3:$L$2002&lt;&gt;"")*($M$3:$M$2002&lt;&gt;"")*($L$3:$L$2002&lt;$M735)*($M$3:$M$2002&gt;$L735))&gt;1,"중복","-"))</f>
        <v/>
      </c>
    </row>
    <row r="736" customFormat="false" ht="15" hidden="false" customHeight="true" outlineLevel="0" collapsed="false">
      <c r="A736" s="11"/>
      <c r="B736" s="7"/>
      <c r="C736" s="12" t="str">
        <f aca="false">IF($B736="","",IFERROR(INDEX(자원목록!$B$3:$B$102,MATCH($B736,자원목록!$A$3:$A$102,0)),"미등록자원"))</f>
        <v/>
      </c>
      <c r="D736" s="7"/>
      <c r="E736" s="12" t="str">
        <f aca="false">IF($D736="","",IFERROR(INDEX(고객목록!$B$3:$B$502,MATCH($D736,고객목록!$A$3:$A$502,0)),""))</f>
        <v/>
      </c>
      <c r="F736" s="13"/>
      <c r="G736" s="13"/>
      <c r="H736" s="14" t="str">
        <f aca="false">IF(OR($L736="",$M736=""),"",ROUND(($M736-$L736)/60,2))</f>
        <v/>
      </c>
      <c r="I736" s="9"/>
      <c r="J736" s="7"/>
      <c r="K736" s="7"/>
      <c r="L736" s="15" t="str">
        <f aca="false">IF($F736="","",IF($F736&lt;1,ROUND($F736*1440,0),INT($F736/100)*60+MOD($F736,100)))</f>
        <v/>
      </c>
      <c r="M736" s="15" t="str">
        <f aca="false">IF($G736="","",IF($G736&lt;1,ROUND($G736*1440,0),INT($G736/100)*60+MOD($G736,100)))</f>
        <v/>
      </c>
      <c r="N736" s="15" t="str">
        <f aca="false">IF(OR($A736="",$B736="",$L736="",$M736="",$J736="취소"),"",IF(SUMPRODUCT(($A$3:$A$2002=$A736)*($B$3:$B$2002=$B736)*($J$3:$J$2002&lt;&gt;"취소")*($L$3:$L$2002&lt;&gt;"")*($M$3:$M$2002&lt;&gt;"")*($L$3:$L$2002&lt;$M736)*($M$3:$M$2002&gt;$L736))&gt;1,"중복","-"))</f>
        <v/>
      </c>
    </row>
    <row r="737" customFormat="false" ht="15" hidden="false" customHeight="true" outlineLevel="0" collapsed="false">
      <c r="A737" s="11"/>
      <c r="B737" s="7"/>
      <c r="C737" s="12" t="str">
        <f aca="false">IF($B737="","",IFERROR(INDEX(자원목록!$B$3:$B$102,MATCH($B737,자원목록!$A$3:$A$102,0)),"미등록자원"))</f>
        <v/>
      </c>
      <c r="D737" s="7"/>
      <c r="E737" s="12" t="str">
        <f aca="false">IF($D737="","",IFERROR(INDEX(고객목록!$B$3:$B$502,MATCH($D737,고객목록!$A$3:$A$502,0)),""))</f>
        <v/>
      </c>
      <c r="F737" s="13"/>
      <c r="G737" s="13"/>
      <c r="H737" s="14" t="str">
        <f aca="false">IF(OR($L737="",$M737=""),"",ROUND(($M737-$L737)/60,2))</f>
        <v/>
      </c>
      <c r="I737" s="9"/>
      <c r="J737" s="7"/>
      <c r="K737" s="7"/>
      <c r="L737" s="15" t="str">
        <f aca="false">IF($F737="","",IF($F737&lt;1,ROUND($F737*1440,0),INT($F737/100)*60+MOD($F737,100)))</f>
        <v/>
      </c>
      <c r="M737" s="15" t="str">
        <f aca="false">IF($G737="","",IF($G737&lt;1,ROUND($G737*1440,0),INT($G737/100)*60+MOD($G737,100)))</f>
        <v/>
      </c>
      <c r="N737" s="15" t="str">
        <f aca="false">IF(OR($A737="",$B737="",$L737="",$M737="",$J737="취소"),"",IF(SUMPRODUCT(($A$3:$A$2002=$A737)*($B$3:$B$2002=$B737)*($J$3:$J$2002&lt;&gt;"취소")*($L$3:$L$2002&lt;&gt;"")*($M$3:$M$2002&lt;&gt;"")*($L$3:$L$2002&lt;$M737)*($M$3:$M$2002&gt;$L737))&gt;1,"중복","-"))</f>
        <v/>
      </c>
    </row>
    <row r="738" customFormat="false" ht="15" hidden="false" customHeight="true" outlineLevel="0" collapsed="false">
      <c r="A738" s="11"/>
      <c r="B738" s="7"/>
      <c r="C738" s="12" t="str">
        <f aca="false">IF($B738="","",IFERROR(INDEX(자원목록!$B$3:$B$102,MATCH($B738,자원목록!$A$3:$A$102,0)),"미등록자원"))</f>
        <v/>
      </c>
      <c r="D738" s="7"/>
      <c r="E738" s="12" t="str">
        <f aca="false">IF($D738="","",IFERROR(INDEX(고객목록!$B$3:$B$502,MATCH($D738,고객목록!$A$3:$A$502,0)),""))</f>
        <v/>
      </c>
      <c r="F738" s="13"/>
      <c r="G738" s="13"/>
      <c r="H738" s="14" t="str">
        <f aca="false">IF(OR($L738="",$M738=""),"",ROUND(($M738-$L738)/60,2))</f>
        <v/>
      </c>
      <c r="I738" s="9"/>
      <c r="J738" s="7"/>
      <c r="K738" s="7"/>
      <c r="L738" s="15" t="str">
        <f aca="false">IF($F738="","",IF($F738&lt;1,ROUND($F738*1440,0),INT($F738/100)*60+MOD($F738,100)))</f>
        <v/>
      </c>
      <c r="M738" s="15" t="str">
        <f aca="false">IF($G738="","",IF($G738&lt;1,ROUND($G738*1440,0),INT($G738/100)*60+MOD($G738,100)))</f>
        <v/>
      </c>
      <c r="N738" s="15" t="str">
        <f aca="false">IF(OR($A738="",$B738="",$L738="",$M738="",$J738="취소"),"",IF(SUMPRODUCT(($A$3:$A$2002=$A738)*($B$3:$B$2002=$B738)*($J$3:$J$2002&lt;&gt;"취소")*($L$3:$L$2002&lt;&gt;"")*($M$3:$M$2002&lt;&gt;"")*($L$3:$L$2002&lt;$M738)*($M$3:$M$2002&gt;$L738))&gt;1,"중복","-"))</f>
        <v/>
      </c>
    </row>
    <row r="739" customFormat="false" ht="15" hidden="false" customHeight="true" outlineLevel="0" collapsed="false">
      <c r="A739" s="11"/>
      <c r="B739" s="7"/>
      <c r="C739" s="12" t="str">
        <f aca="false">IF($B739="","",IFERROR(INDEX(자원목록!$B$3:$B$102,MATCH($B739,자원목록!$A$3:$A$102,0)),"미등록자원"))</f>
        <v/>
      </c>
      <c r="D739" s="7"/>
      <c r="E739" s="12" t="str">
        <f aca="false">IF($D739="","",IFERROR(INDEX(고객목록!$B$3:$B$502,MATCH($D739,고객목록!$A$3:$A$502,0)),""))</f>
        <v/>
      </c>
      <c r="F739" s="13"/>
      <c r="G739" s="13"/>
      <c r="H739" s="14" t="str">
        <f aca="false">IF(OR($L739="",$M739=""),"",ROUND(($M739-$L739)/60,2))</f>
        <v/>
      </c>
      <c r="I739" s="9"/>
      <c r="J739" s="7"/>
      <c r="K739" s="7"/>
      <c r="L739" s="15" t="str">
        <f aca="false">IF($F739="","",IF($F739&lt;1,ROUND($F739*1440,0),INT($F739/100)*60+MOD($F739,100)))</f>
        <v/>
      </c>
      <c r="M739" s="15" t="str">
        <f aca="false">IF($G739="","",IF($G739&lt;1,ROUND($G739*1440,0),INT($G739/100)*60+MOD($G739,100)))</f>
        <v/>
      </c>
      <c r="N739" s="15" t="str">
        <f aca="false">IF(OR($A739="",$B739="",$L739="",$M739="",$J739="취소"),"",IF(SUMPRODUCT(($A$3:$A$2002=$A739)*($B$3:$B$2002=$B739)*($J$3:$J$2002&lt;&gt;"취소")*($L$3:$L$2002&lt;&gt;"")*($M$3:$M$2002&lt;&gt;"")*($L$3:$L$2002&lt;$M739)*($M$3:$M$2002&gt;$L739))&gt;1,"중복","-"))</f>
        <v/>
      </c>
    </row>
    <row r="740" customFormat="false" ht="15" hidden="false" customHeight="true" outlineLevel="0" collapsed="false">
      <c r="A740" s="11"/>
      <c r="B740" s="7"/>
      <c r="C740" s="12" t="str">
        <f aca="false">IF($B740="","",IFERROR(INDEX(자원목록!$B$3:$B$102,MATCH($B740,자원목록!$A$3:$A$102,0)),"미등록자원"))</f>
        <v/>
      </c>
      <c r="D740" s="7"/>
      <c r="E740" s="12" t="str">
        <f aca="false">IF($D740="","",IFERROR(INDEX(고객목록!$B$3:$B$502,MATCH($D740,고객목록!$A$3:$A$502,0)),""))</f>
        <v/>
      </c>
      <c r="F740" s="13"/>
      <c r="G740" s="13"/>
      <c r="H740" s="14" t="str">
        <f aca="false">IF(OR($L740="",$M740=""),"",ROUND(($M740-$L740)/60,2))</f>
        <v/>
      </c>
      <c r="I740" s="9"/>
      <c r="J740" s="7"/>
      <c r="K740" s="7"/>
      <c r="L740" s="15" t="str">
        <f aca="false">IF($F740="","",IF($F740&lt;1,ROUND($F740*1440,0),INT($F740/100)*60+MOD($F740,100)))</f>
        <v/>
      </c>
      <c r="M740" s="15" t="str">
        <f aca="false">IF($G740="","",IF($G740&lt;1,ROUND($G740*1440,0),INT($G740/100)*60+MOD($G740,100)))</f>
        <v/>
      </c>
      <c r="N740" s="15" t="str">
        <f aca="false">IF(OR($A740="",$B740="",$L740="",$M740="",$J740="취소"),"",IF(SUMPRODUCT(($A$3:$A$2002=$A740)*($B$3:$B$2002=$B740)*($J$3:$J$2002&lt;&gt;"취소")*($L$3:$L$2002&lt;&gt;"")*($M$3:$M$2002&lt;&gt;"")*($L$3:$L$2002&lt;$M740)*($M$3:$M$2002&gt;$L740))&gt;1,"중복","-"))</f>
        <v/>
      </c>
    </row>
    <row r="741" customFormat="false" ht="15" hidden="false" customHeight="true" outlineLevel="0" collapsed="false">
      <c r="A741" s="11"/>
      <c r="B741" s="7"/>
      <c r="C741" s="12" t="str">
        <f aca="false">IF($B741="","",IFERROR(INDEX(자원목록!$B$3:$B$102,MATCH($B741,자원목록!$A$3:$A$102,0)),"미등록자원"))</f>
        <v/>
      </c>
      <c r="D741" s="7"/>
      <c r="E741" s="12" t="str">
        <f aca="false">IF($D741="","",IFERROR(INDEX(고객목록!$B$3:$B$502,MATCH($D741,고객목록!$A$3:$A$502,0)),""))</f>
        <v/>
      </c>
      <c r="F741" s="13"/>
      <c r="G741" s="13"/>
      <c r="H741" s="14" t="str">
        <f aca="false">IF(OR($L741="",$M741=""),"",ROUND(($M741-$L741)/60,2))</f>
        <v/>
      </c>
      <c r="I741" s="9"/>
      <c r="J741" s="7"/>
      <c r="K741" s="7"/>
      <c r="L741" s="15" t="str">
        <f aca="false">IF($F741="","",IF($F741&lt;1,ROUND($F741*1440,0),INT($F741/100)*60+MOD($F741,100)))</f>
        <v/>
      </c>
      <c r="M741" s="15" t="str">
        <f aca="false">IF($G741="","",IF($G741&lt;1,ROUND($G741*1440,0),INT($G741/100)*60+MOD($G741,100)))</f>
        <v/>
      </c>
      <c r="N741" s="15" t="str">
        <f aca="false">IF(OR($A741="",$B741="",$L741="",$M741="",$J741="취소"),"",IF(SUMPRODUCT(($A$3:$A$2002=$A741)*($B$3:$B$2002=$B741)*($J$3:$J$2002&lt;&gt;"취소")*($L$3:$L$2002&lt;&gt;"")*($M$3:$M$2002&lt;&gt;"")*($L$3:$L$2002&lt;$M741)*($M$3:$M$2002&gt;$L741))&gt;1,"중복","-"))</f>
        <v/>
      </c>
    </row>
    <row r="742" customFormat="false" ht="15" hidden="false" customHeight="true" outlineLevel="0" collapsed="false">
      <c r="A742" s="11"/>
      <c r="B742" s="7"/>
      <c r="C742" s="12" t="str">
        <f aca="false">IF($B742="","",IFERROR(INDEX(자원목록!$B$3:$B$102,MATCH($B742,자원목록!$A$3:$A$102,0)),"미등록자원"))</f>
        <v/>
      </c>
      <c r="D742" s="7"/>
      <c r="E742" s="12" t="str">
        <f aca="false">IF($D742="","",IFERROR(INDEX(고객목록!$B$3:$B$502,MATCH($D742,고객목록!$A$3:$A$502,0)),""))</f>
        <v/>
      </c>
      <c r="F742" s="13"/>
      <c r="G742" s="13"/>
      <c r="H742" s="14" t="str">
        <f aca="false">IF(OR($L742="",$M742=""),"",ROUND(($M742-$L742)/60,2))</f>
        <v/>
      </c>
      <c r="I742" s="9"/>
      <c r="J742" s="7"/>
      <c r="K742" s="7"/>
      <c r="L742" s="15" t="str">
        <f aca="false">IF($F742="","",IF($F742&lt;1,ROUND($F742*1440,0),INT($F742/100)*60+MOD($F742,100)))</f>
        <v/>
      </c>
      <c r="M742" s="15" t="str">
        <f aca="false">IF($G742="","",IF($G742&lt;1,ROUND($G742*1440,0),INT($G742/100)*60+MOD($G742,100)))</f>
        <v/>
      </c>
      <c r="N742" s="15" t="str">
        <f aca="false">IF(OR($A742="",$B742="",$L742="",$M742="",$J742="취소"),"",IF(SUMPRODUCT(($A$3:$A$2002=$A742)*($B$3:$B$2002=$B742)*($J$3:$J$2002&lt;&gt;"취소")*($L$3:$L$2002&lt;&gt;"")*($M$3:$M$2002&lt;&gt;"")*($L$3:$L$2002&lt;$M742)*($M$3:$M$2002&gt;$L742))&gt;1,"중복","-"))</f>
        <v/>
      </c>
    </row>
    <row r="743" customFormat="false" ht="15" hidden="false" customHeight="true" outlineLevel="0" collapsed="false">
      <c r="A743" s="11"/>
      <c r="B743" s="7"/>
      <c r="C743" s="12" t="str">
        <f aca="false">IF($B743="","",IFERROR(INDEX(자원목록!$B$3:$B$102,MATCH($B743,자원목록!$A$3:$A$102,0)),"미등록자원"))</f>
        <v/>
      </c>
      <c r="D743" s="7"/>
      <c r="E743" s="12" t="str">
        <f aca="false">IF($D743="","",IFERROR(INDEX(고객목록!$B$3:$B$502,MATCH($D743,고객목록!$A$3:$A$502,0)),""))</f>
        <v/>
      </c>
      <c r="F743" s="13"/>
      <c r="G743" s="13"/>
      <c r="H743" s="14" t="str">
        <f aca="false">IF(OR($L743="",$M743=""),"",ROUND(($M743-$L743)/60,2))</f>
        <v/>
      </c>
      <c r="I743" s="9"/>
      <c r="J743" s="7"/>
      <c r="K743" s="7"/>
      <c r="L743" s="15" t="str">
        <f aca="false">IF($F743="","",IF($F743&lt;1,ROUND($F743*1440,0),INT($F743/100)*60+MOD($F743,100)))</f>
        <v/>
      </c>
      <c r="M743" s="15" t="str">
        <f aca="false">IF($G743="","",IF($G743&lt;1,ROUND($G743*1440,0),INT($G743/100)*60+MOD($G743,100)))</f>
        <v/>
      </c>
      <c r="N743" s="15" t="str">
        <f aca="false">IF(OR($A743="",$B743="",$L743="",$M743="",$J743="취소"),"",IF(SUMPRODUCT(($A$3:$A$2002=$A743)*($B$3:$B$2002=$B743)*($J$3:$J$2002&lt;&gt;"취소")*($L$3:$L$2002&lt;&gt;"")*($M$3:$M$2002&lt;&gt;"")*($L$3:$L$2002&lt;$M743)*($M$3:$M$2002&gt;$L743))&gt;1,"중복","-"))</f>
        <v/>
      </c>
    </row>
    <row r="744" customFormat="false" ht="15" hidden="false" customHeight="true" outlineLevel="0" collapsed="false">
      <c r="A744" s="11"/>
      <c r="B744" s="7"/>
      <c r="C744" s="12" t="str">
        <f aca="false">IF($B744="","",IFERROR(INDEX(자원목록!$B$3:$B$102,MATCH($B744,자원목록!$A$3:$A$102,0)),"미등록자원"))</f>
        <v/>
      </c>
      <c r="D744" s="7"/>
      <c r="E744" s="12" t="str">
        <f aca="false">IF($D744="","",IFERROR(INDEX(고객목록!$B$3:$B$502,MATCH($D744,고객목록!$A$3:$A$502,0)),""))</f>
        <v/>
      </c>
      <c r="F744" s="13"/>
      <c r="G744" s="13"/>
      <c r="H744" s="14" t="str">
        <f aca="false">IF(OR($L744="",$M744=""),"",ROUND(($M744-$L744)/60,2))</f>
        <v/>
      </c>
      <c r="I744" s="9"/>
      <c r="J744" s="7"/>
      <c r="K744" s="7"/>
      <c r="L744" s="15" t="str">
        <f aca="false">IF($F744="","",IF($F744&lt;1,ROUND($F744*1440,0),INT($F744/100)*60+MOD($F744,100)))</f>
        <v/>
      </c>
      <c r="M744" s="15" t="str">
        <f aca="false">IF($G744="","",IF($G744&lt;1,ROUND($G744*1440,0),INT($G744/100)*60+MOD($G744,100)))</f>
        <v/>
      </c>
      <c r="N744" s="15" t="str">
        <f aca="false">IF(OR($A744="",$B744="",$L744="",$M744="",$J744="취소"),"",IF(SUMPRODUCT(($A$3:$A$2002=$A744)*($B$3:$B$2002=$B744)*($J$3:$J$2002&lt;&gt;"취소")*($L$3:$L$2002&lt;&gt;"")*($M$3:$M$2002&lt;&gt;"")*($L$3:$L$2002&lt;$M744)*($M$3:$M$2002&gt;$L744))&gt;1,"중복","-"))</f>
        <v/>
      </c>
    </row>
    <row r="745" customFormat="false" ht="15" hidden="false" customHeight="true" outlineLevel="0" collapsed="false">
      <c r="A745" s="11"/>
      <c r="B745" s="7"/>
      <c r="C745" s="12" t="str">
        <f aca="false">IF($B745="","",IFERROR(INDEX(자원목록!$B$3:$B$102,MATCH($B745,자원목록!$A$3:$A$102,0)),"미등록자원"))</f>
        <v/>
      </c>
      <c r="D745" s="7"/>
      <c r="E745" s="12" t="str">
        <f aca="false">IF($D745="","",IFERROR(INDEX(고객목록!$B$3:$B$502,MATCH($D745,고객목록!$A$3:$A$502,0)),""))</f>
        <v/>
      </c>
      <c r="F745" s="13"/>
      <c r="G745" s="13"/>
      <c r="H745" s="14" t="str">
        <f aca="false">IF(OR($L745="",$M745=""),"",ROUND(($M745-$L745)/60,2))</f>
        <v/>
      </c>
      <c r="I745" s="9"/>
      <c r="J745" s="7"/>
      <c r="K745" s="7"/>
      <c r="L745" s="15" t="str">
        <f aca="false">IF($F745="","",IF($F745&lt;1,ROUND($F745*1440,0),INT($F745/100)*60+MOD($F745,100)))</f>
        <v/>
      </c>
      <c r="M745" s="15" t="str">
        <f aca="false">IF($G745="","",IF($G745&lt;1,ROUND($G745*1440,0),INT($G745/100)*60+MOD($G745,100)))</f>
        <v/>
      </c>
      <c r="N745" s="15" t="str">
        <f aca="false">IF(OR($A745="",$B745="",$L745="",$M745="",$J745="취소"),"",IF(SUMPRODUCT(($A$3:$A$2002=$A745)*($B$3:$B$2002=$B745)*($J$3:$J$2002&lt;&gt;"취소")*($L$3:$L$2002&lt;&gt;"")*($M$3:$M$2002&lt;&gt;"")*($L$3:$L$2002&lt;$M745)*($M$3:$M$2002&gt;$L745))&gt;1,"중복","-"))</f>
        <v/>
      </c>
    </row>
    <row r="746" customFormat="false" ht="15" hidden="false" customHeight="true" outlineLevel="0" collapsed="false">
      <c r="A746" s="11"/>
      <c r="B746" s="7"/>
      <c r="C746" s="12" t="str">
        <f aca="false">IF($B746="","",IFERROR(INDEX(자원목록!$B$3:$B$102,MATCH($B746,자원목록!$A$3:$A$102,0)),"미등록자원"))</f>
        <v/>
      </c>
      <c r="D746" s="7"/>
      <c r="E746" s="12" t="str">
        <f aca="false">IF($D746="","",IFERROR(INDEX(고객목록!$B$3:$B$502,MATCH($D746,고객목록!$A$3:$A$502,0)),""))</f>
        <v/>
      </c>
      <c r="F746" s="13"/>
      <c r="G746" s="13"/>
      <c r="H746" s="14" t="str">
        <f aca="false">IF(OR($L746="",$M746=""),"",ROUND(($M746-$L746)/60,2))</f>
        <v/>
      </c>
      <c r="I746" s="9"/>
      <c r="J746" s="7"/>
      <c r="K746" s="7"/>
      <c r="L746" s="15" t="str">
        <f aca="false">IF($F746="","",IF($F746&lt;1,ROUND($F746*1440,0),INT($F746/100)*60+MOD($F746,100)))</f>
        <v/>
      </c>
      <c r="M746" s="15" t="str">
        <f aca="false">IF($G746="","",IF($G746&lt;1,ROUND($G746*1440,0),INT($G746/100)*60+MOD($G746,100)))</f>
        <v/>
      </c>
      <c r="N746" s="15" t="str">
        <f aca="false">IF(OR($A746="",$B746="",$L746="",$M746="",$J746="취소"),"",IF(SUMPRODUCT(($A$3:$A$2002=$A746)*($B$3:$B$2002=$B746)*($J$3:$J$2002&lt;&gt;"취소")*($L$3:$L$2002&lt;&gt;"")*($M$3:$M$2002&lt;&gt;"")*($L$3:$L$2002&lt;$M746)*($M$3:$M$2002&gt;$L746))&gt;1,"중복","-"))</f>
        <v/>
      </c>
    </row>
    <row r="747" customFormat="false" ht="15" hidden="false" customHeight="true" outlineLevel="0" collapsed="false">
      <c r="A747" s="11"/>
      <c r="B747" s="7"/>
      <c r="C747" s="12" t="str">
        <f aca="false">IF($B747="","",IFERROR(INDEX(자원목록!$B$3:$B$102,MATCH($B747,자원목록!$A$3:$A$102,0)),"미등록자원"))</f>
        <v/>
      </c>
      <c r="D747" s="7"/>
      <c r="E747" s="12" t="str">
        <f aca="false">IF($D747="","",IFERROR(INDEX(고객목록!$B$3:$B$502,MATCH($D747,고객목록!$A$3:$A$502,0)),""))</f>
        <v/>
      </c>
      <c r="F747" s="13"/>
      <c r="G747" s="13"/>
      <c r="H747" s="14" t="str">
        <f aca="false">IF(OR($L747="",$M747=""),"",ROUND(($M747-$L747)/60,2))</f>
        <v/>
      </c>
      <c r="I747" s="9"/>
      <c r="J747" s="7"/>
      <c r="K747" s="7"/>
      <c r="L747" s="15" t="str">
        <f aca="false">IF($F747="","",IF($F747&lt;1,ROUND($F747*1440,0),INT($F747/100)*60+MOD($F747,100)))</f>
        <v/>
      </c>
      <c r="M747" s="15" t="str">
        <f aca="false">IF($G747="","",IF($G747&lt;1,ROUND($G747*1440,0),INT($G747/100)*60+MOD($G747,100)))</f>
        <v/>
      </c>
      <c r="N747" s="15" t="str">
        <f aca="false">IF(OR($A747="",$B747="",$L747="",$M747="",$J747="취소"),"",IF(SUMPRODUCT(($A$3:$A$2002=$A747)*($B$3:$B$2002=$B747)*($J$3:$J$2002&lt;&gt;"취소")*($L$3:$L$2002&lt;&gt;"")*($M$3:$M$2002&lt;&gt;"")*($L$3:$L$2002&lt;$M747)*($M$3:$M$2002&gt;$L747))&gt;1,"중복","-"))</f>
        <v/>
      </c>
    </row>
    <row r="748" customFormat="false" ht="15" hidden="false" customHeight="true" outlineLevel="0" collapsed="false">
      <c r="A748" s="11"/>
      <c r="B748" s="7"/>
      <c r="C748" s="12" t="str">
        <f aca="false">IF($B748="","",IFERROR(INDEX(자원목록!$B$3:$B$102,MATCH($B748,자원목록!$A$3:$A$102,0)),"미등록자원"))</f>
        <v/>
      </c>
      <c r="D748" s="7"/>
      <c r="E748" s="12" t="str">
        <f aca="false">IF($D748="","",IFERROR(INDEX(고객목록!$B$3:$B$502,MATCH($D748,고객목록!$A$3:$A$502,0)),""))</f>
        <v/>
      </c>
      <c r="F748" s="13"/>
      <c r="G748" s="13"/>
      <c r="H748" s="14" t="str">
        <f aca="false">IF(OR($L748="",$M748=""),"",ROUND(($M748-$L748)/60,2))</f>
        <v/>
      </c>
      <c r="I748" s="9"/>
      <c r="J748" s="7"/>
      <c r="K748" s="7"/>
      <c r="L748" s="15" t="str">
        <f aca="false">IF($F748="","",IF($F748&lt;1,ROUND($F748*1440,0),INT($F748/100)*60+MOD($F748,100)))</f>
        <v/>
      </c>
      <c r="M748" s="15" t="str">
        <f aca="false">IF($G748="","",IF($G748&lt;1,ROUND($G748*1440,0),INT($G748/100)*60+MOD($G748,100)))</f>
        <v/>
      </c>
      <c r="N748" s="15" t="str">
        <f aca="false">IF(OR($A748="",$B748="",$L748="",$M748="",$J748="취소"),"",IF(SUMPRODUCT(($A$3:$A$2002=$A748)*($B$3:$B$2002=$B748)*($J$3:$J$2002&lt;&gt;"취소")*($L$3:$L$2002&lt;&gt;"")*($M$3:$M$2002&lt;&gt;"")*($L$3:$L$2002&lt;$M748)*($M$3:$M$2002&gt;$L748))&gt;1,"중복","-"))</f>
        <v/>
      </c>
    </row>
    <row r="749" customFormat="false" ht="15" hidden="false" customHeight="true" outlineLevel="0" collapsed="false">
      <c r="A749" s="11"/>
      <c r="B749" s="7"/>
      <c r="C749" s="12" t="str">
        <f aca="false">IF($B749="","",IFERROR(INDEX(자원목록!$B$3:$B$102,MATCH($B749,자원목록!$A$3:$A$102,0)),"미등록자원"))</f>
        <v/>
      </c>
      <c r="D749" s="7"/>
      <c r="E749" s="12" t="str">
        <f aca="false">IF($D749="","",IFERROR(INDEX(고객목록!$B$3:$B$502,MATCH($D749,고객목록!$A$3:$A$502,0)),""))</f>
        <v/>
      </c>
      <c r="F749" s="13"/>
      <c r="G749" s="13"/>
      <c r="H749" s="14" t="str">
        <f aca="false">IF(OR($L749="",$M749=""),"",ROUND(($M749-$L749)/60,2))</f>
        <v/>
      </c>
      <c r="I749" s="9"/>
      <c r="J749" s="7"/>
      <c r="K749" s="7"/>
      <c r="L749" s="15" t="str">
        <f aca="false">IF($F749="","",IF($F749&lt;1,ROUND($F749*1440,0),INT($F749/100)*60+MOD($F749,100)))</f>
        <v/>
      </c>
      <c r="M749" s="15" t="str">
        <f aca="false">IF($G749="","",IF($G749&lt;1,ROUND($G749*1440,0),INT($G749/100)*60+MOD($G749,100)))</f>
        <v/>
      </c>
      <c r="N749" s="15" t="str">
        <f aca="false">IF(OR($A749="",$B749="",$L749="",$M749="",$J749="취소"),"",IF(SUMPRODUCT(($A$3:$A$2002=$A749)*($B$3:$B$2002=$B749)*($J$3:$J$2002&lt;&gt;"취소")*($L$3:$L$2002&lt;&gt;"")*($M$3:$M$2002&lt;&gt;"")*($L$3:$L$2002&lt;$M749)*($M$3:$M$2002&gt;$L749))&gt;1,"중복","-"))</f>
        <v/>
      </c>
    </row>
    <row r="750" customFormat="false" ht="15" hidden="false" customHeight="true" outlineLevel="0" collapsed="false">
      <c r="A750" s="11"/>
      <c r="B750" s="7"/>
      <c r="C750" s="12" t="str">
        <f aca="false">IF($B750="","",IFERROR(INDEX(자원목록!$B$3:$B$102,MATCH($B750,자원목록!$A$3:$A$102,0)),"미등록자원"))</f>
        <v/>
      </c>
      <c r="D750" s="7"/>
      <c r="E750" s="12" t="str">
        <f aca="false">IF($D750="","",IFERROR(INDEX(고객목록!$B$3:$B$502,MATCH($D750,고객목록!$A$3:$A$502,0)),""))</f>
        <v/>
      </c>
      <c r="F750" s="13"/>
      <c r="G750" s="13"/>
      <c r="H750" s="14" t="str">
        <f aca="false">IF(OR($L750="",$M750=""),"",ROUND(($M750-$L750)/60,2))</f>
        <v/>
      </c>
      <c r="I750" s="9"/>
      <c r="J750" s="7"/>
      <c r="K750" s="7"/>
      <c r="L750" s="15" t="str">
        <f aca="false">IF($F750="","",IF($F750&lt;1,ROUND($F750*1440,0),INT($F750/100)*60+MOD($F750,100)))</f>
        <v/>
      </c>
      <c r="M750" s="15" t="str">
        <f aca="false">IF($G750="","",IF($G750&lt;1,ROUND($G750*1440,0),INT($G750/100)*60+MOD($G750,100)))</f>
        <v/>
      </c>
      <c r="N750" s="15" t="str">
        <f aca="false">IF(OR($A750="",$B750="",$L750="",$M750="",$J750="취소"),"",IF(SUMPRODUCT(($A$3:$A$2002=$A750)*($B$3:$B$2002=$B750)*($J$3:$J$2002&lt;&gt;"취소")*($L$3:$L$2002&lt;&gt;"")*($M$3:$M$2002&lt;&gt;"")*($L$3:$L$2002&lt;$M750)*($M$3:$M$2002&gt;$L750))&gt;1,"중복","-"))</f>
        <v/>
      </c>
    </row>
    <row r="751" customFormat="false" ht="15" hidden="false" customHeight="true" outlineLevel="0" collapsed="false">
      <c r="A751" s="11"/>
      <c r="B751" s="7"/>
      <c r="C751" s="12" t="str">
        <f aca="false">IF($B751="","",IFERROR(INDEX(자원목록!$B$3:$B$102,MATCH($B751,자원목록!$A$3:$A$102,0)),"미등록자원"))</f>
        <v/>
      </c>
      <c r="D751" s="7"/>
      <c r="E751" s="12" t="str">
        <f aca="false">IF($D751="","",IFERROR(INDEX(고객목록!$B$3:$B$502,MATCH($D751,고객목록!$A$3:$A$502,0)),""))</f>
        <v/>
      </c>
      <c r="F751" s="13"/>
      <c r="G751" s="13"/>
      <c r="H751" s="14" t="str">
        <f aca="false">IF(OR($L751="",$M751=""),"",ROUND(($M751-$L751)/60,2))</f>
        <v/>
      </c>
      <c r="I751" s="9"/>
      <c r="J751" s="7"/>
      <c r="K751" s="7"/>
      <c r="L751" s="15" t="str">
        <f aca="false">IF($F751="","",IF($F751&lt;1,ROUND($F751*1440,0),INT($F751/100)*60+MOD($F751,100)))</f>
        <v/>
      </c>
      <c r="M751" s="15" t="str">
        <f aca="false">IF($G751="","",IF($G751&lt;1,ROUND($G751*1440,0),INT($G751/100)*60+MOD($G751,100)))</f>
        <v/>
      </c>
      <c r="N751" s="15" t="str">
        <f aca="false">IF(OR($A751="",$B751="",$L751="",$M751="",$J751="취소"),"",IF(SUMPRODUCT(($A$3:$A$2002=$A751)*($B$3:$B$2002=$B751)*($J$3:$J$2002&lt;&gt;"취소")*($L$3:$L$2002&lt;&gt;"")*($M$3:$M$2002&lt;&gt;"")*($L$3:$L$2002&lt;$M751)*($M$3:$M$2002&gt;$L751))&gt;1,"중복","-"))</f>
        <v/>
      </c>
    </row>
    <row r="752" customFormat="false" ht="15" hidden="false" customHeight="true" outlineLevel="0" collapsed="false">
      <c r="A752" s="11"/>
      <c r="B752" s="7"/>
      <c r="C752" s="12" t="str">
        <f aca="false">IF($B752="","",IFERROR(INDEX(자원목록!$B$3:$B$102,MATCH($B752,자원목록!$A$3:$A$102,0)),"미등록자원"))</f>
        <v/>
      </c>
      <c r="D752" s="7"/>
      <c r="E752" s="12" t="str">
        <f aca="false">IF($D752="","",IFERROR(INDEX(고객목록!$B$3:$B$502,MATCH($D752,고객목록!$A$3:$A$502,0)),""))</f>
        <v/>
      </c>
      <c r="F752" s="13"/>
      <c r="G752" s="13"/>
      <c r="H752" s="14" t="str">
        <f aca="false">IF(OR($L752="",$M752=""),"",ROUND(($M752-$L752)/60,2))</f>
        <v/>
      </c>
      <c r="I752" s="9"/>
      <c r="J752" s="7"/>
      <c r="K752" s="7"/>
      <c r="L752" s="15" t="str">
        <f aca="false">IF($F752="","",IF($F752&lt;1,ROUND($F752*1440,0),INT($F752/100)*60+MOD($F752,100)))</f>
        <v/>
      </c>
      <c r="M752" s="15" t="str">
        <f aca="false">IF($G752="","",IF($G752&lt;1,ROUND($G752*1440,0),INT($G752/100)*60+MOD($G752,100)))</f>
        <v/>
      </c>
      <c r="N752" s="15" t="str">
        <f aca="false">IF(OR($A752="",$B752="",$L752="",$M752="",$J752="취소"),"",IF(SUMPRODUCT(($A$3:$A$2002=$A752)*($B$3:$B$2002=$B752)*($J$3:$J$2002&lt;&gt;"취소")*($L$3:$L$2002&lt;&gt;"")*($M$3:$M$2002&lt;&gt;"")*($L$3:$L$2002&lt;$M752)*($M$3:$M$2002&gt;$L752))&gt;1,"중복","-"))</f>
        <v/>
      </c>
    </row>
    <row r="753" customFormat="false" ht="15" hidden="false" customHeight="true" outlineLevel="0" collapsed="false">
      <c r="A753" s="11"/>
      <c r="B753" s="7"/>
      <c r="C753" s="12" t="str">
        <f aca="false">IF($B753="","",IFERROR(INDEX(자원목록!$B$3:$B$102,MATCH($B753,자원목록!$A$3:$A$102,0)),"미등록자원"))</f>
        <v/>
      </c>
      <c r="D753" s="7"/>
      <c r="E753" s="12" t="str">
        <f aca="false">IF($D753="","",IFERROR(INDEX(고객목록!$B$3:$B$502,MATCH($D753,고객목록!$A$3:$A$502,0)),""))</f>
        <v/>
      </c>
      <c r="F753" s="13"/>
      <c r="G753" s="13"/>
      <c r="H753" s="14" t="str">
        <f aca="false">IF(OR($L753="",$M753=""),"",ROUND(($M753-$L753)/60,2))</f>
        <v/>
      </c>
      <c r="I753" s="9"/>
      <c r="J753" s="7"/>
      <c r="K753" s="7"/>
      <c r="L753" s="15" t="str">
        <f aca="false">IF($F753="","",IF($F753&lt;1,ROUND($F753*1440,0),INT($F753/100)*60+MOD($F753,100)))</f>
        <v/>
      </c>
      <c r="M753" s="15" t="str">
        <f aca="false">IF($G753="","",IF($G753&lt;1,ROUND($G753*1440,0),INT($G753/100)*60+MOD($G753,100)))</f>
        <v/>
      </c>
      <c r="N753" s="15" t="str">
        <f aca="false">IF(OR($A753="",$B753="",$L753="",$M753="",$J753="취소"),"",IF(SUMPRODUCT(($A$3:$A$2002=$A753)*($B$3:$B$2002=$B753)*($J$3:$J$2002&lt;&gt;"취소")*($L$3:$L$2002&lt;&gt;"")*($M$3:$M$2002&lt;&gt;"")*($L$3:$L$2002&lt;$M753)*($M$3:$M$2002&gt;$L753))&gt;1,"중복","-"))</f>
        <v/>
      </c>
    </row>
    <row r="754" customFormat="false" ht="15" hidden="false" customHeight="true" outlineLevel="0" collapsed="false">
      <c r="A754" s="11"/>
      <c r="B754" s="7"/>
      <c r="C754" s="12" t="str">
        <f aca="false">IF($B754="","",IFERROR(INDEX(자원목록!$B$3:$B$102,MATCH($B754,자원목록!$A$3:$A$102,0)),"미등록자원"))</f>
        <v/>
      </c>
      <c r="D754" s="7"/>
      <c r="E754" s="12" t="str">
        <f aca="false">IF($D754="","",IFERROR(INDEX(고객목록!$B$3:$B$502,MATCH($D754,고객목록!$A$3:$A$502,0)),""))</f>
        <v/>
      </c>
      <c r="F754" s="13"/>
      <c r="G754" s="13"/>
      <c r="H754" s="14" t="str">
        <f aca="false">IF(OR($L754="",$M754=""),"",ROUND(($M754-$L754)/60,2))</f>
        <v/>
      </c>
      <c r="I754" s="9"/>
      <c r="J754" s="7"/>
      <c r="K754" s="7"/>
      <c r="L754" s="15" t="str">
        <f aca="false">IF($F754="","",IF($F754&lt;1,ROUND($F754*1440,0),INT($F754/100)*60+MOD($F754,100)))</f>
        <v/>
      </c>
      <c r="M754" s="15" t="str">
        <f aca="false">IF($G754="","",IF($G754&lt;1,ROUND($G754*1440,0),INT($G754/100)*60+MOD($G754,100)))</f>
        <v/>
      </c>
      <c r="N754" s="15" t="str">
        <f aca="false">IF(OR($A754="",$B754="",$L754="",$M754="",$J754="취소"),"",IF(SUMPRODUCT(($A$3:$A$2002=$A754)*($B$3:$B$2002=$B754)*($J$3:$J$2002&lt;&gt;"취소")*($L$3:$L$2002&lt;&gt;"")*($M$3:$M$2002&lt;&gt;"")*($L$3:$L$2002&lt;$M754)*($M$3:$M$2002&gt;$L754))&gt;1,"중복","-"))</f>
        <v/>
      </c>
    </row>
    <row r="755" customFormat="false" ht="15" hidden="false" customHeight="true" outlineLevel="0" collapsed="false">
      <c r="A755" s="11"/>
      <c r="B755" s="7"/>
      <c r="C755" s="12" t="str">
        <f aca="false">IF($B755="","",IFERROR(INDEX(자원목록!$B$3:$B$102,MATCH($B755,자원목록!$A$3:$A$102,0)),"미등록자원"))</f>
        <v/>
      </c>
      <c r="D755" s="7"/>
      <c r="E755" s="12" t="str">
        <f aca="false">IF($D755="","",IFERROR(INDEX(고객목록!$B$3:$B$502,MATCH($D755,고객목록!$A$3:$A$502,0)),""))</f>
        <v/>
      </c>
      <c r="F755" s="13"/>
      <c r="G755" s="13"/>
      <c r="H755" s="14" t="str">
        <f aca="false">IF(OR($L755="",$M755=""),"",ROUND(($M755-$L755)/60,2))</f>
        <v/>
      </c>
      <c r="I755" s="9"/>
      <c r="J755" s="7"/>
      <c r="K755" s="7"/>
      <c r="L755" s="15" t="str">
        <f aca="false">IF($F755="","",IF($F755&lt;1,ROUND($F755*1440,0),INT($F755/100)*60+MOD($F755,100)))</f>
        <v/>
      </c>
      <c r="M755" s="15" t="str">
        <f aca="false">IF($G755="","",IF($G755&lt;1,ROUND($G755*1440,0),INT($G755/100)*60+MOD($G755,100)))</f>
        <v/>
      </c>
      <c r="N755" s="15" t="str">
        <f aca="false">IF(OR($A755="",$B755="",$L755="",$M755="",$J755="취소"),"",IF(SUMPRODUCT(($A$3:$A$2002=$A755)*($B$3:$B$2002=$B755)*($J$3:$J$2002&lt;&gt;"취소")*($L$3:$L$2002&lt;&gt;"")*($M$3:$M$2002&lt;&gt;"")*($L$3:$L$2002&lt;$M755)*($M$3:$M$2002&gt;$L755))&gt;1,"중복","-"))</f>
        <v/>
      </c>
    </row>
    <row r="756" customFormat="false" ht="15" hidden="false" customHeight="true" outlineLevel="0" collapsed="false">
      <c r="A756" s="11"/>
      <c r="B756" s="7"/>
      <c r="C756" s="12" t="str">
        <f aca="false">IF($B756="","",IFERROR(INDEX(자원목록!$B$3:$B$102,MATCH($B756,자원목록!$A$3:$A$102,0)),"미등록자원"))</f>
        <v/>
      </c>
      <c r="D756" s="7"/>
      <c r="E756" s="12" t="str">
        <f aca="false">IF($D756="","",IFERROR(INDEX(고객목록!$B$3:$B$502,MATCH($D756,고객목록!$A$3:$A$502,0)),""))</f>
        <v/>
      </c>
      <c r="F756" s="13"/>
      <c r="G756" s="13"/>
      <c r="H756" s="14" t="str">
        <f aca="false">IF(OR($L756="",$M756=""),"",ROUND(($M756-$L756)/60,2))</f>
        <v/>
      </c>
      <c r="I756" s="9"/>
      <c r="J756" s="7"/>
      <c r="K756" s="7"/>
      <c r="L756" s="15" t="str">
        <f aca="false">IF($F756="","",IF($F756&lt;1,ROUND($F756*1440,0),INT($F756/100)*60+MOD($F756,100)))</f>
        <v/>
      </c>
      <c r="M756" s="15" t="str">
        <f aca="false">IF($G756="","",IF($G756&lt;1,ROUND($G756*1440,0),INT($G756/100)*60+MOD($G756,100)))</f>
        <v/>
      </c>
      <c r="N756" s="15" t="str">
        <f aca="false">IF(OR($A756="",$B756="",$L756="",$M756="",$J756="취소"),"",IF(SUMPRODUCT(($A$3:$A$2002=$A756)*($B$3:$B$2002=$B756)*($J$3:$J$2002&lt;&gt;"취소")*($L$3:$L$2002&lt;&gt;"")*($M$3:$M$2002&lt;&gt;"")*($L$3:$L$2002&lt;$M756)*($M$3:$M$2002&gt;$L756))&gt;1,"중복","-"))</f>
        <v/>
      </c>
    </row>
    <row r="757" customFormat="false" ht="15" hidden="false" customHeight="true" outlineLevel="0" collapsed="false">
      <c r="A757" s="11"/>
      <c r="B757" s="7"/>
      <c r="C757" s="12" t="str">
        <f aca="false">IF($B757="","",IFERROR(INDEX(자원목록!$B$3:$B$102,MATCH($B757,자원목록!$A$3:$A$102,0)),"미등록자원"))</f>
        <v/>
      </c>
      <c r="D757" s="7"/>
      <c r="E757" s="12" t="str">
        <f aca="false">IF($D757="","",IFERROR(INDEX(고객목록!$B$3:$B$502,MATCH($D757,고객목록!$A$3:$A$502,0)),""))</f>
        <v/>
      </c>
      <c r="F757" s="13"/>
      <c r="G757" s="13"/>
      <c r="H757" s="14" t="str">
        <f aca="false">IF(OR($L757="",$M757=""),"",ROUND(($M757-$L757)/60,2))</f>
        <v/>
      </c>
      <c r="I757" s="9"/>
      <c r="J757" s="7"/>
      <c r="K757" s="7"/>
      <c r="L757" s="15" t="str">
        <f aca="false">IF($F757="","",IF($F757&lt;1,ROUND($F757*1440,0),INT($F757/100)*60+MOD($F757,100)))</f>
        <v/>
      </c>
      <c r="M757" s="15" t="str">
        <f aca="false">IF($G757="","",IF($G757&lt;1,ROUND($G757*1440,0),INT($G757/100)*60+MOD($G757,100)))</f>
        <v/>
      </c>
      <c r="N757" s="15" t="str">
        <f aca="false">IF(OR($A757="",$B757="",$L757="",$M757="",$J757="취소"),"",IF(SUMPRODUCT(($A$3:$A$2002=$A757)*($B$3:$B$2002=$B757)*($J$3:$J$2002&lt;&gt;"취소")*($L$3:$L$2002&lt;&gt;"")*($M$3:$M$2002&lt;&gt;"")*($L$3:$L$2002&lt;$M757)*($M$3:$M$2002&gt;$L757))&gt;1,"중복","-"))</f>
        <v/>
      </c>
    </row>
    <row r="758" customFormat="false" ht="15" hidden="false" customHeight="true" outlineLevel="0" collapsed="false">
      <c r="A758" s="11"/>
      <c r="B758" s="7"/>
      <c r="C758" s="12" t="str">
        <f aca="false">IF($B758="","",IFERROR(INDEX(자원목록!$B$3:$B$102,MATCH($B758,자원목록!$A$3:$A$102,0)),"미등록자원"))</f>
        <v/>
      </c>
      <c r="D758" s="7"/>
      <c r="E758" s="12" t="str">
        <f aca="false">IF($D758="","",IFERROR(INDEX(고객목록!$B$3:$B$502,MATCH($D758,고객목록!$A$3:$A$502,0)),""))</f>
        <v/>
      </c>
      <c r="F758" s="13"/>
      <c r="G758" s="13"/>
      <c r="H758" s="14" t="str">
        <f aca="false">IF(OR($L758="",$M758=""),"",ROUND(($M758-$L758)/60,2))</f>
        <v/>
      </c>
      <c r="I758" s="9"/>
      <c r="J758" s="7"/>
      <c r="K758" s="7"/>
      <c r="L758" s="15" t="str">
        <f aca="false">IF($F758="","",IF($F758&lt;1,ROUND($F758*1440,0),INT($F758/100)*60+MOD($F758,100)))</f>
        <v/>
      </c>
      <c r="M758" s="15" t="str">
        <f aca="false">IF($G758="","",IF($G758&lt;1,ROUND($G758*1440,0),INT($G758/100)*60+MOD($G758,100)))</f>
        <v/>
      </c>
      <c r="N758" s="15" t="str">
        <f aca="false">IF(OR($A758="",$B758="",$L758="",$M758="",$J758="취소"),"",IF(SUMPRODUCT(($A$3:$A$2002=$A758)*($B$3:$B$2002=$B758)*($J$3:$J$2002&lt;&gt;"취소")*($L$3:$L$2002&lt;&gt;"")*($M$3:$M$2002&lt;&gt;"")*($L$3:$L$2002&lt;$M758)*($M$3:$M$2002&gt;$L758))&gt;1,"중복","-"))</f>
        <v/>
      </c>
    </row>
    <row r="759" customFormat="false" ht="15" hidden="false" customHeight="true" outlineLevel="0" collapsed="false">
      <c r="A759" s="11"/>
      <c r="B759" s="7"/>
      <c r="C759" s="12" t="str">
        <f aca="false">IF($B759="","",IFERROR(INDEX(자원목록!$B$3:$B$102,MATCH($B759,자원목록!$A$3:$A$102,0)),"미등록자원"))</f>
        <v/>
      </c>
      <c r="D759" s="7"/>
      <c r="E759" s="12" t="str">
        <f aca="false">IF($D759="","",IFERROR(INDEX(고객목록!$B$3:$B$502,MATCH($D759,고객목록!$A$3:$A$502,0)),""))</f>
        <v/>
      </c>
      <c r="F759" s="13"/>
      <c r="G759" s="13"/>
      <c r="H759" s="14" t="str">
        <f aca="false">IF(OR($L759="",$M759=""),"",ROUND(($M759-$L759)/60,2))</f>
        <v/>
      </c>
      <c r="I759" s="9"/>
      <c r="J759" s="7"/>
      <c r="K759" s="7"/>
      <c r="L759" s="15" t="str">
        <f aca="false">IF($F759="","",IF($F759&lt;1,ROUND($F759*1440,0),INT($F759/100)*60+MOD($F759,100)))</f>
        <v/>
      </c>
      <c r="M759" s="15" t="str">
        <f aca="false">IF($G759="","",IF($G759&lt;1,ROUND($G759*1440,0),INT($G759/100)*60+MOD($G759,100)))</f>
        <v/>
      </c>
      <c r="N759" s="15" t="str">
        <f aca="false">IF(OR($A759="",$B759="",$L759="",$M759="",$J759="취소"),"",IF(SUMPRODUCT(($A$3:$A$2002=$A759)*($B$3:$B$2002=$B759)*($J$3:$J$2002&lt;&gt;"취소")*($L$3:$L$2002&lt;&gt;"")*($M$3:$M$2002&lt;&gt;"")*($L$3:$L$2002&lt;$M759)*($M$3:$M$2002&gt;$L759))&gt;1,"중복","-"))</f>
        <v/>
      </c>
    </row>
    <row r="760" customFormat="false" ht="15" hidden="false" customHeight="true" outlineLevel="0" collapsed="false">
      <c r="A760" s="11"/>
      <c r="B760" s="7"/>
      <c r="C760" s="12" t="str">
        <f aca="false">IF($B760="","",IFERROR(INDEX(자원목록!$B$3:$B$102,MATCH($B760,자원목록!$A$3:$A$102,0)),"미등록자원"))</f>
        <v/>
      </c>
      <c r="D760" s="7"/>
      <c r="E760" s="12" t="str">
        <f aca="false">IF($D760="","",IFERROR(INDEX(고객목록!$B$3:$B$502,MATCH($D760,고객목록!$A$3:$A$502,0)),""))</f>
        <v/>
      </c>
      <c r="F760" s="13"/>
      <c r="G760" s="13"/>
      <c r="H760" s="14" t="str">
        <f aca="false">IF(OR($L760="",$M760=""),"",ROUND(($M760-$L760)/60,2))</f>
        <v/>
      </c>
      <c r="I760" s="9"/>
      <c r="J760" s="7"/>
      <c r="K760" s="7"/>
      <c r="L760" s="15" t="str">
        <f aca="false">IF($F760="","",IF($F760&lt;1,ROUND($F760*1440,0),INT($F760/100)*60+MOD($F760,100)))</f>
        <v/>
      </c>
      <c r="M760" s="15" t="str">
        <f aca="false">IF($G760="","",IF($G760&lt;1,ROUND($G760*1440,0),INT($G760/100)*60+MOD($G760,100)))</f>
        <v/>
      </c>
      <c r="N760" s="15" t="str">
        <f aca="false">IF(OR($A760="",$B760="",$L760="",$M760="",$J760="취소"),"",IF(SUMPRODUCT(($A$3:$A$2002=$A760)*($B$3:$B$2002=$B760)*($J$3:$J$2002&lt;&gt;"취소")*($L$3:$L$2002&lt;&gt;"")*($M$3:$M$2002&lt;&gt;"")*($L$3:$L$2002&lt;$M760)*($M$3:$M$2002&gt;$L760))&gt;1,"중복","-"))</f>
        <v/>
      </c>
    </row>
    <row r="761" customFormat="false" ht="15" hidden="false" customHeight="true" outlineLevel="0" collapsed="false">
      <c r="A761" s="11"/>
      <c r="B761" s="7"/>
      <c r="C761" s="12" t="str">
        <f aca="false">IF($B761="","",IFERROR(INDEX(자원목록!$B$3:$B$102,MATCH($B761,자원목록!$A$3:$A$102,0)),"미등록자원"))</f>
        <v/>
      </c>
      <c r="D761" s="7"/>
      <c r="E761" s="12" t="str">
        <f aca="false">IF($D761="","",IFERROR(INDEX(고객목록!$B$3:$B$502,MATCH($D761,고객목록!$A$3:$A$502,0)),""))</f>
        <v/>
      </c>
      <c r="F761" s="13"/>
      <c r="G761" s="13"/>
      <c r="H761" s="14" t="str">
        <f aca="false">IF(OR($L761="",$M761=""),"",ROUND(($M761-$L761)/60,2))</f>
        <v/>
      </c>
      <c r="I761" s="9"/>
      <c r="J761" s="7"/>
      <c r="K761" s="7"/>
      <c r="L761" s="15" t="str">
        <f aca="false">IF($F761="","",IF($F761&lt;1,ROUND($F761*1440,0),INT($F761/100)*60+MOD($F761,100)))</f>
        <v/>
      </c>
      <c r="M761" s="15" t="str">
        <f aca="false">IF($G761="","",IF($G761&lt;1,ROUND($G761*1440,0),INT($G761/100)*60+MOD($G761,100)))</f>
        <v/>
      </c>
      <c r="N761" s="15" t="str">
        <f aca="false">IF(OR($A761="",$B761="",$L761="",$M761="",$J761="취소"),"",IF(SUMPRODUCT(($A$3:$A$2002=$A761)*($B$3:$B$2002=$B761)*($J$3:$J$2002&lt;&gt;"취소")*($L$3:$L$2002&lt;&gt;"")*($M$3:$M$2002&lt;&gt;"")*($L$3:$L$2002&lt;$M761)*($M$3:$M$2002&gt;$L761))&gt;1,"중복","-"))</f>
        <v/>
      </c>
    </row>
    <row r="762" customFormat="false" ht="15" hidden="false" customHeight="true" outlineLevel="0" collapsed="false">
      <c r="A762" s="11"/>
      <c r="B762" s="7"/>
      <c r="C762" s="12" t="str">
        <f aca="false">IF($B762="","",IFERROR(INDEX(자원목록!$B$3:$B$102,MATCH($B762,자원목록!$A$3:$A$102,0)),"미등록자원"))</f>
        <v/>
      </c>
      <c r="D762" s="7"/>
      <c r="E762" s="12" t="str">
        <f aca="false">IF($D762="","",IFERROR(INDEX(고객목록!$B$3:$B$502,MATCH($D762,고객목록!$A$3:$A$502,0)),""))</f>
        <v/>
      </c>
      <c r="F762" s="13"/>
      <c r="G762" s="13"/>
      <c r="H762" s="14" t="str">
        <f aca="false">IF(OR($L762="",$M762=""),"",ROUND(($M762-$L762)/60,2))</f>
        <v/>
      </c>
      <c r="I762" s="9"/>
      <c r="J762" s="7"/>
      <c r="K762" s="7"/>
      <c r="L762" s="15" t="str">
        <f aca="false">IF($F762="","",IF($F762&lt;1,ROUND($F762*1440,0),INT($F762/100)*60+MOD($F762,100)))</f>
        <v/>
      </c>
      <c r="M762" s="15" t="str">
        <f aca="false">IF($G762="","",IF($G762&lt;1,ROUND($G762*1440,0),INT($G762/100)*60+MOD($G762,100)))</f>
        <v/>
      </c>
      <c r="N762" s="15" t="str">
        <f aca="false">IF(OR($A762="",$B762="",$L762="",$M762="",$J762="취소"),"",IF(SUMPRODUCT(($A$3:$A$2002=$A762)*($B$3:$B$2002=$B762)*($J$3:$J$2002&lt;&gt;"취소")*($L$3:$L$2002&lt;&gt;"")*($M$3:$M$2002&lt;&gt;"")*($L$3:$L$2002&lt;$M762)*($M$3:$M$2002&gt;$L762))&gt;1,"중복","-"))</f>
        <v/>
      </c>
    </row>
    <row r="763" customFormat="false" ht="15" hidden="false" customHeight="true" outlineLevel="0" collapsed="false">
      <c r="A763" s="11"/>
      <c r="B763" s="7"/>
      <c r="C763" s="12" t="str">
        <f aca="false">IF($B763="","",IFERROR(INDEX(자원목록!$B$3:$B$102,MATCH($B763,자원목록!$A$3:$A$102,0)),"미등록자원"))</f>
        <v/>
      </c>
      <c r="D763" s="7"/>
      <c r="E763" s="12" t="str">
        <f aca="false">IF($D763="","",IFERROR(INDEX(고객목록!$B$3:$B$502,MATCH($D763,고객목록!$A$3:$A$502,0)),""))</f>
        <v/>
      </c>
      <c r="F763" s="13"/>
      <c r="G763" s="13"/>
      <c r="H763" s="14" t="str">
        <f aca="false">IF(OR($L763="",$M763=""),"",ROUND(($M763-$L763)/60,2))</f>
        <v/>
      </c>
      <c r="I763" s="9"/>
      <c r="J763" s="7"/>
      <c r="K763" s="7"/>
      <c r="L763" s="15" t="str">
        <f aca="false">IF($F763="","",IF($F763&lt;1,ROUND($F763*1440,0),INT($F763/100)*60+MOD($F763,100)))</f>
        <v/>
      </c>
      <c r="M763" s="15" t="str">
        <f aca="false">IF($G763="","",IF($G763&lt;1,ROUND($G763*1440,0),INT($G763/100)*60+MOD($G763,100)))</f>
        <v/>
      </c>
      <c r="N763" s="15" t="str">
        <f aca="false">IF(OR($A763="",$B763="",$L763="",$M763="",$J763="취소"),"",IF(SUMPRODUCT(($A$3:$A$2002=$A763)*($B$3:$B$2002=$B763)*($J$3:$J$2002&lt;&gt;"취소")*($L$3:$L$2002&lt;&gt;"")*($M$3:$M$2002&lt;&gt;"")*($L$3:$L$2002&lt;$M763)*($M$3:$M$2002&gt;$L763))&gt;1,"중복","-"))</f>
        <v/>
      </c>
    </row>
    <row r="764" customFormat="false" ht="15" hidden="false" customHeight="true" outlineLevel="0" collapsed="false">
      <c r="A764" s="11"/>
      <c r="B764" s="7"/>
      <c r="C764" s="12" t="str">
        <f aca="false">IF($B764="","",IFERROR(INDEX(자원목록!$B$3:$B$102,MATCH($B764,자원목록!$A$3:$A$102,0)),"미등록자원"))</f>
        <v/>
      </c>
      <c r="D764" s="7"/>
      <c r="E764" s="12" t="str">
        <f aca="false">IF($D764="","",IFERROR(INDEX(고객목록!$B$3:$B$502,MATCH($D764,고객목록!$A$3:$A$502,0)),""))</f>
        <v/>
      </c>
      <c r="F764" s="13"/>
      <c r="G764" s="13"/>
      <c r="H764" s="14" t="str">
        <f aca="false">IF(OR($L764="",$M764=""),"",ROUND(($M764-$L764)/60,2))</f>
        <v/>
      </c>
      <c r="I764" s="9"/>
      <c r="J764" s="7"/>
      <c r="K764" s="7"/>
      <c r="L764" s="15" t="str">
        <f aca="false">IF($F764="","",IF($F764&lt;1,ROUND($F764*1440,0),INT($F764/100)*60+MOD($F764,100)))</f>
        <v/>
      </c>
      <c r="M764" s="15" t="str">
        <f aca="false">IF($G764="","",IF($G764&lt;1,ROUND($G764*1440,0),INT($G764/100)*60+MOD($G764,100)))</f>
        <v/>
      </c>
      <c r="N764" s="15" t="str">
        <f aca="false">IF(OR($A764="",$B764="",$L764="",$M764="",$J764="취소"),"",IF(SUMPRODUCT(($A$3:$A$2002=$A764)*($B$3:$B$2002=$B764)*($J$3:$J$2002&lt;&gt;"취소")*($L$3:$L$2002&lt;&gt;"")*($M$3:$M$2002&lt;&gt;"")*($L$3:$L$2002&lt;$M764)*($M$3:$M$2002&gt;$L764))&gt;1,"중복","-"))</f>
        <v/>
      </c>
    </row>
    <row r="765" customFormat="false" ht="15" hidden="false" customHeight="true" outlineLevel="0" collapsed="false">
      <c r="A765" s="11"/>
      <c r="B765" s="7"/>
      <c r="C765" s="12" t="str">
        <f aca="false">IF($B765="","",IFERROR(INDEX(자원목록!$B$3:$B$102,MATCH($B765,자원목록!$A$3:$A$102,0)),"미등록자원"))</f>
        <v/>
      </c>
      <c r="D765" s="7"/>
      <c r="E765" s="12" t="str">
        <f aca="false">IF($D765="","",IFERROR(INDEX(고객목록!$B$3:$B$502,MATCH($D765,고객목록!$A$3:$A$502,0)),""))</f>
        <v/>
      </c>
      <c r="F765" s="13"/>
      <c r="G765" s="13"/>
      <c r="H765" s="14" t="str">
        <f aca="false">IF(OR($L765="",$M765=""),"",ROUND(($M765-$L765)/60,2))</f>
        <v/>
      </c>
      <c r="I765" s="9"/>
      <c r="J765" s="7"/>
      <c r="K765" s="7"/>
      <c r="L765" s="15" t="str">
        <f aca="false">IF($F765="","",IF($F765&lt;1,ROUND($F765*1440,0),INT($F765/100)*60+MOD($F765,100)))</f>
        <v/>
      </c>
      <c r="M765" s="15" t="str">
        <f aca="false">IF($G765="","",IF($G765&lt;1,ROUND($G765*1440,0),INT($G765/100)*60+MOD($G765,100)))</f>
        <v/>
      </c>
      <c r="N765" s="15" t="str">
        <f aca="false">IF(OR($A765="",$B765="",$L765="",$M765="",$J765="취소"),"",IF(SUMPRODUCT(($A$3:$A$2002=$A765)*($B$3:$B$2002=$B765)*($J$3:$J$2002&lt;&gt;"취소")*($L$3:$L$2002&lt;&gt;"")*($M$3:$M$2002&lt;&gt;"")*($L$3:$L$2002&lt;$M765)*($M$3:$M$2002&gt;$L765))&gt;1,"중복","-"))</f>
        <v/>
      </c>
    </row>
    <row r="766" customFormat="false" ht="15" hidden="false" customHeight="true" outlineLevel="0" collapsed="false">
      <c r="A766" s="11"/>
      <c r="B766" s="7"/>
      <c r="C766" s="12" t="str">
        <f aca="false">IF($B766="","",IFERROR(INDEX(자원목록!$B$3:$B$102,MATCH($B766,자원목록!$A$3:$A$102,0)),"미등록자원"))</f>
        <v/>
      </c>
      <c r="D766" s="7"/>
      <c r="E766" s="12" t="str">
        <f aca="false">IF($D766="","",IFERROR(INDEX(고객목록!$B$3:$B$502,MATCH($D766,고객목록!$A$3:$A$502,0)),""))</f>
        <v/>
      </c>
      <c r="F766" s="13"/>
      <c r="G766" s="13"/>
      <c r="H766" s="14" t="str">
        <f aca="false">IF(OR($L766="",$M766=""),"",ROUND(($M766-$L766)/60,2))</f>
        <v/>
      </c>
      <c r="I766" s="9"/>
      <c r="J766" s="7"/>
      <c r="K766" s="7"/>
      <c r="L766" s="15" t="str">
        <f aca="false">IF($F766="","",IF($F766&lt;1,ROUND($F766*1440,0),INT($F766/100)*60+MOD($F766,100)))</f>
        <v/>
      </c>
      <c r="M766" s="15" t="str">
        <f aca="false">IF($G766="","",IF($G766&lt;1,ROUND($G766*1440,0),INT($G766/100)*60+MOD($G766,100)))</f>
        <v/>
      </c>
      <c r="N766" s="15" t="str">
        <f aca="false">IF(OR($A766="",$B766="",$L766="",$M766="",$J766="취소"),"",IF(SUMPRODUCT(($A$3:$A$2002=$A766)*($B$3:$B$2002=$B766)*($J$3:$J$2002&lt;&gt;"취소")*($L$3:$L$2002&lt;&gt;"")*($M$3:$M$2002&lt;&gt;"")*($L$3:$L$2002&lt;$M766)*($M$3:$M$2002&gt;$L766))&gt;1,"중복","-"))</f>
        <v/>
      </c>
    </row>
    <row r="767" customFormat="false" ht="15" hidden="false" customHeight="true" outlineLevel="0" collapsed="false">
      <c r="A767" s="11"/>
      <c r="B767" s="7"/>
      <c r="C767" s="12" t="str">
        <f aca="false">IF($B767="","",IFERROR(INDEX(자원목록!$B$3:$B$102,MATCH($B767,자원목록!$A$3:$A$102,0)),"미등록자원"))</f>
        <v/>
      </c>
      <c r="D767" s="7"/>
      <c r="E767" s="12" t="str">
        <f aca="false">IF($D767="","",IFERROR(INDEX(고객목록!$B$3:$B$502,MATCH($D767,고객목록!$A$3:$A$502,0)),""))</f>
        <v/>
      </c>
      <c r="F767" s="13"/>
      <c r="G767" s="13"/>
      <c r="H767" s="14" t="str">
        <f aca="false">IF(OR($L767="",$M767=""),"",ROUND(($M767-$L767)/60,2))</f>
        <v/>
      </c>
      <c r="I767" s="9"/>
      <c r="J767" s="7"/>
      <c r="K767" s="7"/>
      <c r="L767" s="15" t="str">
        <f aca="false">IF($F767="","",IF($F767&lt;1,ROUND($F767*1440,0),INT($F767/100)*60+MOD($F767,100)))</f>
        <v/>
      </c>
      <c r="M767" s="15" t="str">
        <f aca="false">IF($G767="","",IF($G767&lt;1,ROUND($G767*1440,0),INT($G767/100)*60+MOD($G767,100)))</f>
        <v/>
      </c>
      <c r="N767" s="15" t="str">
        <f aca="false">IF(OR($A767="",$B767="",$L767="",$M767="",$J767="취소"),"",IF(SUMPRODUCT(($A$3:$A$2002=$A767)*($B$3:$B$2002=$B767)*($J$3:$J$2002&lt;&gt;"취소")*($L$3:$L$2002&lt;&gt;"")*($M$3:$M$2002&lt;&gt;"")*($L$3:$L$2002&lt;$M767)*($M$3:$M$2002&gt;$L767))&gt;1,"중복","-"))</f>
        <v/>
      </c>
    </row>
    <row r="768" customFormat="false" ht="15" hidden="false" customHeight="true" outlineLevel="0" collapsed="false">
      <c r="A768" s="11"/>
      <c r="B768" s="7"/>
      <c r="C768" s="12" t="str">
        <f aca="false">IF($B768="","",IFERROR(INDEX(자원목록!$B$3:$B$102,MATCH($B768,자원목록!$A$3:$A$102,0)),"미등록자원"))</f>
        <v/>
      </c>
      <c r="D768" s="7"/>
      <c r="E768" s="12" t="str">
        <f aca="false">IF($D768="","",IFERROR(INDEX(고객목록!$B$3:$B$502,MATCH($D768,고객목록!$A$3:$A$502,0)),""))</f>
        <v/>
      </c>
      <c r="F768" s="13"/>
      <c r="G768" s="13"/>
      <c r="H768" s="14" t="str">
        <f aca="false">IF(OR($L768="",$M768=""),"",ROUND(($M768-$L768)/60,2))</f>
        <v/>
      </c>
      <c r="I768" s="9"/>
      <c r="J768" s="7"/>
      <c r="K768" s="7"/>
      <c r="L768" s="15" t="str">
        <f aca="false">IF($F768="","",IF($F768&lt;1,ROUND($F768*1440,0),INT($F768/100)*60+MOD($F768,100)))</f>
        <v/>
      </c>
      <c r="M768" s="15" t="str">
        <f aca="false">IF($G768="","",IF($G768&lt;1,ROUND($G768*1440,0),INT($G768/100)*60+MOD($G768,100)))</f>
        <v/>
      </c>
      <c r="N768" s="15" t="str">
        <f aca="false">IF(OR($A768="",$B768="",$L768="",$M768="",$J768="취소"),"",IF(SUMPRODUCT(($A$3:$A$2002=$A768)*($B$3:$B$2002=$B768)*($J$3:$J$2002&lt;&gt;"취소")*($L$3:$L$2002&lt;&gt;"")*($M$3:$M$2002&lt;&gt;"")*($L$3:$L$2002&lt;$M768)*($M$3:$M$2002&gt;$L768))&gt;1,"중복","-"))</f>
        <v/>
      </c>
    </row>
    <row r="769" customFormat="false" ht="15" hidden="false" customHeight="true" outlineLevel="0" collapsed="false">
      <c r="A769" s="11"/>
      <c r="B769" s="7"/>
      <c r="C769" s="12" t="str">
        <f aca="false">IF($B769="","",IFERROR(INDEX(자원목록!$B$3:$B$102,MATCH($B769,자원목록!$A$3:$A$102,0)),"미등록자원"))</f>
        <v/>
      </c>
      <c r="D769" s="7"/>
      <c r="E769" s="12" t="str">
        <f aca="false">IF($D769="","",IFERROR(INDEX(고객목록!$B$3:$B$502,MATCH($D769,고객목록!$A$3:$A$502,0)),""))</f>
        <v/>
      </c>
      <c r="F769" s="13"/>
      <c r="G769" s="13"/>
      <c r="H769" s="14" t="str">
        <f aca="false">IF(OR($L769="",$M769=""),"",ROUND(($M769-$L769)/60,2))</f>
        <v/>
      </c>
      <c r="I769" s="9"/>
      <c r="J769" s="7"/>
      <c r="K769" s="7"/>
      <c r="L769" s="15" t="str">
        <f aca="false">IF($F769="","",IF($F769&lt;1,ROUND($F769*1440,0),INT($F769/100)*60+MOD($F769,100)))</f>
        <v/>
      </c>
      <c r="M769" s="15" t="str">
        <f aca="false">IF($G769="","",IF($G769&lt;1,ROUND($G769*1440,0),INT($G769/100)*60+MOD($G769,100)))</f>
        <v/>
      </c>
      <c r="N769" s="15" t="str">
        <f aca="false">IF(OR($A769="",$B769="",$L769="",$M769="",$J769="취소"),"",IF(SUMPRODUCT(($A$3:$A$2002=$A769)*($B$3:$B$2002=$B769)*($J$3:$J$2002&lt;&gt;"취소")*($L$3:$L$2002&lt;&gt;"")*($M$3:$M$2002&lt;&gt;"")*($L$3:$L$2002&lt;$M769)*($M$3:$M$2002&gt;$L769))&gt;1,"중복","-"))</f>
        <v/>
      </c>
    </row>
    <row r="770" customFormat="false" ht="15" hidden="false" customHeight="true" outlineLevel="0" collapsed="false">
      <c r="A770" s="11"/>
      <c r="B770" s="7"/>
      <c r="C770" s="12" t="str">
        <f aca="false">IF($B770="","",IFERROR(INDEX(자원목록!$B$3:$B$102,MATCH($B770,자원목록!$A$3:$A$102,0)),"미등록자원"))</f>
        <v/>
      </c>
      <c r="D770" s="7"/>
      <c r="E770" s="12" t="str">
        <f aca="false">IF($D770="","",IFERROR(INDEX(고객목록!$B$3:$B$502,MATCH($D770,고객목록!$A$3:$A$502,0)),""))</f>
        <v/>
      </c>
      <c r="F770" s="13"/>
      <c r="G770" s="13"/>
      <c r="H770" s="14" t="str">
        <f aca="false">IF(OR($L770="",$M770=""),"",ROUND(($M770-$L770)/60,2))</f>
        <v/>
      </c>
      <c r="I770" s="9"/>
      <c r="J770" s="7"/>
      <c r="K770" s="7"/>
      <c r="L770" s="15" t="str">
        <f aca="false">IF($F770="","",IF($F770&lt;1,ROUND($F770*1440,0),INT($F770/100)*60+MOD($F770,100)))</f>
        <v/>
      </c>
      <c r="M770" s="15" t="str">
        <f aca="false">IF($G770="","",IF($G770&lt;1,ROUND($G770*1440,0),INT($G770/100)*60+MOD($G770,100)))</f>
        <v/>
      </c>
      <c r="N770" s="15" t="str">
        <f aca="false">IF(OR($A770="",$B770="",$L770="",$M770="",$J770="취소"),"",IF(SUMPRODUCT(($A$3:$A$2002=$A770)*($B$3:$B$2002=$B770)*($J$3:$J$2002&lt;&gt;"취소")*($L$3:$L$2002&lt;&gt;"")*($M$3:$M$2002&lt;&gt;"")*($L$3:$L$2002&lt;$M770)*($M$3:$M$2002&gt;$L770))&gt;1,"중복","-"))</f>
        <v/>
      </c>
    </row>
    <row r="771" customFormat="false" ht="15" hidden="false" customHeight="true" outlineLevel="0" collapsed="false">
      <c r="A771" s="11"/>
      <c r="B771" s="7"/>
      <c r="C771" s="12" t="str">
        <f aca="false">IF($B771="","",IFERROR(INDEX(자원목록!$B$3:$B$102,MATCH($B771,자원목록!$A$3:$A$102,0)),"미등록자원"))</f>
        <v/>
      </c>
      <c r="D771" s="7"/>
      <c r="E771" s="12" t="str">
        <f aca="false">IF($D771="","",IFERROR(INDEX(고객목록!$B$3:$B$502,MATCH($D771,고객목록!$A$3:$A$502,0)),""))</f>
        <v/>
      </c>
      <c r="F771" s="13"/>
      <c r="G771" s="13"/>
      <c r="H771" s="14" t="str">
        <f aca="false">IF(OR($L771="",$M771=""),"",ROUND(($M771-$L771)/60,2))</f>
        <v/>
      </c>
      <c r="I771" s="9"/>
      <c r="J771" s="7"/>
      <c r="K771" s="7"/>
      <c r="L771" s="15" t="str">
        <f aca="false">IF($F771="","",IF($F771&lt;1,ROUND($F771*1440,0),INT($F771/100)*60+MOD($F771,100)))</f>
        <v/>
      </c>
      <c r="M771" s="15" t="str">
        <f aca="false">IF($G771="","",IF($G771&lt;1,ROUND($G771*1440,0),INT($G771/100)*60+MOD($G771,100)))</f>
        <v/>
      </c>
      <c r="N771" s="15" t="str">
        <f aca="false">IF(OR($A771="",$B771="",$L771="",$M771="",$J771="취소"),"",IF(SUMPRODUCT(($A$3:$A$2002=$A771)*($B$3:$B$2002=$B771)*($J$3:$J$2002&lt;&gt;"취소")*($L$3:$L$2002&lt;&gt;"")*($M$3:$M$2002&lt;&gt;"")*($L$3:$L$2002&lt;$M771)*($M$3:$M$2002&gt;$L771))&gt;1,"중복","-"))</f>
        <v/>
      </c>
    </row>
    <row r="772" customFormat="false" ht="15" hidden="false" customHeight="true" outlineLevel="0" collapsed="false">
      <c r="A772" s="11"/>
      <c r="B772" s="7"/>
      <c r="C772" s="12" t="str">
        <f aca="false">IF($B772="","",IFERROR(INDEX(자원목록!$B$3:$B$102,MATCH($B772,자원목록!$A$3:$A$102,0)),"미등록자원"))</f>
        <v/>
      </c>
      <c r="D772" s="7"/>
      <c r="E772" s="12" t="str">
        <f aca="false">IF($D772="","",IFERROR(INDEX(고객목록!$B$3:$B$502,MATCH($D772,고객목록!$A$3:$A$502,0)),""))</f>
        <v/>
      </c>
      <c r="F772" s="13"/>
      <c r="G772" s="13"/>
      <c r="H772" s="14" t="str">
        <f aca="false">IF(OR($L772="",$M772=""),"",ROUND(($M772-$L772)/60,2))</f>
        <v/>
      </c>
      <c r="I772" s="9"/>
      <c r="J772" s="7"/>
      <c r="K772" s="7"/>
      <c r="L772" s="15" t="str">
        <f aca="false">IF($F772="","",IF($F772&lt;1,ROUND($F772*1440,0),INT($F772/100)*60+MOD($F772,100)))</f>
        <v/>
      </c>
      <c r="M772" s="15" t="str">
        <f aca="false">IF($G772="","",IF($G772&lt;1,ROUND($G772*1440,0),INT($G772/100)*60+MOD($G772,100)))</f>
        <v/>
      </c>
      <c r="N772" s="15" t="str">
        <f aca="false">IF(OR($A772="",$B772="",$L772="",$M772="",$J772="취소"),"",IF(SUMPRODUCT(($A$3:$A$2002=$A772)*($B$3:$B$2002=$B772)*($J$3:$J$2002&lt;&gt;"취소")*($L$3:$L$2002&lt;&gt;"")*($M$3:$M$2002&lt;&gt;"")*($L$3:$L$2002&lt;$M772)*($M$3:$M$2002&gt;$L772))&gt;1,"중복","-"))</f>
        <v/>
      </c>
    </row>
    <row r="773" customFormat="false" ht="15" hidden="false" customHeight="true" outlineLevel="0" collapsed="false">
      <c r="A773" s="11"/>
      <c r="B773" s="7"/>
      <c r="C773" s="12" t="str">
        <f aca="false">IF($B773="","",IFERROR(INDEX(자원목록!$B$3:$B$102,MATCH($B773,자원목록!$A$3:$A$102,0)),"미등록자원"))</f>
        <v/>
      </c>
      <c r="D773" s="7"/>
      <c r="E773" s="12" t="str">
        <f aca="false">IF($D773="","",IFERROR(INDEX(고객목록!$B$3:$B$502,MATCH($D773,고객목록!$A$3:$A$502,0)),""))</f>
        <v/>
      </c>
      <c r="F773" s="13"/>
      <c r="G773" s="13"/>
      <c r="H773" s="14" t="str">
        <f aca="false">IF(OR($L773="",$M773=""),"",ROUND(($M773-$L773)/60,2))</f>
        <v/>
      </c>
      <c r="I773" s="9"/>
      <c r="J773" s="7"/>
      <c r="K773" s="7"/>
      <c r="L773" s="15" t="str">
        <f aca="false">IF($F773="","",IF($F773&lt;1,ROUND($F773*1440,0),INT($F773/100)*60+MOD($F773,100)))</f>
        <v/>
      </c>
      <c r="M773" s="15" t="str">
        <f aca="false">IF($G773="","",IF($G773&lt;1,ROUND($G773*1440,0),INT($G773/100)*60+MOD($G773,100)))</f>
        <v/>
      </c>
      <c r="N773" s="15" t="str">
        <f aca="false">IF(OR($A773="",$B773="",$L773="",$M773="",$J773="취소"),"",IF(SUMPRODUCT(($A$3:$A$2002=$A773)*($B$3:$B$2002=$B773)*($J$3:$J$2002&lt;&gt;"취소")*($L$3:$L$2002&lt;&gt;"")*($M$3:$M$2002&lt;&gt;"")*($L$3:$L$2002&lt;$M773)*($M$3:$M$2002&gt;$L773))&gt;1,"중복","-"))</f>
        <v/>
      </c>
    </row>
    <row r="774" customFormat="false" ht="15" hidden="false" customHeight="true" outlineLevel="0" collapsed="false">
      <c r="A774" s="11"/>
      <c r="B774" s="7"/>
      <c r="C774" s="12" t="str">
        <f aca="false">IF($B774="","",IFERROR(INDEX(자원목록!$B$3:$B$102,MATCH($B774,자원목록!$A$3:$A$102,0)),"미등록자원"))</f>
        <v/>
      </c>
      <c r="D774" s="7"/>
      <c r="E774" s="12" t="str">
        <f aca="false">IF($D774="","",IFERROR(INDEX(고객목록!$B$3:$B$502,MATCH($D774,고객목록!$A$3:$A$502,0)),""))</f>
        <v/>
      </c>
      <c r="F774" s="13"/>
      <c r="G774" s="13"/>
      <c r="H774" s="14" t="str">
        <f aca="false">IF(OR($L774="",$M774=""),"",ROUND(($M774-$L774)/60,2))</f>
        <v/>
      </c>
      <c r="I774" s="9"/>
      <c r="J774" s="7"/>
      <c r="K774" s="7"/>
      <c r="L774" s="15" t="str">
        <f aca="false">IF($F774="","",IF($F774&lt;1,ROUND($F774*1440,0),INT($F774/100)*60+MOD($F774,100)))</f>
        <v/>
      </c>
      <c r="M774" s="15" t="str">
        <f aca="false">IF($G774="","",IF($G774&lt;1,ROUND($G774*1440,0),INT($G774/100)*60+MOD($G774,100)))</f>
        <v/>
      </c>
      <c r="N774" s="15" t="str">
        <f aca="false">IF(OR($A774="",$B774="",$L774="",$M774="",$J774="취소"),"",IF(SUMPRODUCT(($A$3:$A$2002=$A774)*($B$3:$B$2002=$B774)*($J$3:$J$2002&lt;&gt;"취소")*($L$3:$L$2002&lt;&gt;"")*($M$3:$M$2002&lt;&gt;"")*($L$3:$L$2002&lt;$M774)*($M$3:$M$2002&gt;$L774))&gt;1,"중복","-"))</f>
        <v/>
      </c>
    </row>
    <row r="775" customFormat="false" ht="15" hidden="false" customHeight="true" outlineLevel="0" collapsed="false">
      <c r="A775" s="11"/>
      <c r="B775" s="7"/>
      <c r="C775" s="12" t="str">
        <f aca="false">IF($B775="","",IFERROR(INDEX(자원목록!$B$3:$B$102,MATCH($B775,자원목록!$A$3:$A$102,0)),"미등록자원"))</f>
        <v/>
      </c>
      <c r="D775" s="7"/>
      <c r="E775" s="12" t="str">
        <f aca="false">IF($D775="","",IFERROR(INDEX(고객목록!$B$3:$B$502,MATCH($D775,고객목록!$A$3:$A$502,0)),""))</f>
        <v/>
      </c>
      <c r="F775" s="13"/>
      <c r="G775" s="13"/>
      <c r="H775" s="14" t="str">
        <f aca="false">IF(OR($L775="",$M775=""),"",ROUND(($M775-$L775)/60,2))</f>
        <v/>
      </c>
      <c r="I775" s="9"/>
      <c r="J775" s="7"/>
      <c r="K775" s="7"/>
      <c r="L775" s="15" t="str">
        <f aca="false">IF($F775="","",IF($F775&lt;1,ROUND($F775*1440,0),INT($F775/100)*60+MOD($F775,100)))</f>
        <v/>
      </c>
      <c r="M775" s="15" t="str">
        <f aca="false">IF($G775="","",IF($G775&lt;1,ROUND($G775*1440,0),INT($G775/100)*60+MOD($G775,100)))</f>
        <v/>
      </c>
      <c r="N775" s="15" t="str">
        <f aca="false">IF(OR($A775="",$B775="",$L775="",$M775="",$J775="취소"),"",IF(SUMPRODUCT(($A$3:$A$2002=$A775)*($B$3:$B$2002=$B775)*($J$3:$J$2002&lt;&gt;"취소")*($L$3:$L$2002&lt;&gt;"")*($M$3:$M$2002&lt;&gt;"")*($L$3:$L$2002&lt;$M775)*($M$3:$M$2002&gt;$L775))&gt;1,"중복","-"))</f>
        <v/>
      </c>
    </row>
    <row r="776" customFormat="false" ht="15" hidden="false" customHeight="true" outlineLevel="0" collapsed="false">
      <c r="A776" s="11"/>
      <c r="B776" s="7"/>
      <c r="C776" s="12" t="str">
        <f aca="false">IF($B776="","",IFERROR(INDEX(자원목록!$B$3:$B$102,MATCH($B776,자원목록!$A$3:$A$102,0)),"미등록자원"))</f>
        <v/>
      </c>
      <c r="D776" s="7"/>
      <c r="E776" s="12" t="str">
        <f aca="false">IF($D776="","",IFERROR(INDEX(고객목록!$B$3:$B$502,MATCH($D776,고객목록!$A$3:$A$502,0)),""))</f>
        <v/>
      </c>
      <c r="F776" s="13"/>
      <c r="G776" s="13"/>
      <c r="H776" s="14" t="str">
        <f aca="false">IF(OR($L776="",$M776=""),"",ROUND(($M776-$L776)/60,2))</f>
        <v/>
      </c>
      <c r="I776" s="9"/>
      <c r="J776" s="7"/>
      <c r="K776" s="7"/>
      <c r="L776" s="15" t="str">
        <f aca="false">IF($F776="","",IF($F776&lt;1,ROUND($F776*1440,0),INT($F776/100)*60+MOD($F776,100)))</f>
        <v/>
      </c>
      <c r="M776" s="15" t="str">
        <f aca="false">IF($G776="","",IF($G776&lt;1,ROUND($G776*1440,0),INT($G776/100)*60+MOD($G776,100)))</f>
        <v/>
      </c>
      <c r="N776" s="15" t="str">
        <f aca="false">IF(OR($A776="",$B776="",$L776="",$M776="",$J776="취소"),"",IF(SUMPRODUCT(($A$3:$A$2002=$A776)*($B$3:$B$2002=$B776)*($J$3:$J$2002&lt;&gt;"취소")*($L$3:$L$2002&lt;&gt;"")*($M$3:$M$2002&lt;&gt;"")*($L$3:$L$2002&lt;$M776)*($M$3:$M$2002&gt;$L776))&gt;1,"중복","-"))</f>
        <v/>
      </c>
    </row>
    <row r="777" customFormat="false" ht="15" hidden="false" customHeight="true" outlineLevel="0" collapsed="false">
      <c r="A777" s="11"/>
      <c r="B777" s="7"/>
      <c r="C777" s="12" t="str">
        <f aca="false">IF($B777="","",IFERROR(INDEX(자원목록!$B$3:$B$102,MATCH($B777,자원목록!$A$3:$A$102,0)),"미등록자원"))</f>
        <v/>
      </c>
      <c r="D777" s="7"/>
      <c r="E777" s="12" t="str">
        <f aca="false">IF($D777="","",IFERROR(INDEX(고객목록!$B$3:$B$502,MATCH($D777,고객목록!$A$3:$A$502,0)),""))</f>
        <v/>
      </c>
      <c r="F777" s="13"/>
      <c r="G777" s="13"/>
      <c r="H777" s="14" t="str">
        <f aca="false">IF(OR($L777="",$M777=""),"",ROUND(($M777-$L777)/60,2))</f>
        <v/>
      </c>
      <c r="I777" s="9"/>
      <c r="J777" s="7"/>
      <c r="K777" s="7"/>
      <c r="L777" s="15" t="str">
        <f aca="false">IF($F777="","",IF($F777&lt;1,ROUND($F777*1440,0),INT($F777/100)*60+MOD($F777,100)))</f>
        <v/>
      </c>
      <c r="M777" s="15" t="str">
        <f aca="false">IF($G777="","",IF($G777&lt;1,ROUND($G777*1440,0),INT($G777/100)*60+MOD($G777,100)))</f>
        <v/>
      </c>
      <c r="N777" s="15" t="str">
        <f aca="false">IF(OR($A777="",$B777="",$L777="",$M777="",$J777="취소"),"",IF(SUMPRODUCT(($A$3:$A$2002=$A777)*($B$3:$B$2002=$B777)*($J$3:$J$2002&lt;&gt;"취소")*($L$3:$L$2002&lt;&gt;"")*($M$3:$M$2002&lt;&gt;"")*($L$3:$L$2002&lt;$M777)*($M$3:$M$2002&gt;$L777))&gt;1,"중복","-"))</f>
        <v/>
      </c>
    </row>
    <row r="778" customFormat="false" ht="15" hidden="false" customHeight="true" outlineLevel="0" collapsed="false">
      <c r="A778" s="11"/>
      <c r="B778" s="7"/>
      <c r="C778" s="12" t="str">
        <f aca="false">IF($B778="","",IFERROR(INDEX(자원목록!$B$3:$B$102,MATCH($B778,자원목록!$A$3:$A$102,0)),"미등록자원"))</f>
        <v/>
      </c>
      <c r="D778" s="7"/>
      <c r="E778" s="12" t="str">
        <f aca="false">IF($D778="","",IFERROR(INDEX(고객목록!$B$3:$B$502,MATCH($D778,고객목록!$A$3:$A$502,0)),""))</f>
        <v/>
      </c>
      <c r="F778" s="13"/>
      <c r="G778" s="13"/>
      <c r="H778" s="14" t="str">
        <f aca="false">IF(OR($L778="",$M778=""),"",ROUND(($M778-$L778)/60,2))</f>
        <v/>
      </c>
      <c r="I778" s="9"/>
      <c r="J778" s="7"/>
      <c r="K778" s="7"/>
      <c r="L778" s="15" t="str">
        <f aca="false">IF($F778="","",IF($F778&lt;1,ROUND($F778*1440,0),INT($F778/100)*60+MOD($F778,100)))</f>
        <v/>
      </c>
      <c r="M778" s="15" t="str">
        <f aca="false">IF($G778="","",IF($G778&lt;1,ROUND($G778*1440,0),INT($G778/100)*60+MOD($G778,100)))</f>
        <v/>
      </c>
      <c r="N778" s="15" t="str">
        <f aca="false">IF(OR($A778="",$B778="",$L778="",$M778="",$J778="취소"),"",IF(SUMPRODUCT(($A$3:$A$2002=$A778)*($B$3:$B$2002=$B778)*($J$3:$J$2002&lt;&gt;"취소")*($L$3:$L$2002&lt;&gt;"")*($M$3:$M$2002&lt;&gt;"")*($L$3:$L$2002&lt;$M778)*($M$3:$M$2002&gt;$L778))&gt;1,"중복","-"))</f>
        <v/>
      </c>
    </row>
    <row r="779" customFormat="false" ht="15" hidden="false" customHeight="true" outlineLevel="0" collapsed="false">
      <c r="A779" s="11"/>
      <c r="B779" s="7"/>
      <c r="C779" s="12" t="str">
        <f aca="false">IF($B779="","",IFERROR(INDEX(자원목록!$B$3:$B$102,MATCH($B779,자원목록!$A$3:$A$102,0)),"미등록자원"))</f>
        <v/>
      </c>
      <c r="D779" s="7"/>
      <c r="E779" s="12" t="str">
        <f aca="false">IF($D779="","",IFERROR(INDEX(고객목록!$B$3:$B$502,MATCH($D779,고객목록!$A$3:$A$502,0)),""))</f>
        <v/>
      </c>
      <c r="F779" s="13"/>
      <c r="G779" s="13"/>
      <c r="H779" s="14" t="str">
        <f aca="false">IF(OR($L779="",$M779=""),"",ROUND(($M779-$L779)/60,2))</f>
        <v/>
      </c>
      <c r="I779" s="9"/>
      <c r="J779" s="7"/>
      <c r="K779" s="7"/>
      <c r="L779" s="15" t="str">
        <f aca="false">IF($F779="","",IF($F779&lt;1,ROUND($F779*1440,0),INT($F779/100)*60+MOD($F779,100)))</f>
        <v/>
      </c>
      <c r="M779" s="15" t="str">
        <f aca="false">IF($G779="","",IF($G779&lt;1,ROUND($G779*1440,0),INT($G779/100)*60+MOD($G779,100)))</f>
        <v/>
      </c>
      <c r="N779" s="15" t="str">
        <f aca="false">IF(OR($A779="",$B779="",$L779="",$M779="",$J779="취소"),"",IF(SUMPRODUCT(($A$3:$A$2002=$A779)*($B$3:$B$2002=$B779)*($J$3:$J$2002&lt;&gt;"취소")*($L$3:$L$2002&lt;&gt;"")*($M$3:$M$2002&lt;&gt;"")*($L$3:$L$2002&lt;$M779)*($M$3:$M$2002&gt;$L779))&gt;1,"중복","-"))</f>
        <v/>
      </c>
    </row>
    <row r="780" customFormat="false" ht="15" hidden="false" customHeight="true" outlineLevel="0" collapsed="false">
      <c r="A780" s="11"/>
      <c r="B780" s="7"/>
      <c r="C780" s="12" t="str">
        <f aca="false">IF($B780="","",IFERROR(INDEX(자원목록!$B$3:$B$102,MATCH($B780,자원목록!$A$3:$A$102,0)),"미등록자원"))</f>
        <v/>
      </c>
      <c r="D780" s="7"/>
      <c r="E780" s="12" t="str">
        <f aca="false">IF($D780="","",IFERROR(INDEX(고객목록!$B$3:$B$502,MATCH($D780,고객목록!$A$3:$A$502,0)),""))</f>
        <v/>
      </c>
      <c r="F780" s="13"/>
      <c r="G780" s="13"/>
      <c r="H780" s="14" t="str">
        <f aca="false">IF(OR($L780="",$M780=""),"",ROUND(($M780-$L780)/60,2))</f>
        <v/>
      </c>
      <c r="I780" s="9"/>
      <c r="J780" s="7"/>
      <c r="K780" s="7"/>
      <c r="L780" s="15" t="str">
        <f aca="false">IF($F780="","",IF($F780&lt;1,ROUND($F780*1440,0),INT($F780/100)*60+MOD($F780,100)))</f>
        <v/>
      </c>
      <c r="M780" s="15" t="str">
        <f aca="false">IF($G780="","",IF($G780&lt;1,ROUND($G780*1440,0),INT($G780/100)*60+MOD($G780,100)))</f>
        <v/>
      </c>
      <c r="N780" s="15" t="str">
        <f aca="false">IF(OR($A780="",$B780="",$L780="",$M780="",$J780="취소"),"",IF(SUMPRODUCT(($A$3:$A$2002=$A780)*($B$3:$B$2002=$B780)*($J$3:$J$2002&lt;&gt;"취소")*($L$3:$L$2002&lt;&gt;"")*($M$3:$M$2002&lt;&gt;"")*($L$3:$L$2002&lt;$M780)*($M$3:$M$2002&gt;$L780))&gt;1,"중복","-"))</f>
        <v/>
      </c>
    </row>
    <row r="781" customFormat="false" ht="15" hidden="false" customHeight="true" outlineLevel="0" collapsed="false">
      <c r="A781" s="11"/>
      <c r="B781" s="7"/>
      <c r="C781" s="12" t="str">
        <f aca="false">IF($B781="","",IFERROR(INDEX(자원목록!$B$3:$B$102,MATCH($B781,자원목록!$A$3:$A$102,0)),"미등록자원"))</f>
        <v/>
      </c>
      <c r="D781" s="7"/>
      <c r="E781" s="12" t="str">
        <f aca="false">IF($D781="","",IFERROR(INDEX(고객목록!$B$3:$B$502,MATCH($D781,고객목록!$A$3:$A$502,0)),""))</f>
        <v/>
      </c>
      <c r="F781" s="13"/>
      <c r="G781" s="13"/>
      <c r="H781" s="14" t="str">
        <f aca="false">IF(OR($L781="",$M781=""),"",ROUND(($M781-$L781)/60,2))</f>
        <v/>
      </c>
      <c r="I781" s="9"/>
      <c r="J781" s="7"/>
      <c r="K781" s="7"/>
      <c r="L781" s="15" t="str">
        <f aca="false">IF($F781="","",IF($F781&lt;1,ROUND($F781*1440,0),INT($F781/100)*60+MOD($F781,100)))</f>
        <v/>
      </c>
      <c r="M781" s="15" t="str">
        <f aca="false">IF($G781="","",IF($G781&lt;1,ROUND($G781*1440,0),INT($G781/100)*60+MOD($G781,100)))</f>
        <v/>
      </c>
      <c r="N781" s="15" t="str">
        <f aca="false">IF(OR($A781="",$B781="",$L781="",$M781="",$J781="취소"),"",IF(SUMPRODUCT(($A$3:$A$2002=$A781)*($B$3:$B$2002=$B781)*($J$3:$J$2002&lt;&gt;"취소")*($L$3:$L$2002&lt;&gt;"")*($M$3:$M$2002&lt;&gt;"")*($L$3:$L$2002&lt;$M781)*($M$3:$M$2002&gt;$L781))&gt;1,"중복","-"))</f>
        <v/>
      </c>
    </row>
    <row r="782" customFormat="false" ht="15" hidden="false" customHeight="true" outlineLevel="0" collapsed="false">
      <c r="A782" s="11"/>
      <c r="B782" s="7"/>
      <c r="C782" s="12" t="str">
        <f aca="false">IF($B782="","",IFERROR(INDEX(자원목록!$B$3:$B$102,MATCH($B782,자원목록!$A$3:$A$102,0)),"미등록자원"))</f>
        <v/>
      </c>
      <c r="D782" s="7"/>
      <c r="E782" s="12" t="str">
        <f aca="false">IF($D782="","",IFERROR(INDEX(고객목록!$B$3:$B$502,MATCH($D782,고객목록!$A$3:$A$502,0)),""))</f>
        <v/>
      </c>
      <c r="F782" s="13"/>
      <c r="G782" s="13"/>
      <c r="H782" s="14" t="str">
        <f aca="false">IF(OR($L782="",$M782=""),"",ROUND(($M782-$L782)/60,2))</f>
        <v/>
      </c>
      <c r="I782" s="9"/>
      <c r="J782" s="7"/>
      <c r="K782" s="7"/>
      <c r="L782" s="15" t="str">
        <f aca="false">IF($F782="","",IF($F782&lt;1,ROUND($F782*1440,0),INT($F782/100)*60+MOD($F782,100)))</f>
        <v/>
      </c>
      <c r="M782" s="15" t="str">
        <f aca="false">IF($G782="","",IF($G782&lt;1,ROUND($G782*1440,0),INT($G782/100)*60+MOD($G782,100)))</f>
        <v/>
      </c>
      <c r="N782" s="15" t="str">
        <f aca="false">IF(OR($A782="",$B782="",$L782="",$M782="",$J782="취소"),"",IF(SUMPRODUCT(($A$3:$A$2002=$A782)*($B$3:$B$2002=$B782)*($J$3:$J$2002&lt;&gt;"취소")*($L$3:$L$2002&lt;&gt;"")*($M$3:$M$2002&lt;&gt;"")*($L$3:$L$2002&lt;$M782)*($M$3:$M$2002&gt;$L782))&gt;1,"중복","-"))</f>
        <v/>
      </c>
    </row>
    <row r="783" customFormat="false" ht="15" hidden="false" customHeight="true" outlineLevel="0" collapsed="false">
      <c r="A783" s="11"/>
      <c r="B783" s="7"/>
      <c r="C783" s="12" t="str">
        <f aca="false">IF($B783="","",IFERROR(INDEX(자원목록!$B$3:$B$102,MATCH($B783,자원목록!$A$3:$A$102,0)),"미등록자원"))</f>
        <v/>
      </c>
      <c r="D783" s="7"/>
      <c r="E783" s="12" t="str">
        <f aca="false">IF($D783="","",IFERROR(INDEX(고객목록!$B$3:$B$502,MATCH($D783,고객목록!$A$3:$A$502,0)),""))</f>
        <v/>
      </c>
      <c r="F783" s="13"/>
      <c r="G783" s="13"/>
      <c r="H783" s="14" t="str">
        <f aca="false">IF(OR($L783="",$M783=""),"",ROUND(($M783-$L783)/60,2))</f>
        <v/>
      </c>
      <c r="I783" s="9"/>
      <c r="J783" s="7"/>
      <c r="K783" s="7"/>
      <c r="L783" s="15" t="str">
        <f aca="false">IF($F783="","",IF($F783&lt;1,ROUND($F783*1440,0),INT($F783/100)*60+MOD($F783,100)))</f>
        <v/>
      </c>
      <c r="M783" s="15" t="str">
        <f aca="false">IF($G783="","",IF($G783&lt;1,ROUND($G783*1440,0),INT($G783/100)*60+MOD($G783,100)))</f>
        <v/>
      </c>
      <c r="N783" s="15" t="str">
        <f aca="false">IF(OR($A783="",$B783="",$L783="",$M783="",$J783="취소"),"",IF(SUMPRODUCT(($A$3:$A$2002=$A783)*($B$3:$B$2002=$B783)*($J$3:$J$2002&lt;&gt;"취소")*($L$3:$L$2002&lt;&gt;"")*($M$3:$M$2002&lt;&gt;"")*($L$3:$L$2002&lt;$M783)*($M$3:$M$2002&gt;$L783))&gt;1,"중복","-"))</f>
        <v/>
      </c>
    </row>
    <row r="784" customFormat="false" ht="15" hidden="false" customHeight="true" outlineLevel="0" collapsed="false">
      <c r="A784" s="11"/>
      <c r="B784" s="7"/>
      <c r="C784" s="12" t="str">
        <f aca="false">IF($B784="","",IFERROR(INDEX(자원목록!$B$3:$B$102,MATCH($B784,자원목록!$A$3:$A$102,0)),"미등록자원"))</f>
        <v/>
      </c>
      <c r="D784" s="7"/>
      <c r="E784" s="12" t="str">
        <f aca="false">IF($D784="","",IFERROR(INDEX(고객목록!$B$3:$B$502,MATCH($D784,고객목록!$A$3:$A$502,0)),""))</f>
        <v/>
      </c>
      <c r="F784" s="13"/>
      <c r="G784" s="13"/>
      <c r="H784" s="14" t="str">
        <f aca="false">IF(OR($L784="",$M784=""),"",ROUND(($M784-$L784)/60,2))</f>
        <v/>
      </c>
      <c r="I784" s="9"/>
      <c r="J784" s="7"/>
      <c r="K784" s="7"/>
      <c r="L784" s="15" t="str">
        <f aca="false">IF($F784="","",IF($F784&lt;1,ROUND($F784*1440,0),INT($F784/100)*60+MOD($F784,100)))</f>
        <v/>
      </c>
      <c r="M784" s="15" t="str">
        <f aca="false">IF($G784="","",IF($G784&lt;1,ROUND($G784*1440,0),INT($G784/100)*60+MOD($G784,100)))</f>
        <v/>
      </c>
      <c r="N784" s="15" t="str">
        <f aca="false">IF(OR($A784="",$B784="",$L784="",$M784="",$J784="취소"),"",IF(SUMPRODUCT(($A$3:$A$2002=$A784)*($B$3:$B$2002=$B784)*($J$3:$J$2002&lt;&gt;"취소")*($L$3:$L$2002&lt;&gt;"")*($M$3:$M$2002&lt;&gt;"")*($L$3:$L$2002&lt;$M784)*($M$3:$M$2002&gt;$L784))&gt;1,"중복","-"))</f>
        <v/>
      </c>
    </row>
    <row r="785" customFormat="false" ht="15" hidden="false" customHeight="true" outlineLevel="0" collapsed="false">
      <c r="A785" s="11"/>
      <c r="B785" s="7"/>
      <c r="C785" s="12" t="str">
        <f aca="false">IF($B785="","",IFERROR(INDEX(자원목록!$B$3:$B$102,MATCH($B785,자원목록!$A$3:$A$102,0)),"미등록자원"))</f>
        <v/>
      </c>
      <c r="D785" s="7"/>
      <c r="E785" s="12" t="str">
        <f aca="false">IF($D785="","",IFERROR(INDEX(고객목록!$B$3:$B$502,MATCH($D785,고객목록!$A$3:$A$502,0)),""))</f>
        <v/>
      </c>
      <c r="F785" s="13"/>
      <c r="G785" s="13"/>
      <c r="H785" s="14" t="str">
        <f aca="false">IF(OR($L785="",$M785=""),"",ROUND(($M785-$L785)/60,2))</f>
        <v/>
      </c>
      <c r="I785" s="9"/>
      <c r="J785" s="7"/>
      <c r="K785" s="7"/>
      <c r="L785" s="15" t="str">
        <f aca="false">IF($F785="","",IF($F785&lt;1,ROUND($F785*1440,0),INT($F785/100)*60+MOD($F785,100)))</f>
        <v/>
      </c>
      <c r="M785" s="15" t="str">
        <f aca="false">IF($G785="","",IF($G785&lt;1,ROUND($G785*1440,0),INT($G785/100)*60+MOD($G785,100)))</f>
        <v/>
      </c>
      <c r="N785" s="15" t="str">
        <f aca="false">IF(OR($A785="",$B785="",$L785="",$M785="",$J785="취소"),"",IF(SUMPRODUCT(($A$3:$A$2002=$A785)*($B$3:$B$2002=$B785)*($J$3:$J$2002&lt;&gt;"취소")*($L$3:$L$2002&lt;&gt;"")*($M$3:$M$2002&lt;&gt;"")*($L$3:$L$2002&lt;$M785)*($M$3:$M$2002&gt;$L785))&gt;1,"중복","-"))</f>
        <v/>
      </c>
    </row>
    <row r="786" customFormat="false" ht="15" hidden="false" customHeight="true" outlineLevel="0" collapsed="false">
      <c r="A786" s="11"/>
      <c r="B786" s="7"/>
      <c r="C786" s="12" t="str">
        <f aca="false">IF($B786="","",IFERROR(INDEX(자원목록!$B$3:$B$102,MATCH($B786,자원목록!$A$3:$A$102,0)),"미등록자원"))</f>
        <v/>
      </c>
      <c r="D786" s="7"/>
      <c r="E786" s="12" t="str">
        <f aca="false">IF($D786="","",IFERROR(INDEX(고객목록!$B$3:$B$502,MATCH($D786,고객목록!$A$3:$A$502,0)),""))</f>
        <v/>
      </c>
      <c r="F786" s="13"/>
      <c r="G786" s="13"/>
      <c r="H786" s="14" t="str">
        <f aca="false">IF(OR($L786="",$M786=""),"",ROUND(($M786-$L786)/60,2))</f>
        <v/>
      </c>
      <c r="I786" s="9"/>
      <c r="J786" s="7"/>
      <c r="K786" s="7"/>
      <c r="L786" s="15" t="str">
        <f aca="false">IF($F786="","",IF($F786&lt;1,ROUND($F786*1440,0),INT($F786/100)*60+MOD($F786,100)))</f>
        <v/>
      </c>
      <c r="M786" s="15" t="str">
        <f aca="false">IF($G786="","",IF($G786&lt;1,ROUND($G786*1440,0),INT($G786/100)*60+MOD($G786,100)))</f>
        <v/>
      </c>
      <c r="N786" s="15" t="str">
        <f aca="false">IF(OR($A786="",$B786="",$L786="",$M786="",$J786="취소"),"",IF(SUMPRODUCT(($A$3:$A$2002=$A786)*($B$3:$B$2002=$B786)*($J$3:$J$2002&lt;&gt;"취소")*($L$3:$L$2002&lt;&gt;"")*($M$3:$M$2002&lt;&gt;"")*($L$3:$L$2002&lt;$M786)*($M$3:$M$2002&gt;$L786))&gt;1,"중복","-"))</f>
        <v/>
      </c>
    </row>
    <row r="787" customFormat="false" ht="15" hidden="false" customHeight="true" outlineLevel="0" collapsed="false">
      <c r="A787" s="11"/>
      <c r="B787" s="7"/>
      <c r="C787" s="12" t="str">
        <f aca="false">IF($B787="","",IFERROR(INDEX(자원목록!$B$3:$B$102,MATCH($B787,자원목록!$A$3:$A$102,0)),"미등록자원"))</f>
        <v/>
      </c>
      <c r="D787" s="7"/>
      <c r="E787" s="12" t="str">
        <f aca="false">IF($D787="","",IFERROR(INDEX(고객목록!$B$3:$B$502,MATCH($D787,고객목록!$A$3:$A$502,0)),""))</f>
        <v/>
      </c>
      <c r="F787" s="13"/>
      <c r="G787" s="13"/>
      <c r="H787" s="14" t="str">
        <f aca="false">IF(OR($L787="",$M787=""),"",ROUND(($M787-$L787)/60,2))</f>
        <v/>
      </c>
      <c r="I787" s="9"/>
      <c r="J787" s="7"/>
      <c r="K787" s="7"/>
      <c r="L787" s="15" t="str">
        <f aca="false">IF($F787="","",IF($F787&lt;1,ROUND($F787*1440,0),INT($F787/100)*60+MOD($F787,100)))</f>
        <v/>
      </c>
      <c r="M787" s="15" t="str">
        <f aca="false">IF($G787="","",IF($G787&lt;1,ROUND($G787*1440,0),INT($G787/100)*60+MOD($G787,100)))</f>
        <v/>
      </c>
      <c r="N787" s="15" t="str">
        <f aca="false">IF(OR($A787="",$B787="",$L787="",$M787="",$J787="취소"),"",IF(SUMPRODUCT(($A$3:$A$2002=$A787)*($B$3:$B$2002=$B787)*($J$3:$J$2002&lt;&gt;"취소")*($L$3:$L$2002&lt;&gt;"")*($M$3:$M$2002&lt;&gt;"")*($L$3:$L$2002&lt;$M787)*($M$3:$M$2002&gt;$L787))&gt;1,"중복","-"))</f>
        <v/>
      </c>
    </row>
    <row r="788" customFormat="false" ht="15" hidden="false" customHeight="true" outlineLevel="0" collapsed="false">
      <c r="A788" s="11"/>
      <c r="B788" s="7"/>
      <c r="C788" s="12" t="str">
        <f aca="false">IF($B788="","",IFERROR(INDEX(자원목록!$B$3:$B$102,MATCH($B788,자원목록!$A$3:$A$102,0)),"미등록자원"))</f>
        <v/>
      </c>
      <c r="D788" s="7"/>
      <c r="E788" s="12" t="str">
        <f aca="false">IF($D788="","",IFERROR(INDEX(고객목록!$B$3:$B$502,MATCH($D788,고객목록!$A$3:$A$502,0)),""))</f>
        <v/>
      </c>
      <c r="F788" s="13"/>
      <c r="G788" s="13"/>
      <c r="H788" s="14" t="str">
        <f aca="false">IF(OR($L788="",$M788=""),"",ROUND(($M788-$L788)/60,2))</f>
        <v/>
      </c>
      <c r="I788" s="9"/>
      <c r="J788" s="7"/>
      <c r="K788" s="7"/>
      <c r="L788" s="15" t="str">
        <f aca="false">IF($F788="","",IF($F788&lt;1,ROUND($F788*1440,0),INT($F788/100)*60+MOD($F788,100)))</f>
        <v/>
      </c>
      <c r="M788" s="15" t="str">
        <f aca="false">IF($G788="","",IF($G788&lt;1,ROUND($G788*1440,0),INT($G788/100)*60+MOD($G788,100)))</f>
        <v/>
      </c>
      <c r="N788" s="15" t="str">
        <f aca="false">IF(OR($A788="",$B788="",$L788="",$M788="",$J788="취소"),"",IF(SUMPRODUCT(($A$3:$A$2002=$A788)*($B$3:$B$2002=$B788)*($J$3:$J$2002&lt;&gt;"취소")*($L$3:$L$2002&lt;&gt;"")*($M$3:$M$2002&lt;&gt;"")*($L$3:$L$2002&lt;$M788)*($M$3:$M$2002&gt;$L788))&gt;1,"중복","-"))</f>
        <v/>
      </c>
    </row>
    <row r="789" customFormat="false" ht="15" hidden="false" customHeight="true" outlineLevel="0" collapsed="false">
      <c r="A789" s="11"/>
      <c r="B789" s="7"/>
      <c r="C789" s="12" t="str">
        <f aca="false">IF($B789="","",IFERROR(INDEX(자원목록!$B$3:$B$102,MATCH($B789,자원목록!$A$3:$A$102,0)),"미등록자원"))</f>
        <v/>
      </c>
      <c r="D789" s="7"/>
      <c r="E789" s="12" t="str">
        <f aca="false">IF($D789="","",IFERROR(INDEX(고객목록!$B$3:$B$502,MATCH($D789,고객목록!$A$3:$A$502,0)),""))</f>
        <v/>
      </c>
      <c r="F789" s="13"/>
      <c r="G789" s="13"/>
      <c r="H789" s="14" t="str">
        <f aca="false">IF(OR($L789="",$M789=""),"",ROUND(($M789-$L789)/60,2))</f>
        <v/>
      </c>
      <c r="I789" s="9"/>
      <c r="J789" s="7"/>
      <c r="K789" s="7"/>
      <c r="L789" s="15" t="str">
        <f aca="false">IF($F789="","",IF($F789&lt;1,ROUND($F789*1440,0),INT($F789/100)*60+MOD($F789,100)))</f>
        <v/>
      </c>
      <c r="M789" s="15" t="str">
        <f aca="false">IF($G789="","",IF($G789&lt;1,ROUND($G789*1440,0),INT($G789/100)*60+MOD($G789,100)))</f>
        <v/>
      </c>
      <c r="N789" s="15" t="str">
        <f aca="false">IF(OR($A789="",$B789="",$L789="",$M789="",$J789="취소"),"",IF(SUMPRODUCT(($A$3:$A$2002=$A789)*($B$3:$B$2002=$B789)*($J$3:$J$2002&lt;&gt;"취소")*($L$3:$L$2002&lt;&gt;"")*($M$3:$M$2002&lt;&gt;"")*($L$3:$L$2002&lt;$M789)*($M$3:$M$2002&gt;$L789))&gt;1,"중복","-"))</f>
        <v/>
      </c>
    </row>
    <row r="790" customFormat="false" ht="15" hidden="false" customHeight="true" outlineLevel="0" collapsed="false">
      <c r="A790" s="11"/>
      <c r="B790" s="7"/>
      <c r="C790" s="12" t="str">
        <f aca="false">IF($B790="","",IFERROR(INDEX(자원목록!$B$3:$B$102,MATCH($B790,자원목록!$A$3:$A$102,0)),"미등록자원"))</f>
        <v/>
      </c>
      <c r="D790" s="7"/>
      <c r="E790" s="12" t="str">
        <f aca="false">IF($D790="","",IFERROR(INDEX(고객목록!$B$3:$B$502,MATCH($D790,고객목록!$A$3:$A$502,0)),""))</f>
        <v/>
      </c>
      <c r="F790" s="13"/>
      <c r="G790" s="13"/>
      <c r="H790" s="14" t="str">
        <f aca="false">IF(OR($L790="",$M790=""),"",ROUND(($M790-$L790)/60,2))</f>
        <v/>
      </c>
      <c r="I790" s="9"/>
      <c r="J790" s="7"/>
      <c r="K790" s="7"/>
      <c r="L790" s="15" t="str">
        <f aca="false">IF($F790="","",IF($F790&lt;1,ROUND($F790*1440,0),INT($F790/100)*60+MOD($F790,100)))</f>
        <v/>
      </c>
      <c r="M790" s="15" t="str">
        <f aca="false">IF($G790="","",IF($G790&lt;1,ROUND($G790*1440,0),INT($G790/100)*60+MOD($G790,100)))</f>
        <v/>
      </c>
      <c r="N790" s="15" t="str">
        <f aca="false">IF(OR($A790="",$B790="",$L790="",$M790="",$J790="취소"),"",IF(SUMPRODUCT(($A$3:$A$2002=$A790)*($B$3:$B$2002=$B790)*($J$3:$J$2002&lt;&gt;"취소")*($L$3:$L$2002&lt;&gt;"")*($M$3:$M$2002&lt;&gt;"")*($L$3:$L$2002&lt;$M790)*($M$3:$M$2002&gt;$L790))&gt;1,"중복","-"))</f>
        <v/>
      </c>
    </row>
    <row r="791" customFormat="false" ht="15" hidden="false" customHeight="true" outlineLevel="0" collapsed="false">
      <c r="A791" s="11"/>
      <c r="B791" s="7"/>
      <c r="C791" s="12" t="str">
        <f aca="false">IF($B791="","",IFERROR(INDEX(자원목록!$B$3:$B$102,MATCH($B791,자원목록!$A$3:$A$102,0)),"미등록자원"))</f>
        <v/>
      </c>
      <c r="D791" s="7"/>
      <c r="E791" s="12" t="str">
        <f aca="false">IF($D791="","",IFERROR(INDEX(고객목록!$B$3:$B$502,MATCH($D791,고객목록!$A$3:$A$502,0)),""))</f>
        <v/>
      </c>
      <c r="F791" s="13"/>
      <c r="G791" s="13"/>
      <c r="H791" s="14" t="str">
        <f aca="false">IF(OR($L791="",$M791=""),"",ROUND(($M791-$L791)/60,2))</f>
        <v/>
      </c>
      <c r="I791" s="9"/>
      <c r="J791" s="7"/>
      <c r="K791" s="7"/>
      <c r="L791" s="15" t="str">
        <f aca="false">IF($F791="","",IF($F791&lt;1,ROUND($F791*1440,0),INT($F791/100)*60+MOD($F791,100)))</f>
        <v/>
      </c>
      <c r="M791" s="15" t="str">
        <f aca="false">IF($G791="","",IF($G791&lt;1,ROUND($G791*1440,0),INT($G791/100)*60+MOD($G791,100)))</f>
        <v/>
      </c>
      <c r="N791" s="15" t="str">
        <f aca="false">IF(OR($A791="",$B791="",$L791="",$M791="",$J791="취소"),"",IF(SUMPRODUCT(($A$3:$A$2002=$A791)*($B$3:$B$2002=$B791)*($J$3:$J$2002&lt;&gt;"취소")*($L$3:$L$2002&lt;&gt;"")*($M$3:$M$2002&lt;&gt;"")*($L$3:$L$2002&lt;$M791)*($M$3:$M$2002&gt;$L791))&gt;1,"중복","-"))</f>
        <v/>
      </c>
    </row>
    <row r="792" customFormat="false" ht="15" hidden="false" customHeight="true" outlineLevel="0" collapsed="false">
      <c r="A792" s="11"/>
      <c r="B792" s="7"/>
      <c r="C792" s="12" t="str">
        <f aca="false">IF($B792="","",IFERROR(INDEX(자원목록!$B$3:$B$102,MATCH($B792,자원목록!$A$3:$A$102,0)),"미등록자원"))</f>
        <v/>
      </c>
      <c r="D792" s="7"/>
      <c r="E792" s="12" t="str">
        <f aca="false">IF($D792="","",IFERROR(INDEX(고객목록!$B$3:$B$502,MATCH($D792,고객목록!$A$3:$A$502,0)),""))</f>
        <v/>
      </c>
      <c r="F792" s="13"/>
      <c r="G792" s="13"/>
      <c r="H792" s="14" t="str">
        <f aca="false">IF(OR($L792="",$M792=""),"",ROUND(($M792-$L792)/60,2))</f>
        <v/>
      </c>
      <c r="I792" s="9"/>
      <c r="J792" s="7"/>
      <c r="K792" s="7"/>
      <c r="L792" s="15" t="str">
        <f aca="false">IF($F792="","",IF($F792&lt;1,ROUND($F792*1440,0),INT($F792/100)*60+MOD($F792,100)))</f>
        <v/>
      </c>
      <c r="M792" s="15" t="str">
        <f aca="false">IF($G792="","",IF($G792&lt;1,ROUND($G792*1440,0),INT($G792/100)*60+MOD($G792,100)))</f>
        <v/>
      </c>
      <c r="N792" s="15" t="str">
        <f aca="false">IF(OR($A792="",$B792="",$L792="",$M792="",$J792="취소"),"",IF(SUMPRODUCT(($A$3:$A$2002=$A792)*($B$3:$B$2002=$B792)*($J$3:$J$2002&lt;&gt;"취소")*($L$3:$L$2002&lt;&gt;"")*($M$3:$M$2002&lt;&gt;"")*($L$3:$L$2002&lt;$M792)*($M$3:$M$2002&gt;$L792))&gt;1,"중복","-"))</f>
        <v/>
      </c>
    </row>
    <row r="793" customFormat="false" ht="15" hidden="false" customHeight="true" outlineLevel="0" collapsed="false">
      <c r="A793" s="11"/>
      <c r="B793" s="7"/>
      <c r="C793" s="12" t="str">
        <f aca="false">IF($B793="","",IFERROR(INDEX(자원목록!$B$3:$B$102,MATCH($B793,자원목록!$A$3:$A$102,0)),"미등록자원"))</f>
        <v/>
      </c>
      <c r="D793" s="7"/>
      <c r="E793" s="12" t="str">
        <f aca="false">IF($D793="","",IFERROR(INDEX(고객목록!$B$3:$B$502,MATCH($D793,고객목록!$A$3:$A$502,0)),""))</f>
        <v/>
      </c>
      <c r="F793" s="13"/>
      <c r="G793" s="13"/>
      <c r="H793" s="14" t="str">
        <f aca="false">IF(OR($L793="",$M793=""),"",ROUND(($M793-$L793)/60,2))</f>
        <v/>
      </c>
      <c r="I793" s="9"/>
      <c r="J793" s="7"/>
      <c r="K793" s="7"/>
      <c r="L793" s="15" t="str">
        <f aca="false">IF($F793="","",IF($F793&lt;1,ROUND($F793*1440,0),INT($F793/100)*60+MOD($F793,100)))</f>
        <v/>
      </c>
      <c r="M793" s="15" t="str">
        <f aca="false">IF($G793="","",IF($G793&lt;1,ROUND($G793*1440,0),INT($G793/100)*60+MOD($G793,100)))</f>
        <v/>
      </c>
      <c r="N793" s="15" t="str">
        <f aca="false">IF(OR($A793="",$B793="",$L793="",$M793="",$J793="취소"),"",IF(SUMPRODUCT(($A$3:$A$2002=$A793)*($B$3:$B$2002=$B793)*($J$3:$J$2002&lt;&gt;"취소")*($L$3:$L$2002&lt;&gt;"")*($M$3:$M$2002&lt;&gt;"")*($L$3:$L$2002&lt;$M793)*($M$3:$M$2002&gt;$L793))&gt;1,"중복","-"))</f>
        <v/>
      </c>
    </row>
    <row r="794" customFormat="false" ht="15" hidden="false" customHeight="true" outlineLevel="0" collapsed="false">
      <c r="A794" s="11"/>
      <c r="B794" s="7"/>
      <c r="C794" s="12" t="str">
        <f aca="false">IF($B794="","",IFERROR(INDEX(자원목록!$B$3:$B$102,MATCH($B794,자원목록!$A$3:$A$102,0)),"미등록자원"))</f>
        <v/>
      </c>
      <c r="D794" s="7"/>
      <c r="E794" s="12" t="str">
        <f aca="false">IF($D794="","",IFERROR(INDEX(고객목록!$B$3:$B$502,MATCH($D794,고객목록!$A$3:$A$502,0)),""))</f>
        <v/>
      </c>
      <c r="F794" s="13"/>
      <c r="G794" s="13"/>
      <c r="H794" s="14" t="str">
        <f aca="false">IF(OR($L794="",$M794=""),"",ROUND(($M794-$L794)/60,2))</f>
        <v/>
      </c>
      <c r="I794" s="9"/>
      <c r="J794" s="7"/>
      <c r="K794" s="7"/>
      <c r="L794" s="15" t="str">
        <f aca="false">IF($F794="","",IF($F794&lt;1,ROUND($F794*1440,0),INT($F794/100)*60+MOD($F794,100)))</f>
        <v/>
      </c>
      <c r="M794" s="15" t="str">
        <f aca="false">IF($G794="","",IF($G794&lt;1,ROUND($G794*1440,0),INT($G794/100)*60+MOD($G794,100)))</f>
        <v/>
      </c>
      <c r="N794" s="15" t="str">
        <f aca="false">IF(OR($A794="",$B794="",$L794="",$M794="",$J794="취소"),"",IF(SUMPRODUCT(($A$3:$A$2002=$A794)*($B$3:$B$2002=$B794)*($J$3:$J$2002&lt;&gt;"취소")*($L$3:$L$2002&lt;&gt;"")*($M$3:$M$2002&lt;&gt;"")*($L$3:$L$2002&lt;$M794)*($M$3:$M$2002&gt;$L794))&gt;1,"중복","-"))</f>
        <v/>
      </c>
    </row>
    <row r="795" customFormat="false" ht="15" hidden="false" customHeight="true" outlineLevel="0" collapsed="false">
      <c r="A795" s="11"/>
      <c r="B795" s="7"/>
      <c r="C795" s="12" t="str">
        <f aca="false">IF($B795="","",IFERROR(INDEX(자원목록!$B$3:$B$102,MATCH($B795,자원목록!$A$3:$A$102,0)),"미등록자원"))</f>
        <v/>
      </c>
      <c r="D795" s="7"/>
      <c r="E795" s="12" t="str">
        <f aca="false">IF($D795="","",IFERROR(INDEX(고객목록!$B$3:$B$502,MATCH($D795,고객목록!$A$3:$A$502,0)),""))</f>
        <v/>
      </c>
      <c r="F795" s="13"/>
      <c r="G795" s="13"/>
      <c r="H795" s="14" t="str">
        <f aca="false">IF(OR($L795="",$M795=""),"",ROUND(($M795-$L795)/60,2))</f>
        <v/>
      </c>
      <c r="I795" s="9"/>
      <c r="J795" s="7"/>
      <c r="K795" s="7"/>
      <c r="L795" s="15" t="str">
        <f aca="false">IF($F795="","",IF($F795&lt;1,ROUND($F795*1440,0),INT($F795/100)*60+MOD($F795,100)))</f>
        <v/>
      </c>
      <c r="M795" s="15" t="str">
        <f aca="false">IF($G795="","",IF($G795&lt;1,ROUND($G795*1440,0),INT($G795/100)*60+MOD($G795,100)))</f>
        <v/>
      </c>
      <c r="N795" s="15" t="str">
        <f aca="false">IF(OR($A795="",$B795="",$L795="",$M795="",$J795="취소"),"",IF(SUMPRODUCT(($A$3:$A$2002=$A795)*($B$3:$B$2002=$B795)*($J$3:$J$2002&lt;&gt;"취소")*($L$3:$L$2002&lt;&gt;"")*($M$3:$M$2002&lt;&gt;"")*($L$3:$L$2002&lt;$M795)*($M$3:$M$2002&gt;$L795))&gt;1,"중복","-"))</f>
        <v/>
      </c>
    </row>
    <row r="796" customFormat="false" ht="15" hidden="false" customHeight="true" outlineLevel="0" collapsed="false">
      <c r="A796" s="11"/>
      <c r="B796" s="7"/>
      <c r="C796" s="12" t="str">
        <f aca="false">IF($B796="","",IFERROR(INDEX(자원목록!$B$3:$B$102,MATCH($B796,자원목록!$A$3:$A$102,0)),"미등록자원"))</f>
        <v/>
      </c>
      <c r="D796" s="7"/>
      <c r="E796" s="12" t="str">
        <f aca="false">IF($D796="","",IFERROR(INDEX(고객목록!$B$3:$B$502,MATCH($D796,고객목록!$A$3:$A$502,0)),""))</f>
        <v/>
      </c>
      <c r="F796" s="13"/>
      <c r="G796" s="13"/>
      <c r="H796" s="14" t="str">
        <f aca="false">IF(OR($L796="",$M796=""),"",ROUND(($M796-$L796)/60,2))</f>
        <v/>
      </c>
      <c r="I796" s="9"/>
      <c r="J796" s="7"/>
      <c r="K796" s="7"/>
      <c r="L796" s="15" t="str">
        <f aca="false">IF($F796="","",IF($F796&lt;1,ROUND($F796*1440,0),INT($F796/100)*60+MOD($F796,100)))</f>
        <v/>
      </c>
      <c r="M796" s="15" t="str">
        <f aca="false">IF($G796="","",IF($G796&lt;1,ROUND($G796*1440,0),INT($G796/100)*60+MOD($G796,100)))</f>
        <v/>
      </c>
      <c r="N796" s="15" t="str">
        <f aca="false">IF(OR($A796="",$B796="",$L796="",$M796="",$J796="취소"),"",IF(SUMPRODUCT(($A$3:$A$2002=$A796)*($B$3:$B$2002=$B796)*($J$3:$J$2002&lt;&gt;"취소")*($L$3:$L$2002&lt;&gt;"")*($M$3:$M$2002&lt;&gt;"")*($L$3:$L$2002&lt;$M796)*($M$3:$M$2002&gt;$L796))&gt;1,"중복","-"))</f>
        <v/>
      </c>
    </row>
    <row r="797" customFormat="false" ht="15" hidden="false" customHeight="true" outlineLevel="0" collapsed="false">
      <c r="A797" s="11"/>
      <c r="B797" s="7"/>
      <c r="C797" s="12" t="str">
        <f aca="false">IF($B797="","",IFERROR(INDEX(자원목록!$B$3:$B$102,MATCH($B797,자원목록!$A$3:$A$102,0)),"미등록자원"))</f>
        <v/>
      </c>
      <c r="D797" s="7"/>
      <c r="E797" s="12" t="str">
        <f aca="false">IF($D797="","",IFERROR(INDEX(고객목록!$B$3:$B$502,MATCH($D797,고객목록!$A$3:$A$502,0)),""))</f>
        <v/>
      </c>
      <c r="F797" s="13"/>
      <c r="G797" s="13"/>
      <c r="H797" s="14" t="str">
        <f aca="false">IF(OR($L797="",$M797=""),"",ROUND(($M797-$L797)/60,2))</f>
        <v/>
      </c>
      <c r="I797" s="9"/>
      <c r="J797" s="7"/>
      <c r="K797" s="7"/>
      <c r="L797" s="15" t="str">
        <f aca="false">IF($F797="","",IF($F797&lt;1,ROUND($F797*1440,0),INT($F797/100)*60+MOD($F797,100)))</f>
        <v/>
      </c>
      <c r="M797" s="15" t="str">
        <f aca="false">IF($G797="","",IF($G797&lt;1,ROUND($G797*1440,0),INT($G797/100)*60+MOD($G797,100)))</f>
        <v/>
      </c>
      <c r="N797" s="15" t="str">
        <f aca="false">IF(OR($A797="",$B797="",$L797="",$M797="",$J797="취소"),"",IF(SUMPRODUCT(($A$3:$A$2002=$A797)*($B$3:$B$2002=$B797)*($J$3:$J$2002&lt;&gt;"취소")*($L$3:$L$2002&lt;&gt;"")*($M$3:$M$2002&lt;&gt;"")*($L$3:$L$2002&lt;$M797)*($M$3:$M$2002&gt;$L797))&gt;1,"중복","-"))</f>
        <v/>
      </c>
    </row>
    <row r="798" customFormat="false" ht="15" hidden="false" customHeight="true" outlineLevel="0" collapsed="false">
      <c r="A798" s="11"/>
      <c r="B798" s="7"/>
      <c r="C798" s="12" t="str">
        <f aca="false">IF($B798="","",IFERROR(INDEX(자원목록!$B$3:$B$102,MATCH($B798,자원목록!$A$3:$A$102,0)),"미등록자원"))</f>
        <v/>
      </c>
      <c r="D798" s="7"/>
      <c r="E798" s="12" t="str">
        <f aca="false">IF($D798="","",IFERROR(INDEX(고객목록!$B$3:$B$502,MATCH($D798,고객목록!$A$3:$A$502,0)),""))</f>
        <v/>
      </c>
      <c r="F798" s="13"/>
      <c r="G798" s="13"/>
      <c r="H798" s="14" t="str">
        <f aca="false">IF(OR($L798="",$M798=""),"",ROUND(($M798-$L798)/60,2))</f>
        <v/>
      </c>
      <c r="I798" s="9"/>
      <c r="J798" s="7"/>
      <c r="K798" s="7"/>
      <c r="L798" s="15" t="str">
        <f aca="false">IF($F798="","",IF($F798&lt;1,ROUND($F798*1440,0),INT($F798/100)*60+MOD($F798,100)))</f>
        <v/>
      </c>
      <c r="M798" s="15" t="str">
        <f aca="false">IF($G798="","",IF($G798&lt;1,ROUND($G798*1440,0),INT($G798/100)*60+MOD($G798,100)))</f>
        <v/>
      </c>
      <c r="N798" s="15" t="str">
        <f aca="false">IF(OR($A798="",$B798="",$L798="",$M798="",$J798="취소"),"",IF(SUMPRODUCT(($A$3:$A$2002=$A798)*($B$3:$B$2002=$B798)*($J$3:$J$2002&lt;&gt;"취소")*($L$3:$L$2002&lt;&gt;"")*($M$3:$M$2002&lt;&gt;"")*($L$3:$L$2002&lt;$M798)*($M$3:$M$2002&gt;$L798))&gt;1,"중복","-"))</f>
        <v/>
      </c>
    </row>
    <row r="799" customFormat="false" ht="15" hidden="false" customHeight="true" outlineLevel="0" collapsed="false">
      <c r="A799" s="11"/>
      <c r="B799" s="7"/>
      <c r="C799" s="12" t="str">
        <f aca="false">IF($B799="","",IFERROR(INDEX(자원목록!$B$3:$B$102,MATCH($B799,자원목록!$A$3:$A$102,0)),"미등록자원"))</f>
        <v/>
      </c>
      <c r="D799" s="7"/>
      <c r="E799" s="12" t="str">
        <f aca="false">IF($D799="","",IFERROR(INDEX(고객목록!$B$3:$B$502,MATCH($D799,고객목록!$A$3:$A$502,0)),""))</f>
        <v/>
      </c>
      <c r="F799" s="13"/>
      <c r="G799" s="13"/>
      <c r="H799" s="14" t="str">
        <f aca="false">IF(OR($L799="",$M799=""),"",ROUND(($M799-$L799)/60,2))</f>
        <v/>
      </c>
      <c r="I799" s="9"/>
      <c r="J799" s="7"/>
      <c r="K799" s="7"/>
      <c r="L799" s="15" t="str">
        <f aca="false">IF($F799="","",IF($F799&lt;1,ROUND($F799*1440,0),INT($F799/100)*60+MOD($F799,100)))</f>
        <v/>
      </c>
      <c r="M799" s="15" t="str">
        <f aca="false">IF($G799="","",IF($G799&lt;1,ROUND($G799*1440,0),INT($G799/100)*60+MOD($G799,100)))</f>
        <v/>
      </c>
      <c r="N799" s="15" t="str">
        <f aca="false">IF(OR($A799="",$B799="",$L799="",$M799="",$J799="취소"),"",IF(SUMPRODUCT(($A$3:$A$2002=$A799)*($B$3:$B$2002=$B799)*($J$3:$J$2002&lt;&gt;"취소")*($L$3:$L$2002&lt;&gt;"")*($M$3:$M$2002&lt;&gt;"")*($L$3:$L$2002&lt;$M799)*($M$3:$M$2002&gt;$L799))&gt;1,"중복","-"))</f>
        <v/>
      </c>
    </row>
    <row r="800" customFormat="false" ht="15" hidden="false" customHeight="true" outlineLevel="0" collapsed="false">
      <c r="A800" s="11"/>
      <c r="B800" s="7"/>
      <c r="C800" s="12" t="str">
        <f aca="false">IF($B800="","",IFERROR(INDEX(자원목록!$B$3:$B$102,MATCH($B800,자원목록!$A$3:$A$102,0)),"미등록자원"))</f>
        <v/>
      </c>
      <c r="D800" s="7"/>
      <c r="E800" s="12" t="str">
        <f aca="false">IF($D800="","",IFERROR(INDEX(고객목록!$B$3:$B$502,MATCH($D800,고객목록!$A$3:$A$502,0)),""))</f>
        <v/>
      </c>
      <c r="F800" s="13"/>
      <c r="G800" s="13"/>
      <c r="H800" s="14" t="str">
        <f aca="false">IF(OR($L800="",$M800=""),"",ROUND(($M800-$L800)/60,2))</f>
        <v/>
      </c>
      <c r="I800" s="9"/>
      <c r="J800" s="7"/>
      <c r="K800" s="7"/>
      <c r="L800" s="15" t="str">
        <f aca="false">IF($F800="","",IF($F800&lt;1,ROUND($F800*1440,0),INT($F800/100)*60+MOD($F800,100)))</f>
        <v/>
      </c>
      <c r="M800" s="15" t="str">
        <f aca="false">IF($G800="","",IF($G800&lt;1,ROUND($G800*1440,0),INT($G800/100)*60+MOD($G800,100)))</f>
        <v/>
      </c>
      <c r="N800" s="15" t="str">
        <f aca="false">IF(OR($A800="",$B800="",$L800="",$M800="",$J800="취소"),"",IF(SUMPRODUCT(($A$3:$A$2002=$A800)*($B$3:$B$2002=$B800)*($J$3:$J$2002&lt;&gt;"취소")*($L$3:$L$2002&lt;&gt;"")*($M$3:$M$2002&lt;&gt;"")*($L$3:$L$2002&lt;$M800)*($M$3:$M$2002&gt;$L800))&gt;1,"중복","-"))</f>
        <v/>
      </c>
    </row>
    <row r="801" customFormat="false" ht="15" hidden="false" customHeight="true" outlineLevel="0" collapsed="false">
      <c r="A801" s="11"/>
      <c r="B801" s="7"/>
      <c r="C801" s="12" t="str">
        <f aca="false">IF($B801="","",IFERROR(INDEX(자원목록!$B$3:$B$102,MATCH($B801,자원목록!$A$3:$A$102,0)),"미등록자원"))</f>
        <v/>
      </c>
      <c r="D801" s="7"/>
      <c r="E801" s="12" t="str">
        <f aca="false">IF($D801="","",IFERROR(INDEX(고객목록!$B$3:$B$502,MATCH($D801,고객목록!$A$3:$A$502,0)),""))</f>
        <v/>
      </c>
      <c r="F801" s="13"/>
      <c r="G801" s="13"/>
      <c r="H801" s="14" t="str">
        <f aca="false">IF(OR($L801="",$M801=""),"",ROUND(($M801-$L801)/60,2))</f>
        <v/>
      </c>
      <c r="I801" s="9"/>
      <c r="J801" s="7"/>
      <c r="K801" s="7"/>
      <c r="L801" s="15" t="str">
        <f aca="false">IF($F801="","",IF($F801&lt;1,ROUND($F801*1440,0),INT($F801/100)*60+MOD($F801,100)))</f>
        <v/>
      </c>
      <c r="M801" s="15" t="str">
        <f aca="false">IF($G801="","",IF($G801&lt;1,ROUND($G801*1440,0),INT($G801/100)*60+MOD($G801,100)))</f>
        <v/>
      </c>
      <c r="N801" s="15" t="str">
        <f aca="false">IF(OR($A801="",$B801="",$L801="",$M801="",$J801="취소"),"",IF(SUMPRODUCT(($A$3:$A$2002=$A801)*($B$3:$B$2002=$B801)*($J$3:$J$2002&lt;&gt;"취소")*($L$3:$L$2002&lt;&gt;"")*($M$3:$M$2002&lt;&gt;"")*($L$3:$L$2002&lt;$M801)*($M$3:$M$2002&gt;$L801))&gt;1,"중복","-"))</f>
        <v/>
      </c>
    </row>
    <row r="802" customFormat="false" ht="15" hidden="false" customHeight="true" outlineLevel="0" collapsed="false">
      <c r="A802" s="11"/>
      <c r="B802" s="7"/>
      <c r="C802" s="12" t="str">
        <f aca="false">IF($B802="","",IFERROR(INDEX(자원목록!$B$3:$B$102,MATCH($B802,자원목록!$A$3:$A$102,0)),"미등록자원"))</f>
        <v/>
      </c>
      <c r="D802" s="7"/>
      <c r="E802" s="12" t="str">
        <f aca="false">IF($D802="","",IFERROR(INDEX(고객목록!$B$3:$B$502,MATCH($D802,고객목록!$A$3:$A$502,0)),""))</f>
        <v/>
      </c>
      <c r="F802" s="13"/>
      <c r="G802" s="13"/>
      <c r="H802" s="14" t="str">
        <f aca="false">IF(OR($L802="",$M802=""),"",ROUND(($M802-$L802)/60,2))</f>
        <v/>
      </c>
      <c r="I802" s="9"/>
      <c r="J802" s="7"/>
      <c r="K802" s="7"/>
      <c r="L802" s="15" t="str">
        <f aca="false">IF($F802="","",IF($F802&lt;1,ROUND($F802*1440,0),INT($F802/100)*60+MOD($F802,100)))</f>
        <v/>
      </c>
      <c r="M802" s="15" t="str">
        <f aca="false">IF($G802="","",IF($G802&lt;1,ROUND($G802*1440,0),INT($G802/100)*60+MOD($G802,100)))</f>
        <v/>
      </c>
      <c r="N802" s="15" t="str">
        <f aca="false">IF(OR($A802="",$B802="",$L802="",$M802="",$J802="취소"),"",IF(SUMPRODUCT(($A$3:$A$2002=$A802)*($B$3:$B$2002=$B802)*($J$3:$J$2002&lt;&gt;"취소")*($L$3:$L$2002&lt;&gt;"")*($M$3:$M$2002&lt;&gt;"")*($L$3:$L$2002&lt;$M802)*($M$3:$M$2002&gt;$L802))&gt;1,"중복","-"))</f>
        <v/>
      </c>
    </row>
    <row r="803" customFormat="false" ht="15" hidden="false" customHeight="true" outlineLevel="0" collapsed="false">
      <c r="A803" s="11"/>
      <c r="B803" s="7"/>
      <c r="C803" s="12" t="str">
        <f aca="false">IF($B803="","",IFERROR(INDEX(자원목록!$B$3:$B$102,MATCH($B803,자원목록!$A$3:$A$102,0)),"미등록자원"))</f>
        <v/>
      </c>
      <c r="D803" s="7"/>
      <c r="E803" s="12" t="str">
        <f aca="false">IF($D803="","",IFERROR(INDEX(고객목록!$B$3:$B$502,MATCH($D803,고객목록!$A$3:$A$502,0)),""))</f>
        <v/>
      </c>
      <c r="F803" s="13"/>
      <c r="G803" s="13"/>
      <c r="H803" s="14" t="str">
        <f aca="false">IF(OR($L803="",$M803=""),"",ROUND(($M803-$L803)/60,2))</f>
        <v/>
      </c>
      <c r="I803" s="9"/>
      <c r="J803" s="7"/>
      <c r="K803" s="7"/>
      <c r="L803" s="15" t="str">
        <f aca="false">IF($F803="","",IF($F803&lt;1,ROUND($F803*1440,0),INT($F803/100)*60+MOD($F803,100)))</f>
        <v/>
      </c>
      <c r="M803" s="15" t="str">
        <f aca="false">IF($G803="","",IF($G803&lt;1,ROUND($G803*1440,0),INT($G803/100)*60+MOD($G803,100)))</f>
        <v/>
      </c>
      <c r="N803" s="15" t="str">
        <f aca="false">IF(OR($A803="",$B803="",$L803="",$M803="",$J803="취소"),"",IF(SUMPRODUCT(($A$3:$A$2002=$A803)*($B$3:$B$2002=$B803)*($J$3:$J$2002&lt;&gt;"취소")*($L$3:$L$2002&lt;&gt;"")*($M$3:$M$2002&lt;&gt;"")*($L$3:$L$2002&lt;$M803)*($M$3:$M$2002&gt;$L803))&gt;1,"중복","-"))</f>
        <v/>
      </c>
    </row>
    <row r="804" customFormat="false" ht="15" hidden="false" customHeight="true" outlineLevel="0" collapsed="false">
      <c r="A804" s="11"/>
      <c r="B804" s="7"/>
      <c r="C804" s="12" t="str">
        <f aca="false">IF($B804="","",IFERROR(INDEX(자원목록!$B$3:$B$102,MATCH($B804,자원목록!$A$3:$A$102,0)),"미등록자원"))</f>
        <v/>
      </c>
      <c r="D804" s="7"/>
      <c r="E804" s="12" t="str">
        <f aca="false">IF($D804="","",IFERROR(INDEX(고객목록!$B$3:$B$502,MATCH($D804,고객목록!$A$3:$A$502,0)),""))</f>
        <v/>
      </c>
      <c r="F804" s="13"/>
      <c r="G804" s="13"/>
      <c r="H804" s="14" t="str">
        <f aca="false">IF(OR($L804="",$M804=""),"",ROUND(($M804-$L804)/60,2))</f>
        <v/>
      </c>
      <c r="I804" s="9"/>
      <c r="J804" s="7"/>
      <c r="K804" s="7"/>
      <c r="L804" s="15" t="str">
        <f aca="false">IF($F804="","",IF($F804&lt;1,ROUND($F804*1440,0),INT($F804/100)*60+MOD($F804,100)))</f>
        <v/>
      </c>
      <c r="M804" s="15" t="str">
        <f aca="false">IF($G804="","",IF($G804&lt;1,ROUND($G804*1440,0),INT($G804/100)*60+MOD($G804,100)))</f>
        <v/>
      </c>
      <c r="N804" s="15" t="str">
        <f aca="false">IF(OR($A804="",$B804="",$L804="",$M804="",$J804="취소"),"",IF(SUMPRODUCT(($A$3:$A$2002=$A804)*($B$3:$B$2002=$B804)*($J$3:$J$2002&lt;&gt;"취소")*($L$3:$L$2002&lt;&gt;"")*($M$3:$M$2002&lt;&gt;"")*($L$3:$L$2002&lt;$M804)*($M$3:$M$2002&gt;$L804))&gt;1,"중복","-"))</f>
        <v/>
      </c>
    </row>
    <row r="805" customFormat="false" ht="15" hidden="false" customHeight="true" outlineLevel="0" collapsed="false">
      <c r="A805" s="11"/>
      <c r="B805" s="7"/>
      <c r="C805" s="12" t="str">
        <f aca="false">IF($B805="","",IFERROR(INDEX(자원목록!$B$3:$B$102,MATCH($B805,자원목록!$A$3:$A$102,0)),"미등록자원"))</f>
        <v/>
      </c>
      <c r="D805" s="7"/>
      <c r="E805" s="12" t="str">
        <f aca="false">IF($D805="","",IFERROR(INDEX(고객목록!$B$3:$B$502,MATCH($D805,고객목록!$A$3:$A$502,0)),""))</f>
        <v/>
      </c>
      <c r="F805" s="13"/>
      <c r="G805" s="13"/>
      <c r="H805" s="14" t="str">
        <f aca="false">IF(OR($L805="",$M805=""),"",ROUND(($M805-$L805)/60,2))</f>
        <v/>
      </c>
      <c r="I805" s="9"/>
      <c r="J805" s="7"/>
      <c r="K805" s="7"/>
      <c r="L805" s="15" t="str">
        <f aca="false">IF($F805="","",IF($F805&lt;1,ROUND($F805*1440,0),INT($F805/100)*60+MOD($F805,100)))</f>
        <v/>
      </c>
      <c r="M805" s="15" t="str">
        <f aca="false">IF($G805="","",IF($G805&lt;1,ROUND($G805*1440,0),INT($G805/100)*60+MOD($G805,100)))</f>
        <v/>
      </c>
      <c r="N805" s="15" t="str">
        <f aca="false">IF(OR($A805="",$B805="",$L805="",$M805="",$J805="취소"),"",IF(SUMPRODUCT(($A$3:$A$2002=$A805)*($B$3:$B$2002=$B805)*($J$3:$J$2002&lt;&gt;"취소")*($L$3:$L$2002&lt;&gt;"")*($M$3:$M$2002&lt;&gt;"")*($L$3:$L$2002&lt;$M805)*($M$3:$M$2002&gt;$L805))&gt;1,"중복","-"))</f>
        <v/>
      </c>
    </row>
    <row r="806" customFormat="false" ht="15" hidden="false" customHeight="true" outlineLevel="0" collapsed="false">
      <c r="A806" s="11"/>
      <c r="B806" s="7"/>
      <c r="C806" s="12" t="str">
        <f aca="false">IF($B806="","",IFERROR(INDEX(자원목록!$B$3:$B$102,MATCH($B806,자원목록!$A$3:$A$102,0)),"미등록자원"))</f>
        <v/>
      </c>
      <c r="D806" s="7"/>
      <c r="E806" s="12" t="str">
        <f aca="false">IF($D806="","",IFERROR(INDEX(고객목록!$B$3:$B$502,MATCH($D806,고객목록!$A$3:$A$502,0)),""))</f>
        <v/>
      </c>
      <c r="F806" s="13"/>
      <c r="G806" s="13"/>
      <c r="H806" s="14" t="str">
        <f aca="false">IF(OR($L806="",$M806=""),"",ROUND(($M806-$L806)/60,2))</f>
        <v/>
      </c>
      <c r="I806" s="9"/>
      <c r="J806" s="7"/>
      <c r="K806" s="7"/>
      <c r="L806" s="15" t="str">
        <f aca="false">IF($F806="","",IF($F806&lt;1,ROUND($F806*1440,0),INT($F806/100)*60+MOD($F806,100)))</f>
        <v/>
      </c>
      <c r="M806" s="15" t="str">
        <f aca="false">IF($G806="","",IF($G806&lt;1,ROUND($G806*1440,0),INT($G806/100)*60+MOD($G806,100)))</f>
        <v/>
      </c>
      <c r="N806" s="15" t="str">
        <f aca="false">IF(OR($A806="",$B806="",$L806="",$M806="",$J806="취소"),"",IF(SUMPRODUCT(($A$3:$A$2002=$A806)*($B$3:$B$2002=$B806)*($J$3:$J$2002&lt;&gt;"취소")*($L$3:$L$2002&lt;&gt;"")*($M$3:$M$2002&lt;&gt;"")*($L$3:$L$2002&lt;$M806)*($M$3:$M$2002&gt;$L806))&gt;1,"중복","-"))</f>
        <v/>
      </c>
    </row>
    <row r="807" customFormat="false" ht="15" hidden="false" customHeight="true" outlineLevel="0" collapsed="false">
      <c r="A807" s="11"/>
      <c r="B807" s="7"/>
      <c r="C807" s="12" t="str">
        <f aca="false">IF($B807="","",IFERROR(INDEX(자원목록!$B$3:$B$102,MATCH($B807,자원목록!$A$3:$A$102,0)),"미등록자원"))</f>
        <v/>
      </c>
      <c r="D807" s="7"/>
      <c r="E807" s="12" t="str">
        <f aca="false">IF($D807="","",IFERROR(INDEX(고객목록!$B$3:$B$502,MATCH($D807,고객목록!$A$3:$A$502,0)),""))</f>
        <v/>
      </c>
      <c r="F807" s="13"/>
      <c r="G807" s="13"/>
      <c r="H807" s="14" t="str">
        <f aca="false">IF(OR($L807="",$M807=""),"",ROUND(($M807-$L807)/60,2))</f>
        <v/>
      </c>
      <c r="I807" s="9"/>
      <c r="J807" s="7"/>
      <c r="K807" s="7"/>
      <c r="L807" s="15" t="str">
        <f aca="false">IF($F807="","",IF($F807&lt;1,ROUND($F807*1440,0),INT($F807/100)*60+MOD($F807,100)))</f>
        <v/>
      </c>
      <c r="M807" s="15" t="str">
        <f aca="false">IF($G807="","",IF($G807&lt;1,ROUND($G807*1440,0),INT($G807/100)*60+MOD($G807,100)))</f>
        <v/>
      </c>
      <c r="N807" s="15" t="str">
        <f aca="false">IF(OR($A807="",$B807="",$L807="",$M807="",$J807="취소"),"",IF(SUMPRODUCT(($A$3:$A$2002=$A807)*($B$3:$B$2002=$B807)*($J$3:$J$2002&lt;&gt;"취소")*($L$3:$L$2002&lt;&gt;"")*($M$3:$M$2002&lt;&gt;"")*($L$3:$L$2002&lt;$M807)*($M$3:$M$2002&gt;$L807))&gt;1,"중복","-"))</f>
        <v/>
      </c>
    </row>
    <row r="808" customFormat="false" ht="15" hidden="false" customHeight="true" outlineLevel="0" collapsed="false">
      <c r="A808" s="11"/>
      <c r="B808" s="7"/>
      <c r="C808" s="12" t="str">
        <f aca="false">IF($B808="","",IFERROR(INDEX(자원목록!$B$3:$B$102,MATCH($B808,자원목록!$A$3:$A$102,0)),"미등록자원"))</f>
        <v/>
      </c>
      <c r="D808" s="7"/>
      <c r="E808" s="12" t="str">
        <f aca="false">IF($D808="","",IFERROR(INDEX(고객목록!$B$3:$B$502,MATCH($D808,고객목록!$A$3:$A$502,0)),""))</f>
        <v/>
      </c>
      <c r="F808" s="13"/>
      <c r="G808" s="13"/>
      <c r="H808" s="14" t="str">
        <f aca="false">IF(OR($L808="",$M808=""),"",ROUND(($M808-$L808)/60,2))</f>
        <v/>
      </c>
      <c r="I808" s="9"/>
      <c r="J808" s="7"/>
      <c r="K808" s="7"/>
      <c r="L808" s="15" t="str">
        <f aca="false">IF($F808="","",IF($F808&lt;1,ROUND($F808*1440,0),INT($F808/100)*60+MOD($F808,100)))</f>
        <v/>
      </c>
      <c r="M808" s="15" t="str">
        <f aca="false">IF($G808="","",IF($G808&lt;1,ROUND($G808*1440,0),INT($G808/100)*60+MOD($G808,100)))</f>
        <v/>
      </c>
      <c r="N808" s="15" t="str">
        <f aca="false">IF(OR($A808="",$B808="",$L808="",$M808="",$J808="취소"),"",IF(SUMPRODUCT(($A$3:$A$2002=$A808)*($B$3:$B$2002=$B808)*($J$3:$J$2002&lt;&gt;"취소")*($L$3:$L$2002&lt;&gt;"")*($M$3:$M$2002&lt;&gt;"")*($L$3:$L$2002&lt;$M808)*($M$3:$M$2002&gt;$L808))&gt;1,"중복","-"))</f>
        <v/>
      </c>
    </row>
    <row r="809" customFormat="false" ht="15" hidden="false" customHeight="true" outlineLevel="0" collapsed="false">
      <c r="A809" s="11"/>
      <c r="B809" s="7"/>
      <c r="C809" s="12" t="str">
        <f aca="false">IF($B809="","",IFERROR(INDEX(자원목록!$B$3:$B$102,MATCH($B809,자원목록!$A$3:$A$102,0)),"미등록자원"))</f>
        <v/>
      </c>
      <c r="D809" s="7"/>
      <c r="E809" s="12" t="str">
        <f aca="false">IF($D809="","",IFERROR(INDEX(고객목록!$B$3:$B$502,MATCH($D809,고객목록!$A$3:$A$502,0)),""))</f>
        <v/>
      </c>
      <c r="F809" s="13"/>
      <c r="G809" s="13"/>
      <c r="H809" s="14" t="str">
        <f aca="false">IF(OR($L809="",$M809=""),"",ROUND(($M809-$L809)/60,2))</f>
        <v/>
      </c>
      <c r="I809" s="9"/>
      <c r="J809" s="7"/>
      <c r="K809" s="7"/>
      <c r="L809" s="15" t="str">
        <f aca="false">IF($F809="","",IF($F809&lt;1,ROUND($F809*1440,0),INT($F809/100)*60+MOD($F809,100)))</f>
        <v/>
      </c>
      <c r="M809" s="15" t="str">
        <f aca="false">IF($G809="","",IF($G809&lt;1,ROUND($G809*1440,0),INT($G809/100)*60+MOD($G809,100)))</f>
        <v/>
      </c>
      <c r="N809" s="15" t="str">
        <f aca="false">IF(OR($A809="",$B809="",$L809="",$M809="",$J809="취소"),"",IF(SUMPRODUCT(($A$3:$A$2002=$A809)*($B$3:$B$2002=$B809)*($J$3:$J$2002&lt;&gt;"취소")*($L$3:$L$2002&lt;&gt;"")*($M$3:$M$2002&lt;&gt;"")*($L$3:$L$2002&lt;$M809)*($M$3:$M$2002&gt;$L809))&gt;1,"중복","-"))</f>
        <v/>
      </c>
    </row>
    <row r="810" customFormat="false" ht="15" hidden="false" customHeight="true" outlineLevel="0" collapsed="false">
      <c r="A810" s="11"/>
      <c r="B810" s="7"/>
      <c r="C810" s="12" t="str">
        <f aca="false">IF($B810="","",IFERROR(INDEX(자원목록!$B$3:$B$102,MATCH($B810,자원목록!$A$3:$A$102,0)),"미등록자원"))</f>
        <v/>
      </c>
      <c r="D810" s="7"/>
      <c r="E810" s="12" t="str">
        <f aca="false">IF($D810="","",IFERROR(INDEX(고객목록!$B$3:$B$502,MATCH($D810,고객목록!$A$3:$A$502,0)),""))</f>
        <v/>
      </c>
      <c r="F810" s="13"/>
      <c r="G810" s="13"/>
      <c r="H810" s="14" t="str">
        <f aca="false">IF(OR($L810="",$M810=""),"",ROUND(($M810-$L810)/60,2))</f>
        <v/>
      </c>
      <c r="I810" s="9"/>
      <c r="J810" s="7"/>
      <c r="K810" s="7"/>
      <c r="L810" s="15" t="str">
        <f aca="false">IF($F810="","",IF($F810&lt;1,ROUND($F810*1440,0),INT($F810/100)*60+MOD($F810,100)))</f>
        <v/>
      </c>
      <c r="M810" s="15" t="str">
        <f aca="false">IF($G810="","",IF($G810&lt;1,ROUND($G810*1440,0),INT($G810/100)*60+MOD($G810,100)))</f>
        <v/>
      </c>
      <c r="N810" s="15" t="str">
        <f aca="false">IF(OR($A810="",$B810="",$L810="",$M810="",$J810="취소"),"",IF(SUMPRODUCT(($A$3:$A$2002=$A810)*($B$3:$B$2002=$B810)*($J$3:$J$2002&lt;&gt;"취소")*($L$3:$L$2002&lt;&gt;"")*($M$3:$M$2002&lt;&gt;"")*($L$3:$L$2002&lt;$M810)*($M$3:$M$2002&gt;$L810))&gt;1,"중복","-"))</f>
        <v/>
      </c>
    </row>
    <row r="811" customFormat="false" ht="15" hidden="false" customHeight="true" outlineLevel="0" collapsed="false">
      <c r="A811" s="11"/>
      <c r="B811" s="7"/>
      <c r="C811" s="12" t="str">
        <f aca="false">IF($B811="","",IFERROR(INDEX(자원목록!$B$3:$B$102,MATCH($B811,자원목록!$A$3:$A$102,0)),"미등록자원"))</f>
        <v/>
      </c>
      <c r="D811" s="7"/>
      <c r="E811" s="12" t="str">
        <f aca="false">IF($D811="","",IFERROR(INDEX(고객목록!$B$3:$B$502,MATCH($D811,고객목록!$A$3:$A$502,0)),""))</f>
        <v/>
      </c>
      <c r="F811" s="13"/>
      <c r="G811" s="13"/>
      <c r="H811" s="14" t="str">
        <f aca="false">IF(OR($L811="",$M811=""),"",ROUND(($M811-$L811)/60,2))</f>
        <v/>
      </c>
      <c r="I811" s="9"/>
      <c r="J811" s="7"/>
      <c r="K811" s="7"/>
      <c r="L811" s="15" t="str">
        <f aca="false">IF($F811="","",IF($F811&lt;1,ROUND($F811*1440,0),INT($F811/100)*60+MOD($F811,100)))</f>
        <v/>
      </c>
      <c r="M811" s="15" t="str">
        <f aca="false">IF($G811="","",IF($G811&lt;1,ROUND($G811*1440,0),INT($G811/100)*60+MOD($G811,100)))</f>
        <v/>
      </c>
      <c r="N811" s="15" t="str">
        <f aca="false">IF(OR($A811="",$B811="",$L811="",$M811="",$J811="취소"),"",IF(SUMPRODUCT(($A$3:$A$2002=$A811)*($B$3:$B$2002=$B811)*($J$3:$J$2002&lt;&gt;"취소")*($L$3:$L$2002&lt;&gt;"")*($M$3:$M$2002&lt;&gt;"")*($L$3:$L$2002&lt;$M811)*($M$3:$M$2002&gt;$L811))&gt;1,"중복","-"))</f>
        <v/>
      </c>
    </row>
    <row r="812" customFormat="false" ht="15" hidden="false" customHeight="true" outlineLevel="0" collapsed="false">
      <c r="A812" s="11"/>
      <c r="B812" s="7"/>
      <c r="C812" s="12" t="str">
        <f aca="false">IF($B812="","",IFERROR(INDEX(자원목록!$B$3:$B$102,MATCH($B812,자원목록!$A$3:$A$102,0)),"미등록자원"))</f>
        <v/>
      </c>
      <c r="D812" s="7"/>
      <c r="E812" s="12" t="str">
        <f aca="false">IF($D812="","",IFERROR(INDEX(고객목록!$B$3:$B$502,MATCH($D812,고객목록!$A$3:$A$502,0)),""))</f>
        <v/>
      </c>
      <c r="F812" s="13"/>
      <c r="G812" s="13"/>
      <c r="H812" s="14" t="str">
        <f aca="false">IF(OR($L812="",$M812=""),"",ROUND(($M812-$L812)/60,2))</f>
        <v/>
      </c>
      <c r="I812" s="9"/>
      <c r="J812" s="7"/>
      <c r="K812" s="7"/>
      <c r="L812" s="15" t="str">
        <f aca="false">IF($F812="","",IF($F812&lt;1,ROUND($F812*1440,0),INT($F812/100)*60+MOD($F812,100)))</f>
        <v/>
      </c>
      <c r="M812" s="15" t="str">
        <f aca="false">IF($G812="","",IF($G812&lt;1,ROUND($G812*1440,0),INT($G812/100)*60+MOD($G812,100)))</f>
        <v/>
      </c>
      <c r="N812" s="15" t="str">
        <f aca="false">IF(OR($A812="",$B812="",$L812="",$M812="",$J812="취소"),"",IF(SUMPRODUCT(($A$3:$A$2002=$A812)*($B$3:$B$2002=$B812)*($J$3:$J$2002&lt;&gt;"취소")*($L$3:$L$2002&lt;&gt;"")*($M$3:$M$2002&lt;&gt;"")*($L$3:$L$2002&lt;$M812)*($M$3:$M$2002&gt;$L812))&gt;1,"중복","-"))</f>
        <v/>
      </c>
    </row>
    <row r="813" customFormat="false" ht="15" hidden="false" customHeight="true" outlineLevel="0" collapsed="false">
      <c r="A813" s="11"/>
      <c r="B813" s="7"/>
      <c r="C813" s="12" t="str">
        <f aca="false">IF($B813="","",IFERROR(INDEX(자원목록!$B$3:$B$102,MATCH($B813,자원목록!$A$3:$A$102,0)),"미등록자원"))</f>
        <v/>
      </c>
      <c r="D813" s="7"/>
      <c r="E813" s="12" t="str">
        <f aca="false">IF($D813="","",IFERROR(INDEX(고객목록!$B$3:$B$502,MATCH($D813,고객목록!$A$3:$A$502,0)),""))</f>
        <v/>
      </c>
      <c r="F813" s="13"/>
      <c r="G813" s="13"/>
      <c r="H813" s="14" t="str">
        <f aca="false">IF(OR($L813="",$M813=""),"",ROUND(($M813-$L813)/60,2))</f>
        <v/>
      </c>
      <c r="I813" s="9"/>
      <c r="J813" s="7"/>
      <c r="K813" s="7"/>
      <c r="L813" s="15" t="str">
        <f aca="false">IF($F813="","",IF($F813&lt;1,ROUND($F813*1440,0),INT($F813/100)*60+MOD($F813,100)))</f>
        <v/>
      </c>
      <c r="M813" s="15" t="str">
        <f aca="false">IF($G813="","",IF($G813&lt;1,ROUND($G813*1440,0),INT($G813/100)*60+MOD($G813,100)))</f>
        <v/>
      </c>
      <c r="N813" s="15" t="str">
        <f aca="false">IF(OR($A813="",$B813="",$L813="",$M813="",$J813="취소"),"",IF(SUMPRODUCT(($A$3:$A$2002=$A813)*($B$3:$B$2002=$B813)*($J$3:$J$2002&lt;&gt;"취소")*($L$3:$L$2002&lt;&gt;"")*($M$3:$M$2002&lt;&gt;"")*($L$3:$L$2002&lt;$M813)*($M$3:$M$2002&gt;$L813))&gt;1,"중복","-"))</f>
        <v/>
      </c>
    </row>
    <row r="814" customFormat="false" ht="15" hidden="false" customHeight="true" outlineLevel="0" collapsed="false">
      <c r="A814" s="11"/>
      <c r="B814" s="7"/>
      <c r="C814" s="12" t="str">
        <f aca="false">IF($B814="","",IFERROR(INDEX(자원목록!$B$3:$B$102,MATCH($B814,자원목록!$A$3:$A$102,0)),"미등록자원"))</f>
        <v/>
      </c>
      <c r="D814" s="7"/>
      <c r="E814" s="12" t="str">
        <f aca="false">IF($D814="","",IFERROR(INDEX(고객목록!$B$3:$B$502,MATCH($D814,고객목록!$A$3:$A$502,0)),""))</f>
        <v/>
      </c>
      <c r="F814" s="13"/>
      <c r="G814" s="13"/>
      <c r="H814" s="14" t="str">
        <f aca="false">IF(OR($L814="",$M814=""),"",ROUND(($M814-$L814)/60,2))</f>
        <v/>
      </c>
      <c r="I814" s="9"/>
      <c r="J814" s="7"/>
      <c r="K814" s="7"/>
      <c r="L814" s="15" t="str">
        <f aca="false">IF($F814="","",IF($F814&lt;1,ROUND($F814*1440,0),INT($F814/100)*60+MOD($F814,100)))</f>
        <v/>
      </c>
      <c r="M814" s="15" t="str">
        <f aca="false">IF($G814="","",IF($G814&lt;1,ROUND($G814*1440,0),INT($G814/100)*60+MOD($G814,100)))</f>
        <v/>
      </c>
      <c r="N814" s="15" t="str">
        <f aca="false">IF(OR($A814="",$B814="",$L814="",$M814="",$J814="취소"),"",IF(SUMPRODUCT(($A$3:$A$2002=$A814)*($B$3:$B$2002=$B814)*($J$3:$J$2002&lt;&gt;"취소")*($L$3:$L$2002&lt;&gt;"")*($M$3:$M$2002&lt;&gt;"")*($L$3:$L$2002&lt;$M814)*($M$3:$M$2002&gt;$L814))&gt;1,"중복","-"))</f>
        <v/>
      </c>
    </row>
    <row r="815" customFormat="false" ht="15" hidden="false" customHeight="true" outlineLevel="0" collapsed="false">
      <c r="A815" s="11"/>
      <c r="B815" s="7"/>
      <c r="C815" s="12" t="str">
        <f aca="false">IF($B815="","",IFERROR(INDEX(자원목록!$B$3:$B$102,MATCH($B815,자원목록!$A$3:$A$102,0)),"미등록자원"))</f>
        <v/>
      </c>
      <c r="D815" s="7"/>
      <c r="E815" s="12" t="str">
        <f aca="false">IF($D815="","",IFERROR(INDEX(고객목록!$B$3:$B$502,MATCH($D815,고객목록!$A$3:$A$502,0)),""))</f>
        <v/>
      </c>
      <c r="F815" s="13"/>
      <c r="G815" s="13"/>
      <c r="H815" s="14" t="str">
        <f aca="false">IF(OR($L815="",$M815=""),"",ROUND(($M815-$L815)/60,2))</f>
        <v/>
      </c>
      <c r="I815" s="9"/>
      <c r="J815" s="7"/>
      <c r="K815" s="7"/>
      <c r="L815" s="15" t="str">
        <f aca="false">IF($F815="","",IF($F815&lt;1,ROUND($F815*1440,0),INT($F815/100)*60+MOD($F815,100)))</f>
        <v/>
      </c>
      <c r="M815" s="15" t="str">
        <f aca="false">IF($G815="","",IF($G815&lt;1,ROUND($G815*1440,0),INT($G815/100)*60+MOD($G815,100)))</f>
        <v/>
      </c>
      <c r="N815" s="15" t="str">
        <f aca="false">IF(OR($A815="",$B815="",$L815="",$M815="",$J815="취소"),"",IF(SUMPRODUCT(($A$3:$A$2002=$A815)*($B$3:$B$2002=$B815)*($J$3:$J$2002&lt;&gt;"취소")*($L$3:$L$2002&lt;&gt;"")*($M$3:$M$2002&lt;&gt;"")*($L$3:$L$2002&lt;$M815)*($M$3:$M$2002&gt;$L815))&gt;1,"중복","-"))</f>
        <v/>
      </c>
    </row>
    <row r="816" customFormat="false" ht="15" hidden="false" customHeight="true" outlineLevel="0" collapsed="false">
      <c r="A816" s="11"/>
      <c r="B816" s="7"/>
      <c r="C816" s="12" t="str">
        <f aca="false">IF($B816="","",IFERROR(INDEX(자원목록!$B$3:$B$102,MATCH($B816,자원목록!$A$3:$A$102,0)),"미등록자원"))</f>
        <v/>
      </c>
      <c r="D816" s="7"/>
      <c r="E816" s="12" t="str">
        <f aca="false">IF($D816="","",IFERROR(INDEX(고객목록!$B$3:$B$502,MATCH($D816,고객목록!$A$3:$A$502,0)),""))</f>
        <v/>
      </c>
      <c r="F816" s="13"/>
      <c r="G816" s="13"/>
      <c r="H816" s="14" t="str">
        <f aca="false">IF(OR($L816="",$M816=""),"",ROUND(($M816-$L816)/60,2))</f>
        <v/>
      </c>
      <c r="I816" s="9"/>
      <c r="J816" s="7"/>
      <c r="K816" s="7"/>
      <c r="L816" s="15" t="str">
        <f aca="false">IF($F816="","",IF($F816&lt;1,ROUND($F816*1440,0),INT($F816/100)*60+MOD($F816,100)))</f>
        <v/>
      </c>
      <c r="M816" s="15" t="str">
        <f aca="false">IF($G816="","",IF($G816&lt;1,ROUND($G816*1440,0),INT($G816/100)*60+MOD($G816,100)))</f>
        <v/>
      </c>
      <c r="N816" s="15" t="str">
        <f aca="false">IF(OR($A816="",$B816="",$L816="",$M816="",$J816="취소"),"",IF(SUMPRODUCT(($A$3:$A$2002=$A816)*($B$3:$B$2002=$B816)*($J$3:$J$2002&lt;&gt;"취소")*($L$3:$L$2002&lt;&gt;"")*($M$3:$M$2002&lt;&gt;"")*($L$3:$L$2002&lt;$M816)*($M$3:$M$2002&gt;$L816))&gt;1,"중복","-"))</f>
        <v/>
      </c>
    </row>
    <row r="817" customFormat="false" ht="15" hidden="false" customHeight="true" outlineLevel="0" collapsed="false">
      <c r="A817" s="11"/>
      <c r="B817" s="7"/>
      <c r="C817" s="12" t="str">
        <f aca="false">IF($B817="","",IFERROR(INDEX(자원목록!$B$3:$B$102,MATCH($B817,자원목록!$A$3:$A$102,0)),"미등록자원"))</f>
        <v/>
      </c>
      <c r="D817" s="7"/>
      <c r="E817" s="12" t="str">
        <f aca="false">IF($D817="","",IFERROR(INDEX(고객목록!$B$3:$B$502,MATCH($D817,고객목록!$A$3:$A$502,0)),""))</f>
        <v/>
      </c>
      <c r="F817" s="13"/>
      <c r="G817" s="13"/>
      <c r="H817" s="14" t="str">
        <f aca="false">IF(OR($L817="",$M817=""),"",ROUND(($M817-$L817)/60,2))</f>
        <v/>
      </c>
      <c r="I817" s="9"/>
      <c r="J817" s="7"/>
      <c r="K817" s="7"/>
      <c r="L817" s="15" t="str">
        <f aca="false">IF($F817="","",IF($F817&lt;1,ROUND($F817*1440,0),INT($F817/100)*60+MOD($F817,100)))</f>
        <v/>
      </c>
      <c r="M817" s="15" t="str">
        <f aca="false">IF($G817="","",IF($G817&lt;1,ROUND($G817*1440,0),INT($G817/100)*60+MOD($G817,100)))</f>
        <v/>
      </c>
      <c r="N817" s="15" t="str">
        <f aca="false">IF(OR($A817="",$B817="",$L817="",$M817="",$J817="취소"),"",IF(SUMPRODUCT(($A$3:$A$2002=$A817)*($B$3:$B$2002=$B817)*($J$3:$J$2002&lt;&gt;"취소")*($L$3:$L$2002&lt;&gt;"")*($M$3:$M$2002&lt;&gt;"")*($L$3:$L$2002&lt;$M817)*($M$3:$M$2002&gt;$L817))&gt;1,"중복","-"))</f>
        <v/>
      </c>
    </row>
    <row r="818" customFormat="false" ht="15" hidden="false" customHeight="true" outlineLevel="0" collapsed="false">
      <c r="A818" s="11"/>
      <c r="B818" s="7"/>
      <c r="C818" s="12" t="str">
        <f aca="false">IF($B818="","",IFERROR(INDEX(자원목록!$B$3:$B$102,MATCH($B818,자원목록!$A$3:$A$102,0)),"미등록자원"))</f>
        <v/>
      </c>
      <c r="D818" s="7"/>
      <c r="E818" s="12" t="str">
        <f aca="false">IF($D818="","",IFERROR(INDEX(고객목록!$B$3:$B$502,MATCH($D818,고객목록!$A$3:$A$502,0)),""))</f>
        <v/>
      </c>
      <c r="F818" s="13"/>
      <c r="G818" s="13"/>
      <c r="H818" s="14" t="str">
        <f aca="false">IF(OR($L818="",$M818=""),"",ROUND(($M818-$L818)/60,2))</f>
        <v/>
      </c>
      <c r="I818" s="9"/>
      <c r="J818" s="7"/>
      <c r="K818" s="7"/>
      <c r="L818" s="15" t="str">
        <f aca="false">IF($F818="","",IF($F818&lt;1,ROUND($F818*1440,0),INT($F818/100)*60+MOD($F818,100)))</f>
        <v/>
      </c>
      <c r="M818" s="15" t="str">
        <f aca="false">IF($G818="","",IF($G818&lt;1,ROUND($G818*1440,0),INT($G818/100)*60+MOD($G818,100)))</f>
        <v/>
      </c>
      <c r="N818" s="15" t="str">
        <f aca="false">IF(OR($A818="",$B818="",$L818="",$M818="",$J818="취소"),"",IF(SUMPRODUCT(($A$3:$A$2002=$A818)*($B$3:$B$2002=$B818)*($J$3:$J$2002&lt;&gt;"취소")*($L$3:$L$2002&lt;&gt;"")*($M$3:$M$2002&lt;&gt;"")*($L$3:$L$2002&lt;$M818)*($M$3:$M$2002&gt;$L818))&gt;1,"중복","-"))</f>
        <v/>
      </c>
    </row>
    <row r="819" customFormat="false" ht="15" hidden="false" customHeight="true" outlineLevel="0" collapsed="false">
      <c r="A819" s="11"/>
      <c r="B819" s="7"/>
      <c r="C819" s="12" t="str">
        <f aca="false">IF($B819="","",IFERROR(INDEX(자원목록!$B$3:$B$102,MATCH($B819,자원목록!$A$3:$A$102,0)),"미등록자원"))</f>
        <v/>
      </c>
      <c r="D819" s="7"/>
      <c r="E819" s="12" t="str">
        <f aca="false">IF($D819="","",IFERROR(INDEX(고객목록!$B$3:$B$502,MATCH($D819,고객목록!$A$3:$A$502,0)),""))</f>
        <v/>
      </c>
      <c r="F819" s="13"/>
      <c r="G819" s="13"/>
      <c r="H819" s="14" t="str">
        <f aca="false">IF(OR($L819="",$M819=""),"",ROUND(($M819-$L819)/60,2))</f>
        <v/>
      </c>
      <c r="I819" s="9"/>
      <c r="J819" s="7"/>
      <c r="K819" s="7"/>
      <c r="L819" s="15" t="str">
        <f aca="false">IF($F819="","",IF($F819&lt;1,ROUND($F819*1440,0),INT($F819/100)*60+MOD($F819,100)))</f>
        <v/>
      </c>
      <c r="M819" s="15" t="str">
        <f aca="false">IF($G819="","",IF($G819&lt;1,ROUND($G819*1440,0),INT($G819/100)*60+MOD($G819,100)))</f>
        <v/>
      </c>
      <c r="N819" s="15" t="str">
        <f aca="false">IF(OR($A819="",$B819="",$L819="",$M819="",$J819="취소"),"",IF(SUMPRODUCT(($A$3:$A$2002=$A819)*($B$3:$B$2002=$B819)*($J$3:$J$2002&lt;&gt;"취소")*($L$3:$L$2002&lt;&gt;"")*($M$3:$M$2002&lt;&gt;"")*($L$3:$L$2002&lt;$M819)*($M$3:$M$2002&gt;$L819))&gt;1,"중복","-"))</f>
        <v/>
      </c>
    </row>
    <row r="820" customFormat="false" ht="15" hidden="false" customHeight="true" outlineLevel="0" collapsed="false">
      <c r="A820" s="11"/>
      <c r="B820" s="7"/>
      <c r="C820" s="12" t="str">
        <f aca="false">IF($B820="","",IFERROR(INDEX(자원목록!$B$3:$B$102,MATCH($B820,자원목록!$A$3:$A$102,0)),"미등록자원"))</f>
        <v/>
      </c>
      <c r="D820" s="7"/>
      <c r="E820" s="12" t="str">
        <f aca="false">IF($D820="","",IFERROR(INDEX(고객목록!$B$3:$B$502,MATCH($D820,고객목록!$A$3:$A$502,0)),""))</f>
        <v/>
      </c>
      <c r="F820" s="13"/>
      <c r="G820" s="13"/>
      <c r="H820" s="14" t="str">
        <f aca="false">IF(OR($L820="",$M820=""),"",ROUND(($M820-$L820)/60,2))</f>
        <v/>
      </c>
      <c r="I820" s="9"/>
      <c r="J820" s="7"/>
      <c r="K820" s="7"/>
      <c r="L820" s="15" t="str">
        <f aca="false">IF($F820="","",IF($F820&lt;1,ROUND($F820*1440,0),INT($F820/100)*60+MOD($F820,100)))</f>
        <v/>
      </c>
      <c r="M820" s="15" t="str">
        <f aca="false">IF($G820="","",IF($G820&lt;1,ROUND($G820*1440,0),INT($G820/100)*60+MOD($G820,100)))</f>
        <v/>
      </c>
      <c r="N820" s="15" t="str">
        <f aca="false">IF(OR($A820="",$B820="",$L820="",$M820="",$J820="취소"),"",IF(SUMPRODUCT(($A$3:$A$2002=$A820)*($B$3:$B$2002=$B820)*($J$3:$J$2002&lt;&gt;"취소")*($L$3:$L$2002&lt;&gt;"")*($M$3:$M$2002&lt;&gt;"")*($L$3:$L$2002&lt;$M820)*($M$3:$M$2002&gt;$L820))&gt;1,"중복","-"))</f>
        <v/>
      </c>
    </row>
    <row r="821" customFormat="false" ht="15" hidden="false" customHeight="true" outlineLevel="0" collapsed="false">
      <c r="A821" s="11"/>
      <c r="B821" s="7"/>
      <c r="C821" s="12" t="str">
        <f aca="false">IF($B821="","",IFERROR(INDEX(자원목록!$B$3:$B$102,MATCH($B821,자원목록!$A$3:$A$102,0)),"미등록자원"))</f>
        <v/>
      </c>
      <c r="D821" s="7"/>
      <c r="E821" s="12" t="str">
        <f aca="false">IF($D821="","",IFERROR(INDEX(고객목록!$B$3:$B$502,MATCH($D821,고객목록!$A$3:$A$502,0)),""))</f>
        <v/>
      </c>
      <c r="F821" s="13"/>
      <c r="G821" s="13"/>
      <c r="H821" s="14" t="str">
        <f aca="false">IF(OR($L821="",$M821=""),"",ROUND(($M821-$L821)/60,2))</f>
        <v/>
      </c>
      <c r="I821" s="9"/>
      <c r="J821" s="7"/>
      <c r="K821" s="7"/>
      <c r="L821" s="15" t="str">
        <f aca="false">IF($F821="","",IF($F821&lt;1,ROUND($F821*1440,0),INT($F821/100)*60+MOD($F821,100)))</f>
        <v/>
      </c>
      <c r="M821" s="15" t="str">
        <f aca="false">IF($G821="","",IF($G821&lt;1,ROUND($G821*1440,0),INT($G821/100)*60+MOD($G821,100)))</f>
        <v/>
      </c>
      <c r="N821" s="15" t="str">
        <f aca="false">IF(OR($A821="",$B821="",$L821="",$M821="",$J821="취소"),"",IF(SUMPRODUCT(($A$3:$A$2002=$A821)*($B$3:$B$2002=$B821)*($J$3:$J$2002&lt;&gt;"취소")*($L$3:$L$2002&lt;&gt;"")*($M$3:$M$2002&lt;&gt;"")*($L$3:$L$2002&lt;$M821)*($M$3:$M$2002&gt;$L821))&gt;1,"중복","-"))</f>
        <v/>
      </c>
    </row>
    <row r="822" customFormat="false" ht="15" hidden="false" customHeight="true" outlineLevel="0" collapsed="false">
      <c r="A822" s="11"/>
      <c r="B822" s="7"/>
      <c r="C822" s="12" t="str">
        <f aca="false">IF($B822="","",IFERROR(INDEX(자원목록!$B$3:$B$102,MATCH($B822,자원목록!$A$3:$A$102,0)),"미등록자원"))</f>
        <v/>
      </c>
      <c r="D822" s="7"/>
      <c r="E822" s="12" t="str">
        <f aca="false">IF($D822="","",IFERROR(INDEX(고객목록!$B$3:$B$502,MATCH($D822,고객목록!$A$3:$A$502,0)),""))</f>
        <v/>
      </c>
      <c r="F822" s="13"/>
      <c r="G822" s="13"/>
      <c r="H822" s="14" t="str">
        <f aca="false">IF(OR($L822="",$M822=""),"",ROUND(($M822-$L822)/60,2))</f>
        <v/>
      </c>
      <c r="I822" s="9"/>
      <c r="J822" s="7"/>
      <c r="K822" s="7"/>
      <c r="L822" s="15" t="str">
        <f aca="false">IF($F822="","",IF($F822&lt;1,ROUND($F822*1440,0),INT($F822/100)*60+MOD($F822,100)))</f>
        <v/>
      </c>
      <c r="M822" s="15" t="str">
        <f aca="false">IF($G822="","",IF($G822&lt;1,ROUND($G822*1440,0),INT($G822/100)*60+MOD($G822,100)))</f>
        <v/>
      </c>
      <c r="N822" s="15" t="str">
        <f aca="false">IF(OR($A822="",$B822="",$L822="",$M822="",$J822="취소"),"",IF(SUMPRODUCT(($A$3:$A$2002=$A822)*($B$3:$B$2002=$B822)*($J$3:$J$2002&lt;&gt;"취소")*($L$3:$L$2002&lt;&gt;"")*($M$3:$M$2002&lt;&gt;"")*($L$3:$L$2002&lt;$M822)*($M$3:$M$2002&gt;$L822))&gt;1,"중복","-"))</f>
        <v/>
      </c>
    </row>
    <row r="823" customFormat="false" ht="15" hidden="false" customHeight="true" outlineLevel="0" collapsed="false">
      <c r="A823" s="11"/>
      <c r="B823" s="7"/>
      <c r="C823" s="12" t="str">
        <f aca="false">IF($B823="","",IFERROR(INDEX(자원목록!$B$3:$B$102,MATCH($B823,자원목록!$A$3:$A$102,0)),"미등록자원"))</f>
        <v/>
      </c>
      <c r="D823" s="7"/>
      <c r="E823" s="12" t="str">
        <f aca="false">IF($D823="","",IFERROR(INDEX(고객목록!$B$3:$B$502,MATCH($D823,고객목록!$A$3:$A$502,0)),""))</f>
        <v/>
      </c>
      <c r="F823" s="13"/>
      <c r="G823" s="13"/>
      <c r="H823" s="14" t="str">
        <f aca="false">IF(OR($L823="",$M823=""),"",ROUND(($M823-$L823)/60,2))</f>
        <v/>
      </c>
      <c r="I823" s="9"/>
      <c r="J823" s="7"/>
      <c r="K823" s="7"/>
      <c r="L823" s="15" t="str">
        <f aca="false">IF($F823="","",IF($F823&lt;1,ROUND($F823*1440,0),INT($F823/100)*60+MOD($F823,100)))</f>
        <v/>
      </c>
      <c r="M823" s="15" t="str">
        <f aca="false">IF($G823="","",IF($G823&lt;1,ROUND($G823*1440,0),INT($G823/100)*60+MOD($G823,100)))</f>
        <v/>
      </c>
      <c r="N823" s="15" t="str">
        <f aca="false">IF(OR($A823="",$B823="",$L823="",$M823="",$J823="취소"),"",IF(SUMPRODUCT(($A$3:$A$2002=$A823)*($B$3:$B$2002=$B823)*($J$3:$J$2002&lt;&gt;"취소")*($L$3:$L$2002&lt;&gt;"")*($M$3:$M$2002&lt;&gt;"")*($L$3:$L$2002&lt;$M823)*($M$3:$M$2002&gt;$L823))&gt;1,"중복","-"))</f>
        <v/>
      </c>
    </row>
    <row r="824" customFormat="false" ht="15" hidden="false" customHeight="true" outlineLevel="0" collapsed="false">
      <c r="A824" s="11"/>
      <c r="B824" s="7"/>
      <c r="C824" s="12" t="str">
        <f aca="false">IF($B824="","",IFERROR(INDEX(자원목록!$B$3:$B$102,MATCH($B824,자원목록!$A$3:$A$102,0)),"미등록자원"))</f>
        <v/>
      </c>
      <c r="D824" s="7"/>
      <c r="E824" s="12" t="str">
        <f aca="false">IF($D824="","",IFERROR(INDEX(고객목록!$B$3:$B$502,MATCH($D824,고객목록!$A$3:$A$502,0)),""))</f>
        <v/>
      </c>
      <c r="F824" s="13"/>
      <c r="G824" s="13"/>
      <c r="H824" s="14" t="str">
        <f aca="false">IF(OR($L824="",$M824=""),"",ROUND(($M824-$L824)/60,2))</f>
        <v/>
      </c>
      <c r="I824" s="9"/>
      <c r="J824" s="7"/>
      <c r="K824" s="7"/>
      <c r="L824" s="15" t="str">
        <f aca="false">IF($F824="","",IF($F824&lt;1,ROUND($F824*1440,0),INT($F824/100)*60+MOD($F824,100)))</f>
        <v/>
      </c>
      <c r="M824" s="15" t="str">
        <f aca="false">IF($G824="","",IF($G824&lt;1,ROUND($G824*1440,0),INT($G824/100)*60+MOD($G824,100)))</f>
        <v/>
      </c>
      <c r="N824" s="15" t="str">
        <f aca="false">IF(OR($A824="",$B824="",$L824="",$M824="",$J824="취소"),"",IF(SUMPRODUCT(($A$3:$A$2002=$A824)*($B$3:$B$2002=$B824)*($J$3:$J$2002&lt;&gt;"취소")*($L$3:$L$2002&lt;&gt;"")*($M$3:$M$2002&lt;&gt;"")*($L$3:$L$2002&lt;$M824)*($M$3:$M$2002&gt;$L824))&gt;1,"중복","-"))</f>
        <v/>
      </c>
    </row>
    <row r="825" customFormat="false" ht="15" hidden="false" customHeight="true" outlineLevel="0" collapsed="false">
      <c r="A825" s="11"/>
      <c r="B825" s="7"/>
      <c r="C825" s="12" t="str">
        <f aca="false">IF($B825="","",IFERROR(INDEX(자원목록!$B$3:$B$102,MATCH($B825,자원목록!$A$3:$A$102,0)),"미등록자원"))</f>
        <v/>
      </c>
      <c r="D825" s="7"/>
      <c r="E825" s="12" t="str">
        <f aca="false">IF($D825="","",IFERROR(INDEX(고객목록!$B$3:$B$502,MATCH($D825,고객목록!$A$3:$A$502,0)),""))</f>
        <v/>
      </c>
      <c r="F825" s="13"/>
      <c r="G825" s="13"/>
      <c r="H825" s="14" t="str">
        <f aca="false">IF(OR($L825="",$M825=""),"",ROUND(($M825-$L825)/60,2))</f>
        <v/>
      </c>
      <c r="I825" s="9"/>
      <c r="J825" s="7"/>
      <c r="K825" s="7"/>
      <c r="L825" s="15" t="str">
        <f aca="false">IF($F825="","",IF($F825&lt;1,ROUND($F825*1440,0),INT($F825/100)*60+MOD($F825,100)))</f>
        <v/>
      </c>
      <c r="M825" s="15" t="str">
        <f aca="false">IF($G825="","",IF($G825&lt;1,ROUND($G825*1440,0),INT($G825/100)*60+MOD($G825,100)))</f>
        <v/>
      </c>
      <c r="N825" s="15" t="str">
        <f aca="false">IF(OR($A825="",$B825="",$L825="",$M825="",$J825="취소"),"",IF(SUMPRODUCT(($A$3:$A$2002=$A825)*($B$3:$B$2002=$B825)*($J$3:$J$2002&lt;&gt;"취소")*($L$3:$L$2002&lt;&gt;"")*($M$3:$M$2002&lt;&gt;"")*($L$3:$L$2002&lt;$M825)*($M$3:$M$2002&gt;$L825))&gt;1,"중복","-"))</f>
        <v/>
      </c>
    </row>
    <row r="826" customFormat="false" ht="15" hidden="false" customHeight="true" outlineLevel="0" collapsed="false">
      <c r="A826" s="11"/>
      <c r="B826" s="7"/>
      <c r="C826" s="12" t="str">
        <f aca="false">IF($B826="","",IFERROR(INDEX(자원목록!$B$3:$B$102,MATCH($B826,자원목록!$A$3:$A$102,0)),"미등록자원"))</f>
        <v/>
      </c>
      <c r="D826" s="7"/>
      <c r="E826" s="12" t="str">
        <f aca="false">IF($D826="","",IFERROR(INDEX(고객목록!$B$3:$B$502,MATCH($D826,고객목록!$A$3:$A$502,0)),""))</f>
        <v/>
      </c>
      <c r="F826" s="13"/>
      <c r="G826" s="13"/>
      <c r="H826" s="14" t="str">
        <f aca="false">IF(OR($L826="",$M826=""),"",ROUND(($M826-$L826)/60,2))</f>
        <v/>
      </c>
      <c r="I826" s="9"/>
      <c r="J826" s="7"/>
      <c r="K826" s="7"/>
      <c r="L826" s="15" t="str">
        <f aca="false">IF($F826="","",IF($F826&lt;1,ROUND($F826*1440,0),INT($F826/100)*60+MOD($F826,100)))</f>
        <v/>
      </c>
      <c r="M826" s="15" t="str">
        <f aca="false">IF($G826="","",IF($G826&lt;1,ROUND($G826*1440,0),INT($G826/100)*60+MOD($G826,100)))</f>
        <v/>
      </c>
      <c r="N826" s="15" t="str">
        <f aca="false">IF(OR($A826="",$B826="",$L826="",$M826="",$J826="취소"),"",IF(SUMPRODUCT(($A$3:$A$2002=$A826)*($B$3:$B$2002=$B826)*($J$3:$J$2002&lt;&gt;"취소")*($L$3:$L$2002&lt;&gt;"")*($M$3:$M$2002&lt;&gt;"")*($L$3:$L$2002&lt;$M826)*($M$3:$M$2002&gt;$L826))&gt;1,"중복","-"))</f>
        <v/>
      </c>
    </row>
    <row r="827" customFormat="false" ht="15" hidden="false" customHeight="true" outlineLevel="0" collapsed="false">
      <c r="A827" s="11"/>
      <c r="B827" s="7"/>
      <c r="C827" s="12" t="str">
        <f aca="false">IF($B827="","",IFERROR(INDEX(자원목록!$B$3:$B$102,MATCH($B827,자원목록!$A$3:$A$102,0)),"미등록자원"))</f>
        <v/>
      </c>
      <c r="D827" s="7"/>
      <c r="E827" s="12" t="str">
        <f aca="false">IF($D827="","",IFERROR(INDEX(고객목록!$B$3:$B$502,MATCH($D827,고객목록!$A$3:$A$502,0)),""))</f>
        <v/>
      </c>
      <c r="F827" s="13"/>
      <c r="G827" s="13"/>
      <c r="H827" s="14" t="str">
        <f aca="false">IF(OR($L827="",$M827=""),"",ROUND(($M827-$L827)/60,2))</f>
        <v/>
      </c>
      <c r="I827" s="9"/>
      <c r="J827" s="7"/>
      <c r="K827" s="7"/>
      <c r="L827" s="15" t="str">
        <f aca="false">IF($F827="","",IF($F827&lt;1,ROUND($F827*1440,0),INT($F827/100)*60+MOD($F827,100)))</f>
        <v/>
      </c>
      <c r="M827" s="15" t="str">
        <f aca="false">IF($G827="","",IF($G827&lt;1,ROUND($G827*1440,0),INT($G827/100)*60+MOD($G827,100)))</f>
        <v/>
      </c>
      <c r="N827" s="15" t="str">
        <f aca="false">IF(OR($A827="",$B827="",$L827="",$M827="",$J827="취소"),"",IF(SUMPRODUCT(($A$3:$A$2002=$A827)*($B$3:$B$2002=$B827)*($J$3:$J$2002&lt;&gt;"취소")*($L$3:$L$2002&lt;&gt;"")*($M$3:$M$2002&lt;&gt;"")*($L$3:$L$2002&lt;$M827)*($M$3:$M$2002&gt;$L827))&gt;1,"중복","-"))</f>
        <v/>
      </c>
    </row>
    <row r="828" customFormat="false" ht="15" hidden="false" customHeight="true" outlineLevel="0" collapsed="false">
      <c r="A828" s="11"/>
      <c r="B828" s="7"/>
      <c r="C828" s="12" t="str">
        <f aca="false">IF($B828="","",IFERROR(INDEX(자원목록!$B$3:$B$102,MATCH($B828,자원목록!$A$3:$A$102,0)),"미등록자원"))</f>
        <v/>
      </c>
      <c r="D828" s="7"/>
      <c r="E828" s="12" t="str">
        <f aca="false">IF($D828="","",IFERROR(INDEX(고객목록!$B$3:$B$502,MATCH($D828,고객목록!$A$3:$A$502,0)),""))</f>
        <v/>
      </c>
      <c r="F828" s="13"/>
      <c r="G828" s="13"/>
      <c r="H828" s="14" t="str">
        <f aca="false">IF(OR($L828="",$M828=""),"",ROUND(($M828-$L828)/60,2))</f>
        <v/>
      </c>
      <c r="I828" s="9"/>
      <c r="J828" s="7"/>
      <c r="K828" s="7"/>
      <c r="L828" s="15" t="str">
        <f aca="false">IF($F828="","",IF($F828&lt;1,ROUND($F828*1440,0),INT($F828/100)*60+MOD($F828,100)))</f>
        <v/>
      </c>
      <c r="M828" s="15" t="str">
        <f aca="false">IF($G828="","",IF($G828&lt;1,ROUND($G828*1440,0),INT($G828/100)*60+MOD($G828,100)))</f>
        <v/>
      </c>
      <c r="N828" s="15" t="str">
        <f aca="false">IF(OR($A828="",$B828="",$L828="",$M828="",$J828="취소"),"",IF(SUMPRODUCT(($A$3:$A$2002=$A828)*($B$3:$B$2002=$B828)*($J$3:$J$2002&lt;&gt;"취소")*($L$3:$L$2002&lt;&gt;"")*($M$3:$M$2002&lt;&gt;"")*($L$3:$L$2002&lt;$M828)*($M$3:$M$2002&gt;$L828))&gt;1,"중복","-"))</f>
        <v/>
      </c>
    </row>
    <row r="829" customFormat="false" ht="15" hidden="false" customHeight="true" outlineLevel="0" collapsed="false">
      <c r="A829" s="11"/>
      <c r="B829" s="7"/>
      <c r="C829" s="12" t="str">
        <f aca="false">IF($B829="","",IFERROR(INDEX(자원목록!$B$3:$B$102,MATCH($B829,자원목록!$A$3:$A$102,0)),"미등록자원"))</f>
        <v/>
      </c>
      <c r="D829" s="7"/>
      <c r="E829" s="12" t="str">
        <f aca="false">IF($D829="","",IFERROR(INDEX(고객목록!$B$3:$B$502,MATCH($D829,고객목록!$A$3:$A$502,0)),""))</f>
        <v/>
      </c>
      <c r="F829" s="13"/>
      <c r="G829" s="13"/>
      <c r="H829" s="14" t="str">
        <f aca="false">IF(OR($L829="",$M829=""),"",ROUND(($M829-$L829)/60,2))</f>
        <v/>
      </c>
      <c r="I829" s="9"/>
      <c r="J829" s="7"/>
      <c r="K829" s="7"/>
      <c r="L829" s="15" t="str">
        <f aca="false">IF($F829="","",IF($F829&lt;1,ROUND($F829*1440,0),INT($F829/100)*60+MOD($F829,100)))</f>
        <v/>
      </c>
      <c r="M829" s="15" t="str">
        <f aca="false">IF($G829="","",IF($G829&lt;1,ROUND($G829*1440,0),INT($G829/100)*60+MOD($G829,100)))</f>
        <v/>
      </c>
      <c r="N829" s="15" t="str">
        <f aca="false">IF(OR($A829="",$B829="",$L829="",$M829="",$J829="취소"),"",IF(SUMPRODUCT(($A$3:$A$2002=$A829)*($B$3:$B$2002=$B829)*($J$3:$J$2002&lt;&gt;"취소")*($L$3:$L$2002&lt;&gt;"")*($M$3:$M$2002&lt;&gt;"")*($L$3:$L$2002&lt;$M829)*($M$3:$M$2002&gt;$L829))&gt;1,"중복","-"))</f>
        <v/>
      </c>
    </row>
    <row r="830" customFormat="false" ht="15" hidden="false" customHeight="true" outlineLevel="0" collapsed="false">
      <c r="A830" s="11"/>
      <c r="B830" s="7"/>
      <c r="C830" s="12" t="str">
        <f aca="false">IF($B830="","",IFERROR(INDEX(자원목록!$B$3:$B$102,MATCH($B830,자원목록!$A$3:$A$102,0)),"미등록자원"))</f>
        <v/>
      </c>
      <c r="D830" s="7"/>
      <c r="E830" s="12" t="str">
        <f aca="false">IF($D830="","",IFERROR(INDEX(고객목록!$B$3:$B$502,MATCH($D830,고객목록!$A$3:$A$502,0)),""))</f>
        <v/>
      </c>
      <c r="F830" s="13"/>
      <c r="G830" s="13"/>
      <c r="H830" s="14" t="str">
        <f aca="false">IF(OR($L830="",$M830=""),"",ROUND(($M830-$L830)/60,2))</f>
        <v/>
      </c>
      <c r="I830" s="9"/>
      <c r="J830" s="7"/>
      <c r="K830" s="7"/>
      <c r="L830" s="15" t="str">
        <f aca="false">IF($F830="","",IF($F830&lt;1,ROUND($F830*1440,0),INT($F830/100)*60+MOD($F830,100)))</f>
        <v/>
      </c>
      <c r="M830" s="15" t="str">
        <f aca="false">IF($G830="","",IF($G830&lt;1,ROUND($G830*1440,0),INT($G830/100)*60+MOD($G830,100)))</f>
        <v/>
      </c>
      <c r="N830" s="15" t="str">
        <f aca="false">IF(OR($A830="",$B830="",$L830="",$M830="",$J830="취소"),"",IF(SUMPRODUCT(($A$3:$A$2002=$A830)*($B$3:$B$2002=$B830)*($J$3:$J$2002&lt;&gt;"취소")*($L$3:$L$2002&lt;&gt;"")*($M$3:$M$2002&lt;&gt;"")*($L$3:$L$2002&lt;$M830)*($M$3:$M$2002&gt;$L830))&gt;1,"중복","-"))</f>
        <v/>
      </c>
    </row>
    <row r="831" customFormat="false" ht="15" hidden="false" customHeight="true" outlineLevel="0" collapsed="false">
      <c r="A831" s="11"/>
      <c r="B831" s="7"/>
      <c r="C831" s="12" t="str">
        <f aca="false">IF($B831="","",IFERROR(INDEX(자원목록!$B$3:$B$102,MATCH($B831,자원목록!$A$3:$A$102,0)),"미등록자원"))</f>
        <v/>
      </c>
      <c r="D831" s="7"/>
      <c r="E831" s="12" t="str">
        <f aca="false">IF($D831="","",IFERROR(INDEX(고객목록!$B$3:$B$502,MATCH($D831,고객목록!$A$3:$A$502,0)),""))</f>
        <v/>
      </c>
      <c r="F831" s="13"/>
      <c r="G831" s="13"/>
      <c r="H831" s="14" t="str">
        <f aca="false">IF(OR($L831="",$M831=""),"",ROUND(($M831-$L831)/60,2))</f>
        <v/>
      </c>
      <c r="I831" s="9"/>
      <c r="J831" s="7"/>
      <c r="K831" s="7"/>
      <c r="L831" s="15" t="str">
        <f aca="false">IF($F831="","",IF($F831&lt;1,ROUND($F831*1440,0),INT($F831/100)*60+MOD($F831,100)))</f>
        <v/>
      </c>
      <c r="M831" s="15" t="str">
        <f aca="false">IF($G831="","",IF($G831&lt;1,ROUND($G831*1440,0),INT($G831/100)*60+MOD($G831,100)))</f>
        <v/>
      </c>
      <c r="N831" s="15" t="str">
        <f aca="false">IF(OR($A831="",$B831="",$L831="",$M831="",$J831="취소"),"",IF(SUMPRODUCT(($A$3:$A$2002=$A831)*($B$3:$B$2002=$B831)*($J$3:$J$2002&lt;&gt;"취소")*($L$3:$L$2002&lt;&gt;"")*($M$3:$M$2002&lt;&gt;"")*($L$3:$L$2002&lt;$M831)*($M$3:$M$2002&gt;$L831))&gt;1,"중복","-"))</f>
        <v/>
      </c>
    </row>
    <row r="832" customFormat="false" ht="15" hidden="false" customHeight="true" outlineLevel="0" collapsed="false">
      <c r="A832" s="11"/>
      <c r="B832" s="7"/>
      <c r="C832" s="12" t="str">
        <f aca="false">IF($B832="","",IFERROR(INDEX(자원목록!$B$3:$B$102,MATCH($B832,자원목록!$A$3:$A$102,0)),"미등록자원"))</f>
        <v/>
      </c>
      <c r="D832" s="7"/>
      <c r="E832" s="12" t="str">
        <f aca="false">IF($D832="","",IFERROR(INDEX(고객목록!$B$3:$B$502,MATCH($D832,고객목록!$A$3:$A$502,0)),""))</f>
        <v/>
      </c>
      <c r="F832" s="13"/>
      <c r="G832" s="13"/>
      <c r="H832" s="14" t="str">
        <f aca="false">IF(OR($L832="",$M832=""),"",ROUND(($M832-$L832)/60,2))</f>
        <v/>
      </c>
      <c r="I832" s="9"/>
      <c r="J832" s="7"/>
      <c r="K832" s="7"/>
      <c r="L832" s="15" t="str">
        <f aca="false">IF($F832="","",IF($F832&lt;1,ROUND($F832*1440,0),INT($F832/100)*60+MOD($F832,100)))</f>
        <v/>
      </c>
      <c r="M832" s="15" t="str">
        <f aca="false">IF($G832="","",IF($G832&lt;1,ROUND($G832*1440,0),INT($G832/100)*60+MOD($G832,100)))</f>
        <v/>
      </c>
      <c r="N832" s="15" t="str">
        <f aca="false">IF(OR($A832="",$B832="",$L832="",$M832="",$J832="취소"),"",IF(SUMPRODUCT(($A$3:$A$2002=$A832)*($B$3:$B$2002=$B832)*($J$3:$J$2002&lt;&gt;"취소")*($L$3:$L$2002&lt;&gt;"")*($M$3:$M$2002&lt;&gt;"")*($L$3:$L$2002&lt;$M832)*($M$3:$M$2002&gt;$L832))&gt;1,"중복","-"))</f>
        <v/>
      </c>
    </row>
    <row r="833" customFormat="false" ht="15" hidden="false" customHeight="true" outlineLevel="0" collapsed="false">
      <c r="A833" s="11"/>
      <c r="B833" s="7"/>
      <c r="C833" s="12" t="str">
        <f aca="false">IF($B833="","",IFERROR(INDEX(자원목록!$B$3:$B$102,MATCH($B833,자원목록!$A$3:$A$102,0)),"미등록자원"))</f>
        <v/>
      </c>
      <c r="D833" s="7"/>
      <c r="E833" s="12" t="str">
        <f aca="false">IF($D833="","",IFERROR(INDEX(고객목록!$B$3:$B$502,MATCH($D833,고객목록!$A$3:$A$502,0)),""))</f>
        <v/>
      </c>
      <c r="F833" s="13"/>
      <c r="G833" s="13"/>
      <c r="H833" s="14" t="str">
        <f aca="false">IF(OR($L833="",$M833=""),"",ROUND(($M833-$L833)/60,2))</f>
        <v/>
      </c>
      <c r="I833" s="9"/>
      <c r="J833" s="7"/>
      <c r="K833" s="7"/>
      <c r="L833" s="15" t="str">
        <f aca="false">IF($F833="","",IF($F833&lt;1,ROUND($F833*1440,0),INT($F833/100)*60+MOD($F833,100)))</f>
        <v/>
      </c>
      <c r="M833" s="15" t="str">
        <f aca="false">IF($G833="","",IF($G833&lt;1,ROUND($G833*1440,0),INT($G833/100)*60+MOD($G833,100)))</f>
        <v/>
      </c>
      <c r="N833" s="15" t="str">
        <f aca="false">IF(OR($A833="",$B833="",$L833="",$M833="",$J833="취소"),"",IF(SUMPRODUCT(($A$3:$A$2002=$A833)*($B$3:$B$2002=$B833)*($J$3:$J$2002&lt;&gt;"취소")*($L$3:$L$2002&lt;&gt;"")*($M$3:$M$2002&lt;&gt;"")*($L$3:$L$2002&lt;$M833)*($M$3:$M$2002&gt;$L833))&gt;1,"중복","-"))</f>
        <v/>
      </c>
    </row>
    <row r="834" customFormat="false" ht="15" hidden="false" customHeight="true" outlineLevel="0" collapsed="false">
      <c r="A834" s="11"/>
      <c r="B834" s="7"/>
      <c r="C834" s="12" t="str">
        <f aca="false">IF($B834="","",IFERROR(INDEX(자원목록!$B$3:$B$102,MATCH($B834,자원목록!$A$3:$A$102,0)),"미등록자원"))</f>
        <v/>
      </c>
      <c r="D834" s="7"/>
      <c r="E834" s="12" t="str">
        <f aca="false">IF($D834="","",IFERROR(INDEX(고객목록!$B$3:$B$502,MATCH($D834,고객목록!$A$3:$A$502,0)),""))</f>
        <v/>
      </c>
      <c r="F834" s="13"/>
      <c r="G834" s="13"/>
      <c r="H834" s="14" t="str">
        <f aca="false">IF(OR($L834="",$M834=""),"",ROUND(($M834-$L834)/60,2))</f>
        <v/>
      </c>
      <c r="I834" s="9"/>
      <c r="J834" s="7"/>
      <c r="K834" s="7"/>
      <c r="L834" s="15" t="str">
        <f aca="false">IF($F834="","",IF($F834&lt;1,ROUND($F834*1440,0),INT($F834/100)*60+MOD($F834,100)))</f>
        <v/>
      </c>
      <c r="M834" s="15" t="str">
        <f aca="false">IF($G834="","",IF($G834&lt;1,ROUND($G834*1440,0),INT($G834/100)*60+MOD($G834,100)))</f>
        <v/>
      </c>
      <c r="N834" s="15" t="str">
        <f aca="false">IF(OR($A834="",$B834="",$L834="",$M834="",$J834="취소"),"",IF(SUMPRODUCT(($A$3:$A$2002=$A834)*($B$3:$B$2002=$B834)*($J$3:$J$2002&lt;&gt;"취소")*($L$3:$L$2002&lt;&gt;"")*($M$3:$M$2002&lt;&gt;"")*($L$3:$L$2002&lt;$M834)*($M$3:$M$2002&gt;$L834))&gt;1,"중복","-"))</f>
        <v/>
      </c>
    </row>
    <row r="835" customFormat="false" ht="15" hidden="false" customHeight="true" outlineLevel="0" collapsed="false">
      <c r="A835" s="11"/>
      <c r="B835" s="7"/>
      <c r="C835" s="12" t="str">
        <f aca="false">IF($B835="","",IFERROR(INDEX(자원목록!$B$3:$B$102,MATCH($B835,자원목록!$A$3:$A$102,0)),"미등록자원"))</f>
        <v/>
      </c>
      <c r="D835" s="7"/>
      <c r="E835" s="12" t="str">
        <f aca="false">IF($D835="","",IFERROR(INDEX(고객목록!$B$3:$B$502,MATCH($D835,고객목록!$A$3:$A$502,0)),""))</f>
        <v/>
      </c>
      <c r="F835" s="13"/>
      <c r="G835" s="13"/>
      <c r="H835" s="14" t="str">
        <f aca="false">IF(OR($L835="",$M835=""),"",ROUND(($M835-$L835)/60,2))</f>
        <v/>
      </c>
      <c r="I835" s="9"/>
      <c r="J835" s="7"/>
      <c r="K835" s="7"/>
      <c r="L835" s="15" t="str">
        <f aca="false">IF($F835="","",IF($F835&lt;1,ROUND($F835*1440,0),INT($F835/100)*60+MOD($F835,100)))</f>
        <v/>
      </c>
      <c r="M835" s="15" t="str">
        <f aca="false">IF($G835="","",IF($G835&lt;1,ROUND($G835*1440,0),INT($G835/100)*60+MOD($G835,100)))</f>
        <v/>
      </c>
      <c r="N835" s="15" t="str">
        <f aca="false">IF(OR($A835="",$B835="",$L835="",$M835="",$J835="취소"),"",IF(SUMPRODUCT(($A$3:$A$2002=$A835)*($B$3:$B$2002=$B835)*($J$3:$J$2002&lt;&gt;"취소")*($L$3:$L$2002&lt;&gt;"")*($M$3:$M$2002&lt;&gt;"")*($L$3:$L$2002&lt;$M835)*($M$3:$M$2002&gt;$L835))&gt;1,"중복","-"))</f>
        <v/>
      </c>
    </row>
    <row r="836" customFormat="false" ht="15" hidden="false" customHeight="true" outlineLevel="0" collapsed="false">
      <c r="A836" s="11"/>
      <c r="B836" s="7"/>
      <c r="C836" s="12" t="str">
        <f aca="false">IF($B836="","",IFERROR(INDEX(자원목록!$B$3:$B$102,MATCH($B836,자원목록!$A$3:$A$102,0)),"미등록자원"))</f>
        <v/>
      </c>
      <c r="D836" s="7"/>
      <c r="E836" s="12" t="str">
        <f aca="false">IF($D836="","",IFERROR(INDEX(고객목록!$B$3:$B$502,MATCH($D836,고객목록!$A$3:$A$502,0)),""))</f>
        <v/>
      </c>
      <c r="F836" s="13"/>
      <c r="G836" s="13"/>
      <c r="H836" s="14" t="str">
        <f aca="false">IF(OR($L836="",$M836=""),"",ROUND(($M836-$L836)/60,2))</f>
        <v/>
      </c>
      <c r="I836" s="9"/>
      <c r="J836" s="7"/>
      <c r="K836" s="7"/>
      <c r="L836" s="15" t="str">
        <f aca="false">IF($F836="","",IF($F836&lt;1,ROUND($F836*1440,0),INT($F836/100)*60+MOD($F836,100)))</f>
        <v/>
      </c>
      <c r="M836" s="15" t="str">
        <f aca="false">IF($G836="","",IF($G836&lt;1,ROUND($G836*1440,0),INT($G836/100)*60+MOD($G836,100)))</f>
        <v/>
      </c>
      <c r="N836" s="15" t="str">
        <f aca="false">IF(OR($A836="",$B836="",$L836="",$M836="",$J836="취소"),"",IF(SUMPRODUCT(($A$3:$A$2002=$A836)*($B$3:$B$2002=$B836)*($J$3:$J$2002&lt;&gt;"취소")*($L$3:$L$2002&lt;&gt;"")*($M$3:$M$2002&lt;&gt;"")*($L$3:$L$2002&lt;$M836)*($M$3:$M$2002&gt;$L836))&gt;1,"중복","-"))</f>
        <v/>
      </c>
    </row>
    <row r="837" customFormat="false" ht="15" hidden="false" customHeight="true" outlineLevel="0" collapsed="false">
      <c r="A837" s="11"/>
      <c r="B837" s="7"/>
      <c r="C837" s="12" t="str">
        <f aca="false">IF($B837="","",IFERROR(INDEX(자원목록!$B$3:$B$102,MATCH($B837,자원목록!$A$3:$A$102,0)),"미등록자원"))</f>
        <v/>
      </c>
      <c r="D837" s="7"/>
      <c r="E837" s="12" t="str">
        <f aca="false">IF($D837="","",IFERROR(INDEX(고객목록!$B$3:$B$502,MATCH($D837,고객목록!$A$3:$A$502,0)),""))</f>
        <v/>
      </c>
      <c r="F837" s="13"/>
      <c r="G837" s="13"/>
      <c r="H837" s="14" t="str">
        <f aca="false">IF(OR($L837="",$M837=""),"",ROUND(($M837-$L837)/60,2))</f>
        <v/>
      </c>
      <c r="I837" s="9"/>
      <c r="J837" s="7"/>
      <c r="K837" s="7"/>
      <c r="L837" s="15" t="str">
        <f aca="false">IF($F837="","",IF($F837&lt;1,ROUND($F837*1440,0),INT($F837/100)*60+MOD($F837,100)))</f>
        <v/>
      </c>
      <c r="M837" s="15" t="str">
        <f aca="false">IF($G837="","",IF($G837&lt;1,ROUND($G837*1440,0),INT($G837/100)*60+MOD($G837,100)))</f>
        <v/>
      </c>
      <c r="N837" s="15" t="str">
        <f aca="false">IF(OR($A837="",$B837="",$L837="",$M837="",$J837="취소"),"",IF(SUMPRODUCT(($A$3:$A$2002=$A837)*($B$3:$B$2002=$B837)*($J$3:$J$2002&lt;&gt;"취소")*($L$3:$L$2002&lt;&gt;"")*($M$3:$M$2002&lt;&gt;"")*($L$3:$L$2002&lt;$M837)*($M$3:$M$2002&gt;$L837))&gt;1,"중복","-"))</f>
        <v/>
      </c>
    </row>
    <row r="838" customFormat="false" ht="15" hidden="false" customHeight="true" outlineLevel="0" collapsed="false">
      <c r="A838" s="11"/>
      <c r="B838" s="7"/>
      <c r="C838" s="12" t="str">
        <f aca="false">IF($B838="","",IFERROR(INDEX(자원목록!$B$3:$B$102,MATCH($B838,자원목록!$A$3:$A$102,0)),"미등록자원"))</f>
        <v/>
      </c>
      <c r="D838" s="7"/>
      <c r="E838" s="12" t="str">
        <f aca="false">IF($D838="","",IFERROR(INDEX(고객목록!$B$3:$B$502,MATCH($D838,고객목록!$A$3:$A$502,0)),""))</f>
        <v/>
      </c>
      <c r="F838" s="13"/>
      <c r="G838" s="13"/>
      <c r="H838" s="14" t="str">
        <f aca="false">IF(OR($L838="",$M838=""),"",ROUND(($M838-$L838)/60,2))</f>
        <v/>
      </c>
      <c r="I838" s="9"/>
      <c r="J838" s="7"/>
      <c r="K838" s="7"/>
      <c r="L838" s="15" t="str">
        <f aca="false">IF($F838="","",IF($F838&lt;1,ROUND($F838*1440,0),INT($F838/100)*60+MOD($F838,100)))</f>
        <v/>
      </c>
      <c r="M838" s="15" t="str">
        <f aca="false">IF($G838="","",IF($G838&lt;1,ROUND($G838*1440,0),INT($G838/100)*60+MOD($G838,100)))</f>
        <v/>
      </c>
      <c r="N838" s="15" t="str">
        <f aca="false">IF(OR($A838="",$B838="",$L838="",$M838="",$J838="취소"),"",IF(SUMPRODUCT(($A$3:$A$2002=$A838)*($B$3:$B$2002=$B838)*($J$3:$J$2002&lt;&gt;"취소")*($L$3:$L$2002&lt;&gt;"")*($M$3:$M$2002&lt;&gt;"")*($L$3:$L$2002&lt;$M838)*($M$3:$M$2002&gt;$L838))&gt;1,"중복","-"))</f>
        <v/>
      </c>
    </row>
    <row r="839" customFormat="false" ht="15" hidden="false" customHeight="true" outlineLevel="0" collapsed="false">
      <c r="A839" s="11"/>
      <c r="B839" s="7"/>
      <c r="C839" s="12" t="str">
        <f aca="false">IF($B839="","",IFERROR(INDEX(자원목록!$B$3:$B$102,MATCH($B839,자원목록!$A$3:$A$102,0)),"미등록자원"))</f>
        <v/>
      </c>
      <c r="D839" s="7"/>
      <c r="E839" s="12" t="str">
        <f aca="false">IF($D839="","",IFERROR(INDEX(고객목록!$B$3:$B$502,MATCH($D839,고객목록!$A$3:$A$502,0)),""))</f>
        <v/>
      </c>
      <c r="F839" s="13"/>
      <c r="G839" s="13"/>
      <c r="H839" s="14" t="str">
        <f aca="false">IF(OR($L839="",$M839=""),"",ROUND(($M839-$L839)/60,2))</f>
        <v/>
      </c>
      <c r="I839" s="9"/>
      <c r="J839" s="7"/>
      <c r="K839" s="7"/>
      <c r="L839" s="15" t="str">
        <f aca="false">IF($F839="","",IF($F839&lt;1,ROUND($F839*1440,0),INT($F839/100)*60+MOD($F839,100)))</f>
        <v/>
      </c>
      <c r="M839" s="15" t="str">
        <f aca="false">IF($G839="","",IF($G839&lt;1,ROUND($G839*1440,0),INT($G839/100)*60+MOD($G839,100)))</f>
        <v/>
      </c>
      <c r="N839" s="15" t="str">
        <f aca="false">IF(OR($A839="",$B839="",$L839="",$M839="",$J839="취소"),"",IF(SUMPRODUCT(($A$3:$A$2002=$A839)*($B$3:$B$2002=$B839)*($J$3:$J$2002&lt;&gt;"취소")*($L$3:$L$2002&lt;&gt;"")*($M$3:$M$2002&lt;&gt;"")*($L$3:$L$2002&lt;$M839)*($M$3:$M$2002&gt;$L839))&gt;1,"중복","-"))</f>
        <v/>
      </c>
    </row>
    <row r="840" customFormat="false" ht="15" hidden="false" customHeight="true" outlineLevel="0" collapsed="false">
      <c r="A840" s="11"/>
      <c r="B840" s="7"/>
      <c r="C840" s="12" t="str">
        <f aca="false">IF($B840="","",IFERROR(INDEX(자원목록!$B$3:$B$102,MATCH($B840,자원목록!$A$3:$A$102,0)),"미등록자원"))</f>
        <v/>
      </c>
      <c r="D840" s="7"/>
      <c r="E840" s="12" t="str">
        <f aca="false">IF($D840="","",IFERROR(INDEX(고객목록!$B$3:$B$502,MATCH($D840,고객목록!$A$3:$A$502,0)),""))</f>
        <v/>
      </c>
      <c r="F840" s="13"/>
      <c r="G840" s="13"/>
      <c r="H840" s="14" t="str">
        <f aca="false">IF(OR($L840="",$M840=""),"",ROUND(($M840-$L840)/60,2))</f>
        <v/>
      </c>
      <c r="I840" s="9"/>
      <c r="J840" s="7"/>
      <c r="K840" s="7"/>
      <c r="L840" s="15" t="str">
        <f aca="false">IF($F840="","",IF($F840&lt;1,ROUND($F840*1440,0),INT($F840/100)*60+MOD($F840,100)))</f>
        <v/>
      </c>
      <c r="M840" s="15" t="str">
        <f aca="false">IF($G840="","",IF($G840&lt;1,ROUND($G840*1440,0),INT($G840/100)*60+MOD($G840,100)))</f>
        <v/>
      </c>
      <c r="N840" s="15" t="str">
        <f aca="false">IF(OR($A840="",$B840="",$L840="",$M840="",$J840="취소"),"",IF(SUMPRODUCT(($A$3:$A$2002=$A840)*($B$3:$B$2002=$B840)*($J$3:$J$2002&lt;&gt;"취소")*($L$3:$L$2002&lt;&gt;"")*($M$3:$M$2002&lt;&gt;"")*($L$3:$L$2002&lt;$M840)*($M$3:$M$2002&gt;$L840))&gt;1,"중복","-"))</f>
        <v/>
      </c>
    </row>
    <row r="841" customFormat="false" ht="15" hidden="false" customHeight="true" outlineLevel="0" collapsed="false">
      <c r="A841" s="11"/>
      <c r="B841" s="7"/>
      <c r="C841" s="12" t="str">
        <f aca="false">IF($B841="","",IFERROR(INDEX(자원목록!$B$3:$B$102,MATCH($B841,자원목록!$A$3:$A$102,0)),"미등록자원"))</f>
        <v/>
      </c>
      <c r="D841" s="7"/>
      <c r="E841" s="12" t="str">
        <f aca="false">IF($D841="","",IFERROR(INDEX(고객목록!$B$3:$B$502,MATCH($D841,고객목록!$A$3:$A$502,0)),""))</f>
        <v/>
      </c>
      <c r="F841" s="13"/>
      <c r="G841" s="13"/>
      <c r="H841" s="14" t="str">
        <f aca="false">IF(OR($L841="",$M841=""),"",ROUND(($M841-$L841)/60,2))</f>
        <v/>
      </c>
      <c r="I841" s="9"/>
      <c r="J841" s="7"/>
      <c r="K841" s="7"/>
      <c r="L841" s="15" t="str">
        <f aca="false">IF($F841="","",IF($F841&lt;1,ROUND($F841*1440,0),INT($F841/100)*60+MOD($F841,100)))</f>
        <v/>
      </c>
      <c r="M841" s="15" t="str">
        <f aca="false">IF($G841="","",IF($G841&lt;1,ROUND($G841*1440,0),INT($G841/100)*60+MOD($G841,100)))</f>
        <v/>
      </c>
      <c r="N841" s="15" t="str">
        <f aca="false">IF(OR($A841="",$B841="",$L841="",$M841="",$J841="취소"),"",IF(SUMPRODUCT(($A$3:$A$2002=$A841)*($B$3:$B$2002=$B841)*($J$3:$J$2002&lt;&gt;"취소")*($L$3:$L$2002&lt;&gt;"")*($M$3:$M$2002&lt;&gt;"")*($L$3:$L$2002&lt;$M841)*($M$3:$M$2002&gt;$L841))&gt;1,"중복","-"))</f>
        <v/>
      </c>
    </row>
    <row r="842" customFormat="false" ht="15" hidden="false" customHeight="true" outlineLevel="0" collapsed="false">
      <c r="A842" s="11"/>
      <c r="B842" s="7"/>
      <c r="C842" s="12" t="str">
        <f aca="false">IF($B842="","",IFERROR(INDEX(자원목록!$B$3:$B$102,MATCH($B842,자원목록!$A$3:$A$102,0)),"미등록자원"))</f>
        <v/>
      </c>
      <c r="D842" s="7"/>
      <c r="E842" s="12" t="str">
        <f aca="false">IF($D842="","",IFERROR(INDEX(고객목록!$B$3:$B$502,MATCH($D842,고객목록!$A$3:$A$502,0)),""))</f>
        <v/>
      </c>
      <c r="F842" s="13"/>
      <c r="G842" s="13"/>
      <c r="H842" s="14" t="str">
        <f aca="false">IF(OR($L842="",$M842=""),"",ROUND(($M842-$L842)/60,2))</f>
        <v/>
      </c>
      <c r="I842" s="9"/>
      <c r="J842" s="7"/>
      <c r="K842" s="7"/>
      <c r="L842" s="15" t="str">
        <f aca="false">IF($F842="","",IF($F842&lt;1,ROUND($F842*1440,0),INT($F842/100)*60+MOD($F842,100)))</f>
        <v/>
      </c>
      <c r="M842" s="15" t="str">
        <f aca="false">IF($G842="","",IF($G842&lt;1,ROUND($G842*1440,0),INT($G842/100)*60+MOD($G842,100)))</f>
        <v/>
      </c>
      <c r="N842" s="15" t="str">
        <f aca="false">IF(OR($A842="",$B842="",$L842="",$M842="",$J842="취소"),"",IF(SUMPRODUCT(($A$3:$A$2002=$A842)*($B$3:$B$2002=$B842)*($J$3:$J$2002&lt;&gt;"취소")*($L$3:$L$2002&lt;&gt;"")*($M$3:$M$2002&lt;&gt;"")*($L$3:$L$2002&lt;$M842)*($M$3:$M$2002&gt;$L842))&gt;1,"중복","-"))</f>
        <v/>
      </c>
    </row>
    <row r="843" customFormat="false" ht="15" hidden="false" customHeight="true" outlineLevel="0" collapsed="false">
      <c r="A843" s="11"/>
      <c r="B843" s="7"/>
      <c r="C843" s="12" t="str">
        <f aca="false">IF($B843="","",IFERROR(INDEX(자원목록!$B$3:$B$102,MATCH($B843,자원목록!$A$3:$A$102,0)),"미등록자원"))</f>
        <v/>
      </c>
      <c r="D843" s="7"/>
      <c r="E843" s="12" t="str">
        <f aca="false">IF($D843="","",IFERROR(INDEX(고객목록!$B$3:$B$502,MATCH($D843,고객목록!$A$3:$A$502,0)),""))</f>
        <v/>
      </c>
      <c r="F843" s="13"/>
      <c r="G843" s="13"/>
      <c r="H843" s="14" t="str">
        <f aca="false">IF(OR($L843="",$M843=""),"",ROUND(($M843-$L843)/60,2))</f>
        <v/>
      </c>
      <c r="I843" s="9"/>
      <c r="J843" s="7"/>
      <c r="K843" s="7"/>
      <c r="L843" s="15" t="str">
        <f aca="false">IF($F843="","",IF($F843&lt;1,ROUND($F843*1440,0),INT($F843/100)*60+MOD($F843,100)))</f>
        <v/>
      </c>
      <c r="M843" s="15" t="str">
        <f aca="false">IF($G843="","",IF($G843&lt;1,ROUND($G843*1440,0),INT($G843/100)*60+MOD($G843,100)))</f>
        <v/>
      </c>
      <c r="N843" s="15" t="str">
        <f aca="false">IF(OR($A843="",$B843="",$L843="",$M843="",$J843="취소"),"",IF(SUMPRODUCT(($A$3:$A$2002=$A843)*($B$3:$B$2002=$B843)*($J$3:$J$2002&lt;&gt;"취소")*($L$3:$L$2002&lt;&gt;"")*($M$3:$M$2002&lt;&gt;"")*($L$3:$L$2002&lt;$M843)*($M$3:$M$2002&gt;$L843))&gt;1,"중복","-"))</f>
        <v/>
      </c>
    </row>
    <row r="844" customFormat="false" ht="15" hidden="false" customHeight="true" outlineLevel="0" collapsed="false">
      <c r="A844" s="11"/>
      <c r="B844" s="7"/>
      <c r="C844" s="12" t="str">
        <f aca="false">IF($B844="","",IFERROR(INDEX(자원목록!$B$3:$B$102,MATCH($B844,자원목록!$A$3:$A$102,0)),"미등록자원"))</f>
        <v/>
      </c>
      <c r="D844" s="7"/>
      <c r="E844" s="12" t="str">
        <f aca="false">IF($D844="","",IFERROR(INDEX(고객목록!$B$3:$B$502,MATCH($D844,고객목록!$A$3:$A$502,0)),""))</f>
        <v/>
      </c>
      <c r="F844" s="13"/>
      <c r="G844" s="13"/>
      <c r="H844" s="14" t="str">
        <f aca="false">IF(OR($L844="",$M844=""),"",ROUND(($M844-$L844)/60,2))</f>
        <v/>
      </c>
      <c r="I844" s="9"/>
      <c r="J844" s="7"/>
      <c r="K844" s="7"/>
      <c r="L844" s="15" t="str">
        <f aca="false">IF($F844="","",IF($F844&lt;1,ROUND($F844*1440,0),INT($F844/100)*60+MOD($F844,100)))</f>
        <v/>
      </c>
      <c r="M844" s="15" t="str">
        <f aca="false">IF($G844="","",IF($G844&lt;1,ROUND($G844*1440,0),INT($G844/100)*60+MOD($G844,100)))</f>
        <v/>
      </c>
      <c r="N844" s="15" t="str">
        <f aca="false">IF(OR($A844="",$B844="",$L844="",$M844="",$J844="취소"),"",IF(SUMPRODUCT(($A$3:$A$2002=$A844)*($B$3:$B$2002=$B844)*($J$3:$J$2002&lt;&gt;"취소")*($L$3:$L$2002&lt;&gt;"")*($M$3:$M$2002&lt;&gt;"")*($L$3:$L$2002&lt;$M844)*($M$3:$M$2002&gt;$L844))&gt;1,"중복","-"))</f>
        <v/>
      </c>
    </row>
    <row r="845" customFormat="false" ht="15" hidden="false" customHeight="true" outlineLevel="0" collapsed="false">
      <c r="A845" s="11"/>
      <c r="B845" s="7"/>
      <c r="C845" s="12" t="str">
        <f aca="false">IF($B845="","",IFERROR(INDEX(자원목록!$B$3:$B$102,MATCH($B845,자원목록!$A$3:$A$102,0)),"미등록자원"))</f>
        <v/>
      </c>
      <c r="D845" s="7"/>
      <c r="E845" s="12" t="str">
        <f aca="false">IF($D845="","",IFERROR(INDEX(고객목록!$B$3:$B$502,MATCH($D845,고객목록!$A$3:$A$502,0)),""))</f>
        <v/>
      </c>
      <c r="F845" s="13"/>
      <c r="G845" s="13"/>
      <c r="H845" s="14" t="str">
        <f aca="false">IF(OR($L845="",$M845=""),"",ROUND(($M845-$L845)/60,2))</f>
        <v/>
      </c>
      <c r="I845" s="9"/>
      <c r="J845" s="7"/>
      <c r="K845" s="7"/>
      <c r="L845" s="15" t="str">
        <f aca="false">IF($F845="","",IF($F845&lt;1,ROUND($F845*1440,0),INT($F845/100)*60+MOD($F845,100)))</f>
        <v/>
      </c>
      <c r="M845" s="15" t="str">
        <f aca="false">IF($G845="","",IF($G845&lt;1,ROUND($G845*1440,0),INT($G845/100)*60+MOD($G845,100)))</f>
        <v/>
      </c>
      <c r="N845" s="15" t="str">
        <f aca="false">IF(OR($A845="",$B845="",$L845="",$M845="",$J845="취소"),"",IF(SUMPRODUCT(($A$3:$A$2002=$A845)*($B$3:$B$2002=$B845)*($J$3:$J$2002&lt;&gt;"취소")*($L$3:$L$2002&lt;&gt;"")*($M$3:$M$2002&lt;&gt;"")*($L$3:$L$2002&lt;$M845)*($M$3:$M$2002&gt;$L845))&gt;1,"중복","-"))</f>
        <v/>
      </c>
    </row>
    <row r="846" customFormat="false" ht="15" hidden="false" customHeight="true" outlineLevel="0" collapsed="false">
      <c r="A846" s="11"/>
      <c r="B846" s="7"/>
      <c r="C846" s="12" t="str">
        <f aca="false">IF($B846="","",IFERROR(INDEX(자원목록!$B$3:$B$102,MATCH($B846,자원목록!$A$3:$A$102,0)),"미등록자원"))</f>
        <v/>
      </c>
      <c r="D846" s="7"/>
      <c r="E846" s="12" t="str">
        <f aca="false">IF($D846="","",IFERROR(INDEX(고객목록!$B$3:$B$502,MATCH($D846,고객목록!$A$3:$A$502,0)),""))</f>
        <v/>
      </c>
      <c r="F846" s="13"/>
      <c r="G846" s="13"/>
      <c r="H846" s="14" t="str">
        <f aca="false">IF(OR($L846="",$M846=""),"",ROUND(($M846-$L846)/60,2))</f>
        <v/>
      </c>
      <c r="I846" s="9"/>
      <c r="J846" s="7"/>
      <c r="K846" s="7"/>
      <c r="L846" s="15" t="str">
        <f aca="false">IF($F846="","",IF($F846&lt;1,ROUND($F846*1440,0),INT($F846/100)*60+MOD($F846,100)))</f>
        <v/>
      </c>
      <c r="M846" s="15" t="str">
        <f aca="false">IF($G846="","",IF($G846&lt;1,ROUND($G846*1440,0),INT($G846/100)*60+MOD($G846,100)))</f>
        <v/>
      </c>
      <c r="N846" s="15" t="str">
        <f aca="false">IF(OR($A846="",$B846="",$L846="",$M846="",$J846="취소"),"",IF(SUMPRODUCT(($A$3:$A$2002=$A846)*($B$3:$B$2002=$B846)*($J$3:$J$2002&lt;&gt;"취소")*($L$3:$L$2002&lt;&gt;"")*($M$3:$M$2002&lt;&gt;"")*($L$3:$L$2002&lt;$M846)*($M$3:$M$2002&gt;$L846))&gt;1,"중복","-"))</f>
        <v/>
      </c>
    </row>
    <row r="847" customFormat="false" ht="15" hidden="false" customHeight="true" outlineLevel="0" collapsed="false">
      <c r="A847" s="11"/>
      <c r="B847" s="7"/>
      <c r="C847" s="12" t="str">
        <f aca="false">IF($B847="","",IFERROR(INDEX(자원목록!$B$3:$B$102,MATCH($B847,자원목록!$A$3:$A$102,0)),"미등록자원"))</f>
        <v/>
      </c>
      <c r="D847" s="7"/>
      <c r="E847" s="12" t="str">
        <f aca="false">IF($D847="","",IFERROR(INDEX(고객목록!$B$3:$B$502,MATCH($D847,고객목록!$A$3:$A$502,0)),""))</f>
        <v/>
      </c>
      <c r="F847" s="13"/>
      <c r="G847" s="13"/>
      <c r="H847" s="14" t="str">
        <f aca="false">IF(OR($L847="",$M847=""),"",ROUND(($M847-$L847)/60,2))</f>
        <v/>
      </c>
      <c r="I847" s="9"/>
      <c r="J847" s="7"/>
      <c r="K847" s="7"/>
      <c r="L847" s="15" t="str">
        <f aca="false">IF($F847="","",IF($F847&lt;1,ROUND($F847*1440,0),INT($F847/100)*60+MOD($F847,100)))</f>
        <v/>
      </c>
      <c r="M847" s="15" t="str">
        <f aca="false">IF($G847="","",IF($G847&lt;1,ROUND($G847*1440,0),INT($G847/100)*60+MOD($G847,100)))</f>
        <v/>
      </c>
      <c r="N847" s="15" t="str">
        <f aca="false">IF(OR($A847="",$B847="",$L847="",$M847="",$J847="취소"),"",IF(SUMPRODUCT(($A$3:$A$2002=$A847)*($B$3:$B$2002=$B847)*($J$3:$J$2002&lt;&gt;"취소")*($L$3:$L$2002&lt;&gt;"")*($M$3:$M$2002&lt;&gt;"")*($L$3:$L$2002&lt;$M847)*($M$3:$M$2002&gt;$L847))&gt;1,"중복","-"))</f>
        <v/>
      </c>
    </row>
    <row r="848" customFormat="false" ht="15" hidden="false" customHeight="true" outlineLevel="0" collapsed="false">
      <c r="A848" s="11"/>
      <c r="B848" s="7"/>
      <c r="C848" s="12" t="str">
        <f aca="false">IF($B848="","",IFERROR(INDEX(자원목록!$B$3:$B$102,MATCH($B848,자원목록!$A$3:$A$102,0)),"미등록자원"))</f>
        <v/>
      </c>
      <c r="D848" s="7"/>
      <c r="E848" s="12" t="str">
        <f aca="false">IF($D848="","",IFERROR(INDEX(고객목록!$B$3:$B$502,MATCH($D848,고객목록!$A$3:$A$502,0)),""))</f>
        <v/>
      </c>
      <c r="F848" s="13"/>
      <c r="G848" s="13"/>
      <c r="H848" s="14" t="str">
        <f aca="false">IF(OR($L848="",$M848=""),"",ROUND(($M848-$L848)/60,2))</f>
        <v/>
      </c>
      <c r="I848" s="9"/>
      <c r="J848" s="7"/>
      <c r="K848" s="7"/>
      <c r="L848" s="15" t="str">
        <f aca="false">IF($F848="","",IF($F848&lt;1,ROUND($F848*1440,0),INT($F848/100)*60+MOD($F848,100)))</f>
        <v/>
      </c>
      <c r="M848" s="15" t="str">
        <f aca="false">IF($G848="","",IF($G848&lt;1,ROUND($G848*1440,0),INT($G848/100)*60+MOD($G848,100)))</f>
        <v/>
      </c>
      <c r="N848" s="15" t="str">
        <f aca="false">IF(OR($A848="",$B848="",$L848="",$M848="",$J848="취소"),"",IF(SUMPRODUCT(($A$3:$A$2002=$A848)*($B$3:$B$2002=$B848)*($J$3:$J$2002&lt;&gt;"취소")*($L$3:$L$2002&lt;&gt;"")*($M$3:$M$2002&lt;&gt;"")*($L$3:$L$2002&lt;$M848)*($M$3:$M$2002&gt;$L848))&gt;1,"중복","-"))</f>
        <v/>
      </c>
    </row>
    <row r="849" customFormat="false" ht="15" hidden="false" customHeight="true" outlineLevel="0" collapsed="false">
      <c r="A849" s="11"/>
      <c r="B849" s="7"/>
      <c r="C849" s="12" t="str">
        <f aca="false">IF($B849="","",IFERROR(INDEX(자원목록!$B$3:$B$102,MATCH($B849,자원목록!$A$3:$A$102,0)),"미등록자원"))</f>
        <v/>
      </c>
      <c r="D849" s="7"/>
      <c r="E849" s="12" t="str">
        <f aca="false">IF($D849="","",IFERROR(INDEX(고객목록!$B$3:$B$502,MATCH($D849,고객목록!$A$3:$A$502,0)),""))</f>
        <v/>
      </c>
      <c r="F849" s="13"/>
      <c r="G849" s="13"/>
      <c r="H849" s="14" t="str">
        <f aca="false">IF(OR($L849="",$M849=""),"",ROUND(($M849-$L849)/60,2))</f>
        <v/>
      </c>
      <c r="I849" s="9"/>
      <c r="J849" s="7"/>
      <c r="K849" s="7"/>
      <c r="L849" s="15" t="str">
        <f aca="false">IF($F849="","",IF($F849&lt;1,ROUND($F849*1440,0),INT($F849/100)*60+MOD($F849,100)))</f>
        <v/>
      </c>
      <c r="M849" s="15" t="str">
        <f aca="false">IF($G849="","",IF($G849&lt;1,ROUND($G849*1440,0),INT($G849/100)*60+MOD($G849,100)))</f>
        <v/>
      </c>
      <c r="N849" s="15" t="str">
        <f aca="false">IF(OR($A849="",$B849="",$L849="",$M849="",$J849="취소"),"",IF(SUMPRODUCT(($A$3:$A$2002=$A849)*($B$3:$B$2002=$B849)*($J$3:$J$2002&lt;&gt;"취소")*($L$3:$L$2002&lt;&gt;"")*($M$3:$M$2002&lt;&gt;"")*($L$3:$L$2002&lt;$M849)*($M$3:$M$2002&gt;$L849))&gt;1,"중복","-"))</f>
        <v/>
      </c>
    </row>
    <row r="850" customFormat="false" ht="15" hidden="false" customHeight="true" outlineLevel="0" collapsed="false">
      <c r="A850" s="11"/>
      <c r="B850" s="7"/>
      <c r="C850" s="12" t="str">
        <f aca="false">IF($B850="","",IFERROR(INDEX(자원목록!$B$3:$B$102,MATCH($B850,자원목록!$A$3:$A$102,0)),"미등록자원"))</f>
        <v/>
      </c>
      <c r="D850" s="7"/>
      <c r="E850" s="12" t="str">
        <f aca="false">IF($D850="","",IFERROR(INDEX(고객목록!$B$3:$B$502,MATCH($D850,고객목록!$A$3:$A$502,0)),""))</f>
        <v/>
      </c>
      <c r="F850" s="13"/>
      <c r="G850" s="13"/>
      <c r="H850" s="14" t="str">
        <f aca="false">IF(OR($L850="",$M850=""),"",ROUND(($M850-$L850)/60,2))</f>
        <v/>
      </c>
      <c r="I850" s="9"/>
      <c r="J850" s="7"/>
      <c r="K850" s="7"/>
      <c r="L850" s="15" t="str">
        <f aca="false">IF($F850="","",IF($F850&lt;1,ROUND($F850*1440,0),INT($F850/100)*60+MOD($F850,100)))</f>
        <v/>
      </c>
      <c r="M850" s="15" t="str">
        <f aca="false">IF($G850="","",IF($G850&lt;1,ROUND($G850*1440,0),INT($G850/100)*60+MOD($G850,100)))</f>
        <v/>
      </c>
      <c r="N850" s="15" t="str">
        <f aca="false">IF(OR($A850="",$B850="",$L850="",$M850="",$J850="취소"),"",IF(SUMPRODUCT(($A$3:$A$2002=$A850)*($B$3:$B$2002=$B850)*($J$3:$J$2002&lt;&gt;"취소")*($L$3:$L$2002&lt;&gt;"")*($M$3:$M$2002&lt;&gt;"")*($L$3:$L$2002&lt;$M850)*($M$3:$M$2002&gt;$L850))&gt;1,"중복","-"))</f>
        <v/>
      </c>
    </row>
    <row r="851" customFormat="false" ht="15" hidden="false" customHeight="true" outlineLevel="0" collapsed="false">
      <c r="A851" s="11"/>
      <c r="B851" s="7"/>
      <c r="C851" s="12" t="str">
        <f aca="false">IF($B851="","",IFERROR(INDEX(자원목록!$B$3:$B$102,MATCH($B851,자원목록!$A$3:$A$102,0)),"미등록자원"))</f>
        <v/>
      </c>
      <c r="D851" s="7"/>
      <c r="E851" s="12" t="str">
        <f aca="false">IF($D851="","",IFERROR(INDEX(고객목록!$B$3:$B$502,MATCH($D851,고객목록!$A$3:$A$502,0)),""))</f>
        <v/>
      </c>
      <c r="F851" s="13"/>
      <c r="G851" s="13"/>
      <c r="H851" s="14" t="str">
        <f aca="false">IF(OR($L851="",$M851=""),"",ROUND(($M851-$L851)/60,2))</f>
        <v/>
      </c>
      <c r="I851" s="9"/>
      <c r="J851" s="7"/>
      <c r="K851" s="7"/>
      <c r="L851" s="15" t="str">
        <f aca="false">IF($F851="","",IF($F851&lt;1,ROUND($F851*1440,0),INT($F851/100)*60+MOD($F851,100)))</f>
        <v/>
      </c>
      <c r="M851" s="15" t="str">
        <f aca="false">IF($G851="","",IF($G851&lt;1,ROUND($G851*1440,0),INT($G851/100)*60+MOD($G851,100)))</f>
        <v/>
      </c>
      <c r="N851" s="15" t="str">
        <f aca="false">IF(OR($A851="",$B851="",$L851="",$M851="",$J851="취소"),"",IF(SUMPRODUCT(($A$3:$A$2002=$A851)*($B$3:$B$2002=$B851)*($J$3:$J$2002&lt;&gt;"취소")*($L$3:$L$2002&lt;&gt;"")*($M$3:$M$2002&lt;&gt;"")*($L$3:$L$2002&lt;$M851)*($M$3:$M$2002&gt;$L851))&gt;1,"중복","-"))</f>
        <v/>
      </c>
    </row>
    <row r="852" customFormat="false" ht="15" hidden="false" customHeight="true" outlineLevel="0" collapsed="false">
      <c r="A852" s="11"/>
      <c r="B852" s="7"/>
      <c r="C852" s="12" t="str">
        <f aca="false">IF($B852="","",IFERROR(INDEX(자원목록!$B$3:$B$102,MATCH($B852,자원목록!$A$3:$A$102,0)),"미등록자원"))</f>
        <v/>
      </c>
      <c r="D852" s="7"/>
      <c r="E852" s="12" t="str">
        <f aca="false">IF($D852="","",IFERROR(INDEX(고객목록!$B$3:$B$502,MATCH($D852,고객목록!$A$3:$A$502,0)),""))</f>
        <v/>
      </c>
      <c r="F852" s="13"/>
      <c r="G852" s="13"/>
      <c r="H852" s="14" t="str">
        <f aca="false">IF(OR($L852="",$M852=""),"",ROUND(($M852-$L852)/60,2))</f>
        <v/>
      </c>
      <c r="I852" s="9"/>
      <c r="J852" s="7"/>
      <c r="K852" s="7"/>
      <c r="L852" s="15" t="str">
        <f aca="false">IF($F852="","",IF($F852&lt;1,ROUND($F852*1440,0),INT($F852/100)*60+MOD($F852,100)))</f>
        <v/>
      </c>
      <c r="M852" s="15" t="str">
        <f aca="false">IF($G852="","",IF($G852&lt;1,ROUND($G852*1440,0),INT($G852/100)*60+MOD($G852,100)))</f>
        <v/>
      </c>
      <c r="N852" s="15" t="str">
        <f aca="false">IF(OR($A852="",$B852="",$L852="",$M852="",$J852="취소"),"",IF(SUMPRODUCT(($A$3:$A$2002=$A852)*($B$3:$B$2002=$B852)*($J$3:$J$2002&lt;&gt;"취소")*($L$3:$L$2002&lt;&gt;"")*($M$3:$M$2002&lt;&gt;"")*($L$3:$L$2002&lt;$M852)*($M$3:$M$2002&gt;$L852))&gt;1,"중복","-"))</f>
        <v/>
      </c>
    </row>
    <row r="853" customFormat="false" ht="15" hidden="false" customHeight="true" outlineLevel="0" collapsed="false">
      <c r="A853" s="11"/>
      <c r="B853" s="7"/>
      <c r="C853" s="12" t="str">
        <f aca="false">IF($B853="","",IFERROR(INDEX(자원목록!$B$3:$B$102,MATCH($B853,자원목록!$A$3:$A$102,0)),"미등록자원"))</f>
        <v/>
      </c>
      <c r="D853" s="7"/>
      <c r="E853" s="12" t="str">
        <f aca="false">IF($D853="","",IFERROR(INDEX(고객목록!$B$3:$B$502,MATCH($D853,고객목록!$A$3:$A$502,0)),""))</f>
        <v/>
      </c>
      <c r="F853" s="13"/>
      <c r="G853" s="13"/>
      <c r="H853" s="14" t="str">
        <f aca="false">IF(OR($L853="",$M853=""),"",ROUND(($M853-$L853)/60,2))</f>
        <v/>
      </c>
      <c r="I853" s="9"/>
      <c r="J853" s="7"/>
      <c r="K853" s="7"/>
      <c r="L853" s="15" t="str">
        <f aca="false">IF($F853="","",IF($F853&lt;1,ROUND($F853*1440,0),INT($F853/100)*60+MOD($F853,100)))</f>
        <v/>
      </c>
      <c r="M853" s="15" t="str">
        <f aca="false">IF($G853="","",IF($G853&lt;1,ROUND($G853*1440,0),INT($G853/100)*60+MOD($G853,100)))</f>
        <v/>
      </c>
      <c r="N853" s="15" t="str">
        <f aca="false">IF(OR($A853="",$B853="",$L853="",$M853="",$J853="취소"),"",IF(SUMPRODUCT(($A$3:$A$2002=$A853)*($B$3:$B$2002=$B853)*($J$3:$J$2002&lt;&gt;"취소")*($L$3:$L$2002&lt;&gt;"")*($M$3:$M$2002&lt;&gt;"")*($L$3:$L$2002&lt;$M853)*($M$3:$M$2002&gt;$L853))&gt;1,"중복","-"))</f>
        <v/>
      </c>
    </row>
    <row r="854" customFormat="false" ht="15" hidden="false" customHeight="true" outlineLevel="0" collapsed="false">
      <c r="A854" s="11"/>
      <c r="B854" s="7"/>
      <c r="C854" s="12" t="str">
        <f aca="false">IF($B854="","",IFERROR(INDEX(자원목록!$B$3:$B$102,MATCH($B854,자원목록!$A$3:$A$102,0)),"미등록자원"))</f>
        <v/>
      </c>
      <c r="D854" s="7"/>
      <c r="E854" s="12" t="str">
        <f aca="false">IF($D854="","",IFERROR(INDEX(고객목록!$B$3:$B$502,MATCH($D854,고객목록!$A$3:$A$502,0)),""))</f>
        <v/>
      </c>
      <c r="F854" s="13"/>
      <c r="G854" s="13"/>
      <c r="H854" s="14" t="str">
        <f aca="false">IF(OR($L854="",$M854=""),"",ROUND(($M854-$L854)/60,2))</f>
        <v/>
      </c>
      <c r="I854" s="9"/>
      <c r="J854" s="7"/>
      <c r="K854" s="7"/>
      <c r="L854" s="15" t="str">
        <f aca="false">IF($F854="","",IF($F854&lt;1,ROUND($F854*1440,0),INT($F854/100)*60+MOD($F854,100)))</f>
        <v/>
      </c>
      <c r="M854" s="15" t="str">
        <f aca="false">IF($G854="","",IF($G854&lt;1,ROUND($G854*1440,0),INT($G854/100)*60+MOD($G854,100)))</f>
        <v/>
      </c>
      <c r="N854" s="15" t="str">
        <f aca="false">IF(OR($A854="",$B854="",$L854="",$M854="",$J854="취소"),"",IF(SUMPRODUCT(($A$3:$A$2002=$A854)*($B$3:$B$2002=$B854)*($J$3:$J$2002&lt;&gt;"취소")*($L$3:$L$2002&lt;&gt;"")*($M$3:$M$2002&lt;&gt;"")*($L$3:$L$2002&lt;$M854)*($M$3:$M$2002&gt;$L854))&gt;1,"중복","-"))</f>
        <v/>
      </c>
    </row>
    <row r="855" customFormat="false" ht="15" hidden="false" customHeight="true" outlineLevel="0" collapsed="false">
      <c r="A855" s="11"/>
      <c r="B855" s="7"/>
      <c r="C855" s="12" t="str">
        <f aca="false">IF($B855="","",IFERROR(INDEX(자원목록!$B$3:$B$102,MATCH($B855,자원목록!$A$3:$A$102,0)),"미등록자원"))</f>
        <v/>
      </c>
      <c r="D855" s="7"/>
      <c r="E855" s="12" t="str">
        <f aca="false">IF($D855="","",IFERROR(INDEX(고객목록!$B$3:$B$502,MATCH($D855,고객목록!$A$3:$A$502,0)),""))</f>
        <v/>
      </c>
      <c r="F855" s="13"/>
      <c r="G855" s="13"/>
      <c r="H855" s="14" t="str">
        <f aca="false">IF(OR($L855="",$M855=""),"",ROUND(($M855-$L855)/60,2))</f>
        <v/>
      </c>
      <c r="I855" s="9"/>
      <c r="J855" s="7"/>
      <c r="K855" s="7"/>
      <c r="L855" s="15" t="str">
        <f aca="false">IF($F855="","",IF($F855&lt;1,ROUND($F855*1440,0),INT($F855/100)*60+MOD($F855,100)))</f>
        <v/>
      </c>
      <c r="M855" s="15" t="str">
        <f aca="false">IF($G855="","",IF($G855&lt;1,ROUND($G855*1440,0),INT($G855/100)*60+MOD($G855,100)))</f>
        <v/>
      </c>
      <c r="N855" s="15" t="str">
        <f aca="false">IF(OR($A855="",$B855="",$L855="",$M855="",$J855="취소"),"",IF(SUMPRODUCT(($A$3:$A$2002=$A855)*($B$3:$B$2002=$B855)*($J$3:$J$2002&lt;&gt;"취소")*($L$3:$L$2002&lt;&gt;"")*($M$3:$M$2002&lt;&gt;"")*($L$3:$L$2002&lt;$M855)*($M$3:$M$2002&gt;$L855))&gt;1,"중복","-"))</f>
        <v/>
      </c>
    </row>
    <row r="856" customFormat="false" ht="15" hidden="false" customHeight="true" outlineLevel="0" collapsed="false">
      <c r="A856" s="11"/>
      <c r="B856" s="7"/>
      <c r="C856" s="12" t="str">
        <f aca="false">IF($B856="","",IFERROR(INDEX(자원목록!$B$3:$B$102,MATCH($B856,자원목록!$A$3:$A$102,0)),"미등록자원"))</f>
        <v/>
      </c>
      <c r="D856" s="7"/>
      <c r="E856" s="12" t="str">
        <f aca="false">IF($D856="","",IFERROR(INDEX(고객목록!$B$3:$B$502,MATCH($D856,고객목록!$A$3:$A$502,0)),""))</f>
        <v/>
      </c>
      <c r="F856" s="13"/>
      <c r="G856" s="13"/>
      <c r="H856" s="14" t="str">
        <f aca="false">IF(OR($L856="",$M856=""),"",ROUND(($M856-$L856)/60,2))</f>
        <v/>
      </c>
      <c r="I856" s="9"/>
      <c r="J856" s="7"/>
      <c r="K856" s="7"/>
      <c r="L856" s="15" t="str">
        <f aca="false">IF($F856="","",IF($F856&lt;1,ROUND($F856*1440,0),INT($F856/100)*60+MOD($F856,100)))</f>
        <v/>
      </c>
      <c r="M856" s="15" t="str">
        <f aca="false">IF($G856="","",IF($G856&lt;1,ROUND($G856*1440,0),INT($G856/100)*60+MOD($G856,100)))</f>
        <v/>
      </c>
      <c r="N856" s="15" t="str">
        <f aca="false">IF(OR($A856="",$B856="",$L856="",$M856="",$J856="취소"),"",IF(SUMPRODUCT(($A$3:$A$2002=$A856)*($B$3:$B$2002=$B856)*($J$3:$J$2002&lt;&gt;"취소")*($L$3:$L$2002&lt;&gt;"")*($M$3:$M$2002&lt;&gt;"")*($L$3:$L$2002&lt;$M856)*($M$3:$M$2002&gt;$L856))&gt;1,"중복","-"))</f>
        <v/>
      </c>
    </row>
    <row r="857" customFormat="false" ht="15" hidden="false" customHeight="true" outlineLevel="0" collapsed="false">
      <c r="A857" s="11"/>
      <c r="B857" s="7"/>
      <c r="C857" s="12" t="str">
        <f aca="false">IF($B857="","",IFERROR(INDEX(자원목록!$B$3:$B$102,MATCH($B857,자원목록!$A$3:$A$102,0)),"미등록자원"))</f>
        <v/>
      </c>
      <c r="D857" s="7"/>
      <c r="E857" s="12" t="str">
        <f aca="false">IF($D857="","",IFERROR(INDEX(고객목록!$B$3:$B$502,MATCH($D857,고객목록!$A$3:$A$502,0)),""))</f>
        <v/>
      </c>
      <c r="F857" s="13"/>
      <c r="G857" s="13"/>
      <c r="H857" s="14" t="str">
        <f aca="false">IF(OR($L857="",$M857=""),"",ROUND(($M857-$L857)/60,2))</f>
        <v/>
      </c>
      <c r="I857" s="9"/>
      <c r="J857" s="7"/>
      <c r="K857" s="7"/>
      <c r="L857" s="15" t="str">
        <f aca="false">IF($F857="","",IF($F857&lt;1,ROUND($F857*1440,0),INT($F857/100)*60+MOD($F857,100)))</f>
        <v/>
      </c>
      <c r="M857" s="15" t="str">
        <f aca="false">IF($G857="","",IF($G857&lt;1,ROUND($G857*1440,0),INT($G857/100)*60+MOD($G857,100)))</f>
        <v/>
      </c>
      <c r="N857" s="15" t="str">
        <f aca="false">IF(OR($A857="",$B857="",$L857="",$M857="",$J857="취소"),"",IF(SUMPRODUCT(($A$3:$A$2002=$A857)*($B$3:$B$2002=$B857)*($J$3:$J$2002&lt;&gt;"취소")*($L$3:$L$2002&lt;&gt;"")*($M$3:$M$2002&lt;&gt;"")*($L$3:$L$2002&lt;$M857)*($M$3:$M$2002&gt;$L857))&gt;1,"중복","-"))</f>
        <v/>
      </c>
    </row>
    <row r="858" customFormat="false" ht="15" hidden="false" customHeight="true" outlineLevel="0" collapsed="false">
      <c r="A858" s="11"/>
      <c r="B858" s="7"/>
      <c r="C858" s="12" t="str">
        <f aca="false">IF($B858="","",IFERROR(INDEX(자원목록!$B$3:$B$102,MATCH($B858,자원목록!$A$3:$A$102,0)),"미등록자원"))</f>
        <v/>
      </c>
      <c r="D858" s="7"/>
      <c r="E858" s="12" t="str">
        <f aca="false">IF($D858="","",IFERROR(INDEX(고객목록!$B$3:$B$502,MATCH($D858,고객목록!$A$3:$A$502,0)),""))</f>
        <v/>
      </c>
      <c r="F858" s="13"/>
      <c r="G858" s="13"/>
      <c r="H858" s="14" t="str">
        <f aca="false">IF(OR($L858="",$M858=""),"",ROUND(($M858-$L858)/60,2))</f>
        <v/>
      </c>
      <c r="I858" s="9"/>
      <c r="J858" s="7"/>
      <c r="K858" s="7"/>
      <c r="L858" s="15" t="str">
        <f aca="false">IF($F858="","",IF($F858&lt;1,ROUND($F858*1440,0),INT($F858/100)*60+MOD($F858,100)))</f>
        <v/>
      </c>
      <c r="M858" s="15" t="str">
        <f aca="false">IF($G858="","",IF($G858&lt;1,ROUND($G858*1440,0),INT($G858/100)*60+MOD($G858,100)))</f>
        <v/>
      </c>
      <c r="N858" s="15" t="str">
        <f aca="false">IF(OR($A858="",$B858="",$L858="",$M858="",$J858="취소"),"",IF(SUMPRODUCT(($A$3:$A$2002=$A858)*($B$3:$B$2002=$B858)*($J$3:$J$2002&lt;&gt;"취소")*($L$3:$L$2002&lt;&gt;"")*($M$3:$M$2002&lt;&gt;"")*($L$3:$L$2002&lt;$M858)*($M$3:$M$2002&gt;$L858))&gt;1,"중복","-"))</f>
        <v/>
      </c>
    </row>
    <row r="859" customFormat="false" ht="15" hidden="false" customHeight="true" outlineLevel="0" collapsed="false">
      <c r="A859" s="11"/>
      <c r="B859" s="7"/>
      <c r="C859" s="12" t="str">
        <f aca="false">IF($B859="","",IFERROR(INDEX(자원목록!$B$3:$B$102,MATCH($B859,자원목록!$A$3:$A$102,0)),"미등록자원"))</f>
        <v/>
      </c>
      <c r="D859" s="7"/>
      <c r="E859" s="12" t="str">
        <f aca="false">IF($D859="","",IFERROR(INDEX(고객목록!$B$3:$B$502,MATCH($D859,고객목록!$A$3:$A$502,0)),""))</f>
        <v/>
      </c>
      <c r="F859" s="13"/>
      <c r="G859" s="13"/>
      <c r="H859" s="14" t="str">
        <f aca="false">IF(OR($L859="",$M859=""),"",ROUND(($M859-$L859)/60,2))</f>
        <v/>
      </c>
      <c r="I859" s="9"/>
      <c r="J859" s="7"/>
      <c r="K859" s="7"/>
      <c r="L859" s="15" t="str">
        <f aca="false">IF($F859="","",IF($F859&lt;1,ROUND($F859*1440,0),INT($F859/100)*60+MOD($F859,100)))</f>
        <v/>
      </c>
      <c r="M859" s="15" t="str">
        <f aca="false">IF($G859="","",IF($G859&lt;1,ROUND($G859*1440,0),INT($G859/100)*60+MOD($G859,100)))</f>
        <v/>
      </c>
      <c r="N859" s="15" t="str">
        <f aca="false">IF(OR($A859="",$B859="",$L859="",$M859="",$J859="취소"),"",IF(SUMPRODUCT(($A$3:$A$2002=$A859)*($B$3:$B$2002=$B859)*($J$3:$J$2002&lt;&gt;"취소")*($L$3:$L$2002&lt;&gt;"")*($M$3:$M$2002&lt;&gt;"")*($L$3:$L$2002&lt;$M859)*($M$3:$M$2002&gt;$L859))&gt;1,"중복","-"))</f>
        <v/>
      </c>
    </row>
    <row r="860" customFormat="false" ht="15" hidden="false" customHeight="true" outlineLevel="0" collapsed="false">
      <c r="A860" s="11"/>
      <c r="B860" s="7"/>
      <c r="C860" s="12" t="str">
        <f aca="false">IF($B860="","",IFERROR(INDEX(자원목록!$B$3:$B$102,MATCH($B860,자원목록!$A$3:$A$102,0)),"미등록자원"))</f>
        <v/>
      </c>
      <c r="D860" s="7"/>
      <c r="E860" s="12" t="str">
        <f aca="false">IF($D860="","",IFERROR(INDEX(고객목록!$B$3:$B$502,MATCH($D860,고객목록!$A$3:$A$502,0)),""))</f>
        <v/>
      </c>
      <c r="F860" s="13"/>
      <c r="G860" s="13"/>
      <c r="H860" s="14" t="str">
        <f aca="false">IF(OR($L860="",$M860=""),"",ROUND(($M860-$L860)/60,2))</f>
        <v/>
      </c>
      <c r="I860" s="9"/>
      <c r="J860" s="7"/>
      <c r="K860" s="7"/>
      <c r="L860" s="15" t="str">
        <f aca="false">IF($F860="","",IF($F860&lt;1,ROUND($F860*1440,0),INT($F860/100)*60+MOD($F860,100)))</f>
        <v/>
      </c>
      <c r="M860" s="15" t="str">
        <f aca="false">IF($G860="","",IF($G860&lt;1,ROUND($G860*1440,0),INT($G860/100)*60+MOD($G860,100)))</f>
        <v/>
      </c>
      <c r="N860" s="15" t="str">
        <f aca="false">IF(OR($A860="",$B860="",$L860="",$M860="",$J860="취소"),"",IF(SUMPRODUCT(($A$3:$A$2002=$A860)*($B$3:$B$2002=$B860)*($J$3:$J$2002&lt;&gt;"취소")*($L$3:$L$2002&lt;&gt;"")*($M$3:$M$2002&lt;&gt;"")*($L$3:$L$2002&lt;$M860)*($M$3:$M$2002&gt;$L860))&gt;1,"중복","-"))</f>
        <v/>
      </c>
    </row>
    <row r="861" customFormat="false" ht="15" hidden="false" customHeight="true" outlineLevel="0" collapsed="false">
      <c r="A861" s="11"/>
      <c r="B861" s="7"/>
      <c r="C861" s="12" t="str">
        <f aca="false">IF($B861="","",IFERROR(INDEX(자원목록!$B$3:$B$102,MATCH($B861,자원목록!$A$3:$A$102,0)),"미등록자원"))</f>
        <v/>
      </c>
      <c r="D861" s="7"/>
      <c r="E861" s="12" t="str">
        <f aca="false">IF($D861="","",IFERROR(INDEX(고객목록!$B$3:$B$502,MATCH($D861,고객목록!$A$3:$A$502,0)),""))</f>
        <v/>
      </c>
      <c r="F861" s="13"/>
      <c r="G861" s="13"/>
      <c r="H861" s="14" t="str">
        <f aca="false">IF(OR($L861="",$M861=""),"",ROUND(($M861-$L861)/60,2))</f>
        <v/>
      </c>
      <c r="I861" s="9"/>
      <c r="J861" s="7"/>
      <c r="K861" s="7"/>
      <c r="L861" s="15" t="str">
        <f aca="false">IF($F861="","",IF($F861&lt;1,ROUND($F861*1440,0),INT($F861/100)*60+MOD($F861,100)))</f>
        <v/>
      </c>
      <c r="M861" s="15" t="str">
        <f aca="false">IF($G861="","",IF($G861&lt;1,ROUND($G861*1440,0),INT($G861/100)*60+MOD($G861,100)))</f>
        <v/>
      </c>
      <c r="N861" s="15" t="str">
        <f aca="false">IF(OR($A861="",$B861="",$L861="",$M861="",$J861="취소"),"",IF(SUMPRODUCT(($A$3:$A$2002=$A861)*($B$3:$B$2002=$B861)*($J$3:$J$2002&lt;&gt;"취소")*($L$3:$L$2002&lt;&gt;"")*($M$3:$M$2002&lt;&gt;"")*($L$3:$L$2002&lt;$M861)*($M$3:$M$2002&gt;$L861))&gt;1,"중복","-"))</f>
        <v/>
      </c>
    </row>
    <row r="862" customFormat="false" ht="15" hidden="false" customHeight="true" outlineLevel="0" collapsed="false">
      <c r="A862" s="11"/>
      <c r="B862" s="7"/>
      <c r="C862" s="12" t="str">
        <f aca="false">IF($B862="","",IFERROR(INDEX(자원목록!$B$3:$B$102,MATCH($B862,자원목록!$A$3:$A$102,0)),"미등록자원"))</f>
        <v/>
      </c>
      <c r="D862" s="7"/>
      <c r="E862" s="12" t="str">
        <f aca="false">IF($D862="","",IFERROR(INDEX(고객목록!$B$3:$B$502,MATCH($D862,고객목록!$A$3:$A$502,0)),""))</f>
        <v/>
      </c>
      <c r="F862" s="13"/>
      <c r="G862" s="13"/>
      <c r="H862" s="14" t="str">
        <f aca="false">IF(OR($L862="",$M862=""),"",ROUND(($M862-$L862)/60,2))</f>
        <v/>
      </c>
      <c r="I862" s="9"/>
      <c r="J862" s="7"/>
      <c r="K862" s="7"/>
      <c r="L862" s="15" t="str">
        <f aca="false">IF($F862="","",IF($F862&lt;1,ROUND($F862*1440,0),INT($F862/100)*60+MOD($F862,100)))</f>
        <v/>
      </c>
      <c r="M862" s="15" t="str">
        <f aca="false">IF($G862="","",IF($G862&lt;1,ROUND($G862*1440,0),INT($G862/100)*60+MOD($G862,100)))</f>
        <v/>
      </c>
      <c r="N862" s="15" t="str">
        <f aca="false">IF(OR($A862="",$B862="",$L862="",$M862="",$J862="취소"),"",IF(SUMPRODUCT(($A$3:$A$2002=$A862)*($B$3:$B$2002=$B862)*($J$3:$J$2002&lt;&gt;"취소")*($L$3:$L$2002&lt;&gt;"")*($M$3:$M$2002&lt;&gt;"")*($L$3:$L$2002&lt;$M862)*($M$3:$M$2002&gt;$L862))&gt;1,"중복","-"))</f>
        <v/>
      </c>
    </row>
    <row r="863" customFormat="false" ht="15" hidden="false" customHeight="true" outlineLevel="0" collapsed="false">
      <c r="A863" s="11"/>
      <c r="B863" s="7"/>
      <c r="C863" s="12" t="str">
        <f aca="false">IF($B863="","",IFERROR(INDEX(자원목록!$B$3:$B$102,MATCH($B863,자원목록!$A$3:$A$102,0)),"미등록자원"))</f>
        <v/>
      </c>
      <c r="D863" s="7"/>
      <c r="E863" s="12" t="str">
        <f aca="false">IF($D863="","",IFERROR(INDEX(고객목록!$B$3:$B$502,MATCH($D863,고객목록!$A$3:$A$502,0)),""))</f>
        <v/>
      </c>
      <c r="F863" s="13"/>
      <c r="G863" s="13"/>
      <c r="H863" s="14" t="str">
        <f aca="false">IF(OR($L863="",$M863=""),"",ROUND(($M863-$L863)/60,2))</f>
        <v/>
      </c>
      <c r="I863" s="9"/>
      <c r="J863" s="7"/>
      <c r="K863" s="7"/>
      <c r="L863" s="15" t="str">
        <f aca="false">IF($F863="","",IF($F863&lt;1,ROUND($F863*1440,0),INT($F863/100)*60+MOD($F863,100)))</f>
        <v/>
      </c>
      <c r="M863" s="15" t="str">
        <f aca="false">IF($G863="","",IF($G863&lt;1,ROUND($G863*1440,0),INT($G863/100)*60+MOD($G863,100)))</f>
        <v/>
      </c>
      <c r="N863" s="15" t="str">
        <f aca="false">IF(OR($A863="",$B863="",$L863="",$M863="",$J863="취소"),"",IF(SUMPRODUCT(($A$3:$A$2002=$A863)*($B$3:$B$2002=$B863)*($J$3:$J$2002&lt;&gt;"취소")*($L$3:$L$2002&lt;&gt;"")*($M$3:$M$2002&lt;&gt;"")*($L$3:$L$2002&lt;$M863)*($M$3:$M$2002&gt;$L863))&gt;1,"중복","-"))</f>
        <v/>
      </c>
    </row>
    <row r="864" customFormat="false" ht="15" hidden="false" customHeight="true" outlineLevel="0" collapsed="false">
      <c r="A864" s="11"/>
      <c r="B864" s="7"/>
      <c r="C864" s="12" t="str">
        <f aca="false">IF($B864="","",IFERROR(INDEX(자원목록!$B$3:$B$102,MATCH($B864,자원목록!$A$3:$A$102,0)),"미등록자원"))</f>
        <v/>
      </c>
      <c r="D864" s="7"/>
      <c r="E864" s="12" t="str">
        <f aca="false">IF($D864="","",IFERROR(INDEX(고객목록!$B$3:$B$502,MATCH($D864,고객목록!$A$3:$A$502,0)),""))</f>
        <v/>
      </c>
      <c r="F864" s="13"/>
      <c r="G864" s="13"/>
      <c r="H864" s="14" t="str">
        <f aca="false">IF(OR($L864="",$M864=""),"",ROUND(($M864-$L864)/60,2))</f>
        <v/>
      </c>
      <c r="I864" s="9"/>
      <c r="J864" s="7"/>
      <c r="K864" s="7"/>
      <c r="L864" s="15" t="str">
        <f aca="false">IF($F864="","",IF($F864&lt;1,ROUND($F864*1440,0),INT($F864/100)*60+MOD($F864,100)))</f>
        <v/>
      </c>
      <c r="M864" s="15" t="str">
        <f aca="false">IF($G864="","",IF($G864&lt;1,ROUND($G864*1440,0),INT($G864/100)*60+MOD($G864,100)))</f>
        <v/>
      </c>
      <c r="N864" s="15" t="str">
        <f aca="false">IF(OR($A864="",$B864="",$L864="",$M864="",$J864="취소"),"",IF(SUMPRODUCT(($A$3:$A$2002=$A864)*($B$3:$B$2002=$B864)*($J$3:$J$2002&lt;&gt;"취소")*($L$3:$L$2002&lt;&gt;"")*($M$3:$M$2002&lt;&gt;"")*($L$3:$L$2002&lt;$M864)*($M$3:$M$2002&gt;$L864))&gt;1,"중복","-"))</f>
        <v/>
      </c>
    </row>
    <row r="865" customFormat="false" ht="15" hidden="false" customHeight="true" outlineLevel="0" collapsed="false">
      <c r="A865" s="11"/>
      <c r="B865" s="7"/>
      <c r="C865" s="12" t="str">
        <f aca="false">IF($B865="","",IFERROR(INDEX(자원목록!$B$3:$B$102,MATCH($B865,자원목록!$A$3:$A$102,0)),"미등록자원"))</f>
        <v/>
      </c>
      <c r="D865" s="7"/>
      <c r="E865" s="12" t="str">
        <f aca="false">IF($D865="","",IFERROR(INDEX(고객목록!$B$3:$B$502,MATCH($D865,고객목록!$A$3:$A$502,0)),""))</f>
        <v/>
      </c>
      <c r="F865" s="13"/>
      <c r="G865" s="13"/>
      <c r="H865" s="14" t="str">
        <f aca="false">IF(OR($L865="",$M865=""),"",ROUND(($M865-$L865)/60,2))</f>
        <v/>
      </c>
      <c r="I865" s="9"/>
      <c r="J865" s="7"/>
      <c r="K865" s="7"/>
      <c r="L865" s="15" t="str">
        <f aca="false">IF($F865="","",IF($F865&lt;1,ROUND($F865*1440,0),INT($F865/100)*60+MOD($F865,100)))</f>
        <v/>
      </c>
      <c r="M865" s="15" t="str">
        <f aca="false">IF($G865="","",IF($G865&lt;1,ROUND($G865*1440,0),INT($G865/100)*60+MOD($G865,100)))</f>
        <v/>
      </c>
      <c r="N865" s="15" t="str">
        <f aca="false">IF(OR($A865="",$B865="",$L865="",$M865="",$J865="취소"),"",IF(SUMPRODUCT(($A$3:$A$2002=$A865)*($B$3:$B$2002=$B865)*($J$3:$J$2002&lt;&gt;"취소")*($L$3:$L$2002&lt;&gt;"")*($M$3:$M$2002&lt;&gt;"")*($L$3:$L$2002&lt;$M865)*($M$3:$M$2002&gt;$L865))&gt;1,"중복","-"))</f>
        <v/>
      </c>
    </row>
    <row r="866" customFormat="false" ht="15" hidden="false" customHeight="true" outlineLevel="0" collapsed="false">
      <c r="A866" s="11"/>
      <c r="B866" s="7"/>
      <c r="C866" s="12" t="str">
        <f aca="false">IF($B866="","",IFERROR(INDEX(자원목록!$B$3:$B$102,MATCH($B866,자원목록!$A$3:$A$102,0)),"미등록자원"))</f>
        <v/>
      </c>
      <c r="D866" s="7"/>
      <c r="E866" s="12" t="str">
        <f aca="false">IF($D866="","",IFERROR(INDEX(고객목록!$B$3:$B$502,MATCH($D866,고객목록!$A$3:$A$502,0)),""))</f>
        <v/>
      </c>
      <c r="F866" s="13"/>
      <c r="G866" s="13"/>
      <c r="H866" s="14" t="str">
        <f aca="false">IF(OR($L866="",$M866=""),"",ROUND(($M866-$L866)/60,2))</f>
        <v/>
      </c>
      <c r="I866" s="9"/>
      <c r="J866" s="7"/>
      <c r="K866" s="7"/>
      <c r="L866" s="15" t="str">
        <f aca="false">IF($F866="","",IF($F866&lt;1,ROUND($F866*1440,0),INT($F866/100)*60+MOD($F866,100)))</f>
        <v/>
      </c>
      <c r="M866" s="15" t="str">
        <f aca="false">IF($G866="","",IF($G866&lt;1,ROUND($G866*1440,0),INT($G866/100)*60+MOD($G866,100)))</f>
        <v/>
      </c>
      <c r="N866" s="15" t="str">
        <f aca="false">IF(OR($A866="",$B866="",$L866="",$M866="",$J866="취소"),"",IF(SUMPRODUCT(($A$3:$A$2002=$A866)*($B$3:$B$2002=$B866)*($J$3:$J$2002&lt;&gt;"취소")*($L$3:$L$2002&lt;&gt;"")*($M$3:$M$2002&lt;&gt;"")*($L$3:$L$2002&lt;$M866)*($M$3:$M$2002&gt;$L866))&gt;1,"중복","-"))</f>
        <v/>
      </c>
    </row>
    <row r="867" customFormat="false" ht="15" hidden="false" customHeight="true" outlineLevel="0" collapsed="false">
      <c r="A867" s="11"/>
      <c r="B867" s="7"/>
      <c r="C867" s="12" t="str">
        <f aca="false">IF($B867="","",IFERROR(INDEX(자원목록!$B$3:$B$102,MATCH($B867,자원목록!$A$3:$A$102,0)),"미등록자원"))</f>
        <v/>
      </c>
      <c r="D867" s="7"/>
      <c r="E867" s="12" t="str">
        <f aca="false">IF($D867="","",IFERROR(INDEX(고객목록!$B$3:$B$502,MATCH($D867,고객목록!$A$3:$A$502,0)),""))</f>
        <v/>
      </c>
      <c r="F867" s="13"/>
      <c r="G867" s="13"/>
      <c r="H867" s="14" t="str">
        <f aca="false">IF(OR($L867="",$M867=""),"",ROUND(($M867-$L867)/60,2))</f>
        <v/>
      </c>
      <c r="I867" s="9"/>
      <c r="J867" s="7"/>
      <c r="K867" s="7"/>
      <c r="L867" s="15" t="str">
        <f aca="false">IF($F867="","",IF($F867&lt;1,ROUND($F867*1440,0),INT($F867/100)*60+MOD($F867,100)))</f>
        <v/>
      </c>
      <c r="M867" s="15" t="str">
        <f aca="false">IF($G867="","",IF($G867&lt;1,ROUND($G867*1440,0),INT($G867/100)*60+MOD($G867,100)))</f>
        <v/>
      </c>
      <c r="N867" s="15" t="str">
        <f aca="false">IF(OR($A867="",$B867="",$L867="",$M867="",$J867="취소"),"",IF(SUMPRODUCT(($A$3:$A$2002=$A867)*($B$3:$B$2002=$B867)*($J$3:$J$2002&lt;&gt;"취소")*($L$3:$L$2002&lt;&gt;"")*($M$3:$M$2002&lt;&gt;"")*($L$3:$L$2002&lt;$M867)*($M$3:$M$2002&gt;$L867))&gt;1,"중복","-"))</f>
        <v/>
      </c>
    </row>
    <row r="868" customFormat="false" ht="15" hidden="false" customHeight="true" outlineLevel="0" collapsed="false">
      <c r="A868" s="11"/>
      <c r="B868" s="7"/>
      <c r="C868" s="12" t="str">
        <f aca="false">IF($B868="","",IFERROR(INDEX(자원목록!$B$3:$B$102,MATCH($B868,자원목록!$A$3:$A$102,0)),"미등록자원"))</f>
        <v/>
      </c>
      <c r="D868" s="7"/>
      <c r="E868" s="12" t="str">
        <f aca="false">IF($D868="","",IFERROR(INDEX(고객목록!$B$3:$B$502,MATCH($D868,고객목록!$A$3:$A$502,0)),""))</f>
        <v/>
      </c>
      <c r="F868" s="13"/>
      <c r="G868" s="13"/>
      <c r="H868" s="14" t="str">
        <f aca="false">IF(OR($L868="",$M868=""),"",ROUND(($M868-$L868)/60,2))</f>
        <v/>
      </c>
      <c r="I868" s="9"/>
      <c r="J868" s="7"/>
      <c r="K868" s="7"/>
      <c r="L868" s="15" t="str">
        <f aca="false">IF($F868="","",IF($F868&lt;1,ROUND($F868*1440,0),INT($F868/100)*60+MOD($F868,100)))</f>
        <v/>
      </c>
      <c r="M868" s="15" t="str">
        <f aca="false">IF($G868="","",IF($G868&lt;1,ROUND($G868*1440,0),INT($G868/100)*60+MOD($G868,100)))</f>
        <v/>
      </c>
      <c r="N868" s="15" t="str">
        <f aca="false">IF(OR($A868="",$B868="",$L868="",$M868="",$J868="취소"),"",IF(SUMPRODUCT(($A$3:$A$2002=$A868)*($B$3:$B$2002=$B868)*($J$3:$J$2002&lt;&gt;"취소")*($L$3:$L$2002&lt;&gt;"")*($M$3:$M$2002&lt;&gt;"")*($L$3:$L$2002&lt;$M868)*($M$3:$M$2002&gt;$L868))&gt;1,"중복","-"))</f>
        <v/>
      </c>
    </row>
    <row r="869" customFormat="false" ht="15" hidden="false" customHeight="true" outlineLevel="0" collapsed="false">
      <c r="A869" s="11"/>
      <c r="B869" s="7"/>
      <c r="C869" s="12" t="str">
        <f aca="false">IF($B869="","",IFERROR(INDEX(자원목록!$B$3:$B$102,MATCH($B869,자원목록!$A$3:$A$102,0)),"미등록자원"))</f>
        <v/>
      </c>
      <c r="D869" s="7"/>
      <c r="E869" s="12" t="str">
        <f aca="false">IF($D869="","",IFERROR(INDEX(고객목록!$B$3:$B$502,MATCH($D869,고객목록!$A$3:$A$502,0)),""))</f>
        <v/>
      </c>
      <c r="F869" s="13"/>
      <c r="G869" s="13"/>
      <c r="H869" s="14" t="str">
        <f aca="false">IF(OR($L869="",$M869=""),"",ROUND(($M869-$L869)/60,2))</f>
        <v/>
      </c>
      <c r="I869" s="9"/>
      <c r="J869" s="7"/>
      <c r="K869" s="7"/>
      <c r="L869" s="15" t="str">
        <f aca="false">IF($F869="","",IF($F869&lt;1,ROUND($F869*1440,0),INT($F869/100)*60+MOD($F869,100)))</f>
        <v/>
      </c>
      <c r="M869" s="15" t="str">
        <f aca="false">IF($G869="","",IF($G869&lt;1,ROUND($G869*1440,0),INT($G869/100)*60+MOD($G869,100)))</f>
        <v/>
      </c>
      <c r="N869" s="15" t="str">
        <f aca="false">IF(OR($A869="",$B869="",$L869="",$M869="",$J869="취소"),"",IF(SUMPRODUCT(($A$3:$A$2002=$A869)*($B$3:$B$2002=$B869)*($J$3:$J$2002&lt;&gt;"취소")*($L$3:$L$2002&lt;&gt;"")*($M$3:$M$2002&lt;&gt;"")*($L$3:$L$2002&lt;$M869)*($M$3:$M$2002&gt;$L869))&gt;1,"중복","-"))</f>
        <v/>
      </c>
    </row>
    <row r="870" customFormat="false" ht="15" hidden="false" customHeight="true" outlineLevel="0" collapsed="false">
      <c r="A870" s="11"/>
      <c r="B870" s="7"/>
      <c r="C870" s="12" t="str">
        <f aca="false">IF($B870="","",IFERROR(INDEX(자원목록!$B$3:$B$102,MATCH($B870,자원목록!$A$3:$A$102,0)),"미등록자원"))</f>
        <v/>
      </c>
      <c r="D870" s="7"/>
      <c r="E870" s="12" t="str">
        <f aca="false">IF($D870="","",IFERROR(INDEX(고객목록!$B$3:$B$502,MATCH($D870,고객목록!$A$3:$A$502,0)),""))</f>
        <v/>
      </c>
      <c r="F870" s="13"/>
      <c r="G870" s="13"/>
      <c r="H870" s="14" t="str">
        <f aca="false">IF(OR($L870="",$M870=""),"",ROUND(($M870-$L870)/60,2))</f>
        <v/>
      </c>
      <c r="I870" s="9"/>
      <c r="J870" s="7"/>
      <c r="K870" s="7"/>
      <c r="L870" s="15" t="str">
        <f aca="false">IF($F870="","",IF($F870&lt;1,ROUND($F870*1440,0),INT($F870/100)*60+MOD($F870,100)))</f>
        <v/>
      </c>
      <c r="M870" s="15" t="str">
        <f aca="false">IF($G870="","",IF($G870&lt;1,ROUND($G870*1440,0),INT($G870/100)*60+MOD($G870,100)))</f>
        <v/>
      </c>
      <c r="N870" s="15" t="str">
        <f aca="false">IF(OR($A870="",$B870="",$L870="",$M870="",$J870="취소"),"",IF(SUMPRODUCT(($A$3:$A$2002=$A870)*($B$3:$B$2002=$B870)*($J$3:$J$2002&lt;&gt;"취소")*($L$3:$L$2002&lt;&gt;"")*($M$3:$M$2002&lt;&gt;"")*($L$3:$L$2002&lt;$M870)*($M$3:$M$2002&gt;$L870))&gt;1,"중복","-"))</f>
        <v/>
      </c>
    </row>
    <row r="871" customFormat="false" ht="15" hidden="false" customHeight="true" outlineLevel="0" collapsed="false">
      <c r="A871" s="11"/>
      <c r="B871" s="7"/>
      <c r="C871" s="12" t="str">
        <f aca="false">IF($B871="","",IFERROR(INDEX(자원목록!$B$3:$B$102,MATCH($B871,자원목록!$A$3:$A$102,0)),"미등록자원"))</f>
        <v/>
      </c>
      <c r="D871" s="7"/>
      <c r="E871" s="12" t="str">
        <f aca="false">IF($D871="","",IFERROR(INDEX(고객목록!$B$3:$B$502,MATCH($D871,고객목록!$A$3:$A$502,0)),""))</f>
        <v/>
      </c>
      <c r="F871" s="13"/>
      <c r="G871" s="13"/>
      <c r="H871" s="14" t="str">
        <f aca="false">IF(OR($L871="",$M871=""),"",ROUND(($M871-$L871)/60,2))</f>
        <v/>
      </c>
      <c r="I871" s="9"/>
      <c r="J871" s="7"/>
      <c r="K871" s="7"/>
      <c r="L871" s="15" t="str">
        <f aca="false">IF($F871="","",IF($F871&lt;1,ROUND($F871*1440,0),INT($F871/100)*60+MOD($F871,100)))</f>
        <v/>
      </c>
      <c r="M871" s="15" t="str">
        <f aca="false">IF($G871="","",IF($G871&lt;1,ROUND($G871*1440,0),INT($G871/100)*60+MOD($G871,100)))</f>
        <v/>
      </c>
      <c r="N871" s="15" t="str">
        <f aca="false">IF(OR($A871="",$B871="",$L871="",$M871="",$J871="취소"),"",IF(SUMPRODUCT(($A$3:$A$2002=$A871)*($B$3:$B$2002=$B871)*($J$3:$J$2002&lt;&gt;"취소")*($L$3:$L$2002&lt;&gt;"")*($M$3:$M$2002&lt;&gt;"")*($L$3:$L$2002&lt;$M871)*($M$3:$M$2002&gt;$L871))&gt;1,"중복","-"))</f>
        <v/>
      </c>
    </row>
    <row r="872" customFormat="false" ht="15" hidden="false" customHeight="true" outlineLevel="0" collapsed="false">
      <c r="A872" s="11"/>
      <c r="B872" s="7"/>
      <c r="C872" s="12" t="str">
        <f aca="false">IF($B872="","",IFERROR(INDEX(자원목록!$B$3:$B$102,MATCH($B872,자원목록!$A$3:$A$102,0)),"미등록자원"))</f>
        <v/>
      </c>
      <c r="D872" s="7"/>
      <c r="E872" s="12" t="str">
        <f aca="false">IF($D872="","",IFERROR(INDEX(고객목록!$B$3:$B$502,MATCH($D872,고객목록!$A$3:$A$502,0)),""))</f>
        <v/>
      </c>
      <c r="F872" s="13"/>
      <c r="G872" s="13"/>
      <c r="H872" s="14" t="str">
        <f aca="false">IF(OR($L872="",$M872=""),"",ROUND(($M872-$L872)/60,2))</f>
        <v/>
      </c>
      <c r="I872" s="9"/>
      <c r="J872" s="7"/>
      <c r="K872" s="7"/>
      <c r="L872" s="15" t="str">
        <f aca="false">IF($F872="","",IF($F872&lt;1,ROUND($F872*1440,0),INT($F872/100)*60+MOD($F872,100)))</f>
        <v/>
      </c>
      <c r="M872" s="15" t="str">
        <f aca="false">IF($G872="","",IF($G872&lt;1,ROUND($G872*1440,0),INT($G872/100)*60+MOD($G872,100)))</f>
        <v/>
      </c>
      <c r="N872" s="15" t="str">
        <f aca="false">IF(OR($A872="",$B872="",$L872="",$M872="",$J872="취소"),"",IF(SUMPRODUCT(($A$3:$A$2002=$A872)*($B$3:$B$2002=$B872)*($J$3:$J$2002&lt;&gt;"취소")*($L$3:$L$2002&lt;&gt;"")*($M$3:$M$2002&lt;&gt;"")*($L$3:$L$2002&lt;$M872)*($M$3:$M$2002&gt;$L872))&gt;1,"중복","-"))</f>
        <v/>
      </c>
    </row>
    <row r="873" customFormat="false" ht="15" hidden="false" customHeight="true" outlineLevel="0" collapsed="false">
      <c r="A873" s="11"/>
      <c r="B873" s="7"/>
      <c r="C873" s="12" t="str">
        <f aca="false">IF($B873="","",IFERROR(INDEX(자원목록!$B$3:$B$102,MATCH($B873,자원목록!$A$3:$A$102,0)),"미등록자원"))</f>
        <v/>
      </c>
      <c r="D873" s="7"/>
      <c r="E873" s="12" t="str">
        <f aca="false">IF($D873="","",IFERROR(INDEX(고객목록!$B$3:$B$502,MATCH($D873,고객목록!$A$3:$A$502,0)),""))</f>
        <v/>
      </c>
      <c r="F873" s="13"/>
      <c r="G873" s="13"/>
      <c r="H873" s="14" t="str">
        <f aca="false">IF(OR($L873="",$M873=""),"",ROUND(($M873-$L873)/60,2))</f>
        <v/>
      </c>
      <c r="I873" s="9"/>
      <c r="J873" s="7"/>
      <c r="K873" s="7"/>
      <c r="L873" s="15" t="str">
        <f aca="false">IF($F873="","",IF($F873&lt;1,ROUND($F873*1440,0),INT($F873/100)*60+MOD($F873,100)))</f>
        <v/>
      </c>
      <c r="M873" s="15" t="str">
        <f aca="false">IF($G873="","",IF($G873&lt;1,ROUND($G873*1440,0),INT($G873/100)*60+MOD($G873,100)))</f>
        <v/>
      </c>
      <c r="N873" s="15" t="str">
        <f aca="false">IF(OR($A873="",$B873="",$L873="",$M873="",$J873="취소"),"",IF(SUMPRODUCT(($A$3:$A$2002=$A873)*($B$3:$B$2002=$B873)*($J$3:$J$2002&lt;&gt;"취소")*($L$3:$L$2002&lt;&gt;"")*($M$3:$M$2002&lt;&gt;"")*($L$3:$L$2002&lt;$M873)*($M$3:$M$2002&gt;$L873))&gt;1,"중복","-"))</f>
        <v/>
      </c>
    </row>
    <row r="874" customFormat="false" ht="15" hidden="false" customHeight="true" outlineLevel="0" collapsed="false">
      <c r="A874" s="11"/>
      <c r="B874" s="7"/>
      <c r="C874" s="12" t="str">
        <f aca="false">IF($B874="","",IFERROR(INDEX(자원목록!$B$3:$B$102,MATCH($B874,자원목록!$A$3:$A$102,0)),"미등록자원"))</f>
        <v/>
      </c>
      <c r="D874" s="7"/>
      <c r="E874" s="12" t="str">
        <f aca="false">IF($D874="","",IFERROR(INDEX(고객목록!$B$3:$B$502,MATCH($D874,고객목록!$A$3:$A$502,0)),""))</f>
        <v/>
      </c>
      <c r="F874" s="13"/>
      <c r="G874" s="13"/>
      <c r="H874" s="14" t="str">
        <f aca="false">IF(OR($L874="",$M874=""),"",ROUND(($M874-$L874)/60,2))</f>
        <v/>
      </c>
      <c r="I874" s="9"/>
      <c r="J874" s="7"/>
      <c r="K874" s="7"/>
      <c r="L874" s="15" t="str">
        <f aca="false">IF($F874="","",IF($F874&lt;1,ROUND($F874*1440,0),INT($F874/100)*60+MOD($F874,100)))</f>
        <v/>
      </c>
      <c r="M874" s="15" t="str">
        <f aca="false">IF($G874="","",IF($G874&lt;1,ROUND($G874*1440,0),INT($G874/100)*60+MOD($G874,100)))</f>
        <v/>
      </c>
      <c r="N874" s="15" t="str">
        <f aca="false">IF(OR($A874="",$B874="",$L874="",$M874="",$J874="취소"),"",IF(SUMPRODUCT(($A$3:$A$2002=$A874)*($B$3:$B$2002=$B874)*($J$3:$J$2002&lt;&gt;"취소")*($L$3:$L$2002&lt;&gt;"")*($M$3:$M$2002&lt;&gt;"")*($L$3:$L$2002&lt;$M874)*($M$3:$M$2002&gt;$L874))&gt;1,"중복","-"))</f>
        <v/>
      </c>
    </row>
    <row r="875" customFormat="false" ht="15" hidden="false" customHeight="true" outlineLevel="0" collapsed="false">
      <c r="A875" s="11"/>
      <c r="B875" s="7"/>
      <c r="C875" s="12" t="str">
        <f aca="false">IF($B875="","",IFERROR(INDEX(자원목록!$B$3:$B$102,MATCH($B875,자원목록!$A$3:$A$102,0)),"미등록자원"))</f>
        <v/>
      </c>
      <c r="D875" s="7"/>
      <c r="E875" s="12" t="str">
        <f aca="false">IF($D875="","",IFERROR(INDEX(고객목록!$B$3:$B$502,MATCH($D875,고객목록!$A$3:$A$502,0)),""))</f>
        <v/>
      </c>
      <c r="F875" s="13"/>
      <c r="G875" s="13"/>
      <c r="H875" s="14" t="str">
        <f aca="false">IF(OR($L875="",$M875=""),"",ROUND(($M875-$L875)/60,2))</f>
        <v/>
      </c>
      <c r="I875" s="9"/>
      <c r="J875" s="7"/>
      <c r="K875" s="7"/>
      <c r="L875" s="15" t="str">
        <f aca="false">IF($F875="","",IF($F875&lt;1,ROUND($F875*1440,0),INT($F875/100)*60+MOD($F875,100)))</f>
        <v/>
      </c>
      <c r="M875" s="15" t="str">
        <f aca="false">IF($G875="","",IF($G875&lt;1,ROUND($G875*1440,0),INT($G875/100)*60+MOD($G875,100)))</f>
        <v/>
      </c>
      <c r="N875" s="15" t="str">
        <f aca="false">IF(OR($A875="",$B875="",$L875="",$M875="",$J875="취소"),"",IF(SUMPRODUCT(($A$3:$A$2002=$A875)*($B$3:$B$2002=$B875)*($J$3:$J$2002&lt;&gt;"취소")*($L$3:$L$2002&lt;&gt;"")*($M$3:$M$2002&lt;&gt;"")*($L$3:$L$2002&lt;$M875)*($M$3:$M$2002&gt;$L875))&gt;1,"중복","-"))</f>
        <v/>
      </c>
    </row>
    <row r="876" customFormat="false" ht="15" hidden="false" customHeight="true" outlineLevel="0" collapsed="false">
      <c r="A876" s="11"/>
      <c r="B876" s="7"/>
      <c r="C876" s="12" t="str">
        <f aca="false">IF($B876="","",IFERROR(INDEX(자원목록!$B$3:$B$102,MATCH($B876,자원목록!$A$3:$A$102,0)),"미등록자원"))</f>
        <v/>
      </c>
      <c r="D876" s="7"/>
      <c r="E876" s="12" t="str">
        <f aca="false">IF($D876="","",IFERROR(INDEX(고객목록!$B$3:$B$502,MATCH($D876,고객목록!$A$3:$A$502,0)),""))</f>
        <v/>
      </c>
      <c r="F876" s="13"/>
      <c r="G876" s="13"/>
      <c r="H876" s="14" t="str">
        <f aca="false">IF(OR($L876="",$M876=""),"",ROUND(($M876-$L876)/60,2))</f>
        <v/>
      </c>
      <c r="I876" s="9"/>
      <c r="J876" s="7"/>
      <c r="K876" s="7"/>
      <c r="L876" s="15" t="str">
        <f aca="false">IF($F876="","",IF($F876&lt;1,ROUND($F876*1440,0),INT($F876/100)*60+MOD($F876,100)))</f>
        <v/>
      </c>
      <c r="M876" s="15" t="str">
        <f aca="false">IF($G876="","",IF($G876&lt;1,ROUND($G876*1440,0),INT($G876/100)*60+MOD($G876,100)))</f>
        <v/>
      </c>
      <c r="N876" s="15" t="str">
        <f aca="false">IF(OR($A876="",$B876="",$L876="",$M876="",$J876="취소"),"",IF(SUMPRODUCT(($A$3:$A$2002=$A876)*($B$3:$B$2002=$B876)*($J$3:$J$2002&lt;&gt;"취소")*($L$3:$L$2002&lt;&gt;"")*($M$3:$M$2002&lt;&gt;"")*($L$3:$L$2002&lt;$M876)*($M$3:$M$2002&gt;$L876))&gt;1,"중복","-"))</f>
        <v/>
      </c>
    </row>
    <row r="877" customFormat="false" ht="15" hidden="false" customHeight="true" outlineLevel="0" collapsed="false">
      <c r="A877" s="11"/>
      <c r="B877" s="7"/>
      <c r="C877" s="12" t="str">
        <f aca="false">IF($B877="","",IFERROR(INDEX(자원목록!$B$3:$B$102,MATCH($B877,자원목록!$A$3:$A$102,0)),"미등록자원"))</f>
        <v/>
      </c>
      <c r="D877" s="7"/>
      <c r="E877" s="12" t="str">
        <f aca="false">IF($D877="","",IFERROR(INDEX(고객목록!$B$3:$B$502,MATCH($D877,고객목록!$A$3:$A$502,0)),""))</f>
        <v/>
      </c>
      <c r="F877" s="13"/>
      <c r="G877" s="13"/>
      <c r="H877" s="14" t="str">
        <f aca="false">IF(OR($L877="",$M877=""),"",ROUND(($M877-$L877)/60,2))</f>
        <v/>
      </c>
      <c r="I877" s="9"/>
      <c r="J877" s="7"/>
      <c r="K877" s="7"/>
      <c r="L877" s="15" t="str">
        <f aca="false">IF($F877="","",IF($F877&lt;1,ROUND($F877*1440,0),INT($F877/100)*60+MOD($F877,100)))</f>
        <v/>
      </c>
      <c r="M877" s="15" t="str">
        <f aca="false">IF($G877="","",IF($G877&lt;1,ROUND($G877*1440,0),INT($G877/100)*60+MOD($G877,100)))</f>
        <v/>
      </c>
      <c r="N877" s="15" t="str">
        <f aca="false">IF(OR($A877="",$B877="",$L877="",$M877="",$J877="취소"),"",IF(SUMPRODUCT(($A$3:$A$2002=$A877)*($B$3:$B$2002=$B877)*($J$3:$J$2002&lt;&gt;"취소")*($L$3:$L$2002&lt;&gt;"")*($M$3:$M$2002&lt;&gt;"")*($L$3:$L$2002&lt;$M877)*($M$3:$M$2002&gt;$L877))&gt;1,"중복","-"))</f>
        <v/>
      </c>
    </row>
    <row r="878" customFormat="false" ht="15" hidden="false" customHeight="true" outlineLevel="0" collapsed="false">
      <c r="A878" s="11"/>
      <c r="B878" s="7"/>
      <c r="C878" s="12" t="str">
        <f aca="false">IF($B878="","",IFERROR(INDEX(자원목록!$B$3:$B$102,MATCH($B878,자원목록!$A$3:$A$102,0)),"미등록자원"))</f>
        <v/>
      </c>
      <c r="D878" s="7"/>
      <c r="E878" s="12" t="str">
        <f aca="false">IF($D878="","",IFERROR(INDEX(고객목록!$B$3:$B$502,MATCH($D878,고객목록!$A$3:$A$502,0)),""))</f>
        <v/>
      </c>
      <c r="F878" s="13"/>
      <c r="G878" s="13"/>
      <c r="H878" s="14" t="str">
        <f aca="false">IF(OR($L878="",$M878=""),"",ROUND(($M878-$L878)/60,2))</f>
        <v/>
      </c>
      <c r="I878" s="9"/>
      <c r="J878" s="7"/>
      <c r="K878" s="7"/>
      <c r="L878" s="15" t="str">
        <f aca="false">IF($F878="","",IF($F878&lt;1,ROUND($F878*1440,0),INT($F878/100)*60+MOD($F878,100)))</f>
        <v/>
      </c>
      <c r="M878" s="15" t="str">
        <f aca="false">IF($G878="","",IF($G878&lt;1,ROUND($G878*1440,0),INT($G878/100)*60+MOD($G878,100)))</f>
        <v/>
      </c>
      <c r="N878" s="15" t="str">
        <f aca="false">IF(OR($A878="",$B878="",$L878="",$M878="",$J878="취소"),"",IF(SUMPRODUCT(($A$3:$A$2002=$A878)*($B$3:$B$2002=$B878)*($J$3:$J$2002&lt;&gt;"취소")*($L$3:$L$2002&lt;&gt;"")*($M$3:$M$2002&lt;&gt;"")*($L$3:$L$2002&lt;$M878)*($M$3:$M$2002&gt;$L878))&gt;1,"중복","-"))</f>
        <v/>
      </c>
    </row>
    <row r="879" customFormat="false" ht="15" hidden="false" customHeight="true" outlineLevel="0" collapsed="false">
      <c r="A879" s="11"/>
      <c r="B879" s="7"/>
      <c r="C879" s="12" t="str">
        <f aca="false">IF($B879="","",IFERROR(INDEX(자원목록!$B$3:$B$102,MATCH($B879,자원목록!$A$3:$A$102,0)),"미등록자원"))</f>
        <v/>
      </c>
      <c r="D879" s="7"/>
      <c r="E879" s="12" t="str">
        <f aca="false">IF($D879="","",IFERROR(INDEX(고객목록!$B$3:$B$502,MATCH($D879,고객목록!$A$3:$A$502,0)),""))</f>
        <v/>
      </c>
      <c r="F879" s="13"/>
      <c r="G879" s="13"/>
      <c r="H879" s="14" t="str">
        <f aca="false">IF(OR($L879="",$M879=""),"",ROUND(($M879-$L879)/60,2))</f>
        <v/>
      </c>
      <c r="I879" s="9"/>
      <c r="J879" s="7"/>
      <c r="K879" s="7"/>
      <c r="L879" s="15" t="str">
        <f aca="false">IF($F879="","",IF($F879&lt;1,ROUND($F879*1440,0),INT($F879/100)*60+MOD($F879,100)))</f>
        <v/>
      </c>
      <c r="M879" s="15" t="str">
        <f aca="false">IF($G879="","",IF($G879&lt;1,ROUND($G879*1440,0),INT($G879/100)*60+MOD($G879,100)))</f>
        <v/>
      </c>
      <c r="N879" s="15" t="str">
        <f aca="false">IF(OR($A879="",$B879="",$L879="",$M879="",$J879="취소"),"",IF(SUMPRODUCT(($A$3:$A$2002=$A879)*($B$3:$B$2002=$B879)*($J$3:$J$2002&lt;&gt;"취소")*($L$3:$L$2002&lt;&gt;"")*($M$3:$M$2002&lt;&gt;"")*($L$3:$L$2002&lt;$M879)*($M$3:$M$2002&gt;$L879))&gt;1,"중복","-"))</f>
        <v/>
      </c>
    </row>
    <row r="880" customFormat="false" ht="15" hidden="false" customHeight="true" outlineLevel="0" collapsed="false">
      <c r="A880" s="11"/>
      <c r="B880" s="7"/>
      <c r="C880" s="12" t="str">
        <f aca="false">IF($B880="","",IFERROR(INDEX(자원목록!$B$3:$B$102,MATCH($B880,자원목록!$A$3:$A$102,0)),"미등록자원"))</f>
        <v/>
      </c>
      <c r="D880" s="7"/>
      <c r="E880" s="12" t="str">
        <f aca="false">IF($D880="","",IFERROR(INDEX(고객목록!$B$3:$B$502,MATCH($D880,고객목록!$A$3:$A$502,0)),""))</f>
        <v/>
      </c>
      <c r="F880" s="13"/>
      <c r="G880" s="13"/>
      <c r="H880" s="14" t="str">
        <f aca="false">IF(OR($L880="",$M880=""),"",ROUND(($M880-$L880)/60,2))</f>
        <v/>
      </c>
      <c r="I880" s="9"/>
      <c r="J880" s="7"/>
      <c r="K880" s="7"/>
      <c r="L880" s="15" t="str">
        <f aca="false">IF($F880="","",IF($F880&lt;1,ROUND($F880*1440,0),INT($F880/100)*60+MOD($F880,100)))</f>
        <v/>
      </c>
      <c r="M880" s="15" t="str">
        <f aca="false">IF($G880="","",IF($G880&lt;1,ROUND($G880*1440,0),INT($G880/100)*60+MOD($G880,100)))</f>
        <v/>
      </c>
      <c r="N880" s="15" t="str">
        <f aca="false">IF(OR($A880="",$B880="",$L880="",$M880="",$J880="취소"),"",IF(SUMPRODUCT(($A$3:$A$2002=$A880)*($B$3:$B$2002=$B880)*($J$3:$J$2002&lt;&gt;"취소")*($L$3:$L$2002&lt;&gt;"")*($M$3:$M$2002&lt;&gt;"")*($L$3:$L$2002&lt;$M880)*($M$3:$M$2002&gt;$L880))&gt;1,"중복","-"))</f>
        <v/>
      </c>
    </row>
    <row r="881" customFormat="false" ht="15" hidden="false" customHeight="true" outlineLevel="0" collapsed="false">
      <c r="A881" s="11"/>
      <c r="B881" s="7"/>
      <c r="C881" s="12" t="str">
        <f aca="false">IF($B881="","",IFERROR(INDEX(자원목록!$B$3:$B$102,MATCH($B881,자원목록!$A$3:$A$102,0)),"미등록자원"))</f>
        <v/>
      </c>
      <c r="D881" s="7"/>
      <c r="E881" s="12" t="str">
        <f aca="false">IF($D881="","",IFERROR(INDEX(고객목록!$B$3:$B$502,MATCH($D881,고객목록!$A$3:$A$502,0)),""))</f>
        <v/>
      </c>
      <c r="F881" s="13"/>
      <c r="G881" s="13"/>
      <c r="H881" s="14" t="str">
        <f aca="false">IF(OR($L881="",$M881=""),"",ROUND(($M881-$L881)/60,2))</f>
        <v/>
      </c>
      <c r="I881" s="9"/>
      <c r="J881" s="7"/>
      <c r="K881" s="7"/>
      <c r="L881" s="15" t="str">
        <f aca="false">IF($F881="","",IF($F881&lt;1,ROUND($F881*1440,0),INT($F881/100)*60+MOD($F881,100)))</f>
        <v/>
      </c>
      <c r="M881" s="15" t="str">
        <f aca="false">IF($G881="","",IF($G881&lt;1,ROUND($G881*1440,0),INT($G881/100)*60+MOD($G881,100)))</f>
        <v/>
      </c>
      <c r="N881" s="15" t="str">
        <f aca="false">IF(OR($A881="",$B881="",$L881="",$M881="",$J881="취소"),"",IF(SUMPRODUCT(($A$3:$A$2002=$A881)*($B$3:$B$2002=$B881)*($J$3:$J$2002&lt;&gt;"취소")*($L$3:$L$2002&lt;&gt;"")*($M$3:$M$2002&lt;&gt;"")*($L$3:$L$2002&lt;$M881)*($M$3:$M$2002&gt;$L881))&gt;1,"중복","-"))</f>
        <v/>
      </c>
    </row>
    <row r="882" customFormat="false" ht="15" hidden="false" customHeight="true" outlineLevel="0" collapsed="false">
      <c r="A882" s="11"/>
      <c r="B882" s="7"/>
      <c r="C882" s="12" t="str">
        <f aca="false">IF($B882="","",IFERROR(INDEX(자원목록!$B$3:$B$102,MATCH($B882,자원목록!$A$3:$A$102,0)),"미등록자원"))</f>
        <v/>
      </c>
      <c r="D882" s="7"/>
      <c r="E882" s="12" t="str">
        <f aca="false">IF($D882="","",IFERROR(INDEX(고객목록!$B$3:$B$502,MATCH($D882,고객목록!$A$3:$A$502,0)),""))</f>
        <v/>
      </c>
      <c r="F882" s="13"/>
      <c r="G882" s="13"/>
      <c r="H882" s="14" t="str">
        <f aca="false">IF(OR($L882="",$M882=""),"",ROUND(($M882-$L882)/60,2))</f>
        <v/>
      </c>
      <c r="I882" s="9"/>
      <c r="J882" s="7"/>
      <c r="K882" s="7"/>
      <c r="L882" s="15" t="str">
        <f aca="false">IF($F882="","",IF($F882&lt;1,ROUND($F882*1440,0),INT($F882/100)*60+MOD($F882,100)))</f>
        <v/>
      </c>
      <c r="M882" s="15" t="str">
        <f aca="false">IF($G882="","",IF($G882&lt;1,ROUND($G882*1440,0),INT($G882/100)*60+MOD($G882,100)))</f>
        <v/>
      </c>
      <c r="N882" s="15" t="str">
        <f aca="false">IF(OR($A882="",$B882="",$L882="",$M882="",$J882="취소"),"",IF(SUMPRODUCT(($A$3:$A$2002=$A882)*($B$3:$B$2002=$B882)*($J$3:$J$2002&lt;&gt;"취소")*($L$3:$L$2002&lt;&gt;"")*($M$3:$M$2002&lt;&gt;"")*($L$3:$L$2002&lt;$M882)*($M$3:$M$2002&gt;$L882))&gt;1,"중복","-"))</f>
        <v/>
      </c>
    </row>
    <row r="883" customFormat="false" ht="15" hidden="false" customHeight="true" outlineLevel="0" collapsed="false">
      <c r="A883" s="11"/>
      <c r="B883" s="7"/>
      <c r="C883" s="12" t="str">
        <f aca="false">IF($B883="","",IFERROR(INDEX(자원목록!$B$3:$B$102,MATCH($B883,자원목록!$A$3:$A$102,0)),"미등록자원"))</f>
        <v/>
      </c>
      <c r="D883" s="7"/>
      <c r="E883" s="12" t="str">
        <f aca="false">IF($D883="","",IFERROR(INDEX(고객목록!$B$3:$B$502,MATCH($D883,고객목록!$A$3:$A$502,0)),""))</f>
        <v/>
      </c>
      <c r="F883" s="13"/>
      <c r="G883" s="13"/>
      <c r="H883" s="14" t="str">
        <f aca="false">IF(OR($L883="",$M883=""),"",ROUND(($M883-$L883)/60,2))</f>
        <v/>
      </c>
      <c r="I883" s="9"/>
      <c r="J883" s="7"/>
      <c r="K883" s="7"/>
      <c r="L883" s="15" t="str">
        <f aca="false">IF($F883="","",IF($F883&lt;1,ROUND($F883*1440,0),INT($F883/100)*60+MOD($F883,100)))</f>
        <v/>
      </c>
      <c r="M883" s="15" t="str">
        <f aca="false">IF($G883="","",IF($G883&lt;1,ROUND($G883*1440,0),INT($G883/100)*60+MOD($G883,100)))</f>
        <v/>
      </c>
      <c r="N883" s="15" t="str">
        <f aca="false">IF(OR($A883="",$B883="",$L883="",$M883="",$J883="취소"),"",IF(SUMPRODUCT(($A$3:$A$2002=$A883)*($B$3:$B$2002=$B883)*($J$3:$J$2002&lt;&gt;"취소")*($L$3:$L$2002&lt;&gt;"")*($M$3:$M$2002&lt;&gt;"")*($L$3:$L$2002&lt;$M883)*($M$3:$M$2002&gt;$L883))&gt;1,"중복","-"))</f>
        <v/>
      </c>
    </row>
    <row r="884" customFormat="false" ht="15" hidden="false" customHeight="true" outlineLevel="0" collapsed="false">
      <c r="A884" s="11"/>
      <c r="B884" s="7"/>
      <c r="C884" s="12" t="str">
        <f aca="false">IF($B884="","",IFERROR(INDEX(자원목록!$B$3:$B$102,MATCH($B884,자원목록!$A$3:$A$102,0)),"미등록자원"))</f>
        <v/>
      </c>
      <c r="D884" s="7"/>
      <c r="E884" s="12" t="str">
        <f aca="false">IF($D884="","",IFERROR(INDEX(고객목록!$B$3:$B$502,MATCH($D884,고객목록!$A$3:$A$502,0)),""))</f>
        <v/>
      </c>
      <c r="F884" s="13"/>
      <c r="G884" s="13"/>
      <c r="H884" s="14" t="str">
        <f aca="false">IF(OR($L884="",$M884=""),"",ROUND(($M884-$L884)/60,2))</f>
        <v/>
      </c>
      <c r="I884" s="9"/>
      <c r="J884" s="7"/>
      <c r="K884" s="7"/>
      <c r="L884" s="15" t="str">
        <f aca="false">IF($F884="","",IF($F884&lt;1,ROUND($F884*1440,0),INT($F884/100)*60+MOD($F884,100)))</f>
        <v/>
      </c>
      <c r="M884" s="15" t="str">
        <f aca="false">IF($G884="","",IF($G884&lt;1,ROUND($G884*1440,0),INT($G884/100)*60+MOD($G884,100)))</f>
        <v/>
      </c>
      <c r="N884" s="15" t="str">
        <f aca="false">IF(OR($A884="",$B884="",$L884="",$M884="",$J884="취소"),"",IF(SUMPRODUCT(($A$3:$A$2002=$A884)*($B$3:$B$2002=$B884)*($J$3:$J$2002&lt;&gt;"취소")*($L$3:$L$2002&lt;&gt;"")*($M$3:$M$2002&lt;&gt;"")*($L$3:$L$2002&lt;$M884)*($M$3:$M$2002&gt;$L884))&gt;1,"중복","-"))</f>
        <v/>
      </c>
    </row>
    <row r="885" customFormat="false" ht="15" hidden="false" customHeight="true" outlineLevel="0" collapsed="false">
      <c r="A885" s="11"/>
      <c r="B885" s="7"/>
      <c r="C885" s="12" t="str">
        <f aca="false">IF($B885="","",IFERROR(INDEX(자원목록!$B$3:$B$102,MATCH($B885,자원목록!$A$3:$A$102,0)),"미등록자원"))</f>
        <v/>
      </c>
      <c r="D885" s="7"/>
      <c r="E885" s="12" t="str">
        <f aca="false">IF($D885="","",IFERROR(INDEX(고객목록!$B$3:$B$502,MATCH($D885,고객목록!$A$3:$A$502,0)),""))</f>
        <v/>
      </c>
      <c r="F885" s="13"/>
      <c r="G885" s="13"/>
      <c r="H885" s="14" t="str">
        <f aca="false">IF(OR($L885="",$M885=""),"",ROUND(($M885-$L885)/60,2))</f>
        <v/>
      </c>
      <c r="I885" s="9"/>
      <c r="J885" s="7"/>
      <c r="K885" s="7"/>
      <c r="L885" s="15" t="str">
        <f aca="false">IF($F885="","",IF($F885&lt;1,ROUND($F885*1440,0),INT($F885/100)*60+MOD($F885,100)))</f>
        <v/>
      </c>
      <c r="M885" s="15" t="str">
        <f aca="false">IF($G885="","",IF($G885&lt;1,ROUND($G885*1440,0),INT($G885/100)*60+MOD($G885,100)))</f>
        <v/>
      </c>
      <c r="N885" s="15" t="str">
        <f aca="false">IF(OR($A885="",$B885="",$L885="",$M885="",$J885="취소"),"",IF(SUMPRODUCT(($A$3:$A$2002=$A885)*($B$3:$B$2002=$B885)*($J$3:$J$2002&lt;&gt;"취소")*($L$3:$L$2002&lt;&gt;"")*($M$3:$M$2002&lt;&gt;"")*($L$3:$L$2002&lt;$M885)*($M$3:$M$2002&gt;$L885))&gt;1,"중복","-"))</f>
        <v/>
      </c>
    </row>
    <row r="886" customFormat="false" ht="15" hidden="false" customHeight="true" outlineLevel="0" collapsed="false">
      <c r="A886" s="11"/>
      <c r="B886" s="7"/>
      <c r="C886" s="12" t="str">
        <f aca="false">IF($B886="","",IFERROR(INDEX(자원목록!$B$3:$B$102,MATCH($B886,자원목록!$A$3:$A$102,0)),"미등록자원"))</f>
        <v/>
      </c>
      <c r="D886" s="7"/>
      <c r="E886" s="12" t="str">
        <f aca="false">IF($D886="","",IFERROR(INDEX(고객목록!$B$3:$B$502,MATCH($D886,고객목록!$A$3:$A$502,0)),""))</f>
        <v/>
      </c>
      <c r="F886" s="13"/>
      <c r="G886" s="13"/>
      <c r="H886" s="14" t="str">
        <f aca="false">IF(OR($L886="",$M886=""),"",ROUND(($M886-$L886)/60,2))</f>
        <v/>
      </c>
      <c r="I886" s="9"/>
      <c r="J886" s="7"/>
      <c r="K886" s="7"/>
      <c r="L886" s="15" t="str">
        <f aca="false">IF($F886="","",IF($F886&lt;1,ROUND($F886*1440,0),INT($F886/100)*60+MOD($F886,100)))</f>
        <v/>
      </c>
      <c r="M886" s="15" t="str">
        <f aca="false">IF($G886="","",IF($G886&lt;1,ROUND($G886*1440,0),INT($G886/100)*60+MOD($G886,100)))</f>
        <v/>
      </c>
      <c r="N886" s="15" t="str">
        <f aca="false">IF(OR($A886="",$B886="",$L886="",$M886="",$J886="취소"),"",IF(SUMPRODUCT(($A$3:$A$2002=$A886)*($B$3:$B$2002=$B886)*($J$3:$J$2002&lt;&gt;"취소")*($L$3:$L$2002&lt;&gt;"")*($M$3:$M$2002&lt;&gt;"")*($L$3:$L$2002&lt;$M886)*($M$3:$M$2002&gt;$L886))&gt;1,"중복","-"))</f>
        <v/>
      </c>
    </row>
    <row r="887" customFormat="false" ht="15" hidden="false" customHeight="true" outlineLevel="0" collapsed="false">
      <c r="A887" s="11"/>
      <c r="B887" s="7"/>
      <c r="C887" s="12" t="str">
        <f aca="false">IF($B887="","",IFERROR(INDEX(자원목록!$B$3:$B$102,MATCH($B887,자원목록!$A$3:$A$102,0)),"미등록자원"))</f>
        <v/>
      </c>
      <c r="D887" s="7"/>
      <c r="E887" s="12" t="str">
        <f aca="false">IF($D887="","",IFERROR(INDEX(고객목록!$B$3:$B$502,MATCH($D887,고객목록!$A$3:$A$502,0)),""))</f>
        <v/>
      </c>
      <c r="F887" s="13"/>
      <c r="G887" s="13"/>
      <c r="H887" s="14" t="str">
        <f aca="false">IF(OR($L887="",$M887=""),"",ROUND(($M887-$L887)/60,2))</f>
        <v/>
      </c>
      <c r="I887" s="9"/>
      <c r="J887" s="7"/>
      <c r="K887" s="7"/>
      <c r="L887" s="15" t="str">
        <f aca="false">IF($F887="","",IF($F887&lt;1,ROUND($F887*1440,0),INT($F887/100)*60+MOD($F887,100)))</f>
        <v/>
      </c>
      <c r="M887" s="15" t="str">
        <f aca="false">IF($G887="","",IF($G887&lt;1,ROUND($G887*1440,0),INT($G887/100)*60+MOD($G887,100)))</f>
        <v/>
      </c>
      <c r="N887" s="15" t="str">
        <f aca="false">IF(OR($A887="",$B887="",$L887="",$M887="",$J887="취소"),"",IF(SUMPRODUCT(($A$3:$A$2002=$A887)*($B$3:$B$2002=$B887)*($J$3:$J$2002&lt;&gt;"취소")*($L$3:$L$2002&lt;&gt;"")*($M$3:$M$2002&lt;&gt;"")*($L$3:$L$2002&lt;$M887)*($M$3:$M$2002&gt;$L887))&gt;1,"중복","-"))</f>
        <v/>
      </c>
    </row>
    <row r="888" customFormat="false" ht="15" hidden="false" customHeight="true" outlineLevel="0" collapsed="false">
      <c r="A888" s="11"/>
      <c r="B888" s="7"/>
      <c r="C888" s="12" t="str">
        <f aca="false">IF($B888="","",IFERROR(INDEX(자원목록!$B$3:$B$102,MATCH($B888,자원목록!$A$3:$A$102,0)),"미등록자원"))</f>
        <v/>
      </c>
      <c r="D888" s="7"/>
      <c r="E888" s="12" t="str">
        <f aca="false">IF($D888="","",IFERROR(INDEX(고객목록!$B$3:$B$502,MATCH($D888,고객목록!$A$3:$A$502,0)),""))</f>
        <v/>
      </c>
      <c r="F888" s="13"/>
      <c r="G888" s="13"/>
      <c r="H888" s="14" t="str">
        <f aca="false">IF(OR($L888="",$M888=""),"",ROUND(($M888-$L888)/60,2))</f>
        <v/>
      </c>
      <c r="I888" s="9"/>
      <c r="J888" s="7"/>
      <c r="K888" s="7"/>
      <c r="L888" s="15" t="str">
        <f aca="false">IF($F888="","",IF($F888&lt;1,ROUND($F888*1440,0),INT($F888/100)*60+MOD($F888,100)))</f>
        <v/>
      </c>
      <c r="M888" s="15" t="str">
        <f aca="false">IF($G888="","",IF($G888&lt;1,ROUND($G888*1440,0),INT($G888/100)*60+MOD($G888,100)))</f>
        <v/>
      </c>
      <c r="N888" s="15" t="str">
        <f aca="false">IF(OR($A888="",$B888="",$L888="",$M888="",$J888="취소"),"",IF(SUMPRODUCT(($A$3:$A$2002=$A888)*($B$3:$B$2002=$B888)*($J$3:$J$2002&lt;&gt;"취소")*($L$3:$L$2002&lt;&gt;"")*($M$3:$M$2002&lt;&gt;"")*($L$3:$L$2002&lt;$M888)*($M$3:$M$2002&gt;$L888))&gt;1,"중복","-"))</f>
        <v/>
      </c>
    </row>
    <row r="889" customFormat="false" ht="15" hidden="false" customHeight="true" outlineLevel="0" collapsed="false">
      <c r="A889" s="11"/>
      <c r="B889" s="7"/>
      <c r="C889" s="12" t="str">
        <f aca="false">IF($B889="","",IFERROR(INDEX(자원목록!$B$3:$B$102,MATCH($B889,자원목록!$A$3:$A$102,0)),"미등록자원"))</f>
        <v/>
      </c>
      <c r="D889" s="7"/>
      <c r="E889" s="12" t="str">
        <f aca="false">IF($D889="","",IFERROR(INDEX(고객목록!$B$3:$B$502,MATCH($D889,고객목록!$A$3:$A$502,0)),""))</f>
        <v/>
      </c>
      <c r="F889" s="13"/>
      <c r="G889" s="13"/>
      <c r="H889" s="14" t="str">
        <f aca="false">IF(OR($L889="",$M889=""),"",ROUND(($M889-$L889)/60,2))</f>
        <v/>
      </c>
      <c r="I889" s="9"/>
      <c r="J889" s="7"/>
      <c r="K889" s="7"/>
      <c r="L889" s="15" t="str">
        <f aca="false">IF($F889="","",IF($F889&lt;1,ROUND($F889*1440,0),INT($F889/100)*60+MOD($F889,100)))</f>
        <v/>
      </c>
      <c r="M889" s="15" t="str">
        <f aca="false">IF($G889="","",IF($G889&lt;1,ROUND($G889*1440,0),INT($G889/100)*60+MOD($G889,100)))</f>
        <v/>
      </c>
      <c r="N889" s="15" t="str">
        <f aca="false">IF(OR($A889="",$B889="",$L889="",$M889="",$J889="취소"),"",IF(SUMPRODUCT(($A$3:$A$2002=$A889)*($B$3:$B$2002=$B889)*($J$3:$J$2002&lt;&gt;"취소")*($L$3:$L$2002&lt;&gt;"")*($M$3:$M$2002&lt;&gt;"")*($L$3:$L$2002&lt;$M889)*($M$3:$M$2002&gt;$L889))&gt;1,"중복","-"))</f>
        <v/>
      </c>
    </row>
    <row r="890" customFormat="false" ht="15" hidden="false" customHeight="true" outlineLevel="0" collapsed="false">
      <c r="A890" s="11"/>
      <c r="B890" s="7"/>
      <c r="C890" s="12" t="str">
        <f aca="false">IF($B890="","",IFERROR(INDEX(자원목록!$B$3:$B$102,MATCH($B890,자원목록!$A$3:$A$102,0)),"미등록자원"))</f>
        <v/>
      </c>
      <c r="D890" s="7"/>
      <c r="E890" s="12" t="str">
        <f aca="false">IF($D890="","",IFERROR(INDEX(고객목록!$B$3:$B$502,MATCH($D890,고객목록!$A$3:$A$502,0)),""))</f>
        <v/>
      </c>
      <c r="F890" s="13"/>
      <c r="G890" s="13"/>
      <c r="H890" s="14" t="str">
        <f aca="false">IF(OR($L890="",$M890=""),"",ROUND(($M890-$L890)/60,2))</f>
        <v/>
      </c>
      <c r="I890" s="9"/>
      <c r="J890" s="7"/>
      <c r="K890" s="7"/>
      <c r="L890" s="15" t="str">
        <f aca="false">IF($F890="","",IF($F890&lt;1,ROUND($F890*1440,0),INT($F890/100)*60+MOD($F890,100)))</f>
        <v/>
      </c>
      <c r="M890" s="15" t="str">
        <f aca="false">IF($G890="","",IF($G890&lt;1,ROUND($G890*1440,0),INT($G890/100)*60+MOD($G890,100)))</f>
        <v/>
      </c>
      <c r="N890" s="15" t="str">
        <f aca="false">IF(OR($A890="",$B890="",$L890="",$M890="",$J890="취소"),"",IF(SUMPRODUCT(($A$3:$A$2002=$A890)*($B$3:$B$2002=$B890)*($J$3:$J$2002&lt;&gt;"취소")*($L$3:$L$2002&lt;&gt;"")*($M$3:$M$2002&lt;&gt;"")*($L$3:$L$2002&lt;$M890)*($M$3:$M$2002&gt;$L890))&gt;1,"중복","-"))</f>
        <v/>
      </c>
    </row>
    <row r="891" customFormat="false" ht="15" hidden="false" customHeight="true" outlineLevel="0" collapsed="false">
      <c r="A891" s="11"/>
      <c r="B891" s="7"/>
      <c r="C891" s="12" t="str">
        <f aca="false">IF($B891="","",IFERROR(INDEX(자원목록!$B$3:$B$102,MATCH($B891,자원목록!$A$3:$A$102,0)),"미등록자원"))</f>
        <v/>
      </c>
      <c r="D891" s="7"/>
      <c r="E891" s="12" t="str">
        <f aca="false">IF($D891="","",IFERROR(INDEX(고객목록!$B$3:$B$502,MATCH($D891,고객목록!$A$3:$A$502,0)),""))</f>
        <v/>
      </c>
      <c r="F891" s="13"/>
      <c r="G891" s="13"/>
      <c r="H891" s="14" t="str">
        <f aca="false">IF(OR($L891="",$M891=""),"",ROUND(($M891-$L891)/60,2))</f>
        <v/>
      </c>
      <c r="I891" s="9"/>
      <c r="J891" s="7"/>
      <c r="K891" s="7"/>
      <c r="L891" s="15" t="str">
        <f aca="false">IF($F891="","",IF($F891&lt;1,ROUND($F891*1440,0),INT($F891/100)*60+MOD($F891,100)))</f>
        <v/>
      </c>
      <c r="M891" s="15" t="str">
        <f aca="false">IF($G891="","",IF($G891&lt;1,ROUND($G891*1440,0),INT($G891/100)*60+MOD($G891,100)))</f>
        <v/>
      </c>
      <c r="N891" s="15" t="str">
        <f aca="false">IF(OR($A891="",$B891="",$L891="",$M891="",$J891="취소"),"",IF(SUMPRODUCT(($A$3:$A$2002=$A891)*($B$3:$B$2002=$B891)*($J$3:$J$2002&lt;&gt;"취소")*($L$3:$L$2002&lt;&gt;"")*($M$3:$M$2002&lt;&gt;"")*($L$3:$L$2002&lt;$M891)*($M$3:$M$2002&gt;$L891))&gt;1,"중복","-"))</f>
        <v/>
      </c>
    </row>
    <row r="892" customFormat="false" ht="15" hidden="false" customHeight="true" outlineLevel="0" collapsed="false">
      <c r="A892" s="11"/>
      <c r="B892" s="7"/>
      <c r="C892" s="12" t="str">
        <f aca="false">IF($B892="","",IFERROR(INDEX(자원목록!$B$3:$B$102,MATCH($B892,자원목록!$A$3:$A$102,0)),"미등록자원"))</f>
        <v/>
      </c>
      <c r="D892" s="7"/>
      <c r="E892" s="12" t="str">
        <f aca="false">IF($D892="","",IFERROR(INDEX(고객목록!$B$3:$B$502,MATCH($D892,고객목록!$A$3:$A$502,0)),""))</f>
        <v/>
      </c>
      <c r="F892" s="13"/>
      <c r="G892" s="13"/>
      <c r="H892" s="14" t="str">
        <f aca="false">IF(OR($L892="",$M892=""),"",ROUND(($M892-$L892)/60,2))</f>
        <v/>
      </c>
      <c r="I892" s="9"/>
      <c r="J892" s="7"/>
      <c r="K892" s="7"/>
      <c r="L892" s="15" t="str">
        <f aca="false">IF($F892="","",IF($F892&lt;1,ROUND($F892*1440,0),INT($F892/100)*60+MOD($F892,100)))</f>
        <v/>
      </c>
      <c r="M892" s="15" t="str">
        <f aca="false">IF($G892="","",IF($G892&lt;1,ROUND($G892*1440,0),INT($G892/100)*60+MOD($G892,100)))</f>
        <v/>
      </c>
      <c r="N892" s="15" t="str">
        <f aca="false">IF(OR($A892="",$B892="",$L892="",$M892="",$J892="취소"),"",IF(SUMPRODUCT(($A$3:$A$2002=$A892)*($B$3:$B$2002=$B892)*($J$3:$J$2002&lt;&gt;"취소")*($L$3:$L$2002&lt;&gt;"")*($M$3:$M$2002&lt;&gt;"")*($L$3:$L$2002&lt;$M892)*($M$3:$M$2002&gt;$L892))&gt;1,"중복","-"))</f>
        <v/>
      </c>
    </row>
    <row r="893" customFormat="false" ht="15" hidden="false" customHeight="true" outlineLevel="0" collapsed="false">
      <c r="A893" s="11"/>
      <c r="B893" s="7"/>
      <c r="C893" s="12" t="str">
        <f aca="false">IF($B893="","",IFERROR(INDEX(자원목록!$B$3:$B$102,MATCH($B893,자원목록!$A$3:$A$102,0)),"미등록자원"))</f>
        <v/>
      </c>
      <c r="D893" s="7"/>
      <c r="E893" s="12" t="str">
        <f aca="false">IF($D893="","",IFERROR(INDEX(고객목록!$B$3:$B$502,MATCH($D893,고객목록!$A$3:$A$502,0)),""))</f>
        <v/>
      </c>
      <c r="F893" s="13"/>
      <c r="G893" s="13"/>
      <c r="H893" s="14" t="str">
        <f aca="false">IF(OR($L893="",$M893=""),"",ROUND(($M893-$L893)/60,2))</f>
        <v/>
      </c>
      <c r="I893" s="9"/>
      <c r="J893" s="7"/>
      <c r="K893" s="7"/>
      <c r="L893" s="15" t="str">
        <f aca="false">IF($F893="","",IF($F893&lt;1,ROUND($F893*1440,0),INT($F893/100)*60+MOD($F893,100)))</f>
        <v/>
      </c>
      <c r="M893" s="15" t="str">
        <f aca="false">IF($G893="","",IF($G893&lt;1,ROUND($G893*1440,0),INT($G893/100)*60+MOD($G893,100)))</f>
        <v/>
      </c>
      <c r="N893" s="15" t="str">
        <f aca="false">IF(OR($A893="",$B893="",$L893="",$M893="",$J893="취소"),"",IF(SUMPRODUCT(($A$3:$A$2002=$A893)*($B$3:$B$2002=$B893)*($J$3:$J$2002&lt;&gt;"취소")*($L$3:$L$2002&lt;&gt;"")*($M$3:$M$2002&lt;&gt;"")*($L$3:$L$2002&lt;$M893)*($M$3:$M$2002&gt;$L893))&gt;1,"중복","-"))</f>
        <v/>
      </c>
    </row>
    <row r="894" customFormat="false" ht="15" hidden="false" customHeight="true" outlineLevel="0" collapsed="false">
      <c r="A894" s="11"/>
      <c r="B894" s="7"/>
      <c r="C894" s="12" t="str">
        <f aca="false">IF($B894="","",IFERROR(INDEX(자원목록!$B$3:$B$102,MATCH($B894,자원목록!$A$3:$A$102,0)),"미등록자원"))</f>
        <v/>
      </c>
      <c r="D894" s="7"/>
      <c r="E894" s="12" t="str">
        <f aca="false">IF($D894="","",IFERROR(INDEX(고객목록!$B$3:$B$502,MATCH($D894,고객목록!$A$3:$A$502,0)),""))</f>
        <v/>
      </c>
      <c r="F894" s="13"/>
      <c r="G894" s="13"/>
      <c r="H894" s="14" t="str">
        <f aca="false">IF(OR($L894="",$M894=""),"",ROUND(($M894-$L894)/60,2))</f>
        <v/>
      </c>
      <c r="I894" s="9"/>
      <c r="J894" s="7"/>
      <c r="K894" s="7"/>
      <c r="L894" s="15" t="str">
        <f aca="false">IF($F894="","",IF($F894&lt;1,ROUND($F894*1440,0),INT($F894/100)*60+MOD($F894,100)))</f>
        <v/>
      </c>
      <c r="M894" s="15" t="str">
        <f aca="false">IF($G894="","",IF($G894&lt;1,ROUND($G894*1440,0),INT($G894/100)*60+MOD($G894,100)))</f>
        <v/>
      </c>
      <c r="N894" s="15" t="str">
        <f aca="false">IF(OR($A894="",$B894="",$L894="",$M894="",$J894="취소"),"",IF(SUMPRODUCT(($A$3:$A$2002=$A894)*($B$3:$B$2002=$B894)*($J$3:$J$2002&lt;&gt;"취소")*($L$3:$L$2002&lt;&gt;"")*($M$3:$M$2002&lt;&gt;"")*($L$3:$L$2002&lt;$M894)*($M$3:$M$2002&gt;$L894))&gt;1,"중복","-"))</f>
        <v/>
      </c>
    </row>
    <row r="895" customFormat="false" ht="15" hidden="false" customHeight="true" outlineLevel="0" collapsed="false">
      <c r="A895" s="11"/>
      <c r="B895" s="7"/>
      <c r="C895" s="12" t="str">
        <f aca="false">IF($B895="","",IFERROR(INDEX(자원목록!$B$3:$B$102,MATCH($B895,자원목록!$A$3:$A$102,0)),"미등록자원"))</f>
        <v/>
      </c>
      <c r="D895" s="7"/>
      <c r="E895" s="12" t="str">
        <f aca="false">IF($D895="","",IFERROR(INDEX(고객목록!$B$3:$B$502,MATCH($D895,고객목록!$A$3:$A$502,0)),""))</f>
        <v/>
      </c>
      <c r="F895" s="13"/>
      <c r="G895" s="13"/>
      <c r="H895" s="14" t="str">
        <f aca="false">IF(OR($L895="",$M895=""),"",ROUND(($M895-$L895)/60,2))</f>
        <v/>
      </c>
      <c r="I895" s="9"/>
      <c r="J895" s="7"/>
      <c r="K895" s="7"/>
      <c r="L895" s="15" t="str">
        <f aca="false">IF($F895="","",IF($F895&lt;1,ROUND($F895*1440,0),INT($F895/100)*60+MOD($F895,100)))</f>
        <v/>
      </c>
      <c r="M895" s="15" t="str">
        <f aca="false">IF($G895="","",IF($G895&lt;1,ROUND($G895*1440,0),INT($G895/100)*60+MOD($G895,100)))</f>
        <v/>
      </c>
      <c r="N895" s="15" t="str">
        <f aca="false">IF(OR($A895="",$B895="",$L895="",$M895="",$J895="취소"),"",IF(SUMPRODUCT(($A$3:$A$2002=$A895)*($B$3:$B$2002=$B895)*($J$3:$J$2002&lt;&gt;"취소")*($L$3:$L$2002&lt;&gt;"")*($M$3:$M$2002&lt;&gt;"")*($L$3:$L$2002&lt;$M895)*($M$3:$M$2002&gt;$L895))&gt;1,"중복","-"))</f>
        <v/>
      </c>
    </row>
    <row r="896" customFormat="false" ht="15" hidden="false" customHeight="true" outlineLevel="0" collapsed="false">
      <c r="A896" s="11"/>
      <c r="B896" s="7"/>
      <c r="C896" s="12" t="str">
        <f aca="false">IF($B896="","",IFERROR(INDEX(자원목록!$B$3:$B$102,MATCH($B896,자원목록!$A$3:$A$102,0)),"미등록자원"))</f>
        <v/>
      </c>
      <c r="D896" s="7"/>
      <c r="E896" s="12" t="str">
        <f aca="false">IF($D896="","",IFERROR(INDEX(고객목록!$B$3:$B$502,MATCH($D896,고객목록!$A$3:$A$502,0)),""))</f>
        <v/>
      </c>
      <c r="F896" s="13"/>
      <c r="G896" s="13"/>
      <c r="H896" s="14" t="str">
        <f aca="false">IF(OR($L896="",$M896=""),"",ROUND(($M896-$L896)/60,2))</f>
        <v/>
      </c>
      <c r="I896" s="9"/>
      <c r="J896" s="7"/>
      <c r="K896" s="7"/>
      <c r="L896" s="15" t="str">
        <f aca="false">IF($F896="","",IF($F896&lt;1,ROUND($F896*1440,0),INT($F896/100)*60+MOD($F896,100)))</f>
        <v/>
      </c>
      <c r="M896" s="15" t="str">
        <f aca="false">IF($G896="","",IF($G896&lt;1,ROUND($G896*1440,0),INT($G896/100)*60+MOD($G896,100)))</f>
        <v/>
      </c>
      <c r="N896" s="15" t="str">
        <f aca="false">IF(OR($A896="",$B896="",$L896="",$M896="",$J896="취소"),"",IF(SUMPRODUCT(($A$3:$A$2002=$A896)*($B$3:$B$2002=$B896)*($J$3:$J$2002&lt;&gt;"취소")*($L$3:$L$2002&lt;&gt;"")*($M$3:$M$2002&lt;&gt;"")*($L$3:$L$2002&lt;$M896)*($M$3:$M$2002&gt;$L896))&gt;1,"중복","-"))</f>
        <v/>
      </c>
    </row>
    <row r="897" customFormat="false" ht="15" hidden="false" customHeight="true" outlineLevel="0" collapsed="false">
      <c r="A897" s="11"/>
      <c r="B897" s="7"/>
      <c r="C897" s="12" t="str">
        <f aca="false">IF($B897="","",IFERROR(INDEX(자원목록!$B$3:$B$102,MATCH($B897,자원목록!$A$3:$A$102,0)),"미등록자원"))</f>
        <v/>
      </c>
      <c r="D897" s="7"/>
      <c r="E897" s="12" t="str">
        <f aca="false">IF($D897="","",IFERROR(INDEX(고객목록!$B$3:$B$502,MATCH($D897,고객목록!$A$3:$A$502,0)),""))</f>
        <v/>
      </c>
      <c r="F897" s="13"/>
      <c r="G897" s="13"/>
      <c r="H897" s="14" t="str">
        <f aca="false">IF(OR($L897="",$M897=""),"",ROUND(($M897-$L897)/60,2))</f>
        <v/>
      </c>
      <c r="I897" s="9"/>
      <c r="J897" s="7"/>
      <c r="K897" s="7"/>
      <c r="L897" s="15" t="str">
        <f aca="false">IF($F897="","",IF($F897&lt;1,ROUND($F897*1440,0),INT($F897/100)*60+MOD($F897,100)))</f>
        <v/>
      </c>
      <c r="M897" s="15" t="str">
        <f aca="false">IF($G897="","",IF($G897&lt;1,ROUND($G897*1440,0),INT($G897/100)*60+MOD($G897,100)))</f>
        <v/>
      </c>
      <c r="N897" s="15" t="str">
        <f aca="false">IF(OR($A897="",$B897="",$L897="",$M897="",$J897="취소"),"",IF(SUMPRODUCT(($A$3:$A$2002=$A897)*($B$3:$B$2002=$B897)*($J$3:$J$2002&lt;&gt;"취소")*($L$3:$L$2002&lt;&gt;"")*($M$3:$M$2002&lt;&gt;"")*($L$3:$L$2002&lt;$M897)*($M$3:$M$2002&gt;$L897))&gt;1,"중복","-"))</f>
        <v/>
      </c>
    </row>
    <row r="898" customFormat="false" ht="15" hidden="false" customHeight="true" outlineLevel="0" collapsed="false">
      <c r="A898" s="11"/>
      <c r="B898" s="7"/>
      <c r="C898" s="12" t="str">
        <f aca="false">IF($B898="","",IFERROR(INDEX(자원목록!$B$3:$B$102,MATCH($B898,자원목록!$A$3:$A$102,0)),"미등록자원"))</f>
        <v/>
      </c>
      <c r="D898" s="7"/>
      <c r="E898" s="12" t="str">
        <f aca="false">IF($D898="","",IFERROR(INDEX(고객목록!$B$3:$B$502,MATCH($D898,고객목록!$A$3:$A$502,0)),""))</f>
        <v/>
      </c>
      <c r="F898" s="13"/>
      <c r="G898" s="13"/>
      <c r="H898" s="14" t="str">
        <f aca="false">IF(OR($L898="",$M898=""),"",ROUND(($M898-$L898)/60,2))</f>
        <v/>
      </c>
      <c r="I898" s="9"/>
      <c r="J898" s="7"/>
      <c r="K898" s="7"/>
      <c r="L898" s="15" t="str">
        <f aca="false">IF($F898="","",IF($F898&lt;1,ROUND($F898*1440,0),INT($F898/100)*60+MOD($F898,100)))</f>
        <v/>
      </c>
      <c r="M898" s="15" t="str">
        <f aca="false">IF($G898="","",IF($G898&lt;1,ROUND($G898*1440,0),INT($G898/100)*60+MOD($G898,100)))</f>
        <v/>
      </c>
      <c r="N898" s="15" t="str">
        <f aca="false">IF(OR($A898="",$B898="",$L898="",$M898="",$J898="취소"),"",IF(SUMPRODUCT(($A$3:$A$2002=$A898)*($B$3:$B$2002=$B898)*($J$3:$J$2002&lt;&gt;"취소")*($L$3:$L$2002&lt;&gt;"")*($M$3:$M$2002&lt;&gt;"")*($L$3:$L$2002&lt;$M898)*($M$3:$M$2002&gt;$L898))&gt;1,"중복","-"))</f>
        <v/>
      </c>
    </row>
    <row r="899" customFormat="false" ht="15" hidden="false" customHeight="true" outlineLevel="0" collapsed="false">
      <c r="A899" s="11"/>
      <c r="B899" s="7"/>
      <c r="C899" s="12" t="str">
        <f aca="false">IF($B899="","",IFERROR(INDEX(자원목록!$B$3:$B$102,MATCH($B899,자원목록!$A$3:$A$102,0)),"미등록자원"))</f>
        <v/>
      </c>
      <c r="D899" s="7"/>
      <c r="E899" s="12" t="str">
        <f aca="false">IF($D899="","",IFERROR(INDEX(고객목록!$B$3:$B$502,MATCH($D899,고객목록!$A$3:$A$502,0)),""))</f>
        <v/>
      </c>
      <c r="F899" s="13"/>
      <c r="G899" s="13"/>
      <c r="H899" s="14" t="str">
        <f aca="false">IF(OR($L899="",$M899=""),"",ROUND(($M899-$L899)/60,2))</f>
        <v/>
      </c>
      <c r="I899" s="9"/>
      <c r="J899" s="7"/>
      <c r="K899" s="7"/>
      <c r="L899" s="15" t="str">
        <f aca="false">IF($F899="","",IF($F899&lt;1,ROUND($F899*1440,0),INT($F899/100)*60+MOD($F899,100)))</f>
        <v/>
      </c>
      <c r="M899" s="15" t="str">
        <f aca="false">IF($G899="","",IF($G899&lt;1,ROUND($G899*1440,0),INT($G899/100)*60+MOD($G899,100)))</f>
        <v/>
      </c>
      <c r="N899" s="15" t="str">
        <f aca="false">IF(OR($A899="",$B899="",$L899="",$M899="",$J899="취소"),"",IF(SUMPRODUCT(($A$3:$A$2002=$A899)*($B$3:$B$2002=$B899)*($J$3:$J$2002&lt;&gt;"취소")*($L$3:$L$2002&lt;&gt;"")*($M$3:$M$2002&lt;&gt;"")*($L$3:$L$2002&lt;$M899)*($M$3:$M$2002&gt;$L899))&gt;1,"중복","-"))</f>
        <v/>
      </c>
    </row>
    <row r="900" customFormat="false" ht="15" hidden="false" customHeight="true" outlineLevel="0" collapsed="false">
      <c r="A900" s="11"/>
      <c r="B900" s="7"/>
      <c r="C900" s="12" t="str">
        <f aca="false">IF($B900="","",IFERROR(INDEX(자원목록!$B$3:$B$102,MATCH($B900,자원목록!$A$3:$A$102,0)),"미등록자원"))</f>
        <v/>
      </c>
      <c r="D900" s="7"/>
      <c r="E900" s="12" t="str">
        <f aca="false">IF($D900="","",IFERROR(INDEX(고객목록!$B$3:$B$502,MATCH($D900,고객목록!$A$3:$A$502,0)),""))</f>
        <v/>
      </c>
      <c r="F900" s="13"/>
      <c r="G900" s="13"/>
      <c r="H900" s="14" t="str">
        <f aca="false">IF(OR($L900="",$M900=""),"",ROUND(($M900-$L900)/60,2))</f>
        <v/>
      </c>
      <c r="I900" s="9"/>
      <c r="J900" s="7"/>
      <c r="K900" s="7"/>
      <c r="L900" s="15" t="str">
        <f aca="false">IF($F900="","",IF($F900&lt;1,ROUND($F900*1440,0),INT($F900/100)*60+MOD($F900,100)))</f>
        <v/>
      </c>
      <c r="M900" s="15" t="str">
        <f aca="false">IF($G900="","",IF($G900&lt;1,ROUND($G900*1440,0),INT($G900/100)*60+MOD($G900,100)))</f>
        <v/>
      </c>
      <c r="N900" s="15" t="str">
        <f aca="false">IF(OR($A900="",$B900="",$L900="",$M900="",$J900="취소"),"",IF(SUMPRODUCT(($A$3:$A$2002=$A900)*($B$3:$B$2002=$B900)*($J$3:$J$2002&lt;&gt;"취소")*($L$3:$L$2002&lt;&gt;"")*($M$3:$M$2002&lt;&gt;"")*($L$3:$L$2002&lt;$M900)*($M$3:$M$2002&gt;$L900))&gt;1,"중복","-"))</f>
        <v/>
      </c>
    </row>
    <row r="901" customFormat="false" ht="15" hidden="false" customHeight="true" outlineLevel="0" collapsed="false">
      <c r="A901" s="11"/>
      <c r="B901" s="7"/>
      <c r="C901" s="12" t="str">
        <f aca="false">IF($B901="","",IFERROR(INDEX(자원목록!$B$3:$B$102,MATCH($B901,자원목록!$A$3:$A$102,0)),"미등록자원"))</f>
        <v/>
      </c>
      <c r="D901" s="7"/>
      <c r="E901" s="12" t="str">
        <f aca="false">IF($D901="","",IFERROR(INDEX(고객목록!$B$3:$B$502,MATCH($D901,고객목록!$A$3:$A$502,0)),""))</f>
        <v/>
      </c>
      <c r="F901" s="13"/>
      <c r="G901" s="13"/>
      <c r="H901" s="14" t="str">
        <f aca="false">IF(OR($L901="",$M901=""),"",ROUND(($M901-$L901)/60,2))</f>
        <v/>
      </c>
      <c r="I901" s="9"/>
      <c r="J901" s="7"/>
      <c r="K901" s="7"/>
      <c r="L901" s="15" t="str">
        <f aca="false">IF($F901="","",IF($F901&lt;1,ROUND($F901*1440,0),INT($F901/100)*60+MOD($F901,100)))</f>
        <v/>
      </c>
      <c r="M901" s="15" t="str">
        <f aca="false">IF($G901="","",IF($G901&lt;1,ROUND($G901*1440,0),INT($G901/100)*60+MOD($G901,100)))</f>
        <v/>
      </c>
      <c r="N901" s="15" t="str">
        <f aca="false">IF(OR($A901="",$B901="",$L901="",$M901="",$J901="취소"),"",IF(SUMPRODUCT(($A$3:$A$2002=$A901)*($B$3:$B$2002=$B901)*($J$3:$J$2002&lt;&gt;"취소")*($L$3:$L$2002&lt;&gt;"")*($M$3:$M$2002&lt;&gt;"")*($L$3:$L$2002&lt;$M901)*($M$3:$M$2002&gt;$L901))&gt;1,"중복","-"))</f>
        <v/>
      </c>
    </row>
    <row r="902" customFormat="false" ht="15" hidden="false" customHeight="true" outlineLevel="0" collapsed="false">
      <c r="A902" s="11"/>
      <c r="B902" s="7"/>
      <c r="C902" s="12" t="str">
        <f aca="false">IF($B902="","",IFERROR(INDEX(자원목록!$B$3:$B$102,MATCH($B902,자원목록!$A$3:$A$102,0)),"미등록자원"))</f>
        <v/>
      </c>
      <c r="D902" s="7"/>
      <c r="E902" s="12" t="str">
        <f aca="false">IF($D902="","",IFERROR(INDEX(고객목록!$B$3:$B$502,MATCH($D902,고객목록!$A$3:$A$502,0)),""))</f>
        <v/>
      </c>
      <c r="F902" s="13"/>
      <c r="G902" s="13"/>
      <c r="H902" s="14" t="str">
        <f aca="false">IF(OR($L902="",$M902=""),"",ROUND(($M902-$L902)/60,2))</f>
        <v/>
      </c>
      <c r="I902" s="9"/>
      <c r="J902" s="7"/>
      <c r="K902" s="7"/>
      <c r="L902" s="15" t="str">
        <f aca="false">IF($F902="","",IF($F902&lt;1,ROUND($F902*1440,0),INT($F902/100)*60+MOD($F902,100)))</f>
        <v/>
      </c>
      <c r="M902" s="15" t="str">
        <f aca="false">IF($G902="","",IF($G902&lt;1,ROUND($G902*1440,0),INT($G902/100)*60+MOD($G902,100)))</f>
        <v/>
      </c>
      <c r="N902" s="15" t="str">
        <f aca="false">IF(OR($A902="",$B902="",$L902="",$M902="",$J902="취소"),"",IF(SUMPRODUCT(($A$3:$A$2002=$A902)*($B$3:$B$2002=$B902)*($J$3:$J$2002&lt;&gt;"취소")*($L$3:$L$2002&lt;&gt;"")*($M$3:$M$2002&lt;&gt;"")*($L$3:$L$2002&lt;$M902)*($M$3:$M$2002&gt;$L902))&gt;1,"중복","-"))</f>
        <v/>
      </c>
    </row>
    <row r="903" customFormat="false" ht="15" hidden="false" customHeight="true" outlineLevel="0" collapsed="false">
      <c r="A903" s="11"/>
      <c r="B903" s="7"/>
      <c r="C903" s="12" t="str">
        <f aca="false">IF($B903="","",IFERROR(INDEX(자원목록!$B$3:$B$102,MATCH($B903,자원목록!$A$3:$A$102,0)),"미등록자원"))</f>
        <v/>
      </c>
      <c r="D903" s="7"/>
      <c r="E903" s="12" t="str">
        <f aca="false">IF($D903="","",IFERROR(INDEX(고객목록!$B$3:$B$502,MATCH($D903,고객목록!$A$3:$A$502,0)),""))</f>
        <v/>
      </c>
      <c r="F903" s="13"/>
      <c r="G903" s="13"/>
      <c r="H903" s="14" t="str">
        <f aca="false">IF(OR($L903="",$M903=""),"",ROUND(($M903-$L903)/60,2))</f>
        <v/>
      </c>
      <c r="I903" s="9"/>
      <c r="J903" s="7"/>
      <c r="K903" s="7"/>
      <c r="L903" s="15" t="str">
        <f aca="false">IF($F903="","",IF($F903&lt;1,ROUND($F903*1440,0),INT($F903/100)*60+MOD($F903,100)))</f>
        <v/>
      </c>
      <c r="M903" s="15" t="str">
        <f aca="false">IF($G903="","",IF($G903&lt;1,ROUND($G903*1440,0),INT($G903/100)*60+MOD($G903,100)))</f>
        <v/>
      </c>
      <c r="N903" s="15" t="str">
        <f aca="false">IF(OR($A903="",$B903="",$L903="",$M903="",$J903="취소"),"",IF(SUMPRODUCT(($A$3:$A$2002=$A903)*($B$3:$B$2002=$B903)*($J$3:$J$2002&lt;&gt;"취소")*($L$3:$L$2002&lt;&gt;"")*($M$3:$M$2002&lt;&gt;"")*($L$3:$L$2002&lt;$M903)*($M$3:$M$2002&gt;$L903))&gt;1,"중복","-"))</f>
        <v/>
      </c>
    </row>
    <row r="904" customFormat="false" ht="15" hidden="false" customHeight="true" outlineLevel="0" collapsed="false">
      <c r="A904" s="11"/>
      <c r="B904" s="7"/>
      <c r="C904" s="12" t="str">
        <f aca="false">IF($B904="","",IFERROR(INDEX(자원목록!$B$3:$B$102,MATCH($B904,자원목록!$A$3:$A$102,0)),"미등록자원"))</f>
        <v/>
      </c>
      <c r="D904" s="7"/>
      <c r="E904" s="12" t="str">
        <f aca="false">IF($D904="","",IFERROR(INDEX(고객목록!$B$3:$B$502,MATCH($D904,고객목록!$A$3:$A$502,0)),""))</f>
        <v/>
      </c>
      <c r="F904" s="13"/>
      <c r="G904" s="13"/>
      <c r="H904" s="14" t="str">
        <f aca="false">IF(OR($L904="",$M904=""),"",ROUND(($M904-$L904)/60,2))</f>
        <v/>
      </c>
      <c r="I904" s="9"/>
      <c r="J904" s="7"/>
      <c r="K904" s="7"/>
      <c r="L904" s="15" t="str">
        <f aca="false">IF($F904="","",IF($F904&lt;1,ROUND($F904*1440,0),INT($F904/100)*60+MOD($F904,100)))</f>
        <v/>
      </c>
      <c r="M904" s="15" t="str">
        <f aca="false">IF($G904="","",IF($G904&lt;1,ROUND($G904*1440,0),INT($G904/100)*60+MOD($G904,100)))</f>
        <v/>
      </c>
      <c r="N904" s="15" t="str">
        <f aca="false">IF(OR($A904="",$B904="",$L904="",$M904="",$J904="취소"),"",IF(SUMPRODUCT(($A$3:$A$2002=$A904)*($B$3:$B$2002=$B904)*($J$3:$J$2002&lt;&gt;"취소")*($L$3:$L$2002&lt;&gt;"")*($M$3:$M$2002&lt;&gt;"")*($L$3:$L$2002&lt;$M904)*($M$3:$M$2002&gt;$L904))&gt;1,"중복","-"))</f>
        <v/>
      </c>
    </row>
    <row r="905" customFormat="false" ht="15" hidden="false" customHeight="true" outlineLevel="0" collapsed="false">
      <c r="A905" s="11"/>
      <c r="B905" s="7"/>
      <c r="C905" s="12" t="str">
        <f aca="false">IF($B905="","",IFERROR(INDEX(자원목록!$B$3:$B$102,MATCH($B905,자원목록!$A$3:$A$102,0)),"미등록자원"))</f>
        <v/>
      </c>
      <c r="D905" s="7"/>
      <c r="E905" s="12" t="str">
        <f aca="false">IF($D905="","",IFERROR(INDEX(고객목록!$B$3:$B$502,MATCH($D905,고객목록!$A$3:$A$502,0)),""))</f>
        <v/>
      </c>
      <c r="F905" s="13"/>
      <c r="G905" s="13"/>
      <c r="H905" s="14" t="str">
        <f aca="false">IF(OR($L905="",$M905=""),"",ROUND(($M905-$L905)/60,2))</f>
        <v/>
      </c>
      <c r="I905" s="9"/>
      <c r="J905" s="7"/>
      <c r="K905" s="7"/>
      <c r="L905" s="15" t="str">
        <f aca="false">IF($F905="","",IF($F905&lt;1,ROUND($F905*1440,0),INT($F905/100)*60+MOD($F905,100)))</f>
        <v/>
      </c>
      <c r="M905" s="15" t="str">
        <f aca="false">IF($G905="","",IF($G905&lt;1,ROUND($G905*1440,0),INT($G905/100)*60+MOD($G905,100)))</f>
        <v/>
      </c>
      <c r="N905" s="15" t="str">
        <f aca="false">IF(OR($A905="",$B905="",$L905="",$M905="",$J905="취소"),"",IF(SUMPRODUCT(($A$3:$A$2002=$A905)*($B$3:$B$2002=$B905)*($J$3:$J$2002&lt;&gt;"취소")*($L$3:$L$2002&lt;&gt;"")*($M$3:$M$2002&lt;&gt;"")*($L$3:$L$2002&lt;$M905)*($M$3:$M$2002&gt;$L905))&gt;1,"중복","-"))</f>
        <v/>
      </c>
    </row>
    <row r="906" customFormat="false" ht="15" hidden="false" customHeight="true" outlineLevel="0" collapsed="false">
      <c r="A906" s="11"/>
      <c r="B906" s="7"/>
      <c r="C906" s="12" t="str">
        <f aca="false">IF($B906="","",IFERROR(INDEX(자원목록!$B$3:$B$102,MATCH($B906,자원목록!$A$3:$A$102,0)),"미등록자원"))</f>
        <v/>
      </c>
      <c r="D906" s="7"/>
      <c r="E906" s="12" t="str">
        <f aca="false">IF($D906="","",IFERROR(INDEX(고객목록!$B$3:$B$502,MATCH($D906,고객목록!$A$3:$A$502,0)),""))</f>
        <v/>
      </c>
      <c r="F906" s="13"/>
      <c r="G906" s="13"/>
      <c r="H906" s="14" t="str">
        <f aca="false">IF(OR($L906="",$M906=""),"",ROUND(($M906-$L906)/60,2))</f>
        <v/>
      </c>
      <c r="I906" s="9"/>
      <c r="J906" s="7"/>
      <c r="K906" s="7"/>
      <c r="L906" s="15" t="str">
        <f aca="false">IF($F906="","",IF($F906&lt;1,ROUND($F906*1440,0),INT($F906/100)*60+MOD($F906,100)))</f>
        <v/>
      </c>
      <c r="M906" s="15" t="str">
        <f aca="false">IF($G906="","",IF($G906&lt;1,ROUND($G906*1440,0),INT($G906/100)*60+MOD($G906,100)))</f>
        <v/>
      </c>
      <c r="N906" s="15" t="str">
        <f aca="false">IF(OR($A906="",$B906="",$L906="",$M906="",$J906="취소"),"",IF(SUMPRODUCT(($A$3:$A$2002=$A906)*($B$3:$B$2002=$B906)*($J$3:$J$2002&lt;&gt;"취소")*($L$3:$L$2002&lt;&gt;"")*($M$3:$M$2002&lt;&gt;"")*($L$3:$L$2002&lt;$M906)*($M$3:$M$2002&gt;$L906))&gt;1,"중복","-"))</f>
        <v/>
      </c>
    </row>
    <row r="907" customFormat="false" ht="15" hidden="false" customHeight="true" outlineLevel="0" collapsed="false">
      <c r="A907" s="11"/>
      <c r="B907" s="7"/>
      <c r="C907" s="12" t="str">
        <f aca="false">IF($B907="","",IFERROR(INDEX(자원목록!$B$3:$B$102,MATCH($B907,자원목록!$A$3:$A$102,0)),"미등록자원"))</f>
        <v/>
      </c>
      <c r="D907" s="7"/>
      <c r="E907" s="12" t="str">
        <f aca="false">IF($D907="","",IFERROR(INDEX(고객목록!$B$3:$B$502,MATCH($D907,고객목록!$A$3:$A$502,0)),""))</f>
        <v/>
      </c>
      <c r="F907" s="13"/>
      <c r="G907" s="13"/>
      <c r="H907" s="14" t="str">
        <f aca="false">IF(OR($L907="",$M907=""),"",ROUND(($M907-$L907)/60,2))</f>
        <v/>
      </c>
      <c r="I907" s="9"/>
      <c r="J907" s="7"/>
      <c r="K907" s="7"/>
      <c r="L907" s="15" t="str">
        <f aca="false">IF($F907="","",IF($F907&lt;1,ROUND($F907*1440,0),INT($F907/100)*60+MOD($F907,100)))</f>
        <v/>
      </c>
      <c r="M907" s="15" t="str">
        <f aca="false">IF($G907="","",IF($G907&lt;1,ROUND($G907*1440,0),INT($G907/100)*60+MOD($G907,100)))</f>
        <v/>
      </c>
      <c r="N907" s="15" t="str">
        <f aca="false">IF(OR($A907="",$B907="",$L907="",$M907="",$J907="취소"),"",IF(SUMPRODUCT(($A$3:$A$2002=$A907)*($B$3:$B$2002=$B907)*($J$3:$J$2002&lt;&gt;"취소")*($L$3:$L$2002&lt;&gt;"")*($M$3:$M$2002&lt;&gt;"")*($L$3:$L$2002&lt;$M907)*($M$3:$M$2002&gt;$L907))&gt;1,"중복","-"))</f>
        <v/>
      </c>
    </row>
    <row r="908" customFormat="false" ht="15" hidden="false" customHeight="true" outlineLevel="0" collapsed="false">
      <c r="A908" s="11"/>
      <c r="B908" s="7"/>
      <c r="C908" s="12" t="str">
        <f aca="false">IF($B908="","",IFERROR(INDEX(자원목록!$B$3:$B$102,MATCH($B908,자원목록!$A$3:$A$102,0)),"미등록자원"))</f>
        <v/>
      </c>
      <c r="D908" s="7"/>
      <c r="E908" s="12" t="str">
        <f aca="false">IF($D908="","",IFERROR(INDEX(고객목록!$B$3:$B$502,MATCH($D908,고객목록!$A$3:$A$502,0)),""))</f>
        <v/>
      </c>
      <c r="F908" s="13"/>
      <c r="G908" s="13"/>
      <c r="H908" s="14" t="str">
        <f aca="false">IF(OR($L908="",$M908=""),"",ROUND(($M908-$L908)/60,2))</f>
        <v/>
      </c>
      <c r="I908" s="9"/>
      <c r="J908" s="7"/>
      <c r="K908" s="7"/>
      <c r="L908" s="15" t="str">
        <f aca="false">IF($F908="","",IF($F908&lt;1,ROUND($F908*1440,0),INT($F908/100)*60+MOD($F908,100)))</f>
        <v/>
      </c>
      <c r="M908" s="15" t="str">
        <f aca="false">IF($G908="","",IF($G908&lt;1,ROUND($G908*1440,0),INT($G908/100)*60+MOD($G908,100)))</f>
        <v/>
      </c>
      <c r="N908" s="15" t="str">
        <f aca="false">IF(OR($A908="",$B908="",$L908="",$M908="",$J908="취소"),"",IF(SUMPRODUCT(($A$3:$A$2002=$A908)*($B$3:$B$2002=$B908)*($J$3:$J$2002&lt;&gt;"취소")*($L$3:$L$2002&lt;&gt;"")*($M$3:$M$2002&lt;&gt;"")*($L$3:$L$2002&lt;$M908)*($M$3:$M$2002&gt;$L908))&gt;1,"중복","-"))</f>
        <v/>
      </c>
    </row>
    <row r="909" customFormat="false" ht="15" hidden="false" customHeight="true" outlineLevel="0" collapsed="false">
      <c r="A909" s="11"/>
      <c r="B909" s="7"/>
      <c r="C909" s="12" t="str">
        <f aca="false">IF($B909="","",IFERROR(INDEX(자원목록!$B$3:$B$102,MATCH($B909,자원목록!$A$3:$A$102,0)),"미등록자원"))</f>
        <v/>
      </c>
      <c r="D909" s="7"/>
      <c r="E909" s="12" t="str">
        <f aca="false">IF($D909="","",IFERROR(INDEX(고객목록!$B$3:$B$502,MATCH($D909,고객목록!$A$3:$A$502,0)),""))</f>
        <v/>
      </c>
      <c r="F909" s="13"/>
      <c r="G909" s="13"/>
      <c r="H909" s="14" t="str">
        <f aca="false">IF(OR($L909="",$M909=""),"",ROUND(($M909-$L909)/60,2))</f>
        <v/>
      </c>
      <c r="I909" s="9"/>
      <c r="J909" s="7"/>
      <c r="K909" s="7"/>
      <c r="L909" s="15" t="str">
        <f aca="false">IF($F909="","",IF($F909&lt;1,ROUND($F909*1440,0),INT($F909/100)*60+MOD($F909,100)))</f>
        <v/>
      </c>
      <c r="M909" s="15" t="str">
        <f aca="false">IF($G909="","",IF($G909&lt;1,ROUND($G909*1440,0),INT($G909/100)*60+MOD($G909,100)))</f>
        <v/>
      </c>
      <c r="N909" s="15" t="str">
        <f aca="false">IF(OR($A909="",$B909="",$L909="",$M909="",$J909="취소"),"",IF(SUMPRODUCT(($A$3:$A$2002=$A909)*($B$3:$B$2002=$B909)*($J$3:$J$2002&lt;&gt;"취소")*($L$3:$L$2002&lt;&gt;"")*($M$3:$M$2002&lt;&gt;"")*($L$3:$L$2002&lt;$M909)*($M$3:$M$2002&gt;$L909))&gt;1,"중복","-"))</f>
        <v/>
      </c>
    </row>
    <row r="910" customFormat="false" ht="15" hidden="false" customHeight="true" outlineLevel="0" collapsed="false">
      <c r="A910" s="11"/>
      <c r="B910" s="7"/>
      <c r="C910" s="12" t="str">
        <f aca="false">IF($B910="","",IFERROR(INDEX(자원목록!$B$3:$B$102,MATCH($B910,자원목록!$A$3:$A$102,0)),"미등록자원"))</f>
        <v/>
      </c>
      <c r="D910" s="7"/>
      <c r="E910" s="12" t="str">
        <f aca="false">IF($D910="","",IFERROR(INDEX(고객목록!$B$3:$B$502,MATCH($D910,고객목록!$A$3:$A$502,0)),""))</f>
        <v/>
      </c>
      <c r="F910" s="13"/>
      <c r="G910" s="13"/>
      <c r="H910" s="14" t="str">
        <f aca="false">IF(OR($L910="",$M910=""),"",ROUND(($M910-$L910)/60,2))</f>
        <v/>
      </c>
      <c r="I910" s="9"/>
      <c r="J910" s="7"/>
      <c r="K910" s="7"/>
      <c r="L910" s="15" t="str">
        <f aca="false">IF($F910="","",IF($F910&lt;1,ROUND($F910*1440,0),INT($F910/100)*60+MOD($F910,100)))</f>
        <v/>
      </c>
      <c r="M910" s="15" t="str">
        <f aca="false">IF($G910="","",IF($G910&lt;1,ROUND($G910*1440,0),INT($G910/100)*60+MOD($G910,100)))</f>
        <v/>
      </c>
      <c r="N910" s="15" t="str">
        <f aca="false">IF(OR($A910="",$B910="",$L910="",$M910="",$J910="취소"),"",IF(SUMPRODUCT(($A$3:$A$2002=$A910)*($B$3:$B$2002=$B910)*($J$3:$J$2002&lt;&gt;"취소")*($L$3:$L$2002&lt;&gt;"")*($M$3:$M$2002&lt;&gt;"")*($L$3:$L$2002&lt;$M910)*($M$3:$M$2002&gt;$L910))&gt;1,"중복","-"))</f>
        <v/>
      </c>
    </row>
    <row r="911" customFormat="false" ht="15" hidden="false" customHeight="true" outlineLevel="0" collapsed="false">
      <c r="A911" s="11"/>
      <c r="B911" s="7"/>
      <c r="C911" s="12" t="str">
        <f aca="false">IF($B911="","",IFERROR(INDEX(자원목록!$B$3:$B$102,MATCH($B911,자원목록!$A$3:$A$102,0)),"미등록자원"))</f>
        <v/>
      </c>
      <c r="D911" s="7"/>
      <c r="E911" s="12" t="str">
        <f aca="false">IF($D911="","",IFERROR(INDEX(고객목록!$B$3:$B$502,MATCH($D911,고객목록!$A$3:$A$502,0)),""))</f>
        <v/>
      </c>
      <c r="F911" s="13"/>
      <c r="G911" s="13"/>
      <c r="H911" s="14" t="str">
        <f aca="false">IF(OR($L911="",$M911=""),"",ROUND(($M911-$L911)/60,2))</f>
        <v/>
      </c>
      <c r="I911" s="9"/>
      <c r="J911" s="7"/>
      <c r="K911" s="7"/>
      <c r="L911" s="15" t="str">
        <f aca="false">IF($F911="","",IF($F911&lt;1,ROUND($F911*1440,0),INT($F911/100)*60+MOD($F911,100)))</f>
        <v/>
      </c>
      <c r="M911" s="15" t="str">
        <f aca="false">IF($G911="","",IF($G911&lt;1,ROUND($G911*1440,0),INT($G911/100)*60+MOD($G911,100)))</f>
        <v/>
      </c>
      <c r="N911" s="15" t="str">
        <f aca="false">IF(OR($A911="",$B911="",$L911="",$M911="",$J911="취소"),"",IF(SUMPRODUCT(($A$3:$A$2002=$A911)*($B$3:$B$2002=$B911)*($J$3:$J$2002&lt;&gt;"취소")*($L$3:$L$2002&lt;&gt;"")*($M$3:$M$2002&lt;&gt;"")*($L$3:$L$2002&lt;$M911)*($M$3:$M$2002&gt;$L911))&gt;1,"중복","-"))</f>
        <v/>
      </c>
    </row>
    <row r="912" customFormat="false" ht="15" hidden="false" customHeight="true" outlineLevel="0" collapsed="false">
      <c r="A912" s="11"/>
      <c r="B912" s="7"/>
      <c r="C912" s="12" t="str">
        <f aca="false">IF($B912="","",IFERROR(INDEX(자원목록!$B$3:$B$102,MATCH($B912,자원목록!$A$3:$A$102,0)),"미등록자원"))</f>
        <v/>
      </c>
      <c r="D912" s="7"/>
      <c r="E912" s="12" t="str">
        <f aca="false">IF($D912="","",IFERROR(INDEX(고객목록!$B$3:$B$502,MATCH($D912,고객목록!$A$3:$A$502,0)),""))</f>
        <v/>
      </c>
      <c r="F912" s="13"/>
      <c r="G912" s="13"/>
      <c r="H912" s="14" t="str">
        <f aca="false">IF(OR($L912="",$M912=""),"",ROUND(($M912-$L912)/60,2))</f>
        <v/>
      </c>
      <c r="I912" s="9"/>
      <c r="J912" s="7"/>
      <c r="K912" s="7"/>
      <c r="L912" s="15" t="str">
        <f aca="false">IF($F912="","",IF($F912&lt;1,ROUND($F912*1440,0),INT($F912/100)*60+MOD($F912,100)))</f>
        <v/>
      </c>
      <c r="M912" s="15" t="str">
        <f aca="false">IF($G912="","",IF($G912&lt;1,ROUND($G912*1440,0),INT($G912/100)*60+MOD($G912,100)))</f>
        <v/>
      </c>
      <c r="N912" s="15" t="str">
        <f aca="false">IF(OR($A912="",$B912="",$L912="",$M912="",$J912="취소"),"",IF(SUMPRODUCT(($A$3:$A$2002=$A912)*($B$3:$B$2002=$B912)*($J$3:$J$2002&lt;&gt;"취소")*($L$3:$L$2002&lt;&gt;"")*($M$3:$M$2002&lt;&gt;"")*($L$3:$L$2002&lt;$M912)*($M$3:$M$2002&gt;$L912))&gt;1,"중복","-"))</f>
        <v/>
      </c>
    </row>
    <row r="913" customFormat="false" ht="15" hidden="false" customHeight="true" outlineLevel="0" collapsed="false">
      <c r="A913" s="11"/>
      <c r="B913" s="7"/>
      <c r="C913" s="12" t="str">
        <f aca="false">IF($B913="","",IFERROR(INDEX(자원목록!$B$3:$B$102,MATCH($B913,자원목록!$A$3:$A$102,0)),"미등록자원"))</f>
        <v/>
      </c>
      <c r="D913" s="7"/>
      <c r="E913" s="12" t="str">
        <f aca="false">IF($D913="","",IFERROR(INDEX(고객목록!$B$3:$B$502,MATCH($D913,고객목록!$A$3:$A$502,0)),""))</f>
        <v/>
      </c>
      <c r="F913" s="13"/>
      <c r="G913" s="13"/>
      <c r="H913" s="14" t="str">
        <f aca="false">IF(OR($L913="",$M913=""),"",ROUND(($M913-$L913)/60,2))</f>
        <v/>
      </c>
      <c r="I913" s="9"/>
      <c r="J913" s="7"/>
      <c r="K913" s="7"/>
      <c r="L913" s="15" t="str">
        <f aca="false">IF($F913="","",IF($F913&lt;1,ROUND($F913*1440,0),INT($F913/100)*60+MOD($F913,100)))</f>
        <v/>
      </c>
      <c r="M913" s="15" t="str">
        <f aca="false">IF($G913="","",IF($G913&lt;1,ROUND($G913*1440,0),INT($G913/100)*60+MOD($G913,100)))</f>
        <v/>
      </c>
      <c r="N913" s="15" t="str">
        <f aca="false">IF(OR($A913="",$B913="",$L913="",$M913="",$J913="취소"),"",IF(SUMPRODUCT(($A$3:$A$2002=$A913)*($B$3:$B$2002=$B913)*($J$3:$J$2002&lt;&gt;"취소")*($L$3:$L$2002&lt;&gt;"")*($M$3:$M$2002&lt;&gt;"")*($L$3:$L$2002&lt;$M913)*($M$3:$M$2002&gt;$L913))&gt;1,"중복","-"))</f>
        <v/>
      </c>
    </row>
    <row r="914" customFormat="false" ht="15" hidden="false" customHeight="true" outlineLevel="0" collapsed="false">
      <c r="A914" s="11"/>
      <c r="B914" s="7"/>
      <c r="C914" s="12" t="str">
        <f aca="false">IF($B914="","",IFERROR(INDEX(자원목록!$B$3:$B$102,MATCH($B914,자원목록!$A$3:$A$102,0)),"미등록자원"))</f>
        <v/>
      </c>
      <c r="D914" s="7"/>
      <c r="E914" s="12" t="str">
        <f aca="false">IF($D914="","",IFERROR(INDEX(고객목록!$B$3:$B$502,MATCH($D914,고객목록!$A$3:$A$502,0)),""))</f>
        <v/>
      </c>
      <c r="F914" s="13"/>
      <c r="G914" s="13"/>
      <c r="H914" s="14" t="str">
        <f aca="false">IF(OR($L914="",$M914=""),"",ROUND(($M914-$L914)/60,2))</f>
        <v/>
      </c>
      <c r="I914" s="9"/>
      <c r="J914" s="7"/>
      <c r="K914" s="7"/>
      <c r="L914" s="15" t="str">
        <f aca="false">IF($F914="","",IF($F914&lt;1,ROUND($F914*1440,0),INT($F914/100)*60+MOD($F914,100)))</f>
        <v/>
      </c>
      <c r="M914" s="15" t="str">
        <f aca="false">IF($G914="","",IF($G914&lt;1,ROUND($G914*1440,0),INT($G914/100)*60+MOD($G914,100)))</f>
        <v/>
      </c>
      <c r="N914" s="15" t="str">
        <f aca="false">IF(OR($A914="",$B914="",$L914="",$M914="",$J914="취소"),"",IF(SUMPRODUCT(($A$3:$A$2002=$A914)*($B$3:$B$2002=$B914)*($J$3:$J$2002&lt;&gt;"취소")*($L$3:$L$2002&lt;&gt;"")*($M$3:$M$2002&lt;&gt;"")*($L$3:$L$2002&lt;$M914)*($M$3:$M$2002&gt;$L914))&gt;1,"중복","-"))</f>
        <v/>
      </c>
    </row>
    <row r="915" customFormat="false" ht="15" hidden="false" customHeight="true" outlineLevel="0" collapsed="false">
      <c r="A915" s="11"/>
      <c r="B915" s="7"/>
      <c r="C915" s="12" t="str">
        <f aca="false">IF($B915="","",IFERROR(INDEX(자원목록!$B$3:$B$102,MATCH($B915,자원목록!$A$3:$A$102,0)),"미등록자원"))</f>
        <v/>
      </c>
      <c r="D915" s="7"/>
      <c r="E915" s="12" t="str">
        <f aca="false">IF($D915="","",IFERROR(INDEX(고객목록!$B$3:$B$502,MATCH($D915,고객목록!$A$3:$A$502,0)),""))</f>
        <v/>
      </c>
      <c r="F915" s="13"/>
      <c r="G915" s="13"/>
      <c r="H915" s="14" t="str">
        <f aca="false">IF(OR($L915="",$M915=""),"",ROUND(($M915-$L915)/60,2))</f>
        <v/>
      </c>
      <c r="I915" s="9"/>
      <c r="J915" s="7"/>
      <c r="K915" s="7"/>
      <c r="L915" s="15" t="str">
        <f aca="false">IF($F915="","",IF($F915&lt;1,ROUND($F915*1440,0),INT($F915/100)*60+MOD($F915,100)))</f>
        <v/>
      </c>
      <c r="M915" s="15" t="str">
        <f aca="false">IF($G915="","",IF($G915&lt;1,ROUND($G915*1440,0),INT($G915/100)*60+MOD($G915,100)))</f>
        <v/>
      </c>
      <c r="N915" s="15" t="str">
        <f aca="false">IF(OR($A915="",$B915="",$L915="",$M915="",$J915="취소"),"",IF(SUMPRODUCT(($A$3:$A$2002=$A915)*($B$3:$B$2002=$B915)*($J$3:$J$2002&lt;&gt;"취소")*($L$3:$L$2002&lt;&gt;"")*($M$3:$M$2002&lt;&gt;"")*($L$3:$L$2002&lt;$M915)*($M$3:$M$2002&gt;$L915))&gt;1,"중복","-"))</f>
        <v/>
      </c>
    </row>
    <row r="916" customFormat="false" ht="15" hidden="false" customHeight="true" outlineLevel="0" collapsed="false">
      <c r="A916" s="11"/>
      <c r="B916" s="7"/>
      <c r="C916" s="12" t="str">
        <f aca="false">IF($B916="","",IFERROR(INDEX(자원목록!$B$3:$B$102,MATCH($B916,자원목록!$A$3:$A$102,0)),"미등록자원"))</f>
        <v/>
      </c>
      <c r="D916" s="7"/>
      <c r="E916" s="12" t="str">
        <f aca="false">IF($D916="","",IFERROR(INDEX(고객목록!$B$3:$B$502,MATCH($D916,고객목록!$A$3:$A$502,0)),""))</f>
        <v/>
      </c>
      <c r="F916" s="13"/>
      <c r="G916" s="13"/>
      <c r="H916" s="14" t="str">
        <f aca="false">IF(OR($L916="",$M916=""),"",ROUND(($M916-$L916)/60,2))</f>
        <v/>
      </c>
      <c r="I916" s="9"/>
      <c r="J916" s="7"/>
      <c r="K916" s="7"/>
      <c r="L916" s="15" t="str">
        <f aca="false">IF($F916="","",IF($F916&lt;1,ROUND($F916*1440,0),INT($F916/100)*60+MOD($F916,100)))</f>
        <v/>
      </c>
      <c r="M916" s="15" t="str">
        <f aca="false">IF($G916="","",IF($G916&lt;1,ROUND($G916*1440,0),INT($G916/100)*60+MOD($G916,100)))</f>
        <v/>
      </c>
      <c r="N916" s="15" t="str">
        <f aca="false">IF(OR($A916="",$B916="",$L916="",$M916="",$J916="취소"),"",IF(SUMPRODUCT(($A$3:$A$2002=$A916)*($B$3:$B$2002=$B916)*($J$3:$J$2002&lt;&gt;"취소")*($L$3:$L$2002&lt;&gt;"")*($M$3:$M$2002&lt;&gt;"")*($L$3:$L$2002&lt;$M916)*($M$3:$M$2002&gt;$L916))&gt;1,"중복","-"))</f>
        <v/>
      </c>
    </row>
    <row r="917" customFormat="false" ht="15" hidden="false" customHeight="true" outlineLevel="0" collapsed="false">
      <c r="A917" s="11"/>
      <c r="B917" s="7"/>
      <c r="C917" s="12" t="str">
        <f aca="false">IF($B917="","",IFERROR(INDEX(자원목록!$B$3:$B$102,MATCH($B917,자원목록!$A$3:$A$102,0)),"미등록자원"))</f>
        <v/>
      </c>
      <c r="D917" s="7"/>
      <c r="E917" s="12" t="str">
        <f aca="false">IF($D917="","",IFERROR(INDEX(고객목록!$B$3:$B$502,MATCH($D917,고객목록!$A$3:$A$502,0)),""))</f>
        <v/>
      </c>
      <c r="F917" s="13"/>
      <c r="G917" s="13"/>
      <c r="H917" s="14" t="str">
        <f aca="false">IF(OR($L917="",$M917=""),"",ROUND(($M917-$L917)/60,2))</f>
        <v/>
      </c>
      <c r="I917" s="9"/>
      <c r="J917" s="7"/>
      <c r="K917" s="7"/>
      <c r="L917" s="15" t="str">
        <f aca="false">IF($F917="","",IF($F917&lt;1,ROUND($F917*1440,0),INT($F917/100)*60+MOD($F917,100)))</f>
        <v/>
      </c>
      <c r="M917" s="15" t="str">
        <f aca="false">IF($G917="","",IF($G917&lt;1,ROUND($G917*1440,0),INT($G917/100)*60+MOD($G917,100)))</f>
        <v/>
      </c>
      <c r="N917" s="15" t="str">
        <f aca="false">IF(OR($A917="",$B917="",$L917="",$M917="",$J917="취소"),"",IF(SUMPRODUCT(($A$3:$A$2002=$A917)*($B$3:$B$2002=$B917)*($J$3:$J$2002&lt;&gt;"취소")*($L$3:$L$2002&lt;&gt;"")*($M$3:$M$2002&lt;&gt;"")*($L$3:$L$2002&lt;$M917)*($M$3:$M$2002&gt;$L917))&gt;1,"중복","-"))</f>
        <v/>
      </c>
    </row>
    <row r="918" customFormat="false" ht="15" hidden="false" customHeight="true" outlineLevel="0" collapsed="false">
      <c r="A918" s="11"/>
      <c r="B918" s="7"/>
      <c r="C918" s="12" t="str">
        <f aca="false">IF($B918="","",IFERROR(INDEX(자원목록!$B$3:$B$102,MATCH($B918,자원목록!$A$3:$A$102,0)),"미등록자원"))</f>
        <v/>
      </c>
      <c r="D918" s="7"/>
      <c r="E918" s="12" t="str">
        <f aca="false">IF($D918="","",IFERROR(INDEX(고객목록!$B$3:$B$502,MATCH($D918,고객목록!$A$3:$A$502,0)),""))</f>
        <v/>
      </c>
      <c r="F918" s="13"/>
      <c r="G918" s="13"/>
      <c r="H918" s="14" t="str">
        <f aca="false">IF(OR($L918="",$M918=""),"",ROUND(($M918-$L918)/60,2))</f>
        <v/>
      </c>
      <c r="I918" s="9"/>
      <c r="J918" s="7"/>
      <c r="K918" s="7"/>
      <c r="L918" s="15" t="str">
        <f aca="false">IF($F918="","",IF($F918&lt;1,ROUND($F918*1440,0),INT($F918/100)*60+MOD($F918,100)))</f>
        <v/>
      </c>
      <c r="M918" s="15" t="str">
        <f aca="false">IF($G918="","",IF($G918&lt;1,ROUND($G918*1440,0),INT($G918/100)*60+MOD($G918,100)))</f>
        <v/>
      </c>
      <c r="N918" s="15" t="str">
        <f aca="false">IF(OR($A918="",$B918="",$L918="",$M918="",$J918="취소"),"",IF(SUMPRODUCT(($A$3:$A$2002=$A918)*($B$3:$B$2002=$B918)*($J$3:$J$2002&lt;&gt;"취소")*($L$3:$L$2002&lt;&gt;"")*($M$3:$M$2002&lt;&gt;"")*($L$3:$L$2002&lt;$M918)*($M$3:$M$2002&gt;$L918))&gt;1,"중복","-"))</f>
        <v/>
      </c>
    </row>
    <row r="919" customFormat="false" ht="15" hidden="false" customHeight="true" outlineLevel="0" collapsed="false">
      <c r="A919" s="11"/>
      <c r="B919" s="7"/>
      <c r="C919" s="12" t="str">
        <f aca="false">IF($B919="","",IFERROR(INDEX(자원목록!$B$3:$B$102,MATCH($B919,자원목록!$A$3:$A$102,0)),"미등록자원"))</f>
        <v/>
      </c>
      <c r="D919" s="7"/>
      <c r="E919" s="12" t="str">
        <f aca="false">IF($D919="","",IFERROR(INDEX(고객목록!$B$3:$B$502,MATCH($D919,고객목록!$A$3:$A$502,0)),""))</f>
        <v/>
      </c>
      <c r="F919" s="13"/>
      <c r="G919" s="13"/>
      <c r="H919" s="14" t="str">
        <f aca="false">IF(OR($L919="",$M919=""),"",ROUND(($M919-$L919)/60,2))</f>
        <v/>
      </c>
      <c r="I919" s="9"/>
      <c r="J919" s="7"/>
      <c r="K919" s="7"/>
      <c r="L919" s="15" t="str">
        <f aca="false">IF($F919="","",IF($F919&lt;1,ROUND($F919*1440,0),INT($F919/100)*60+MOD($F919,100)))</f>
        <v/>
      </c>
      <c r="M919" s="15" t="str">
        <f aca="false">IF($G919="","",IF($G919&lt;1,ROUND($G919*1440,0),INT($G919/100)*60+MOD($G919,100)))</f>
        <v/>
      </c>
      <c r="N919" s="15" t="str">
        <f aca="false">IF(OR($A919="",$B919="",$L919="",$M919="",$J919="취소"),"",IF(SUMPRODUCT(($A$3:$A$2002=$A919)*($B$3:$B$2002=$B919)*($J$3:$J$2002&lt;&gt;"취소")*($L$3:$L$2002&lt;&gt;"")*($M$3:$M$2002&lt;&gt;"")*($L$3:$L$2002&lt;$M919)*($M$3:$M$2002&gt;$L919))&gt;1,"중복","-"))</f>
        <v/>
      </c>
    </row>
    <row r="920" customFormat="false" ht="15" hidden="false" customHeight="true" outlineLevel="0" collapsed="false">
      <c r="A920" s="11"/>
      <c r="B920" s="7"/>
      <c r="C920" s="12" t="str">
        <f aca="false">IF($B920="","",IFERROR(INDEX(자원목록!$B$3:$B$102,MATCH($B920,자원목록!$A$3:$A$102,0)),"미등록자원"))</f>
        <v/>
      </c>
      <c r="D920" s="7"/>
      <c r="E920" s="12" t="str">
        <f aca="false">IF($D920="","",IFERROR(INDEX(고객목록!$B$3:$B$502,MATCH($D920,고객목록!$A$3:$A$502,0)),""))</f>
        <v/>
      </c>
      <c r="F920" s="13"/>
      <c r="G920" s="13"/>
      <c r="H920" s="14" t="str">
        <f aca="false">IF(OR($L920="",$M920=""),"",ROUND(($M920-$L920)/60,2))</f>
        <v/>
      </c>
      <c r="I920" s="9"/>
      <c r="J920" s="7"/>
      <c r="K920" s="7"/>
      <c r="L920" s="15" t="str">
        <f aca="false">IF($F920="","",IF($F920&lt;1,ROUND($F920*1440,0),INT($F920/100)*60+MOD($F920,100)))</f>
        <v/>
      </c>
      <c r="M920" s="15" t="str">
        <f aca="false">IF($G920="","",IF($G920&lt;1,ROUND($G920*1440,0),INT($G920/100)*60+MOD($G920,100)))</f>
        <v/>
      </c>
      <c r="N920" s="15" t="str">
        <f aca="false">IF(OR($A920="",$B920="",$L920="",$M920="",$J920="취소"),"",IF(SUMPRODUCT(($A$3:$A$2002=$A920)*($B$3:$B$2002=$B920)*($J$3:$J$2002&lt;&gt;"취소")*($L$3:$L$2002&lt;&gt;"")*($M$3:$M$2002&lt;&gt;"")*($L$3:$L$2002&lt;$M920)*($M$3:$M$2002&gt;$L920))&gt;1,"중복","-"))</f>
        <v/>
      </c>
    </row>
    <row r="921" customFormat="false" ht="15" hidden="false" customHeight="true" outlineLevel="0" collapsed="false">
      <c r="A921" s="11"/>
      <c r="B921" s="7"/>
      <c r="C921" s="12" t="str">
        <f aca="false">IF($B921="","",IFERROR(INDEX(자원목록!$B$3:$B$102,MATCH($B921,자원목록!$A$3:$A$102,0)),"미등록자원"))</f>
        <v/>
      </c>
      <c r="D921" s="7"/>
      <c r="E921" s="12" t="str">
        <f aca="false">IF($D921="","",IFERROR(INDEX(고객목록!$B$3:$B$502,MATCH($D921,고객목록!$A$3:$A$502,0)),""))</f>
        <v/>
      </c>
      <c r="F921" s="13"/>
      <c r="G921" s="13"/>
      <c r="H921" s="14" t="str">
        <f aca="false">IF(OR($L921="",$M921=""),"",ROUND(($M921-$L921)/60,2))</f>
        <v/>
      </c>
      <c r="I921" s="9"/>
      <c r="J921" s="7"/>
      <c r="K921" s="7"/>
      <c r="L921" s="15" t="str">
        <f aca="false">IF($F921="","",IF($F921&lt;1,ROUND($F921*1440,0),INT($F921/100)*60+MOD($F921,100)))</f>
        <v/>
      </c>
      <c r="M921" s="15" t="str">
        <f aca="false">IF($G921="","",IF($G921&lt;1,ROUND($G921*1440,0),INT($G921/100)*60+MOD($G921,100)))</f>
        <v/>
      </c>
      <c r="N921" s="15" t="str">
        <f aca="false">IF(OR($A921="",$B921="",$L921="",$M921="",$J921="취소"),"",IF(SUMPRODUCT(($A$3:$A$2002=$A921)*($B$3:$B$2002=$B921)*($J$3:$J$2002&lt;&gt;"취소")*($L$3:$L$2002&lt;&gt;"")*($M$3:$M$2002&lt;&gt;"")*($L$3:$L$2002&lt;$M921)*($M$3:$M$2002&gt;$L921))&gt;1,"중복","-"))</f>
        <v/>
      </c>
    </row>
    <row r="922" customFormat="false" ht="15" hidden="false" customHeight="true" outlineLevel="0" collapsed="false">
      <c r="A922" s="11"/>
      <c r="B922" s="7"/>
      <c r="C922" s="12" t="str">
        <f aca="false">IF($B922="","",IFERROR(INDEX(자원목록!$B$3:$B$102,MATCH($B922,자원목록!$A$3:$A$102,0)),"미등록자원"))</f>
        <v/>
      </c>
      <c r="D922" s="7"/>
      <c r="E922" s="12" t="str">
        <f aca="false">IF($D922="","",IFERROR(INDEX(고객목록!$B$3:$B$502,MATCH($D922,고객목록!$A$3:$A$502,0)),""))</f>
        <v/>
      </c>
      <c r="F922" s="13"/>
      <c r="G922" s="13"/>
      <c r="H922" s="14" t="str">
        <f aca="false">IF(OR($L922="",$M922=""),"",ROUND(($M922-$L922)/60,2))</f>
        <v/>
      </c>
      <c r="I922" s="9"/>
      <c r="J922" s="7"/>
      <c r="K922" s="7"/>
      <c r="L922" s="15" t="str">
        <f aca="false">IF($F922="","",IF($F922&lt;1,ROUND($F922*1440,0),INT($F922/100)*60+MOD($F922,100)))</f>
        <v/>
      </c>
      <c r="M922" s="15" t="str">
        <f aca="false">IF($G922="","",IF($G922&lt;1,ROUND($G922*1440,0),INT($G922/100)*60+MOD($G922,100)))</f>
        <v/>
      </c>
      <c r="N922" s="15" t="str">
        <f aca="false">IF(OR($A922="",$B922="",$L922="",$M922="",$J922="취소"),"",IF(SUMPRODUCT(($A$3:$A$2002=$A922)*($B$3:$B$2002=$B922)*($J$3:$J$2002&lt;&gt;"취소")*($L$3:$L$2002&lt;&gt;"")*($M$3:$M$2002&lt;&gt;"")*($L$3:$L$2002&lt;$M922)*($M$3:$M$2002&gt;$L922))&gt;1,"중복","-"))</f>
        <v/>
      </c>
    </row>
    <row r="923" customFormat="false" ht="15" hidden="false" customHeight="true" outlineLevel="0" collapsed="false">
      <c r="A923" s="11"/>
      <c r="B923" s="7"/>
      <c r="C923" s="12" t="str">
        <f aca="false">IF($B923="","",IFERROR(INDEX(자원목록!$B$3:$B$102,MATCH($B923,자원목록!$A$3:$A$102,0)),"미등록자원"))</f>
        <v/>
      </c>
      <c r="D923" s="7"/>
      <c r="E923" s="12" t="str">
        <f aca="false">IF($D923="","",IFERROR(INDEX(고객목록!$B$3:$B$502,MATCH($D923,고객목록!$A$3:$A$502,0)),""))</f>
        <v/>
      </c>
      <c r="F923" s="13"/>
      <c r="G923" s="13"/>
      <c r="H923" s="14" t="str">
        <f aca="false">IF(OR($L923="",$M923=""),"",ROUND(($M923-$L923)/60,2))</f>
        <v/>
      </c>
      <c r="I923" s="9"/>
      <c r="J923" s="7"/>
      <c r="K923" s="7"/>
      <c r="L923" s="15" t="str">
        <f aca="false">IF($F923="","",IF($F923&lt;1,ROUND($F923*1440,0),INT($F923/100)*60+MOD($F923,100)))</f>
        <v/>
      </c>
      <c r="M923" s="15" t="str">
        <f aca="false">IF($G923="","",IF($G923&lt;1,ROUND($G923*1440,0),INT($G923/100)*60+MOD($G923,100)))</f>
        <v/>
      </c>
      <c r="N923" s="15" t="str">
        <f aca="false">IF(OR($A923="",$B923="",$L923="",$M923="",$J923="취소"),"",IF(SUMPRODUCT(($A$3:$A$2002=$A923)*($B$3:$B$2002=$B923)*($J$3:$J$2002&lt;&gt;"취소")*($L$3:$L$2002&lt;&gt;"")*($M$3:$M$2002&lt;&gt;"")*($L$3:$L$2002&lt;$M923)*($M$3:$M$2002&gt;$L923))&gt;1,"중복","-"))</f>
        <v/>
      </c>
    </row>
    <row r="924" customFormat="false" ht="15" hidden="false" customHeight="true" outlineLevel="0" collapsed="false">
      <c r="A924" s="11"/>
      <c r="B924" s="7"/>
      <c r="C924" s="12" t="str">
        <f aca="false">IF($B924="","",IFERROR(INDEX(자원목록!$B$3:$B$102,MATCH($B924,자원목록!$A$3:$A$102,0)),"미등록자원"))</f>
        <v/>
      </c>
      <c r="D924" s="7"/>
      <c r="E924" s="12" t="str">
        <f aca="false">IF($D924="","",IFERROR(INDEX(고객목록!$B$3:$B$502,MATCH($D924,고객목록!$A$3:$A$502,0)),""))</f>
        <v/>
      </c>
      <c r="F924" s="13"/>
      <c r="G924" s="13"/>
      <c r="H924" s="14" t="str">
        <f aca="false">IF(OR($L924="",$M924=""),"",ROUND(($M924-$L924)/60,2))</f>
        <v/>
      </c>
      <c r="I924" s="9"/>
      <c r="J924" s="7"/>
      <c r="K924" s="7"/>
      <c r="L924" s="15" t="str">
        <f aca="false">IF($F924="","",IF($F924&lt;1,ROUND($F924*1440,0),INT($F924/100)*60+MOD($F924,100)))</f>
        <v/>
      </c>
      <c r="M924" s="15" t="str">
        <f aca="false">IF($G924="","",IF($G924&lt;1,ROUND($G924*1440,0),INT($G924/100)*60+MOD($G924,100)))</f>
        <v/>
      </c>
      <c r="N924" s="15" t="str">
        <f aca="false">IF(OR($A924="",$B924="",$L924="",$M924="",$J924="취소"),"",IF(SUMPRODUCT(($A$3:$A$2002=$A924)*($B$3:$B$2002=$B924)*($J$3:$J$2002&lt;&gt;"취소")*($L$3:$L$2002&lt;&gt;"")*($M$3:$M$2002&lt;&gt;"")*($L$3:$L$2002&lt;$M924)*($M$3:$M$2002&gt;$L924))&gt;1,"중복","-"))</f>
        <v/>
      </c>
    </row>
    <row r="925" customFormat="false" ht="15" hidden="false" customHeight="true" outlineLevel="0" collapsed="false">
      <c r="A925" s="11"/>
      <c r="B925" s="7"/>
      <c r="C925" s="12" t="str">
        <f aca="false">IF($B925="","",IFERROR(INDEX(자원목록!$B$3:$B$102,MATCH($B925,자원목록!$A$3:$A$102,0)),"미등록자원"))</f>
        <v/>
      </c>
      <c r="D925" s="7"/>
      <c r="E925" s="12" t="str">
        <f aca="false">IF($D925="","",IFERROR(INDEX(고객목록!$B$3:$B$502,MATCH($D925,고객목록!$A$3:$A$502,0)),""))</f>
        <v/>
      </c>
      <c r="F925" s="13"/>
      <c r="G925" s="13"/>
      <c r="H925" s="14" t="str">
        <f aca="false">IF(OR($L925="",$M925=""),"",ROUND(($M925-$L925)/60,2))</f>
        <v/>
      </c>
      <c r="I925" s="9"/>
      <c r="J925" s="7"/>
      <c r="K925" s="7"/>
      <c r="L925" s="15" t="str">
        <f aca="false">IF($F925="","",IF($F925&lt;1,ROUND($F925*1440,0),INT($F925/100)*60+MOD($F925,100)))</f>
        <v/>
      </c>
      <c r="M925" s="15" t="str">
        <f aca="false">IF($G925="","",IF($G925&lt;1,ROUND($G925*1440,0),INT($G925/100)*60+MOD($G925,100)))</f>
        <v/>
      </c>
      <c r="N925" s="15" t="str">
        <f aca="false">IF(OR($A925="",$B925="",$L925="",$M925="",$J925="취소"),"",IF(SUMPRODUCT(($A$3:$A$2002=$A925)*($B$3:$B$2002=$B925)*($J$3:$J$2002&lt;&gt;"취소")*($L$3:$L$2002&lt;&gt;"")*($M$3:$M$2002&lt;&gt;"")*($L$3:$L$2002&lt;$M925)*($M$3:$M$2002&gt;$L925))&gt;1,"중복","-"))</f>
        <v/>
      </c>
    </row>
    <row r="926" customFormat="false" ht="15" hidden="false" customHeight="true" outlineLevel="0" collapsed="false">
      <c r="A926" s="11"/>
      <c r="B926" s="7"/>
      <c r="C926" s="12" t="str">
        <f aca="false">IF($B926="","",IFERROR(INDEX(자원목록!$B$3:$B$102,MATCH($B926,자원목록!$A$3:$A$102,0)),"미등록자원"))</f>
        <v/>
      </c>
      <c r="D926" s="7"/>
      <c r="E926" s="12" t="str">
        <f aca="false">IF($D926="","",IFERROR(INDEX(고객목록!$B$3:$B$502,MATCH($D926,고객목록!$A$3:$A$502,0)),""))</f>
        <v/>
      </c>
      <c r="F926" s="13"/>
      <c r="G926" s="13"/>
      <c r="H926" s="14" t="str">
        <f aca="false">IF(OR($L926="",$M926=""),"",ROUND(($M926-$L926)/60,2))</f>
        <v/>
      </c>
      <c r="I926" s="9"/>
      <c r="J926" s="7"/>
      <c r="K926" s="7"/>
      <c r="L926" s="15" t="str">
        <f aca="false">IF($F926="","",IF($F926&lt;1,ROUND($F926*1440,0),INT($F926/100)*60+MOD($F926,100)))</f>
        <v/>
      </c>
      <c r="M926" s="15" t="str">
        <f aca="false">IF($G926="","",IF($G926&lt;1,ROUND($G926*1440,0),INT($G926/100)*60+MOD($G926,100)))</f>
        <v/>
      </c>
      <c r="N926" s="15" t="str">
        <f aca="false">IF(OR($A926="",$B926="",$L926="",$M926="",$J926="취소"),"",IF(SUMPRODUCT(($A$3:$A$2002=$A926)*($B$3:$B$2002=$B926)*($J$3:$J$2002&lt;&gt;"취소")*($L$3:$L$2002&lt;&gt;"")*($M$3:$M$2002&lt;&gt;"")*($L$3:$L$2002&lt;$M926)*($M$3:$M$2002&gt;$L926))&gt;1,"중복","-"))</f>
        <v/>
      </c>
    </row>
    <row r="927" customFormat="false" ht="15" hidden="false" customHeight="true" outlineLevel="0" collapsed="false">
      <c r="A927" s="11"/>
      <c r="B927" s="7"/>
      <c r="C927" s="12" t="str">
        <f aca="false">IF($B927="","",IFERROR(INDEX(자원목록!$B$3:$B$102,MATCH($B927,자원목록!$A$3:$A$102,0)),"미등록자원"))</f>
        <v/>
      </c>
      <c r="D927" s="7"/>
      <c r="E927" s="12" t="str">
        <f aca="false">IF($D927="","",IFERROR(INDEX(고객목록!$B$3:$B$502,MATCH($D927,고객목록!$A$3:$A$502,0)),""))</f>
        <v/>
      </c>
      <c r="F927" s="13"/>
      <c r="G927" s="13"/>
      <c r="H927" s="14" t="str">
        <f aca="false">IF(OR($L927="",$M927=""),"",ROUND(($M927-$L927)/60,2))</f>
        <v/>
      </c>
      <c r="I927" s="9"/>
      <c r="J927" s="7"/>
      <c r="K927" s="7"/>
      <c r="L927" s="15" t="str">
        <f aca="false">IF($F927="","",IF($F927&lt;1,ROUND($F927*1440,0),INT($F927/100)*60+MOD($F927,100)))</f>
        <v/>
      </c>
      <c r="M927" s="15" t="str">
        <f aca="false">IF($G927="","",IF($G927&lt;1,ROUND($G927*1440,0),INT($G927/100)*60+MOD($G927,100)))</f>
        <v/>
      </c>
      <c r="N927" s="15" t="str">
        <f aca="false">IF(OR($A927="",$B927="",$L927="",$M927="",$J927="취소"),"",IF(SUMPRODUCT(($A$3:$A$2002=$A927)*($B$3:$B$2002=$B927)*($J$3:$J$2002&lt;&gt;"취소")*($L$3:$L$2002&lt;&gt;"")*($M$3:$M$2002&lt;&gt;"")*($L$3:$L$2002&lt;$M927)*($M$3:$M$2002&gt;$L927))&gt;1,"중복","-"))</f>
        <v/>
      </c>
    </row>
    <row r="928" customFormat="false" ht="15" hidden="false" customHeight="true" outlineLevel="0" collapsed="false">
      <c r="A928" s="11"/>
      <c r="B928" s="7"/>
      <c r="C928" s="12" t="str">
        <f aca="false">IF($B928="","",IFERROR(INDEX(자원목록!$B$3:$B$102,MATCH($B928,자원목록!$A$3:$A$102,0)),"미등록자원"))</f>
        <v/>
      </c>
      <c r="D928" s="7"/>
      <c r="E928" s="12" t="str">
        <f aca="false">IF($D928="","",IFERROR(INDEX(고객목록!$B$3:$B$502,MATCH($D928,고객목록!$A$3:$A$502,0)),""))</f>
        <v/>
      </c>
      <c r="F928" s="13"/>
      <c r="G928" s="13"/>
      <c r="H928" s="14" t="str">
        <f aca="false">IF(OR($L928="",$M928=""),"",ROUND(($M928-$L928)/60,2))</f>
        <v/>
      </c>
      <c r="I928" s="9"/>
      <c r="J928" s="7"/>
      <c r="K928" s="7"/>
      <c r="L928" s="15" t="str">
        <f aca="false">IF($F928="","",IF($F928&lt;1,ROUND($F928*1440,0),INT($F928/100)*60+MOD($F928,100)))</f>
        <v/>
      </c>
      <c r="M928" s="15" t="str">
        <f aca="false">IF($G928="","",IF($G928&lt;1,ROUND($G928*1440,0),INT($G928/100)*60+MOD($G928,100)))</f>
        <v/>
      </c>
      <c r="N928" s="15" t="str">
        <f aca="false">IF(OR($A928="",$B928="",$L928="",$M928="",$J928="취소"),"",IF(SUMPRODUCT(($A$3:$A$2002=$A928)*($B$3:$B$2002=$B928)*($J$3:$J$2002&lt;&gt;"취소")*($L$3:$L$2002&lt;&gt;"")*($M$3:$M$2002&lt;&gt;"")*($L$3:$L$2002&lt;$M928)*($M$3:$M$2002&gt;$L928))&gt;1,"중복","-"))</f>
        <v/>
      </c>
    </row>
    <row r="929" customFormat="false" ht="15" hidden="false" customHeight="true" outlineLevel="0" collapsed="false">
      <c r="A929" s="11"/>
      <c r="B929" s="7"/>
      <c r="C929" s="12" t="str">
        <f aca="false">IF($B929="","",IFERROR(INDEX(자원목록!$B$3:$B$102,MATCH($B929,자원목록!$A$3:$A$102,0)),"미등록자원"))</f>
        <v/>
      </c>
      <c r="D929" s="7"/>
      <c r="E929" s="12" t="str">
        <f aca="false">IF($D929="","",IFERROR(INDEX(고객목록!$B$3:$B$502,MATCH($D929,고객목록!$A$3:$A$502,0)),""))</f>
        <v/>
      </c>
      <c r="F929" s="13"/>
      <c r="G929" s="13"/>
      <c r="H929" s="14" t="str">
        <f aca="false">IF(OR($L929="",$M929=""),"",ROUND(($M929-$L929)/60,2))</f>
        <v/>
      </c>
      <c r="I929" s="9"/>
      <c r="J929" s="7"/>
      <c r="K929" s="7"/>
      <c r="L929" s="15" t="str">
        <f aca="false">IF($F929="","",IF($F929&lt;1,ROUND($F929*1440,0),INT($F929/100)*60+MOD($F929,100)))</f>
        <v/>
      </c>
      <c r="M929" s="15" t="str">
        <f aca="false">IF($G929="","",IF($G929&lt;1,ROUND($G929*1440,0),INT($G929/100)*60+MOD($G929,100)))</f>
        <v/>
      </c>
      <c r="N929" s="15" t="str">
        <f aca="false">IF(OR($A929="",$B929="",$L929="",$M929="",$J929="취소"),"",IF(SUMPRODUCT(($A$3:$A$2002=$A929)*($B$3:$B$2002=$B929)*($J$3:$J$2002&lt;&gt;"취소")*($L$3:$L$2002&lt;&gt;"")*($M$3:$M$2002&lt;&gt;"")*($L$3:$L$2002&lt;$M929)*($M$3:$M$2002&gt;$L929))&gt;1,"중복","-"))</f>
        <v/>
      </c>
    </row>
    <row r="930" customFormat="false" ht="15" hidden="false" customHeight="true" outlineLevel="0" collapsed="false">
      <c r="A930" s="11"/>
      <c r="B930" s="7"/>
      <c r="C930" s="12" t="str">
        <f aca="false">IF($B930="","",IFERROR(INDEX(자원목록!$B$3:$B$102,MATCH($B930,자원목록!$A$3:$A$102,0)),"미등록자원"))</f>
        <v/>
      </c>
      <c r="D930" s="7"/>
      <c r="E930" s="12" t="str">
        <f aca="false">IF($D930="","",IFERROR(INDEX(고객목록!$B$3:$B$502,MATCH($D930,고객목록!$A$3:$A$502,0)),""))</f>
        <v/>
      </c>
      <c r="F930" s="13"/>
      <c r="G930" s="13"/>
      <c r="H930" s="14" t="str">
        <f aca="false">IF(OR($L930="",$M930=""),"",ROUND(($M930-$L930)/60,2))</f>
        <v/>
      </c>
      <c r="I930" s="9"/>
      <c r="J930" s="7"/>
      <c r="K930" s="7"/>
      <c r="L930" s="15" t="str">
        <f aca="false">IF($F930="","",IF($F930&lt;1,ROUND($F930*1440,0),INT($F930/100)*60+MOD($F930,100)))</f>
        <v/>
      </c>
      <c r="M930" s="15" t="str">
        <f aca="false">IF($G930="","",IF($G930&lt;1,ROUND($G930*1440,0),INT($G930/100)*60+MOD($G930,100)))</f>
        <v/>
      </c>
      <c r="N930" s="15" t="str">
        <f aca="false">IF(OR($A930="",$B930="",$L930="",$M930="",$J930="취소"),"",IF(SUMPRODUCT(($A$3:$A$2002=$A930)*($B$3:$B$2002=$B930)*($J$3:$J$2002&lt;&gt;"취소")*($L$3:$L$2002&lt;&gt;"")*($M$3:$M$2002&lt;&gt;"")*($L$3:$L$2002&lt;$M930)*($M$3:$M$2002&gt;$L930))&gt;1,"중복","-"))</f>
        <v/>
      </c>
    </row>
    <row r="931" customFormat="false" ht="15" hidden="false" customHeight="true" outlineLevel="0" collapsed="false">
      <c r="A931" s="11"/>
      <c r="B931" s="7"/>
      <c r="C931" s="12" t="str">
        <f aca="false">IF($B931="","",IFERROR(INDEX(자원목록!$B$3:$B$102,MATCH($B931,자원목록!$A$3:$A$102,0)),"미등록자원"))</f>
        <v/>
      </c>
      <c r="D931" s="7"/>
      <c r="E931" s="12" t="str">
        <f aca="false">IF($D931="","",IFERROR(INDEX(고객목록!$B$3:$B$502,MATCH($D931,고객목록!$A$3:$A$502,0)),""))</f>
        <v/>
      </c>
      <c r="F931" s="13"/>
      <c r="G931" s="13"/>
      <c r="H931" s="14" t="str">
        <f aca="false">IF(OR($L931="",$M931=""),"",ROUND(($M931-$L931)/60,2))</f>
        <v/>
      </c>
      <c r="I931" s="9"/>
      <c r="J931" s="7"/>
      <c r="K931" s="7"/>
      <c r="L931" s="15" t="str">
        <f aca="false">IF($F931="","",IF($F931&lt;1,ROUND($F931*1440,0),INT($F931/100)*60+MOD($F931,100)))</f>
        <v/>
      </c>
      <c r="M931" s="15" t="str">
        <f aca="false">IF($G931="","",IF($G931&lt;1,ROUND($G931*1440,0),INT($G931/100)*60+MOD($G931,100)))</f>
        <v/>
      </c>
      <c r="N931" s="15" t="str">
        <f aca="false">IF(OR($A931="",$B931="",$L931="",$M931="",$J931="취소"),"",IF(SUMPRODUCT(($A$3:$A$2002=$A931)*($B$3:$B$2002=$B931)*($J$3:$J$2002&lt;&gt;"취소")*($L$3:$L$2002&lt;&gt;"")*($M$3:$M$2002&lt;&gt;"")*($L$3:$L$2002&lt;$M931)*($M$3:$M$2002&gt;$L931))&gt;1,"중복","-"))</f>
        <v/>
      </c>
    </row>
    <row r="932" customFormat="false" ht="15" hidden="false" customHeight="true" outlineLevel="0" collapsed="false">
      <c r="A932" s="11"/>
      <c r="B932" s="7"/>
      <c r="C932" s="12" t="str">
        <f aca="false">IF($B932="","",IFERROR(INDEX(자원목록!$B$3:$B$102,MATCH($B932,자원목록!$A$3:$A$102,0)),"미등록자원"))</f>
        <v/>
      </c>
      <c r="D932" s="7"/>
      <c r="E932" s="12" t="str">
        <f aca="false">IF($D932="","",IFERROR(INDEX(고객목록!$B$3:$B$502,MATCH($D932,고객목록!$A$3:$A$502,0)),""))</f>
        <v/>
      </c>
      <c r="F932" s="13"/>
      <c r="G932" s="13"/>
      <c r="H932" s="14" t="str">
        <f aca="false">IF(OR($L932="",$M932=""),"",ROUND(($M932-$L932)/60,2))</f>
        <v/>
      </c>
      <c r="I932" s="9"/>
      <c r="J932" s="7"/>
      <c r="K932" s="7"/>
      <c r="L932" s="15" t="str">
        <f aca="false">IF($F932="","",IF($F932&lt;1,ROUND($F932*1440,0),INT($F932/100)*60+MOD($F932,100)))</f>
        <v/>
      </c>
      <c r="M932" s="15" t="str">
        <f aca="false">IF($G932="","",IF($G932&lt;1,ROUND($G932*1440,0),INT($G932/100)*60+MOD($G932,100)))</f>
        <v/>
      </c>
      <c r="N932" s="15" t="str">
        <f aca="false">IF(OR($A932="",$B932="",$L932="",$M932="",$J932="취소"),"",IF(SUMPRODUCT(($A$3:$A$2002=$A932)*($B$3:$B$2002=$B932)*($J$3:$J$2002&lt;&gt;"취소")*($L$3:$L$2002&lt;&gt;"")*($M$3:$M$2002&lt;&gt;"")*($L$3:$L$2002&lt;$M932)*($M$3:$M$2002&gt;$L932))&gt;1,"중복","-"))</f>
        <v/>
      </c>
    </row>
    <row r="933" customFormat="false" ht="15" hidden="false" customHeight="true" outlineLevel="0" collapsed="false">
      <c r="A933" s="11"/>
      <c r="B933" s="7"/>
      <c r="C933" s="12" t="str">
        <f aca="false">IF($B933="","",IFERROR(INDEX(자원목록!$B$3:$B$102,MATCH($B933,자원목록!$A$3:$A$102,0)),"미등록자원"))</f>
        <v/>
      </c>
      <c r="D933" s="7"/>
      <c r="E933" s="12" t="str">
        <f aca="false">IF($D933="","",IFERROR(INDEX(고객목록!$B$3:$B$502,MATCH($D933,고객목록!$A$3:$A$502,0)),""))</f>
        <v/>
      </c>
      <c r="F933" s="13"/>
      <c r="G933" s="13"/>
      <c r="H933" s="14" t="str">
        <f aca="false">IF(OR($L933="",$M933=""),"",ROUND(($M933-$L933)/60,2))</f>
        <v/>
      </c>
      <c r="I933" s="9"/>
      <c r="J933" s="7"/>
      <c r="K933" s="7"/>
      <c r="L933" s="15" t="str">
        <f aca="false">IF($F933="","",IF($F933&lt;1,ROUND($F933*1440,0),INT($F933/100)*60+MOD($F933,100)))</f>
        <v/>
      </c>
      <c r="M933" s="15" t="str">
        <f aca="false">IF($G933="","",IF($G933&lt;1,ROUND($G933*1440,0),INT($G933/100)*60+MOD($G933,100)))</f>
        <v/>
      </c>
      <c r="N933" s="15" t="str">
        <f aca="false">IF(OR($A933="",$B933="",$L933="",$M933="",$J933="취소"),"",IF(SUMPRODUCT(($A$3:$A$2002=$A933)*($B$3:$B$2002=$B933)*($J$3:$J$2002&lt;&gt;"취소")*($L$3:$L$2002&lt;&gt;"")*($M$3:$M$2002&lt;&gt;"")*($L$3:$L$2002&lt;$M933)*($M$3:$M$2002&gt;$L933))&gt;1,"중복","-"))</f>
        <v/>
      </c>
    </row>
    <row r="934" customFormat="false" ht="15" hidden="false" customHeight="true" outlineLevel="0" collapsed="false">
      <c r="A934" s="11"/>
      <c r="B934" s="7"/>
      <c r="C934" s="12" t="str">
        <f aca="false">IF($B934="","",IFERROR(INDEX(자원목록!$B$3:$B$102,MATCH($B934,자원목록!$A$3:$A$102,0)),"미등록자원"))</f>
        <v/>
      </c>
      <c r="D934" s="7"/>
      <c r="E934" s="12" t="str">
        <f aca="false">IF($D934="","",IFERROR(INDEX(고객목록!$B$3:$B$502,MATCH($D934,고객목록!$A$3:$A$502,0)),""))</f>
        <v/>
      </c>
      <c r="F934" s="13"/>
      <c r="G934" s="13"/>
      <c r="H934" s="14" t="str">
        <f aca="false">IF(OR($L934="",$M934=""),"",ROUND(($M934-$L934)/60,2))</f>
        <v/>
      </c>
      <c r="I934" s="9"/>
      <c r="J934" s="7"/>
      <c r="K934" s="7"/>
      <c r="L934" s="15" t="str">
        <f aca="false">IF($F934="","",IF($F934&lt;1,ROUND($F934*1440,0),INT($F934/100)*60+MOD($F934,100)))</f>
        <v/>
      </c>
      <c r="M934" s="15" t="str">
        <f aca="false">IF($G934="","",IF($G934&lt;1,ROUND($G934*1440,0),INT($G934/100)*60+MOD($G934,100)))</f>
        <v/>
      </c>
      <c r="N934" s="15" t="str">
        <f aca="false">IF(OR($A934="",$B934="",$L934="",$M934="",$J934="취소"),"",IF(SUMPRODUCT(($A$3:$A$2002=$A934)*($B$3:$B$2002=$B934)*($J$3:$J$2002&lt;&gt;"취소")*($L$3:$L$2002&lt;&gt;"")*($M$3:$M$2002&lt;&gt;"")*($L$3:$L$2002&lt;$M934)*($M$3:$M$2002&gt;$L934))&gt;1,"중복","-"))</f>
        <v/>
      </c>
    </row>
    <row r="935" customFormat="false" ht="15" hidden="false" customHeight="true" outlineLevel="0" collapsed="false">
      <c r="A935" s="11"/>
      <c r="B935" s="7"/>
      <c r="C935" s="12" t="str">
        <f aca="false">IF($B935="","",IFERROR(INDEX(자원목록!$B$3:$B$102,MATCH($B935,자원목록!$A$3:$A$102,0)),"미등록자원"))</f>
        <v/>
      </c>
      <c r="D935" s="7"/>
      <c r="E935" s="12" t="str">
        <f aca="false">IF($D935="","",IFERROR(INDEX(고객목록!$B$3:$B$502,MATCH($D935,고객목록!$A$3:$A$502,0)),""))</f>
        <v/>
      </c>
      <c r="F935" s="13"/>
      <c r="G935" s="13"/>
      <c r="H935" s="14" t="str">
        <f aca="false">IF(OR($L935="",$M935=""),"",ROUND(($M935-$L935)/60,2))</f>
        <v/>
      </c>
      <c r="I935" s="9"/>
      <c r="J935" s="7"/>
      <c r="K935" s="7"/>
      <c r="L935" s="15" t="str">
        <f aca="false">IF($F935="","",IF($F935&lt;1,ROUND($F935*1440,0),INT($F935/100)*60+MOD($F935,100)))</f>
        <v/>
      </c>
      <c r="M935" s="15" t="str">
        <f aca="false">IF($G935="","",IF($G935&lt;1,ROUND($G935*1440,0),INT($G935/100)*60+MOD($G935,100)))</f>
        <v/>
      </c>
      <c r="N935" s="15" t="str">
        <f aca="false">IF(OR($A935="",$B935="",$L935="",$M935="",$J935="취소"),"",IF(SUMPRODUCT(($A$3:$A$2002=$A935)*($B$3:$B$2002=$B935)*($J$3:$J$2002&lt;&gt;"취소")*($L$3:$L$2002&lt;&gt;"")*($M$3:$M$2002&lt;&gt;"")*($L$3:$L$2002&lt;$M935)*($M$3:$M$2002&gt;$L935))&gt;1,"중복","-"))</f>
        <v/>
      </c>
    </row>
    <row r="936" customFormat="false" ht="15" hidden="false" customHeight="true" outlineLevel="0" collapsed="false">
      <c r="A936" s="11"/>
      <c r="B936" s="7"/>
      <c r="C936" s="12" t="str">
        <f aca="false">IF($B936="","",IFERROR(INDEX(자원목록!$B$3:$B$102,MATCH($B936,자원목록!$A$3:$A$102,0)),"미등록자원"))</f>
        <v/>
      </c>
      <c r="D936" s="7"/>
      <c r="E936" s="12" t="str">
        <f aca="false">IF($D936="","",IFERROR(INDEX(고객목록!$B$3:$B$502,MATCH($D936,고객목록!$A$3:$A$502,0)),""))</f>
        <v/>
      </c>
      <c r="F936" s="13"/>
      <c r="G936" s="13"/>
      <c r="H936" s="14" t="str">
        <f aca="false">IF(OR($L936="",$M936=""),"",ROUND(($M936-$L936)/60,2))</f>
        <v/>
      </c>
      <c r="I936" s="9"/>
      <c r="J936" s="7"/>
      <c r="K936" s="7"/>
      <c r="L936" s="15" t="str">
        <f aca="false">IF($F936="","",IF($F936&lt;1,ROUND($F936*1440,0),INT($F936/100)*60+MOD($F936,100)))</f>
        <v/>
      </c>
      <c r="M936" s="15" t="str">
        <f aca="false">IF($G936="","",IF($G936&lt;1,ROUND($G936*1440,0),INT($G936/100)*60+MOD($G936,100)))</f>
        <v/>
      </c>
      <c r="N936" s="15" t="str">
        <f aca="false">IF(OR($A936="",$B936="",$L936="",$M936="",$J936="취소"),"",IF(SUMPRODUCT(($A$3:$A$2002=$A936)*($B$3:$B$2002=$B936)*($J$3:$J$2002&lt;&gt;"취소")*($L$3:$L$2002&lt;&gt;"")*($M$3:$M$2002&lt;&gt;"")*($L$3:$L$2002&lt;$M936)*($M$3:$M$2002&gt;$L936))&gt;1,"중복","-"))</f>
        <v/>
      </c>
    </row>
    <row r="937" customFormat="false" ht="15" hidden="false" customHeight="true" outlineLevel="0" collapsed="false">
      <c r="A937" s="11"/>
      <c r="B937" s="7"/>
      <c r="C937" s="12" t="str">
        <f aca="false">IF($B937="","",IFERROR(INDEX(자원목록!$B$3:$B$102,MATCH($B937,자원목록!$A$3:$A$102,0)),"미등록자원"))</f>
        <v/>
      </c>
      <c r="D937" s="7"/>
      <c r="E937" s="12" t="str">
        <f aca="false">IF($D937="","",IFERROR(INDEX(고객목록!$B$3:$B$502,MATCH($D937,고객목록!$A$3:$A$502,0)),""))</f>
        <v/>
      </c>
      <c r="F937" s="13"/>
      <c r="G937" s="13"/>
      <c r="H937" s="14" t="str">
        <f aca="false">IF(OR($L937="",$M937=""),"",ROUND(($M937-$L937)/60,2))</f>
        <v/>
      </c>
      <c r="I937" s="9"/>
      <c r="J937" s="7"/>
      <c r="K937" s="7"/>
      <c r="L937" s="15" t="str">
        <f aca="false">IF($F937="","",IF($F937&lt;1,ROUND($F937*1440,0),INT($F937/100)*60+MOD($F937,100)))</f>
        <v/>
      </c>
      <c r="M937" s="15" t="str">
        <f aca="false">IF($G937="","",IF($G937&lt;1,ROUND($G937*1440,0),INT($G937/100)*60+MOD($G937,100)))</f>
        <v/>
      </c>
      <c r="N937" s="15" t="str">
        <f aca="false">IF(OR($A937="",$B937="",$L937="",$M937="",$J937="취소"),"",IF(SUMPRODUCT(($A$3:$A$2002=$A937)*($B$3:$B$2002=$B937)*($J$3:$J$2002&lt;&gt;"취소")*($L$3:$L$2002&lt;&gt;"")*($M$3:$M$2002&lt;&gt;"")*($L$3:$L$2002&lt;$M937)*($M$3:$M$2002&gt;$L937))&gt;1,"중복","-"))</f>
        <v/>
      </c>
    </row>
    <row r="938" customFormat="false" ht="15" hidden="false" customHeight="true" outlineLevel="0" collapsed="false">
      <c r="A938" s="11"/>
      <c r="B938" s="7"/>
      <c r="C938" s="12" t="str">
        <f aca="false">IF($B938="","",IFERROR(INDEX(자원목록!$B$3:$B$102,MATCH($B938,자원목록!$A$3:$A$102,0)),"미등록자원"))</f>
        <v/>
      </c>
      <c r="D938" s="7"/>
      <c r="E938" s="12" t="str">
        <f aca="false">IF($D938="","",IFERROR(INDEX(고객목록!$B$3:$B$502,MATCH($D938,고객목록!$A$3:$A$502,0)),""))</f>
        <v/>
      </c>
      <c r="F938" s="13"/>
      <c r="G938" s="13"/>
      <c r="H938" s="14" t="str">
        <f aca="false">IF(OR($L938="",$M938=""),"",ROUND(($M938-$L938)/60,2))</f>
        <v/>
      </c>
      <c r="I938" s="9"/>
      <c r="J938" s="7"/>
      <c r="K938" s="7"/>
      <c r="L938" s="15" t="str">
        <f aca="false">IF($F938="","",IF($F938&lt;1,ROUND($F938*1440,0),INT($F938/100)*60+MOD($F938,100)))</f>
        <v/>
      </c>
      <c r="M938" s="15" t="str">
        <f aca="false">IF($G938="","",IF($G938&lt;1,ROUND($G938*1440,0),INT($G938/100)*60+MOD($G938,100)))</f>
        <v/>
      </c>
      <c r="N938" s="15" t="str">
        <f aca="false">IF(OR($A938="",$B938="",$L938="",$M938="",$J938="취소"),"",IF(SUMPRODUCT(($A$3:$A$2002=$A938)*($B$3:$B$2002=$B938)*($J$3:$J$2002&lt;&gt;"취소")*($L$3:$L$2002&lt;&gt;"")*($M$3:$M$2002&lt;&gt;"")*($L$3:$L$2002&lt;$M938)*($M$3:$M$2002&gt;$L938))&gt;1,"중복","-"))</f>
        <v/>
      </c>
    </row>
    <row r="939" customFormat="false" ht="15" hidden="false" customHeight="true" outlineLevel="0" collapsed="false">
      <c r="A939" s="11"/>
      <c r="B939" s="7"/>
      <c r="C939" s="12" t="str">
        <f aca="false">IF($B939="","",IFERROR(INDEX(자원목록!$B$3:$B$102,MATCH($B939,자원목록!$A$3:$A$102,0)),"미등록자원"))</f>
        <v/>
      </c>
      <c r="D939" s="7"/>
      <c r="E939" s="12" t="str">
        <f aca="false">IF($D939="","",IFERROR(INDEX(고객목록!$B$3:$B$502,MATCH($D939,고객목록!$A$3:$A$502,0)),""))</f>
        <v/>
      </c>
      <c r="F939" s="13"/>
      <c r="G939" s="13"/>
      <c r="H939" s="14" t="str">
        <f aca="false">IF(OR($L939="",$M939=""),"",ROUND(($M939-$L939)/60,2))</f>
        <v/>
      </c>
      <c r="I939" s="9"/>
      <c r="J939" s="7"/>
      <c r="K939" s="7"/>
      <c r="L939" s="15" t="str">
        <f aca="false">IF($F939="","",IF($F939&lt;1,ROUND($F939*1440,0),INT($F939/100)*60+MOD($F939,100)))</f>
        <v/>
      </c>
      <c r="M939" s="15" t="str">
        <f aca="false">IF($G939="","",IF($G939&lt;1,ROUND($G939*1440,0),INT($G939/100)*60+MOD($G939,100)))</f>
        <v/>
      </c>
      <c r="N939" s="15" t="str">
        <f aca="false">IF(OR($A939="",$B939="",$L939="",$M939="",$J939="취소"),"",IF(SUMPRODUCT(($A$3:$A$2002=$A939)*($B$3:$B$2002=$B939)*($J$3:$J$2002&lt;&gt;"취소")*($L$3:$L$2002&lt;&gt;"")*($M$3:$M$2002&lt;&gt;"")*($L$3:$L$2002&lt;$M939)*($M$3:$M$2002&gt;$L939))&gt;1,"중복","-"))</f>
        <v/>
      </c>
    </row>
    <row r="940" customFormat="false" ht="15" hidden="false" customHeight="true" outlineLevel="0" collapsed="false">
      <c r="A940" s="11"/>
      <c r="B940" s="7"/>
      <c r="C940" s="12" t="str">
        <f aca="false">IF($B940="","",IFERROR(INDEX(자원목록!$B$3:$B$102,MATCH($B940,자원목록!$A$3:$A$102,0)),"미등록자원"))</f>
        <v/>
      </c>
      <c r="D940" s="7"/>
      <c r="E940" s="12" t="str">
        <f aca="false">IF($D940="","",IFERROR(INDEX(고객목록!$B$3:$B$502,MATCH($D940,고객목록!$A$3:$A$502,0)),""))</f>
        <v/>
      </c>
      <c r="F940" s="13"/>
      <c r="G940" s="13"/>
      <c r="H940" s="14" t="str">
        <f aca="false">IF(OR($L940="",$M940=""),"",ROUND(($M940-$L940)/60,2))</f>
        <v/>
      </c>
      <c r="I940" s="9"/>
      <c r="J940" s="7"/>
      <c r="K940" s="7"/>
      <c r="L940" s="15" t="str">
        <f aca="false">IF($F940="","",IF($F940&lt;1,ROUND($F940*1440,0),INT($F940/100)*60+MOD($F940,100)))</f>
        <v/>
      </c>
      <c r="M940" s="15" t="str">
        <f aca="false">IF($G940="","",IF($G940&lt;1,ROUND($G940*1440,0),INT($G940/100)*60+MOD($G940,100)))</f>
        <v/>
      </c>
      <c r="N940" s="15" t="str">
        <f aca="false">IF(OR($A940="",$B940="",$L940="",$M940="",$J940="취소"),"",IF(SUMPRODUCT(($A$3:$A$2002=$A940)*($B$3:$B$2002=$B940)*($J$3:$J$2002&lt;&gt;"취소")*($L$3:$L$2002&lt;&gt;"")*($M$3:$M$2002&lt;&gt;"")*($L$3:$L$2002&lt;$M940)*($M$3:$M$2002&gt;$L940))&gt;1,"중복","-"))</f>
        <v/>
      </c>
    </row>
    <row r="941" customFormat="false" ht="15" hidden="false" customHeight="true" outlineLevel="0" collapsed="false">
      <c r="A941" s="11"/>
      <c r="B941" s="7"/>
      <c r="C941" s="12" t="str">
        <f aca="false">IF($B941="","",IFERROR(INDEX(자원목록!$B$3:$B$102,MATCH($B941,자원목록!$A$3:$A$102,0)),"미등록자원"))</f>
        <v/>
      </c>
      <c r="D941" s="7"/>
      <c r="E941" s="12" t="str">
        <f aca="false">IF($D941="","",IFERROR(INDEX(고객목록!$B$3:$B$502,MATCH($D941,고객목록!$A$3:$A$502,0)),""))</f>
        <v/>
      </c>
      <c r="F941" s="13"/>
      <c r="G941" s="13"/>
      <c r="H941" s="14" t="str">
        <f aca="false">IF(OR($L941="",$M941=""),"",ROUND(($M941-$L941)/60,2))</f>
        <v/>
      </c>
      <c r="I941" s="9"/>
      <c r="J941" s="7"/>
      <c r="K941" s="7"/>
      <c r="L941" s="15" t="str">
        <f aca="false">IF($F941="","",IF($F941&lt;1,ROUND($F941*1440,0),INT($F941/100)*60+MOD($F941,100)))</f>
        <v/>
      </c>
      <c r="M941" s="15" t="str">
        <f aca="false">IF($G941="","",IF($G941&lt;1,ROUND($G941*1440,0),INT($G941/100)*60+MOD($G941,100)))</f>
        <v/>
      </c>
      <c r="N941" s="15" t="str">
        <f aca="false">IF(OR($A941="",$B941="",$L941="",$M941="",$J941="취소"),"",IF(SUMPRODUCT(($A$3:$A$2002=$A941)*($B$3:$B$2002=$B941)*($J$3:$J$2002&lt;&gt;"취소")*($L$3:$L$2002&lt;&gt;"")*($M$3:$M$2002&lt;&gt;"")*($L$3:$L$2002&lt;$M941)*($M$3:$M$2002&gt;$L941))&gt;1,"중복","-"))</f>
        <v/>
      </c>
    </row>
    <row r="942" customFormat="false" ht="15" hidden="false" customHeight="true" outlineLevel="0" collapsed="false">
      <c r="A942" s="11"/>
      <c r="B942" s="7"/>
      <c r="C942" s="12" t="str">
        <f aca="false">IF($B942="","",IFERROR(INDEX(자원목록!$B$3:$B$102,MATCH($B942,자원목록!$A$3:$A$102,0)),"미등록자원"))</f>
        <v/>
      </c>
      <c r="D942" s="7"/>
      <c r="E942" s="12" t="str">
        <f aca="false">IF($D942="","",IFERROR(INDEX(고객목록!$B$3:$B$502,MATCH($D942,고객목록!$A$3:$A$502,0)),""))</f>
        <v/>
      </c>
      <c r="F942" s="13"/>
      <c r="G942" s="13"/>
      <c r="H942" s="14" t="str">
        <f aca="false">IF(OR($L942="",$M942=""),"",ROUND(($M942-$L942)/60,2))</f>
        <v/>
      </c>
      <c r="I942" s="9"/>
      <c r="J942" s="7"/>
      <c r="K942" s="7"/>
      <c r="L942" s="15" t="str">
        <f aca="false">IF($F942="","",IF($F942&lt;1,ROUND($F942*1440,0),INT($F942/100)*60+MOD($F942,100)))</f>
        <v/>
      </c>
      <c r="M942" s="15" t="str">
        <f aca="false">IF($G942="","",IF($G942&lt;1,ROUND($G942*1440,0),INT($G942/100)*60+MOD($G942,100)))</f>
        <v/>
      </c>
      <c r="N942" s="15" t="str">
        <f aca="false">IF(OR($A942="",$B942="",$L942="",$M942="",$J942="취소"),"",IF(SUMPRODUCT(($A$3:$A$2002=$A942)*($B$3:$B$2002=$B942)*($J$3:$J$2002&lt;&gt;"취소")*($L$3:$L$2002&lt;&gt;"")*($M$3:$M$2002&lt;&gt;"")*($L$3:$L$2002&lt;$M942)*($M$3:$M$2002&gt;$L942))&gt;1,"중복","-"))</f>
        <v/>
      </c>
    </row>
    <row r="943" customFormat="false" ht="15" hidden="false" customHeight="true" outlineLevel="0" collapsed="false">
      <c r="A943" s="11"/>
      <c r="B943" s="7"/>
      <c r="C943" s="12" t="str">
        <f aca="false">IF($B943="","",IFERROR(INDEX(자원목록!$B$3:$B$102,MATCH($B943,자원목록!$A$3:$A$102,0)),"미등록자원"))</f>
        <v/>
      </c>
      <c r="D943" s="7"/>
      <c r="E943" s="12" t="str">
        <f aca="false">IF($D943="","",IFERROR(INDEX(고객목록!$B$3:$B$502,MATCH($D943,고객목록!$A$3:$A$502,0)),""))</f>
        <v/>
      </c>
      <c r="F943" s="13"/>
      <c r="G943" s="13"/>
      <c r="H943" s="14" t="str">
        <f aca="false">IF(OR($L943="",$M943=""),"",ROUND(($M943-$L943)/60,2))</f>
        <v/>
      </c>
      <c r="I943" s="9"/>
      <c r="J943" s="7"/>
      <c r="K943" s="7"/>
      <c r="L943" s="15" t="str">
        <f aca="false">IF($F943="","",IF($F943&lt;1,ROUND($F943*1440,0),INT($F943/100)*60+MOD($F943,100)))</f>
        <v/>
      </c>
      <c r="M943" s="15" t="str">
        <f aca="false">IF($G943="","",IF($G943&lt;1,ROUND($G943*1440,0),INT($G943/100)*60+MOD($G943,100)))</f>
        <v/>
      </c>
      <c r="N943" s="15" t="str">
        <f aca="false">IF(OR($A943="",$B943="",$L943="",$M943="",$J943="취소"),"",IF(SUMPRODUCT(($A$3:$A$2002=$A943)*($B$3:$B$2002=$B943)*($J$3:$J$2002&lt;&gt;"취소")*($L$3:$L$2002&lt;&gt;"")*($M$3:$M$2002&lt;&gt;"")*($L$3:$L$2002&lt;$M943)*($M$3:$M$2002&gt;$L943))&gt;1,"중복","-"))</f>
        <v/>
      </c>
    </row>
    <row r="944" customFormat="false" ht="15" hidden="false" customHeight="true" outlineLevel="0" collapsed="false">
      <c r="A944" s="11"/>
      <c r="B944" s="7"/>
      <c r="C944" s="12" t="str">
        <f aca="false">IF($B944="","",IFERROR(INDEX(자원목록!$B$3:$B$102,MATCH($B944,자원목록!$A$3:$A$102,0)),"미등록자원"))</f>
        <v/>
      </c>
      <c r="D944" s="7"/>
      <c r="E944" s="12" t="str">
        <f aca="false">IF($D944="","",IFERROR(INDEX(고객목록!$B$3:$B$502,MATCH($D944,고객목록!$A$3:$A$502,0)),""))</f>
        <v/>
      </c>
      <c r="F944" s="13"/>
      <c r="G944" s="13"/>
      <c r="H944" s="14" t="str">
        <f aca="false">IF(OR($L944="",$M944=""),"",ROUND(($M944-$L944)/60,2))</f>
        <v/>
      </c>
      <c r="I944" s="9"/>
      <c r="J944" s="7"/>
      <c r="K944" s="7"/>
      <c r="L944" s="15" t="str">
        <f aca="false">IF($F944="","",IF($F944&lt;1,ROUND($F944*1440,0),INT($F944/100)*60+MOD($F944,100)))</f>
        <v/>
      </c>
      <c r="M944" s="15" t="str">
        <f aca="false">IF($G944="","",IF($G944&lt;1,ROUND($G944*1440,0),INT($G944/100)*60+MOD($G944,100)))</f>
        <v/>
      </c>
      <c r="N944" s="15" t="str">
        <f aca="false">IF(OR($A944="",$B944="",$L944="",$M944="",$J944="취소"),"",IF(SUMPRODUCT(($A$3:$A$2002=$A944)*($B$3:$B$2002=$B944)*($J$3:$J$2002&lt;&gt;"취소")*($L$3:$L$2002&lt;&gt;"")*($M$3:$M$2002&lt;&gt;"")*($L$3:$L$2002&lt;$M944)*($M$3:$M$2002&gt;$L944))&gt;1,"중복","-"))</f>
        <v/>
      </c>
    </row>
    <row r="945" customFormat="false" ht="15" hidden="false" customHeight="true" outlineLevel="0" collapsed="false">
      <c r="A945" s="11"/>
      <c r="B945" s="7"/>
      <c r="C945" s="12" t="str">
        <f aca="false">IF($B945="","",IFERROR(INDEX(자원목록!$B$3:$B$102,MATCH($B945,자원목록!$A$3:$A$102,0)),"미등록자원"))</f>
        <v/>
      </c>
      <c r="D945" s="7"/>
      <c r="E945" s="12" t="str">
        <f aca="false">IF($D945="","",IFERROR(INDEX(고객목록!$B$3:$B$502,MATCH($D945,고객목록!$A$3:$A$502,0)),""))</f>
        <v/>
      </c>
      <c r="F945" s="13"/>
      <c r="G945" s="13"/>
      <c r="H945" s="14" t="str">
        <f aca="false">IF(OR($L945="",$M945=""),"",ROUND(($M945-$L945)/60,2))</f>
        <v/>
      </c>
      <c r="I945" s="9"/>
      <c r="J945" s="7"/>
      <c r="K945" s="7"/>
      <c r="L945" s="15" t="str">
        <f aca="false">IF($F945="","",IF($F945&lt;1,ROUND($F945*1440,0),INT($F945/100)*60+MOD($F945,100)))</f>
        <v/>
      </c>
      <c r="M945" s="15" t="str">
        <f aca="false">IF($G945="","",IF($G945&lt;1,ROUND($G945*1440,0),INT($G945/100)*60+MOD($G945,100)))</f>
        <v/>
      </c>
      <c r="N945" s="15" t="str">
        <f aca="false">IF(OR($A945="",$B945="",$L945="",$M945="",$J945="취소"),"",IF(SUMPRODUCT(($A$3:$A$2002=$A945)*($B$3:$B$2002=$B945)*($J$3:$J$2002&lt;&gt;"취소")*($L$3:$L$2002&lt;&gt;"")*($M$3:$M$2002&lt;&gt;"")*($L$3:$L$2002&lt;$M945)*($M$3:$M$2002&gt;$L945))&gt;1,"중복","-"))</f>
        <v/>
      </c>
    </row>
    <row r="946" customFormat="false" ht="15" hidden="false" customHeight="true" outlineLevel="0" collapsed="false">
      <c r="A946" s="11"/>
      <c r="B946" s="7"/>
      <c r="C946" s="12" t="str">
        <f aca="false">IF($B946="","",IFERROR(INDEX(자원목록!$B$3:$B$102,MATCH($B946,자원목록!$A$3:$A$102,0)),"미등록자원"))</f>
        <v/>
      </c>
      <c r="D946" s="7"/>
      <c r="E946" s="12" t="str">
        <f aca="false">IF($D946="","",IFERROR(INDEX(고객목록!$B$3:$B$502,MATCH($D946,고객목록!$A$3:$A$502,0)),""))</f>
        <v/>
      </c>
      <c r="F946" s="13"/>
      <c r="G946" s="13"/>
      <c r="H946" s="14" t="str">
        <f aca="false">IF(OR($L946="",$M946=""),"",ROUND(($M946-$L946)/60,2))</f>
        <v/>
      </c>
      <c r="I946" s="9"/>
      <c r="J946" s="7"/>
      <c r="K946" s="7"/>
      <c r="L946" s="15" t="str">
        <f aca="false">IF($F946="","",IF($F946&lt;1,ROUND($F946*1440,0),INT($F946/100)*60+MOD($F946,100)))</f>
        <v/>
      </c>
      <c r="M946" s="15" t="str">
        <f aca="false">IF($G946="","",IF($G946&lt;1,ROUND($G946*1440,0),INT($G946/100)*60+MOD($G946,100)))</f>
        <v/>
      </c>
      <c r="N946" s="15" t="str">
        <f aca="false">IF(OR($A946="",$B946="",$L946="",$M946="",$J946="취소"),"",IF(SUMPRODUCT(($A$3:$A$2002=$A946)*($B$3:$B$2002=$B946)*($J$3:$J$2002&lt;&gt;"취소")*($L$3:$L$2002&lt;&gt;"")*($M$3:$M$2002&lt;&gt;"")*($L$3:$L$2002&lt;$M946)*($M$3:$M$2002&gt;$L946))&gt;1,"중복","-"))</f>
        <v/>
      </c>
    </row>
    <row r="947" customFormat="false" ht="15" hidden="false" customHeight="true" outlineLevel="0" collapsed="false">
      <c r="A947" s="11"/>
      <c r="B947" s="7"/>
      <c r="C947" s="12" t="str">
        <f aca="false">IF($B947="","",IFERROR(INDEX(자원목록!$B$3:$B$102,MATCH($B947,자원목록!$A$3:$A$102,0)),"미등록자원"))</f>
        <v/>
      </c>
      <c r="D947" s="7"/>
      <c r="E947" s="12" t="str">
        <f aca="false">IF($D947="","",IFERROR(INDEX(고객목록!$B$3:$B$502,MATCH($D947,고객목록!$A$3:$A$502,0)),""))</f>
        <v/>
      </c>
      <c r="F947" s="13"/>
      <c r="G947" s="13"/>
      <c r="H947" s="14" t="str">
        <f aca="false">IF(OR($L947="",$M947=""),"",ROUND(($M947-$L947)/60,2))</f>
        <v/>
      </c>
      <c r="I947" s="9"/>
      <c r="J947" s="7"/>
      <c r="K947" s="7"/>
      <c r="L947" s="15" t="str">
        <f aca="false">IF($F947="","",IF($F947&lt;1,ROUND($F947*1440,0),INT($F947/100)*60+MOD($F947,100)))</f>
        <v/>
      </c>
      <c r="M947" s="15" t="str">
        <f aca="false">IF($G947="","",IF($G947&lt;1,ROUND($G947*1440,0),INT($G947/100)*60+MOD($G947,100)))</f>
        <v/>
      </c>
      <c r="N947" s="15" t="str">
        <f aca="false">IF(OR($A947="",$B947="",$L947="",$M947="",$J947="취소"),"",IF(SUMPRODUCT(($A$3:$A$2002=$A947)*($B$3:$B$2002=$B947)*($J$3:$J$2002&lt;&gt;"취소")*($L$3:$L$2002&lt;&gt;"")*($M$3:$M$2002&lt;&gt;"")*($L$3:$L$2002&lt;$M947)*($M$3:$M$2002&gt;$L947))&gt;1,"중복","-"))</f>
        <v/>
      </c>
    </row>
    <row r="948" customFormat="false" ht="15" hidden="false" customHeight="true" outlineLevel="0" collapsed="false">
      <c r="A948" s="11"/>
      <c r="B948" s="7"/>
      <c r="C948" s="12" t="str">
        <f aca="false">IF($B948="","",IFERROR(INDEX(자원목록!$B$3:$B$102,MATCH($B948,자원목록!$A$3:$A$102,0)),"미등록자원"))</f>
        <v/>
      </c>
      <c r="D948" s="7"/>
      <c r="E948" s="12" t="str">
        <f aca="false">IF($D948="","",IFERROR(INDEX(고객목록!$B$3:$B$502,MATCH($D948,고객목록!$A$3:$A$502,0)),""))</f>
        <v/>
      </c>
      <c r="F948" s="13"/>
      <c r="G948" s="13"/>
      <c r="H948" s="14" t="str">
        <f aca="false">IF(OR($L948="",$M948=""),"",ROUND(($M948-$L948)/60,2))</f>
        <v/>
      </c>
      <c r="I948" s="9"/>
      <c r="J948" s="7"/>
      <c r="K948" s="7"/>
      <c r="L948" s="15" t="str">
        <f aca="false">IF($F948="","",IF($F948&lt;1,ROUND($F948*1440,0),INT($F948/100)*60+MOD($F948,100)))</f>
        <v/>
      </c>
      <c r="M948" s="15" t="str">
        <f aca="false">IF($G948="","",IF($G948&lt;1,ROUND($G948*1440,0),INT($G948/100)*60+MOD($G948,100)))</f>
        <v/>
      </c>
      <c r="N948" s="15" t="str">
        <f aca="false">IF(OR($A948="",$B948="",$L948="",$M948="",$J948="취소"),"",IF(SUMPRODUCT(($A$3:$A$2002=$A948)*($B$3:$B$2002=$B948)*($J$3:$J$2002&lt;&gt;"취소")*($L$3:$L$2002&lt;&gt;"")*($M$3:$M$2002&lt;&gt;"")*($L$3:$L$2002&lt;$M948)*($M$3:$M$2002&gt;$L948))&gt;1,"중복","-"))</f>
        <v/>
      </c>
    </row>
    <row r="949" customFormat="false" ht="15" hidden="false" customHeight="true" outlineLevel="0" collapsed="false">
      <c r="A949" s="11"/>
      <c r="B949" s="7"/>
      <c r="C949" s="12" t="str">
        <f aca="false">IF($B949="","",IFERROR(INDEX(자원목록!$B$3:$B$102,MATCH($B949,자원목록!$A$3:$A$102,0)),"미등록자원"))</f>
        <v/>
      </c>
      <c r="D949" s="7"/>
      <c r="E949" s="12" t="str">
        <f aca="false">IF($D949="","",IFERROR(INDEX(고객목록!$B$3:$B$502,MATCH($D949,고객목록!$A$3:$A$502,0)),""))</f>
        <v/>
      </c>
      <c r="F949" s="13"/>
      <c r="G949" s="13"/>
      <c r="H949" s="14" t="str">
        <f aca="false">IF(OR($L949="",$M949=""),"",ROUND(($M949-$L949)/60,2))</f>
        <v/>
      </c>
      <c r="I949" s="9"/>
      <c r="J949" s="7"/>
      <c r="K949" s="7"/>
      <c r="L949" s="15" t="str">
        <f aca="false">IF($F949="","",IF($F949&lt;1,ROUND($F949*1440,0),INT($F949/100)*60+MOD($F949,100)))</f>
        <v/>
      </c>
      <c r="M949" s="15" t="str">
        <f aca="false">IF($G949="","",IF($G949&lt;1,ROUND($G949*1440,0),INT($G949/100)*60+MOD($G949,100)))</f>
        <v/>
      </c>
      <c r="N949" s="15" t="str">
        <f aca="false">IF(OR($A949="",$B949="",$L949="",$M949="",$J949="취소"),"",IF(SUMPRODUCT(($A$3:$A$2002=$A949)*($B$3:$B$2002=$B949)*($J$3:$J$2002&lt;&gt;"취소")*($L$3:$L$2002&lt;&gt;"")*($M$3:$M$2002&lt;&gt;"")*($L$3:$L$2002&lt;$M949)*($M$3:$M$2002&gt;$L949))&gt;1,"중복","-"))</f>
        <v/>
      </c>
    </row>
    <row r="950" customFormat="false" ht="15" hidden="false" customHeight="true" outlineLevel="0" collapsed="false">
      <c r="A950" s="11"/>
      <c r="B950" s="7"/>
      <c r="C950" s="12" t="str">
        <f aca="false">IF($B950="","",IFERROR(INDEX(자원목록!$B$3:$B$102,MATCH($B950,자원목록!$A$3:$A$102,0)),"미등록자원"))</f>
        <v/>
      </c>
      <c r="D950" s="7"/>
      <c r="E950" s="12" t="str">
        <f aca="false">IF($D950="","",IFERROR(INDEX(고객목록!$B$3:$B$502,MATCH($D950,고객목록!$A$3:$A$502,0)),""))</f>
        <v/>
      </c>
      <c r="F950" s="13"/>
      <c r="G950" s="13"/>
      <c r="H950" s="14" t="str">
        <f aca="false">IF(OR($L950="",$M950=""),"",ROUND(($M950-$L950)/60,2))</f>
        <v/>
      </c>
      <c r="I950" s="9"/>
      <c r="J950" s="7"/>
      <c r="K950" s="7"/>
      <c r="L950" s="15" t="str">
        <f aca="false">IF($F950="","",IF($F950&lt;1,ROUND($F950*1440,0),INT($F950/100)*60+MOD($F950,100)))</f>
        <v/>
      </c>
      <c r="M950" s="15" t="str">
        <f aca="false">IF($G950="","",IF($G950&lt;1,ROUND($G950*1440,0),INT($G950/100)*60+MOD($G950,100)))</f>
        <v/>
      </c>
      <c r="N950" s="15" t="str">
        <f aca="false">IF(OR($A950="",$B950="",$L950="",$M950="",$J950="취소"),"",IF(SUMPRODUCT(($A$3:$A$2002=$A950)*($B$3:$B$2002=$B950)*($J$3:$J$2002&lt;&gt;"취소")*($L$3:$L$2002&lt;&gt;"")*($M$3:$M$2002&lt;&gt;"")*($L$3:$L$2002&lt;$M950)*($M$3:$M$2002&gt;$L950))&gt;1,"중복","-"))</f>
        <v/>
      </c>
    </row>
    <row r="951" customFormat="false" ht="15" hidden="false" customHeight="true" outlineLevel="0" collapsed="false">
      <c r="A951" s="11"/>
      <c r="B951" s="7"/>
      <c r="C951" s="12" t="str">
        <f aca="false">IF($B951="","",IFERROR(INDEX(자원목록!$B$3:$B$102,MATCH($B951,자원목록!$A$3:$A$102,0)),"미등록자원"))</f>
        <v/>
      </c>
      <c r="D951" s="7"/>
      <c r="E951" s="12" t="str">
        <f aca="false">IF($D951="","",IFERROR(INDEX(고객목록!$B$3:$B$502,MATCH($D951,고객목록!$A$3:$A$502,0)),""))</f>
        <v/>
      </c>
      <c r="F951" s="13"/>
      <c r="G951" s="13"/>
      <c r="H951" s="14" t="str">
        <f aca="false">IF(OR($L951="",$M951=""),"",ROUND(($M951-$L951)/60,2))</f>
        <v/>
      </c>
      <c r="I951" s="9"/>
      <c r="J951" s="7"/>
      <c r="K951" s="7"/>
      <c r="L951" s="15" t="str">
        <f aca="false">IF($F951="","",IF($F951&lt;1,ROUND($F951*1440,0),INT($F951/100)*60+MOD($F951,100)))</f>
        <v/>
      </c>
      <c r="M951" s="15" t="str">
        <f aca="false">IF($G951="","",IF($G951&lt;1,ROUND($G951*1440,0),INT($G951/100)*60+MOD($G951,100)))</f>
        <v/>
      </c>
      <c r="N951" s="15" t="str">
        <f aca="false">IF(OR($A951="",$B951="",$L951="",$M951="",$J951="취소"),"",IF(SUMPRODUCT(($A$3:$A$2002=$A951)*($B$3:$B$2002=$B951)*($J$3:$J$2002&lt;&gt;"취소")*($L$3:$L$2002&lt;&gt;"")*($M$3:$M$2002&lt;&gt;"")*($L$3:$L$2002&lt;$M951)*($M$3:$M$2002&gt;$L951))&gt;1,"중복","-"))</f>
        <v/>
      </c>
    </row>
    <row r="952" customFormat="false" ht="15" hidden="false" customHeight="true" outlineLevel="0" collapsed="false">
      <c r="A952" s="11"/>
      <c r="B952" s="7"/>
      <c r="C952" s="12" t="str">
        <f aca="false">IF($B952="","",IFERROR(INDEX(자원목록!$B$3:$B$102,MATCH($B952,자원목록!$A$3:$A$102,0)),"미등록자원"))</f>
        <v/>
      </c>
      <c r="D952" s="7"/>
      <c r="E952" s="12" t="str">
        <f aca="false">IF($D952="","",IFERROR(INDEX(고객목록!$B$3:$B$502,MATCH($D952,고객목록!$A$3:$A$502,0)),""))</f>
        <v/>
      </c>
      <c r="F952" s="13"/>
      <c r="G952" s="13"/>
      <c r="H952" s="14" t="str">
        <f aca="false">IF(OR($L952="",$M952=""),"",ROUND(($M952-$L952)/60,2))</f>
        <v/>
      </c>
      <c r="I952" s="9"/>
      <c r="J952" s="7"/>
      <c r="K952" s="7"/>
      <c r="L952" s="15" t="str">
        <f aca="false">IF($F952="","",IF($F952&lt;1,ROUND($F952*1440,0),INT($F952/100)*60+MOD($F952,100)))</f>
        <v/>
      </c>
      <c r="M952" s="15" t="str">
        <f aca="false">IF($G952="","",IF($G952&lt;1,ROUND($G952*1440,0),INT($G952/100)*60+MOD($G952,100)))</f>
        <v/>
      </c>
      <c r="N952" s="15" t="str">
        <f aca="false">IF(OR($A952="",$B952="",$L952="",$M952="",$J952="취소"),"",IF(SUMPRODUCT(($A$3:$A$2002=$A952)*($B$3:$B$2002=$B952)*($J$3:$J$2002&lt;&gt;"취소")*($L$3:$L$2002&lt;&gt;"")*($M$3:$M$2002&lt;&gt;"")*($L$3:$L$2002&lt;$M952)*($M$3:$M$2002&gt;$L952))&gt;1,"중복","-"))</f>
        <v/>
      </c>
    </row>
    <row r="953" customFormat="false" ht="15" hidden="false" customHeight="true" outlineLevel="0" collapsed="false">
      <c r="A953" s="11"/>
      <c r="B953" s="7"/>
      <c r="C953" s="12" t="str">
        <f aca="false">IF($B953="","",IFERROR(INDEX(자원목록!$B$3:$B$102,MATCH($B953,자원목록!$A$3:$A$102,0)),"미등록자원"))</f>
        <v/>
      </c>
      <c r="D953" s="7"/>
      <c r="E953" s="12" t="str">
        <f aca="false">IF($D953="","",IFERROR(INDEX(고객목록!$B$3:$B$502,MATCH($D953,고객목록!$A$3:$A$502,0)),""))</f>
        <v/>
      </c>
      <c r="F953" s="13"/>
      <c r="G953" s="13"/>
      <c r="H953" s="14" t="str">
        <f aca="false">IF(OR($L953="",$M953=""),"",ROUND(($M953-$L953)/60,2))</f>
        <v/>
      </c>
      <c r="I953" s="9"/>
      <c r="J953" s="7"/>
      <c r="K953" s="7"/>
      <c r="L953" s="15" t="str">
        <f aca="false">IF($F953="","",IF($F953&lt;1,ROUND($F953*1440,0),INT($F953/100)*60+MOD($F953,100)))</f>
        <v/>
      </c>
      <c r="M953" s="15" t="str">
        <f aca="false">IF($G953="","",IF($G953&lt;1,ROUND($G953*1440,0),INT($G953/100)*60+MOD($G953,100)))</f>
        <v/>
      </c>
      <c r="N953" s="15" t="str">
        <f aca="false">IF(OR($A953="",$B953="",$L953="",$M953="",$J953="취소"),"",IF(SUMPRODUCT(($A$3:$A$2002=$A953)*($B$3:$B$2002=$B953)*($J$3:$J$2002&lt;&gt;"취소")*($L$3:$L$2002&lt;&gt;"")*($M$3:$M$2002&lt;&gt;"")*($L$3:$L$2002&lt;$M953)*($M$3:$M$2002&gt;$L953))&gt;1,"중복","-"))</f>
        <v/>
      </c>
    </row>
    <row r="954" customFormat="false" ht="15" hidden="false" customHeight="true" outlineLevel="0" collapsed="false">
      <c r="A954" s="11"/>
      <c r="B954" s="7"/>
      <c r="C954" s="12" t="str">
        <f aca="false">IF($B954="","",IFERROR(INDEX(자원목록!$B$3:$B$102,MATCH($B954,자원목록!$A$3:$A$102,0)),"미등록자원"))</f>
        <v/>
      </c>
      <c r="D954" s="7"/>
      <c r="E954" s="12" t="str">
        <f aca="false">IF($D954="","",IFERROR(INDEX(고객목록!$B$3:$B$502,MATCH($D954,고객목록!$A$3:$A$502,0)),""))</f>
        <v/>
      </c>
      <c r="F954" s="13"/>
      <c r="G954" s="13"/>
      <c r="H954" s="14" t="str">
        <f aca="false">IF(OR($L954="",$M954=""),"",ROUND(($M954-$L954)/60,2))</f>
        <v/>
      </c>
      <c r="I954" s="9"/>
      <c r="J954" s="7"/>
      <c r="K954" s="7"/>
      <c r="L954" s="15" t="str">
        <f aca="false">IF($F954="","",IF($F954&lt;1,ROUND($F954*1440,0),INT($F954/100)*60+MOD($F954,100)))</f>
        <v/>
      </c>
      <c r="M954" s="15" t="str">
        <f aca="false">IF($G954="","",IF($G954&lt;1,ROUND($G954*1440,0),INT($G954/100)*60+MOD($G954,100)))</f>
        <v/>
      </c>
      <c r="N954" s="15" t="str">
        <f aca="false">IF(OR($A954="",$B954="",$L954="",$M954="",$J954="취소"),"",IF(SUMPRODUCT(($A$3:$A$2002=$A954)*($B$3:$B$2002=$B954)*($J$3:$J$2002&lt;&gt;"취소")*($L$3:$L$2002&lt;&gt;"")*($M$3:$M$2002&lt;&gt;"")*($L$3:$L$2002&lt;$M954)*($M$3:$M$2002&gt;$L954))&gt;1,"중복","-"))</f>
        <v/>
      </c>
    </row>
    <row r="955" customFormat="false" ht="15" hidden="false" customHeight="true" outlineLevel="0" collapsed="false">
      <c r="A955" s="11"/>
      <c r="B955" s="7"/>
      <c r="C955" s="12" t="str">
        <f aca="false">IF($B955="","",IFERROR(INDEX(자원목록!$B$3:$B$102,MATCH($B955,자원목록!$A$3:$A$102,0)),"미등록자원"))</f>
        <v/>
      </c>
      <c r="D955" s="7"/>
      <c r="E955" s="12" t="str">
        <f aca="false">IF($D955="","",IFERROR(INDEX(고객목록!$B$3:$B$502,MATCH($D955,고객목록!$A$3:$A$502,0)),""))</f>
        <v/>
      </c>
      <c r="F955" s="13"/>
      <c r="G955" s="13"/>
      <c r="H955" s="14" t="str">
        <f aca="false">IF(OR($L955="",$M955=""),"",ROUND(($M955-$L955)/60,2))</f>
        <v/>
      </c>
      <c r="I955" s="9"/>
      <c r="J955" s="7"/>
      <c r="K955" s="7"/>
      <c r="L955" s="15" t="str">
        <f aca="false">IF($F955="","",IF($F955&lt;1,ROUND($F955*1440,0),INT($F955/100)*60+MOD($F955,100)))</f>
        <v/>
      </c>
      <c r="M955" s="15" t="str">
        <f aca="false">IF($G955="","",IF($G955&lt;1,ROUND($G955*1440,0),INT($G955/100)*60+MOD($G955,100)))</f>
        <v/>
      </c>
      <c r="N955" s="15" t="str">
        <f aca="false">IF(OR($A955="",$B955="",$L955="",$M955="",$J955="취소"),"",IF(SUMPRODUCT(($A$3:$A$2002=$A955)*($B$3:$B$2002=$B955)*($J$3:$J$2002&lt;&gt;"취소")*($L$3:$L$2002&lt;&gt;"")*($M$3:$M$2002&lt;&gt;"")*($L$3:$L$2002&lt;$M955)*($M$3:$M$2002&gt;$L955))&gt;1,"중복","-"))</f>
        <v/>
      </c>
    </row>
    <row r="956" customFormat="false" ht="15" hidden="false" customHeight="true" outlineLevel="0" collapsed="false">
      <c r="A956" s="11"/>
      <c r="B956" s="7"/>
      <c r="C956" s="12" t="str">
        <f aca="false">IF($B956="","",IFERROR(INDEX(자원목록!$B$3:$B$102,MATCH($B956,자원목록!$A$3:$A$102,0)),"미등록자원"))</f>
        <v/>
      </c>
      <c r="D956" s="7"/>
      <c r="E956" s="12" t="str">
        <f aca="false">IF($D956="","",IFERROR(INDEX(고객목록!$B$3:$B$502,MATCH($D956,고객목록!$A$3:$A$502,0)),""))</f>
        <v/>
      </c>
      <c r="F956" s="13"/>
      <c r="G956" s="13"/>
      <c r="H956" s="14" t="str">
        <f aca="false">IF(OR($L956="",$M956=""),"",ROUND(($M956-$L956)/60,2))</f>
        <v/>
      </c>
      <c r="I956" s="9"/>
      <c r="J956" s="7"/>
      <c r="K956" s="7"/>
      <c r="L956" s="15" t="str">
        <f aca="false">IF($F956="","",IF($F956&lt;1,ROUND($F956*1440,0),INT($F956/100)*60+MOD($F956,100)))</f>
        <v/>
      </c>
      <c r="M956" s="15" t="str">
        <f aca="false">IF($G956="","",IF($G956&lt;1,ROUND($G956*1440,0),INT($G956/100)*60+MOD($G956,100)))</f>
        <v/>
      </c>
      <c r="N956" s="15" t="str">
        <f aca="false">IF(OR($A956="",$B956="",$L956="",$M956="",$J956="취소"),"",IF(SUMPRODUCT(($A$3:$A$2002=$A956)*($B$3:$B$2002=$B956)*($J$3:$J$2002&lt;&gt;"취소")*($L$3:$L$2002&lt;&gt;"")*($M$3:$M$2002&lt;&gt;"")*($L$3:$L$2002&lt;$M956)*($M$3:$M$2002&gt;$L956))&gt;1,"중복","-"))</f>
        <v/>
      </c>
    </row>
    <row r="957" customFormat="false" ht="15" hidden="false" customHeight="true" outlineLevel="0" collapsed="false">
      <c r="A957" s="11"/>
      <c r="B957" s="7"/>
      <c r="C957" s="12" t="str">
        <f aca="false">IF($B957="","",IFERROR(INDEX(자원목록!$B$3:$B$102,MATCH($B957,자원목록!$A$3:$A$102,0)),"미등록자원"))</f>
        <v/>
      </c>
      <c r="D957" s="7"/>
      <c r="E957" s="12" t="str">
        <f aca="false">IF($D957="","",IFERROR(INDEX(고객목록!$B$3:$B$502,MATCH($D957,고객목록!$A$3:$A$502,0)),""))</f>
        <v/>
      </c>
      <c r="F957" s="13"/>
      <c r="G957" s="13"/>
      <c r="H957" s="14" t="str">
        <f aca="false">IF(OR($L957="",$M957=""),"",ROUND(($M957-$L957)/60,2))</f>
        <v/>
      </c>
      <c r="I957" s="9"/>
      <c r="J957" s="7"/>
      <c r="K957" s="7"/>
      <c r="L957" s="15" t="str">
        <f aca="false">IF($F957="","",IF($F957&lt;1,ROUND($F957*1440,0),INT($F957/100)*60+MOD($F957,100)))</f>
        <v/>
      </c>
      <c r="M957" s="15" t="str">
        <f aca="false">IF($G957="","",IF($G957&lt;1,ROUND($G957*1440,0),INT($G957/100)*60+MOD($G957,100)))</f>
        <v/>
      </c>
      <c r="N957" s="15" t="str">
        <f aca="false">IF(OR($A957="",$B957="",$L957="",$M957="",$J957="취소"),"",IF(SUMPRODUCT(($A$3:$A$2002=$A957)*($B$3:$B$2002=$B957)*($J$3:$J$2002&lt;&gt;"취소")*($L$3:$L$2002&lt;&gt;"")*($M$3:$M$2002&lt;&gt;"")*($L$3:$L$2002&lt;$M957)*($M$3:$M$2002&gt;$L957))&gt;1,"중복","-"))</f>
        <v/>
      </c>
    </row>
    <row r="958" customFormat="false" ht="15" hidden="false" customHeight="true" outlineLevel="0" collapsed="false">
      <c r="A958" s="11"/>
      <c r="B958" s="7"/>
      <c r="C958" s="12" t="str">
        <f aca="false">IF($B958="","",IFERROR(INDEX(자원목록!$B$3:$B$102,MATCH($B958,자원목록!$A$3:$A$102,0)),"미등록자원"))</f>
        <v/>
      </c>
      <c r="D958" s="7"/>
      <c r="E958" s="12" t="str">
        <f aca="false">IF($D958="","",IFERROR(INDEX(고객목록!$B$3:$B$502,MATCH($D958,고객목록!$A$3:$A$502,0)),""))</f>
        <v/>
      </c>
      <c r="F958" s="13"/>
      <c r="G958" s="13"/>
      <c r="H958" s="14" t="str">
        <f aca="false">IF(OR($L958="",$M958=""),"",ROUND(($M958-$L958)/60,2))</f>
        <v/>
      </c>
      <c r="I958" s="9"/>
      <c r="J958" s="7"/>
      <c r="K958" s="7"/>
      <c r="L958" s="15" t="str">
        <f aca="false">IF($F958="","",IF($F958&lt;1,ROUND($F958*1440,0),INT($F958/100)*60+MOD($F958,100)))</f>
        <v/>
      </c>
      <c r="M958" s="15" t="str">
        <f aca="false">IF($G958="","",IF($G958&lt;1,ROUND($G958*1440,0),INT($G958/100)*60+MOD($G958,100)))</f>
        <v/>
      </c>
      <c r="N958" s="15" t="str">
        <f aca="false">IF(OR($A958="",$B958="",$L958="",$M958="",$J958="취소"),"",IF(SUMPRODUCT(($A$3:$A$2002=$A958)*($B$3:$B$2002=$B958)*($J$3:$J$2002&lt;&gt;"취소")*($L$3:$L$2002&lt;&gt;"")*($M$3:$M$2002&lt;&gt;"")*($L$3:$L$2002&lt;$M958)*($M$3:$M$2002&gt;$L958))&gt;1,"중복","-"))</f>
        <v/>
      </c>
    </row>
    <row r="959" customFormat="false" ht="15" hidden="false" customHeight="true" outlineLevel="0" collapsed="false">
      <c r="A959" s="11"/>
      <c r="B959" s="7"/>
      <c r="C959" s="12" t="str">
        <f aca="false">IF($B959="","",IFERROR(INDEX(자원목록!$B$3:$B$102,MATCH($B959,자원목록!$A$3:$A$102,0)),"미등록자원"))</f>
        <v/>
      </c>
      <c r="D959" s="7"/>
      <c r="E959" s="12" t="str">
        <f aca="false">IF($D959="","",IFERROR(INDEX(고객목록!$B$3:$B$502,MATCH($D959,고객목록!$A$3:$A$502,0)),""))</f>
        <v/>
      </c>
      <c r="F959" s="13"/>
      <c r="G959" s="13"/>
      <c r="H959" s="14" t="str">
        <f aca="false">IF(OR($L959="",$M959=""),"",ROUND(($M959-$L959)/60,2))</f>
        <v/>
      </c>
      <c r="I959" s="9"/>
      <c r="J959" s="7"/>
      <c r="K959" s="7"/>
      <c r="L959" s="15" t="str">
        <f aca="false">IF($F959="","",IF($F959&lt;1,ROUND($F959*1440,0),INT($F959/100)*60+MOD($F959,100)))</f>
        <v/>
      </c>
      <c r="M959" s="15" t="str">
        <f aca="false">IF($G959="","",IF($G959&lt;1,ROUND($G959*1440,0),INT($G959/100)*60+MOD($G959,100)))</f>
        <v/>
      </c>
      <c r="N959" s="15" t="str">
        <f aca="false">IF(OR($A959="",$B959="",$L959="",$M959="",$J959="취소"),"",IF(SUMPRODUCT(($A$3:$A$2002=$A959)*($B$3:$B$2002=$B959)*($J$3:$J$2002&lt;&gt;"취소")*($L$3:$L$2002&lt;&gt;"")*($M$3:$M$2002&lt;&gt;"")*($L$3:$L$2002&lt;$M959)*($M$3:$M$2002&gt;$L959))&gt;1,"중복","-"))</f>
        <v/>
      </c>
    </row>
    <row r="960" customFormat="false" ht="15" hidden="false" customHeight="true" outlineLevel="0" collapsed="false">
      <c r="A960" s="11"/>
      <c r="B960" s="7"/>
      <c r="C960" s="12" t="str">
        <f aca="false">IF($B960="","",IFERROR(INDEX(자원목록!$B$3:$B$102,MATCH($B960,자원목록!$A$3:$A$102,0)),"미등록자원"))</f>
        <v/>
      </c>
      <c r="D960" s="7"/>
      <c r="E960" s="12" t="str">
        <f aca="false">IF($D960="","",IFERROR(INDEX(고객목록!$B$3:$B$502,MATCH($D960,고객목록!$A$3:$A$502,0)),""))</f>
        <v/>
      </c>
      <c r="F960" s="13"/>
      <c r="G960" s="13"/>
      <c r="H960" s="14" t="str">
        <f aca="false">IF(OR($L960="",$M960=""),"",ROUND(($M960-$L960)/60,2))</f>
        <v/>
      </c>
      <c r="I960" s="9"/>
      <c r="J960" s="7"/>
      <c r="K960" s="7"/>
      <c r="L960" s="15" t="str">
        <f aca="false">IF($F960="","",IF($F960&lt;1,ROUND($F960*1440,0),INT($F960/100)*60+MOD($F960,100)))</f>
        <v/>
      </c>
      <c r="M960" s="15" t="str">
        <f aca="false">IF($G960="","",IF($G960&lt;1,ROUND($G960*1440,0),INT($G960/100)*60+MOD($G960,100)))</f>
        <v/>
      </c>
      <c r="N960" s="15" t="str">
        <f aca="false">IF(OR($A960="",$B960="",$L960="",$M960="",$J960="취소"),"",IF(SUMPRODUCT(($A$3:$A$2002=$A960)*($B$3:$B$2002=$B960)*($J$3:$J$2002&lt;&gt;"취소")*($L$3:$L$2002&lt;&gt;"")*($M$3:$M$2002&lt;&gt;"")*($L$3:$L$2002&lt;$M960)*($M$3:$M$2002&gt;$L960))&gt;1,"중복","-"))</f>
        <v/>
      </c>
    </row>
    <row r="961" customFormat="false" ht="15" hidden="false" customHeight="true" outlineLevel="0" collapsed="false">
      <c r="A961" s="11"/>
      <c r="B961" s="7"/>
      <c r="C961" s="12" t="str">
        <f aca="false">IF($B961="","",IFERROR(INDEX(자원목록!$B$3:$B$102,MATCH($B961,자원목록!$A$3:$A$102,0)),"미등록자원"))</f>
        <v/>
      </c>
      <c r="D961" s="7"/>
      <c r="E961" s="12" t="str">
        <f aca="false">IF($D961="","",IFERROR(INDEX(고객목록!$B$3:$B$502,MATCH($D961,고객목록!$A$3:$A$502,0)),""))</f>
        <v/>
      </c>
      <c r="F961" s="13"/>
      <c r="G961" s="13"/>
      <c r="H961" s="14" t="str">
        <f aca="false">IF(OR($L961="",$M961=""),"",ROUND(($M961-$L961)/60,2))</f>
        <v/>
      </c>
      <c r="I961" s="9"/>
      <c r="J961" s="7"/>
      <c r="K961" s="7"/>
      <c r="L961" s="15" t="str">
        <f aca="false">IF($F961="","",IF($F961&lt;1,ROUND($F961*1440,0),INT($F961/100)*60+MOD($F961,100)))</f>
        <v/>
      </c>
      <c r="M961" s="15" t="str">
        <f aca="false">IF($G961="","",IF($G961&lt;1,ROUND($G961*1440,0),INT($G961/100)*60+MOD($G961,100)))</f>
        <v/>
      </c>
      <c r="N961" s="15" t="str">
        <f aca="false">IF(OR($A961="",$B961="",$L961="",$M961="",$J961="취소"),"",IF(SUMPRODUCT(($A$3:$A$2002=$A961)*($B$3:$B$2002=$B961)*($J$3:$J$2002&lt;&gt;"취소")*($L$3:$L$2002&lt;&gt;"")*($M$3:$M$2002&lt;&gt;"")*($L$3:$L$2002&lt;$M961)*($M$3:$M$2002&gt;$L961))&gt;1,"중복","-"))</f>
        <v/>
      </c>
    </row>
    <row r="962" customFormat="false" ht="15" hidden="false" customHeight="true" outlineLevel="0" collapsed="false">
      <c r="A962" s="11"/>
      <c r="B962" s="7"/>
      <c r="C962" s="12" t="str">
        <f aca="false">IF($B962="","",IFERROR(INDEX(자원목록!$B$3:$B$102,MATCH($B962,자원목록!$A$3:$A$102,0)),"미등록자원"))</f>
        <v/>
      </c>
      <c r="D962" s="7"/>
      <c r="E962" s="12" t="str">
        <f aca="false">IF($D962="","",IFERROR(INDEX(고객목록!$B$3:$B$502,MATCH($D962,고객목록!$A$3:$A$502,0)),""))</f>
        <v/>
      </c>
      <c r="F962" s="13"/>
      <c r="G962" s="13"/>
      <c r="H962" s="14" t="str">
        <f aca="false">IF(OR($L962="",$M962=""),"",ROUND(($M962-$L962)/60,2))</f>
        <v/>
      </c>
      <c r="I962" s="9"/>
      <c r="J962" s="7"/>
      <c r="K962" s="7"/>
      <c r="L962" s="15" t="str">
        <f aca="false">IF($F962="","",IF($F962&lt;1,ROUND($F962*1440,0),INT($F962/100)*60+MOD($F962,100)))</f>
        <v/>
      </c>
      <c r="M962" s="15" t="str">
        <f aca="false">IF($G962="","",IF($G962&lt;1,ROUND($G962*1440,0),INT($G962/100)*60+MOD($G962,100)))</f>
        <v/>
      </c>
      <c r="N962" s="15" t="str">
        <f aca="false">IF(OR($A962="",$B962="",$L962="",$M962="",$J962="취소"),"",IF(SUMPRODUCT(($A$3:$A$2002=$A962)*($B$3:$B$2002=$B962)*($J$3:$J$2002&lt;&gt;"취소")*($L$3:$L$2002&lt;&gt;"")*($M$3:$M$2002&lt;&gt;"")*($L$3:$L$2002&lt;$M962)*($M$3:$M$2002&gt;$L962))&gt;1,"중복","-"))</f>
        <v/>
      </c>
    </row>
    <row r="963" customFormat="false" ht="15" hidden="false" customHeight="true" outlineLevel="0" collapsed="false">
      <c r="A963" s="11"/>
      <c r="B963" s="7"/>
      <c r="C963" s="12" t="str">
        <f aca="false">IF($B963="","",IFERROR(INDEX(자원목록!$B$3:$B$102,MATCH($B963,자원목록!$A$3:$A$102,0)),"미등록자원"))</f>
        <v/>
      </c>
      <c r="D963" s="7"/>
      <c r="E963" s="12" t="str">
        <f aca="false">IF($D963="","",IFERROR(INDEX(고객목록!$B$3:$B$502,MATCH($D963,고객목록!$A$3:$A$502,0)),""))</f>
        <v/>
      </c>
      <c r="F963" s="13"/>
      <c r="G963" s="13"/>
      <c r="H963" s="14" t="str">
        <f aca="false">IF(OR($L963="",$M963=""),"",ROUND(($M963-$L963)/60,2))</f>
        <v/>
      </c>
      <c r="I963" s="9"/>
      <c r="J963" s="7"/>
      <c r="K963" s="7"/>
      <c r="L963" s="15" t="str">
        <f aca="false">IF($F963="","",IF($F963&lt;1,ROUND($F963*1440,0),INT($F963/100)*60+MOD($F963,100)))</f>
        <v/>
      </c>
      <c r="M963" s="15" t="str">
        <f aca="false">IF($G963="","",IF($G963&lt;1,ROUND($G963*1440,0),INT($G963/100)*60+MOD($G963,100)))</f>
        <v/>
      </c>
      <c r="N963" s="15" t="str">
        <f aca="false">IF(OR($A963="",$B963="",$L963="",$M963="",$J963="취소"),"",IF(SUMPRODUCT(($A$3:$A$2002=$A963)*($B$3:$B$2002=$B963)*($J$3:$J$2002&lt;&gt;"취소")*($L$3:$L$2002&lt;&gt;"")*($M$3:$M$2002&lt;&gt;"")*($L$3:$L$2002&lt;$M963)*($M$3:$M$2002&gt;$L963))&gt;1,"중복","-"))</f>
        <v/>
      </c>
    </row>
    <row r="964" customFormat="false" ht="15" hidden="false" customHeight="true" outlineLevel="0" collapsed="false">
      <c r="A964" s="11"/>
      <c r="B964" s="7"/>
      <c r="C964" s="12" t="str">
        <f aca="false">IF($B964="","",IFERROR(INDEX(자원목록!$B$3:$B$102,MATCH($B964,자원목록!$A$3:$A$102,0)),"미등록자원"))</f>
        <v/>
      </c>
      <c r="D964" s="7"/>
      <c r="E964" s="12" t="str">
        <f aca="false">IF($D964="","",IFERROR(INDEX(고객목록!$B$3:$B$502,MATCH($D964,고객목록!$A$3:$A$502,0)),""))</f>
        <v/>
      </c>
      <c r="F964" s="13"/>
      <c r="G964" s="13"/>
      <c r="H964" s="14" t="str">
        <f aca="false">IF(OR($L964="",$M964=""),"",ROUND(($M964-$L964)/60,2))</f>
        <v/>
      </c>
      <c r="I964" s="9"/>
      <c r="J964" s="7"/>
      <c r="K964" s="7"/>
      <c r="L964" s="15" t="str">
        <f aca="false">IF($F964="","",IF($F964&lt;1,ROUND($F964*1440,0),INT($F964/100)*60+MOD($F964,100)))</f>
        <v/>
      </c>
      <c r="M964" s="15" t="str">
        <f aca="false">IF($G964="","",IF($G964&lt;1,ROUND($G964*1440,0),INT($G964/100)*60+MOD($G964,100)))</f>
        <v/>
      </c>
      <c r="N964" s="15" t="str">
        <f aca="false">IF(OR($A964="",$B964="",$L964="",$M964="",$J964="취소"),"",IF(SUMPRODUCT(($A$3:$A$2002=$A964)*($B$3:$B$2002=$B964)*($J$3:$J$2002&lt;&gt;"취소")*($L$3:$L$2002&lt;&gt;"")*($M$3:$M$2002&lt;&gt;"")*($L$3:$L$2002&lt;$M964)*($M$3:$M$2002&gt;$L964))&gt;1,"중복","-"))</f>
        <v/>
      </c>
    </row>
    <row r="965" customFormat="false" ht="15" hidden="false" customHeight="true" outlineLevel="0" collapsed="false">
      <c r="A965" s="11"/>
      <c r="B965" s="7"/>
      <c r="C965" s="12" t="str">
        <f aca="false">IF($B965="","",IFERROR(INDEX(자원목록!$B$3:$B$102,MATCH($B965,자원목록!$A$3:$A$102,0)),"미등록자원"))</f>
        <v/>
      </c>
      <c r="D965" s="7"/>
      <c r="E965" s="12" t="str">
        <f aca="false">IF($D965="","",IFERROR(INDEX(고객목록!$B$3:$B$502,MATCH($D965,고객목록!$A$3:$A$502,0)),""))</f>
        <v/>
      </c>
      <c r="F965" s="13"/>
      <c r="G965" s="13"/>
      <c r="H965" s="14" t="str">
        <f aca="false">IF(OR($L965="",$M965=""),"",ROUND(($M965-$L965)/60,2))</f>
        <v/>
      </c>
      <c r="I965" s="9"/>
      <c r="J965" s="7"/>
      <c r="K965" s="7"/>
      <c r="L965" s="15" t="str">
        <f aca="false">IF($F965="","",IF($F965&lt;1,ROUND($F965*1440,0),INT($F965/100)*60+MOD($F965,100)))</f>
        <v/>
      </c>
      <c r="M965" s="15" t="str">
        <f aca="false">IF($G965="","",IF($G965&lt;1,ROUND($G965*1440,0),INT($G965/100)*60+MOD($G965,100)))</f>
        <v/>
      </c>
      <c r="N965" s="15" t="str">
        <f aca="false">IF(OR($A965="",$B965="",$L965="",$M965="",$J965="취소"),"",IF(SUMPRODUCT(($A$3:$A$2002=$A965)*($B$3:$B$2002=$B965)*($J$3:$J$2002&lt;&gt;"취소")*($L$3:$L$2002&lt;&gt;"")*($M$3:$M$2002&lt;&gt;"")*($L$3:$L$2002&lt;$M965)*($M$3:$M$2002&gt;$L965))&gt;1,"중복","-"))</f>
        <v/>
      </c>
    </row>
    <row r="966" customFormat="false" ht="15" hidden="false" customHeight="true" outlineLevel="0" collapsed="false">
      <c r="A966" s="11"/>
      <c r="B966" s="7"/>
      <c r="C966" s="12" t="str">
        <f aca="false">IF($B966="","",IFERROR(INDEX(자원목록!$B$3:$B$102,MATCH($B966,자원목록!$A$3:$A$102,0)),"미등록자원"))</f>
        <v/>
      </c>
      <c r="D966" s="7"/>
      <c r="E966" s="12" t="str">
        <f aca="false">IF($D966="","",IFERROR(INDEX(고객목록!$B$3:$B$502,MATCH($D966,고객목록!$A$3:$A$502,0)),""))</f>
        <v/>
      </c>
      <c r="F966" s="13"/>
      <c r="G966" s="13"/>
      <c r="H966" s="14" t="str">
        <f aca="false">IF(OR($L966="",$M966=""),"",ROUND(($M966-$L966)/60,2))</f>
        <v/>
      </c>
      <c r="I966" s="9"/>
      <c r="J966" s="7"/>
      <c r="K966" s="7"/>
      <c r="L966" s="15" t="str">
        <f aca="false">IF($F966="","",IF($F966&lt;1,ROUND($F966*1440,0),INT($F966/100)*60+MOD($F966,100)))</f>
        <v/>
      </c>
      <c r="M966" s="15" t="str">
        <f aca="false">IF($G966="","",IF($G966&lt;1,ROUND($G966*1440,0),INT($G966/100)*60+MOD($G966,100)))</f>
        <v/>
      </c>
      <c r="N966" s="15" t="str">
        <f aca="false">IF(OR($A966="",$B966="",$L966="",$M966="",$J966="취소"),"",IF(SUMPRODUCT(($A$3:$A$2002=$A966)*($B$3:$B$2002=$B966)*($J$3:$J$2002&lt;&gt;"취소")*($L$3:$L$2002&lt;&gt;"")*($M$3:$M$2002&lt;&gt;"")*($L$3:$L$2002&lt;$M966)*($M$3:$M$2002&gt;$L966))&gt;1,"중복","-"))</f>
        <v/>
      </c>
    </row>
    <row r="967" customFormat="false" ht="15" hidden="false" customHeight="true" outlineLevel="0" collapsed="false">
      <c r="A967" s="11"/>
      <c r="B967" s="7"/>
      <c r="C967" s="12" t="str">
        <f aca="false">IF($B967="","",IFERROR(INDEX(자원목록!$B$3:$B$102,MATCH($B967,자원목록!$A$3:$A$102,0)),"미등록자원"))</f>
        <v/>
      </c>
      <c r="D967" s="7"/>
      <c r="E967" s="12" t="str">
        <f aca="false">IF($D967="","",IFERROR(INDEX(고객목록!$B$3:$B$502,MATCH($D967,고객목록!$A$3:$A$502,0)),""))</f>
        <v/>
      </c>
      <c r="F967" s="13"/>
      <c r="G967" s="13"/>
      <c r="H967" s="14" t="str">
        <f aca="false">IF(OR($L967="",$M967=""),"",ROUND(($M967-$L967)/60,2))</f>
        <v/>
      </c>
      <c r="I967" s="9"/>
      <c r="J967" s="7"/>
      <c r="K967" s="7"/>
      <c r="L967" s="15" t="str">
        <f aca="false">IF($F967="","",IF($F967&lt;1,ROUND($F967*1440,0),INT($F967/100)*60+MOD($F967,100)))</f>
        <v/>
      </c>
      <c r="M967" s="15" t="str">
        <f aca="false">IF($G967="","",IF($G967&lt;1,ROUND($G967*1440,0),INT($G967/100)*60+MOD($G967,100)))</f>
        <v/>
      </c>
      <c r="N967" s="15" t="str">
        <f aca="false">IF(OR($A967="",$B967="",$L967="",$M967="",$J967="취소"),"",IF(SUMPRODUCT(($A$3:$A$2002=$A967)*($B$3:$B$2002=$B967)*($J$3:$J$2002&lt;&gt;"취소")*($L$3:$L$2002&lt;&gt;"")*($M$3:$M$2002&lt;&gt;"")*($L$3:$L$2002&lt;$M967)*($M$3:$M$2002&gt;$L967))&gt;1,"중복","-"))</f>
        <v/>
      </c>
    </row>
    <row r="968" customFormat="false" ht="15" hidden="false" customHeight="true" outlineLevel="0" collapsed="false">
      <c r="A968" s="11"/>
      <c r="B968" s="7"/>
      <c r="C968" s="12" t="str">
        <f aca="false">IF($B968="","",IFERROR(INDEX(자원목록!$B$3:$B$102,MATCH($B968,자원목록!$A$3:$A$102,0)),"미등록자원"))</f>
        <v/>
      </c>
      <c r="D968" s="7"/>
      <c r="E968" s="12" t="str">
        <f aca="false">IF($D968="","",IFERROR(INDEX(고객목록!$B$3:$B$502,MATCH($D968,고객목록!$A$3:$A$502,0)),""))</f>
        <v/>
      </c>
      <c r="F968" s="13"/>
      <c r="G968" s="13"/>
      <c r="H968" s="14" t="str">
        <f aca="false">IF(OR($L968="",$M968=""),"",ROUND(($M968-$L968)/60,2))</f>
        <v/>
      </c>
      <c r="I968" s="9"/>
      <c r="J968" s="7"/>
      <c r="K968" s="7"/>
      <c r="L968" s="15" t="str">
        <f aca="false">IF($F968="","",IF($F968&lt;1,ROUND($F968*1440,0),INT($F968/100)*60+MOD($F968,100)))</f>
        <v/>
      </c>
      <c r="M968" s="15" t="str">
        <f aca="false">IF($G968="","",IF($G968&lt;1,ROUND($G968*1440,0),INT($G968/100)*60+MOD($G968,100)))</f>
        <v/>
      </c>
      <c r="N968" s="15" t="str">
        <f aca="false">IF(OR($A968="",$B968="",$L968="",$M968="",$J968="취소"),"",IF(SUMPRODUCT(($A$3:$A$2002=$A968)*($B$3:$B$2002=$B968)*($J$3:$J$2002&lt;&gt;"취소")*($L$3:$L$2002&lt;&gt;"")*($M$3:$M$2002&lt;&gt;"")*($L$3:$L$2002&lt;$M968)*($M$3:$M$2002&gt;$L968))&gt;1,"중복","-"))</f>
        <v/>
      </c>
    </row>
    <row r="969" customFormat="false" ht="15" hidden="false" customHeight="true" outlineLevel="0" collapsed="false">
      <c r="A969" s="11"/>
      <c r="B969" s="7"/>
      <c r="C969" s="12" t="str">
        <f aca="false">IF($B969="","",IFERROR(INDEX(자원목록!$B$3:$B$102,MATCH($B969,자원목록!$A$3:$A$102,0)),"미등록자원"))</f>
        <v/>
      </c>
      <c r="D969" s="7"/>
      <c r="E969" s="12" t="str">
        <f aca="false">IF($D969="","",IFERROR(INDEX(고객목록!$B$3:$B$502,MATCH($D969,고객목록!$A$3:$A$502,0)),""))</f>
        <v/>
      </c>
      <c r="F969" s="13"/>
      <c r="G969" s="13"/>
      <c r="H969" s="14" t="str">
        <f aca="false">IF(OR($L969="",$M969=""),"",ROUND(($M969-$L969)/60,2))</f>
        <v/>
      </c>
      <c r="I969" s="9"/>
      <c r="J969" s="7"/>
      <c r="K969" s="7"/>
      <c r="L969" s="15" t="str">
        <f aca="false">IF($F969="","",IF($F969&lt;1,ROUND($F969*1440,0),INT($F969/100)*60+MOD($F969,100)))</f>
        <v/>
      </c>
      <c r="M969" s="15" t="str">
        <f aca="false">IF($G969="","",IF($G969&lt;1,ROUND($G969*1440,0),INT($G969/100)*60+MOD($G969,100)))</f>
        <v/>
      </c>
      <c r="N969" s="15" t="str">
        <f aca="false">IF(OR($A969="",$B969="",$L969="",$M969="",$J969="취소"),"",IF(SUMPRODUCT(($A$3:$A$2002=$A969)*($B$3:$B$2002=$B969)*($J$3:$J$2002&lt;&gt;"취소")*($L$3:$L$2002&lt;&gt;"")*($M$3:$M$2002&lt;&gt;"")*($L$3:$L$2002&lt;$M969)*($M$3:$M$2002&gt;$L969))&gt;1,"중복","-"))</f>
        <v/>
      </c>
    </row>
    <row r="970" customFormat="false" ht="15" hidden="false" customHeight="true" outlineLevel="0" collapsed="false">
      <c r="A970" s="11"/>
      <c r="B970" s="7"/>
      <c r="C970" s="12" t="str">
        <f aca="false">IF($B970="","",IFERROR(INDEX(자원목록!$B$3:$B$102,MATCH($B970,자원목록!$A$3:$A$102,0)),"미등록자원"))</f>
        <v/>
      </c>
      <c r="D970" s="7"/>
      <c r="E970" s="12" t="str">
        <f aca="false">IF($D970="","",IFERROR(INDEX(고객목록!$B$3:$B$502,MATCH($D970,고객목록!$A$3:$A$502,0)),""))</f>
        <v/>
      </c>
      <c r="F970" s="13"/>
      <c r="G970" s="13"/>
      <c r="H970" s="14" t="str">
        <f aca="false">IF(OR($L970="",$M970=""),"",ROUND(($M970-$L970)/60,2))</f>
        <v/>
      </c>
      <c r="I970" s="9"/>
      <c r="J970" s="7"/>
      <c r="K970" s="7"/>
      <c r="L970" s="15" t="str">
        <f aca="false">IF($F970="","",IF($F970&lt;1,ROUND($F970*1440,0),INT($F970/100)*60+MOD($F970,100)))</f>
        <v/>
      </c>
      <c r="M970" s="15" t="str">
        <f aca="false">IF($G970="","",IF($G970&lt;1,ROUND($G970*1440,0),INT($G970/100)*60+MOD($G970,100)))</f>
        <v/>
      </c>
      <c r="N970" s="15" t="str">
        <f aca="false">IF(OR($A970="",$B970="",$L970="",$M970="",$J970="취소"),"",IF(SUMPRODUCT(($A$3:$A$2002=$A970)*($B$3:$B$2002=$B970)*($J$3:$J$2002&lt;&gt;"취소")*($L$3:$L$2002&lt;&gt;"")*($M$3:$M$2002&lt;&gt;"")*($L$3:$L$2002&lt;$M970)*($M$3:$M$2002&gt;$L970))&gt;1,"중복","-"))</f>
        <v/>
      </c>
    </row>
    <row r="971" customFormat="false" ht="15" hidden="false" customHeight="true" outlineLevel="0" collapsed="false">
      <c r="A971" s="11"/>
      <c r="B971" s="7"/>
      <c r="C971" s="12" t="str">
        <f aca="false">IF($B971="","",IFERROR(INDEX(자원목록!$B$3:$B$102,MATCH($B971,자원목록!$A$3:$A$102,0)),"미등록자원"))</f>
        <v/>
      </c>
      <c r="D971" s="7"/>
      <c r="E971" s="12" t="str">
        <f aca="false">IF($D971="","",IFERROR(INDEX(고객목록!$B$3:$B$502,MATCH($D971,고객목록!$A$3:$A$502,0)),""))</f>
        <v/>
      </c>
      <c r="F971" s="13"/>
      <c r="G971" s="13"/>
      <c r="H971" s="14" t="str">
        <f aca="false">IF(OR($L971="",$M971=""),"",ROUND(($M971-$L971)/60,2))</f>
        <v/>
      </c>
      <c r="I971" s="9"/>
      <c r="J971" s="7"/>
      <c r="K971" s="7"/>
      <c r="L971" s="15" t="str">
        <f aca="false">IF($F971="","",IF($F971&lt;1,ROUND($F971*1440,0),INT($F971/100)*60+MOD($F971,100)))</f>
        <v/>
      </c>
      <c r="M971" s="15" t="str">
        <f aca="false">IF($G971="","",IF($G971&lt;1,ROUND($G971*1440,0),INT($G971/100)*60+MOD($G971,100)))</f>
        <v/>
      </c>
      <c r="N971" s="15" t="str">
        <f aca="false">IF(OR($A971="",$B971="",$L971="",$M971="",$J971="취소"),"",IF(SUMPRODUCT(($A$3:$A$2002=$A971)*($B$3:$B$2002=$B971)*($J$3:$J$2002&lt;&gt;"취소")*($L$3:$L$2002&lt;&gt;"")*($M$3:$M$2002&lt;&gt;"")*($L$3:$L$2002&lt;$M971)*($M$3:$M$2002&gt;$L971))&gt;1,"중복","-"))</f>
        <v/>
      </c>
    </row>
    <row r="972" customFormat="false" ht="15" hidden="false" customHeight="true" outlineLevel="0" collapsed="false">
      <c r="A972" s="11"/>
      <c r="B972" s="7"/>
      <c r="C972" s="12" t="str">
        <f aca="false">IF($B972="","",IFERROR(INDEX(자원목록!$B$3:$B$102,MATCH($B972,자원목록!$A$3:$A$102,0)),"미등록자원"))</f>
        <v/>
      </c>
      <c r="D972" s="7"/>
      <c r="E972" s="12" t="str">
        <f aca="false">IF($D972="","",IFERROR(INDEX(고객목록!$B$3:$B$502,MATCH($D972,고객목록!$A$3:$A$502,0)),""))</f>
        <v/>
      </c>
      <c r="F972" s="13"/>
      <c r="G972" s="13"/>
      <c r="H972" s="14" t="str">
        <f aca="false">IF(OR($L972="",$M972=""),"",ROUND(($M972-$L972)/60,2))</f>
        <v/>
      </c>
      <c r="I972" s="9"/>
      <c r="J972" s="7"/>
      <c r="K972" s="7"/>
      <c r="L972" s="15" t="str">
        <f aca="false">IF($F972="","",IF($F972&lt;1,ROUND($F972*1440,0),INT($F972/100)*60+MOD($F972,100)))</f>
        <v/>
      </c>
      <c r="M972" s="15" t="str">
        <f aca="false">IF($G972="","",IF($G972&lt;1,ROUND($G972*1440,0),INT($G972/100)*60+MOD($G972,100)))</f>
        <v/>
      </c>
      <c r="N972" s="15" t="str">
        <f aca="false">IF(OR($A972="",$B972="",$L972="",$M972="",$J972="취소"),"",IF(SUMPRODUCT(($A$3:$A$2002=$A972)*($B$3:$B$2002=$B972)*($J$3:$J$2002&lt;&gt;"취소")*($L$3:$L$2002&lt;&gt;"")*($M$3:$M$2002&lt;&gt;"")*($L$3:$L$2002&lt;$M972)*($M$3:$M$2002&gt;$L972))&gt;1,"중복","-"))</f>
        <v/>
      </c>
    </row>
    <row r="973" customFormat="false" ht="15" hidden="false" customHeight="true" outlineLevel="0" collapsed="false">
      <c r="A973" s="11"/>
      <c r="B973" s="7"/>
      <c r="C973" s="12" t="str">
        <f aca="false">IF($B973="","",IFERROR(INDEX(자원목록!$B$3:$B$102,MATCH($B973,자원목록!$A$3:$A$102,0)),"미등록자원"))</f>
        <v/>
      </c>
      <c r="D973" s="7"/>
      <c r="E973" s="12" t="str">
        <f aca="false">IF($D973="","",IFERROR(INDEX(고객목록!$B$3:$B$502,MATCH($D973,고객목록!$A$3:$A$502,0)),""))</f>
        <v/>
      </c>
      <c r="F973" s="13"/>
      <c r="G973" s="13"/>
      <c r="H973" s="14" t="str">
        <f aca="false">IF(OR($L973="",$M973=""),"",ROUND(($M973-$L973)/60,2))</f>
        <v/>
      </c>
      <c r="I973" s="9"/>
      <c r="J973" s="7"/>
      <c r="K973" s="7"/>
      <c r="L973" s="15" t="str">
        <f aca="false">IF($F973="","",IF($F973&lt;1,ROUND($F973*1440,0),INT($F973/100)*60+MOD($F973,100)))</f>
        <v/>
      </c>
      <c r="M973" s="15" t="str">
        <f aca="false">IF($G973="","",IF($G973&lt;1,ROUND($G973*1440,0),INT($G973/100)*60+MOD($G973,100)))</f>
        <v/>
      </c>
      <c r="N973" s="15" t="str">
        <f aca="false">IF(OR($A973="",$B973="",$L973="",$M973="",$J973="취소"),"",IF(SUMPRODUCT(($A$3:$A$2002=$A973)*($B$3:$B$2002=$B973)*($J$3:$J$2002&lt;&gt;"취소")*($L$3:$L$2002&lt;&gt;"")*($M$3:$M$2002&lt;&gt;"")*($L$3:$L$2002&lt;$M973)*($M$3:$M$2002&gt;$L973))&gt;1,"중복","-"))</f>
        <v/>
      </c>
    </row>
    <row r="974" customFormat="false" ht="15" hidden="false" customHeight="true" outlineLevel="0" collapsed="false">
      <c r="A974" s="11"/>
      <c r="B974" s="7"/>
      <c r="C974" s="12" t="str">
        <f aca="false">IF($B974="","",IFERROR(INDEX(자원목록!$B$3:$B$102,MATCH($B974,자원목록!$A$3:$A$102,0)),"미등록자원"))</f>
        <v/>
      </c>
      <c r="D974" s="7"/>
      <c r="E974" s="12" t="str">
        <f aca="false">IF($D974="","",IFERROR(INDEX(고객목록!$B$3:$B$502,MATCH($D974,고객목록!$A$3:$A$502,0)),""))</f>
        <v/>
      </c>
      <c r="F974" s="13"/>
      <c r="G974" s="13"/>
      <c r="H974" s="14" t="str">
        <f aca="false">IF(OR($L974="",$M974=""),"",ROUND(($M974-$L974)/60,2))</f>
        <v/>
      </c>
      <c r="I974" s="9"/>
      <c r="J974" s="7"/>
      <c r="K974" s="7"/>
      <c r="L974" s="15" t="str">
        <f aca="false">IF($F974="","",IF($F974&lt;1,ROUND($F974*1440,0),INT($F974/100)*60+MOD($F974,100)))</f>
        <v/>
      </c>
      <c r="M974" s="15" t="str">
        <f aca="false">IF($G974="","",IF($G974&lt;1,ROUND($G974*1440,0),INT($G974/100)*60+MOD($G974,100)))</f>
        <v/>
      </c>
      <c r="N974" s="15" t="str">
        <f aca="false">IF(OR($A974="",$B974="",$L974="",$M974="",$J974="취소"),"",IF(SUMPRODUCT(($A$3:$A$2002=$A974)*($B$3:$B$2002=$B974)*($J$3:$J$2002&lt;&gt;"취소")*($L$3:$L$2002&lt;&gt;"")*($M$3:$M$2002&lt;&gt;"")*($L$3:$L$2002&lt;$M974)*($M$3:$M$2002&gt;$L974))&gt;1,"중복","-"))</f>
        <v/>
      </c>
    </row>
    <row r="975" customFormat="false" ht="15" hidden="false" customHeight="true" outlineLevel="0" collapsed="false">
      <c r="A975" s="11"/>
      <c r="B975" s="7"/>
      <c r="C975" s="12" t="str">
        <f aca="false">IF($B975="","",IFERROR(INDEX(자원목록!$B$3:$B$102,MATCH($B975,자원목록!$A$3:$A$102,0)),"미등록자원"))</f>
        <v/>
      </c>
      <c r="D975" s="7"/>
      <c r="E975" s="12" t="str">
        <f aca="false">IF($D975="","",IFERROR(INDEX(고객목록!$B$3:$B$502,MATCH($D975,고객목록!$A$3:$A$502,0)),""))</f>
        <v/>
      </c>
      <c r="F975" s="13"/>
      <c r="G975" s="13"/>
      <c r="H975" s="14" t="str">
        <f aca="false">IF(OR($L975="",$M975=""),"",ROUND(($M975-$L975)/60,2))</f>
        <v/>
      </c>
      <c r="I975" s="9"/>
      <c r="J975" s="7"/>
      <c r="K975" s="7"/>
      <c r="L975" s="15" t="str">
        <f aca="false">IF($F975="","",IF($F975&lt;1,ROUND($F975*1440,0),INT($F975/100)*60+MOD($F975,100)))</f>
        <v/>
      </c>
      <c r="M975" s="15" t="str">
        <f aca="false">IF($G975="","",IF($G975&lt;1,ROUND($G975*1440,0),INT($G975/100)*60+MOD($G975,100)))</f>
        <v/>
      </c>
      <c r="N975" s="15" t="str">
        <f aca="false">IF(OR($A975="",$B975="",$L975="",$M975="",$J975="취소"),"",IF(SUMPRODUCT(($A$3:$A$2002=$A975)*($B$3:$B$2002=$B975)*($J$3:$J$2002&lt;&gt;"취소")*($L$3:$L$2002&lt;&gt;"")*($M$3:$M$2002&lt;&gt;"")*($L$3:$L$2002&lt;$M975)*($M$3:$M$2002&gt;$L975))&gt;1,"중복","-"))</f>
        <v/>
      </c>
    </row>
    <row r="976" customFormat="false" ht="15" hidden="false" customHeight="true" outlineLevel="0" collapsed="false">
      <c r="A976" s="11"/>
      <c r="B976" s="7"/>
      <c r="C976" s="12" t="str">
        <f aca="false">IF($B976="","",IFERROR(INDEX(자원목록!$B$3:$B$102,MATCH($B976,자원목록!$A$3:$A$102,0)),"미등록자원"))</f>
        <v/>
      </c>
      <c r="D976" s="7"/>
      <c r="E976" s="12" t="str">
        <f aca="false">IF($D976="","",IFERROR(INDEX(고객목록!$B$3:$B$502,MATCH($D976,고객목록!$A$3:$A$502,0)),""))</f>
        <v/>
      </c>
      <c r="F976" s="13"/>
      <c r="G976" s="13"/>
      <c r="H976" s="14" t="str">
        <f aca="false">IF(OR($L976="",$M976=""),"",ROUND(($M976-$L976)/60,2))</f>
        <v/>
      </c>
      <c r="I976" s="9"/>
      <c r="J976" s="7"/>
      <c r="K976" s="7"/>
      <c r="L976" s="15" t="str">
        <f aca="false">IF($F976="","",IF($F976&lt;1,ROUND($F976*1440,0),INT($F976/100)*60+MOD($F976,100)))</f>
        <v/>
      </c>
      <c r="M976" s="15" t="str">
        <f aca="false">IF($G976="","",IF($G976&lt;1,ROUND($G976*1440,0),INT($G976/100)*60+MOD($G976,100)))</f>
        <v/>
      </c>
      <c r="N976" s="15" t="str">
        <f aca="false">IF(OR($A976="",$B976="",$L976="",$M976="",$J976="취소"),"",IF(SUMPRODUCT(($A$3:$A$2002=$A976)*($B$3:$B$2002=$B976)*($J$3:$J$2002&lt;&gt;"취소")*($L$3:$L$2002&lt;&gt;"")*($M$3:$M$2002&lt;&gt;"")*($L$3:$L$2002&lt;$M976)*($M$3:$M$2002&gt;$L976))&gt;1,"중복","-"))</f>
        <v/>
      </c>
    </row>
    <row r="977" customFormat="false" ht="15" hidden="false" customHeight="true" outlineLevel="0" collapsed="false">
      <c r="A977" s="11"/>
      <c r="B977" s="7"/>
      <c r="C977" s="12" t="str">
        <f aca="false">IF($B977="","",IFERROR(INDEX(자원목록!$B$3:$B$102,MATCH($B977,자원목록!$A$3:$A$102,0)),"미등록자원"))</f>
        <v/>
      </c>
      <c r="D977" s="7"/>
      <c r="E977" s="12" t="str">
        <f aca="false">IF($D977="","",IFERROR(INDEX(고객목록!$B$3:$B$502,MATCH($D977,고객목록!$A$3:$A$502,0)),""))</f>
        <v/>
      </c>
      <c r="F977" s="13"/>
      <c r="G977" s="13"/>
      <c r="H977" s="14" t="str">
        <f aca="false">IF(OR($L977="",$M977=""),"",ROUND(($M977-$L977)/60,2))</f>
        <v/>
      </c>
      <c r="I977" s="9"/>
      <c r="J977" s="7"/>
      <c r="K977" s="7"/>
      <c r="L977" s="15" t="str">
        <f aca="false">IF($F977="","",IF($F977&lt;1,ROUND($F977*1440,0),INT($F977/100)*60+MOD($F977,100)))</f>
        <v/>
      </c>
      <c r="M977" s="15" t="str">
        <f aca="false">IF($G977="","",IF($G977&lt;1,ROUND($G977*1440,0),INT($G977/100)*60+MOD($G977,100)))</f>
        <v/>
      </c>
      <c r="N977" s="15" t="str">
        <f aca="false">IF(OR($A977="",$B977="",$L977="",$M977="",$J977="취소"),"",IF(SUMPRODUCT(($A$3:$A$2002=$A977)*($B$3:$B$2002=$B977)*($J$3:$J$2002&lt;&gt;"취소")*($L$3:$L$2002&lt;&gt;"")*($M$3:$M$2002&lt;&gt;"")*($L$3:$L$2002&lt;$M977)*($M$3:$M$2002&gt;$L977))&gt;1,"중복","-"))</f>
        <v/>
      </c>
    </row>
    <row r="978" customFormat="false" ht="15" hidden="false" customHeight="true" outlineLevel="0" collapsed="false">
      <c r="A978" s="11"/>
      <c r="B978" s="7"/>
      <c r="C978" s="12" t="str">
        <f aca="false">IF($B978="","",IFERROR(INDEX(자원목록!$B$3:$B$102,MATCH($B978,자원목록!$A$3:$A$102,0)),"미등록자원"))</f>
        <v/>
      </c>
      <c r="D978" s="7"/>
      <c r="E978" s="12" t="str">
        <f aca="false">IF($D978="","",IFERROR(INDEX(고객목록!$B$3:$B$502,MATCH($D978,고객목록!$A$3:$A$502,0)),""))</f>
        <v/>
      </c>
      <c r="F978" s="13"/>
      <c r="G978" s="13"/>
      <c r="H978" s="14" t="str">
        <f aca="false">IF(OR($L978="",$M978=""),"",ROUND(($M978-$L978)/60,2))</f>
        <v/>
      </c>
      <c r="I978" s="9"/>
      <c r="J978" s="7"/>
      <c r="K978" s="7"/>
      <c r="L978" s="15" t="str">
        <f aca="false">IF($F978="","",IF($F978&lt;1,ROUND($F978*1440,0),INT($F978/100)*60+MOD($F978,100)))</f>
        <v/>
      </c>
      <c r="M978" s="15" t="str">
        <f aca="false">IF($G978="","",IF($G978&lt;1,ROUND($G978*1440,0),INT($G978/100)*60+MOD($G978,100)))</f>
        <v/>
      </c>
      <c r="N978" s="15" t="str">
        <f aca="false">IF(OR($A978="",$B978="",$L978="",$M978="",$J978="취소"),"",IF(SUMPRODUCT(($A$3:$A$2002=$A978)*($B$3:$B$2002=$B978)*($J$3:$J$2002&lt;&gt;"취소")*($L$3:$L$2002&lt;&gt;"")*($M$3:$M$2002&lt;&gt;"")*($L$3:$L$2002&lt;$M978)*($M$3:$M$2002&gt;$L978))&gt;1,"중복","-"))</f>
        <v/>
      </c>
    </row>
    <row r="979" customFormat="false" ht="15" hidden="false" customHeight="true" outlineLevel="0" collapsed="false">
      <c r="A979" s="11"/>
      <c r="B979" s="7"/>
      <c r="C979" s="12" t="str">
        <f aca="false">IF($B979="","",IFERROR(INDEX(자원목록!$B$3:$B$102,MATCH($B979,자원목록!$A$3:$A$102,0)),"미등록자원"))</f>
        <v/>
      </c>
      <c r="D979" s="7"/>
      <c r="E979" s="12" t="str">
        <f aca="false">IF($D979="","",IFERROR(INDEX(고객목록!$B$3:$B$502,MATCH($D979,고객목록!$A$3:$A$502,0)),""))</f>
        <v/>
      </c>
      <c r="F979" s="13"/>
      <c r="G979" s="13"/>
      <c r="H979" s="14" t="str">
        <f aca="false">IF(OR($L979="",$M979=""),"",ROUND(($M979-$L979)/60,2))</f>
        <v/>
      </c>
      <c r="I979" s="9"/>
      <c r="J979" s="7"/>
      <c r="K979" s="7"/>
      <c r="L979" s="15" t="str">
        <f aca="false">IF($F979="","",IF($F979&lt;1,ROUND($F979*1440,0),INT($F979/100)*60+MOD($F979,100)))</f>
        <v/>
      </c>
      <c r="M979" s="15" t="str">
        <f aca="false">IF($G979="","",IF($G979&lt;1,ROUND($G979*1440,0),INT($G979/100)*60+MOD($G979,100)))</f>
        <v/>
      </c>
      <c r="N979" s="15" t="str">
        <f aca="false">IF(OR($A979="",$B979="",$L979="",$M979="",$J979="취소"),"",IF(SUMPRODUCT(($A$3:$A$2002=$A979)*($B$3:$B$2002=$B979)*($J$3:$J$2002&lt;&gt;"취소")*($L$3:$L$2002&lt;&gt;"")*($M$3:$M$2002&lt;&gt;"")*($L$3:$L$2002&lt;$M979)*($M$3:$M$2002&gt;$L979))&gt;1,"중복","-"))</f>
        <v/>
      </c>
    </row>
    <row r="980" customFormat="false" ht="15" hidden="false" customHeight="true" outlineLevel="0" collapsed="false">
      <c r="A980" s="11"/>
      <c r="B980" s="7"/>
      <c r="C980" s="12" t="str">
        <f aca="false">IF($B980="","",IFERROR(INDEX(자원목록!$B$3:$B$102,MATCH($B980,자원목록!$A$3:$A$102,0)),"미등록자원"))</f>
        <v/>
      </c>
      <c r="D980" s="7"/>
      <c r="E980" s="12" t="str">
        <f aca="false">IF($D980="","",IFERROR(INDEX(고객목록!$B$3:$B$502,MATCH($D980,고객목록!$A$3:$A$502,0)),""))</f>
        <v/>
      </c>
      <c r="F980" s="13"/>
      <c r="G980" s="13"/>
      <c r="H980" s="14" t="str">
        <f aca="false">IF(OR($L980="",$M980=""),"",ROUND(($M980-$L980)/60,2))</f>
        <v/>
      </c>
      <c r="I980" s="9"/>
      <c r="J980" s="7"/>
      <c r="K980" s="7"/>
      <c r="L980" s="15" t="str">
        <f aca="false">IF($F980="","",IF($F980&lt;1,ROUND($F980*1440,0),INT($F980/100)*60+MOD($F980,100)))</f>
        <v/>
      </c>
      <c r="M980" s="15" t="str">
        <f aca="false">IF($G980="","",IF($G980&lt;1,ROUND($G980*1440,0),INT($G980/100)*60+MOD($G980,100)))</f>
        <v/>
      </c>
      <c r="N980" s="15" t="str">
        <f aca="false">IF(OR($A980="",$B980="",$L980="",$M980="",$J980="취소"),"",IF(SUMPRODUCT(($A$3:$A$2002=$A980)*($B$3:$B$2002=$B980)*($J$3:$J$2002&lt;&gt;"취소")*($L$3:$L$2002&lt;&gt;"")*($M$3:$M$2002&lt;&gt;"")*($L$3:$L$2002&lt;$M980)*($M$3:$M$2002&gt;$L980))&gt;1,"중복","-"))</f>
        <v/>
      </c>
    </row>
    <row r="981" customFormat="false" ht="15" hidden="false" customHeight="true" outlineLevel="0" collapsed="false">
      <c r="A981" s="11"/>
      <c r="B981" s="7"/>
      <c r="C981" s="12" t="str">
        <f aca="false">IF($B981="","",IFERROR(INDEX(자원목록!$B$3:$B$102,MATCH($B981,자원목록!$A$3:$A$102,0)),"미등록자원"))</f>
        <v/>
      </c>
      <c r="D981" s="7"/>
      <c r="E981" s="12" t="str">
        <f aca="false">IF($D981="","",IFERROR(INDEX(고객목록!$B$3:$B$502,MATCH($D981,고객목록!$A$3:$A$502,0)),""))</f>
        <v/>
      </c>
      <c r="F981" s="13"/>
      <c r="G981" s="13"/>
      <c r="H981" s="14" t="str">
        <f aca="false">IF(OR($L981="",$M981=""),"",ROUND(($M981-$L981)/60,2))</f>
        <v/>
      </c>
      <c r="I981" s="9"/>
      <c r="J981" s="7"/>
      <c r="K981" s="7"/>
      <c r="L981" s="15" t="str">
        <f aca="false">IF($F981="","",IF($F981&lt;1,ROUND($F981*1440,0),INT($F981/100)*60+MOD($F981,100)))</f>
        <v/>
      </c>
      <c r="M981" s="15" t="str">
        <f aca="false">IF($G981="","",IF($G981&lt;1,ROUND($G981*1440,0),INT($G981/100)*60+MOD($G981,100)))</f>
        <v/>
      </c>
      <c r="N981" s="15" t="str">
        <f aca="false">IF(OR($A981="",$B981="",$L981="",$M981="",$J981="취소"),"",IF(SUMPRODUCT(($A$3:$A$2002=$A981)*($B$3:$B$2002=$B981)*($J$3:$J$2002&lt;&gt;"취소")*($L$3:$L$2002&lt;&gt;"")*($M$3:$M$2002&lt;&gt;"")*($L$3:$L$2002&lt;$M981)*($M$3:$M$2002&gt;$L981))&gt;1,"중복","-"))</f>
        <v/>
      </c>
    </row>
    <row r="982" customFormat="false" ht="15" hidden="false" customHeight="true" outlineLevel="0" collapsed="false">
      <c r="A982" s="11"/>
      <c r="B982" s="7"/>
      <c r="C982" s="12" t="str">
        <f aca="false">IF($B982="","",IFERROR(INDEX(자원목록!$B$3:$B$102,MATCH($B982,자원목록!$A$3:$A$102,0)),"미등록자원"))</f>
        <v/>
      </c>
      <c r="D982" s="7"/>
      <c r="E982" s="12" t="str">
        <f aca="false">IF($D982="","",IFERROR(INDEX(고객목록!$B$3:$B$502,MATCH($D982,고객목록!$A$3:$A$502,0)),""))</f>
        <v/>
      </c>
      <c r="F982" s="13"/>
      <c r="G982" s="13"/>
      <c r="H982" s="14" t="str">
        <f aca="false">IF(OR($L982="",$M982=""),"",ROUND(($M982-$L982)/60,2))</f>
        <v/>
      </c>
      <c r="I982" s="9"/>
      <c r="J982" s="7"/>
      <c r="K982" s="7"/>
      <c r="L982" s="15" t="str">
        <f aca="false">IF($F982="","",IF($F982&lt;1,ROUND($F982*1440,0),INT($F982/100)*60+MOD($F982,100)))</f>
        <v/>
      </c>
      <c r="M982" s="15" t="str">
        <f aca="false">IF($G982="","",IF($G982&lt;1,ROUND($G982*1440,0),INT($G982/100)*60+MOD($G982,100)))</f>
        <v/>
      </c>
      <c r="N982" s="15" t="str">
        <f aca="false">IF(OR($A982="",$B982="",$L982="",$M982="",$J982="취소"),"",IF(SUMPRODUCT(($A$3:$A$2002=$A982)*($B$3:$B$2002=$B982)*($J$3:$J$2002&lt;&gt;"취소")*($L$3:$L$2002&lt;&gt;"")*($M$3:$M$2002&lt;&gt;"")*($L$3:$L$2002&lt;$M982)*($M$3:$M$2002&gt;$L982))&gt;1,"중복","-"))</f>
        <v/>
      </c>
    </row>
    <row r="983" customFormat="false" ht="15" hidden="false" customHeight="true" outlineLevel="0" collapsed="false">
      <c r="A983" s="11"/>
      <c r="B983" s="7"/>
      <c r="C983" s="12" t="str">
        <f aca="false">IF($B983="","",IFERROR(INDEX(자원목록!$B$3:$B$102,MATCH($B983,자원목록!$A$3:$A$102,0)),"미등록자원"))</f>
        <v/>
      </c>
      <c r="D983" s="7"/>
      <c r="E983" s="12" t="str">
        <f aca="false">IF($D983="","",IFERROR(INDEX(고객목록!$B$3:$B$502,MATCH($D983,고객목록!$A$3:$A$502,0)),""))</f>
        <v/>
      </c>
      <c r="F983" s="13"/>
      <c r="G983" s="13"/>
      <c r="H983" s="14" t="str">
        <f aca="false">IF(OR($L983="",$M983=""),"",ROUND(($M983-$L983)/60,2))</f>
        <v/>
      </c>
      <c r="I983" s="9"/>
      <c r="J983" s="7"/>
      <c r="K983" s="7"/>
      <c r="L983" s="15" t="str">
        <f aca="false">IF($F983="","",IF($F983&lt;1,ROUND($F983*1440,0),INT($F983/100)*60+MOD($F983,100)))</f>
        <v/>
      </c>
      <c r="M983" s="15" t="str">
        <f aca="false">IF($G983="","",IF($G983&lt;1,ROUND($G983*1440,0),INT($G983/100)*60+MOD($G983,100)))</f>
        <v/>
      </c>
      <c r="N983" s="15" t="str">
        <f aca="false">IF(OR($A983="",$B983="",$L983="",$M983="",$J983="취소"),"",IF(SUMPRODUCT(($A$3:$A$2002=$A983)*($B$3:$B$2002=$B983)*($J$3:$J$2002&lt;&gt;"취소")*($L$3:$L$2002&lt;&gt;"")*($M$3:$M$2002&lt;&gt;"")*($L$3:$L$2002&lt;$M983)*($M$3:$M$2002&gt;$L983))&gt;1,"중복","-"))</f>
        <v/>
      </c>
    </row>
    <row r="984" customFormat="false" ht="15" hidden="false" customHeight="true" outlineLevel="0" collapsed="false">
      <c r="A984" s="11"/>
      <c r="B984" s="7"/>
      <c r="C984" s="12" t="str">
        <f aca="false">IF($B984="","",IFERROR(INDEX(자원목록!$B$3:$B$102,MATCH($B984,자원목록!$A$3:$A$102,0)),"미등록자원"))</f>
        <v/>
      </c>
      <c r="D984" s="7"/>
      <c r="E984" s="12" t="str">
        <f aca="false">IF($D984="","",IFERROR(INDEX(고객목록!$B$3:$B$502,MATCH($D984,고객목록!$A$3:$A$502,0)),""))</f>
        <v/>
      </c>
      <c r="F984" s="13"/>
      <c r="G984" s="13"/>
      <c r="H984" s="14" t="str">
        <f aca="false">IF(OR($L984="",$M984=""),"",ROUND(($M984-$L984)/60,2))</f>
        <v/>
      </c>
      <c r="I984" s="9"/>
      <c r="J984" s="7"/>
      <c r="K984" s="7"/>
      <c r="L984" s="15" t="str">
        <f aca="false">IF($F984="","",IF($F984&lt;1,ROUND($F984*1440,0),INT($F984/100)*60+MOD($F984,100)))</f>
        <v/>
      </c>
      <c r="M984" s="15" t="str">
        <f aca="false">IF($G984="","",IF($G984&lt;1,ROUND($G984*1440,0),INT($G984/100)*60+MOD($G984,100)))</f>
        <v/>
      </c>
      <c r="N984" s="15" t="str">
        <f aca="false">IF(OR($A984="",$B984="",$L984="",$M984="",$J984="취소"),"",IF(SUMPRODUCT(($A$3:$A$2002=$A984)*($B$3:$B$2002=$B984)*($J$3:$J$2002&lt;&gt;"취소")*($L$3:$L$2002&lt;&gt;"")*($M$3:$M$2002&lt;&gt;"")*($L$3:$L$2002&lt;$M984)*($M$3:$M$2002&gt;$L984))&gt;1,"중복","-"))</f>
        <v/>
      </c>
    </row>
    <row r="985" customFormat="false" ht="15" hidden="false" customHeight="true" outlineLevel="0" collapsed="false">
      <c r="A985" s="11"/>
      <c r="B985" s="7"/>
      <c r="C985" s="12" t="str">
        <f aca="false">IF($B985="","",IFERROR(INDEX(자원목록!$B$3:$B$102,MATCH($B985,자원목록!$A$3:$A$102,0)),"미등록자원"))</f>
        <v/>
      </c>
      <c r="D985" s="7"/>
      <c r="E985" s="12" t="str">
        <f aca="false">IF($D985="","",IFERROR(INDEX(고객목록!$B$3:$B$502,MATCH($D985,고객목록!$A$3:$A$502,0)),""))</f>
        <v/>
      </c>
      <c r="F985" s="13"/>
      <c r="G985" s="13"/>
      <c r="H985" s="14" t="str">
        <f aca="false">IF(OR($L985="",$M985=""),"",ROUND(($M985-$L985)/60,2))</f>
        <v/>
      </c>
      <c r="I985" s="9"/>
      <c r="J985" s="7"/>
      <c r="K985" s="7"/>
      <c r="L985" s="15" t="str">
        <f aca="false">IF($F985="","",IF($F985&lt;1,ROUND($F985*1440,0),INT($F985/100)*60+MOD($F985,100)))</f>
        <v/>
      </c>
      <c r="M985" s="15" t="str">
        <f aca="false">IF($G985="","",IF($G985&lt;1,ROUND($G985*1440,0),INT($G985/100)*60+MOD($G985,100)))</f>
        <v/>
      </c>
      <c r="N985" s="15" t="str">
        <f aca="false">IF(OR($A985="",$B985="",$L985="",$M985="",$J985="취소"),"",IF(SUMPRODUCT(($A$3:$A$2002=$A985)*($B$3:$B$2002=$B985)*($J$3:$J$2002&lt;&gt;"취소")*($L$3:$L$2002&lt;&gt;"")*($M$3:$M$2002&lt;&gt;"")*($L$3:$L$2002&lt;$M985)*($M$3:$M$2002&gt;$L985))&gt;1,"중복","-"))</f>
        <v/>
      </c>
    </row>
    <row r="986" customFormat="false" ht="15" hidden="false" customHeight="true" outlineLevel="0" collapsed="false">
      <c r="A986" s="11"/>
      <c r="B986" s="7"/>
      <c r="C986" s="12" t="str">
        <f aca="false">IF($B986="","",IFERROR(INDEX(자원목록!$B$3:$B$102,MATCH($B986,자원목록!$A$3:$A$102,0)),"미등록자원"))</f>
        <v/>
      </c>
      <c r="D986" s="7"/>
      <c r="E986" s="12" t="str">
        <f aca="false">IF($D986="","",IFERROR(INDEX(고객목록!$B$3:$B$502,MATCH($D986,고객목록!$A$3:$A$502,0)),""))</f>
        <v/>
      </c>
      <c r="F986" s="13"/>
      <c r="G986" s="13"/>
      <c r="H986" s="14" t="str">
        <f aca="false">IF(OR($L986="",$M986=""),"",ROUND(($M986-$L986)/60,2))</f>
        <v/>
      </c>
      <c r="I986" s="9"/>
      <c r="J986" s="7"/>
      <c r="K986" s="7"/>
      <c r="L986" s="15" t="str">
        <f aca="false">IF($F986="","",IF($F986&lt;1,ROUND($F986*1440,0),INT($F986/100)*60+MOD($F986,100)))</f>
        <v/>
      </c>
      <c r="M986" s="15" t="str">
        <f aca="false">IF($G986="","",IF($G986&lt;1,ROUND($G986*1440,0),INT($G986/100)*60+MOD($G986,100)))</f>
        <v/>
      </c>
      <c r="N986" s="15" t="str">
        <f aca="false">IF(OR($A986="",$B986="",$L986="",$M986="",$J986="취소"),"",IF(SUMPRODUCT(($A$3:$A$2002=$A986)*($B$3:$B$2002=$B986)*($J$3:$J$2002&lt;&gt;"취소")*($L$3:$L$2002&lt;&gt;"")*($M$3:$M$2002&lt;&gt;"")*($L$3:$L$2002&lt;$M986)*($M$3:$M$2002&gt;$L986))&gt;1,"중복","-"))</f>
        <v/>
      </c>
    </row>
    <row r="987" customFormat="false" ht="15" hidden="false" customHeight="true" outlineLevel="0" collapsed="false">
      <c r="A987" s="11"/>
      <c r="B987" s="7"/>
      <c r="C987" s="12" t="str">
        <f aca="false">IF($B987="","",IFERROR(INDEX(자원목록!$B$3:$B$102,MATCH($B987,자원목록!$A$3:$A$102,0)),"미등록자원"))</f>
        <v/>
      </c>
      <c r="D987" s="7"/>
      <c r="E987" s="12" t="str">
        <f aca="false">IF($D987="","",IFERROR(INDEX(고객목록!$B$3:$B$502,MATCH($D987,고객목록!$A$3:$A$502,0)),""))</f>
        <v/>
      </c>
      <c r="F987" s="13"/>
      <c r="G987" s="13"/>
      <c r="H987" s="14" t="str">
        <f aca="false">IF(OR($L987="",$M987=""),"",ROUND(($M987-$L987)/60,2))</f>
        <v/>
      </c>
      <c r="I987" s="9"/>
      <c r="J987" s="7"/>
      <c r="K987" s="7"/>
      <c r="L987" s="15" t="str">
        <f aca="false">IF($F987="","",IF($F987&lt;1,ROUND($F987*1440,0),INT($F987/100)*60+MOD($F987,100)))</f>
        <v/>
      </c>
      <c r="M987" s="15" t="str">
        <f aca="false">IF($G987="","",IF($G987&lt;1,ROUND($G987*1440,0),INT($G987/100)*60+MOD($G987,100)))</f>
        <v/>
      </c>
      <c r="N987" s="15" t="str">
        <f aca="false">IF(OR($A987="",$B987="",$L987="",$M987="",$J987="취소"),"",IF(SUMPRODUCT(($A$3:$A$2002=$A987)*($B$3:$B$2002=$B987)*($J$3:$J$2002&lt;&gt;"취소")*($L$3:$L$2002&lt;&gt;"")*($M$3:$M$2002&lt;&gt;"")*($L$3:$L$2002&lt;$M987)*($M$3:$M$2002&gt;$L987))&gt;1,"중복","-"))</f>
        <v/>
      </c>
    </row>
    <row r="988" customFormat="false" ht="15" hidden="false" customHeight="true" outlineLevel="0" collapsed="false">
      <c r="A988" s="11"/>
      <c r="B988" s="7"/>
      <c r="C988" s="12" t="str">
        <f aca="false">IF($B988="","",IFERROR(INDEX(자원목록!$B$3:$B$102,MATCH($B988,자원목록!$A$3:$A$102,0)),"미등록자원"))</f>
        <v/>
      </c>
      <c r="D988" s="7"/>
      <c r="E988" s="12" t="str">
        <f aca="false">IF($D988="","",IFERROR(INDEX(고객목록!$B$3:$B$502,MATCH($D988,고객목록!$A$3:$A$502,0)),""))</f>
        <v/>
      </c>
      <c r="F988" s="13"/>
      <c r="G988" s="13"/>
      <c r="H988" s="14" t="str">
        <f aca="false">IF(OR($L988="",$M988=""),"",ROUND(($M988-$L988)/60,2))</f>
        <v/>
      </c>
      <c r="I988" s="9"/>
      <c r="J988" s="7"/>
      <c r="K988" s="7"/>
      <c r="L988" s="15" t="str">
        <f aca="false">IF($F988="","",IF($F988&lt;1,ROUND($F988*1440,0),INT($F988/100)*60+MOD($F988,100)))</f>
        <v/>
      </c>
      <c r="M988" s="15" t="str">
        <f aca="false">IF($G988="","",IF($G988&lt;1,ROUND($G988*1440,0),INT($G988/100)*60+MOD($G988,100)))</f>
        <v/>
      </c>
      <c r="N988" s="15" t="str">
        <f aca="false">IF(OR($A988="",$B988="",$L988="",$M988="",$J988="취소"),"",IF(SUMPRODUCT(($A$3:$A$2002=$A988)*($B$3:$B$2002=$B988)*($J$3:$J$2002&lt;&gt;"취소")*($L$3:$L$2002&lt;&gt;"")*($M$3:$M$2002&lt;&gt;"")*($L$3:$L$2002&lt;$M988)*($M$3:$M$2002&gt;$L988))&gt;1,"중복","-"))</f>
        <v/>
      </c>
    </row>
    <row r="989" customFormat="false" ht="15" hidden="false" customHeight="true" outlineLevel="0" collapsed="false">
      <c r="A989" s="11"/>
      <c r="B989" s="7"/>
      <c r="C989" s="12" t="str">
        <f aca="false">IF($B989="","",IFERROR(INDEX(자원목록!$B$3:$B$102,MATCH($B989,자원목록!$A$3:$A$102,0)),"미등록자원"))</f>
        <v/>
      </c>
      <c r="D989" s="7"/>
      <c r="E989" s="12" t="str">
        <f aca="false">IF($D989="","",IFERROR(INDEX(고객목록!$B$3:$B$502,MATCH($D989,고객목록!$A$3:$A$502,0)),""))</f>
        <v/>
      </c>
      <c r="F989" s="13"/>
      <c r="G989" s="13"/>
      <c r="H989" s="14" t="str">
        <f aca="false">IF(OR($L989="",$M989=""),"",ROUND(($M989-$L989)/60,2))</f>
        <v/>
      </c>
      <c r="I989" s="9"/>
      <c r="J989" s="7"/>
      <c r="K989" s="7"/>
      <c r="L989" s="15" t="str">
        <f aca="false">IF($F989="","",IF($F989&lt;1,ROUND($F989*1440,0),INT($F989/100)*60+MOD($F989,100)))</f>
        <v/>
      </c>
      <c r="M989" s="15" t="str">
        <f aca="false">IF($G989="","",IF($G989&lt;1,ROUND($G989*1440,0),INT($G989/100)*60+MOD($G989,100)))</f>
        <v/>
      </c>
      <c r="N989" s="15" t="str">
        <f aca="false">IF(OR($A989="",$B989="",$L989="",$M989="",$J989="취소"),"",IF(SUMPRODUCT(($A$3:$A$2002=$A989)*($B$3:$B$2002=$B989)*($J$3:$J$2002&lt;&gt;"취소")*($L$3:$L$2002&lt;&gt;"")*($M$3:$M$2002&lt;&gt;"")*($L$3:$L$2002&lt;$M989)*($M$3:$M$2002&gt;$L989))&gt;1,"중복","-"))</f>
        <v/>
      </c>
    </row>
    <row r="990" customFormat="false" ht="15" hidden="false" customHeight="true" outlineLevel="0" collapsed="false">
      <c r="A990" s="11"/>
      <c r="B990" s="7"/>
      <c r="C990" s="12" t="str">
        <f aca="false">IF($B990="","",IFERROR(INDEX(자원목록!$B$3:$B$102,MATCH($B990,자원목록!$A$3:$A$102,0)),"미등록자원"))</f>
        <v/>
      </c>
      <c r="D990" s="7"/>
      <c r="E990" s="12" t="str">
        <f aca="false">IF($D990="","",IFERROR(INDEX(고객목록!$B$3:$B$502,MATCH($D990,고객목록!$A$3:$A$502,0)),""))</f>
        <v/>
      </c>
      <c r="F990" s="13"/>
      <c r="G990" s="13"/>
      <c r="H990" s="14" t="str">
        <f aca="false">IF(OR($L990="",$M990=""),"",ROUND(($M990-$L990)/60,2))</f>
        <v/>
      </c>
      <c r="I990" s="9"/>
      <c r="J990" s="7"/>
      <c r="K990" s="7"/>
      <c r="L990" s="15" t="str">
        <f aca="false">IF($F990="","",IF($F990&lt;1,ROUND($F990*1440,0),INT($F990/100)*60+MOD($F990,100)))</f>
        <v/>
      </c>
      <c r="M990" s="15" t="str">
        <f aca="false">IF($G990="","",IF($G990&lt;1,ROUND($G990*1440,0),INT($G990/100)*60+MOD($G990,100)))</f>
        <v/>
      </c>
      <c r="N990" s="15" t="str">
        <f aca="false">IF(OR($A990="",$B990="",$L990="",$M990="",$J990="취소"),"",IF(SUMPRODUCT(($A$3:$A$2002=$A990)*($B$3:$B$2002=$B990)*($J$3:$J$2002&lt;&gt;"취소")*($L$3:$L$2002&lt;&gt;"")*($M$3:$M$2002&lt;&gt;"")*($L$3:$L$2002&lt;$M990)*($M$3:$M$2002&gt;$L990))&gt;1,"중복","-"))</f>
        <v/>
      </c>
    </row>
    <row r="991" customFormat="false" ht="15" hidden="false" customHeight="true" outlineLevel="0" collapsed="false">
      <c r="A991" s="11"/>
      <c r="B991" s="7"/>
      <c r="C991" s="12" t="str">
        <f aca="false">IF($B991="","",IFERROR(INDEX(자원목록!$B$3:$B$102,MATCH($B991,자원목록!$A$3:$A$102,0)),"미등록자원"))</f>
        <v/>
      </c>
      <c r="D991" s="7"/>
      <c r="E991" s="12" t="str">
        <f aca="false">IF($D991="","",IFERROR(INDEX(고객목록!$B$3:$B$502,MATCH($D991,고객목록!$A$3:$A$502,0)),""))</f>
        <v/>
      </c>
      <c r="F991" s="13"/>
      <c r="G991" s="13"/>
      <c r="H991" s="14" t="str">
        <f aca="false">IF(OR($L991="",$M991=""),"",ROUND(($M991-$L991)/60,2))</f>
        <v/>
      </c>
      <c r="I991" s="9"/>
      <c r="J991" s="7"/>
      <c r="K991" s="7"/>
      <c r="L991" s="15" t="str">
        <f aca="false">IF($F991="","",IF($F991&lt;1,ROUND($F991*1440,0),INT($F991/100)*60+MOD($F991,100)))</f>
        <v/>
      </c>
      <c r="M991" s="15" t="str">
        <f aca="false">IF($G991="","",IF($G991&lt;1,ROUND($G991*1440,0),INT($G991/100)*60+MOD($G991,100)))</f>
        <v/>
      </c>
      <c r="N991" s="15" t="str">
        <f aca="false">IF(OR($A991="",$B991="",$L991="",$M991="",$J991="취소"),"",IF(SUMPRODUCT(($A$3:$A$2002=$A991)*($B$3:$B$2002=$B991)*($J$3:$J$2002&lt;&gt;"취소")*($L$3:$L$2002&lt;&gt;"")*($M$3:$M$2002&lt;&gt;"")*($L$3:$L$2002&lt;$M991)*($M$3:$M$2002&gt;$L991))&gt;1,"중복","-"))</f>
        <v/>
      </c>
    </row>
    <row r="992" customFormat="false" ht="15" hidden="false" customHeight="true" outlineLevel="0" collapsed="false">
      <c r="A992" s="11"/>
      <c r="B992" s="7"/>
      <c r="C992" s="12" t="str">
        <f aca="false">IF($B992="","",IFERROR(INDEX(자원목록!$B$3:$B$102,MATCH($B992,자원목록!$A$3:$A$102,0)),"미등록자원"))</f>
        <v/>
      </c>
      <c r="D992" s="7"/>
      <c r="E992" s="12" t="str">
        <f aca="false">IF($D992="","",IFERROR(INDEX(고객목록!$B$3:$B$502,MATCH($D992,고객목록!$A$3:$A$502,0)),""))</f>
        <v/>
      </c>
      <c r="F992" s="13"/>
      <c r="G992" s="13"/>
      <c r="H992" s="14" t="str">
        <f aca="false">IF(OR($L992="",$M992=""),"",ROUND(($M992-$L992)/60,2))</f>
        <v/>
      </c>
      <c r="I992" s="9"/>
      <c r="J992" s="7"/>
      <c r="K992" s="7"/>
      <c r="L992" s="15" t="str">
        <f aca="false">IF($F992="","",IF($F992&lt;1,ROUND($F992*1440,0),INT($F992/100)*60+MOD($F992,100)))</f>
        <v/>
      </c>
      <c r="M992" s="15" t="str">
        <f aca="false">IF($G992="","",IF($G992&lt;1,ROUND($G992*1440,0),INT($G992/100)*60+MOD($G992,100)))</f>
        <v/>
      </c>
      <c r="N992" s="15" t="str">
        <f aca="false">IF(OR($A992="",$B992="",$L992="",$M992="",$J992="취소"),"",IF(SUMPRODUCT(($A$3:$A$2002=$A992)*($B$3:$B$2002=$B992)*($J$3:$J$2002&lt;&gt;"취소")*($L$3:$L$2002&lt;&gt;"")*($M$3:$M$2002&lt;&gt;"")*($L$3:$L$2002&lt;$M992)*($M$3:$M$2002&gt;$L992))&gt;1,"중복","-"))</f>
        <v/>
      </c>
    </row>
    <row r="993" customFormat="false" ht="15" hidden="false" customHeight="true" outlineLevel="0" collapsed="false">
      <c r="A993" s="11"/>
      <c r="B993" s="7"/>
      <c r="C993" s="12" t="str">
        <f aca="false">IF($B993="","",IFERROR(INDEX(자원목록!$B$3:$B$102,MATCH($B993,자원목록!$A$3:$A$102,0)),"미등록자원"))</f>
        <v/>
      </c>
      <c r="D993" s="7"/>
      <c r="E993" s="12" t="str">
        <f aca="false">IF($D993="","",IFERROR(INDEX(고객목록!$B$3:$B$502,MATCH($D993,고객목록!$A$3:$A$502,0)),""))</f>
        <v/>
      </c>
      <c r="F993" s="13"/>
      <c r="G993" s="13"/>
      <c r="H993" s="14" t="str">
        <f aca="false">IF(OR($L993="",$M993=""),"",ROUND(($M993-$L993)/60,2))</f>
        <v/>
      </c>
      <c r="I993" s="9"/>
      <c r="J993" s="7"/>
      <c r="K993" s="7"/>
      <c r="L993" s="15" t="str">
        <f aca="false">IF($F993="","",IF($F993&lt;1,ROUND($F993*1440,0),INT($F993/100)*60+MOD($F993,100)))</f>
        <v/>
      </c>
      <c r="M993" s="15" t="str">
        <f aca="false">IF($G993="","",IF($G993&lt;1,ROUND($G993*1440,0),INT($G993/100)*60+MOD($G993,100)))</f>
        <v/>
      </c>
      <c r="N993" s="15" t="str">
        <f aca="false">IF(OR($A993="",$B993="",$L993="",$M993="",$J993="취소"),"",IF(SUMPRODUCT(($A$3:$A$2002=$A993)*($B$3:$B$2002=$B993)*($J$3:$J$2002&lt;&gt;"취소")*($L$3:$L$2002&lt;&gt;"")*($M$3:$M$2002&lt;&gt;"")*($L$3:$L$2002&lt;$M993)*($M$3:$M$2002&gt;$L993))&gt;1,"중복","-"))</f>
        <v/>
      </c>
    </row>
    <row r="994" customFormat="false" ht="15" hidden="false" customHeight="true" outlineLevel="0" collapsed="false">
      <c r="A994" s="11"/>
      <c r="B994" s="7"/>
      <c r="C994" s="12" t="str">
        <f aca="false">IF($B994="","",IFERROR(INDEX(자원목록!$B$3:$B$102,MATCH($B994,자원목록!$A$3:$A$102,0)),"미등록자원"))</f>
        <v/>
      </c>
      <c r="D994" s="7"/>
      <c r="E994" s="12" t="str">
        <f aca="false">IF($D994="","",IFERROR(INDEX(고객목록!$B$3:$B$502,MATCH($D994,고객목록!$A$3:$A$502,0)),""))</f>
        <v/>
      </c>
      <c r="F994" s="13"/>
      <c r="G994" s="13"/>
      <c r="H994" s="14" t="str">
        <f aca="false">IF(OR($L994="",$M994=""),"",ROUND(($M994-$L994)/60,2))</f>
        <v/>
      </c>
      <c r="I994" s="9"/>
      <c r="J994" s="7"/>
      <c r="K994" s="7"/>
      <c r="L994" s="15" t="str">
        <f aca="false">IF($F994="","",IF($F994&lt;1,ROUND($F994*1440,0),INT($F994/100)*60+MOD($F994,100)))</f>
        <v/>
      </c>
      <c r="M994" s="15" t="str">
        <f aca="false">IF($G994="","",IF($G994&lt;1,ROUND($G994*1440,0),INT($G994/100)*60+MOD($G994,100)))</f>
        <v/>
      </c>
      <c r="N994" s="15" t="str">
        <f aca="false">IF(OR($A994="",$B994="",$L994="",$M994="",$J994="취소"),"",IF(SUMPRODUCT(($A$3:$A$2002=$A994)*($B$3:$B$2002=$B994)*($J$3:$J$2002&lt;&gt;"취소")*($L$3:$L$2002&lt;&gt;"")*($M$3:$M$2002&lt;&gt;"")*($L$3:$L$2002&lt;$M994)*($M$3:$M$2002&gt;$L994))&gt;1,"중복","-"))</f>
        <v/>
      </c>
    </row>
    <row r="995" customFormat="false" ht="15" hidden="false" customHeight="true" outlineLevel="0" collapsed="false">
      <c r="A995" s="11"/>
      <c r="B995" s="7"/>
      <c r="C995" s="12" t="str">
        <f aca="false">IF($B995="","",IFERROR(INDEX(자원목록!$B$3:$B$102,MATCH($B995,자원목록!$A$3:$A$102,0)),"미등록자원"))</f>
        <v/>
      </c>
      <c r="D995" s="7"/>
      <c r="E995" s="12" t="str">
        <f aca="false">IF($D995="","",IFERROR(INDEX(고객목록!$B$3:$B$502,MATCH($D995,고객목록!$A$3:$A$502,0)),""))</f>
        <v/>
      </c>
      <c r="F995" s="13"/>
      <c r="G995" s="13"/>
      <c r="H995" s="14" t="str">
        <f aca="false">IF(OR($L995="",$M995=""),"",ROUND(($M995-$L995)/60,2))</f>
        <v/>
      </c>
      <c r="I995" s="9"/>
      <c r="J995" s="7"/>
      <c r="K995" s="7"/>
      <c r="L995" s="15" t="str">
        <f aca="false">IF($F995="","",IF($F995&lt;1,ROUND($F995*1440,0),INT($F995/100)*60+MOD($F995,100)))</f>
        <v/>
      </c>
      <c r="M995" s="15" t="str">
        <f aca="false">IF($G995="","",IF($G995&lt;1,ROUND($G995*1440,0),INT($G995/100)*60+MOD($G995,100)))</f>
        <v/>
      </c>
      <c r="N995" s="15" t="str">
        <f aca="false">IF(OR($A995="",$B995="",$L995="",$M995="",$J995="취소"),"",IF(SUMPRODUCT(($A$3:$A$2002=$A995)*($B$3:$B$2002=$B995)*($J$3:$J$2002&lt;&gt;"취소")*($L$3:$L$2002&lt;&gt;"")*($M$3:$M$2002&lt;&gt;"")*($L$3:$L$2002&lt;$M995)*($M$3:$M$2002&gt;$L995))&gt;1,"중복","-"))</f>
        <v/>
      </c>
    </row>
    <row r="996" customFormat="false" ht="15" hidden="false" customHeight="true" outlineLevel="0" collapsed="false">
      <c r="A996" s="11"/>
      <c r="B996" s="7"/>
      <c r="C996" s="12" t="str">
        <f aca="false">IF($B996="","",IFERROR(INDEX(자원목록!$B$3:$B$102,MATCH($B996,자원목록!$A$3:$A$102,0)),"미등록자원"))</f>
        <v/>
      </c>
      <c r="D996" s="7"/>
      <c r="E996" s="12" t="str">
        <f aca="false">IF($D996="","",IFERROR(INDEX(고객목록!$B$3:$B$502,MATCH($D996,고객목록!$A$3:$A$502,0)),""))</f>
        <v/>
      </c>
      <c r="F996" s="13"/>
      <c r="G996" s="13"/>
      <c r="H996" s="14" t="str">
        <f aca="false">IF(OR($L996="",$M996=""),"",ROUND(($M996-$L996)/60,2))</f>
        <v/>
      </c>
      <c r="I996" s="9"/>
      <c r="J996" s="7"/>
      <c r="K996" s="7"/>
      <c r="L996" s="15" t="str">
        <f aca="false">IF($F996="","",IF($F996&lt;1,ROUND($F996*1440,0),INT($F996/100)*60+MOD($F996,100)))</f>
        <v/>
      </c>
      <c r="M996" s="15" t="str">
        <f aca="false">IF($G996="","",IF($G996&lt;1,ROUND($G996*1440,0),INT($G996/100)*60+MOD($G996,100)))</f>
        <v/>
      </c>
      <c r="N996" s="15" t="str">
        <f aca="false">IF(OR($A996="",$B996="",$L996="",$M996="",$J996="취소"),"",IF(SUMPRODUCT(($A$3:$A$2002=$A996)*($B$3:$B$2002=$B996)*($J$3:$J$2002&lt;&gt;"취소")*($L$3:$L$2002&lt;&gt;"")*($M$3:$M$2002&lt;&gt;"")*($L$3:$L$2002&lt;$M996)*($M$3:$M$2002&gt;$L996))&gt;1,"중복","-"))</f>
        <v/>
      </c>
    </row>
    <row r="997" customFormat="false" ht="15" hidden="false" customHeight="true" outlineLevel="0" collapsed="false">
      <c r="A997" s="11"/>
      <c r="B997" s="7"/>
      <c r="C997" s="12" t="str">
        <f aca="false">IF($B997="","",IFERROR(INDEX(자원목록!$B$3:$B$102,MATCH($B997,자원목록!$A$3:$A$102,0)),"미등록자원"))</f>
        <v/>
      </c>
      <c r="D997" s="7"/>
      <c r="E997" s="12" t="str">
        <f aca="false">IF($D997="","",IFERROR(INDEX(고객목록!$B$3:$B$502,MATCH($D997,고객목록!$A$3:$A$502,0)),""))</f>
        <v/>
      </c>
      <c r="F997" s="13"/>
      <c r="G997" s="13"/>
      <c r="H997" s="14" t="str">
        <f aca="false">IF(OR($L997="",$M997=""),"",ROUND(($M997-$L997)/60,2))</f>
        <v/>
      </c>
      <c r="I997" s="9"/>
      <c r="J997" s="7"/>
      <c r="K997" s="7"/>
      <c r="L997" s="15" t="str">
        <f aca="false">IF($F997="","",IF($F997&lt;1,ROUND($F997*1440,0),INT($F997/100)*60+MOD($F997,100)))</f>
        <v/>
      </c>
      <c r="M997" s="15" t="str">
        <f aca="false">IF($G997="","",IF($G997&lt;1,ROUND($G997*1440,0),INT($G997/100)*60+MOD($G997,100)))</f>
        <v/>
      </c>
      <c r="N997" s="15" t="str">
        <f aca="false">IF(OR($A997="",$B997="",$L997="",$M997="",$J997="취소"),"",IF(SUMPRODUCT(($A$3:$A$2002=$A997)*($B$3:$B$2002=$B997)*($J$3:$J$2002&lt;&gt;"취소")*($L$3:$L$2002&lt;&gt;"")*($M$3:$M$2002&lt;&gt;"")*($L$3:$L$2002&lt;$M997)*($M$3:$M$2002&gt;$L997))&gt;1,"중복","-"))</f>
        <v/>
      </c>
    </row>
    <row r="998" customFormat="false" ht="15" hidden="false" customHeight="true" outlineLevel="0" collapsed="false">
      <c r="A998" s="11"/>
      <c r="B998" s="7"/>
      <c r="C998" s="12" t="str">
        <f aca="false">IF($B998="","",IFERROR(INDEX(자원목록!$B$3:$B$102,MATCH($B998,자원목록!$A$3:$A$102,0)),"미등록자원"))</f>
        <v/>
      </c>
      <c r="D998" s="7"/>
      <c r="E998" s="12" t="str">
        <f aca="false">IF($D998="","",IFERROR(INDEX(고객목록!$B$3:$B$502,MATCH($D998,고객목록!$A$3:$A$502,0)),""))</f>
        <v/>
      </c>
      <c r="F998" s="13"/>
      <c r="G998" s="13"/>
      <c r="H998" s="14" t="str">
        <f aca="false">IF(OR($L998="",$M998=""),"",ROUND(($M998-$L998)/60,2))</f>
        <v/>
      </c>
      <c r="I998" s="9"/>
      <c r="J998" s="7"/>
      <c r="K998" s="7"/>
      <c r="L998" s="15" t="str">
        <f aca="false">IF($F998="","",IF($F998&lt;1,ROUND($F998*1440,0),INT($F998/100)*60+MOD($F998,100)))</f>
        <v/>
      </c>
      <c r="M998" s="15" t="str">
        <f aca="false">IF($G998="","",IF($G998&lt;1,ROUND($G998*1440,0),INT($G998/100)*60+MOD($G998,100)))</f>
        <v/>
      </c>
      <c r="N998" s="15" t="str">
        <f aca="false">IF(OR($A998="",$B998="",$L998="",$M998="",$J998="취소"),"",IF(SUMPRODUCT(($A$3:$A$2002=$A998)*($B$3:$B$2002=$B998)*($J$3:$J$2002&lt;&gt;"취소")*($L$3:$L$2002&lt;&gt;"")*($M$3:$M$2002&lt;&gt;"")*($L$3:$L$2002&lt;$M998)*($M$3:$M$2002&gt;$L998))&gt;1,"중복","-"))</f>
        <v/>
      </c>
    </row>
    <row r="999" customFormat="false" ht="15" hidden="false" customHeight="true" outlineLevel="0" collapsed="false">
      <c r="A999" s="11"/>
      <c r="B999" s="7"/>
      <c r="C999" s="12" t="str">
        <f aca="false">IF($B999="","",IFERROR(INDEX(자원목록!$B$3:$B$102,MATCH($B999,자원목록!$A$3:$A$102,0)),"미등록자원"))</f>
        <v/>
      </c>
      <c r="D999" s="7"/>
      <c r="E999" s="12" t="str">
        <f aca="false">IF($D999="","",IFERROR(INDEX(고객목록!$B$3:$B$502,MATCH($D999,고객목록!$A$3:$A$502,0)),""))</f>
        <v/>
      </c>
      <c r="F999" s="13"/>
      <c r="G999" s="13"/>
      <c r="H999" s="14" t="str">
        <f aca="false">IF(OR($L999="",$M999=""),"",ROUND(($M999-$L999)/60,2))</f>
        <v/>
      </c>
      <c r="I999" s="9"/>
      <c r="J999" s="7"/>
      <c r="K999" s="7"/>
      <c r="L999" s="15" t="str">
        <f aca="false">IF($F999="","",IF($F999&lt;1,ROUND($F999*1440,0),INT($F999/100)*60+MOD($F999,100)))</f>
        <v/>
      </c>
      <c r="M999" s="15" t="str">
        <f aca="false">IF($G999="","",IF($G999&lt;1,ROUND($G999*1440,0),INT($G999/100)*60+MOD($G999,100)))</f>
        <v/>
      </c>
      <c r="N999" s="15" t="str">
        <f aca="false">IF(OR($A999="",$B999="",$L999="",$M999="",$J999="취소"),"",IF(SUMPRODUCT(($A$3:$A$2002=$A999)*($B$3:$B$2002=$B999)*($J$3:$J$2002&lt;&gt;"취소")*($L$3:$L$2002&lt;&gt;"")*($M$3:$M$2002&lt;&gt;"")*($L$3:$L$2002&lt;$M999)*($M$3:$M$2002&gt;$L999))&gt;1,"중복","-"))</f>
        <v/>
      </c>
    </row>
    <row r="1000" customFormat="false" ht="15" hidden="false" customHeight="true" outlineLevel="0" collapsed="false">
      <c r="A1000" s="11"/>
      <c r="B1000" s="7"/>
      <c r="C1000" s="12" t="str">
        <f aca="false">IF($B1000="","",IFERROR(INDEX(자원목록!$B$3:$B$102,MATCH($B1000,자원목록!$A$3:$A$102,0)),"미등록자원"))</f>
        <v/>
      </c>
      <c r="D1000" s="7"/>
      <c r="E1000" s="12" t="str">
        <f aca="false">IF($D1000="","",IFERROR(INDEX(고객목록!$B$3:$B$502,MATCH($D1000,고객목록!$A$3:$A$502,0)),""))</f>
        <v/>
      </c>
      <c r="F1000" s="13"/>
      <c r="G1000" s="13"/>
      <c r="H1000" s="14" t="str">
        <f aca="false">IF(OR($L1000="",$M1000=""),"",ROUND(($M1000-$L1000)/60,2))</f>
        <v/>
      </c>
      <c r="I1000" s="9"/>
      <c r="J1000" s="7"/>
      <c r="K1000" s="7"/>
      <c r="L1000" s="15" t="str">
        <f aca="false">IF($F1000="","",IF($F1000&lt;1,ROUND($F1000*1440,0),INT($F1000/100)*60+MOD($F1000,100)))</f>
        <v/>
      </c>
      <c r="M1000" s="15" t="str">
        <f aca="false">IF($G1000="","",IF($G1000&lt;1,ROUND($G1000*1440,0),INT($G1000/100)*60+MOD($G1000,100)))</f>
        <v/>
      </c>
      <c r="N1000" s="15" t="str">
        <f aca="false">IF(OR($A1000="",$B1000="",$L1000="",$M1000="",$J1000="취소"),"",IF(SUMPRODUCT(($A$3:$A$2002=$A1000)*($B$3:$B$2002=$B1000)*($J$3:$J$2002&lt;&gt;"취소")*($L$3:$L$2002&lt;&gt;"")*($M$3:$M$2002&lt;&gt;"")*($L$3:$L$2002&lt;$M1000)*($M$3:$M$2002&gt;$L1000))&gt;1,"중복","-"))</f>
        <v/>
      </c>
    </row>
    <row r="1001" customFormat="false" ht="15" hidden="false" customHeight="true" outlineLevel="0" collapsed="false">
      <c r="A1001" s="11"/>
      <c r="B1001" s="7"/>
      <c r="C1001" s="12" t="str">
        <f aca="false">IF($B1001="","",IFERROR(INDEX(자원목록!$B$3:$B$102,MATCH($B1001,자원목록!$A$3:$A$102,0)),"미등록자원"))</f>
        <v/>
      </c>
      <c r="D1001" s="7"/>
      <c r="E1001" s="12" t="str">
        <f aca="false">IF($D1001="","",IFERROR(INDEX(고객목록!$B$3:$B$502,MATCH($D1001,고객목록!$A$3:$A$502,0)),""))</f>
        <v/>
      </c>
      <c r="F1001" s="13"/>
      <c r="G1001" s="13"/>
      <c r="H1001" s="14" t="str">
        <f aca="false">IF(OR($L1001="",$M1001=""),"",ROUND(($M1001-$L1001)/60,2))</f>
        <v/>
      </c>
      <c r="I1001" s="9"/>
      <c r="J1001" s="7"/>
      <c r="K1001" s="7"/>
      <c r="L1001" s="15" t="str">
        <f aca="false">IF($F1001="","",IF($F1001&lt;1,ROUND($F1001*1440,0),INT($F1001/100)*60+MOD($F1001,100)))</f>
        <v/>
      </c>
      <c r="M1001" s="15" t="str">
        <f aca="false">IF($G1001="","",IF($G1001&lt;1,ROUND($G1001*1440,0),INT($G1001/100)*60+MOD($G1001,100)))</f>
        <v/>
      </c>
      <c r="N1001" s="15" t="str">
        <f aca="false">IF(OR($A1001="",$B1001="",$L1001="",$M1001="",$J1001="취소"),"",IF(SUMPRODUCT(($A$3:$A$2002=$A1001)*($B$3:$B$2002=$B1001)*($J$3:$J$2002&lt;&gt;"취소")*($L$3:$L$2002&lt;&gt;"")*($M$3:$M$2002&lt;&gt;"")*($L$3:$L$2002&lt;$M1001)*($M$3:$M$2002&gt;$L1001))&gt;1,"중복","-"))</f>
        <v/>
      </c>
    </row>
    <row r="1002" customFormat="false" ht="15" hidden="false" customHeight="true" outlineLevel="0" collapsed="false">
      <c r="A1002" s="11"/>
      <c r="B1002" s="7"/>
      <c r="C1002" s="12" t="str">
        <f aca="false">IF($B1002="","",IFERROR(INDEX(자원목록!$B$3:$B$102,MATCH($B1002,자원목록!$A$3:$A$102,0)),"미등록자원"))</f>
        <v/>
      </c>
      <c r="D1002" s="7"/>
      <c r="E1002" s="12" t="str">
        <f aca="false">IF($D1002="","",IFERROR(INDEX(고객목록!$B$3:$B$502,MATCH($D1002,고객목록!$A$3:$A$502,0)),""))</f>
        <v/>
      </c>
      <c r="F1002" s="13"/>
      <c r="G1002" s="13"/>
      <c r="H1002" s="14" t="str">
        <f aca="false">IF(OR($L1002="",$M1002=""),"",ROUND(($M1002-$L1002)/60,2))</f>
        <v/>
      </c>
      <c r="I1002" s="9"/>
      <c r="J1002" s="7"/>
      <c r="K1002" s="7"/>
      <c r="L1002" s="15" t="str">
        <f aca="false">IF($F1002="","",IF($F1002&lt;1,ROUND($F1002*1440,0),INT($F1002/100)*60+MOD($F1002,100)))</f>
        <v/>
      </c>
      <c r="M1002" s="15" t="str">
        <f aca="false">IF($G1002="","",IF($G1002&lt;1,ROUND($G1002*1440,0),INT($G1002/100)*60+MOD($G1002,100)))</f>
        <v/>
      </c>
      <c r="N1002" s="15" t="str">
        <f aca="false">IF(OR($A1002="",$B1002="",$L1002="",$M1002="",$J1002="취소"),"",IF(SUMPRODUCT(($A$3:$A$2002=$A1002)*($B$3:$B$2002=$B1002)*($J$3:$J$2002&lt;&gt;"취소")*($L$3:$L$2002&lt;&gt;"")*($M$3:$M$2002&lt;&gt;"")*($L$3:$L$2002&lt;$M1002)*($M$3:$M$2002&gt;$L1002))&gt;1,"중복","-"))</f>
        <v/>
      </c>
    </row>
    <row r="1003" customFormat="false" ht="15" hidden="false" customHeight="true" outlineLevel="0" collapsed="false">
      <c r="A1003" s="11"/>
      <c r="B1003" s="7"/>
      <c r="C1003" s="12" t="str">
        <f aca="false">IF($B1003="","",IFERROR(INDEX(자원목록!$B$3:$B$102,MATCH($B1003,자원목록!$A$3:$A$102,0)),"미등록자원"))</f>
        <v/>
      </c>
      <c r="D1003" s="7"/>
      <c r="E1003" s="12" t="str">
        <f aca="false">IF($D1003="","",IFERROR(INDEX(고객목록!$B$3:$B$502,MATCH($D1003,고객목록!$A$3:$A$502,0)),""))</f>
        <v/>
      </c>
      <c r="F1003" s="13"/>
      <c r="G1003" s="13"/>
      <c r="H1003" s="14" t="str">
        <f aca="false">IF(OR($L1003="",$M1003=""),"",ROUND(($M1003-$L1003)/60,2))</f>
        <v/>
      </c>
      <c r="I1003" s="9"/>
      <c r="J1003" s="7"/>
      <c r="K1003" s="7"/>
      <c r="L1003" s="15" t="str">
        <f aca="false">IF($F1003="","",IF($F1003&lt;1,ROUND($F1003*1440,0),INT($F1003/100)*60+MOD($F1003,100)))</f>
        <v/>
      </c>
      <c r="M1003" s="15" t="str">
        <f aca="false">IF($G1003="","",IF($G1003&lt;1,ROUND($G1003*1440,0),INT($G1003/100)*60+MOD($G1003,100)))</f>
        <v/>
      </c>
      <c r="N1003" s="15" t="str">
        <f aca="false">IF(OR($A1003="",$B1003="",$L1003="",$M1003="",$J1003="취소"),"",IF(SUMPRODUCT(($A$3:$A$2002=$A1003)*($B$3:$B$2002=$B1003)*($J$3:$J$2002&lt;&gt;"취소")*($L$3:$L$2002&lt;&gt;"")*($M$3:$M$2002&lt;&gt;"")*($L$3:$L$2002&lt;$M1003)*($M$3:$M$2002&gt;$L1003))&gt;1,"중복","-"))</f>
        <v/>
      </c>
    </row>
    <row r="1004" customFormat="false" ht="15" hidden="false" customHeight="true" outlineLevel="0" collapsed="false">
      <c r="A1004" s="11"/>
      <c r="B1004" s="7"/>
      <c r="C1004" s="12" t="str">
        <f aca="false">IF($B1004="","",IFERROR(INDEX(자원목록!$B$3:$B$102,MATCH($B1004,자원목록!$A$3:$A$102,0)),"미등록자원"))</f>
        <v/>
      </c>
      <c r="D1004" s="7"/>
      <c r="E1004" s="12" t="str">
        <f aca="false">IF($D1004="","",IFERROR(INDEX(고객목록!$B$3:$B$502,MATCH($D1004,고객목록!$A$3:$A$502,0)),""))</f>
        <v/>
      </c>
      <c r="F1004" s="13"/>
      <c r="G1004" s="13"/>
      <c r="H1004" s="14" t="str">
        <f aca="false">IF(OR($L1004="",$M1004=""),"",ROUND(($M1004-$L1004)/60,2))</f>
        <v/>
      </c>
      <c r="I1004" s="9"/>
      <c r="J1004" s="7"/>
      <c r="K1004" s="7"/>
      <c r="L1004" s="15" t="str">
        <f aca="false">IF($F1004="","",IF($F1004&lt;1,ROUND($F1004*1440,0),INT($F1004/100)*60+MOD($F1004,100)))</f>
        <v/>
      </c>
      <c r="M1004" s="15" t="str">
        <f aca="false">IF($G1004="","",IF($G1004&lt;1,ROUND($G1004*1440,0),INT($G1004/100)*60+MOD($G1004,100)))</f>
        <v/>
      </c>
      <c r="N1004" s="15" t="str">
        <f aca="false">IF(OR($A1004="",$B1004="",$L1004="",$M1004="",$J1004="취소"),"",IF(SUMPRODUCT(($A$3:$A$2002=$A1004)*($B$3:$B$2002=$B1004)*($J$3:$J$2002&lt;&gt;"취소")*($L$3:$L$2002&lt;&gt;"")*($M$3:$M$2002&lt;&gt;"")*($L$3:$L$2002&lt;$M1004)*($M$3:$M$2002&gt;$L1004))&gt;1,"중복","-"))</f>
        <v/>
      </c>
    </row>
    <row r="1005" customFormat="false" ht="15" hidden="false" customHeight="true" outlineLevel="0" collapsed="false">
      <c r="A1005" s="11"/>
      <c r="B1005" s="7"/>
      <c r="C1005" s="12" t="str">
        <f aca="false">IF($B1005="","",IFERROR(INDEX(자원목록!$B$3:$B$102,MATCH($B1005,자원목록!$A$3:$A$102,0)),"미등록자원"))</f>
        <v/>
      </c>
      <c r="D1005" s="7"/>
      <c r="E1005" s="12" t="str">
        <f aca="false">IF($D1005="","",IFERROR(INDEX(고객목록!$B$3:$B$502,MATCH($D1005,고객목록!$A$3:$A$502,0)),""))</f>
        <v/>
      </c>
      <c r="F1005" s="13"/>
      <c r="G1005" s="13"/>
      <c r="H1005" s="14" t="str">
        <f aca="false">IF(OR($L1005="",$M1005=""),"",ROUND(($M1005-$L1005)/60,2))</f>
        <v/>
      </c>
      <c r="I1005" s="9"/>
      <c r="J1005" s="7"/>
      <c r="K1005" s="7"/>
      <c r="L1005" s="15" t="str">
        <f aca="false">IF($F1005="","",IF($F1005&lt;1,ROUND($F1005*1440,0),INT($F1005/100)*60+MOD($F1005,100)))</f>
        <v/>
      </c>
      <c r="M1005" s="15" t="str">
        <f aca="false">IF($G1005="","",IF($G1005&lt;1,ROUND($G1005*1440,0),INT($G1005/100)*60+MOD($G1005,100)))</f>
        <v/>
      </c>
      <c r="N1005" s="15" t="str">
        <f aca="false">IF(OR($A1005="",$B1005="",$L1005="",$M1005="",$J1005="취소"),"",IF(SUMPRODUCT(($A$3:$A$2002=$A1005)*($B$3:$B$2002=$B1005)*($J$3:$J$2002&lt;&gt;"취소")*($L$3:$L$2002&lt;&gt;"")*($M$3:$M$2002&lt;&gt;"")*($L$3:$L$2002&lt;$M1005)*($M$3:$M$2002&gt;$L1005))&gt;1,"중복","-"))</f>
        <v/>
      </c>
    </row>
    <row r="1006" customFormat="false" ht="15" hidden="false" customHeight="true" outlineLevel="0" collapsed="false">
      <c r="A1006" s="11"/>
      <c r="B1006" s="7"/>
      <c r="C1006" s="12" t="str">
        <f aca="false">IF($B1006="","",IFERROR(INDEX(자원목록!$B$3:$B$102,MATCH($B1006,자원목록!$A$3:$A$102,0)),"미등록자원"))</f>
        <v/>
      </c>
      <c r="D1006" s="7"/>
      <c r="E1006" s="12" t="str">
        <f aca="false">IF($D1006="","",IFERROR(INDEX(고객목록!$B$3:$B$502,MATCH($D1006,고객목록!$A$3:$A$502,0)),""))</f>
        <v/>
      </c>
      <c r="F1006" s="13"/>
      <c r="G1006" s="13"/>
      <c r="H1006" s="14" t="str">
        <f aca="false">IF(OR($L1006="",$M1006=""),"",ROUND(($M1006-$L1006)/60,2))</f>
        <v/>
      </c>
      <c r="I1006" s="9"/>
      <c r="J1006" s="7"/>
      <c r="K1006" s="7"/>
      <c r="L1006" s="15" t="str">
        <f aca="false">IF($F1006="","",IF($F1006&lt;1,ROUND($F1006*1440,0),INT($F1006/100)*60+MOD($F1006,100)))</f>
        <v/>
      </c>
      <c r="M1006" s="15" t="str">
        <f aca="false">IF($G1006="","",IF($G1006&lt;1,ROUND($G1006*1440,0),INT($G1006/100)*60+MOD($G1006,100)))</f>
        <v/>
      </c>
      <c r="N1006" s="15" t="str">
        <f aca="false">IF(OR($A1006="",$B1006="",$L1006="",$M1006="",$J1006="취소"),"",IF(SUMPRODUCT(($A$3:$A$2002=$A1006)*($B$3:$B$2002=$B1006)*($J$3:$J$2002&lt;&gt;"취소")*($L$3:$L$2002&lt;&gt;"")*($M$3:$M$2002&lt;&gt;"")*($L$3:$L$2002&lt;$M1006)*($M$3:$M$2002&gt;$L1006))&gt;1,"중복","-"))</f>
        <v/>
      </c>
    </row>
    <row r="1007" customFormat="false" ht="15" hidden="false" customHeight="true" outlineLevel="0" collapsed="false">
      <c r="A1007" s="11"/>
      <c r="B1007" s="7"/>
      <c r="C1007" s="12" t="str">
        <f aca="false">IF($B1007="","",IFERROR(INDEX(자원목록!$B$3:$B$102,MATCH($B1007,자원목록!$A$3:$A$102,0)),"미등록자원"))</f>
        <v/>
      </c>
      <c r="D1007" s="7"/>
      <c r="E1007" s="12" t="str">
        <f aca="false">IF($D1007="","",IFERROR(INDEX(고객목록!$B$3:$B$502,MATCH($D1007,고객목록!$A$3:$A$502,0)),""))</f>
        <v/>
      </c>
      <c r="F1007" s="13"/>
      <c r="G1007" s="13"/>
      <c r="H1007" s="14" t="str">
        <f aca="false">IF(OR($L1007="",$M1007=""),"",ROUND(($M1007-$L1007)/60,2))</f>
        <v/>
      </c>
      <c r="I1007" s="9"/>
      <c r="J1007" s="7"/>
      <c r="K1007" s="7"/>
      <c r="L1007" s="15" t="str">
        <f aca="false">IF($F1007="","",IF($F1007&lt;1,ROUND($F1007*1440,0),INT($F1007/100)*60+MOD($F1007,100)))</f>
        <v/>
      </c>
      <c r="M1007" s="15" t="str">
        <f aca="false">IF($G1007="","",IF($G1007&lt;1,ROUND($G1007*1440,0),INT($G1007/100)*60+MOD($G1007,100)))</f>
        <v/>
      </c>
      <c r="N1007" s="15" t="str">
        <f aca="false">IF(OR($A1007="",$B1007="",$L1007="",$M1007="",$J1007="취소"),"",IF(SUMPRODUCT(($A$3:$A$2002=$A1007)*($B$3:$B$2002=$B1007)*($J$3:$J$2002&lt;&gt;"취소")*($L$3:$L$2002&lt;&gt;"")*($M$3:$M$2002&lt;&gt;"")*($L$3:$L$2002&lt;$M1007)*($M$3:$M$2002&gt;$L1007))&gt;1,"중복","-"))</f>
        <v/>
      </c>
    </row>
    <row r="1008" customFormat="false" ht="15" hidden="false" customHeight="true" outlineLevel="0" collapsed="false">
      <c r="A1008" s="11"/>
      <c r="B1008" s="7"/>
      <c r="C1008" s="12" t="str">
        <f aca="false">IF($B1008="","",IFERROR(INDEX(자원목록!$B$3:$B$102,MATCH($B1008,자원목록!$A$3:$A$102,0)),"미등록자원"))</f>
        <v/>
      </c>
      <c r="D1008" s="7"/>
      <c r="E1008" s="12" t="str">
        <f aca="false">IF($D1008="","",IFERROR(INDEX(고객목록!$B$3:$B$502,MATCH($D1008,고객목록!$A$3:$A$502,0)),""))</f>
        <v/>
      </c>
      <c r="F1008" s="13"/>
      <c r="G1008" s="13"/>
      <c r="H1008" s="14" t="str">
        <f aca="false">IF(OR($L1008="",$M1008=""),"",ROUND(($M1008-$L1008)/60,2))</f>
        <v/>
      </c>
      <c r="I1008" s="9"/>
      <c r="J1008" s="7"/>
      <c r="K1008" s="7"/>
      <c r="L1008" s="15" t="str">
        <f aca="false">IF($F1008="","",IF($F1008&lt;1,ROUND($F1008*1440,0),INT($F1008/100)*60+MOD($F1008,100)))</f>
        <v/>
      </c>
      <c r="M1008" s="15" t="str">
        <f aca="false">IF($G1008="","",IF($G1008&lt;1,ROUND($G1008*1440,0),INT($G1008/100)*60+MOD($G1008,100)))</f>
        <v/>
      </c>
      <c r="N1008" s="15" t="str">
        <f aca="false">IF(OR($A1008="",$B1008="",$L1008="",$M1008="",$J1008="취소"),"",IF(SUMPRODUCT(($A$3:$A$2002=$A1008)*($B$3:$B$2002=$B1008)*($J$3:$J$2002&lt;&gt;"취소")*($L$3:$L$2002&lt;&gt;"")*($M$3:$M$2002&lt;&gt;"")*($L$3:$L$2002&lt;$M1008)*($M$3:$M$2002&gt;$L1008))&gt;1,"중복","-"))</f>
        <v/>
      </c>
    </row>
    <row r="1009" customFormat="false" ht="15" hidden="false" customHeight="true" outlineLevel="0" collapsed="false">
      <c r="A1009" s="11"/>
      <c r="B1009" s="7"/>
      <c r="C1009" s="12" t="str">
        <f aca="false">IF($B1009="","",IFERROR(INDEX(자원목록!$B$3:$B$102,MATCH($B1009,자원목록!$A$3:$A$102,0)),"미등록자원"))</f>
        <v/>
      </c>
      <c r="D1009" s="7"/>
      <c r="E1009" s="12" t="str">
        <f aca="false">IF($D1009="","",IFERROR(INDEX(고객목록!$B$3:$B$502,MATCH($D1009,고객목록!$A$3:$A$502,0)),""))</f>
        <v/>
      </c>
      <c r="F1009" s="13"/>
      <c r="G1009" s="13"/>
      <c r="H1009" s="14" t="str">
        <f aca="false">IF(OR($L1009="",$M1009=""),"",ROUND(($M1009-$L1009)/60,2))</f>
        <v/>
      </c>
      <c r="I1009" s="9"/>
      <c r="J1009" s="7"/>
      <c r="K1009" s="7"/>
      <c r="L1009" s="15" t="str">
        <f aca="false">IF($F1009="","",IF($F1009&lt;1,ROUND($F1009*1440,0),INT($F1009/100)*60+MOD($F1009,100)))</f>
        <v/>
      </c>
      <c r="M1009" s="15" t="str">
        <f aca="false">IF($G1009="","",IF($G1009&lt;1,ROUND($G1009*1440,0),INT($G1009/100)*60+MOD($G1009,100)))</f>
        <v/>
      </c>
      <c r="N1009" s="15" t="str">
        <f aca="false">IF(OR($A1009="",$B1009="",$L1009="",$M1009="",$J1009="취소"),"",IF(SUMPRODUCT(($A$3:$A$2002=$A1009)*($B$3:$B$2002=$B1009)*($J$3:$J$2002&lt;&gt;"취소")*($L$3:$L$2002&lt;&gt;"")*($M$3:$M$2002&lt;&gt;"")*($L$3:$L$2002&lt;$M1009)*($M$3:$M$2002&gt;$L1009))&gt;1,"중복","-"))</f>
        <v/>
      </c>
    </row>
    <row r="1010" customFormat="false" ht="15" hidden="false" customHeight="true" outlineLevel="0" collapsed="false">
      <c r="A1010" s="11"/>
      <c r="B1010" s="7"/>
      <c r="C1010" s="12" t="str">
        <f aca="false">IF($B1010="","",IFERROR(INDEX(자원목록!$B$3:$B$102,MATCH($B1010,자원목록!$A$3:$A$102,0)),"미등록자원"))</f>
        <v/>
      </c>
      <c r="D1010" s="7"/>
      <c r="E1010" s="12" t="str">
        <f aca="false">IF($D1010="","",IFERROR(INDEX(고객목록!$B$3:$B$502,MATCH($D1010,고객목록!$A$3:$A$502,0)),""))</f>
        <v/>
      </c>
      <c r="F1010" s="13"/>
      <c r="G1010" s="13"/>
      <c r="H1010" s="14" t="str">
        <f aca="false">IF(OR($L1010="",$M1010=""),"",ROUND(($M1010-$L1010)/60,2))</f>
        <v/>
      </c>
      <c r="I1010" s="9"/>
      <c r="J1010" s="7"/>
      <c r="K1010" s="7"/>
      <c r="L1010" s="15" t="str">
        <f aca="false">IF($F1010="","",IF($F1010&lt;1,ROUND($F1010*1440,0),INT($F1010/100)*60+MOD($F1010,100)))</f>
        <v/>
      </c>
      <c r="M1010" s="15" t="str">
        <f aca="false">IF($G1010="","",IF($G1010&lt;1,ROUND($G1010*1440,0),INT($G1010/100)*60+MOD($G1010,100)))</f>
        <v/>
      </c>
      <c r="N1010" s="15" t="str">
        <f aca="false">IF(OR($A1010="",$B1010="",$L1010="",$M1010="",$J1010="취소"),"",IF(SUMPRODUCT(($A$3:$A$2002=$A1010)*($B$3:$B$2002=$B1010)*($J$3:$J$2002&lt;&gt;"취소")*($L$3:$L$2002&lt;&gt;"")*($M$3:$M$2002&lt;&gt;"")*($L$3:$L$2002&lt;$M1010)*($M$3:$M$2002&gt;$L1010))&gt;1,"중복","-"))</f>
        <v/>
      </c>
    </row>
    <row r="1011" customFormat="false" ht="15" hidden="false" customHeight="true" outlineLevel="0" collapsed="false">
      <c r="A1011" s="11"/>
      <c r="B1011" s="7"/>
      <c r="C1011" s="12" t="str">
        <f aca="false">IF($B1011="","",IFERROR(INDEX(자원목록!$B$3:$B$102,MATCH($B1011,자원목록!$A$3:$A$102,0)),"미등록자원"))</f>
        <v/>
      </c>
      <c r="D1011" s="7"/>
      <c r="E1011" s="12" t="str">
        <f aca="false">IF($D1011="","",IFERROR(INDEX(고객목록!$B$3:$B$502,MATCH($D1011,고객목록!$A$3:$A$502,0)),""))</f>
        <v/>
      </c>
      <c r="F1011" s="13"/>
      <c r="G1011" s="13"/>
      <c r="H1011" s="14" t="str">
        <f aca="false">IF(OR($L1011="",$M1011=""),"",ROUND(($M1011-$L1011)/60,2))</f>
        <v/>
      </c>
      <c r="I1011" s="9"/>
      <c r="J1011" s="7"/>
      <c r="K1011" s="7"/>
      <c r="L1011" s="15" t="str">
        <f aca="false">IF($F1011="","",IF($F1011&lt;1,ROUND($F1011*1440,0),INT($F1011/100)*60+MOD($F1011,100)))</f>
        <v/>
      </c>
      <c r="M1011" s="15" t="str">
        <f aca="false">IF($G1011="","",IF($G1011&lt;1,ROUND($G1011*1440,0),INT($G1011/100)*60+MOD($G1011,100)))</f>
        <v/>
      </c>
      <c r="N1011" s="15" t="str">
        <f aca="false">IF(OR($A1011="",$B1011="",$L1011="",$M1011="",$J1011="취소"),"",IF(SUMPRODUCT(($A$3:$A$2002=$A1011)*($B$3:$B$2002=$B1011)*($J$3:$J$2002&lt;&gt;"취소")*($L$3:$L$2002&lt;&gt;"")*($M$3:$M$2002&lt;&gt;"")*($L$3:$L$2002&lt;$M1011)*($M$3:$M$2002&gt;$L1011))&gt;1,"중복","-"))</f>
        <v/>
      </c>
    </row>
    <row r="1012" customFormat="false" ht="15" hidden="false" customHeight="true" outlineLevel="0" collapsed="false">
      <c r="A1012" s="11"/>
      <c r="B1012" s="7"/>
      <c r="C1012" s="12" t="str">
        <f aca="false">IF($B1012="","",IFERROR(INDEX(자원목록!$B$3:$B$102,MATCH($B1012,자원목록!$A$3:$A$102,0)),"미등록자원"))</f>
        <v/>
      </c>
      <c r="D1012" s="7"/>
      <c r="E1012" s="12" t="str">
        <f aca="false">IF($D1012="","",IFERROR(INDEX(고객목록!$B$3:$B$502,MATCH($D1012,고객목록!$A$3:$A$502,0)),""))</f>
        <v/>
      </c>
      <c r="F1012" s="13"/>
      <c r="G1012" s="13"/>
      <c r="H1012" s="14" t="str">
        <f aca="false">IF(OR($L1012="",$M1012=""),"",ROUND(($M1012-$L1012)/60,2))</f>
        <v/>
      </c>
      <c r="I1012" s="9"/>
      <c r="J1012" s="7"/>
      <c r="K1012" s="7"/>
      <c r="L1012" s="15" t="str">
        <f aca="false">IF($F1012="","",IF($F1012&lt;1,ROUND($F1012*1440,0),INT($F1012/100)*60+MOD($F1012,100)))</f>
        <v/>
      </c>
      <c r="M1012" s="15" t="str">
        <f aca="false">IF($G1012="","",IF($G1012&lt;1,ROUND($G1012*1440,0),INT($G1012/100)*60+MOD($G1012,100)))</f>
        <v/>
      </c>
      <c r="N1012" s="15" t="str">
        <f aca="false">IF(OR($A1012="",$B1012="",$L1012="",$M1012="",$J1012="취소"),"",IF(SUMPRODUCT(($A$3:$A$2002=$A1012)*($B$3:$B$2002=$B1012)*($J$3:$J$2002&lt;&gt;"취소")*($L$3:$L$2002&lt;&gt;"")*($M$3:$M$2002&lt;&gt;"")*($L$3:$L$2002&lt;$M1012)*($M$3:$M$2002&gt;$L1012))&gt;1,"중복","-"))</f>
        <v/>
      </c>
    </row>
    <row r="1013" customFormat="false" ht="15" hidden="false" customHeight="true" outlineLevel="0" collapsed="false">
      <c r="A1013" s="11"/>
      <c r="B1013" s="7"/>
      <c r="C1013" s="12" t="str">
        <f aca="false">IF($B1013="","",IFERROR(INDEX(자원목록!$B$3:$B$102,MATCH($B1013,자원목록!$A$3:$A$102,0)),"미등록자원"))</f>
        <v/>
      </c>
      <c r="D1013" s="7"/>
      <c r="E1013" s="12" t="str">
        <f aca="false">IF($D1013="","",IFERROR(INDEX(고객목록!$B$3:$B$502,MATCH($D1013,고객목록!$A$3:$A$502,0)),""))</f>
        <v/>
      </c>
      <c r="F1013" s="13"/>
      <c r="G1013" s="13"/>
      <c r="H1013" s="14" t="str">
        <f aca="false">IF(OR($L1013="",$M1013=""),"",ROUND(($M1013-$L1013)/60,2))</f>
        <v/>
      </c>
      <c r="I1013" s="9"/>
      <c r="J1013" s="7"/>
      <c r="K1013" s="7"/>
      <c r="L1013" s="15" t="str">
        <f aca="false">IF($F1013="","",IF($F1013&lt;1,ROUND($F1013*1440,0),INT($F1013/100)*60+MOD($F1013,100)))</f>
        <v/>
      </c>
      <c r="M1013" s="15" t="str">
        <f aca="false">IF($G1013="","",IF($G1013&lt;1,ROUND($G1013*1440,0),INT($G1013/100)*60+MOD($G1013,100)))</f>
        <v/>
      </c>
      <c r="N1013" s="15" t="str">
        <f aca="false">IF(OR($A1013="",$B1013="",$L1013="",$M1013="",$J1013="취소"),"",IF(SUMPRODUCT(($A$3:$A$2002=$A1013)*($B$3:$B$2002=$B1013)*($J$3:$J$2002&lt;&gt;"취소")*($L$3:$L$2002&lt;&gt;"")*($M$3:$M$2002&lt;&gt;"")*($L$3:$L$2002&lt;$M1013)*($M$3:$M$2002&gt;$L1013))&gt;1,"중복","-"))</f>
        <v/>
      </c>
    </row>
    <row r="1014" customFormat="false" ht="15" hidden="false" customHeight="true" outlineLevel="0" collapsed="false">
      <c r="A1014" s="11"/>
      <c r="B1014" s="7"/>
      <c r="C1014" s="12" t="str">
        <f aca="false">IF($B1014="","",IFERROR(INDEX(자원목록!$B$3:$B$102,MATCH($B1014,자원목록!$A$3:$A$102,0)),"미등록자원"))</f>
        <v/>
      </c>
      <c r="D1014" s="7"/>
      <c r="E1014" s="12" t="str">
        <f aca="false">IF($D1014="","",IFERROR(INDEX(고객목록!$B$3:$B$502,MATCH($D1014,고객목록!$A$3:$A$502,0)),""))</f>
        <v/>
      </c>
      <c r="F1014" s="13"/>
      <c r="G1014" s="13"/>
      <c r="H1014" s="14" t="str">
        <f aca="false">IF(OR($L1014="",$M1014=""),"",ROUND(($M1014-$L1014)/60,2))</f>
        <v/>
      </c>
      <c r="I1014" s="9"/>
      <c r="J1014" s="7"/>
      <c r="K1014" s="7"/>
      <c r="L1014" s="15" t="str">
        <f aca="false">IF($F1014="","",IF($F1014&lt;1,ROUND($F1014*1440,0),INT($F1014/100)*60+MOD($F1014,100)))</f>
        <v/>
      </c>
      <c r="M1014" s="15" t="str">
        <f aca="false">IF($G1014="","",IF($G1014&lt;1,ROUND($G1014*1440,0),INT($G1014/100)*60+MOD($G1014,100)))</f>
        <v/>
      </c>
      <c r="N1014" s="15" t="str">
        <f aca="false">IF(OR($A1014="",$B1014="",$L1014="",$M1014="",$J1014="취소"),"",IF(SUMPRODUCT(($A$3:$A$2002=$A1014)*($B$3:$B$2002=$B1014)*($J$3:$J$2002&lt;&gt;"취소")*($L$3:$L$2002&lt;&gt;"")*($M$3:$M$2002&lt;&gt;"")*($L$3:$L$2002&lt;$M1014)*($M$3:$M$2002&gt;$L1014))&gt;1,"중복","-"))</f>
        <v/>
      </c>
    </row>
    <row r="1015" customFormat="false" ht="15" hidden="false" customHeight="true" outlineLevel="0" collapsed="false">
      <c r="A1015" s="11"/>
      <c r="B1015" s="7"/>
      <c r="C1015" s="12" t="str">
        <f aca="false">IF($B1015="","",IFERROR(INDEX(자원목록!$B$3:$B$102,MATCH($B1015,자원목록!$A$3:$A$102,0)),"미등록자원"))</f>
        <v/>
      </c>
      <c r="D1015" s="7"/>
      <c r="E1015" s="12" t="str">
        <f aca="false">IF($D1015="","",IFERROR(INDEX(고객목록!$B$3:$B$502,MATCH($D1015,고객목록!$A$3:$A$502,0)),""))</f>
        <v/>
      </c>
      <c r="F1015" s="13"/>
      <c r="G1015" s="13"/>
      <c r="H1015" s="14" t="str">
        <f aca="false">IF(OR($L1015="",$M1015=""),"",ROUND(($M1015-$L1015)/60,2))</f>
        <v/>
      </c>
      <c r="I1015" s="9"/>
      <c r="J1015" s="7"/>
      <c r="K1015" s="7"/>
      <c r="L1015" s="15" t="str">
        <f aca="false">IF($F1015="","",IF($F1015&lt;1,ROUND($F1015*1440,0),INT($F1015/100)*60+MOD($F1015,100)))</f>
        <v/>
      </c>
      <c r="M1015" s="15" t="str">
        <f aca="false">IF($G1015="","",IF($G1015&lt;1,ROUND($G1015*1440,0),INT($G1015/100)*60+MOD($G1015,100)))</f>
        <v/>
      </c>
      <c r="N1015" s="15" t="str">
        <f aca="false">IF(OR($A1015="",$B1015="",$L1015="",$M1015="",$J1015="취소"),"",IF(SUMPRODUCT(($A$3:$A$2002=$A1015)*($B$3:$B$2002=$B1015)*($J$3:$J$2002&lt;&gt;"취소")*($L$3:$L$2002&lt;&gt;"")*($M$3:$M$2002&lt;&gt;"")*($L$3:$L$2002&lt;$M1015)*($M$3:$M$2002&gt;$L1015))&gt;1,"중복","-"))</f>
        <v/>
      </c>
    </row>
    <row r="1016" customFormat="false" ht="15" hidden="false" customHeight="true" outlineLevel="0" collapsed="false">
      <c r="A1016" s="11"/>
      <c r="B1016" s="7"/>
      <c r="C1016" s="12" t="str">
        <f aca="false">IF($B1016="","",IFERROR(INDEX(자원목록!$B$3:$B$102,MATCH($B1016,자원목록!$A$3:$A$102,0)),"미등록자원"))</f>
        <v/>
      </c>
      <c r="D1016" s="7"/>
      <c r="E1016" s="12" t="str">
        <f aca="false">IF($D1016="","",IFERROR(INDEX(고객목록!$B$3:$B$502,MATCH($D1016,고객목록!$A$3:$A$502,0)),""))</f>
        <v/>
      </c>
      <c r="F1016" s="13"/>
      <c r="G1016" s="13"/>
      <c r="H1016" s="14" t="str">
        <f aca="false">IF(OR($L1016="",$M1016=""),"",ROUND(($M1016-$L1016)/60,2))</f>
        <v/>
      </c>
      <c r="I1016" s="9"/>
      <c r="J1016" s="7"/>
      <c r="K1016" s="7"/>
      <c r="L1016" s="15" t="str">
        <f aca="false">IF($F1016="","",IF($F1016&lt;1,ROUND($F1016*1440,0),INT($F1016/100)*60+MOD($F1016,100)))</f>
        <v/>
      </c>
      <c r="M1016" s="15" t="str">
        <f aca="false">IF($G1016="","",IF($G1016&lt;1,ROUND($G1016*1440,0),INT($G1016/100)*60+MOD($G1016,100)))</f>
        <v/>
      </c>
      <c r="N1016" s="15" t="str">
        <f aca="false">IF(OR($A1016="",$B1016="",$L1016="",$M1016="",$J1016="취소"),"",IF(SUMPRODUCT(($A$3:$A$2002=$A1016)*($B$3:$B$2002=$B1016)*($J$3:$J$2002&lt;&gt;"취소")*($L$3:$L$2002&lt;&gt;"")*($M$3:$M$2002&lt;&gt;"")*($L$3:$L$2002&lt;$M1016)*($M$3:$M$2002&gt;$L1016))&gt;1,"중복","-"))</f>
        <v/>
      </c>
    </row>
    <row r="1017" customFormat="false" ht="15" hidden="false" customHeight="true" outlineLevel="0" collapsed="false">
      <c r="A1017" s="11"/>
      <c r="B1017" s="7"/>
      <c r="C1017" s="12" t="str">
        <f aca="false">IF($B1017="","",IFERROR(INDEX(자원목록!$B$3:$B$102,MATCH($B1017,자원목록!$A$3:$A$102,0)),"미등록자원"))</f>
        <v/>
      </c>
      <c r="D1017" s="7"/>
      <c r="E1017" s="12" t="str">
        <f aca="false">IF($D1017="","",IFERROR(INDEX(고객목록!$B$3:$B$502,MATCH($D1017,고객목록!$A$3:$A$502,0)),""))</f>
        <v/>
      </c>
      <c r="F1017" s="13"/>
      <c r="G1017" s="13"/>
      <c r="H1017" s="14" t="str">
        <f aca="false">IF(OR($L1017="",$M1017=""),"",ROUND(($M1017-$L1017)/60,2))</f>
        <v/>
      </c>
      <c r="I1017" s="9"/>
      <c r="J1017" s="7"/>
      <c r="K1017" s="7"/>
      <c r="L1017" s="15" t="str">
        <f aca="false">IF($F1017="","",IF($F1017&lt;1,ROUND($F1017*1440,0),INT($F1017/100)*60+MOD($F1017,100)))</f>
        <v/>
      </c>
      <c r="M1017" s="15" t="str">
        <f aca="false">IF($G1017="","",IF($G1017&lt;1,ROUND($G1017*1440,0),INT($G1017/100)*60+MOD($G1017,100)))</f>
        <v/>
      </c>
      <c r="N1017" s="15" t="str">
        <f aca="false">IF(OR($A1017="",$B1017="",$L1017="",$M1017="",$J1017="취소"),"",IF(SUMPRODUCT(($A$3:$A$2002=$A1017)*($B$3:$B$2002=$B1017)*($J$3:$J$2002&lt;&gt;"취소")*($L$3:$L$2002&lt;&gt;"")*($M$3:$M$2002&lt;&gt;"")*($L$3:$L$2002&lt;$M1017)*($M$3:$M$2002&gt;$L1017))&gt;1,"중복","-"))</f>
        <v/>
      </c>
    </row>
    <row r="1018" customFormat="false" ht="15" hidden="false" customHeight="true" outlineLevel="0" collapsed="false">
      <c r="A1018" s="11"/>
      <c r="B1018" s="7"/>
      <c r="C1018" s="12" t="str">
        <f aca="false">IF($B1018="","",IFERROR(INDEX(자원목록!$B$3:$B$102,MATCH($B1018,자원목록!$A$3:$A$102,0)),"미등록자원"))</f>
        <v/>
      </c>
      <c r="D1018" s="7"/>
      <c r="E1018" s="12" t="str">
        <f aca="false">IF($D1018="","",IFERROR(INDEX(고객목록!$B$3:$B$502,MATCH($D1018,고객목록!$A$3:$A$502,0)),""))</f>
        <v/>
      </c>
      <c r="F1018" s="13"/>
      <c r="G1018" s="13"/>
      <c r="H1018" s="14" t="str">
        <f aca="false">IF(OR($L1018="",$M1018=""),"",ROUND(($M1018-$L1018)/60,2))</f>
        <v/>
      </c>
      <c r="I1018" s="9"/>
      <c r="J1018" s="7"/>
      <c r="K1018" s="7"/>
      <c r="L1018" s="15" t="str">
        <f aca="false">IF($F1018="","",IF($F1018&lt;1,ROUND($F1018*1440,0),INT($F1018/100)*60+MOD($F1018,100)))</f>
        <v/>
      </c>
      <c r="M1018" s="15" t="str">
        <f aca="false">IF($G1018="","",IF($G1018&lt;1,ROUND($G1018*1440,0),INT($G1018/100)*60+MOD($G1018,100)))</f>
        <v/>
      </c>
      <c r="N1018" s="15" t="str">
        <f aca="false">IF(OR($A1018="",$B1018="",$L1018="",$M1018="",$J1018="취소"),"",IF(SUMPRODUCT(($A$3:$A$2002=$A1018)*($B$3:$B$2002=$B1018)*($J$3:$J$2002&lt;&gt;"취소")*($L$3:$L$2002&lt;&gt;"")*($M$3:$M$2002&lt;&gt;"")*($L$3:$L$2002&lt;$M1018)*($M$3:$M$2002&gt;$L1018))&gt;1,"중복","-"))</f>
        <v/>
      </c>
    </row>
    <row r="1019" customFormat="false" ht="15" hidden="false" customHeight="true" outlineLevel="0" collapsed="false">
      <c r="A1019" s="11"/>
      <c r="B1019" s="7"/>
      <c r="C1019" s="12" t="str">
        <f aca="false">IF($B1019="","",IFERROR(INDEX(자원목록!$B$3:$B$102,MATCH($B1019,자원목록!$A$3:$A$102,0)),"미등록자원"))</f>
        <v/>
      </c>
      <c r="D1019" s="7"/>
      <c r="E1019" s="12" t="str">
        <f aca="false">IF($D1019="","",IFERROR(INDEX(고객목록!$B$3:$B$502,MATCH($D1019,고객목록!$A$3:$A$502,0)),""))</f>
        <v/>
      </c>
      <c r="F1019" s="13"/>
      <c r="G1019" s="13"/>
      <c r="H1019" s="14" t="str">
        <f aca="false">IF(OR($L1019="",$M1019=""),"",ROUND(($M1019-$L1019)/60,2))</f>
        <v/>
      </c>
      <c r="I1019" s="9"/>
      <c r="J1019" s="7"/>
      <c r="K1019" s="7"/>
      <c r="L1019" s="15" t="str">
        <f aca="false">IF($F1019="","",IF($F1019&lt;1,ROUND($F1019*1440,0),INT($F1019/100)*60+MOD($F1019,100)))</f>
        <v/>
      </c>
      <c r="M1019" s="15" t="str">
        <f aca="false">IF($G1019="","",IF($G1019&lt;1,ROUND($G1019*1440,0),INT($G1019/100)*60+MOD($G1019,100)))</f>
        <v/>
      </c>
      <c r="N1019" s="15" t="str">
        <f aca="false">IF(OR($A1019="",$B1019="",$L1019="",$M1019="",$J1019="취소"),"",IF(SUMPRODUCT(($A$3:$A$2002=$A1019)*($B$3:$B$2002=$B1019)*($J$3:$J$2002&lt;&gt;"취소")*($L$3:$L$2002&lt;&gt;"")*($M$3:$M$2002&lt;&gt;"")*($L$3:$L$2002&lt;$M1019)*($M$3:$M$2002&gt;$L1019))&gt;1,"중복","-"))</f>
        <v/>
      </c>
    </row>
    <row r="1020" customFormat="false" ht="15" hidden="false" customHeight="true" outlineLevel="0" collapsed="false">
      <c r="A1020" s="11"/>
      <c r="B1020" s="7"/>
      <c r="C1020" s="12" t="str">
        <f aca="false">IF($B1020="","",IFERROR(INDEX(자원목록!$B$3:$B$102,MATCH($B1020,자원목록!$A$3:$A$102,0)),"미등록자원"))</f>
        <v/>
      </c>
      <c r="D1020" s="7"/>
      <c r="E1020" s="12" t="str">
        <f aca="false">IF($D1020="","",IFERROR(INDEX(고객목록!$B$3:$B$502,MATCH($D1020,고객목록!$A$3:$A$502,0)),""))</f>
        <v/>
      </c>
      <c r="F1020" s="13"/>
      <c r="G1020" s="13"/>
      <c r="H1020" s="14" t="str">
        <f aca="false">IF(OR($L1020="",$M1020=""),"",ROUND(($M1020-$L1020)/60,2))</f>
        <v/>
      </c>
      <c r="I1020" s="9"/>
      <c r="J1020" s="7"/>
      <c r="K1020" s="7"/>
      <c r="L1020" s="15" t="str">
        <f aca="false">IF($F1020="","",IF($F1020&lt;1,ROUND($F1020*1440,0),INT($F1020/100)*60+MOD($F1020,100)))</f>
        <v/>
      </c>
      <c r="M1020" s="15" t="str">
        <f aca="false">IF($G1020="","",IF($G1020&lt;1,ROUND($G1020*1440,0),INT($G1020/100)*60+MOD($G1020,100)))</f>
        <v/>
      </c>
      <c r="N1020" s="15" t="str">
        <f aca="false">IF(OR($A1020="",$B1020="",$L1020="",$M1020="",$J1020="취소"),"",IF(SUMPRODUCT(($A$3:$A$2002=$A1020)*($B$3:$B$2002=$B1020)*($J$3:$J$2002&lt;&gt;"취소")*($L$3:$L$2002&lt;&gt;"")*($M$3:$M$2002&lt;&gt;"")*($L$3:$L$2002&lt;$M1020)*($M$3:$M$2002&gt;$L1020))&gt;1,"중복","-"))</f>
        <v/>
      </c>
    </row>
    <row r="1021" customFormat="false" ht="15" hidden="false" customHeight="true" outlineLevel="0" collapsed="false">
      <c r="A1021" s="11"/>
      <c r="B1021" s="7"/>
      <c r="C1021" s="12" t="str">
        <f aca="false">IF($B1021="","",IFERROR(INDEX(자원목록!$B$3:$B$102,MATCH($B1021,자원목록!$A$3:$A$102,0)),"미등록자원"))</f>
        <v/>
      </c>
      <c r="D1021" s="7"/>
      <c r="E1021" s="12" t="str">
        <f aca="false">IF($D1021="","",IFERROR(INDEX(고객목록!$B$3:$B$502,MATCH($D1021,고객목록!$A$3:$A$502,0)),""))</f>
        <v/>
      </c>
      <c r="F1021" s="13"/>
      <c r="G1021" s="13"/>
      <c r="H1021" s="14" t="str">
        <f aca="false">IF(OR($L1021="",$M1021=""),"",ROUND(($M1021-$L1021)/60,2))</f>
        <v/>
      </c>
      <c r="I1021" s="9"/>
      <c r="J1021" s="7"/>
      <c r="K1021" s="7"/>
      <c r="L1021" s="15" t="str">
        <f aca="false">IF($F1021="","",IF($F1021&lt;1,ROUND($F1021*1440,0),INT($F1021/100)*60+MOD($F1021,100)))</f>
        <v/>
      </c>
      <c r="M1021" s="15" t="str">
        <f aca="false">IF($G1021="","",IF($G1021&lt;1,ROUND($G1021*1440,0),INT($G1021/100)*60+MOD($G1021,100)))</f>
        <v/>
      </c>
      <c r="N1021" s="15" t="str">
        <f aca="false">IF(OR($A1021="",$B1021="",$L1021="",$M1021="",$J1021="취소"),"",IF(SUMPRODUCT(($A$3:$A$2002=$A1021)*($B$3:$B$2002=$B1021)*($J$3:$J$2002&lt;&gt;"취소")*($L$3:$L$2002&lt;&gt;"")*($M$3:$M$2002&lt;&gt;"")*($L$3:$L$2002&lt;$M1021)*($M$3:$M$2002&gt;$L1021))&gt;1,"중복","-"))</f>
        <v/>
      </c>
    </row>
    <row r="1022" customFormat="false" ht="15" hidden="false" customHeight="true" outlineLevel="0" collapsed="false">
      <c r="A1022" s="11"/>
      <c r="B1022" s="7"/>
      <c r="C1022" s="12" t="str">
        <f aca="false">IF($B1022="","",IFERROR(INDEX(자원목록!$B$3:$B$102,MATCH($B1022,자원목록!$A$3:$A$102,0)),"미등록자원"))</f>
        <v/>
      </c>
      <c r="D1022" s="7"/>
      <c r="E1022" s="12" t="str">
        <f aca="false">IF($D1022="","",IFERROR(INDEX(고객목록!$B$3:$B$502,MATCH($D1022,고객목록!$A$3:$A$502,0)),""))</f>
        <v/>
      </c>
      <c r="F1022" s="13"/>
      <c r="G1022" s="13"/>
      <c r="H1022" s="14" t="str">
        <f aca="false">IF(OR($L1022="",$M1022=""),"",ROUND(($M1022-$L1022)/60,2))</f>
        <v/>
      </c>
      <c r="I1022" s="9"/>
      <c r="J1022" s="7"/>
      <c r="K1022" s="7"/>
      <c r="L1022" s="15" t="str">
        <f aca="false">IF($F1022="","",IF($F1022&lt;1,ROUND($F1022*1440,0),INT($F1022/100)*60+MOD($F1022,100)))</f>
        <v/>
      </c>
      <c r="M1022" s="15" t="str">
        <f aca="false">IF($G1022="","",IF($G1022&lt;1,ROUND($G1022*1440,0),INT($G1022/100)*60+MOD($G1022,100)))</f>
        <v/>
      </c>
      <c r="N1022" s="15" t="str">
        <f aca="false">IF(OR($A1022="",$B1022="",$L1022="",$M1022="",$J1022="취소"),"",IF(SUMPRODUCT(($A$3:$A$2002=$A1022)*($B$3:$B$2002=$B1022)*($J$3:$J$2002&lt;&gt;"취소")*($L$3:$L$2002&lt;&gt;"")*($M$3:$M$2002&lt;&gt;"")*($L$3:$L$2002&lt;$M1022)*($M$3:$M$2002&gt;$L1022))&gt;1,"중복","-"))</f>
        <v/>
      </c>
    </row>
    <row r="1023" customFormat="false" ht="15" hidden="false" customHeight="true" outlineLevel="0" collapsed="false">
      <c r="A1023" s="11"/>
      <c r="B1023" s="7"/>
      <c r="C1023" s="12" t="str">
        <f aca="false">IF($B1023="","",IFERROR(INDEX(자원목록!$B$3:$B$102,MATCH($B1023,자원목록!$A$3:$A$102,0)),"미등록자원"))</f>
        <v/>
      </c>
      <c r="D1023" s="7"/>
      <c r="E1023" s="12" t="str">
        <f aca="false">IF($D1023="","",IFERROR(INDEX(고객목록!$B$3:$B$502,MATCH($D1023,고객목록!$A$3:$A$502,0)),""))</f>
        <v/>
      </c>
      <c r="F1023" s="13"/>
      <c r="G1023" s="13"/>
      <c r="H1023" s="14" t="str">
        <f aca="false">IF(OR($L1023="",$M1023=""),"",ROUND(($M1023-$L1023)/60,2))</f>
        <v/>
      </c>
      <c r="I1023" s="9"/>
      <c r="J1023" s="7"/>
      <c r="K1023" s="7"/>
      <c r="L1023" s="15" t="str">
        <f aca="false">IF($F1023="","",IF($F1023&lt;1,ROUND($F1023*1440,0),INT($F1023/100)*60+MOD($F1023,100)))</f>
        <v/>
      </c>
      <c r="M1023" s="15" t="str">
        <f aca="false">IF($G1023="","",IF($G1023&lt;1,ROUND($G1023*1440,0),INT($G1023/100)*60+MOD($G1023,100)))</f>
        <v/>
      </c>
      <c r="N1023" s="15" t="str">
        <f aca="false">IF(OR($A1023="",$B1023="",$L1023="",$M1023="",$J1023="취소"),"",IF(SUMPRODUCT(($A$3:$A$2002=$A1023)*($B$3:$B$2002=$B1023)*($J$3:$J$2002&lt;&gt;"취소")*($L$3:$L$2002&lt;&gt;"")*($M$3:$M$2002&lt;&gt;"")*($L$3:$L$2002&lt;$M1023)*($M$3:$M$2002&gt;$L1023))&gt;1,"중복","-"))</f>
        <v/>
      </c>
    </row>
    <row r="1024" customFormat="false" ht="15" hidden="false" customHeight="true" outlineLevel="0" collapsed="false">
      <c r="A1024" s="11"/>
      <c r="B1024" s="7"/>
      <c r="C1024" s="12" t="str">
        <f aca="false">IF($B1024="","",IFERROR(INDEX(자원목록!$B$3:$B$102,MATCH($B1024,자원목록!$A$3:$A$102,0)),"미등록자원"))</f>
        <v/>
      </c>
      <c r="D1024" s="7"/>
      <c r="E1024" s="12" t="str">
        <f aca="false">IF($D1024="","",IFERROR(INDEX(고객목록!$B$3:$B$502,MATCH($D1024,고객목록!$A$3:$A$502,0)),""))</f>
        <v/>
      </c>
      <c r="F1024" s="13"/>
      <c r="G1024" s="13"/>
      <c r="H1024" s="14" t="str">
        <f aca="false">IF(OR($L1024="",$M1024=""),"",ROUND(($M1024-$L1024)/60,2))</f>
        <v/>
      </c>
      <c r="I1024" s="9"/>
      <c r="J1024" s="7"/>
      <c r="K1024" s="7"/>
      <c r="L1024" s="15" t="str">
        <f aca="false">IF($F1024="","",IF($F1024&lt;1,ROUND($F1024*1440,0),INT($F1024/100)*60+MOD($F1024,100)))</f>
        <v/>
      </c>
      <c r="M1024" s="15" t="str">
        <f aca="false">IF($G1024="","",IF($G1024&lt;1,ROUND($G1024*1440,0),INT($G1024/100)*60+MOD($G1024,100)))</f>
        <v/>
      </c>
      <c r="N1024" s="15" t="str">
        <f aca="false">IF(OR($A1024="",$B1024="",$L1024="",$M1024="",$J1024="취소"),"",IF(SUMPRODUCT(($A$3:$A$2002=$A1024)*($B$3:$B$2002=$B1024)*($J$3:$J$2002&lt;&gt;"취소")*($L$3:$L$2002&lt;&gt;"")*($M$3:$M$2002&lt;&gt;"")*($L$3:$L$2002&lt;$M1024)*($M$3:$M$2002&gt;$L1024))&gt;1,"중복","-"))</f>
        <v/>
      </c>
    </row>
    <row r="1025" customFormat="false" ht="15" hidden="false" customHeight="true" outlineLevel="0" collapsed="false">
      <c r="A1025" s="11"/>
      <c r="B1025" s="7"/>
      <c r="C1025" s="12" t="str">
        <f aca="false">IF($B1025="","",IFERROR(INDEX(자원목록!$B$3:$B$102,MATCH($B1025,자원목록!$A$3:$A$102,0)),"미등록자원"))</f>
        <v/>
      </c>
      <c r="D1025" s="7"/>
      <c r="E1025" s="12" t="str">
        <f aca="false">IF($D1025="","",IFERROR(INDEX(고객목록!$B$3:$B$502,MATCH($D1025,고객목록!$A$3:$A$502,0)),""))</f>
        <v/>
      </c>
      <c r="F1025" s="13"/>
      <c r="G1025" s="13"/>
      <c r="H1025" s="14" t="str">
        <f aca="false">IF(OR($L1025="",$M1025=""),"",ROUND(($M1025-$L1025)/60,2))</f>
        <v/>
      </c>
      <c r="I1025" s="9"/>
      <c r="J1025" s="7"/>
      <c r="K1025" s="7"/>
      <c r="L1025" s="15" t="str">
        <f aca="false">IF($F1025="","",IF($F1025&lt;1,ROUND($F1025*1440,0),INT($F1025/100)*60+MOD($F1025,100)))</f>
        <v/>
      </c>
      <c r="M1025" s="15" t="str">
        <f aca="false">IF($G1025="","",IF($G1025&lt;1,ROUND($G1025*1440,0),INT($G1025/100)*60+MOD($G1025,100)))</f>
        <v/>
      </c>
      <c r="N1025" s="15" t="str">
        <f aca="false">IF(OR($A1025="",$B1025="",$L1025="",$M1025="",$J1025="취소"),"",IF(SUMPRODUCT(($A$3:$A$2002=$A1025)*($B$3:$B$2002=$B1025)*($J$3:$J$2002&lt;&gt;"취소")*($L$3:$L$2002&lt;&gt;"")*($M$3:$M$2002&lt;&gt;"")*($L$3:$L$2002&lt;$M1025)*($M$3:$M$2002&gt;$L1025))&gt;1,"중복","-"))</f>
        <v/>
      </c>
    </row>
    <row r="1026" customFormat="false" ht="15" hidden="false" customHeight="true" outlineLevel="0" collapsed="false">
      <c r="A1026" s="11"/>
      <c r="B1026" s="7"/>
      <c r="C1026" s="12" t="str">
        <f aca="false">IF($B1026="","",IFERROR(INDEX(자원목록!$B$3:$B$102,MATCH($B1026,자원목록!$A$3:$A$102,0)),"미등록자원"))</f>
        <v/>
      </c>
      <c r="D1026" s="7"/>
      <c r="E1026" s="12" t="str">
        <f aca="false">IF($D1026="","",IFERROR(INDEX(고객목록!$B$3:$B$502,MATCH($D1026,고객목록!$A$3:$A$502,0)),""))</f>
        <v/>
      </c>
      <c r="F1026" s="13"/>
      <c r="G1026" s="13"/>
      <c r="H1026" s="14" t="str">
        <f aca="false">IF(OR($L1026="",$M1026=""),"",ROUND(($M1026-$L1026)/60,2))</f>
        <v/>
      </c>
      <c r="I1026" s="9"/>
      <c r="J1026" s="7"/>
      <c r="K1026" s="7"/>
      <c r="L1026" s="15" t="str">
        <f aca="false">IF($F1026="","",IF($F1026&lt;1,ROUND($F1026*1440,0),INT($F1026/100)*60+MOD($F1026,100)))</f>
        <v/>
      </c>
      <c r="M1026" s="15" t="str">
        <f aca="false">IF($G1026="","",IF($G1026&lt;1,ROUND($G1026*1440,0),INT($G1026/100)*60+MOD($G1026,100)))</f>
        <v/>
      </c>
      <c r="N1026" s="15" t="str">
        <f aca="false">IF(OR($A1026="",$B1026="",$L1026="",$M1026="",$J1026="취소"),"",IF(SUMPRODUCT(($A$3:$A$2002=$A1026)*($B$3:$B$2002=$B1026)*($J$3:$J$2002&lt;&gt;"취소")*($L$3:$L$2002&lt;&gt;"")*($M$3:$M$2002&lt;&gt;"")*($L$3:$L$2002&lt;$M1026)*($M$3:$M$2002&gt;$L1026))&gt;1,"중복","-"))</f>
        <v/>
      </c>
    </row>
    <row r="1027" customFormat="false" ht="15" hidden="false" customHeight="true" outlineLevel="0" collapsed="false">
      <c r="A1027" s="11"/>
      <c r="B1027" s="7"/>
      <c r="C1027" s="12" t="str">
        <f aca="false">IF($B1027="","",IFERROR(INDEX(자원목록!$B$3:$B$102,MATCH($B1027,자원목록!$A$3:$A$102,0)),"미등록자원"))</f>
        <v/>
      </c>
      <c r="D1027" s="7"/>
      <c r="E1027" s="12" t="str">
        <f aca="false">IF($D1027="","",IFERROR(INDEX(고객목록!$B$3:$B$502,MATCH($D1027,고객목록!$A$3:$A$502,0)),""))</f>
        <v/>
      </c>
      <c r="F1027" s="13"/>
      <c r="G1027" s="13"/>
      <c r="H1027" s="14" t="str">
        <f aca="false">IF(OR($L1027="",$M1027=""),"",ROUND(($M1027-$L1027)/60,2))</f>
        <v/>
      </c>
      <c r="I1027" s="9"/>
      <c r="J1027" s="7"/>
      <c r="K1027" s="7"/>
      <c r="L1027" s="15" t="str">
        <f aca="false">IF($F1027="","",IF($F1027&lt;1,ROUND($F1027*1440,0),INT($F1027/100)*60+MOD($F1027,100)))</f>
        <v/>
      </c>
      <c r="M1027" s="15" t="str">
        <f aca="false">IF($G1027="","",IF($G1027&lt;1,ROUND($G1027*1440,0),INT($G1027/100)*60+MOD($G1027,100)))</f>
        <v/>
      </c>
      <c r="N1027" s="15" t="str">
        <f aca="false">IF(OR($A1027="",$B1027="",$L1027="",$M1027="",$J1027="취소"),"",IF(SUMPRODUCT(($A$3:$A$2002=$A1027)*($B$3:$B$2002=$B1027)*($J$3:$J$2002&lt;&gt;"취소")*($L$3:$L$2002&lt;&gt;"")*($M$3:$M$2002&lt;&gt;"")*($L$3:$L$2002&lt;$M1027)*($M$3:$M$2002&gt;$L1027))&gt;1,"중복","-"))</f>
        <v/>
      </c>
    </row>
    <row r="1028" customFormat="false" ht="15" hidden="false" customHeight="true" outlineLevel="0" collapsed="false">
      <c r="A1028" s="11"/>
      <c r="B1028" s="7"/>
      <c r="C1028" s="12" t="str">
        <f aca="false">IF($B1028="","",IFERROR(INDEX(자원목록!$B$3:$B$102,MATCH($B1028,자원목록!$A$3:$A$102,0)),"미등록자원"))</f>
        <v/>
      </c>
      <c r="D1028" s="7"/>
      <c r="E1028" s="12" t="str">
        <f aca="false">IF($D1028="","",IFERROR(INDEX(고객목록!$B$3:$B$502,MATCH($D1028,고객목록!$A$3:$A$502,0)),""))</f>
        <v/>
      </c>
      <c r="F1028" s="13"/>
      <c r="G1028" s="13"/>
      <c r="H1028" s="14" t="str">
        <f aca="false">IF(OR($L1028="",$M1028=""),"",ROUND(($M1028-$L1028)/60,2))</f>
        <v/>
      </c>
      <c r="I1028" s="9"/>
      <c r="J1028" s="7"/>
      <c r="K1028" s="7"/>
      <c r="L1028" s="15" t="str">
        <f aca="false">IF($F1028="","",IF($F1028&lt;1,ROUND($F1028*1440,0),INT($F1028/100)*60+MOD($F1028,100)))</f>
        <v/>
      </c>
      <c r="M1028" s="15" t="str">
        <f aca="false">IF($G1028="","",IF($G1028&lt;1,ROUND($G1028*1440,0),INT($G1028/100)*60+MOD($G1028,100)))</f>
        <v/>
      </c>
      <c r="N1028" s="15" t="str">
        <f aca="false">IF(OR($A1028="",$B1028="",$L1028="",$M1028="",$J1028="취소"),"",IF(SUMPRODUCT(($A$3:$A$2002=$A1028)*($B$3:$B$2002=$B1028)*($J$3:$J$2002&lt;&gt;"취소")*($L$3:$L$2002&lt;&gt;"")*($M$3:$M$2002&lt;&gt;"")*($L$3:$L$2002&lt;$M1028)*($M$3:$M$2002&gt;$L1028))&gt;1,"중복","-"))</f>
        <v/>
      </c>
    </row>
    <row r="1029" customFormat="false" ht="15" hidden="false" customHeight="true" outlineLevel="0" collapsed="false">
      <c r="A1029" s="11"/>
      <c r="B1029" s="7"/>
      <c r="C1029" s="12" t="str">
        <f aca="false">IF($B1029="","",IFERROR(INDEX(자원목록!$B$3:$B$102,MATCH($B1029,자원목록!$A$3:$A$102,0)),"미등록자원"))</f>
        <v/>
      </c>
      <c r="D1029" s="7"/>
      <c r="E1029" s="12" t="str">
        <f aca="false">IF($D1029="","",IFERROR(INDEX(고객목록!$B$3:$B$502,MATCH($D1029,고객목록!$A$3:$A$502,0)),""))</f>
        <v/>
      </c>
      <c r="F1029" s="13"/>
      <c r="G1029" s="13"/>
      <c r="H1029" s="14" t="str">
        <f aca="false">IF(OR($L1029="",$M1029=""),"",ROUND(($M1029-$L1029)/60,2))</f>
        <v/>
      </c>
      <c r="I1029" s="9"/>
      <c r="J1029" s="7"/>
      <c r="K1029" s="7"/>
      <c r="L1029" s="15" t="str">
        <f aca="false">IF($F1029="","",IF($F1029&lt;1,ROUND($F1029*1440,0),INT($F1029/100)*60+MOD($F1029,100)))</f>
        <v/>
      </c>
      <c r="M1029" s="15" t="str">
        <f aca="false">IF($G1029="","",IF($G1029&lt;1,ROUND($G1029*1440,0),INT($G1029/100)*60+MOD($G1029,100)))</f>
        <v/>
      </c>
      <c r="N1029" s="15" t="str">
        <f aca="false">IF(OR($A1029="",$B1029="",$L1029="",$M1029="",$J1029="취소"),"",IF(SUMPRODUCT(($A$3:$A$2002=$A1029)*($B$3:$B$2002=$B1029)*($J$3:$J$2002&lt;&gt;"취소")*($L$3:$L$2002&lt;&gt;"")*($M$3:$M$2002&lt;&gt;"")*($L$3:$L$2002&lt;$M1029)*($M$3:$M$2002&gt;$L1029))&gt;1,"중복","-"))</f>
        <v/>
      </c>
    </row>
    <row r="1030" customFormat="false" ht="15" hidden="false" customHeight="true" outlineLevel="0" collapsed="false">
      <c r="A1030" s="11"/>
      <c r="B1030" s="7"/>
      <c r="C1030" s="12" t="str">
        <f aca="false">IF($B1030="","",IFERROR(INDEX(자원목록!$B$3:$B$102,MATCH($B1030,자원목록!$A$3:$A$102,0)),"미등록자원"))</f>
        <v/>
      </c>
      <c r="D1030" s="7"/>
      <c r="E1030" s="12" t="str">
        <f aca="false">IF($D1030="","",IFERROR(INDEX(고객목록!$B$3:$B$502,MATCH($D1030,고객목록!$A$3:$A$502,0)),""))</f>
        <v/>
      </c>
      <c r="F1030" s="13"/>
      <c r="G1030" s="13"/>
      <c r="H1030" s="14" t="str">
        <f aca="false">IF(OR($L1030="",$M1030=""),"",ROUND(($M1030-$L1030)/60,2))</f>
        <v/>
      </c>
      <c r="I1030" s="9"/>
      <c r="J1030" s="7"/>
      <c r="K1030" s="7"/>
      <c r="L1030" s="15" t="str">
        <f aca="false">IF($F1030="","",IF($F1030&lt;1,ROUND($F1030*1440,0),INT($F1030/100)*60+MOD($F1030,100)))</f>
        <v/>
      </c>
      <c r="M1030" s="15" t="str">
        <f aca="false">IF($G1030="","",IF($G1030&lt;1,ROUND($G1030*1440,0),INT($G1030/100)*60+MOD($G1030,100)))</f>
        <v/>
      </c>
      <c r="N1030" s="15" t="str">
        <f aca="false">IF(OR($A1030="",$B1030="",$L1030="",$M1030="",$J1030="취소"),"",IF(SUMPRODUCT(($A$3:$A$2002=$A1030)*($B$3:$B$2002=$B1030)*($J$3:$J$2002&lt;&gt;"취소")*($L$3:$L$2002&lt;&gt;"")*($M$3:$M$2002&lt;&gt;"")*($L$3:$L$2002&lt;$M1030)*($M$3:$M$2002&gt;$L1030))&gt;1,"중복","-"))</f>
        <v/>
      </c>
    </row>
    <row r="1031" customFormat="false" ht="15" hidden="false" customHeight="true" outlineLevel="0" collapsed="false">
      <c r="A1031" s="11"/>
      <c r="B1031" s="7"/>
      <c r="C1031" s="12" t="str">
        <f aca="false">IF($B1031="","",IFERROR(INDEX(자원목록!$B$3:$B$102,MATCH($B1031,자원목록!$A$3:$A$102,0)),"미등록자원"))</f>
        <v/>
      </c>
      <c r="D1031" s="7"/>
      <c r="E1031" s="12" t="str">
        <f aca="false">IF($D1031="","",IFERROR(INDEX(고객목록!$B$3:$B$502,MATCH($D1031,고객목록!$A$3:$A$502,0)),""))</f>
        <v/>
      </c>
      <c r="F1031" s="13"/>
      <c r="G1031" s="13"/>
      <c r="H1031" s="14" t="str">
        <f aca="false">IF(OR($L1031="",$M1031=""),"",ROUND(($M1031-$L1031)/60,2))</f>
        <v/>
      </c>
      <c r="I1031" s="9"/>
      <c r="J1031" s="7"/>
      <c r="K1031" s="7"/>
      <c r="L1031" s="15" t="str">
        <f aca="false">IF($F1031="","",IF($F1031&lt;1,ROUND($F1031*1440,0),INT($F1031/100)*60+MOD($F1031,100)))</f>
        <v/>
      </c>
      <c r="M1031" s="15" t="str">
        <f aca="false">IF($G1031="","",IF($G1031&lt;1,ROUND($G1031*1440,0),INT($G1031/100)*60+MOD($G1031,100)))</f>
        <v/>
      </c>
      <c r="N1031" s="15" t="str">
        <f aca="false">IF(OR($A1031="",$B1031="",$L1031="",$M1031="",$J1031="취소"),"",IF(SUMPRODUCT(($A$3:$A$2002=$A1031)*($B$3:$B$2002=$B1031)*($J$3:$J$2002&lt;&gt;"취소")*($L$3:$L$2002&lt;&gt;"")*($M$3:$M$2002&lt;&gt;"")*($L$3:$L$2002&lt;$M1031)*($M$3:$M$2002&gt;$L1031))&gt;1,"중복","-"))</f>
        <v/>
      </c>
    </row>
    <row r="1032" customFormat="false" ht="15" hidden="false" customHeight="true" outlineLevel="0" collapsed="false">
      <c r="A1032" s="11"/>
      <c r="B1032" s="7"/>
      <c r="C1032" s="12" t="str">
        <f aca="false">IF($B1032="","",IFERROR(INDEX(자원목록!$B$3:$B$102,MATCH($B1032,자원목록!$A$3:$A$102,0)),"미등록자원"))</f>
        <v/>
      </c>
      <c r="D1032" s="7"/>
      <c r="E1032" s="12" t="str">
        <f aca="false">IF($D1032="","",IFERROR(INDEX(고객목록!$B$3:$B$502,MATCH($D1032,고객목록!$A$3:$A$502,0)),""))</f>
        <v/>
      </c>
      <c r="F1032" s="13"/>
      <c r="G1032" s="13"/>
      <c r="H1032" s="14" t="str">
        <f aca="false">IF(OR($L1032="",$M1032=""),"",ROUND(($M1032-$L1032)/60,2))</f>
        <v/>
      </c>
      <c r="I1032" s="9"/>
      <c r="J1032" s="7"/>
      <c r="K1032" s="7"/>
      <c r="L1032" s="15" t="str">
        <f aca="false">IF($F1032="","",IF($F1032&lt;1,ROUND($F1032*1440,0),INT($F1032/100)*60+MOD($F1032,100)))</f>
        <v/>
      </c>
      <c r="M1032" s="15" t="str">
        <f aca="false">IF($G1032="","",IF($G1032&lt;1,ROUND($G1032*1440,0),INT($G1032/100)*60+MOD($G1032,100)))</f>
        <v/>
      </c>
      <c r="N1032" s="15" t="str">
        <f aca="false">IF(OR($A1032="",$B1032="",$L1032="",$M1032="",$J1032="취소"),"",IF(SUMPRODUCT(($A$3:$A$2002=$A1032)*($B$3:$B$2002=$B1032)*($J$3:$J$2002&lt;&gt;"취소")*($L$3:$L$2002&lt;&gt;"")*($M$3:$M$2002&lt;&gt;"")*($L$3:$L$2002&lt;$M1032)*($M$3:$M$2002&gt;$L1032))&gt;1,"중복","-"))</f>
        <v/>
      </c>
    </row>
    <row r="1033" customFormat="false" ht="15" hidden="false" customHeight="true" outlineLevel="0" collapsed="false">
      <c r="A1033" s="11"/>
      <c r="B1033" s="7"/>
      <c r="C1033" s="12" t="str">
        <f aca="false">IF($B1033="","",IFERROR(INDEX(자원목록!$B$3:$B$102,MATCH($B1033,자원목록!$A$3:$A$102,0)),"미등록자원"))</f>
        <v/>
      </c>
      <c r="D1033" s="7"/>
      <c r="E1033" s="12" t="str">
        <f aca="false">IF($D1033="","",IFERROR(INDEX(고객목록!$B$3:$B$502,MATCH($D1033,고객목록!$A$3:$A$502,0)),""))</f>
        <v/>
      </c>
      <c r="F1033" s="13"/>
      <c r="G1033" s="13"/>
      <c r="H1033" s="14" t="str">
        <f aca="false">IF(OR($L1033="",$M1033=""),"",ROUND(($M1033-$L1033)/60,2))</f>
        <v/>
      </c>
      <c r="I1033" s="9"/>
      <c r="J1033" s="7"/>
      <c r="K1033" s="7"/>
      <c r="L1033" s="15" t="str">
        <f aca="false">IF($F1033="","",IF($F1033&lt;1,ROUND($F1033*1440,0),INT($F1033/100)*60+MOD($F1033,100)))</f>
        <v/>
      </c>
      <c r="M1033" s="15" t="str">
        <f aca="false">IF($G1033="","",IF($G1033&lt;1,ROUND($G1033*1440,0),INT($G1033/100)*60+MOD($G1033,100)))</f>
        <v/>
      </c>
      <c r="N1033" s="15" t="str">
        <f aca="false">IF(OR($A1033="",$B1033="",$L1033="",$M1033="",$J1033="취소"),"",IF(SUMPRODUCT(($A$3:$A$2002=$A1033)*($B$3:$B$2002=$B1033)*($J$3:$J$2002&lt;&gt;"취소")*($L$3:$L$2002&lt;&gt;"")*($M$3:$M$2002&lt;&gt;"")*($L$3:$L$2002&lt;$M1033)*($M$3:$M$2002&gt;$L1033))&gt;1,"중복","-"))</f>
        <v/>
      </c>
    </row>
    <row r="1034" customFormat="false" ht="15" hidden="false" customHeight="true" outlineLevel="0" collapsed="false">
      <c r="A1034" s="11"/>
      <c r="B1034" s="7"/>
      <c r="C1034" s="12" t="str">
        <f aca="false">IF($B1034="","",IFERROR(INDEX(자원목록!$B$3:$B$102,MATCH($B1034,자원목록!$A$3:$A$102,0)),"미등록자원"))</f>
        <v/>
      </c>
      <c r="D1034" s="7"/>
      <c r="E1034" s="12" t="str">
        <f aca="false">IF($D1034="","",IFERROR(INDEX(고객목록!$B$3:$B$502,MATCH($D1034,고객목록!$A$3:$A$502,0)),""))</f>
        <v/>
      </c>
      <c r="F1034" s="13"/>
      <c r="G1034" s="13"/>
      <c r="H1034" s="14" t="str">
        <f aca="false">IF(OR($L1034="",$M1034=""),"",ROUND(($M1034-$L1034)/60,2))</f>
        <v/>
      </c>
      <c r="I1034" s="9"/>
      <c r="J1034" s="7"/>
      <c r="K1034" s="7"/>
      <c r="L1034" s="15" t="str">
        <f aca="false">IF($F1034="","",IF($F1034&lt;1,ROUND($F1034*1440,0),INT($F1034/100)*60+MOD($F1034,100)))</f>
        <v/>
      </c>
      <c r="M1034" s="15" t="str">
        <f aca="false">IF($G1034="","",IF($G1034&lt;1,ROUND($G1034*1440,0),INT($G1034/100)*60+MOD($G1034,100)))</f>
        <v/>
      </c>
      <c r="N1034" s="15" t="str">
        <f aca="false">IF(OR($A1034="",$B1034="",$L1034="",$M1034="",$J1034="취소"),"",IF(SUMPRODUCT(($A$3:$A$2002=$A1034)*($B$3:$B$2002=$B1034)*($J$3:$J$2002&lt;&gt;"취소")*($L$3:$L$2002&lt;&gt;"")*($M$3:$M$2002&lt;&gt;"")*($L$3:$L$2002&lt;$M1034)*($M$3:$M$2002&gt;$L1034))&gt;1,"중복","-"))</f>
        <v/>
      </c>
    </row>
    <row r="1035" customFormat="false" ht="15" hidden="false" customHeight="true" outlineLevel="0" collapsed="false">
      <c r="A1035" s="11"/>
      <c r="B1035" s="7"/>
      <c r="C1035" s="12" t="str">
        <f aca="false">IF($B1035="","",IFERROR(INDEX(자원목록!$B$3:$B$102,MATCH($B1035,자원목록!$A$3:$A$102,0)),"미등록자원"))</f>
        <v/>
      </c>
      <c r="D1035" s="7"/>
      <c r="E1035" s="12" t="str">
        <f aca="false">IF($D1035="","",IFERROR(INDEX(고객목록!$B$3:$B$502,MATCH($D1035,고객목록!$A$3:$A$502,0)),""))</f>
        <v/>
      </c>
      <c r="F1035" s="13"/>
      <c r="G1035" s="13"/>
      <c r="H1035" s="14" t="str">
        <f aca="false">IF(OR($L1035="",$M1035=""),"",ROUND(($M1035-$L1035)/60,2))</f>
        <v/>
      </c>
      <c r="I1035" s="9"/>
      <c r="J1035" s="7"/>
      <c r="K1035" s="7"/>
      <c r="L1035" s="15" t="str">
        <f aca="false">IF($F1035="","",IF($F1035&lt;1,ROUND($F1035*1440,0),INT($F1035/100)*60+MOD($F1035,100)))</f>
        <v/>
      </c>
      <c r="M1035" s="15" t="str">
        <f aca="false">IF($G1035="","",IF($G1035&lt;1,ROUND($G1035*1440,0),INT($G1035/100)*60+MOD($G1035,100)))</f>
        <v/>
      </c>
      <c r="N1035" s="15" t="str">
        <f aca="false">IF(OR($A1035="",$B1035="",$L1035="",$M1035="",$J1035="취소"),"",IF(SUMPRODUCT(($A$3:$A$2002=$A1035)*($B$3:$B$2002=$B1035)*($J$3:$J$2002&lt;&gt;"취소")*($L$3:$L$2002&lt;&gt;"")*($M$3:$M$2002&lt;&gt;"")*($L$3:$L$2002&lt;$M1035)*($M$3:$M$2002&gt;$L1035))&gt;1,"중복","-"))</f>
        <v/>
      </c>
    </row>
    <row r="1036" customFormat="false" ht="15" hidden="false" customHeight="true" outlineLevel="0" collapsed="false">
      <c r="A1036" s="11"/>
      <c r="B1036" s="7"/>
      <c r="C1036" s="12" t="str">
        <f aca="false">IF($B1036="","",IFERROR(INDEX(자원목록!$B$3:$B$102,MATCH($B1036,자원목록!$A$3:$A$102,0)),"미등록자원"))</f>
        <v/>
      </c>
      <c r="D1036" s="7"/>
      <c r="E1036" s="12" t="str">
        <f aca="false">IF($D1036="","",IFERROR(INDEX(고객목록!$B$3:$B$502,MATCH($D1036,고객목록!$A$3:$A$502,0)),""))</f>
        <v/>
      </c>
      <c r="F1036" s="13"/>
      <c r="G1036" s="13"/>
      <c r="H1036" s="14" t="str">
        <f aca="false">IF(OR($L1036="",$M1036=""),"",ROUND(($M1036-$L1036)/60,2))</f>
        <v/>
      </c>
      <c r="I1036" s="9"/>
      <c r="J1036" s="7"/>
      <c r="K1036" s="7"/>
      <c r="L1036" s="15" t="str">
        <f aca="false">IF($F1036="","",IF($F1036&lt;1,ROUND($F1036*1440,0),INT($F1036/100)*60+MOD($F1036,100)))</f>
        <v/>
      </c>
      <c r="M1036" s="15" t="str">
        <f aca="false">IF($G1036="","",IF($G1036&lt;1,ROUND($G1036*1440,0),INT($G1036/100)*60+MOD($G1036,100)))</f>
        <v/>
      </c>
      <c r="N1036" s="15" t="str">
        <f aca="false">IF(OR($A1036="",$B1036="",$L1036="",$M1036="",$J1036="취소"),"",IF(SUMPRODUCT(($A$3:$A$2002=$A1036)*($B$3:$B$2002=$B1036)*($J$3:$J$2002&lt;&gt;"취소")*($L$3:$L$2002&lt;&gt;"")*($M$3:$M$2002&lt;&gt;"")*($L$3:$L$2002&lt;$M1036)*($M$3:$M$2002&gt;$L1036))&gt;1,"중복","-"))</f>
        <v/>
      </c>
    </row>
    <row r="1037" customFormat="false" ht="15" hidden="false" customHeight="true" outlineLevel="0" collapsed="false">
      <c r="A1037" s="11"/>
      <c r="B1037" s="7"/>
      <c r="C1037" s="12" t="str">
        <f aca="false">IF($B1037="","",IFERROR(INDEX(자원목록!$B$3:$B$102,MATCH($B1037,자원목록!$A$3:$A$102,0)),"미등록자원"))</f>
        <v/>
      </c>
      <c r="D1037" s="7"/>
      <c r="E1037" s="12" t="str">
        <f aca="false">IF($D1037="","",IFERROR(INDEX(고객목록!$B$3:$B$502,MATCH($D1037,고객목록!$A$3:$A$502,0)),""))</f>
        <v/>
      </c>
      <c r="F1037" s="13"/>
      <c r="G1037" s="13"/>
      <c r="H1037" s="14" t="str">
        <f aca="false">IF(OR($L1037="",$M1037=""),"",ROUND(($M1037-$L1037)/60,2))</f>
        <v/>
      </c>
      <c r="I1037" s="9"/>
      <c r="J1037" s="7"/>
      <c r="K1037" s="7"/>
      <c r="L1037" s="15" t="str">
        <f aca="false">IF($F1037="","",IF($F1037&lt;1,ROUND($F1037*1440,0),INT($F1037/100)*60+MOD($F1037,100)))</f>
        <v/>
      </c>
      <c r="M1037" s="15" t="str">
        <f aca="false">IF($G1037="","",IF($G1037&lt;1,ROUND($G1037*1440,0),INT($G1037/100)*60+MOD($G1037,100)))</f>
        <v/>
      </c>
      <c r="N1037" s="15" t="str">
        <f aca="false">IF(OR($A1037="",$B1037="",$L1037="",$M1037="",$J1037="취소"),"",IF(SUMPRODUCT(($A$3:$A$2002=$A1037)*($B$3:$B$2002=$B1037)*($J$3:$J$2002&lt;&gt;"취소")*($L$3:$L$2002&lt;&gt;"")*($M$3:$M$2002&lt;&gt;"")*($L$3:$L$2002&lt;$M1037)*($M$3:$M$2002&gt;$L1037))&gt;1,"중복","-"))</f>
        <v/>
      </c>
    </row>
    <row r="1038" customFormat="false" ht="15" hidden="false" customHeight="true" outlineLevel="0" collapsed="false">
      <c r="A1038" s="11"/>
      <c r="B1038" s="7"/>
      <c r="C1038" s="12" t="str">
        <f aca="false">IF($B1038="","",IFERROR(INDEX(자원목록!$B$3:$B$102,MATCH($B1038,자원목록!$A$3:$A$102,0)),"미등록자원"))</f>
        <v/>
      </c>
      <c r="D1038" s="7"/>
      <c r="E1038" s="12" t="str">
        <f aca="false">IF($D1038="","",IFERROR(INDEX(고객목록!$B$3:$B$502,MATCH($D1038,고객목록!$A$3:$A$502,0)),""))</f>
        <v/>
      </c>
      <c r="F1038" s="13"/>
      <c r="G1038" s="13"/>
      <c r="H1038" s="14" t="str">
        <f aca="false">IF(OR($L1038="",$M1038=""),"",ROUND(($M1038-$L1038)/60,2))</f>
        <v/>
      </c>
      <c r="I1038" s="9"/>
      <c r="J1038" s="7"/>
      <c r="K1038" s="7"/>
      <c r="L1038" s="15" t="str">
        <f aca="false">IF($F1038="","",IF($F1038&lt;1,ROUND($F1038*1440,0),INT($F1038/100)*60+MOD($F1038,100)))</f>
        <v/>
      </c>
      <c r="M1038" s="15" t="str">
        <f aca="false">IF($G1038="","",IF($G1038&lt;1,ROUND($G1038*1440,0),INT($G1038/100)*60+MOD($G1038,100)))</f>
        <v/>
      </c>
      <c r="N1038" s="15" t="str">
        <f aca="false">IF(OR($A1038="",$B1038="",$L1038="",$M1038="",$J1038="취소"),"",IF(SUMPRODUCT(($A$3:$A$2002=$A1038)*($B$3:$B$2002=$B1038)*($J$3:$J$2002&lt;&gt;"취소")*($L$3:$L$2002&lt;&gt;"")*($M$3:$M$2002&lt;&gt;"")*($L$3:$L$2002&lt;$M1038)*($M$3:$M$2002&gt;$L1038))&gt;1,"중복","-"))</f>
        <v/>
      </c>
    </row>
    <row r="1039" customFormat="false" ht="15" hidden="false" customHeight="true" outlineLevel="0" collapsed="false">
      <c r="A1039" s="11"/>
      <c r="B1039" s="7"/>
      <c r="C1039" s="12" t="str">
        <f aca="false">IF($B1039="","",IFERROR(INDEX(자원목록!$B$3:$B$102,MATCH($B1039,자원목록!$A$3:$A$102,0)),"미등록자원"))</f>
        <v/>
      </c>
      <c r="D1039" s="7"/>
      <c r="E1039" s="12" t="str">
        <f aca="false">IF($D1039="","",IFERROR(INDEX(고객목록!$B$3:$B$502,MATCH($D1039,고객목록!$A$3:$A$502,0)),""))</f>
        <v/>
      </c>
      <c r="F1039" s="13"/>
      <c r="G1039" s="13"/>
      <c r="H1039" s="14" t="str">
        <f aca="false">IF(OR($L1039="",$M1039=""),"",ROUND(($M1039-$L1039)/60,2))</f>
        <v/>
      </c>
      <c r="I1039" s="9"/>
      <c r="J1039" s="7"/>
      <c r="K1039" s="7"/>
      <c r="L1039" s="15" t="str">
        <f aca="false">IF($F1039="","",IF($F1039&lt;1,ROUND($F1039*1440,0),INT($F1039/100)*60+MOD($F1039,100)))</f>
        <v/>
      </c>
      <c r="M1039" s="15" t="str">
        <f aca="false">IF($G1039="","",IF($G1039&lt;1,ROUND($G1039*1440,0),INT($G1039/100)*60+MOD($G1039,100)))</f>
        <v/>
      </c>
      <c r="N1039" s="15" t="str">
        <f aca="false">IF(OR($A1039="",$B1039="",$L1039="",$M1039="",$J1039="취소"),"",IF(SUMPRODUCT(($A$3:$A$2002=$A1039)*($B$3:$B$2002=$B1039)*($J$3:$J$2002&lt;&gt;"취소")*($L$3:$L$2002&lt;&gt;"")*($M$3:$M$2002&lt;&gt;"")*($L$3:$L$2002&lt;$M1039)*($M$3:$M$2002&gt;$L1039))&gt;1,"중복","-"))</f>
        <v/>
      </c>
    </row>
    <row r="1040" customFormat="false" ht="15" hidden="false" customHeight="true" outlineLevel="0" collapsed="false">
      <c r="A1040" s="11"/>
      <c r="B1040" s="7"/>
      <c r="C1040" s="12" t="str">
        <f aca="false">IF($B1040="","",IFERROR(INDEX(자원목록!$B$3:$B$102,MATCH($B1040,자원목록!$A$3:$A$102,0)),"미등록자원"))</f>
        <v/>
      </c>
      <c r="D1040" s="7"/>
      <c r="E1040" s="12" t="str">
        <f aca="false">IF($D1040="","",IFERROR(INDEX(고객목록!$B$3:$B$502,MATCH($D1040,고객목록!$A$3:$A$502,0)),""))</f>
        <v/>
      </c>
      <c r="F1040" s="13"/>
      <c r="G1040" s="13"/>
      <c r="H1040" s="14" t="str">
        <f aca="false">IF(OR($L1040="",$M1040=""),"",ROUND(($M1040-$L1040)/60,2))</f>
        <v/>
      </c>
      <c r="I1040" s="9"/>
      <c r="J1040" s="7"/>
      <c r="K1040" s="7"/>
      <c r="L1040" s="15" t="str">
        <f aca="false">IF($F1040="","",IF($F1040&lt;1,ROUND($F1040*1440,0),INT($F1040/100)*60+MOD($F1040,100)))</f>
        <v/>
      </c>
      <c r="M1040" s="15" t="str">
        <f aca="false">IF($G1040="","",IF($G1040&lt;1,ROUND($G1040*1440,0),INT($G1040/100)*60+MOD($G1040,100)))</f>
        <v/>
      </c>
      <c r="N1040" s="15" t="str">
        <f aca="false">IF(OR($A1040="",$B1040="",$L1040="",$M1040="",$J1040="취소"),"",IF(SUMPRODUCT(($A$3:$A$2002=$A1040)*($B$3:$B$2002=$B1040)*($J$3:$J$2002&lt;&gt;"취소")*($L$3:$L$2002&lt;&gt;"")*($M$3:$M$2002&lt;&gt;"")*($L$3:$L$2002&lt;$M1040)*($M$3:$M$2002&gt;$L1040))&gt;1,"중복","-"))</f>
        <v/>
      </c>
    </row>
    <row r="1041" customFormat="false" ht="15" hidden="false" customHeight="true" outlineLevel="0" collapsed="false">
      <c r="A1041" s="11"/>
      <c r="B1041" s="7"/>
      <c r="C1041" s="12" t="str">
        <f aca="false">IF($B1041="","",IFERROR(INDEX(자원목록!$B$3:$B$102,MATCH($B1041,자원목록!$A$3:$A$102,0)),"미등록자원"))</f>
        <v/>
      </c>
      <c r="D1041" s="7"/>
      <c r="E1041" s="12" t="str">
        <f aca="false">IF($D1041="","",IFERROR(INDEX(고객목록!$B$3:$B$502,MATCH($D1041,고객목록!$A$3:$A$502,0)),""))</f>
        <v/>
      </c>
      <c r="F1041" s="13"/>
      <c r="G1041" s="13"/>
      <c r="H1041" s="14" t="str">
        <f aca="false">IF(OR($L1041="",$M1041=""),"",ROUND(($M1041-$L1041)/60,2))</f>
        <v/>
      </c>
      <c r="I1041" s="9"/>
      <c r="J1041" s="7"/>
      <c r="K1041" s="7"/>
      <c r="L1041" s="15" t="str">
        <f aca="false">IF($F1041="","",IF($F1041&lt;1,ROUND($F1041*1440,0),INT($F1041/100)*60+MOD($F1041,100)))</f>
        <v/>
      </c>
      <c r="M1041" s="15" t="str">
        <f aca="false">IF($G1041="","",IF($G1041&lt;1,ROUND($G1041*1440,0),INT($G1041/100)*60+MOD($G1041,100)))</f>
        <v/>
      </c>
      <c r="N1041" s="15" t="str">
        <f aca="false">IF(OR($A1041="",$B1041="",$L1041="",$M1041="",$J1041="취소"),"",IF(SUMPRODUCT(($A$3:$A$2002=$A1041)*($B$3:$B$2002=$B1041)*($J$3:$J$2002&lt;&gt;"취소")*($L$3:$L$2002&lt;&gt;"")*($M$3:$M$2002&lt;&gt;"")*($L$3:$L$2002&lt;$M1041)*($M$3:$M$2002&gt;$L1041))&gt;1,"중복","-"))</f>
        <v/>
      </c>
    </row>
    <row r="1042" customFormat="false" ht="15" hidden="false" customHeight="true" outlineLevel="0" collapsed="false">
      <c r="A1042" s="11"/>
      <c r="B1042" s="7"/>
      <c r="C1042" s="12" t="str">
        <f aca="false">IF($B1042="","",IFERROR(INDEX(자원목록!$B$3:$B$102,MATCH($B1042,자원목록!$A$3:$A$102,0)),"미등록자원"))</f>
        <v/>
      </c>
      <c r="D1042" s="7"/>
      <c r="E1042" s="12" t="str">
        <f aca="false">IF($D1042="","",IFERROR(INDEX(고객목록!$B$3:$B$502,MATCH($D1042,고객목록!$A$3:$A$502,0)),""))</f>
        <v/>
      </c>
      <c r="F1042" s="13"/>
      <c r="G1042" s="13"/>
      <c r="H1042" s="14" t="str">
        <f aca="false">IF(OR($L1042="",$M1042=""),"",ROUND(($M1042-$L1042)/60,2))</f>
        <v/>
      </c>
      <c r="I1042" s="9"/>
      <c r="J1042" s="7"/>
      <c r="K1042" s="7"/>
      <c r="L1042" s="15" t="str">
        <f aca="false">IF($F1042="","",IF($F1042&lt;1,ROUND($F1042*1440,0),INT($F1042/100)*60+MOD($F1042,100)))</f>
        <v/>
      </c>
      <c r="M1042" s="15" t="str">
        <f aca="false">IF($G1042="","",IF($G1042&lt;1,ROUND($G1042*1440,0),INT($G1042/100)*60+MOD($G1042,100)))</f>
        <v/>
      </c>
      <c r="N1042" s="15" t="str">
        <f aca="false">IF(OR($A1042="",$B1042="",$L1042="",$M1042="",$J1042="취소"),"",IF(SUMPRODUCT(($A$3:$A$2002=$A1042)*($B$3:$B$2002=$B1042)*($J$3:$J$2002&lt;&gt;"취소")*($L$3:$L$2002&lt;&gt;"")*($M$3:$M$2002&lt;&gt;"")*($L$3:$L$2002&lt;$M1042)*($M$3:$M$2002&gt;$L1042))&gt;1,"중복","-"))</f>
        <v/>
      </c>
    </row>
    <row r="1043" customFormat="false" ht="15" hidden="false" customHeight="true" outlineLevel="0" collapsed="false">
      <c r="A1043" s="11"/>
      <c r="B1043" s="7"/>
      <c r="C1043" s="12" t="str">
        <f aca="false">IF($B1043="","",IFERROR(INDEX(자원목록!$B$3:$B$102,MATCH($B1043,자원목록!$A$3:$A$102,0)),"미등록자원"))</f>
        <v/>
      </c>
      <c r="D1043" s="7"/>
      <c r="E1043" s="12" t="str">
        <f aca="false">IF($D1043="","",IFERROR(INDEX(고객목록!$B$3:$B$502,MATCH($D1043,고객목록!$A$3:$A$502,0)),""))</f>
        <v/>
      </c>
      <c r="F1043" s="13"/>
      <c r="G1043" s="13"/>
      <c r="H1043" s="14" t="str">
        <f aca="false">IF(OR($L1043="",$M1043=""),"",ROUND(($M1043-$L1043)/60,2))</f>
        <v/>
      </c>
      <c r="I1043" s="9"/>
      <c r="J1043" s="7"/>
      <c r="K1043" s="7"/>
      <c r="L1043" s="15" t="str">
        <f aca="false">IF($F1043="","",IF($F1043&lt;1,ROUND($F1043*1440,0),INT($F1043/100)*60+MOD($F1043,100)))</f>
        <v/>
      </c>
      <c r="M1043" s="15" t="str">
        <f aca="false">IF($G1043="","",IF($G1043&lt;1,ROUND($G1043*1440,0),INT($G1043/100)*60+MOD($G1043,100)))</f>
        <v/>
      </c>
      <c r="N1043" s="15" t="str">
        <f aca="false">IF(OR($A1043="",$B1043="",$L1043="",$M1043="",$J1043="취소"),"",IF(SUMPRODUCT(($A$3:$A$2002=$A1043)*($B$3:$B$2002=$B1043)*($J$3:$J$2002&lt;&gt;"취소")*($L$3:$L$2002&lt;&gt;"")*($M$3:$M$2002&lt;&gt;"")*($L$3:$L$2002&lt;$M1043)*($M$3:$M$2002&gt;$L1043))&gt;1,"중복","-"))</f>
        <v/>
      </c>
    </row>
    <row r="1044" customFormat="false" ht="15" hidden="false" customHeight="true" outlineLevel="0" collapsed="false">
      <c r="A1044" s="11"/>
      <c r="B1044" s="7"/>
      <c r="C1044" s="12" t="str">
        <f aca="false">IF($B1044="","",IFERROR(INDEX(자원목록!$B$3:$B$102,MATCH($B1044,자원목록!$A$3:$A$102,0)),"미등록자원"))</f>
        <v/>
      </c>
      <c r="D1044" s="7"/>
      <c r="E1044" s="12" t="str">
        <f aca="false">IF($D1044="","",IFERROR(INDEX(고객목록!$B$3:$B$502,MATCH($D1044,고객목록!$A$3:$A$502,0)),""))</f>
        <v/>
      </c>
      <c r="F1044" s="13"/>
      <c r="G1044" s="13"/>
      <c r="H1044" s="14" t="str">
        <f aca="false">IF(OR($L1044="",$M1044=""),"",ROUND(($M1044-$L1044)/60,2))</f>
        <v/>
      </c>
      <c r="I1044" s="9"/>
      <c r="J1044" s="7"/>
      <c r="K1044" s="7"/>
      <c r="L1044" s="15" t="str">
        <f aca="false">IF($F1044="","",IF($F1044&lt;1,ROUND($F1044*1440,0),INT($F1044/100)*60+MOD($F1044,100)))</f>
        <v/>
      </c>
      <c r="M1044" s="15" t="str">
        <f aca="false">IF($G1044="","",IF($G1044&lt;1,ROUND($G1044*1440,0),INT($G1044/100)*60+MOD($G1044,100)))</f>
        <v/>
      </c>
      <c r="N1044" s="15" t="str">
        <f aca="false">IF(OR($A1044="",$B1044="",$L1044="",$M1044="",$J1044="취소"),"",IF(SUMPRODUCT(($A$3:$A$2002=$A1044)*($B$3:$B$2002=$B1044)*($J$3:$J$2002&lt;&gt;"취소")*($L$3:$L$2002&lt;&gt;"")*($M$3:$M$2002&lt;&gt;"")*($L$3:$L$2002&lt;$M1044)*($M$3:$M$2002&gt;$L1044))&gt;1,"중복","-"))</f>
        <v/>
      </c>
    </row>
    <row r="1045" customFormat="false" ht="15" hidden="false" customHeight="true" outlineLevel="0" collapsed="false">
      <c r="A1045" s="11"/>
      <c r="B1045" s="7"/>
      <c r="C1045" s="12" t="str">
        <f aca="false">IF($B1045="","",IFERROR(INDEX(자원목록!$B$3:$B$102,MATCH($B1045,자원목록!$A$3:$A$102,0)),"미등록자원"))</f>
        <v/>
      </c>
      <c r="D1045" s="7"/>
      <c r="E1045" s="12" t="str">
        <f aca="false">IF($D1045="","",IFERROR(INDEX(고객목록!$B$3:$B$502,MATCH($D1045,고객목록!$A$3:$A$502,0)),""))</f>
        <v/>
      </c>
      <c r="F1045" s="13"/>
      <c r="G1045" s="13"/>
      <c r="H1045" s="14" t="str">
        <f aca="false">IF(OR($L1045="",$M1045=""),"",ROUND(($M1045-$L1045)/60,2))</f>
        <v/>
      </c>
      <c r="I1045" s="9"/>
      <c r="J1045" s="7"/>
      <c r="K1045" s="7"/>
      <c r="L1045" s="15" t="str">
        <f aca="false">IF($F1045="","",IF($F1045&lt;1,ROUND($F1045*1440,0),INT($F1045/100)*60+MOD($F1045,100)))</f>
        <v/>
      </c>
      <c r="M1045" s="15" t="str">
        <f aca="false">IF($G1045="","",IF($G1045&lt;1,ROUND($G1045*1440,0),INT($G1045/100)*60+MOD($G1045,100)))</f>
        <v/>
      </c>
      <c r="N1045" s="15" t="str">
        <f aca="false">IF(OR($A1045="",$B1045="",$L1045="",$M1045="",$J1045="취소"),"",IF(SUMPRODUCT(($A$3:$A$2002=$A1045)*($B$3:$B$2002=$B1045)*($J$3:$J$2002&lt;&gt;"취소")*($L$3:$L$2002&lt;&gt;"")*($M$3:$M$2002&lt;&gt;"")*($L$3:$L$2002&lt;$M1045)*($M$3:$M$2002&gt;$L1045))&gt;1,"중복","-"))</f>
        <v/>
      </c>
    </row>
    <row r="1046" customFormat="false" ht="15" hidden="false" customHeight="true" outlineLevel="0" collapsed="false">
      <c r="A1046" s="11"/>
      <c r="B1046" s="7"/>
      <c r="C1046" s="12" t="str">
        <f aca="false">IF($B1046="","",IFERROR(INDEX(자원목록!$B$3:$B$102,MATCH($B1046,자원목록!$A$3:$A$102,0)),"미등록자원"))</f>
        <v/>
      </c>
      <c r="D1046" s="7"/>
      <c r="E1046" s="12" t="str">
        <f aca="false">IF($D1046="","",IFERROR(INDEX(고객목록!$B$3:$B$502,MATCH($D1046,고객목록!$A$3:$A$502,0)),""))</f>
        <v/>
      </c>
      <c r="F1046" s="13"/>
      <c r="G1046" s="13"/>
      <c r="H1046" s="14" t="str">
        <f aca="false">IF(OR($L1046="",$M1046=""),"",ROUND(($M1046-$L1046)/60,2))</f>
        <v/>
      </c>
      <c r="I1046" s="9"/>
      <c r="J1046" s="7"/>
      <c r="K1046" s="7"/>
      <c r="L1046" s="15" t="str">
        <f aca="false">IF($F1046="","",IF($F1046&lt;1,ROUND($F1046*1440,0),INT($F1046/100)*60+MOD($F1046,100)))</f>
        <v/>
      </c>
      <c r="M1046" s="15" t="str">
        <f aca="false">IF($G1046="","",IF($G1046&lt;1,ROUND($G1046*1440,0),INT($G1046/100)*60+MOD($G1046,100)))</f>
        <v/>
      </c>
      <c r="N1046" s="15" t="str">
        <f aca="false">IF(OR($A1046="",$B1046="",$L1046="",$M1046="",$J1046="취소"),"",IF(SUMPRODUCT(($A$3:$A$2002=$A1046)*($B$3:$B$2002=$B1046)*($J$3:$J$2002&lt;&gt;"취소")*($L$3:$L$2002&lt;&gt;"")*($M$3:$M$2002&lt;&gt;"")*($L$3:$L$2002&lt;$M1046)*($M$3:$M$2002&gt;$L1046))&gt;1,"중복","-"))</f>
        <v/>
      </c>
    </row>
    <row r="1047" customFormat="false" ht="15" hidden="false" customHeight="true" outlineLevel="0" collapsed="false">
      <c r="A1047" s="11"/>
      <c r="B1047" s="7"/>
      <c r="C1047" s="12" t="str">
        <f aca="false">IF($B1047="","",IFERROR(INDEX(자원목록!$B$3:$B$102,MATCH($B1047,자원목록!$A$3:$A$102,0)),"미등록자원"))</f>
        <v/>
      </c>
      <c r="D1047" s="7"/>
      <c r="E1047" s="12" t="str">
        <f aca="false">IF($D1047="","",IFERROR(INDEX(고객목록!$B$3:$B$502,MATCH($D1047,고객목록!$A$3:$A$502,0)),""))</f>
        <v/>
      </c>
      <c r="F1047" s="13"/>
      <c r="G1047" s="13"/>
      <c r="H1047" s="14" t="str">
        <f aca="false">IF(OR($L1047="",$M1047=""),"",ROUND(($M1047-$L1047)/60,2))</f>
        <v/>
      </c>
      <c r="I1047" s="9"/>
      <c r="J1047" s="7"/>
      <c r="K1047" s="7"/>
      <c r="L1047" s="15" t="str">
        <f aca="false">IF($F1047="","",IF($F1047&lt;1,ROUND($F1047*1440,0),INT($F1047/100)*60+MOD($F1047,100)))</f>
        <v/>
      </c>
      <c r="M1047" s="15" t="str">
        <f aca="false">IF($G1047="","",IF($G1047&lt;1,ROUND($G1047*1440,0),INT($G1047/100)*60+MOD($G1047,100)))</f>
        <v/>
      </c>
      <c r="N1047" s="15" t="str">
        <f aca="false">IF(OR($A1047="",$B1047="",$L1047="",$M1047="",$J1047="취소"),"",IF(SUMPRODUCT(($A$3:$A$2002=$A1047)*($B$3:$B$2002=$B1047)*($J$3:$J$2002&lt;&gt;"취소")*($L$3:$L$2002&lt;&gt;"")*($M$3:$M$2002&lt;&gt;"")*($L$3:$L$2002&lt;$M1047)*($M$3:$M$2002&gt;$L1047))&gt;1,"중복","-"))</f>
        <v/>
      </c>
    </row>
    <row r="1048" customFormat="false" ht="15" hidden="false" customHeight="true" outlineLevel="0" collapsed="false">
      <c r="A1048" s="11"/>
      <c r="B1048" s="7"/>
      <c r="C1048" s="12" t="str">
        <f aca="false">IF($B1048="","",IFERROR(INDEX(자원목록!$B$3:$B$102,MATCH($B1048,자원목록!$A$3:$A$102,0)),"미등록자원"))</f>
        <v/>
      </c>
      <c r="D1048" s="7"/>
      <c r="E1048" s="12" t="str">
        <f aca="false">IF($D1048="","",IFERROR(INDEX(고객목록!$B$3:$B$502,MATCH($D1048,고객목록!$A$3:$A$502,0)),""))</f>
        <v/>
      </c>
      <c r="F1048" s="13"/>
      <c r="G1048" s="13"/>
      <c r="H1048" s="14" t="str">
        <f aca="false">IF(OR($L1048="",$M1048=""),"",ROUND(($M1048-$L1048)/60,2))</f>
        <v/>
      </c>
      <c r="I1048" s="9"/>
      <c r="J1048" s="7"/>
      <c r="K1048" s="7"/>
      <c r="L1048" s="15" t="str">
        <f aca="false">IF($F1048="","",IF($F1048&lt;1,ROUND($F1048*1440,0),INT($F1048/100)*60+MOD($F1048,100)))</f>
        <v/>
      </c>
      <c r="M1048" s="15" t="str">
        <f aca="false">IF($G1048="","",IF($G1048&lt;1,ROUND($G1048*1440,0),INT($G1048/100)*60+MOD($G1048,100)))</f>
        <v/>
      </c>
      <c r="N1048" s="15" t="str">
        <f aca="false">IF(OR($A1048="",$B1048="",$L1048="",$M1048="",$J1048="취소"),"",IF(SUMPRODUCT(($A$3:$A$2002=$A1048)*($B$3:$B$2002=$B1048)*($J$3:$J$2002&lt;&gt;"취소")*($L$3:$L$2002&lt;&gt;"")*($M$3:$M$2002&lt;&gt;"")*($L$3:$L$2002&lt;$M1048)*($M$3:$M$2002&gt;$L1048))&gt;1,"중복","-"))</f>
        <v/>
      </c>
    </row>
    <row r="1049" customFormat="false" ht="15" hidden="false" customHeight="true" outlineLevel="0" collapsed="false">
      <c r="A1049" s="11"/>
      <c r="B1049" s="7"/>
      <c r="C1049" s="12" t="str">
        <f aca="false">IF($B1049="","",IFERROR(INDEX(자원목록!$B$3:$B$102,MATCH($B1049,자원목록!$A$3:$A$102,0)),"미등록자원"))</f>
        <v/>
      </c>
      <c r="D1049" s="7"/>
      <c r="E1049" s="12" t="str">
        <f aca="false">IF($D1049="","",IFERROR(INDEX(고객목록!$B$3:$B$502,MATCH($D1049,고객목록!$A$3:$A$502,0)),""))</f>
        <v/>
      </c>
      <c r="F1049" s="13"/>
      <c r="G1049" s="13"/>
      <c r="H1049" s="14" t="str">
        <f aca="false">IF(OR($L1049="",$M1049=""),"",ROUND(($M1049-$L1049)/60,2))</f>
        <v/>
      </c>
      <c r="I1049" s="9"/>
      <c r="J1049" s="7"/>
      <c r="K1049" s="7"/>
      <c r="L1049" s="15" t="str">
        <f aca="false">IF($F1049="","",IF($F1049&lt;1,ROUND($F1049*1440,0),INT($F1049/100)*60+MOD($F1049,100)))</f>
        <v/>
      </c>
      <c r="M1049" s="15" t="str">
        <f aca="false">IF($G1049="","",IF($G1049&lt;1,ROUND($G1049*1440,0),INT($G1049/100)*60+MOD($G1049,100)))</f>
        <v/>
      </c>
      <c r="N1049" s="15" t="str">
        <f aca="false">IF(OR($A1049="",$B1049="",$L1049="",$M1049="",$J1049="취소"),"",IF(SUMPRODUCT(($A$3:$A$2002=$A1049)*($B$3:$B$2002=$B1049)*($J$3:$J$2002&lt;&gt;"취소")*($L$3:$L$2002&lt;&gt;"")*($M$3:$M$2002&lt;&gt;"")*($L$3:$L$2002&lt;$M1049)*($M$3:$M$2002&gt;$L1049))&gt;1,"중복","-"))</f>
        <v/>
      </c>
    </row>
    <row r="1050" customFormat="false" ht="15" hidden="false" customHeight="true" outlineLevel="0" collapsed="false">
      <c r="A1050" s="11"/>
      <c r="B1050" s="7"/>
      <c r="C1050" s="12" t="str">
        <f aca="false">IF($B1050="","",IFERROR(INDEX(자원목록!$B$3:$B$102,MATCH($B1050,자원목록!$A$3:$A$102,0)),"미등록자원"))</f>
        <v/>
      </c>
      <c r="D1050" s="7"/>
      <c r="E1050" s="12" t="str">
        <f aca="false">IF($D1050="","",IFERROR(INDEX(고객목록!$B$3:$B$502,MATCH($D1050,고객목록!$A$3:$A$502,0)),""))</f>
        <v/>
      </c>
      <c r="F1050" s="13"/>
      <c r="G1050" s="13"/>
      <c r="H1050" s="14" t="str">
        <f aca="false">IF(OR($L1050="",$M1050=""),"",ROUND(($M1050-$L1050)/60,2))</f>
        <v/>
      </c>
      <c r="I1050" s="9"/>
      <c r="J1050" s="7"/>
      <c r="K1050" s="7"/>
      <c r="L1050" s="15" t="str">
        <f aca="false">IF($F1050="","",IF($F1050&lt;1,ROUND($F1050*1440,0),INT($F1050/100)*60+MOD($F1050,100)))</f>
        <v/>
      </c>
      <c r="M1050" s="15" t="str">
        <f aca="false">IF($G1050="","",IF($G1050&lt;1,ROUND($G1050*1440,0),INT($G1050/100)*60+MOD($G1050,100)))</f>
        <v/>
      </c>
      <c r="N1050" s="15" t="str">
        <f aca="false">IF(OR($A1050="",$B1050="",$L1050="",$M1050="",$J1050="취소"),"",IF(SUMPRODUCT(($A$3:$A$2002=$A1050)*($B$3:$B$2002=$B1050)*($J$3:$J$2002&lt;&gt;"취소")*($L$3:$L$2002&lt;&gt;"")*($M$3:$M$2002&lt;&gt;"")*($L$3:$L$2002&lt;$M1050)*($M$3:$M$2002&gt;$L1050))&gt;1,"중복","-"))</f>
        <v/>
      </c>
    </row>
    <row r="1051" customFormat="false" ht="15" hidden="false" customHeight="true" outlineLevel="0" collapsed="false">
      <c r="A1051" s="11"/>
      <c r="B1051" s="7"/>
      <c r="C1051" s="12" t="str">
        <f aca="false">IF($B1051="","",IFERROR(INDEX(자원목록!$B$3:$B$102,MATCH($B1051,자원목록!$A$3:$A$102,0)),"미등록자원"))</f>
        <v/>
      </c>
      <c r="D1051" s="7"/>
      <c r="E1051" s="12" t="str">
        <f aca="false">IF($D1051="","",IFERROR(INDEX(고객목록!$B$3:$B$502,MATCH($D1051,고객목록!$A$3:$A$502,0)),""))</f>
        <v/>
      </c>
      <c r="F1051" s="13"/>
      <c r="G1051" s="13"/>
      <c r="H1051" s="14" t="str">
        <f aca="false">IF(OR($L1051="",$M1051=""),"",ROUND(($M1051-$L1051)/60,2))</f>
        <v/>
      </c>
      <c r="I1051" s="9"/>
      <c r="J1051" s="7"/>
      <c r="K1051" s="7"/>
      <c r="L1051" s="15" t="str">
        <f aca="false">IF($F1051="","",IF($F1051&lt;1,ROUND($F1051*1440,0),INT($F1051/100)*60+MOD($F1051,100)))</f>
        <v/>
      </c>
      <c r="M1051" s="15" t="str">
        <f aca="false">IF($G1051="","",IF($G1051&lt;1,ROUND($G1051*1440,0),INT($G1051/100)*60+MOD($G1051,100)))</f>
        <v/>
      </c>
      <c r="N1051" s="15" t="str">
        <f aca="false">IF(OR($A1051="",$B1051="",$L1051="",$M1051="",$J1051="취소"),"",IF(SUMPRODUCT(($A$3:$A$2002=$A1051)*($B$3:$B$2002=$B1051)*($J$3:$J$2002&lt;&gt;"취소")*($L$3:$L$2002&lt;&gt;"")*($M$3:$M$2002&lt;&gt;"")*($L$3:$L$2002&lt;$M1051)*($M$3:$M$2002&gt;$L1051))&gt;1,"중복","-"))</f>
        <v/>
      </c>
    </row>
    <row r="1052" customFormat="false" ht="15" hidden="false" customHeight="true" outlineLevel="0" collapsed="false">
      <c r="A1052" s="11"/>
      <c r="B1052" s="7"/>
      <c r="C1052" s="12" t="str">
        <f aca="false">IF($B1052="","",IFERROR(INDEX(자원목록!$B$3:$B$102,MATCH($B1052,자원목록!$A$3:$A$102,0)),"미등록자원"))</f>
        <v/>
      </c>
      <c r="D1052" s="7"/>
      <c r="E1052" s="12" t="str">
        <f aca="false">IF($D1052="","",IFERROR(INDEX(고객목록!$B$3:$B$502,MATCH($D1052,고객목록!$A$3:$A$502,0)),""))</f>
        <v/>
      </c>
      <c r="F1052" s="13"/>
      <c r="G1052" s="13"/>
      <c r="H1052" s="14" t="str">
        <f aca="false">IF(OR($L1052="",$M1052=""),"",ROUND(($M1052-$L1052)/60,2))</f>
        <v/>
      </c>
      <c r="I1052" s="9"/>
      <c r="J1052" s="7"/>
      <c r="K1052" s="7"/>
      <c r="L1052" s="15" t="str">
        <f aca="false">IF($F1052="","",IF($F1052&lt;1,ROUND($F1052*1440,0),INT($F1052/100)*60+MOD($F1052,100)))</f>
        <v/>
      </c>
      <c r="M1052" s="15" t="str">
        <f aca="false">IF($G1052="","",IF($G1052&lt;1,ROUND($G1052*1440,0),INT($G1052/100)*60+MOD($G1052,100)))</f>
        <v/>
      </c>
      <c r="N1052" s="15" t="str">
        <f aca="false">IF(OR($A1052="",$B1052="",$L1052="",$M1052="",$J1052="취소"),"",IF(SUMPRODUCT(($A$3:$A$2002=$A1052)*($B$3:$B$2002=$B1052)*($J$3:$J$2002&lt;&gt;"취소")*($L$3:$L$2002&lt;&gt;"")*($M$3:$M$2002&lt;&gt;"")*($L$3:$L$2002&lt;$M1052)*($M$3:$M$2002&gt;$L1052))&gt;1,"중복","-"))</f>
        <v/>
      </c>
    </row>
    <row r="1053" customFormat="false" ht="15" hidden="false" customHeight="true" outlineLevel="0" collapsed="false">
      <c r="A1053" s="11"/>
      <c r="B1053" s="7"/>
      <c r="C1053" s="12" t="str">
        <f aca="false">IF($B1053="","",IFERROR(INDEX(자원목록!$B$3:$B$102,MATCH($B1053,자원목록!$A$3:$A$102,0)),"미등록자원"))</f>
        <v/>
      </c>
      <c r="D1053" s="7"/>
      <c r="E1053" s="12" t="str">
        <f aca="false">IF($D1053="","",IFERROR(INDEX(고객목록!$B$3:$B$502,MATCH($D1053,고객목록!$A$3:$A$502,0)),""))</f>
        <v/>
      </c>
      <c r="F1053" s="13"/>
      <c r="G1053" s="13"/>
      <c r="H1053" s="14" t="str">
        <f aca="false">IF(OR($L1053="",$M1053=""),"",ROUND(($M1053-$L1053)/60,2))</f>
        <v/>
      </c>
      <c r="I1053" s="9"/>
      <c r="J1053" s="7"/>
      <c r="K1053" s="7"/>
      <c r="L1053" s="15" t="str">
        <f aca="false">IF($F1053="","",IF($F1053&lt;1,ROUND($F1053*1440,0),INT($F1053/100)*60+MOD($F1053,100)))</f>
        <v/>
      </c>
      <c r="M1053" s="15" t="str">
        <f aca="false">IF($G1053="","",IF($G1053&lt;1,ROUND($G1053*1440,0),INT($G1053/100)*60+MOD($G1053,100)))</f>
        <v/>
      </c>
      <c r="N1053" s="15" t="str">
        <f aca="false">IF(OR($A1053="",$B1053="",$L1053="",$M1053="",$J1053="취소"),"",IF(SUMPRODUCT(($A$3:$A$2002=$A1053)*($B$3:$B$2002=$B1053)*($J$3:$J$2002&lt;&gt;"취소")*($L$3:$L$2002&lt;&gt;"")*($M$3:$M$2002&lt;&gt;"")*($L$3:$L$2002&lt;$M1053)*($M$3:$M$2002&gt;$L1053))&gt;1,"중복","-"))</f>
        <v/>
      </c>
    </row>
    <row r="1054" customFormat="false" ht="15" hidden="false" customHeight="true" outlineLevel="0" collapsed="false">
      <c r="A1054" s="11"/>
      <c r="B1054" s="7"/>
      <c r="C1054" s="12" t="str">
        <f aca="false">IF($B1054="","",IFERROR(INDEX(자원목록!$B$3:$B$102,MATCH($B1054,자원목록!$A$3:$A$102,0)),"미등록자원"))</f>
        <v/>
      </c>
      <c r="D1054" s="7"/>
      <c r="E1054" s="12" t="str">
        <f aca="false">IF($D1054="","",IFERROR(INDEX(고객목록!$B$3:$B$502,MATCH($D1054,고객목록!$A$3:$A$502,0)),""))</f>
        <v/>
      </c>
      <c r="F1054" s="13"/>
      <c r="G1054" s="13"/>
      <c r="H1054" s="14" t="str">
        <f aca="false">IF(OR($L1054="",$M1054=""),"",ROUND(($M1054-$L1054)/60,2))</f>
        <v/>
      </c>
      <c r="I1054" s="9"/>
      <c r="J1054" s="7"/>
      <c r="K1054" s="7"/>
      <c r="L1054" s="15" t="str">
        <f aca="false">IF($F1054="","",IF($F1054&lt;1,ROUND($F1054*1440,0),INT($F1054/100)*60+MOD($F1054,100)))</f>
        <v/>
      </c>
      <c r="M1054" s="15" t="str">
        <f aca="false">IF($G1054="","",IF($G1054&lt;1,ROUND($G1054*1440,0),INT($G1054/100)*60+MOD($G1054,100)))</f>
        <v/>
      </c>
      <c r="N1054" s="15" t="str">
        <f aca="false">IF(OR($A1054="",$B1054="",$L1054="",$M1054="",$J1054="취소"),"",IF(SUMPRODUCT(($A$3:$A$2002=$A1054)*($B$3:$B$2002=$B1054)*($J$3:$J$2002&lt;&gt;"취소")*($L$3:$L$2002&lt;&gt;"")*($M$3:$M$2002&lt;&gt;"")*($L$3:$L$2002&lt;$M1054)*($M$3:$M$2002&gt;$L1054))&gt;1,"중복","-"))</f>
        <v/>
      </c>
    </row>
    <row r="1055" customFormat="false" ht="15" hidden="false" customHeight="true" outlineLevel="0" collapsed="false">
      <c r="A1055" s="11"/>
      <c r="B1055" s="7"/>
      <c r="C1055" s="12" t="str">
        <f aca="false">IF($B1055="","",IFERROR(INDEX(자원목록!$B$3:$B$102,MATCH($B1055,자원목록!$A$3:$A$102,0)),"미등록자원"))</f>
        <v/>
      </c>
      <c r="D1055" s="7"/>
      <c r="E1055" s="12" t="str">
        <f aca="false">IF($D1055="","",IFERROR(INDEX(고객목록!$B$3:$B$502,MATCH($D1055,고객목록!$A$3:$A$502,0)),""))</f>
        <v/>
      </c>
      <c r="F1055" s="13"/>
      <c r="G1055" s="13"/>
      <c r="H1055" s="14" t="str">
        <f aca="false">IF(OR($L1055="",$M1055=""),"",ROUND(($M1055-$L1055)/60,2))</f>
        <v/>
      </c>
      <c r="I1055" s="9"/>
      <c r="J1055" s="7"/>
      <c r="K1055" s="7"/>
      <c r="L1055" s="15" t="str">
        <f aca="false">IF($F1055="","",IF($F1055&lt;1,ROUND($F1055*1440,0),INT($F1055/100)*60+MOD($F1055,100)))</f>
        <v/>
      </c>
      <c r="M1055" s="15" t="str">
        <f aca="false">IF($G1055="","",IF($G1055&lt;1,ROUND($G1055*1440,0),INT($G1055/100)*60+MOD($G1055,100)))</f>
        <v/>
      </c>
      <c r="N1055" s="15" t="str">
        <f aca="false">IF(OR($A1055="",$B1055="",$L1055="",$M1055="",$J1055="취소"),"",IF(SUMPRODUCT(($A$3:$A$2002=$A1055)*($B$3:$B$2002=$B1055)*($J$3:$J$2002&lt;&gt;"취소")*($L$3:$L$2002&lt;&gt;"")*($M$3:$M$2002&lt;&gt;"")*($L$3:$L$2002&lt;$M1055)*($M$3:$M$2002&gt;$L1055))&gt;1,"중복","-"))</f>
        <v/>
      </c>
    </row>
    <row r="1056" customFormat="false" ht="15" hidden="false" customHeight="true" outlineLevel="0" collapsed="false">
      <c r="A1056" s="11"/>
      <c r="B1056" s="7"/>
      <c r="C1056" s="12" t="str">
        <f aca="false">IF($B1056="","",IFERROR(INDEX(자원목록!$B$3:$B$102,MATCH($B1056,자원목록!$A$3:$A$102,0)),"미등록자원"))</f>
        <v/>
      </c>
      <c r="D1056" s="7"/>
      <c r="E1056" s="12" t="str">
        <f aca="false">IF($D1056="","",IFERROR(INDEX(고객목록!$B$3:$B$502,MATCH($D1056,고객목록!$A$3:$A$502,0)),""))</f>
        <v/>
      </c>
      <c r="F1056" s="13"/>
      <c r="G1056" s="13"/>
      <c r="H1056" s="14" t="str">
        <f aca="false">IF(OR($L1056="",$M1056=""),"",ROUND(($M1056-$L1056)/60,2))</f>
        <v/>
      </c>
      <c r="I1056" s="9"/>
      <c r="J1056" s="7"/>
      <c r="K1056" s="7"/>
      <c r="L1056" s="15" t="str">
        <f aca="false">IF($F1056="","",IF($F1056&lt;1,ROUND($F1056*1440,0),INT($F1056/100)*60+MOD($F1056,100)))</f>
        <v/>
      </c>
      <c r="M1056" s="15" t="str">
        <f aca="false">IF($G1056="","",IF($G1056&lt;1,ROUND($G1056*1440,0),INT($G1056/100)*60+MOD($G1056,100)))</f>
        <v/>
      </c>
      <c r="N1056" s="15" t="str">
        <f aca="false">IF(OR($A1056="",$B1056="",$L1056="",$M1056="",$J1056="취소"),"",IF(SUMPRODUCT(($A$3:$A$2002=$A1056)*($B$3:$B$2002=$B1056)*($J$3:$J$2002&lt;&gt;"취소")*($L$3:$L$2002&lt;&gt;"")*($M$3:$M$2002&lt;&gt;"")*($L$3:$L$2002&lt;$M1056)*($M$3:$M$2002&gt;$L1056))&gt;1,"중복","-"))</f>
        <v/>
      </c>
    </row>
    <row r="1057" customFormat="false" ht="15" hidden="false" customHeight="true" outlineLevel="0" collapsed="false">
      <c r="A1057" s="11"/>
      <c r="B1057" s="7"/>
      <c r="C1057" s="12" t="str">
        <f aca="false">IF($B1057="","",IFERROR(INDEX(자원목록!$B$3:$B$102,MATCH($B1057,자원목록!$A$3:$A$102,0)),"미등록자원"))</f>
        <v/>
      </c>
      <c r="D1057" s="7"/>
      <c r="E1057" s="12" t="str">
        <f aca="false">IF($D1057="","",IFERROR(INDEX(고객목록!$B$3:$B$502,MATCH($D1057,고객목록!$A$3:$A$502,0)),""))</f>
        <v/>
      </c>
      <c r="F1057" s="13"/>
      <c r="G1057" s="13"/>
      <c r="H1057" s="14" t="str">
        <f aca="false">IF(OR($L1057="",$M1057=""),"",ROUND(($M1057-$L1057)/60,2))</f>
        <v/>
      </c>
      <c r="I1057" s="9"/>
      <c r="J1057" s="7"/>
      <c r="K1057" s="7"/>
      <c r="L1057" s="15" t="str">
        <f aca="false">IF($F1057="","",IF($F1057&lt;1,ROUND($F1057*1440,0),INT($F1057/100)*60+MOD($F1057,100)))</f>
        <v/>
      </c>
      <c r="M1057" s="15" t="str">
        <f aca="false">IF($G1057="","",IF($G1057&lt;1,ROUND($G1057*1440,0),INT($G1057/100)*60+MOD($G1057,100)))</f>
        <v/>
      </c>
      <c r="N1057" s="15" t="str">
        <f aca="false">IF(OR($A1057="",$B1057="",$L1057="",$M1057="",$J1057="취소"),"",IF(SUMPRODUCT(($A$3:$A$2002=$A1057)*($B$3:$B$2002=$B1057)*($J$3:$J$2002&lt;&gt;"취소")*($L$3:$L$2002&lt;&gt;"")*($M$3:$M$2002&lt;&gt;"")*($L$3:$L$2002&lt;$M1057)*($M$3:$M$2002&gt;$L1057))&gt;1,"중복","-"))</f>
        <v/>
      </c>
    </row>
    <row r="1058" customFormat="false" ht="15" hidden="false" customHeight="true" outlineLevel="0" collapsed="false">
      <c r="A1058" s="11"/>
      <c r="B1058" s="7"/>
      <c r="C1058" s="12" t="str">
        <f aca="false">IF($B1058="","",IFERROR(INDEX(자원목록!$B$3:$B$102,MATCH($B1058,자원목록!$A$3:$A$102,0)),"미등록자원"))</f>
        <v/>
      </c>
      <c r="D1058" s="7"/>
      <c r="E1058" s="12" t="str">
        <f aca="false">IF($D1058="","",IFERROR(INDEX(고객목록!$B$3:$B$502,MATCH($D1058,고객목록!$A$3:$A$502,0)),""))</f>
        <v/>
      </c>
      <c r="F1058" s="13"/>
      <c r="G1058" s="13"/>
      <c r="H1058" s="14" t="str">
        <f aca="false">IF(OR($L1058="",$M1058=""),"",ROUND(($M1058-$L1058)/60,2))</f>
        <v/>
      </c>
      <c r="I1058" s="9"/>
      <c r="J1058" s="7"/>
      <c r="K1058" s="7"/>
      <c r="L1058" s="15" t="str">
        <f aca="false">IF($F1058="","",IF($F1058&lt;1,ROUND($F1058*1440,0),INT($F1058/100)*60+MOD($F1058,100)))</f>
        <v/>
      </c>
      <c r="M1058" s="15" t="str">
        <f aca="false">IF($G1058="","",IF($G1058&lt;1,ROUND($G1058*1440,0),INT($G1058/100)*60+MOD($G1058,100)))</f>
        <v/>
      </c>
      <c r="N1058" s="15" t="str">
        <f aca="false">IF(OR($A1058="",$B1058="",$L1058="",$M1058="",$J1058="취소"),"",IF(SUMPRODUCT(($A$3:$A$2002=$A1058)*($B$3:$B$2002=$B1058)*($J$3:$J$2002&lt;&gt;"취소")*($L$3:$L$2002&lt;&gt;"")*($M$3:$M$2002&lt;&gt;"")*($L$3:$L$2002&lt;$M1058)*($M$3:$M$2002&gt;$L1058))&gt;1,"중복","-"))</f>
        <v/>
      </c>
    </row>
    <row r="1059" customFormat="false" ht="15" hidden="false" customHeight="true" outlineLevel="0" collapsed="false">
      <c r="A1059" s="11"/>
      <c r="B1059" s="7"/>
      <c r="C1059" s="12" t="str">
        <f aca="false">IF($B1059="","",IFERROR(INDEX(자원목록!$B$3:$B$102,MATCH($B1059,자원목록!$A$3:$A$102,0)),"미등록자원"))</f>
        <v/>
      </c>
      <c r="D1059" s="7"/>
      <c r="E1059" s="12" t="str">
        <f aca="false">IF($D1059="","",IFERROR(INDEX(고객목록!$B$3:$B$502,MATCH($D1059,고객목록!$A$3:$A$502,0)),""))</f>
        <v/>
      </c>
      <c r="F1059" s="13"/>
      <c r="G1059" s="13"/>
      <c r="H1059" s="14" t="str">
        <f aca="false">IF(OR($L1059="",$M1059=""),"",ROUND(($M1059-$L1059)/60,2))</f>
        <v/>
      </c>
      <c r="I1059" s="9"/>
      <c r="J1059" s="7"/>
      <c r="K1059" s="7"/>
      <c r="L1059" s="15" t="str">
        <f aca="false">IF($F1059="","",IF($F1059&lt;1,ROUND($F1059*1440,0),INT($F1059/100)*60+MOD($F1059,100)))</f>
        <v/>
      </c>
      <c r="M1059" s="15" t="str">
        <f aca="false">IF($G1059="","",IF($G1059&lt;1,ROUND($G1059*1440,0),INT($G1059/100)*60+MOD($G1059,100)))</f>
        <v/>
      </c>
      <c r="N1059" s="15" t="str">
        <f aca="false">IF(OR($A1059="",$B1059="",$L1059="",$M1059="",$J1059="취소"),"",IF(SUMPRODUCT(($A$3:$A$2002=$A1059)*($B$3:$B$2002=$B1059)*($J$3:$J$2002&lt;&gt;"취소")*($L$3:$L$2002&lt;&gt;"")*($M$3:$M$2002&lt;&gt;"")*($L$3:$L$2002&lt;$M1059)*($M$3:$M$2002&gt;$L1059))&gt;1,"중복","-"))</f>
        <v/>
      </c>
    </row>
    <row r="1060" customFormat="false" ht="15" hidden="false" customHeight="true" outlineLevel="0" collapsed="false">
      <c r="A1060" s="11"/>
      <c r="B1060" s="7"/>
      <c r="C1060" s="12" t="str">
        <f aca="false">IF($B1060="","",IFERROR(INDEX(자원목록!$B$3:$B$102,MATCH($B1060,자원목록!$A$3:$A$102,0)),"미등록자원"))</f>
        <v/>
      </c>
      <c r="D1060" s="7"/>
      <c r="E1060" s="12" t="str">
        <f aca="false">IF($D1060="","",IFERROR(INDEX(고객목록!$B$3:$B$502,MATCH($D1060,고객목록!$A$3:$A$502,0)),""))</f>
        <v/>
      </c>
      <c r="F1060" s="13"/>
      <c r="G1060" s="13"/>
      <c r="H1060" s="14" t="str">
        <f aca="false">IF(OR($L1060="",$M1060=""),"",ROUND(($M1060-$L1060)/60,2))</f>
        <v/>
      </c>
      <c r="I1060" s="9"/>
      <c r="J1060" s="7"/>
      <c r="K1060" s="7"/>
      <c r="L1060" s="15" t="str">
        <f aca="false">IF($F1060="","",IF($F1060&lt;1,ROUND($F1060*1440,0),INT($F1060/100)*60+MOD($F1060,100)))</f>
        <v/>
      </c>
      <c r="M1060" s="15" t="str">
        <f aca="false">IF($G1060="","",IF($G1060&lt;1,ROUND($G1060*1440,0),INT($G1060/100)*60+MOD($G1060,100)))</f>
        <v/>
      </c>
      <c r="N1060" s="15" t="str">
        <f aca="false">IF(OR($A1060="",$B1060="",$L1060="",$M1060="",$J1060="취소"),"",IF(SUMPRODUCT(($A$3:$A$2002=$A1060)*($B$3:$B$2002=$B1060)*($J$3:$J$2002&lt;&gt;"취소")*($L$3:$L$2002&lt;&gt;"")*($M$3:$M$2002&lt;&gt;"")*($L$3:$L$2002&lt;$M1060)*($M$3:$M$2002&gt;$L1060))&gt;1,"중복","-"))</f>
        <v/>
      </c>
    </row>
    <row r="1061" customFormat="false" ht="15" hidden="false" customHeight="true" outlineLevel="0" collapsed="false">
      <c r="A1061" s="11"/>
      <c r="B1061" s="7"/>
      <c r="C1061" s="12" t="str">
        <f aca="false">IF($B1061="","",IFERROR(INDEX(자원목록!$B$3:$B$102,MATCH($B1061,자원목록!$A$3:$A$102,0)),"미등록자원"))</f>
        <v/>
      </c>
      <c r="D1061" s="7"/>
      <c r="E1061" s="12" t="str">
        <f aca="false">IF($D1061="","",IFERROR(INDEX(고객목록!$B$3:$B$502,MATCH($D1061,고객목록!$A$3:$A$502,0)),""))</f>
        <v/>
      </c>
      <c r="F1061" s="13"/>
      <c r="G1061" s="13"/>
      <c r="H1061" s="14" t="str">
        <f aca="false">IF(OR($L1061="",$M1061=""),"",ROUND(($M1061-$L1061)/60,2))</f>
        <v/>
      </c>
      <c r="I1061" s="9"/>
      <c r="J1061" s="7"/>
      <c r="K1061" s="7"/>
      <c r="L1061" s="15" t="str">
        <f aca="false">IF($F1061="","",IF($F1061&lt;1,ROUND($F1061*1440,0),INT($F1061/100)*60+MOD($F1061,100)))</f>
        <v/>
      </c>
      <c r="M1061" s="15" t="str">
        <f aca="false">IF($G1061="","",IF($G1061&lt;1,ROUND($G1061*1440,0),INT($G1061/100)*60+MOD($G1061,100)))</f>
        <v/>
      </c>
      <c r="N1061" s="15" t="str">
        <f aca="false">IF(OR($A1061="",$B1061="",$L1061="",$M1061="",$J1061="취소"),"",IF(SUMPRODUCT(($A$3:$A$2002=$A1061)*($B$3:$B$2002=$B1061)*($J$3:$J$2002&lt;&gt;"취소")*($L$3:$L$2002&lt;&gt;"")*($M$3:$M$2002&lt;&gt;"")*($L$3:$L$2002&lt;$M1061)*($M$3:$M$2002&gt;$L1061))&gt;1,"중복","-"))</f>
        <v/>
      </c>
    </row>
    <row r="1062" customFormat="false" ht="15" hidden="false" customHeight="true" outlineLevel="0" collapsed="false">
      <c r="A1062" s="11"/>
      <c r="B1062" s="7"/>
      <c r="C1062" s="12" t="str">
        <f aca="false">IF($B1062="","",IFERROR(INDEX(자원목록!$B$3:$B$102,MATCH($B1062,자원목록!$A$3:$A$102,0)),"미등록자원"))</f>
        <v/>
      </c>
      <c r="D1062" s="7"/>
      <c r="E1062" s="12" t="str">
        <f aca="false">IF($D1062="","",IFERROR(INDEX(고객목록!$B$3:$B$502,MATCH($D1062,고객목록!$A$3:$A$502,0)),""))</f>
        <v/>
      </c>
      <c r="F1062" s="13"/>
      <c r="G1062" s="13"/>
      <c r="H1062" s="14" t="str">
        <f aca="false">IF(OR($L1062="",$M1062=""),"",ROUND(($M1062-$L1062)/60,2))</f>
        <v/>
      </c>
      <c r="I1062" s="9"/>
      <c r="J1062" s="7"/>
      <c r="K1062" s="7"/>
      <c r="L1062" s="15" t="str">
        <f aca="false">IF($F1062="","",IF($F1062&lt;1,ROUND($F1062*1440,0),INT($F1062/100)*60+MOD($F1062,100)))</f>
        <v/>
      </c>
      <c r="M1062" s="15" t="str">
        <f aca="false">IF($G1062="","",IF($G1062&lt;1,ROUND($G1062*1440,0),INT($G1062/100)*60+MOD($G1062,100)))</f>
        <v/>
      </c>
      <c r="N1062" s="15" t="str">
        <f aca="false">IF(OR($A1062="",$B1062="",$L1062="",$M1062="",$J1062="취소"),"",IF(SUMPRODUCT(($A$3:$A$2002=$A1062)*($B$3:$B$2002=$B1062)*($J$3:$J$2002&lt;&gt;"취소")*($L$3:$L$2002&lt;&gt;"")*($M$3:$M$2002&lt;&gt;"")*($L$3:$L$2002&lt;$M1062)*($M$3:$M$2002&gt;$L1062))&gt;1,"중복","-"))</f>
        <v/>
      </c>
    </row>
    <row r="1063" customFormat="false" ht="15" hidden="false" customHeight="true" outlineLevel="0" collapsed="false">
      <c r="A1063" s="11"/>
      <c r="B1063" s="7"/>
      <c r="C1063" s="12" t="str">
        <f aca="false">IF($B1063="","",IFERROR(INDEX(자원목록!$B$3:$B$102,MATCH($B1063,자원목록!$A$3:$A$102,0)),"미등록자원"))</f>
        <v/>
      </c>
      <c r="D1063" s="7"/>
      <c r="E1063" s="12" t="str">
        <f aca="false">IF($D1063="","",IFERROR(INDEX(고객목록!$B$3:$B$502,MATCH($D1063,고객목록!$A$3:$A$502,0)),""))</f>
        <v/>
      </c>
      <c r="F1063" s="13"/>
      <c r="G1063" s="13"/>
      <c r="H1063" s="14" t="str">
        <f aca="false">IF(OR($L1063="",$M1063=""),"",ROUND(($M1063-$L1063)/60,2))</f>
        <v/>
      </c>
      <c r="I1063" s="9"/>
      <c r="J1063" s="7"/>
      <c r="K1063" s="7"/>
      <c r="L1063" s="15" t="str">
        <f aca="false">IF($F1063="","",IF($F1063&lt;1,ROUND($F1063*1440,0),INT($F1063/100)*60+MOD($F1063,100)))</f>
        <v/>
      </c>
      <c r="M1063" s="15" t="str">
        <f aca="false">IF($G1063="","",IF($G1063&lt;1,ROUND($G1063*1440,0),INT($G1063/100)*60+MOD($G1063,100)))</f>
        <v/>
      </c>
      <c r="N1063" s="15" t="str">
        <f aca="false">IF(OR($A1063="",$B1063="",$L1063="",$M1063="",$J1063="취소"),"",IF(SUMPRODUCT(($A$3:$A$2002=$A1063)*($B$3:$B$2002=$B1063)*($J$3:$J$2002&lt;&gt;"취소")*($L$3:$L$2002&lt;&gt;"")*($M$3:$M$2002&lt;&gt;"")*($L$3:$L$2002&lt;$M1063)*($M$3:$M$2002&gt;$L1063))&gt;1,"중복","-"))</f>
        <v/>
      </c>
    </row>
    <row r="1064" customFormat="false" ht="15" hidden="false" customHeight="true" outlineLevel="0" collapsed="false">
      <c r="A1064" s="11"/>
      <c r="B1064" s="7"/>
      <c r="C1064" s="12" t="str">
        <f aca="false">IF($B1064="","",IFERROR(INDEX(자원목록!$B$3:$B$102,MATCH($B1064,자원목록!$A$3:$A$102,0)),"미등록자원"))</f>
        <v/>
      </c>
      <c r="D1064" s="7"/>
      <c r="E1064" s="12" t="str">
        <f aca="false">IF($D1064="","",IFERROR(INDEX(고객목록!$B$3:$B$502,MATCH($D1064,고객목록!$A$3:$A$502,0)),""))</f>
        <v/>
      </c>
      <c r="F1064" s="13"/>
      <c r="G1064" s="13"/>
      <c r="H1064" s="14" t="str">
        <f aca="false">IF(OR($L1064="",$M1064=""),"",ROUND(($M1064-$L1064)/60,2))</f>
        <v/>
      </c>
      <c r="I1064" s="9"/>
      <c r="J1064" s="7"/>
      <c r="K1064" s="7"/>
      <c r="L1064" s="15" t="str">
        <f aca="false">IF($F1064="","",IF($F1064&lt;1,ROUND($F1064*1440,0),INT($F1064/100)*60+MOD($F1064,100)))</f>
        <v/>
      </c>
      <c r="M1064" s="15" t="str">
        <f aca="false">IF($G1064="","",IF($G1064&lt;1,ROUND($G1064*1440,0),INT($G1064/100)*60+MOD($G1064,100)))</f>
        <v/>
      </c>
      <c r="N1064" s="15" t="str">
        <f aca="false">IF(OR($A1064="",$B1064="",$L1064="",$M1064="",$J1064="취소"),"",IF(SUMPRODUCT(($A$3:$A$2002=$A1064)*($B$3:$B$2002=$B1064)*($J$3:$J$2002&lt;&gt;"취소")*($L$3:$L$2002&lt;&gt;"")*($M$3:$M$2002&lt;&gt;"")*($L$3:$L$2002&lt;$M1064)*($M$3:$M$2002&gt;$L1064))&gt;1,"중복","-"))</f>
        <v/>
      </c>
    </row>
    <row r="1065" customFormat="false" ht="15" hidden="false" customHeight="true" outlineLevel="0" collapsed="false">
      <c r="A1065" s="11"/>
      <c r="B1065" s="7"/>
      <c r="C1065" s="12" t="str">
        <f aca="false">IF($B1065="","",IFERROR(INDEX(자원목록!$B$3:$B$102,MATCH($B1065,자원목록!$A$3:$A$102,0)),"미등록자원"))</f>
        <v/>
      </c>
      <c r="D1065" s="7"/>
      <c r="E1065" s="12" t="str">
        <f aca="false">IF($D1065="","",IFERROR(INDEX(고객목록!$B$3:$B$502,MATCH($D1065,고객목록!$A$3:$A$502,0)),""))</f>
        <v/>
      </c>
      <c r="F1065" s="13"/>
      <c r="G1065" s="13"/>
      <c r="H1065" s="14" t="str">
        <f aca="false">IF(OR($L1065="",$M1065=""),"",ROUND(($M1065-$L1065)/60,2))</f>
        <v/>
      </c>
      <c r="I1065" s="9"/>
      <c r="J1065" s="7"/>
      <c r="K1065" s="7"/>
      <c r="L1065" s="15" t="str">
        <f aca="false">IF($F1065="","",IF($F1065&lt;1,ROUND($F1065*1440,0),INT($F1065/100)*60+MOD($F1065,100)))</f>
        <v/>
      </c>
      <c r="M1065" s="15" t="str">
        <f aca="false">IF($G1065="","",IF($G1065&lt;1,ROUND($G1065*1440,0),INT($G1065/100)*60+MOD($G1065,100)))</f>
        <v/>
      </c>
      <c r="N1065" s="15" t="str">
        <f aca="false">IF(OR($A1065="",$B1065="",$L1065="",$M1065="",$J1065="취소"),"",IF(SUMPRODUCT(($A$3:$A$2002=$A1065)*($B$3:$B$2002=$B1065)*($J$3:$J$2002&lt;&gt;"취소")*($L$3:$L$2002&lt;&gt;"")*($M$3:$M$2002&lt;&gt;"")*($L$3:$L$2002&lt;$M1065)*($M$3:$M$2002&gt;$L1065))&gt;1,"중복","-"))</f>
        <v/>
      </c>
    </row>
    <row r="1066" customFormat="false" ht="15" hidden="false" customHeight="true" outlineLevel="0" collapsed="false">
      <c r="A1066" s="11"/>
      <c r="B1066" s="7"/>
      <c r="C1066" s="12" t="str">
        <f aca="false">IF($B1066="","",IFERROR(INDEX(자원목록!$B$3:$B$102,MATCH($B1066,자원목록!$A$3:$A$102,0)),"미등록자원"))</f>
        <v/>
      </c>
      <c r="D1066" s="7"/>
      <c r="E1066" s="12" t="str">
        <f aca="false">IF($D1066="","",IFERROR(INDEX(고객목록!$B$3:$B$502,MATCH($D1066,고객목록!$A$3:$A$502,0)),""))</f>
        <v/>
      </c>
      <c r="F1066" s="13"/>
      <c r="G1066" s="13"/>
      <c r="H1066" s="14" t="str">
        <f aca="false">IF(OR($L1066="",$M1066=""),"",ROUND(($M1066-$L1066)/60,2))</f>
        <v/>
      </c>
      <c r="I1066" s="9"/>
      <c r="J1066" s="7"/>
      <c r="K1066" s="7"/>
      <c r="L1066" s="15" t="str">
        <f aca="false">IF($F1066="","",IF($F1066&lt;1,ROUND($F1066*1440,0),INT($F1066/100)*60+MOD($F1066,100)))</f>
        <v/>
      </c>
      <c r="M1066" s="15" t="str">
        <f aca="false">IF($G1066="","",IF($G1066&lt;1,ROUND($G1066*1440,0),INT($G1066/100)*60+MOD($G1066,100)))</f>
        <v/>
      </c>
      <c r="N1066" s="15" t="str">
        <f aca="false">IF(OR($A1066="",$B1066="",$L1066="",$M1066="",$J1066="취소"),"",IF(SUMPRODUCT(($A$3:$A$2002=$A1066)*($B$3:$B$2002=$B1066)*($J$3:$J$2002&lt;&gt;"취소")*($L$3:$L$2002&lt;&gt;"")*($M$3:$M$2002&lt;&gt;"")*($L$3:$L$2002&lt;$M1066)*($M$3:$M$2002&gt;$L1066))&gt;1,"중복","-"))</f>
        <v/>
      </c>
    </row>
    <row r="1067" customFormat="false" ht="15" hidden="false" customHeight="true" outlineLevel="0" collapsed="false">
      <c r="A1067" s="11"/>
      <c r="B1067" s="7"/>
      <c r="C1067" s="12" t="str">
        <f aca="false">IF($B1067="","",IFERROR(INDEX(자원목록!$B$3:$B$102,MATCH($B1067,자원목록!$A$3:$A$102,0)),"미등록자원"))</f>
        <v/>
      </c>
      <c r="D1067" s="7"/>
      <c r="E1067" s="12" t="str">
        <f aca="false">IF($D1067="","",IFERROR(INDEX(고객목록!$B$3:$B$502,MATCH($D1067,고객목록!$A$3:$A$502,0)),""))</f>
        <v/>
      </c>
      <c r="F1067" s="13"/>
      <c r="G1067" s="13"/>
      <c r="H1067" s="14" t="str">
        <f aca="false">IF(OR($L1067="",$M1067=""),"",ROUND(($M1067-$L1067)/60,2))</f>
        <v/>
      </c>
      <c r="I1067" s="9"/>
      <c r="J1067" s="7"/>
      <c r="K1067" s="7"/>
      <c r="L1067" s="15" t="str">
        <f aca="false">IF($F1067="","",IF($F1067&lt;1,ROUND($F1067*1440,0),INT($F1067/100)*60+MOD($F1067,100)))</f>
        <v/>
      </c>
      <c r="M1067" s="15" t="str">
        <f aca="false">IF($G1067="","",IF($G1067&lt;1,ROUND($G1067*1440,0),INT($G1067/100)*60+MOD($G1067,100)))</f>
        <v/>
      </c>
      <c r="N1067" s="15" t="str">
        <f aca="false">IF(OR($A1067="",$B1067="",$L1067="",$M1067="",$J1067="취소"),"",IF(SUMPRODUCT(($A$3:$A$2002=$A1067)*($B$3:$B$2002=$B1067)*($J$3:$J$2002&lt;&gt;"취소")*($L$3:$L$2002&lt;&gt;"")*($M$3:$M$2002&lt;&gt;"")*($L$3:$L$2002&lt;$M1067)*($M$3:$M$2002&gt;$L1067))&gt;1,"중복","-"))</f>
        <v/>
      </c>
    </row>
    <row r="1068" customFormat="false" ht="15" hidden="false" customHeight="true" outlineLevel="0" collapsed="false">
      <c r="A1068" s="11"/>
      <c r="B1068" s="7"/>
      <c r="C1068" s="12" t="str">
        <f aca="false">IF($B1068="","",IFERROR(INDEX(자원목록!$B$3:$B$102,MATCH($B1068,자원목록!$A$3:$A$102,0)),"미등록자원"))</f>
        <v/>
      </c>
      <c r="D1068" s="7"/>
      <c r="E1068" s="12" t="str">
        <f aca="false">IF($D1068="","",IFERROR(INDEX(고객목록!$B$3:$B$502,MATCH($D1068,고객목록!$A$3:$A$502,0)),""))</f>
        <v/>
      </c>
      <c r="F1068" s="13"/>
      <c r="G1068" s="13"/>
      <c r="H1068" s="14" t="str">
        <f aca="false">IF(OR($L1068="",$M1068=""),"",ROUND(($M1068-$L1068)/60,2))</f>
        <v/>
      </c>
      <c r="I1068" s="9"/>
      <c r="J1068" s="7"/>
      <c r="K1068" s="7"/>
      <c r="L1068" s="15" t="str">
        <f aca="false">IF($F1068="","",IF($F1068&lt;1,ROUND($F1068*1440,0),INT($F1068/100)*60+MOD($F1068,100)))</f>
        <v/>
      </c>
      <c r="M1068" s="15" t="str">
        <f aca="false">IF($G1068="","",IF($G1068&lt;1,ROUND($G1068*1440,0),INT($G1068/100)*60+MOD($G1068,100)))</f>
        <v/>
      </c>
      <c r="N1068" s="15" t="str">
        <f aca="false">IF(OR($A1068="",$B1068="",$L1068="",$M1068="",$J1068="취소"),"",IF(SUMPRODUCT(($A$3:$A$2002=$A1068)*($B$3:$B$2002=$B1068)*($J$3:$J$2002&lt;&gt;"취소")*($L$3:$L$2002&lt;&gt;"")*($M$3:$M$2002&lt;&gt;"")*($L$3:$L$2002&lt;$M1068)*($M$3:$M$2002&gt;$L1068))&gt;1,"중복","-"))</f>
        <v/>
      </c>
    </row>
    <row r="1069" customFormat="false" ht="15" hidden="false" customHeight="true" outlineLevel="0" collapsed="false">
      <c r="A1069" s="11"/>
      <c r="B1069" s="7"/>
      <c r="C1069" s="12" t="str">
        <f aca="false">IF($B1069="","",IFERROR(INDEX(자원목록!$B$3:$B$102,MATCH($B1069,자원목록!$A$3:$A$102,0)),"미등록자원"))</f>
        <v/>
      </c>
      <c r="D1069" s="7"/>
      <c r="E1069" s="12" t="str">
        <f aca="false">IF($D1069="","",IFERROR(INDEX(고객목록!$B$3:$B$502,MATCH($D1069,고객목록!$A$3:$A$502,0)),""))</f>
        <v/>
      </c>
      <c r="F1069" s="13"/>
      <c r="G1069" s="13"/>
      <c r="H1069" s="14" t="str">
        <f aca="false">IF(OR($L1069="",$M1069=""),"",ROUND(($M1069-$L1069)/60,2))</f>
        <v/>
      </c>
      <c r="I1069" s="9"/>
      <c r="J1069" s="7"/>
      <c r="K1069" s="7"/>
      <c r="L1069" s="15" t="str">
        <f aca="false">IF($F1069="","",IF($F1069&lt;1,ROUND($F1069*1440,0),INT($F1069/100)*60+MOD($F1069,100)))</f>
        <v/>
      </c>
      <c r="M1069" s="15" t="str">
        <f aca="false">IF($G1069="","",IF($G1069&lt;1,ROUND($G1069*1440,0),INT($G1069/100)*60+MOD($G1069,100)))</f>
        <v/>
      </c>
      <c r="N1069" s="15" t="str">
        <f aca="false">IF(OR($A1069="",$B1069="",$L1069="",$M1069="",$J1069="취소"),"",IF(SUMPRODUCT(($A$3:$A$2002=$A1069)*($B$3:$B$2002=$B1069)*($J$3:$J$2002&lt;&gt;"취소")*($L$3:$L$2002&lt;&gt;"")*($M$3:$M$2002&lt;&gt;"")*($L$3:$L$2002&lt;$M1069)*($M$3:$M$2002&gt;$L1069))&gt;1,"중복","-"))</f>
        <v/>
      </c>
    </row>
    <row r="1070" customFormat="false" ht="15" hidden="false" customHeight="true" outlineLevel="0" collapsed="false">
      <c r="A1070" s="11"/>
      <c r="B1070" s="7"/>
      <c r="C1070" s="12" t="str">
        <f aca="false">IF($B1070="","",IFERROR(INDEX(자원목록!$B$3:$B$102,MATCH($B1070,자원목록!$A$3:$A$102,0)),"미등록자원"))</f>
        <v/>
      </c>
      <c r="D1070" s="7"/>
      <c r="E1070" s="12" t="str">
        <f aca="false">IF($D1070="","",IFERROR(INDEX(고객목록!$B$3:$B$502,MATCH($D1070,고객목록!$A$3:$A$502,0)),""))</f>
        <v/>
      </c>
      <c r="F1070" s="13"/>
      <c r="G1070" s="13"/>
      <c r="H1070" s="14" t="str">
        <f aca="false">IF(OR($L1070="",$M1070=""),"",ROUND(($M1070-$L1070)/60,2))</f>
        <v/>
      </c>
      <c r="I1070" s="9"/>
      <c r="J1070" s="7"/>
      <c r="K1070" s="7"/>
      <c r="L1070" s="15" t="str">
        <f aca="false">IF($F1070="","",IF($F1070&lt;1,ROUND($F1070*1440,0),INT($F1070/100)*60+MOD($F1070,100)))</f>
        <v/>
      </c>
      <c r="M1070" s="15" t="str">
        <f aca="false">IF($G1070="","",IF($G1070&lt;1,ROUND($G1070*1440,0),INT($G1070/100)*60+MOD($G1070,100)))</f>
        <v/>
      </c>
      <c r="N1070" s="15" t="str">
        <f aca="false">IF(OR($A1070="",$B1070="",$L1070="",$M1070="",$J1070="취소"),"",IF(SUMPRODUCT(($A$3:$A$2002=$A1070)*($B$3:$B$2002=$B1070)*($J$3:$J$2002&lt;&gt;"취소")*($L$3:$L$2002&lt;&gt;"")*($M$3:$M$2002&lt;&gt;"")*($L$3:$L$2002&lt;$M1070)*($M$3:$M$2002&gt;$L1070))&gt;1,"중복","-"))</f>
        <v/>
      </c>
    </row>
    <row r="1071" customFormat="false" ht="15" hidden="false" customHeight="true" outlineLevel="0" collapsed="false">
      <c r="A1071" s="11"/>
      <c r="B1071" s="7"/>
      <c r="C1071" s="12" t="str">
        <f aca="false">IF($B1071="","",IFERROR(INDEX(자원목록!$B$3:$B$102,MATCH($B1071,자원목록!$A$3:$A$102,0)),"미등록자원"))</f>
        <v/>
      </c>
      <c r="D1071" s="7"/>
      <c r="E1071" s="12" t="str">
        <f aca="false">IF($D1071="","",IFERROR(INDEX(고객목록!$B$3:$B$502,MATCH($D1071,고객목록!$A$3:$A$502,0)),""))</f>
        <v/>
      </c>
      <c r="F1071" s="13"/>
      <c r="G1071" s="13"/>
      <c r="H1071" s="14" t="str">
        <f aca="false">IF(OR($L1071="",$M1071=""),"",ROUND(($M1071-$L1071)/60,2))</f>
        <v/>
      </c>
      <c r="I1071" s="9"/>
      <c r="J1071" s="7"/>
      <c r="K1071" s="7"/>
      <c r="L1071" s="15" t="str">
        <f aca="false">IF($F1071="","",IF($F1071&lt;1,ROUND($F1071*1440,0),INT($F1071/100)*60+MOD($F1071,100)))</f>
        <v/>
      </c>
      <c r="M1071" s="15" t="str">
        <f aca="false">IF($G1071="","",IF($G1071&lt;1,ROUND($G1071*1440,0),INT($G1071/100)*60+MOD($G1071,100)))</f>
        <v/>
      </c>
      <c r="N1071" s="15" t="str">
        <f aca="false">IF(OR($A1071="",$B1071="",$L1071="",$M1071="",$J1071="취소"),"",IF(SUMPRODUCT(($A$3:$A$2002=$A1071)*($B$3:$B$2002=$B1071)*($J$3:$J$2002&lt;&gt;"취소")*($L$3:$L$2002&lt;&gt;"")*($M$3:$M$2002&lt;&gt;"")*($L$3:$L$2002&lt;$M1071)*($M$3:$M$2002&gt;$L1071))&gt;1,"중복","-"))</f>
        <v/>
      </c>
    </row>
    <row r="1072" customFormat="false" ht="15" hidden="false" customHeight="true" outlineLevel="0" collapsed="false">
      <c r="A1072" s="11"/>
      <c r="B1072" s="7"/>
      <c r="C1072" s="12" t="str">
        <f aca="false">IF($B1072="","",IFERROR(INDEX(자원목록!$B$3:$B$102,MATCH($B1072,자원목록!$A$3:$A$102,0)),"미등록자원"))</f>
        <v/>
      </c>
      <c r="D1072" s="7"/>
      <c r="E1072" s="12" t="str">
        <f aca="false">IF($D1072="","",IFERROR(INDEX(고객목록!$B$3:$B$502,MATCH($D1072,고객목록!$A$3:$A$502,0)),""))</f>
        <v/>
      </c>
      <c r="F1072" s="13"/>
      <c r="G1072" s="13"/>
      <c r="H1072" s="14" t="str">
        <f aca="false">IF(OR($L1072="",$M1072=""),"",ROUND(($M1072-$L1072)/60,2))</f>
        <v/>
      </c>
      <c r="I1072" s="9"/>
      <c r="J1072" s="7"/>
      <c r="K1072" s="7"/>
      <c r="L1072" s="15" t="str">
        <f aca="false">IF($F1072="","",IF($F1072&lt;1,ROUND($F1072*1440,0),INT($F1072/100)*60+MOD($F1072,100)))</f>
        <v/>
      </c>
      <c r="M1072" s="15" t="str">
        <f aca="false">IF($G1072="","",IF($G1072&lt;1,ROUND($G1072*1440,0),INT($G1072/100)*60+MOD($G1072,100)))</f>
        <v/>
      </c>
      <c r="N1072" s="15" t="str">
        <f aca="false">IF(OR($A1072="",$B1072="",$L1072="",$M1072="",$J1072="취소"),"",IF(SUMPRODUCT(($A$3:$A$2002=$A1072)*($B$3:$B$2002=$B1072)*($J$3:$J$2002&lt;&gt;"취소")*($L$3:$L$2002&lt;&gt;"")*($M$3:$M$2002&lt;&gt;"")*($L$3:$L$2002&lt;$M1072)*($M$3:$M$2002&gt;$L1072))&gt;1,"중복","-"))</f>
        <v/>
      </c>
    </row>
    <row r="1073" customFormat="false" ht="15" hidden="false" customHeight="true" outlineLevel="0" collapsed="false">
      <c r="A1073" s="11"/>
      <c r="B1073" s="7"/>
      <c r="C1073" s="12" t="str">
        <f aca="false">IF($B1073="","",IFERROR(INDEX(자원목록!$B$3:$B$102,MATCH($B1073,자원목록!$A$3:$A$102,0)),"미등록자원"))</f>
        <v/>
      </c>
      <c r="D1073" s="7"/>
      <c r="E1073" s="12" t="str">
        <f aca="false">IF($D1073="","",IFERROR(INDEX(고객목록!$B$3:$B$502,MATCH($D1073,고객목록!$A$3:$A$502,0)),""))</f>
        <v/>
      </c>
      <c r="F1073" s="13"/>
      <c r="G1073" s="13"/>
      <c r="H1073" s="14" t="str">
        <f aca="false">IF(OR($L1073="",$M1073=""),"",ROUND(($M1073-$L1073)/60,2))</f>
        <v/>
      </c>
      <c r="I1073" s="9"/>
      <c r="J1073" s="7"/>
      <c r="K1073" s="7"/>
      <c r="L1073" s="15" t="str">
        <f aca="false">IF($F1073="","",IF($F1073&lt;1,ROUND($F1073*1440,0),INT($F1073/100)*60+MOD($F1073,100)))</f>
        <v/>
      </c>
      <c r="M1073" s="15" t="str">
        <f aca="false">IF($G1073="","",IF($G1073&lt;1,ROUND($G1073*1440,0),INT($G1073/100)*60+MOD($G1073,100)))</f>
        <v/>
      </c>
      <c r="N1073" s="15" t="str">
        <f aca="false">IF(OR($A1073="",$B1073="",$L1073="",$M1073="",$J1073="취소"),"",IF(SUMPRODUCT(($A$3:$A$2002=$A1073)*($B$3:$B$2002=$B1073)*($J$3:$J$2002&lt;&gt;"취소")*($L$3:$L$2002&lt;&gt;"")*($M$3:$M$2002&lt;&gt;"")*($L$3:$L$2002&lt;$M1073)*($M$3:$M$2002&gt;$L1073))&gt;1,"중복","-"))</f>
        <v/>
      </c>
    </row>
    <row r="1074" customFormat="false" ht="15" hidden="false" customHeight="true" outlineLevel="0" collapsed="false">
      <c r="A1074" s="11"/>
      <c r="B1074" s="7"/>
      <c r="C1074" s="12" t="str">
        <f aca="false">IF($B1074="","",IFERROR(INDEX(자원목록!$B$3:$B$102,MATCH($B1074,자원목록!$A$3:$A$102,0)),"미등록자원"))</f>
        <v/>
      </c>
      <c r="D1074" s="7"/>
      <c r="E1074" s="12" t="str">
        <f aca="false">IF($D1074="","",IFERROR(INDEX(고객목록!$B$3:$B$502,MATCH($D1074,고객목록!$A$3:$A$502,0)),""))</f>
        <v/>
      </c>
      <c r="F1074" s="13"/>
      <c r="G1074" s="13"/>
      <c r="H1074" s="14" t="str">
        <f aca="false">IF(OR($L1074="",$M1074=""),"",ROUND(($M1074-$L1074)/60,2))</f>
        <v/>
      </c>
      <c r="I1074" s="9"/>
      <c r="J1074" s="7"/>
      <c r="K1074" s="7"/>
      <c r="L1074" s="15" t="str">
        <f aca="false">IF($F1074="","",IF($F1074&lt;1,ROUND($F1074*1440,0),INT($F1074/100)*60+MOD($F1074,100)))</f>
        <v/>
      </c>
      <c r="M1074" s="15" t="str">
        <f aca="false">IF($G1074="","",IF($G1074&lt;1,ROUND($G1074*1440,0),INT($G1074/100)*60+MOD($G1074,100)))</f>
        <v/>
      </c>
      <c r="N1074" s="15" t="str">
        <f aca="false">IF(OR($A1074="",$B1074="",$L1074="",$M1074="",$J1074="취소"),"",IF(SUMPRODUCT(($A$3:$A$2002=$A1074)*($B$3:$B$2002=$B1074)*($J$3:$J$2002&lt;&gt;"취소")*($L$3:$L$2002&lt;&gt;"")*($M$3:$M$2002&lt;&gt;"")*($L$3:$L$2002&lt;$M1074)*($M$3:$M$2002&gt;$L1074))&gt;1,"중복","-"))</f>
        <v/>
      </c>
    </row>
    <row r="1075" customFormat="false" ht="15" hidden="false" customHeight="true" outlineLevel="0" collapsed="false">
      <c r="A1075" s="11"/>
      <c r="B1075" s="7"/>
      <c r="C1075" s="12" t="str">
        <f aca="false">IF($B1075="","",IFERROR(INDEX(자원목록!$B$3:$B$102,MATCH($B1075,자원목록!$A$3:$A$102,0)),"미등록자원"))</f>
        <v/>
      </c>
      <c r="D1075" s="7"/>
      <c r="E1075" s="12" t="str">
        <f aca="false">IF($D1075="","",IFERROR(INDEX(고객목록!$B$3:$B$502,MATCH($D1075,고객목록!$A$3:$A$502,0)),""))</f>
        <v/>
      </c>
      <c r="F1075" s="13"/>
      <c r="G1075" s="13"/>
      <c r="H1075" s="14" t="str">
        <f aca="false">IF(OR($L1075="",$M1075=""),"",ROUND(($M1075-$L1075)/60,2))</f>
        <v/>
      </c>
      <c r="I1075" s="9"/>
      <c r="J1075" s="7"/>
      <c r="K1075" s="7"/>
      <c r="L1075" s="15" t="str">
        <f aca="false">IF($F1075="","",IF($F1075&lt;1,ROUND($F1075*1440,0),INT($F1075/100)*60+MOD($F1075,100)))</f>
        <v/>
      </c>
      <c r="M1075" s="15" t="str">
        <f aca="false">IF($G1075="","",IF($G1075&lt;1,ROUND($G1075*1440,0),INT($G1075/100)*60+MOD($G1075,100)))</f>
        <v/>
      </c>
      <c r="N1075" s="15" t="str">
        <f aca="false">IF(OR($A1075="",$B1075="",$L1075="",$M1075="",$J1075="취소"),"",IF(SUMPRODUCT(($A$3:$A$2002=$A1075)*($B$3:$B$2002=$B1075)*($J$3:$J$2002&lt;&gt;"취소")*($L$3:$L$2002&lt;&gt;"")*($M$3:$M$2002&lt;&gt;"")*($L$3:$L$2002&lt;$M1075)*($M$3:$M$2002&gt;$L1075))&gt;1,"중복","-"))</f>
        <v/>
      </c>
    </row>
    <row r="1076" customFormat="false" ht="15" hidden="false" customHeight="true" outlineLevel="0" collapsed="false">
      <c r="A1076" s="11"/>
      <c r="B1076" s="7"/>
      <c r="C1076" s="12" t="str">
        <f aca="false">IF($B1076="","",IFERROR(INDEX(자원목록!$B$3:$B$102,MATCH($B1076,자원목록!$A$3:$A$102,0)),"미등록자원"))</f>
        <v/>
      </c>
      <c r="D1076" s="7"/>
      <c r="E1076" s="12" t="str">
        <f aca="false">IF($D1076="","",IFERROR(INDEX(고객목록!$B$3:$B$502,MATCH($D1076,고객목록!$A$3:$A$502,0)),""))</f>
        <v/>
      </c>
      <c r="F1076" s="13"/>
      <c r="G1076" s="13"/>
      <c r="H1076" s="14" t="str">
        <f aca="false">IF(OR($L1076="",$M1076=""),"",ROUND(($M1076-$L1076)/60,2))</f>
        <v/>
      </c>
      <c r="I1076" s="9"/>
      <c r="J1076" s="7"/>
      <c r="K1076" s="7"/>
      <c r="L1076" s="15" t="str">
        <f aca="false">IF($F1076="","",IF($F1076&lt;1,ROUND($F1076*1440,0),INT($F1076/100)*60+MOD($F1076,100)))</f>
        <v/>
      </c>
      <c r="M1076" s="15" t="str">
        <f aca="false">IF($G1076="","",IF($G1076&lt;1,ROUND($G1076*1440,0),INT($G1076/100)*60+MOD($G1076,100)))</f>
        <v/>
      </c>
      <c r="N1076" s="15" t="str">
        <f aca="false">IF(OR($A1076="",$B1076="",$L1076="",$M1076="",$J1076="취소"),"",IF(SUMPRODUCT(($A$3:$A$2002=$A1076)*($B$3:$B$2002=$B1076)*($J$3:$J$2002&lt;&gt;"취소")*($L$3:$L$2002&lt;&gt;"")*($M$3:$M$2002&lt;&gt;"")*($L$3:$L$2002&lt;$M1076)*($M$3:$M$2002&gt;$L1076))&gt;1,"중복","-"))</f>
        <v/>
      </c>
    </row>
    <row r="1077" customFormat="false" ht="15" hidden="false" customHeight="true" outlineLevel="0" collapsed="false">
      <c r="A1077" s="11"/>
      <c r="B1077" s="7"/>
      <c r="C1077" s="12" t="str">
        <f aca="false">IF($B1077="","",IFERROR(INDEX(자원목록!$B$3:$B$102,MATCH($B1077,자원목록!$A$3:$A$102,0)),"미등록자원"))</f>
        <v/>
      </c>
      <c r="D1077" s="7"/>
      <c r="E1077" s="12" t="str">
        <f aca="false">IF($D1077="","",IFERROR(INDEX(고객목록!$B$3:$B$502,MATCH($D1077,고객목록!$A$3:$A$502,0)),""))</f>
        <v/>
      </c>
      <c r="F1077" s="13"/>
      <c r="G1077" s="13"/>
      <c r="H1077" s="14" t="str">
        <f aca="false">IF(OR($L1077="",$M1077=""),"",ROUND(($M1077-$L1077)/60,2))</f>
        <v/>
      </c>
      <c r="I1077" s="9"/>
      <c r="J1077" s="7"/>
      <c r="K1077" s="7"/>
      <c r="L1077" s="15" t="str">
        <f aca="false">IF($F1077="","",IF($F1077&lt;1,ROUND($F1077*1440,0),INT($F1077/100)*60+MOD($F1077,100)))</f>
        <v/>
      </c>
      <c r="M1077" s="15" t="str">
        <f aca="false">IF($G1077="","",IF($G1077&lt;1,ROUND($G1077*1440,0),INT($G1077/100)*60+MOD($G1077,100)))</f>
        <v/>
      </c>
      <c r="N1077" s="15" t="str">
        <f aca="false">IF(OR($A1077="",$B1077="",$L1077="",$M1077="",$J1077="취소"),"",IF(SUMPRODUCT(($A$3:$A$2002=$A1077)*($B$3:$B$2002=$B1077)*($J$3:$J$2002&lt;&gt;"취소")*($L$3:$L$2002&lt;&gt;"")*($M$3:$M$2002&lt;&gt;"")*($L$3:$L$2002&lt;$M1077)*($M$3:$M$2002&gt;$L1077))&gt;1,"중복","-"))</f>
        <v/>
      </c>
    </row>
    <row r="1078" customFormat="false" ht="15" hidden="false" customHeight="true" outlineLevel="0" collapsed="false">
      <c r="A1078" s="11"/>
      <c r="B1078" s="7"/>
      <c r="C1078" s="12" t="str">
        <f aca="false">IF($B1078="","",IFERROR(INDEX(자원목록!$B$3:$B$102,MATCH($B1078,자원목록!$A$3:$A$102,0)),"미등록자원"))</f>
        <v/>
      </c>
      <c r="D1078" s="7"/>
      <c r="E1078" s="12" t="str">
        <f aca="false">IF($D1078="","",IFERROR(INDEX(고객목록!$B$3:$B$502,MATCH($D1078,고객목록!$A$3:$A$502,0)),""))</f>
        <v/>
      </c>
      <c r="F1078" s="13"/>
      <c r="G1078" s="13"/>
      <c r="H1078" s="14" t="str">
        <f aca="false">IF(OR($L1078="",$M1078=""),"",ROUND(($M1078-$L1078)/60,2))</f>
        <v/>
      </c>
      <c r="I1078" s="9"/>
      <c r="J1078" s="7"/>
      <c r="K1078" s="7"/>
      <c r="L1078" s="15" t="str">
        <f aca="false">IF($F1078="","",IF($F1078&lt;1,ROUND($F1078*1440,0),INT($F1078/100)*60+MOD($F1078,100)))</f>
        <v/>
      </c>
      <c r="M1078" s="15" t="str">
        <f aca="false">IF($G1078="","",IF($G1078&lt;1,ROUND($G1078*1440,0),INT($G1078/100)*60+MOD($G1078,100)))</f>
        <v/>
      </c>
      <c r="N1078" s="15" t="str">
        <f aca="false">IF(OR($A1078="",$B1078="",$L1078="",$M1078="",$J1078="취소"),"",IF(SUMPRODUCT(($A$3:$A$2002=$A1078)*($B$3:$B$2002=$B1078)*($J$3:$J$2002&lt;&gt;"취소")*($L$3:$L$2002&lt;&gt;"")*($M$3:$M$2002&lt;&gt;"")*($L$3:$L$2002&lt;$M1078)*($M$3:$M$2002&gt;$L1078))&gt;1,"중복","-"))</f>
        <v/>
      </c>
    </row>
    <row r="1079" customFormat="false" ht="15" hidden="false" customHeight="true" outlineLevel="0" collapsed="false">
      <c r="A1079" s="11"/>
      <c r="B1079" s="7"/>
      <c r="C1079" s="12" t="str">
        <f aca="false">IF($B1079="","",IFERROR(INDEX(자원목록!$B$3:$B$102,MATCH($B1079,자원목록!$A$3:$A$102,0)),"미등록자원"))</f>
        <v/>
      </c>
      <c r="D1079" s="7"/>
      <c r="E1079" s="12" t="str">
        <f aca="false">IF($D1079="","",IFERROR(INDEX(고객목록!$B$3:$B$502,MATCH($D1079,고객목록!$A$3:$A$502,0)),""))</f>
        <v/>
      </c>
      <c r="F1079" s="13"/>
      <c r="G1079" s="13"/>
      <c r="H1079" s="14" t="str">
        <f aca="false">IF(OR($L1079="",$M1079=""),"",ROUND(($M1079-$L1079)/60,2))</f>
        <v/>
      </c>
      <c r="I1079" s="9"/>
      <c r="J1079" s="7"/>
      <c r="K1079" s="7"/>
      <c r="L1079" s="15" t="str">
        <f aca="false">IF($F1079="","",IF($F1079&lt;1,ROUND($F1079*1440,0),INT($F1079/100)*60+MOD($F1079,100)))</f>
        <v/>
      </c>
      <c r="M1079" s="15" t="str">
        <f aca="false">IF($G1079="","",IF($G1079&lt;1,ROUND($G1079*1440,0),INT($G1079/100)*60+MOD($G1079,100)))</f>
        <v/>
      </c>
      <c r="N1079" s="15" t="str">
        <f aca="false">IF(OR($A1079="",$B1079="",$L1079="",$M1079="",$J1079="취소"),"",IF(SUMPRODUCT(($A$3:$A$2002=$A1079)*($B$3:$B$2002=$B1079)*($J$3:$J$2002&lt;&gt;"취소")*($L$3:$L$2002&lt;&gt;"")*($M$3:$M$2002&lt;&gt;"")*($L$3:$L$2002&lt;$M1079)*($M$3:$M$2002&gt;$L1079))&gt;1,"중복","-"))</f>
        <v/>
      </c>
    </row>
    <row r="1080" customFormat="false" ht="15" hidden="false" customHeight="true" outlineLevel="0" collapsed="false">
      <c r="A1080" s="11"/>
      <c r="B1080" s="7"/>
      <c r="C1080" s="12" t="str">
        <f aca="false">IF($B1080="","",IFERROR(INDEX(자원목록!$B$3:$B$102,MATCH($B1080,자원목록!$A$3:$A$102,0)),"미등록자원"))</f>
        <v/>
      </c>
      <c r="D1080" s="7"/>
      <c r="E1080" s="12" t="str">
        <f aca="false">IF($D1080="","",IFERROR(INDEX(고객목록!$B$3:$B$502,MATCH($D1080,고객목록!$A$3:$A$502,0)),""))</f>
        <v/>
      </c>
      <c r="F1080" s="13"/>
      <c r="G1080" s="13"/>
      <c r="H1080" s="14" t="str">
        <f aca="false">IF(OR($L1080="",$M1080=""),"",ROUND(($M1080-$L1080)/60,2))</f>
        <v/>
      </c>
      <c r="I1080" s="9"/>
      <c r="J1080" s="7"/>
      <c r="K1080" s="7"/>
      <c r="L1080" s="15" t="str">
        <f aca="false">IF($F1080="","",IF($F1080&lt;1,ROUND($F1080*1440,0),INT($F1080/100)*60+MOD($F1080,100)))</f>
        <v/>
      </c>
      <c r="M1080" s="15" t="str">
        <f aca="false">IF($G1080="","",IF($G1080&lt;1,ROUND($G1080*1440,0),INT($G1080/100)*60+MOD($G1080,100)))</f>
        <v/>
      </c>
      <c r="N1080" s="15" t="str">
        <f aca="false">IF(OR($A1080="",$B1080="",$L1080="",$M1080="",$J1080="취소"),"",IF(SUMPRODUCT(($A$3:$A$2002=$A1080)*($B$3:$B$2002=$B1080)*($J$3:$J$2002&lt;&gt;"취소")*($L$3:$L$2002&lt;&gt;"")*($M$3:$M$2002&lt;&gt;"")*($L$3:$L$2002&lt;$M1080)*($M$3:$M$2002&gt;$L1080))&gt;1,"중복","-"))</f>
        <v/>
      </c>
    </row>
    <row r="1081" customFormat="false" ht="15" hidden="false" customHeight="true" outlineLevel="0" collapsed="false">
      <c r="A1081" s="11"/>
      <c r="B1081" s="7"/>
      <c r="C1081" s="12" t="str">
        <f aca="false">IF($B1081="","",IFERROR(INDEX(자원목록!$B$3:$B$102,MATCH($B1081,자원목록!$A$3:$A$102,0)),"미등록자원"))</f>
        <v/>
      </c>
      <c r="D1081" s="7"/>
      <c r="E1081" s="12" t="str">
        <f aca="false">IF($D1081="","",IFERROR(INDEX(고객목록!$B$3:$B$502,MATCH($D1081,고객목록!$A$3:$A$502,0)),""))</f>
        <v/>
      </c>
      <c r="F1081" s="13"/>
      <c r="G1081" s="13"/>
      <c r="H1081" s="14" t="str">
        <f aca="false">IF(OR($L1081="",$M1081=""),"",ROUND(($M1081-$L1081)/60,2))</f>
        <v/>
      </c>
      <c r="I1081" s="9"/>
      <c r="J1081" s="7"/>
      <c r="K1081" s="7"/>
      <c r="L1081" s="15" t="str">
        <f aca="false">IF($F1081="","",IF($F1081&lt;1,ROUND($F1081*1440,0),INT($F1081/100)*60+MOD($F1081,100)))</f>
        <v/>
      </c>
      <c r="M1081" s="15" t="str">
        <f aca="false">IF($G1081="","",IF($G1081&lt;1,ROUND($G1081*1440,0),INT($G1081/100)*60+MOD($G1081,100)))</f>
        <v/>
      </c>
      <c r="N1081" s="15" t="str">
        <f aca="false">IF(OR($A1081="",$B1081="",$L1081="",$M1081="",$J1081="취소"),"",IF(SUMPRODUCT(($A$3:$A$2002=$A1081)*($B$3:$B$2002=$B1081)*($J$3:$J$2002&lt;&gt;"취소")*($L$3:$L$2002&lt;&gt;"")*($M$3:$M$2002&lt;&gt;"")*($L$3:$L$2002&lt;$M1081)*($M$3:$M$2002&gt;$L1081))&gt;1,"중복","-"))</f>
        <v/>
      </c>
    </row>
    <row r="1082" customFormat="false" ht="15" hidden="false" customHeight="true" outlineLevel="0" collapsed="false">
      <c r="A1082" s="11"/>
      <c r="B1082" s="7"/>
      <c r="C1082" s="12" t="str">
        <f aca="false">IF($B1082="","",IFERROR(INDEX(자원목록!$B$3:$B$102,MATCH($B1082,자원목록!$A$3:$A$102,0)),"미등록자원"))</f>
        <v/>
      </c>
      <c r="D1082" s="7"/>
      <c r="E1082" s="12" t="str">
        <f aca="false">IF($D1082="","",IFERROR(INDEX(고객목록!$B$3:$B$502,MATCH($D1082,고객목록!$A$3:$A$502,0)),""))</f>
        <v/>
      </c>
      <c r="F1082" s="13"/>
      <c r="G1082" s="13"/>
      <c r="H1082" s="14" t="str">
        <f aca="false">IF(OR($L1082="",$M1082=""),"",ROUND(($M1082-$L1082)/60,2))</f>
        <v/>
      </c>
      <c r="I1082" s="9"/>
      <c r="J1082" s="7"/>
      <c r="K1082" s="7"/>
      <c r="L1082" s="15" t="str">
        <f aca="false">IF($F1082="","",IF($F1082&lt;1,ROUND($F1082*1440,0),INT($F1082/100)*60+MOD($F1082,100)))</f>
        <v/>
      </c>
      <c r="M1082" s="15" t="str">
        <f aca="false">IF($G1082="","",IF($G1082&lt;1,ROUND($G1082*1440,0),INT($G1082/100)*60+MOD($G1082,100)))</f>
        <v/>
      </c>
      <c r="N1082" s="15" t="str">
        <f aca="false">IF(OR($A1082="",$B1082="",$L1082="",$M1082="",$J1082="취소"),"",IF(SUMPRODUCT(($A$3:$A$2002=$A1082)*($B$3:$B$2002=$B1082)*($J$3:$J$2002&lt;&gt;"취소")*($L$3:$L$2002&lt;&gt;"")*($M$3:$M$2002&lt;&gt;"")*($L$3:$L$2002&lt;$M1082)*($M$3:$M$2002&gt;$L1082))&gt;1,"중복","-"))</f>
        <v/>
      </c>
    </row>
    <row r="1083" customFormat="false" ht="15" hidden="false" customHeight="true" outlineLevel="0" collapsed="false">
      <c r="A1083" s="11"/>
      <c r="B1083" s="7"/>
      <c r="C1083" s="12" t="str">
        <f aca="false">IF($B1083="","",IFERROR(INDEX(자원목록!$B$3:$B$102,MATCH($B1083,자원목록!$A$3:$A$102,0)),"미등록자원"))</f>
        <v/>
      </c>
      <c r="D1083" s="7"/>
      <c r="E1083" s="12" t="str">
        <f aca="false">IF($D1083="","",IFERROR(INDEX(고객목록!$B$3:$B$502,MATCH($D1083,고객목록!$A$3:$A$502,0)),""))</f>
        <v/>
      </c>
      <c r="F1083" s="13"/>
      <c r="G1083" s="13"/>
      <c r="H1083" s="14" t="str">
        <f aca="false">IF(OR($L1083="",$M1083=""),"",ROUND(($M1083-$L1083)/60,2))</f>
        <v/>
      </c>
      <c r="I1083" s="9"/>
      <c r="J1083" s="7"/>
      <c r="K1083" s="7"/>
      <c r="L1083" s="15" t="str">
        <f aca="false">IF($F1083="","",IF($F1083&lt;1,ROUND($F1083*1440,0),INT($F1083/100)*60+MOD($F1083,100)))</f>
        <v/>
      </c>
      <c r="M1083" s="15" t="str">
        <f aca="false">IF($G1083="","",IF($G1083&lt;1,ROUND($G1083*1440,0),INT($G1083/100)*60+MOD($G1083,100)))</f>
        <v/>
      </c>
      <c r="N1083" s="15" t="str">
        <f aca="false">IF(OR($A1083="",$B1083="",$L1083="",$M1083="",$J1083="취소"),"",IF(SUMPRODUCT(($A$3:$A$2002=$A1083)*($B$3:$B$2002=$B1083)*($J$3:$J$2002&lt;&gt;"취소")*($L$3:$L$2002&lt;&gt;"")*($M$3:$M$2002&lt;&gt;"")*($L$3:$L$2002&lt;$M1083)*($M$3:$M$2002&gt;$L1083))&gt;1,"중복","-"))</f>
        <v/>
      </c>
    </row>
    <row r="1084" customFormat="false" ht="15" hidden="false" customHeight="true" outlineLevel="0" collapsed="false">
      <c r="A1084" s="11"/>
      <c r="B1084" s="7"/>
      <c r="C1084" s="12" t="str">
        <f aca="false">IF($B1084="","",IFERROR(INDEX(자원목록!$B$3:$B$102,MATCH($B1084,자원목록!$A$3:$A$102,0)),"미등록자원"))</f>
        <v/>
      </c>
      <c r="D1084" s="7"/>
      <c r="E1084" s="12" t="str">
        <f aca="false">IF($D1084="","",IFERROR(INDEX(고객목록!$B$3:$B$502,MATCH($D1084,고객목록!$A$3:$A$502,0)),""))</f>
        <v/>
      </c>
      <c r="F1084" s="13"/>
      <c r="G1084" s="13"/>
      <c r="H1084" s="14" t="str">
        <f aca="false">IF(OR($L1084="",$M1084=""),"",ROUND(($M1084-$L1084)/60,2))</f>
        <v/>
      </c>
      <c r="I1084" s="9"/>
      <c r="J1084" s="7"/>
      <c r="K1084" s="7"/>
      <c r="L1084" s="15" t="str">
        <f aca="false">IF($F1084="","",IF($F1084&lt;1,ROUND($F1084*1440,0),INT($F1084/100)*60+MOD($F1084,100)))</f>
        <v/>
      </c>
      <c r="M1084" s="15" t="str">
        <f aca="false">IF($G1084="","",IF($G1084&lt;1,ROUND($G1084*1440,0),INT($G1084/100)*60+MOD($G1084,100)))</f>
        <v/>
      </c>
      <c r="N1084" s="15" t="str">
        <f aca="false">IF(OR($A1084="",$B1084="",$L1084="",$M1084="",$J1084="취소"),"",IF(SUMPRODUCT(($A$3:$A$2002=$A1084)*($B$3:$B$2002=$B1084)*($J$3:$J$2002&lt;&gt;"취소")*($L$3:$L$2002&lt;&gt;"")*($M$3:$M$2002&lt;&gt;"")*($L$3:$L$2002&lt;$M1084)*($M$3:$M$2002&gt;$L1084))&gt;1,"중복","-"))</f>
        <v/>
      </c>
    </row>
    <row r="1085" customFormat="false" ht="15" hidden="false" customHeight="true" outlineLevel="0" collapsed="false">
      <c r="A1085" s="11"/>
      <c r="B1085" s="7"/>
      <c r="C1085" s="12" t="str">
        <f aca="false">IF($B1085="","",IFERROR(INDEX(자원목록!$B$3:$B$102,MATCH($B1085,자원목록!$A$3:$A$102,0)),"미등록자원"))</f>
        <v/>
      </c>
      <c r="D1085" s="7"/>
      <c r="E1085" s="12" t="str">
        <f aca="false">IF($D1085="","",IFERROR(INDEX(고객목록!$B$3:$B$502,MATCH($D1085,고객목록!$A$3:$A$502,0)),""))</f>
        <v/>
      </c>
      <c r="F1085" s="13"/>
      <c r="G1085" s="13"/>
      <c r="H1085" s="14" t="str">
        <f aca="false">IF(OR($L1085="",$M1085=""),"",ROUND(($M1085-$L1085)/60,2))</f>
        <v/>
      </c>
      <c r="I1085" s="9"/>
      <c r="J1085" s="7"/>
      <c r="K1085" s="7"/>
      <c r="L1085" s="15" t="str">
        <f aca="false">IF($F1085="","",IF($F1085&lt;1,ROUND($F1085*1440,0),INT($F1085/100)*60+MOD($F1085,100)))</f>
        <v/>
      </c>
      <c r="M1085" s="15" t="str">
        <f aca="false">IF($G1085="","",IF($G1085&lt;1,ROUND($G1085*1440,0),INT($G1085/100)*60+MOD($G1085,100)))</f>
        <v/>
      </c>
      <c r="N1085" s="15" t="str">
        <f aca="false">IF(OR($A1085="",$B1085="",$L1085="",$M1085="",$J1085="취소"),"",IF(SUMPRODUCT(($A$3:$A$2002=$A1085)*($B$3:$B$2002=$B1085)*($J$3:$J$2002&lt;&gt;"취소")*($L$3:$L$2002&lt;&gt;"")*($M$3:$M$2002&lt;&gt;"")*($L$3:$L$2002&lt;$M1085)*($M$3:$M$2002&gt;$L1085))&gt;1,"중복","-"))</f>
        <v/>
      </c>
    </row>
    <row r="1086" customFormat="false" ht="15" hidden="false" customHeight="true" outlineLevel="0" collapsed="false">
      <c r="A1086" s="11"/>
      <c r="B1086" s="7"/>
      <c r="C1086" s="12" t="str">
        <f aca="false">IF($B1086="","",IFERROR(INDEX(자원목록!$B$3:$B$102,MATCH($B1086,자원목록!$A$3:$A$102,0)),"미등록자원"))</f>
        <v/>
      </c>
      <c r="D1086" s="7"/>
      <c r="E1086" s="12" t="str">
        <f aca="false">IF($D1086="","",IFERROR(INDEX(고객목록!$B$3:$B$502,MATCH($D1086,고객목록!$A$3:$A$502,0)),""))</f>
        <v/>
      </c>
      <c r="F1086" s="13"/>
      <c r="G1086" s="13"/>
      <c r="H1086" s="14" t="str">
        <f aca="false">IF(OR($L1086="",$M1086=""),"",ROUND(($M1086-$L1086)/60,2))</f>
        <v/>
      </c>
      <c r="I1086" s="9"/>
      <c r="J1086" s="7"/>
      <c r="K1086" s="7"/>
      <c r="L1086" s="15" t="str">
        <f aca="false">IF($F1086="","",IF($F1086&lt;1,ROUND($F1086*1440,0),INT($F1086/100)*60+MOD($F1086,100)))</f>
        <v/>
      </c>
      <c r="M1086" s="15" t="str">
        <f aca="false">IF($G1086="","",IF($G1086&lt;1,ROUND($G1086*1440,0),INT($G1086/100)*60+MOD($G1086,100)))</f>
        <v/>
      </c>
      <c r="N1086" s="15" t="str">
        <f aca="false">IF(OR($A1086="",$B1086="",$L1086="",$M1086="",$J1086="취소"),"",IF(SUMPRODUCT(($A$3:$A$2002=$A1086)*($B$3:$B$2002=$B1086)*($J$3:$J$2002&lt;&gt;"취소")*($L$3:$L$2002&lt;&gt;"")*($M$3:$M$2002&lt;&gt;"")*($L$3:$L$2002&lt;$M1086)*($M$3:$M$2002&gt;$L1086))&gt;1,"중복","-"))</f>
        <v/>
      </c>
    </row>
    <row r="1087" customFormat="false" ht="15" hidden="false" customHeight="true" outlineLevel="0" collapsed="false">
      <c r="A1087" s="11"/>
      <c r="B1087" s="7"/>
      <c r="C1087" s="12" t="str">
        <f aca="false">IF($B1087="","",IFERROR(INDEX(자원목록!$B$3:$B$102,MATCH($B1087,자원목록!$A$3:$A$102,0)),"미등록자원"))</f>
        <v/>
      </c>
      <c r="D1087" s="7"/>
      <c r="E1087" s="12" t="str">
        <f aca="false">IF($D1087="","",IFERROR(INDEX(고객목록!$B$3:$B$502,MATCH($D1087,고객목록!$A$3:$A$502,0)),""))</f>
        <v/>
      </c>
      <c r="F1087" s="13"/>
      <c r="G1087" s="13"/>
      <c r="H1087" s="14" t="str">
        <f aca="false">IF(OR($L1087="",$M1087=""),"",ROUND(($M1087-$L1087)/60,2))</f>
        <v/>
      </c>
      <c r="I1087" s="9"/>
      <c r="J1087" s="7"/>
      <c r="K1087" s="7"/>
      <c r="L1087" s="15" t="str">
        <f aca="false">IF($F1087="","",IF($F1087&lt;1,ROUND($F1087*1440,0),INT($F1087/100)*60+MOD($F1087,100)))</f>
        <v/>
      </c>
      <c r="M1087" s="15" t="str">
        <f aca="false">IF($G1087="","",IF($G1087&lt;1,ROUND($G1087*1440,0),INT($G1087/100)*60+MOD($G1087,100)))</f>
        <v/>
      </c>
      <c r="N1087" s="15" t="str">
        <f aca="false">IF(OR($A1087="",$B1087="",$L1087="",$M1087="",$J1087="취소"),"",IF(SUMPRODUCT(($A$3:$A$2002=$A1087)*($B$3:$B$2002=$B1087)*($J$3:$J$2002&lt;&gt;"취소")*($L$3:$L$2002&lt;&gt;"")*($M$3:$M$2002&lt;&gt;"")*($L$3:$L$2002&lt;$M1087)*($M$3:$M$2002&gt;$L1087))&gt;1,"중복","-"))</f>
        <v/>
      </c>
    </row>
    <row r="1088" customFormat="false" ht="15" hidden="false" customHeight="true" outlineLevel="0" collapsed="false">
      <c r="A1088" s="11"/>
      <c r="B1088" s="7"/>
      <c r="C1088" s="12" t="str">
        <f aca="false">IF($B1088="","",IFERROR(INDEX(자원목록!$B$3:$B$102,MATCH($B1088,자원목록!$A$3:$A$102,0)),"미등록자원"))</f>
        <v/>
      </c>
      <c r="D1088" s="7"/>
      <c r="E1088" s="12" t="str">
        <f aca="false">IF($D1088="","",IFERROR(INDEX(고객목록!$B$3:$B$502,MATCH($D1088,고객목록!$A$3:$A$502,0)),""))</f>
        <v/>
      </c>
      <c r="F1088" s="13"/>
      <c r="G1088" s="13"/>
      <c r="H1088" s="14" t="str">
        <f aca="false">IF(OR($L1088="",$M1088=""),"",ROUND(($M1088-$L1088)/60,2))</f>
        <v/>
      </c>
      <c r="I1088" s="9"/>
      <c r="J1088" s="7"/>
      <c r="K1088" s="7"/>
      <c r="L1088" s="15" t="str">
        <f aca="false">IF($F1088="","",IF($F1088&lt;1,ROUND($F1088*1440,0),INT($F1088/100)*60+MOD($F1088,100)))</f>
        <v/>
      </c>
      <c r="M1088" s="15" t="str">
        <f aca="false">IF($G1088="","",IF($G1088&lt;1,ROUND($G1088*1440,0),INT($G1088/100)*60+MOD($G1088,100)))</f>
        <v/>
      </c>
      <c r="N1088" s="15" t="str">
        <f aca="false">IF(OR($A1088="",$B1088="",$L1088="",$M1088="",$J1088="취소"),"",IF(SUMPRODUCT(($A$3:$A$2002=$A1088)*($B$3:$B$2002=$B1088)*($J$3:$J$2002&lt;&gt;"취소")*($L$3:$L$2002&lt;&gt;"")*($M$3:$M$2002&lt;&gt;"")*($L$3:$L$2002&lt;$M1088)*($M$3:$M$2002&gt;$L1088))&gt;1,"중복","-"))</f>
        <v/>
      </c>
    </row>
    <row r="1089" customFormat="false" ht="15" hidden="false" customHeight="true" outlineLevel="0" collapsed="false">
      <c r="A1089" s="11"/>
      <c r="B1089" s="7"/>
      <c r="C1089" s="12" t="str">
        <f aca="false">IF($B1089="","",IFERROR(INDEX(자원목록!$B$3:$B$102,MATCH($B1089,자원목록!$A$3:$A$102,0)),"미등록자원"))</f>
        <v/>
      </c>
      <c r="D1089" s="7"/>
      <c r="E1089" s="12" t="str">
        <f aca="false">IF($D1089="","",IFERROR(INDEX(고객목록!$B$3:$B$502,MATCH($D1089,고객목록!$A$3:$A$502,0)),""))</f>
        <v/>
      </c>
      <c r="F1089" s="13"/>
      <c r="G1089" s="13"/>
      <c r="H1089" s="14" t="str">
        <f aca="false">IF(OR($L1089="",$M1089=""),"",ROUND(($M1089-$L1089)/60,2))</f>
        <v/>
      </c>
      <c r="I1089" s="9"/>
      <c r="J1089" s="7"/>
      <c r="K1089" s="7"/>
      <c r="L1089" s="15" t="str">
        <f aca="false">IF($F1089="","",IF($F1089&lt;1,ROUND($F1089*1440,0),INT($F1089/100)*60+MOD($F1089,100)))</f>
        <v/>
      </c>
      <c r="M1089" s="15" t="str">
        <f aca="false">IF($G1089="","",IF($G1089&lt;1,ROUND($G1089*1440,0),INT($G1089/100)*60+MOD($G1089,100)))</f>
        <v/>
      </c>
      <c r="N1089" s="15" t="str">
        <f aca="false">IF(OR($A1089="",$B1089="",$L1089="",$M1089="",$J1089="취소"),"",IF(SUMPRODUCT(($A$3:$A$2002=$A1089)*($B$3:$B$2002=$B1089)*($J$3:$J$2002&lt;&gt;"취소")*($L$3:$L$2002&lt;&gt;"")*($M$3:$M$2002&lt;&gt;"")*($L$3:$L$2002&lt;$M1089)*($M$3:$M$2002&gt;$L1089))&gt;1,"중복","-"))</f>
        <v/>
      </c>
    </row>
    <row r="1090" customFormat="false" ht="15" hidden="false" customHeight="true" outlineLevel="0" collapsed="false">
      <c r="A1090" s="11"/>
      <c r="B1090" s="7"/>
      <c r="C1090" s="12" t="str">
        <f aca="false">IF($B1090="","",IFERROR(INDEX(자원목록!$B$3:$B$102,MATCH($B1090,자원목록!$A$3:$A$102,0)),"미등록자원"))</f>
        <v/>
      </c>
      <c r="D1090" s="7"/>
      <c r="E1090" s="12" t="str">
        <f aca="false">IF($D1090="","",IFERROR(INDEX(고객목록!$B$3:$B$502,MATCH($D1090,고객목록!$A$3:$A$502,0)),""))</f>
        <v/>
      </c>
      <c r="F1090" s="13"/>
      <c r="G1090" s="13"/>
      <c r="H1090" s="14" t="str">
        <f aca="false">IF(OR($L1090="",$M1090=""),"",ROUND(($M1090-$L1090)/60,2))</f>
        <v/>
      </c>
      <c r="I1090" s="9"/>
      <c r="J1090" s="7"/>
      <c r="K1090" s="7"/>
      <c r="L1090" s="15" t="str">
        <f aca="false">IF($F1090="","",IF($F1090&lt;1,ROUND($F1090*1440,0),INT($F1090/100)*60+MOD($F1090,100)))</f>
        <v/>
      </c>
      <c r="M1090" s="15" t="str">
        <f aca="false">IF($G1090="","",IF($G1090&lt;1,ROUND($G1090*1440,0),INT($G1090/100)*60+MOD($G1090,100)))</f>
        <v/>
      </c>
      <c r="N1090" s="15" t="str">
        <f aca="false">IF(OR($A1090="",$B1090="",$L1090="",$M1090="",$J1090="취소"),"",IF(SUMPRODUCT(($A$3:$A$2002=$A1090)*($B$3:$B$2002=$B1090)*($J$3:$J$2002&lt;&gt;"취소")*($L$3:$L$2002&lt;&gt;"")*($M$3:$M$2002&lt;&gt;"")*($L$3:$L$2002&lt;$M1090)*($M$3:$M$2002&gt;$L1090))&gt;1,"중복","-"))</f>
        <v/>
      </c>
    </row>
    <row r="1091" customFormat="false" ht="15" hidden="false" customHeight="true" outlineLevel="0" collapsed="false">
      <c r="A1091" s="11"/>
      <c r="B1091" s="7"/>
      <c r="C1091" s="12" t="str">
        <f aca="false">IF($B1091="","",IFERROR(INDEX(자원목록!$B$3:$B$102,MATCH($B1091,자원목록!$A$3:$A$102,0)),"미등록자원"))</f>
        <v/>
      </c>
      <c r="D1091" s="7"/>
      <c r="E1091" s="12" t="str">
        <f aca="false">IF($D1091="","",IFERROR(INDEX(고객목록!$B$3:$B$502,MATCH($D1091,고객목록!$A$3:$A$502,0)),""))</f>
        <v/>
      </c>
      <c r="F1091" s="13"/>
      <c r="G1091" s="13"/>
      <c r="H1091" s="14" t="str">
        <f aca="false">IF(OR($L1091="",$M1091=""),"",ROUND(($M1091-$L1091)/60,2))</f>
        <v/>
      </c>
      <c r="I1091" s="9"/>
      <c r="J1091" s="7"/>
      <c r="K1091" s="7"/>
      <c r="L1091" s="15" t="str">
        <f aca="false">IF($F1091="","",IF($F1091&lt;1,ROUND($F1091*1440,0),INT($F1091/100)*60+MOD($F1091,100)))</f>
        <v/>
      </c>
      <c r="M1091" s="15" t="str">
        <f aca="false">IF($G1091="","",IF($G1091&lt;1,ROUND($G1091*1440,0),INT($G1091/100)*60+MOD($G1091,100)))</f>
        <v/>
      </c>
      <c r="N1091" s="15" t="str">
        <f aca="false">IF(OR($A1091="",$B1091="",$L1091="",$M1091="",$J1091="취소"),"",IF(SUMPRODUCT(($A$3:$A$2002=$A1091)*($B$3:$B$2002=$B1091)*($J$3:$J$2002&lt;&gt;"취소")*($L$3:$L$2002&lt;&gt;"")*($M$3:$M$2002&lt;&gt;"")*($L$3:$L$2002&lt;$M1091)*($M$3:$M$2002&gt;$L1091))&gt;1,"중복","-"))</f>
        <v/>
      </c>
    </row>
    <row r="1092" customFormat="false" ht="15" hidden="false" customHeight="true" outlineLevel="0" collapsed="false">
      <c r="A1092" s="11"/>
      <c r="B1092" s="7"/>
      <c r="C1092" s="12" t="str">
        <f aca="false">IF($B1092="","",IFERROR(INDEX(자원목록!$B$3:$B$102,MATCH($B1092,자원목록!$A$3:$A$102,0)),"미등록자원"))</f>
        <v/>
      </c>
      <c r="D1092" s="7"/>
      <c r="E1092" s="12" t="str">
        <f aca="false">IF($D1092="","",IFERROR(INDEX(고객목록!$B$3:$B$502,MATCH($D1092,고객목록!$A$3:$A$502,0)),""))</f>
        <v/>
      </c>
      <c r="F1092" s="13"/>
      <c r="G1092" s="13"/>
      <c r="H1092" s="14" t="str">
        <f aca="false">IF(OR($L1092="",$M1092=""),"",ROUND(($M1092-$L1092)/60,2))</f>
        <v/>
      </c>
      <c r="I1092" s="9"/>
      <c r="J1092" s="7"/>
      <c r="K1092" s="7"/>
      <c r="L1092" s="15" t="str">
        <f aca="false">IF($F1092="","",IF($F1092&lt;1,ROUND($F1092*1440,0),INT($F1092/100)*60+MOD($F1092,100)))</f>
        <v/>
      </c>
      <c r="M1092" s="15" t="str">
        <f aca="false">IF($G1092="","",IF($G1092&lt;1,ROUND($G1092*1440,0),INT($G1092/100)*60+MOD($G1092,100)))</f>
        <v/>
      </c>
      <c r="N1092" s="15" t="str">
        <f aca="false">IF(OR($A1092="",$B1092="",$L1092="",$M1092="",$J1092="취소"),"",IF(SUMPRODUCT(($A$3:$A$2002=$A1092)*($B$3:$B$2002=$B1092)*($J$3:$J$2002&lt;&gt;"취소")*($L$3:$L$2002&lt;&gt;"")*($M$3:$M$2002&lt;&gt;"")*($L$3:$L$2002&lt;$M1092)*($M$3:$M$2002&gt;$L1092))&gt;1,"중복","-"))</f>
        <v/>
      </c>
    </row>
    <row r="1093" customFormat="false" ht="15" hidden="false" customHeight="true" outlineLevel="0" collapsed="false">
      <c r="A1093" s="11"/>
      <c r="B1093" s="7"/>
      <c r="C1093" s="12" t="str">
        <f aca="false">IF($B1093="","",IFERROR(INDEX(자원목록!$B$3:$B$102,MATCH($B1093,자원목록!$A$3:$A$102,0)),"미등록자원"))</f>
        <v/>
      </c>
      <c r="D1093" s="7"/>
      <c r="E1093" s="12" t="str">
        <f aca="false">IF($D1093="","",IFERROR(INDEX(고객목록!$B$3:$B$502,MATCH($D1093,고객목록!$A$3:$A$502,0)),""))</f>
        <v/>
      </c>
      <c r="F1093" s="13"/>
      <c r="G1093" s="13"/>
      <c r="H1093" s="14" t="str">
        <f aca="false">IF(OR($L1093="",$M1093=""),"",ROUND(($M1093-$L1093)/60,2))</f>
        <v/>
      </c>
      <c r="I1093" s="9"/>
      <c r="J1093" s="7"/>
      <c r="K1093" s="7"/>
      <c r="L1093" s="15" t="str">
        <f aca="false">IF($F1093="","",IF($F1093&lt;1,ROUND($F1093*1440,0),INT($F1093/100)*60+MOD($F1093,100)))</f>
        <v/>
      </c>
      <c r="M1093" s="15" t="str">
        <f aca="false">IF($G1093="","",IF($G1093&lt;1,ROUND($G1093*1440,0),INT($G1093/100)*60+MOD($G1093,100)))</f>
        <v/>
      </c>
      <c r="N1093" s="15" t="str">
        <f aca="false">IF(OR($A1093="",$B1093="",$L1093="",$M1093="",$J1093="취소"),"",IF(SUMPRODUCT(($A$3:$A$2002=$A1093)*($B$3:$B$2002=$B1093)*($J$3:$J$2002&lt;&gt;"취소")*($L$3:$L$2002&lt;&gt;"")*($M$3:$M$2002&lt;&gt;"")*($L$3:$L$2002&lt;$M1093)*($M$3:$M$2002&gt;$L1093))&gt;1,"중복","-"))</f>
        <v/>
      </c>
    </row>
    <row r="1094" customFormat="false" ht="15" hidden="false" customHeight="true" outlineLevel="0" collapsed="false">
      <c r="A1094" s="11"/>
      <c r="B1094" s="7"/>
      <c r="C1094" s="12" t="str">
        <f aca="false">IF($B1094="","",IFERROR(INDEX(자원목록!$B$3:$B$102,MATCH($B1094,자원목록!$A$3:$A$102,0)),"미등록자원"))</f>
        <v/>
      </c>
      <c r="D1094" s="7"/>
      <c r="E1094" s="12" t="str">
        <f aca="false">IF($D1094="","",IFERROR(INDEX(고객목록!$B$3:$B$502,MATCH($D1094,고객목록!$A$3:$A$502,0)),""))</f>
        <v/>
      </c>
      <c r="F1094" s="13"/>
      <c r="G1094" s="13"/>
      <c r="H1094" s="14" t="str">
        <f aca="false">IF(OR($L1094="",$M1094=""),"",ROUND(($M1094-$L1094)/60,2))</f>
        <v/>
      </c>
      <c r="I1094" s="9"/>
      <c r="J1094" s="7"/>
      <c r="K1094" s="7"/>
      <c r="L1094" s="15" t="str">
        <f aca="false">IF($F1094="","",IF($F1094&lt;1,ROUND($F1094*1440,0),INT($F1094/100)*60+MOD($F1094,100)))</f>
        <v/>
      </c>
      <c r="M1094" s="15" t="str">
        <f aca="false">IF($G1094="","",IF($G1094&lt;1,ROUND($G1094*1440,0),INT($G1094/100)*60+MOD($G1094,100)))</f>
        <v/>
      </c>
      <c r="N1094" s="15" t="str">
        <f aca="false">IF(OR($A1094="",$B1094="",$L1094="",$M1094="",$J1094="취소"),"",IF(SUMPRODUCT(($A$3:$A$2002=$A1094)*($B$3:$B$2002=$B1094)*($J$3:$J$2002&lt;&gt;"취소")*($L$3:$L$2002&lt;&gt;"")*($M$3:$M$2002&lt;&gt;"")*($L$3:$L$2002&lt;$M1094)*($M$3:$M$2002&gt;$L1094))&gt;1,"중복","-"))</f>
        <v/>
      </c>
    </row>
    <row r="1095" customFormat="false" ht="15" hidden="false" customHeight="true" outlineLevel="0" collapsed="false">
      <c r="A1095" s="11"/>
      <c r="B1095" s="7"/>
      <c r="C1095" s="12" t="str">
        <f aca="false">IF($B1095="","",IFERROR(INDEX(자원목록!$B$3:$B$102,MATCH($B1095,자원목록!$A$3:$A$102,0)),"미등록자원"))</f>
        <v/>
      </c>
      <c r="D1095" s="7"/>
      <c r="E1095" s="12" t="str">
        <f aca="false">IF($D1095="","",IFERROR(INDEX(고객목록!$B$3:$B$502,MATCH($D1095,고객목록!$A$3:$A$502,0)),""))</f>
        <v/>
      </c>
      <c r="F1095" s="13"/>
      <c r="G1095" s="13"/>
      <c r="H1095" s="14" t="str">
        <f aca="false">IF(OR($L1095="",$M1095=""),"",ROUND(($M1095-$L1095)/60,2))</f>
        <v/>
      </c>
      <c r="I1095" s="9"/>
      <c r="J1095" s="7"/>
      <c r="K1095" s="7"/>
      <c r="L1095" s="15" t="str">
        <f aca="false">IF($F1095="","",IF($F1095&lt;1,ROUND($F1095*1440,0),INT($F1095/100)*60+MOD($F1095,100)))</f>
        <v/>
      </c>
      <c r="M1095" s="15" t="str">
        <f aca="false">IF($G1095="","",IF($G1095&lt;1,ROUND($G1095*1440,0),INT($G1095/100)*60+MOD($G1095,100)))</f>
        <v/>
      </c>
      <c r="N1095" s="15" t="str">
        <f aca="false">IF(OR($A1095="",$B1095="",$L1095="",$M1095="",$J1095="취소"),"",IF(SUMPRODUCT(($A$3:$A$2002=$A1095)*($B$3:$B$2002=$B1095)*($J$3:$J$2002&lt;&gt;"취소")*($L$3:$L$2002&lt;&gt;"")*($M$3:$M$2002&lt;&gt;"")*($L$3:$L$2002&lt;$M1095)*($M$3:$M$2002&gt;$L1095))&gt;1,"중복","-"))</f>
        <v/>
      </c>
    </row>
    <row r="1096" customFormat="false" ht="15" hidden="false" customHeight="true" outlineLevel="0" collapsed="false">
      <c r="A1096" s="11"/>
      <c r="B1096" s="7"/>
      <c r="C1096" s="12" t="str">
        <f aca="false">IF($B1096="","",IFERROR(INDEX(자원목록!$B$3:$B$102,MATCH($B1096,자원목록!$A$3:$A$102,0)),"미등록자원"))</f>
        <v/>
      </c>
      <c r="D1096" s="7"/>
      <c r="E1096" s="12" t="str">
        <f aca="false">IF($D1096="","",IFERROR(INDEX(고객목록!$B$3:$B$502,MATCH($D1096,고객목록!$A$3:$A$502,0)),""))</f>
        <v/>
      </c>
      <c r="F1096" s="13"/>
      <c r="G1096" s="13"/>
      <c r="H1096" s="14" t="str">
        <f aca="false">IF(OR($L1096="",$M1096=""),"",ROUND(($M1096-$L1096)/60,2))</f>
        <v/>
      </c>
      <c r="I1096" s="9"/>
      <c r="J1096" s="7"/>
      <c r="K1096" s="7"/>
      <c r="L1096" s="15" t="str">
        <f aca="false">IF($F1096="","",IF($F1096&lt;1,ROUND($F1096*1440,0),INT($F1096/100)*60+MOD($F1096,100)))</f>
        <v/>
      </c>
      <c r="M1096" s="15" t="str">
        <f aca="false">IF($G1096="","",IF($G1096&lt;1,ROUND($G1096*1440,0),INT($G1096/100)*60+MOD($G1096,100)))</f>
        <v/>
      </c>
      <c r="N1096" s="15" t="str">
        <f aca="false">IF(OR($A1096="",$B1096="",$L1096="",$M1096="",$J1096="취소"),"",IF(SUMPRODUCT(($A$3:$A$2002=$A1096)*($B$3:$B$2002=$B1096)*($J$3:$J$2002&lt;&gt;"취소")*($L$3:$L$2002&lt;&gt;"")*($M$3:$M$2002&lt;&gt;"")*($L$3:$L$2002&lt;$M1096)*($M$3:$M$2002&gt;$L1096))&gt;1,"중복","-"))</f>
        <v/>
      </c>
    </row>
    <row r="1097" customFormat="false" ht="15" hidden="false" customHeight="true" outlineLevel="0" collapsed="false">
      <c r="A1097" s="11"/>
      <c r="B1097" s="7"/>
      <c r="C1097" s="12" t="str">
        <f aca="false">IF($B1097="","",IFERROR(INDEX(자원목록!$B$3:$B$102,MATCH($B1097,자원목록!$A$3:$A$102,0)),"미등록자원"))</f>
        <v/>
      </c>
      <c r="D1097" s="7"/>
      <c r="E1097" s="12" t="str">
        <f aca="false">IF($D1097="","",IFERROR(INDEX(고객목록!$B$3:$B$502,MATCH($D1097,고객목록!$A$3:$A$502,0)),""))</f>
        <v/>
      </c>
      <c r="F1097" s="13"/>
      <c r="G1097" s="13"/>
      <c r="H1097" s="14" t="str">
        <f aca="false">IF(OR($L1097="",$M1097=""),"",ROUND(($M1097-$L1097)/60,2))</f>
        <v/>
      </c>
      <c r="I1097" s="9"/>
      <c r="J1097" s="7"/>
      <c r="K1097" s="7"/>
      <c r="L1097" s="15" t="str">
        <f aca="false">IF($F1097="","",IF($F1097&lt;1,ROUND($F1097*1440,0),INT($F1097/100)*60+MOD($F1097,100)))</f>
        <v/>
      </c>
      <c r="M1097" s="15" t="str">
        <f aca="false">IF($G1097="","",IF($G1097&lt;1,ROUND($G1097*1440,0),INT($G1097/100)*60+MOD($G1097,100)))</f>
        <v/>
      </c>
      <c r="N1097" s="15" t="str">
        <f aca="false">IF(OR($A1097="",$B1097="",$L1097="",$M1097="",$J1097="취소"),"",IF(SUMPRODUCT(($A$3:$A$2002=$A1097)*($B$3:$B$2002=$B1097)*($J$3:$J$2002&lt;&gt;"취소")*($L$3:$L$2002&lt;&gt;"")*($M$3:$M$2002&lt;&gt;"")*($L$3:$L$2002&lt;$M1097)*($M$3:$M$2002&gt;$L1097))&gt;1,"중복","-"))</f>
        <v/>
      </c>
    </row>
    <row r="1098" customFormat="false" ht="15" hidden="false" customHeight="true" outlineLevel="0" collapsed="false">
      <c r="A1098" s="11"/>
      <c r="B1098" s="7"/>
      <c r="C1098" s="12" t="str">
        <f aca="false">IF($B1098="","",IFERROR(INDEX(자원목록!$B$3:$B$102,MATCH($B1098,자원목록!$A$3:$A$102,0)),"미등록자원"))</f>
        <v/>
      </c>
      <c r="D1098" s="7"/>
      <c r="E1098" s="12" t="str">
        <f aca="false">IF($D1098="","",IFERROR(INDEX(고객목록!$B$3:$B$502,MATCH($D1098,고객목록!$A$3:$A$502,0)),""))</f>
        <v/>
      </c>
      <c r="F1098" s="13"/>
      <c r="G1098" s="13"/>
      <c r="H1098" s="14" t="str">
        <f aca="false">IF(OR($L1098="",$M1098=""),"",ROUND(($M1098-$L1098)/60,2))</f>
        <v/>
      </c>
      <c r="I1098" s="9"/>
      <c r="J1098" s="7"/>
      <c r="K1098" s="7"/>
      <c r="L1098" s="15" t="str">
        <f aca="false">IF($F1098="","",IF($F1098&lt;1,ROUND($F1098*1440,0),INT($F1098/100)*60+MOD($F1098,100)))</f>
        <v/>
      </c>
      <c r="M1098" s="15" t="str">
        <f aca="false">IF($G1098="","",IF($G1098&lt;1,ROUND($G1098*1440,0),INT($G1098/100)*60+MOD($G1098,100)))</f>
        <v/>
      </c>
      <c r="N1098" s="15" t="str">
        <f aca="false">IF(OR($A1098="",$B1098="",$L1098="",$M1098="",$J1098="취소"),"",IF(SUMPRODUCT(($A$3:$A$2002=$A1098)*($B$3:$B$2002=$B1098)*($J$3:$J$2002&lt;&gt;"취소")*($L$3:$L$2002&lt;&gt;"")*($M$3:$M$2002&lt;&gt;"")*($L$3:$L$2002&lt;$M1098)*($M$3:$M$2002&gt;$L1098))&gt;1,"중복","-"))</f>
        <v/>
      </c>
    </row>
    <row r="1099" customFormat="false" ht="15" hidden="false" customHeight="true" outlineLevel="0" collapsed="false">
      <c r="A1099" s="11"/>
      <c r="B1099" s="7"/>
      <c r="C1099" s="12" t="str">
        <f aca="false">IF($B1099="","",IFERROR(INDEX(자원목록!$B$3:$B$102,MATCH($B1099,자원목록!$A$3:$A$102,0)),"미등록자원"))</f>
        <v/>
      </c>
      <c r="D1099" s="7"/>
      <c r="E1099" s="12" t="str">
        <f aca="false">IF($D1099="","",IFERROR(INDEX(고객목록!$B$3:$B$502,MATCH($D1099,고객목록!$A$3:$A$502,0)),""))</f>
        <v/>
      </c>
      <c r="F1099" s="13"/>
      <c r="G1099" s="13"/>
      <c r="H1099" s="14" t="str">
        <f aca="false">IF(OR($L1099="",$M1099=""),"",ROUND(($M1099-$L1099)/60,2))</f>
        <v/>
      </c>
      <c r="I1099" s="9"/>
      <c r="J1099" s="7"/>
      <c r="K1099" s="7"/>
      <c r="L1099" s="15" t="str">
        <f aca="false">IF($F1099="","",IF($F1099&lt;1,ROUND($F1099*1440,0),INT($F1099/100)*60+MOD($F1099,100)))</f>
        <v/>
      </c>
      <c r="M1099" s="15" t="str">
        <f aca="false">IF($G1099="","",IF($G1099&lt;1,ROUND($G1099*1440,0),INT($G1099/100)*60+MOD($G1099,100)))</f>
        <v/>
      </c>
      <c r="N1099" s="15" t="str">
        <f aca="false">IF(OR($A1099="",$B1099="",$L1099="",$M1099="",$J1099="취소"),"",IF(SUMPRODUCT(($A$3:$A$2002=$A1099)*($B$3:$B$2002=$B1099)*($J$3:$J$2002&lt;&gt;"취소")*($L$3:$L$2002&lt;&gt;"")*($M$3:$M$2002&lt;&gt;"")*($L$3:$L$2002&lt;$M1099)*($M$3:$M$2002&gt;$L1099))&gt;1,"중복","-"))</f>
        <v/>
      </c>
    </row>
    <row r="1100" customFormat="false" ht="15" hidden="false" customHeight="true" outlineLevel="0" collapsed="false">
      <c r="A1100" s="11"/>
      <c r="B1100" s="7"/>
      <c r="C1100" s="12" t="str">
        <f aca="false">IF($B1100="","",IFERROR(INDEX(자원목록!$B$3:$B$102,MATCH($B1100,자원목록!$A$3:$A$102,0)),"미등록자원"))</f>
        <v/>
      </c>
      <c r="D1100" s="7"/>
      <c r="E1100" s="12" t="str">
        <f aca="false">IF($D1100="","",IFERROR(INDEX(고객목록!$B$3:$B$502,MATCH($D1100,고객목록!$A$3:$A$502,0)),""))</f>
        <v/>
      </c>
      <c r="F1100" s="13"/>
      <c r="G1100" s="13"/>
      <c r="H1100" s="14" t="str">
        <f aca="false">IF(OR($L1100="",$M1100=""),"",ROUND(($M1100-$L1100)/60,2))</f>
        <v/>
      </c>
      <c r="I1100" s="9"/>
      <c r="J1100" s="7"/>
      <c r="K1100" s="7"/>
      <c r="L1100" s="15" t="str">
        <f aca="false">IF($F1100="","",IF($F1100&lt;1,ROUND($F1100*1440,0),INT($F1100/100)*60+MOD($F1100,100)))</f>
        <v/>
      </c>
      <c r="M1100" s="15" t="str">
        <f aca="false">IF($G1100="","",IF($G1100&lt;1,ROUND($G1100*1440,0),INT($G1100/100)*60+MOD($G1100,100)))</f>
        <v/>
      </c>
      <c r="N1100" s="15" t="str">
        <f aca="false">IF(OR($A1100="",$B1100="",$L1100="",$M1100="",$J1100="취소"),"",IF(SUMPRODUCT(($A$3:$A$2002=$A1100)*($B$3:$B$2002=$B1100)*($J$3:$J$2002&lt;&gt;"취소")*($L$3:$L$2002&lt;&gt;"")*($M$3:$M$2002&lt;&gt;"")*($L$3:$L$2002&lt;$M1100)*($M$3:$M$2002&gt;$L1100))&gt;1,"중복","-"))</f>
        <v/>
      </c>
    </row>
    <row r="1101" customFormat="false" ht="15" hidden="false" customHeight="true" outlineLevel="0" collapsed="false">
      <c r="A1101" s="11"/>
      <c r="B1101" s="7"/>
      <c r="C1101" s="12" t="str">
        <f aca="false">IF($B1101="","",IFERROR(INDEX(자원목록!$B$3:$B$102,MATCH($B1101,자원목록!$A$3:$A$102,0)),"미등록자원"))</f>
        <v/>
      </c>
      <c r="D1101" s="7"/>
      <c r="E1101" s="12" t="str">
        <f aca="false">IF($D1101="","",IFERROR(INDEX(고객목록!$B$3:$B$502,MATCH($D1101,고객목록!$A$3:$A$502,0)),""))</f>
        <v/>
      </c>
      <c r="F1101" s="13"/>
      <c r="G1101" s="13"/>
      <c r="H1101" s="14" t="str">
        <f aca="false">IF(OR($L1101="",$M1101=""),"",ROUND(($M1101-$L1101)/60,2))</f>
        <v/>
      </c>
      <c r="I1101" s="9"/>
      <c r="J1101" s="7"/>
      <c r="K1101" s="7"/>
      <c r="L1101" s="15" t="str">
        <f aca="false">IF($F1101="","",IF($F1101&lt;1,ROUND($F1101*1440,0),INT($F1101/100)*60+MOD($F1101,100)))</f>
        <v/>
      </c>
      <c r="M1101" s="15" t="str">
        <f aca="false">IF($G1101="","",IF($G1101&lt;1,ROUND($G1101*1440,0),INT($G1101/100)*60+MOD($G1101,100)))</f>
        <v/>
      </c>
      <c r="N1101" s="15" t="str">
        <f aca="false">IF(OR($A1101="",$B1101="",$L1101="",$M1101="",$J1101="취소"),"",IF(SUMPRODUCT(($A$3:$A$2002=$A1101)*($B$3:$B$2002=$B1101)*($J$3:$J$2002&lt;&gt;"취소")*($L$3:$L$2002&lt;&gt;"")*($M$3:$M$2002&lt;&gt;"")*($L$3:$L$2002&lt;$M1101)*($M$3:$M$2002&gt;$L1101))&gt;1,"중복","-"))</f>
        <v/>
      </c>
    </row>
    <row r="1102" customFormat="false" ht="15" hidden="false" customHeight="true" outlineLevel="0" collapsed="false">
      <c r="A1102" s="11"/>
      <c r="B1102" s="7"/>
      <c r="C1102" s="12" t="str">
        <f aca="false">IF($B1102="","",IFERROR(INDEX(자원목록!$B$3:$B$102,MATCH($B1102,자원목록!$A$3:$A$102,0)),"미등록자원"))</f>
        <v/>
      </c>
      <c r="D1102" s="7"/>
      <c r="E1102" s="12" t="str">
        <f aca="false">IF($D1102="","",IFERROR(INDEX(고객목록!$B$3:$B$502,MATCH($D1102,고객목록!$A$3:$A$502,0)),""))</f>
        <v/>
      </c>
      <c r="F1102" s="13"/>
      <c r="G1102" s="13"/>
      <c r="H1102" s="14" t="str">
        <f aca="false">IF(OR($L1102="",$M1102=""),"",ROUND(($M1102-$L1102)/60,2))</f>
        <v/>
      </c>
      <c r="I1102" s="9"/>
      <c r="J1102" s="7"/>
      <c r="K1102" s="7"/>
      <c r="L1102" s="15" t="str">
        <f aca="false">IF($F1102="","",IF($F1102&lt;1,ROUND($F1102*1440,0),INT($F1102/100)*60+MOD($F1102,100)))</f>
        <v/>
      </c>
      <c r="M1102" s="15" t="str">
        <f aca="false">IF($G1102="","",IF($G1102&lt;1,ROUND($G1102*1440,0),INT($G1102/100)*60+MOD($G1102,100)))</f>
        <v/>
      </c>
      <c r="N1102" s="15" t="str">
        <f aca="false">IF(OR($A1102="",$B1102="",$L1102="",$M1102="",$J1102="취소"),"",IF(SUMPRODUCT(($A$3:$A$2002=$A1102)*($B$3:$B$2002=$B1102)*($J$3:$J$2002&lt;&gt;"취소")*($L$3:$L$2002&lt;&gt;"")*($M$3:$M$2002&lt;&gt;"")*($L$3:$L$2002&lt;$M1102)*($M$3:$M$2002&gt;$L1102))&gt;1,"중복","-"))</f>
        <v/>
      </c>
    </row>
    <row r="1103" customFormat="false" ht="15" hidden="false" customHeight="true" outlineLevel="0" collapsed="false">
      <c r="A1103" s="11"/>
      <c r="B1103" s="7"/>
      <c r="C1103" s="12" t="str">
        <f aca="false">IF($B1103="","",IFERROR(INDEX(자원목록!$B$3:$B$102,MATCH($B1103,자원목록!$A$3:$A$102,0)),"미등록자원"))</f>
        <v/>
      </c>
      <c r="D1103" s="7"/>
      <c r="E1103" s="12" t="str">
        <f aca="false">IF($D1103="","",IFERROR(INDEX(고객목록!$B$3:$B$502,MATCH($D1103,고객목록!$A$3:$A$502,0)),""))</f>
        <v/>
      </c>
      <c r="F1103" s="13"/>
      <c r="G1103" s="13"/>
      <c r="H1103" s="14" t="str">
        <f aca="false">IF(OR($L1103="",$M1103=""),"",ROUND(($M1103-$L1103)/60,2))</f>
        <v/>
      </c>
      <c r="I1103" s="9"/>
      <c r="J1103" s="7"/>
      <c r="K1103" s="7"/>
      <c r="L1103" s="15" t="str">
        <f aca="false">IF($F1103="","",IF($F1103&lt;1,ROUND($F1103*1440,0),INT($F1103/100)*60+MOD($F1103,100)))</f>
        <v/>
      </c>
      <c r="M1103" s="15" t="str">
        <f aca="false">IF($G1103="","",IF($G1103&lt;1,ROUND($G1103*1440,0),INT($G1103/100)*60+MOD($G1103,100)))</f>
        <v/>
      </c>
      <c r="N1103" s="15" t="str">
        <f aca="false">IF(OR($A1103="",$B1103="",$L1103="",$M1103="",$J1103="취소"),"",IF(SUMPRODUCT(($A$3:$A$2002=$A1103)*($B$3:$B$2002=$B1103)*($J$3:$J$2002&lt;&gt;"취소")*($L$3:$L$2002&lt;&gt;"")*($M$3:$M$2002&lt;&gt;"")*($L$3:$L$2002&lt;$M1103)*($M$3:$M$2002&gt;$L1103))&gt;1,"중복","-"))</f>
        <v/>
      </c>
    </row>
    <row r="1104" customFormat="false" ht="15" hidden="false" customHeight="true" outlineLevel="0" collapsed="false">
      <c r="A1104" s="11"/>
      <c r="B1104" s="7"/>
      <c r="C1104" s="12" t="str">
        <f aca="false">IF($B1104="","",IFERROR(INDEX(자원목록!$B$3:$B$102,MATCH($B1104,자원목록!$A$3:$A$102,0)),"미등록자원"))</f>
        <v/>
      </c>
      <c r="D1104" s="7"/>
      <c r="E1104" s="12" t="str">
        <f aca="false">IF($D1104="","",IFERROR(INDEX(고객목록!$B$3:$B$502,MATCH($D1104,고객목록!$A$3:$A$502,0)),""))</f>
        <v/>
      </c>
      <c r="F1104" s="13"/>
      <c r="G1104" s="13"/>
      <c r="H1104" s="14" t="str">
        <f aca="false">IF(OR($L1104="",$M1104=""),"",ROUND(($M1104-$L1104)/60,2))</f>
        <v/>
      </c>
      <c r="I1104" s="9"/>
      <c r="J1104" s="7"/>
      <c r="K1104" s="7"/>
      <c r="L1104" s="15" t="str">
        <f aca="false">IF($F1104="","",IF($F1104&lt;1,ROUND($F1104*1440,0),INT($F1104/100)*60+MOD($F1104,100)))</f>
        <v/>
      </c>
      <c r="M1104" s="15" t="str">
        <f aca="false">IF($G1104="","",IF($G1104&lt;1,ROUND($G1104*1440,0),INT($G1104/100)*60+MOD($G1104,100)))</f>
        <v/>
      </c>
      <c r="N1104" s="15" t="str">
        <f aca="false">IF(OR($A1104="",$B1104="",$L1104="",$M1104="",$J1104="취소"),"",IF(SUMPRODUCT(($A$3:$A$2002=$A1104)*($B$3:$B$2002=$B1104)*($J$3:$J$2002&lt;&gt;"취소")*($L$3:$L$2002&lt;&gt;"")*($M$3:$M$2002&lt;&gt;"")*($L$3:$L$2002&lt;$M1104)*($M$3:$M$2002&gt;$L1104))&gt;1,"중복","-"))</f>
        <v/>
      </c>
    </row>
    <row r="1105" customFormat="false" ht="15" hidden="false" customHeight="true" outlineLevel="0" collapsed="false">
      <c r="A1105" s="11"/>
      <c r="B1105" s="7"/>
      <c r="C1105" s="12" t="str">
        <f aca="false">IF($B1105="","",IFERROR(INDEX(자원목록!$B$3:$B$102,MATCH($B1105,자원목록!$A$3:$A$102,0)),"미등록자원"))</f>
        <v/>
      </c>
      <c r="D1105" s="7"/>
      <c r="E1105" s="12" t="str">
        <f aca="false">IF($D1105="","",IFERROR(INDEX(고객목록!$B$3:$B$502,MATCH($D1105,고객목록!$A$3:$A$502,0)),""))</f>
        <v/>
      </c>
      <c r="F1105" s="13"/>
      <c r="G1105" s="13"/>
      <c r="H1105" s="14" t="str">
        <f aca="false">IF(OR($L1105="",$M1105=""),"",ROUND(($M1105-$L1105)/60,2))</f>
        <v/>
      </c>
      <c r="I1105" s="9"/>
      <c r="J1105" s="7"/>
      <c r="K1105" s="7"/>
      <c r="L1105" s="15" t="str">
        <f aca="false">IF($F1105="","",IF($F1105&lt;1,ROUND($F1105*1440,0),INT($F1105/100)*60+MOD($F1105,100)))</f>
        <v/>
      </c>
      <c r="M1105" s="15" t="str">
        <f aca="false">IF($G1105="","",IF($G1105&lt;1,ROUND($G1105*1440,0),INT($G1105/100)*60+MOD($G1105,100)))</f>
        <v/>
      </c>
      <c r="N1105" s="15" t="str">
        <f aca="false">IF(OR($A1105="",$B1105="",$L1105="",$M1105="",$J1105="취소"),"",IF(SUMPRODUCT(($A$3:$A$2002=$A1105)*($B$3:$B$2002=$B1105)*($J$3:$J$2002&lt;&gt;"취소")*($L$3:$L$2002&lt;&gt;"")*($M$3:$M$2002&lt;&gt;"")*($L$3:$L$2002&lt;$M1105)*($M$3:$M$2002&gt;$L1105))&gt;1,"중복","-"))</f>
        <v/>
      </c>
    </row>
    <row r="1106" customFormat="false" ht="15" hidden="false" customHeight="true" outlineLevel="0" collapsed="false">
      <c r="A1106" s="11"/>
      <c r="B1106" s="7"/>
      <c r="C1106" s="12" t="str">
        <f aca="false">IF($B1106="","",IFERROR(INDEX(자원목록!$B$3:$B$102,MATCH($B1106,자원목록!$A$3:$A$102,0)),"미등록자원"))</f>
        <v/>
      </c>
      <c r="D1106" s="7"/>
      <c r="E1106" s="12" t="str">
        <f aca="false">IF($D1106="","",IFERROR(INDEX(고객목록!$B$3:$B$502,MATCH($D1106,고객목록!$A$3:$A$502,0)),""))</f>
        <v/>
      </c>
      <c r="F1106" s="13"/>
      <c r="G1106" s="13"/>
      <c r="H1106" s="14" t="str">
        <f aca="false">IF(OR($L1106="",$M1106=""),"",ROUND(($M1106-$L1106)/60,2))</f>
        <v/>
      </c>
      <c r="I1106" s="9"/>
      <c r="J1106" s="7"/>
      <c r="K1106" s="7"/>
      <c r="L1106" s="15" t="str">
        <f aca="false">IF($F1106="","",IF($F1106&lt;1,ROUND($F1106*1440,0),INT($F1106/100)*60+MOD($F1106,100)))</f>
        <v/>
      </c>
      <c r="M1106" s="15" t="str">
        <f aca="false">IF($G1106="","",IF($G1106&lt;1,ROUND($G1106*1440,0),INT($G1106/100)*60+MOD($G1106,100)))</f>
        <v/>
      </c>
      <c r="N1106" s="15" t="str">
        <f aca="false">IF(OR($A1106="",$B1106="",$L1106="",$M1106="",$J1106="취소"),"",IF(SUMPRODUCT(($A$3:$A$2002=$A1106)*($B$3:$B$2002=$B1106)*($J$3:$J$2002&lt;&gt;"취소")*($L$3:$L$2002&lt;&gt;"")*($M$3:$M$2002&lt;&gt;"")*($L$3:$L$2002&lt;$M1106)*($M$3:$M$2002&gt;$L1106))&gt;1,"중복","-"))</f>
        <v/>
      </c>
    </row>
    <row r="1107" customFormat="false" ht="15" hidden="false" customHeight="true" outlineLevel="0" collapsed="false">
      <c r="A1107" s="11"/>
      <c r="B1107" s="7"/>
      <c r="C1107" s="12" t="str">
        <f aca="false">IF($B1107="","",IFERROR(INDEX(자원목록!$B$3:$B$102,MATCH($B1107,자원목록!$A$3:$A$102,0)),"미등록자원"))</f>
        <v/>
      </c>
      <c r="D1107" s="7"/>
      <c r="E1107" s="12" t="str">
        <f aca="false">IF($D1107="","",IFERROR(INDEX(고객목록!$B$3:$B$502,MATCH($D1107,고객목록!$A$3:$A$502,0)),""))</f>
        <v/>
      </c>
      <c r="F1107" s="13"/>
      <c r="G1107" s="13"/>
      <c r="H1107" s="14" t="str">
        <f aca="false">IF(OR($L1107="",$M1107=""),"",ROUND(($M1107-$L1107)/60,2))</f>
        <v/>
      </c>
      <c r="I1107" s="9"/>
      <c r="J1107" s="7"/>
      <c r="K1107" s="7"/>
      <c r="L1107" s="15" t="str">
        <f aca="false">IF($F1107="","",IF($F1107&lt;1,ROUND($F1107*1440,0),INT($F1107/100)*60+MOD($F1107,100)))</f>
        <v/>
      </c>
      <c r="M1107" s="15" t="str">
        <f aca="false">IF($G1107="","",IF($G1107&lt;1,ROUND($G1107*1440,0),INT($G1107/100)*60+MOD($G1107,100)))</f>
        <v/>
      </c>
      <c r="N1107" s="15" t="str">
        <f aca="false">IF(OR($A1107="",$B1107="",$L1107="",$M1107="",$J1107="취소"),"",IF(SUMPRODUCT(($A$3:$A$2002=$A1107)*($B$3:$B$2002=$B1107)*($J$3:$J$2002&lt;&gt;"취소")*($L$3:$L$2002&lt;&gt;"")*($M$3:$M$2002&lt;&gt;"")*($L$3:$L$2002&lt;$M1107)*($M$3:$M$2002&gt;$L1107))&gt;1,"중복","-"))</f>
        <v/>
      </c>
    </row>
    <row r="1108" customFormat="false" ht="15" hidden="false" customHeight="true" outlineLevel="0" collapsed="false">
      <c r="A1108" s="11"/>
      <c r="B1108" s="7"/>
      <c r="C1108" s="12" t="str">
        <f aca="false">IF($B1108="","",IFERROR(INDEX(자원목록!$B$3:$B$102,MATCH($B1108,자원목록!$A$3:$A$102,0)),"미등록자원"))</f>
        <v/>
      </c>
      <c r="D1108" s="7"/>
      <c r="E1108" s="12" t="str">
        <f aca="false">IF($D1108="","",IFERROR(INDEX(고객목록!$B$3:$B$502,MATCH($D1108,고객목록!$A$3:$A$502,0)),""))</f>
        <v/>
      </c>
      <c r="F1108" s="13"/>
      <c r="G1108" s="13"/>
      <c r="H1108" s="14" t="str">
        <f aca="false">IF(OR($L1108="",$M1108=""),"",ROUND(($M1108-$L1108)/60,2))</f>
        <v/>
      </c>
      <c r="I1108" s="9"/>
      <c r="J1108" s="7"/>
      <c r="K1108" s="7"/>
      <c r="L1108" s="15" t="str">
        <f aca="false">IF($F1108="","",IF($F1108&lt;1,ROUND($F1108*1440,0),INT($F1108/100)*60+MOD($F1108,100)))</f>
        <v/>
      </c>
      <c r="M1108" s="15" t="str">
        <f aca="false">IF($G1108="","",IF($G1108&lt;1,ROUND($G1108*1440,0),INT($G1108/100)*60+MOD($G1108,100)))</f>
        <v/>
      </c>
      <c r="N1108" s="15" t="str">
        <f aca="false">IF(OR($A1108="",$B1108="",$L1108="",$M1108="",$J1108="취소"),"",IF(SUMPRODUCT(($A$3:$A$2002=$A1108)*($B$3:$B$2002=$B1108)*($J$3:$J$2002&lt;&gt;"취소")*($L$3:$L$2002&lt;&gt;"")*($M$3:$M$2002&lt;&gt;"")*($L$3:$L$2002&lt;$M1108)*($M$3:$M$2002&gt;$L1108))&gt;1,"중복","-"))</f>
        <v/>
      </c>
    </row>
    <row r="1109" customFormat="false" ht="15" hidden="false" customHeight="true" outlineLevel="0" collapsed="false">
      <c r="A1109" s="11"/>
      <c r="B1109" s="7"/>
      <c r="C1109" s="12" t="str">
        <f aca="false">IF($B1109="","",IFERROR(INDEX(자원목록!$B$3:$B$102,MATCH($B1109,자원목록!$A$3:$A$102,0)),"미등록자원"))</f>
        <v/>
      </c>
      <c r="D1109" s="7"/>
      <c r="E1109" s="12" t="str">
        <f aca="false">IF($D1109="","",IFERROR(INDEX(고객목록!$B$3:$B$502,MATCH($D1109,고객목록!$A$3:$A$502,0)),""))</f>
        <v/>
      </c>
      <c r="F1109" s="13"/>
      <c r="G1109" s="13"/>
      <c r="H1109" s="14" t="str">
        <f aca="false">IF(OR($L1109="",$M1109=""),"",ROUND(($M1109-$L1109)/60,2))</f>
        <v/>
      </c>
      <c r="I1109" s="9"/>
      <c r="J1109" s="7"/>
      <c r="K1109" s="7"/>
      <c r="L1109" s="15" t="str">
        <f aca="false">IF($F1109="","",IF($F1109&lt;1,ROUND($F1109*1440,0),INT($F1109/100)*60+MOD($F1109,100)))</f>
        <v/>
      </c>
      <c r="M1109" s="15" t="str">
        <f aca="false">IF($G1109="","",IF($G1109&lt;1,ROUND($G1109*1440,0),INT($G1109/100)*60+MOD($G1109,100)))</f>
        <v/>
      </c>
      <c r="N1109" s="15" t="str">
        <f aca="false">IF(OR($A1109="",$B1109="",$L1109="",$M1109="",$J1109="취소"),"",IF(SUMPRODUCT(($A$3:$A$2002=$A1109)*($B$3:$B$2002=$B1109)*($J$3:$J$2002&lt;&gt;"취소")*($L$3:$L$2002&lt;&gt;"")*($M$3:$M$2002&lt;&gt;"")*($L$3:$L$2002&lt;$M1109)*($M$3:$M$2002&gt;$L1109))&gt;1,"중복","-"))</f>
        <v/>
      </c>
    </row>
    <row r="1110" customFormat="false" ht="15" hidden="false" customHeight="true" outlineLevel="0" collapsed="false">
      <c r="A1110" s="11"/>
      <c r="B1110" s="7"/>
      <c r="C1110" s="12" t="str">
        <f aca="false">IF($B1110="","",IFERROR(INDEX(자원목록!$B$3:$B$102,MATCH($B1110,자원목록!$A$3:$A$102,0)),"미등록자원"))</f>
        <v/>
      </c>
      <c r="D1110" s="7"/>
      <c r="E1110" s="12" t="str">
        <f aca="false">IF($D1110="","",IFERROR(INDEX(고객목록!$B$3:$B$502,MATCH($D1110,고객목록!$A$3:$A$502,0)),""))</f>
        <v/>
      </c>
      <c r="F1110" s="13"/>
      <c r="G1110" s="13"/>
      <c r="H1110" s="14" t="str">
        <f aca="false">IF(OR($L1110="",$M1110=""),"",ROUND(($M1110-$L1110)/60,2))</f>
        <v/>
      </c>
      <c r="I1110" s="9"/>
      <c r="J1110" s="7"/>
      <c r="K1110" s="7"/>
      <c r="L1110" s="15" t="str">
        <f aca="false">IF($F1110="","",IF($F1110&lt;1,ROUND($F1110*1440,0),INT($F1110/100)*60+MOD($F1110,100)))</f>
        <v/>
      </c>
      <c r="M1110" s="15" t="str">
        <f aca="false">IF($G1110="","",IF($G1110&lt;1,ROUND($G1110*1440,0),INT($G1110/100)*60+MOD($G1110,100)))</f>
        <v/>
      </c>
      <c r="N1110" s="15" t="str">
        <f aca="false">IF(OR($A1110="",$B1110="",$L1110="",$M1110="",$J1110="취소"),"",IF(SUMPRODUCT(($A$3:$A$2002=$A1110)*($B$3:$B$2002=$B1110)*($J$3:$J$2002&lt;&gt;"취소")*($L$3:$L$2002&lt;&gt;"")*($M$3:$M$2002&lt;&gt;"")*($L$3:$L$2002&lt;$M1110)*($M$3:$M$2002&gt;$L1110))&gt;1,"중복","-"))</f>
        <v/>
      </c>
    </row>
    <row r="1111" customFormat="false" ht="15" hidden="false" customHeight="true" outlineLevel="0" collapsed="false">
      <c r="A1111" s="11"/>
      <c r="B1111" s="7"/>
      <c r="C1111" s="12" t="str">
        <f aca="false">IF($B1111="","",IFERROR(INDEX(자원목록!$B$3:$B$102,MATCH($B1111,자원목록!$A$3:$A$102,0)),"미등록자원"))</f>
        <v/>
      </c>
      <c r="D1111" s="7"/>
      <c r="E1111" s="12" t="str">
        <f aca="false">IF($D1111="","",IFERROR(INDEX(고객목록!$B$3:$B$502,MATCH($D1111,고객목록!$A$3:$A$502,0)),""))</f>
        <v/>
      </c>
      <c r="F1111" s="13"/>
      <c r="G1111" s="13"/>
      <c r="H1111" s="14" t="str">
        <f aca="false">IF(OR($L1111="",$M1111=""),"",ROUND(($M1111-$L1111)/60,2))</f>
        <v/>
      </c>
      <c r="I1111" s="9"/>
      <c r="J1111" s="7"/>
      <c r="K1111" s="7"/>
      <c r="L1111" s="15" t="str">
        <f aca="false">IF($F1111="","",IF($F1111&lt;1,ROUND($F1111*1440,0),INT($F1111/100)*60+MOD($F1111,100)))</f>
        <v/>
      </c>
      <c r="M1111" s="15" t="str">
        <f aca="false">IF($G1111="","",IF($G1111&lt;1,ROUND($G1111*1440,0),INT($G1111/100)*60+MOD($G1111,100)))</f>
        <v/>
      </c>
      <c r="N1111" s="15" t="str">
        <f aca="false">IF(OR($A1111="",$B1111="",$L1111="",$M1111="",$J1111="취소"),"",IF(SUMPRODUCT(($A$3:$A$2002=$A1111)*($B$3:$B$2002=$B1111)*($J$3:$J$2002&lt;&gt;"취소")*($L$3:$L$2002&lt;&gt;"")*($M$3:$M$2002&lt;&gt;"")*($L$3:$L$2002&lt;$M1111)*($M$3:$M$2002&gt;$L1111))&gt;1,"중복","-"))</f>
        <v/>
      </c>
    </row>
    <row r="1112" customFormat="false" ht="15" hidden="false" customHeight="true" outlineLevel="0" collapsed="false">
      <c r="A1112" s="11"/>
      <c r="B1112" s="7"/>
      <c r="C1112" s="12" t="str">
        <f aca="false">IF($B1112="","",IFERROR(INDEX(자원목록!$B$3:$B$102,MATCH($B1112,자원목록!$A$3:$A$102,0)),"미등록자원"))</f>
        <v/>
      </c>
      <c r="D1112" s="7"/>
      <c r="E1112" s="12" t="str">
        <f aca="false">IF($D1112="","",IFERROR(INDEX(고객목록!$B$3:$B$502,MATCH($D1112,고객목록!$A$3:$A$502,0)),""))</f>
        <v/>
      </c>
      <c r="F1112" s="13"/>
      <c r="G1112" s="13"/>
      <c r="H1112" s="14" t="str">
        <f aca="false">IF(OR($L1112="",$M1112=""),"",ROUND(($M1112-$L1112)/60,2))</f>
        <v/>
      </c>
      <c r="I1112" s="9"/>
      <c r="J1112" s="7"/>
      <c r="K1112" s="7"/>
      <c r="L1112" s="15" t="str">
        <f aca="false">IF($F1112="","",IF($F1112&lt;1,ROUND($F1112*1440,0),INT($F1112/100)*60+MOD($F1112,100)))</f>
        <v/>
      </c>
      <c r="M1112" s="15" t="str">
        <f aca="false">IF($G1112="","",IF($G1112&lt;1,ROUND($G1112*1440,0),INT($G1112/100)*60+MOD($G1112,100)))</f>
        <v/>
      </c>
      <c r="N1112" s="15" t="str">
        <f aca="false">IF(OR($A1112="",$B1112="",$L1112="",$M1112="",$J1112="취소"),"",IF(SUMPRODUCT(($A$3:$A$2002=$A1112)*($B$3:$B$2002=$B1112)*($J$3:$J$2002&lt;&gt;"취소")*($L$3:$L$2002&lt;&gt;"")*($M$3:$M$2002&lt;&gt;"")*($L$3:$L$2002&lt;$M1112)*($M$3:$M$2002&gt;$L1112))&gt;1,"중복","-"))</f>
        <v/>
      </c>
    </row>
    <row r="1113" customFormat="false" ht="15" hidden="false" customHeight="true" outlineLevel="0" collapsed="false">
      <c r="A1113" s="11"/>
      <c r="B1113" s="7"/>
      <c r="C1113" s="12" t="str">
        <f aca="false">IF($B1113="","",IFERROR(INDEX(자원목록!$B$3:$B$102,MATCH($B1113,자원목록!$A$3:$A$102,0)),"미등록자원"))</f>
        <v/>
      </c>
      <c r="D1113" s="7"/>
      <c r="E1113" s="12" t="str">
        <f aca="false">IF($D1113="","",IFERROR(INDEX(고객목록!$B$3:$B$502,MATCH($D1113,고객목록!$A$3:$A$502,0)),""))</f>
        <v/>
      </c>
      <c r="F1113" s="13"/>
      <c r="G1113" s="13"/>
      <c r="H1113" s="14" t="str">
        <f aca="false">IF(OR($L1113="",$M1113=""),"",ROUND(($M1113-$L1113)/60,2))</f>
        <v/>
      </c>
      <c r="I1113" s="9"/>
      <c r="J1113" s="7"/>
      <c r="K1113" s="7"/>
      <c r="L1113" s="15" t="str">
        <f aca="false">IF($F1113="","",IF($F1113&lt;1,ROUND($F1113*1440,0),INT($F1113/100)*60+MOD($F1113,100)))</f>
        <v/>
      </c>
      <c r="M1113" s="15" t="str">
        <f aca="false">IF($G1113="","",IF($G1113&lt;1,ROUND($G1113*1440,0),INT($G1113/100)*60+MOD($G1113,100)))</f>
        <v/>
      </c>
      <c r="N1113" s="15" t="str">
        <f aca="false">IF(OR($A1113="",$B1113="",$L1113="",$M1113="",$J1113="취소"),"",IF(SUMPRODUCT(($A$3:$A$2002=$A1113)*($B$3:$B$2002=$B1113)*($J$3:$J$2002&lt;&gt;"취소")*($L$3:$L$2002&lt;&gt;"")*($M$3:$M$2002&lt;&gt;"")*($L$3:$L$2002&lt;$M1113)*($M$3:$M$2002&gt;$L1113))&gt;1,"중복","-"))</f>
        <v/>
      </c>
    </row>
    <row r="1114" customFormat="false" ht="15" hidden="false" customHeight="true" outlineLevel="0" collapsed="false">
      <c r="A1114" s="11"/>
      <c r="B1114" s="7"/>
      <c r="C1114" s="12" t="str">
        <f aca="false">IF($B1114="","",IFERROR(INDEX(자원목록!$B$3:$B$102,MATCH($B1114,자원목록!$A$3:$A$102,0)),"미등록자원"))</f>
        <v/>
      </c>
      <c r="D1114" s="7"/>
      <c r="E1114" s="12" t="str">
        <f aca="false">IF($D1114="","",IFERROR(INDEX(고객목록!$B$3:$B$502,MATCH($D1114,고객목록!$A$3:$A$502,0)),""))</f>
        <v/>
      </c>
      <c r="F1114" s="13"/>
      <c r="G1114" s="13"/>
      <c r="H1114" s="14" t="str">
        <f aca="false">IF(OR($L1114="",$M1114=""),"",ROUND(($M1114-$L1114)/60,2))</f>
        <v/>
      </c>
      <c r="I1114" s="9"/>
      <c r="J1114" s="7"/>
      <c r="K1114" s="7"/>
      <c r="L1114" s="15" t="str">
        <f aca="false">IF($F1114="","",IF($F1114&lt;1,ROUND($F1114*1440,0),INT($F1114/100)*60+MOD($F1114,100)))</f>
        <v/>
      </c>
      <c r="M1114" s="15" t="str">
        <f aca="false">IF($G1114="","",IF($G1114&lt;1,ROUND($G1114*1440,0),INT($G1114/100)*60+MOD($G1114,100)))</f>
        <v/>
      </c>
      <c r="N1114" s="15" t="str">
        <f aca="false">IF(OR($A1114="",$B1114="",$L1114="",$M1114="",$J1114="취소"),"",IF(SUMPRODUCT(($A$3:$A$2002=$A1114)*($B$3:$B$2002=$B1114)*($J$3:$J$2002&lt;&gt;"취소")*($L$3:$L$2002&lt;&gt;"")*($M$3:$M$2002&lt;&gt;"")*($L$3:$L$2002&lt;$M1114)*($M$3:$M$2002&gt;$L1114))&gt;1,"중복","-"))</f>
        <v/>
      </c>
    </row>
    <row r="1115" customFormat="false" ht="15" hidden="false" customHeight="true" outlineLevel="0" collapsed="false">
      <c r="A1115" s="11"/>
      <c r="B1115" s="7"/>
      <c r="C1115" s="12" t="str">
        <f aca="false">IF($B1115="","",IFERROR(INDEX(자원목록!$B$3:$B$102,MATCH($B1115,자원목록!$A$3:$A$102,0)),"미등록자원"))</f>
        <v/>
      </c>
      <c r="D1115" s="7"/>
      <c r="E1115" s="12" t="str">
        <f aca="false">IF($D1115="","",IFERROR(INDEX(고객목록!$B$3:$B$502,MATCH($D1115,고객목록!$A$3:$A$502,0)),""))</f>
        <v/>
      </c>
      <c r="F1115" s="13"/>
      <c r="G1115" s="13"/>
      <c r="H1115" s="14" t="str">
        <f aca="false">IF(OR($L1115="",$M1115=""),"",ROUND(($M1115-$L1115)/60,2))</f>
        <v/>
      </c>
      <c r="I1115" s="9"/>
      <c r="J1115" s="7"/>
      <c r="K1115" s="7"/>
      <c r="L1115" s="15" t="str">
        <f aca="false">IF($F1115="","",IF($F1115&lt;1,ROUND($F1115*1440,0),INT($F1115/100)*60+MOD($F1115,100)))</f>
        <v/>
      </c>
      <c r="M1115" s="15" t="str">
        <f aca="false">IF($G1115="","",IF($G1115&lt;1,ROUND($G1115*1440,0),INT($G1115/100)*60+MOD($G1115,100)))</f>
        <v/>
      </c>
      <c r="N1115" s="15" t="str">
        <f aca="false">IF(OR($A1115="",$B1115="",$L1115="",$M1115="",$J1115="취소"),"",IF(SUMPRODUCT(($A$3:$A$2002=$A1115)*($B$3:$B$2002=$B1115)*($J$3:$J$2002&lt;&gt;"취소")*($L$3:$L$2002&lt;&gt;"")*($M$3:$M$2002&lt;&gt;"")*($L$3:$L$2002&lt;$M1115)*($M$3:$M$2002&gt;$L1115))&gt;1,"중복","-"))</f>
        <v/>
      </c>
    </row>
    <row r="1116" customFormat="false" ht="15" hidden="false" customHeight="true" outlineLevel="0" collapsed="false">
      <c r="A1116" s="11"/>
      <c r="B1116" s="7"/>
      <c r="C1116" s="12" t="str">
        <f aca="false">IF($B1116="","",IFERROR(INDEX(자원목록!$B$3:$B$102,MATCH($B1116,자원목록!$A$3:$A$102,0)),"미등록자원"))</f>
        <v/>
      </c>
      <c r="D1116" s="7"/>
      <c r="E1116" s="12" t="str">
        <f aca="false">IF($D1116="","",IFERROR(INDEX(고객목록!$B$3:$B$502,MATCH($D1116,고객목록!$A$3:$A$502,0)),""))</f>
        <v/>
      </c>
      <c r="F1116" s="13"/>
      <c r="G1116" s="13"/>
      <c r="H1116" s="14" t="str">
        <f aca="false">IF(OR($L1116="",$M1116=""),"",ROUND(($M1116-$L1116)/60,2))</f>
        <v/>
      </c>
      <c r="I1116" s="9"/>
      <c r="J1116" s="7"/>
      <c r="K1116" s="7"/>
      <c r="L1116" s="15" t="str">
        <f aca="false">IF($F1116="","",IF($F1116&lt;1,ROUND($F1116*1440,0),INT($F1116/100)*60+MOD($F1116,100)))</f>
        <v/>
      </c>
      <c r="M1116" s="15" t="str">
        <f aca="false">IF($G1116="","",IF($G1116&lt;1,ROUND($G1116*1440,0),INT($G1116/100)*60+MOD($G1116,100)))</f>
        <v/>
      </c>
      <c r="N1116" s="15" t="str">
        <f aca="false">IF(OR($A1116="",$B1116="",$L1116="",$M1116="",$J1116="취소"),"",IF(SUMPRODUCT(($A$3:$A$2002=$A1116)*($B$3:$B$2002=$B1116)*($J$3:$J$2002&lt;&gt;"취소")*($L$3:$L$2002&lt;&gt;"")*($M$3:$M$2002&lt;&gt;"")*($L$3:$L$2002&lt;$M1116)*($M$3:$M$2002&gt;$L1116))&gt;1,"중복","-"))</f>
        <v/>
      </c>
    </row>
    <row r="1117" customFormat="false" ht="15" hidden="false" customHeight="true" outlineLevel="0" collapsed="false">
      <c r="A1117" s="11"/>
      <c r="B1117" s="7"/>
      <c r="C1117" s="12" t="str">
        <f aca="false">IF($B1117="","",IFERROR(INDEX(자원목록!$B$3:$B$102,MATCH($B1117,자원목록!$A$3:$A$102,0)),"미등록자원"))</f>
        <v/>
      </c>
      <c r="D1117" s="7"/>
      <c r="E1117" s="12" t="str">
        <f aca="false">IF($D1117="","",IFERROR(INDEX(고객목록!$B$3:$B$502,MATCH($D1117,고객목록!$A$3:$A$502,0)),""))</f>
        <v/>
      </c>
      <c r="F1117" s="13"/>
      <c r="G1117" s="13"/>
      <c r="H1117" s="14" t="str">
        <f aca="false">IF(OR($L1117="",$M1117=""),"",ROUND(($M1117-$L1117)/60,2))</f>
        <v/>
      </c>
      <c r="I1117" s="9"/>
      <c r="J1117" s="7"/>
      <c r="K1117" s="7"/>
      <c r="L1117" s="15" t="str">
        <f aca="false">IF($F1117="","",IF($F1117&lt;1,ROUND($F1117*1440,0),INT($F1117/100)*60+MOD($F1117,100)))</f>
        <v/>
      </c>
      <c r="M1117" s="15" t="str">
        <f aca="false">IF($G1117="","",IF($G1117&lt;1,ROUND($G1117*1440,0),INT($G1117/100)*60+MOD($G1117,100)))</f>
        <v/>
      </c>
      <c r="N1117" s="15" t="str">
        <f aca="false">IF(OR($A1117="",$B1117="",$L1117="",$M1117="",$J1117="취소"),"",IF(SUMPRODUCT(($A$3:$A$2002=$A1117)*($B$3:$B$2002=$B1117)*($J$3:$J$2002&lt;&gt;"취소")*($L$3:$L$2002&lt;&gt;"")*($M$3:$M$2002&lt;&gt;"")*($L$3:$L$2002&lt;$M1117)*($M$3:$M$2002&gt;$L1117))&gt;1,"중복","-"))</f>
        <v/>
      </c>
    </row>
    <row r="1118" customFormat="false" ht="15" hidden="false" customHeight="true" outlineLevel="0" collapsed="false">
      <c r="A1118" s="11"/>
      <c r="B1118" s="7"/>
      <c r="C1118" s="12" t="str">
        <f aca="false">IF($B1118="","",IFERROR(INDEX(자원목록!$B$3:$B$102,MATCH($B1118,자원목록!$A$3:$A$102,0)),"미등록자원"))</f>
        <v/>
      </c>
      <c r="D1118" s="7"/>
      <c r="E1118" s="12" t="str">
        <f aca="false">IF($D1118="","",IFERROR(INDEX(고객목록!$B$3:$B$502,MATCH($D1118,고객목록!$A$3:$A$502,0)),""))</f>
        <v/>
      </c>
      <c r="F1118" s="13"/>
      <c r="G1118" s="13"/>
      <c r="H1118" s="14" t="str">
        <f aca="false">IF(OR($L1118="",$M1118=""),"",ROUND(($M1118-$L1118)/60,2))</f>
        <v/>
      </c>
      <c r="I1118" s="9"/>
      <c r="J1118" s="7"/>
      <c r="K1118" s="7"/>
      <c r="L1118" s="15" t="str">
        <f aca="false">IF($F1118="","",IF($F1118&lt;1,ROUND($F1118*1440,0),INT($F1118/100)*60+MOD($F1118,100)))</f>
        <v/>
      </c>
      <c r="M1118" s="15" t="str">
        <f aca="false">IF($G1118="","",IF($G1118&lt;1,ROUND($G1118*1440,0),INT($G1118/100)*60+MOD($G1118,100)))</f>
        <v/>
      </c>
      <c r="N1118" s="15" t="str">
        <f aca="false">IF(OR($A1118="",$B1118="",$L1118="",$M1118="",$J1118="취소"),"",IF(SUMPRODUCT(($A$3:$A$2002=$A1118)*($B$3:$B$2002=$B1118)*($J$3:$J$2002&lt;&gt;"취소")*($L$3:$L$2002&lt;&gt;"")*($M$3:$M$2002&lt;&gt;"")*($L$3:$L$2002&lt;$M1118)*($M$3:$M$2002&gt;$L1118))&gt;1,"중복","-"))</f>
        <v/>
      </c>
    </row>
    <row r="1119" customFormat="false" ht="15" hidden="false" customHeight="true" outlineLevel="0" collapsed="false">
      <c r="A1119" s="11"/>
      <c r="B1119" s="7"/>
      <c r="C1119" s="12" t="str">
        <f aca="false">IF($B1119="","",IFERROR(INDEX(자원목록!$B$3:$B$102,MATCH($B1119,자원목록!$A$3:$A$102,0)),"미등록자원"))</f>
        <v/>
      </c>
      <c r="D1119" s="7"/>
      <c r="E1119" s="12" t="str">
        <f aca="false">IF($D1119="","",IFERROR(INDEX(고객목록!$B$3:$B$502,MATCH($D1119,고객목록!$A$3:$A$502,0)),""))</f>
        <v/>
      </c>
      <c r="F1119" s="13"/>
      <c r="G1119" s="13"/>
      <c r="H1119" s="14" t="str">
        <f aca="false">IF(OR($L1119="",$M1119=""),"",ROUND(($M1119-$L1119)/60,2))</f>
        <v/>
      </c>
      <c r="I1119" s="9"/>
      <c r="J1119" s="7"/>
      <c r="K1119" s="7"/>
      <c r="L1119" s="15" t="str">
        <f aca="false">IF($F1119="","",IF($F1119&lt;1,ROUND($F1119*1440,0),INT($F1119/100)*60+MOD($F1119,100)))</f>
        <v/>
      </c>
      <c r="M1119" s="15" t="str">
        <f aca="false">IF($G1119="","",IF($G1119&lt;1,ROUND($G1119*1440,0),INT($G1119/100)*60+MOD($G1119,100)))</f>
        <v/>
      </c>
      <c r="N1119" s="15" t="str">
        <f aca="false">IF(OR($A1119="",$B1119="",$L1119="",$M1119="",$J1119="취소"),"",IF(SUMPRODUCT(($A$3:$A$2002=$A1119)*($B$3:$B$2002=$B1119)*($J$3:$J$2002&lt;&gt;"취소")*($L$3:$L$2002&lt;&gt;"")*($M$3:$M$2002&lt;&gt;"")*($L$3:$L$2002&lt;$M1119)*($M$3:$M$2002&gt;$L1119))&gt;1,"중복","-"))</f>
        <v/>
      </c>
    </row>
    <row r="1120" customFormat="false" ht="15" hidden="false" customHeight="true" outlineLevel="0" collapsed="false">
      <c r="A1120" s="11"/>
      <c r="B1120" s="7"/>
      <c r="C1120" s="12" t="str">
        <f aca="false">IF($B1120="","",IFERROR(INDEX(자원목록!$B$3:$B$102,MATCH($B1120,자원목록!$A$3:$A$102,0)),"미등록자원"))</f>
        <v/>
      </c>
      <c r="D1120" s="7"/>
      <c r="E1120" s="12" t="str">
        <f aca="false">IF($D1120="","",IFERROR(INDEX(고객목록!$B$3:$B$502,MATCH($D1120,고객목록!$A$3:$A$502,0)),""))</f>
        <v/>
      </c>
      <c r="F1120" s="13"/>
      <c r="G1120" s="13"/>
      <c r="H1120" s="14" t="str">
        <f aca="false">IF(OR($L1120="",$M1120=""),"",ROUND(($M1120-$L1120)/60,2))</f>
        <v/>
      </c>
      <c r="I1120" s="9"/>
      <c r="J1120" s="7"/>
      <c r="K1120" s="7"/>
      <c r="L1120" s="15" t="str">
        <f aca="false">IF($F1120="","",IF($F1120&lt;1,ROUND($F1120*1440,0),INT($F1120/100)*60+MOD($F1120,100)))</f>
        <v/>
      </c>
      <c r="M1120" s="15" t="str">
        <f aca="false">IF($G1120="","",IF($G1120&lt;1,ROUND($G1120*1440,0),INT($G1120/100)*60+MOD($G1120,100)))</f>
        <v/>
      </c>
      <c r="N1120" s="15" t="str">
        <f aca="false">IF(OR($A1120="",$B1120="",$L1120="",$M1120="",$J1120="취소"),"",IF(SUMPRODUCT(($A$3:$A$2002=$A1120)*($B$3:$B$2002=$B1120)*($J$3:$J$2002&lt;&gt;"취소")*($L$3:$L$2002&lt;&gt;"")*($M$3:$M$2002&lt;&gt;"")*($L$3:$L$2002&lt;$M1120)*($M$3:$M$2002&gt;$L1120))&gt;1,"중복","-"))</f>
        <v/>
      </c>
    </row>
    <row r="1121" customFormat="false" ht="15" hidden="false" customHeight="true" outlineLevel="0" collapsed="false">
      <c r="A1121" s="11"/>
      <c r="B1121" s="7"/>
      <c r="C1121" s="12" t="str">
        <f aca="false">IF($B1121="","",IFERROR(INDEX(자원목록!$B$3:$B$102,MATCH($B1121,자원목록!$A$3:$A$102,0)),"미등록자원"))</f>
        <v/>
      </c>
      <c r="D1121" s="7"/>
      <c r="E1121" s="12" t="str">
        <f aca="false">IF($D1121="","",IFERROR(INDEX(고객목록!$B$3:$B$502,MATCH($D1121,고객목록!$A$3:$A$502,0)),""))</f>
        <v/>
      </c>
      <c r="F1121" s="13"/>
      <c r="G1121" s="13"/>
      <c r="H1121" s="14" t="str">
        <f aca="false">IF(OR($L1121="",$M1121=""),"",ROUND(($M1121-$L1121)/60,2))</f>
        <v/>
      </c>
      <c r="I1121" s="9"/>
      <c r="J1121" s="7"/>
      <c r="K1121" s="7"/>
      <c r="L1121" s="15" t="str">
        <f aca="false">IF($F1121="","",IF($F1121&lt;1,ROUND($F1121*1440,0),INT($F1121/100)*60+MOD($F1121,100)))</f>
        <v/>
      </c>
      <c r="M1121" s="15" t="str">
        <f aca="false">IF($G1121="","",IF($G1121&lt;1,ROUND($G1121*1440,0),INT($G1121/100)*60+MOD($G1121,100)))</f>
        <v/>
      </c>
      <c r="N1121" s="15" t="str">
        <f aca="false">IF(OR($A1121="",$B1121="",$L1121="",$M1121="",$J1121="취소"),"",IF(SUMPRODUCT(($A$3:$A$2002=$A1121)*($B$3:$B$2002=$B1121)*($J$3:$J$2002&lt;&gt;"취소")*($L$3:$L$2002&lt;&gt;"")*($M$3:$M$2002&lt;&gt;"")*($L$3:$L$2002&lt;$M1121)*($M$3:$M$2002&gt;$L1121))&gt;1,"중복","-"))</f>
        <v/>
      </c>
    </row>
    <row r="1122" customFormat="false" ht="15" hidden="false" customHeight="true" outlineLevel="0" collapsed="false">
      <c r="A1122" s="11"/>
      <c r="B1122" s="7"/>
      <c r="C1122" s="12" t="str">
        <f aca="false">IF($B1122="","",IFERROR(INDEX(자원목록!$B$3:$B$102,MATCH($B1122,자원목록!$A$3:$A$102,0)),"미등록자원"))</f>
        <v/>
      </c>
      <c r="D1122" s="7"/>
      <c r="E1122" s="12" t="str">
        <f aca="false">IF($D1122="","",IFERROR(INDEX(고객목록!$B$3:$B$502,MATCH($D1122,고객목록!$A$3:$A$502,0)),""))</f>
        <v/>
      </c>
      <c r="F1122" s="13"/>
      <c r="G1122" s="13"/>
      <c r="H1122" s="14" t="str">
        <f aca="false">IF(OR($L1122="",$M1122=""),"",ROUND(($M1122-$L1122)/60,2))</f>
        <v/>
      </c>
      <c r="I1122" s="9"/>
      <c r="J1122" s="7"/>
      <c r="K1122" s="7"/>
      <c r="L1122" s="15" t="str">
        <f aca="false">IF($F1122="","",IF($F1122&lt;1,ROUND($F1122*1440,0),INT($F1122/100)*60+MOD($F1122,100)))</f>
        <v/>
      </c>
      <c r="M1122" s="15" t="str">
        <f aca="false">IF($G1122="","",IF($G1122&lt;1,ROUND($G1122*1440,0),INT($G1122/100)*60+MOD($G1122,100)))</f>
        <v/>
      </c>
      <c r="N1122" s="15" t="str">
        <f aca="false">IF(OR($A1122="",$B1122="",$L1122="",$M1122="",$J1122="취소"),"",IF(SUMPRODUCT(($A$3:$A$2002=$A1122)*($B$3:$B$2002=$B1122)*($J$3:$J$2002&lt;&gt;"취소")*($L$3:$L$2002&lt;&gt;"")*($M$3:$M$2002&lt;&gt;"")*($L$3:$L$2002&lt;$M1122)*($M$3:$M$2002&gt;$L1122))&gt;1,"중복","-"))</f>
        <v/>
      </c>
    </row>
    <row r="1123" customFormat="false" ht="15" hidden="false" customHeight="true" outlineLevel="0" collapsed="false">
      <c r="A1123" s="11"/>
      <c r="B1123" s="7"/>
      <c r="C1123" s="12" t="str">
        <f aca="false">IF($B1123="","",IFERROR(INDEX(자원목록!$B$3:$B$102,MATCH($B1123,자원목록!$A$3:$A$102,0)),"미등록자원"))</f>
        <v/>
      </c>
      <c r="D1123" s="7"/>
      <c r="E1123" s="12" t="str">
        <f aca="false">IF($D1123="","",IFERROR(INDEX(고객목록!$B$3:$B$502,MATCH($D1123,고객목록!$A$3:$A$502,0)),""))</f>
        <v/>
      </c>
      <c r="F1123" s="13"/>
      <c r="G1123" s="13"/>
      <c r="H1123" s="14" t="str">
        <f aca="false">IF(OR($L1123="",$M1123=""),"",ROUND(($M1123-$L1123)/60,2))</f>
        <v/>
      </c>
      <c r="I1123" s="9"/>
      <c r="J1123" s="7"/>
      <c r="K1123" s="7"/>
      <c r="L1123" s="15" t="str">
        <f aca="false">IF($F1123="","",IF($F1123&lt;1,ROUND($F1123*1440,0),INT($F1123/100)*60+MOD($F1123,100)))</f>
        <v/>
      </c>
      <c r="M1123" s="15" t="str">
        <f aca="false">IF($G1123="","",IF($G1123&lt;1,ROUND($G1123*1440,0),INT($G1123/100)*60+MOD($G1123,100)))</f>
        <v/>
      </c>
      <c r="N1123" s="15" t="str">
        <f aca="false">IF(OR($A1123="",$B1123="",$L1123="",$M1123="",$J1123="취소"),"",IF(SUMPRODUCT(($A$3:$A$2002=$A1123)*($B$3:$B$2002=$B1123)*($J$3:$J$2002&lt;&gt;"취소")*($L$3:$L$2002&lt;&gt;"")*($M$3:$M$2002&lt;&gt;"")*($L$3:$L$2002&lt;$M1123)*($M$3:$M$2002&gt;$L1123))&gt;1,"중복","-"))</f>
        <v/>
      </c>
    </row>
    <row r="1124" customFormat="false" ht="15" hidden="false" customHeight="true" outlineLevel="0" collapsed="false">
      <c r="A1124" s="11"/>
      <c r="B1124" s="7"/>
      <c r="C1124" s="12" t="str">
        <f aca="false">IF($B1124="","",IFERROR(INDEX(자원목록!$B$3:$B$102,MATCH($B1124,자원목록!$A$3:$A$102,0)),"미등록자원"))</f>
        <v/>
      </c>
      <c r="D1124" s="7"/>
      <c r="E1124" s="12" t="str">
        <f aca="false">IF($D1124="","",IFERROR(INDEX(고객목록!$B$3:$B$502,MATCH($D1124,고객목록!$A$3:$A$502,0)),""))</f>
        <v/>
      </c>
      <c r="F1124" s="13"/>
      <c r="G1124" s="13"/>
      <c r="H1124" s="14" t="str">
        <f aca="false">IF(OR($L1124="",$M1124=""),"",ROUND(($M1124-$L1124)/60,2))</f>
        <v/>
      </c>
      <c r="I1124" s="9"/>
      <c r="J1124" s="7"/>
      <c r="K1124" s="7"/>
      <c r="L1124" s="15" t="str">
        <f aca="false">IF($F1124="","",IF($F1124&lt;1,ROUND($F1124*1440,0),INT($F1124/100)*60+MOD($F1124,100)))</f>
        <v/>
      </c>
      <c r="M1124" s="15" t="str">
        <f aca="false">IF($G1124="","",IF($G1124&lt;1,ROUND($G1124*1440,0),INT($G1124/100)*60+MOD($G1124,100)))</f>
        <v/>
      </c>
      <c r="N1124" s="15" t="str">
        <f aca="false">IF(OR($A1124="",$B1124="",$L1124="",$M1124="",$J1124="취소"),"",IF(SUMPRODUCT(($A$3:$A$2002=$A1124)*($B$3:$B$2002=$B1124)*($J$3:$J$2002&lt;&gt;"취소")*($L$3:$L$2002&lt;&gt;"")*($M$3:$M$2002&lt;&gt;"")*($L$3:$L$2002&lt;$M1124)*($M$3:$M$2002&gt;$L1124))&gt;1,"중복","-"))</f>
        <v/>
      </c>
    </row>
    <row r="1125" customFormat="false" ht="15" hidden="false" customHeight="true" outlineLevel="0" collapsed="false">
      <c r="A1125" s="11"/>
      <c r="B1125" s="7"/>
      <c r="C1125" s="12" t="str">
        <f aca="false">IF($B1125="","",IFERROR(INDEX(자원목록!$B$3:$B$102,MATCH($B1125,자원목록!$A$3:$A$102,0)),"미등록자원"))</f>
        <v/>
      </c>
      <c r="D1125" s="7"/>
      <c r="E1125" s="12" t="str">
        <f aca="false">IF($D1125="","",IFERROR(INDEX(고객목록!$B$3:$B$502,MATCH($D1125,고객목록!$A$3:$A$502,0)),""))</f>
        <v/>
      </c>
      <c r="F1125" s="13"/>
      <c r="G1125" s="13"/>
      <c r="H1125" s="14" t="str">
        <f aca="false">IF(OR($L1125="",$M1125=""),"",ROUND(($M1125-$L1125)/60,2))</f>
        <v/>
      </c>
      <c r="I1125" s="9"/>
      <c r="J1125" s="7"/>
      <c r="K1125" s="7"/>
      <c r="L1125" s="15" t="str">
        <f aca="false">IF($F1125="","",IF($F1125&lt;1,ROUND($F1125*1440,0),INT($F1125/100)*60+MOD($F1125,100)))</f>
        <v/>
      </c>
      <c r="M1125" s="15" t="str">
        <f aca="false">IF($G1125="","",IF($G1125&lt;1,ROUND($G1125*1440,0),INT($G1125/100)*60+MOD($G1125,100)))</f>
        <v/>
      </c>
      <c r="N1125" s="15" t="str">
        <f aca="false">IF(OR($A1125="",$B1125="",$L1125="",$M1125="",$J1125="취소"),"",IF(SUMPRODUCT(($A$3:$A$2002=$A1125)*($B$3:$B$2002=$B1125)*($J$3:$J$2002&lt;&gt;"취소")*($L$3:$L$2002&lt;&gt;"")*($M$3:$M$2002&lt;&gt;"")*($L$3:$L$2002&lt;$M1125)*($M$3:$M$2002&gt;$L1125))&gt;1,"중복","-"))</f>
        <v/>
      </c>
    </row>
    <row r="1126" customFormat="false" ht="15" hidden="false" customHeight="true" outlineLevel="0" collapsed="false">
      <c r="A1126" s="11"/>
      <c r="B1126" s="7"/>
      <c r="C1126" s="12" t="str">
        <f aca="false">IF($B1126="","",IFERROR(INDEX(자원목록!$B$3:$B$102,MATCH($B1126,자원목록!$A$3:$A$102,0)),"미등록자원"))</f>
        <v/>
      </c>
      <c r="D1126" s="7"/>
      <c r="E1126" s="12" t="str">
        <f aca="false">IF($D1126="","",IFERROR(INDEX(고객목록!$B$3:$B$502,MATCH($D1126,고객목록!$A$3:$A$502,0)),""))</f>
        <v/>
      </c>
      <c r="F1126" s="13"/>
      <c r="G1126" s="13"/>
      <c r="H1126" s="14" t="str">
        <f aca="false">IF(OR($L1126="",$M1126=""),"",ROUND(($M1126-$L1126)/60,2))</f>
        <v/>
      </c>
      <c r="I1126" s="9"/>
      <c r="J1126" s="7"/>
      <c r="K1126" s="7"/>
      <c r="L1126" s="15" t="str">
        <f aca="false">IF($F1126="","",IF($F1126&lt;1,ROUND($F1126*1440,0),INT($F1126/100)*60+MOD($F1126,100)))</f>
        <v/>
      </c>
      <c r="M1126" s="15" t="str">
        <f aca="false">IF($G1126="","",IF($G1126&lt;1,ROUND($G1126*1440,0),INT($G1126/100)*60+MOD($G1126,100)))</f>
        <v/>
      </c>
      <c r="N1126" s="15" t="str">
        <f aca="false">IF(OR($A1126="",$B1126="",$L1126="",$M1126="",$J1126="취소"),"",IF(SUMPRODUCT(($A$3:$A$2002=$A1126)*($B$3:$B$2002=$B1126)*($J$3:$J$2002&lt;&gt;"취소")*($L$3:$L$2002&lt;&gt;"")*($M$3:$M$2002&lt;&gt;"")*($L$3:$L$2002&lt;$M1126)*($M$3:$M$2002&gt;$L1126))&gt;1,"중복","-"))</f>
        <v/>
      </c>
    </row>
    <row r="1127" customFormat="false" ht="15" hidden="false" customHeight="true" outlineLevel="0" collapsed="false">
      <c r="A1127" s="11"/>
      <c r="B1127" s="7"/>
      <c r="C1127" s="12" t="str">
        <f aca="false">IF($B1127="","",IFERROR(INDEX(자원목록!$B$3:$B$102,MATCH($B1127,자원목록!$A$3:$A$102,0)),"미등록자원"))</f>
        <v/>
      </c>
      <c r="D1127" s="7"/>
      <c r="E1127" s="12" t="str">
        <f aca="false">IF($D1127="","",IFERROR(INDEX(고객목록!$B$3:$B$502,MATCH($D1127,고객목록!$A$3:$A$502,0)),""))</f>
        <v/>
      </c>
      <c r="F1127" s="13"/>
      <c r="G1127" s="13"/>
      <c r="H1127" s="14" t="str">
        <f aca="false">IF(OR($L1127="",$M1127=""),"",ROUND(($M1127-$L1127)/60,2))</f>
        <v/>
      </c>
      <c r="I1127" s="9"/>
      <c r="J1127" s="7"/>
      <c r="K1127" s="7"/>
      <c r="L1127" s="15" t="str">
        <f aca="false">IF($F1127="","",IF($F1127&lt;1,ROUND($F1127*1440,0),INT($F1127/100)*60+MOD($F1127,100)))</f>
        <v/>
      </c>
      <c r="M1127" s="15" t="str">
        <f aca="false">IF($G1127="","",IF($G1127&lt;1,ROUND($G1127*1440,0),INT($G1127/100)*60+MOD($G1127,100)))</f>
        <v/>
      </c>
      <c r="N1127" s="15" t="str">
        <f aca="false">IF(OR($A1127="",$B1127="",$L1127="",$M1127="",$J1127="취소"),"",IF(SUMPRODUCT(($A$3:$A$2002=$A1127)*($B$3:$B$2002=$B1127)*($J$3:$J$2002&lt;&gt;"취소")*($L$3:$L$2002&lt;&gt;"")*($M$3:$M$2002&lt;&gt;"")*($L$3:$L$2002&lt;$M1127)*($M$3:$M$2002&gt;$L1127))&gt;1,"중복","-"))</f>
        <v/>
      </c>
    </row>
    <row r="1128" customFormat="false" ht="15" hidden="false" customHeight="true" outlineLevel="0" collapsed="false">
      <c r="A1128" s="11"/>
      <c r="B1128" s="7"/>
      <c r="C1128" s="12" t="str">
        <f aca="false">IF($B1128="","",IFERROR(INDEX(자원목록!$B$3:$B$102,MATCH($B1128,자원목록!$A$3:$A$102,0)),"미등록자원"))</f>
        <v/>
      </c>
      <c r="D1128" s="7"/>
      <c r="E1128" s="12" t="str">
        <f aca="false">IF($D1128="","",IFERROR(INDEX(고객목록!$B$3:$B$502,MATCH($D1128,고객목록!$A$3:$A$502,0)),""))</f>
        <v/>
      </c>
      <c r="F1128" s="13"/>
      <c r="G1128" s="13"/>
      <c r="H1128" s="14" t="str">
        <f aca="false">IF(OR($L1128="",$M1128=""),"",ROUND(($M1128-$L1128)/60,2))</f>
        <v/>
      </c>
      <c r="I1128" s="9"/>
      <c r="J1128" s="7"/>
      <c r="K1128" s="7"/>
      <c r="L1128" s="15" t="str">
        <f aca="false">IF($F1128="","",IF($F1128&lt;1,ROUND($F1128*1440,0),INT($F1128/100)*60+MOD($F1128,100)))</f>
        <v/>
      </c>
      <c r="M1128" s="15" t="str">
        <f aca="false">IF($G1128="","",IF($G1128&lt;1,ROUND($G1128*1440,0),INT($G1128/100)*60+MOD($G1128,100)))</f>
        <v/>
      </c>
      <c r="N1128" s="15" t="str">
        <f aca="false">IF(OR($A1128="",$B1128="",$L1128="",$M1128="",$J1128="취소"),"",IF(SUMPRODUCT(($A$3:$A$2002=$A1128)*($B$3:$B$2002=$B1128)*($J$3:$J$2002&lt;&gt;"취소")*($L$3:$L$2002&lt;&gt;"")*($M$3:$M$2002&lt;&gt;"")*($L$3:$L$2002&lt;$M1128)*($M$3:$M$2002&gt;$L1128))&gt;1,"중복","-"))</f>
        <v/>
      </c>
    </row>
    <row r="1129" customFormat="false" ht="15" hidden="false" customHeight="true" outlineLevel="0" collapsed="false">
      <c r="A1129" s="11"/>
      <c r="B1129" s="7"/>
      <c r="C1129" s="12" t="str">
        <f aca="false">IF($B1129="","",IFERROR(INDEX(자원목록!$B$3:$B$102,MATCH($B1129,자원목록!$A$3:$A$102,0)),"미등록자원"))</f>
        <v/>
      </c>
      <c r="D1129" s="7"/>
      <c r="E1129" s="12" t="str">
        <f aca="false">IF($D1129="","",IFERROR(INDEX(고객목록!$B$3:$B$502,MATCH($D1129,고객목록!$A$3:$A$502,0)),""))</f>
        <v/>
      </c>
      <c r="F1129" s="13"/>
      <c r="G1129" s="13"/>
      <c r="H1129" s="14" t="str">
        <f aca="false">IF(OR($L1129="",$M1129=""),"",ROUND(($M1129-$L1129)/60,2))</f>
        <v/>
      </c>
      <c r="I1129" s="9"/>
      <c r="J1129" s="7"/>
      <c r="K1129" s="7"/>
      <c r="L1129" s="15" t="str">
        <f aca="false">IF($F1129="","",IF($F1129&lt;1,ROUND($F1129*1440,0),INT($F1129/100)*60+MOD($F1129,100)))</f>
        <v/>
      </c>
      <c r="M1129" s="15" t="str">
        <f aca="false">IF($G1129="","",IF($G1129&lt;1,ROUND($G1129*1440,0),INT($G1129/100)*60+MOD($G1129,100)))</f>
        <v/>
      </c>
      <c r="N1129" s="15" t="str">
        <f aca="false">IF(OR($A1129="",$B1129="",$L1129="",$M1129="",$J1129="취소"),"",IF(SUMPRODUCT(($A$3:$A$2002=$A1129)*($B$3:$B$2002=$B1129)*($J$3:$J$2002&lt;&gt;"취소")*($L$3:$L$2002&lt;&gt;"")*($M$3:$M$2002&lt;&gt;"")*($L$3:$L$2002&lt;$M1129)*($M$3:$M$2002&gt;$L1129))&gt;1,"중복","-"))</f>
        <v/>
      </c>
    </row>
    <row r="1130" customFormat="false" ht="15" hidden="false" customHeight="true" outlineLevel="0" collapsed="false">
      <c r="A1130" s="11"/>
      <c r="B1130" s="7"/>
      <c r="C1130" s="12" t="str">
        <f aca="false">IF($B1130="","",IFERROR(INDEX(자원목록!$B$3:$B$102,MATCH($B1130,자원목록!$A$3:$A$102,0)),"미등록자원"))</f>
        <v/>
      </c>
      <c r="D1130" s="7"/>
      <c r="E1130" s="12" t="str">
        <f aca="false">IF($D1130="","",IFERROR(INDEX(고객목록!$B$3:$B$502,MATCH($D1130,고객목록!$A$3:$A$502,0)),""))</f>
        <v/>
      </c>
      <c r="F1130" s="13"/>
      <c r="G1130" s="13"/>
      <c r="H1130" s="14" t="str">
        <f aca="false">IF(OR($L1130="",$M1130=""),"",ROUND(($M1130-$L1130)/60,2))</f>
        <v/>
      </c>
      <c r="I1130" s="9"/>
      <c r="J1130" s="7"/>
      <c r="K1130" s="7"/>
      <c r="L1130" s="15" t="str">
        <f aca="false">IF($F1130="","",IF($F1130&lt;1,ROUND($F1130*1440,0),INT($F1130/100)*60+MOD($F1130,100)))</f>
        <v/>
      </c>
      <c r="M1130" s="15" t="str">
        <f aca="false">IF($G1130="","",IF($G1130&lt;1,ROUND($G1130*1440,0),INT($G1130/100)*60+MOD($G1130,100)))</f>
        <v/>
      </c>
      <c r="N1130" s="15" t="str">
        <f aca="false">IF(OR($A1130="",$B1130="",$L1130="",$M1130="",$J1130="취소"),"",IF(SUMPRODUCT(($A$3:$A$2002=$A1130)*($B$3:$B$2002=$B1130)*($J$3:$J$2002&lt;&gt;"취소")*($L$3:$L$2002&lt;&gt;"")*($M$3:$M$2002&lt;&gt;"")*($L$3:$L$2002&lt;$M1130)*($M$3:$M$2002&gt;$L1130))&gt;1,"중복","-"))</f>
        <v/>
      </c>
    </row>
    <row r="1131" customFormat="false" ht="15" hidden="false" customHeight="true" outlineLevel="0" collapsed="false">
      <c r="A1131" s="11"/>
      <c r="B1131" s="7"/>
      <c r="C1131" s="12" t="str">
        <f aca="false">IF($B1131="","",IFERROR(INDEX(자원목록!$B$3:$B$102,MATCH($B1131,자원목록!$A$3:$A$102,0)),"미등록자원"))</f>
        <v/>
      </c>
      <c r="D1131" s="7"/>
      <c r="E1131" s="12" t="str">
        <f aca="false">IF($D1131="","",IFERROR(INDEX(고객목록!$B$3:$B$502,MATCH($D1131,고객목록!$A$3:$A$502,0)),""))</f>
        <v/>
      </c>
      <c r="F1131" s="13"/>
      <c r="G1131" s="13"/>
      <c r="H1131" s="14" t="str">
        <f aca="false">IF(OR($L1131="",$M1131=""),"",ROUND(($M1131-$L1131)/60,2))</f>
        <v/>
      </c>
      <c r="I1131" s="9"/>
      <c r="J1131" s="7"/>
      <c r="K1131" s="7"/>
      <c r="L1131" s="15" t="str">
        <f aca="false">IF($F1131="","",IF($F1131&lt;1,ROUND($F1131*1440,0),INT($F1131/100)*60+MOD($F1131,100)))</f>
        <v/>
      </c>
      <c r="M1131" s="15" t="str">
        <f aca="false">IF($G1131="","",IF($G1131&lt;1,ROUND($G1131*1440,0),INT($G1131/100)*60+MOD($G1131,100)))</f>
        <v/>
      </c>
      <c r="N1131" s="15" t="str">
        <f aca="false">IF(OR($A1131="",$B1131="",$L1131="",$M1131="",$J1131="취소"),"",IF(SUMPRODUCT(($A$3:$A$2002=$A1131)*($B$3:$B$2002=$B1131)*($J$3:$J$2002&lt;&gt;"취소")*($L$3:$L$2002&lt;&gt;"")*($M$3:$M$2002&lt;&gt;"")*($L$3:$L$2002&lt;$M1131)*($M$3:$M$2002&gt;$L1131))&gt;1,"중복","-"))</f>
        <v/>
      </c>
    </row>
    <row r="1132" customFormat="false" ht="15" hidden="false" customHeight="true" outlineLevel="0" collapsed="false">
      <c r="A1132" s="11"/>
      <c r="B1132" s="7"/>
      <c r="C1132" s="12" t="str">
        <f aca="false">IF($B1132="","",IFERROR(INDEX(자원목록!$B$3:$B$102,MATCH($B1132,자원목록!$A$3:$A$102,0)),"미등록자원"))</f>
        <v/>
      </c>
      <c r="D1132" s="7"/>
      <c r="E1132" s="12" t="str">
        <f aca="false">IF($D1132="","",IFERROR(INDEX(고객목록!$B$3:$B$502,MATCH($D1132,고객목록!$A$3:$A$502,0)),""))</f>
        <v/>
      </c>
      <c r="F1132" s="13"/>
      <c r="G1132" s="13"/>
      <c r="H1132" s="14" t="str">
        <f aca="false">IF(OR($L1132="",$M1132=""),"",ROUND(($M1132-$L1132)/60,2))</f>
        <v/>
      </c>
      <c r="I1132" s="9"/>
      <c r="J1132" s="7"/>
      <c r="K1132" s="7"/>
      <c r="L1132" s="15" t="str">
        <f aca="false">IF($F1132="","",IF($F1132&lt;1,ROUND($F1132*1440,0),INT($F1132/100)*60+MOD($F1132,100)))</f>
        <v/>
      </c>
      <c r="M1132" s="15" t="str">
        <f aca="false">IF($G1132="","",IF($G1132&lt;1,ROUND($G1132*1440,0),INT($G1132/100)*60+MOD($G1132,100)))</f>
        <v/>
      </c>
      <c r="N1132" s="15" t="str">
        <f aca="false">IF(OR($A1132="",$B1132="",$L1132="",$M1132="",$J1132="취소"),"",IF(SUMPRODUCT(($A$3:$A$2002=$A1132)*($B$3:$B$2002=$B1132)*($J$3:$J$2002&lt;&gt;"취소")*($L$3:$L$2002&lt;&gt;"")*($M$3:$M$2002&lt;&gt;"")*($L$3:$L$2002&lt;$M1132)*($M$3:$M$2002&gt;$L1132))&gt;1,"중복","-"))</f>
        <v/>
      </c>
    </row>
    <row r="1133" customFormat="false" ht="15" hidden="false" customHeight="true" outlineLevel="0" collapsed="false">
      <c r="A1133" s="11"/>
      <c r="B1133" s="7"/>
      <c r="C1133" s="12" t="str">
        <f aca="false">IF($B1133="","",IFERROR(INDEX(자원목록!$B$3:$B$102,MATCH($B1133,자원목록!$A$3:$A$102,0)),"미등록자원"))</f>
        <v/>
      </c>
      <c r="D1133" s="7"/>
      <c r="E1133" s="12" t="str">
        <f aca="false">IF($D1133="","",IFERROR(INDEX(고객목록!$B$3:$B$502,MATCH($D1133,고객목록!$A$3:$A$502,0)),""))</f>
        <v/>
      </c>
      <c r="F1133" s="13"/>
      <c r="G1133" s="13"/>
      <c r="H1133" s="14" t="str">
        <f aca="false">IF(OR($L1133="",$M1133=""),"",ROUND(($M1133-$L1133)/60,2))</f>
        <v/>
      </c>
      <c r="I1133" s="9"/>
      <c r="J1133" s="7"/>
      <c r="K1133" s="7"/>
      <c r="L1133" s="15" t="str">
        <f aca="false">IF($F1133="","",IF($F1133&lt;1,ROUND($F1133*1440,0),INT($F1133/100)*60+MOD($F1133,100)))</f>
        <v/>
      </c>
      <c r="M1133" s="15" t="str">
        <f aca="false">IF($G1133="","",IF($G1133&lt;1,ROUND($G1133*1440,0),INT($G1133/100)*60+MOD($G1133,100)))</f>
        <v/>
      </c>
      <c r="N1133" s="15" t="str">
        <f aca="false">IF(OR($A1133="",$B1133="",$L1133="",$M1133="",$J1133="취소"),"",IF(SUMPRODUCT(($A$3:$A$2002=$A1133)*($B$3:$B$2002=$B1133)*($J$3:$J$2002&lt;&gt;"취소")*($L$3:$L$2002&lt;&gt;"")*($M$3:$M$2002&lt;&gt;"")*($L$3:$L$2002&lt;$M1133)*($M$3:$M$2002&gt;$L1133))&gt;1,"중복","-"))</f>
        <v/>
      </c>
    </row>
    <row r="1134" customFormat="false" ht="15" hidden="false" customHeight="true" outlineLevel="0" collapsed="false">
      <c r="A1134" s="11"/>
      <c r="B1134" s="7"/>
      <c r="C1134" s="12" t="str">
        <f aca="false">IF($B1134="","",IFERROR(INDEX(자원목록!$B$3:$B$102,MATCH($B1134,자원목록!$A$3:$A$102,0)),"미등록자원"))</f>
        <v/>
      </c>
      <c r="D1134" s="7"/>
      <c r="E1134" s="12" t="str">
        <f aca="false">IF($D1134="","",IFERROR(INDEX(고객목록!$B$3:$B$502,MATCH($D1134,고객목록!$A$3:$A$502,0)),""))</f>
        <v/>
      </c>
      <c r="F1134" s="13"/>
      <c r="G1134" s="13"/>
      <c r="H1134" s="14" t="str">
        <f aca="false">IF(OR($L1134="",$M1134=""),"",ROUND(($M1134-$L1134)/60,2))</f>
        <v/>
      </c>
      <c r="I1134" s="9"/>
      <c r="J1134" s="7"/>
      <c r="K1134" s="7"/>
      <c r="L1134" s="15" t="str">
        <f aca="false">IF($F1134="","",IF($F1134&lt;1,ROUND($F1134*1440,0),INT($F1134/100)*60+MOD($F1134,100)))</f>
        <v/>
      </c>
      <c r="M1134" s="15" t="str">
        <f aca="false">IF($G1134="","",IF($G1134&lt;1,ROUND($G1134*1440,0),INT($G1134/100)*60+MOD($G1134,100)))</f>
        <v/>
      </c>
      <c r="N1134" s="15" t="str">
        <f aca="false">IF(OR($A1134="",$B1134="",$L1134="",$M1134="",$J1134="취소"),"",IF(SUMPRODUCT(($A$3:$A$2002=$A1134)*($B$3:$B$2002=$B1134)*($J$3:$J$2002&lt;&gt;"취소")*($L$3:$L$2002&lt;&gt;"")*($M$3:$M$2002&lt;&gt;"")*($L$3:$L$2002&lt;$M1134)*($M$3:$M$2002&gt;$L1134))&gt;1,"중복","-"))</f>
        <v/>
      </c>
    </row>
    <row r="1135" customFormat="false" ht="15" hidden="false" customHeight="true" outlineLevel="0" collapsed="false">
      <c r="A1135" s="11"/>
      <c r="B1135" s="7"/>
      <c r="C1135" s="12" t="str">
        <f aca="false">IF($B1135="","",IFERROR(INDEX(자원목록!$B$3:$B$102,MATCH($B1135,자원목록!$A$3:$A$102,0)),"미등록자원"))</f>
        <v/>
      </c>
      <c r="D1135" s="7"/>
      <c r="E1135" s="12" t="str">
        <f aca="false">IF($D1135="","",IFERROR(INDEX(고객목록!$B$3:$B$502,MATCH($D1135,고객목록!$A$3:$A$502,0)),""))</f>
        <v/>
      </c>
      <c r="F1135" s="13"/>
      <c r="G1135" s="13"/>
      <c r="H1135" s="14" t="str">
        <f aca="false">IF(OR($L1135="",$M1135=""),"",ROUND(($M1135-$L1135)/60,2))</f>
        <v/>
      </c>
      <c r="I1135" s="9"/>
      <c r="J1135" s="7"/>
      <c r="K1135" s="7"/>
      <c r="L1135" s="15" t="str">
        <f aca="false">IF($F1135="","",IF($F1135&lt;1,ROUND($F1135*1440,0),INT($F1135/100)*60+MOD($F1135,100)))</f>
        <v/>
      </c>
      <c r="M1135" s="15" t="str">
        <f aca="false">IF($G1135="","",IF($G1135&lt;1,ROUND($G1135*1440,0),INT($G1135/100)*60+MOD($G1135,100)))</f>
        <v/>
      </c>
      <c r="N1135" s="15" t="str">
        <f aca="false">IF(OR($A1135="",$B1135="",$L1135="",$M1135="",$J1135="취소"),"",IF(SUMPRODUCT(($A$3:$A$2002=$A1135)*($B$3:$B$2002=$B1135)*($J$3:$J$2002&lt;&gt;"취소")*($L$3:$L$2002&lt;&gt;"")*($M$3:$M$2002&lt;&gt;"")*($L$3:$L$2002&lt;$M1135)*($M$3:$M$2002&gt;$L1135))&gt;1,"중복","-"))</f>
        <v/>
      </c>
    </row>
    <row r="1136" customFormat="false" ht="15" hidden="false" customHeight="true" outlineLevel="0" collapsed="false">
      <c r="A1136" s="11"/>
      <c r="B1136" s="7"/>
      <c r="C1136" s="12" t="str">
        <f aca="false">IF($B1136="","",IFERROR(INDEX(자원목록!$B$3:$B$102,MATCH($B1136,자원목록!$A$3:$A$102,0)),"미등록자원"))</f>
        <v/>
      </c>
      <c r="D1136" s="7"/>
      <c r="E1136" s="12" t="str">
        <f aca="false">IF($D1136="","",IFERROR(INDEX(고객목록!$B$3:$B$502,MATCH($D1136,고객목록!$A$3:$A$502,0)),""))</f>
        <v/>
      </c>
      <c r="F1136" s="13"/>
      <c r="G1136" s="13"/>
      <c r="H1136" s="14" t="str">
        <f aca="false">IF(OR($L1136="",$M1136=""),"",ROUND(($M1136-$L1136)/60,2))</f>
        <v/>
      </c>
      <c r="I1136" s="9"/>
      <c r="J1136" s="7"/>
      <c r="K1136" s="7"/>
      <c r="L1136" s="15" t="str">
        <f aca="false">IF($F1136="","",IF($F1136&lt;1,ROUND($F1136*1440,0),INT($F1136/100)*60+MOD($F1136,100)))</f>
        <v/>
      </c>
      <c r="M1136" s="15" t="str">
        <f aca="false">IF($G1136="","",IF($G1136&lt;1,ROUND($G1136*1440,0),INT($G1136/100)*60+MOD($G1136,100)))</f>
        <v/>
      </c>
      <c r="N1136" s="15" t="str">
        <f aca="false">IF(OR($A1136="",$B1136="",$L1136="",$M1136="",$J1136="취소"),"",IF(SUMPRODUCT(($A$3:$A$2002=$A1136)*($B$3:$B$2002=$B1136)*($J$3:$J$2002&lt;&gt;"취소")*($L$3:$L$2002&lt;&gt;"")*($M$3:$M$2002&lt;&gt;"")*($L$3:$L$2002&lt;$M1136)*($M$3:$M$2002&gt;$L1136))&gt;1,"중복","-"))</f>
        <v/>
      </c>
    </row>
    <row r="1137" customFormat="false" ht="15" hidden="false" customHeight="true" outlineLevel="0" collapsed="false">
      <c r="A1137" s="11"/>
      <c r="B1137" s="7"/>
      <c r="C1137" s="12" t="str">
        <f aca="false">IF($B1137="","",IFERROR(INDEX(자원목록!$B$3:$B$102,MATCH($B1137,자원목록!$A$3:$A$102,0)),"미등록자원"))</f>
        <v/>
      </c>
      <c r="D1137" s="7"/>
      <c r="E1137" s="12" t="str">
        <f aca="false">IF($D1137="","",IFERROR(INDEX(고객목록!$B$3:$B$502,MATCH($D1137,고객목록!$A$3:$A$502,0)),""))</f>
        <v/>
      </c>
      <c r="F1137" s="13"/>
      <c r="G1137" s="13"/>
      <c r="H1137" s="14" t="str">
        <f aca="false">IF(OR($L1137="",$M1137=""),"",ROUND(($M1137-$L1137)/60,2))</f>
        <v/>
      </c>
      <c r="I1137" s="9"/>
      <c r="J1137" s="7"/>
      <c r="K1137" s="7"/>
      <c r="L1137" s="15" t="str">
        <f aca="false">IF($F1137="","",IF($F1137&lt;1,ROUND($F1137*1440,0),INT($F1137/100)*60+MOD($F1137,100)))</f>
        <v/>
      </c>
      <c r="M1137" s="15" t="str">
        <f aca="false">IF($G1137="","",IF($G1137&lt;1,ROUND($G1137*1440,0),INT($G1137/100)*60+MOD($G1137,100)))</f>
        <v/>
      </c>
      <c r="N1137" s="15" t="str">
        <f aca="false">IF(OR($A1137="",$B1137="",$L1137="",$M1137="",$J1137="취소"),"",IF(SUMPRODUCT(($A$3:$A$2002=$A1137)*($B$3:$B$2002=$B1137)*($J$3:$J$2002&lt;&gt;"취소")*($L$3:$L$2002&lt;&gt;"")*($M$3:$M$2002&lt;&gt;"")*($L$3:$L$2002&lt;$M1137)*($M$3:$M$2002&gt;$L1137))&gt;1,"중복","-"))</f>
        <v/>
      </c>
    </row>
    <row r="1138" customFormat="false" ht="15" hidden="false" customHeight="true" outlineLevel="0" collapsed="false">
      <c r="A1138" s="11"/>
      <c r="B1138" s="7"/>
      <c r="C1138" s="12" t="str">
        <f aca="false">IF($B1138="","",IFERROR(INDEX(자원목록!$B$3:$B$102,MATCH($B1138,자원목록!$A$3:$A$102,0)),"미등록자원"))</f>
        <v/>
      </c>
      <c r="D1138" s="7"/>
      <c r="E1138" s="12" t="str">
        <f aca="false">IF($D1138="","",IFERROR(INDEX(고객목록!$B$3:$B$502,MATCH($D1138,고객목록!$A$3:$A$502,0)),""))</f>
        <v/>
      </c>
      <c r="F1138" s="13"/>
      <c r="G1138" s="13"/>
      <c r="H1138" s="14" t="str">
        <f aca="false">IF(OR($L1138="",$M1138=""),"",ROUND(($M1138-$L1138)/60,2))</f>
        <v/>
      </c>
      <c r="I1138" s="9"/>
      <c r="J1138" s="7"/>
      <c r="K1138" s="7"/>
      <c r="L1138" s="15" t="str">
        <f aca="false">IF($F1138="","",IF($F1138&lt;1,ROUND($F1138*1440,0),INT($F1138/100)*60+MOD($F1138,100)))</f>
        <v/>
      </c>
      <c r="M1138" s="15" t="str">
        <f aca="false">IF($G1138="","",IF($G1138&lt;1,ROUND($G1138*1440,0),INT($G1138/100)*60+MOD($G1138,100)))</f>
        <v/>
      </c>
      <c r="N1138" s="15" t="str">
        <f aca="false">IF(OR($A1138="",$B1138="",$L1138="",$M1138="",$J1138="취소"),"",IF(SUMPRODUCT(($A$3:$A$2002=$A1138)*($B$3:$B$2002=$B1138)*($J$3:$J$2002&lt;&gt;"취소")*($L$3:$L$2002&lt;&gt;"")*($M$3:$M$2002&lt;&gt;"")*($L$3:$L$2002&lt;$M1138)*($M$3:$M$2002&gt;$L1138))&gt;1,"중복","-"))</f>
        <v/>
      </c>
    </row>
    <row r="1139" customFormat="false" ht="15" hidden="false" customHeight="true" outlineLevel="0" collapsed="false">
      <c r="A1139" s="11"/>
      <c r="B1139" s="7"/>
      <c r="C1139" s="12" t="str">
        <f aca="false">IF($B1139="","",IFERROR(INDEX(자원목록!$B$3:$B$102,MATCH($B1139,자원목록!$A$3:$A$102,0)),"미등록자원"))</f>
        <v/>
      </c>
      <c r="D1139" s="7"/>
      <c r="E1139" s="12" t="str">
        <f aca="false">IF($D1139="","",IFERROR(INDEX(고객목록!$B$3:$B$502,MATCH($D1139,고객목록!$A$3:$A$502,0)),""))</f>
        <v/>
      </c>
      <c r="F1139" s="13"/>
      <c r="G1139" s="13"/>
      <c r="H1139" s="14" t="str">
        <f aca="false">IF(OR($L1139="",$M1139=""),"",ROUND(($M1139-$L1139)/60,2))</f>
        <v/>
      </c>
      <c r="I1139" s="9"/>
      <c r="J1139" s="7"/>
      <c r="K1139" s="7"/>
      <c r="L1139" s="15" t="str">
        <f aca="false">IF($F1139="","",IF($F1139&lt;1,ROUND($F1139*1440,0),INT($F1139/100)*60+MOD($F1139,100)))</f>
        <v/>
      </c>
      <c r="M1139" s="15" t="str">
        <f aca="false">IF($G1139="","",IF($G1139&lt;1,ROUND($G1139*1440,0),INT($G1139/100)*60+MOD($G1139,100)))</f>
        <v/>
      </c>
      <c r="N1139" s="15" t="str">
        <f aca="false">IF(OR($A1139="",$B1139="",$L1139="",$M1139="",$J1139="취소"),"",IF(SUMPRODUCT(($A$3:$A$2002=$A1139)*($B$3:$B$2002=$B1139)*($J$3:$J$2002&lt;&gt;"취소")*($L$3:$L$2002&lt;&gt;"")*($M$3:$M$2002&lt;&gt;"")*($L$3:$L$2002&lt;$M1139)*($M$3:$M$2002&gt;$L1139))&gt;1,"중복","-"))</f>
        <v/>
      </c>
    </row>
    <row r="1140" customFormat="false" ht="15" hidden="false" customHeight="true" outlineLevel="0" collapsed="false">
      <c r="A1140" s="11"/>
      <c r="B1140" s="7"/>
      <c r="C1140" s="12" t="str">
        <f aca="false">IF($B1140="","",IFERROR(INDEX(자원목록!$B$3:$B$102,MATCH($B1140,자원목록!$A$3:$A$102,0)),"미등록자원"))</f>
        <v/>
      </c>
      <c r="D1140" s="7"/>
      <c r="E1140" s="12" t="str">
        <f aca="false">IF($D1140="","",IFERROR(INDEX(고객목록!$B$3:$B$502,MATCH($D1140,고객목록!$A$3:$A$502,0)),""))</f>
        <v/>
      </c>
      <c r="F1140" s="13"/>
      <c r="G1140" s="13"/>
      <c r="H1140" s="14" t="str">
        <f aca="false">IF(OR($L1140="",$M1140=""),"",ROUND(($M1140-$L1140)/60,2))</f>
        <v/>
      </c>
      <c r="I1140" s="9"/>
      <c r="J1140" s="7"/>
      <c r="K1140" s="7"/>
      <c r="L1140" s="15" t="str">
        <f aca="false">IF($F1140="","",IF($F1140&lt;1,ROUND($F1140*1440,0),INT($F1140/100)*60+MOD($F1140,100)))</f>
        <v/>
      </c>
      <c r="M1140" s="15" t="str">
        <f aca="false">IF($G1140="","",IF($G1140&lt;1,ROUND($G1140*1440,0),INT($G1140/100)*60+MOD($G1140,100)))</f>
        <v/>
      </c>
      <c r="N1140" s="15" t="str">
        <f aca="false">IF(OR($A1140="",$B1140="",$L1140="",$M1140="",$J1140="취소"),"",IF(SUMPRODUCT(($A$3:$A$2002=$A1140)*($B$3:$B$2002=$B1140)*($J$3:$J$2002&lt;&gt;"취소")*($L$3:$L$2002&lt;&gt;"")*($M$3:$M$2002&lt;&gt;"")*($L$3:$L$2002&lt;$M1140)*($M$3:$M$2002&gt;$L1140))&gt;1,"중복","-"))</f>
        <v/>
      </c>
    </row>
    <row r="1141" customFormat="false" ht="15" hidden="false" customHeight="true" outlineLevel="0" collapsed="false">
      <c r="A1141" s="11"/>
      <c r="B1141" s="7"/>
      <c r="C1141" s="12" t="str">
        <f aca="false">IF($B1141="","",IFERROR(INDEX(자원목록!$B$3:$B$102,MATCH($B1141,자원목록!$A$3:$A$102,0)),"미등록자원"))</f>
        <v/>
      </c>
      <c r="D1141" s="7"/>
      <c r="E1141" s="12" t="str">
        <f aca="false">IF($D1141="","",IFERROR(INDEX(고객목록!$B$3:$B$502,MATCH($D1141,고객목록!$A$3:$A$502,0)),""))</f>
        <v/>
      </c>
      <c r="F1141" s="13"/>
      <c r="G1141" s="13"/>
      <c r="H1141" s="14" t="str">
        <f aca="false">IF(OR($L1141="",$M1141=""),"",ROUND(($M1141-$L1141)/60,2))</f>
        <v/>
      </c>
      <c r="I1141" s="9"/>
      <c r="J1141" s="7"/>
      <c r="K1141" s="7"/>
      <c r="L1141" s="15" t="str">
        <f aca="false">IF($F1141="","",IF($F1141&lt;1,ROUND($F1141*1440,0),INT($F1141/100)*60+MOD($F1141,100)))</f>
        <v/>
      </c>
      <c r="M1141" s="15" t="str">
        <f aca="false">IF($G1141="","",IF($G1141&lt;1,ROUND($G1141*1440,0),INT($G1141/100)*60+MOD($G1141,100)))</f>
        <v/>
      </c>
      <c r="N1141" s="15" t="str">
        <f aca="false">IF(OR($A1141="",$B1141="",$L1141="",$M1141="",$J1141="취소"),"",IF(SUMPRODUCT(($A$3:$A$2002=$A1141)*($B$3:$B$2002=$B1141)*($J$3:$J$2002&lt;&gt;"취소")*($L$3:$L$2002&lt;&gt;"")*($M$3:$M$2002&lt;&gt;"")*($L$3:$L$2002&lt;$M1141)*($M$3:$M$2002&gt;$L1141))&gt;1,"중복","-"))</f>
        <v/>
      </c>
    </row>
    <row r="1142" customFormat="false" ht="15" hidden="false" customHeight="true" outlineLevel="0" collapsed="false">
      <c r="A1142" s="11"/>
      <c r="B1142" s="7"/>
      <c r="C1142" s="12" t="str">
        <f aca="false">IF($B1142="","",IFERROR(INDEX(자원목록!$B$3:$B$102,MATCH($B1142,자원목록!$A$3:$A$102,0)),"미등록자원"))</f>
        <v/>
      </c>
      <c r="D1142" s="7"/>
      <c r="E1142" s="12" t="str">
        <f aca="false">IF($D1142="","",IFERROR(INDEX(고객목록!$B$3:$B$502,MATCH($D1142,고객목록!$A$3:$A$502,0)),""))</f>
        <v/>
      </c>
      <c r="F1142" s="13"/>
      <c r="G1142" s="13"/>
      <c r="H1142" s="14" t="str">
        <f aca="false">IF(OR($L1142="",$M1142=""),"",ROUND(($M1142-$L1142)/60,2))</f>
        <v/>
      </c>
      <c r="I1142" s="9"/>
      <c r="J1142" s="7"/>
      <c r="K1142" s="7"/>
      <c r="L1142" s="15" t="str">
        <f aca="false">IF($F1142="","",IF($F1142&lt;1,ROUND($F1142*1440,0),INT($F1142/100)*60+MOD($F1142,100)))</f>
        <v/>
      </c>
      <c r="M1142" s="15" t="str">
        <f aca="false">IF($G1142="","",IF($G1142&lt;1,ROUND($G1142*1440,0),INT($G1142/100)*60+MOD($G1142,100)))</f>
        <v/>
      </c>
      <c r="N1142" s="15" t="str">
        <f aca="false">IF(OR($A1142="",$B1142="",$L1142="",$M1142="",$J1142="취소"),"",IF(SUMPRODUCT(($A$3:$A$2002=$A1142)*($B$3:$B$2002=$B1142)*($J$3:$J$2002&lt;&gt;"취소")*($L$3:$L$2002&lt;&gt;"")*($M$3:$M$2002&lt;&gt;"")*($L$3:$L$2002&lt;$M1142)*($M$3:$M$2002&gt;$L1142))&gt;1,"중복","-"))</f>
        <v/>
      </c>
    </row>
    <row r="1143" customFormat="false" ht="15" hidden="false" customHeight="true" outlineLevel="0" collapsed="false">
      <c r="A1143" s="11"/>
      <c r="B1143" s="7"/>
      <c r="C1143" s="12" t="str">
        <f aca="false">IF($B1143="","",IFERROR(INDEX(자원목록!$B$3:$B$102,MATCH($B1143,자원목록!$A$3:$A$102,0)),"미등록자원"))</f>
        <v/>
      </c>
      <c r="D1143" s="7"/>
      <c r="E1143" s="12" t="str">
        <f aca="false">IF($D1143="","",IFERROR(INDEX(고객목록!$B$3:$B$502,MATCH($D1143,고객목록!$A$3:$A$502,0)),""))</f>
        <v/>
      </c>
      <c r="F1143" s="13"/>
      <c r="G1143" s="13"/>
      <c r="H1143" s="14" t="str">
        <f aca="false">IF(OR($L1143="",$M1143=""),"",ROUND(($M1143-$L1143)/60,2))</f>
        <v/>
      </c>
      <c r="I1143" s="9"/>
      <c r="J1143" s="7"/>
      <c r="K1143" s="7"/>
      <c r="L1143" s="15" t="str">
        <f aca="false">IF($F1143="","",IF($F1143&lt;1,ROUND($F1143*1440,0),INT($F1143/100)*60+MOD($F1143,100)))</f>
        <v/>
      </c>
      <c r="M1143" s="15" t="str">
        <f aca="false">IF($G1143="","",IF($G1143&lt;1,ROUND($G1143*1440,0),INT($G1143/100)*60+MOD($G1143,100)))</f>
        <v/>
      </c>
      <c r="N1143" s="15" t="str">
        <f aca="false">IF(OR($A1143="",$B1143="",$L1143="",$M1143="",$J1143="취소"),"",IF(SUMPRODUCT(($A$3:$A$2002=$A1143)*($B$3:$B$2002=$B1143)*($J$3:$J$2002&lt;&gt;"취소")*($L$3:$L$2002&lt;&gt;"")*($M$3:$M$2002&lt;&gt;"")*($L$3:$L$2002&lt;$M1143)*($M$3:$M$2002&gt;$L1143))&gt;1,"중복","-"))</f>
        <v/>
      </c>
    </row>
    <row r="1144" customFormat="false" ht="15" hidden="false" customHeight="true" outlineLevel="0" collapsed="false">
      <c r="A1144" s="11"/>
      <c r="B1144" s="7"/>
      <c r="C1144" s="12" t="str">
        <f aca="false">IF($B1144="","",IFERROR(INDEX(자원목록!$B$3:$B$102,MATCH($B1144,자원목록!$A$3:$A$102,0)),"미등록자원"))</f>
        <v/>
      </c>
      <c r="D1144" s="7"/>
      <c r="E1144" s="12" t="str">
        <f aca="false">IF($D1144="","",IFERROR(INDEX(고객목록!$B$3:$B$502,MATCH($D1144,고객목록!$A$3:$A$502,0)),""))</f>
        <v/>
      </c>
      <c r="F1144" s="13"/>
      <c r="G1144" s="13"/>
      <c r="H1144" s="14" t="str">
        <f aca="false">IF(OR($L1144="",$M1144=""),"",ROUND(($M1144-$L1144)/60,2))</f>
        <v/>
      </c>
      <c r="I1144" s="9"/>
      <c r="J1144" s="7"/>
      <c r="K1144" s="7"/>
      <c r="L1144" s="15" t="str">
        <f aca="false">IF($F1144="","",IF($F1144&lt;1,ROUND($F1144*1440,0),INT($F1144/100)*60+MOD($F1144,100)))</f>
        <v/>
      </c>
      <c r="M1144" s="15" t="str">
        <f aca="false">IF($G1144="","",IF($G1144&lt;1,ROUND($G1144*1440,0),INT($G1144/100)*60+MOD($G1144,100)))</f>
        <v/>
      </c>
      <c r="N1144" s="15" t="str">
        <f aca="false">IF(OR($A1144="",$B1144="",$L1144="",$M1144="",$J1144="취소"),"",IF(SUMPRODUCT(($A$3:$A$2002=$A1144)*($B$3:$B$2002=$B1144)*($J$3:$J$2002&lt;&gt;"취소")*($L$3:$L$2002&lt;&gt;"")*($M$3:$M$2002&lt;&gt;"")*($L$3:$L$2002&lt;$M1144)*($M$3:$M$2002&gt;$L1144))&gt;1,"중복","-"))</f>
        <v/>
      </c>
    </row>
    <row r="1145" customFormat="false" ht="15" hidden="false" customHeight="true" outlineLevel="0" collapsed="false">
      <c r="A1145" s="11"/>
      <c r="B1145" s="7"/>
      <c r="C1145" s="12" t="str">
        <f aca="false">IF($B1145="","",IFERROR(INDEX(자원목록!$B$3:$B$102,MATCH($B1145,자원목록!$A$3:$A$102,0)),"미등록자원"))</f>
        <v/>
      </c>
      <c r="D1145" s="7"/>
      <c r="E1145" s="12" t="str">
        <f aca="false">IF($D1145="","",IFERROR(INDEX(고객목록!$B$3:$B$502,MATCH($D1145,고객목록!$A$3:$A$502,0)),""))</f>
        <v/>
      </c>
      <c r="F1145" s="13"/>
      <c r="G1145" s="13"/>
      <c r="H1145" s="14" t="str">
        <f aca="false">IF(OR($L1145="",$M1145=""),"",ROUND(($M1145-$L1145)/60,2))</f>
        <v/>
      </c>
      <c r="I1145" s="9"/>
      <c r="J1145" s="7"/>
      <c r="K1145" s="7"/>
      <c r="L1145" s="15" t="str">
        <f aca="false">IF($F1145="","",IF($F1145&lt;1,ROUND($F1145*1440,0),INT($F1145/100)*60+MOD($F1145,100)))</f>
        <v/>
      </c>
      <c r="M1145" s="15" t="str">
        <f aca="false">IF($G1145="","",IF($G1145&lt;1,ROUND($G1145*1440,0),INT($G1145/100)*60+MOD($G1145,100)))</f>
        <v/>
      </c>
      <c r="N1145" s="15" t="str">
        <f aca="false">IF(OR($A1145="",$B1145="",$L1145="",$M1145="",$J1145="취소"),"",IF(SUMPRODUCT(($A$3:$A$2002=$A1145)*($B$3:$B$2002=$B1145)*($J$3:$J$2002&lt;&gt;"취소")*($L$3:$L$2002&lt;&gt;"")*($M$3:$M$2002&lt;&gt;"")*($L$3:$L$2002&lt;$M1145)*($M$3:$M$2002&gt;$L1145))&gt;1,"중복","-"))</f>
        <v/>
      </c>
    </row>
    <row r="1146" customFormat="false" ht="15" hidden="false" customHeight="true" outlineLevel="0" collapsed="false">
      <c r="A1146" s="11"/>
      <c r="B1146" s="7"/>
      <c r="C1146" s="12" t="str">
        <f aca="false">IF($B1146="","",IFERROR(INDEX(자원목록!$B$3:$B$102,MATCH($B1146,자원목록!$A$3:$A$102,0)),"미등록자원"))</f>
        <v/>
      </c>
      <c r="D1146" s="7"/>
      <c r="E1146" s="12" t="str">
        <f aca="false">IF($D1146="","",IFERROR(INDEX(고객목록!$B$3:$B$502,MATCH($D1146,고객목록!$A$3:$A$502,0)),""))</f>
        <v/>
      </c>
      <c r="F1146" s="13"/>
      <c r="G1146" s="13"/>
      <c r="H1146" s="14" t="str">
        <f aca="false">IF(OR($L1146="",$M1146=""),"",ROUND(($M1146-$L1146)/60,2))</f>
        <v/>
      </c>
      <c r="I1146" s="9"/>
      <c r="J1146" s="7"/>
      <c r="K1146" s="7"/>
      <c r="L1146" s="15" t="str">
        <f aca="false">IF($F1146="","",IF($F1146&lt;1,ROUND($F1146*1440,0),INT($F1146/100)*60+MOD($F1146,100)))</f>
        <v/>
      </c>
      <c r="M1146" s="15" t="str">
        <f aca="false">IF($G1146="","",IF($G1146&lt;1,ROUND($G1146*1440,0),INT($G1146/100)*60+MOD($G1146,100)))</f>
        <v/>
      </c>
      <c r="N1146" s="15" t="str">
        <f aca="false">IF(OR($A1146="",$B1146="",$L1146="",$M1146="",$J1146="취소"),"",IF(SUMPRODUCT(($A$3:$A$2002=$A1146)*($B$3:$B$2002=$B1146)*($J$3:$J$2002&lt;&gt;"취소")*($L$3:$L$2002&lt;&gt;"")*($M$3:$M$2002&lt;&gt;"")*($L$3:$L$2002&lt;$M1146)*($M$3:$M$2002&gt;$L1146))&gt;1,"중복","-"))</f>
        <v/>
      </c>
    </row>
    <row r="1147" customFormat="false" ht="15" hidden="false" customHeight="true" outlineLevel="0" collapsed="false">
      <c r="A1147" s="11"/>
      <c r="B1147" s="7"/>
      <c r="C1147" s="12" t="str">
        <f aca="false">IF($B1147="","",IFERROR(INDEX(자원목록!$B$3:$B$102,MATCH($B1147,자원목록!$A$3:$A$102,0)),"미등록자원"))</f>
        <v/>
      </c>
      <c r="D1147" s="7"/>
      <c r="E1147" s="12" t="str">
        <f aca="false">IF($D1147="","",IFERROR(INDEX(고객목록!$B$3:$B$502,MATCH($D1147,고객목록!$A$3:$A$502,0)),""))</f>
        <v/>
      </c>
      <c r="F1147" s="13"/>
      <c r="G1147" s="13"/>
      <c r="H1147" s="14" t="str">
        <f aca="false">IF(OR($L1147="",$M1147=""),"",ROUND(($M1147-$L1147)/60,2))</f>
        <v/>
      </c>
      <c r="I1147" s="9"/>
      <c r="J1147" s="7"/>
      <c r="K1147" s="7"/>
      <c r="L1147" s="15" t="str">
        <f aca="false">IF($F1147="","",IF($F1147&lt;1,ROUND($F1147*1440,0),INT($F1147/100)*60+MOD($F1147,100)))</f>
        <v/>
      </c>
      <c r="M1147" s="15" t="str">
        <f aca="false">IF($G1147="","",IF($G1147&lt;1,ROUND($G1147*1440,0),INT($G1147/100)*60+MOD($G1147,100)))</f>
        <v/>
      </c>
      <c r="N1147" s="15" t="str">
        <f aca="false">IF(OR($A1147="",$B1147="",$L1147="",$M1147="",$J1147="취소"),"",IF(SUMPRODUCT(($A$3:$A$2002=$A1147)*($B$3:$B$2002=$B1147)*($J$3:$J$2002&lt;&gt;"취소")*($L$3:$L$2002&lt;&gt;"")*($M$3:$M$2002&lt;&gt;"")*($L$3:$L$2002&lt;$M1147)*($M$3:$M$2002&gt;$L1147))&gt;1,"중복","-"))</f>
        <v/>
      </c>
    </row>
    <row r="1148" customFormat="false" ht="15" hidden="false" customHeight="true" outlineLevel="0" collapsed="false">
      <c r="A1148" s="11"/>
      <c r="B1148" s="7"/>
      <c r="C1148" s="12" t="str">
        <f aca="false">IF($B1148="","",IFERROR(INDEX(자원목록!$B$3:$B$102,MATCH($B1148,자원목록!$A$3:$A$102,0)),"미등록자원"))</f>
        <v/>
      </c>
      <c r="D1148" s="7"/>
      <c r="E1148" s="12" t="str">
        <f aca="false">IF($D1148="","",IFERROR(INDEX(고객목록!$B$3:$B$502,MATCH($D1148,고객목록!$A$3:$A$502,0)),""))</f>
        <v/>
      </c>
      <c r="F1148" s="13"/>
      <c r="G1148" s="13"/>
      <c r="H1148" s="14" t="str">
        <f aca="false">IF(OR($L1148="",$M1148=""),"",ROUND(($M1148-$L1148)/60,2))</f>
        <v/>
      </c>
      <c r="I1148" s="9"/>
      <c r="J1148" s="7"/>
      <c r="K1148" s="7"/>
      <c r="L1148" s="15" t="str">
        <f aca="false">IF($F1148="","",IF($F1148&lt;1,ROUND($F1148*1440,0),INT($F1148/100)*60+MOD($F1148,100)))</f>
        <v/>
      </c>
      <c r="M1148" s="15" t="str">
        <f aca="false">IF($G1148="","",IF($G1148&lt;1,ROUND($G1148*1440,0),INT($G1148/100)*60+MOD($G1148,100)))</f>
        <v/>
      </c>
      <c r="N1148" s="15" t="str">
        <f aca="false">IF(OR($A1148="",$B1148="",$L1148="",$M1148="",$J1148="취소"),"",IF(SUMPRODUCT(($A$3:$A$2002=$A1148)*($B$3:$B$2002=$B1148)*($J$3:$J$2002&lt;&gt;"취소")*($L$3:$L$2002&lt;&gt;"")*($M$3:$M$2002&lt;&gt;"")*($L$3:$L$2002&lt;$M1148)*($M$3:$M$2002&gt;$L1148))&gt;1,"중복","-"))</f>
        <v/>
      </c>
    </row>
    <row r="1149" customFormat="false" ht="15" hidden="false" customHeight="true" outlineLevel="0" collapsed="false">
      <c r="A1149" s="11"/>
      <c r="B1149" s="7"/>
      <c r="C1149" s="12" t="str">
        <f aca="false">IF($B1149="","",IFERROR(INDEX(자원목록!$B$3:$B$102,MATCH($B1149,자원목록!$A$3:$A$102,0)),"미등록자원"))</f>
        <v/>
      </c>
      <c r="D1149" s="7"/>
      <c r="E1149" s="12" t="str">
        <f aca="false">IF($D1149="","",IFERROR(INDEX(고객목록!$B$3:$B$502,MATCH($D1149,고객목록!$A$3:$A$502,0)),""))</f>
        <v/>
      </c>
      <c r="F1149" s="13"/>
      <c r="G1149" s="13"/>
      <c r="H1149" s="14" t="str">
        <f aca="false">IF(OR($L1149="",$M1149=""),"",ROUND(($M1149-$L1149)/60,2))</f>
        <v/>
      </c>
      <c r="I1149" s="9"/>
      <c r="J1149" s="7"/>
      <c r="K1149" s="7"/>
      <c r="L1149" s="15" t="str">
        <f aca="false">IF($F1149="","",IF($F1149&lt;1,ROUND($F1149*1440,0),INT($F1149/100)*60+MOD($F1149,100)))</f>
        <v/>
      </c>
      <c r="M1149" s="15" t="str">
        <f aca="false">IF($G1149="","",IF($G1149&lt;1,ROUND($G1149*1440,0),INT($G1149/100)*60+MOD($G1149,100)))</f>
        <v/>
      </c>
      <c r="N1149" s="15" t="str">
        <f aca="false">IF(OR($A1149="",$B1149="",$L1149="",$M1149="",$J1149="취소"),"",IF(SUMPRODUCT(($A$3:$A$2002=$A1149)*($B$3:$B$2002=$B1149)*($J$3:$J$2002&lt;&gt;"취소")*($L$3:$L$2002&lt;&gt;"")*($M$3:$M$2002&lt;&gt;"")*($L$3:$L$2002&lt;$M1149)*($M$3:$M$2002&gt;$L1149))&gt;1,"중복","-"))</f>
        <v/>
      </c>
    </row>
    <row r="1150" customFormat="false" ht="15" hidden="false" customHeight="true" outlineLevel="0" collapsed="false">
      <c r="A1150" s="11"/>
      <c r="B1150" s="7"/>
      <c r="C1150" s="12" t="str">
        <f aca="false">IF($B1150="","",IFERROR(INDEX(자원목록!$B$3:$B$102,MATCH($B1150,자원목록!$A$3:$A$102,0)),"미등록자원"))</f>
        <v/>
      </c>
      <c r="D1150" s="7"/>
      <c r="E1150" s="12" t="str">
        <f aca="false">IF($D1150="","",IFERROR(INDEX(고객목록!$B$3:$B$502,MATCH($D1150,고객목록!$A$3:$A$502,0)),""))</f>
        <v/>
      </c>
      <c r="F1150" s="13"/>
      <c r="G1150" s="13"/>
      <c r="H1150" s="14" t="str">
        <f aca="false">IF(OR($L1150="",$M1150=""),"",ROUND(($M1150-$L1150)/60,2))</f>
        <v/>
      </c>
      <c r="I1150" s="9"/>
      <c r="J1150" s="7"/>
      <c r="K1150" s="7"/>
      <c r="L1150" s="15" t="str">
        <f aca="false">IF($F1150="","",IF($F1150&lt;1,ROUND($F1150*1440,0),INT($F1150/100)*60+MOD($F1150,100)))</f>
        <v/>
      </c>
      <c r="M1150" s="15" t="str">
        <f aca="false">IF($G1150="","",IF($G1150&lt;1,ROUND($G1150*1440,0),INT($G1150/100)*60+MOD($G1150,100)))</f>
        <v/>
      </c>
      <c r="N1150" s="15" t="str">
        <f aca="false">IF(OR($A1150="",$B1150="",$L1150="",$M1150="",$J1150="취소"),"",IF(SUMPRODUCT(($A$3:$A$2002=$A1150)*($B$3:$B$2002=$B1150)*($J$3:$J$2002&lt;&gt;"취소")*($L$3:$L$2002&lt;&gt;"")*($M$3:$M$2002&lt;&gt;"")*($L$3:$L$2002&lt;$M1150)*($M$3:$M$2002&gt;$L1150))&gt;1,"중복","-"))</f>
        <v/>
      </c>
    </row>
    <row r="1151" customFormat="false" ht="15" hidden="false" customHeight="true" outlineLevel="0" collapsed="false">
      <c r="A1151" s="11"/>
      <c r="B1151" s="7"/>
      <c r="C1151" s="12" t="str">
        <f aca="false">IF($B1151="","",IFERROR(INDEX(자원목록!$B$3:$B$102,MATCH($B1151,자원목록!$A$3:$A$102,0)),"미등록자원"))</f>
        <v/>
      </c>
      <c r="D1151" s="7"/>
      <c r="E1151" s="12" t="str">
        <f aca="false">IF($D1151="","",IFERROR(INDEX(고객목록!$B$3:$B$502,MATCH($D1151,고객목록!$A$3:$A$502,0)),""))</f>
        <v/>
      </c>
      <c r="F1151" s="13"/>
      <c r="G1151" s="13"/>
      <c r="H1151" s="14" t="str">
        <f aca="false">IF(OR($L1151="",$M1151=""),"",ROUND(($M1151-$L1151)/60,2))</f>
        <v/>
      </c>
      <c r="I1151" s="9"/>
      <c r="J1151" s="7"/>
      <c r="K1151" s="7"/>
      <c r="L1151" s="15" t="str">
        <f aca="false">IF($F1151="","",IF($F1151&lt;1,ROUND($F1151*1440,0),INT($F1151/100)*60+MOD($F1151,100)))</f>
        <v/>
      </c>
      <c r="M1151" s="15" t="str">
        <f aca="false">IF($G1151="","",IF($G1151&lt;1,ROUND($G1151*1440,0),INT($G1151/100)*60+MOD($G1151,100)))</f>
        <v/>
      </c>
      <c r="N1151" s="15" t="str">
        <f aca="false">IF(OR($A1151="",$B1151="",$L1151="",$M1151="",$J1151="취소"),"",IF(SUMPRODUCT(($A$3:$A$2002=$A1151)*($B$3:$B$2002=$B1151)*($J$3:$J$2002&lt;&gt;"취소")*($L$3:$L$2002&lt;&gt;"")*($M$3:$M$2002&lt;&gt;"")*($L$3:$L$2002&lt;$M1151)*($M$3:$M$2002&gt;$L1151))&gt;1,"중복","-"))</f>
        <v/>
      </c>
    </row>
    <row r="1152" customFormat="false" ht="15" hidden="false" customHeight="true" outlineLevel="0" collapsed="false">
      <c r="A1152" s="11"/>
      <c r="B1152" s="7"/>
      <c r="C1152" s="12" t="str">
        <f aca="false">IF($B1152="","",IFERROR(INDEX(자원목록!$B$3:$B$102,MATCH($B1152,자원목록!$A$3:$A$102,0)),"미등록자원"))</f>
        <v/>
      </c>
      <c r="D1152" s="7"/>
      <c r="E1152" s="12" t="str">
        <f aca="false">IF($D1152="","",IFERROR(INDEX(고객목록!$B$3:$B$502,MATCH($D1152,고객목록!$A$3:$A$502,0)),""))</f>
        <v/>
      </c>
      <c r="F1152" s="13"/>
      <c r="G1152" s="13"/>
      <c r="H1152" s="14" t="str">
        <f aca="false">IF(OR($L1152="",$M1152=""),"",ROUND(($M1152-$L1152)/60,2))</f>
        <v/>
      </c>
      <c r="I1152" s="9"/>
      <c r="J1152" s="7"/>
      <c r="K1152" s="7"/>
      <c r="L1152" s="15" t="str">
        <f aca="false">IF($F1152="","",IF($F1152&lt;1,ROUND($F1152*1440,0),INT($F1152/100)*60+MOD($F1152,100)))</f>
        <v/>
      </c>
      <c r="M1152" s="15" t="str">
        <f aca="false">IF($G1152="","",IF($G1152&lt;1,ROUND($G1152*1440,0),INT($G1152/100)*60+MOD($G1152,100)))</f>
        <v/>
      </c>
      <c r="N1152" s="15" t="str">
        <f aca="false">IF(OR($A1152="",$B1152="",$L1152="",$M1152="",$J1152="취소"),"",IF(SUMPRODUCT(($A$3:$A$2002=$A1152)*($B$3:$B$2002=$B1152)*($J$3:$J$2002&lt;&gt;"취소")*($L$3:$L$2002&lt;&gt;"")*($M$3:$M$2002&lt;&gt;"")*($L$3:$L$2002&lt;$M1152)*($M$3:$M$2002&gt;$L1152))&gt;1,"중복","-"))</f>
        <v/>
      </c>
    </row>
    <row r="1153" customFormat="false" ht="15" hidden="false" customHeight="true" outlineLevel="0" collapsed="false">
      <c r="A1153" s="11"/>
      <c r="B1153" s="7"/>
      <c r="C1153" s="12" t="str">
        <f aca="false">IF($B1153="","",IFERROR(INDEX(자원목록!$B$3:$B$102,MATCH($B1153,자원목록!$A$3:$A$102,0)),"미등록자원"))</f>
        <v/>
      </c>
      <c r="D1153" s="7"/>
      <c r="E1153" s="12" t="str">
        <f aca="false">IF($D1153="","",IFERROR(INDEX(고객목록!$B$3:$B$502,MATCH($D1153,고객목록!$A$3:$A$502,0)),""))</f>
        <v/>
      </c>
      <c r="F1153" s="13"/>
      <c r="G1153" s="13"/>
      <c r="H1153" s="14" t="str">
        <f aca="false">IF(OR($L1153="",$M1153=""),"",ROUND(($M1153-$L1153)/60,2))</f>
        <v/>
      </c>
      <c r="I1153" s="9"/>
      <c r="J1153" s="7"/>
      <c r="K1153" s="7"/>
      <c r="L1153" s="15" t="str">
        <f aca="false">IF($F1153="","",IF($F1153&lt;1,ROUND($F1153*1440,0),INT($F1153/100)*60+MOD($F1153,100)))</f>
        <v/>
      </c>
      <c r="M1153" s="15" t="str">
        <f aca="false">IF($G1153="","",IF($G1153&lt;1,ROUND($G1153*1440,0),INT($G1153/100)*60+MOD($G1153,100)))</f>
        <v/>
      </c>
      <c r="N1153" s="15" t="str">
        <f aca="false">IF(OR($A1153="",$B1153="",$L1153="",$M1153="",$J1153="취소"),"",IF(SUMPRODUCT(($A$3:$A$2002=$A1153)*($B$3:$B$2002=$B1153)*($J$3:$J$2002&lt;&gt;"취소")*($L$3:$L$2002&lt;&gt;"")*($M$3:$M$2002&lt;&gt;"")*($L$3:$L$2002&lt;$M1153)*($M$3:$M$2002&gt;$L1153))&gt;1,"중복","-"))</f>
        <v/>
      </c>
    </row>
    <row r="1154" customFormat="false" ht="15" hidden="false" customHeight="true" outlineLevel="0" collapsed="false">
      <c r="A1154" s="11"/>
      <c r="B1154" s="7"/>
      <c r="C1154" s="12" t="str">
        <f aca="false">IF($B1154="","",IFERROR(INDEX(자원목록!$B$3:$B$102,MATCH($B1154,자원목록!$A$3:$A$102,0)),"미등록자원"))</f>
        <v/>
      </c>
      <c r="D1154" s="7"/>
      <c r="E1154" s="12" t="str">
        <f aca="false">IF($D1154="","",IFERROR(INDEX(고객목록!$B$3:$B$502,MATCH($D1154,고객목록!$A$3:$A$502,0)),""))</f>
        <v/>
      </c>
      <c r="F1154" s="13"/>
      <c r="G1154" s="13"/>
      <c r="H1154" s="14" t="str">
        <f aca="false">IF(OR($L1154="",$M1154=""),"",ROUND(($M1154-$L1154)/60,2))</f>
        <v/>
      </c>
      <c r="I1154" s="9"/>
      <c r="J1154" s="7"/>
      <c r="K1154" s="7"/>
      <c r="L1154" s="15" t="str">
        <f aca="false">IF($F1154="","",IF($F1154&lt;1,ROUND($F1154*1440,0),INT($F1154/100)*60+MOD($F1154,100)))</f>
        <v/>
      </c>
      <c r="M1154" s="15" t="str">
        <f aca="false">IF($G1154="","",IF($G1154&lt;1,ROUND($G1154*1440,0),INT($G1154/100)*60+MOD($G1154,100)))</f>
        <v/>
      </c>
      <c r="N1154" s="15" t="str">
        <f aca="false">IF(OR($A1154="",$B1154="",$L1154="",$M1154="",$J1154="취소"),"",IF(SUMPRODUCT(($A$3:$A$2002=$A1154)*($B$3:$B$2002=$B1154)*($J$3:$J$2002&lt;&gt;"취소")*($L$3:$L$2002&lt;&gt;"")*($M$3:$M$2002&lt;&gt;"")*($L$3:$L$2002&lt;$M1154)*($M$3:$M$2002&gt;$L1154))&gt;1,"중복","-"))</f>
        <v/>
      </c>
    </row>
    <row r="1155" customFormat="false" ht="15" hidden="false" customHeight="true" outlineLevel="0" collapsed="false">
      <c r="A1155" s="11"/>
      <c r="B1155" s="7"/>
      <c r="C1155" s="12" t="str">
        <f aca="false">IF($B1155="","",IFERROR(INDEX(자원목록!$B$3:$B$102,MATCH($B1155,자원목록!$A$3:$A$102,0)),"미등록자원"))</f>
        <v/>
      </c>
      <c r="D1155" s="7"/>
      <c r="E1155" s="12" t="str">
        <f aca="false">IF($D1155="","",IFERROR(INDEX(고객목록!$B$3:$B$502,MATCH($D1155,고객목록!$A$3:$A$502,0)),""))</f>
        <v/>
      </c>
      <c r="F1155" s="13"/>
      <c r="G1155" s="13"/>
      <c r="H1155" s="14" t="str">
        <f aca="false">IF(OR($L1155="",$M1155=""),"",ROUND(($M1155-$L1155)/60,2))</f>
        <v/>
      </c>
      <c r="I1155" s="9"/>
      <c r="J1155" s="7"/>
      <c r="K1155" s="7"/>
      <c r="L1155" s="15" t="str">
        <f aca="false">IF($F1155="","",IF($F1155&lt;1,ROUND($F1155*1440,0),INT($F1155/100)*60+MOD($F1155,100)))</f>
        <v/>
      </c>
      <c r="M1155" s="15" t="str">
        <f aca="false">IF($G1155="","",IF($G1155&lt;1,ROUND($G1155*1440,0),INT($G1155/100)*60+MOD($G1155,100)))</f>
        <v/>
      </c>
      <c r="N1155" s="15" t="str">
        <f aca="false">IF(OR($A1155="",$B1155="",$L1155="",$M1155="",$J1155="취소"),"",IF(SUMPRODUCT(($A$3:$A$2002=$A1155)*($B$3:$B$2002=$B1155)*($J$3:$J$2002&lt;&gt;"취소")*($L$3:$L$2002&lt;&gt;"")*($M$3:$M$2002&lt;&gt;"")*($L$3:$L$2002&lt;$M1155)*($M$3:$M$2002&gt;$L1155))&gt;1,"중복","-"))</f>
        <v/>
      </c>
    </row>
    <row r="1156" customFormat="false" ht="15" hidden="false" customHeight="true" outlineLevel="0" collapsed="false">
      <c r="A1156" s="11"/>
      <c r="B1156" s="7"/>
      <c r="C1156" s="12" t="str">
        <f aca="false">IF($B1156="","",IFERROR(INDEX(자원목록!$B$3:$B$102,MATCH($B1156,자원목록!$A$3:$A$102,0)),"미등록자원"))</f>
        <v/>
      </c>
      <c r="D1156" s="7"/>
      <c r="E1156" s="12" t="str">
        <f aca="false">IF($D1156="","",IFERROR(INDEX(고객목록!$B$3:$B$502,MATCH($D1156,고객목록!$A$3:$A$502,0)),""))</f>
        <v/>
      </c>
      <c r="F1156" s="13"/>
      <c r="G1156" s="13"/>
      <c r="H1156" s="14" t="str">
        <f aca="false">IF(OR($L1156="",$M1156=""),"",ROUND(($M1156-$L1156)/60,2))</f>
        <v/>
      </c>
      <c r="I1156" s="9"/>
      <c r="J1156" s="7"/>
      <c r="K1156" s="7"/>
      <c r="L1156" s="15" t="str">
        <f aca="false">IF($F1156="","",IF($F1156&lt;1,ROUND($F1156*1440,0),INT($F1156/100)*60+MOD($F1156,100)))</f>
        <v/>
      </c>
      <c r="M1156" s="15" t="str">
        <f aca="false">IF($G1156="","",IF($G1156&lt;1,ROUND($G1156*1440,0),INT($G1156/100)*60+MOD($G1156,100)))</f>
        <v/>
      </c>
      <c r="N1156" s="15" t="str">
        <f aca="false">IF(OR($A1156="",$B1156="",$L1156="",$M1156="",$J1156="취소"),"",IF(SUMPRODUCT(($A$3:$A$2002=$A1156)*($B$3:$B$2002=$B1156)*($J$3:$J$2002&lt;&gt;"취소")*($L$3:$L$2002&lt;&gt;"")*($M$3:$M$2002&lt;&gt;"")*($L$3:$L$2002&lt;$M1156)*($M$3:$M$2002&gt;$L1156))&gt;1,"중복","-"))</f>
        <v/>
      </c>
    </row>
    <row r="1157" customFormat="false" ht="15" hidden="false" customHeight="true" outlineLevel="0" collapsed="false">
      <c r="A1157" s="11"/>
      <c r="B1157" s="7"/>
      <c r="C1157" s="12" t="str">
        <f aca="false">IF($B1157="","",IFERROR(INDEX(자원목록!$B$3:$B$102,MATCH($B1157,자원목록!$A$3:$A$102,0)),"미등록자원"))</f>
        <v/>
      </c>
      <c r="D1157" s="7"/>
      <c r="E1157" s="12" t="str">
        <f aca="false">IF($D1157="","",IFERROR(INDEX(고객목록!$B$3:$B$502,MATCH($D1157,고객목록!$A$3:$A$502,0)),""))</f>
        <v/>
      </c>
      <c r="F1157" s="13"/>
      <c r="G1157" s="13"/>
      <c r="H1157" s="14" t="str">
        <f aca="false">IF(OR($L1157="",$M1157=""),"",ROUND(($M1157-$L1157)/60,2))</f>
        <v/>
      </c>
      <c r="I1157" s="9"/>
      <c r="J1157" s="7"/>
      <c r="K1157" s="7"/>
      <c r="L1157" s="15" t="str">
        <f aca="false">IF($F1157="","",IF($F1157&lt;1,ROUND($F1157*1440,0),INT($F1157/100)*60+MOD($F1157,100)))</f>
        <v/>
      </c>
      <c r="M1157" s="15" t="str">
        <f aca="false">IF($G1157="","",IF($G1157&lt;1,ROUND($G1157*1440,0),INT($G1157/100)*60+MOD($G1157,100)))</f>
        <v/>
      </c>
      <c r="N1157" s="15" t="str">
        <f aca="false">IF(OR($A1157="",$B1157="",$L1157="",$M1157="",$J1157="취소"),"",IF(SUMPRODUCT(($A$3:$A$2002=$A1157)*($B$3:$B$2002=$B1157)*($J$3:$J$2002&lt;&gt;"취소")*($L$3:$L$2002&lt;&gt;"")*($M$3:$M$2002&lt;&gt;"")*($L$3:$L$2002&lt;$M1157)*($M$3:$M$2002&gt;$L1157))&gt;1,"중복","-"))</f>
        <v/>
      </c>
    </row>
    <row r="1158" customFormat="false" ht="15" hidden="false" customHeight="true" outlineLevel="0" collapsed="false">
      <c r="A1158" s="11"/>
      <c r="B1158" s="7"/>
      <c r="C1158" s="12" t="str">
        <f aca="false">IF($B1158="","",IFERROR(INDEX(자원목록!$B$3:$B$102,MATCH($B1158,자원목록!$A$3:$A$102,0)),"미등록자원"))</f>
        <v/>
      </c>
      <c r="D1158" s="7"/>
      <c r="E1158" s="12" t="str">
        <f aca="false">IF($D1158="","",IFERROR(INDEX(고객목록!$B$3:$B$502,MATCH($D1158,고객목록!$A$3:$A$502,0)),""))</f>
        <v/>
      </c>
      <c r="F1158" s="13"/>
      <c r="G1158" s="13"/>
      <c r="H1158" s="14" t="str">
        <f aca="false">IF(OR($L1158="",$M1158=""),"",ROUND(($M1158-$L1158)/60,2))</f>
        <v/>
      </c>
      <c r="I1158" s="9"/>
      <c r="J1158" s="7"/>
      <c r="K1158" s="7"/>
      <c r="L1158" s="15" t="str">
        <f aca="false">IF($F1158="","",IF($F1158&lt;1,ROUND($F1158*1440,0),INT($F1158/100)*60+MOD($F1158,100)))</f>
        <v/>
      </c>
      <c r="M1158" s="15" t="str">
        <f aca="false">IF($G1158="","",IF($G1158&lt;1,ROUND($G1158*1440,0),INT($G1158/100)*60+MOD($G1158,100)))</f>
        <v/>
      </c>
      <c r="N1158" s="15" t="str">
        <f aca="false">IF(OR($A1158="",$B1158="",$L1158="",$M1158="",$J1158="취소"),"",IF(SUMPRODUCT(($A$3:$A$2002=$A1158)*($B$3:$B$2002=$B1158)*($J$3:$J$2002&lt;&gt;"취소")*($L$3:$L$2002&lt;&gt;"")*($M$3:$M$2002&lt;&gt;"")*($L$3:$L$2002&lt;$M1158)*($M$3:$M$2002&gt;$L1158))&gt;1,"중복","-"))</f>
        <v/>
      </c>
    </row>
    <row r="1159" customFormat="false" ht="15" hidden="false" customHeight="true" outlineLevel="0" collapsed="false">
      <c r="A1159" s="11"/>
      <c r="B1159" s="7"/>
      <c r="C1159" s="12" t="str">
        <f aca="false">IF($B1159="","",IFERROR(INDEX(자원목록!$B$3:$B$102,MATCH($B1159,자원목록!$A$3:$A$102,0)),"미등록자원"))</f>
        <v/>
      </c>
      <c r="D1159" s="7"/>
      <c r="E1159" s="12" t="str">
        <f aca="false">IF($D1159="","",IFERROR(INDEX(고객목록!$B$3:$B$502,MATCH($D1159,고객목록!$A$3:$A$502,0)),""))</f>
        <v/>
      </c>
      <c r="F1159" s="13"/>
      <c r="G1159" s="13"/>
      <c r="H1159" s="14" t="str">
        <f aca="false">IF(OR($L1159="",$M1159=""),"",ROUND(($M1159-$L1159)/60,2))</f>
        <v/>
      </c>
      <c r="I1159" s="9"/>
      <c r="J1159" s="7"/>
      <c r="K1159" s="7"/>
      <c r="L1159" s="15" t="str">
        <f aca="false">IF($F1159="","",IF($F1159&lt;1,ROUND($F1159*1440,0),INT($F1159/100)*60+MOD($F1159,100)))</f>
        <v/>
      </c>
      <c r="M1159" s="15" t="str">
        <f aca="false">IF($G1159="","",IF($G1159&lt;1,ROUND($G1159*1440,0),INT($G1159/100)*60+MOD($G1159,100)))</f>
        <v/>
      </c>
      <c r="N1159" s="15" t="str">
        <f aca="false">IF(OR($A1159="",$B1159="",$L1159="",$M1159="",$J1159="취소"),"",IF(SUMPRODUCT(($A$3:$A$2002=$A1159)*($B$3:$B$2002=$B1159)*($J$3:$J$2002&lt;&gt;"취소")*($L$3:$L$2002&lt;&gt;"")*($M$3:$M$2002&lt;&gt;"")*($L$3:$L$2002&lt;$M1159)*($M$3:$M$2002&gt;$L1159))&gt;1,"중복","-"))</f>
        <v/>
      </c>
    </row>
    <row r="1160" customFormat="false" ht="15" hidden="false" customHeight="true" outlineLevel="0" collapsed="false">
      <c r="A1160" s="11"/>
      <c r="B1160" s="7"/>
      <c r="C1160" s="12" t="str">
        <f aca="false">IF($B1160="","",IFERROR(INDEX(자원목록!$B$3:$B$102,MATCH($B1160,자원목록!$A$3:$A$102,0)),"미등록자원"))</f>
        <v/>
      </c>
      <c r="D1160" s="7"/>
      <c r="E1160" s="12" t="str">
        <f aca="false">IF($D1160="","",IFERROR(INDEX(고객목록!$B$3:$B$502,MATCH($D1160,고객목록!$A$3:$A$502,0)),""))</f>
        <v/>
      </c>
      <c r="F1160" s="13"/>
      <c r="G1160" s="13"/>
      <c r="H1160" s="14" t="str">
        <f aca="false">IF(OR($L1160="",$M1160=""),"",ROUND(($M1160-$L1160)/60,2))</f>
        <v/>
      </c>
      <c r="I1160" s="9"/>
      <c r="J1160" s="7"/>
      <c r="K1160" s="7"/>
      <c r="L1160" s="15" t="str">
        <f aca="false">IF($F1160="","",IF($F1160&lt;1,ROUND($F1160*1440,0),INT($F1160/100)*60+MOD($F1160,100)))</f>
        <v/>
      </c>
      <c r="M1160" s="15" t="str">
        <f aca="false">IF($G1160="","",IF($G1160&lt;1,ROUND($G1160*1440,0),INT($G1160/100)*60+MOD($G1160,100)))</f>
        <v/>
      </c>
      <c r="N1160" s="15" t="str">
        <f aca="false">IF(OR($A1160="",$B1160="",$L1160="",$M1160="",$J1160="취소"),"",IF(SUMPRODUCT(($A$3:$A$2002=$A1160)*($B$3:$B$2002=$B1160)*($J$3:$J$2002&lt;&gt;"취소")*($L$3:$L$2002&lt;&gt;"")*($M$3:$M$2002&lt;&gt;"")*($L$3:$L$2002&lt;$M1160)*($M$3:$M$2002&gt;$L1160))&gt;1,"중복","-"))</f>
        <v/>
      </c>
    </row>
    <row r="1161" customFormat="false" ht="15" hidden="false" customHeight="true" outlineLevel="0" collapsed="false">
      <c r="A1161" s="11"/>
      <c r="B1161" s="7"/>
      <c r="C1161" s="12" t="str">
        <f aca="false">IF($B1161="","",IFERROR(INDEX(자원목록!$B$3:$B$102,MATCH($B1161,자원목록!$A$3:$A$102,0)),"미등록자원"))</f>
        <v/>
      </c>
      <c r="D1161" s="7"/>
      <c r="E1161" s="12" t="str">
        <f aca="false">IF($D1161="","",IFERROR(INDEX(고객목록!$B$3:$B$502,MATCH($D1161,고객목록!$A$3:$A$502,0)),""))</f>
        <v/>
      </c>
      <c r="F1161" s="13"/>
      <c r="G1161" s="13"/>
      <c r="H1161" s="14" t="str">
        <f aca="false">IF(OR($L1161="",$M1161=""),"",ROUND(($M1161-$L1161)/60,2))</f>
        <v/>
      </c>
      <c r="I1161" s="9"/>
      <c r="J1161" s="7"/>
      <c r="K1161" s="7"/>
      <c r="L1161" s="15" t="str">
        <f aca="false">IF($F1161="","",IF($F1161&lt;1,ROUND($F1161*1440,0),INT($F1161/100)*60+MOD($F1161,100)))</f>
        <v/>
      </c>
      <c r="M1161" s="15" t="str">
        <f aca="false">IF($G1161="","",IF($G1161&lt;1,ROUND($G1161*1440,0),INT($G1161/100)*60+MOD($G1161,100)))</f>
        <v/>
      </c>
      <c r="N1161" s="15" t="str">
        <f aca="false">IF(OR($A1161="",$B1161="",$L1161="",$M1161="",$J1161="취소"),"",IF(SUMPRODUCT(($A$3:$A$2002=$A1161)*($B$3:$B$2002=$B1161)*($J$3:$J$2002&lt;&gt;"취소")*($L$3:$L$2002&lt;&gt;"")*($M$3:$M$2002&lt;&gt;"")*($L$3:$L$2002&lt;$M1161)*($M$3:$M$2002&gt;$L1161))&gt;1,"중복","-"))</f>
        <v/>
      </c>
    </row>
    <row r="1162" customFormat="false" ht="15" hidden="false" customHeight="true" outlineLevel="0" collapsed="false">
      <c r="A1162" s="11"/>
      <c r="B1162" s="7"/>
      <c r="C1162" s="12" t="str">
        <f aca="false">IF($B1162="","",IFERROR(INDEX(자원목록!$B$3:$B$102,MATCH($B1162,자원목록!$A$3:$A$102,0)),"미등록자원"))</f>
        <v/>
      </c>
      <c r="D1162" s="7"/>
      <c r="E1162" s="12" t="str">
        <f aca="false">IF($D1162="","",IFERROR(INDEX(고객목록!$B$3:$B$502,MATCH($D1162,고객목록!$A$3:$A$502,0)),""))</f>
        <v/>
      </c>
      <c r="F1162" s="13"/>
      <c r="G1162" s="13"/>
      <c r="H1162" s="14" t="str">
        <f aca="false">IF(OR($L1162="",$M1162=""),"",ROUND(($M1162-$L1162)/60,2))</f>
        <v/>
      </c>
      <c r="I1162" s="9"/>
      <c r="J1162" s="7"/>
      <c r="K1162" s="7"/>
      <c r="L1162" s="15" t="str">
        <f aca="false">IF($F1162="","",IF($F1162&lt;1,ROUND($F1162*1440,0),INT($F1162/100)*60+MOD($F1162,100)))</f>
        <v/>
      </c>
      <c r="M1162" s="15" t="str">
        <f aca="false">IF($G1162="","",IF($G1162&lt;1,ROUND($G1162*1440,0),INT($G1162/100)*60+MOD($G1162,100)))</f>
        <v/>
      </c>
      <c r="N1162" s="15" t="str">
        <f aca="false">IF(OR($A1162="",$B1162="",$L1162="",$M1162="",$J1162="취소"),"",IF(SUMPRODUCT(($A$3:$A$2002=$A1162)*($B$3:$B$2002=$B1162)*($J$3:$J$2002&lt;&gt;"취소")*($L$3:$L$2002&lt;&gt;"")*($M$3:$M$2002&lt;&gt;"")*($L$3:$L$2002&lt;$M1162)*($M$3:$M$2002&gt;$L1162))&gt;1,"중복","-"))</f>
        <v/>
      </c>
    </row>
    <row r="1163" customFormat="false" ht="15" hidden="false" customHeight="true" outlineLevel="0" collapsed="false">
      <c r="A1163" s="11"/>
      <c r="B1163" s="7"/>
      <c r="C1163" s="12" t="str">
        <f aca="false">IF($B1163="","",IFERROR(INDEX(자원목록!$B$3:$B$102,MATCH($B1163,자원목록!$A$3:$A$102,0)),"미등록자원"))</f>
        <v/>
      </c>
      <c r="D1163" s="7"/>
      <c r="E1163" s="12" t="str">
        <f aca="false">IF($D1163="","",IFERROR(INDEX(고객목록!$B$3:$B$502,MATCH($D1163,고객목록!$A$3:$A$502,0)),""))</f>
        <v/>
      </c>
      <c r="F1163" s="13"/>
      <c r="G1163" s="13"/>
      <c r="H1163" s="14" t="str">
        <f aca="false">IF(OR($L1163="",$M1163=""),"",ROUND(($M1163-$L1163)/60,2))</f>
        <v/>
      </c>
      <c r="I1163" s="9"/>
      <c r="J1163" s="7"/>
      <c r="K1163" s="7"/>
      <c r="L1163" s="15" t="str">
        <f aca="false">IF($F1163="","",IF($F1163&lt;1,ROUND($F1163*1440,0),INT($F1163/100)*60+MOD($F1163,100)))</f>
        <v/>
      </c>
      <c r="M1163" s="15" t="str">
        <f aca="false">IF($G1163="","",IF($G1163&lt;1,ROUND($G1163*1440,0),INT($G1163/100)*60+MOD($G1163,100)))</f>
        <v/>
      </c>
      <c r="N1163" s="15" t="str">
        <f aca="false">IF(OR($A1163="",$B1163="",$L1163="",$M1163="",$J1163="취소"),"",IF(SUMPRODUCT(($A$3:$A$2002=$A1163)*($B$3:$B$2002=$B1163)*($J$3:$J$2002&lt;&gt;"취소")*($L$3:$L$2002&lt;&gt;"")*($M$3:$M$2002&lt;&gt;"")*($L$3:$L$2002&lt;$M1163)*($M$3:$M$2002&gt;$L1163))&gt;1,"중복","-"))</f>
        <v/>
      </c>
    </row>
    <row r="1164" customFormat="false" ht="15" hidden="false" customHeight="true" outlineLevel="0" collapsed="false">
      <c r="A1164" s="11"/>
      <c r="B1164" s="7"/>
      <c r="C1164" s="12" t="str">
        <f aca="false">IF($B1164="","",IFERROR(INDEX(자원목록!$B$3:$B$102,MATCH($B1164,자원목록!$A$3:$A$102,0)),"미등록자원"))</f>
        <v/>
      </c>
      <c r="D1164" s="7"/>
      <c r="E1164" s="12" t="str">
        <f aca="false">IF($D1164="","",IFERROR(INDEX(고객목록!$B$3:$B$502,MATCH($D1164,고객목록!$A$3:$A$502,0)),""))</f>
        <v/>
      </c>
      <c r="F1164" s="13"/>
      <c r="G1164" s="13"/>
      <c r="H1164" s="14" t="str">
        <f aca="false">IF(OR($L1164="",$M1164=""),"",ROUND(($M1164-$L1164)/60,2))</f>
        <v/>
      </c>
      <c r="I1164" s="9"/>
      <c r="J1164" s="7"/>
      <c r="K1164" s="7"/>
      <c r="L1164" s="15" t="str">
        <f aca="false">IF($F1164="","",IF($F1164&lt;1,ROUND($F1164*1440,0),INT($F1164/100)*60+MOD($F1164,100)))</f>
        <v/>
      </c>
      <c r="M1164" s="15" t="str">
        <f aca="false">IF($G1164="","",IF($G1164&lt;1,ROUND($G1164*1440,0),INT($G1164/100)*60+MOD($G1164,100)))</f>
        <v/>
      </c>
      <c r="N1164" s="15" t="str">
        <f aca="false">IF(OR($A1164="",$B1164="",$L1164="",$M1164="",$J1164="취소"),"",IF(SUMPRODUCT(($A$3:$A$2002=$A1164)*($B$3:$B$2002=$B1164)*($J$3:$J$2002&lt;&gt;"취소")*($L$3:$L$2002&lt;&gt;"")*($M$3:$M$2002&lt;&gt;"")*($L$3:$L$2002&lt;$M1164)*($M$3:$M$2002&gt;$L1164))&gt;1,"중복","-"))</f>
        <v/>
      </c>
    </row>
    <row r="1165" customFormat="false" ht="15" hidden="false" customHeight="true" outlineLevel="0" collapsed="false">
      <c r="A1165" s="11"/>
      <c r="B1165" s="7"/>
      <c r="C1165" s="12" t="str">
        <f aca="false">IF($B1165="","",IFERROR(INDEX(자원목록!$B$3:$B$102,MATCH($B1165,자원목록!$A$3:$A$102,0)),"미등록자원"))</f>
        <v/>
      </c>
      <c r="D1165" s="7"/>
      <c r="E1165" s="12" t="str">
        <f aca="false">IF($D1165="","",IFERROR(INDEX(고객목록!$B$3:$B$502,MATCH($D1165,고객목록!$A$3:$A$502,0)),""))</f>
        <v/>
      </c>
      <c r="F1165" s="13"/>
      <c r="G1165" s="13"/>
      <c r="H1165" s="14" t="str">
        <f aca="false">IF(OR($L1165="",$M1165=""),"",ROUND(($M1165-$L1165)/60,2))</f>
        <v/>
      </c>
      <c r="I1165" s="9"/>
      <c r="J1165" s="7"/>
      <c r="K1165" s="7"/>
      <c r="L1165" s="15" t="str">
        <f aca="false">IF($F1165="","",IF($F1165&lt;1,ROUND($F1165*1440,0),INT($F1165/100)*60+MOD($F1165,100)))</f>
        <v/>
      </c>
      <c r="M1165" s="15" t="str">
        <f aca="false">IF($G1165="","",IF($G1165&lt;1,ROUND($G1165*1440,0),INT($G1165/100)*60+MOD($G1165,100)))</f>
        <v/>
      </c>
      <c r="N1165" s="15" t="str">
        <f aca="false">IF(OR($A1165="",$B1165="",$L1165="",$M1165="",$J1165="취소"),"",IF(SUMPRODUCT(($A$3:$A$2002=$A1165)*($B$3:$B$2002=$B1165)*($J$3:$J$2002&lt;&gt;"취소")*($L$3:$L$2002&lt;&gt;"")*($M$3:$M$2002&lt;&gt;"")*($L$3:$L$2002&lt;$M1165)*($M$3:$M$2002&gt;$L1165))&gt;1,"중복","-"))</f>
        <v/>
      </c>
    </row>
    <row r="1166" customFormat="false" ht="15" hidden="false" customHeight="true" outlineLevel="0" collapsed="false">
      <c r="A1166" s="11"/>
      <c r="B1166" s="7"/>
      <c r="C1166" s="12" t="str">
        <f aca="false">IF($B1166="","",IFERROR(INDEX(자원목록!$B$3:$B$102,MATCH($B1166,자원목록!$A$3:$A$102,0)),"미등록자원"))</f>
        <v/>
      </c>
      <c r="D1166" s="7"/>
      <c r="E1166" s="12" t="str">
        <f aca="false">IF($D1166="","",IFERROR(INDEX(고객목록!$B$3:$B$502,MATCH($D1166,고객목록!$A$3:$A$502,0)),""))</f>
        <v/>
      </c>
      <c r="F1166" s="13"/>
      <c r="G1166" s="13"/>
      <c r="H1166" s="14" t="str">
        <f aca="false">IF(OR($L1166="",$M1166=""),"",ROUND(($M1166-$L1166)/60,2))</f>
        <v/>
      </c>
      <c r="I1166" s="9"/>
      <c r="J1166" s="7"/>
      <c r="K1166" s="7"/>
      <c r="L1166" s="15" t="str">
        <f aca="false">IF($F1166="","",IF($F1166&lt;1,ROUND($F1166*1440,0),INT($F1166/100)*60+MOD($F1166,100)))</f>
        <v/>
      </c>
      <c r="M1166" s="15" t="str">
        <f aca="false">IF($G1166="","",IF($G1166&lt;1,ROUND($G1166*1440,0),INT($G1166/100)*60+MOD($G1166,100)))</f>
        <v/>
      </c>
      <c r="N1166" s="15" t="str">
        <f aca="false">IF(OR($A1166="",$B1166="",$L1166="",$M1166="",$J1166="취소"),"",IF(SUMPRODUCT(($A$3:$A$2002=$A1166)*($B$3:$B$2002=$B1166)*($J$3:$J$2002&lt;&gt;"취소")*($L$3:$L$2002&lt;&gt;"")*($M$3:$M$2002&lt;&gt;"")*($L$3:$L$2002&lt;$M1166)*($M$3:$M$2002&gt;$L1166))&gt;1,"중복","-"))</f>
        <v/>
      </c>
    </row>
    <row r="1167" customFormat="false" ht="15" hidden="false" customHeight="true" outlineLevel="0" collapsed="false">
      <c r="A1167" s="11"/>
      <c r="B1167" s="7"/>
      <c r="C1167" s="12" t="str">
        <f aca="false">IF($B1167="","",IFERROR(INDEX(자원목록!$B$3:$B$102,MATCH($B1167,자원목록!$A$3:$A$102,0)),"미등록자원"))</f>
        <v/>
      </c>
      <c r="D1167" s="7"/>
      <c r="E1167" s="12" t="str">
        <f aca="false">IF($D1167="","",IFERROR(INDEX(고객목록!$B$3:$B$502,MATCH($D1167,고객목록!$A$3:$A$502,0)),""))</f>
        <v/>
      </c>
      <c r="F1167" s="13"/>
      <c r="G1167" s="13"/>
      <c r="H1167" s="14" t="str">
        <f aca="false">IF(OR($L1167="",$M1167=""),"",ROUND(($M1167-$L1167)/60,2))</f>
        <v/>
      </c>
      <c r="I1167" s="9"/>
      <c r="J1167" s="7"/>
      <c r="K1167" s="7"/>
      <c r="L1167" s="15" t="str">
        <f aca="false">IF($F1167="","",IF($F1167&lt;1,ROUND($F1167*1440,0),INT($F1167/100)*60+MOD($F1167,100)))</f>
        <v/>
      </c>
      <c r="M1167" s="15" t="str">
        <f aca="false">IF($G1167="","",IF($G1167&lt;1,ROUND($G1167*1440,0),INT($G1167/100)*60+MOD($G1167,100)))</f>
        <v/>
      </c>
      <c r="N1167" s="15" t="str">
        <f aca="false">IF(OR($A1167="",$B1167="",$L1167="",$M1167="",$J1167="취소"),"",IF(SUMPRODUCT(($A$3:$A$2002=$A1167)*($B$3:$B$2002=$B1167)*($J$3:$J$2002&lt;&gt;"취소")*($L$3:$L$2002&lt;&gt;"")*($M$3:$M$2002&lt;&gt;"")*($L$3:$L$2002&lt;$M1167)*($M$3:$M$2002&gt;$L1167))&gt;1,"중복","-"))</f>
        <v/>
      </c>
    </row>
    <row r="1168" customFormat="false" ht="15" hidden="false" customHeight="true" outlineLevel="0" collapsed="false">
      <c r="A1168" s="11"/>
      <c r="B1168" s="7"/>
      <c r="C1168" s="12" t="str">
        <f aca="false">IF($B1168="","",IFERROR(INDEX(자원목록!$B$3:$B$102,MATCH($B1168,자원목록!$A$3:$A$102,0)),"미등록자원"))</f>
        <v/>
      </c>
      <c r="D1168" s="7"/>
      <c r="E1168" s="12" t="str">
        <f aca="false">IF($D1168="","",IFERROR(INDEX(고객목록!$B$3:$B$502,MATCH($D1168,고객목록!$A$3:$A$502,0)),""))</f>
        <v/>
      </c>
      <c r="F1168" s="13"/>
      <c r="G1168" s="13"/>
      <c r="H1168" s="14" t="str">
        <f aca="false">IF(OR($L1168="",$M1168=""),"",ROUND(($M1168-$L1168)/60,2))</f>
        <v/>
      </c>
      <c r="I1168" s="9"/>
      <c r="J1168" s="7"/>
      <c r="K1168" s="7"/>
      <c r="L1168" s="15" t="str">
        <f aca="false">IF($F1168="","",IF($F1168&lt;1,ROUND($F1168*1440,0),INT($F1168/100)*60+MOD($F1168,100)))</f>
        <v/>
      </c>
      <c r="M1168" s="15" t="str">
        <f aca="false">IF($G1168="","",IF($G1168&lt;1,ROUND($G1168*1440,0),INT($G1168/100)*60+MOD($G1168,100)))</f>
        <v/>
      </c>
      <c r="N1168" s="15" t="str">
        <f aca="false">IF(OR($A1168="",$B1168="",$L1168="",$M1168="",$J1168="취소"),"",IF(SUMPRODUCT(($A$3:$A$2002=$A1168)*($B$3:$B$2002=$B1168)*($J$3:$J$2002&lt;&gt;"취소")*($L$3:$L$2002&lt;&gt;"")*($M$3:$M$2002&lt;&gt;"")*($L$3:$L$2002&lt;$M1168)*($M$3:$M$2002&gt;$L1168))&gt;1,"중복","-"))</f>
        <v/>
      </c>
    </row>
    <row r="1169" customFormat="false" ht="15" hidden="false" customHeight="true" outlineLevel="0" collapsed="false">
      <c r="A1169" s="11"/>
      <c r="B1169" s="7"/>
      <c r="C1169" s="12" t="str">
        <f aca="false">IF($B1169="","",IFERROR(INDEX(자원목록!$B$3:$B$102,MATCH($B1169,자원목록!$A$3:$A$102,0)),"미등록자원"))</f>
        <v/>
      </c>
      <c r="D1169" s="7"/>
      <c r="E1169" s="12" t="str">
        <f aca="false">IF($D1169="","",IFERROR(INDEX(고객목록!$B$3:$B$502,MATCH($D1169,고객목록!$A$3:$A$502,0)),""))</f>
        <v/>
      </c>
      <c r="F1169" s="13"/>
      <c r="G1169" s="13"/>
      <c r="H1169" s="14" t="str">
        <f aca="false">IF(OR($L1169="",$M1169=""),"",ROUND(($M1169-$L1169)/60,2))</f>
        <v/>
      </c>
      <c r="I1169" s="9"/>
      <c r="J1169" s="7"/>
      <c r="K1169" s="7"/>
      <c r="L1169" s="15" t="str">
        <f aca="false">IF($F1169="","",IF($F1169&lt;1,ROUND($F1169*1440,0),INT($F1169/100)*60+MOD($F1169,100)))</f>
        <v/>
      </c>
      <c r="M1169" s="15" t="str">
        <f aca="false">IF($G1169="","",IF($G1169&lt;1,ROUND($G1169*1440,0),INT($G1169/100)*60+MOD($G1169,100)))</f>
        <v/>
      </c>
      <c r="N1169" s="15" t="str">
        <f aca="false">IF(OR($A1169="",$B1169="",$L1169="",$M1169="",$J1169="취소"),"",IF(SUMPRODUCT(($A$3:$A$2002=$A1169)*($B$3:$B$2002=$B1169)*($J$3:$J$2002&lt;&gt;"취소")*($L$3:$L$2002&lt;&gt;"")*($M$3:$M$2002&lt;&gt;"")*($L$3:$L$2002&lt;$M1169)*($M$3:$M$2002&gt;$L1169))&gt;1,"중복","-"))</f>
        <v/>
      </c>
    </row>
    <row r="1170" customFormat="false" ht="15" hidden="false" customHeight="true" outlineLevel="0" collapsed="false">
      <c r="A1170" s="11"/>
      <c r="B1170" s="7"/>
      <c r="C1170" s="12" t="str">
        <f aca="false">IF($B1170="","",IFERROR(INDEX(자원목록!$B$3:$B$102,MATCH($B1170,자원목록!$A$3:$A$102,0)),"미등록자원"))</f>
        <v/>
      </c>
      <c r="D1170" s="7"/>
      <c r="E1170" s="12" t="str">
        <f aca="false">IF($D1170="","",IFERROR(INDEX(고객목록!$B$3:$B$502,MATCH($D1170,고객목록!$A$3:$A$502,0)),""))</f>
        <v/>
      </c>
      <c r="F1170" s="13"/>
      <c r="G1170" s="13"/>
      <c r="H1170" s="14" t="str">
        <f aca="false">IF(OR($L1170="",$M1170=""),"",ROUND(($M1170-$L1170)/60,2))</f>
        <v/>
      </c>
      <c r="I1170" s="9"/>
      <c r="J1170" s="7"/>
      <c r="K1170" s="7"/>
      <c r="L1170" s="15" t="str">
        <f aca="false">IF($F1170="","",IF($F1170&lt;1,ROUND($F1170*1440,0),INT($F1170/100)*60+MOD($F1170,100)))</f>
        <v/>
      </c>
      <c r="M1170" s="15" t="str">
        <f aca="false">IF($G1170="","",IF($G1170&lt;1,ROUND($G1170*1440,0),INT($G1170/100)*60+MOD($G1170,100)))</f>
        <v/>
      </c>
      <c r="N1170" s="15" t="str">
        <f aca="false">IF(OR($A1170="",$B1170="",$L1170="",$M1170="",$J1170="취소"),"",IF(SUMPRODUCT(($A$3:$A$2002=$A1170)*($B$3:$B$2002=$B1170)*($J$3:$J$2002&lt;&gt;"취소")*($L$3:$L$2002&lt;&gt;"")*($M$3:$M$2002&lt;&gt;"")*($L$3:$L$2002&lt;$M1170)*($M$3:$M$2002&gt;$L1170))&gt;1,"중복","-"))</f>
        <v/>
      </c>
    </row>
    <row r="1171" customFormat="false" ht="15" hidden="false" customHeight="true" outlineLevel="0" collapsed="false">
      <c r="A1171" s="11"/>
      <c r="B1171" s="7"/>
      <c r="C1171" s="12" t="str">
        <f aca="false">IF($B1171="","",IFERROR(INDEX(자원목록!$B$3:$B$102,MATCH($B1171,자원목록!$A$3:$A$102,0)),"미등록자원"))</f>
        <v/>
      </c>
      <c r="D1171" s="7"/>
      <c r="E1171" s="12" t="str">
        <f aca="false">IF($D1171="","",IFERROR(INDEX(고객목록!$B$3:$B$502,MATCH($D1171,고객목록!$A$3:$A$502,0)),""))</f>
        <v/>
      </c>
      <c r="F1171" s="13"/>
      <c r="G1171" s="13"/>
      <c r="H1171" s="14" t="str">
        <f aca="false">IF(OR($L1171="",$M1171=""),"",ROUND(($M1171-$L1171)/60,2))</f>
        <v/>
      </c>
      <c r="I1171" s="9"/>
      <c r="J1171" s="7"/>
      <c r="K1171" s="7"/>
      <c r="L1171" s="15" t="str">
        <f aca="false">IF($F1171="","",IF($F1171&lt;1,ROUND($F1171*1440,0),INT($F1171/100)*60+MOD($F1171,100)))</f>
        <v/>
      </c>
      <c r="M1171" s="15" t="str">
        <f aca="false">IF($G1171="","",IF($G1171&lt;1,ROUND($G1171*1440,0),INT($G1171/100)*60+MOD($G1171,100)))</f>
        <v/>
      </c>
      <c r="N1171" s="15" t="str">
        <f aca="false">IF(OR($A1171="",$B1171="",$L1171="",$M1171="",$J1171="취소"),"",IF(SUMPRODUCT(($A$3:$A$2002=$A1171)*($B$3:$B$2002=$B1171)*($J$3:$J$2002&lt;&gt;"취소")*($L$3:$L$2002&lt;&gt;"")*($M$3:$M$2002&lt;&gt;"")*($L$3:$L$2002&lt;$M1171)*($M$3:$M$2002&gt;$L1171))&gt;1,"중복","-"))</f>
        <v/>
      </c>
    </row>
    <row r="1172" customFormat="false" ht="15" hidden="false" customHeight="true" outlineLevel="0" collapsed="false">
      <c r="A1172" s="11"/>
      <c r="B1172" s="7"/>
      <c r="C1172" s="12" t="str">
        <f aca="false">IF($B1172="","",IFERROR(INDEX(자원목록!$B$3:$B$102,MATCH($B1172,자원목록!$A$3:$A$102,0)),"미등록자원"))</f>
        <v/>
      </c>
      <c r="D1172" s="7"/>
      <c r="E1172" s="12" t="str">
        <f aca="false">IF($D1172="","",IFERROR(INDEX(고객목록!$B$3:$B$502,MATCH($D1172,고객목록!$A$3:$A$502,0)),""))</f>
        <v/>
      </c>
      <c r="F1172" s="13"/>
      <c r="G1172" s="13"/>
      <c r="H1172" s="14" t="str">
        <f aca="false">IF(OR($L1172="",$M1172=""),"",ROUND(($M1172-$L1172)/60,2))</f>
        <v/>
      </c>
      <c r="I1172" s="9"/>
      <c r="J1172" s="7"/>
      <c r="K1172" s="7"/>
      <c r="L1172" s="15" t="str">
        <f aca="false">IF($F1172="","",IF($F1172&lt;1,ROUND($F1172*1440,0),INT($F1172/100)*60+MOD($F1172,100)))</f>
        <v/>
      </c>
      <c r="M1172" s="15" t="str">
        <f aca="false">IF($G1172="","",IF($G1172&lt;1,ROUND($G1172*1440,0),INT($G1172/100)*60+MOD($G1172,100)))</f>
        <v/>
      </c>
      <c r="N1172" s="15" t="str">
        <f aca="false">IF(OR($A1172="",$B1172="",$L1172="",$M1172="",$J1172="취소"),"",IF(SUMPRODUCT(($A$3:$A$2002=$A1172)*($B$3:$B$2002=$B1172)*($J$3:$J$2002&lt;&gt;"취소")*($L$3:$L$2002&lt;&gt;"")*($M$3:$M$2002&lt;&gt;"")*($L$3:$L$2002&lt;$M1172)*($M$3:$M$2002&gt;$L1172))&gt;1,"중복","-"))</f>
        <v/>
      </c>
    </row>
    <row r="1173" customFormat="false" ht="15" hidden="false" customHeight="true" outlineLevel="0" collapsed="false">
      <c r="A1173" s="11"/>
      <c r="B1173" s="7"/>
      <c r="C1173" s="12" t="str">
        <f aca="false">IF($B1173="","",IFERROR(INDEX(자원목록!$B$3:$B$102,MATCH($B1173,자원목록!$A$3:$A$102,0)),"미등록자원"))</f>
        <v/>
      </c>
      <c r="D1173" s="7"/>
      <c r="E1173" s="12" t="str">
        <f aca="false">IF($D1173="","",IFERROR(INDEX(고객목록!$B$3:$B$502,MATCH($D1173,고객목록!$A$3:$A$502,0)),""))</f>
        <v/>
      </c>
      <c r="F1173" s="13"/>
      <c r="G1173" s="13"/>
      <c r="H1173" s="14" t="str">
        <f aca="false">IF(OR($L1173="",$M1173=""),"",ROUND(($M1173-$L1173)/60,2))</f>
        <v/>
      </c>
      <c r="I1173" s="9"/>
      <c r="J1173" s="7"/>
      <c r="K1173" s="7"/>
      <c r="L1173" s="15" t="str">
        <f aca="false">IF($F1173="","",IF($F1173&lt;1,ROUND($F1173*1440,0),INT($F1173/100)*60+MOD($F1173,100)))</f>
        <v/>
      </c>
      <c r="M1173" s="15" t="str">
        <f aca="false">IF($G1173="","",IF($G1173&lt;1,ROUND($G1173*1440,0),INT($G1173/100)*60+MOD($G1173,100)))</f>
        <v/>
      </c>
      <c r="N1173" s="15" t="str">
        <f aca="false">IF(OR($A1173="",$B1173="",$L1173="",$M1173="",$J1173="취소"),"",IF(SUMPRODUCT(($A$3:$A$2002=$A1173)*($B$3:$B$2002=$B1173)*($J$3:$J$2002&lt;&gt;"취소")*($L$3:$L$2002&lt;&gt;"")*($M$3:$M$2002&lt;&gt;"")*($L$3:$L$2002&lt;$M1173)*($M$3:$M$2002&gt;$L1173))&gt;1,"중복","-"))</f>
        <v/>
      </c>
    </row>
    <row r="1174" customFormat="false" ht="15" hidden="false" customHeight="true" outlineLevel="0" collapsed="false">
      <c r="A1174" s="11"/>
      <c r="B1174" s="7"/>
      <c r="C1174" s="12" t="str">
        <f aca="false">IF($B1174="","",IFERROR(INDEX(자원목록!$B$3:$B$102,MATCH($B1174,자원목록!$A$3:$A$102,0)),"미등록자원"))</f>
        <v/>
      </c>
      <c r="D1174" s="7"/>
      <c r="E1174" s="12" t="str">
        <f aca="false">IF($D1174="","",IFERROR(INDEX(고객목록!$B$3:$B$502,MATCH($D1174,고객목록!$A$3:$A$502,0)),""))</f>
        <v/>
      </c>
      <c r="F1174" s="13"/>
      <c r="G1174" s="13"/>
      <c r="H1174" s="14" t="str">
        <f aca="false">IF(OR($L1174="",$M1174=""),"",ROUND(($M1174-$L1174)/60,2))</f>
        <v/>
      </c>
      <c r="I1174" s="9"/>
      <c r="J1174" s="7"/>
      <c r="K1174" s="7"/>
      <c r="L1174" s="15" t="str">
        <f aca="false">IF($F1174="","",IF($F1174&lt;1,ROUND($F1174*1440,0),INT($F1174/100)*60+MOD($F1174,100)))</f>
        <v/>
      </c>
      <c r="M1174" s="15" t="str">
        <f aca="false">IF($G1174="","",IF($G1174&lt;1,ROUND($G1174*1440,0),INT($G1174/100)*60+MOD($G1174,100)))</f>
        <v/>
      </c>
      <c r="N1174" s="15" t="str">
        <f aca="false">IF(OR($A1174="",$B1174="",$L1174="",$M1174="",$J1174="취소"),"",IF(SUMPRODUCT(($A$3:$A$2002=$A1174)*($B$3:$B$2002=$B1174)*($J$3:$J$2002&lt;&gt;"취소")*($L$3:$L$2002&lt;&gt;"")*($M$3:$M$2002&lt;&gt;"")*($L$3:$L$2002&lt;$M1174)*($M$3:$M$2002&gt;$L1174))&gt;1,"중복","-"))</f>
        <v/>
      </c>
    </row>
    <row r="1175" customFormat="false" ht="15" hidden="false" customHeight="true" outlineLevel="0" collapsed="false">
      <c r="A1175" s="11"/>
      <c r="B1175" s="7"/>
      <c r="C1175" s="12" t="str">
        <f aca="false">IF($B1175="","",IFERROR(INDEX(자원목록!$B$3:$B$102,MATCH($B1175,자원목록!$A$3:$A$102,0)),"미등록자원"))</f>
        <v/>
      </c>
      <c r="D1175" s="7"/>
      <c r="E1175" s="12" t="str">
        <f aca="false">IF($D1175="","",IFERROR(INDEX(고객목록!$B$3:$B$502,MATCH($D1175,고객목록!$A$3:$A$502,0)),""))</f>
        <v/>
      </c>
      <c r="F1175" s="13"/>
      <c r="G1175" s="13"/>
      <c r="H1175" s="14" t="str">
        <f aca="false">IF(OR($L1175="",$M1175=""),"",ROUND(($M1175-$L1175)/60,2))</f>
        <v/>
      </c>
      <c r="I1175" s="9"/>
      <c r="J1175" s="7"/>
      <c r="K1175" s="7"/>
      <c r="L1175" s="15" t="str">
        <f aca="false">IF($F1175="","",IF($F1175&lt;1,ROUND($F1175*1440,0),INT($F1175/100)*60+MOD($F1175,100)))</f>
        <v/>
      </c>
      <c r="M1175" s="15" t="str">
        <f aca="false">IF($G1175="","",IF($G1175&lt;1,ROUND($G1175*1440,0),INT($G1175/100)*60+MOD($G1175,100)))</f>
        <v/>
      </c>
      <c r="N1175" s="15" t="str">
        <f aca="false">IF(OR($A1175="",$B1175="",$L1175="",$M1175="",$J1175="취소"),"",IF(SUMPRODUCT(($A$3:$A$2002=$A1175)*($B$3:$B$2002=$B1175)*($J$3:$J$2002&lt;&gt;"취소")*($L$3:$L$2002&lt;&gt;"")*($M$3:$M$2002&lt;&gt;"")*($L$3:$L$2002&lt;$M1175)*($M$3:$M$2002&gt;$L1175))&gt;1,"중복","-"))</f>
        <v/>
      </c>
    </row>
    <row r="1176" customFormat="false" ht="15" hidden="false" customHeight="true" outlineLevel="0" collapsed="false">
      <c r="A1176" s="11"/>
      <c r="B1176" s="7"/>
      <c r="C1176" s="12" t="str">
        <f aca="false">IF($B1176="","",IFERROR(INDEX(자원목록!$B$3:$B$102,MATCH($B1176,자원목록!$A$3:$A$102,0)),"미등록자원"))</f>
        <v/>
      </c>
      <c r="D1176" s="7"/>
      <c r="E1176" s="12" t="str">
        <f aca="false">IF($D1176="","",IFERROR(INDEX(고객목록!$B$3:$B$502,MATCH($D1176,고객목록!$A$3:$A$502,0)),""))</f>
        <v/>
      </c>
      <c r="F1176" s="13"/>
      <c r="G1176" s="13"/>
      <c r="H1176" s="14" t="str">
        <f aca="false">IF(OR($L1176="",$M1176=""),"",ROUND(($M1176-$L1176)/60,2))</f>
        <v/>
      </c>
      <c r="I1176" s="9"/>
      <c r="J1176" s="7"/>
      <c r="K1176" s="7"/>
      <c r="L1176" s="15" t="str">
        <f aca="false">IF($F1176="","",IF($F1176&lt;1,ROUND($F1176*1440,0),INT($F1176/100)*60+MOD($F1176,100)))</f>
        <v/>
      </c>
      <c r="M1176" s="15" t="str">
        <f aca="false">IF($G1176="","",IF($G1176&lt;1,ROUND($G1176*1440,0),INT($G1176/100)*60+MOD($G1176,100)))</f>
        <v/>
      </c>
      <c r="N1176" s="15" t="str">
        <f aca="false">IF(OR($A1176="",$B1176="",$L1176="",$M1176="",$J1176="취소"),"",IF(SUMPRODUCT(($A$3:$A$2002=$A1176)*($B$3:$B$2002=$B1176)*($J$3:$J$2002&lt;&gt;"취소")*($L$3:$L$2002&lt;&gt;"")*($M$3:$M$2002&lt;&gt;"")*($L$3:$L$2002&lt;$M1176)*($M$3:$M$2002&gt;$L1176))&gt;1,"중복","-"))</f>
        <v/>
      </c>
    </row>
    <row r="1177" customFormat="false" ht="15" hidden="false" customHeight="true" outlineLevel="0" collapsed="false">
      <c r="A1177" s="11"/>
      <c r="B1177" s="7"/>
      <c r="C1177" s="12" t="str">
        <f aca="false">IF($B1177="","",IFERROR(INDEX(자원목록!$B$3:$B$102,MATCH($B1177,자원목록!$A$3:$A$102,0)),"미등록자원"))</f>
        <v/>
      </c>
      <c r="D1177" s="7"/>
      <c r="E1177" s="12" t="str">
        <f aca="false">IF($D1177="","",IFERROR(INDEX(고객목록!$B$3:$B$502,MATCH($D1177,고객목록!$A$3:$A$502,0)),""))</f>
        <v/>
      </c>
      <c r="F1177" s="13"/>
      <c r="G1177" s="13"/>
      <c r="H1177" s="14" t="str">
        <f aca="false">IF(OR($L1177="",$M1177=""),"",ROUND(($M1177-$L1177)/60,2))</f>
        <v/>
      </c>
      <c r="I1177" s="9"/>
      <c r="J1177" s="7"/>
      <c r="K1177" s="7"/>
      <c r="L1177" s="15" t="str">
        <f aca="false">IF($F1177="","",IF($F1177&lt;1,ROUND($F1177*1440,0),INT($F1177/100)*60+MOD($F1177,100)))</f>
        <v/>
      </c>
      <c r="M1177" s="15" t="str">
        <f aca="false">IF($G1177="","",IF($G1177&lt;1,ROUND($G1177*1440,0),INT($G1177/100)*60+MOD($G1177,100)))</f>
        <v/>
      </c>
      <c r="N1177" s="15" t="str">
        <f aca="false">IF(OR($A1177="",$B1177="",$L1177="",$M1177="",$J1177="취소"),"",IF(SUMPRODUCT(($A$3:$A$2002=$A1177)*($B$3:$B$2002=$B1177)*($J$3:$J$2002&lt;&gt;"취소")*($L$3:$L$2002&lt;&gt;"")*($M$3:$M$2002&lt;&gt;"")*($L$3:$L$2002&lt;$M1177)*($M$3:$M$2002&gt;$L1177))&gt;1,"중복","-"))</f>
        <v/>
      </c>
    </row>
    <row r="1178" customFormat="false" ht="15" hidden="false" customHeight="true" outlineLevel="0" collapsed="false">
      <c r="A1178" s="11"/>
      <c r="B1178" s="7"/>
      <c r="C1178" s="12" t="str">
        <f aca="false">IF($B1178="","",IFERROR(INDEX(자원목록!$B$3:$B$102,MATCH($B1178,자원목록!$A$3:$A$102,0)),"미등록자원"))</f>
        <v/>
      </c>
      <c r="D1178" s="7"/>
      <c r="E1178" s="12" t="str">
        <f aca="false">IF($D1178="","",IFERROR(INDEX(고객목록!$B$3:$B$502,MATCH($D1178,고객목록!$A$3:$A$502,0)),""))</f>
        <v/>
      </c>
      <c r="F1178" s="13"/>
      <c r="G1178" s="13"/>
      <c r="H1178" s="14" t="str">
        <f aca="false">IF(OR($L1178="",$M1178=""),"",ROUND(($M1178-$L1178)/60,2))</f>
        <v/>
      </c>
      <c r="I1178" s="9"/>
      <c r="J1178" s="7"/>
      <c r="K1178" s="7"/>
      <c r="L1178" s="15" t="str">
        <f aca="false">IF($F1178="","",IF($F1178&lt;1,ROUND($F1178*1440,0),INT($F1178/100)*60+MOD($F1178,100)))</f>
        <v/>
      </c>
      <c r="M1178" s="15" t="str">
        <f aca="false">IF($G1178="","",IF($G1178&lt;1,ROUND($G1178*1440,0),INT($G1178/100)*60+MOD($G1178,100)))</f>
        <v/>
      </c>
      <c r="N1178" s="15" t="str">
        <f aca="false">IF(OR($A1178="",$B1178="",$L1178="",$M1178="",$J1178="취소"),"",IF(SUMPRODUCT(($A$3:$A$2002=$A1178)*($B$3:$B$2002=$B1178)*($J$3:$J$2002&lt;&gt;"취소")*($L$3:$L$2002&lt;&gt;"")*($M$3:$M$2002&lt;&gt;"")*($L$3:$L$2002&lt;$M1178)*($M$3:$M$2002&gt;$L1178))&gt;1,"중복","-"))</f>
        <v/>
      </c>
    </row>
    <row r="1179" customFormat="false" ht="15" hidden="false" customHeight="true" outlineLevel="0" collapsed="false">
      <c r="A1179" s="11"/>
      <c r="B1179" s="7"/>
      <c r="C1179" s="12" t="str">
        <f aca="false">IF($B1179="","",IFERROR(INDEX(자원목록!$B$3:$B$102,MATCH($B1179,자원목록!$A$3:$A$102,0)),"미등록자원"))</f>
        <v/>
      </c>
      <c r="D1179" s="7"/>
      <c r="E1179" s="12" t="str">
        <f aca="false">IF($D1179="","",IFERROR(INDEX(고객목록!$B$3:$B$502,MATCH($D1179,고객목록!$A$3:$A$502,0)),""))</f>
        <v/>
      </c>
      <c r="F1179" s="13"/>
      <c r="G1179" s="13"/>
      <c r="H1179" s="14" t="str">
        <f aca="false">IF(OR($L1179="",$M1179=""),"",ROUND(($M1179-$L1179)/60,2))</f>
        <v/>
      </c>
      <c r="I1179" s="9"/>
      <c r="J1179" s="7"/>
      <c r="K1179" s="7"/>
      <c r="L1179" s="15" t="str">
        <f aca="false">IF($F1179="","",IF($F1179&lt;1,ROUND($F1179*1440,0),INT($F1179/100)*60+MOD($F1179,100)))</f>
        <v/>
      </c>
      <c r="M1179" s="15" t="str">
        <f aca="false">IF($G1179="","",IF($G1179&lt;1,ROUND($G1179*1440,0),INT($G1179/100)*60+MOD($G1179,100)))</f>
        <v/>
      </c>
      <c r="N1179" s="15" t="str">
        <f aca="false">IF(OR($A1179="",$B1179="",$L1179="",$M1179="",$J1179="취소"),"",IF(SUMPRODUCT(($A$3:$A$2002=$A1179)*($B$3:$B$2002=$B1179)*($J$3:$J$2002&lt;&gt;"취소")*($L$3:$L$2002&lt;&gt;"")*($M$3:$M$2002&lt;&gt;"")*($L$3:$L$2002&lt;$M1179)*($M$3:$M$2002&gt;$L1179))&gt;1,"중복","-"))</f>
        <v/>
      </c>
    </row>
    <row r="1180" customFormat="false" ht="15" hidden="false" customHeight="true" outlineLevel="0" collapsed="false">
      <c r="A1180" s="11"/>
      <c r="B1180" s="7"/>
      <c r="C1180" s="12" t="str">
        <f aca="false">IF($B1180="","",IFERROR(INDEX(자원목록!$B$3:$B$102,MATCH($B1180,자원목록!$A$3:$A$102,0)),"미등록자원"))</f>
        <v/>
      </c>
      <c r="D1180" s="7"/>
      <c r="E1180" s="12" t="str">
        <f aca="false">IF($D1180="","",IFERROR(INDEX(고객목록!$B$3:$B$502,MATCH($D1180,고객목록!$A$3:$A$502,0)),""))</f>
        <v/>
      </c>
      <c r="F1180" s="13"/>
      <c r="G1180" s="13"/>
      <c r="H1180" s="14" t="str">
        <f aca="false">IF(OR($L1180="",$M1180=""),"",ROUND(($M1180-$L1180)/60,2))</f>
        <v/>
      </c>
      <c r="I1180" s="9"/>
      <c r="J1180" s="7"/>
      <c r="K1180" s="7"/>
      <c r="L1180" s="15" t="str">
        <f aca="false">IF($F1180="","",IF($F1180&lt;1,ROUND($F1180*1440,0),INT($F1180/100)*60+MOD($F1180,100)))</f>
        <v/>
      </c>
      <c r="M1180" s="15" t="str">
        <f aca="false">IF($G1180="","",IF($G1180&lt;1,ROUND($G1180*1440,0),INT($G1180/100)*60+MOD($G1180,100)))</f>
        <v/>
      </c>
      <c r="N1180" s="15" t="str">
        <f aca="false">IF(OR($A1180="",$B1180="",$L1180="",$M1180="",$J1180="취소"),"",IF(SUMPRODUCT(($A$3:$A$2002=$A1180)*($B$3:$B$2002=$B1180)*($J$3:$J$2002&lt;&gt;"취소")*($L$3:$L$2002&lt;&gt;"")*($M$3:$M$2002&lt;&gt;"")*($L$3:$L$2002&lt;$M1180)*($M$3:$M$2002&gt;$L1180))&gt;1,"중복","-"))</f>
        <v/>
      </c>
    </row>
    <row r="1181" customFormat="false" ht="15" hidden="false" customHeight="true" outlineLevel="0" collapsed="false">
      <c r="A1181" s="11"/>
      <c r="B1181" s="7"/>
      <c r="C1181" s="12" t="str">
        <f aca="false">IF($B1181="","",IFERROR(INDEX(자원목록!$B$3:$B$102,MATCH($B1181,자원목록!$A$3:$A$102,0)),"미등록자원"))</f>
        <v/>
      </c>
      <c r="D1181" s="7"/>
      <c r="E1181" s="12" t="str">
        <f aca="false">IF($D1181="","",IFERROR(INDEX(고객목록!$B$3:$B$502,MATCH($D1181,고객목록!$A$3:$A$502,0)),""))</f>
        <v/>
      </c>
      <c r="F1181" s="13"/>
      <c r="G1181" s="13"/>
      <c r="H1181" s="14" t="str">
        <f aca="false">IF(OR($L1181="",$M1181=""),"",ROUND(($M1181-$L1181)/60,2))</f>
        <v/>
      </c>
      <c r="I1181" s="9"/>
      <c r="J1181" s="7"/>
      <c r="K1181" s="7"/>
      <c r="L1181" s="15" t="str">
        <f aca="false">IF($F1181="","",IF($F1181&lt;1,ROUND($F1181*1440,0),INT($F1181/100)*60+MOD($F1181,100)))</f>
        <v/>
      </c>
      <c r="M1181" s="15" t="str">
        <f aca="false">IF($G1181="","",IF($G1181&lt;1,ROUND($G1181*1440,0),INT($G1181/100)*60+MOD($G1181,100)))</f>
        <v/>
      </c>
      <c r="N1181" s="15" t="str">
        <f aca="false">IF(OR($A1181="",$B1181="",$L1181="",$M1181="",$J1181="취소"),"",IF(SUMPRODUCT(($A$3:$A$2002=$A1181)*($B$3:$B$2002=$B1181)*($J$3:$J$2002&lt;&gt;"취소")*($L$3:$L$2002&lt;&gt;"")*($M$3:$M$2002&lt;&gt;"")*($L$3:$L$2002&lt;$M1181)*($M$3:$M$2002&gt;$L1181))&gt;1,"중복","-"))</f>
        <v/>
      </c>
    </row>
    <row r="1182" customFormat="false" ht="15" hidden="false" customHeight="true" outlineLevel="0" collapsed="false">
      <c r="A1182" s="11"/>
      <c r="B1182" s="7"/>
      <c r="C1182" s="12" t="str">
        <f aca="false">IF($B1182="","",IFERROR(INDEX(자원목록!$B$3:$B$102,MATCH($B1182,자원목록!$A$3:$A$102,0)),"미등록자원"))</f>
        <v/>
      </c>
      <c r="D1182" s="7"/>
      <c r="E1182" s="12" t="str">
        <f aca="false">IF($D1182="","",IFERROR(INDEX(고객목록!$B$3:$B$502,MATCH($D1182,고객목록!$A$3:$A$502,0)),""))</f>
        <v/>
      </c>
      <c r="F1182" s="13"/>
      <c r="G1182" s="13"/>
      <c r="H1182" s="14" t="str">
        <f aca="false">IF(OR($L1182="",$M1182=""),"",ROUND(($M1182-$L1182)/60,2))</f>
        <v/>
      </c>
      <c r="I1182" s="9"/>
      <c r="J1182" s="7"/>
      <c r="K1182" s="7"/>
      <c r="L1182" s="15" t="str">
        <f aca="false">IF($F1182="","",IF($F1182&lt;1,ROUND($F1182*1440,0),INT($F1182/100)*60+MOD($F1182,100)))</f>
        <v/>
      </c>
      <c r="M1182" s="15" t="str">
        <f aca="false">IF($G1182="","",IF($G1182&lt;1,ROUND($G1182*1440,0),INT($G1182/100)*60+MOD($G1182,100)))</f>
        <v/>
      </c>
      <c r="N1182" s="15" t="str">
        <f aca="false">IF(OR($A1182="",$B1182="",$L1182="",$M1182="",$J1182="취소"),"",IF(SUMPRODUCT(($A$3:$A$2002=$A1182)*($B$3:$B$2002=$B1182)*($J$3:$J$2002&lt;&gt;"취소")*($L$3:$L$2002&lt;&gt;"")*($M$3:$M$2002&lt;&gt;"")*($L$3:$L$2002&lt;$M1182)*($M$3:$M$2002&gt;$L1182))&gt;1,"중복","-"))</f>
        <v/>
      </c>
    </row>
    <row r="1183" customFormat="false" ht="15" hidden="false" customHeight="true" outlineLevel="0" collapsed="false">
      <c r="A1183" s="11"/>
      <c r="B1183" s="7"/>
      <c r="C1183" s="12" t="str">
        <f aca="false">IF($B1183="","",IFERROR(INDEX(자원목록!$B$3:$B$102,MATCH($B1183,자원목록!$A$3:$A$102,0)),"미등록자원"))</f>
        <v/>
      </c>
      <c r="D1183" s="7"/>
      <c r="E1183" s="12" t="str">
        <f aca="false">IF($D1183="","",IFERROR(INDEX(고객목록!$B$3:$B$502,MATCH($D1183,고객목록!$A$3:$A$502,0)),""))</f>
        <v/>
      </c>
      <c r="F1183" s="13"/>
      <c r="G1183" s="13"/>
      <c r="H1183" s="14" t="str">
        <f aca="false">IF(OR($L1183="",$M1183=""),"",ROUND(($M1183-$L1183)/60,2))</f>
        <v/>
      </c>
      <c r="I1183" s="9"/>
      <c r="J1183" s="7"/>
      <c r="K1183" s="7"/>
      <c r="L1183" s="15" t="str">
        <f aca="false">IF($F1183="","",IF($F1183&lt;1,ROUND($F1183*1440,0),INT($F1183/100)*60+MOD($F1183,100)))</f>
        <v/>
      </c>
      <c r="M1183" s="15" t="str">
        <f aca="false">IF($G1183="","",IF($G1183&lt;1,ROUND($G1183*1440,0),INT($G1183/100)*60+MOD($G1183,100)))</f>
        <v/>
      </c>
      <c r="N1183" s="15" t="str">
        <f aca="false">IF(OR($A1183="",$B1183="",$L1183="",$M1183="",$J1183="취소"),"",IF(SUMPRODUCT(($A$3:$A$2002=$A1183)*($B$3:$B$2002=$B1183)*($J$3:$J$2002&lt;&gt;"취소")*($L$3:$L$2002&lt;&gt;"")*($M$3:$M$2002&lt;&gt;"")*($L$3:$L$2002&lt;$M1183)*($M$3:$M$2002&gt;$L1183))&gt;1,"중복","-"))</f>
        <v/>
      </c>
    </row>
    <row r="1184" customFormat="false" ht="15" hidden="false" customHeight="true" outlineLevel="0" collapsed="false">
      <c r="A1184" s="11"/>
      <c r="B1184" s="7"/>
      <c r="C1184" s="12" t="str">
        <f aca="false">IF($B1184="","",IFERROR(INDEX(자원목록!$B$3:$B$102,MATCH($B1184,자원목록!$A$3:$A$102,0)),"미등록자원"))</f>
        <v/>
      </c>
      <c r="D1184" s="7"/>
      <c r="E1184" s="12" t="str">
        <f aca="false">IF($D1184="","",IFERROR(INDEX(고객목록!$B$3:$B$502,MATCH($D1184,고객목록!$A$3:$A$502,0)),""))</f>
        <v/>
      </c>
      <c r="F1184" s="13"/>
      <c r="G1184" s="13"/>
      <c r="H1184" s="14" t="str">
        <f aca="false">IF(OR($L1184="",$M1184=""),"",ROUND(($M1184-$L1184)/60,2))</f>
        <v/>
      </c>
      <c r="I1184" s="9"/>
      <c r="J1184" s="7"/>
      <c r="K1184" s="7"/>
      <c r="L1184" s="15" t="str">
        <f aca="false">IF($F1184="","",IF($F1184&lt;1,ROUND($F1184*1440,0),INT($F1184/100)*60+MOD($F1184,100)))</f>
        <v/>
      </c>
      <c r="M1184" s="15" t="str">
        <f aca="false">IF($G1184="","",IF($G1184&lt;1,ROUND($G1184*1440,0),INT($G1184/100)*60+MOD($G1184,100)))</f>
        <v/>
      </c>
      <c r="N1184" s="15" t="str">
        <f aca="false">IF(OR($A1184="",$B1184="",$L1184="",$M1184="",$J1184="취소"),"",IF(SUMPRODUCT(($A$3:$A$2002=$A1184)*($B$3:$B$2002=$B1184)*($J$3:$J$2002&lt;&gt;"취소")*($L$3:$L$2002&lt;&gt;"")*($M$3:$M$2002&lt;&gt;"")*($L$3:$L$2002&lt;$M1184)*($M$3:$M$2002&gt;$L1184))&gt;1,"중복","-"))</f>
        <v/>
      </c>
    </row>
    <row r="1185" customFormat="false" ht="15" hidden="false" customHeight="true" outlineLevel="0" collapsed="false">
      <c r="A1185" s="11"/>
      <c r="B1185" s="7"/>
      <c r="C1185" s="12" t="str">
        <f aca="false">IF($B1185="","",IFERROR(INDEX(자원목록!$B$3:$B$102,MATCH($B1185,자원목록!$A$3:$A$102,0)),"미등록자원"))</f>
        <v/>
      </c>
      <c r="D1185" s="7"/>
      <c r="E1185" s="12" t="str">
        <f aca="false">IF($D1185="","",IFERROR(INDEX(고객목록!$B$3:$B$502,MATCH($D1185,고객목록!$A$3:$A$502,0)),""))</f>
        <v/>
      </c>
      <c r="F1185" s="13"/>
      <c r="G1185" s="13"/>
      <c r="H1185" s="14" t="str">
        <f aca="false">IF(OR($L1185="",$M1185=""),"",ROUND(($M1185-$L1185)/60,2))</f>
        <v/>
      </c>
      <c r="I1185" s="9"/>
      <c r="J1185" s="7"/>
      <c r="K1185" s="7"/>
      <c r="L1185" s="15" t="str">
        <f aca="false">IF($F1185="","",IF($F1185&lt;1,ROUND($F1185*1440,0),INT($F1185/100)*60+MOD($F1185,100)))</f>
        <v/>
      </c>
      <c r="M1185" s="15" t="str">
        <f aca="false">IF($G1185="","",IF($G1185&lt;1,ROUND($G1185*1440,0),INT($G1185/100)*60+MOD($G1185,100)))</f>
        <v/>
      </c>
      <c r="N1185" s="15" t="str">
        <f aca="false">IF(OR($A1185="",$B1185="",$L1185="",$M1185="",$J1185="취소"),"",IF(SUMPRODUCT(($A$3:$A$2002=$A1185)*($B$3:$B$2002=$B1185)*($J$3:$J$2002&lt;&gt;"취소")*($L$3:$L$2002&lt;&gt;"")*($M$3:$M$2002&lt;&gt;"")*($L$3:$L$2002&lt;$M1185)*($M$3:$M$2002&gt;$L1185))&gt;1,"중복","-"))</f>
        <v/>
      </c>
    </row>
    <row r="1186" customFormat="false" ht="15" hidden="false" customHeight="true" outlineLevel="0" collapsed="false">
      <c r="A1186" s="11"/>
      <c r="B1186" s="7"/>
      <c r="C1186" s="12" t="str">
        <f aca="false">IF($B1186="","",IFERROR(INDEX(자원목록!$B$3:$B$102,MATCH($B1186,자원목록!$A$3:$A$102,0)),"미등록자원"))</f>
        <v/>
      </c>
      <c r="D1186" s="7"/>
      <c r="E1186" s="12" t="str">
        <f aca="false">IF($D1186="","",IFERROR(INDEX(고객목록!$B$3:$B$502,MATCH($D1186,고객목록!$A$3:$A$502,0)),""))</f>
        <v/>
      </c>
      <c r="F1186" s="13"/>
      <c r="G1186" s="13"/>
      <c r="H1186" s="14" t="str">
        <f aca="false">IF(OR($L1186="",$M1186=""),"",ROUND(($M1186-$L1186)/60,2))</f>
        <v/>
      </c>
      <c r="I1186" s="9"/>
      <c r="J1186" s="7"/>
      <c r="K1186" s="7"/>
      <c r="L1186" s="15" t="str">
        <f aca="false">IF($F1186="","",IF($F1186&lt;1,ROUND($F1186*1440,0),INT($F1186/100)*60+MOD($F1186,100)))</f>
        <v/>
      </c>
      <c r="M1186" s="15" t="str">
        <f aca="false">IF($G1186="","",IF($G1186&lt;1,ROUND($G1186*1440,0),INT($G1186/100)*60+MOD($G1186,100)))</f>
        <v/>
      </c>
      <c r="N1186" s="15" t="str">
        <f aca="false">IF(OR($A1186="",$B1186="",$L1186="",$M1186="",$J1186="취소"),"",IF(SUMPRODUCT(($A$3:$A$2002=$A1186)*($B$3:$B$2002=$B1186)*($J$3:$J$2002&lt;&gt;"취소")*($L$3:$L$2002&lt;&gt;"")*($M$3:$M$2002&lt;&gt;"")*($L$3:$L$2002&lt;$M1186)*($M$3:$M$2002&gt;$L1186))&gt;1,"중복","-"))</f>
        <v/>
      </c>
    </row>
    <row r="1187" customFormat="false" ht="15" hidden="false" customHeight="true" outlineLevel="0" collapsed="false">
      <c r="A1187" s="11"/>
      <c r="B1187" s="7"/>
      <c r="C1187" s="12" t="str">
        <f aca="false">IF($B1187="","",IFERROR(INDEX(자원목록!$B$3:$B$102,MATCH($B1187,자원목록!$A$3:$A$102,0)),"미등록자원"))</f>
        <v/>
      </c>
      <c r="D1187" s="7"/>
      <c r="E1187" s="12" t="str">
        <f aca="false">IF($D1187="","",IFERROR(INDEX(고객목록!$B$3:$B$502,MATCH($D1187,고객목록!$A$3:$A$502,0)),""))</f>
        <v/>
      </c>
      <c r="F1187" s="13"/>
      <c r="G1187" s="13"/>
      <c r="H1187" s="14" t="str">
        <f aca="false">IF(OR($L1187="",$M1187=""),"",ROUND(($M1187-$L1187)/60,2))</f>
        <v/>
      </c>
      <c r="I1187" s="9"/>
      <c r="J1187" s="7"/>
      <c r="K1187" s="7"/>
      <c r="L1187" s="15" t="str">
        <f aca="false">IF($F1187="","",IF($F1187&lt;1,ROUND($F1187*1440,0),INT($F1187/100)*60+MOD($F1187,100)))</f>
        <v/>
      </c>
      <c r="M1187" s="15" t="str">
        <f aca="false">IF($G1187="","",IF($G1187&lt;1,ROUND($G1187*1440,0),INT($G1187/100)*60+MOD($G1187,100)))</f>
        <v/>
      </c>
      <c r="N1187" s="15" t="str">
        <f aca="false">IF(OR($A1187="",$B1187="",$L1187="",$M1187="",$J1187="취소"),"",IF(SUMPRODUCT(($A$3:$A$2002=$A1187)*($B$3:$B$2002=$B1187)*($J$3:$J$2002&lt;&gt;"취소")*($L$3:$L$2002&lt;&gt;"")*($M$3:$M$2002&lt;&gt;"")*($L$3:$L$2002&lt;$M1187)*($M$3:$M$2002&gt;$L1187))&gt;1,"중복","-"))</f>
        <v/>
      </c>
    </row>
    <row r="1188" customFormat="false" ht="15" hidden="false" customHeight="true" outlineLevel="0" collapsed="false">
      <c r="A1188" s="11"/>
      <c r="B1188" s="7"/>
      <c r="C1188" s="12" t="str">
        <f aca="false">IF($B1188="","",IFERROR(INDEX(자원목록!$B$3:$B$102,MATCH($B1188,자원목록!$A$3:$A$102,0)),"미등록자원"))</f>
        <v/>
      </c>
      <c r="D1188" s="7"/>
      <c r="E1188" s="12" t="str">
        <f aca="false">IF($D1188="","",IFERROR(INDEX(고객목록!$B$3:$B$502,MATCH($D1188,고객목록!$A$3:$A$502,0)),""))</f>
        <v/>
      </c>
      <c r="F1188" s="13"/>
      <c r="G1188" s="13"/>
      <c r="H1188" s="14" t="str">
        <f aca="false">IF(OR($L1188="",$M1188=""),"",ROUND(($M1188-$L1188)/60,2))</f>
        <v/>
      </c>
      <c r="I1188" s="9"/>
      <c r="J1188" s="7"/>
      <c r="K1188" s="7"/>
      <c r="L1188" s="15" t="str">
        <f aca="false">IF($F1188="","",IF($F1188&lt;1,ROUND($F1188*1440,0),INT($F1188/100)*60+MOD($F1188,100)))</f>
        <v/>
      </c>
      <c r="M1188" s="15" t="str">
        <f aca="false">IF($G1188="","",IF($G1188&lt;1,ROUND($G1188*1440,0),INT($G1188/100)*60+MOD($G1188,100)))</f>
        <v/>
      </c>
      <c r="N1188" s="15" t="str">
        <f aca="false">IF(OR($A1188="",$B1188="",$L1188="",$M1188="",$J1188="취소"),"",IF(SUMPRODUCT(($A$3:$A$2002=$A1188)*($B$3:$B$2002=$B1188)*($J$3:$J$2002&lt;&gt;"취소")*($L$3:$L$2002&lt;&gt;"")*($M$3:$M$2002&lt;&gt;"")*($L$3:$L$2002&lt;$M1188)*($M$3:$M$2002&gt;$L1188))&gt;1,"중복","-"))</f>
        <v/>
      </c>
    </row>
    <row r="1189" customFormat="false" ht="15" hidden="false" customHeight="true" outlineLevel="0" collapsed="false">
      <c r="A1189" s="11"/>
      <c r="B1189" s="7"/>
      <c r="C1189" s="12" t="str">
        <f aca="false">IF($B1189="","",IFERROR(INDEX(자원목록!$B$3:$B$102,MATCH($B1189,자원목록!$A$3:$A$102,0)),"미등록자원"))</f>
        <v/>
      </c>
      <c r="D1189" s="7"/>
      <c r="E1189" s="12" t="str">
        <f aca="false">IF($D1189="","",IFERROR(INDEX(고객목록!$B$3:$B$502,MATCH($D1189,고객목록!$A$3:$A$502,0)),""))</f>
        <v/>
      </c>
      <c r="F1189" s="13"/>
      <c r="G1189" s="13"/>
      <c r="H1189" s="14" t="str">
        <f aca="false">IF(OR($L1189="",$M1189=""),"",ROUND(($M1189-$L1189)/60,2))</f>
        <v/>
      </c>
      <c r="I1189" s="9"/>
      <c r="J1189" s="7"/>
      <c r="K1189" s="7"/>
      <c r="L1189" s="15" t="str">
        <f aca="false">IF($F1189="","",IF($F1189&lt;1,ROUND($F1189*1440,0),INT($F1189/100)*60+MOD($F1189,100)))</f>
        <v/>
      </c>
      <c r="M1189" s="15" t="str">
        <f aca="false">IF($G1189="","",IF($G1189&lt;1,ROUND($G1189*1440,0),INT($G1189/100)*60+MOD($G1189,100)))</f>
        <v/>
      </c>
      <c r="N1189" s="15" t="str">
        <f aca="false">IF(OR($A1189="",$B1189="",$L1189="",$M1189="",$J1189="취소"),"",IF(SUMPRODUCT(($A$3:$A$2002=$A1189)*($B$3:$B$2002=$B1189)*($J$3:$J$2002&lt;&gt;"취소")*($L$3:$L$2002&lt;&gt;"")*($M$3:$M$2002&lt;&gt;"")*($L$3:$L$2002&lt;$M1189)*($M$3:$M$2002&gt;$L1189))&gt;1,"중복","-"))</f>
        <v/>
      </c>
    </row>
    <row r="1190" customFormat="false" ht="15" hidden="false" customHeight="true" outlineLevel="0" collapsed="false">
      <c r="A1190" s="11"/>
      <c r="B1190" s="7"/>
      <c r="C1190" s="12" t="str">
        <f aca="false">IF($B1190="","",IFERROR(INDEX(자원목록!$B$3:$B$102,MATCH($B1190,자원목록!$A$3:$A$102,0)),"미등록자원"))</f>
        <v/>
      </c>
      <c r="D1190" s="7"/>
      <c r="E1190" s="12" t="str">
        <f aca="false">IF($D1190="","",IFERROR(INDEX(고객목록!$B$3:$B$502,MATCH($D1190,고객목록!$A$3:$A$502,0)),""))</f>
        <v/>
      </c>
      <c r="F1190" s="13"/>
      <c r="G1190" s="13"/>
      <c r="H1190" s="14" t="str">
        <f aca="false">IF(OR($L1190="",$M1190=""),"",ROUND(($M1190-$L1190)/60,2))</f>
        <v/>
      </c>
      <c r="I1190" s="9"/>
      <c r="J1190" s="7"/>
      <c r="K1190" s="7"/>
      <c r="L1190" s="15" t="str">
        <f aca="false">IF($F1190="","",IF($F1190&lt;1,ROUND($F1190*1440,0),INT($F1190/100)*60+MOD($F1190,100)))</f>
        <v/>
      </c>
      <c r="M1190" s="15" t="str">
        <f aca="false">IF($G1190="","",IF($G1190&lt;1,ROUND($G1190*1440,0),INT($G1190/100)*60+MOD($G1190,100)))</f>
        <v/>
      </c>
      <c r="N1190" s="15" t="str">
        <f aca="false">IF(OR($A1190="",$B1190="",$L1190="",$M1190="",$J1190="취소"),"",IF(SUMPRODUCT(($A$3:$A$2002=$A1190)*($B$3:$B$2002=$B1190)*($J$3:$J$2002&lt;&gt;"취소")*($L$3:$L$2002&lt;&gt;"")*($M$3:$M$2002&lt;&gt;"")*($L$3:$L$2002&lt;$M1190)*($M$3:$M$2002&gt;$L1190))&gt;1,"중복","-"))</f>
        <v/>
      </c>
    </row>
    <row r="1191" customFormat="false" ht="15" hidden="false" customHeight="true" outlineLevel="0" collapsed="false">
      <c r="A1191" s="11"/>
      <c r="B1191" s="7"/>
      <c r="C1191" s="12" t="str">
        <f aca="false">IF($B1191="","",IFERROR(INDEX(자원목록!$B$3:$B$102,MATCH($B1191,자원목록!$A$3:$A$102,0)),"미등록자원"))</f>
        <v/>
      </c>
      <c r="D1191" s="7"/>
      <c r="E1191" s="12" t="str">
        <f aca="false">IF($D1191="","",IFERROR(INDEX(고객목록!$B$3:$B$502,MATCH($D1191,고객목록!$A$3:$A$502,0)),""))</f>
        <v/>
      </c>
      <c r="F1191" s="13"/>
      <c r="G1191" s="13"/>
      <c r="H1191" s="14" t="str">
        <f aca="false">IF(OR($L1191="",$M1191=""),"",ROUND(($M1191-$L1191)/60,2))</f>
        <v/>
      </c>
      <c r="I1191" s="9"/>
      <c r="J1191" s="7"/>
      <c r="K1191" s="7"/>
      <c r="L1191" s="15" t="str">
        <f aca="false">IF($F1191="","",IF($F1191&lt;1,ROUND($F1191*1440,0),INT($F1191/100)*60+MOD($F1191,100)))</f>
        <v/>
      </c>
      <c r="M1191" s="15" t="str">
        <f aca="false">IF($G1191="","",IF($G1191&lt;1,ROUND($G1191*1440,0),INT($G1191/100)*60+MOD($G1191,100)))</f>
        <v/>
      </c>
      <c r="N1191" s="15" t="str">
        <f aca="false">IF(OR($A1191="",$B1191="",$L1191="",$M1191="",$J1191="취소"),"",IF(SUMPRODUCT(($A$3:$A$2002=$A1191)*($B$3:$B$2002=$B1191)*($J$3:$J$2002&lt;&gt;"취소")*($L$3:$L$2002&lt;&gt;"")*($M$3:$M$2002&lt;&gt;"")*($L$3:$L$2002&lt;$M1191)*($M$3:$M$2002&gt;$L1191))&gt;1,"중복","-"))</f>
        <v/>
      </c>
    </row>
    <row r="1192" customFormat="false" ht="15" hidden="false" customHeight="true" outlineLevel="0" collapsed="false">
      <c r="A1192" s="11"/>
      <c r="B1192" s="7"/>
      <c r="C1192" s="12" t="str">
        <f aca="false">IF($B1192="","",IFERROR(INDEX(자원목록!$B$3:$B$102,MATCH($B1192,자원목록!$A$3:$A$102,0)),"미등록자원"))</f>
        <v/>
      </c>
      <c r="D1192" s="7"/>
      <c r="E1192" s="12" t="str">
        <f aca="false">IF($D1192="","",IFERROR(INDEX(고객목록!$B$3:$B$502,MATCH($D1192,고객목록!$A$3:$A$502,0)),""))</f>
        <v/>
      </c>
      <c r="F1192" s="13"/>
      <c r="G1192" s="13"/>
      <c r="H1192" s="14" t="str">
        <f aca="false">IF(OR($L1192="",$M1192=""),"",ROUND(($M1192-$L1192)/60,2))</f>
        <v/>
      </c>
      <c r="I1192" s="9"/>
      <c r="J1192" s="7"/>
      <c r="K1192" s="7"/>
      <c r="L1192" s="15" t="str">
        <f aca="false">IF($F1192="","",IF($F1192&lt;1,ROUND($F1192*1440,0),INT($F1192/100)*60+MOD($F1192,100)))</f>
        <v/>
      </c>
      <c r="M1192" s="15" t="str">
        <f aca="false">IF($G1192="","",IF($G1192&lt;1,ROUND($G1192*1440,0),INT($G1192/100)*60+MOD($G1192,100)))</f>
        <v/>
      </c>
      <c r="N1192" s="15" t="str">
        <f aca="false">IF(OR($A1192="",$B1192="",$L1192="",$M1192="",$J1192="취소"),"",IF(SUMPRODUCT(($A$3:$A$2002=$A1192)*($B$3:$B$2002=$B1192)*($J$3:$J$2002&lt;&gt;"취소")*($L$3:$L$2002&lt;&gt;"")*($M$3:$M$2002&lt;&gt;"")*($L$3:$L$2002&lt;$M1192)*($M$3:$M$2002&gt;$L1192))&gt;1,"중복","-"))</f>
        <v/>
      </c>
    </row>
    <row r="1193" customFormat="false" ht="15" hidden="false" customHeight="true" outlineLevel="0" collapsed="false">
      <c r="A1193" s="11"/>
      <c r="B1193" s="7"/>
      <c r="C1193" s="12" t="str">
        <f aca="false">IF($B1193="","",IFERROR(INDEX(자원목록!$B$3:$B$102,MATCH($B1193,자원목록!$A$3:$A$102,0)),"미등록자원"))</f>
        <v/>
      </c>
      <c r="D1193" s="7"/>
      <c r="E1193" s="12" t="str">
        <f aca="false">IF($D1193="","",IFERROR(INDEX(고객목록!$B$3:$B$502,MATCH($D1193,고객목록!$A$3:$A$502,0)),""))</f>
        <v/>
      </c>
      <c r="F1193" s="13"/>
      <c r="G1193" s="13"/>
      <c r="H1193" s="14" t="str">
        <f aca="false">IF(OR($L1193="",$M1193=""),"",ROUND(($M1193-$L1193)/60,2))</f>
        <v/>
      </c>
      <c r="I1193" s="9"/>
      <c r="J1193" s="7"/>
      <c r="K1193" s="7"/>
      <c r="L1193" s="15" t="str">
        <f aca="false">IF($F1193="","",IF($F1193&lt;1,ROUND($F1193*1440,0),INT($F1193/100)*60+MOD($F1193,100)))</f>
        <v/>
      </c>
      <c r="M1193" s="15" t="str">
        <f aca="false">IF($G1193="","",IF($G1193&lt;1,ROUND($G1193*1440,0),INT($G1193/100)*60+MOD($G1193,100)))</f>
        <v/>
      </c>
      <c r="N1193" s="15" t="str">
        <f aca="false">IF(OR($A1193="",$B1193="",$L1193="",$M1193="",$J1193="취소"),"",IF(SUMPRODUCT(($A$3:$A$2002=$A1193)*($B$3:$B$2002=$B1193)*($J$3:$J$2002&lt;&gt;"취소")*($L$3:$L$2002&lt;&gt;"")*($M$3:$M$2002&lt;&gt;"")*($L$3:$L$2002&lt;$M1193)*($M$3:$M$2002&gt;$L1193))&gt;1,"중복","-"))</f>
        <v/>
      </c>
    </row>
    <row r="1194" customFormat="false" ht="15" hidden="false" customHeight="true" outlineLevel="0" collapsed="false">
      <c r="A1194" s="11"/>
      <c r="B1194" s="7"/>
      <c r="C1194" s="12" t="str">
        <f aca="false">IF($B1194="","",IFERROR(INDEX(자원목록!$B$3:$B$102,MATCH($B1194,자원목록!$A$3:$A$102,0)),"미등록자원"))</f>
        <v/>
      </c>
      <c r="D1194" s="7"/>
      <c r="E1194" s="12" t="str">
        <f aca="false">IF($D1194="","",IFERROR(INDEX(고객목록!$B$3:$B$502,MATCH($D1194,고객목록!$A$3:$A$502,0)),""))</f>
        <v/>
      </c>
      <c r="F1194" s="13"/>
      <c r="G1194" s="13"/>
      <c r="H1194" s="14" t="str">
        <f aca="false">IF(OR($L1194="",$M1194=""),"",ROUND(($M1194-$L1194)/60,2))</f>
        <v/>
      </c>
      <c r="I1194" s="9"/>
      <c r="J1194" s="7"/>
      <c r="K1194" s="7"/>
      <c r="L1194" s="15" t="str">
        <f aca="false">IF($F1194="","",IF($F1194&lt;1,ROUND($F1194*1440,0),INT($F1194/100)*60+MOD($F1194,100)))</f>
        <v/>
      </c>
      <c r="M1194" s="15" t="str">
        <f aca="false">IF($G1194="","",IF($G1194&lt;1,ROUND($G1194*1440,0),INT($G1194/100)*60+MOD($G1194,100)))</f>
        <v/>
      </c>
      <c r="N1194" s="15" t="str">
        <f aca="false">IF(OR($A1194="",$B1194="",$L1194="",$M1194="",$J1194="취소"),"",IF(SUMPRODUCT(($A$3:$A$2002=$A1194)*($B$3:$B$2002=$B1194)*($J$3:$J$2002&lt;&gt;"취소")*($L$3:$L$2002&lt;&gt;"")*($M$3:$M$2002&lt;&gt;"")*($L$3:$L$2002&lt;$M1194)*($M$3:$M$2002&gt;$L1194))&gt;1,"중복","-"))</f>
        <v/>
      </c>
    </row>
    <row r="1195" customFormat="false" ht="15" hidden="false" customHeight="true" outlineLevel="0" collapsed="false">
      <c r="A1195" s="11"/>
      <c r="B1195" s="7"/>
      <c r="C1195" s="12" t="str">
        <f aca="false">IF($B1195="","",IFERROR(INDEX(자원목록!$B$3:$B$102,MATCH($B1195,자원목록!$A$3:$A$102,0)),"미등록자원"))</f>
        <v/>
      </c>
      <c r="D1195" s="7"/>
      <c r="E1195" s="12" t="str">
        <f aca="false">IF($D1195="","",IFERROR(INDEX(고객목록!$B$3:$B$502,MATCH($D1195,고객목록!$A$3:$A$502,0)),""))</f>
        <v/>
      </c>
      <c r="F1195" s="13"/>
      <c r="G1195" s="13"/>
      <c r="H1195" s="14" t="str">
        <f aca="false">IF(OR($L1195="",$M1195=""),"",ROUND(($M1195-$L1195)/60,2))</f>
        <v/>
      </c>
      <c r="I1195" s="9"/>
      <c r="J1195" s="7"/>
      <c r="K1195" s="7"/>
      <c r="L1195" s="15" t="str">
        <f aca="false">IF($F1195="","",IF($F1195&lt;1,ROUND($F1195*1440,0),INT($F1195/100)*60+MOD($F1195,100)))</f>
        <v/>
      </c>
      <c r="M1195" s="15" t="str">
        <f aca="false">IF($G1195="","",IF($G1195&lt;1,ROUND($G1195*1440,0),INT($G1195/100)*60+MOD($G1195,100)))</f>
        <v/>
      </c>
      <c r="N1195" s="15" t="str">
        <f aca="false">IF(OR($A1195="",$B1195="",$L1195="",$M1195="",$J1195="취소"),"",IF(SUMPRODUCT(($A$3:$A$2002=$A1195)*($B$3:$B$2002=$B1195)*($J$3:$J$2002&lt;&gt;"취소")*($L$3:$L$2002&lt;&gt;"")*($M$3:$M$2002&lt;&gt;"")*($L$3:$L$2002&lt;$M1195)*($M$3:$M$2002&gt;$L1195))&gt;1,"중복","-"))</f>
        <v/>
      </c>
    </row>
    <row r="1196" customFormat="false" ht="15" hidden="false" customHeight="true" outlineLevel="0" collapsed="false">
      <c r="A1196" s="11"/>
      <c r="B1196" s="7"/>
      <c r="C1196" s="12" t="str">
        <f aca="false">IF($B1196="","",IFERROR(INDEX(자원목록!$B$3:$B$102,MATCH($B1196,자원목록!$A$3:$A$102,0)),"미등록자원"))</f>
        <v/>
      </c>
      <c r="D1196" s="7"/>
      <c r="E1196" s="12" t="str">
        <f aca="false">IF($D1196="","",IFERROR(INDEX(고객목록!$B$3:$B$502,MATCH($D1196,고객목록!$A$3:$A$502,0)),""))</f>
        <v/>
      </c>
      <c r="F1196" s="13"/>
      <c r="G1196" s="13"/>
      <c r="H1196" s="14" t="str">
        <f aca="false">IF(OR($L1196="",$M1196=""),"",ROUND(($M1196-$L1196)/60,2))</f>
        <v/>
      </c>
      <c r="I1196" s="9"/>
      <c r="J1196" s="7"/>
      <c r="K1196" s="7"/>
      <c r="L1196" s="15" t="str">
        <f aca="false">IF($F1196="","",IF($F1196&lt;1,ROUND($F1196*1440,0),INT($F1196/100)*60+MOD($F1196,100)))</f>
        <v/>
      </c>
      <c r="M1196" s="15" t="str">
        <f aca="false">IF($G1196="","",IF($G1196&lt;1,ROUND($G1196*1440,0),INT($G1196/100)*60+MOD($G1196,100)))</f>
        <v/>
      </c>
      <c r="N1196" s="15" t="str">
        <f aca="false">IF(OR($A1196="",$B1196="",$L1196="",$M1196="",$J1196="취소"),"",IF(SUMPRODUCT(($A$3:$A$2002=$A1196)*($B$3:$B$2002=$B1196)*($J$3:$J$2002&lt;&gt;"취소")*($L$3:$L$2002&lt;&gt;"")*($M$3:$M$2002&lt;&gt;"")*($L$3:$L$2002&lt;$M1196)*($M$3:$M$2002&gt;$L1196))&gt;1,"중복","-"))</f>
        <v/>
      </c>
    </row>
    <row r="1197" customFormat="false" ht="15" hidden="false" customHeight="true" outlineLevel="0" collapsed="false">
      <c r="A1197" s="11"/>
      <c r="B1197" s="7"/>
      <c r="C1197" s="12" t="str">
        <f aca="false">IF($B1197="","",IFERROR(INDEX(자원목록!$B$3:$B$102,MATCH($B1197,자원목록!$A$3:$A$102,0)),"미등록자원"))</f>
        <v/>
      </c>
      <c r="D1197" s="7"/>
      <c r="E1197" s="12" t="str">
        <f aca="false">IF($D1197="","",IFERROR(INDEX(고객목록!$B$3:$B$502,MATCH($D1197,고객목록!$A$3:$A$502,0)),""))</f>
        <v/>
      </c>
      <c r="F1197" s="13"/>
      <c r="G1197" s="13"/>
      <c r="H1197" s="14" t="str">
        <f aca="false">IF(OR($L1197="",$M1197=""),"",ROUND(($M1197-$L1197)/60,2))</f>
        <v/>
      </c>
      <c r="I1197" s="9"/>
      <c r="J1197" s="7"/>
      <c r="K1197" s="7"/>
      <c r="L1197" s="15" t="str">
        <f aca="false">IF($F1197="","",IF($F1197&lt;1,ROUND($F1197*1440,0),INT($F1197/100)*60+MOD($F1197,100)))</f>
        <v/>
      </c>
      <c r="M1197" s="15" t="str">
        <f aca="false">IF($G1197="","",IF($G1197&lt;1,ROUND($G1197*1440,0),INT($G1197/100)*60+MOD($G1197,100)))</f>
        <v/>
      </c>
      <c r="N1197" s="15" t="str">
        <f aca="false">IF(OR($A1197="",$B1197="",$L1197="",$M1197="",$J1197="취소"),"",IF(SUMPRODUCT(($A$3:$A$2002=$A1197)*($B$3:$B$2002=$B1197)*($J$3:$J$2002&lt;&gt;"취소")*($L$3:$L$2002&lt;&gt;"")*($M$3:$M$2002&lt;&gt;"")*($L$3:$L$2002&lt;$M1197)*($M$3:$M$2002&gt;$L1197))&gt;1,"중복","-"))</f>
        <v/>
      </c>
    </row>
    <row r="1198" customFormat="false" ht="15" hidden="false" customHeight="true" outlineLevel="0" collapsed="false">
      <c r="A1198" s="11"/>
      <c r="B1198" s="7"/>
      <c r="C1198" s="12" t="str">
        <f aca="false">IF($B1198="","",IFERROR(INDEX(자원목록!$B$3:$B$102,MATCH($B1198,자원목록!$A$3:$A$102,0)),"미등록자원"))</f>
        <v/>
      </c>
      <c r="D1198" s="7"/>
      <c r="E1198" s="12" t="str">
        <f aca="false">IF($D1198="","",IFERROR(INDEX(고객목록!$B$3:$B$502,MATCH($D1198,고객목록!$A$3:$A$502,0)),""))</f>
        <v/>
      </c>
      <c r="F1198" s="13"/>
      <c r="G1198" s="13"/>
      <c r="H1198" s="14" t="str">
        <f aca="false">IF(OR($L1198="",$M1198=""),"",ROUND(($M1198-$L1198)/60,2))</f>
        <v/>
      </c>
      <c r="I1198" s="9"/>
      <c r="J1198" s="7"/>
      <c r="K1198" s="7"/>
      <c r="L1198" s="15" t="str">
        <f aca="false">IF($F1198="","",IF($F1198&lt;1,ROUND($F1198*1440,0),INT($F1198/100)*60+MOD($F1198,100)))</f>
        <v/>
      </c>
      <c r="M1198" s="15" t="str">
        <f aca="false">IF($G1198="","",IF($G1198&lt;1,ROUND($G1198*1440,0),INT($G1198/100)*60+MOD($G1198,100)))</f>
        <v/>
      </c>
      <c r="N1198" s="15" t="str">
        <f aca="false">IF(OR($A1198="",$B1198="",$L1198="",$M1198="",$J1198="취소"),"",IF(SUMPRODUCT(($A$3:$A$2002=$A1198)*($B$3:$B$2002=$B1198)*($J$3:$J$2002&lt;&gt;"취소")*($L$3:$L$2002&lt;&gt;"")*($M$3:$M$2002&lt;&gt;"")*($L$3:$L$2002&lt;$M1198)*($M$3:$M$2002&gt;$L1198))&gt;1,"중복","-"))</f>
        <v/>
      </c>
    </row>
    <row r="1199" customFormat="false" ht="15" hidden="false" customHeight="true" outlineLevel="0" collapsed="false">
      <c r="A1199" s="11"/>
      <c r="B1199" s="7"/>
      <c r="C1199" s="12" t="str">
        <f aca="false">IF($B1199="","",IFERROR(INDEX(자원목록!$B$3:$B$102,MATCH($B1199,자원목록!$A$3:$A$102,0)),"미등록자원"))</f>
        <v/>
      </c>
      <c r="D1199" s="7"/>
      <c r="E1199" s="12" t="str">
        <f aca="false">IF($D1199="","",IFERROR(INDEX(고객목록!$B$3:$B$502,MATCH($D1199,고객목록!$A$3:$A$502,0)),""))</f>
        <v/>
      </c>
      <c r="F1199" s="13"/>
      <c r="G1199" s="13"/>
      <c r="H1199" s="14" t="str">
        <f aca="false">IF(OR($L1199="",$M1199=""),"",ROUND(($M1199-$L1199)/60,2))</f>
        <v/>
      </c>
      <c r="I1199" s="9"/>
      <c r="J1199" s="7"/>
      <c r="K1199" s="7"/>
      <c r="L1199" s="15" t="str">
        <f aca="false">IF($F1199="","",IF($F1199&lt;1,ROUND($F1199*1440,0),INT($F1199/100)*60+MOD($F1199,100)))</f>
        <v/>
      </c>
      <c r="M1199" s="15" t="str">
        <f aca="false">IF($G1199="","",IF($G1199&lt;1,ROUND($G1199*1440,0),INT($G1199/100)*60+MOD($G1199,100)))</f>
        <v/>
      </c>
      <c r="N1199" s="15" t="str">
        <f aca="false">IF(OR($A1199="",$B1199="",$L1199="",$M1199="",$J1199="취소"),"",IF(SUMPRODUCT(($A$3:$A$2002=$A1199)*($B$3:$B$2002=$B1199)*($J$3:$J$2002&lt;&gt;"취소")*($L$3:$L$2002&lt;&gt;"")*($M$3:$M$2002&lt;&gt;"")*($L$3:$L$2002&lt;$M1199)*($M$3:$M$2002&gt;$L1199))&gt;1,"중복","-"))</f>
        <v/>
      </c>
    </row>
    <row r="1200" customFormat="false" ht="15" hidden="false" customHeight="true" outlineLevel="0" collapsed="false">
      <c r="A1200" s="11"/>
      <c r="B1200" s="7"/>
      <c r="C1200" s="12" t="str">
        <f aca="false">IF($B1200="","",IFERROR(INDEX(자원목록!$B$3:$B$102,MATCH($B1200,자원목록!$A$3:$A$102,0)),"미등록자원"))</f>
        <v/>
      </c>
      <c r="D1200" s="7"/>
      <c r="E1200" s="12" t="str">
        <f aca="false">IF($D1200="","",IFERROR(INDEX(고객목록!$B$3:$B$502,MATCH($D1200,고객목록!$A$3:$A$502,0)),""))</f>
        <v/>
      </c>
      <c r="F1200" s="13"/>
      <c r="G1200" s="13"/>
      <c r="H1200" s="14" t="str">
        <f aca="false">IF(OR($L1200="",$M1200=""),"",ROUND(($M1200-$L1200)/60,2))</f>
        <v/>
      </c>
      <c r="I1200" s="9"/>
      <c r="J1200" s="7"/>
      <c r="K1200" s="7"/>
      <c r="L1200" s="15" t="str">
        <f aca="false">IF($F1200="","",IF($F1200&lt;1,ROUND($F1200*1440,0),INT($F1200/100)*60+MOD($F1200,100)))</f>
        <v/>
      </c>
      <c r="M1200" s="15" t="str">
        <f aca="false">IF($G1200="","",IF($G1200&lt;1,ROUND($G1200*1440,0),INT($G1200/100)*60+MOD($G1200,100)))</f>
        <v/>
      </c>
      <c r="N1200" s="15" t="str">
        <f aca="false">IF(OR($A1200="",$B1200="",$L1200="",$M1200="",$J1200="취소"),"",IF(SUMPRODUCT(($A$3:$A$2002=$A1200)*($B$3:$B$2002=$B1200)*($J$3:$J$2002&lt;&gt;"취소")*($L$3:$L$2002&lt;&gt;"")*($M$3:$M$2002&lt;&gt;"")*($L$3:$L$2002&lt;$M1200)*($M$3:$M$2002&gt;$L1200))&gt;1,"중복","-"))</f>
        <v/>
      </c>
    </row>
    <row r="1201" customFormat="false" ht="15" hidden="false" customHeight="true" outlineLevel="0" collapsed="false">
      <c r="A1201" s="11"/>
      <c r="B1201" s="7"/>
      <c r="C1201" s="12" t="str">
        <f aca="false">IF($B1201="","",IFERROR(INDEX(자원목록!$B$3:$B$102,MATCH($B1201,자원목록!$A$3:$A$102,0)),"미등록자원"))</f>
        <v/>
      </c>
      <c r="D1201" s="7"/>
      <c r="E1201" s="12" t="str">
        <f aca="false">IF($D1201="","",IFERROR(INDEX(고객목록!$B$3:$B$502,MATCH($D1201,고객목록!$A$3:$A$502,0)),""))</f>
        <v/>
      </c>
      <c r="F1201" s="13"/>
      <c r="G1201" s="13"/>
      <c r="H1201" s="14" t="str">
        <f aca="false">IF(OR($L1201="",$M1201=""),"",ROUND(($M1201-$L1201)/60,2))</f>
        <v/>
      </c>
      <c r="I1201" s="9"/>
      <c r="J1201" s="7"/>
      <c r="K1201" s="7"/>
      <c r="L1201" s="15" t="str">
        <f aca="false">IF($F1201="","",IF($F1201&lt;1,ROUND($F1201*1440,0),INT($F1201/100)*60+MOD($F1201,100)))</f>
        <v/>
      </c>
      <c r="M1201" s="15" t="str">
        <f aca="false">IF($G1201="","",IF($G1201&lt;1,ROUND($G1201*1440,0),INT($G1201/100)*60+MOD($G1201,100)))</f>
        <v/>
      </c>
      <c r="N1201" s="15" t="str">
        <f aca="false">IF(OR($A1201="",$B1201="",$L1201="",$M1201="",$J1201="취소"),"",IF(SUMPRODUCT(($A$3:$A$2002=$A1201)*($B$3:$B$2002=$B1201)*($J$3:$J$2002&lt;&gt;"취소")*($L$3:$L$2002&lt;&gt;"")*($M$3:$M$2002&lt;&gt;"")*($L$3:$L$2002&lt;$M1201)*($M$3:$M$2002&gt;$L1201))&gt;1,"중복","-"))</f>
        <v/>
      </c>
    </row>
    <row r="1202" customFormat="false" ht="15" hidden="false" customHeight="true" outlineLevel="0" collapsed="false">
      <c r="A1202" s="11"/>
      <c r="B1202" s="7"/>
      <c r="C1202" s="12" t="str">
        <f aca="false">IF($B1202="","",IFERROR(INDEX(자원목록!$B$3:$B$102,MATCH($B1202,자원목록!$A$3:$A$102,0)),"미등록자원"))</f>
        <v/>
      </c>
      <c r="D1202" s="7"/>
      <c r="E1202" s="12" t="str">
        <f aca="false">IF($D1202="","",IFERROR(INDEX(고객목록!$B$3:$B$502,MATCH($D1202,고객목록!$A$3:$A$502,0)),""))</f>
        <v/>
      </c>
      <c r="F1202" s="13"/>
      <c r="G1202" s="13"/>
      <c r="H1202" s="14" t="str">
        <f aca="false">IF(OR($L1202="",$M1202=""),"",ROUND(($M1202-$L1202)/60,2))</f>
        <v/>
      </c>
      <c r="I1202" s="9"/>
      <c r="J1202" s="7"/>
      <c r="K1202" s="7"/>
      <c r="L1202" s="15" t="str">
        <f aca="false">IF($F1202="","",IF($F1202&lt;1,ROUND($F1202*1440,0),INT($F1202/100)*60+MOD($F1202,100)))</f>
        <v/>
      </c>
      <c r="M1202" s="15" t="str">
        <f aca="false">IF($G1202="","",IF($G1202&lt;1,ROUND($G1202*1440,0),INT($G1202/100)*60+MOD($G1202,100)))</f>
        <v/>
      </c>
      <c r="N1202" s="15" t="str">
        <f aca="false">IF(OR($A1202="",$B1202="",$L1202="",$M1202="",$J1202="취소"),"",IF(SUMPRODUCT(($A$3:$A$2002=$A1202)*($B$3:$B$2002=$B1202)*($J$3:$J$2002&lt;&gt;"취소")*($L$3:$L$2002&lt;&gt;"")*($M$3:$M$2002&lt;&gt;"")*($L$3:$L$2002&lt;$M1202)*($M$3:$M$2002&gt;$L1202))&gt;1,"중복","-"))</f>
        <v/>
      </c>
    </row>
    <row r="1203" customFormat="false" ht="15" hidden="false" customHeight="true" outlineLevel="0" collapsed="false">
      <c r="A1203" s="11"/>
      <c r="B1203" s="7"/>
      <c r="C1203" s="12" t="str">
        <f aca="false">IF($B1203="","",IFERROR(INDEX(자원목록!$B$3:$B$102,MATCH($B1203,자원목록!$A$3:$A$102,0)),"미등록자원"))</f>
        <v/>
      </c>
      <c r="D1203" s="7"/>
      <c r="E1203" s="12" t="str">
        <f aca="false">IF($D1203="","",IFERROR(INDEX(고객목록!$B$3:$B$502,MATCH($D1203,고객목록!$A$3:$A$502,0)),""))</f>
        <v/>
      </c>
      <c r="F1203" s="13"/>
      <c r="G1203" s="13"/>
      <c r="H1203" s="14" t="str">
        <f aca="false">IF(OR($L1203="",$M1203=""),"",ROUND(($M1203-$L1203)/60,2))</f>
        <v/>
      </c>
      <c r="I1203" s="9"/>
      <c r="J1203" s="7"/>
      <c r="K1203" s="7"/>
      <c r="L1203" s="15" t="str">
        <f aca="false">IF($F1203="","",IF($F1203&lt;1,ROUND($F1203*1440,0),INT($F1203/100)*60+MOD($F1203,100)))</f>
        <v/>
      </c>
      <c r="M1203" s="15" t="str">
        <f aca="false">IF($G1203="","",IF($G1203&lt;1,ROUND($G1203*1440,0),INT($G1203/100)*60+MOD($G1203,100)))</f>
        <v/>
      </c>
      <c r="N1203" s="15" t="str">
        <f aca="false">IF(OR($A1203="",$B1203="",$L1203="",$M1203="",$J1203="취소"),"",IF(SUMPRODUCT(($A$3:$A$2002=$A1203)*($B$3:$B$2002=$B1203)*($J$3:$J$2002&lt;&gt;"취소")*($L$3:$L$2002&lt;&gt;"")*($M$3:$M$2002&lt;&gt;"")*($L$3:$L$2002&lt;$M1203)*($M$3:$M$2002&gt;$L1203))&gt;1,"중복","-"))</f>
        <v/>
      </c>
    </row>
    <row r="1204" customFormat="false" ht="15" hidden="false" customHeight="true" outlineLevel="0" collapsed="false">
      <c r="A1204" s="11"/>
      <c r="B1204" s="7"/>
      <c r="C1204" s="12" t="str">
        <f aca="false">IF($B1204="","",IFERROR(INDEX(자원목록!$B$3:$B$102,MATCH($B1204,자원목록!$A$3:$A$102,0)),"미등록자원"))</f>
        <v/>
      </c>
      <c r="D1204" s="7"/>
      <c r="E1204" s="12" t="str">
        <f aca="false">IF($D1204="","",IFERROR(INDEX(고객목록!$B$3:$B$502,MATCH($D1204,고객목록!$A$3:$A$502,0)),""))</f>
        <v/>
      </c>
      <c r="F1204" s="13"/>
      <c r="G1204" s="13"/>
      <c r="H1204" s="14" t="str">
        <f aca="false">IF(OR($L1204="",$M1204=""),"",ROUND(($M1204-$L1204)/60,2))</f>
        <v/>
      </c>
      <c r="I1204" s="9"/>
      <c r="J1204" s="7"/>
      <c r="K1204" s="7"/>
      <c r="L1204" s="15" t="str">
        <f aca="false">IF($F1204="","",IF($F1204&lt;1,ROUND($F1204*1440,0),INT($F1204/100)*60+MOD($F1204,100)))</f>
        <v/>
      </c>
      <c r="M1204" s="15" t="str">
        <f aca="false">IF($G1204="","",IF($G1204&lt;1,ROUND($G1204*1440,0),INT($G1204/100)*60+MOD($G1204,100)))</f>
        <v/>
      </c>
      <c r="N1204" s="15" t="str">
        <f aca="false">IF(OR($A1204="",$B1204="",$L1204="",$M1204="",$J1204="취소"),"",IF(SUMPRODUCT(($A$3:$A$2002=$A1204)*($B$3:$B$2002=$B1204)*($J$3:$J$2002&lt;&gt;"취소")*($L$3:$L$2002&lt;&gt;"")*($M$3:$M$2002&lt;&gt;"")*($L$3:$L$2002&lt;$M1204)*($M$3:$M$2002&gt;$L1204))&gt;1,"중복","-"))</f>
        <v/>
      </c>
    </row>
    <row r="1205" customFormat="false" ht="15" hidden="false" customHeight="true" outlineLevel="0" collapsed="false">
      <c r="A1205" s="11"/>
      <c r="B1205" s="7"/>
      <c r="C1205" s="12" t="str">
        <f aca="false">IF($B1205="","",IFERROR(INDEX(자원목록!$B$3:$B$102,MATCH($B1205,자원목록!$A$3:$A$102,0)),"미등록자원"))</f>
        <v/>
      </c>
      <c r="D1205" s="7"/>
      <c r="E1205" s="12" t="str">
        <f aca="false">IF($D1205="","",IFERROR(INDEX(고객목록!$B$3:$B$502,MATCH($D1205,고객목록!$A$3:$A$502,0)),""))</f>
        <v/>
      </c>
      <c r="F1205" s="13"/>
      <c r="G1205" s="13"/>
      <c r="H1205" s="14" t="str">
        <f aca="false">IF(OR($L1205="",$M1205=""),"",ROUND(($M1205-$L1205)/60,2))</f>
        <v/>
      </c>
      <c r="I1205" s="9"/>
      <c r="J1205" s="7"/>
      <c r="K1205" s="7"/>
      <c r="L1205" s="15" t="str">
        <f aca="false">IF($F1205="","",IF($F1205&lt;1,ROUND($F1205*1440,0),INT($F1205/100)*60+MOD($F1205,100)))</f>
        <v/>
      </c>
      <c r="M1205" s="15" t="str">
        <f aca="false">IF($G1205="","",IF($G1205&lt;1,ROUND($G1205*1440,0),INT($G1205/100)*60+MOD($G1205,100)))</f>
        <v/>
      </c>
      <c r="N1205" s="15" t="str">
        <f aca="false">IF(OR($A1205="",$B1205="",$L1205="",$M1205="",$J1205="취소"),"",IF(SUMPRODUCT(($A$3:$A$2002=$A1205)*($B$3:$B$2002=$B1205)*($J$3:$J$2002&lt;&gt;"취소")*($L$3:$L$2002&lt;&gt;"")*($M$3:$M$2002&lt;&gt;"")*($L$3:$L$2002&lt;$M1205)*($M$3:$M$2002&gt;$L1205))&gt;1,"중복","-"))</f>
        <v/>
      </c>
    </row>
    <row r="1206" customFormat="false" ht="15" hidden="false" customHeight="true" outlineLevel="0" collapsed="false">
      <c r="A1206" s="11"/>
      <c r="B1206" s="7"/>
      <c r="C1206" s="12" t="str">
        <f aca="false">IF($B1206="","",IFERROR(INDEX(자원목록!$B$3:$B$102,MATCH($B1206,자원목록!$A$3:$A$102,0)),"미등록자원"))</f>
        <v/>
      </c>
      <c r="D1206" s="7"/>
      <c r="E1206" s="12" t="str">
        <f aca="false">IF($D1206="","",IFERROR(INDEX(고객목록!$B$3:$B$502,MATCH($D1206,고객목록!$A$3:$A$502,0)),""))</f>
        <v/>
      </c>
      <c r="F1206" s="13"/>
      <c r="G1206" s="13"/>
      <c r="H1206" s="14" t="str">
        <f aca="false">IF(OR($L1206="",$M1206=""),"",ROUND(($M1206-$L1206)/60,2))</f>
        <v/>
      </c>
      <c r="I1206" s="9"/>
      <c r="J1206" s="7"/>
      <c r="K1206" s="7"/>
      <c r="L1206" s="15" t="str">
        <f aca="false">IF($F1206="","",IF($F1206&lt;1,ROUND($F1206*1440,0),INT($F1206/100)*60+MOD($F1206,100)))</f>
        <v/>
      </c>
      <c r="M1206" s="15" t="str">
        <f aca="false">IF($G1206="","",IF($G1206&lt;1,ROUND($G1206*1440,0),INT($G1206/100)*60+MOD($G1206,100)))</f>
        <v/>
      </c>
      <c r="N1206" s="15" t="str">
        <f aca="false">IF(OR($A1206="",$B1206="",$L1206="",$M1206="",$J1206="취소"),"",IF(SUMPRODUCT(($A$3:$A$2002=$A1206)*($B$3:$B$2002=$B1206)*($J$3:$J$2002&lt;&gt;"취소")*($L$3:$L$2002&lt;&gt;"")*($M$3:$M$2002&lt;&gt;"")*($L$3:$L$2002&lt;$M1206)*($M$3:$M$2002&gt;$L1206))&gt;1,"중복","-"))</f>
        <v/>
      </c>
    </row>
    <row r="1207" customFormat="false" ht="15" hidden="false" customHeight="true" outlineLevel="0" collapsed="false">
      <c r="A1207" s="11"/>
      <c r="B1207" s="7"/>
      <c r="C1207" s="12" t="str">
        <f aca="false">IF($B1207="","",IFERROR(INDEX(자원목록!$B$3:$B$102,MATCH($B1207,자원목록!$A$3:$A$102,0)),"미등록자원"))</f>
        <v/>
      </c>
      <c r="D1207" s="7"/>
      <c r="E1207" s="12" t="str">
        <f aca="false">IF($D1207="","",IFERROR(INDEX(고객목록!$B$3:$B$502,MATCH($D1207,고객목록!$A$3:$A$502,0)),""))</f>
        <v/>
      </c>
      <c r="F1207" s="13"/>
      <c r="G1207" s="13"/>
      <c r="H1207" s="14" t="str">
        <f aca="false">IF(OR($L1207="",$M1207=""),"",ROUND(($M1207-$L1207)/60,2))</f>
        <v/>
      </c>
      <c r="I1207" s="9"/>
      <c r="J1207" s="7"/>
      <c r="K1207" s="7"/>
      <c r="L1207" s="15" t="str">
        <f aca="false">IF($F1207="","",IF($F1207&lt;1,ROUND($F1207*1440,0),INT($F1207/100)*60+MOD($F1207,100)))</f>
        <v/>
      </c>
      <c r="M1207" s="15" t="str">
        <f aca="false">IF($G1207="","",IF($G1207&lt;1,ROUND($G1207*1440,0),INT($G1207/100)*60+MOD($G1207,100)))</f>
        <v/>
      </c>
      <c r="N1207" s="15" t="str">
        <f aca="false">IF(OR($A1207="",$B1207="",$L1207="",$M1207="",$J1207="취소"),"",IF(SUMPRODUCT(($A$3:$A$2002=$A1207)*($B$3:$B$2002=$B1207)*($J$3:$J$2002&lt;&gt;"취소")*($L$3:$L$2002&lt;&gt;"")*($M$3:$M$2002&lt;&gt;"")*($L$3:$L$2002&lt;$M1207)*($M$3:$M$2002&gt;$L1207))&gt;1,"중복","-"))</f>
        <v/>
      </c>
    </row>
    <row r="1208" customFormat="false" ht="15" hidden="false" customHeight="true" outlineLevel="0" collapsed="false">
      <c r="A1208" s="11"/>
      <c r="B1208" s="7"/>
      <c r="C1208" s="12" t="str">
        <f aca="false">IF($B1208="","",IFERROR(INDEX(자원목록!$B$3:$B$102,MATCH($B1208,자원목록!$A$3:$A$102,0)),"미등록자원"))</f>
        <v/>
      </c>
      <c r="D1208" s="7"/>
      <c r="E1208" s="12" t="str">
        <f aca="false">IF($D1208="","",IFERROR(INDEX(고객목록!$B$3:$B$502,MATCH($D1208,고객목록!$A$3:$A$502,0)),""))</f>
        <v/>
      </c>
      <c r="F1208" s="13"/>
      <c r="G1208" s="13"/>
      <c r="H1208" s="14" t="str">
        <f aca="false">IF(OR($L1208="",$M1208=""),"",ROUND(($M1208-$L1208)/60,2))</f>
        <v/>
      </c>
      <c r="I1208" s="9"/>
      <c r="J1208" s="7"/>
      <c r="K1208" s="7"/>
      <c r="L1208" s="15" t="str">
        <f aca="false">IF($F1208="","",IF($F1208&lt;1,ROUND($F1208*1440,0),INT($F1208/100)*60+MOD($F1208,100)))</f>
        <v/>
      </c>
      <c r="M1208" s="15" t="str">
        <f aca="false">IF($G1208="","",IF($G1208&lt;1,ROUND($G1208*1440,0),INT($G1208/100)*60+MOD($G1208,100)))</f>
        <v/>
      </c>
      <c r="N1208" s="15" t="str">
        <f aca="false">IF(OR($A1208="",$B1208="",$L1208="",$M1208="",$J1208="취소"),"",IF(SUMPRODUCT(($A$3:$A$2002=$A1208)*($B$3:$B$2002=$B1208)*($J$3:$J$2002&lt;&gt;"취소")*($L$3:$L$2002&lt;&gt;"")*($M$3:$M$2002&lt;&gt;"")*($L$3:$L$2002&lt;$M1208)*($M$3:$M$2002&gt;$L1208))&gt;1,"중복","-"))</f>
        <v/>
      </c>
    </row>
    <row r="1209" customFormat="false" ht="15" hidden="false" customHeight="true" outlineLevel="0" collapsed="false">
      <c r="A1209" s="11"/>
      <c r="B1209" s="7"/>
      <c r="C1209" s="12" t="str">
        <f aca="false">IF($B1209="","",IFERROR(INDEX(자원목록!$B$3:$B$102,MATCH($B1209,자원목록!$A$3:$A$102,0)),"미등록자원"))</f>
        <v/>
      </c>
      <c r="D1209" s="7"/>
      <c r="E1209" s="12" t="str">
        <f aca="false">IF($D1209="","",IFERROR(INDEX(고객목록!$B$3:$B$502,MATCH($D1209,고객목록!$A$3:$A$502,0)),""))</f>
        <v/>
      </c>
      <c r="F1209" s="13"/>
      <c r="G1209" s="13"/>
      <c r="H1209" s="14" t="str">
        <f aca="false">IF(OR($L1209="",$M1209=""),"",ROUND(($M1209-$L1209)/60,2))</f>
        <v/>
      </c>
      <c r="I1209" s="9"/>
      <c r="J1209" s="7"/>
      <c r="K1209" s="7"/>
      <c r="L1209" s="15" t="str">
        <f aca="false">IF($F1209="","",IF($F1209&lt;1,ROUND($F1209*1440,0),INT($F1209/100)*60+MOD($F1209,100)))</f>
        <v/>
      </c>
      <c r="M1209" s="15" t="str">
        <f aca="false">IF($G1209="","",IF($G1209&lt;1,ROUND($G1209*1440,0),INT($G1209/100)*60+MOD($G1209,100)))</f>
        <v/>
      </c>
      <c r="N1209" s="15" t="str">
        <f aca="false">IF(OR($A1209="",$B1209="",$L1209="",$M1209="",$J1209="취소"),"",IF(SUMPRODUCT(($A$3:$A$2002=$A1209)*($B$3:$B$2002=$B1209)*($J$3:$J$2002&lt;&gt;"취소")*($L$3:$L$2002&lt;&gt;"")*($M$3:$M$2002&lt;&gt;"")*($L$3:$L$2002&lt;$M1209)*($M$3:$M$2002&gt;$L1209))&gt;1,"중복","-"))</f>
        <v/>
      </c>
    </row>
    <row r="1210" customFormat="false" ht="15" hidden="false" customHeight="true" outlineLevel="0" collapsed="false">
      <c r="A1210" s="11"/>
      <c r="B1210" s="7"/>
      <c r="C1210" s="12" t="str">
        <f aca="false">IF($B1210="","",IFERROR(INDEX(자원목록!$B$3:$B$102,MATCH($B1210,자원목록!$A$3:$A$102,0)),"미등록자원"))</f>
        <v/>
      </c>
      <c r="D1210" s="7"/>
      <c r="E1210" s="12" t="str">
        <f aca="false">IF($D1210="","",IFERROR(INDEX(고객목록!$B$3:$B$502,MATCH($D1210,고객목록!$A$3:$A$502,0)),""))</f>
        <v/>
      </c>
      <c r="F1210" s="13"/>
      <c r="G1210" s="13"/>
      <c r="H1210" s="14" t="str">
        <f aca="false">IF(OR($L1210="",$M1210=""),"",ROUND(($M1210-$L1210)/60,2))</f>
        <v/>
      </c>
      <c r="I1210" s="9"/>
      <c r="J1210" s="7"/>
      <c r="K1210" s="7"/>
      <c r="L1210" s="15" t="str">
        <f aca="false">IF($F1210="","",IF($F1210&lt;1,ROUND($F1210*1440,0),INT($F1210/100)*60+MOD($F1210,100)))</f>
        <v/>
      </c>
      <c r="M1210" s="15" t="str">
        <f aca="false">IF($G1210="","",IF($G1210&lt;1,ROUND($G1210*1440,0),INT($G1210/100)*60+MOD($G1210,100)))</f>
        <v/>
      </c>
      <c r="N1210" s="15" t="str">
        <f aca="false">IF(OR($A1210="",$B1210="",$L1210="",$M1210="",$J1210="취소"),"",IF(SUMPRODUCT(($A$3:$A$2002=$A1210)*($B$3:$B$2002=$B1210)*($J$3:$J$2002&lt;&gt;"취소")*($L$3:$L$2002&lt;&gt;"")*($M$3:$M$2002&lt;&gt;"")*($L$3:$L$2002&lt;$M1210)*($M$3:$M$2002&gt;$L1210))&gt;1,"중복","-"))</f>
        <v/>
      </c>
    </row>
    <row r="1211" customFormat="false" ht="15" hidden="false" customHeight="true" outlineLevel="0" collapsed="false">
      <c r="A1211" s="11"/>
      <c r="B1211" s="7"/>
      <c r="C1211" s="12" t="str">
        <f aca="false">IF($B1211="","",IFERROR(INDEX(자원목록!$B$3:$B$102,MATCH($B1211,자원목록!$A$3:$A$102,0)),"미등록자원"))</f>
        <v/>
      </c>
      <c r="D1211" s="7"/>
      <c r="E1211" s="12" t="str">
        <f aca="false">IF($D1211="","",IFERROR(INDEX(고객목록!$B$3:$B$502,MATCH($D1211,고객목록!$A$3:$A$502,0)),""))</f>
        <v/>
      </c>
      <c r="F1211" s="13"/>
      <c r="G1211" s="13"/>
      <c r="H1211" s="14" t="str">
        <f aca="false">IF(OR($L1211="",$M1211=""),"",ROUND(($M1211-$L1211)/60,2))</f>
        <v/>
      </c>
      <c r="I1211" s="9"/>
      <c r="J1211" s="7"/>
      <c r="K1211" s="7"/>
      <c r="L1211" s="15" t="str">
        <f aca="false">IF($F1211="","",IF($F1211&lt;1,ROUND($F1211*1440,0),INT($F1211/100)*60+MOD($F1211,100)))</f>
        <v/>
      </c>
      <c r="M1211" s="15" t="str">
        <f aca="false">IF($G1211="","",IF($G1211&lt;1,ROUND($G1211*1440,0),INT($G1211/100)*60+MOD($G1211,100)))</f>
        <v/>
      </c>
      <c r="N1211" s="15" t="str">
        <f aca="false">IF(OR($A1211="",$B1211="",$L1211="",$M1211="",$J1211="취소"),"",IF(SUMPRODUCT(($A$3:$A$2002=$A1211)*($B$3:$B$2002=$B1211)*($J$3:$J$2002&lt;&gt;"취소")*($L$3:$L$2002&lt;&gt;"")*($M$3:$M$2002&lt;&gt;"")*($L$3:$L$2002&lt;$M1211)*($M$3:$M$2002&gt;$L1211))&gt;1,"중복","-"))</f>
        <v/>
      </c>
    </row>
    <row r="1212" customFormat="false" ht="15" hidden="false" customHeight="true" outlineLevel="0" collapsed="false">
      <c r="A1212" s="11"/>
      <c r="B1212" s="7"/>
      <c r="C1212" s="12" t="str">
        <f aca="false">IF($B1212="","",IFERROR(INDEX(자원목록!$B$3:$B$102,MATCH($B1212,자원목록!$A$3:$A$102,0)),"미등록자원"))</f>
        <v/>
      </c>
      <c r="D1212" s="7"/>
      <c r="E1212" s="12" t="str">
        <f aca="false">IF($D1212="","",IFERROR(INDEX(고객목록!$B$3:$B$502,MATCH($D1212,고객목록!$A$3:$A$502,0)),""))</f>
        <v/>
      </c>
      <c r="F1212" s="13"/>
      <c r="G1212" s="13"/>
      <c r="H1212" s="14" t="str">
        <f aca="false">IF(OR($L1212="",$M1212=""),"",ROUND(($M1212-$L1212)/60,2))</f>
        <v/>
      </c>
      <c r="I1212" s="9"/>
      <c r="J1212" s="7"/>
      <c r="K1212" s="7"/>
      <c r="L1212" s="15" t="str">
        <f aca="false">IF($F1212="","",IF($F1212&lt;1,ROUND($F1212*1440,0),INT($F1212/100)*60+MOD($F1212,100)))</f>
        <v/>
      </c>
      <c r="M1212" s="15" t="str">
        <f aca="false">IF($G1212="","",IF($G1212&lt;1,ROUND($G1212*1440,0),INT($G1212/100)*60+MOD($G1212,100)))</f>
        <v/>
      </c>
      <c r="N1212" s="15" t="str">
        <f aca="false">IF(OR($A1212="",$B1212="",$L1212="",$M1212="",$J1212="취소"),"",IF(SUMPRODUCT(($A$3:$A$2002=$A1212)*($B$3:$B$2002=$B1212)*($J$3:$J$2002&lt;&gt;"취소")*($L$3:$L$2002&lt;&gt;"")*($M$3:$M$2002&lt;&gt;"")*($L$3:$L$2002&lt;$M1212)*($M$3:$M$2002&gt;$L1212))&gt;1,"중복","-"))</f>
        <v/>
      </c>
    </row>
    <row r="1213" customFormat="false" ht="15" hidden="false" customHeight="true" outlineLevel="0" collapsed="false">
      <c r="A1213" s="11"/>
      <c r="B1213" s="7"/>
      <c r="C1213" s="12" t="str">
        <f aca="false">IF($B1213="","",IFERROR(INDEX(자원목록!$B$3:$B$102,MATCH($B1213,자원목록!$A$3:$A$102,0)),"미등록자원"))</f>
        <v/>
      </c>
      <c r="D1213" s="7"/>
      <c r="E1213" s="12" t="str">
        <f aca="false">IF($D1213="","",IFERROR(INDEX(고객목록!$B$3:$B$502,MATCH($D1213,고객목록!$A$3:$A$502,0)),""))</f>
        <v/>
      </c>
      <c r="F1213" s="13"/>
      <c r="G1213" s="13"/>
      <c r="H1213" s="14" t="str">
        <f aca="false">IF(OR($L1213="",$M1213=""),"",ROUND(($M1213-$L1213)/60,2))</f>
        <v/>
      </c>
      <c r="I1213" s="9"/>
      <c r="J1213" s="7"/>
      <c r="K1213" s="7"/>
      <c r="L1213" s="15" t="str">
        <f aca="false">IF($F1213="","",IF($F1213&lt;1,ROUND($F1213*1440,0),INT($F1213/100)*60+MOD($F1213,100)))</f>
        <v/>
      </c>
      <c r="M1213" s="15" t="str">
        <f aca="false">IF($G1213="","",IF($G1213&lt;1,ROUND($G1213*1440,0),INT($G1213/100)*60+MOD($G1213,100)))</f>
        <v/>
      </c>
      <c r="N1213" s="15" t="str">
        <f aca="false">IF(OR($A1213="",$B1213="",$L1213="",$M1213="",$J1213="취소"),"",IF(SUMPRODUCT(($A$3:$A$2002=$A1213)*($B$3:$B$2002=$B1213)*($J$3:$J$2002&lt;&gt;"취소")*($L$3:$L$2002&lt;&gt;"")*($M$3:$M$2002&lt;&gt;"")*($L$3:$L$2002&lt;$M1213)*($M$3:$M$2002&gt;$L1213))&gt;1,"중복","-"))</f>
        <v/>
      </c>
    </row>
    <row r="1214" customFormat="false" ht="15" hidden="false" customHeight="true" outlineLevel="0" collapsed="false">
      <c r="A1214" s="11"/>
      <c r="B1214" s="7"/>
      <c r="C1214" s="12" t="str">
        <f aca="false">IF($B1214="","",IFERROR(INDEX(자원목록!$B$3:$B$102,MATCH($B1214,자원목록!$A$3:$A$102,0)),"미등록자원"))</f>
        <v/>
      </c>
      <c r="D1214" s="7"/>
      <c r="E1214" s="12" t="str">
        <f aca="false">IF($D1214="","",IFERROR(INDEX(고객목록!$B$3:$B$502,MATCH($D1214,고객목록!$A$3:$A$502,0)),""))</f>
        <v/>
      </c>
      <c r="F1214" s="13"/>
      <c r="G1214" s="13"/>
      <c r="H1214" s="14" t="str">
        <f aca="false">IF(OR($L1214="",$M1214=""),"",ROUND(($M1214-$L1214)/60,2))</f>
        <v/>
      </c>
      <c r="I1214" s="9"/>
      <c r="J1214" s="7"/>
      <c r="K1214" s="7"/>
      <c r="L1214" s="15" t="str">
        <f aca="false">IF($F1214="","",IF($F1214&lt;1,ROUND($F1214*1440,0),INT($F1214/100)*60+MOD($F1214,100)))</f>
        <v/>
      </c>
      <c r="M1214" s="15" t="str">
        <f aca="false">IF($G1214="","",IF($G1214&lt;1,ROUND($G1214*1440,0),INT($G1214/100)*60+MOD($G1214,100)))</f>
        <v/>
      </c>
      <c r="N1214" s="15" t="str">
        <f aca="false">IF(OR($A1214="",$B1214="",$L1214="",$M1214="",$J1214="취소"),"",IF(SUMPRODUCT(($A$3:$A$2002=$A1214)*($B$3:$B$2002=$B1214)*($J$3:$J$2002&lt;&gt;"취소")*($L$3:$L$2002&lt;&gt;"")*($M$3:$M$2002&lt;&gt;"")*($L$3:$L$2002&lt;$M1214)*($M$3:$M$2002&gt;$L1214))&gt;1,"중복","-"))</f>
        <v/>
      </c>
    </row>
    <row r="1215" customFormat="false" ht="15" hidden="false" customHeight="true" outlineLevel="0" collapsed="false">
      <c r="A1215" s="11"/>
      <c r="B1215" s="7"/>
      <c r="C1215" s="12" t="str">
        <f aca="false">IF($B1215="","",IFERROR(INDEX(자원목록!$B$3:$B$102,MATCH($B1215,자원목록!$A$3:$A$102,0)),"미등록자원"))</f>
        <v/>
      </c>
      <c r="D1215" s="7"/>
      <c r="E1215" s="12" t="str">
        <f aca="false">IF($D1215="","",IFERROR(INDEX(고객목록!$B$3:$B$502,MATCH($D1215,고객목록!$A$3:$A$502,0)),""))</f>
        <v/>
      </c>
      <c r="F1215" s="13"/>
      <c r="G1215" s="13"/>
      <c r="H1215" s="14" t="str">
        <f aca="false">IF(OR($L1215="",$M1215=""),"",ROUND(($M1215-$L1215)/60,2))</f>
        <v/>
      </c>
      <c r="I1215" s="9"/>
      <c r="J1215" s="7"/>
      <c r="K1215" s="7"/>
      <c r="L1215" s="15" t="str">
        <f aca="false">IF($F1215="","",IF($F1215&lt;1,ROUND($F1215*1440,0),INT($F1215/100)*60+MOD($F1215,100)))</f>
        <v/>
      </c>
      <c r="M1215" s="15" t="str">
        <f aca="false">IF($G1215="","",IF($G1215&lt;1,ROUND($G1215*1440,0),INT($G1215/100)*60+MOD($G1215,100)))</f>
        <v/>
      </c>
      <c r="N1215" s="15" t="str">
        <f aca="false">IF(OR($A1215="",$B1215="",$L1215="",$M1215="",$J1215="취소"),"",IF(SUMPRODUCT(($A$3:$A$2002=$A1215)*($B$3:$B$2002=$B1215)*($J$3:$J$2002&lt;&gt;"취소")*($L$3:$L$2002&lt;&gt;"")*($M$3:$M$2002&lt;&gt;"")*($L$3:$L$2002&lt;$M1215)*($M$3:$M$2002&gt;$L1215))&gt;1,"중복","-"))</f>
        <v/>
      </c>
    </row>
    <row r="1216" customFormat="false" ht="15" hidden="false" customHeight="true" outlineLevel="0" collapsed="false">
      <c r="A1216" s="11"/>
      <c r="B1216" s="7"/>
      <c r="C1216" s="12" t="str">
        <f aca="false">IF($B1216="","",IFERROR(INDEX(자원목록!$B$3:$B$102,MATCH($B1216,자원목록!$A$3:$A$102,0)),"미등록자원"))</f>
        <v/>
      </c>
      <c r="D1216" s="7"/>
      <c r="E1216" s="12" t="str">
        <f aca="false">IF($D1216="","",IFERROR(INDEX(고객목록!$B$3:$B$502,MATCH($D1216,고객목록!$A$3:$A$502,0)),""))</f>
        <v/>
      </c>
      <c r="F1216" s="13"/>
      <c r="G1216" s="13"/>
      <c r="H1216" s="14" t="str">
        <f aca="false">IF(OR($L1216="",$M1216=""),"",ROUND(($M1216-$L1216)/60,2))</f>
        <v/>
      </c>
      <c r="I1216" s="9"/>
      <c r="J1216" s="7"/>
      <c r="K1216" s="7"/>
      <c r="L1216" s="15" t="str">
        <f aca="false">IF($F1216="","",IF($F1216&lt;1,ROUND($F1216*1440,0),INT($F1216/100)*60+MOD($F1216,100)))</f>
        <v/>
      </c>
      <c r="M1216" s="15" t="str">
        <f aca="false">IF($G1216="","",IF($G1216&lt;1,ROUND($G1216*1440,0),INT($G1216/100)*60+MOD($G1216,100)))</f>
        <v/>
      </c>
      <c r="N1216" s="15" t="str">
        <f aca="false">IF(OR($A1216="",$B1216="",$L1216="",$M1216="",$J1216="취소"),"",IF(SUMPRODUCT(($A$3:$A$2002=$A1216)*($B$3:$B$2002=$B1216)*($J$3:$J$2002&lt;&gt;"취소")*($L$3:$L$2002&lt;&gt;"")*($M$3:$M$2002&lt;&gt;"")*($L$3:$L$2002&lt;$M1216)*($M$3:$M$2002&gt;$L1216))&gt;1,"중복","-"))</f>
        <v/>
      </c>
    </row>
    <row r="1217" customFormat="false" ht="15" hidden="false" customHeight="true" outlineLevel="0" collapsed="false">
      <c r="A1217" s="11"/>
      <c r="B1217" s="7"/>
      <c r="C1217" s="12" t="str">
        <f aca="false">IF($B1217="","",IFERROR(INDEX(자원목록!$B$3:$B$102,MATCH($B1217,자원목록!$A$3:$A$102,0)),"미등록자원"))</f>
        <v/>
      </c>
      <c r="D1217" s="7"/>
      <c r="E1217" s="12" t="str">
        <f aca="false">IF($D1217="","",IFERROR(INDEX(고객목록!$B$3:$B$502,MATCH($D1217,고객목록!$A$3:$A$502,0)),""))</f>
        <v/>
      </c>
      <c r="F1217" s="13"/>
      <c r="G1217" s="13"/>
      <c r="H1217" s="14" t="str">
        <f aca="false">IF(OR($L1217="",$M1217=""),"",ROUND(($M1217-$L1217)/60,2))</f>
        <v/>
      </c>
      <c r="I1217" s="9"/>
      <c r="J1217" s="7"/>
      <c r="K1217" s="7"/>
      <c r="L1217" s="15" t="str">
        <f aca="false">IF($F1217="","",IF($F1217&lt;1,ROUND($F1217*1440,0),INT($F1217/100)*60+MOD($F1217,100)))</f>
        <v/>
      </c>
      <c r="M1217" s="15" t="str">
        <f aca="false">IF($G1217="","",IF($G1217&lt;1,ROUND($G1217*1440,0),INT($G1217/100)*60+MOD($G1217,100)))</f>
        <v/>
      </c>
      <c r="N1217" s="15" t="str">
        <f aca="false">IF(OR($A1217="",$B1217="",$L1217="",$M1217="",$J1217="취소"),"",IF(SUMPRODUCT(($A$3:$A$2002=$A1217)*($B$3:$B$2002=$B1217)*($J$3:$J$2002&lt;&gt;"취소")*($L$3:$L$2002&lt;&gt;"")*($M$3:$M$2002&lt;&gt;"")*($L$3:$L$2002&lt;$M1217)*($M$3:$M$2002&gt;$L1217))&gt;1,"중복","-"))</f>
        <v/>
      </c>
    </row>
    <row r="1218" customFormat="false" ht="15" hidden="false" customHeight="true" outlineLevel="0" collapsed="false">
      <c r="A1218" s="11"/>
      <c r="B1218" s="7"/>
      <c r="C1218" s="12" t="str">
        <f aca="false">IF($B1218="","",IFERROR(INDEX(자원목록!$B$3:$B$102,MATCH($B1218,자원목록!$A$3:$A$102,0)),"미등록자원"))</f>
        <v/>
      </c>
      <c r="D1218" s="7"/>
      <c r="E1218" s="12" t="str">
        <f aca="false">IF($D1218="","",IFERROR(INDEX(고객목록!$B$3:$B$502,MATCH($D1218,고객목록!$A$3:$A$502,0)),""))</f>
        <v/>
      </c>
      <c r="F1218" s="13"/>
      <c r="G1218" s="13"/>
      <c r="H1218" s="14" t="str">
        <f aca="false">IF(OR($L1218="",$M1218=""),"",ROUND(($M1218-$L1218)/60,2))</f>
        <v/>
      </c>
      <c r="I1218" s="9"/>
      <c r="J1218" s="7"/>
      <c r="K1218" s="7"/>
      <c r="L1218" s="15" t="str">
        <f aca="false">IF($F1218="","",IF($F1218&lt;1,ROUND($F1218*1440,0),INT($F1218/100)*60+MOD($F1218,100)))</f>
        <v/>
      </c>
      <c r="M1218" s="15" t="str">
        <f aca="false">IF($G1218="","",IF($G1218&lt;1,ROUND($G1218*1440,0),INT($G1218/100)*60+MOD($G1218,100)))</f>
        <v/>
      </c>
      <c r="N1218" s="15" t="str">
        <f aca="false">IF(OR($A1218="",$B1218="",$L1218="",$M1218="",$J1218="취소"),"",IF(SUMPRODUCT(($A$3:$A$2002=$A1218)*($B$3:$B$2002=$B1218)*($J$3:$J$2002&lt;&gt;"취소")*($L$3:$L$2002&lt;&gt;"")*($M$3:$M$2002&lt;&gt;"")*($L$3:$L$2002&lt;$M1218)*($M$3:$M$2002&gt;$L1218))&gt;1,"중복","-"))</f>
        <v/>
      </c>
    </row>
    <row r="1219" customFormat="false" ht="15" hidden="false" customHeight="true" outlineLevel="0" collapsed="false">
      <c r="A1219" s="11"/>
      <c r="B1219" s="7"/>
      <c r="C1219" s="12" t="str">
        <f aca="false">IF($B1219="","",IFERROR(INDEX(자원목록!$B$3:$B$102,MATCH($B1219,자원목록!$A$3:$A$102,0)),"미등록자원"))</f>
        <v/>
      </c>
      <c r="D1219" s="7"/>
      <c r="E1219" s="12" t="str">
        <f aca="false">IF($D1219="","",IFERROR(INDEX(고객목록!$B$3:$B$502,MATCH($D1219,고객목록!$A$3:$A$502,0)),""))</f>
        <v/>
      </c>
      <c r="F1219" s="13"/>
      <c r="G1219" s="13"/>
      <c r="H1219" s="14" t="str">
        <f aca="false">IF(OR($L1219="",$M1219=""),"",ROUND(($M1219-$L1219)/60,2))</f>
        <v/>
      </c>
      <c r="I1219" s="9"/>
      <c r="J1219" s="7"/>
      <c r="K1219" s="7"/>
      <c r="L1219" s="15" t="str">
        <f aca="false">IF($F1219="","",IF($F1219&lt;1,ROUND($F1219*1440,0),INT($F1219/100)*60+MOD($F1219,100)))</f>
        <v/>
      </c>
      <c r="M1219" s="15" t="str">
        <f aca="false">IF($G1219="","",IF($G1219&lt;1,ROUND($G1219*1440,0),INT($G1219/100)*60+MOD($G1219,100)))</f>
        <v/>
      </c>
      <c r="N1219" s="15" t="str">
        <f aca="false">IF(OR($A1219="",$B1219="",$L1219="",$M1219="",$J1219="취소"),"",IF(SUMPRODUCT(($A$3:$A$2002=$A1219)*($B$3:$B$2002=$B1219)*($J$3:$J$2002&lt;&gt;"취소")*($L$3:$L$2002&lt;&gt;"")*($M$3:$M$2002&lt;&gt;"")*($L$3:$L$2002&lt;$M1219)*($M$3:$M$2002&gt;$L1219))&gt;1,"중복","-"))</f>
        <v/>
      </c>
    </row>
    <row r="1220" customFormat="false" ht="15" hidden="false" customHeight="true" outlineLevel="0" collapsed="false">
      <c r="A1220" s="11"/>
      <c r="B1220" s="7"/>
      <c r="C1220" s="12" t="str">
        <f aca="false">IF($B1220="","",IFERROR(INDEX(자원목록!$B$3:$B$102,MATCH($B1220,자원목록!$A$3:$A$102,0)),"미등록자원"))</f>
        <v/>
      </c>
      <c r="D1220" s="7"/>
      <c r="E1220" s="12" t="str">
        <f aca="false">IF($D1220="","",IFERROR(INDEX(고객목록!$B$3:$B$502,MATCH($D1220,고객목록!$A$3:$A$502,0)),""))</f>
        <v/>
      </c>
      <c r="F1220" s="13"/>
      <c r="G1220" s="13"/>
      <c r="H1220" s="14" t="str">
        <f aca="false">IF(OR($L1220="",$M1220=""),"",ROUND(($M1220-$L1220)/60,2))</f>
        <v/>
      </c>
      <c r="I1220" s="9"/>
      <c r="J1220" s="7"/>
      <c r="K1220" s="7"/>
      <c r="L1220" s="15" t="str">
        <f aca="false">IF($F1220="","",IF($F1220&lt;1,ROUND($F1220*1440,0),INT($F1220/100)*60+MOD($F1220,100)))</f>
        <v/>
      </c>
      <c r="M1220" s="15" t="str">
        <f aca="false">IF($G1220="","",IF($G1220&lt;1,ROUND($G1220*1440,0),INT($G1220/100)*60+MOD($G1220,100)))</f>
        <v/>
      </c>
      <c r="N1220" s="15" t="str">
        <f aca="false">IF(OR($A1220="",$B1220="",$L1220="",$M1220="",$J1220="취소"),"",IF(SUMPRODUCT(($A$3:$A$2002=$A1220)*($B$3:$B$2002=$B1220)*($J$3:$J$2002&lt;&gt;"취소")*($L$3:$L$2002&lt;&gt;"")*($M$3:$M$2002&lt;&gt;"")*($L$3:$L$2002&lt;$M1220)*($M$3:$M$2002&gt;$L1220))&gt;1,"중복","-"))</f>
        <v/>
      </c>
    </row>
    <row r="1221" customFormat="false" ht="15" hidden="false" customHeight="true" outlineLevel="0" collapsed="false">
      <c r="A1221" s="11"/>
      <c r="B1221" s="7"/>
      <c r="C1221" s="12" t="str">
        <f aca="false">IF($B1221="","",IFERROR(INDEX(자원목록!$B$3:$B$102,MATCH($B1221,자원목록!$A$3:$A$102,0)),"미등록자원"))</f>
        <v/>
      </c>
      <c r="D1221" s="7"/>
      <c r="E1221" s="12" t="str">
        <f aca="false">IF($D1221="","",IFERROR(INDEX(고객목록!$B$3:$B$502,MATCH($D1221,고객목록!$A$3:$A$502,0)),""))</f>
        <v/>
      </c>
      <c r="F1221" s="13"/>
      <c r="G1221" s="13"/>
      <c r="H1221" s="14" t="str">
        <f aca="false">IF(OR($L1221="",$M1221=""),"",ROUND(($M1221-$L1221)/60,2))</f>
        <v/>
      </c>
      <c r="I1221" s="9"/>
      <c r="J1221" s="7"/>
      <c r="K1221" s="7"/>
      <c r="L1221" s="15" t="str">
        <f aca="false">IF($F1221="","",IF($F1221&lt;1,ROUND($F1221*1440,0),INT($F1221/100)*60+MOD($F1221,100)))</f>
        <v/>
      </c>
      <c r="M1221" s="15" t="str">
        <f aca="false">IF($G1221="","",IF($G1221&lt;1,ROUND($G1221*1440,0),INT($G1221/100)*60+MOD($G1221,100)))</f>
        <v/>
      </c>
      <c r="N1221" s="15" t="str">
        <f aca="false">IF(OR($A1221="",$B1221="",$L1221="",$M1221="",$J1221="취소"),"",IF(SUMPRODUCT(($A$3:$A$2002=$A1221)*($B$3:$B$2002=$B1221)*($J$3:$J$2002&lt;&gt;"취소")*($L$3:$L$2002&lt;&gt;"")*($M$3:$M$2002&lt;&gt;"")*($L$3:$L$2002&lt;$M1221)*($M$3:$M$2002&gt;$L1221))&gt;1,"중복","-"))</f>
        <v/>
      </c>
    </row>
    <row r="1222" customFormat="false" ht="15" hidden="false" customHeight="true" outlineLevel="0" collapsed="false">
      <c r="A1222" s="11"/>
      <c r="B1222" s="7"/>
      <c r="C1222" s="12" t="str">
        <f aca="false">IF($B1222="","",IFERROR(INDEX(자원목록!$B$3:$B$102,MATCH($B1222,자원목록!$A$3:$A$102,0)),"미등록자원"))</f>
        <v/>
      </c>
      <c r="D1222" s="7"/>
      <c r="E1222" s="12" t="str">
        <f aca="false">IF($D1222="","",IFERROR(INDEX(고객목록!$B$3:$B$502,MATCH($D1222,고객목록!$A$3:$A$502,0)),""))</f>
        <v/>
      </c>
      <c r="F1222" s="13"/>
      <c r="G1222" s="13"/>
      <c r="H1222" s="14" t="str">
        <f aca="false">IF(OR($L1222="",$M1222=""),"",ROUND(($M1222-$L1222)/60,2))</f>
        <v/>
      </c>
      <c r="I1222" s="9"/>
      <c r="J1222" s="7"/>
      <c r="K1222" s="7"/>
      <c r="L1222" s="15" t="str">
        <f aca="false">IF($F1222="","",IF($F1222&lt;1,ROUND($F1222*1440,0),INT($F1222/100)*60+MOD($F1222,100)))</f>
        <v/>
      </c>
      <c r="M1222" s="15" t="str">
        <f aca="false">IF($G1222="","",IF($G1222&lt;1,ROUND($G1222*1440,0),INT($G1222/100)*60+MOD($G1222,100)))</f>
        <v/>
      </c>
      <c r="N1222" s="15" t="str">
        <f aca="false">IF(OR($A1222="",$B1222="",$L1222="",$M1222="",$J1222="취소"),"",IF(SUMPRODUCT(($A$3:$A$2002=$A1222)*($B$3:$B$2002=$B1222)*($J$3:$J$2002&lt;&gt;"취소")*($L$3:$L$2002&lt;&gt;"")*($M$3:$M$2002&lt;&gt;"")*($L$3:$L$2002&lt;$M1222)*($M$3:$M$2002&gt;$L1222))&gt;1,"중복","-"))</f>
        <v/>
      </c>
    </row>
    <row r="1223" customFormat="false" ht="15" hidden="false" customHeight="true" outlineLevel="0" collapsed="false">
      <c r="A1223" s="11"/>
      <c r="B1223" s="7"/>
      <c r="C1223" s="12" t="str">
        <f aca="false">IF($B1223="","",IFERROR(INDEX(자원목록!$B$3:$B$102,MATCH($B1223,자원목록!$A$3:$A$102,0)),"미등록자원"))</f>
        <v/>
      </c>
      <c r="D1223" s="7"/>
      <c r="E1223" s="12" t="str">
        <f aca="false">IF($D1223="","",IFERROR(INDEX(고객목록!$B$3:$B$502,MATCH($D1223,고객목록!$A$3:$A$502,0)),""))</f>
        <v/>
      </c>
      <c r="F1223" s="13"/>
      <c r="G1223" s="13"/>
      <c r="H1223" s="14" t="str">
        <f aca="false">IF(OR($L1223="",$M1223=""),"",ROUND(($M1223-$L1223)/60,2))</f>
        <v/>
      </c>
      <c r="I1223" s="9"/>
      <c r="J1223" s="7"/>
      <c r="K1223" s="7"/>
      <c r="L1223" s="15" t="str">
        <f aca="false">IF($F1223="","",IF($F1223&lt;1,ROUND($F1223*1440,0),INT($F1223/100)*60+MOD($F1223,100)))</f>
        <v/>
      </c>
      <c r="M1223" s="15" t="str">
        <f aca="false">IF($G1223="","",IF($G1223&lt;1,ROUND($G1223*1440,0),INT($G1223/100)*60+MOD($G1223,100)))</f>
        <v/>
      </c>
      <c r="N1223" s="15" t="str">
        <f aca="false">IF(OR($A1223="",$B1223="",$L1223="",$M1223="",$J1223="취소"),"",IF(SUMPRODUCT(($A$3:$A$2002=$A1223)*($B$3:$B$2002=$B1223)*($J$3:$J$2002&lt;&gt;"취소")*($L$3:$L$2002&lt;&gt;"")*($M$3:$M$2002&lt;&gt;"")*($L$3:$L$2002&lt;$M1223)*($M$3:$M$2002&gt;$L1223))&gt;1,"중복","-"))</f>
        <v/>
      </c>
    </row>
    <row r="1224" customFormat="false" ht="15" hidden="false" customHeight="true" outlineLevel="0" collapsed="false">
      <c r="A1224" s="11"/>
      <c r="B1224" s="7"/>
      <c r="C1224" s="12" t="str">
        <f aca="false">IF($B1224="","",IFERROR(INDEX(자원목록!$B$3:$B$102,MATCH($B1224,자원목록!$A$3:$A$102,0)),"미등록자원"))</f>
        <v/>
      </c>
      <c r="D1224" s="7"/>
      <c r="E1224" s="12" t="str">
        <f aca="false">IF($D1224="","",IFERROR(INDEX(고객목록!$B$3:$B$502,MATCH($D1224,고객목록!$A$3:$A$502,0)),""))</f>
        <v/>
      </c>
      <c r="F1224" s="13"/>
      <c r="G1224" s="13"/>
      <c r="H1224" s="14" t="str">
        <f aca="false">IF(OR($L1224="",$M1224=""),"",ROUND(($M1224-$L1224)/60,2))</f>
        <v/>
      </c>
      <c r="I1224" s="9"/>
      <c r="J1224" s="7"/>
      <c r="K1224" s="7"/>
      <c r="L1224" s="15" t="str">
        <f aca="false">IF($F1224="","",IF($F1224&lt;1,ROUND($F1224*1440,0),INT($F1224/100)*60+MOD($F1224,100)))</f>
        <v/>
      </c>
      <c r="M1224" s="15" t="str">
        <f aca="false">IF($G1224="","",IF($G1224&lt;1,ROUND($G1224*1440,0),INT($G1224/100)*60+MOD($G1224,100)))</f>
        <v/>
      </c>
      <c r="N1224" s="15" t="str">
        <f aca="false">IF(OR($A1224="",$B1224="",$L1224="",$M1224="",$J1224="취소"),"",IF(SUMPRODUCT(($A$3:$A$2002=$A1224)*($B$3:$B$2002=$B1224)*($J$3:$J$2002&lt;&gt;"취소")*($L$3:$L$2002&lt;&gt;"")*($M$3:$M$2002&lt;&gt;"")*($L$3:$L$2002&lt;$M1224)*($M$3:$M$2002&gt;$L1224))&gt;1,"중복","-"))</f>
        <v/>
      </c>
    </row>
    <row r="1225" customFormat="false" ht="15" hidden="false" customHeight="true" outlineLevel="0" collapsed="false">
      <c r="A1225" s="11"/>
      <c r="B1225" s="7"/>
      <c r="C1225" s="12" t="str">
        <f aca="false">IF($B1225="","",IFERROR(INDEX(자원목록!$B$3:$B$102,MATCH($B1225,자원목록!$A$3:$A$102,0)),"미등록자원"))</f>
        <v/>
      </c>
      <c r="D1225" s="7"/>
      <c r="E1225" s="12" t="str">
        <f aca="false">IF($D1225="","",IFERROR(INDEX(고객목록!$B$3:$B$502,MATCH($D1225,고객목록!$A$3:$A$502,0)),""))</f>
        <v/>
      </c>
      <c r="F1225" s="13"/>
      <c r="G1225" s="13"/>
      <c r="H1225" s="14" t="str">
        <f aca="false">IF(OR($L1225="",$M1225=""),"",ROUND(($M1225-$L1225)/60,2))</f>
        <v/>
      </c>
      <c r="I1225" s="9"/>
      <c r="J1225" s="7"/>
      <c r="K1225" s="7"/>
      <c r="L1225" s="15" t="str">
        <f aca="false">IF($F1225="","",IF($F1225&lt;1,ROUND($F1225*1440,0),INT($F1225/100)*60+MOD($F1225,100)))</f>
        <v/>
      </c>
      <c r="M1225" s="15" t="str">
        <f aca="false">IF($G1225="","",IF($G1225&lt;1,ROUND($G1225*1440,0),INT($G1225/100)*60+MOD($G1225,100)))</f>
        <v/>
      </c>
      <c r="N1225" s="15" t="str">
        <f aca="false">IF(OR($A1225="",$B1225="",$L1225="",$M1225="",$J1225="취소"),"",IF(SUMPRODUCT(($A$3:$A$2002=$A1225)*($B$3:$B$2002=$B1225)*($J$3:$J$2002&lt;&gt;"취소")*($L$3:$L$2002&lt;&gt;"")*($M$3:$M$2002&lt;&gt;"")*($L$3:$L$2002&lt;$M1225)*($M$3:$M$2002&gt;$L1225))&gt;1,"중복","-"))</f>
        <v/>
      </c>
    </row>
    <row r="1226" customFormat="false" ht="15" hidden="false" customHeight="true" outlineLevel="0" collapsed="false">
      <c r="A1226" s="11"/>
      <c r="B1226" s="7"/>
      <c r="C1226" s="12" t="str">
        <f aca="false">IF($B1226="","",IFERROR(INDEX(자원목록!$B$3:$B$102,MATCH($B1226,자원목록!$A$3:$A$102,0)),"미등록자원"))</f>
        <v/>
      </c>
      <c r="D1226" s="7"/>
      <c r="E1226" s="12" t="str">
        <f aca="false">IF($D1226="","",IFERROR(INDEX(고객목록!$B$3:$B$502,MATCH($D1226,고객목록!$A$3:$A$502,0)),""))</f>
        <v/>
      </c>
      <c r="F1226" s="13"/>
      <c r="G1226" s="13"/>
      <c r="H1226" s="14" t="str">
        <f aca="false">IF(OR($L1226="",$M1226=""),"",ROUND(($M1226-$L1226)/60,2))</f>
        <v/>
      </c>
      <c r="I1226" s="9"/>
      <c r="J1226" s="7"/>
      <c r="K1226" s="7"/>
      <c r="L1226" s="15" t="str">
        <f aca="false">IF($F1226="","",IF($F1226&lt;1,ROUND($F1226*1440,0),INT($F1226/100)*60+MOD($F1226,100)))</f>
        <v/>
      </c>
      <c r="M1226" s="15" t="str">
        <f aca="false">IF($G1226="","",IF($G1226&lt;1,ROUND($G1226*1440,0),INT($G1226/100)*60+MOD($G1226,100)))</f>
        <v/>
      </c>
      <c r="N1226" s="15" t="str">
        <f aca="false">IF(OR($A1226="",$B1226="",$L1226="",$M1226="",$J1226="취소"),"",IF(SUMPRODUCT(($A$3:$A$2002=$A1226)*($B$3:$B$2002=$B1226)*($J$3:$J$2002&lt;&gt;"취소")*($L$3:$L$2002&lt;&gt;"")*($M$3:$M$2002&lt;&gt;"")*($L$3:$L$2002&lt;$M1226)*($M$3:$M$2002&gt;$L1226))&gt;1,"중복","-"))</f>
        <v/>
      </c>
    </row>
    <row r="1227" customFormat="false" ht="15" hidden="false" customHeight="true" outlineLevel="0" collapsed="false">
      <c r="A1227" s="11"/>
      <c r="B1227" s="7"/>
      <c r="C1227" s="12" t="str">
        <f aca="false">IF($B1227="","",IFERROR(INDEX(자원목록!$B$3:$B$102,MATCH($B1227,자원목록!$A$3:$A$102,0)),"미등록자원"))</f>
        <v/>
      </c>
      <c r="D1227" s="7"/>
      <c r="E1227" s="12" t="str">
        <f aca="false">IF($D1227="","",IFERROR(INDEX(고객목록!$B$3:$B$502,MATCH($D1227,고객목록!$A$3:$A$502,0)),""))</f>
        <v/>
      </c>
      <c r="F1227" s="13"/>
      <c r="G1227" s="13"/>
      <c r="H1227" s="14" t="str">
        <f aca="false">IF(OR($L1227="",$M1227=""),"",ROUND(($M1227-$L1227)/60,2))</f>
        <v/>
      </c>
      <c r="I1227" s="9"/>
      <c r="J1227" s="7"/>
      <c r="K1227" s="7"/>
      <c r="L1227" s="15" t="str">
        <f aca="false">IF($F1227="","",IF($F1227&lt;1,ROUND($F1227*1440,0),INT($F1227/100)*60+MOD($F1227,100)))</f>
        <v/>
      </c>
      <c r="M1227" s="15" t="str">
        <f aca="false">IF($G1227="","",IF($G1227&lt;1,ROUND($G1227*1440,0),INT($G1227/100)*60+MOD($G1227,100)))</f>
        <v/>
      </c>
      <c r="N1227" s="15" t="str">
        <f aca="false">IF(OR($A1227="",$B1227="",$L1227="",$M1227="",$J1227="취소"),"",IF(SUMPRODUCT(($A$3:$A$2002=$A1227)*($B$3:$B$2002=$B1227)*($J$3:$J$2002&lt;&gt;"취소")*($L$3:$L$2002&lt;&gt;"")*($M$3:$M$2002&lt;&gt;"")*($L$3:$L$2002&lt;$M1227)*($M$3:$M$2002&gt;$L1227))&gt;1,"중복","-"))</f>
        <v/>
      </c>
    </row>
    <row r="1228" customFormat="false" ht="15" hidden="false" customHeight="true" outlineLevel="0" collapsed="false">
      <c r="A1228" s="11"/>
      <c r="B1228" s="7"/>
      <c r="C1228" s="12" t="str">
        <f aca="false">IF($B1228="","",IFERROR(INDEX(자원목록!$B$3:$B$102,MATCH($B1228,자원목록!$A$3:$A$102,0)),"미등록자원"))</f>
        <v/>
      </c>
      <c r="D1228" s="7"/>
      <c r="E1228" s="12" t="str">
        <f aca="false">IF($D1228="","",IFERROR(INDEX(고객목록!$B$3:$B$502,MATCH($D1228,고객목록!$A$3:$A$502,0)),""))</f>
        <v/>
      </c>
      <c r="F1228" s="13"/>
      <c r="G1228" s="13"/>
      <c r="H1228" s="14" t="str">
        <f aca="false">IF(OR($L1228="",$M1228=""),"",ROUND(($M1228-$L1228)/60,2))</f>
        <v/>
      </c>
      <c r="I1228" s="9"/>
      <c r="J1228" s="7"/>
      <c r="K1228" s="7"/>
      <c r="L1228" s="15" t="str">
        <f aca="false">IF($F1228="","",IF($F1228&lt;1,ROUND($F1228*1440,0),INT($F1228/100)*60+MOD($F1228,100)))</f>
        <v/>
      </c>
      <c r="M1228" s="15" t="str">
        <f aca="false">IF($G1228="","",IF($G1228&lt;1,ROUND($G1228*1440,0),INT($G1228/100)*60+MOD($G1228,100)))</f>
        <v/>
      </c>
      <c r="N1228" s="15" t="str">
        <f aca="false">IF(OR($A1228="",$B1228="",$L1228="",$M1228="",$J1228="취소"),"",IF(SUMPRODUCT(($A$3:$A$2002=$A1228)*($B$3:$B$2002=$B1228)*($J$3:$J$2002&lt;&gt;"취소")*($L$3:$L$2002&lt;&gt;"")*($M$3:$M$2002&lt;&gt;"")*($L$3:$L$2002&lt;$M1228)*($M$3:$M$2002&gt;$L1228))&gt;1,"중복","-"))</f>
        <v/>
      </c>
    </row>
    <row r="1229" customFormat="false" ht="15" hidden="false" customHeight="true" outlineLevel="0" collapsed="false">
      <c r="A1229" s="11"/>
      <c r="B1229" s="7"/>
      <c r="C1229" s="12" t="str">
        <f aca="false">IF($B1229="","",IFERROR(INDEX(자원목록!$B$3:$B$102,MATCH($B1229,자원목록!$A$3:$A$102,0)),"미등록자원"))</f>
        <v/>
      </c>
      <c r="D1229" s="7"/>
      <c r="E1229" s="12" t="str">
        <f aca="false">IF($D1229="","",IFERROR(INDEX(고객목록!$B$3:$B$502,MATCH($D1229,고객목록!$A$3:$A$502,0)),""))</f>
        <v/>
      </c>
      <c r="F1229" s="13"/>
      <c r="G1229" s="13"/>
      <c r="H1229" s="14" t="str">
        <f aca="false">IF(OR($L1229="",$M1229=""),"",ROUND(($M1229-$L1229)/60,2))</f>
        <v/>
      </c>
      <c r="I1229" s="9"/>
      <c r="J1229" s="7"/>
      <c r="K1229" s="7"/>
      <c r="L1229" s="15" t="str">
        <f aca="false">IF($F1229="","",IF($F1229&lt;1,ROUND($F1229*1440,0),INT($F1229/100)*60+MOD($F1229,100)))</f>
        <v/>
      </c>
      <c r="M1229" s="15" t="str">
        <f aca="false">IF($G1229="","",IF($G1229&lt;1,ROUND($G1229*1440,0),INT($G1229/100)*60+MOD($G1229,100)))</f>
        <v/>
      </c>
      <c r="N1229" s="15" t="str">
        <f aca="false">IF(OR($A1229="",$B1229="",$L1229="",$M1229="",$J1229="취소"),"",IF(SUMPRODUCT(($A$3:$A$2002=$A1229)*($B$3:$B$2002=$B1229)*($J$3:$J$2002&lt;&gt;"취소")*($L$3:$L$2002&lt;&gt;"")*($M$3:$M$2002&lt;&gt;"")*($L$3:$L$2002&lt;$M1229)*($M$3:$M$2002&gt;$L1229))&gt;1,"중복","-"))</f>
        <v/>
      </c>
    </row>
    <row r="1230" customFormat="false" ht="15" hidden="false" customHeight="true" outlineLevel="0" collapsed="false">
      <c r="A1230" s="11"/>
      <c r="B1230" s="7"/>
      <c r="C1230" s="12" t="str">
        <f aca="false">IF($B1230="","",IFERROR(INDEX(자원목록!$B$3:$B$102,MATCH($B1230,자원목록!$A$3:$A$102,0)),"미등록자원"))</f>
        <v/>
      </c>
      <c r="D1230" s="7"/>
      <c r="E1230" s="12" t="str">
        <f aca="false">IF($D1230="","",IFERROR(INDEX(고객목록!$B$3:$B$502,MATCH($D1230,고객목록!$A$3:$A$502,0)),""))</f>
        <v/>
      </c>
      <c r="F1230" s="13"/>
      <c r="G1230" s="13"/>
      <c r="H1230" s="14" t="str">
        <f aca="false">IF(OR($L1230="",$M1230=""),"",ROUND(($M1230-$L1230)/60,2))</f>
        <v/>
      </c>
      <c r="I1230" s="9"/>
      <c r="J1230" s="7"/>
      <c r="K1230" s="7"/>
      <c r="L1230" s="15" t="str">
        <f aca="false">IF($F1230="","",IF($F1230&lt;1,ROUND($F1230*1440,0),INT($F1230/100)*60+MOD($F1230,100)))</f>
        <v/>
      </c>
      <c r="M1230" s="15" t="str">
        <f aca="false">IF($G1230="","",IF($G1230&lt;1,ROUND($G1230*1440,0),INT($G1230/100)*60+MOD($G1230,100)))</f>
        <v/>
      </c>
      <c r="N1230" s="15" t="str">
        <f aca="false">IF(OR($A1230="",$B1230="",$L1230="",$M1230="",$J1230="취소"),"",IF(SUMPRODUCT(($A$3:$A$2002=$A1230)*($B$3:$B$2002=$B1230)*($J$3:$J$2002&lt;&gt;"취소")*($L$3:$L$2002&lt;&gt;"")*($M$3:$M$2002&lt;&gt;"")*($L$3:$L$2002&lt;$M1230)*($M$3:$M$2002&gt;$L1230))&gt;1,"중복","-"))</f>
        <v/>
      </c>
    </row>
    <row r="1231" customFormat="false" ht="15" hidden="false" customHeight="true" outlineLevel="0" collapsed="false">
      <c r="A1231" s="11"/>
      <c r="B1231" s="7"/>
      <c r="C1231" s="12" t="str">
        <f aca="false">IF($B1231="","",IFERROR(INDEX(자원목록!$B$3:$B$102,MATCH($B1231,자원목록!$A$3:$A$102,0)),"미등록자원"))</f>
        <v/>
      </c>
      <c r="D1231" s="7"/>
      <c r="E1231" s="12" t="str">
        <f aca="false">IF($D1231="","",IFERROR(INDEX(고객목록!$B$3:$B$502,MATCH($D1231,고객목록!$A$3:$A$502,0)),""))</f>
        <v/>
      </c>
      <c r="F1231" s="13"/>
      <c r="G1231" s="13"/>
      <c r="H1231" s="14" t="str">
        <f aca="false">IF(OR($L1231="",$M1231=""),"",ROUND(($M1231-$L1231)/60,2))</f>
        <v/>
      </c>
      <c r="I1231" s="9"/>
      <c r="J1231" s="7"/>
      <c r="K1231" s="7"/>
      <c r="L1231" s="15" t="str">
        <f aca="false">IF($F1231="","",IF($F1231&lt;1,ROUND($F1231*1440,0),INT($F1231/100)*60+MOD($F1231,100)))</f>
        <v/>
      </c>
      <c r="M1231" s="15" t="str">
        <f aca="false">IF($G1231="","",IF($G1231&lt;1,ROUND($G1231*1440,0),INT($G1231/100)*60+MOD($G1231,100)))</f>
        <v/>
      </c>
      <c r="N1231" s="15" t="str">
        <f aca="false">IF(OR($A1231="",$B1231="",$L1231="",$M1231="",$J1231="취소"),"",IF(SUMPRODUCT(($A$3:$A$2002=$A1231)*($B$3:$B$2002=$B1231)*($J$3:$J$2002&lt;&gt;"취소")*($L$3:$L$2002&lt;&gt;"")*($M$3:$M$2002&lt;&gt;"")*($L$3:$L$2002&lt;$M1231)*($M$3:$M$2002&gt;$L1231))&gt;1,"중복","-"))</f>
        <v/>
      </c>
    </row>
    <row r="1232" customFormat="false" ht="15" hidden="false" customHeight="true" outlineLevel="0" collapsed="false">
      <c r="A1232" s="11"/>
      <c r="B1232" s="7"/>
      <c r="C1232" s="12" t="str">
        <f aca="false">IF($B1232="","",IFERROR(INDEX(자원목록!$B$3:$B$102,MATCH($B1232,자원목록!$A$3:$A$102,0)),"미등록자원"))</f>
        <v/>
      </c>
      <c r="D1232" s="7"/>
      <c r="E1232" s="12" t="str">
        <f aca="false">IF($D1232="","",IFERROR(INDEX(고객목록!$B$3:$B$502,MATCH($D1232,고객목록!$A$3:$A$502,0)),""))</f>
        <v/>
      </c>
      <c r="F1232" s="13"/>
      <c r="G1232" s="13"/>
      <c r="H1232" s="14" t="str">
        <f aca="false">IF(OR($L1232="",$M1232=""),"",ROUND(($M1232-$L1232)/60,2))</f>
        <v/>
      </c>
      <c r="I1232" s="9"/>
      <c r="J1232" s="7"/>
      <c r="K1232" s="7"/>
      <c r="L1232" s="15" t="str">
        <f aca="false">IF($F1232="","",IF($F1232&lt;1,ROUND($F1232*1440,0),INT($F1232/100)*60+MOD($F1232,100)))</f>
        <v/>
      </c>
      <c r="M1232" s="15" t="str">
        <f aca="false">IF($G1232="","",IF($G1232&lt;1,ROUND($G1232*1440,0),INT($G1232/100)*60+MOD($G1232,100)))</f>
        <v/>
      </c>
      <c r="N1232" s="15" t="str">
        <f aca="false">IF(OR($A1232="",$B1232="",$L1232="",$M1232="",$J1232="취소"),"",IF(SUMPRODUCT(($A$3:$A$2002=$A1232)*($B$3:$B$2002=$B1232)*($J$3:$J$2002&lt;&gt;"취소")*($L$3:$L$2002&lt;&gt;"")*($M$3:$M$2002&lt;&gt;"")*($L$3:$L$2002&lt;$M1232)*($M$3:$M$2002&gt;$L1232))&gt;1,"중복","-"))</f>
        <v/>
      </c>
    </row>
    <row r="1233" customFormat="false" ht="15" hidden="false" customHeight="true" outlineLevel="0" collapsed="false">
      <c r="A1233" s="11"/>
      <c r="B1233" s="7"/>
      <c r="C1233" s="12" t="str">
        <f aca="false">IF($B1233="","",IFERROR(INDEX(자원목록!$B$3:$B$102,MATCH($B1233,자원목록!$A$3:$A$102,0)),"미등록자원"))</f>
        <v/>
      </c>
      <c r="D1233" s="7"/>
      <c r="E1233" s="12" t="str">
        <f aca="false">IF($D1233="","",IFERROR(INDEX(고객목록!$B$3:$B$502,MATCH($D1233,고객목록!$A$3:$A$502,0)),""))</f>
        <v/>
      </c>
      <c r="F1233" s="13"/>
      <c r="G1233" s="13"/>
      <c r="H1233" s="14" t="str">
        <f aca="false">IF(OR($L1233="",$M1233=""),"",ROUND(($M1233-$L1233)/60,2))</f>
        <v/>
      </c>
      <c r="I1233" s="9"/>
      <c r="J1233" s="7"/>
      <c r="K1233" s="7"/>
      <c r="L1233" s="15" t="str">
        <f aca="false">IF($F1233="","",IF($F1233&lt;1,ROUND($F1233*1440,0),INT($F1233/100)*60+MOD($F1233,100)))</f>
        <v/>
      </c>
      <c r="M1233" s="15" t="str">
        <f aca="false">IF($G1233="","",IF($G1233&lt;1,ROUND($G1233*1440,0),INT($G1233/100)*60+MOD($G1233,100)))</f>
        <v/>
      </c>
      <c r="N1233" s="15" t="str">
        <f aca="false">IF(OR($A1233="",$B1233="",$L1233="",$M1233="",$J1233="취소"),"",IF(SUMPRODUCT(($A$3:$A$2002=$A1233)*($B$3:$B$2002=$B1233)*($J$3:$J$2002&lt;&gt;"취소")*($L$3:$L$2002&lt;&gt;"")*($M$3:$M$2002&lt;&gt;"")*($L$3:$L$2002&lt;$M1233)*($M$3:$M$2002&gt;$L1233))&gt;1,"중복","-"))</f>
        <v/>
      </c>
    </row>
    <row r="1234" customFormat="false" ht="15" hidden="false" customHeight="true" outlineLevel="0" collapsed="false">
      <c r="A1234" s="11"/>
      <c r="B1234" s="7"/>
      <c r="C1234" s="12" t="str">
        <f aca="false">IF($B1234="","",IFERROR(INDEX(자원목록!$B$3:$B$102,MATCH($B1234,자원목록!$A$3:$A$102,0)),"미등록자원"))</f>
        <v/>
      </c>
      <c r="D1234" s="7"/>
      <c r="E1234" s="12" t="str">
        <f aca="false">IF($D1234="","",IFERROR(INDEX(고객목록!$B$3:$B$502,MATCH($D1234,고객목록!$A$3:$A$502,0)),""))</f>
        <v/>
      </c>
      <c r="F1234" s="13"/>
      <c r="G1234" s="13"/>
      <c r="H1234" s="14" t="str">
        <f aca="false">IF(OR($L1234="",$M1234=""),"",ROUND(($M1234-$L1234)/60,2))</f>
        <v/>
      </c>
      <c r="I1234" s="9"/>
      <c r="J1234" s="7"/>
      <c r="K1234" s="7"/>
      <c r="L1234" s="15" t="str">
        <f aca="false">IF($F1234="","",IF($F1234&lt;1,ROUND($F1234*1440,0),INT($F1234/100)*60+MOD($F1234,100)))</f>
        <v/>
      </c>
      <c r="M1234" s="15" t="str">
        <f aca="false">IF($G1234="","",IF($G1234&lt;1,ROUND($G1234*1440,0),INT($G1234/100)*60+MOD($G1234,100)))</f>
        <v/>
      </c>
      <c r="N1234" s="15" t="str">
        <f aca="false">IF(OR($A1234="",$B1234="",$L1234="",$M1234="",$J1234="취소"),"",IF(SUMPRODUCT(($A$3:$A$2002=$A1234)*($B$3:$B$2002=$B1234)*($J$3:$J$2002&lt;&gt;"취소")*($L$3:$L$2002&lt;&gt;"")*($M$3:$M$2002&lt;&gt;"")*($L$3:$L$2002&lt;$M1234)*($M$3:$M$2002&gt;$L1234))&gt;1,"중복","-"))</f>
        <v/>
      </c>
    </row>
    <row r="1235" customFormat="false" ht="15" hidden="false" customHeight="true" outlineLevel="0" collapsed="false">
      <c r="A1235" s="11"/>
      <c r="B1235" s="7"/>
      <c r="C1235" s="12" t="str">
        <f aca="false">IF($B1235="","",IFERROR(INDEX(자원목록!$B$3:$B$102,MATCH($B1235,자원목록!$A$3:$A$102,0)),"미등록자원"))</f>
        <v/>
      </c>
      <c r="D1235" s="7"/>
      <c r="E1235" s="12" t="str">
        <f aca="false">IF($D1235="","",IFERROR(INDEX(고객목록!$B$3:$B$502,MATCH($D1235,고객목록!$A$3:$A$502,0)),""))</f>
        <v/>
      </c>
      <c r="F1235" s="13"/>
      <c r="G1235" s="13"/>
      <c r="H1235" s="14" t="str">
        <f aca="false">IF(OR($L1235="",$M1235=""),"",ROUND(($M1235-$L1235)/60,2))</f>
        <v/>
      </c>
      <c r="I1235" s="9"/>
      <c r="J1235" s="7"/>
      <c r="K1235" s="7"/>
      <c r="L1235" s="15" t="str">
        <f aca="false">IF($F1235="","",IF($F1235&lt;1,ROUND($F1235*1440,0),INT($F1235/100)*60+MOD($F1235,100)))</f>
        <v/>
      </c>
      <c r="M1235" s="15" t="str">
        <f aca="false">IF($G1235="","",IF($G1235&lt;1,ROUND($G1235*1440,0),INT($G1235/100)*60+MOD($G1235,100)))</f>
        <v/>
      </c>
      <c r="N1235" s="15" t="str">
        <f aca="false">IF(OR($A1235="",$B1235="",$L1235="",$M1235="",$J1235="취소"),"",IF(SUMPRODUCT(($A$3:$A$2002=$A1235)*($B$3:$B$2002=$B1235)*($J$3:$J$2002&lt;&gt;"취소")*($L$3:$L$2002&lt;&gt;"")*($M$3:$M$2002&lt;&gt;"")*($L$3:$L$2002&lt;$M1235)*($M$3:$M$2002&gt;$L1235))&gt;1,"중복","-"))</f>
        <v/>
      </c>
    </row>
    <row r="1236" customFormat="false" ht="15" hidden="false" customHeight="true" outlineLevel="0" collapsed="false">
      <c r="A1236" s="11"/>
      <c r="B1236" s="7"/>
      <c r="C1236" s="12" t="str">
        <f aca="false">IF($B1236="","",IFERROR(INDEX(자원목록!$B$3:$B$102,MATCH($B1236,자원목록!$A$3:$A$102,0)),"미등록자원"))</f>
        <v/>
      </c>
      <c r="D1236" s="7"/>
      <c r="E1236" s="12" t="str">
        <f aca="false">IF($D1236="","",IFERROR(INDEX(고객목록!$B$3:$B$502,MATCH($D1236,고객목록!$A$3:$A$502,0)),""))</f>
        <v/>
      </c>
      <c r="F1236" s="13"/>
      <c r="G1236" s="13"/>
      <c r="H1236" s="14" t="str">
        <f aca="false">IF(OR($L1236="",$M1236=""),"",ROUND(($M1236-$L1236)/60,2))</f>
        <v/>
      </c>
      <c r="I1236" s="9"/>
      <c r="J1236" s="7"/>
      <c r="K1236" s="7"/>
      <c r="L1236" s="15" t="str">
        <f aca="false">IF($F1236="","",IF($F1236&lt;1,ROUND($F1236*1440,0),INT($F1236/100)*60+MOD($F1236,100)))</f>
        <v/>
      </c>
      <c r="M1236" s="15" t="str">
        <f aca="false">IF($G1236="","",IF($G1236&lt;1,ROUND($G1236*1440,0),INT($G1236/100)*60+MOD($G1236,100)))</f>
        <v/>
      </c>
      <c r="N1236" s="15" t="str">
        <f aca="false">IF(OR($A1236="",$B1236="",$L1236="",$M1236="",$J1236="취소"),"",IF(SUMPRODUCT(($A$3:$A$2002=$A1236)*($B$3:$B$2002=$B1236)*($J$3:$J$2002&lt;&gt;"취소")*($L$3:$L$2002&lt;&gt;"")*($M$3:$M$2002&lt;&gt;"")*($L$3:$L$2002&lt;$M1236)*($M$3:$M$2002&gt;$L1236))&gt;1,"중복","-"))</f>
        <v/>
      </c>
    </row>
    <row r="1237" customFormat="false" ht="15" hidden="false" customHeight="true" outlineLevel="0" collapsed="false">
      <c r="A1237" s="11"/>
      <c r="B1237" s="7"/>
      <c r="C1237" s="12" t="str">
        <f aca="false">IF($B1237="","",IFERROR(INDEX(자원목록!$B$3:$B$102,MATCH($B1237,자원목록!$A$3:$A$102,0)),"미등록자원"))</f>
        <v/>
      </c>
      <c r="D1237" s="7"/>
      <c r="E1237" s="12" t="str">
        <f aca="false">IF($D1237="","",IFERROR(INDEX(고객목록!$B$3:$B$502,MATCH($D1237,고객목록!$A$3:$A$502,0)),""))</f>
        <v/>
      </c>
      <c r="F1237" s="13"/>
      <c r="G1237" s="13"/>
      <c r="H1237" s="14" t="str">
        <f aca="false">IF(OR($L1237="",$M1237=""),"",ROUND(($M1237-$L1237)/60,2))</f>
        <v/>
      </c>
      <c r="I1237" s="9"/>
      <c r="J1237" s="7"/>
      <c r="K1237" s="7"/>
      <c r="L1237" s="15" t="str">
        <f aca="false">IF($F1237="","",IF($F1237&lt;1,ROUND($F1237*1440,0),INT($F1237/100)*60+MOD($F1237,100)))</f>
        <v/>
      </c>
      <c r="M1237" s="15" t="str">
        <f aca="false">IF($G1237="","",IF($G1237&lt;1,ROUND($G1237*1440,0),INT($G1237/100)*60+MOD($G1237,100)))</f>
        <v/>
      </c>
      <c r="N1237" s="15" t="str">
        <f aca="false">IF(OR($A1237="",$B1237="",$L1237="",$M1237="",$J1237="취소"),"",IF(SUMPRODUCT(($A$3:$A$2002=$A1237)*($B$3:$B$2002=$B1237)*($J$3:$J$2002&lt;&gt;"취소")*($L$3:$L$2002&lt;&gt;"")*($M$3:$M$2002&lt;&gt;"")*($L$3:$L$2002&lt;$M1237)*($M$3:$M$2002&gt;$L1237))&gt;1,"중복","-"))</f>
        <v/>
      </c>
    </row>
    <row r="1238" customFormat="false" ht="15" hidden="false" customHeight="true" outlineLevel="0" collapsed="false">
      <c r="A1238" s="11"/>
      <c r="B1238" s="7"/>
      <c r="C1238" s="12" t="str">
        <f aca="false">IF($B1238="","",IFERROR(INDEX(자원목록!$B$3:$B$102,MATCH($B1238,자원목록!$A$3:$A$102,0)),"미등록자원"))</f>
        <v/>
      </c>
      <c r="D1238" s="7"/>
      <c r="E1238" s="12" t="str">
        <f aca="false">IF($D1238="","",IFERROR(INDEX(고객목록!$B$3:$B$502,MATCH($D1238,고객목록!$A$3:$A$502,0)),""))</f>
        <v/>
      </c>
      <c r="F1238" s="13"/>
      <c r="G1238" s="13"/>
      <c r="H1238" s="14" t="str">
        <f aca="false">IF(OR($L1238="",$M1238=""),"",ROUND(($M1238-$L1238)/60,2))</f>
        <v/>
      </c>
      <c r="I1238" s="9"/>
      <c r="J1238" s="7"/>
      <c r="K1238" s="7"/>
      <c r="L1238" s="15" t="str">
        <f aca="false">IF($F1238="","",IF($F1238&lt;1,ROUND($F1238*1440,0),INT($F1238/100)*60+MOD($F1238,100)))</f>
        <v/>
      </c>
      <c r="M1238" s="15" t="str">
        <f aca="false">IF($G1238="","",IF($G1238&lt;1,ROUND($G1238*1440,0),INT($G1238/100)*60+MOD($G1238,100)))</f>
        <v/>
      </c>
      <c r="N1238" s="15" t="str">
        <f aca="false">IF(OR($A1238="",$B1238="",$L1238="",$M1238="",$J1238="취소"),"",IF(SUMPRODUCT(($A$3:$A$2002=$A1238)*($B$3:$B$2002=$B1238)*($J$3:$J$2002&lt;&gt;"취소")*($L$3:$L$2002&lt;&gt;"")*($M$3:$M$2002&lt;&gt;"")*($L$3:$L$2002&lt;$M1238)*($M$3:$M$2002&gt;$L1238))&gt;1,"중복","-"))</f>
        <v/>
      </c>
    </row>
    <row r="1239" customFormat="false" ht="15" hidden="false" customHeight="true" outlineLevel="0" collapsed="false">
      <c r="A1239" s="11"/>
      <c r="B1239" s="7"/>
      <c r="C1239" s="12" t="str">
        <f aca="false">IF($B1239="","",IFERROR(INDEX(자원목록!$B$3:$B$102,MATCH($B1239,자원목록!$A$3:$A$102,0)),"미등록자원"))</f>
        <v/>
      </c>
      <c r="D1239" s="7"/>
      <c r="E1239" s="12" t="str">
        <f aca="false">IF($D1239="","",IFERROR(INDEX(고객목록!$B$3:$B$502,MATCH($D1239,고객목록!$A$3:$A$502,0)),""))</f>
        <v/>
      </c>
      <c r="F1239" s="13"/>
      <c r="G1239" s="13"/>
      <c r="H1239" s="14" t="str">
        <f aca="false">IF(OR($L1239="",$M1239=""),"",ROUND(($M1239-$L1239)/60,2))</f>
        <v/>
      </c>
      <c r="I1239" s="9"/>
      <c r="J1239" s="7"/>
      <c r="K1239" s="7"/>
      <c r="L1239" s="15" t="str">
        <f aca="false">IF($F1239="","",IF($F1239&lt;1,ROUND($F1239*1440,0),INT($F1239/100)*60+MOD($F1239,100)))</f>
        <v/>
      </c>
      <c r="M1239" s="15" t="str">
        <f aca="false">IF($G1239="","",IF($G1239&lt;1,ROUND($G1239*1440,0),INT($G1239/100)*60+MOD($G1239,100)))</f>
        <v/>
      </c>
      <c r="N1239" s="15" t="str">
        <f aca="false">IF(OR($A1239="",$B1239="",$L1239="",$M1239="",$J1239="취소"),"",IF(SUMPRODUCT(($A$3:$A$2002=$A1239)*($B$3:$B$2002=$B1239)*($J$3:$J$2002&lt;&gt;"취소")*($L$3:$L$2002&lt;&gt;"")*($M$3:$M$2002&lt;&gt;"")*($L$3:$L$2002&lt;$M1239)*($M$3:$M$2002&gt;$L1239))&gt;1,"중복","-"))</f>
        <v/>
      </c>
    </row>
    <row r="1240" customFormat="false" ht="15" hidden="false" customHeight="true" outlineLevel="0" collapsed="false">
      <c r="A1240" s="11"/>
      <c r="B1240" s="7"/>
      <c r="C1240" s="12" t="str">
        <f aca="false">IF($B1240="","",IFERROR(INDEX(자원목록!$B$3:$B$102,MATCH($B1240,자원목록!$A$3:$A$102,0)),"미등록자원"))</f>
        <v/>
      </c>
      <c r="D1240" s="7"/>
      <c r="E1240" s="12" t="str">
        <f aca="false">IF($D1240="","",IFERROR(INDEX(고객목록!$B$3:$B$502,MATCH($D1240,고객목록!$A$3:$A$502,0)),""))</f>
        <v/>
      </c>
      <c r="F1240" s="13"/>
      <c r="G1240" s="13"/>
      <c r="H1240" s="14" t="str">
        <f aca="false">IF(OR($L1240="",$M1240=""),"",ROUND(($M1240-$L1240)/60,2))</f>
        <v/>
      </c>
      <c r="I1240" s="9"/>
      <c r="J1240" s="7"/>
      <c r="K1240" s="7"/>
      <c r="L1240" s="15" t="str">
        <f aca="false">IF($F1240="","",IF($F1240&lt;1,ROUND($F1240*1440,0),INT($F1240/100)*60+MOD($F1240,100)))</f>
        <v/>
      </c>
      <c r="M1240" s="15" t="str">
        <f aca="false">IF($G1240="","",IF($G1240&lt;1,ROUND($G1240*1440,0),INT($G1240/100)*60+MOD($G1240,100)))</f>
        <v/>
      </c>
      <c r="N1240" s="15" t="str">
        <f aca="false">IF(OR($A1240="",$B1240="",$L1240="",$M1240="",$J1240="취소"),"",IF(SUMPRODUCT(($A$3:$A$2002=$A1240)*($B$3:$B$2002=$B1240)*($J$3:$J$2002&lt;&gt;"취소")*($L$3:$L$2002&lt;&gt;"")*($M$3:$M$2002&lt;&gt;"")*($L$3:$L$2002&lt;$M1240)*($M$3:$M$2002&gt;$L1240))&gt;1,"중복","-"))</f>
        <v/>
      </c>
    </row>
    <row r="1241" customFormat="false" ht="15" hidden="false" customHeight="true" outlineLevel="0" collapsed="false">
      <c r="A1241" s="11"/>
      <c r="B1241" s="7"/>
      <c r="C1241" s="12" t="str">
        <f aca="false">IF($B1241="","",IFERROR(INDEX(자원목록!$B$3:$B$102,MATCH($B1241,자원목록!$A$3:$A$102,0)),"미등록자원"))</f>
        <v/>
      </c>
      <c r="D1241" s="7"/>
      <c r="E1241" s="12" t="str">
        <f aca="false">IF($D1241="","",IFERROR(INDEX(고객목록!$B$3:$B$502,MATCH($D1241,고객목록!$A$3:$A$502,0)),""))</f>
        <v/>
      </c>
      <c r="F1241" s="13"/>
      <c r="G1241" s="13"/>
      <c r="H1241" s="14" t="str">
        <f aca="false">IF(OR($L1241="",$M1241=""),"",ROUND(($M1241-$L1241)/60,2))</f>
        <v/>
      </c>
      <c r="I1241" s="9"/>
      <c r="J1241" s="7"/>
      <c r="K1241" s="7"/>
      <c r="L1241" s="15" t="str">
        <f aca="false">IF($F1241="","",IF($F1241&lt;1,ROUND($F1241*1440,0),INT($F1241/100)*60+MOD($F1241,100)))</f>
        <v/>
      </c>
      <c r="M1241" s="15" t="str">
        <f aca="false">IF($G1241="","",IF($G1241&lt;1,ROUND($G1241*1440,0),INT($G1241/100)*60+MOD($G1241,100)))</f>
        <v/>
      </c>
      <c r="N1241" s="15" t="str">
        <f aca="false">IF(OR($A1241="",$B1241="",$L1241="",$M1241="",$J1241="취소"),"",IF(SUMPRODUCT(($A$3:$A$2002=$A1241)*($B$3:$B$2002=$B1241)*($J$3:$J$2002&lt;&gt;"취소")*($L$3:$L$2002&lt;&gt;"")*($M$3:$M$2002&lt;&gt;"")*($L$3:$L$2002&lt;$M1241)*($M$3:$M$2002&gt;$L1241))&gt;1,"중복","-"))</f>
        <v/>
      </c>
    </row>
    <row r="1242" customFormat="false" ht="15" hidden="false" customHeight="true" outlineLevel="0" collapsed="false">
      <c r="A1242" s="11"/>
      <c r="B1242" s="7"/>
      <c r="C1242" s="12" t="str">
        <f aca="false">IF($B1242="","",IFERROR(INDEX(자원목록!$B$3:$B$102,MATCH($B1242,자원목록!$A$3:$A$102,0)),"미등록자원"))</f>
        <v/>
      </c>
      <c r="D1242" s="7"/>
      <c r="E1242" s="12" t="str">
        <f aca="false">IF($D1242="","",IFERROR(INDEX(고객목록!$B$3:$B$502,MATCH($D1242,고객목록!$A$3:$A$502,0)),""))</f>
        <v/>
      </c>
      <c r="F1242" s="13"/>
      <c r="G1242" s="13"/>
      <c r="H1242" s="14" t="str">
        <f aca="false">IF(OR($L1242="",$M1242=""),"",ROUND(($M1242-$L1242)/60,2))</f>
        <v/>
      </c>
      <c r="I1242" s="9"/>
      <c r="J1242" s="7"/>
      <c r="K1242" s="7"/>
      <c r="L1242" s="15" t="str">
        <f aca="false">IF($F1242="","",IF($F1242&lt;1,ROUND($F1242*1440,0),INT($F1242/100)*60+MOD($F1242,100)))</f>
        <v/>
      </c>
      <c r="M1242" s="15" t="str">
        <f aca="false">IF($G1242="","",IF($G1242&lt;1,ROUND($G1242*1440,0),INT($G1242/100)*60+MOD($G1242,100)))</f>
        <v/>
      </c>
      <c r="N1242" s="15" t="str">
        <f aca="false">IF(OR($A1242="",$B1242="",$L1242="",$M1242="",$J1242="취소"),"",IF(SUMPRODUCT(($A$3:$A$2002=$A1242)*($B$3:$B$2002=$B1242)*($J$3:$J$2002&lt;&gt;"취소")*($L$3:$L$2002&lt;&gt;"")*($M$3:$M$2002&lt;&gt;"")*($L$3:$L$2002&lt;$M1242)*($M$3:$M$2002&gt;$L1242))&gt;1,"중복","-"))</f>
        <v/>
      </c>
    </row>
    <row r="1243" customFormat="false" ht="15" hidden="false" customHeight="true" outlineLevel="0" collapsed="false">
      <c r="A1243" s="11"/>
      <c r="B1243" s="7"/>
      <c r="C1243" s="12" t="str">
        <f aca="false">IF($B1243="","",IFERROR(INDEX(자원목록!$B$3:$B$102,MATCH($B1243,자원목록!$A$3:$A$102,0)),"미등록자원"))</f>
        <v/>
      </c>
      <c r="D1243" s="7"/>
      <c r="E1243" s="12" t="str">
        <f aca="false">IF($D1243="","",IFERROR(INDEX(고객목록!$B$3:$B$502,MATCH($D1243,고객목록!$A$3:$A$502,0)),""))</f>
        <v/>
      </c>
      <c r="F1243" s="13"/>
      <c r="G1243" s="13"/>
      <c r="H1243" s="14" t="str">
        <f aca="false">IF(OR($L1243="",$M1243=""),"",ROUND(($M1243-$L1243)/60,2))</f>
        <v/>
      </c>
      <c r="I1243" s="9"/>
      <c r="J1243" s="7"/>
      <c r="K1243" s="7"/>
      <c r="L1243" s="15" t="str">
        <f aca="false">IF($F1243="","",IF($F1243&lt;1,ROUND($F1243*1440,0),INT($F1243/100)*60+MOD($F1243,100)))</f>
        <v/>
      </c>
      <c r="M1243" s="15" t="str">
        <f aca="false">IF($G1243="","",IF($G1243&lt;1,ROUND($G1243*1440,0),INT($G1243/100)*60+MOD($G1243,100)))</f>
        <v/>
      </c>
      <c r="N1243" s="15" t="str">
        <f aca="false">IF(OR($A1243="",$B1243="",$L1243="",$M1243="",$J1243="취소"),"",IF(SUMPRODUCT(($A$3:$A$2002=$A1243)*($B$3:$B$2002=$B1243)*($J$3:$J$2002&lt;&gt;"취소")*($L$3:$L$2002&lt;&gt;"")*($M$3:$M$2002&lt;&gt;"")*($L$3:$L$2002&lt;$M1243)*($M$3:$M$2002&gt;$L1243))&gt;1,"중복","-"))</f>
        <v/>
      </c>
    </row>
    <row r="1244" customFormat="false" ht="15" hidden="false" customHeight="true" outlineLevel="0" collapsed="false">
      <c r="A1244" s="11"/>
      <c r="B1244" s="7"/>
      <c r="C1244" s="12" t="str">
        <f aca="false">IF($B1244="","",IFERROR(INDEX(자원목록!$B$3:$B$102,MATCH($B1244,자원목록!$A$3:$A$102,0)),"미등록자원"))</f>
        <v/>
      </c>
      <c r="D1244" s="7"/>
      <c r="E1244" s="12" t="str">
        <f aca="false">IF($D1244="","",IFERROR(INDEX(고객목록!$B$3:$B$502,MATCH($D1244,고객목록!$A$3:$A$502,0)),""))</f>
        <v/>
      </c>
      <c r="F1244" s="13"/>
      <c r="G1244" s="13"/>
      <c r="H1244" s="14" t="str">
        <f aca="false">IF(OR($L1244="",$M1244=""),"",ROUND(($M1244-$L1244)/60,2))</f>
        <v/>
      </c>
      <c r="I1244" s="9"/>
      <c r="J1244" s="7"/>
      <c r="K1244" s="7"/>
      <c r="L1244" s="15" t="str">
        <f aca="false">IF($F1244="","",IF($F1244&lt;1,ROUND($F1244*1440,0),INT($F1244/100)*60+MOD($F1244,100)))</f>
        <v/>
      </c>
      <c r="M1244" s="15" t="str">
        <f aca="false">IF($G1244="","",IF($G1244&lt;1,ROUND($G1244*1440,0),INT($G1244/100)*60+MOD($G1244,100)))</f>
        <v/>
      </c>
      <c r="N1244" s="15" t="str">
        <f aca="false">IF(OR($A1244="",$B1244="",$L1244="",$M1244="",$J1244="취소"),"",IF(SUMPRODUCT(($A$3:$A$2002=$A1244)*($B$3:$B$2002=$B1244)*($J$3:$J$2002&lt;&gt;"취소")*($L$3:$L$2002&lt;&gt;"")*($M$3:$M$2002&lt;&gt;"")*($L$3:$L$2002&lt;$M1244)*($M$3:$M$2002&gt;$L1244))&gt;1,"중복","-"))</f>
        <v/>
      </c>
    </row>
    <row r="1245" customFormat="false" ht="15" hidden="false" customHeight="true" outlineLevel="0" collapsed="false">
      <c r="A1245" s="11"/>
      <c r="B1245" s="7"/>
      <c r="C1245" s="12" t="str">
        <f aca="false">IF($B1245="","",IFERROR(INDEX(자원목록!$B$3:$B$102,MATCH($B1245,자원목록!$A$3:$A$102,0)),"미등록자원"))</f>
        <v/>
      </c>
      <c r="D1245" s="7"/>
      <c r="E1245" s="12" t="str">
        <f aca="false">IF($D1245="","",IFERROR(INDEX(고객목록!$B$3:$B$502,MATCH($D1245,고객목록!$A$3:$A$502,0)),""))</f>
        <v/>
      </c>
      <c r="F1245" s="13"/>
      <c r="G1245" s="13"/>
      <c r="H1245" s="14" t="str">
        <f aca="false">IF(OR($L1245="",$M1245=""),"",ROUND(($M1245-$L1245)/60,2))</f>
        <v/>
      </c>
      <c r="I1245" s="9"/>
      <c r="J1245" s="7"/>
      <c r="K1245" s="7"/>
      <c r="L1245" s="15" t="str">
        <f aca="false">IF($F1245="","",IF($F1245&lt;1,ROUND($F1245*1440,0),INT($F1245/100)*60+MOD($F1245,100)))</f>
        <v/>
      </c>
      <c r="M1245" s="15" t="str">
        <f aca="false">IF($G1245="","",IF($G1245&lt;1,ROUND($G1245*1440,0),INT($G1245/100)*60+MOD($G1245,100)))</f>
        <v/>
      </c>
      <c r="N1245" s="15" t="str">
        <f aca="false">IF(OR($A1245="",$B1245="",$L1245="",$M1245="",$J1245="취소"),"",IF(SUMPRODUCT(($A$3:$A$2002=$A1245)*($B$3:$B$2002=$B1245)*($J$3:$J$2002&lt;&gt;"취소")*($L$3:$L$2002&lt;&gt;"")*($M$3:$M$2002&lt;&gt;"")*($L$3:$L$2002&lt;$M1245)*($M$3:$M$2002&gt;$L1245))&gt;1,"중복","-"))</f>
        <v/>
      </c>
    </row>
    <row r="1246" customFormat="false" ht="15" hidden="false" customHeight="true" outlineLevel="0" collapsed="false">
      <c r="A1246" s="11"/>
      <c r="B1246" s="7"/>
      <c r="C1246" s="12" t="str">
        <f aca="false">IF($B1246="","",IFERROR(INDEX(자원목록!$B$3:$B$102,MATCH($B1246,자원목록!$A$3:$A$102,0)),"미등록자원"))</f>
        <v/>
      </c>
      <c r="D1246" s="7"/>
      <c r="E1246" s="12" t="str">
        <f aca="false">IF($D1246="","",IFERROR(INDEX(고객목록!$B$3:$B$502,MATCH($D1246,고객목록!$A$3:$A$502,0)),""))</f>
        <v/>
      </c>
      <c r="F1246" s="13"/>
      <c r="G1246" s="13"/>
      <c r="H1246" s="14" t="str">
        <f aca="false">IF(OR($L1246="",$M1246=""),"",ROUND(($M1246-$L1246)/60,2))</f>
        <v/>
      </c>
      <c r="I1246" s="9"/>
      <c r="J1246" s="7"/>
      <c r="K1246" s="7"/>
      <c r="L1246" s="15" t="str">
        <f aca="false">IF($F1246="","",IF($F1246&lt;1,ROUND($F1246*1440,0),INT($F1246/100)*60+MOD($F1246,100)))</f>
        <v/>
      </c>
      <c r="M1246" s="15" t="str">
        <f aca="false">IF($G1246="","",IF($G1246&lt;1,ROUND($G1246*1440,0),INT($G1246/100)*60+MOD($G1246,100)))</f>
        <v/>
      </c>
      <c r="N1246" s="15" t="str">
        <f aca="false">IF(OR($A1246="",$B1246="",$L1246="",$M1246="",$J1246="취소"),"",IF(SUMPRODUCT(($A$3:$A$2002=$A1246)*($B$3:$B$2002=$B1246)*($J$3:$J$2002&lt;&gt;"취소")*($L$3:$L$2002&lt;&gt;"")*($M$3:$M$2002&lt;&gt;"")*($L$3:$L$2002&lt;$M1246)*($M$3:$M$2002&gt;$L1246))&gt;1,"중복","-"))</f>
        <v/>
      </c>
    </row>
    <row r="1247" customFormat="false" ht="15" hidden="false" customHeight="true" outlineLevel="0" collapsed="false">
      <c r="A1247" s="11"/>
      <c r="B1247" s="7"/>
      <c r="C1247" s="12" t="str">
        <f aca="false">IF($B1247="","",IFERROR(INDEX(자원목록!$B$3:$B$102,MATCH($B1247,자원목록!$A$3:$A$102,0)),"미등록자원"))</f>
        <v/>
      </c>
      <c r="D1247" s="7"/>
      <c r="E1247" s="12" t="str">
        <f aca="false">IF($D1247="","",IFERROR(INDEX(고객목록!$B$3:$B$502,MATCH($D1247,고객목록!$A$3:$A$502,0)),""))</f>
        <v/>
      </c>
      <c r="F1247" s="13"/>
      <c r="G1247" s="13"/>
      <c r="H1247" s="14" t="str">
        <f aca="false">IF(OR($L1247="",$M1247=""),"",ROUND(($M1247-$L1247)/60,2))</f>
        <v/>
      </c>
      <c r="I1247" s="9"/>
      <c r="J1247" s="7"/>
      <c r="K1247" s="7"/>
      <c r="L1247" s="15" t="str">
        <f aca="false">IF($F1247="","",IF($F1247&lt;1,ROUND($F1247*1440,0),INT($F1247/100)*60+MOD($F1247,100)))</f>
        <v/>
      </c>
      <c r="M1247" s="15" t="str">
        <f aca="false">IF($G1247="","",IF($G1247&lt;1,ROUND($G1247*1440,0),INT($G1247/100)*60+MOD($G1247,100)))</f>
        <v/>
      </c>
      <c r="N1247" s="15" t="str">
        <f aca="false">IF(OR($A1247="",$B1247="",$L1247="",$M1247="",$J1247="취소"),"",IF(SUMPRODUCT(($A$3:$A$2002=$A1247)*($B$3:$B$2002=$B1247)*($J$3:$J$2002&lt;&gt;"취소")*($L$3:$L$2002&lt;&gt;"")*($M$3:$M$2002&lt;&gt;"")*($L$3:$L$2002&lt;$M1247)*($M$3:$M$2002&gt;$L1247))&gt;1,"중복","-"))</f>
        <v/>
      </c>
    </row>
    <row r="1248" customFormat="false" ht="15" hidden="false" customHeight="true" outlineLevel="0" collapsed="false">
      <c r="A1248" s="11"/>
      <c r="B1248" s="7"/>
      <c r="C1248" s="12" t="str">
        <f aca="false">IF($B1248="","",IFERROR(INDEX(자원목록!$B$3:$B$102,MATCH($B1248,자원목록!$A$3:$A$102,0)),"미등록자원"))</f>
        <v/>
      </c>
      <c r="D1248" s="7"/>
      <c r="E1248" s="12" t="str">
        <f aca="false">IF($D1248="","",IFERROR(INDEX(고객목록!$B$3:$B$502,MATCH($D1248,고객목록!$A$3:$A$502,0)),""))</f>
        <v/>
      </c>
      <c r="F1248" s="13"/>
      <c r="G1248" s="13"/>
      <c r="H1248" s="14" t="str">
        <f aca="false">IF(OR($L1248="",$M1248=""),"",ROUND(($M1248-$L1248)/60,2))</f>
        <v/>
      </c>
      <c r="I1248" s="9"/>
      <c r="J1248" s="7"/>
      <c r="K1248" s="7"/>
      <c r="L1248" s="15" t="str">
        <f aca="false">IF($F1248="","",IF($F1248&lt;1,ROUND($F1248*1440,0),INT($F1248/100)*60+MOD($F1248,100)))</f>
        <v/>
      </c>
      <c r="M1248" s="15" t="str">
        <f aca="false">IF($G1248="","",IF($G1248&lt;1,ROUND($G1248*1440,0),INT($G1248/100)*60+MOD($G1248,100)))</f>
        <v/>
      </c>
      <c r="N1248" s="15" t="str">
        <f aca="false">IF(OR($A1248="",$B1248="",$L1248="",$M1248="",$J1248="취소"),"",IF(SUMPRODUCT(($A$3:$A$2002=$A1248)*($B$3:$B$2002=$B1248)*($J$3:$J$2002&lt;&gt;"취소")*($L$3:$L$2002&lt;&gt;"")*($M$3:$M$2002&lt;&gt;"")*($L$3:$L$2002&lt;$M1248)*($M$3:$M$2002&gt;$L1248))&gt;1,"중복","-"))</f>
        <v/>
      </c>
    </row>
    <row r="1249" customFormat="false" ht="15" hidden="false" customHeight="true" outlineLevel="0" collapsed="false">
      <c r="A1249" s="11"/>
      <c r="B1249" s="7"/>
      <c r="C1249" s="12" t="str">
        <f aca="false">IF($B1249="","",IFERROR(INDEX(자원목록!$B$3:$B$102,MATCH($B1249,자원목록!$A$3:$A$102,0)),"미등록자원"))</f>
        <v/>
      </c>
      <c r="D1249" s="7"/>
      <c r="E1249" s="12" t="str">
        <f aca="false">IF($D1249="","",IFERROR(INDEX(고객목록!$B$3:$B$502,MATCH($D1249,고객목록!$A$3:$A$502,0)),""))</f>
        <v/>
      </c>
      <c r="F1249" s="13"/>
      <c r="G1249" s="13"/>
      <c r="H1249" s="14" t="str">
        <f aca="false">IF(OR($L1249="",$M1249=""),"",ROUND(($M1249-$L1249)/60,2))</f>
        <v/>
      </c>
      <c r="I1249" s="9"/>
      <c r="J1249" s="7"/>
      <c r="K1249" s="7"/>
      <c r="L1249" s="15" t="str">
        <f aca="false">IF($F1249="","",IF($F1249&lt;1,ROUND($F1249*1440,0),INT($F1249/100)*60+MOD($F1249,100)))</f>
        <v/>
      </c>
      <c r="M1249" s="15" t="str">
        <f aca="false">IF($G1249="","",IF($G1249&lt;1,ROUND($G1249*1440,0),INT($G1249/100)*60+MOD($G1249,100)))</f>
        <v/>
      </c>
      <c r="N1249" s="15" t="str">
        <f aca="false">IF(OR($A1249="",$B1249="",$L1249="",$M1249="",$J1249="취소"),"",IF(SUMPRODUCT(($A$3:$A$2002=$A1249)*($B$3:$B$2002=$B1249)*($J$3:$J$2002&lt;&gt;"취소")*($L$3:$L$2002&lt;&gt;"")*($M$3:$M$2002&lt;&gt;"")*($L$3:$L$2002&lt;$M1249)*($M$3:$M$2002&gt;$L1249))&gt;1,"중복","-"))</f>
        <v/>
      </c>
    </row>
    <row r="1250" customFormat="false" ht="15" hidden="false" customHeight="true" outlineLevel="0" collapsed="false">
      <c r="A1250" s="11"/>
      <c r="B1250" s="7"/>
      <c r="C1250" s="12" t="str">
        <f aca="false">IF($B1250="","",IFERROR(INDEX(자원목록!$B$3:$B$102,MATCH($B1250,자원목록!$A$3:$A$102,0)),"미등록자원"))</f>
        <v/>
      </c>
      <c r="D1250" s="7"/>
      <c r="E1250" s="12" t="str">
        <f aca="false">IF($D1250="","",IFERROR(INDEX(고객목록!$B$3:$B$502,MATCH($D1250,고객목록!$A$3:$A$502,0)),""))</f>
        <v/>
      </c>
      <c r="F1250" s="13"/>
      <c r="G1250" s="13"/>
      <c r="H1250" s="14" t="str">
        <f aca="false">IF(OR($L1250="",$M1250=""),"",ROUND(($M1250-$L1250)/60,2))</f>
        <v/>
      </c>
      <c r="I1250" s="9"/>
      <c r="J1250" s="7"/>
      <c r="K1250" s="7"/>
      <c r="L1250" s="15" t="str">
        <f aca="false">IF($F1250="","",IF($F1250&lt;1,ROUND($F1250*1440,0),INT($F1250/100)*60+MOD($F1250,100)))</f>
        <v/>
      </c>
      <c r="M1250" s="15" t="str">
        <f aca="false">IF($G1250="","",IF($G1250&lt;1,ROUND($G1250*1440,0),INT($G1250/100)*60+MOD($G1250,100)))</f>
        <v/>
      </c>
      <c r="N1250" s="15" t="str">
        <f aca="false">IF(OR($A1250="",$B1250="",$L1250="",$M1250="",$J1250="취소"),"",IF(SUMPRODUCT(($A$3:$A$2002=$A1250)*($B$3:$B$2002=$B1250)*($J$3:$J$2002&lt;&gt;"취소")*($L$3:$L$2002&lt;&gt;"")*($M$3:$M$2002&lt;&gt;"")*($L$3:$L$2002&lt;$M1250)*($M$3:$M$2002&gt;$L1250))&gt;1,"중복","-"))</f>
        <v/>
      </c>
    </row>
    <row r="1251" customFormat="false" ht="15" hidden="false" customHeight="true" outlineLevel="0" collapsed="false">
      <c r="A1251" s="11"/>
      <c r="B1251" s="7"/>
      <c r="C1251" s="12" t="str">
        <f aca="false">IF($B1251="","",IFERROR(INDEX(자원목록!$B$3:$B$102,MATCH($B1251,자원목록!$A$3:$A$102,0)),"미등록자원"))</f>
        <v/>
      </c>
      <c r="D1251" s="7"/>
      <c r="E1251" s="12" t="str">
        <f aca="false">IF($D1251="","",IFERROR(INDEX(고객목록!$B$3:$B$502,MATCH($D1251,고객목록!$A$3:$A$502,0)),""))</f>
        <v/>
      </c>
      <c r="F1251" s="13"/>
      <c r="G1251" s="13"/>
      <c r="H1251" s="14" t="str">
        <f aca="false">IF(OR($L1251="",$M1251=""),"",ROUND(($M1251-$L1251)/60,2))</f>
        <v/>
      </c>
      <c r="I1251" s="9"/>
      <c r="J1251" s="7"/>
      <c r="K1251" s="7"/>
      <c r="L1251" s="15" t="str">
        <f aca="false">IF($F1251="","",IF($F1251&lt;1,ROUND($F1251*1440,0),INT($F1251/100)*60+MOD($F1251,100)))</f>
        <v/>
      </c>
      <c r="M1251" s="15" t="str">
        <f aca="false">IF($G1251="","",IF($G1251&lt;1,ROUND($G1251*1440,0),INT($G1251/100)*60+MOD($G1251,100)))</f>
        <v/>
      </c>
      <c r="N1251" s="15" t="str">
        <f aca="false">IF(OR($A1251="",$B1251="",$L1251="",$M1251="",$J1251="취소"),"",IF(SUMPRODUCT(($A$3:$A$2002=$A1251)*($B$3:$B$2002=$B1251)*($J$3:$J$2002&lt;&gt;"취소")*($L$3:$L$2002&lt;&gt;"")*($M$3:$M$2002&lt;&gt;"")*($L$3:$L$2002&lt;$M1251)*($M$3:$M$2002&gt;$L1251))&gt;1,"중복","-"))</f>
        <v/>
      </c>
    </row>
    <row r="1252" customFormat="false" ht="15" hidden="false" customHeight="true" outlineLevel="0" collapsed="false">
      <c r="A1252" s="11"/>
      <c r="B1252" s="7"/>
      <c r="C1252" s="12" t="str">
        <f aca="false">IF($B1252="","",IFERROR(INDEX(자원목록!$B$3:$B$102,MATCH($B1252,자원목록!$A$3:$A$102,0)),"미등록자원"))</f>
        <v/>
      </c>
      <c r="D1252" s="7"/>
      <c r="E1252" s="12" t="str">
        <f aca="false">IF($D1252="","",IFERROR(INDEX(고객목록!$B$3:$B$502,MATCH($D1252,고객목록!$A$3:$A$502,0)),""))</f>
        <v/>
      </c>
      <c r="F1252" s="13"/>
      <c r="G1252" s="13"/>
      <c r="H1252" s="14" t="str">
        <f aca="false">IF(OR($L1252="",$M1252=""),"",ROUND(($M1252-$L1252)/60,2))</f>
        <v/>
      </c>
      <c r="I1252" s="9"/>
      <c r="J1252" s="7"/>
      <c r="K1252" s="7"/>
      <c r="L1252" s="15" t="str">
        <f aca="false">IF($F1252="","",IF($F1252&lt;1,ROUND($F1252*1440,0),INT($F1252/100)*60+MOD($F1252,100)))</f>
        <v/>
      </c>
      <c r="M1252" s="15" t="str">
        <f aca="false">IF($G1252="","",IF($G1252&lt;1,ROUND($G1252*1440,0),INT($G1252/100)*60+MOD($G1252,100)))</f>
        <v/>
      </c>
      <c r="N1252" s="15" t="str">
        <f aca="false">IF(OR($A1252="",$B1252="",$L1252="",$M1252="",$J1252="취소"),"",IF(SUMPRODUCT(($A$3:$A$2002=$A1252)*($B$3:$B$2002=$B1252)*($J$3:$J$2002&lt;&gt;"취소")*($L$3:$L$2002&lt;&gt;"")*($M$3:$M$2002&lt;&gt;"")*($L$3:$L$2002&lt;$M1252)*($M$3:$M$2002&gt;$L1252))&gt;1,"중복","-"))</f>
        <v/>
      </c>
    </row>
    <row r="1253" customFormat="false" ht="15" hidden="false" customHeight="true" outlineLevel="0" collapsed="false">
      <c r="A1253" s="11"/>
      <c r="B1253" s="7"/>
      <c r="C1253" s="12" t="str">
        <f aca="false">IF($B1253="","",IFERROR(INDEX(자원목록!$B$3:$B$102,MATCH($B1253,자원목록!$A$3:$A$102,0)),"미등록자원"))</f>
        <v/>
      </c>
      <c r="D1253" s="7"/>
      <c r="E1253" s="12" t="str">
        <f aca="false">IF($D1253="","",IFERROR(INDEX(고객목록!$B$3:$B$502,MATCH($D1253,고객목록!$A$3:$A$502,0)),""))</f>
        <v/>
      </c>
      <c r="F1253" s="13"/>
      <c r="G1253" s="13"/>
      <c r="H1253" s="14" t="str">
        <f aca="false">IF(OR($L1253="",$M1253=""),"",ROUND(($M1253-$L1253)/60,2))</f>
        <v/>
      </c>
      <c r="I1253" s="9"/>
      <c r="J1253" s="7"/>
      <c r="K1253" s="7"/>
      <c r="L1253" s="15" t="str">
        <f aca="false">IF($F1253="","",IF($F1253&lt;1,ROUND($F1253*1440,0),INT($F1253/100)*60+MOD($F1253,100)))</f>
        <v/>
      </c>
      <c r="M1253" s="15" t="str">
        <f aca="false">IF($G1253="","",IF($G1253&lt;1,ROUND($G1253*1440,0),INT($G1253/100)*60+MOD($G1253,100)))</f>
        <v/>
      </c>
      <c r="N1253" s="15" t="str">
        <f aca="false">IF(OR($A1253="",$B1253="",$L1253="",$M1253="",$J1253="취소"),"",IF(SUMPRODUCT(($A$3:$A$2002=$A1253)*($B$3:$B$2002=$B1253)*($J$3:$J$2002&lt;&gt;"취소")*($L$3:$L$2002&lt;&gt;"")*($M$3:$M$2002&lt;&gt;"")*($L$3:$L$2002&lt;$M1253)*($M$3:$M$2002&gt;$L1253))&gt;1,"중복","-"))</f>
        <v/>
      </c>
    </row>
    <row r="1254" customFormat="false" ht="15" hidden="false" customHeight="true" outlineLevel="0" collapsed="false">
      <c r="A1254" s="11"/>
      <c r="B1254" s="7"/>
      <c r="C1254" s="12" t="str">
        <f aca="false">IF($B1254="","",IFERROR(INDEX(자원목록!$B$3:$B$102,MATCH($B1254,자원목록!$A$3:$A$102,0)),"미등록자원"))</f>
        <v/>
      </c>
      <c r="D1254" s="7"/>
      <c r="E1254" s="12" t="str">
        <f aca="false">IF($D1254="","",IFERROR(INDEX(고객목록!$B$3:$B$502,MATCH($D1254,고객목록!$A$3:$A$502,0)),""))</f>
        <v/>
      </c>
      <c r="F1254" s="13"/>
      <c r="G1254" s="13"/>
      <c r="H1254" s="14" t="str">
        <f aca="false">IF(OR($L1254="",$M1254=""),"",ROUND(($M1254-$L1254)/60,2))</f>
        <v/>
      </c>
      <c r="I1254" s="9"/>
      <c r="J1254" s="7"/>
      <c r="K1254" s="7"/>
      <c r="L1254" s="15" t="str">
        <f aca="false">IF($F1254="","",IF($F1254&lt;1,ROUND($F1254*1440,0),INT($F1254/100)*60+MOD($F1254,100)))</f>
        <v/>
      </c>
      <c r="M1254" s="15" t="str">
        <f aca="false">IF($G1254="","",IF($G1254&lt;1,ROUND($G1254*1440,0),INT($G1254/100)*60+MOD($G1254,100)))</f>
        <v/>
      </c>
      <c r="N1254" s="15" t="str">
        <f aca="false">IF(OR($A1254="",$B1254="",$L1254="",$M1254="",$J1254="취소"),"",IF(SUMPRODUCT(($A$3:$A$2002=$A1254)*($B$3:$B$2002=$B1254)*($J$3:$J$2002&lt;&gt;"취소")*($L$3:$L$2002&lt;&gt;"")*($M$3:$M$2002&lt;&gt;"")*($L$3:$L$2002&lt;$M1254)*($M$3:$M$2002&gt;$L1254))&gt;1,"중복","-"))</f>
        <v/>
      </c>
    </row>
    <row r="1255" customFormat="false" ht="15" hidden="false" customHeight="true" outlineLevel="0" collapsed="false">
      <c r="A1255" s="11"/>
      <c r="B1255" s="7"/>
      <c r="C1255" s="12" t="str">
        <f aca="false">IF($B1255="","",IFERROR(INDEX(자원목록!$B$3:$B$102,MATCH($B1255,자원목록!$A$3:$A$102,0)),"미등록자원"))</f>
        <v/>
      </c>
      <c r="D1255" s="7"/>
      <c r="E1255" s="12" t="str">
        <f aca="false">IF($D1255="","",IFERROR(INDEX(고객목록!$B$3:$B$502,MATCH($D1255,고객목록!$A$3:$A$502,0)),""))</f>
        <v/>
      </c>
      <c r="F1255" s="13"/>
      <c r="G1255" s="13"/>
      <c r="H1255" s="14" t="str">
        <f aca="false">IF(OR($L1255="",$M1255=""),"",ROUND(($M1255-$L1255)/60,2))</f>
        <v/>
      </c>
      <c r="I1255" s="9"/>
      <c r="J1255" s="7"/>
      <c r="K1255" s="7"/>
      <c r="L1255" s="15" t="str">
        <f aca="false">IF($F1255="","",IF($F1255&lt;1,ROUND($F1255*1440,0),INT($F1255/100)*60+MOD($F1255,100)))</f>
        <v/>
      </c>
      <c r="M1255" s="15" t="str">
        <f aca="false">IF($G1255="","",IF($G1255&lt;1,ROUND($G1255*1440,0),INT($G1255/100)*60+MOD($G1255,100)))</f>
        <v/>
      </c>
      <c r="N1255" s="15" t="str">
        <f aca="false">IF(OR($A1255="",$B1255="",$L1255="",$M1255="",$J1255="취소"),"",IF(SUMPRODUCT(($A$3:$A$2002=$A1255)*($B$3:$B$2002=$B1255)*($J$3:$J$2002&lt;&gt;"취소")*($L$3:$L$2002&lt;&gt;"")*($M$3:$M$2002&lt;&gt;"")*($L$3:$L$2002&lt;$M1255)*($M$3:$M$2002&gt;$L1255))&gt;1,"중복","-"))</f>
        <v/>
      </c>
    </row>
    <row r="1256" customFormat="false" ht="15" hidden="false" customHeight="true" outlineLevel="0" collapsed="false">
      <c r="A1256" s="11"/>
      <c r="B1256" s="7"/>
      <c r="C1256" s="12" t="str">
        <f aca="false">IF($B1256="","",IFERROR(INDEX(자원목록!$B$3:$B$102,MATCH($B1256,자원목록!$A$3:$A$102,0)),"미등록자원"))</f>
        <v/>
      </c>
      <c r="D1256" s="7"/>
      <c r="E1256" s="12" t="str">
        <f aca="false">IF($D1256="","",IFERROR(INDEX(고객목록!$B$3:$B$502,MATCH($D1256,고객목록!$A$3:$A$502,0)),""))</f>
        <v/>
      </c>
      <c r="F1256" s="13"/>
      <c r="G1256" s="13"/>
      <c r="H1256" s="14" t="str">
        <f aca="false">IF(OR($L1256="",$M1256=""),"",ROUND(($M1256-$L1256)/60,2))</f>
        <v/>
      </c>
      <c r="I1256" s="9"/>
      <c r="J1256" s="7"/>
      <c r="K1256" s="7"/>
      <c r="L1256" s="15" t="str">
        <f aca="false">IF($F1256="","",IF($F1256&lt;1,ROUND($F1256*1440,0),INT($F1256/100)*60+MOD($F1256,100)))</f>
        <v/>
      </c>
      <c r="M1256" s="15" t="str">
        <f aca="false">IF($G1256="","",IF($G1256&lt;1,ROUND($G1256*1440,0),INT($G1256/100)*60+MOD($G1256,100)))</f>
        <v/>
      </c>
      <c r="N1256" s="15" t="str">
        <f aca="false">IF(OR($A1256="",$B1256="",$L1256="",$M1256="",$J1256="취소"),"",IF(SUMPRODUCT(($A$3:$A$2002=$A1256)*($B$3:$B$2002=$B1256)*($J$3:$J$2002&lt;&gt;"취소")*($L$3:$L$2002&lt;&gt;"")*($M$3:$M$2002&lt;&gt;"")*($L$3:$L$2002&lt;$M1256)*($M$3:$M$2002&gt;$L1256))&gt;1,"중복","-"))</f>
        <v/>
      </c>
    </row>
    <row r="1257" customFormat="false" ht="15" hidden="false" customHeight="true" outlineLevel="0" collapsed="false">
      <c r="A1257" s="11"/>
      <c r="B1257" s="7"/>
      <c r="C1257" s="12" t="str">
        <f aca="false">IF($B1257="","",IFERROR(INDEX(자원목록!$B$3:$B$102,MATCH($B1257,자원목록!$A$3:$A$102,0)),"미등록자원"))</f>
        <v/>
      </c>
      <c r="D1257" s="7"/>
      <c r="E1257" s="12" t="str">
        <f aca="false">IF($D1257="","",IFERROR(INDEX(고객목록!$B$3:$B$502,MATCH($D1257,고객목록!$A$3:$A$502,0)),""))</f>
        <v/>
      </c>
      <c r="F1257" s="13"/>
      <c r="G1257" s="13"/>
      <c r="H1257" s="14" t="str">
        <f aca="false">IF(OR($L1257="",$M1257=""),"",ROUND(($M1257-$L1257)/60,2))</f>
        <v/>
      </c>
      <c r="I1257" s="9"/>
      <c r="J1257" s="7"/>
      <c r="K1257" s="7"/>
      <c r="L1257" s="15" t="str">
        <f aca="false">IF($F1257="","",IF($F1257&lt;1,ROUND($F1257*1440,0),INT($F1257/100)*60+MOD($F1257,100)))</f>
        <v/>
      </c>
      <c r="M1257" s="15" t="str">
        <f aca="false">IF($G1257="","",IF($G1257&lt;1,ROUND($G1257*1440,0),INT($G1257/100)*60+MOD($G1257,100)))</f>
        <v/>
      </c>
      <c r="N1257" s="15" t="str">
        <f aca="false">IF(OR($A1257="",$B1257="",$L1257="",$M1257="",$J1257="취소"),"",IF(SUMPRODUCT(($A$3:$A$2002=$A1257)*($B$3:$B$2002=$B1257)*($J$3:$J$2002&lt;&gt;"취소")*($L$3:$L$2002&lt;&gt;"")*($M$3:$M$2002&lt;&gt;"")*($L$3:$L$2002&lt;$M1257)*($M$3:$M$2002&gt;$L1257))&gt;1,"중복","-"))</f>
        <v/>
      </c>
    </row>
    <row r="1258" customFormat="false" ht="15" hidden="false" customHeight="true" outlineLevel="0" collapsed="false">
      <c r="A1258" s="11"/>
      <c r="B1258" s="7"/>
      <c r="C1258" s="12" t="str">
        <f aca="false">IF($B1258="","",IFERROR(INDEX(자원목록!$B$3:$B$102,MATCH($B1258,자원목록!$A$3:$A$102,0)),"미등록자원"))</f>
        <v/>
      </c>
      <c r="D1258" s="7"/>
      <c r="E1258" s="12" t="str">
        <f aca="false">IF($D1258="","",IFERROR(INDEX(고객목록!$B$3:$B$502,MATCH($D1258,고객목록!$A$3:$A$502,0)),""))</f>
        <v/>
      </c>
      <c r="F1258" s="13"/>
      <c r="G1258" s="13"/>
      <c r="H1258" s="14" t="str">
        <f aca="false">IF(OR($L1258="",$M1258=""),"",ROUND(($M1258-$L1258)/60,2))</f>
        <v/>
      </c>
      <c r="I1258" s="9"/>
      <c r="J1258" s="7"/>
      <c r="K1258" s="7"/>
      <c r="L1258" s="15" t="str">
        <f aca="false">IF($F1258="","",IF($F1258&lt;1,ROUND($F1258*1440,0),INT($F1258/100)*60+MOD($F1258,100)))</f>
        <v/>
      </c>
      <c r="M1258" s="15" t="str">
        <f aca="false">IF($G1258="","",IF($G1258&lt;1,ROUND($G1258*1440,0),INT($G1258/100)*60+MOD($G1258,100)))</f>
        <v/>
      </c>
      <c r="N1258" s="15" t="str">
        <f aca="false">IF(OR($A1258="",$B1258="",$L1258="",$M1258="",$J1258="취소"),"",IF(SUMPRODUCT(($A$3:$A$2002=$A1258)*($B$3:$B$2002=$B1258)*($J$3:$J$2002&lt;&gt;"취소")*($L$3:$L$2002&lt;&gt;"")*($M$3:$M$2002&lt;&gt;"")*($L$3:$L$2002&lt;$M1258)*($M$3:$M$2002&gt;$L1258))&gt;1,"중복","-"))</f>
        <v/>
      </c>
    </row>
    <row r="1259" customFormat="false" ht="15" hidden="false" customHeight="true" outlineLevel="0" collapsed="false">
      <c r="A1259" s="11"/>
      <c r="B1259" s="7"/>
      <c r="C1259" s="12" t="str">
        <f aca="false">IF($B1259="","",IFERROR(INDEX(자원목록!$B$3:$B$102,MATCH($B1259,자원목록!$A$3:$A$102,0)),"미등록자원"))</f>
        <v/>
      </c>
      <c r="D1259" s="7"/>
      <c r="E1259" s="12" t="str">
        <f aca="false">IF($D1259="","",IFERROR(INDEX(고객목록!$B$3:$B$502,MATCH($D1259,고객목록!$A$3:$A$502,0)),""))</f>
        <v/>
      </c>
      <c r="F1259" s="13"/>
      <c r="G1259" s="13"/>
      <c r="H1259" s="14" t="str">
        <f aca="false">IF(OR($L1259="",$M1259=""),"",ROUND(($M1259-$L1259)/60,2))</f>
        <v/>
      </c>
      <c r="I1259" s="9"/>
      <c r="J1259" s="7"/>
      <c r="K1259" s="7"/>
      <c r="L1259" s="15" t="str">
        <f aca="false">IF($F1259="","",IF($F1259&lt;1,ROUND($F1259*1440,0),INT($F1259/100)*60+MOD($F1259,100)))</f>
        <v/>
      </c>
      <c r="M1259" s="15" t="str">
        <f aca="false">IF($G1259="","",IF($G1259&lt;1,ROUND($G1259*1440,0),INT($G1259/100)*60+MOD($G1259,100)))</f>
        <v/>
      </c>
      <c r="N1259" s="15" t="str">
        <f aca="false">IF(OR($A1259="",$B1259="",$L1259="",$M1259="",$J1259="취소"),"",IF(SUMPRODUCT(($A$3:$A$2002=$A1259)*($B$3:$B$2002=$B1259)*($J$3:$J$2002&lt;&gt;"취소")*($L$3:$L$2002&lt;&gt;"")*($M$3:$M$2002&lt;&gt;"")*($L$3:$L$2002&lt;$M1259)*($M$3:$M$2002&gt;$L1259))&gt;1,"중복","-"))</f>
        <v/>
      </c>
    </row>
    <row r="1260" customFormat="false" ht="15" hidden="false" customHeight="true" outlineLevel="0" collapsed="false">
      <c r="A1260" s="11"/>
      <c r="B1260" s="7"/>
      <c r="C1260" s="12" t="str">
        <f aca="false">IF($B1260="","",IFERROR(INDEX(자원목록!$B$3:$B$102,MATCH($B1260,자원목록!$A$3:$A$102,0)),"미등록자원"))</f>
        <v/>
      </c>
      <c r="D1260" s="7"/>
      <c r="E1260" s="12" t="str">
        <f aca="false">IF($D1260="","",IFERROR(INDEX(고객목록!$B$3:$B$502,MATCH($D1260,고객목록!$A$3:$A$502,0)),""))</f>
        <v/>
      </c>
      <c r="F1260" s="13"/>
      <c r="G1260" s="13"/>
      <c r="H1260" s="14" t="str">
        <f aca="false">IF(OR($L1260="",$M1260=""),"",ROUND(($M1260-$L1260)/60,2))</f>
        <v/>
      </c>
      <c r="I1260" s="9"/>
      <c r="J1260" s="7"/>
      <c r="K1260" s="7"/>
      <c r="L1260" s="15" t="str">
        <f aca="false">IF($F1260="","",IF($F1260&lt;1,ROUND($F1260*1440,0),INT($F1260/100)*60+MOD($F1260,100)))</f>
        <v/>
      </c>
      <c r="M1260" s="15" t="str">
        <f aca="false">IF($G1260="","",IF($G1260&lt;1,ROUND($G1260*1440,0),INT($G1260/100)*60+MOD($G1260,100)))</f>
        <v/>
      </c>
      <c r="N1260" s="15" t="str">
        <f aca="false">IF(OR($A1260="",$B1260="",$L1260="",$M1260="",$J1260="취소"),"",IF(SUMPRODUCT(($A$3:$A$2002=$A1260)*($B$3:$B$2002=$B1260)*($J$3:$J$2002&lt;&gt;"취소")*($L$3:$L$2002&lt;&gt;"")*($M$3:$M$2002&lt;&gt;"")*($L$3:$L$2002&lt;$M1260)*($M$3:$M$2002&gt;$L1260))&gt;1,"중복","-"))</f>
        <v/>
      </c>
    </row>
    <row r="1261" customFormat="false" ht="15" hidden="false" customHeight="true" outlineLevel="0" collapsed="false">
      <c r="A1261" s="11"/>
      <c r="B1261" s="7"/>
      <c r="C1261" s="12" t="str">
        <f aca="false">IF($B1261="","",IFERROR(INDEX(자원목록!$B$3:$B$102,MATCH($B1261,자원목록!$A$3:$A$102,0)),"미등록자원"))</f>
        <v/>
      </c>
      <c r="D1261" s="7"/>
      <c r="E1261" s="12" t="str">
        <f aca="false">IF($D1261="","",IFERROR(INDEX(고객목록!$B$3:$B$502,MATCH($D1261,고객목록!$A$3:$A$502,0)),""))</f>
        <v/>
      </c>
      <c r="F1261" s="13"/>
      <c r="G1261" s="13"/>
      <c r="H1261" s="14" t="str">
        <f aca="false">IF(OR($L1261="",$M1261=""),"",ROUND(($M1261-$L1261)/60,2))</f>
        <v/>
      </c>
      <c r="I1261" s="9"/>
      <c r="J1261" s="7"/>
      <c r="K1261" s="7"/>
      <c r="L1261" s="15" t="str">
        <f aca="false">IF($F1261="","",IF($F1261&lt;1,ROUND($F1261*1440,0),INT($F1261/100)*60+MOD($F1261,100)))</f>
        <v/>
      </c>
      <c r="M1261" s="15" t="str">
        <f aca="false">IF($G1261="","",IF($G1261&lt;1,ROUND($G1261*1440,0),INT($G1261/100)*60+MOD($G1261,100)))</f>
        <v/>
      </c>
      <c r="N1261" s="15" t="str">
        <f aca="false">IF(OR($A1261="",$B1261="",$L1261="",$M1261="",$J1261="취소"),"",IF(SUMPRODUCT(($A$3:$A$2002=$A1261)*($B$3:$B$2002=$B1261)*($J$3:$J$2002&lt;&gt;"취소")*($L$3:$L$2002&lt;&gt;"")*($M$3:$M$2002&lt;&gt;"")*($L$3:$L$2002&lt;$M1261)*($M$3:$M$2002&gt;$L1261))&gt;1,"중복","-"))</f>
        <v/>
      </c>
    </row>
    <row r="1262" customFormat="false" ht="15" hidden="false" customHeight="true" outlineLevel="0" collapsed="false">
      <c r="A1262" s="11"/>
      <c r="B1262" s="7"/>
      <c r="C1262" s="12" t="str">
        <f aca="false">IF($B1262="","",IFERROR(INDEX(자원목록!$B$3:$B$102,MATCH($B1262,자원목록!$A$3:$A$102,0)),"미등록자원"))</f>
        <v/>
      </c>
      <c r="D1262" s="7"/>
      <c r="E1262" s="12" t="str">
        <f aca="false">IF($D1262="","",IFERROR(INDEX(고객목록!$B$3:$B$502,MATCH($D1262,고객목록!$A$3:$A$502,0)),""))</f>
        <v/>
      </c>
      <c r="F1262" s="13"/>
      <c r="G1262" s="13"/>
      <c r="H1262" s="14" t="str">
        <f aca="false">IF(OR($L1262="",$M1262=""),"",ROUND(($M1262-$L1262)/60,2))</f>
        <v/>
      </c>
      <c r="I1262" s="9"/>
      <c r="J1262" s="7"/>
      <c r="K1262" s="7"/>
      <c r="L1262" s="15" t="str">
        <f aca="false">IF($F1262="","",IF($F1262&lt;1,ROUND($F1262*1440,0),INT($F1262/100)*60+MOD($F1262,100)))</f>
        <v/>
      </c>
      <c r="M1262" s="15" t="str">
        <f aca="false">IF($G1262="","",IF($G1262&lt;1,ROUND($G1262*1440,0),INT($G1262/100)*60+MOD($G1262,100)))</f>
        <v/>
      </c>
      <c r="N1262" s="15" t="str">
        <f aca="false">IF(OR($A1262="",$B1262="",$L1262="",$M1262="",$J1262="취소"),"",IF(SUMPRODUCT(($A$3:$A$2002=$A1262)*($B$3:$B$2002=$B1262)*($J$3:$J$2002&lt;&gt;"취소")*($L$3:$L$2002&lt;&gt;"")*($M$3:$M$2002&lt;&gt;"")*($L$3:$L$2002&lt;$M1262)*($M$3:$M$2002&gt;$L1262))&gt;1,"중복","-"))</f>
        <v/>
      </c>
    </row>
    <row r="1263" customFormat="false" ht="15" hidden="false" customHeight="true" outlineLevel="0" collapsed="false">
      <c r="A1263" s="11"/>
      <c r="B1263" s="7"/>
      <c r="C1263" s="12" t="str">
        <f aca="false">IF($B1263="","",IFERROR(INDEX(자원목록!$B$3:$B$102,MATCH($B1263,자원목록!$A$3:$A$102,0)),"미등록자원"))</f>
        <v/>
      </c>
      <c r="D1263" s="7"/>
      <c r="E1263" s="12" t="str">
        <f aca="false">IF($D1263="","",IFERROR(INDEX(고객목록!$B$3:$B$502,MATCH($D1263,고객목록!$A$3:$A$502,0)),""))</f>
        <v/>
      </c>
      <c r="F1263" s="13"/>
      <c r="G1263" s="13"/>
      <c r="H1263" s="14" t="str">
        <f aca="false">IF(OR($L1263="",$M1263=""),"",ROUND(($M1263-$L1263)/60,2))</f>
        <v/>
      </c>
      <c r="I1263" s="9"/>
      <c r="J1263" s="7"/>
      <c r="K1263" s="7"/>
      <c r="L1263" s="15" t="str">
        <f aca="false">IF($F1263="","",IF($F1263&lt;1,ROUND($F1263*1440,0),INT($F1263/100)*60+MOD($F1263,100)))</f>
        <v/>
      </c>
      <c r="M1263" s="15" t="str">
        <f aca="false">IF($G1263="","",IF($G1263&lt;1,ROUND($G1263*1440,0),INT($G1263/100)*60+MOD($G1263,100)))</f>
        <v/>
      </c>
      <c r="N1263" s="15" t="str">
        <f aca="false">IF(OR($A1263="",$B1263="",$L1263="",$M1263="",$J1263="취소"),"",IF(SUMPRODUCT(($A$3:$A$2002=$A1263)*($B$3:$B$2002=$B1263)*($J$3:$J$2002&lt;&gt;"취소")*($L$3:$L$2002&lt;&gt;"")*($M$3:$M$2002&lt;&gt;"")*($L$3:$L$2002&lt;$M1263)*($M$3:$M$2002&gt;$L1263))&gt;1,"중복","-"))</f>
        <v/>
      </c>
    </row>
    <row r="1264" customFormat="false" ht="15" hidden="false" customHeight="true" outlineLevel="0" collapsed="false">
      <c r="A1264" s="11"/>
      <c r="B1264" s="7"/>
      <c r="C1264" s="12" t="str">
        <f aca="false">IF($B1264="","",IFERROR(INDEX(자원목록!$B$3:$B$102,MATCH($B1264,자원목록!$A$3:$A$102,0)),"미등록자원"))</f>
        <v/>
      </c>
      <c r="D1264" s="7"/>
      <c r="E1264" s="12" t="str">
        <f aca="false">IF($D1264="","",IFERROR(INDEX(고객목록!$B$3:$B$502,MATCH($D1264,고객목록!$A$3:$A$502,0)),""))</f>
        <v/>
      </c>
      <c r="F1264" s="13"/>
      <c r="G1264" s="13"/>
      <c r="H1264" s="14" t="str">
        <f aca="false">IF(OR($L1264="",$M1264=""),"",ROUND(($M1264-$L1264)/60,2))</f>
        <v/>
      </c>
      <c r="I1264" s="9"/>
      <c r="J1264" s="7"/>
      <c r="K1264" s="7"/>
      <c r="L1264" s="15" t="str">
        <f aca="false">IF($F1264="","",IF($F1264&lt;1,ROUND($F1264*1440,0),INT($F1264/100)*60+MOD($F1264,100)))</f>
        <v/>
      </c>
      <c r="M1264" s="15" t="str">
        <f aca="false">IF($G1264="","",IF($G1264&lt;1,ROUND($G1264*1440,0),INT($G1264/100)*60+MOD($G1264,100)))</f>
        <v/>
      </c>
      <c r="N1264" s="15" t="str">
        <f aca="false">IF(OR($A1264="",$B1264="",$L1264="",$M1264="",$J1264="취소"),"",IF(SUMPRODUCT(($A$3:$A$2002=$A1264)*($B$3:$B$2002=$B1264)*($J$3:$J$2002&lt;&gt;"취소")*($L$3:$L$2002&lt;&gt;"")*($M$3:$M$2002&lt;&gt;"")*($L$3:$L$2002&lt;$M1264)*($M$3:$M$2002&gt;$L1264))&gt;1,"중복","-"))</f>
        <v/>
      </c>
    </row>
    <row r="1265" customFormat="false" ht="15" hidden="false" customHeight="true" outlineLevel="0" collapsed="false">
      <c r="A1265" s="11"/>
      <c r="B1265" s="7"/>
      <c r="C1265" s="12" t="str">
        <f aca="false">IF($B1265="","",IFERROR(INDEX(자원목록!$B$3:$B$102,MATCH($B1265,자원목록!$A$3:$A$102,0)),"미등록자원"))</f>
        <v/>
      </c>
      <c r="D1265" s="7"/>
      <c r="E1265" s="12" t="str">
        <f aca="false">IF($D1265="","",IFERROR(INDEX(고객목록!$B$3:$B$502,MATCH($D1265,고객목록!$A$3:$A$502,0)),""))</f>
        <v/>
      </c>
      <c r="F1265" s="13"/>
      <c r="G1265" s="13"/>
      <c r="H1265" s="14" t="str">
        <f aca="false">IF(OR($L1265="",$M1265=""),"",ROUND(($M1265-$L1265)/60,2))</f>
        <v/>
      </c>
      <c r="I1265" s="9"/>
      <c r="J1265" s="7"/>
      <c r="K1265" s="7"/>
      <c r="L1265" s="15" t="str">
        <f aca="false">IF($F1265="","",IF($F1265&lt;1,ROUND($F1265*1440,0),INT($F1265/100)*60+MOD($F1265,100)))</f>
        <v/>
      </c>
      <c r="M1265" s="15" t="str">
        <f aca="false">IF($G1265="","",IF($G1265&lt;1,ROUND($G1265*1440,0),INT($G1265/100)*60+MOD($G1265,100)))</f>
        <v/>
      </c>
      <c r="N1265" s="15" t="str">
        <f aca="false">IF(OR($A1265="",$B1265="",$L1265="",$M1265="",$J1265="취소"),"",IF(SUMPRODUCT(($A$3:$A$2002=$A1265)*($B$3:$B$2002=$B1265)*($J$3:$J$2002&lt;&gt;"취소")*($L$3:$L$2002&lt;&gt;"")*($M$3:$M$2002&lt;&gt;"")*($L$3:$L$2002&lt;$M1265)*($M$3:$M$2002&gt;$L1265))&gt;1,"중복","-"))</f>
        <v/>
      </c>
    </row>
    <row r="1266" customFormat="false" ht="15" hidden="false" customHeight="true" outlineLevel="0" collapsed="false">
      <c r="A1266" s="11"/>
      <c r="B1266" s="7"/>
      <c r="C1266" s="12" t="str">
        <f aca="false">IF($B1266="","",IFERROR(INDEX(자원목록!$B$3:$B$102,MATCH($B1266,자원목록!$A$3:$A$102,0)),"미등록자원"))</f>
        <v/>
      </c>
      <c r="D1266" s="7"/>
      <c r="E1266" s="12" t="str">
        <f aca="false">IF($D1266="","",IFERROR(INDEX(고객목록!$B$3:$B$502,MATCH($D1266,고객목록!$A$3:$A$502,0)),""))</f>
        <v/>
      </c>
      <c r="F1266" s="13"/>
      <c r="G1266" s="13"/>
      <c r="H1266" s="14" t="str">
        <f aca="false">IF(OR($L1266="",$M1266=""),"",ROUND(($M1266-$L1266)/60,2))</f>
        <v/>
      </c>
      <c r="I1266" s="9"/>
      <c r="J1266" s="7"/>
      <c r="K1266" s="7"/>
      <c r="L1266" s="15" t="str">
        <f aca="false">IF($F1266="","",IF($F1266&lt;1,ROUND($F1266*1440,0),INT($F1266/100)*60+MOD($F1266,100)))</f>
        <v/>
      </c>
      <c r="M1266" s="15" t="str">
        <f aca="false">IF($G1266="","",IF($G1266&lt;1,ROUND($G1266*1440,0),INT($G1266/100)*60+MOD($G1266,100)))</f>
        <v/>
      </c>
      <c r="N1266" s="15" t="str">
        <f aca="false">IF(OR($A1266="",$B1266="",$L1266="",$M1266="",$J1266="취소"),"",IF(SUMPRODUCT(($A$3:$A$2002=$A1266)*($B$3:$B$2002=$B1266)*($J$3:$J$2002&lt;&gt;"취소")*($L$3:$L$2002&lt;&gt;"")*($M$3:$M$2002&lt;&gt;"")*($L$3:$L$2002&lt;$M1266)*($M$3:$M$2002&gt;$L1266))&gt;1,"중복","-"))</f>
        <v/>
      </c>
    </row>
    <row r="1267" customFormat="false" ht="15" hidden="false" customHeight="true" outlineLevel="0" collapsed="false">
      <c r="A1267" s="11"/>
      <c r="B1267" s="7"/>
      <c r="C1267" s="12" t="str">
        <f aca="false">IF($B1267="","",IFERROR(INDEX(자원목록!$B$3:$B$102,MATCH($B1267,자원목록!$A$3:$A$102,0)),"미등록자원"))</f>
        <v/>
      </c>
      <c r="D1267" s="7"/>
      <c r="E1267" s="12" t="str">
        <f aca="false">IF($D1267="","",IFERROR(INDEX(고객목록!$B$3:$B$502,MATCH($D1267,고객목록!$A$3:$A$502,0)),""))</f>
        <v/>
      </c>
      <c r="F1267" s="13"/>
      <c r="G1267" s="13"/>
      <c r="H1267" s="14" t="str">
        <f aca="false">IF(OR($L1267="",$M1267=""),"",ROUND(($M1267-$L1267)/60,2))</f>
        <v/>
      </c>
      <c r="I1267" s="9"/>
      <c r="J1267" s="7"/>
      <c r="K1267" s="7"/>
      <c r="L1267" s="15" t="str">
        <f aca="false">IF($F1267="","",IF($F1267&lt;1,ROUND($F1267*1440,0),INT($F1267/100)*60+MOD($F1267,100)))</f>
        <v/>
      </c>
      <c r="M1267" s="15" t="str">
        <f aca="false">IF($G1267="","",IF($G1267&lt;1,ROUND($G1267*1440,0),INT($G1267/100)*60+MOD($G1267,100)))</f>
        <v/>
      </c>
      <c r="N1267" s="15" t="str">
        <f aca="false">IF(OR($A1267="",$B1267="",$L1267="",$M1267="",$J1267="취소"),"",IF(SUMPRODUCT(($A$3:$A$2002=$A1267)*($B$3:$B$2002=$B1267)*($J$3:$J$2002&lt;&gt;"취소")*($L$3:$L$2002&lt;&gt;"")*($M$3:$M$2002&lt;&gt;"")*($L$3:$L$2002&lt;$M1267)*($M$3:$M$2002&gt;$L1267))&gt;1,"중복","-"))</f>
        <v/>
      </c>
    </row>
    <row r="1268" customFormat="false" ht="15" hidden="false" customHeight="true" outlineLevel="0" collapsed="false">
      <c r="A1268" s="11"/>
      <c r="B1268" s="7"/>
      <c r="C1268" s="12" t="str">
        <f aca="false">IF($B1268="","",IFERROR(INDEX(자원목록!$B$3:$B$102,MATCH($B1268,자원목록!$A$3:$A$102,0)),"미등록자원"))</f>
        <v/>
      </c>
      <c r="D1268" s="7"/>
      <c r="E1268" s="12" t="str">
        <f aca="false">IF($D1268="","",IFERROR(INDEX(고객목록!$B$3:$B$502,MATCH($D1268,고객목록!$A$3:$A$502,0)),""))</f>
        <v/>
      </c>
      <c r="F1268" s="13"/>
      <c r="G1268" s="13"/>
      <c r="H1268" s="14" t="str">
        <f aca="false">IF(OR($L1268="",$M1268=""),"",ROUND(($M1268-$L1268)/60,2))</f>
        <v/>
      </c>
      <c r="I1268" s="9"/>
      <c r="J1268" s="7"/>
      <c r="K1268" s="7"/>
      <c r="L1268" s="15" t="str">
        <f aca="false">IF($F1268="","",IF($F1268&lt;1,ROUND($F1268*1440,0),INT($F1268/100)*60+MOD($F1268,100)))</f>
        <v/>
      </c>
      <c r="M1268" s="15" t="str">
        <f aca="false">IF($G1268="","",IF($G1268&lt;1,ROUND($G1268*1440,0),INT($G1268/100)*60+MOD($G1268,100)))</f>
        <v/>
      </c>
      <c r="N1268" s="15" t="str">
        <f aca="false">IF(OR($A1268="",$B1268="",$L1268="",$M1268="",$J1268="취소"),"",IF(SUMPRODUCT(($A$3:$A$2002=$A1268)*($B$3:$B$2002=$B1268)*($J$3:$J$2002&lt;&gt;"취소")*($L$3:$L$2002&lt;&gt;"")*($M$3:$M$2002&lt;&gt;"")*($L$3:$L$2002&lt;$M1268)*($M$3:$M$2002&gt;$L1268))&gt;1,"중복","-"))</f>
        <v/>
      </c>
    </row>
    <row r="1269" customFormat="false" ht="15" hidden="false" customHeight="true" outlineLevel="0" collapsed="false">
      <c r="A1269" s="11"/>
      <c r="B1269" s="7"/>
      <c r="C1269" s="12" t="str">
        <f aca="false">IF($B1269="","",IFERROR(INDEX(자원목록!$B$3:$B$102,MATCH($B1269,자원목록!$A$3:$A$102,0)),"미등록자원"))</f>
        <v/>
      </c>
      <c r="D1269" s="7"/>
      <c r="E1269" s="12" t="str">
        <f aca="false">IF($D1269="","",IFERROR(INDEX(고객목록!$B$3:$B$502,MATCH($D1269,고객목록!$A$3:$A$502,0)),""))</f>
        <v/>
      </c>
      <c r="F1269" s="13"/>
      <c r="G1269" s="13"/>
      <c r="H1269" s="14" t="str">
        <f aca="false">IF(OR($L1269="",$M1269=""),"",ROUND(($M1269-$L1269)/60,2))</f>
        <v/>
      </c>
      <c r="I1269" s="9"/>
      <c r="J1269" s="7"/>
      <c r="K1269" s="7"/>
      <c r="L1269" s="15" t="str">
        <f aca="false">IF($F1269="","",IF($F1269&lt;1,ROUND($F1269*1440,0),INT($F1269/100)*60+MOD($F1269,100)))</f>
        <v/>
      </c>
      <c r="M1269" s="15" t="str">
        <f aca="false">IF($G1269="","",IF($G1269&lt;1,ROUND($G1269*1440,0),INT($G1269/100)*60+MOD($G1269,100)))</f>
        <v/>
      </c>
      <c r="N1269" s="15" t="str">
        <f aca="false">IF(OR($A1269="",$B1269="",$L1269="",$M1269="",$J1269="취소"),"",IF(SUMPRODUCT(($A$3:$A$2002=$A1269)*($B$3:$B$2002=$B1269)*($J$3:$J$2002&lt;&gt;"취소")*($L$3:$L$2002&lt;&gt;"")*($M$3:$M$2002&lt;&gt;"")*($L$3:$L$2002&lt;$M1269)*($M$3:$M$2002&gt;$L1269))&gt;1,"중복","-"))</f>
        <v/>
      </c>
    </row>
    <row r="1270" customFormat="false" ht="15" hidden="false" customHeight="true" outlineLevel="0" collapsed="false">
      <c r="A1270" s="11"/>
      <c r="B1270" s="7"/>
      <c r="C1270" s="12" t="str">
        <f aca="false">IF($B1270="","",IFERROR(INDEX(자원목록!$B$3:$B$102,MATCH($B1270,자원목록!$A$3:$A$102,0)),"미등록자원"))</f>
        <v/>
      </c>
      <c r="D1270" s="7"/>
      <c r="E1270" s="12" t="str">
        <f aca="false">IF($D1270="","",IFERROR(INDEX(고객목록!$B$3:$B$502,MATCH($D1270,고객목록!$A$3:$A$502,0)),""))</f>
        <v/>
      </c>
      <c r="F1270" s="13"/>
      <c r="G1270" s="13"/>
      <c r="H1270" s="14" t="str">
        <f aca="false">IF(OR($L1270="",$M1270=""),"",ROUND(($M1270-$L1270)/60,2))</f>
        <v/>
      </c>
      <c r="I1270" s="9"/>
      <c r="J1270" s="7"/>
      <c r="K1270" s="7"/>
      <c r="L1270" s="15" t="str">
        <f aca="false">IF($F1270="","",IF($F1270&lt;1,ROUND($F1270*1440,0),INT($F1270/100)*60+MOD($F1270,100)))</f>
        <v/>
      </c>
      <c r="M1270" s="15" t="str">
        <f aca="false">IF($G1270="","",IF($G1270&lt;1,ROUND($G1270*1440,0),INT($G1270/100)*60+MOD($G1270,100)))</f>
        <v/>
      </c>
      <c r="N1270" s="15" t="str">
        <f aca="false">IF(OR($A1270="",$B1270="",$L1270="",$M1270="",$J1270="취소"),"",IF(SUMPRODUCT(($A$3:$A$2002=$A1270)*($B$3:$B$2002=$B1270)*($J$3:$J$2002&lt;&gt;"취소")*($L$3:$L$2002&lt;&gt;"")*($M$3:$M$2002&lt;&gt;"")*($L$3:$L$2002&lt;$M1270)*($M$3:$M$2002&gt;$L1270))&gt;1,"중복","-"))</f>
        <v/>
      </c>
    </row>
    <row r="1271" customFormat="false" ht="15" hidden="false" customHeight="true" outlineLevel="0" collapsed="false">
      <c r="A1271" s="11"/>
      <c r="B1271" s="7"/>
      <c r="C1271" s="12" t="str">
        <f aca="false">IF($B1271="","",IFERROR(INDEX(자원목록!$B$3:$B$102,MATCH($B1271,자원목록!$A$3:$A$102,0)),"미등록자원"))</f>
        <v/>
      </c>
      <c r="D1271" s="7"/>
      <c r="E1271" s="12" t="str">
        <f aca="false">IF($D1271="","",IFERROR(INDEX(고객목록!$B$3:$B$502,MATCH($D1271,고객목록!$A$3:$A$502,0)),""))</f>
        <v/>
      </c>
      <c r="F1271" s="13"/>
      <c r="G1271" s="13"/>
      <c r="H1271" s="14" t="str">
        <f aca="false">IF(OR($L1271="",$M1271=""),"",ROUND(($M1271-$L1271)/60,2))</f>
        <v/>
      </c>
      <c r="I1271" s="9"/>
      <c r="J1271" s="7"/>
      <c r="K1271" s="7"/>
      <c r="L1271" s="15" t="str">
        <f aca="false">IF($F1271="","",IF($F1271&lt;1,ROUND($F1271*1440,0),INT($F1271/100)*60+MOD($F1271,100)))</f>
        <v/>
      </c>
      <c r="M1271" s="15" t="str">
        <f aca="false">IF($G1271="","",IF($G1271&lt;1,ROUND($G1271*1440,0),INT($G1271/100)*60+MOD($G1271,100)))</f>
        <v/>
      </c>
      <c r="N1271" s="15" t="str">
        <f aca="false">IF(OR($A1271="",$B1271="",$L1271="",$M1271="",$J1271="취소"),"",IF(SUMPRODUCT(($A$3:$A$2002=$A1271)*($B$3:$B$2002=$B1271)*($J$3:$J$2002&lt;&gt;"취소")*($L$3:$L$2002&lt;&gt;"")*($M$3:$M$2002&lt;&gt;"")*($L$3:$L$2002&lt;$M1271)*($M$3:$M$2002&gt;$L1271))&gt;1,"중복","-"))</f>
        <v/>
      </c>
    </row>
    <row r="1272" customFormat="false" ht="15" hidden="false" customHeight="true" outlineLevel="0" collapsed="false">
      <c r="A1272" s="11"/>
      <c r="B1272" s="7"/>
      <c r="C1272" s="12" t="str">
        <f aca="false">IF($B1272="","",IFERROR(INDEX(자원목록!$B$3:$B$102,MATCH($B1272,자원목록!$A$3:$A$102,0)),"미등록자원"))</f>
        <v/>
      </c>
      <c r="D1272" s="7"/>
      <c r="E1272" s="12" t="str">
        <f aca="false">IF($D1272="","",IFERROR(INDEX(고객목록!$B$3:$B$502,MATCH($D1272,고객목록!$A$3:$A$502,0)),""))</f>
        <v/>
      </c>
      <c r="F1272" s="13"/>
      <c r="G1272" s="13"/>
      <c r="H1272" s="14" t="str">
        <f aca="false">IF(OR($L1272="",$M1272=""),"",ROUND(($M1272-$L1272)/60,2))</f>
        <v/>
      </c>
      <c r="I1272" s="9"/>
      <c r="J1272" s="7"/>
      <c r="K1272" s="7"/>
      <c r="L1272" s="15" t="str">
        <f aca="false">IF($F1272="","",IF($F1272&lt;1,ROUND($F1272*1440,0),INT($F1272/100)*60+MOD($F1272,100)))</f>
        <v/>
      </c>
      <c r="M1272" s="15" t="str">
        <f aca="false">IF($G1272="","",IF($G1272&lt;1,ROUND($G1272*1440,0),INT($G1272/100)*60+MOD($G1272,100)))</f>
        <v/>
      </c>
      <c r="N1272" s="15" t="str">
        <f aca="false">IF(OR($A1272="",$B1272="",$L1272="",$M1272="",$J1272="취소"),"",IF(SUMPRODUCT(($A$3:$A$2002=$A1272)*($B$3:$B$2002=$B1272)*($J$3:$J$2002&lt;&gt;"취소")*($L$3:$L$2002&lt;&gt;"")*($M$3:$M$2002&lt;&gt;"")*($L$3:$L$2002&lt;$M1272)*($M$3:$M$2002&gt;$L1272))&gt;1,"중복","-"))</f>
        <v/>
      </c>
    </row>
    <row r="1273" customFormat="false" ht="15" hidden="false" customHeight="true" outlineLevel="0" collapsed="false">
      <c r="A1273" s="11"/>
      <c r="B1273" s="7"/>
      <c r="C1273" s="12" t="str">
        <f aca="false">IF($B1273="","",IFERROR(INDEX(자원목록!$B$3:$B$102,MATCH($B1273,자원목록!$A$3:$A$102,0)),"미등록자원"))</f>
        <v/>
      </c>
      <c r="D1273" s="7"/>
      <c r="E1273" s="12" t="str">
        <f aca="false">IF($D1273="","",IFERROR(INDEX(고객목록!$B$3:$B$502,MATCH($D1273,고객목록!$A$3:$A$502,0)),""))</f>
        <v/>
      </c>
      <c r="F1273" s="13"/>
      <c r="G1273" s="13"/>
      <c r="H1273" s="14" t="str">
        <f aca="false">IF(OR($L1273="",$M1273=""),"",ROUND(($M1273-$L1273)/60,2))</f>
        <v/>
      </c>
      <c r="I1273" s="9"/>
      <c r="J1273" s="7"/>
      <c r="K1273" s="7"/>
      <c r="L1273" s="15" t="str">
        <f aca="false">IF($F1273="","",IF($F1273&lt;1,ROUND($F1273*1440,0),INT($F1273/100)*60+MOD($F1273,100)))</f>
        <v/>
      </c>
      <c r="M1273" s="15" t="str">
        <f aca="false">IF($G1273="","",IF($G1273&lt;1,ROUND($G1273*1440,0),INT($G1273/100)*60+MOD($G1273,100)))</f>
        <v/>
      </c>
      <c r="N1273" s="15" t="str">
        <f aca="false">IF(OR($A1273="",$B1273="",$L1273="",$M1273="",$J1273="취소"),"",IF(SUMPRODUCT(($A$3:$A$2002=$A1273)*($B$3:$B$2002=$B1273)*($J$3:$J$2002&lt;&gt;"취소")*($L$3:$L$2002&lt;&gt;"")*($M$3:$M$2002&lt;&gt;"")*($L$3:$L$2002&lt;$M1273)*($M$3:$M$2002&gt;$L1273))&gt;1,"중복","-"))</f>
        <v/>
      </c>
    </row>
    <row r="1274" customFormat="false" ht="15" hidden="false" customHeight="true" outlineLevel="0" collapsed="false">
      <c r="A1274" s="11"/>
      <c r="B1274" s="7"/>
      <c r="C1274" s="12" t="str">
        <f aca="false">IF($B1274="","",IFERROR(INDEX(자원목록!$B$3:$B$102,MATCH($B1274,자원목록!$A$3:$A$102,0)),"미등록자원"))</f>
        <v/>
      </c>
      <c r="D1274" s="7"/>
      <c r="E1274" s="12" t="str">
        <f aca="false">IF($D1274="","",IFERROR(INDEX(고객목록!$B$3:$B$502,MATCH($D1274,고객목록!$A$3:$A$502,0)),""))</f>
        <v/>
      </c>
      <c r="F1274" s="13"/>
      <c r="G1274" s="13"/>
      <c r="H1274" s="14" t="str">
        <f aca="false">IF(OR($L1274="",$M1274=""),"",ROUND(($M1274-$L1274)/60,2))</f>
        <v/>
      </c>
      <c r="I1274" s="9"/>
      <c r="J1274" s="7"/>
      <c r="K1274" s="7"/>
      <c r="L1274" s="15" t="str">
        <f aca="false">IF($F1274="","",IF($F1274&lt;1,ROUND($F1274*1440,0),INT($F1274/100)*60+MOD($F1274,100)))</f>
        <v/>
      </c>
      <c r="M1274" s="15" t="str">
        <f aca="false">IF($G1274="","",IF($G1274&lt;1,ROUND($G1274*1440,0),INT($G1274/100)*60+MOD($G1274,100)))</f>
        <v/>
      </c>
      <c r="N1274" s="15" t="str">
        <f aca="false">IF(OR($A1274="",$B1274="",$L1274="",$M1274="",$J1274="취소"),"",IF(SUMPRODUCT(($A$3:$A$2002=$A1274)*($B$3:$B$2002=$B1274)*($J$3:$J$2002&lt;&gt;"취소")*($L$3:$L$2002&lt;&gt;"")*($M$3:$M$2002&lt;&gt;"")*($L$3:$L$2002&lt;$M1274)*($M$3:$M$2002&gt;$L1274))&gt;1,"중복","-"))</f>
        <v/>
      </c>
    </row>
    <row r="1275" customFormat="false" ht="15" hidden="false" customHeight="true" outlineLevel="0" collapsed="false">
      <c r="A1275" s="11"/>
      <c r="B1275" s="7"/>
      <c r="C1275" s="12" t="str">
        <f aca="false">IF($B1275="","",IFERROR(INDEX(자원목록!$B$3:$B$102,MATCH($B1275,자원목록!$A$3:$A$102,0)),"미등록자원"))</f>
        <v/>
      </c>
      <c r="D1275" s="7"/>
      <c r="E1275" s="12" t="str">
        <f aca="false">IF($D1275="","",IFERROR(INDEX(고객목록!$B$3:$B$502,MATCH($D1275,고객목록!$A$3:$A$502,0)),""))</f>
        <v/>
      </c>
      <c r="F1275" s="13"/>
      <c r="G1275" s="13"/>
      <c r="H1275" s="14" t="str">
        <f aca="false">IF(OR($L1275="",$M1275=""),"",ROUND(($M1275-$L1275)/60,2))</f>
        <v/>
      </c>
      <c r="I1275" s="9"/>
      <c r="J1275" s="7"/>
      <c r="K1275" s="7"/>
      <c r="L1275" s="15" t="str">
        <f aca="false">IF($F1275="","",IF($F1275&lt;1,ROUND($F1275*1440,0),INT($F1275/100)*60+MOD($F1275,100)))</f>
        <v/>
      </c>
      <c r="M1275" s="15" t="str">
        <f aca="false">IF($G1275="","",IF($G1275&lt;1,ROUND($G1275*1440,0),INT($G1275/100)*60+MOD($G1275,100)))</f>
        <v/>
      </c>
      <c r="N1275" s="15" t="str">
        <f aca="false">IF(OR($A1275="",$B1275="",$L1275="",$M1275="",$J1275="취소"),"",IF(SUMPRODUCT(($A$3:$A$2002=$A1275)*($B$3:$B$2002=$B1275)*($J$3:$J$2002&lt;&gt;"취소")*($L$3:$L$2002&lt;&gt;"")*($M$3:$M$2002&lt;&gt;"")*($L$3:$L$2002&lt;$M1275)*($M$3:$M$2002&gt;$L1275))&gt;1,"중복","-"))</f>
        <v/>
      </c>
    </row>
    <row r="1276" customFormat="false" ht="15" hidden="false" customHeight="true" outlineLevel="0" collapsed="false">
      <c r="A1276" s="11"/>
      <c r="B1276" s="7"/>
      <c r="C1276" s="12" t="str">
        <f aca="false">IF($B1276="","",IFERROR(INDEX(자원목록!$B$3:$B$102,MATCH($B1276,자원목록!$A$3:$A$102,0)),"미등록자원"))</f>
        <v/>
      </c>
      <c r="D1276" s="7"/>
      <c r="E1276" s="12" t="str">
        <f aca="false">IF($D1276="","",IFERROR(INDEX(고객목록!$B$3:$B$502,MATCH($D1276,고객목록!$A$3:$A$502,0)),""))</f>
        <v/>
      </c>
      <c r="F1276" s="13"/>
      <c r="G1276" s="13"/>
      <c r="H1276" s="14" t="str">
        <f aca="false">IF(OR($L1276="",$M1276=""),"",ROUND(($M1276-$L1276)/60,2))</f>
        <v/>
      </c>
      <c r="I1276" s="9"/>
      <c r="J1276" s="7"/>
      <c r="K1276" s="7"/>
      <c r="L1276" s="15" t="str">
        <f aca="false">IF($F1276="","",IF($F1276&lt;1,ROUND($F1276*1440,0),INT($F1276/100)*60+MOD($F1276,100)))</f>
        <v/>
      </c>
      <c r="M1276" s="15" t="str">
        <f aca="false">IF($G1276="","",IF($G1276&lt;1,ROUND($G1276*1440,0),INT($G1276/100)*60+MOD($G1276,100)))</f>
        <v/>
      </c>
      <c r="N1276" s="15" t="str">
        <f aca="false">IF(OR($A1276="",$B1276="",$L1276="",$M1276="",$J1276="취소"),"",IF(SUMPRODUCT(($A$3:$A$2002=$A1276)*($B$3:$B$2002=$B1276)*($J$3:$J$2002&lt;&gt;"취소")*($L$3:$L$2002&lt;&gt;"")*($M$3:$M$2002&lt;&gt;"")*($L$3:$L$2002&lt;$M1276)*($M$3:$M$2002&gt;$L1276))&gt;1,"중복","-"))</f>
        <v/>
      </c>
    </row>
    <row r="1277" customFormat="false" ht="15" hidden="false" customHeight="true" outlineLevel="0" collapsed="false">
      <c r="A1277" s="11"/>
      <c r="B1277" s="7"/>
      <c r="C1277" s="12" t="str">
        <f aca="false">IF($B1277="","",IFERROR(INDEX(자원목록!$B$3:$B$102,MATCH($B1277,자원목록!$A$3:$A$102,0)),"미등록자원"))</f>
        <v/>
      </c>
      <c r="D1277" s="7"/>
      <c r="E1277" s="12" t="str">
        <f aca="false">IF($D1277="","",IFERROR(INDEX(고객목록!$B$3:$B$502,MATCH($D1277,고객목록!$A$3:$A$502,0)),""))</f>
        <v/>
      </c>
      <c r="F1277" s="13"/>
      <c r="G1277" s="13"/>
      <c r="H1277" s="14" t="str">
        <f aca="false">IF(OR($L1277="",$M1277=""),"",ROUND(($M1277-$L1277)/60,2))</f>
        <v/>
      </c>
      <c r="I1277" s="9"/>
      <c r="J1277" s="7"/>
      <c r="K1277" s="7"/>
      <c r="L1277" s="15" t="str">
        <f aca="false">IF($F1277="","",IF($F1277&lt;1,ROUND($F1277*1440,0),INT($F1277/100)*60+MOD($F1277,100)))</f>
        <v/>
      </c>
      <c r="M1277" s="15" t="str">
        <f aca="false">IF($G1277="","",IF($G1277&lt;1,ROUND($G1277*1440,0),INT($G1277/100)*60+MOD($G1277,100)))</f>
        <v/>
      </c>
      <c r="N1277" s="15" t="str">
        <f aca="false">IF(OR($A1277="",$B1277="",$L1277="",$M1277="",$J1277="취소"),"",IF(SUMPRODUCT(($A$3:$A$2002=$A1277)*($B$3:$B$2002=$B1277)*($J$3:$J$2002&lt;&gt;"취소")*($L$3:$L$2002&lt;&gt;"")*($M$3:$M$2002&lt;&gt;"")*($L$3:$L$2002&lt;$M1277)*($M$3:$M$2002&gt;$L1277))&gt;1,"중복","-"))</f>
        <v/>
      </c>
    </row>
    <row r="1278" customFormat="false" ht="15" hidden="false" customHeight="true" outlineLevel="0" collapsed="false">
      <c r="A1278" s="11"/>
      <c r="B1278" s="7"/>
      <c r="C1278" s="12" t="str">
        <f aca="false">IF($B1278="","",IFERROR(INDEX(자원목록!$B$3:$B$102,MATCH($B1278,자원목록!$A$3:$A$102,0)),"미등록자원"))</f>
        <v/>
      </c>
      <c r="D1278" s="7"/>
      <c r="E1278" s="12" t="str">
        <f aca="false">IF($D1278="","",IFERROR(INDEX(고객목록!$B$3:$B$502,MATCH($D1278,고객목록!$A$3:$A$502,0)),""))</f>
        <v/>
      </c>
      <c r="F1278" s="13"/>
      <c r="G1278" s="13"/>
      <c r="H1278" s="14" t="str">
        <f aca="false">IF(OR($L1278="",$M1278=""),"",ROUND(($M1278-$L1278)/60,2))</f>
        <v/>
      </c>
      <c r="I1278" s="9"/>
      <c r="J1278" s="7"/>
      <c r="K1278" s="7"/>
      <c r="L1278" s="15" t="str">
        <f aca="false">IF($F1278="","",IF($F1278&lt;1,ROUND($F1278*1440,0),INT($F1278/100)*60+MOD($F1278,100)))</f>
        <v/>
      </c>
      <c r="M1278" s="15" t="str">
        <f aca="false">IF($G1278="","",IF($G1278&lt;1,ROUND($G1278*1440,0),INT($G1278/100)*60+MOD($G1278,100)))</f>
        <v/>
      </c>
      <c r="N1278" s="15" t="str">
        <f aca="false">IF(OR($A1278="",$B1278="",$L1278="",$M1278="",$J1278="취소"),"",IF(SUMPRODUCT(($A$3:$A$2002=$A1278)*($B$3:$B$2002=$B1278)*($J$3:$J$2002&lt;&gt;"취소")*($L$3:$L$2002&lt;&gt;"")*($M$3:$M$2002&lt;&gt;"")*($L$3:$L$2002&lt;$M1278)*($M$3:$M$2002&gt;$L1278))&gt;1,"중복","-"))</f>
        <v/>
      </c>
    </row>
    <row r="1279" customFormat="false" ht="15" hidden="false" customHeight="true" outlineLevel="0" collapsed="false">
      <c r="A1279" s="11"/>
      <c r="B1279" s="7"/>
      <c r="C1279" s="12" t="str">
        <f aca="false">IF($B1279="","",IFERROR(INDEX(자원목록!$B$3:$B$102,MATCH($B1279,자원목록!$A$3:$A$102,0)),"미등록자원"))</f>
        <v/>
      </c>
      <c r="D1279" s="7"/>
      <c r="E1279" s="12" t="str">
        <f aca="false">IF($D1279="","",IFERROR(INDEX(고객목록!$B$3:$B$502,MATCH($D1279,고객목록!$A$3:$A$502,0)),""))</f>
        <v/>
      </c>
      <c r="F1279" s="13"/>
      <c r="G1279" s="13"/>
      <c r="H1279" s="14" t="str">
        <f aca="false">IF(OR($L1279="",$M1279=""),"",ROUND(($M1279-$L1279)/60,2))</f>
        <v/>
      </c>
      <c r="I1279" s="9"/>
      <c r="J1279" s="7"/>
      <c r="K1279" s="7"/>
      <c r="L1279" s="15" t="str">
        <f aca="false">IF($F1279="","",IF($F1279&lt;1,ROUND($F1279*1440,0),INT($F1279/100)*60+MOD($F1279,100)))</f>
        <v/>
      </c>
      <c r="M1279" s="15" t="str">
        <f aca="false">IF($G1279="","",IF($G1279&lt;1,ROUND($G1279*1440,0),INT($G1279/100)*60+MOD($G1279,100)))</f>
        <v/>
      </c>
      <c r="N1279" s="15" t="str">
        <f aca="false">IF(OR($A1279="",$B1279="",$L1279="",$M1279="",$J1279="취소"),"",IF(SUMPRODUCT(($A$3:$A$2002=$A1279)*($B$3:$B$2002=$B1279)*($J$3:$J$2002&lt;&gt;"취소")*($L$3:$L$2002&lt;&gt;"")*($M$3:$M$2002&lt;&gt;"")*($L$3:$L$2002&lt;$M1279)*($M$3:$M$2002&gt;$L1279))&gt;1,"중복","-"))</f>
        <v/>
      </c>
    </row>
    <row r="1280" customFormat="false" ht="15" hidden="false" customHeight="true" outlineLevel="0" collapsed="false">
      <c r="A1280" s="11"/>
      <c r="B1280" s="7"/>
      <c r="C1280" s="12" t="str">
        <f aca="false">IF($B1280="","",IFERROR(INDEX(자원목록!$B$3:$B$102,MATCH($B1280,자원목록!$A$3:$A$102,0)),"미등록자원"))</f>
        <v/>
      </c>
      <c r="D1280" s="7"/>
      <c r="E1280" s="12" t="str">
        <f aca="false">IF($D1280="","",IFERROR(INDEX(고객목록!$B$3:$B$502,MATCH($D1280,고객목록!$A$3:$A$502,0)),""))</f>
        <v/>
      </c>
      <c r="F1280" s="13"/>
      <c r="G1280" s="13"/>
      <c r="H1280" s="14" t="str">
        <f aca="false">IF(OR($L1280="",$M1280=""),"",ROUND(($M1280-$L1280)/60,2))</f>
        <v/>
      </c>
      <c r="I1280" s="9"/>
      <c r="J1280" s="7"/>
      <c r="K1280" s="7"/>
      <c r="L1280" s="15" t="str">
        <f aca="false">IF($F1280="","",IF($F1280&lt;1,ROUND($F1280*1440,0),INT($F1280/100)*60+MOD($F1280,100)))</f>
        <v/>
      </c>
      <c r="M1280" s="15" t="str">
        <f aca="false">IF($G1280="","",IF($G1280&lt;1,ROUND($G1280*1440,0),INT($G1280/100)*60+MOD($G1280,100)))</f>
        <v/>
      </c>
      <c r="N1280" s="15" t="str">
        <f aca="false">IF(OR($A1280="",$B1280="",$L1280="",$M1280="",$J1280="취소"),"",IF(SUMPRODUCT(($A$3:$A$2002=$A1280)*($B$3:$B$2002=$B1280)*($J$3:$J$2002&lt;&gt;"취소")*($L$3:$L$2002&lt;&gt;"")*($M$3:$M$2002&lt;&gt;"")*($L$3:$L$2002&lt;$M1280)*($M$3:$M$2002&gt;$L1280))&gt;1,"중복","-"))</f>
        <v/>
      </c>
    </row>
    <row r="1281" customFormat="false" ht="15" hidden="false" customHeight="true" outlineLevel="0" collapsed="false">
      <c r="A1281" s="11"/>
      <c r="B1281" s="7"/>
      <c r="C1281" s="12" t="str">
        <f aca="false">IF($B1281="","",IFERROR(INDEX(자원목록!$B$3:$B$102,MATCH($B1281,자원목록!$A$3:$A$102,0)),"미등록자원"))</f>
        <v/>
      </c>
      <c r="D1281" s="7"/>
      <c r="E1281" s="12" t="str">
        <f aca="false">IF($D1281="","",IFERROR(INDEX(고객목록!$B$3:$B$502,MATCH($D1281,고객목록!$A$3:$A$502,0)),""))</f>
        <v/>
      </c>
      <c r="F1281" s="13"/>
      <c r="G1281" s="13"/>
      <c r="H1281" s="14" t="str">
        <f aca="false">IF(OR($L1281="",$M1281=""),"",ROUND(($M1281-$L1281)/60,2))</f>
        <v/>
      </c>
      <c r="I1281" s="9"/>
      <c r="J1281" s="7"/>
      <c r="K1281" s="7"/>
      <c r="L1281" s="15" t="str">
        <f aca="false">IF($F1281="","",IF($F1281&lt;1,ROUND($F1281*1440,0),INT($F1281/100)*60+MOD($F1281,100)))</f>
        <v/>
      </c>
      <c r="M1281" s="15" t="str">
        <f aca="false">IF($G1281="","",IF($G1281&lt;1,ROUND($G1281*1440,0),INT($G1281/100)*60+MOD($G1281,100)))</f>
        <v/>
      </c>
      <c r="N1281" s="15" t="str">
        <f aca="false">IF(OR($A1281="",$B1281="",$L1281="",$M1281="",$J1281="취소"),"",IF(SUMPRODUCT(($A$3:$A$2002=$A1281)*($B$3:$B$2002=$B1281)*($J$3:$J$2002&lt;&gt;"취소")*($L$3:$L$2002&lt;&gt;"")*($M$3:$M$2002&lt;&gt;"")*($L$3:$L$2002&lt;$M1281)*($M$3:$M$2002&gt;$L1281))&gt;1,"중복","-"))</f>
        <v/>
      </c>
    </row>
    <row r="1282" customFormat="false" ht="15" hidden="false" customHeight="true" outlineLevel="0" collapsed="false">
      <c r="A1282" s="11"/>
      <c r="B1282" s="7"/>
      <c r="C1282" s="12" t="str">
        <f aca="false">IF($B1282="","",IFERROR(INDEX(자원목록!$B$3:$B$102,MATCH($B1282,자원목록!$A$3:$A$102,0)),"미등록자원"))</f>
        <v/>
      </c>
      <c r="D1282" s="7"/>
      <c r="E1282" s="12" t="str">
        <f aca="false">IF($D1282="","",IFERROR(INDEX(고객목록!$B$3:$B$502,MATCH($D1282,고객목록!$A$3:$A$502,0)),""))</f>
        <v/>
      </c>
      <c r="F1282" s="13"/>
      <c r="G1282" s="13"/>
      <c r="H1282" s="14" t="str">
        <f aca="false">IF(OR($L1282="",$M1282=""),"",ROUND(($M1282-$L1282)/60,2))</f>
        <v/>
      </c>
      <c r="I1282" s="9"/>
      <c r="J1282" s="7"/>
      <c r="K1282" s="7"/>
      <c r="L1282" s="15" t="str">
        <f aca="false">IF($F1282="","",IF($F1282&lt;1,ROUND($F1282*1440,0),INT($F1282/100)*60+MOD($F1282,100)))</f>
        <v/>
      </c>
      <c r="M1282" s="15" t="str">
        <f aca="false">IF($G1282="","",IF($G1282&lt;1,ROUND($G1282*1440,0),INT($G1282/100)*60+MOD($G1282,100)))</f>
        <v/>
      </c>
      <c r="N1282" s="15" t="str">
        <f aca="false">IF(OR($A1282="",$B1282="",$L1282="",$M1282="",$J1282="취소"),"",IF(SUMPRODUCT(($A$3:$A$2002=$A1282)*($B$3:$B$2002=$B1282)*($J$3:$J$2002&lt;&gt;"취소")*($L$3:$L$2002&lt;&gt;"")*($M$3:$M$2002&lt;&gt;"")*($L$3:$L$2002&lt;$M1282)*($M$3:$M$2002&gt;$L1282))&gt;1,"중복","-"))</f>
        <v/>
      </c>
    </row>
    <row r="1283" customFormat="false" ht="15" hidden="false" customHeight="true" outlineLevel="0" collapsed="false">
      <c r="A1283" s="11"/>
      <c r="B1283" s="7"/>
      <c r="C1283" s="12" t="str">
        <f aca="false">IF($B1283="","",IFERROR(INDEX(자원목록!$B$3:$B$102,MATCH($B1283,자원목록!$A$3:$A$102,0)),"미등록자원"))</f>
        <v/>
      </c>
      <c r="D1283" s="7"/>
      <c r="E1283" s="12" t="str">
        <f aca="false">IF($D1283="","",IFERROR(INDEX(고객목록!$B$3:$B$502,MATCH($D1283,고객목록!$A$3:$A$502,0)),""))</f>
        <v/>
      </c>
      <c r="F1283" s="13"/>
      <c r="G1283" s="13"/>
      <c r="H1283" s="14" t="str">
        <f aca="false">IF(OR($L1283="",$M1283=""),"",ROUND(($M1283-$L1283)/60,2))</f>
        <v/>
      </c>
      <c r="I1283" s="9"/>
      <c r="J1283" s="7"/>
      <c r="K1283" s="7"/>
      <c r="L1283" s="15" t="str">
        <f aca="false">IF($F1283="","",IF($F1283&lt;1,ROUND($F1283*1440,0),INT($F1283/100)*60+MOD($F1283,100)))</f>
        <v/>
      </c>
      <c r="M1283" s="15" t="str">
        <f aca="false">IF($G1283="","",IF($G1283&lt;1,ROUND($G1283*1440,0),INT($G1283/100)*60+MOD($G1283,100)))</f>
        <v/>
      </c>
      <c r="N1283" s="15" t="str">
        <f aca="false">IF(OR($A1283="",$B1283="",$L1283="",$M1283="",$J1283="취소"),"",IF(SUMPRODUCT(($A$3:$A$2002=$A1283)*($B$3:$B$2002=$B1283)*($J$3:$J$2002&lt;&gt;"취소")*($L$3:$L$2002&lt;&gt;"")*($M$3:$M$2002&lt;&gt;"")*($L$3:$L$2002&lt;$M1283)*($M$3:$M$2002&gt;$L1283))&gt;1,"중복","-"))</f>
        <v/>
      </c>
    </row>
    <row r="1284" customFormat="false" ht="15" hidden="false" customHeight="true" outlineLevel="0" collapsed="false">
      <c r="A1284" s="11"/>
      <c r="B1284" s="7"/>
      <c r="C1284" s="12" t="str">
        <f aca="false">IF($B1284="","",IFERROR(INDEX(자원목록!$B$3:$B$102,MATCH($B1284,자원목록!$A$3:$A$102,0)),"미등록자원"))</f>
        <v/>
      </c>
      <c r="D1284" s="7"/>
      <c r="E1284" s="12" t="str">
        <f aca="false">IF($D1284="","",IFERROR(INDEX(고객목록!$B$3:$B$502,MATCH($D1284,고객목록!$A$3:$A$502,0)),""))</f>
        <v/>
      </c>
      <c r="F1284" s="13"/>
      <c r="G1284" s="13"/>
      <c r="H1284" s="14" t="str">
        <f aca="false">IF(OR($L1284="",$M1284=""),"",ROUND(($M1284-$L1284)/60,2))</f>
        <v/>
      </c>
      <c r="I1284" s="9"/>
      <c r="J1284" s="7"/>
      <c r="K1284" s="7"/>
      <c r="L1284" s="15" t="str">
        <f aca="false">IF($F1284="","",IF($F1284&lt;1,ROUND($F1284*1440,0),INT($F1284/100)*60+MOD($F1284,100)))</f>
        <v/>
      </c>
      <c r="M1284" s="15" t="str">
        <f aca="false">IF($G1284="","",IF($G1284&lt;1,ROUND($G1284*1440,0),INT($G1284/100)*60+MOD($G1284,100)))</f>
        <v/>
      </c>
      <c r="N1284" s="15" t="str">
        <f aca="false">IF(OR($A1284="",$B1284="",$L1284="",$M1284="",$J1284="취소"),"",IF(SUMPRODUCT(($A$3:$A$2002=$A1284)*($B$3:$B$2002=$B1284)*($J$3:$J$2002&lt;&gt;"취소")*($L$3:$L$2002&lt;&gt;"")*($M$3:$M$2002&lt;&gt;"")*($L$3:$L$2002&lt;$M1284)*($M$3:$M$2002&gt;$L1284))&gt;1,"중복","-"))</f>
        <v/>
      </c>
    </row>
    <row r="1285" customFormat="false" ht="15" hidden="false" customHeight="true" outlineLevel="0" collapsed="false">
      <c r="A1285" s="11"/>
      <c r="B1285" s="7"/>
      <c r="C1285" s="12" t="str">
        <f aca="false">IF($B1285="","",IFERROR(INDEX(자원목록!$B$3:$B$102,MATCH($B1285,자원목록!$A$3:$A$102,0)),"미등록자원"))</f>
        <v/>
      </c>
      <c r="D1285" s="7"/>
      <c r="E1285" s="12" t="str">
        <f aca="false">IF($D1285="","",IFERROR(INDEX(고객목록!$B$3:$B$502,MATCH($D1285,고객목록!$A$3:$A$502,0)),""))</f>
        <v/>
      </c>
      <c r="F1285" s="13"/>
      <c r="G1285" s="13"/>
      <c r="H1285" s="14" t="str">
        <f aca="false">IF(OR($L1285="",$M1285=""),"",ROUND(($M1285-$L1285)/60,2))</f>
        <v/>
      </c>
      <c r="I1285" s="9"/>
      <c r="J1285" s="7"/>
      <c r="K1285" s="7"/>
      <c r="L1285" s="15" t="str">
        <f aca="false">IF($F1285="","",IF($F1285&lt;1,ROUND($F1285*1440,0),INT($F1285/100)*60+MOD($F1285,100)))</f>
        <v/>
      </c>
      <c r="M1285" s="15" t="str">
        <f aca="false">IF($G1285="","",IF($G1285&lt;1,ROUND($G1285*1440,0),INT($G1285/100)*60+MOD($G1285,100)))</f>
        <v/>
      </c>
      <c r="N1285" s="15" t="str">
        <f aca="false">IF(OR($A1285="",$B1285="",$L1285="",$M1285="",$J1285="취소"),"",IF(SUMPRODUCT(($A$3:$A$2002=$A1285)*($B$3:$B$2002=$B1285)*($J$3:$J$2002&lt;&gt;"취소")*($L$3:$L$2002&lt;&gt;"")*($M$3:$M$2002&lt;&gt;"")*($L$3:$L$2002&lt;$M1285)*($M$3:$M$2002&gt;$L1285))&gt;1,"중복","-"))</f>
        <v/>
      </c>
    </row>
    <row r="1286" customFormat="false" ht="15" hidden="false" customHeight="true" outlineLevel="0" collapsed="false">
      <c r="A1286" s="11"/>
      <c r="B1286" s="7"/>
      <c r="C1286" s="12" t="str">
        <f aca="false">IF($B1286="","",IFERROR(INDEX(자원목록!$B$3:$B$102,MATCH($B1286,자원목록!$A$3:$A$102,0)),"미등록자원"))</f>
        <v/>
      </c>
      <c r="D1286" s="7"/>
      <c r="E1286" s="12" t="str">
        <f aca="false">IF($D1286="","",IFERROR(INDEX(고객목록!$B$3:$B$502,MATCH($D1286,고객목록!$A$3:$A$502,0)),""))</f>
        <v/>
      </c>
      <c r="F1286" s="13"/>
      <c r="G1286" s="13"/>
      <c r="H1286" s="14" t="str">
        <f aca="false">IF(OR($L1286="",$M1286=""),"",ROUND(($M1286-$L1286)/60,2))</f>
        <v/>
      </c>
      <c r="I1286" s="9"/>
      <c r="J1286" s="7"/>
      <c r="K1286" s="7"/>
      <c r="L1286" s="15" t="str">
        <f aca="false">IF($F1286="","",IF($F1286&lt;1,ROUND($F1286*1440,0),INT($F1286/100)*60+MOD($F1286,100)))</f>
        <v/>
      </c>
      <c r="M1286" s="15" t="str">
        <f aca="false">IF($G1286="","",IF($G1286&lt;1,ROUND($G1286*1440,0),INT($G1286/100)*60+MOD($G1286,100)))</f>
        <v/>
      </c>
      <c r="N1286" s="15" t="str">
        <f aca="false">IF(OR($A1286="",$B1286="",$L1286="",$M1286="",$J1286="취소"),"",IF(SUMPRODUCT(($A$3:$A$2002=$A1286)*($B$3:$B$2002=$B1286)*($J$3:$J$2002&lt;&gt;"취소")*($L$3:$L$2002&lt;&gt;"")*($M$3:$M$2002&lt;&gt;"")*($L$3:$L$2002&lt;$M1286)*($M$3:$M$2002&gt;$L1286))&gt;1,"중복","-"))</f>
        <v/>
      </c>
    </row>
    <row r="1287" customFormat="false" ht="15" hidden="false" customHeight="true" outlineLevel="0" collapsed="false">
      <c r="A1287" s="11"/>
      <c r="B1287" s="7"/>
      <c r="C1287" s="12" t="str">
        <f aca="false">IF($B1287="","",IFERROR(INDEX(자원목록!$B$3:$B$102,MATCH($B1287,자원목록!$A$3:$A$102,0)),"미등록자원"))</f>
        <v/>
      </c>
      <c r="D1287" s="7"/>
      <c r="E1287" s="12" t="str">
        <f aca="false">IF($D1287="","",IFERROR(INDEX(고객목록!$B$3:$B$502,MATCH($D1287,고객목록!$A$3:$A$502,0)),""))</f>
        <v/>
      </c>
      <c r="F1287" s="13"/>
      <c r="G1287" s="13"/>
      <c r="H1287" s="14" t="str">
        <f aca="false">IF(OR($L1287="",$M1287=""),"",ROUND(($M1287-$L1287)/60,2))</f>
        <v/>
      </c>
      <c r="I1287" s="9"/>
      <c r="J1287" s="7"/>
      <c r="K1287" s="7"/>
      <c r="L1287" s="15" t="str">
        <f aca="false">IF($F1287="","",IF($F1287&lt;1,ROUND($F1287*1440,0),INT($F1287/100)*60+MOD($F1287,100)))</f>
        <v/>
      </c>
      <c r="M1287" s="15" t="str">
        <f aca="false">IF($G1287="","",IF($G1287&lt;1,ROUND($G1287*1440,0),INT($G1287/100)*60+MOD($G1287,100)))</f>
        <v/>
      </c>
      <c r="N1287" s="15" t="str">
        <f aca="false">IF(OR($A1287="",$B1287="",$L1287="",$M1287="",$J1287="취소"),"",IF(SUMPRODUCT(($A$3:$A$2002=$A1287)*($B$3:$B$2002=$B1287)*($J$3:$J$2002&lt;&gt;"취소")*($L$3:$L$2002&lt;&gt;"")*($M$3:$M$2002&lt;&gt;"")*($L$3:$L$2002&lt;$M1287)*($M$3:$M$2002&gt;$L1287))&gt;1,"중복","-"))</f>
        <v/>
      </c>
    </row>
    <row r="1288" customFormat="false" ht="15" hidden="false" customHeight="true" outlineLevel="0" collapsed="false">
      <c r="A1288" s="11"/>
      <c r="B1288" s="7"/>
      <c r="C1288" s="12" t="str">
        <f aca="false">IF($B1288="","",IFERROR(INDEX(자원목록!$B$3:$B$102,MATCH($B1288,자원목록!$A$3:$A$102,0)),"미등록자원"))</f>
        <v/>
      </c>
      <c r="D1288" s="7"/>
      <c r="E1288" s="12" t="str">
        <f aca="false">IF($D1288="","",IFERROR(INDEX(고객목록!$B$3:$B$502,MATCH($D1288,고객목록!$A$3:$A$502,0)),""))</f>
        <v/>
      </c>
      <c r="F1288" s="13"/>
      <c r="G1288" s="13"/>
      <c r="H1288" s="14" t="str">
        <f aca="false">IF(OR($L1288="",$M1288=""),"",ROUND(($M1288-$L1288)/60,2))</f>
        <v/>
      </c>
      <c r="I1288" s="9"/>
      <c r="J1288" s="7"/>
      <c r="K1288" s="7"/>
      <c r="L1288" s="15" t="str">
        <f aca="false">IF($F1288="","",IF($F1288&lt;1,ROUND($F1288*1440,0),INT($F1288/100)*60+MOD($F1288,100)))</f>
        <v/>
      </c>
      <c r="M1288" s="15" t="str">
        <f aca="false">IF($G1288="","",IF($G1288&lt;1,ROUND($G1288*1440,0),INT($G1288/100)*60+MOD($G1288,100)))</f>
        <v/>
      </c>
      <c r="N1288" s="15" t="str">
        <f aca="false">IF(OR($A1288="",$B1288="",$L1288="",$M1288="",$J1288="취소"),"",IF(SUMPRODUCT(($A$3:$A$2002=$A1288)*($B$3:$B$2002=$B1288)*($J$3:$J$2002&lt;&gt;"취소")*($L$3:$L$2002&lt;&gt;"")*($M$3:$M$2002&lt;&gt;"")*($L$3:$L$2002&lt;$M1288)*($M$3:$M$2002&gt;$L1288))&gt;1,"중복","-"))</f>
        <v/>
      </c>
    </row>
    <row r="1289" customFormat="false" ht="15" hidden="false" customHeight="true" outlineLevel="0" collapsed="false">
      <c r="A1289" s="11"/>
      <c r="B1289" s="7"/>
      <c r="C1289" s="12" t="str">
        <f aca="false">IF($B1289="","",IFERROR(INDEX(자원목록!$B$3:$B$102,MATCH($B1289,자원목록!$A$3:$A$102,0)),"미등록자원"))</f>
        <v/>
      </c>
      <c r="D1289" s="7"/>
      <c r="E1289" s="12" t="str">
        <f aca="false">IF($D1289="","",IFERROR(INDEX(고객목록!$B$3:$B$502,MATCH($D1289,고객목록!$A$3:$A$502,0)),""))</f>
        <v/>
      </c>
      <c r="F1289" s="13"/>
      <c r="G1289" s="13"/>
      <c r="H1289" s="14" t="str">
        <f aca="false">IF(OR($L1289="",$M1289=""),"",ROUND(($M1289-$L1289)/60,2))</f>
        <v/>
      </c>
      <c r="I1289" s="9"/>
      <c r="J1289" s="7"/>
      <c r="K1289" s="7"/>
      <c r="L1289" s="15" t="str">
        <f aca="false">IF($F1289="","",IF($F1289&lt;1,ROUND($F1289*1440,0),INT($F1289/100)*60+MOD($F1289,100)))</f>
        <v/>
      </c>
      <c r="M1289" s="15" t="str">
        <f aca="false">IF($G1289="","",IF($G1289&lt;1,ROUND($G1289*1440,0),INT($G1289/100)*60+MOD($G1289,100)))</f>
        <v/>
      </c>
      <c r="N1289" s="15" t="str">
        <f aca="false">IF(OR($A1289="",$B1289="",$L1289="",$M1289="",$J1289="취소"),"",IF(SUMPRODUCT(($A$3:$A$2002=$A1289)*($B$3:$B$2002=$B1289)*($J$3:$J$2002&lt;&gt;"취소")*($L$3:$L$2002&lt;&gt;"")*($M$3:$M$2002&lt;&gt;"")*($L$3:$L$2002&lt;$M1289)*($M$3:$M$2002&gt;$L1289))&gt;1,"중복","-"))</f>
        <v/>
      </c>
    </row>
    <row r="1290" customFormat="false" ht="15" hidden="false" customHeight="true" outlineLevel="0" collapsed="false">
      <c r="A1290" s="11"/>
      <c r="B1290" s="7"/>
      <c r="C1290" s="12" t="str">
        <f aca="false">IF($B1290="","",IFERROR(INDEX(자원목록!$B$3:$B$102,MATCH($B1290,자원목록!$A$3:$A$102,0)),"미등록자원"))</f>
        <v/>
      </c>
      <c r="D1290" s="7"/>
      <c r="E1290" s="12" t="str">
        <f aca="false">IF($D1290="","",IFERROR(INDEX(고객목록!$B$3:$B$502,MATCH($D1290,고객목록!$A$3:$A$502,0)),""))</f>
        <v/>
      </c>
      <c r="F1290" s="13"/>
      <c r="G1290" s="13"/>
      <c r="H1290" s="14" t="str">
        <f aca="false">IF(OR($L1290="",$M1290=""),"",ROUND(($M1290-$L1290)/60,2))</f>
        <v/>
      </c>
      <c r="I1290" s="9"/>
      <c r="J1290" s="7"/>
      <c r="K1290" s="7"/>
      <c r="L1290" s="15" t="str">
        <f aca="false">IF($F1290="","",IF($F1290&lt;1,ROUND($F1290*1440,0),INT($F1290/100)*60+MOD($F1290,100)))</f>
        <v/>
      </c>
      <c r="M1290" s="15" t="str">
        <f aca="false">IF($G1290="","",IF($G1290&lt;1,ROUND($G1290*1440,0),INT($G1290/100)*60+MOD($G1290,100)))</f>
        <v/>
      </c>
      <c r="N1290" s="15" t="str">
        <f aca="false">IF(OR($A1290="",$B1290="",$L1290="",$M1290="",$J1290="취소"),"",IF(SUMPRODUCT(($A$3:$A$2002=$A1290)*($B$3:$B$2002=$B1290)*($J$3:$J$2002&lt;&gt;"취소")*($L$3:$L$2002&lt;&gt;"")*($M$3:$M$2002&lt;&gt;"")*($L$3:$L$2002&lt;$M1290)*($M$3:$M$2002&gt;$L1290))&gt;1,"중복","-"))</f>
        <v/>
      </c>
    </row>
    <row r="1291" customFormat="false" ht="15" hidden="false" customHeight="true" outlineLevel="0" collapsed="false">
      <c r="A1291" s="11"/>
      <c r="B1291" s="7"/>
      <c r="C1291" s="12" t="str">
        <f aca="false">IF($B1291="","",IFERROR(INDEX(자원목록!$B$3:$B$102,MATCH($B1291,자원목록!$A$3:$A$102,0)),"미등록자원"))</f>
        <v/>
      </c>
      <c r="D1291" s="7"/>
      <c r="E1291" s="12" t="str">
        <f aca="false">IF($D1291="","",IFERROR(INDEX(고객목록!$B$3:$B$502,MATCH($D1291,고객목록!$A$3:$A$502,0)),""))</f>
        <v/>
      </c>
      <c r="F1291" s="13"/>
      <c r="G1291" s="13"/>
      <c r="H1291" s="14" t="str">
        <f aca="false">IF(OR($L1291="",$M1291=""),"",ROUND(($M1291-$L1291)/60,2))</f>
        <v/>
      </c>
      <c r="I1291" s="9"/>
      <c r="J1291" s="7"/>
      <c r="K1291" s="7"/>
      <c r="L1291" s="15" t="str">
        <f aca="false">IF($F1291="","",IF($F1291&lt;1,ROUND($F1291*1440,0),INT($F1291/100)*60+MOD($F1291,100)))</f>
        <v/>
      </c>
      <c r="M1291" s="15" t="str">
        <f aca="false">IF($G1291="","",IF($G1291&lt;1,ROUND($G1291*1440,0),INT($G1291/100)*60+MOD($G1291,100)))</f>
        <v/>
      </c>
      <c r="N1291" s="15" t="str">
        <f aca="false">IF(OR($A1291="",$B1291="",$L1291="",$M1291="",$J1291="취소"),"",IF(SUMPRODUCT(($A$3:$A$2002=$A1291)*($B$3:$B$2002=$B1291)*($J$3:$J$2002&lt;&gt;"취소")*($L$3:$L$2002&lt;&gt;"")*($M$3:$M$2002&lt;&gt;"")*($L$3:$L$2002&lt;$M1291)*($M$3:$M$2002&gt;$L1291))&gt;1,"중복","-"))</f>
        <v/>
      </c>
    </row>
    <row r="1292" customFormat="false" ht="15" hidden="false" customHeight="true" outlineLevel="0" collapsed="false">
      <c r="A1292" s="11"/>
      <c r="B1292" s="7"/>
      <c r="C1292" s="12" t="str">
        <f aca="false">IF($B1292="","",IFERROR(INDEX(자원목록!$B$3:$B$102,MATCH($B1292,자원목록!$A$3:$A$102,0)),"미등록자원"))</f>
        <v/>
      </c>
      <c r="D1292" s="7"/>
      <c r="E1292" s="12" t="str">
        <f aca="false">IF($D1292="","",IFERROR(INDEX(고객목록!$B$3:$B$502,MATCH($D1292,고객목록!$A$3:$A$502,0)),""))</f>
        <v/>
      </c>
      <c r="F1292" s="13"/>
      <c r="G1292" s="13"/>
      <c r="H1292" s="14" t="str">
        <f aca="false">IF(OR($L1292="",$M1292=""),"",ROUND(($M1292-$L1292)/60,2))</f>
        <v/>
      </c>
      <c r="I1292" s="9"/>
      <c r="J1292" s="7"/>
      <c r="K1292" s="7"/>
      <c r="L1292" s="15" t="str">
        <f aca="false">IF($F1292="","",IF($F1292&lt;1,ROUND($F1292*1440,0),INT($F1292/100)*60+MOD($F1292,100)))</f>
        <v/>
      </c>
      <c r="M1292" s="15" t="str">
        <f aca="false">IF($G1292="","",IF($G1292&lt;1,ROUND($G1292*1440,0),INT($G1292/100)*60+MOD($G1292,100)))</f>
        <v/>
      </c>
      <c r="N1292" s="15" t="str">
        <f aca="false">IF(OR($A1292="",$B1292="",$L1292="",$M1292="",$J1292="취소"),"",IF(SUMPRODUCT(($A$3:$A$2002=$A1292)*($B$3:$B$2002=$B1292)*($J$3:$J$2002&lt;&gt;"취소")*($L$3:$L$2002&lt;&gt;"")*($M$3:$M$2002&lt;&gt;"")*($L$3:$L$2002&lt;$M1292)*($M$3:$M$2002&gt;$L1292))&gt;1,"중복","-"))</f>
        <v/>
      </c>
    </row>
    <row r="1293" customFormat="false" ht="15" hidden="false" customHeight="true" outlineLevel="0" collapsed="false">
      <c r="A1293" s="11"/>
      <c r="B1293" s="7"/>
      <c r="C1293" s="12" t="str">
        <f aca="false">IF($B1293="","",IFERROR(INDEX(자원목록!$B$3:$B$102,MATCH($B1293,자원목록!$A$3:$A$102,0)),"미등록자원"))</f>
        <v/>
      </c>
      <c r="D1293" s="7"/>
      <c r="E1293" s="12" t="str">
        <f aca="false">IF($D1293="","",IFERROR(INDEX(고객목록!$B$3:$B$502,MATCH($D1293,고객목록!$A$3:$A$502,0)),""))</f>
        <v/>
      </c>
      <c r="F1293" s="13"/>
      <c r="G1293" s="13"/>
      <c r="H1293" s="14" t="str">
        <f aca="false">IF(OR($L1293="",$M1293=""),"",ROUND(($M1293-$L1293)/60,2))</f>
        <v/>
      </c>
      <c r="I1293" s="9"/>
      <c r="J1293" s="7"/>
      <c r="K1293" s="7"/>
      <c r="L1293" s="15" t="str">
        <f aca="false">IF($F1293="","",IF($F1293&lt;1,ROUND($F1293*1440,0),INT($F1293/100)*60+MOD($F1293,100)))</f>
        <v/>
      </c>
      <c r="M1293" s="15" t="str">
        <f aca="false">IF($G1293="","",IF($G1293&lt;1,ROUND($G1293*1440,0),INT($G1293/100)*60+MOD($G1293,100)))</f>
        <v/>
      </c>
      <c r="N1293" s="15" t="str">
        <f aca="false">IF(OR($A1293="",$B1293="",$L1293="",$M1293="",$J1293="취소"),"",IF(SUMPRODUCT(($A$3:$A$2002=$A1293)*($B$3:$B$2002=$B1293)*($J$3:$J$2002&lt;&gt;"취소")*($L$3:$L$2002&lt;&gt;"")*($M$3:$M$2002&lt;&gt;"")*($L$3:$L$2002&lt;$M1293)*($M$3:$M$2002&gt;$L1293))&gt;1,"중복","-"))</f>
        <v/>
      </c>
    </row>
    <row r="1294" customFormat="false" ht="15" hidden="false" customHeight="true" outlineLevel="0" collapsed="false">
      <c r="A1294" s="11"/>
      <c r="B1294" s="7"/>
      <c r="C1294" s="12" t="str">
        <f aca="false">IF($B1294="","",IFERROR(INDEX(자원목록!$B$3:$B$102,MATCH($B1294,자원목록!$A$3:$A$102,0)),"미등록자원"))</f>
        <v/>
      </c>
      <c r="D1294" s="7"/>
      <c r="E1294" s="12" t="str">
        <f aca="false">IF($D1294="","",IFERROR(INDEX(고객목록!$B$3:$B$502,MATCH($D1294,고객목록!$A$3:$A$502,0)),""))</f>
        <v/>
      </c>
      <c r="F1294" s="13"/>
      <c r="G1294" s="13"/>
      <c r="H1294" s="14" t="str">
        <f aca="false">IF(OR($L1294="",$M1294=""),"",ROUND(($M1294-$L1294)/60,2))</f>
        <v/>
      </c>
      <c r="I1294" s="9"/>
      <c r="J1294" s="7"/>
      <c r="K1294" s="7"/>
      <c r="L1294" s="15" t="str">
        <f aca="false">IF($F1294="","",IF($F1294&lt;1,ROUND($F1294*1440,0),INT($F1294/100)*60+MOD($F1294,100)))</f>
        <v/>
      </c>
      <c r="M1294" s="15" t="str">
        <f aca="false">IF($G1294="","",IF($G1294&lt;1,ROUND($G1294*1440,0),INT($G1294/100)*60+MOD($G1294,100)))</f>
        <v/>
      </c>
      <c r="N1294" s="15" t="str">
        <f aca="false">IF(OR($A1294="",$B1294="",$L1294="",$M1294="",$J1294="취소"),"",IF(SUMPRODUCT(($A$3:$A$2002=$A1294)*($B$3:$B$2002=$B1294)*($J$3:$J$2002&lt;&gt;"취소")*($L$3:$L$2002&lt;&gt;"")*($M$3:$M$2002&lt;&gt;"")*($L$3:$L$2002&lt;$M1294)*($M$3:$M$2002&gt;$L1294))&gt;1,"중복","-"))</f>
        <v/>
      </c>
    </row>
    <row r="1295" customFormat="false" ht="15" hidden="false" customHeight="true" outlineLevel="0" collapsed="false">
      <c r="A1295" s="11"/>
      <c r="B1295" s="7"/>
      <c r="C1295" s="12" t="str">
        <f aca="false">IF($B1295="","",IFERROR(INDEX(자원목록!$B$3:$B$102,MATCH($B1295,자원목록!$A$3:$A$102,0)),"미등록자원"))</f>
        <v/>
      </c>
      <c r="D1295" s="7"/>
      <c r="E1295" s="12" t="str">
        <f aca="false">IF($D1295="","",IFERROR(INDEX(고객목록!$B$3:$B$502,MATCH($D1295,고객목록!$A$3:$A$502,0)),""))</f>
        <v/>
      </c>
      <c r="F1295" s="13"/>
      <c r="G1295" s="13"/>
      <c r="H1295" s="14" t="str">
        <f aca="false">IF(OR($L1295="",$M1295=""),"",ROUND(($M1295-$L1295)/60,2))</f>
        <v/>
      </c>
      <c r="I1295" s="9"/>
      <c r="J1295" s="7"/>
      <c r="K1295" s="7"/>
      <c r="L1295" s="15" t="str">
        <f aca="false">IF($F1295="","",IF($F1295&lt;1,ROUND($F1295*1440,0),INT($F1295/100)*60+MOD($F1295,100)))</f>
        <v/>
      </c>
      <c r="M1295" s="15" t="str">
        <f aca="false">IF($G1295="","",IF($G1295&lt;1,ROUND($G1295*1440,0),INT($G1295/100)*60+MOD($G1295,100)))</f>
        <v/>
      </c>
      <c r="N1295" s="15" t="str">
        <f aca="false">IF(OR($A1295="",$B1295="",$L1295="",$M1295="",$J1295="취소"),"",IF(SUMPRODUCT(($A$3:$A$2002=$A1295)*($B$3:$B$2002=$B1295)*($J$3:$J$2002&lt;&gt;"취소")*($L$3:$L$2002&lt;&gt;"")*($M$3:$M$2002&lt;&gt;"")*($L$3:$L$2002&lt;$M1295)*($M$3:$M$2002&gt;$L1295))&gt;1,"중복","-"))</f>
        <v/>
      </c>
    </row>
    <row r="1296" customFormat="false" ht="15" hidden="false" customHeight="true" outlineLevel="0" collapsed="false">
      <c r="A1296" s="11"/>
      <c r="B1296" s="7"/>
      <c r="C1296" s="12" t="str">
        <f aca="false">IF($B1296="","",IFERROR(INDEX(자원목록!$B$3:$B$102,MATCH($B1296,자원목록!$A$3:$A$102,0)),"미등록자원"))</f>
        <v/>
      </c>
      <c r="D1296" s="7"/>
      <c r="E1296" s="12" t="str">
        <f aca="false">IF($D1296="","",IFERROR(INDEX(고객목록!$B$3:$B$502,MATCH($D1296,고객목록!$A$3:$A$502,0)),""))</f>
        <v/>
      </c>
      <c r="F1296" s="13"/>
      <c r="G1296" s="13"/>
      <c r="H1296" s="14" t="str">
        <f aca="false">IF(OR($L1296="",$M1296=""),"",ROUND(($M1296-$L1296)/60,2))</f>
        <v/>
      </c>
      <c r="I1296" s="9"/>
      <c r="J1296" s="7"/>
      <c r="K1296" s="7"/>
      <c r="L1296" s="15" t="str">
        <f aca="false">IF($F1296="","",IF($F1296&lt;1,ROUND($F1296*1440,0),INT($F1296/100)*60+MOD($F1296,100)))</f>
        <v/>
      </c>
      <c r="M1296" s="15" t="str">
        <f aca="false">IF($G1296="","",IF($G1296&lt;1,ROUND($G1296*1440,0),INT($G1296/100)*60+MOD($G1296,100)))</f>
        <v/>
      </c>
      <c r="N1296" s="15" t="str">
        <f aca="false">IF(OR($A1296="",$B1296="",$L1296="",$M1296="",$J1296="취소"),"",IF(SUMPRODUCT(($A$3:$A$2002=$A1296)*($B$3:$B$2002=$B1296)*($J$3:$J$2002&lt;&gt;"취소")*($L$3:$L$2002&lt;&gt;"")*($M$3:$M$2002&lt;&gt;"")*($L$3:$L$2002&lt;$M1296)*($M$3:$M$2002&gt;$L1296))&gt;1,"중복","-"))</f>
        <v/>
      </c>
    </row>
    <row r="1297" customFormat="false" ht="15" hidden="false" customHeight="true" outlineLevel="0" collapsed="false">
      <c r="A1297" s="11"/>
      <c r="B1297" s="7"/>
      <c r="C1297" s="12" t="str">
        <f aca="false">IF($B1297="","",IFERROR(INDEX(자원목록!$B$3:$B$102,MATCH($B1297,자원목록!$A$3:$A$102,0)),"미등록자원"))</f>
        <v/>
      </c>
      <c r="D1297" s="7"/>
      <c r="E1297" s="12" t="str">
        <f aca="false">IF($D1297="","",IFERROR(INDEX(고객목록!$B$3:$B$502,MATCH($D1297,고객목록!$A$3:$A$502,0)),""))</f>
        <v/>
      </c>
      <c r="F1297" s="13"/>
      <c r="G1297" s="13"/>
      <c r="H1297" s="14" t="str">
        <f aca="false">IF(OR($L1297="",$M1297=""),"",ROUND(($M1297-$L1297)/60,2))</f>
        <v/>
      </c>
      <c r="I1297" s="9"/>
      <c r="J1297" s="7"/>
      <c r="K1297" s="7"/>
      <c r="L1297" s="15" t="str">
        <f aca="false">IF($F1297="","",IF($F1297&lt;1,ROUND($F1297*1440,0),INT($F1297/100)*60+MOD($F1297,100)))</f>
        <v/>
      </c>
      <c r="M1297" s="15" t="str">
        <f aca="false">IF($G1297="","",IF($G1297&lt;1,ROUND($G1297*1440,0),INT($G1297/100)*60+MOD($G1297,100)))</f>
        <v/>
      </c>
      <c r="N1297" s="15" t="str">
        <f aca="false">IF(OR($A1297="",$B1297="",$L1297="",$M1297="",$J1297="취소"),"",IF(SUMPRODUCT(($A$3:$A$2002=$A1297)*($B$3:$B$2002=$B1297)*($J$3:$J$2002&lt;&gt;"취소")*($L$3:$L$2002&lt;&gt;"")*($M$3:$M$2002&lt;&gt;"")*($L$3:$L$2002&lt;$M1297)*($M$3:$M$2002&gt;$L1297))&gt;1,"중복","-"))</f>
        <v/>
      </c>
    </row>
    <row r="1298" customFormat="false" ht="15" hidden="false" customHeight="true" outlineLevel="0" collapsed="false">
      <c r="A1298" s="11"/>
      <c r="B1298" s="7"/>
      <c r="C1298" s="12" t="str">
        <f aca="false">IF($B1298="","",IFERROR(INDEX(자원목록!$B$3:$B$102,MATCH($B1298,자원목록!$A$3:$A$102,0)),"미등록자원"))</f>
        <v/>
      </c>
      <c r="D1298" s="7"/>
      <c r="E1298" s="12" t="str">
        <f aca="false">IF($D1298="","",IFERROR(INDEX(고객목록!$B$3:$B$502,MATCH($D1298,고객목록!$A$3:$A$502,0)),""))</f>
        <v/>
      </c>
      <c r="F1298" s="13"/>
      <c r="G1298" s="13"/>
      <c r="H1298" s="14" t="str">
        <f aca="false">IF(OR($L1298="",$M1298=""),"",ROUND(($M1298-$L1298)/60,2))</f>
        <v/>
      </c>
      <c r="I1298" s="9"/>
      <c r="J1298" s="7"/>
      <c r="K1298" s="7"/>
      <c r="L1298" s="15" t="str">
        <f aca="false">IF($F1298="","",IF($F1298&lt;1,ROUND($F1298*1440,0),INT($F1298/100)*60+MOD($F1298,100)))</f>
        <v/>
      </c>
      <c r="M1298" s="15" t="str">
        <f aca="false">IF($G1298="","",IF($G1298&lt;1,ROUND($G1298*1440,0),INT($G1298/100)*60+MOD($G1298,100)))</f>
        <v/>
      </c>
      <c r="N1298" s="15" t="str">
        <f aca="false">IF(OR($A1298="",$B1298="",$L1298="",$M1298="",$J1298="취소"),"",IF(SUMPRODUCT(($A$3:$A$2002=$A1298)*($B$3:$B$2002=$B1298)*($J$3:$J$2002&lt;&gt;"취소")*($L$3:$L$2002&lt;&gt;"")*($M$3:$M$2002&lt;&gt;"")*($L$3:$L$2002&lt;$M1298)*($M$3:$M$2002&gt;$L1298))&gt;1,"중복","-"))</f>
        <v/>
      </c>
    </row>
    <row r="1299" customFormat="false" ht="15" hidden="false" customHeight="true" outlineLevel="0" collapsed="false">
      <c r="A1299" s="11"/>
      <c r="B1299" s="7"/>
      <c r="C1299" s="12" t="str">
        <f aca="false">IF($B1299="","",IFERROR(INDEX(자원목록!$B$3:$B$102,MATCH($B1299,자원목록!$A$3:$A$102,0)),"미등록자원"))</f>
        <v/>
      </c>
      <c r="D1299" s="7"/>
      <c r="E1299" s="12" t="str">
        <f aca="false">IF($D1299="","",IFERROR(INDEX(고객목록!$B$3:$B$502,MATCH($D1299,고객목록!$A$3:$A$502,0)),""))</f>
        <v/>
      </c>
      <c r="F1299" s="13"/>
      <c r="G1299" s="13"/>
      <c r="H1299" s="14" t="str">
        <f aca="false">IF(OR($L1299="",$M1299=""),"",ROUND(($M1299-$L1299)/60,2))</f>
        <v/>
      </c>
      <c r="I1299" s="9"/>
      <c r="J1299" s="7"/>
      <c r="K1299" s="7"/>
      <c r="L1299" s="15" t="str">
        <f aca="false">IF($F1299="","",IF($F1299&lt;1,ROUND($F1299*1440,0),INT($F1299/100)*60+MOD($F1299,100)))</f>
        <v/>
      </c>
      <c r="M1299" s="15" t="str">
        <f aca="false">IF($G1299="","",IF($G1299&lt;1,ROUND($G1299*1440,0),INT($G1299/100)*60+MOD($G1299,100)))</f>
        <v/>
      </c>
      <c r="N1299" s="15" t="str">
        <f aca="false">IF(OR($A1299="",$B1299="",$L1299="",$M1299="",$J1299="취소"),"",IF(SUMPRODUCT(($A$3:$A$2002=$A1299)*($B$3:$B$2002=$B1299)*($J$3:$J$2002&lt;&gt;"취소")*($L$3:$L$2002&lt;&gt;"")*($M$3:$M$2002&lt;&gt;"")*($L$3:$L$2002&lt;$M1299)*($M$3:$M$2002&gt;$L1299))&gt;1,"중복","-"))</f>
        <v/>
      </c>
    </row>
    <row r="1300" customFormat="false" ht="15" hidden="false" customHeight="true" outlineLevel="0" collapsed="false">
      <c r="A1300" s="11"/>
      <c r="B1300" s="7"/>
      <c r="C1300" s="12" t="str">
        <f aca="false">IF($B1300="","",IFERROR(INDEX(자원목록!$B$3:$B$102,MATCH($B1300,자원목록!$A$3:$A$102,0)),"미등록자원"))</f>
        <v/>
      </c>
      <c r="D1300" s="7"/>
      <c r="E1300" s="12" t="str">
        <f aca="false">IF($D1300="","",IFERROR(INDEX(고객목록!$B$3:$B$502,MATCH($D1300,고객목록!$A$3:$A$502,0)),""))</f>
        <v/>
      </c>
      <c r="F1300" s="13"/>
      <c r="G1300" s="13"/>
      <c r="H1300" s="14" t="str">
        <f aca="false">IF(OR($L1300="",$M1300=""),"",ROUND(($M1300-$L1300)/60,2))</f>
        <v/>
      </c>
      <c r="I1300" s="9"/>
      <c r="J1300" s="7"/>
      <c r="K1300" s="7"/>
      <c r="L1300" s="15" t="str">
        <f aca="false">IF($F1300="","",IF($F1300&lt;1,ROUND($F1300*1440,0),INT($F1300/100)*60+MOD($F1300,100)))</f>
        <v/>
      </c>
      <c r="M1300" s="15" t="str">
        <f aca="false">IF($G1300="","",IF($G1300&lt;1,ROUND($G1300*1440,0),INT($G1300/100)*60+MOD($G1300,100)))</f>
        <v/>
      </c>
      <c r="N1300" s="15" t="str">
        <f aca="false">IF(OR($A1300="",$B1300="",$L1300="",$M1300="",$J1300="취소"),"",IF(SUMPRODUCT(($A$3:$A$2002=$A1300)*($B$3:$B$2002=$B1300)*($J$3:$J$2002&lt;&gt;"취소")*($L$3:$L$2002&lt;&gt;"")*($M$3:$M$2002&lt;&gt;"")*($L$3:$L$2002&lt;$M1300)*($M$3:$M$2002&gt;$L1300))&gt;1,"중복","-"))</f>
        <v/>
      </c>
    </row>
    <row r="1301" customFormat="false" ht="15" hidden="false" customHeight="true" outlineLevel="0" collapsed="false">
      <c r="A1301" s="11"/>
      <c r="B1301" s="7"/>
      <c r="C1301" s="12" t="str">
        <f aca="false">IF($B1301="","",IFERROR(INDEX(자원목록!$B$3:$B$102,MATCH($B1301,자원목록!$A$3:$A$102,0)),"미등록자원"))</f>
        <v/>
      </c>
      <c r="D1301" s="7"/>
      <c r="E1301" s="12" t="str">
        <f aca="false">IF($D1301="","",IFERROR(INDEX(고객목록!$B$3:$B$502,MATCH($D1301,고객목록!$A$3:$A$502,0)),""))</f>
        <v/>
      </c>
      <c r="F1301" s="13"/>
      <c r="G1301" s="13"/>
      <c r="H1301" s="14" t="str">
        <f aca="false">IF(OR($L1301="",$M1301=""),"",ROUND(($M1301-$L1301)/60,2))</f>
        <v/>
      </c>
      <c r="I1301" s="9"/>
      <c r="J1301" s="7"/>
      <c r="K1301" s="7"/>
      <c r="L1301" s="15" t="str">
        <f aca="false">IF($F1301="","",IF($F1301&lt;1,ROUND($F1301*1440,0),INT($F1301/100)*60+MOD($F1301,100)))</f>
        <v/>
      </c>
      <c r="M1301" s="15" t="str">
        <f aca="false">IF($G1301="","",IF($G1301&lt;1,ROUND($G1301*1440,0),INT($G1301/100)*60+MOD($G1301,100)))</f>
        <v/>
      </c>
      <c r="N1301" s="15" t="str">
        <f aca="false">IF(OR($A1301="",$B1301="",$L1301="",$M1301="",$J1301="취소"),"",IF(SUMPRODUCT(($A$3:$A$2002=$A1301)*($B$3:$B$2002=$B1301)*($J$3:$J$2002&lt;&gt;"취소")*($L$3:$L$2002&lt;&gt;"")*($M$3:$M$2002&lt;&gt;"")*($L$3:$L$2002&lt;$M1301)*($M$3:$M$2002&gt;$L1301))&gt;1,"중복","-"))</f>
        <v/>
      </c>
    </row>
    <row r="1302" customFormat="false" ht="15" hidden="false" customHeight="true" outlineLevel="0" collapsed="false">
      <c r="A1302" s="11"/>
      <c r="B1302" s="7"/>
      <c r="C1302" s="12" t="str">
        <f aca="false">IF($B1302="","",IFERROR(INDEX(자원목록!$B$3:$B$102,MATCH($B1302,자원목록!$A$3:$A$102,0)),"미등록자원"))</f>
        <v/>
      </c>
      <c r="D1302" s="7"/>
      <c r="E1302" s="12" t="str">
        <f aca="false">IF($D1302="","",IFERROR(INDEX(고객목록!$B$3:$B$502,MATCH($D1302,고객목록!$A$3:$A$502,0)),""))</f>
        <v/>
      </c>
      <c r="F1302" s="13"/>
      <c r="G1302" s="13"/>
      <c r="H1302" s="14" t="str">
        <f aca="false">IF(OR($L1302="",$M1302=""),"",ROUND(($M1302-$L1302)/60,2))</f>
        <v/>
      </c>
      <c r="I1302" s="9"/>
      <c r="J1302" s="7"/>
      <c r="K1302" s="7"/>
      <c r="L1302" s="15" t="str">
        <f aca="false">IF($F1302="","",IF($F1302&lt;1,ROUND($F1302*1440,0),INT($F1302/100)*60+MOD($F1302,100)))</f>
        <v/>
      </c>
      <c r="M1302" s="15" t="str">
        <f aca="false">IF($G1302="","",IF($G1302&lt;1,ROUND($G1302*1440,0),INT($G1302/100)*60+MOD($G1302,100)))</f>
        <v/>
      </c>
      <c r="N1302" s="15" t="str">
        <f aca="false">IF(OR($A1302="",$B1302="",$L1302="",$M1302="",$J1302="취소"),"",IF(SUMPRODUCT(($A$3:$A$2002=$A1302)*($B$3:$B$2002=$B1302)*($J$3:$J$2002&lt;&gt;"취소")*($L$3:$L$2002&lt;&gt;"")*($M$3:$M$2002&lt;&gt;"")*($L$3:$L$2002&lt;$M1302)*($M$3:$M$2002&gt;$L1302))&gt;1,"중복","-"))</f>
        <v/>
      </c>
    </row>
    <row r="1303" customFormat="false" ht="15" hidden="false" customHeight="true" outlineLevel="0" collapsed="false">
      <c r="A1303" s="11"/>
      <c r="B1303" s="7"/>
      <c r="C1303" s="12" t="str">
        <f aca="false">IF($B1303="","",IFERROR(INDEX(자원목록!$B$3:$B$102,MATCH($B1303,자원목록!$A$3:$A$102,0)),"미등록자원"))</f>
        <v/>
      </c>
      <c r="D1303" s="7"/>
      <c r="E1303" s="12" t="str">
        <f aca="false">IF($D1303="","",IFERROR(INDEX(고객목록!$B$3:$B$502,MATCH($D1303,고객목록!$A$3:$A$502,0)),""))</f>
        <v/>
      </c>
      <c r="F1303" s="13"/>
      <c r="G1303" s="13"/>
      <c r="H1303" s="14" t="str">
        <f aca="false">IF(OR($L1303="",$M1303=""),"",ROUND(($M1303-$L1303)/60,2))</f>
        <v/>
      </c>
      <c r="I1303" s="9"/>
      <c r="J1303" s="7"/>
      <c r="K1303" s="7"/>
      <c r="L1303" s="15" t="str">
        <f aca="false">IF($F1303="","",IF($F1303&lt;1,ROUND($F1303*1440,0),INT($F1303/100)*60+MOD($F1303,100)))</f>
        <v/>
      </c>
      <c r="M1303" s="15" t="str">
        <f aca="false">IF($G1303="","",IF($G1303&lt;1,ROUND($G1303*1440,0),INT($G1303/100)*60+MOD($G1303,100)))</f>
        <v/>
      </c>
      <c r="N1303" s="15" t="str">
        <f aca="false">IF(OR($A1303="",$B1303="",$L1303="",$M1303="",$J1303="취소"),"",IF(SUMPRODUCT(($A$3:$A$2002=$A1303)*($B$3:$B$2002=$B1303)*($J$3:$J$2002&lt;&gt;"취소")*($L$3:$L$2002&lt;&gt;"")*($M$3:$M$2002&lt;&gt;"")*($L$3:$L$2002&lt;$M1303)*($M$3:$M$2002&gt;$L1303))&gt;1,"중복","-"))</f>
        <v/>
      </c>
    </row>
    <row r="1304" customFormat="false" ht="15" hidden="false" customHeight="true" outlineLevel="0" collapsed="false">
      <c r="A1304" s="11"/>
      <c r="B1304" s="7"/>
      <c r="C1304" s="12" t="str">
        <f aca="false">IF($B1304="","",IFERROR(INDEX(자원목록!$B$3:$B$102,MATCH($B1304,자원목록!$A$3:$A$102,0)),"미등록자원"))</f>
        <v/>
      </c>
      <c r="D1304" s="7"/>
      <c r="E1304" s="12" t="str">
        <f aca="false">IF($D1304="","",IFERROR(INDEX(고객목록!$B$3:$B$502,MATCH($D1304,고객목록!$A$3:$A$502,0)),""))</f>
        <v/>
      </c>
      <c r="F1304" s="13"/>
      <c r="G1304" s="13"/>
      <c r="H1304" s="14" t="str">
        <f aca="false">IF(OR($L1304="",$M1304=""),"",ROUND(($M1304-$L1304)/60,2))</f>
        <v/>
      </c>
      <c r="I1304" s="9"/>
      <c r="J1304" s="7"/>
      <c r="K1304" s="7"/>
      <c r="L1304" s="15" t="str">
        <f aca="false">IF($F1304="","",IF($F1304&lt;1,ROUND($F1304*1440,0),INT($F1304/100)*60+MOD($F1304,100)))</f>
        <v/>
      </c>
      <c r="M1304" s="15" t="str">
        <f aca="false">IF($G1304="","",IF($G1304&lt;1,ROUND($G1304*1440,0),INT($G1304/100)*60+MOD($G1304,100)))</f>
        <v/>
      </c>
      <c r="N1304" s="15" t="str">
        <f aca="false">IF(OR($A1304="",$B1304="",$L1304="",$M1304="",$J1304="취소"),"",IF(SUMPRODUCT(($A$3:$A$2002=$A1304)*($B$3:$B$2002=$B1304)*($J$3:$J$2002&lt;&gt;"취소")*($L$3:$L$2002&lt;&gt;"")*($M$3:$M$2002&lt;&gt;"")*($L$3:$L$2002&lt;$M1304)*($M$3:$M$2002&gt;$L1304))&gt;1,"중복","-"))</f>
        <v/>
      </c>
    </row>
    <row r="1305" customFormat="false" ht="15" hidden="false" customHeight="true" outlineLevel="0" collapsed="false">
      <c r="A1305" s="11"/>
      <c r="B1305" s="7"/>
      <c r="C1305" s="12" t="str">
        <f aca="false">IF($B1305="","",IFERROR(INDEX(자원목록!$B$3:$B$102,MATCH($B1305,자원목록!$A$3:$A$102,0)),"미등록자원"))</f>
        <v/>
      </c>
      <c r="D1305" s="7"/>
      <c r="E1305" s="12" t="str">
        <f aca="false">IF($D1305="","",IFERROR(INDEX(고객목록!$B$3:$B$502,MATCH($D1305,고객목록!$A$3:$A$502,0)),""))</f>
        <v/>
      </c>
      <c r="F1305" s="13"/>
      <c r="G1305" s="13"/>
      <c r="H1305" s="14" t="str">
        <f aca="false">IF(OR($L1305="",$M1305=""),"",ROUND(($M1305-$L1305)/60,2))</f>
        <v/>
      </c>
      <c r="I1305" s="9"/>
      <c r="J1305" s="7"/>
      <c r="K1305" s="7"/>
      <c r="L1305" s="15" t="str">
        <f aca="false">IF($F1305="","",IF($F1305&lt;1,ROUND($F1305*1440,0),INT($F1305/100)*60+MOD($F1305,100)))</f>
        <v/>
      </c>
      <c r="M1305" s="15" t="str">
        <f aca="false">IF($G1305="","",IF($G1305&lt;1,ROUND($G1305*1440,0),INT($G1305/100)*60+MOD($G1305,100)))</f>
        <v/>
      </c>
      <c r="N1305" s="15" t="str">
        <f aca="false">IF(OR($A1305="",$B1305="",$L1305="",$M1305="",$J1305="취소"),"",IF(SUMPRODUCT(($A$3:$A$2002=$A1305)*($B$3:$B$2002=$B1305)*($J$3:$J$2002&lt;&gt;"취소")*($L$3:$L$2002&lt;&gt;"")*($M$3:$M$2002&lt;&gt;"")*($L$3:$L$2002&lt;$M1305)*($M$3:$M$2002&gt;$L1305))&gt;1,"중복","-"))</f>
        <v/>
      </c>
    </row>
    <row r="1306" customFormat="false" ht="15" hidden="false" customHeight="true" outlineLevel="0" collapsed="false">
      <c r="A1306" s="11"/>
      <c r="B1306" s="7"/>
      <c r="C1306" s="12" t="str">
        <f aca="false">IF($B1306="","",IFERROR(INDEX(자원목록!$B$3:$B$102,MATCH($B1306,자원목록!$A$3:$A$102,0)),"미등록자원"))</f>
        <v/>
      </c>
      <c r="D1306" s="7"/>
      <c r="E1306" s="12" t="str">
        <f aca="false">IF($D1306="","",IFERROR(INDEX(고객목록!$B$3:$B$502,MATCH($D1306,고객목록!$A$3:$A$502,0)),""))</f>
        <v/>
      </c>
      <c r="F1306" s="13"/>
      <c r="G1306" s="13"/>
      <c r="H1306" s="14" t="str">
        <f aca="false">IF(OR($L1306="",$M1306=""),"",ROUND(($M1306-$L1306)/60,2))</f>
        <v/>
      </c>
      <c r="I1306" s="9"/>
      <c r="J1306" s="7"/>
      <c r="K1306" s="7"/>
      <c r="L1306" s="15" t="str">
        <f aca="false">IF($F1306="","",IF($F1306&lt;1,ROUND($F1306*1440,0),INT($F1306/100)*60+MOD($F1306,100)))</f>
        <v/>
      </c>
      <c r="M1306" s="15" t="str">
        <f aca="false">IF($G1306="","",IF($G1306&lt;1,ROUND($G1306*1440,0),INT($G1306/100)*60+MOD($G1306,100)))</f>
        <v/>
      </c>
      <c r="N1306" s="15" t="str">
        <f aca="false">IF(OR($A1306="",$B1306="",$L1306="",$M1306="",$J1306="취소"),"",IF(SUMPRODUCT(($A$3:$A$2002=$A1306)*($B$3:$B$2002=$B1306)*($J$3:$J$2002&lt;&gt;"취소")*($L$3:$L$2002&lt;&gt;"")*($M$3:$M$2002&lt;&gt;"")*($L$3:$L$2002&lt;$M1306)*($M$3:$M$2002&gt;$L1306))&gt;1,"중복","-"))</f>
        <v/>
      </c>
    </row>
    <row r="1307" customFormat="false" ht="15" hidden="false" customHeight="true" outlineLevel="0" collapsed="false">
      <c r="A1307" s="11"/>
      <c r="B1307" s="7"/>
      <c r="C1307" s="12" t="str">
        <f aca="false">IF($B1307="","",IFERROR(INDEX(자원목록!$B$3:$B$102,MATCH($B1307,자원목록!$A$3:$A$102,0)),"미등록자원"))</f>
        <v/>
      </c>
      <c r="D1307" s="7"/>
      <c r="E1307" s="12" t="str">
        <f aca="false">IF($D1307="","",IFERROR(INDEX(고객목록!$B$3:$B$502,MATCH($D1307,고객목록!$A$3:$A$502,0)),""))</f>
        <v/>
      </c>
      <c r="F1307" s="13"/>
      <c r="G1307" s="13"/>
      <c r="H1307" s="14" t="str">
        <f aca="false">IF(OR($L1307="",$M1307=""),"",ROUND(($M1307-$L1307)/60,2))</f>
        <v/>
      </c>
      <c r="I1307" s="9"/>
      <c r="J1307" s="7"/>
      <c r="K1307" s="7"/>
      <c r="L1307" s="15" t="str">
        <f aca="false">IF($F1307="","",IF($F1307&lt;1,ROUND($F1307*1440,0),INT($F1307/100)*60+MOD($F1307,100)))</f>
        <v/>
      </c>
      <c r="M1307" s="15" t="str">
        <f aca="false">IF($G1307="","",IF($G1307&lt;1,ROUND($G1307*1440,0),INT($G1307/100)*60+MOD($G1307,100)))</f>
        <v/>
      </c>
      <c r="N1307" s="15" t="str">
        <f aca="false">IF(OR($A1307="",$B1307="",$L1307="",$M1307="",$J1307="취소"),"",IF(SUMPRODUCT(($A$3:$A$2002=$A1307)*($B$3:$B$2002=$B1307)*($J$3:$J$2002&lt;&gt;"취소")*($L$3:$L$2002&lt;&gt;"")*($M$3:$M$2002&lt;&gt;"")*($L$3:$L$2002&lt;$M1307)*($M$3:$M$2002&gt;$L1307))&gt;1,"중복","-"))</f>
        <v/>
      </c>
    </row>
    <row r="1308" customFormat="false" ht="15" hidden="false" customHeight="true" outlineLevel="0" collapsed="false">
      <c r="A1308" s="11"/>
      <c r="B1308" s="7"/>
      <c r="C1308" s="12" t="str">
        <f aca="false">IF($B1308="","",IFERROR(INDEX(자원목록!$B$3:$B$102,MATCH($B1308,자원목록!$A$3:$A$102,0)),"미등록자원"))</f>
        <v/>
      </c>
      <c r="D1308" s="7"/>
      <c r="E1308" s="12" t="str">
        <f aca="false">IF($D1308="","",IFERROR(INDEX(고객목록!$B$3:$B$502,MATCH($D1308,고객목록!$A$3:$A$502,0)),""))</f>
        <v/>
      </c>
      <c r="F1308" s="13"/>
      <c r="G1308" s="13"/>
      <c r="H1308" s="14" t="str">
        <f aca="false">IF(OR($L1308="",$M1308=""),"",ROUND(($M1308-$L1308)/60,2))</f>
        <v/>
      </c>
      <c r="I1308" s="9"/>
      <c r="J1308" s="7"/>
      <c r="K1308" s="7"/>
      <c r="L1308" s="15" t="str">
        <f aca="false">IF($F1308="","",IF($F1308&lt;1,ROUND($F1308*1440,0),INT($F1308/100)*60+MOD($F1308,100)))</f>
        <v/>
      </c>
      <c r="M1308" s="15" t="str">
        <f aca="false">IF($G1308="","",IF($G1308&lt;1,ROUND($G1308*1440,0),INT($G1308/100)*60+MOD($G1308,100)))</f>
        <v/>
      </c>
      <c r="N1308" s="15" t="str">
        <f aca="false">IF(OR($A1308="",$B1308="",$L1308="",$M1308="",$J1308="취소"),"",IF(SUMPRODUCT(($A$3:$A$2002=$A1308)*($B$3:$B$2002=$B1308)*($J$3:$J$2002&lt;&gt;"취소")*($L$3:$L$2002&lt;&gt;"")*($M$3:$M$2002&lt;&gt;"")*($L$3:$L$2002&lt;$M1308)*($M$3:$M$2002&gt;$L1308))&gt;1,"중복","-"))</f>
        <v/>
      </c>
    </row>
    <row r="1309" customFormat="false" ht="15" hidden="false" customHeight="true" outlineLevel="0" collapsed="false">
      <c r="A1309" s="11"/>
      <c r="B1309" s="7"/>
      <c r="C1309" s="12" t="str">
        <f aca="false">IF($B1309="","",IFERROR(INDEX(자원목록!$B$3:$B$102,MATCH($B1309,자원목록!$A$3:$A$102,0)),"미등록자원"))</f>
        <v/>
      </c>
      <c r="D1309" s="7"/>
      <c r="E1309" s="12" t="str">
        <f aca="false">IF($D1309="","",IFERROR(INDEX(고객목록!$B$3:$B$502,MATCH($D1309,고객목록!$A$3:$A$502,0)),""))</f>
        <v/>
      </c>
      <c r="F1309" s="13"/>
      <c r="G1309" s="13"/>
      <c r="H1309" s="14" t="str">
        <f aca="false">IF(OR($L1309="",$M1309=""),"",ROUND(($M1309-$L1309)/60,2))</f>
        <v/>
      </c>
      <c r="I1309" s="9"/>
      <c r="J1309" s="7"/>
      <c r="K1309" s="7"/>
      <c r="L1309" s="15" t="str">
        <f aca="false">IF($F1309="","",IF($F1309&lt;1,ROUND($F1309*1440,0),INT($F1309/100)*60+MOD($F1309,100)))</f>
        <v/>
      </c>
      <c r="M1309" s="15" t="str">
        <f aca="false">IF($G1309="","",IF($G1309&lt;1,ROUND($G1309*1440,0),INT($G1309/100)*60+MOD($G1309,100)))</f>
        <v/>
      </c>
      <c r="N1309" s="15" t="str">
        <f aca="false">IF(OR($A1309="",$B1309="",$L1309="",$M1309="",$J1309="취소"),"",IF(SUMPRODUCT(($A$3:$A$2002=$A1309)*($B$3:$B$2002=$B1309)*($J$3:$J$2002&lt;&gt;"취소")*($L$3:$L$2002&lt;&gt;"")*($M$3:$M$2002&lt;&gt;"")*($L$3:$L$2002&lt;$M1309)*($M$3:$M$2002&gt;$L1309))&gt;1,"중복","-"))</f>
        <v/>
      </c>
    </row>
    <row r="1310" customFormat="false" ht="15" hidden="false" customHeight="true" outlineLevel="0" collapsed="false">
      <c r="A1310" s="11"/>
      <c r="B1310" s="7"/>
      <c r="C1310" s="12" t="str">
        <f aca="false">IF($B1310="","",IFERROR(INDEX(자원목록!$B$3:$B$102,MATCH($B1310,자원목록!$A$3:$A$102,0)),"미등록자원"))</f>
        <v/>
      </c>
      <c r="D1310" s="7"/>
      <c r="E1310" s="12" t="str">
        <f aca="false">IF($D1310="","",IFERROR(INDEX(고객목록!$B$3:$B$502,MATCH($D1310,고객목록!$A$3:$A$502,0)),""))</f>
        <v/>
      </c>
      <c r="F1310" s="13"/>
      <c r="G1310" s="13"/>
      <c r="H1310" s="14" t="str">
        <f aca="false">IF(OR($L1310="",$M1310=""),"",ROUND(($M1310-$L1310)/60,2))</f>
        <v/>
      </c>
      <c r="I1310" s="9"/>
      <c r="J1310" s="7"/>
      <c r="K1310" s="7"/>
      <c r="L1310" s="15" t="str">
        <f aca="false">IF($F1310="","",IF($F1310&lt;1,ROUND($F1310*1440,0),INT($F1310/100)*60+MOD($F1310,100)))</f>
        <v/>
      </c>
      <c r="M1310" s="15" t="str">
        <f aca="false">IF($G1310="","",IF($G1310&lt;1,ROUND($G1310*1440,0),INT($G1310/100)*60+MOD($G1310,100)))</f>
        <v/>
      </c>
      <c r="N1310" s="15" t="str">
        <f aca="false">IF(OR($A1310="",$B1310="",$L1310="",$M1310="",$J1310="취소"),"",IF(SUMPRODUCT(($A$3:$A$2002=$A1310)*($B$3:$B$2002=$B1310)*($J$3:$J$2002&lt;&gt;"취소")*($L$3:$L$2002&lt;&gt;"")*($M$3:$M$2002&lt;&gt;"")*($L$3:$L$2002&lt;$M1310)*($M$3:$M$2002&gt;$L1310))&gt;1,"중복","-"))</f>
        <v/>
      </c>
    </row>
    <row r="1311" customFormat="false" ht="15" hidden="false" customHeight="true" outlineLevel="0" collapsed="false">
      <c r="A1311" s="11"/>
      <c r="B1311" s="7"/>
      <c r="C1311" s="12" t="str">
        <f aca="false">IF($B1311="","",IFERROR(INDEX(자원목록!$B$3:$B$102,MATCH($B1311,자원목록!$A$3:$A$102,0)),"미등록자원"))</f>
        <v/>
      </c>
      <c r="D1311" s="7"/>
      <c r="E1311" s="12" t="str">
        <f aca="false">IF($D1311="","",IFERROR(INDEX(고객목록!$B$3:$B$502,MATCH($D1311,고객목록!$A$3:$A$502,0)),""))</f>
        <v/>
      </c>
      <c r="F1311" s="13"/>
      <c r="G1311" s="13"/>
      <c r="H1311" s="14" t="str">
        <f aca="false">IF(OR($L1311="",$M1311=""),"",ROUND(($M1311-$L1311)/60,2))</f>
        <v/>
      </c>
      <c r="I1311" s="9"/>
      <c r="J1311" s="7"/>
      <c r="K1311" s="7"/>
      <c r="L1311" s="15" t="str">
        <f aca="false">IF($F1311="","",IF($F1311&lt;1,ROUND($F1311*1440,0),INT($F1311/100)*60+MOD($F1311,100)))</f>
        <v/>
      </c>
      <c r="M1311" s="15" t="str">
        <f aca="false">IF($G1311="","",IF($G1311&lt;1,ROUND($G1311*1440,0),INT($G1311/100)*60+MOD($G1311,100)))</f>
        <v/>
      </c>
      <c r="N1311" s="15" t="str">
        <f aca="false">IF(OR($A1311="",$B1311="",$L1311="",$M1311="",$J1311="취소"),"",IF(SUMPRODUCT(($A$3:$A$2002=$A1311)*($B$3:$B$2002=$B1311)*($J$3:$J$2002&lt;&gt;"취소")*($L$3:$L$2002&lt;&gt;"")*($M$3:$M$2002&lt;&gt;"")*($L$3:$L$2002&lt;$M1311)*($M$3:$M$2002&gt;$L1311))&gt;1,"중복","-"))</f>
        <v/>
      </c>
    </row>
    <row r="1312" customFormat="false" ht="15" hidden="false" customHeight="true" outlineLevel="0" collapsed="false">
      <c r="A1312" s="11"/>
      <c r="B1312" s="7"/>
      <c r="C1312" s="12" t="str">
        <f aca="false">IF($B1312="","",IFERROR(INDEX(자원목록!$B$3:$B$102,MATCH($B1312,자원목록!$A$3:$A$102,0)),"미등록자원"))</f>
        <v/>
      </c>
      <c r="D1312" s="7"/>
      <c r="E1312" s="12" t="str">
        <f aca="false">IF($D1312="","",IFERROR(INDEX(고객목록!$B$3:$B$502,MATCH($D1312,고객목록!$A$3:$A$502,0)),""))</f>
        <v/>
      </c>
      <c r="F1312" s="13"/>
      <c r="G1312" s="13"/>
      <c r="H1312" s="14" t="str">
        <f aca="false">IF(OR($L1312="",$M1312=""),"",ROUND(($M1312-$L1312)/60,2))</f>
        <v/>
      </c>
      <c r="I1312" s="9"/>
      <c r="J1312" s="7"/>
      <c r="K1312" s="7"/>
      <c r="L1312" s="15" t="str">
        <f aca="false">IF($F1312="","",IF($F1312&lt;1,ROUND($F1312*1440,0),INT($F1312/100)*60+MOD($F1312,100)))</f>
        <v/>
      </c>
      <c r="M1312" s="15" t="str">
        <f aca="false">IF($G1312="","",IF($G1312&lt;1,ROUND($G1312*1440,0),INT($G1312/100)*60+MOD($G1312,100)))</f>
        <v/>
      </c>
      <c r="N1312" s="15" t="str">
        <f aca="false">IF(OR($A1312="",$B1312="",$L1312="",$M1312="",$J1312="취소"),"",IF(SUMPRODUCT(($A$3:$A$2002=$A1312)*($B$3:$B$2002=$B1312)*($J$3:$J$2002&lt;&gt;"취소")*($L$3:$L$2002&lt;&gt;"")*($M$3:$M$2002&lt;&gt;"")*($L$3:$L$2002&lt;$M1312)*($M$3:$M$2002&gt;$L1312))&gt;1,"중복","-"))</f>
        <v/>
      </c>
    </row>
    <row r="1313" customFormat="false" ht="15" hidden="false" customHeight="true" outlineLevel="0" collapsed="false">
      <c r="A1313" s="11"/>
      <c r="B1313" s="7"/>
      <c r="C1313" s="12" t="str">
        <f aca="false">IF($B1313="","",IFERROR(INDEX(자원목록!$B$3:$B$102,MATCH($B1313,자원목록!$A$3:$A$102,0)),"미등록자원"))</f>
        <v/>
      </c>
      <c r="D1313" s="7"/>
      <c r="E1313" s="12" t="str">
        <f aca="false">IF($D1313="","",IFERROR(INDEX(고객목록!$B$3:$B$502,MATCH($D1313,고객목록!$A$3:$A$502,0)),""))</f>
        <v/>
      </c>
      <c r="F1313" s="13"/>
      <c r="G1313" s="13"/>
      <c r="H1313" s="14" t="str">
        <f aca="false">IF(OR($L1313="",$M1313=""),"",ROUND(($M1313-$L1313)/60,2))</f>
        <v/>
      </c>
      <c r="I1313" s="9"/>
      <c r="J1313" s="7"/>
      <c r="K1313" s="7"/>
      <c r="L1313" s="15" t="str">
        <f aca="false">IF($F1313="","",IF($F1313&lt;1,ROUND($F1313*1440,0),INT($F1313/100)*60+MOD($F1313,100)))</f>
        <v/>
      </c>
      <c r="M1313" s="15" t="str">
        <f aca="false">IF($G1313="","",IF($G1313&lt;1,ROUND($G1313*1440,0),INT($G1313/100)*60+MOD($G1313,100)))</f>
        <v/>
      </c>
      <c r="N1313" s="15" t="str">
        <f aca="false">IF(OR($A1313="",$B1313="",$L1313="",$M1313="",$J1313="취소"),"",IF(SUMPRODUCT(($A$3:$A$2002=$A1313)*($B$3:$B$2002=$B1313)*($J$3:$J$2002&lt;&gt;"취소")*($L$3:$L$2002&lt;&gt;"")*($M$3:$M$2002&lt;&gt;"")*($L$3:$L$2002&lt;$M1313)*($M$3:$M$2002&gt;$L1313))&gt;1,"중복","-"))</f>
        <v/>
      </c>
    </row>
    <row r="1314" customFormat="false" ht="15" hidden="false" customHeight="true" outlineLevel="0" collapsed="false">
      <c r="A1314" s="11"/>
      <c r="B1314" s="7"/>
      <c r="C1314" s="12" t="str">
        <f aca="false">IF($B1314="","",IFERROR(INDEX(자원목록!$B$3:$B$102,MATCH($B1314,자원목록!$A$3:$A$102,0)),"미등록자원"))</f>
        <v/>
      </c>
      <c r="D1314" s="7"/>
      <c r="E1314" s="12" t="str">
        <f aca="false">IF($D1314="","",IFERROR(INDEX(고객목록!$B$3:$B$502,MATCH($D1314,고객목록!$A$3:$A$502,0)),""))</f>
        <v/>
      </c>
      <c r="F1314" s="13"/>
      <c r="G1314" s="13"/>
      <c r="H1314" s="14" t="str">
        <f aca="false">IF(OR($L1314="",$M1314=""),"",ROUND(($M1314-$L1314)/60,2))</f>
        <v/>
      </c>
      <c r="I1314" s="9"/>
      <c r="J1314" s="7"/>
      <c r="K1314" s="7"/>
      <c r="L1314" s="15" t="str">
        <f aca="false">IF($F1314="","",IF($F1314&lt;1,ROUND($F1314*1440,0),INT($F1314/100)*60+MOD($F1314,100)))</f>
        <v/>
      </c>
      <c r="M1314" s="15" t="str">
        <f aca="false">IF($G1314="","",IF($G1314&lt;1,ROUND($G1314*1440,0),INT($G1314/100)*60+MOD($G1314,100)))</f>
        <v/>
      </c>
      <c r="N1314" s="15" t="str">
        <f aca="false">IF(OR($A1314="",$B1314="",$L1314="",$M1314="",$J1314="취소"),"",IF(SUMPRODUCT(($A$3:$A$2002=$A1314)*($B$3:$B$2002=$B1314)*($J$3:$J$2002&lt;&gt;"취소")*($L$3:$L$2002&lt;&gt;"")*($M$3:$M$2002&lt;&gt;"")*($L$3:$L$2002&lt;$M1314)*($M$3:$M$2002&gt;$L1314))&gt;1,"중복","-"))</f>
        <v/>
      </c>
    </row>
    <row r="1315" customFormat="false" ht="15" hidden="false" customHeight="true" outlineLevel="0" collapsed="false">
      <c r="A1315" s="11"/>
      <c r="B1315" s="7"/>
      <c r="C1315" s="12" t="str">
        <f aca="false">IF($B1315="","",IFERROR(INDEX(자원목록!$B$3:$B$102,MATCH($B1315,자원목록!$A$3:$A$102,0)),"미등록자원"))</f>
        <v/>
      </c>
      <c r="D1315" s="7"/>
      <c r="E1315" s="12" t="str">
        <f aca="false">IF($D1315="","",IFERROR(INDEX(고객목록!$B$3:$B$502,MATCH($D1315,고객목록!$A$3:$A$502,0)),""))</f>
        <v/>
      </c>
      <c r="F1315" s="13"/>
      <c r="G1315" s="13"/>
      <c r="H1315" s="14" t="str">
        <f aca="false">IF(OR($L1315="",$M1315=""),"",ROUND(($M1315-$L1315)/60,2))</f>
        <v/>
      </c>
      <c r="I1315" s="9"/>
      <c r="J1315" s="7"/>
      <c r="K1315" s="7"/>
      <c r="L1315" s="15" t="str">
        <f aca="false">IF($F1315="","",IF($F1315&lt;1,ROUND($F1315*1440,0),INT($F1315/100)*60+MOD($F1315,100)))</f>
        <v/>
      </c>
      <c r="M1315" s="15" t="str">
        <f aca="false">IF($G1315="","",IF($G1315&lt;1,ROUND($G1315*1440,0),INT($G1315/100)*60+MOD($G1315,100)))</f>
        <v/>
      </c>
      <c r="N1315" s="15" t="str">
        <f aca="false">IF(OR($A1315="",$B1315="",$L1315="",$M1315="",$J1315="취소"),"",IF(SUMPRODUCT(($A$3:$A$2002=$A1315)*($B$3:$B$2002=$B1315)*($J$3:$J$2002&lt;&gt;"취소")*($L$3:$L$2002&lt;&gt;"")*($M$3:$M$2002&lt;&gt;"")*($L$3:$L$2002&lt;$M1315)*($M$3:$M$2002&gt;$L1315))&gt;1,"중복","-"))</f>
        <v/>
      </c>
    </row>
    <row r="1316" customFormat="false" ht="15" hidden="false" customHeight="true" outlineLevel="0" collapsed="false">
      <c r="A1316" s="11"/>
      <c r="B1316" s="7"/>
      <c r="C1316" s="12" t="str">
        <f aca="false">IF($B1316="","",IFERROR(INDEX(자원목록!$B$3:$B$102,MATCH($B1316,자원목록!$A$3:$A$102,0)),"미등록자원"))</f>
        <v/>
      </c>
      <c r="D1316" s="7"/>
      <c r="E1316" s="12" t="str">
        <f aca="false">IF($D1316="","",IFERROR(INDEX(고객목록!$B$3:$B$502,MATCH($D1316,고객목록!$A$3:$A$502,0)),""))</f>
        <v/>
      </c>
      <c r="F1316" s="13"/>
      <c r="G1316" s="13"/>
      <c r="H1316" s="14" t="str">
        <f aca="false">IF(OR($L1316="",$M1316=""),"",ROUND(($M1316-$L1316)/60,2))</f>
        <v/>
      </c>
      <c r="I1316" s="9"/>
      <c r="J1316" s="7"/>
      <c r="K1316" s="7"/>
      <c r="L1316" s="15" t="str">
        <f aca="false">IF($F1316="","",IF($F1316&lt;1,ROUND($F1316*1440,0),INT($F1316/100)*60+MOD($F1316,100)))</f>
        <v/>
      </c>
      <c r="M1316" s="15" t="str">
        <f aca="false">IF($G1316="","",IF($G1316&lt;1,ROUND($G1316*1440,0),INT($G1316/100)*60+MOD($G1316,100)))</f>
        <v/>
      </c>
      <c r="N1316" s="15" t="str">
        <f aca="false">IF(OR($A1316="",$B1316="",$L1316="",$M1316="",$J1316="취소"),"",IF(SUMPRODUCT(($A$3:$A$2002=$A1316)*($B$3:$B$2002=$B1316)*($J$3:$J$2002&lt;&gt;"취소")*($L$3:$L$2002&lt;&gt;"")*($M$3:$M$2002&lt;&gt;"")*($L$3:$L$2002&lt;$M1316)*($M$3:$M$2002&gt;$L1316))&gt;1,"중복","-"))</f>
        <v/>
      </c>
    </row>
    <row r="1317" customFormat="false" ht="15" hidden="false" customHeight="true" outlineLevel="0" collapsed="false">
      <c r="A1317" s="11"/>
      <c r="B1317" s="7"/>
      <c r="C1317" s="12" t="str">
        <f aca="false">IF($B1317="","",IFERROR(INDEX(자원목록!$B$3:$B$102,MATCH($B1317,자원목록!$A$3:$A$102,0)),"미등록자원"))</f>
        <v/>
      </c>
      <c r="D1317" s="7"/>
      <c r="E1317" s="12" t="str">
        <f aca="false">IF($D1317="","",IFERROR(INDEX(고객목록!$B$3:$B$502,MATCH($D1317,고객목록!$A$3:$A$502,0)),""))</f>
        <v/>
      </c>
      <c r="F1317" s="13"/>
      <c r="G1317" s="13"/>
      <c r="H1317" s="14" t="str">
        <f aca="false">IF(OR($L1317="",$M1317=""),"",ROUND(($M1317-$L1317)/60,2))</f>
        <v/>
      </c>
      <c r="I1317" s="9"/>
      <c r="J1317" s="7"/>
      <c r="K1317" s="7"/>
      <c r="L1317" s="15" t="str">
        <f aca="false">IF($F1317="","",IF($F1317&lt;1,ROUND($F1317*1440,0),INT($F1317/100)*60+MOD($F1317,100)))</f>
        <v/>
      </c>
      <c r="M1317" s="15" t="str">
        <f aca="false">IF($G1317="","",IF($G1317&lt;1,ROUND($G1317*1440,0),INT($G1317/100)*60+MOD($G1317,100)))</f>
        <v/>
      </c>
      <c r="N1317" s="15" t="str">
        <f aca="false">IF(OR($A1317="",$B1317="",$L1317="",$M1317="",$J1317="취소"),"",IF(SUMPRODUCT(($A$3:$A$2002=$A1317)*($B$3:$B$2002=$B1317)*($J$3:$J$2002&lt;&gt;"취소")*($L$3:$L$2002&lt;&gt;"")*($M$3:$M$2002&lt;&gt;"")*($L$3:$L$2002&lt;$M1317)*($M$3:$M$2002&gt;$L1317))&gt;1,"중복","-"))</f>
        <v/>
      </c>
    </row>
    <row r="1318" customFormat="false" ht="15" hidden="false" customHeight="true" outlineLevel="0" collapsed="false">
      <c r="A1318" s="11"/>
      <c r="B1318" s="7"/>
      <c r="C1318" s="12" t="str">
        <f aca="false">IF($B1318="","",IFERROR(INDEX(자원목록!$B$3:$B$102,MATCH($B1318,자원목록!$A$3:$A$102,0)),"미등록자원"))</f>
        <v/>
      </c>
      <c r="D1318" s="7"/>
      <c r="E1318" s="12" t="str">
        <f aca="false">IF($D1318="","",IFERROR(INDEX(고객목록!$B$3:$B$502,MATCH($D1318,고객목록!$A$3:$A$502,0)),""))</f>
        <v/>
      </c>
      <c r="F1318" s="13"/>
      <c r="G1318" s="13"/>
      <c r="H1318" s="14" t="str">
        <f aca="false">IF(OR($L1318="",$M1318=""),"",ROUND(($M1318-$L1318)/60,2))</f>
        <v/>
      </c>
      <c r="I1318" s="9"/>
      <c r="J1318" s="7"/>
      <c r="K1318" s="7"/>
      <c r="L1318" s="15" t="str">
        <f aca="false">IF($F1318="","",IF($F1318&lt;1,ROUND($F1318*1440,0),INT($F1318/100)*60+MOD($F1318,100)))</f>
        <v/>
      </c>
      <c r="M1318" s="15" t="str">
        <f aca="false">IF($G1318="","",IF($G1318&lt;1,ROUND($G1318*1440,0),INT($G1318/100)*60+MOD($G1318,100)))</f>
        <v/>
      </c>
      <c r="N1318" s="15" t="str">
        <f aca="false">IF(OR($A1318="",$B1318="",$L1318="",$M1318="",$J1318="취소"),"",IF(SUMPRODUCT(($A$3:$A$2002=$A1318)*($B$3:$B$2002=$B1318)*($J$3:$J$2002&lt;&gt;"취소")*($L$3:$L$2002&lt;&gt;"")*($M$3:$M$2002&lt;&gt;"")*($L$3:$L$2002&lt;$M1318)*($M$3:$M$2002&gt;$L1318))&gt;1,"중복","-"))</f>
        <v/>
      </c>
    </row>
    <row r="1319" customFormat="false" ht="15" hidden="false" customHeight="true" outlineLevel="0" collapsed="false">
      <c r="A1319" s="11"/>
      <c r="B1319" s="7"/>
      <c r="C1319" s="12" t="str">
        <f aca="false">IF($B1319="","",IFERROR(INDEX(자원목록!$B$3:$B$102,MATCH($B1319,자원목록!$A$3:$A$102,0)),"미등록자원"))</f>
        <v/>
      </c>
      <c r="D1319" s="7"/>
      <c r="E1319" s="12" t="str">
        <f aca="false">IF($D1319="","",IFERROR(INDEX(고객목록!$B$3:$B$502,MATCH($D1319,고객목록!$A$3:$A$502,0)),""))</f>
        <v/>
      </c>
      <c r="F1319" s="13"/>
      <c r="G1319" s="13"/>
      <c r="H1319" s="14" t="str">
        <f aca="false">IF(OR($L1319="",$M1319=""),"",ROUND(($M1319-$L1319)/60,2))</f>
        <v/>
      </c>
      <c r="I1319" s="9"/>
      <c r="J1319" s="7"/>
      <c r="K1319" s="7"/>
      <c r="L1319" s="15" t="str">
        <f aca="false">IF($F1319="","",IF($F1319&lt;1,ROUND($F1319*1440,0),INT($F1319/100)*60+MOD($F1319,100)))</f>
        <v/>
      </c>
      <c r="M1319" s="15" t="str">
        <f aca="false">IF($G1319="","",IF($G1319&lt;1,ROUND($G1319*1440,0),INT($G1319/100)*60+MOD($G1319,100)))</f>
        <v/>
      </c>
      <c r="N1319" s="15" t="str">
        <f aca="false">IF(OR($A1319="",$B1319="",$L1319="",$M1319="",$J1319="취소"),"",IF(SUMPRODUCT(($A$3:$A$2002=$A1319)*($B$3:$B$2002=$B1319)*($J$3:$J$2002&lt;&gt;"취소")*($L$3:$L$2002&lt;&gt;"")*($M$3:$M$2002&lt;&gt;"")*($L$3:$L$2002&lt;$M1319)*($M$3:$M$2002&gt;$L1319))&gt;1,"중복","-"))</f>
        <v/>
      </c>
    </row>
    <row r="1320" customFormat="false" ht="15" hidden="false" customHeight="true" outlineLevel="0" collapsed="false">
      <c r="A1320" s="11"/>
      <c r="B1320" s="7"/>
      <c r="C1320" s="12" t="str">
        <f aca="false">IF($B1320="","",IFERROR(INDEX(자원목록!$B$3:$B$102,MATCH($B1320,자원목록!$A$3:$A$102,0)),"미등록자원"))</f>
        <v/>
      </c>
      <c r="D1320" s="7"/>
      <c r="E1320" s="12" t="str">
        <f aca="false">IF($D1320="","",IFERROR(INDEX(고객목록!$B$3:$B$502,MATCH($D1320,고객목록!$A$3:$A$502,0)),""))</f>
        <v/>
      </c>
      <c r="F1320" s="13"/>
      <c r="G1320" s="13"/>
      <c r="H1320" s="14" t="str">
        <f aca="false">IF(OR($L1320="",$M1320=""),"",ROUND(($M1320-$L1320)/60,2))</f>
        <v/>
      </c>
      <c r="I1320" s="9"/>
      <c r="J1320" s="7"/>
      <c r="K1320" s="7"/>
      <c r="L1320" s="15" t="str">
        <f aca="false">IF($F1320="","",IF($F1320&lt;1,ROUND($F1320*1440,0),INT($F1320/100)*60+MOD($F1320,100)))</f>
        <v/>
      </c>
      <c r="M1320" s="15" t="str">
        <f aca="false">IF($G1320="","",IF($G1320&lt;1,ROUND($G1320*1440,0),INT($G1320/100)*60+MOD($G1320,100)))</f>
        <v/>
      </c>
      <c r="N1320" s="15" t="str">
        <f aca="false">IF(OR($A1320="",$B1320="",$L1320="",$M1320="",$J1320="취소"),"",IF(SUMPRODUCT(($A$3:$A$2002=$A1320)*($B$3:$B$2002=$B1320)*($J$3:$J$2002&lt;&gt;"취소")*($L$3:$L$2002&lt;&gt;"")*($M$3:$M$2002&lt;&gt;"")*($L$3:$L$2002&lt;$M1320)*($M$3:$M$2002&gt;$L1320))&gt;1,"중복","-"))</f>
        <v/>
      </c>
    </row>
    <row r="1321" customFormat="false" ht="15" hidden="false" customHeight="true" outlineLevel="0" collapsed="false">
      <c r="A1321" s="11"/>
      <c r="B1321" s="7"/>
      <c r="C1321" s="12" t="str">
        <f aca="false">IF($B1321="","",IFERROR(INDEX(자원목록!$B$3:$B$102,MATCH($B1321,자원목록!$A$3:$A$102,0)),"미등록자원"))</f>
        <v/>
      </c>
      <c r="D1321" s="7"/>
      <c r="E1321" s="12" t="str">
        <f aca="false">IF($D1321="","",IFERROR(INDEX(고객목록!$B$3:$B$502,MATCH($D1321,고객목록!$A$3:$A$502,0)),""))</f>
        <v/>
      </c>
      <c r="F1321" s="13"/>
      <c r="G1321" s="13"/>
      <c r="H1321" s="14" t="str">
        <f aca="false">IF(OR($L1321="",$M1321=""),"",ROUND(($M1321-$L1321)/60,2))</f>
        <v/>
      </c>
      <c r="I1321" s="9"/>
      <c r="J1321" s="7"/>
      <c r="K1321" s="7"/>
      <c r="L1321" s="15" t="str">
        <f aca="false">IF($F1321="","",IF($F1321&lt;1,ROUND($F1321*1440,0),INT($F1321/100)*60+MOD($F1321,100)))</f>
        <v/>
      </c>
      <c r="M1321" s="15" t="str">
        <f aca="false">IF($G1321="","",IF($G1321&lt;1,ROUND($G1321*1440,0),INT($G1321/100)*60+MOD($G1321,100)))</f>
        <v/>
      </c>
      <c r="N1321" s="15" t="str">
        <f aca="false">IF(OR($A1321="",$B1321="",$L1321="",$M1321="",$J1321="취소"),"",IF(SUMPRODUCT(($A$3:$A$2002=$A1321)*($B$3:$B$2002=$B1321)*($J$3:$J$2002&lt;&gt;"취소")*($L$3:$L$2002&lt;&gt;"")*($M$3:$M$2002&lt;&gt;"")*($L$3:$L$2002&lt;$M1321)*($M$3:$M$2002&gt;$L1321))&gt;1,"중복","-"))</f>
        <v/>
      </c>
    </row>
    <row r="1322" customFormat="false" ht="15" hidden="false" customHeight="true" outlineLevel="0" collapsed="false">
      <c r="A1322" s="11"/>
      <c r="B1322" s="7"/>
      <c r="C1322" s="12" t="str">
        <f aca="false">IF($B1322="","",IFERROR(INDEX(자원목록!$B$3:$B$102,MATCH($B1322,자원목록!$A$3:$A$102,0)),"미등록자원"))</f>
        <v/>
      </c>
      <c r="D1322" s="7"/>
      <c r="E1322" s="12" t="str">
        <f aca="false">IF($D1322="","",IFERROR(INDEX(고객목록!$B$3:$B$502,MATCH($D1322,고객목록!$A$3:$A$502,0)),""))</f>
        <v/>
      </c>
      <c r="F1322" s="13"/>
      <c r="G1322" s="13"/>
      <c r="H1322" s="14" t="str">
        <f aca="false">IF(OR($L1322="",$M1322=""),"",ROUND(($M1322-$L1322)/60,2))</f>
        <v/>
      </c>
      <c r="I1322" s="9"/>
      <c r="J1322" s="7"/>
      <c r="K1322" s="7"/>
      <c r="L1322" s="15" t="str">
        <f aca="false">IF($F1322="","",IF($F1322&lt;1,ROUND($F1322*1440,0),INT($F1322/100)*60+MOD($F1322,100)))</f>
        <v/>
      </c>
      <c r="M1322" s="15" t="str">
        <f aca="false">IF($G1322="","",IF($G1322&lt;1,ROUND($G1322*1440,0),INT($G1322/100)*60+MOD($G1322,100)))</f>
        <v/>
      </c>
      <c r="N1322" s="15" t="str">
        <f aca="false">IF(OR($A1322="",$B1322="",$L1322="",$M1322="",$J1322="취소"),"",IF(SUMPRODUCT(($A$3:$A$2002=$A1322)*($B$3:$B$2002=$B1322)*($J$3:$J$2002&lt;&gt;"취소")*($L$3:$L$2002&lt;&gt;"")*($M$3:$M$2002&lt;&gt;"")*($L$3:$L$2002&lt;$M1322)*($M$3:$M$2002&gt;$L1322))&gt;1,"중복","-"))</f>
        <v/>
      </c>
    </row>
    <row r="1323" customFormat="false" ht="15" hidden="false" customHeight="true" outlineLevel="0" collapsed="false">
      <c r="A1323" s="11"/>
      <c r="B1323" s="7"/>
      <c r="C1323" s="12" t="str">
        <f aca="false">IF($B1323="","",IFERROR(INDEX(자원목록!$B$3:$B$102,MATCH($B1323,자원목록!$A$3:$A$102,0)),"미등록자원"))</f>
        <v/>
      </c>
      <c r="D1323" s="7"/>
      <c r="E1323" s="12" t="str">
        <f aca="false">IF($D1323="","",IFERROR(INDEX(고객목록!$B$3:$B$502,MATCH($D1323,고객목록!$A$3:$A$502,0)),""))</f>
        <v/>
      </c>
      <c r="F1323" s="13"/>
      <c r="G1323" s="13"/>
      <c r="H1323" s="14" t="str">
        <f aca="false">IF(OR($L1323="",$M1323=""),"",ROUND(($M1323-$L1323)/60,2))</f>
        <v/>
      </c>
      <c r="I1323" s="9"/>
      <c r="J1323" s="7"/>
      <c r="K1323" s="7"/>
      <c r="L1323" s="15" t="str">
        <f aca="false">IF($F1323="","",IF($F1323&lt;1,ROUND($F1323*1440,0),INT($F1323/100)*60+MOD($F1323,100)))</f>
        <v/>
      </c>
      <c r="M1323" s="15" t="str">
        <f aca="false">IF($G1323="","",IF($G1323&lt;1,ROUND($G1323*1440,0),INT($G1323/100)*60+MOD($G1323,100)))</f>
        <v/>
      </c>
      <c r="N1323" s="15" t="str">
        <f aca="false">IF(OR($A1323="",$B1323="",$L1323="",$M1323="",$J1323="취소"),"",IF(SUMPRODUCT(($A$3:$A$2002=$A1323)*($B$3:$B$2002=$B1323)*($J$3:$J$2002&lt;&gt;"취소")*($L$3:$L$2002&lt;&gt;"")*($M$3:$M$2002&lt;&gt;"")*($L$3:$L$2002&lt;$M1323)*($M$3:$M$2002&gt;$L1323))&gt;1,"중복","-"))</f>
        <v/>
      </c>
    </row>
    <row r="1324" customFormat="false" ht="15" hidden="false" customHeight="true" outlineLevel="0" collapsed="false">
      <c r="A1324" s="11"/>
      <c r="B1324" s="7"/>
      <c r="C1324" s="12" t="str">
        <f aca="false">IF($B1324="","",IFERROR(INDEX(자원목록!$B$3:$B$102,MATCH($B1324,자원목록!$A$3:$A$102,0)),"미등록자원"))</f>
        <v/>
      </c>
      <c r="D1324" s="7"/>
      <c r="E1324" s="12" t="str">
        <f aca="false">IF($D1324="","",IFERROR(INDEX(고객목록!$B$3:$B$502,MATCH($D1324,고객목록!$A$3:$A$502,0)),""))</f>
        <v/>
      </c>
      <c r="F1324" s="13"/>
      <c r="G1324" s="13"/>
      <c r="H1324" s="14" t="str">
        <f aca="false">IF(OR($L1324="",$M1324=""),"",ROUND(($M1324-$L1324)/60,2))</f>
        <v/>
      </c>
      <c r="I1324" s="9"/>
      <c r="J1324" s="7"/>
      <c r="K1324" s="7"/>
      <c r="L1324" s="15" t="str">
        <f aca="false">IF($F1324="","",IF($F1324&lt;1,ROUND($F1324*1440,0),INT($F1324/100)*60+MOD($F1324,100)))</f>
        <v/>
      </c>
      <c r="M1324" s="15" t="str">
        <f aca="false">IF($G1324="","",IF($G1324&lt;1,ROUND($G1324*1440,0),INT($G1324/100)*60+MOD($G1324,100)))</f>
        <v/>
      </c>
      <c r="N1324" s="15" t="str">
        <f aca="false">IF(OR($A1324="",$B1324="",$L1324="",$M1324="",$J1324="취소"),"",IF(SUMPRODUCT(($A$3:$A$2002=$A1324)*($B$3:$B$2002=$B1324)*($J$3:$J$2002&lt;&gt;"취소")*($L$3:$L$2002&lt;&gt;"")*($M$3:$M$2002&lt;&gt;"")*($L$3:$L$2002&lt;$M1324)*($M$3:$M$2002&gt;$L1324))&gt;1,"중복","-"))</f>
        <v/>
      </c>
    </row>
    <row r="1325" customFormat="false" ht="15" hidden="false" customHeight="true" outlineLevel="0" collapsed="false">
      <c r="A1325" s="11"/>
      <c r="B1325" s="7"/>
      <c r="C1325" s="12" t="str">
        <f aca="false">IF($B1325="","",IFERROR(INDEX(자원목록!$B$3:$B$102,MATCH($B1325,자원목록!$A$3:$A$102,0)),"미등록자원"))</f>
        <v/>
      </c>
      <c r="D1325" s="7"/>
      <c r="E1325" s="12" t="str">
        <f aca="false">IF($D1325="","",IFERROR(INDEX(고객목록!$B$3:$B$502,MATCH($D1325,고객목록!$A$3:$A$502,0)),""))</f>
        <v/>
      </c>
      <c r="F1325" s="13"/>
      <c r="G1325" s="13"/>
      <c r="H1325" s="14" t="str">
        <f aca="false">IF(OR($L1325="",$M1325=""),"",ROUND(($M1325-$L1325)/60,2))</f>
        <v/>
      </c>
      <c r="I1325" s="9"/>
      <c r="J1325" s="7"/>
      <c r="K1325" s="7"/>
      <c r="L1325" s="15" t="str">
        <f aca="false">IF($F1325="","",IF($F1325&lt;1,ROUND($F1325*1440,0),INT($F1325/100)*60+MOD($F1325,100)))</f>
        <v/>
      </c>
      <c r="M1325" s="15" t="str">
        <f aca="false">IF($G1325="","",IF($G1325&lt;1,ROUND($G1325*1440,0),INT($G1325/100)*60+MOD($G1325,100)))</f>
        <v/>
      </c>
      <c r="N1325" s="15" t="str">
        <f aca="false">IF(OR($A1325="",$B1325="",$L1325="",$M1325="",$J1325="취소"),"",IF(SUMPRODUCT(($A$3:$A$2002=$A1325)*($B$3:$B$2002=$B1325)*($J$3:$J$2002&lt;&gt;"취소")*($L$3:$L$2002&lt;&gt;"")*($M$3:$M$2002&lt;&gt;"")*($L$3:$L$2002&lt;$M1325)*($M$3:$M$2002&gt;$L1325))&gt;1,"중복","-"))</f>
        <v/>
      </c>
    </row>
    <row r="1326" customFormat="false" ht="15" hidden="false" customHeight="true" outlineLevel="0" collapsed="false">
      <c r="A1326" s="11"/>
      <c r="B1326" s="7"/>
      <c r="C1326" s="12" t="str">
        <f aca="false">IF($B1326="","",IFERROR(INDEX(자원목록!$B$3:$B$102,MATCH($B1326,자원목록!$A$3:$A$102,0)),"미등록자원"))</f>
        <v/>
      </c>
      <c r="D1326" s="7"/>
      <c r="E1326" s="12" t="str">
        <f aca="false">IF($D1326="","",IFERROR(INDEX(고객목록!$B$3:$B$502,MATCH($D1326,고객목록!$A$3:$A$502,0)),""))</f>
        <v/>
      </c>
      <c r="F1326" s="13"/>
      <c r="G1326" s="13"/>
      <c r="H1326" s="14" t="str">
        <f aca="false">IF(OR($L1326="",$M1326=""),"",ROUND(($M1326-$L1326)/60,2))</f>
        <v/>
      </c>
      <c r="I1326" s="9"/>
      <c r="J1326" s="7"/>
      <c r="K1326" s="7"/>
      <c r="L1326" s="15" t="str">
        <f aca="false">IF($F1326="","",IF($F1326&lt;1,ROUND($F1326*1440,0),INT($F1326/100)*60+MOD($F1326,100)))</f>
        <v/>
      </c>
      <c r="M1326" s="15" t="str">
        <f aca="false">IF($G1326="","",IF($G1326&lt;1,ROUND($G1326*1440,0),INT($G1326/100)*60+MOD($G1326,100)))</f>
        <v/>
      </c>
      <c r="N1326" s="15" t="str">
        <f aca="false">IF(OR($A1326="",$B1326="",$L1326="",$M1326="",$J1326="취소"),"",IF(SUMPRODUCT(($A$3:$A$2002=$A1326)*($B$3:$B$2002=$B1326)*($J$3:$J$2002&lt;&gt;"취소")*($L$3:$L$2002&lt;&gt;"")*($M$3:$M$2002&lt;&gt;"")*($L$3:$L$2002&lt;$M1326)*($M$3:$M$2002&gt;$L1326))&gt;1,"중복","-"))</f>
        <v/>
      </c>
    </row>
    <row r="1327" customFormat="false" ht="15" hidden="false" customHeight="true" outlineLevel="0" collapsed="false">
      <c r="A1327" s="11"/>
      <c r="B1327" s="7"/>
      <c r="C1327" s="12" t="str">
        <f aca="false">IF($B1327="","",IFERROR(INDEX(자원목록!$B$3:$B$102,MATCH($B1327,자원목록!$A$3:$A$102,0)),"미등록자원"))</f>
        <v/>
      </c>
      <c r="D1327" s="7"/>
      <c r="E1327" s="12" t="str">
        <f aca="false">IF($D1327="","",IFERROR(INDEX(고객목록!$B$3:$B$502,MATCH($D1327,고객목록!$A$3:$A$502,0)),""))</f>
        <v/>
      </c>
      <c r="F1327" s="13"/>
      <c r="G1327" s="13"/>
      <c r="H1327" s="14" t="str">
        <f aca="false">IF(OR($L1327="",$M1327=""),"",ROUND(($M1327-$L1327)/60,2))</f>
        <v/>
      </c>
      <c r="I1327" s="9"/>
      <c r="J1327" s="7"/>
      <c r="K1327" s="7"/>
      <c r="L1327" s="15" t="str">
        <f aca="false">IF($F1327="","",IF($F1327&lt;1,ROUND($F1327*1440,0),INT($F1327/100)*60+MOD($F1327,100)))</f>
        <v/>
      </c>
      <c r="M1327" s="15" t="str">
        <f aca="false">IF($G1327="","",IF($G1327&lt;1,ROUND($G1327*1440,0),INT($G1327/100)*60+MOD($G1327,100)))</f>
        <v/>
      </c>
      <c r="N1327" s="15" t="str">
        <f aca="false">IF(OR($A1327="",$B1327="",$L1327="",$M1327="",$J1327="취소"),"",IF(SUMPRODUCT(($A$3:$A$2002=$A1327)*($B$3:$B$2002=$B1327)*($J$3:$J$2002&lt;&gt;"취소")*($L$3:$L$2002&lt;&gt;"")*($M$3:$M$2002&lt;&gt;"")*($L$3:$L$2002&lt;$M1327)*($M$3:$M$2002&gt;$L1327))&gt;1,"중복","-"))</f>
        <v/>
      </c>
    </row>
    <row r="1328" customFormat="false" ht="15" hidden="false" customHeight="true" outlineLevel="0" collapsed="false">
      <c r="A1328" s="11"/>
      <c r="B1328" s="7"/>
      <c r="C1328" s="12" t="str">
        <f aca="false">IF($B1328="","",IFERROR(INDEX(자원목록!$B$3:$B$102,MATCH($B1328,자원목록!$A$3:$A$102,0)),"미등록자원"))</f>
        <v/>
      </c>
      <c r="D1328" s="7"/>
      <c r="E1328" s="12" t="str">
        <f aca="false">IF($D1328="","",IFERROR(INDEX(고객목록!$B$3:$B$502,MATCH($D1328,고객목록!$A$3:$A$502,0)),""))</f>
        <v/>
      </c>
      <c r="F1328" s="13"/>
      <c r="G1328" s="13"/>
      <c r="H1328" s="14" t="str">
        <f aca="false">IF(OR($L1328="",$M1328=""),"",ROUND(($M1328-$L1328)/60,2))</f>
        <v/>
      </c>
      <c r="I1328" s="9"/>
      <c r="J1328" s="7"/>
      <c r="K1328" s="7"/>
      <c r="L1328" s="15" t="str">
        <f aca="false">IF($F1328="","",IF($F1328&lt;1,ROUND($F1328*1440,0),INT($F1328/100)*60+MOD($F1328,100)))</f>
        <v/>
      </c>
      <c r="M1328" s="15" t="str">
        <f aca="false">IF($G1328="","",IF($G1328&lt;1,ROUND($G1328*1440,0),INT($G1328/100)*60+MOD($G1328,100)))</f>
        <v/>
      </c>
      <c r="N1328" s="15" t="str">
        <f aca="false">IF(OR($A1328="",$B1328="",$L1328="",$M1328="",$J1328="취소"),"",IF(SUMPRODUCT(($A$3:$A$2002=$A1328)*($B$3:$B$2002=$B1328)*($J$3:$J$2002&lt;&gt;"취소")*($L$3:$L$2002&lt;&gt;"")*($M$3:$M$2002&lt;&gt;"")*($L$3:$L$2002&lt;$M1328)*($M$3:$M$2002&gt;$L1328))&gt;1,"중복","-"))</f>
        <v/>
      </c>
    </row>
    <row r="1329" customFormat="false" ht="15" hidden="false" customHeight="true" outlineLevel="0" collapsed="false">
      <c r="A1329" s="11"/>
      <c r="B1329" s="7"/>
      <c r="C1329" s="12" t="str">
        <f aca="false">IF($B1329="","",IFERROR(INDEX(자원목록!$B$3:$B$102,MATCH($B1329,자원목록!$A$3:$A$102,0)),"미등록자원"))</f>
        <v/>
      </c>
      <c r="D1329" s="7"/>
      <c r="E1329" s="12" t="str">
        <f aca="false">IF($D1329="","",IFERROR(INDEX(고객목록!$B$3:$B$502,MATCH($D1329,고객목록!$A$3:$A$502,0)),""))</f>
        <v/>
      </c>
      <c r="F1329" s="13"/>
      <c r="G1329" s="13"/>
      <c r="H1329" s="14" t="str">
        <f aca="false">IF(OR($L1329="",$M1329=""),"",ROUND(($M1329-$L1329)/60,2))</f>
        <v/>
      </c>
      <c r="I1329" s="9"/>
      <c r="J1329" s="7"/>
      <c r="K1329" s="7"/>
      <c r="L1329" s="15" t="str">
        <f aca="false">IF($F1329="","",IF($F1329&lt;1,ROUND($F1329*1440,0),INT($F1329/100)*60+MOD($F1329,100)))</f>
        <v/>
      </c>
      <c r="M1329" s="15" t="str">
        <f aca="false">IF($G1329="","",IF($G1329&lt;1,ROUND($G1329*1440,0),INT($G1329/100)*60+MOD($G1329,100)))</f>
        <v/>
      </c>
      <c r="N1329" s="15" t="str">
        <f aca="false">IF(OR($A1329="",$B1329="",$L1329="",$M1329="",$J1329="취소"),"",IF(SUMPRODUCT(($A$3:$A$2002=$A1329)*($B$3:$B$2002=$B1329)*($J$3:$J$2002&lt;&gt;"취소")*($L$3:$L$2002&lt;&gt;"")*($M$3:$M$2002&lt;&gt;"")*($L$3:$L$2002&lt;$M1329)*($M$3:$M$2002&gt;$L1329))&gt;1,"중복","-"))</f>
        <v/>
      </c>
    </row>
    <row r="1330" customFormat="false" ht="15" hidden="false" customHeight="true" outlineLevel="0" collapsed="false">
      <c r="A1330" s="11"/>
      <c r="B1330" s="7"/>
      <c r="C1330" s="12" t="str">
        <f aca="false">IF($B1330="","",IFERROR(INDEX(자원목록!$B$3:$B$102,MATCH($B1330,자원목록!$A$3:$A$102,0)),"미등록자원"))</f>
        <v/>
      </c>
      <c r="D1330" s="7"/>
      <c r="E1330" s="12" t="str">
        <f aca="false">IF($D1330="","",IFERROR(INDEX(고객목록!$B$3:$B$502,MATCH($D1330,고객목록!$A$3:$A$502,0)),""))</f>
        <v/>
      </c>
      <c r="F1330" s="13"/>
      <c r="G1330" s="13"/>
      <c r="H1330" s="14" t="str">
        <f aca="false">IF(OR($L1330="",$M1330=""),"",ROUND(($M1330-$L1330)/60,2))</f>
        <v/>
      </c>
      <c r="I1330" s="9"/>
      <c r="J1330" s="7"/>
      <c r="K1330" s="7"/>
      <c r="L1330" s="15" t="str">
        <f aca="false">IF($F1330="","",IF($F1330&lt;1,ROUND($F1330*1440,0),INT($F1330/100)*60+MOD($F1330,100)))</f>
        <v/>
      </c>
      <c r="M1330" s="15" t="str">
        <f aca="false">IF($G1330="","",IF($G1330&lt;1,ROUND($G1330*1440,0),INT($G1330/100)*60+MOD($G1330,100)))</f>
        <v/>
      </c>
      <c r="N1330" s="15" t="str">
        <f aca="false">IF(OR($A1330="",$B1330="",$L1330="",$M1330="",$J1330="취소"),"",IF(SUMPRODUCT(($A$3:$A$2002=$A1330)*($B$3:$B$2002=$B1330)*($J$3:$J$2002&lt;&gt;"취소")*($L$3:$L$2002&lt;&gt;"")*($M$3:$M$2002&lt;&gt;"")*($L$3:$L$2002&lt;$M1330)*($M$3:$M$2002&gt;$L1330))&gt;1,"중복","-"))</f>
        <v/>
      </c>
    </row>
    <row r="1331" customFormat="false" ht="15" hidden="false" customHeight="true" outlineLevel="0" collapsed="false">
      <c r="A1331" s="11"/>
      <c r="B1331" s="7"/>
      <c r="C1331" s="12" t="str">
        <f aca="false">IF($B1331="","",IFERROR(INDEX(자원목록!$B$3:$B$102,MATCH($B1331,자원목록!$A$3:$A$102,0)),"미등록자원"))</f>
        <v/>
      </c>
      <c r="D1331" s="7"/>
      <c r="E1331" s="12" t="str">
        <f aca="false">IF($D1331="","",IFERROR(INDEX(고객목록!$B$3:$B$502,MATCH($D1331,고객목록!$A$3:$A$502,0)),""))</f>
        <v/>
      </c>
      <c r="F1331" s="13"/>
      <c r="G1331" s="13"/>
      <c r="H1331" s="14" t="str">
        <f aca="false">IF(OR($L1331="",$M1331=""),"",ROUND(($M1331-$L1331)/60,2))</f>
        <v/>
      </c>
      <c r="I1331" s="9"/>
      <c r="J1331" s="7"/>
      <c r="K1331" s="7"/>
      <c r="L1331" s="15" t="str">
        <f aca="false">IF($F1331="","",IF($F1331&lt;1,ROUND($F1331*1440,0),INT($F1331/100)*60+MOD($F1331,100)))</f>
        <v/>
      </c>
      <c r="M1331" s="15" t="str">
        <f aca="false">IF($G1331="","",IF($G1331&lt;1,ROUND($G1331*1440,0),INT($G1331/100)*60+MOD($G1331,100)))</f>
        <v/>
      </c>
      <c r="N1331" s="15" t="str">
        <f aca="false">IF(OR($A1331="",$B1331="",$L1331="",$M1331="",$J1331="취소"),"",IF(SUMPRODUCT(($A$3:$A$2002=$A1331)*($B$3:$B$2002=$B1331)*($J$3:$J$2002&lt;&gt;"취소")*($L$3:$L$2002&lt;&gt;"")*($M$3:$M$2002&lt;&gt;"")*($L$3:$L$2002&lt;$M1331)*($M$3:$M$2002&gt;$L1331))&gt;1,"중복","-"))</f>
        <v/>
      </c>
    </row>
    <row r="1332" customFormat="false" ht="15" hidden="false" customHeight="true" outlineLevel="0" collapsed="false">
      <c r="A1332" s="11"/>
      <c r="B1332" s="7"/>
      <c r="C1332" s="12" t="str">
        <f aca="false">IF($B1332="","",IFERROR(INDEX(자원목록!$B$3:$B$102,MATCH($B1332,자원목록!$A$3:$A$102,0)),"미등록자원"))</f>
        <v/>
      </c>
      <c r="D1332" s="7"/>
      <c r="E1332" s="12" t="str">
        <f aca="false">IF($D1332="","",IFERROR(INDEX(고객목록!$B$3:$B$502,MATCH($D1332,고객목록!$A$3:$A$502,0)),""))</f>
        <v/>
      </c>
      <c r="F1332" s="13"/>
      <c r="G1332" s="13"/>
      <c r="H1332" s="14" t="str">
        <f aca="false">IF(OR($L1332="",$M1332=""),"",ROUND(($M1332-$L1332)/60,2))</f>
        <v/>
      </c>
      <c r="I1332" s="9"/>
      <c r="J1332" s="7"/>
      <c r="K1332" s="7"/>
      <c r="L1332" s="15" t="str">
        <f aca="false">IF($F1332="","",IF($F1332&lt;1,ROUND($F1332*1440,0),INT($F1332/100)*60+MOD($F1332,100)))</f>
        <v/>
      </c>
      <c r="M1332" s="15" t="str">
        <f aca="false">IF($G1332="","",IF($G1332&lt;1,ROUND($G1332*1440,0),INT($G1332/100)*60+MOD($G1332,100)))</f>
        <v/>
      </c>
      <c r="N1332" s="15" t="str">
        <f aca="false">IF(OR($A1332="",$B1332="",$L1332="",$M1332="",$J1332="취소"),"",IF(SUMPRODUCT(($A$3:$A$2002=$A1332)*($B$3:$B$2002=$B1332)*($J$3:$J$2002&lt;&gt;"취소")*($L$3:$L$2002&lt;&gt;"")*($M$3:$M$2002&lt;&gt;"")*($L$3:$L$2002&lt;$M1332)*($M$3:$M$2002&gt;$L1332))&gt;1,"중복","-"))</f>
        <v/>
      </c>
    </row>
    <row r="1333" customFormat="false" ht="15" hidden="false" customHeight="true" outlineLevel="0" collapsed="false">
      <c r="A1333" s="11"/>
      <c r="B1333" s="7"/>
      <c r="C1333" s="12" t="str">
        <f aca="false">IF($B1333="","",IFERROR(INDEX(자원목록!$B$3:$B$102,MATCH($B1333,자원목록!$A$3:$A$102,0)),"미등록자원"))</f>
        <v/>
      </c>
      <c r="D1333" s="7"/>
      <c r="E1333" s="12" t="str">
        <f aca="false">IF($D1333="","",IFERROR(INDEX(고객목록!$B$3:$B$502,MATCH($D1333,고객목록!$A$3:$A$502,0)),""))</f>
        <v/>
      </c>
      <c r="F1333" s="13"/>
      <c r="G1333" s="13"/>
      <c r="H1333" s="14" t="str">
        <f aca="false">IF(OR($L1333="",$M1333=""),"",ROUND(($M1333-$L1333)/60,2))</f>
        <v/>
      </c>
      <c r="I1333" s="9"/>
      <c r="J1333" s="7"/>
      <c r="K1333" s="7"/>
      <c r="L1333" s="15" t="str">
        <f aca="false">IF($F1333="","",IF($F1333&lt;1,ROUND($F1333*1440,0),INT($F1333/100)*60+MOD($F1333,100)))</f>
        <v/>
      </c>
      <c r="M1333" s="15" t="str">
        <f aca="false">IF($G1333="","",IF($G1333&lt;1,ROUND($G1333*1440,0),INT($G1333/100)*60+MOD($G1333,100)))</f>
        <v/>
      </c>
      <c r="N1333" s="15" t="str">
        <f aca="false">IF(OR($A1333="",$B1333="",$L1333="",$M1333="",$J1333="취소"),"",IF(SUMPRODUCT(($A$3:$A$2002=$A1333)*($B$3:$B$2002=$B1333)*($J$3:$J$2002&lt;&gt;"취소")*($L$3:$L$2002&lt;&gt;"")*($M$3:$M$2002&lt;&gt;"")*($L$3:$L$2002&lt;$M1333)*($M$3:$M$2002&gt;$L1333))&gt;1,"중복","-"))</f>
        <v/>
      </c>
    </row>
    <row r="1334" customFormat="false" ht="15" hidden="false" customHeight="true" outlineLevel="0" collapsed="false">
      <c r="A1334" s="11"/>
      <c r="B1334" s="7"/>
      <c r="C1334" s="12" t="str">
        <f aca="false">IF($B1334="","",IFERROR(INDEX(자원목록!$B$3:$B$102,MATCH($B1334,자원목록!$A$3:$A$102,0)),"미등록자원"))</f>
        <v/>
      </c>
      <c r="D1334" s="7"/>
      <c r="E1334" s="12" t="str">
        <f aca="false">IF($D1334="","",IFERROR(INDEX(고객목록!$B$3:$B$502,MATCH($D1334,고객목록!$A$3:$A$502,0)),""))</f>
        <v/>
      </c>
      <c r="F1334" s="13"/>
      <c r="G1334" s="13"/>
      <c r="H1334" s="14" t="str">
        <f aca="false">IF(OR($L1334="",$M1334=""),"",ROUND(($M1334-$L1334)/60,2))</f>
        <v/>
      </c>
      <c r="I1334" s="9"/>
      <c r="J1334" s="7"/>
      <c r="K1334" s="7"/>
      <c r="L1334" s="15" t="str">
        <f aca="false">IF($F1334="","",IF($F1334&lt;1,ROUND($F1334*1440,0),INT($F1334/100)*60+MOD($F1334,100)))</f>
        <v/>
      </c>
      <c r="M1334" s="15" t="str">
        <f aca="false">IF($G1334="","",IF($G1334&lt;1,ROUND($G1334*1440,0),INT($G1334/100)*60+MOD($G1334,100)))</f>
        <v/>
      </c>
      <c r="N1334" s="15" t="str">
        <f aca="false">IF(OR($A1334="",$B1334="",$L1334="",$M1334="",$J1334="취소"),"",IF(SUMPRODUCT(($A$3:$A$2002=$A1334)*($B$3:$B$2002=$B1334)*($J$3:$J$2002&lt;&gt;"취소")*($L$3:$L$2002&lt;&gt;"")*($M$3:$M$2002&lt;&gt;"")*($L$3:$L$2002&lt;$M1334)*($M$3:$M$2002&gt;$L1334))&gt;1,"중복","-"))</f>
        <v/>
      </c>
    </row>
    <row r="1335" customFormat="false" ht="15" hidden="false" customHeight="true" outlineLevel="0" collapsed="false">
      <c r="A1335" s="11"/>
      <c r="B1335" s="7"/>
      <c r="C1335" s="12" t="str">
        <f aca="false">IF($B1335="","",IFERROR(INDEX(자원목록!$B$3:$B$102,MATCH($B1335,자원목록!$A$3:$A$102,0)),"미등록자원"))</f>
        <v/>
      </c>
      <c r="D1335" s="7"/>
      <c r="E1335" s="12" t="str">
        <f aca="false">IF($D1335="","",IFERROR(INDEX(고객목록!$B$3:$B$502,MATCH($D1335,고객목록!$A$3:$A$502,0)),""))</f>
        <v/>
      </c>
      <c r="F1335" s="13"/>
      <c r="G1335" s="13"/>
      <c r="H1335" s="14" t="str">
        <f aca="false">IF(OR($L1335="",$M1335=""),"",ROUND(($M1335-$L1335)/60,2))</f>
        <v/>
      </c>
      <c r="I1335" s="9"/>
      <c r="J1335" s="7"/>
      <c r="K1335" s="7"/>
      <c r="L1335" s="15" t="str">
        <f aca="false">IF($F1335="","",IF($F1335&lt;1,ROUND($F1335*1440,0),INT($F1335/100)*60+MOD($F1335,100)))</f>
        <v/>
      </c>
      <c r="M1335" s="15" t="str">
        <f aca="false">IF($G1335="","",IF($G1335&lt;1,ROUND($G1335*1440,0),INT($G1335/100)*60+MOD($G1335,100)))</f>
        <v/>
      </c>
      <c r="N1335" s="15" t="str">
        <f aca="false">IF(OR($A1335="",$B1335="",$L1335="",$M1335="",$J1335="취소"),"",IF(SUMPRODUCT(($A$3:$A$2002=$A1335)*($B$3:$B$2002=$B1335)*($J$3:$J$2002&lt;&gt;"취소")*($L$3:$L$2002&lt;&gt;"")*($M$3:$M$2002&lt;&gt;"")*($L$3:$L$2002&lt;$M1335)*($M$3:$M$2002&gt;$L1335))&gt;1,"중복","-"))</f>
        <v/>
      </c>
    </row>
    <row r="1336" customFormat="false" ht="15" hidden="false" customHeight="true" outlineLevel="0" collapsed="false">
      <c r="A1336" s="11"/>
      <c r="B1336" s="7"/>
      <c r="C1336" s="12" t="str">
        <f aca="false">IF($B1336="","",IFERROR(INDEX(자원목록!$B$3:$B$102,MATCH($B1336,자원목록!$A$3:$A$102,0)),"미등록자원"))</f>
        <v/>
      </c>
      <c r="D1336" s="7"/>
      <c r="E1336" s="12" t="str">
        <f aca="false">IF($D1336="","",IFERROR(INDEX(고객목록!$B$3:$B$502,MATCH($D1336,고객목록!$A$3:$A$502,0)),""))</f>
        <v/>
      </c>
      <c r="F1336" s="13"/>
      <c r="G1336" s="13"/>
      <c r="H1336" s="14" t="str">
        <f aca="false">IF(OR($L1336="",$M1336=""),"",ROUND(($M1336-$L1336)/60,2))</f>
        <v/>
      </c>
      <c r="I1336" s="9"/>
      <c r="J1336" s="7"/>
      <c r="K1336" s="7"/>
      <c r="L1336" s="15" t="str">
        <f aca="false">IF($F1336="","",IF($F1336&lt;1,ROUND($F1336*1440,0),INT($F1336/100)*60+MOD($F1336,100)))</f>
        <v/>
      </c>
      <c r="M1336" s="15" t="str">
        <f aca="false">IF($G1336="","",IF($G1336&lt;1,ROUND($G1336*1440,0),INT($G1336/100)*60+MOD($G1336,100)))</f>
        <v/>
      </c>
      <c r="N1336" s="15" t="str">
        <f aca="false">IF(OR($A1336="",$B1336="",$L1336="",$M1336="",$J1336="취소"),"",IF(SUMPRODUCT(($A$3:$A$2002=$A1336)*($B$3:$B$2002=$B1336)*($J$3:$J$2002&lt;&gt;"취소")*($L$3:$L$2002&lt;&gt;"")*($M$3:$M$2002&lt;&gt;"")*($L$3:$L$2002&lt;$M1336)*($M$3:$M$2002&gt;$L1336))&gt;1,"중복","-"))</f>
        <v/>
      </c>
    </row>
    <row r="1337" customFormat="false" ht="15" hidden="false" customHeight="true" outlineLevel="0" collapsed="false">
      <c r="A1337" s="11"/>
      <c r="B1337" s="7"/>
      <c r="C1337" s="12" t="str">
        <f aca="false">IF($B1337="","",IFERROR(INDEX(자원목록!$B$3:$B$102,MATCH($B1337,자원목록!$A$3:$A$102,0)),"미등록자원"))</f>
        <v/>
      </c>
      <c r="D1337" s="7"/>
      <c r="E1337" s="12" t="str">
        <f aca="false">IF($D1337="","",IFERROR(INDEX(고객목록!$B$3:$B$502,MATCH($D1337,고객목록!$A$3:$A$502,0)),""))</f>
        <v/>
      </c>
      <c r="F1337" s="13"/>
      <c r="G1337" s="13"/>
      <c r="H1337" s="14" t="str">
        <f aca="false">IF(OR($L1337="",$M1337=""),"",ROUND(($M1337-$L1337)/60,2))</f>
        <v/>
      </c>
      <c r="I1337" s="9"/>
      <c r="J1337" s="7"/>
      <c r="K1337" s="7"/>
      <c r="L1337" s="15" t="str">
        <f aca="false">IF($F1337="","",IF($F1337&lt;1,ROUND($F1337*1440,0),INT($F1337/100)*60+MOD($F1337,100)))</f>
        <v/>
      </c>
      <c r="M1337" s="15" t="str">
        <f aca="false">IF($G1337="","",IF($G1337&lt;1,ROUND($G1337*1440,0),INT($G1337/100)*60+MOD($G1337,100)))</f>
        <v/>
      </c>
      <c r="N1337" s="15" t="str">
        <f aca="false">IF(OR($A1337="",$B1337="",$L1337="",$M1337="",$J1337="취소"),"",IF(SUMPRODUCT(($A$3:$A$2002=$A1337)*($B$3:$B$2002=$B1337)*($J$3:$J$2002&lt;&gt;"취소")*($L$3:$L$2002&lt;&gt;"")*($M$3:$M$2002&lt;&gt;"")*($L$3:$L$2002&lt;$M1337)*($M$3:$M$2002&gt;$L1337))&gt;1,"중복","-"))</f>
        <v/>
      </c>
    </row>
    <row r="1338" customFormat="false" ht="15" hidden="false" customHeight="true" outlineLevel="0" collapsed="false">
      <c r="A1338" s="11"/>
      <c r="B1338" s="7"/>
      <c r="C1338" s="12" t="str">
        <f aca="false">IF($B1338="","",IFERROR(INDEX(자원목록!$B$3:$B$102,MATCH($B1338,자원목록!$A$3:$A$102,0)),"미등록자원"))</f>
        <v/>
      </c>
      <c r="D1338" s="7"/>
      <c r="E1338" s="12" t="str">
        <f aca="false">IF($D1338="","",IFERROR(INDEX(고객목록!$B$3:$B$502,MATCH($D1338,고객목록!$A$3:$A$502,0)),""))</f>
        <v/>
      </c>
      <c r="F1338" s="13"/>
      <c r="G1338" s="13"/>
      <c r="H1338" s="14" t="str">
        <f aca="false">IF(OR($L1338="",$M1338=""),"",ROUND(($M1338-$L1338)/60,2))</f>
        <v/>
      </c>
      <c r="I1338" s="9"/>
      <c r="J1338" s="7"/>
      <c r="K1338" s="7"/>
      <c r="L1338" s="15" t="str">
        <f aca="false">IF($F1338="","",IF($F1338&lt;1,ROUND($F1338*1440,0),INT($F1338/100)*60+MOD($F1338,100)))</f>
        <v/>
      </c>
      <c r="M1338" s="15" t="str">
        <f aca="false">IF($G1338="","",IF($G1338&lt;1,ROUND($G1338*1440,0),INT($G1338/100)*60+MOD($G1338,100)))</f>
        <v/>
      </c>
      <c r="N1338" s="15" t="str">
        <f aca="false">IF(OR($A1338="",$B1338="",$L1338="",$M1338="",$J1338="취소"),"",IF(SUMPRODUCT(($A$3:$A$2002=$A1338)*($B$3:$B$2002=$B1338)*($J$3:$J$2002&lt;&gt;"취소")*($L$3:$L$2002&lt;&gt;"")*($M$3:$M$2002&lt;&gt;"")*($L$3:$L$2002&lt;$M1338)*($M$3:$M$2002&gt;$L1338))&gt;1,"중복","-"))</f>
        <v/>
      </c>
    </row>
    <row r="1339" customFormat="false" ht="15" hidden="false" customHeight="true" outlineLevel="0" collapsed="false">
      <c r="A1339" s="11"/>
      <c r="B1339" s="7"/>
      <c r="C1339" s="12" t="str">
        <f aca="false">IF($B1339="","",IFERROR(INDEX(자원목록!$B$3:$B$102,MATCH($B1339,자원목록!$A$3:$A$102,0)),"미등록자원"))</f>
        <v/>
      </c>
      <c r="D1339" s="7"/>
      <c r="E1339" s="12" t="str">
        <f aca="false">IF($D1339="","",IFERROR(INDEX(고객목록!$B$3:$B$502,MATCH($D1339,고객목록!$A$3:$A$502,0)),""))</f>
        <v/>
      </c>
      <c r="F1339" s="13"/>
      <c r="G1339" s="13"/>
      <c r="H1339" s="14" t="str">
        <f aca="false">IF(OR($L1339="",$M1339=""),"",ROUND(($M1339-$L1339)/60,2))</f>
        <v/>
      </c>
      <c r="I1339" s="9"/>
      <c r="J1339" s="7"/>
      <c r="K1339" s="7"/>
      <c r="L1339" s="15" t="str">
        <f aca="false">IF($F1339="","",IF($F1339&lt;1,ROUND($F1339*1440,0),INT($F1339/100)*60+MOD($F1339,100)))</f>
        <v/>
      </c>
      <c r="M1339" s="15" t="str">
        <f aca="false">IF($G1339="","",IF($G1339&lt;1,ROUND($G1339*1440,0),INT($G1339/100)*60+MOD($G1339,100)))</f>
        <v/>
      </c>
      <c r="N1339" s="15" t="str">
        <f aca="false">IF(OR($A1339="",$B1339="",$L1339="",$M1339="",$J1339="취소"),"",IF(SUMPRODUCT(($A$3:$A$2002=$A1339)*($B$3:$B$2002=$B1339)*($J$3:$J$2002&lt;&gt;"취소")*($L$3:$L$2002&lt;&gt;"")*($M$3:$M$2002&lt;&gt;"")*($L$3:$L$2002&lt;$M1339)*($M$3:$M$2002&gt;$L1339))&gt;1,"중복","-"))</f>
        <v/>
      </c>
    </row>
    <row r="1340" customFormat="false" ht="15" hidden="false" customHeight="true" outlineLevel="0" collapsed="false">
      <c r="A1340" s="11"/>
      <c r="B1340" s="7"/>
      <c r="C1340" s="12" t="str">
        <f aca="false">IF($B1340="","",IFERROR(INDEX(자원목록!$B$3:$B$102,MATCH($B1340,자원목록!$A$3:$A$102,0)),"미등록자원"))</f>
        <v/>
      </c>
      <c r="D1340" s="7"/>
      <c r="E1340" s="12" t="str">
        <f aca="false">IF($D1340="","",IFERROR(INDEX(고객목록!$B$3:$B$502,MATCH($D1340,고객목록!$A$3:$A$502,0)),""))</f>
        <v/>
      </c>
      <c r="F1340" s="13"/>
      <c r="G1340" s="13"/>
      <c r="H1340" s="14" t="str">
        <f aca="false">IF(OR($L1340="",$M1340=""),"",ROUND(($M1340-$L1340)/60,2))</f>
        <v/>
      </c>
      <c r="I1340" s="9"/>
      <c r="J1340" s="7"/>
      <c r="K1340" s="7"/>
      <c r="L1340" s="15" t="str">
        <f aca="false">IF($F1340="","",IF($F1340&lt;1,ROUND($F1340*1440,0),INT($F1340/100)*60+MOD($F1340,100)))</f>
        <v/>
      </c>
      <c r="M1340" s="15" t="str">
        <f aca="false">IF($G1340="","",IF($G1340&lt;1,ROUND($G1340*1440,0),INT($G1340/100)*60+MOD($G1340,100)))</f>
        <v/>
      </c>
      <c r="N1340" s="15" t="str">
        <f aca="false">IF(OR($A1340="",$B1340="",$L1340="",$M1340="",$J1340="취소"),"",IF(SUMPRODUCT(($A$3:$A$2002=$A1340)*($B$3:$B$2002=$B1340)*($J$3:$J$2002&lt;&gt;"취소")*($L$3:$L$2002&lt;&gt;"")*($M$3:$M$2002&lt;&gt;"")*($L$3:$L$2002&lt;$M1340)*($M$3:$M$2002&gt;$L1340))&gt;1,"중복","-"))</f>
        <v/>
      </c>
    </row>
    <row r="1341" customFormat="false" ht="15" hidden="false" customHeight="true" outlineLevel="0" collapsed="false">
      <c r="A1341" s="11"/>
      <c r="B1341" s="7"/>
      <c r="C1341" s="12" t="str">
        <f aca="false">IF($B1341="","",IFERROR(INDEX(자원목록!$B$3:$B$102,MATCH($B1341,자원목록!$A$3:$A$102,0)),"미등록자원"))</f>
        <v/>
      </c>
      <c r="D1341" s="7"/>
      <c r="E1341" s="12" t="str">
        <f aca="false">IF($D1341="","",IFERROR(INDEX(고객목록!$B$3:$B$502,MATCH($D1341,고객목록!$A$3:$A$502,0)),""))</f>
        <v/>
      </c>
      <c r="F1341" s="13"/>
      <c r="G1341" s="13"/>
      <c r="H1341" s="14" t="str">
        <f aca="false">IF(OR($L1341="",$M1341=""),"",ROUND(($M1341-$L1341)/60,2))</f>
        <v/>
      </c>
      <c r="I1341" s="9"/>
      <c r="J1341" s="7"/>
      <c r="K1341" s="7"/>
      <c r="L1341" s="15" t="str">
        <f aca="false">IF($F1341="","",IF($F1341&lt;1,ROUND($F1341*1440,0),INT($F1341/100)*60+MOD($F1341,100)))</f>
        <v/>
      </c>
      <c r="M1341" s="15" t="str">
        <f aca="false">IF($G1341="","",IF($G1341&lt;1,ROUND($G1341*1440,0),INT($G1341/100)*60+MOD($G1341,100)))</f>
        <v/>
      </c>
      <c r="N1341" s="15" t="str">
        <f aca="false">IF(OR($A1341="",$B1341="",$L1341="",$M1341="",$J1341="취소"),"",IF(SUMPRODUCT(($A$3:$A$2002=$A1341)*($B$3:$B$2002=$B1341)*($J$3:$J$2002&lt;&gt;"취소")*($L$3:$L$2002&lt;&gt;"")*($M$3:$M$2002&lt;&gt;"")*($L$3:$L$2002&lt;$M1341)*($M$3:$M$2002&gt;$L1341))&gt;1,"중복","-"))</f>
        <v/>
      </c>
    </row>
    <row r="1342" customFormat="false" ht="15" hidden="false" customHeight="true" outlineLevel="0" collapsed="false">
      <c r="A1342" s="11"/>
      <c r="B1342" s="7"/>
      <c r="C1342" s="12" t="str">
        <f aca="false">IF($B1342="","",IFERROR(INDEX(자원목록!$B$3:$B$102,MATCH($B1342,자원목록!$A$3:$A$102,0)),"미등록자원"))</f>
        <v/>
      </c>
      <c r="D1342" s="7"/>
      <c r="E1342" s="12" t="str">
        <f aca="false">IF($D1342="","",IFERROR(INDEX(고객목록!$B$3:$B$502,MATCH($D1342,고객목록!$A$3:$A$502,0)),""))</f>
        <v/>
      </c>
      <c r="F1342" s="13"/>
      <c r="G1342" s="13"/>
      <c r="H1342" s="14" t="str">
        <f aca="false">IF(OR($L1342="",$M1342=""),"",ROUND(($M1342-$L1342)/60,2))</f>
        <v/>
      </c>
      <c r="I1342" s="9"/>
      <c r="J1342" s="7"/>
      <c r="K1342" s="7"/>
      <c r="L1342" s="15" t="str">
        <f aca="false">IF($F1342="","",IF($F1342&lt;1,ROUND($F1342*1440,0),INT($F1342/100)*60+MOD($F1342,100)))</f>
        <v/>
      </c>
      <c r="M1342" s="15" t="str">
        <f aca="false">IF($G1342="","",IF($G1342&lt;1,ROUND($G1342*1440,0),INT($G1342/100)*60+MOD($G1342,100)))</f>
        <v/>
      </c>
      <c r="N1342" s="15" t="str">
        <f aca="false">IF(OR($A1342="",$B1342="",$L1342="",$M1342="",$J1342="취소"),"",IF(SUMPRODUCT(($A$3:$A$2002=$A1342)*($B$3:$B$2002=$B1342)*($J$3:$J$2002&lt;&gt;"취소")*($L$3:$L$2002&lt;&gt;"")*($M$3:$M$2002&lt;&gt;"")*($L$3:$L$2002&lt;$M1342)*($M$3:$M$2002&gt;$L1342))&gt;1,"중복","-"))</f>
        <v/>
      </c>
    </row>
    <row r="1343" customFormat="false" ht="15" hidden="false" customHeight="true" outlineLevel="0" collapsed="false">
      <c r="A1343" s="11"/>
      <c r="B1343" s="7"/>
      <c r="C1343" s="12" t="str">
        <f aca="false">IF($B1343="","",IFERROR(INDEX(자원목록!$B$3:$B$102,MATCH($B1343,자원목록!$A$3:$A$102,0)),"미등록자원"))</f>
        <v/>
      </c>
      <c r="D1343" s="7"/>
      <c r="E1343" s="12" t="str">
        <f aca="false">IF($D1343="","",IFERROR(INDEX(고객목록!$B$3:$B$502,MATCH($D1343,고객목록!$A$3:$A$502,0)),""))</f>
        <v/>
      </c>
      <c r="F1343" s="13"/>
      <c r="G1343" s="13"/>
      <c r="H1343" s="14" t="str">
        <f aca="false">IF(OR($L1343="",$M1343=""),"",ROUND(($M1343-$L1343)/60,2))</f>
        <v/>
      </c>
      <c r="I1343" s="9"/>
      <c r="J1343" s="7"/>
      <c r="K1343" s="7"/>
      <c r="L1343" s="15" t="str">
        <f aca="false">IF($F1343="","",IF($F1343&lt;1,ROUND($F1343*1440,0),INT($F1343/100)*60+MOD($F1343,100)))</f>
        <v/>
      </c>
      <c r="M1343" s="15" t="str">
        <f aca="false">IF($G1343="","",IF($G1343&lt;1,ROUND($G1343*1440,0),INT($G1343/100)*60+MOD($G1343,100)))</f>
        <v/>
      </c>
      <c r="N1343" s="15" t="str">
        <f aca="false">IF(OR($A1343="",$B1343="",$L1343="",$M1343="",$J1343="취소"),"",IF(SUMPRODUCT(($A$3:$A$2002=$A1343)*($B$3:$B$2002=$B1343)*($J$3:$J$2002&lt;&gt;"취소")*($L$3:$L$2002&lt;&gt;"")*($M$3:$M$2002&lt;&gt;"")*($L$3:$L$2002&lt;$M1343)*($M$3:$M$2002&gt;$L1343))&gt;1,"중복","-"))</f>
        <v/>
      </c>
    </row>
    <row r="1344" customFormat="false" ht="15" hidden="false" customHeight="true" outlineLevel="0" collapsed="false">
      <c r="A1344" s="11"/>
      <c r="B1344" s="7"/>
      <c r="C1344" s="12" t="str">
        <f aca="false">IF($B1344="","",IFERROR(INDEX(자원목록!$B$3:$B$102,MATCH($B1344,자원목록!$A$3:$A$102,0)),"미등록자원"))</f>
        <v/>
      </c>
      <c r="D1344" s="7"/>
      <c r="E1344" s="12" t="str">
        <f aca="false">IF($D1344="","",IFERROR(INDEX(고객목록!$B$3:$B$502,MATCH($D1344,고객목록!$A$3:$A$502,0)),""))</f>
        <v/>
      </c>
      <c r="F1344" s="13"/>
      <c r="G1344" s="13"/>
      <c r="H1344" s="14" t="str">
        <f aca="false">IF(OR($L1344="",$M1344=""),"",ROUND(($M1344-$L1344)/60,2))</f>
        <v/>
      </c>
      <c r="I1344" s="9"/>
      <c r="J1344" s="7"/>
      <c r="K1344" s="7"/>
      <c r="L1344" s="15" t="str">
        <f aca="false">IF($F1344="","",IF($F1344&lt;1,ROUND($F1344*1440,0),INT($F1344/100)*60+MOD($F1344,100)))</f>
        <v/>
      </c>
      <c r="M1344" s="15" t="str">
        <f aca="false">IF($G1344="","",IF($G1344&lt;1,ROUND($G1344*1440,0),INT($G1344/100)*60+MOD($G1344,100)))</f>
        <v/>
      </c>
      <c r="N1344" s="15" t="str">
        <f aca="false">IF(OR($A1344="",$B1344="",$L1344="",$M1344="",$J1344="취소"),"",IF(SUMPRODUCT(($A$3:$A$2002=$A1344)*($B$3:$B$2002=$B1344)*($J$3:$J$2002&lt;&gt;"취소")*($L$3:$L$2002&lt;&gt;"")*($M$3:$M$2002&lt;&gt;"")*($L$3:$L$2002&lt;$M1344)*($M$3:$M$2002&gt;$L1344))&gt;1,"중복","-"))</f>
        <v/>
      </c>
    </row>
    <row r="1345" customFormat="false" ht="15" hidden="false" customHeight="true" outlineLevel="0" collapsed="false">
      <c r="A1345" s="11"/>
      <c r="B1345" s="7"/>
      <c r="C1345" s="12" t="str">
        <f aca="false">IF($B1345="","",IFERROR(INDEX(자원목록!$B$3:$B$102,MATCH($B1345,자원목록!$A$3:$A$102,0)),"미등록자원"))</f>
        <v/>
      </c>
      <c r="D1345" s="7"/>
      <c r="E1345" s="12" t="str">
        <f aca="false">IF($D1345="","",IFERROR(INDEX(고객목록!$B$3:$B$502,MATCH($D1345,고객목록!$A$3:$A$502,0)),""))</f>
        <v/>
      </c>
      <c r="F1345" s="13"/>
      <c r="G1345" s="13"/>
      <c r="H1345" s="14" t="str">
        <f aca="false">IF(OR($L1345="",$M1345=""),"",ROUND(($M1345-$L1345)/60,2))</f>
        <v/>
      </c>
      <c r="I1345" s="9"/>
      <c r="J1345" s="7"/>
      <c r="K1345" s="7"/>
      <c r="L1345" s="15" t="str">
        <f aca="false">IF($F1345="","",IF($F1345&lt;1,ROUND($F1345*1440,0),INT($F1345/100)*60+MOD($F1345,100)))</f>
        <v/>
      </c>
      <c r="M1345" s="15" t="str">
        <f aca="false">IF($G1345="","",IF($G1345&lt;1,ROUND($G1345*1440,0),INT($G1345/100)*60+MOD($G1345,100)))</f>
        <v/>
      </c>
      <c r="N1345" s="15" t="str">
        <f aca="false">IF(OR($A1345="",$B1345="",$L1345="",$M1345="",$J1345="취소"),"",IF(SUMPRODUCT(($A$3:$A$2002=$A1345)*($B$3:$B$2002=$B1345)*($J$3:$J$2002&lt;&gt;"취소")*($L$3:$L$2002&lt;&gt;"")*($M$3:$M$2002&lt;&gt;"")*($L$3:$L$2002&lt;$M1345)*($M$3:$M$2002&gt;$L1345))&gt;1,"중복","-"))</f>
        <v/>
      </c>
    </row>
    <row r="1346" customFormat="false" ht="15" hidden="false" customHeight="true" outlineLevel="0" collapsed="false">
      <c r="A1346" s="11"/>
      <c r="B1346" s="7"/>
      <c r="C1346" s="12" t="str">
        <f aca="false">IF($B1346="","",IFERROR(INDEX(자원목록!$B$3:$B$102,MATCH($B1346,자원목록!$A$3:$A$102,0)),"미등록자원"))</f>
        <v/>
      </c>
      <c r="D1346" s="7"/>
      <c r="E1346" s="12" t="str">
        <f aca="false">IF($D1346="","",IFERROR(INDEX(고객목록!$B$3:$B$502,MATCH($D1346,고객목록!$A$3:$A$502,0)),""))</f>
        <v/>
      </c>
      <c r="F1346" s="13"/>
      <c r="G1346" s="13"/>
      <c r="H1346" s="14" t="str">
        <f aca="false">IF(OR($L1346="",$M1346=""),"",ROUND(($M1346-$L1346)/60,2))</f>
        <v/>
      </c>
      <c r="I1346" s="9"/>
      <c r="J1346" s="7"/>
      <c r="K1346" s="7"/>
      <c r="L1346" s="15" t="str">
        <f aca="false">IF($F1346="","",IF($F1346&lt;1,ROUND($F1346*1440,0),INT($F1346/100)*60+MOD($F1346,100)))</f>
        <v/>
      </c>
      <c r="M1346" s="15" t="str">
        <f aca="false">IF($G1346="","",IF($G1346&lt;1,ROUND($G1346*1440,0),INT($G1346/100)*60+MOD($G1346,100)))</f>
        <v/>
      </c>
      <c r="N1346" s="15" t="str">
        <f aca="false">IF(OR($A1346="",$B1346="",$L1346="",$M1346="",$J1346="취소"),"",IF(SUMPRODUCT(($A$3:$A$2002=$A1346)*($B$3:$B$2002=$B1346)*($J$3:$J$2002&lt;&gt;"취소")*($L$3:$L$2002&lt;&gt;"")*($M$3:$M$2002&lt;&gt;"")*($L$3:$L$2002&lt;$M1346)*($M$3:$M$2002&gt;$L1346))&gt;1,"중복","-"))</f>
        <v/>
      </c>
    </row>
    <row r="1347" customFormat="false" ht="15" hidden="false" customHeight="true" outlineLevel="0" collapsed="false">
      <c r="A1347" s="11"/>
      <c r="B1347" s="7"/>
      <c r="C1347" s="12" t="str">
        <f aca="false">IF($B1347="","",IFERROR(INDEX(자원목록!$B$3:$B$102,MATCH($B1347,자원목록!$A$3:$A$102,0)),"미등록자원"))</f>
        <v/>
      </c>
      <c r="D1347" s="7"/>
      <c r="E1347" s="12" t="str">
        <f aca="false">IF($D1347="","",IFERROR(INDEX(고객목록!$B$3:$B$502,MATCH($D1347,고객목록!$A$3:$A$502,0)),""))</f>
        <v/>
      </c>
      <c r="F1347" s="13"/>
      <c r="G1347" s="13"/>
      <c r="H1347" s="14" t="str">
        <f aca="false">IF(OR($L1347="",$M1347=""),"",ROUND(($M1347-$L1347)/60,2))</f>
        <v/>
      </c>
      <c r="I1347" s="9"/>
      <c r="J1347" s="7"/>
      <c r="K1347" s="7"/>
      <c r="L1347" s="15" t="str">
        <f aca="false">IF($F1347="","",IF($F1347&lt;1,ROUND($F1347*1440,0),INT($F1347/100)*60+MOD($F1347,100)))</f>
        <v/>
      </c>
      <c r="M1347" s="15" t="str">
        <f aca="false">IF($G1347="","",IF($G1347&lt;1,ROUND($G1347*1440,0),INT($G1347/100)*60+MOD($G1347,100)))</f>
        <v/>
      </c>
      <c r="N1347" s="15" t="str">
        <f aca="false">IF(OR($A1347="",$B1347="",$L1347="",$M1347="",$J1347="취소"),"",IF(SUMPRODUCT(($A$3:$A$2002=$A1347)*($B$3:$B$2002=$B1347)*($J$3:$J$2002&lt;&gt;"취소")*($L$3:$L$2002&lt;&gt;"")*($M$3:$M$2002&lt;&gt;"")*($L$3:$L$2002&lt;$M1347)*($M$3:$M$2002&gt;$L1347))&gt;1,"중복","-"))</f>
        <v/>
      </c>
    </row>
    <row r="1348" customFormat="false" ht="15" hidden="false" customHeight="true" outlineLevel="0" collapsed="false">
      <c r="A1348" s="11"/>
      <c r="B1348" s="7"/>
      <c r="C1348" s="12" t="str">
        <f aca="false">IF($B1348="","",IFERROR(INDEX(자원목록!$B$3:$B$102,MATCH($B1348,자원목록!$A$3:$A$102,0)),"미등록자원"))</f>
        <v/>
      </c>
      <c r="D1348" s="7"/>
      <c r="E1348" s="12" t="str">
        <f aca="false">IF($D1348="","",IFERROR(INDEX(고객목록!$B$3:$B$502,MATCH($D1348,고객목록!$A$3:$A$502,0)),""))</f>
        <v/>
      </c>
      <c r="F1348" s="13"/>
      <c r="G1348" s="13"/>
      <c r="H1348" s="14" t="str">
        <f aca="false">IF(OR($L1348="",$M1348=""),"",ROUND(($M1348-$L1348)/60,2))</f>
        <v/>
      </c>
      <c r="I1348" s="9"/>
      <c r="J1348" s="7"/>
      <c r="K1348" s="7"/>
      <c r="L1348" s="15" t="str">
        <f aca="false">IF($F1348="","",IF($F1348&lt;1,ROUND($F1348*1440,0),INT($F1348/100)*60+MOD($F1348,100)))</f>
        <v/>
      </c>
      <c r="M1348" s="15" t="str">
        <f aca="false">IF($G1348="","",IF($G1348&lt;1,ROUND($G1348*1440,0),INT($G1348/100)*60+MOD($G1348,100)))</f>
        <v/>
      </c>
      <c r="N1348" s="15" t="str">
        <f aca="false">IF(OR($A1348="",$B1348="",$L1348="",$M1348="",$J1348="취소"),"",IF(SUMPRODUCT(($A$3:$A$2002=$A1348)*($B$3:$B$2002=$B1348)*($J$3:$J$2002&lt;&gt;"취소")*($L$3:$L$2002&lt;&gt;"")*($M$3:$M$2002&lt;&gt;"")*($L$3:$L$2002&lt;$M1348)*($M$3:$M$2002&gt;$L1348))&gt;1,"중복","-"))</f>
        <v/>
      </c>
    </row>
    <row r="1349" customFormat="false" ht="15" hidden="false" customHeight="true" outlineLevel="0" collapsed="false">
      <c r="A1349" s="11"/>
      <c r="B1349" s="7"/>
      <c r="C1349" s="12" t="str">
        <f aca="false">IF($B1349="","",IFERROR(INDEX(자원목록!$B$3:$B$102,MATCH($B1349,자원목록!$A$3:$A$102,0)),"미등록자원"))</f>
        <v/>
      </c>
      <c r="D1349" s="7"/>
      <c r="E1349" s="12" t="str">
        <f aca="false">IF($D1349="","",IFERROR(INDEX(고객목록!$B$3:$B$502,MATCH($D1349,고객목록!$A$3:$A$502,0)),""))</f>
        <v/>
      </c>
      <c r="F1349" s="13"/>
      <c r="G1349" s="13"/>
      <c r="H1349" s="14" t="str">
        <f aca="false">IF(OR($L1349="",$M1349=""),"",ROUND(($M1349-$L1349)/60,2))</f>
        <v/>
      </c>
      <c r="I1349" s="9"/>
      <c r="J1349" s="7"/>
      <c r="K1349" s="7"/>
      <c r="L1349" s="15" t="str">
        <f aca="false">IF($F1349="","",IF($F1349&lt;1,ROUND($F1349*1440,0),INT($F1349/100)*60+MOD($F1349,100)))</f>
        <v/>
      </c>
      <c r="M1349" s="15" t="str">
        <f aca="false">IF($G1349="","",IF($G1349&lt;1,ROUND($G1349*1440,0),INT($G1349/100)*60+MOD($G1349,100)))</f>
        <v/>
      </c>
      <c r="N1349" s="15" t="str">
        <f aca="false">IF(OR($A1349="",$B1349="",$L1349="",$M1349="",$J1349="취소"),"",IF(SUMPRODUCT(($A$3:$A$2002=$A1349)*($B$3:$B$2002=$B1349)*($J$3:$J$2002&lt;&gt;"취소")*($L$3:$L$2002&lt;&gt;"")*($M$3:$M$2002&lt;&gt;"")*($L$3:$L$2002&lt;$M1349)*($M$3:$M$2002&gt;$L1349))&gt;1,"중복","-"))</f>
        <v/>
      </c>
    </row>
    <row r="1350" customFormat="false" ht="15" hidden="false" customHeight="true" outlineLevel="0" collapsed="false">
      <c r="A1350" s="11"/>
      <c r="B1350" s="7"/>
      <c r="C1350" s="12" t="str">
        <f aca="false">IF($B1350="","",IFERROR(INDEX(자원목록!$B$3:$B$102,MATCH($B1350,자원목록!$A$3:$A$102,0)),"미등록자원"))</f>
        <v/>
      </c>
      <c r="D1350" s="7"/>
      <c r="E1350" s="12" t="str">
        <f aca="false">IF($D1350="","",IFERROR(INDEX(고객목록!$B$3:$B$502,MATCH($D1350,고객목록!$A$3:$A$502,0)),""))</f>
        <v/>
      </c>
      <c r="F1350" s="13"/>
      <c r="G1350" s="13"/>
      <c r="H1350" s="14" t="str">
        <f aca="false">IF(OR($L1350="",$M1350=""),"",ROUND(($M1350-$L1350)/60,2))</f>
        <v/>
      </c>
      <c r="I1350" s="9"/>
      <c r="J1350" s="7"/>
      <c r="K1350" s="7"/>
      <c r="L1350" s="15" t="str">
        <f aca="false">IF($F1350="","",IF($F1350&lt;1,ROUND($F1350*1440,0),INT($F1350/100)*60+MOD($F1350,100)))</f>
        <v/>
      </c>
      <c r="M1350" s="15" t="str">
        <f aca="false">IF($G1350="","",IF($G1350&lt;1,ROUND($G1350*1440,0),INT($G1350/100)*60+MOD($G1350,100)))</f>
        <v/>
      </c>
      <c r="N1350" s="15" t="str">
        <f aca="false">IF(OR($A1350="",$B1350="",$L1350="",$M1350="",$J1350="취소"),"",IF(SUMPRODUCT(($A$3:$A$2002=$A1350)*($B$3:$B$2002=$B1350)*($J$3:$J$2002&lt;&gt;"취소")*($L$3:$L$2002&lt;&gt;"")*($M$3:$M$2002&lt;&gt;"")*($L$3:$L$2002&lt;$M1350)*($M$3:$M$2002&gt;$L1350))&gt;1,"중복","-"))</f>
        <v/>
      </c>
    </row>
    <row r="1351" customFormat="false" ht="15" hidden="false" customHeight="true" outlineLevel="0" collapsed="false">
      <c r="A1351" s="11"/>
      <c r="B1351" s="7"/>
      <c r="C1351" s="12" t="str">
        <f aca="false">IF($B1351="","",IFERROR(INDEX(자원목록!$B$3:$B$102,MATCH($B1351,자원목록!$A$3:$A$102,0)),"미등록자원"))</f>
        <v/>
      </c>
      <c r="D1351" s="7"/>
      <c r="E1351" s="12" t="str">
        <f aca="false">IF($D1351="","",IFERROR(INDEX(고객목록!$B$3:$B$502,MATCH($D1351,고객목록!$A$3:$A$502,0)),""))</f>
        <v/>
      </c>
      <c r="F1351" s="13"/>
      <c r="G1351" s="13"/>
      <c r="H1351" s="14" t="str">
        <f aca="false">IF(OR($L1351="",$M1351=""),"",ROUND(($M1351-$L1351)/60,2))</f>
        <v/>
      </c>
      <c r="I1351" s="9"/>
      <c r="J1351" s="7"/>
      <c r="K1351" s="7"/>
      <c r="L1351" s="15" t="str">
        <f aca="false">IF($F1351="","",IF($F1351&lt;1,ROUND($F1351*1440,0),INT($F1351/100)*60+MOD($F1351,100)))</f>
        <v/>
      </c>
      <c r="M1351" s="15" t="str">
        <f aca="false">IF($G1351="","",IF($G1351&lt;1,ROUND($G1351*1440,0),INT($G1351/100)*60+MOD($G1351,100)))</f>
        <v/>
      </c>
      <c r="N1351" s="15" t="str">
        <f aca="false">IF(OR($A1351="",$B1351="",$L1351="",$M1351="",$J1351="취소"),"",IF(SUMPRODUCT(($A$3:$A$2002=$A1351)*($B$3:$B$2002=$B1351)*($J$3:$J$2002&lt;&gt;"취소")*($L$3:$L$2002&lt;&gt;"")*($M$3:$M$2002&lt;&gt;"")*($L$3:$L$2002&lt;$M1351)*($M$3:$M$2002&gt;$L1351))&gt;1,"중복","-"))</f>
        <v/>
      </c>
    </row>
    <row r="1352" customFormat="false" ht="15" hidden="false" customHeight="true" outlineLevel="0" collapsed="false">
      <c r="A1352" s="11"/>
      <c r="B1352" s="7"/>
      <c r="C1352" s="12" t="str">
        <f aca="false">IF($B1352="","",IFERROR(INDEX(자원목록!$B$3:$B$102,MATCH($B1352,자원목록!$A$3:$A$102,0)),"미등록자원"))</f>
        <v/>
      </c>
      <c r="D1352" s="7"/>
      <c r="E1352" s="12" t="str">
        <f aca="false">IF($D1352="","",IFERROR(INDEX(고객목록!$B$3:$B$502,MATCH($D1352,고객목록!$A$3:$A$502,0)),""))</f>
        <v/>
      </c>
      <c r="F1352" s="13"/>
      <c r="G1352" s="13"/>
      <c r="H1352" s="14" t="str">
        <f aca="false">IF(OR($L1352="",$M1352=""),"",ROUND(($M1352-$L1352)/60,2))</f>
        <v/>
      </c>
      <c r="I1352" s="9"/>
      <c r="J1352" s="7"/>
      <c r="K1352" s="7"/>
      <c r="L1352" s="15" t="str">
        <f aca="false">IF($F1352="","",IF($F1352&lt;1,ROUND($F1352*1440,0),INT($F1352/100)*60+MOD($F1352,100)))</f>
        <v/>
      </c>
      <c r="M1352" s="15" t="str">
        <f aca="false">IF($G1352="","",IF($G1352&lt;1,ROUND($G1352*1440,0),INT($G1352/100)*60+MOD($G1352,100)))</f>
        <v/>
      </c>
      <c r="N1352" s="15" t="str">
        <f aca="false">IF(OR($A1352="",$B1352="",$L1352="",$M1352="",$J1352="취소"),"",IF(SUMPRODUCT(($A$3:$A$2002=$A1352)*($B$3:$B$2002=$B1352)*($J$3:$J$2002&lt;&gt;"취소")*($L$3:$L$2002&lt;&gt;"")*($M$3:$M$2002&lt;&gt;"")*($L$3:$L$2002&lt;$M1352)*($M$3:$M$2002&gt;$L1352))&gt;1,"중복","-"))</f>
        <v/>
      </c>
    </row>
    <row r="1353" customFormat="false" ht="15" hidden="false" customHeight="true" outlineLevel="0" collapsed="false">
      <c r="A1353" s="11"/>
      <c r="B1353" s="7"/>
      <c r="C1353" s="12" t="str">
        <f aca="false">IF($B1353="","",IFERROR(INDEX(자원목록!$B$3:$B$102,MATCH($B1353,자원목록!$A$3:$A$102,0)),"미등록자원"))</f>
        <v/>
      </c>
      <c r="D1353" s="7"/>
      <c r="E1353" s="12" t="str">
        <f aca="false">IF($D1353="","",IFERROR(INDEX(고객목록!$B$3:$B$502,MATCH($D1353,고객목록!$A$3:$A$502,0)),""))</f>
        <v/>
      </c>
      <c r="F1353" s="13"/>
      <c r="G1353" s="13"/>
      <c r="H1353" s="14" t="str">
        <f aca="false">IF(OR($L1353="",$M1353=""),"",ROUND(($M1353-$L1353)/60,2))</f>
        <v/>
      </c>
      <c r="I1353" s="9"/>
      <c r="J1353" s="7"/>
      <c r="K1353" s="7"/>
      <c r="L1353" s="15" t="str">
        <f aca="false">IF($F1353="","",IF($F1353&lt;1,ROUND($F1353*1440,0),INT($F1353/100)*60+MOD($F1353,100)))</f>
        <v/>
      </c>
      <c r="M1353" s="15" t="str">
        <f aca="false">IF($G1353="","",IF($G1353&lt;1,ROUND($G1353*1440,0),INT($G1353/100)*60+MOD($G1353,100)))</f>
        <v/>
      </c>
      <c r="N1353" s="15" t="str">
        <f aca="false">IF(OR($A1353="",$B1353="",$L1353="",$M1353="",$J1353="취소"),"",IF(SUMPRODUCT(($A$3:$A$2002=$A1353)*($B$3:$B$2002=$B1353)*($J$3:$J$2002&lt;&gt;"취소")*($L$3:$L$2002&lt;&gt;"")*($M$3:$M$2002&lt;&gt;"")*($L$3:$L$2002&lt;$M1353)*($M$3:$M$2002&gt;$L1353))&gt;1,"중복","-"))</f>
        <v/>
      </c>
    </row>
    <row r="1354" customFormat="false" ht="15" hidden="false" customHeight="true" outlineLevel="0" collapsed="false">
      <c r="A1354" s="11"/>
      <c r="B1354" s="7"/>
      <c r="C1354" s="12" t="str">
        <f aca="false">IF($B1354="","",IFERROR(INDEX(자원목록!$B$3:$B$102,MATCH($B1354,자원목록!$A$3:$A$102,0)),"미등록자원"))</f>
        <v/>
      </c>
      <c r="D1354" s="7"/>
      <c r="E1354" s="12" t="str">
        <f aca="false">IF($D1354="","",IFERROR(INDEX(고객목록!$B$3:$B$502,MATCH($D1354,고객목록!$A$3:$A$502,0)),""))</f>
        <v/>
      </c>
      <c r="F1354" s="13"/>
      <c r="G1354" s="13"/>
      <c r="H1354" s="14" t="str">
        <f aca="false">IF(OR($L1354="",$M1354=""),"",ROUND(($M1354-$L1354)/60,2))</f>
        <v/>
      </c>
      <c r="I1354" s="9"/>
      <c r="J1354" s="7"/>
      <c r="K1354" s="7"/>
      <c r="L1354" s="15" t="str">
        <f aca="false">IF($F1354="","",IF($F1354&lt;1,ROUND($F1354*1440,0),INT($F1354/100)*60+MOD($F1354,100)))</f>
        <v/>
      </c>
      <c r="M1354" s="15" t="str">
        <f aca="false">IF($G1354="","",IF($G1354&lt;1,ROUND($G1354*1440,0),INT($G1354/100)*60+MOD($G1354,100)))</f>
        <v/>
      </c>
      <c r="N1354" s="15" t="str">
        <f aca="false">IF(OR($A1354="",$B1354="",$L1354="",$M1354="",$J1354="취소"),"",IF(SUMPRODUCT(($A$3:$A$2002=$A1354)*($B$3:$B$2002=$B1354)*($J$3:$J$2002&lt;&gt;"취소")*($L$3:$L$2002&lt;&gt;"")*($M$3:$M$2002&lt;&gt;"")*($L$3:$L$2002&lt;$M1354)*($M$3:$M$2002&gt;$L1354))&gt;1,"중복","-"))</f>
        <v/>
      </c>
    </row>
    <row r="1355" customFormat="false" ht="15" hidden="false" customHeight="true" outlineLevel="0" collapsed="false">
      <c r="A1355" s="11"/>
      <c r="B1355" s="7"/>
      <c r="C1355" s="12" t="str">
        <f aca="false">IF($B1355="","",IFERROR(INDEX(자원목록!$B$3:$B$102,MATCH($B1355,자원목록!$A$3:$A$102,0)),"미등록자원"))</f>
        <v/>
      </c>
      <c r="D1355" s="7"/>
      <c r="E1355" s="12" t="str">
        <f aca="false">IF($D1355="","",IFERROR(INDEX(고객목록!$B$3:$B$502,MATCH($D1355,고객목록!$A$3:$A$502,0)),""))</f>
        <v/>
      </c>
      <c r="F1355" s="13"/>
      <c r="G1355" s="13"/>
      <c r="H1355" s="14" t="str">
        <f aca="false">IF(OR($L1355="",$M1355=""),"",ROUND(($M1355-$L1355)/60,2))</f>
        <v/>
      </c>
      <c r="I1355" s="9"/>
      <c r="J1355" s="7"/>
      <c r="K1355" s="7"/>
      <c r="L1355" s="15" t="str">
        <f aca="false">IF($F1355="","",IF($F1355&lt;1,ROUND($F1355*1440,0),INT($F1355/100)*60+MOD($F1355,100)))</f>
        <v/>
      </c>
      <c r="M1355" s="15" t="str">
        <f aca="false">IF($G1355="","",IF($G1355&lt;1,ROUND($G1355*1440,0),INT($G1355/100)*60+MOD($G1355,100)))</f>
        <v/>
      </c>
      <c r="N1355" s="15" t="str">
        <f aca="false">IF(OR($A1355="",$B1355="",$L1355="",$M1355="",$J1355="취소"),"",IF(SUMPRODUCT(($A$3:$A$2002=$A1355)*($B$3:$B$2002=$B1355)*($J$3:$J$2002&lt;&gt;"취소")*($L$3:$L$2002&lt;&gt;"")*($M$3:$M$2002&lt;&gt;"")*($L$3:$L$2002&lt;$M1355)*($M$3:$M$2002&gt;$L1355))&gt;1,"중복","-"))</f>
        <v/>
      </c>
    </row>
    <row r="1356" customFormat="false" ht="15" hidden="false" customHeight="true" outlineLevel="0" collapsed="false">
      <c r="A1356" s="11"/>
      <c r="B1356" s="7"/>
      <c r="C1356" s="12" t="str">
        <f aca="false">IF($B1356="","",IFERROR(INDEX(자원목록!$B$3:$B$102,MATCH($B1356,자원목록!$A$3:$A$102,0)),"미등록자원"))</f>
        <v/>
      </c>
      <c r="D1356" s="7"/>
      <c r="E1356" s="12" t="str">
        <f aca="false">IF($D1356="","",IFERROR(INDEX(고객목록!$B$3:$B$502,MATCH($D1356,고객목록!$A$3:$A$502,0)),""))</f>
        <v/>
      </c>
      <c r="F1356" s="13"/>
      <c r="G1356" s="13"/>
      <c r="H1356" s="14" t="str">
        <f aca="false">IF(OR($L1356="",$M1356=""),"",ROUND(($M1356-$L1356)/60,2))</f>
        <v/>
      </c>
      <c r="I1356" s="9"/>
      <c r="J1356" s="7"/>
      <c r="K1356" s="7"/>
      <c r="L1356" s="15" t="str">
        <f aca="false">IF($F1356="","",IF($F1356&lt;1,ROUND($F1356*1440,0),INT($F1356/100)*60+MOD($F1356,100)))</f>
        <v/>
      </c>
      <c r="M1356" s="15" t="str">
        <f aca="false">IF($G1356="","",IF($G1356&lt;1,ROUND($G1356*1440,0),INT($G1356/100)*60+MOD($G1356,100)))</f>
        <v/>
      </c>
      <c r="N1356" s="15" t="str">
        <f aca="false">IF(OR($A1356="",$B1356="",$L1356="",$M1356="",$J1356="취소"),"",IF(SUMPRODUCT(($A$3:$A$2002=$A1356)*($B$3:$B$2002=$B1356)*($J$3:$J$2002&lt;&gt;"취소")*($L$3:$L$2002&lt;&gt;"")*($M$3:$M$2002&lt;&gt;"")*($L$3:$L$2002&lt;$M1356)*($M$3:$M$2002&gt;$L1356))&gt;1,"중복","-"))</f>
        <v/>
      </c>
    </row>
    <row r="1357" customFormat="false" ht="15" hidden="false" customHeight="true" outlineLevel="0" collapsed="false">
      <c r="A1357" s="11"/>
      <c r="B1357" s="7"/>
      <c r="C1357" s="12" t="str">
        <f aca="false">IF($B1357="","",IFERROR(INDEX(자원목록!$B$3:$B$102,MATCH($B1357,자원목록!$A$3:$A$102,0)),"미등록자원"))</f>
        <v/>
      </c>
      <c r="D1357" s="7"/>
      <c r="E1357" s="12" t="str">
        <f aca="false">IF($D1357="","",IFERROR(INDEX(고객목록!$B$3:$B$502,MATCH($D1357,고객목록!$A$3:$A$502,0)),""))</f>
        <v/>
      </c>
      <c r="F1357" s="13"/>
      <c r="G1357" s="13"/>
      <c r="H1357" s="14" t="str">
        <f aca="false">IF(OR($L1357="",$M1357=""),"",ROUND(($M1357-$L1357)/60,2))</f>
        <v/>
      </c>
      <c r="I1357" s="9"/>
      <c r="J1357" s="7"/>
      <c r="K1357" s="7"/>
      <c r="L1357" s="15" t="str">
        <f aca="false">IF($F1357="","",IF($F1357&lt;1,ROUND($F1357*1440,0),INT($F1357/100)*60+MOD($F1357,100)))</f>
        <v/>
      </c>
      <c r="M1357" s="15" t="str">
        <f aca="false">IF($G1357="","",IF($G1357&lt;1,ROUND($G1357*1440,0),INT($G1357/100)*60+MOD($G1357,100)))</f>
        <v/>
      </c>
      <c r="N1357" s="15" t="str">
        <f aca="false">IF(OR($A1357="",$B1357="",$L1357="",$M1357="",$J1357="취소"),"",IF(SUMPRODUCT(($A$3:$A$2002=$A1357)*($B$3:$B$2002=$B1357)*($J$3:$J$2002&lt;&gt;"취소")*($L$3:$L$2002&lt;&gt;"")*($M$3:$M$2002&lt;&gt;"")*($L$3:$L$2002&lt;$M1357)*($M$3:$M$2002&gt;$L1357))&gt;1,"중복","-"))</f>
        <v/>
      </c>
    </row>
    <row r="1358" customFormat="false" ht="15" hidden="false" customHeight="true" outlineLevel="0" collapsed="false">
      <c r="A1358" s="11"/>
      <c r="B1358" s="7"/>
      <c r="C1358" s="12" t="str">
        <f aca="false">IF($B1358="","",IFERROR(INDEX(자원목록!$B$3:$B$102,MATCH($B1358,자원목록!$A$3:$A$102,0)),"미등록자원"))</f>
        <v/>
      </c>
      <c r="D1358" s="7"/>
      <c r="E1358" s="12" t="str">
        <f aca="false">IF($D1358="","",IFERROR(INDEX(고객목록!$B$3:$B$502,MATCH($D1358,고객목록!$A$3:$A$502,0)),""))</f>
        <v/>
      </c>
      <c r="F1358" s="13"/>
      <c r="G1358" s="13"/>
      <c r="H1358" s="14" t="str">
        <f aca="false">IF(OR($L1358="",$M1358=""),"",ROUND(($M1358-$L1358)/60,2))</f>
        <v/>
      </c>
      <c r="I1358" s="9"/>
      <c r="J1358" s="7"/>
      <c r="K1358" s="7"/>
      <c r="L1358" s="15" t="str">
        <f aca="false">IF($F1358="","",IF($F1358&lt;1,ROUND($F1358*1440,0),INT($F1358/100)*60+MOD($F1358,100)))</f>
        <v/>
      </c>
      <c r="M1358" s="15" t="str">
        <f aca="false">IF($G1358="","",IF($G1358&lt;1,ROUND($G1358*1440,0),INT($G1358/100)*60+MOD($G1358,100)))</f>
        <v/>
      </c>
      <c r="N1358" s="15" t="str">
        <f aca="false">IF(OR($A1358="",$B1358="",$L1358="",$M1358="",$J1358="취소"),"",IF(SUMPRODUCT(($A$3:$A$2002=$A1358)*($B$3:$B$2002=$B1358)*($J$3:$J$2002&lt;&gt;"취소")*($L$3:$L$2002&lt;&gt;"")*($M$3:$M$2002&lt;&gt;"")*($L$3:$L$2002&lt;$M1358)*($M$3:$M$2002&gt;$L1358))&gt;1,"중복","-"))</f>
        <v/>
      </c>
    </row>
    <row r="1359" customFormat="false" ht="15" hidden="false" customHeight="true" outlineLevel="0" collapsed="false">
      <c r="A1359" s="11"/>
      <c r="B1359" s="7"/>
      <c r="C1359" s="12" t="str">
        <f aca="false">IF($B1359="","",IFERROR(INDEX(자원목록!$B$3:$B$102,MATCH($B1359,자원목록!$A$3:$A$102,0)),"미등록자원"))</f>
        <v/>
      </c>
      <c r="D1359" s="7"/>
      <c r="E1359" s="12" t="str">
        <f aca="false">IF($D1359="","",IFERROR(INDEX(고객목록!$B$3:$B$502,MATCH($D1359,고객목록!$A$3:$A$502,0)),""))</f>
        <v/>
      </c>
      <c r="F1359" s="13"/>
      <c r="G1359" s="13"/>
      <c r="H1359" s="14" t="str">
        <f aca="false">IF(OR($L1359="",$M1359=""),"",ROUND(($M1359-$L1359)/60,2))</f>
        <v/>
      </c>
      <c r="I1359" s="9"/>
      <c r="J1359" s="7"/>
      <c r="K1359" s="7"/>
      <c r="L1359" s="15" t="str">
        <f aca="false">IF($F1359="","",IF($F1359&lt;1,ROUND($F1359*1440,0),INT($F1359/100)*60+MOD($F1359,100)))</f>
        <v/>
      </c>
      <c r="M1359" s="15" t="str">
        <f aca="false">IF($G1359="","",IF($G1359&lt;1,ROUND($G1359*1440,0),INT($G1359/100)*60+MOD($G1359,100)))</f>
        <v/>
      </c>
      <c r="N1359" s="15" t="str">
        <f aca="false">IF(OR($A1359="",$B1359="",$L1359="",$M1359="",$J1359="취소"),"",IF(SUMPRODUCT(($A$3:$A$2002=$A1359)*($B$3:$B$2002=$B1359)*($J$3:$J$2002&lt;&gt;"취소")*($L$3:$L$2002&lt;&gt;"")*($M$3:$M$2002&lt;&gt;"")*($L$3:$L$2002&lt;$M1359)*($M$3:$M$2002&gt;$L1359))&gt;1,"중복","-"))</f>
        <v/>
      </c>
    </row>
    <row r="1360" customFormat="false" ht="15" hidden="false" customHeight="true" outlineLevel="0" collapsed="false">
      <c r="A1360" s="11"/>
      <c r="B1360" s="7"/>
      <c r="C1360" s="12" t="str">
        <f aca="false">IF($B1360="","",IFERROR(INDEX(자원목록!$B$3:$B$102,MATCH($B1360,자원목록!$A$3:$A$102,0)),"미등록자원"))</f>
        <v/>
      </c>
      <c r="D1360" s="7"/>
      <c r="E1360" s="12" t="str">
        <f aca="false">IF($D1360="","",IFERROR(INDEX(고객목록!$B$3:$B$502,MATCH($D1360,고객목록!$A$3:$A$502,0)),""))</f>
        <v/>
      </c>
      <c r="F1360" s="13"/>
      <c r="G1360" s="13"/>
      <c r="H1360" s="14" t="str">
        <f aca="false">IF(OR($L1360="",$M1360=""),"",ROUND(($M1360-$L1360)/60,2))</f>
        <v/>
      </c>
      <c r="I1360" s="9"/>
      <c r="J1360" s="7"/>
      <c r="K1360" s="7"/>
      <c r="L1360" s="15" t="str">
        <f aca="false">IF($F1360="","",IF($F1360&lt;1,ROUND($F1360*1440,0),INT($F1360/100)*60+MOD($F1360,100)))</f>
        <v/>
      </c>
      <c r="M1360" s="15" t="str">
        <f aca="false">IF($G1360="","",IF($G1360&lt;1,ROUND($G1360*1440,0),INT($G1360/100)*60+MOD($G1360,100)))</f>
        <v/>
      </c>
      <c r="N1360" s="15" t="str">
        <f aca="false">IF(OR($A1360="",$B1360="",$L1360="",$M1360="",$J1360="취소"),"",IF(SUMPRODUCT(($A$3:$A$2002=$A1360)*($B$3:$B$2002=$B1360)*($J$3:$J$2002&lt;&gt;"취소")*($L$3:$L$2002&lt;&gt;"")*($M$3:$M$2002&lt;&gt;"")*($L$3:$L$2002&lt;$M1360)*($M$3:$M$2002&gt;$L1360))&gt;1,"중복","-"))</f>
        <v/>
      </c>
    </row>
    <row r="1361" customFormat="false" ht="15" hidden="false" customHeight="true" outlineLevel="0" collapsed="false">
      <c r="A1361" s="11"/>
      <c r="B1361" s="7"/>
      <c r="C1361" s="12" t="str">
        <f aca="false">IF($B1361="","",IFERROR(INDEX(자원목록!$B$3:$B$102,MATCH($B1361,자원목록!$A$3:$A$102,0)),"미등록자원"))</f>
        <v/>
      </c>
      <c r="D1361" s="7"/>
      <c r="E1361" s="12" t="str">
        <f aca="false">IF($D1361="","",IFERROR(INDEX(고객목록!$B$3:$B$502,MATCH($D1361,고객목록!$A$3:$A$502,0)),""))</f>
        <v/>
      </c>
      <c r="F1361" s="13"/>
      <c r="G1361" s="13"/>
      <c r="H1361" s="14" t="str">
        <f aca="false">IF(OR($L1361="",$M1361=""),"",ROUND(($M1361-$L1361)/60,2))</f>
        <v/>
      </c>
      <c r="I1361" s="9"/>
      <c r="J1361" s="7"/>
      <c r="K1361" s="7"/>
      <c r="L1361" s="15" t="str">
        <f aca="false">IF($F1361="","",IF($F1361&lt;1,ROUND($F1361*1440,0),INT($F1361/100)*60+MOD($F1361,100)))</f>
        <v/>
      </c>
      <c r="M1361" s="15" t="str">
        <f aca="false">IF($G1361="","",IF($G1361&lt;1,ROUND($G1361*1440,0),INT($G1361/100)*60+MOD($G1361,100)))</f>
        <v/>
      </c>
      <c r="N1361" s="15" t="str">
        <f aca="false">IF(OR($A1361="",$B1361="",$L1361="",$M1361="",$J1361="취소"),"",IF(SUMPRODUCT(($A$3:$A$2002=$A1361)*($B$3:$B$2002=$B1361)*($J$3:$J$2002&lt;&gt;"취소")*($L$3:$L$2002&lt;&gt;"")*($M$3:$M$2002&lt;&gt;"")*($L$3:$L$2002&lt;$M1361)*($M$3:$M$2002&gt;$L1361))&gt;1,"중복","-"))</f>
        <v/>
      </c>
    </row>
    <row r="1362" customFormat="false" ht="15" hidden="false" customHeight="true" outlineLevel="0" collapsed="false">
      <c r="A1362" s="11"/>
      <c r="B1362" s="7"/>
      <c r="C1362" s="12" t="str">
        <f aca="false">IF($B1362="","",IFERROR(INDEX(자원목록!$B$3:$B$102,MATCH($B1362,자원목록!$A$3:$A$102,0)),"미등록자원"))</f>
        <v/>
      </c>
      <c r="D1362" s="7"/>
      <c r="E1362" s="12" t="str">
        <f aca="false">IF($D1362="","",IFERROR(INDEX(고객목록!$B$3:$B$502,MATCH($D1362,고객목록!$A$3:$A$502,0)),""))</f>
        <v/>
      </c>
      <c r="F1362" s="13"/>
      <c r="G1362" s="13"/>
      <c r="H1362" s="14" t="str">
        <f aca="false">IF(OR($L1362="",$M1362=""),"",ROUND(($M1362-$L1362)/60,2))</f>
        <v/>
      </c>
      <c r="I1362" s="9"/>
      <c r="J1362" s="7"/>
      <c r="K1362" s="7"/>
      <c r="L1362" s="15" t="str">
        <f aca="false">IF($F1362="","",IF($F1362&lt;1,ROUND($F1362*1440,0),INT($F1362/100)*60+MOD($F1362,100)))</f>
        <v/>
      </c>
      <c r="M1362" s="15" t="str">
        <f aca="false">IF($G1362="","",IF($G1362&lt;1,ROUND($G1362*1440,0),INT($G1362/100)*60+MOD($G1362,100)))</f>
        <v/>
      </c>
      <c r="N1362" s="15" t="str">
        <f aca="false">IF(OR($A1362="",$B1362="",$L1362="",$M1362="",$J1362="취소"),"",IF(SUMPRODUCT(($A$3:$A$2002=$A1362)*($B$3:$B$2002=$B1362)*($J$3:$J$2002&lt;&gt;"취소")*($L$3:$L$2002&lt;&gt;"")*($M$3:$M$2002&lt;&gt;"")*($L$3:$L$2002&lt;$M1362)*($M$3:$M$2002&gt;$L1362))&gt;1,"중복","-"))</f>
        <v/>
      </c>
    </row>
    <row r="1363" customFormat="false" ht="15" hidden="false" customHeight="true" outlineLevel="0" collapsed="false">
      <c r="A1363" s="11"/>
      <c r="B1363" s="7"/>
      <c r="C1363" s="12" t="str">
        <f aca="false">IF($B1363="","",IFERROR(INDEX(자원목록!$B$3:$B$102,MATCH($B1363,자원목록!$A$3:$A$102,0)),"미등록자원"))</f>
        <v/>
      </c>
      <c r="D1363" s="7"/>
      <c r="E1363" s="12" t="str">
        <f aca="false">IF($D1363="","",IFERROR(INDEX(고객목록!$B$3:$B$502,MATCH($D1363,고객목록!$A$3:$A$502,0)),""))</f>
        <v/>
      </c>
      <c r="F1363" s="13"/>
      <c r="G1363" s="13"/>
      <c r="H1363" s="14" t="str">
        <f aca="false">IF(OR($L1363="",$M1363=""),"",ROUND(($M1363-$L1363)/60,2))</f>
        <v/>
      </c>
      <c r="I1363" s="9"/>
      <c r="J1363" s="7"/>
      <c r="K1363" s="7"/>
      <c r="L1363" s="15" t="str">
        <f aca="false">IF($F1363="","",IF($F1363&lt;1,ROUND($F1363*1440,0),INT($F1363/100)*60+MOD($F1363,100)))</f>
        <v/>
      </c>
      <c r="M1363" s="15" t="str">
        <f aca="false">IF($G1363="","",IF($G1363&lt;1,ROUND($G1363*1440,0),INT($G1363/100)*60+MOD($G1363,100)))</f>
        <v/>
      </c>
      <c r="N1363" s="15" t="str">
        <f aca="false">IF(OR($A1363="",$B1363="",$L1363="",$M1363="",$J1363="취소"),"",IF(SUMPRODUCT(($A$3:$A$2002=$A1363)*($B$3:$B$2002=$B1363)*($J$3:$J$2002&lt;&gt;"취소")*($L$3:$L$2002&lt;&gt;"")*($M$3:$M$2002&lt;&gt;"")*($L$3:$L$2002&lt;$M1363)*($M$3:$M$2002&gt;$L1363))&gt;1,"중복","-"))</f>
        <v/>
      </c>
    </row>
    <row r="1364" customFormat="false" ht="15" hidden="false" customHeight="true" outlineLevel="0" collapsed="false">
      <c r="A1364" s="11"/>
      <c r="B1364" s="7"/>
      <c r="C1364" s="12" t="str">
        <f aca="false">IF($B1364="","",IFERROR(INDEX(자원목록!$B$3:$B$102,MATCH($B1364,자원목록!$A$3:$A$102,0)),"미등록자원"))</f>
        <v/>
      </c>
      <c r="D1364" s="7"/>
      <c r="E1364" s="12" t="str">
        <f aca="false">IF($D1364="","",IFERROR(INDEX(고객목록!$B$3:$B$502,MATCH($D1364,고객목록!$A$3:$A$502,0)),""))</f>
        <v/>
      </c>
      <c r="F1364" s="13"/>
      <c r="G1364" s="13"/>
      <c r="H1364" s="14" t="str">
        <f aca="false">IF(OR($L1364="",$M1364=""),"",ROUND(($M1364-$L1364)/60,2))</f>
        <v/>
      </c>
      <c r="I1364" s="9"/>
      <c r="J1364" s="7"/>
      <c r="K1364" s="7"/>
      <c r="L1364" s="15" t="str">
        <f aca="false">IF($F1364="","",IF($F1364&lt;1,ROUND($F1364*1440,0),INT($F1364/100)*60+MOD($F1364,100)))</f>
        <v/>
      </c>
      <c r="M1364" s="15" t="str">
        <f aca="false">IF($G1364="","",IF($G1364&lt;1,ROUND($G1364*1440,0),INT($G1364/100)*60+MOD($G1364,100)))</f>
        <v/>
      </c>
      <c r="N1364" s="15" t="str">
        <f aca="false">IF(OR($A1364="",$B1364="",$L1364="",$M1364="",$J1364="취소"),"",IF(SUMPRODUCT(($A$3:$A$2002=$A1364)*($B$3:$B$2002=$B1364)*($J$3:$J$2002&lt;&gt;"취소")*($L$3:$L$2002&lt;&gt;"")*($M$3:$M$2002&lt;&gt;"")*($L$3:$L$2002&lt;$M1364)*($M$3:$M$2002&gt;$L1364))&gt;1,"중복","-"))</f>
        <v/>
      </c>
    </row>
    <row r="1365" customFormat="false" ht="15" hidden="false" customHeight="true" outlineLevel="0" collapsed="false">
      <c r="A1365" s="11"/>
      <c r="B1365" s="7"/>
      <c r="C1365" s="12" t="str">
        <f aca="false">IF($B1365="","",IFERROR(INDEX(자원목록!$B$3:$B$102,MATCH($B1365,자원목록!$A$3:$A$102,0)),"미등록자원"))</f>
        <v/>
      </c>
      <c r="D1365" s="7"/>
      <c r="E1365" s="12" t="str">
        <f aca="false">IF($D1365="","",IFERROR(INDEX(고객목록!$B$3:$B$502,MATCH($D1365,고객목록!$A$3:$A$502,0)),""))</f>
        <v/>
      </c>
      <c r="F1365" s="13"/>
      <c r="G1365" s="13"/>
      <c r="H1365" s="14" t="str">
        <f aca="false">IF(OR($L1365="",$M1365=""),"",ROUND(($M1365-$L1365)/60,2))</f>
        <v/>
      </c>
      <c r="I1365" s="9"/>
      <c r="J1365" s="7"/>
      <c r="K1365" s="7"/>
      <c r="L1365" s="15" t="str">
        <f aca="false">IF($F1365="","",IF($F1365&lt;1,ROUND($F1365*1440,0),INT($F1365/100)*60+MOD($F1365,100)))</f>
        <v/>
      </c>
      <c r="M1365" s="15" t="str">
        <f aca="false">IF($G1365="","",IF($G1365&lt;1,ROUND($G1365*1440,0),INT($G1365/100)*60+MOD($G1365,100)))</f>
        <v/>
      </c>
      <c r="N1365" s="15" t="str">
        <f aca="false">IF(OR($A1365="",$B1365="",$L1365="",$M1365="",$J1365="취소"),"",IF(SUMPRODUCT(($A$3:$A$2002=$A1365)*($B$3:$B$2002=$B1365)*($J$3:$J$2002&lt;&gt;"취소")*($L$3:$L$2002&lt;&gt;"")*($M$3:$M$2002&lt;&gt;"")*($L$3:$L$2002&lt;$M1365)*($M$3:$M$2002&gt;$L1365))&gt;1,"중복","-"))</f>
        <v/>
      </c>
    </row>
    <row r="1366" customFormat="false" ht="15" hidden="false" customHeight="true" outlineLevel="0" collapsed="false">
      <c r="A1366" s="11"/>
      <c r="B1366" s="7"/>
      <c r="C1366" s="12" t="str">
        <f aca="false">IF($B1366="","",IFERROR(INDEX(자원목록!$B$3:$B$102,MATCH($B1366,자원목록!$A$3:$A$102,0)),"미등록자원"))</f>
        <v/>
      </c>
      <c r="D1366" s="7"/>
      <c r="E1366" s="12" t="str">
        <f aca="false">IF($D1366="","",IFERROR(INDEX(고객목록!$B$3:$B$502,MATCH($D1366,고객목록!$A$3:$A$502,0)),""))</f>
        <v/>
      </c>
      <c r="F1366" s="13"/>
      <c r="G1366" s="13"/>
      <c r="H1366" s="14" t="str">
        <f aca="false">IF(OR($L1366="",$M1366=""),"",ROUND(($M1366-$L1366)/60,2))</f>
        <v/>
      </c>
      <c r="I1366" s="9"/>
      <c r="J1366" s="7"/>
      <c r="K1366" s="7"/>
      <c r="L1366" s="15" t="str">
        <f aca="false">IF($F1366="","",IF($F1366&lt;1,ROUND($F1366*1440,0),INT($F1366/100)*60+MOD($F1366,100)))</f>
        <v/>
      </c>
      <c r="M1366" s="15" t="str">
        <f aca="false">IF($G1366="","",IF($G1366&lt;1,ROUND($G1366*1440,0),INT($G1366/100)*60+MOD($G1366,100)))</f>
        <v/>
      </c>
      <c r="N1366" s="15" t="str">
        <f aca="false">IF(OR($A1366="",$B1366="",$L1366="",$M1366="",$J1366="취소"),"",IF(SUMPRODUCT(($A$3:$A$2002=$A1366)*($B$3:$B$2002=$B1366)*($J$3:$J$2002&lt;&gt;"취소")*($L$3:$L$2002&lt;&gt;"")*($M$3:$M$2002&lt;&gt;"")*($L$3:$L$2002&lt;$M1366)*($M$3:$M$2002&gt;$L1366))&gt;1,"중복","-"))</f>
        <v/>
      </c>
    </row>
    <row r="1367" customFormat="false" ht="15" hidden="false" customHeight="true" outlineLevel="0" collapsed="false">
      <c r="A1367" s="11"/>
      <c r="B1367" s="7"/>
      <c r="C1367" s="12" t="str">
        <f aca="false">IF($B1367="","",IFERROR(INDEX(자원목록!$B$3:$B$102,MATCH($B1367,자원목록!$A$3:$A$102,0)),"미등록자원"))</f>
        <v/>
      </c>
      <c r="D1367" s="7"/>
      <c r="E1367" s="12" t="str">
        <f aca="false">IF($D1367="","",IFERROR(INDEX(고객목록!$B$3:$B$502,MATCH($D1367,고객목록!$A$3:$A$502,0)),""))</f>
        <v/>
      </c>
      <c r="F1367" s="13"/>
      <c r="G1367" s="13"/>
      <c r="H1367" s="14" t="str">
        <f aca="false">IF(OR($L1367="",$M1367=""),"",ROUND(($M1367-$L1367)/60,2))</f>
        <v/>
      </c>
      <c r="I1367" s="9"/>
      <c r="J1367" s="7"/>
      <c r="K1367" s="7"/>
      <c r="L1367" s="15" t="str">
        <f aca="false">IF($F1367="","",IF($F1367&lt;1,ROUND($F1367*1440,0),INT($F1367/100)*60+MOD($F1367,100)))</f>
        <v/>
      </c>
      <c r="M1367" s="15" t="str">
        <f aca="false">IF($G1367="","",IF($G1367&lt;1,ROUND($G1367*1440,0),INT($G1367/100)*60+MOD($G1367,100)))</f>
        <v/>
      </c>
      <c r="N1367" s="15" t="str">
        <f aca="false">IF(OR($A1367="",$B1367="",$L1367="",$M1367="",$J1367="취소"),"",IF(SUMPRODUCT(($A$3:$A$2002=$A1367)*($B$3:$B$2002=$B1367)*($J$3:$J$2002&lt;&gt;"취소")*($L$3:$L$2002&lt;&gt;"")*($M$3:$M$2002&lt;&gt;"")*($L$3:$L$2002&lt;$M1367)*($M$3:$M$2002&gt;$L1367))&gt;1,"중복","-"))</f>
        <v/>
      </c>
    </row>
    <row r="1368" customFormat="false" ht="15" hidden="false" customHeight="true" outlineLevel="0" collapsed="false">
      <c r="A1368" s="11"/>
      <c r="B1368" s="7"/>
      <c r="C1368" s="12" t="str">
        <f aca="false">IF($B1368="","",IFERROR(INDEX(자원목록!$B$3:$B$102,MATCH($B1368,자원목록!$A$3:$A$102,0)),"미등록자원"))</f>
        <v/>
      </c>
      <c r="D1368" s="7"/>
      <c r="E1368" s="12" t="str">
        <f aca="false">IF($D1368="","",IFERROR(INDEX(고객목록!$B$3:$B$502,MATCH($D1368,고객목록!$A$3:$A$502,0)),""))</f>
        <v/>
      </c>
      <c r="F1368" s="13"/>
      <c r="G1368" s="13"/>
      <c r="H1368" s="14" t="str">
        <f aca="false">IF(OR($L1368="",$M1368=""),"",ROUND(($M1368-$L1368)/60,2))</f>
        <v/>
      </c>
      <c r="I1368" s="9"/>
      <c r="J1368" s="7"/>
      <c r="K1368" s="7"/>
      <c r="L1368" s="15" t="str">
        <f aca="false">IF($F1368="","",IF($F1368&lt;1,ROUND($F1368*1440,0),INT($F1368/100)*60+MOD($F1368,100)))</f>
        <v/>
      </c>
      <c r="M1368" s="15" t="str">
        <f aca="false">IF($G1368="","",IF($G1368&lt;1,ROUND($G1368*1440,0),INT($G1368/100)*60+MOD($G1368,100)))</f>
        <v/>
      </c>
      <c r="N1368" s="15" t="str">
        <f aca="false">IF(OR($A1368="",$B1368="",$L1368="",$M1368="",$J1368="취소"),"",IF(SUMPRODUCT(($A$3:$A$2002=$A1368)*($B$3:$B$2002=$B1368)*($J$3:$J$2002&lt;&gt;"취소")*($L$3:$L$2002&lt;&gt;"")*($M$3:$M$2002&lt;&gt;"")*($L$3:$L$2002&lt;$M1368)*($M$3:$M$2002&gt;$L1368))&gt;1,"중복","-"))</f>
        <v/>
      </c>
    </row>
    <row r="1369" customFormat="false" ht="15" hidden="false" customHeight="true" outlineLevel="0" collapsed="false">
      <c r="A1369" s="11"/>
      <c r="B1369" s="7"/>
      <c r="C1369" s="12" t="str">
        <f aca="false">IF($B1369="","",IFERROR(INDEX(자원목록!$B$3:$B$102,MATCH($B1369,자원목록!$A$3:$A$102,0)),"미등록자원"))</f>
        <v/>
      </c>
      <c r="D1369" s="7"/>
      <c r="E1369" s="12" t="str">
        <f aca="false">IF($D1369="","",IFERROR(INDEX(고객목록!$B$3:$B$502,MATCH($D1369,고객목록!$A$3:$A$502,0)),""))</f>
        <v/>
      </c>
      <c r="F1369" s="13"/>
      <c r="G1369" s="13"/>
      <c r="H1369" s="14" t="str">
        <f aca="false">IF(OR($L1369="",$M1369=""),"",ROUND(($M1369-$L1369)/60,2))</f>
        <v/>
      </c>
      <c r="I1369" s="9"/>
      <c r="J1369" s="7"/>
      <c r="K1369" s="7"/>
      <c r="L1369" s="15" t="str">
        <f aca="false">IF($F1369="","",IF($F1369&lt;1,ROUND($F1369*1440,0),INT($F1369/100)*60+MOD($F1369,100)))</f>
        <v/>
      </c>
      <c r="M1369" s="15" t="str">
        <f aca="false">IF($G1369="","",IF($G1369&lt;1,ROUND($G1369*1440,0),INT($G1369/100)*60+MOD($G1369,100)))</f>
        <v/>
      </c>
      <c r="N1369" s="15" t="str">
        <f aca="false">IF(OR($A1369="",$B1369="",$L1369="",$M1369="",$J1369="취소"),"",IF(SUMPRODUCT(($A$3:$A$2002=$A1369)*($B$3:$B$2002=$B1369)*($J$3:$J$2002&lt;&gt;"취소")*($L$3:$L$2002&lt;&gt;"")*($M$3:$M$2002&lt;&gt;"")*($L$3:$L$2002&lt;$M1369)*($M$3:$M$2002&gt;$L1369))&gt;1,"중복","-"))</f>
        <v/>
      </c>
    </row>
    <row r="1370" customFormat="false" ht="15" hidden="false" customHeight="true" outlineLevel="0" collapsed="false">
      <c r="A1370" s="11"/>
      <c r="B1370" s="7"/>
      <c r="C1370" s="12" t="str">
        <f aca="false">IF($B1370="","",IFERROR(INDEX(자원목록!$B$3:$B$102,MATCH($B1370,자원목록!$A$3:$A$102,0)),"미등록자원"))</f>
        <v/>
      </c>
      <c r="D1370" s="7"/>
      <c r="E1370" s="12" t="str">
        <f aca="false">IF($D1370="","",IFERROR(INDEX(고객목록!$B$3:$B$502,MATCH($D1370,고객목록!$A$3:$A$502,0)),""))</f>
        <v/>
      </c>
      <c r="F1370" s="13"/>
      <c r="G1370" s="13"/>
      <c r="H1370" s="14" t="str">
        <f aca="false">IF(OR($L1370="",$M1370=""),"",ROUND(($M1370-$L1370)/60,2))</f>
        <v/>
      </c>
      <c r="I1370" s="9"/>
      <c r="J1370" s="7"/>
      <c r="K1370" s="7"/>
      <c r="L1370" s="15" t="str">
        <f aca="false">IF($F1370="","",IF($F1370&lt;1,ROUND($F1370*1440,0),INT($F1370/100)*60+MOD($F1370,100)))</f>
        <v/>
      </c>
      <c r="M1370" s="15" t="str">
        <f aca="false">IF($G1370="","",IF($G1370&lt;1,ROUND($G1370*1440,0),INT($G1370/100)*60+MOD($G1370,100)))</f>
        <v/>
      </c>
      <c r="N1370" s="15" t="str">
        <f aca="false">IF(OR($A1370="",$B1370="",$L1370="",$M1370="",$J1370="취소"),"",IF(SUMPRODUCT(($A$3:$A$2002=$A1370)*($B$3:$B$2002=$B1370)*($J$3:$J$2002&lt;&gt;"취소")*($L$3:$L$2002&lt;&gt;"")*($M$3:$M$2002&lt;&gt;"")*($L$3:$L$2002&lt;$M1370)*($M$3:$M$2002&gt;$L1370))&gt;1,"중복","-"))</f>
        <v/>
      </c>
    </row>
    <row r="1371" customFormat="false" ht="15" hidden="false" customHeight="true" outlineLevel="0" collapsed="false">
      <c r="A1371" s="11"/>
      <c r="B1371" s="7"/>
      <c r="C1371" s="12" t="str">
        <f aca="false">IF($B1371="","",IFERROR(INDEX(자원목록!$B$3:$B$102,MATCH($B1371,자원목록!$A$3:$A$102,0)),"미등록자원"))</f>
        <v/>
      </c>
      <c r="D1371" s="7"/>
      <c r="E1371" s="12" t="str">
        <f aca="false">IF($D1371="","",IFERROR(INDEX(고객목록!$B$3:$B$502,MATCH($D1371,고객목록!$A$3:$A$502,0)),""))</f>
        <v/>
      </c>
      <c r="F1371" s="13"/>
      <c r="G1371" s="13"/>
      <c r="H1371" s="14" t="str">
        <f aca="false">IF(OR($L1371="",$M1371=""),"",ROUND(($M1371-$L1371)/60,2))</f>
        <v/>
      </c>
      <c r="I1371" s="9"/>
      <c r="J1371" s="7"/>
      <c r="K1371" s="7"/>
      <c r="L1371" s="15" t="str">
        <f aca="false">IF($F1371="","",IF($F1371&lt;1,ROUND($F1371*1440,0),INT($F1371/100)*60+MOD($F1371,100)))</f>
        <v/>
      </c>
      <c r="M1371" s="15" t="str">
        <f aca="false">IF($G1371="","",IF($G1371&lt;1,ROUND($G1371*1440,0),INT($G1371/100)*60+MOD($G1371,100)))</f>
        <v/>
      </c>
      <c r="N1371" s="15" t="str">
        <f aca="false">IF(OR($A1371="",$B1371="",$L1371="",$M1371="",$J1371="취소"),"",IF(SUMPRODUCT(($A$3:$A$2002=$A1371)*($B$3:$B$2002=$B1371)*($J$3:$J$2002&lt;&gt;"취소")*($L$3:$L$2002&lt;&gt;"")*($M$3:$M$2002&lt;&gt;"")*($L$3:$L$2002&lt;$M1371)*($M$3:$M$2002&gt;$L1371))&gt;1,"중복","-"))</f>
        <v/>
      </c>
    </row>
    <row r="1372" customFormat="false" ht="15" hidden="false" customHeight="true" outlineLevel="0" collapsed="false">
      <c r="A1372" s="11"/>
      <c r="B1372" s="7"/>
      <c r="C1372" s="12" t="str">
        <f aca="false">IF($B1372="","",IFERROR(INDEX(자원목록!$B$3:$B$102,MATCH($B1372,자원목록!$A$3:$A$102,0)),"미등록자원"))</f>
        <v/>
      </c>
      <c r="D1372" s="7"/>
      <c r="E1372" s="12" t="str">
        <f aca="false">IF($D1372="","",IFERROR(INDEX(고객목록!$B$3:$B$502,MATCH($D1372,고객목록!$A$3:$A$502,0)),""))</f>
        <v/>
      </c>
      <c r="F1372" s="13"/>
      <c r="G1372" s="13"/>
      <c r="H1372" s="14" t="str">
        <f aca="false">IF(OR($L1372="",$M1372=""),"",ROUND(($M1372-$L1372)/60,2))</f>
        <v/>
      </c>
      <c r="I1372" s="9"/>
      <c r="J1372" s="7"/>
      <c r="K1372" s="7"/>
      <c r="L1372" s="15" t="str">
        <f aca="false">IF($F1372="","",IF($F1372&lt;1,ROUND($F1372*1440,0),INT($F1372/100)*60+MOD($F1372,100)))</f>
        <v/>
      </c>
      <c r="M1372" s="15" t="str">
        <f aca="false">IF($G1372="","",IF($G1372&lt;1,ROUND($G1372*1440,0),INT($G1372/100)*60+MOD($G1372,100)))</f>
        <v/>
      </c>
      <c r="N1372" s="15" t="str">
        <f aca="false">IF(OR($A1372="",$B1372="",$L1372="",$M1372="",$J1372="취소"),"",IF(SUMPRODUCT(($A$3:$A$2002=$A1372)*($B$3:$B$2002=$B1372)*($J$3:$J$2002&lt;&gt;"취소")*($L$3:$L$2002&lt;&gt;"")*($M$3:$M$2002&lt;&gt;"")*($L$3:$L$2002&lt;$M1372)*($M$3:$M$2002&gt;$L1372))&gt;1,"중복","-"))</f>
        <v/>
      </c>
    </row>
    <row r="1373" customFormat="false" ht="15" hidden="false" customHeight="true" outlineLevel="0" collapsed="false">
      <c r="A1373" s="11"/>
      <c r="B1373" s="7"/>
      <c r="C1373" s="12" t="str">
        <f aca="false">IF($B1373="","",IFERROR(INDEX(자원목록!$B$3:$B$102,MATCH($B1373,자원목록!$A$3:$A$102,0)),"미등록자원"))</f>
        <v/>
      </c>
      <c r="D1373" s="7"/>
      <c r="E1373" s="12" t="str">
        <f aca="false">IF($D1373="","",IFERROR(INDEX(고객목록!$B$3:$B$502,MATCH($D1373,고객목록!$A$3:$A$502,0)),""))</f>
        <v/>
      </c>
      <c r="F1373" s="13"/>
      <c r="G1373" s="13"/>
      <c r="H1373" s="14" t="str">
        <f aca="false">IF(OR($L1373="",$M1373=""),"",ROUND(($M1373-$L1373)/60,2))</f>
        <v/>
      </c>
      <c r="I1373" s="9"/>
      <c r="J1373" s="7"/>
      <c r="K1373" s="7"/>
      <c r="L1373" s="15" t="str">
        <f aca="false">IF($F1373="","",IF($F1373&lt;1,ROUND($F1373*1440,0),INT($F1373/100)*60+MOD($F1373,100)))</f>
        <v/>
      </c>
      <c r="M1373" s="15" t="str">
        <f aca="false">IF($G1373="","",IF($G1373&lt;1,ROUND($G1373*1440,0),INT($G1373/100)*60+MOD($G1373,100)))</f>
        <v/>
      </c>
      <c r="N1373" s="15" t="str">
        <f aca="false">IF(OR($A1373="",$B1373="",$L1373="",$M1373="",$J1373="취소"),"",IF(SUMPRODUCT(($A$3:$A$2002=$A1373)*($B$3:$B$2002=$B1373)*($J$3:$J$2002&lt;&gt;"취소")*($L$3:$L$2002&lt;&gt;"")*($M$3:$M$2002&lt;&gt;"")*($L$3:$L$2002&lt;$M1373)*($M$3:$M$2002&gt;$L1373))&gt;1,"중복","-"))</f>
        <v/>
      </c>
    </row>
    <row r="1374" customFormat="false" ht="15" hidden="false" customHeight="true" outlineLevel="0" collapsed="false">
      <c r="A1374" s="11"/>
      <c r="B1374" s="7"/>
      <c r="C1374" s="12" t="str">
        <f aca="false">IF($B1374="","",IFERROR(INDEX(자원목록!$B$3:$B$102,MATCH($B1374,자원목록!$A$3:$A$102,0)),"미등록자원"))</f>
        <v/>
      </c>
      <c r="D1374" s="7"/>
      <c r="E1374" s="12" t="str">
        <f aca="false">IF($D1374="","",IFERROR(INDEX(고객목록!$B$3:$B$502,MATCH($D1374,고객목록!$A$3:$A$502,0)),""))</f>
        <v/>
      </c>
      <c r="F1374" s="13"/>
      <c r="G1374" s="13"/>
      <c r="H1374" s="14" t="str">
        <f aca="false">IF(OR($L1374="",$M1374=""),"",ROUND(($M1374-$L1374)/60,2))</f>
        <v/>
      </c>
      <c r="I1374" s="9"/>
      <c r="J1374" s="7"/>
      <c r="K1374" s="7"/>
      <c r="L1374" s="15" t="str">
        <f aca="false">IF($F1374="","",IF($F1374&lt;1,ROUND($F1374*1440,0),INT($F1374/100)*60+MOD($F1374,100)))</f>
        <v/>
      </c>
      <c r="M1374" s="15" t="str">
        <f aca="false">IF($G1374="","",IF($G1374&lt;1,ROUND($G1374*1440,0),INT($G1374/100)*60+MOD($G1374,100)))</f>
        <v/>
      </c>
      <c r="N1374" s="15" t="str">
        <f aca="false">IF(OR($A1374="",$B1374="",$L1374="",$M1374="",$J1374="취소"),"",IF(SUMPRODUCT(($A$3:$A$2002=$A1374)*($B$3:$B$2002=$B1374)*($J$3:$J$2002&lt;&gt;"취소")*($L$3:$L$2002&lt;&gt;"")*($M$3:$M$2002&lt;&gt;"")*($L$3:$L$2002&lt;$M1374)*($M$3:$M$2002&gt;$L1374))&gt;1,"중복","-"))</f>
        <v/>
      </c>
    </row>
    <row r="1375" customFormat="false" ht="15" hidden="false" customHeight="true" outlineLevel="0" collapsed="false">
      <c r="A1375" s="11"/>
      <c r="B1375" s="7"/>
      <c r="C1375" s="12" t="str">
        <f aca="false">IF($B1375="","",IFERROR(INDEX(자원목록!$B$3:$B$102,MATCH($B1375,자원목록!$A$3:$A$102,0)),"미등록자원"))</f>
        <v/>
      </c>
      <c r="D1375" s="7"/>
      <c r="E1375" s="12" t="str">
        <f aca="false">IF($D1375="","",IFERROR(INDEX(고객목록!$B$3:$B$502,MATCH($D1375,고객목록!$A$3:$A$502,0)),""))</f>
        <v/>
      </c>
      <c r="F1375" s="13"/>
      <c r="G1375" s="13"/>
      <c r="H1375" s="14" t="str">
        <f aca="false">IF(OR($L1375="",$M1375=""),"",ROUND(($M1375-$L1375)/60,2))</f>
        <v/>
      </c>
      <c r="I1375" s="9"/>
      <c r="J1375" s="7"/>
      <c r="K1375" s="7"/>
      <c r="L1375" s="15" t="str">
        <f aca="false">IF($F1375="","",IF($F1375&lt;1,ROUND($F1375*1440,0),INT($F1375/100)*60+MOD($F1375,100)))</f>
        <v/>
      </c>
      <c r="M1375" s="15" t="str">
        <f aca="false">IF($G1375="","",IF($G1375&lt;1,ROUND($G1375*1440,0),INT($G1375/100)*60+MOD($G1375,100)))</f>
        <v/>
      </c>
      <c r="N1375" s="15" t="str">
        <f aca="false">IF(OR($A1375="",$B1375="",$L1375="",$M1375="",$J1375="취소"),"",IF(SUMPRODUCT(($A$3:$A$2002=$A1375)*($B$3:$B$2002=$B1375)*($J$3:$J$2002&lt;&gt;"취소")*($L$3:$L$2002&lt;&gt;"")*($M$3:$M$2002&lt;&gt;"")*($L$3:$L$2002&lt;$M1375)*($M$3:$M$2002&gt;$L1375))&gt;1,"중복","-"))</f>
        <v/>
      </c>
    </row>
    <row r="1376" customFormat="false" ht="15" hidden="false" customHeight="true" outlineLevel="0" collapsed="false">
      <c r="A1376" s="11"/>
      <c r="B1376" s="7"/>
      <c r="C1376" s="12" t="str">
        <f aca="false">IF($B1376="","",IFERROR(INDEX(자원목록!$B$3:$B$102,MATCH($B1376,자원목록!$A$3:$A$102,0)),"미등록자원"))</f>
        <v/>
      </c>
      <c r="D1376" s="7"/>
      <c r="E1376" s="12" t="str">
        <f aca="false">IF($D1376="","",IFERROR(INDEX(고객목록!$B$3:$B$502,MATCH($D1376,고객목록!$A$3:$A$502,0)),""))</f>
        <v/>
      </c>
      <c r="F1376" s="13"/>
      <c r="G1376" s="13"/>
      <c r="H1376" s="14" t="str">
        <f aca="false">IF(OR($L1376="",$M1376=""),"",ROUND(($M1376-$L1376)/60,2))</f>
        <v/>
      </c>
      <c r="I1376" s="9"/>
      <c r="J1376" s="7"/>
      <c r="K1376" s="7"/>
      <c r="L1376" s="15" t="str">
        <f aca="false">IF($F1376="","",IF($F1376&lt;1,ROUND($F1376*1440,0),INT($F1376/100)*60+MOD($F1376,100)))</f>
        <v/>
      </c>
      <c r="M1376" s="15" t="str">
        <f aca="false">IF($G1376="","",IF($G1376&lt;1,ROUND($G1376*1440,0),INT($G1376/100)*60+MOD($G1376,100)))</f>
        <v/>
      </c>
      <c r="N1376" s="15" t="str">
        <f aca="false">IF(OR($A1376="",$B1376="",$L1376="",$M1376="",$J1376="취소"),"",IF(SUMPRODUCT(($A$3:$A$2002=$A1376)*($B$3:$B$2002=$B1376)*($J$3:$J$2002&lt;&gt;"취소")*($L$3:$L$2002&lt;&gt;"")*($M$3:$M$2002&lt;&gt;"")*($L$3:$L$2002&lt;$M1376)*($M$3:$M$2002&gt;$L1376))&gt;1,"중복","-"))</f>
        <v/>
      </c>
    </row>
    <row r="1377" customFormat="false" ht="15" hidden="false" customHeight="true" outlineLevel="0" collapsed="false">
      <c r="A1377" s="11"/>
      <c r="B1377" s="7"/>
      <c r="C1377" s="12" t="str">
        <f aca="false">IF($B1377="","",IFERROR(INDEX(자원목록!$B$3:$B$102,MATCH($B1377,자원목록!$A$3:$A$102,0)),"미등록자원"))</f>
        <v/>
      </c>
      <c r="D1377" s="7"/>
      <c r="E1377" s="12" t="str">
        <f aca="false">IF($D1377="","",IFERROR(INDEX(고객목록!$B$3:$B$502,MATCH($D1377,고객목록!$A$3:$A$502,0)),""))</f>
        <v/>
      </c>
      <c r="F1377" s="13"/>
      <c r="G1377" s="13"/>
      <c r="H1377" s="14" t="str">
        <f aca="false">IF(OR($L1377="",$M1377=""),"",ROUND(($M1377-$L1377)/60,2))</f>
        <v/>
      </c>
      <c r="I1377" s="9"/>
      <c r="J1377" s="7"/>
      <c r="K1377" s="7"/>
      <c r="L1377" s="15" t="str">
        <f aca="false">IF($F1377="","",IF($F1377&lt;1,ROUND($F1377*1440,0),INT($F1377/100)*60+MOD($F1377,100)))</f>
        <v/>
      </c>
      <c r="M1377" s="15" t="str">
        <f aca="false">IF($G1377="","",IF($G1377&lt;1,ROUND($G1377*1440,0),INT($G1377/100)*60+MOD($G1377,100)))</f>
        <v/>
      </c>
      <c r="N1377" s="15" t="str">
        <f aca="false">IF(OR($A1377="",$B1377="",$L1377="",$M1377="",$J1377="취소"),"",IF(SUMPRODUCT(($A$3:$A$2002=$A1377)*($B$3:$B$2002=$B1377)*($J$3:$J$2002&lt;&gt;"취소")*($L$3:$L$2002&lt;&gt;"")*($M$3:$M$2002&lt;&gt;"")*($L$3:$L$2002&lt;$M1377)*($M$3:$M$2002&gt;$L1377))&gt;1,"중복","-"))</f>
        <v/>
      </c>
    </row>
    <row r="1378" customFormat="false" ht="15" hidden="false" customHeight="true" outlineLevel="0" collapsed="false">
      <c r="A1378" s="11"/>
      <c r="B1378" s="7"/>
      <c r="C1378" s="12" t="str">
        <f aca="false">IF($B1378="","",IFERROR(INDEX(자원목록!$B$3:$B$102,MATCH($B1378,자원목록!$A$3:$A$102,0)),"미등록자원"))</f>
        <v/>
      </c>
      <c r="D1378" s="7"/>
      <c r="E1378" s="12" t="str">
        <f aca="false">IF($D1378="","",IFERROR(INDEX(고객목록!$B$3:$B$502,MATCH($D1378,고객목록!$A$3:$A$502,0)),""))</f>
        <v/>
      </c>
      <c r="F1378" s="13"/>
      <c r="G1378" s="13"/>
      <c r="H1378" s="14" t="str">
        <f aca="false">IF(OR($L1378="",$M1378=""),"",ROUND(($M1378-$L1378)/60,2))</f>
        <v/>
      </c>
      <c r="I1378" s="9"/>
      <c r="J1378" s="7"/>
      <c r="K1378" s="7"/>
      <c r="L1378" s="15" t="str">
        <f aca="false">IF($F1378="","",IF($F1378&lt;1,ROUND($F1378*1440,0),INT($F1378/100)*60+MOD($F1378,100)))</f>
        <v/>
      </c>
      <c r="M1378" s="15" t="str">
        <f aca="false">IF($G1378="","",IF($G1378&lt;1,ROUND($G1378*1440,0),INT($G1378/100)*60+MOD($G1378,100)))</f>
        <v/>
      </c>
      <c r="N1378" s="15" t="str">
        <f aca="false">IF(OR($A1378="",$B1378="",$L1378="",$M1378="",$J1378="취소"),"",IF(SUMPRODUCT(($A$3:$A$2002=$A1378)*($B$3:$B$2002=$B1378)*($J$3:$J$2002&lt;&gt;"취소")*($L$3:$L$2002&lt;&gt;"")*($M$3:$M$2002&lt;&gt;"")*($L$3:$L$2002&lt;$M1378)*($M$3:$M$2002&gt;$L1378))&gt;1,"중복","-"))</f>
        <v/>
      </c>
    </row>
    <row r="1379" customFormat="false" ht="15" hidden="false" customHeight="true" outlineLevel="0" collapsed="false">
      <c r="A1379" s="11"/>
      <c r="B1379" s="7"/>
      <c r="C1379" s="12" t="str">
        <f aca="false">IF($B1379="","",IFERROR(INDEX(자원목록!$B$3:$B$102,MATCH($B1379,자원목록!$A$3:$A$102,0)),"미등록자원"))</f>
        <v/>
      </c>
      <c r="D1379" s="7"/>
      <c r="E1379" s="12" t="str">
        <f aca="false">IF($D1379="","",IFERROR(INDEX(고객목록!$B$3:$B$502,MATCH($D1379,고객목록!$A$3:$A$502,0)),""))</f>
        <v/>
      </c>
      <c r="F1379" s="13"/>
      <c r="G1379" s="13"/>
      <c r="H1379" s="14" t="str">
        <f aca="false">IF(OR($L1379="",$M1379=""),"",ROUND(($M1379-$L1379)/60,2))</f>
        <v/>
      </c>
      <c r="I1379" s="9"/>
      <c r="J1379" s="7"/>
      <c r="K1379" s="7"/>
      <c r="L1379" s="15" t="str">
        <f aca="false">IF($F1379="","",IF($F1379&lt;1,ROUND($F1379*1440,0),INT($F1379/100)*60+MOD($F1379,100)))</f>
        <v/>
      </c>
      <c r="M1379" s="15" t="str">
        <f aca="false">IF($G1379="","",IF($G1379&lt;1,ROUND($G1379*1440,0),INT($G1379/100)*60+MOD($G1379,100)))</f>
        <v/>
      </c>
      <c r="N1379" s="15" t="str">
        <f aca="false">IF(OR($A1379="",$B1379="",$L1379="",$M1379="",$J1379="취소"),"",IF(SUMPRODUCT(($A$3:$A$2002=$A1379)*($B$3:$B$2002=$B1379)*($J$3:$J$2002&lt;&gt;"취소")*($L$3:$L$2002&lt;&gt;"")*($M$3:$M$2002&lt;&gt;"")*($L$3:$L$2002&lt;$M1379)*($M$3:$M$2002&gt;$L1379))&gt;1,"중복","-"))</f>
        <v/>
      </c>
    </row>
    <row r="1380" customFormat="false" ht="15" hidden="false" customHeight="true" outlineLevel="0" collapsed="false">
      <c r="A1380" s="11"/>
      <c r="B1380" s="7"/>
      <c r="C1380" s="12" t="str">
        <f aca="false">IF($B1380="","",IFERROR(INDEX(자원목록!$B$3:$B$102,MATCH($B1380,자원목록!$A$3:$A$102,0)),"미등록자원"))</f>
        <v/>
      </c>
      <c r="D1380" s="7"/>
      <c r="E1380" s="12" t="str">
        <f aca="false">IF($D1380="","",IFERROR(INDEX(고객목록!$B$3:$B$502,MATCH($D1380,고객목록!$A$3:$A$502,0)),""))</f>
        <v/>
      </c>
      <c r="F1380" s="13"/>
      <c r="G1380" s="13"/>
      <c r="H1380" s="14" t="str">
        <f aca="false">IF(OR($L1380="",$M1380=""),"",ROUND(($M1380-$L1380)/60,2))</f>
        <v/>
      </c>
      <c r="I1380" s="9"/>
      <c r="J1380" s="7"/>
      <c r="K1380" s="7"/>
      <c r="L1380" s="15" t="str">
        <f aca="false">IF($F1380="","",IF($F1380&lt;1,ROUND($F1380*1440,0),INT($F1380/100)*60+MOD($F1380,100)))</f>
        <v/>
      </c>
      <c r="M1380" s="15" t="str">
        <f aca="false">IF($G1380="","",IF($G1380&lt;1,ROUND($G1380*1440,0),INT($G1380/100)*60+MOD($G1380,100)))</f>
        <v/>
      </c>
      <c r="N1380" s="15" t="str">
        <f aca="false">IF(OR($A1380="",$B1380="",$L1380="",$M1380="",$J1380="취소"),"",IF(SUMPRODUCT(($A$3:$A$2002=$A1380)*($B$3:$B$2002=$B1380)*($J$3:$J$2002&lt;&gt;"취소")*($L$3:$L$2002&lt;&gt;"")*($M$3:$M$2002&lt;&gt;"")*($L$3:$L$2002&lt;$M1380)*($M$3:$M$2002&gt;$L1380))&gt;1,"중복","-"))</f>
        <v/>
      </c>
    </row>
    <row r="1381" customFormat="false" ht="15" hidden="false" customHeight="true" outlineLevel="0" collapsed="false">
      <c r="A1381" s="11"/>
      <c r="B1381" s="7"/>
      <c r="C1381" s="12" t="str">
        <f aca="false">IF($B1381="","",IFERROR(INDEX(자원목록!$B$3:$B$102,MATCH($B1381,자원목록!$A$3:$A$102,0)),"미등록자원"))</f>
        <v/>
      </c>
      <c r="D1381" s="7"/>
      <c r="E1381" s="12" t="str">
        <f aca="false">IF($D1381="","",IFERROR(INDEX(고객목록!$B$3:$B$502,MATCH($D1381,고객목록!$A$3:$A$502,0)),""))</f>
        <v/>
      </c>
      <c r="F1381" s="13"/>
      <c r="G1381" s="13"/>
      <c r="H1381" s="14" t="str">
        <f aca="false">IF(OR($L1381="",$M1381=""),"",ROUND(($M1381-$L1381)/60,2))</f>
        <v/>
      </c>
      <c r="I1381" s="9"/>
      <c r="J1381" s="7"/>
      <c r="K1381" s="7"/>
      <c r="L1381" s="15" t="str">
        <f aca="false">IF($F1381="","",IF($F1381&lt;1,ROUND($F1381*1440,0),INT($F1381/100)*60+MOD($F1381,100)))</f>
        <v/>
      </c>
      <c r="M1381" s="15" t="str">
        <f aca="false">IF($G1381="","",IF($G1381&lt;1,ROUND($G1381*1440,0),INT($G1381/100)*60+MOD($G1381,100)))</f>
        <v/>
      </c>
      <c r="N1381" s="15" t="str">
        <f aca="false">IF(OR($A1381="",$B1381="",$L1381="",$M1381="",$J1381="취소"),"",IF(SUMPRODUCT(($A$3:$A$2002=$A1381)*($B$3:$B$2002=$B1381)*($J$3:$J$2002&lt;&gt;"취소")*($L$3:$L$2002&lt;&gt;"")*($M$3:$M$2002&lt;&gt;"")*($L$3:$L$2002&lt;$M1381)*($M$3:$M$2002&gt;$L1381))&gt;1,"중복","-"))</f>
        <v/>
      </c>
    </row>
    <row r="1382" customFormat="false" ht="15" hidden="false" customHeight="true" outlineLevel="0" collapsed="false">
      <c r="A1382" s="11"/>
      <c r="B1382" s="7"/>
      <c r="C1382" s="12" t="str">
        <f aca="false">IF($B1382="","",IFERROR(INDEX(자원목록!$B$3:$B$102,MATCH($B1382,자원목록!$A$3:$A$102,0)),"미등록자원"))</f>
        <v/>
      </c>
      <c r="D1382" s="7"/>
      <c r="E1382" s="12" t="str">
        <f aca="false">IF($D1382="","",IFERROR(INDEX(고객목록!$B$3:$B$502,MATCH($D1382,고객목록!$A$3:$A$502,0)),""))</f>
        <v/>
      </c>
      <c r="F1382" s="13"/>
      <c r="G1382" s="13"/>
      <c r="H1382" s="14" t="str">
        <f aca="false">IF(OR($L1382="",$M1382=""),"",ROUND(($M1382-$L1382)/60,2))</f>
        <v/>
      </c>
      <c r="I1382" s="9"/>
      <c r="J1382" s="7"/>
      <c r="K1382" s="7"/>
      <c r="L1382" s="15" t="str">
        <f aca="false">IF($F1382="","",IF($F1382&lt;1,ROUND($F1382*1440,0),INT($F1382/100)*60+MOD($F1382,100)))</f>
        <v/>
      </c>
      <c r="M1382" s="15" t="str">
        <f aca="false">IF($G1382="","",IF($G1382&lt;1,ROUND($G1382*1440,0),INT($G1382/100)*60+MOD($G1382,100)))</f>
        <v/>
      </c>
      <c r="N1382" s="15" t="str">
        <f aca="false">IF(OR($A1382="",$B1382="",$L1382="",$M1382="",$J1382="취소"),"",IF(SUMPRODUCT(($A$3:$A$2002=$A1382)*($B$3:$B$2002=$B1382)*($J$3:$J$2002&lt;&gt;"취소")*($L$3:$L$2002&lt;&gt;"")*($M$3:$M$2002&lt;&gt;"")*($L$3:$L$2002&lt;$M1382)*($M$3:$M$2002&gt;$L1382))&gt;1,"중복","-"))</f>
        <v/>
      </c>
    </row>
    <row r="1383" customFormat="false" ht="15" hidden="false" customHeight="true" outlineLevel="0" collapsed="false">
      <c r="A1383" s="11"/>
      <c r="B1383" s="7"/>
      <c r="C1383" s="12" t="str">
        <f aca="false">IF($B1383="","",IFERROR(INDEX(자원목록!$B$3:$B$102,MATCH($B1383,자원목록!$A$3:$A$102,0)),"미등록자원"))</f>
        <v/>
      </c>
      <c r="D1383" s="7"/>
      <c r="E1383" s="12" t="str">
        <f aca="false">IF($D1383="","",IFERROR(INDEX(고객목록!$B$3:$B$502,MATCH($D1383,고객목록!$A$3:$A$502,0)),""))</f>
        <v/>
      </c>
      <c r="F1383" s="13"/>
      <c r="G1383" s="13"/>
      <c r="H1383" s="14" t="str">
        <f aca="false">IF(OR($L1383="",$M1383=""),"",ROUND(($M1383-$L1383)/60,2))</f>
        <v/>
      </c>
      <c r="I1383" s="9"/>
      <c r="J1383" s="7"/>
      <c r="K1383" s="7"/>
      <c r="L1383" s="15" t="str">
        <f aca="false">IF($F1383="","",IF($F1383&lt;1,ROUND($F1383*1440,0),INT($F1383/100)*60+MOD($F1383,100)))</f>
        <v/>
      </c>
      <c r="M1383" s="15" t="str">
        <f aca="false">IF($G1383="","",IF($G1383&lt;1,ROUND($G1383*1440,0),INT($G1383/100)*60+MOD($G1383,100)))</f>
        <v/>
      </c>
      <c r="N1383" s="15" t="str">
        <f aca="false">IF(OR($A1383="",$B1383="",$L1383="",$M1383="",$J1383="취소"),"",IF(SUMPRODUCT(($A$3:$A$2002=$A1383)*($B$3:$B$2002=$B1383)*($J$3:$J$2002&lt;&gt;"취소")*($L$3:$L$2002&lt;&gt;"")*($M$3:$M$2002&lt;&gt;"")*($L$3:$L$2002&lt;$M1383)*($M$3:$M$2002&gt;$L1383))&gt;1,"중복","-"))</f>
        <v/>
      </c>
    </row>
    <row r="1384" customFormat="false" ht="15" hidden="false" customHeight="true" outlineLevel="0" collapsed="false">
      <c r="A1384" s="11"/>
      <c r="B1384" s="7"/>
      <c r="C1384" s="12" t="str">
        <f aca="false">IF($B1384="","",IFERROR(INDEX(자원목록!$B$3:$B$102,MATCH($B1384,자원목록!$A$3:$A$102,0)),"미등록자원"))</f>
        <v/>
      </c>
      <c r="D1384" s="7"/>
      <c r="E1384" s="12" t="str">
        <f aca="false">IF($D1384="","",IFERROR(INDEX(고객목록!$B$3:$B$502,MATCH($D1384,고객목록!$A$3:$A$502,0)),""))</f>
        <v/>
      </c>
      <c r="F1384" s="13"/>
      <c r="G1384" s="13"/>
      <c r="H1384" s="14" t="str">
        <f aca="false">IF(OR($L1384="",$M1384=""),"",ROUND(($M1384-$L1384)/60,2))</f>
        <v/>
      </c>
      <c r="I1384" s="9"/>
      <c r="J1384" s="7"/>
      <c r="K1384" s="7"/>
      <c r="L1384" s="15" t="str">
        <f aca="false">IF($F1384="","",IF($F1384&lt;1,ROUND($F1384*1440,0),INT($F1384/100)*60+MOD($F1384,100)))</f>
        <v/>
      </c>
      <c r="M1384" s="15" t="str">
        <f aca="false">IF($G1384="","",IF($G1384&lt;1,ROUND($G1384*1440,0),INT($G1384/100)*60+MOD($G1384,100)))</f>
        <v/>
      </c>
      <c r="N1384" s="15" t="str">
        <f aca="false">IF(OR($A1384="",$B1384="",$L1384="",$M1384="",$J1384="취소"),"",IF(SUMPRODUCT(($A$3:$A$2002=$A1384)*($B$3:$B$2002=$B1384)*($J$3:$J$2002&lt;&gt;"취소")*($L$3:$L$2002&lt;&gt;"")*($M$3:$M$2002&lt;&gt;"")*($L$3:$L$2002&lt;$M1384)*($M$3:$M$2002&gt;$L1384))&gt;1,"중복","-"))</f>
        <v/>
      </c>
    </row>
    <row r="1385" customFormat="false" ht="15" hidden="false" customHeight="true" outlineLevel="0" collapsed="false">
      <c r="A1385" s="11"/>
      <c r="B1385" s="7"/>
      <c r="C1385" s="12" t="str">
        <f aca="false">IF($B1385="","",IFERROR(INDEX(자원목록!$B$3:$B$102,MATCH($B1385,자원목록!$A$3:$A$102,0)),"미등록자원"))</f>
        <v/>
      </c>
      <c r="D1385" s="7"/>
      <c r="E1385" s="12" t="str">
        <f aca="false">IF($D1385="","",IFERROR(INDEX(고객목록!$B$3:$B$502,MATCH($D1385,고객목록!$A$3:$A$502,0)),""))</f>
        <v/>
      </c>
      <c r="F1385" s="13"/>
      <c r="G1385" s="13"/>
      <c r="H1385" s="14" t="str">
        <f aca="false">IF(OR($L1385="",$M1385=""),"",ROUND(($M1385-$L1385)/60,2))</f>
        <v/>
      </c>
      <c r="I1385" s="9"/>
      <c r="J1385" s="7"/>
      <c r="K1385" s="7"/>
      <c r="L1385" s="15" t="str">
        <f aca="false">IF($F1385="","",IF($F1385&lt;1,ROUND($F1385*1440,0),INT($F1385/100)*60+MOD($F1385,100)))</f>
        <v/>
      </c>
      <c r="M1385" s="15" t="str">
        <f aca="false">IF($G1385="","",IF($G1385&lt;1,ROUND($G1385*1440,0),INT($G1385/100)*60+MOD($G1385,100)))</f>
        <v/>
      </c>
      <c r="N1385" s="15" t="str">
        <f aca="false">IF(OR($A1385="",$B1385="",$L1385="",$M1385="",$J1385="취소"),"",IF(SUMPRODUCT(($A$3:$A$2002=$A1385)*($B$3:$B$2002=$B1385)*($J$3:$J$2002&lt;&gt;"취소")*($L$3:$L$2002&lt;&gt;"")*($M$3:$M$2002&lt;&gt;"")*($L$3:$L$2002&lt;$M1385)*($M$3:$M$2002&gt;$L1385))&gt;1,"중복","-"))</f>
        <v/>
      </c>
    </row>
    <row r="1386" customFormat="false" ht="15" hidden="false" customHeight="true" outlineLevel="0" collapsed="false">
      <c r="A1386" s="11"/>
      <c r="B1386" s="7"/>
      <c r="C1386" s="12" t="str">
        <f aca="false">IF($B1386="","",IFERROR(INDEX(자원목록!$B$3:$B$102,MATCH($B1386,자원목록!$A$3:$A$102,0)),"미등록자원"))</f>
        <v/>
      </c>
      <c r="D1386" s="7"/>
      <c r="E1386" s="12" t="str">
        <f aca="false">IF($D1386="","",IFERROR(INDEX(고객목록!$B$3:$B$502,MATCH($D1386,고객목록!$A$3:$A$502,0)),""))</f>
        <v/>
      </c>
      <c r="F1386" s="13"/>
      <c r="G1386" s="13"/>
      <c r="H1386" s="14" t="str">
        <f aca="false">IF(OR($L1386="",$M1386=""),"",ROUND(($M1386-$L1386)/60,2))</f>
        <v/>
      </c>
      <c r="I1386" s="9"/>
      <c r="J1386" s="7"/>
      <c r="K1386" s="7"/>
      <c r="L1386" s="15" t="str">
        <f aca="false">IF($F1386="","",IF($F1386&lt;1,ROUND($F1386*1440,0),INT($F1386/100)*60+MOD($F1386,100)))</f>
        <v/>
      </c>
      <c r="M1386" s="15" t="str">
        <f aca="false">IF($G1386="","",IF($G1386&lt;1,ROUND($G1386*1440,0),INT($G1386/100)*60+MOD($G1386,100)))</f>
        <v/>
      </c>
      <c r="N1386" s="15" t="str">
        <f aca="false">IF(OR($A1386="",$B1386="",$L1386="",$M1386="",$J1386="취소"),"",IF(SUMPRODUCT(($A$3:$A$2002=$A1386)*($B$3:$B$2002=$B1386)*($J$3:$J$2002&lt;&gt;"취소")*($L$3:$L$2002&lt;&gt;"")*($M$3:$M$2002&lt;&gt;"")*($L$3:$L$2002&lt;$M1386)*($M$3:$M$2002&gt;$L1386))&gt;1,"중복","-"))</f>
        <v/>
      </c>
    </row>
    <row r="1387" customFormat="false" ht="15" hidden="false" customHeight="true" outlineLevel="0" collapsed="false">
      <c r="A1387" s="11"/>
      <c r="B1387" s="7"/>
      <c r="C1387" s="12" t="str">
        <f aca="false">IF($B1387="","",IFERROR(INDEX(자원목록!$B$3:$B$102,MATCH($B1387,자원목록!$A$3:$A$102,0)),"미등록자원"))</f>
        <v/>
      </c>
      <c r="D1387" s="7"/>
      <c r="E1387" s="12" t="str">
        <f aca="false">IF($D1387="","",IFERROR(INDEX(고객목록!$B$3:$B$502,MATCH($D1387,고객목록!$A$3:$A$502,0)),""))</f>
        <v/>
      </c>
      <c r="F1387" s="13"/>
      <c r="G1387" s="13"/>
      <c r="H1387" s="14" t="str">
        <f aca="false">IF(OR($L1387="",$M1387=""),"",ROUND(($M1387-$L1387)/60,2))</f>
        <v/>
      </c>
      <c r="I1387" s="9"/>
      <c r="J1387" s="7"/>
      <c r="K1387" s="7"/>
      <c r="L1387" s="15" t="str">
        <f aca="false">IF($F1387="","",IF($F1387&lt;1,ROUND($F1387*1440,0),INT($F1387/100)*60+MOD($F1387,100)))</f>
        <v/>
      </c>
      <c r="M1387" s="15" t="str">
        <f aca="false">IF($G1387="","",IF($G1387&lt;1,ROUND($G1387*1440,0),INT($G1387/100)*60+MOD($G1387,100)))</f>
        <v/>
      </c>
      <c r="N1387" s="15" t="str">
        <f aca="false">IF(OR($A1387="",$B1387="",$L1387="",$M1387="",$J1387="취소"),"",IF(SUMPRODUCT(($A$3:$A$2002=$A1387)*($B$3:$B$2002=$B1387)*($J$3:$J$2002&lt;&gt;"취소")*($L$3:$L$2002&lt;&gt;"")*($M$3:$M$2002&lt;&gt;"")*($L$3:$L$2002&lt;$M1387)*($M$3:$M$2002&gt;$L1387))&gt;1,"중복","-"))</f>
        <v/>
      </c>
    </row>
    <row r="1388" customFormat="false" ht="15" hidden="false" customHeight="true" outlineLevel="0" collapsed="false">
      <c r="A1388" s="11"/>
      <c r="B1388" s="7"/>
      <c r="C1388" s="12" t="str">
        <f aca="false">IF($B1388="","",IFERROR(INDEX(자원목록!$B$3:$B$102,MATCH($B1388,자원목록!$A$3:$A$102,0)),"미등록자원"))</f>
        <v/>
      </c>
      <c r="D1388" s="7"/>
      <c r="E1388" s="12" t="str">
        <f aca="false">IF($D1388="","",IFERROR(INDEX(고객목록!$B$3:$B$502,MATCH($D1388,고객목록!$A$3:$A$502,0)),""))</f>
        <v/>
      </c>
      <c r="F1388" s="13"/>
      <c r="G1388" s="13"/>
      <c r="H1388" s="14" t="str">
        <f aca="false">IF(OR($L1388="",$M1388=""),"",ROUND(($M1388-$L1388)/60,2))</f>
        <v/>
      </c>
      <c r="I1388" s="9"/>
      <c r="J1388" s="7"/>
      <c r="K1388" s="7"/>
      <c r="L1388" s="15" t="str">
        <f aca="false">IF($F1388="","",IF($F1388&lt;1,ROUND($F1388*1440,0),INT($F1388/100)*60+MOD($F1388,100)))</f>
        <v/>
      </c>
      <c r="M1388" s="15" t="str">
        <f aca="false">IF($G1388="","",IF($G1388&lt;1,ROUND($G1388*1440,0),INT($G1388/100)*60+MOD($G1388,100)))</f>
        <v/>
      </c>
      <c r="N1388" s="15" t="str">
        <f aca="false">IF(OR($A1388="",$B1388="",$L1388="",$M1388="",$J1388="취소"),"",IF(SUMPRODUCT(($A$3:$A$2002=$A1388)*($B$3:$B$2002=$B1388)*($J$3:$J$2002&lt;&gt;"취소")*($L$3:$L$2002&lt;&gt;"")*($M$3:$M$2002&lt;&gt;"")*($L$3:$L$2002&lt;$M1388)*($M$3:$M$2002&gt;$L1388))&gt;1,"중복","-"))</f>
        <v/>
      </c>
    </row>
    <row r="1389" customFormat="false" ht="15" hidden="false" customHeight="true" outlineLevel="0" collapsed="false">
      <c r="A1389" s="11"/>
      <c r="B1389" s="7"/>
      <c r="C1389" s="12" t="str">
        <f aca="false">IF($B1389="","",IFERROR(INDEX(자원목록!$B$3:$B$102,MATCH($B1389,자원목록!$A$3:$A$102,0)),"미등록자원"))</f>
        <v/>
      </c>
      <c r="D1389" s="7"/>
      <c r="E1389" s="12" t="str">
        <f aca="false">IF($D1389="","",IFERROR(INDEX(고객목록!$B$3:$B$502,MATCH($D1389,고객목록!$A$3:$A$502,0)),""))</f>
        <v/>
      </c>
      <c r="F1389" s="13"/>
      <c r="G1389" s="13"/>
      <c r="H1389" s="14" t="str">
        <f aca="false">IF(OR($L1389="",$M1389=""),"",ROUND(($M1389-$L1389)/60,2))</f>
        <v/>
      </c>
      <c r="I1389" s="9"/>
      <c r="J1389" s="7"/>
      <c r="K1389" s="7"/>
      <c r="L1389" s="15" t="str">
        <f aca="false">IF($F1389="","",IF($F1389&lt;1,ROUND($F1389*1440,0),INT($F1389/100)*60+MOD($F1389,100)))</f>
        <v/>
      </c>
      <c r="M1389" s="15" t="str">
        <f aca="false">IF($G1389="","",IF($G1389&lt;1,ROUND($G1389*1440,0),INT($G1389/100)*60+MOD($G1389,100)))</f>
        <v/>
      </c>
      <c r="N1389" s="15" t="str">
        <f aca="false">IF(OR($A1389="",$B1389="",$L1389="",$M1389="",$J1389="취소"),"",IF(SUMPRODUCT(($A$3:$A$2002=$A1389)*($B$3:$B$2002=$B1389)*($J$3:$J$2002&lt;&gt;"취소")*($L$3:$L$2002&lt;&gt;"")*($M$3:$M$2002&lt;&gt;"")*($L$3:$L$2002&lt;$M1389)*($M$3:$M$2002&gt;$L1389))&gt;1,"중복","-"))</f>
        <v/>
      </c>
    </row>
    <row r="1390" customFormat="false" ht="15" hidden="false" customHeight="true" outlineLevel="0" collapsed="false">
      <c r="A1390" s="11"/>
      <c r="B1390" s="7"/>
      <c r="C1390" s="12" t="str">
        <f aca="false">IF($B1390="","",IFERROR(INDEX(자원목록!$B$3:$B$102,MATCH($B1390,자원목록!$A$3:$A$102,0)),"미등록자원"))</f>
        <v/>
      </c>
      <c r="D1390" s="7"/>
      <c r="E1390" s="12" t="str">
        <f aca="false">IF($D1390="","",IFERROR(INDEX(고객목록!$B$3:$B$502,MATCH($D1390,고객목록!$A$3:$A$502,0)),""))</f>
        <v/>
      </c>
      <c r="F1390" s="13"/>
      <c r="G1390" s="13"/>
      <c r="H1390" s="14" t="str">
        <f aca="false">IF(OR($L1390="",$M1390=""),"",ROUND(($M1390-$L1390)/60,2))</f>
        <v/>
      </c>
      <c r="I1390" s="9"/>
      <c r="J1390" s="7"/>
      <c r="K1390" s="7"/>
      <c r="L1390" s="15" t="str">
        <f aca="false">IF($F1390="","",IF($F1390&lt;1,ROUND($F1390*1440,0),INT($F1390/100)*60+MOD($F1390,100)))</f>
        <v/>
      </c>
      <c r="M1390" s="15" t="str">
        <f aca="false">IF($G1390="","",IF($G1390&lt;1,ROUND($G1390*1440,0),INT($G1390/100)*60+MOD($G1390,100)))</f>
        <v/>
      </c>
      <c r="N1390" s="15" t="str">
        <f aca="false">IF(OR($A1390="",$B1390="",$L1390="",$M1390="",$J1390="취소"),"",IF(SUMPRODUCT(($A$3:$A$2002=$A1390)*($B$3:$B$2002=$B1390)*($J$3:$J$2002&lt;&gt;"취소")*($L$3:$L$2002&lt;&gt;"")*($M$3:$M$2002&lt;&gt;"")*($L$3:$L$2002&lt;$M1390)*($M$3:$M$2002&gt;$L1390))&gt;1,"중복","-"))</f>
        <v/>
      </c>
    </row>
    <row r="1391" customFormat="false" ht="15" hidden="false" customHeight="true" outlineLevel="0" collapsed="false">
      <c r="A1391" s="11"/>
      <c r="B1391" s="7"/>
      <c r="C1391" s="12" t="str">
        <f aca="false">IF($B1391="","",IFERROR(INDEX(자원목록!$B$3:$B$102,MATCH($B1391,자원목록!$A$3:$A$102,0)),"미등록자원"))</f>
        <v/>
      </c>
      <c r="D1391" s="7"/>
      <c r="E1391" s="12" t="str">
        <f aca="false">IF($D1391="","",IFERROR(INDEX(고객목록!$B$3:$B$502,MATCH($D1391,고객목록!$A$3:$A$502,0)),""))</f>
        <v/>
      </c>
      <c r="F1391" s="13"/>
      <c r="G1391" s="13"/>
      <c r="H1391" s="14" t="str">
        <f aca="false">IF(OR($L1391="",$M1391=""),"",ROUND(($M1391-$L1391)/60,2))</f>
        <v/>
      </c>
      <c r="I1391" s="9"/>
      <c r="J1391" s="7"/>
      <c r="K1391" s="7"/>
      <c r="L1391" s="15" t="str">
        <f aca="false">IF($F1391="","",IF($F1391&lt;1,ROUND($F1391*1440,0),INT($F1391/100)*60+MOD($F1391,100)))</f>
        <v/>
      </c>
      <c r="M1391" s="15" t="str">
        <f aca="false">IF($G1391="","",IF($G1391&lt;1,ROUND($G1391*1440,0),INT($G1391/100)*60+MOD($G1391,100)))</f>
        <v/>
      </c>
      <c r="N1391" s="15" t="str">
        <f aca="false">IF(OR($A1391="",$B1391="",$L1391="",$M1391="",$J1391="취소"),"",IF(SUMPRODUCT(($A$3:$A$2002=$A1391)*($B$3:$B$2002=$B1391)*($J$3:$J$2002&lt;&gt;"취소")*($L$3:$L$2002&lt;&gt;"")*($M$3:$M$2002&lt;&gt;"")*($L$3:$L$2002&lt;$M1391)*($M$3:$M$2002&gt;$L1391))&gt;1,"중복","-"))</f>
        <v/>
      </c>
    </row>
    <row r="1392" customFormat="false" ht="15" hidden="false" customHeight="true" outlineLevel="0" collapsed="false">
      <c r="A1392" s="11"/>
      <c r="B1392" s="7"/>
      <c r="C1392" s="12" t="str">
        <f aca="false">IF($B1392="","",IFERROR(INDEX(자원목록!$B$3:$B$102,MATCH($B1392,자원목록!$A$3:$A$102,0)),"미등록자원"))</f>
        <v/>
      </c>
      <c r="D1392" s="7"/>
      <c r="E1392" s="12" t="str">
        <f aca="false">IF($D1392="","",IFERROR(INDEX(고객목록!$B$3:$B$502,MATCH($D1392,고객목록!$A$3:$A$502,0)),""))</f>
        <v/>
      </c>
      <c r="F1392" s="13"/>
      <c r="G1392" s="13"/>
      <c r="H1392" s="14" t="str">
        <f aca="false">IF(OR($L1392="",$M1392=""),"",ROUND(($M1392-$L1392)/60,2))</f>
        <v/>
      </c>
      <c r="I1392" s="9"/>
      <c r="J1392" s="7"/>
      <c r="K1392" s="7"/>
      <c r="L1392" s="15" t="str">
        <f aca="false">IF($F1392="","",IF($F1392&lt;1,ROUND($F1392*1440,0),INT($F1392/100)*60+MOD($F1392,100)))</f>
        <v/>
      </c>
      <c r="M1392" s="15" t="str">
        <f aca="false">IF($G1392="","",IF($G1392&lt;1,ROUND($G1392*1440,0),INT($G1392/100)*60+MOD($G1392,100)))</f>
        <v/>
      </c>
      <c r="N1392" s="15" t="str">
        <f aca="false">IF(OR($A1392="",$B1392="",$L1392="",$M1392="",$J1392="취소"),"",IF(SUMPRODUCT(($A$3:$A$2002=$A1392)*($B$3:$B$2002=$B1392)*($J$3:$J$2002&lt;&gt;"취소")*($L$3:$L$2002&lt;&gt;"")*($M$3:$M$2002&lt;&gt;"")*($L$3:$L$2002&lt;$M1392)*($M$3:$M$2002&gt;$L1392))&gt;1,"중복","-"))</f>
        <v/>
      </c>
    </row>
    <row r="1393" customFormat="false" ht="15" hidden="false" customHeight="true" outlineLevel="0" collapsed="false">
      <c r="A1393" s="11"/>
      <c r="B1393" s="7"/>
      <c r="C1393" s="12" t="str">
        <f aca="false">IF($B1393="","",IFERROR(INDEX(자원목록!$B$3:$B$102,MATCH($B1393,자원목록!$A$3:$A$102,0)),"미등록자원"))</f>
        <v/>
      </c>
      <c r="D1393" s="7"/>
      <c r="E1393" s="12" t="str">
        <f aca="false">IF($D1393="","",IFERROR(INDEX(고객목록!$B$3:$B$502,MATCH($D1393,고객목록!$A$3:$A$502,0)),""))</f>
        <v/>
      </c>
      <c r="F1393" s="13"/>
      <c r="G1393" s="13"/>
      <c r="H1393" s="14" t="str">
        <f aca="false">IF(OR($L1393="",$M1393=""),"",ROUND(($M1393-$L1393)/60,2))</f>
        <v/>
      </c>
      <c r="I1393" s="9"/>
      <c r="J1393" s="7"/>
      <c r="K1393" s="7"/>
      <c r="L1393" s="15" t="str">
        <f aca="false">IF($F1393="","",IF($F1393&lt;1,ROUND($F1393*1440,0),INT($F1393/100)*60+MOD($F1393,100)))</f>
        <v/>
      </c>
      <c r="M1393" s="15" t="str">
        <f aca="false">IF($G1393="","",IF($G1393&lt;1,ROUND($G1393*1440,0),INT($G1393/100)*60+MOD($G1393,100)))</f>
        <v/>
      </c>
      <c r="N1393" s="15" t="str">
        <f aca="false">IF(OR($A1393="",$B1393="",$L1393="",$M1393="",$J1393="취소"),"",IF(SUMPRODUCT(($A$3:$A$2002=$A1393)*($B$3:$B$2002=$B1393)*($J$3:$J$2002&lt;&gt;"취소")*($L$3:$L$2002&lt;&gt;"")*($M$3:$M$2002&lt;&gt;"")*($L$3:$L$2002&lt;$M1393)*($M$3:$M$2002&gt;$L1393))&gt;1,"중복","-"))</f>
        <v/>
      </c>
    </row>
    <row r="1394" customFormat="false" ht="15" hidden="false" customHeight="true" outlineLevel="0" collapsed="false">
      <c r="A1394" s="11"/>
      <c r="B1394" s="7"/>
      <c r="C1394" s="12" t="str">
        <f aca="false">IF($B1394="","",IFERROR(INDEX(자원목록!$B$3:$B$102,MATCH($B1394,자원목록!$A$3:$A$102,0)),"미등록자원"))</f>
        <v/>
      </c>
      <c r="D1394" s="7"/>
      <c r="E1394" s="12" t="str">
        <f aca="false">IF($D1394="","",IFERROR(INDEX(고객목록!$B$3:$B$502,MATCH($D1394,고객목록!$A$3:$A$502,0)),""))</f>
        <v/>
      </c>
      <c r="F1394" s="13"/>
      <c r="G1394" s="13"/>
      <c r="H1394" s="14" t="str">
        <f aca="false">IF(OR($L1394="",$M1394=""),"",ROUND(($M1394-$L1394)/60,2))</f>
        <v/>
      </c>
      <c r="I1394" s="9"/>
      <c r="J1394" s="7"/>
      <c r="K1394" s="7"/>
      <c r="L1394" s="15" t="str">
        <f aca="false">IF($F1394="","",IF($F1394&lt;1,ROUND($F1394*1440,0),INT($F1394/100)*60+MOD($F1394,100)))</f>
        <v/>
      </c>
      <c r="M1394" s="15" t="str">
        <f aca="false">IF($G1394="","",IF($G1394&lt;1,ROUND($G1394*1440,0),INT($G1394/100)*60+MOD($G1394,100)))</f>
        <v/>
      </c>
      <c r="N1394" s="15" t="str">
        <f aca="false">IF(OR($A1394="",$B1394="",$L1394="",$M1394="",$J1394="취소"),"",IF(SUMPRODUCT(($A$3:$A$2002=$A1394)*($B$3:$B$2002=$B1394)*($J$3:$J$2002&lt;&gt;"취소")*($L$3:$L$2002&lt;&gt;"")*($M$3:$M$2002&lt;&gt;"")*($L$3:$L$2002&lt;$M1394)*($M$3:$M$2002&gt;$L1394))&gt;1,"중복","-"))</f>
        <v/>
      </c>
    </row>
    <row r="1395" customFormat="false" ht="15" hidden="false" customHeight="true" outlineLevel="0" collapsed="false">
      <c r="A1395" s="11"/>
      <c r="B1395" s="7"/>
      <c r="C1395" s="12" t="str">
        <f aca="false">IF($B1395="","",IFERROR(INDEX(자원목록!$B$3:$B$102,MATCH($B1395,자원목록!$A$3:$A$102,0)),"미등록자원"))</f>
        <v/>
      </c>
      <c r="D1395" s="7"/>
      <c r="E1395" s="12" t="str">
        <f aca="false">IF($D1395="","",IFERROR(INDEX(고객목록!$B$3:$B$502,MATCH($D1395,고객목록!$A$3:$A$502,0)),""))</f>
        <v/>
      </c>
      <c r="F1395" s="13"/>
      <c r="G1395" s="13"/>
      <c r="H1395" s="14" t="str">
        <f aca="false">IF(OR($L1395="",$M1395=""),"",ROUND(($M1395-$L1395)/60,2))</f>
        <v/>
      </c>
      <c r="I1395" s="9"/>
      <c r="J1395" s="7"/>
      <c r="K1395" s="7"/>
      <c r="L1395" s="15" t="str">
        <f aca="false">IF($F1395="","",IF($F1395&lt;1,ROUND($F1395*1440,0),INT($F1395/100)*60+MOD($F1395,100)))</f>
        <v/>
      </c>
      <c r="M1395" s="15" t="str">
        <f aca="false">IF($G1395="","",IF($G1395&lt;1,ROUND($G1395*1440,0),INT($G1395/100)*60+MOD($G1395,100)))</f>
        <v/>
      </c>
      <c r="N1395" s="15" t="str">
        <f aca="false">IF(OR($A1395="",$B1395="",$L1395="",$M1395="",$J1395="취소"),"",IF(SUMPRODUCT(($A$3:$A$2002=$A1395)*($B$3:$B$2002=$B1395)*($J$3:$J$2002&lt;&gt;"취소")*($L$3:$L$2002&lt;&gt;"")*($M$3:$M$2002&lt;&gt;"")*($L$3:$L$2002&lt;$M1395)*($M$3:$M$2002&gt;$L1395))&gt;1,"중복","-"))</f>
        <v/>
      </c>
    </row>
    <row r="1396" customFormat="false" ht="15" hidden="false" customHeight="true" outlineLevel="0" collapsed="false">
      <c r="A1396" s="11"/>
      <c r="B1396" s="7"/>
      <c r="C1396" s="12" t="str">
        <f aca="false">IF($B1396="","",IFERROR(INDEX(자원목록!$B$3:$B$102,MATCH($B1396,자원목록!$A$3:$A$102,0)),"미등록자원"))</f>
        <v/>
      </c>
      <c r="D1396" s="7"/>
      <c r="E1396" s="12" t="str">
        <f aca="false">IF($D1396="","",IFERROR(INDEX(고객목록!$B$3:$B$502,MATCH($D1396,고객목록!$A$3:$A$502,0)),""))</f>
        <v/>
      </c>
      <c r="F1396" s="13"/>
      <c r="G1396" s="13"/>
      <c r="H1396" s="14" t="str">
        <f aca="false">IF(OR($L1396="",$M1396=""),"",ROUND(($M1396-$L1396)/60,2))</f>
        <v/>
      </c>
      <c r="I1396" s="9"/>
      <c r="J1396" s="7"/>
      <c r="K1396" s="7"/>
      <c r="L1396" s="15" t="str">
        <f aca="false">IF($F1396="","",IF($F1396&lt;1,ROUND($F1396*1440,0),INT($F1396/100)*60+MOD($F1396,100)))</f>
        <v/>
      </c>
      <c r="M1396" s="15" t="str">
        <f aca="false">IF($G1396="","",IF($G1396&lt;1,ROUND($G1396*1440,0),INT($G1396/100)*60+MOD($G1396,100)))</f>
        <v/>
      </c>
      <c r="N1396" s="15" t="str">
        <f aca="false">IF(OR($A1396="",$B1396="",$L1396="",$M1396="",$J1396="취소"),"",IF(SUMPRODUCT(($A$3:$A$2002=$A1396)*($B$3:$B$2002=$B1396)*($J$3:$J$2002&lt;&gt;"취소")*($L$3:$L$2002&lt;&gt;"")*($M$3:$M$2002&lt;&gt;"")*($L$3:$L$2002&lt;$M1396)*($M$3:$M$2002&gt;$L1396))&gt;1,"중복","-"))</f>
        <v/>
      </c>
    </row>
    <row r="1397" customFormat="false" ht="15" hidden="false" customHeight="true" outlineLevel="0" collapsed="false">
      <c r="A1397" s="11"/>
      <c r="B1397" s="7"/>
      <c r="C1397" s="12" t="str">
        <f aca="false">IF($B1397="","",IFERROR(INDEX(자원목록!$B$3:$B$102,MATCH($B1397,자원목록!$A$3:$A$102,0)),"미등록자원"))</f>
        <v/>
      </c>
      <c r="D1397" s="7"/>
      <c r="E1397" s="12" t="str">
        <f aca="false">IF($D1397="","",IFERROR(INDEX(고객목록!$B$3:$B$502,MATCH($D1397,고객목록!$A$3:$A$502,0)),""))</f>
        <v/>
      </c>
      <c r="F1397" s="13"/>
      <c r="G1397" s="13"/>
      <c r="H1397" s="14" t="str">
        <f aca="false">IF(OR($L1397="",$M1397=""),"",ROUND(($M1397-$L1397)/60,2))</f>
        <v/>
      </c>
      <c r="I1397" s="9"/>
      <c r="J1397" s="7"/>
      <c r="K1397" s="7"/>
      <c r="L1397" s="15" t="str">
        <f aca="false">IF($F1397="","",IF($F1397&lt;1,ROUND($F1397*1440,0),INT($F1397/100)*60+MOD($F1397,100)))</f>
        <v/>
      </c>
      <c r="M1397" s="15" t="str">
        <f aca="false">IF($G1397="","",IF($G1397&lt;1,ROUND($G1397*1440,0),INT($G1397/100)*60+MOD($G1397,100)))</f>
        <v/>
      </c>
      <c r="N1397" s="15" t="str">
        <f aca="false">IF(OR($A1397="",$B1397="",$L1397="",$M1397="",$J1397="취소"),"",IF(SUMPRODUCT(($A$3:$A$2002=$A1397)*($B$3:$B$2002=$B1397)*($J$3:$J$2002&lt;&gt;"취소")*($L$3:$L$2002&lt;&gt;"")*($M$3:$M$2002&lt;&gt;"")*($L$3:$L$2002&lt;$M1397)*($M$3:$M$2002&gt;$L1397))&gt;1,"중복","-"))</f>
        <v/>
      </c>
    </row>
    <row r="1398" customFormat="false" ht="15" hidden="false" customHeight="true" outlineLevel="0" collapsed="false">
      <c r="A1398" s="11"/>
      <c r="B1398" s="7"/>
      <c r="C1398" s="12" t="str">
        <f aca="false">IF($B1398="","",IFERROR(INDEX(자원목록!$B$3:$B$102,MATCH($B1398,자원목록!$A$3:$A$102,0)),"미등록자원"))</f>
        <v/>
      </c>
      <c r="D1398" s="7"/>
      <c r="E1398" s="12" t="str">
        <f aca="false">IF($D1398="","",IFERROR(INDEX(고객목록!$B$3:$B$502,MATCH($D1398,고객목록!$A$3:$A$502,0)),""))</f>
        <v/>
      </c>
      <c r="F1398" s="13"/>
      <c r="G1398" s="13"/>
      <c r="H1398" s="14" t="str">
        <f aca="false">IF(OR($L1398="",$M1398=""),"",ROUND(($M1398-$L1398)/60,2))</f>
        <v/>
      </c>
      <c r="I1398" s="9"/>
      <c r="J1398" s="7"/>
      <c r="K1398" s="7"/>
      <c r="L1398" s="15" t="str">
        <f aca="false">IF($F1398="","",IF($F1398&lt;1,ROUND($F1398*1440,0),INT($F1398/100)*60+MOD($F1398,100)))</f>
        <v/>
      </c>
      <c r="M1398" s="15" t="str">
        <f aca="false">IF($G1398="","",IF($G1398&lt;1,ROUND($G1398*1440,0),INT($G1398/100)*60+MOD($G1398,100)))</f>
        <v/>
      </c>
      <c r="N1398" s="15" t="str">
        <f aca="false">IF(OR($A1398="",$B1398="",$L1398="",$M1398="",$J1398="취소"),"",IF(SUMPRODUCT(($A$3:$A$2002=$A1398)*($B$3:$B$2002=$B1398)*($J$3:$J$2002&lt;&gt;"취소")*($L$3:$L$2002&lt;&gt;"")*($M$3:$M$2002&lt;&gt;"")*($L$3:$L$2002&lt;$M1398)*($M$3:$M$2002&gt;$L1398))&gt;1,"중복","-"))</f>
        <v/>
      </c>
    </row>
    <row r="1399" customFormat="false" ht="15" hidden="false" customHeight="true" outlineLevel="0" collapsed="false">
      <c r="A1399" s="11"/>
      <c r="B1399" s="7"/>
      <c r="C1399" s="12" t="str">
        <f aca="false">IF($B1399="","",IFERROR(INDEX(자원목록!$B$3:$B$102,MATCH($B1399,자원목록!$A$3:$A$102,0)),"미등록자원"))</f>
        <v/>
      </c>
      <c r="D1399" s="7"/>
      <c r="E1399" s="12" t="str">
        <f aca="false">IF($D1399="","",IFERROR(INDEX(고객목록!$B$3:$B$502,MATCH($D1399,고객목록!$A$3:$A$502,0)),""))</f>
        <v/>
      </c>
      <c r="F1399" s="13"/>
      <c r="G1399" s="13"/>
      <c r="H1399" s="14" t="str">
        <f aca="false">IF(OR($L1399="",$M1399=""),"",ROUND(($M1399-$L1399)/60,2))</f>
        <v/>
      </c>
      <c r="I1399" s="9"/>
      <c r="J1399" s="7"/>
      <c r="K1399" s="7"/>
      <c r="L1399" s="15" t="str">
        <f aca="false">IF($F1399="","",IF($F1399&lt;1,ROUND($F1399*1440,0),INT($F1399/100)*60+MOD($F1399,100)))</f>
        <v/>
      </c>
      <c r="M1399" s="15" t="str">
        <f aca="false">IF($G1399="","",IF($G1399&lt;1,ROUND($G1399*1440,0),INT($G1399/100)*60+MOD($G1399,100)))</f>
        <v/>
      </c>
      <c r="N1399" s="15" t="str">
        <f aca="false">IF(OR($A1399="",$B1399="",$L1399="",$M1399="",$J1399="취소"),"",IF(SUMPRODUCT(($A$3:$A$2002=$A1399)*($B$3:$B$2002=$B1399)*($J$3:$J$2002&lt;&gt;"취소")*($L$3:$L$2002&lt;&gt;"")*($M$3:$M$2002&lt;&gt;"")*($L$3:$L$2002&lt;$M1399)*($M$3:$M$2002&gt;$L1399))&gt;1,"중복","-"))</f>
        <v/>
      </c>
    </row>
    <row r="1400" customFormat="false" ht="15" hidden="false" customHeight="true" outlineLevel="0" collapsed="false">
      <c r="A1400" s="11"/>
      <c r="B1400" s="7"/>
      <c r="C1400" s="12" t="str">
        <f aca="false">IF($B1400="","",IFERROR(INDEX(자원목록!$B$3:$B$102,MATCH($B1400,자원목록!$A$3:$A$102,0)),"미등록자원"))</f>
        <v/>
      </c>
      <c r="D1400" s="7"/>
      <c r="E1400" s="12" t="str">
        <f aca="false">IF($D1400="","",IFERROR(INDEX(고객목록!$B$3:$B$502,MATCH($D1400,고객목록!$A$3:$A$502,0)),""))</f>
        <v/>
      </c>
      <c r="F1400" s="13"/>
      <c r="G1400" s="13"/>
      <c r="H1400" s="14" t="str">
        <f aca="false">IF(OR($L1400="",$M1400=""),"",ROUND(($M1400-$L1400)/60,2))</f>
        <v/>
      </c>
      <c r="I1400" s="9"/>
      <c r="J1400" s="7"/>
      <c r="K1400" s="7"/>
      <c r="L1400" s="15" t="str">
        <f aca="false">IF($F1400="","",IF($F1400&lt;1,ROUND($F1400*1440,0),INT($F1400/100)*60+MOD($F1400,100)))</f>
        <v/>
      </c>
      <c r="M1400" s="15" t="str">
        <f aca="false">IF($G1400="","",IF($G1400&lt;1,ROUND($G1400*1440,0),INT($G1400/100)*60+MOD($G1400,100)))</f>
        <v/>
      </c>
      <c r="N1400" s="15" t="str">
        <f aca="false">IF(OR($A1400="",$B1400="",$L1400="",$M1400="",$J1400="취소"),"",IF(SUMPRODUCT(($A$3:$A$2002=$A1400)*($B$3:$B$2002=$B1400)*($J$3:$J$2002&lt;&gt;"취소")*($L$3:$L$2002&lt;&gt;"")*($M$3:$M$2002&lt;&gt;"")*($L$3:$L$2002&lt;$M1400)*($M$3:$M$2002&gt;$L1400))&gt;1,"중복","-"))</f>
        <v/>
      </c>
    </row>
    <row r="1401" customFormat="false" ht="15" hidden="false" customHeight="true" outlineLevel="0" collapsed="false">
      <c r="A1401" s="11"/>
      <c r="B1401" s="7"/>
      <c r="C1401" s="12" t="str">
        <f aca="false">IF($B1401="","",IFERROR(INDEX(자원목록!$B$3:$B$102,MATCH($B1401,자원목록!$A$3:$A$102,0)),"미등록자원"))</f>
        <v/>
      </c>
      <c r="D1401" s="7"/>
      <c r="E1401" s="12" t="str">
        <f aca="false">IF($D1401="","",IFERROR(INDEX(고객목록!$B$3:$B$502,MATCH($D1401,고객목록!$A$3:$A$502,0)),""))</f>
        <v/>
      </c>
      <c r="F1401" s="13"/>
      <c r="G1401" s="13"/>
      <c r="H1401" s="14" t="str">
        <f aca="false">IF(OR($L1401="",$M1401=""),"",ROUND(($M1401-$L1401)/60,2))</f>
        <v/>
      </c>
      <c r="I1401" s="9"/>
      <c r="J1401" s="7"/>
      <c r="K1401" s="7"/>
      <c r="L1401" s="15" t="str">
        <f aca="false">IF($F1401="","",IF($F1401&lt;1,ROUND($F1401*1440,0),INT($F1401/100)*60+MOD($F1401,100)))</f>
        <v/>
      </c>
      <c r="M1401" s="15" t="str">
        <f aca="false">IF($G1401="","",IF($G1401&lt;1,ROUND($G1401*1440,0),INT($G1401/100)*60+MOD($G1401,100)))</f>
        <v/>
      </c>
      <c r="N1401" s="15" t="str">
        <f aca="false">IF(OR($A1401="",$B1401="",$L1401="",$M1401="",$J1401="취소"),"",IF(SUMPRODUCT(($A$3:$A$2002=$A1401)*($B$3:$B$2002=$B1401)*($J$3:$J$2002&lt;&gt;"취소")*($L$3:$L$2002&lt;&gt;"")*($M$3:$M$2002&lt;&gt;"")*($L$3:$L$2002&lt;$M1401)*($M$3:$M$2002&gt;$L1401))&gt;1,"중복","-"))</f>
        <v/>
      </c>
    </row>
    <row r="1402" customFormat="false" ht="15" hidden="false" customHeight="true" outlineLevel="0" collapsed="false">
      <c r="A1402" s="11"/>
      <c r="B1402" s="7"/>
      <c r="C1402" s="12" t="str">
        <f aca="false">IF($B1402="","",IFERROR(INDEX(자원목록!$B$3:$B$102,MATCH($B1402,자원목록!$A$3:$A$102,0)),"미등록자원"))</f>
        <v/>
      </c>
      <c r="D1402" s="7"/>
      <c r="E1402" s="12" t="str">
        <f aca="false">IF($D1402="","",IFERROR(INDEX(고객목록!$B$3:$B$502,MATCH($D1402,고객목록!$A$3:$A$502,0)),""))</f>
        <v/>
      </c>
      <c r="F1402" s="13"/>
      <c r="G1402" s="13"/>
      <c r="H1402" s="14" t="str">
        <f aca="false">IF(OR($L1402="",$M1402=""),"",ROUND(($M1402-$L1402)/60,2))</f>
        <v/>
      </c>
      <c r="I1402" s="9"/>
      <c r="J1402" s="7"/>
      <c r="K1402" s="7"/>
      <c r="L1402" s="15" t="str">
        <f aca="false">IF($F1402="","",IF($F1402&lt;1,ROUND($F1402*1440,0),INT($F1402/100)*60+MOD($F1402,100)))</f>
        <v/>
      </c>
      <c r="M1402" s="15" t="str">
        <f aca="false">IF($G1402="","",IF($G1402&lt;1,ROUND($G1402*1440,0),INT($G1402/100)*60+MOD($G1402,100)))</f>
        <v/>
      </c>
      <c r="N1402" s="15" t="str">
        <f aca="false">IF(OR($A1402="",$B1402="",$L1402="",$M1402="",$J1402="취소"),"",IF(SUMPRODUCT(($A$3:$A$2002=$A1402)*($B$3:$B$2002=$B1402)*($J$3:$J$2002&lt;&gt;"취소")*($L$3:$L$2002&lt;&gt;"")*($M$3:$M$2002&lt;&gt;"")*($L$3:$L$2002&lt;$M1402)*($M$3:$M$2002&gt;$L1402))&gt;1,"중복","-"))</f>
        <v/>
      </c>
    </row>
    <row r="1403" customFormat="false" ht="15" hidden="false" customHeight="true" outlineLevel="0" collapsed="false">
      <c r="A1403" s="11"/>
      <c r="B1403" s="7"/>
      <c r="C1403" s="12" t="str">
        <f aca="false">IF($B1403="","",IFERROR(INDEX(자원목록!$B$3:$B$102,MATCH($B1403,자원목록!$A$3:$A$102,0)),"미등록자원"))</f>
        <v/>
      </c>
      <c r="D1403" s="7"/>
      <c r="E1403" s="12" t="str">
        <f aca="false">IF($D1403="","",IFERROR(INDEX(고객목록!$B$3:$B$502,MATCH($D1403,고객목록!$A$3:$A$502,0)),""))</f>
        <v/>
      </c>
      <c r="F1403" s="13"/>
      <c r="G1403" s="13"/>
      <c r="H1403" s="14" t="str">
        <f aca="false">IF(OR($L1403="",$M1403=""),"",ROUND(($M1403-$L1403)/60,2))</f>
        <v/>
      </c>
      <c r="I1403" s="9"/>
      <c r="J1403" s="7"/>
      <c r="K1403" s="7"/>
      <c r="L1403" s="15" t="str">
        <f aca="false">IF($F1403="","",IF($F1403&lt;1,ROUND($F1403*1440,0),INT($F1403/100)*60+MOD($F1403,100)))</f>
        <v/>
      </c>
      <c r="M1403" s="15" t="str">
        <f aca="false">IF($G1403="","",IF($G1403&lt;1,ROUND($G1403*1440,0),INT($G1403/100)*60+MOD($G1403,100)))</f>
        <v/>
      </c>
      <c r="N1403" s="15" t="str">
        <f aca="false">IF(OR($A1403="",$B1403="",$L1403="",$M1403="",$J1403="취소"),"",IF(SUMPRODUCT(($A$3:$A$2002=$A1403)*($B$3:$B$2002=$B1403)*($J$3:$J$2002&lt;&gt;"취소")*($L$3:$L$2002&lt;&gt;"")*($M$3:$M$2002&lt;&gt;"")*($L$3:$L$2002&lt;$M1403)*($M$3:$M$2002&gt;$L1403))&gt;1,"중복","-"))</f>
        <v/>
      </c>
    </row>
    <row r="1404" customFormat="false" ht="15" hidden="false" customHeight="true" outlineLevel="0" collapsed="false">
      <c r="A1404" s="11"/>
      <c r="B1404" s="7"/>
      <c r="C1404" s="12" t="str">
        <f aca="false">IF($B1404="","",IFERROR(INDEX(자원목록!$B$3:$B$102,MATCH($B1404,자원목록!$A$3:$A$102,0)),"미등록자원"))</f>
        <v/>
      </c>
      <c r="D1404" s="7"/>
      <c r="E1404" s="12" t="str">
        <f aca="false">IF($D1404="","",IFERROR(INDEX(고객목록!$B$3:$B$502,MATCH($D1404,고객목록!$A$3:$A$502,0)),""))</f>
        <v/>
      </c>
      <c r="F1404" s="13"/>
      <c r="G1404" s="13"/>
      <c r="H1404" s="14" t="str">
        <f aca="false">IF(OR($L1404="",$M1404=""),"",ROUND(($M1404-$L1404)/60,2))</f>
        <v/>
      </c>
      <c r="I1404" s="9"/>
      <c r="J1404" s="7"/>
      <c r="K1404" s="7"/>
      <c r="L1404" s="15" t="str">
        <f aca="false">IF($F1404="","",IF($F1404&lt;1,ROUND($F1404*1440,0),INT($F1404/100)*60+MOD($F1404,100)))</f>
        <v/>
      </c>
      <c r="M1404" s="15" t="str">
        <f aca="false">IF($G1404="","",IF($G1404&lt;1,ROUND($G1404*1440,0),INT($G1404/100)*60+MOD($G1404,100)))</f>
        <v/>
      </c>
      <c r="N1404" s="15" t="str">
        <f aca="false">IF(OR($A1404="",$B1404="",$L1404="",$M1404="",$J1404="취소"),"",IF(SUMPRODUCT(($A$3:$A$2002=$A1404)*($B$3:$B$2002=$B1404)*($J$3:$J$2002&lt;&gt;"취소")*($L$3:$L$2002&lt;&gt;"")*($M$3:$M$2002&lt;&gt;"")*($L$3:$L$2002&lt;$M1404)*($M$3:$M$2002&gt;$L1404))&gt;1,"중복","-"))</f>
        <v/>
      </c>
    </row>
    <row r="1405" customFormat="false" ht="15" hidden="false" customHeight="true" outlineLevel="0" collapsed="false">
      <c r="A1405" s="11"/>
      <c r="B1405" s="7"/>
      <c r="C1405" s="12" t="str">
        <f aca="false">IF($B1405="","",IFERROR(INDEX(자원목록!$B$3:$B$102,MATCH($B1405,자원목록!$A$3:$A$102,0)),"미등록자원"))</f>
        <v/>
      </c>
      <c r="D1405" s="7"/>
      <c r="E1405" s="12" t="str">
        <f aca="false">IF($D1405="","",IFERROR(INDEX(고객목록!$B$3:$B$502,MATCH($D1405,고객목록!$A$3:$A$502,0)),""))</f>
        <v/>
      </c>
      <c r="F1405" s="13"/>
      <c r="G1405" s="13"/>
      <c r="H1405" s="14" t="str">
        <f aca="false">IF(OR($L1405="",$M1405=""),"",ROUND(($M1405-$L1405)/60,2))</f>
        <v/>
      </c>
      <c r="I1405" s="9"/>
      <c r="J1405" s="7"/>
      <c r="K1405" s="7"/>
      <c r="L1405" s="15" t="str">
        <f aca="false">IF($F1405="","",IF($F1405&lt;1,ROUND($F1405*1440,0),INT($F1405/100)*60+MOD($F1405,100)))</f>
        <v/>
      </c>
      <c r="M1405" s="15" t="str">
        <f aca="false">IF($G1405="","",IF($G1405&lt;1,ROUND($G1405*1440,0),INT($G1405/100)*60+MOD($G1405,100)))</f>
        <v/>
      </c>
      <c r="N1405" s="15" t="str">
        <f aca="false">IF(OR($A1405="",$B1405="",$L1405="",$M1405="",$J1405="취소"),"",IF(SUMPRODUCT(($A$3:$A$2002=$A1405)*($B$3:$B$2002=$B1405)*($J$3:$J$2002&lt;&gt;"취소")*($L$3:$L$2002&lt;&gt;"")*($M$3:$M$2002&lt;&gt;"")*($L$3:$L$2002&lt;$M1405)*($M$3:$M$2002&gt;$L1405))&gt;1,"중복","-"))</f>
        <v/>
      </c>
    </row>
    <row r="1406" customFormat="false" ht="15" hidden="false" customHeight="true" outlineLevel="0" collapsed="false">
      <c r="A1406" s="11"/>
      <c r="B1406" s="7"/>
      <c r="C1406" s="12" t="str">
        <f aca="false">IF($B1406="","",IFERROR(INDEX(자원목록!$B$3:$B$102,MATCH($B1406,자원목록!$A$3:$A$102,0)),"미등록자원"))</f>
        <v/>
      </c>
      <c r="D1406" s="7"/>
      <c r="E1406" s="12" t="str">
        <f aca="false">IF($D1406="","",IFERROR(INDEX(고객목록!$B$3:$B$502,MATCH($D1406,고객목록!$A$3:$A$502,0)),""))</f>
        <v/>
      </c>
      <c r="F1406" s="13"/>
      <c r="G1406" s="13"/>
      <c r="H1406" s="14" t="str">
        <f aca="false">IF(OR($L1406="",$M1406=""),"",ROUND(($M1406-$L1406)/60,2))</f>
        <v/>
      </c>
      <c r="I1406" s="9"/>
      <c r="J1406" s="7"/>
      <c r="K1406" s="7"/>
      <c r="L1406" s="15" t="str">
        <f aca="false">IF($F1406="","",IF($F1406&lt;1,ROUND($F1406*1440,0),INT($F1406/100)*60+MOD($F1406,100)))</f>
        <v/>
      </c>
      <c r="M1406" s="15" t="str">
        <f aca="false">IF($G1406="","",IF($G1406&lt;1,ROUND($G1406*1440,0),INT($G1406/100)*60+MOD($G1406,100)))</f>
        <v/>
      </c>
      <c r="N1406" s="15" t="str">
        <f aca="false">IF(OR($A1406="",$B1406="",$L1406="",$M1406="",$J1406="취소"),"",IF(SUMPRODUCT(($A$3:$A$2002=$A1406)*($B$3:$B$2002=$B1406)*($J$3:$J$2002&lt;&gt;"취소")*($L$3:$L$2002&lt;&gt;"")*($M$3:$M$2002&lt;&gt;"")*($L$3:$L$2002&lt;$M1406)*($M$3:$M$2002&gt;$L1406))&gt;1,"중복","-"))</f>
        <v/>
      </c>
    </row>
    <row r="1407" customFormat="false" ht="15" hidden="false" customHeight="true" outlineLevel="0" collapsed="false">
      <c r="A1407" s="11"/>
      <c r="B1407" s="7"/>
      <c r="C1407" s="12" t="str">
        <f aca="false">IF($B1407="","",IFERROR(INDEX(자원목록!$B$3:$B$102,MATCH($B1407,자원목록!$A$3:$A$102,0)),"미등록자원"))</f>
        <v/>
      </c>
      <c r="D1407" s="7"/>
      <c r="E1407" s="12" t="str">
        <f aca="false">IF($D1407="","",IFERROR(INDEX(고객목록!$B$3:$B$502,MATCH($D1407,고객목록!$A$3:$A$502,0)),""))</f>
        <v/>
      </c>
      <c r="F1407" s="13"/>
      <c r="G1407" s="13"/>
      <c r="H1407" s="14" t="str">
        <f aca="false">IF(OR($L1407="",$M1407=""),"",ROUND(($M1407-$L1407)/60,2))</f>
        <v/>
      </c>
      <c r="I1407" s="9"/>
      <c r="J1407" s="7"/>
      <c r="K1407" s="7"/>
      <c r="L1407" s="15" t="str">
        <f aca="false">IF($F1407="","",IF($F1407&lt;1,ROUND($F1407*1440,0),INT($F1407/100)*60+MOD($F1407,100)))</f>
        <v/>
      </c>
      <c r="M1407" s="15" t="str">
        <f aca="false">IF($G1407="","",IF($G1407&lt;1,ROUND($G1407*1440,0),INT($G1407/100)*60+MOD($G1407,100)))</f>
        <v/>
      </c>
      <c r="N1407" s="15" t="str">
        <f aca="false">IF(OR($A1407="",$B1407="",$L1407="",$M1407="",$J1407="취소"),"",IF(SUMPRODUCT(($A$3:$A$2002=$A1407)*($B$3:$B$2002=$B1407)*($J$3:$J$2002&lt;&gt;"취소")*($L$3:$L$2002&lt;&gt;"")*($M$3:$M$2002&lt;&gt;"")*($L$3:$L$2002&lt;$M1407)*($M$3:$M$2002&gt;$L1407))&gt;1,"중복","-"))</f>
        <v/>
      </c>
    </row>
    <row r="1408" customFormat="false" ht="15" hidden="false" customHeight="true" outlineLevel="0" collapsed="false">
      <c r="A1408" s="11"/>
      <c r="B1408" s="7"/>
      <c r="C1408" s="12" t="str">
        <f aca="false">IF($B1408="","",IFERROR(INDEX(자원목록!$B$3:$B$102,MATCH($B1408,자원목록!$A$3:$A$102,0)),"미등록자원"))</f>
        <v/>
      </c>
      <c r="D1408" s="7"/>
      <c r="E1408" s="12" t="str">
        <f aca="false">IF($D1408="","",IFERROR(INDEX(고객목록!$B$3:$B$502,MATCH($D1408,고객목록!$A$3:$A$502,0)),""))</f>
        <v/>
      </c>
      <c r="F1408" s="13"/>
      <c r="G1408" s="13"/>
      <c r="H1408" s="14" t="str">
        <f aca="false">IF(OR($L1408="",$M1408=""),"",ROUND(($M1408-$L1408)/60,2))</f>
        <v/>
      </c>
      <c r="I1408" s="9"/>
      <c r="J1408" s="7"/>
      <c r="K1408" s="7"/>
      <c r="L1408" s="15" t="str">
        <f aca="false">IF($F1408="","",IF($F1408&lt;1,ROUND($F1408*1440,0),INT($F1408/100)*60+MOD($F1408,100)))</f>
        <v/>
      </c>
      <c r="M1408" s="15" t="str">
        <f aca="false">IF($G1408="","",IF($G1408&lt;1,ROUND($G1408*1440,0),INT($G1408/100)*60+MOD($G1408,100)))</f>
        <v/>
      </c>
      <c r="N1408" s="15" t="str">
        <f aca="false">IF(OR($A1408="",$B1408="",$L1408="",$M1408="",$J1408="취소"),"",IF(SUMPRODUCT(($A$3:$A$2002=$A1408)*($B$3:$B$2002=$B1408)*($J$3:$J$2002&lt;&gt;"취소")*($L$3:$L$2002&lt;&gt;"")*($M$3:$M$2002&lt;&gt;"")*($L$3:$L$2002&lt;$M1408)*($M$3:$M$2002&gt;$L1408))&gt;1,"중복","-"))</f>
        <v/>
      </c>
    </row>
    <row r="1409" customFormat="false" ht="15" hidden="false" customHeight="true" outlineLevel="0" collapsed="false">
      <c r="A1409" s="11"/>
      <c r="B1409" s="7"/>
      <c r="C1409" s="12" t="str">
        <f aca="false">IF($B1409="","",IFERROR(INDEX(자원목록!$B$3:$B$102,MATCH($B1409,자원목록!$A$3:$A$102,0)),"미등록자원"))</f>
        <v/>
      </c>
      <c r="D1409" s="7"/>
      <c r="E1409" s="12" t="str">
        <f aca="false">IF($D1409="","",IFERROR(INDEX(고객목록!$B$3:$B$502,MATCH($D1409,고객목록!$A$3:$A$502,0)),""))</f>
        <v/>
      </c>
      <c r="F1409" s="13"/>
      <c r="G1409" s="13"/>
      <c r="H1409" s="14" t="str">
        <f aca="false">IF(OR($L1409="",$M1409=""),"",ROUND(($M1409-$L1409)/60,2))</f>
        <v/>
      </c>
      <c r="I1409" s="9"/>
      <c r="J1409" s="7"/>
      <c r="K1409" s="7"/>
      <c r="L1409" s="15" t="str">
        <f aca="false">IF($F1409="","",IF($F1409&lt;1,ROUND($F1409*1440,0),INT($F1409/100)*60+MOD($F1409,100)))</f>
        <v/>
      </c>
      <c r="M1409" s="15" t="str">
        <f aca="false">IF($G1409="","",IF($G1409&lt;1,ROUND($G1409*1440,0),INT($G1409/100)*60+MOD($G1409,100)))</f>
        <v/>
      </c>
      <c r="N1409" s="15" t="str">
        <f aca="false">IF(OR($A1409="",$B1409="",$L1409="",$M1409="",$J1409="취소"),"",IF(SUMPRODUCT(($A$3:$A$2002=$A1409)*($B$3:$B$2002=$B1409)*($J$3:$J$2002&lt;&gt;"취소")*($L$3:$L$2002&lt;&gt;"")*($M$3:$M$2002&lt;&gt;"")*($L$3:$L$2002&lt;$M1409)*($M$3:$M$2002&gt;$L1409))&gt;1,"중복","-"))</f>
        <v/>
      </c>
    </row>
    <row r="1410" customFormat="false" ht="15" hidden="false" customHeight="true" outlineLevel="0" collapsed="false">
      <c r="A1410" s="11"/>
      <c r="B1410" s="7"/>
      <c r="C1410" s="12" t="str">
        <f aca="false">IF($B1410="","",IFERROR(INDEX(자원목록!$B$3:$B$102,MATCH($B1410,자원목록!$A$3:$A$102,0)),"미등록자원"))</f>
        <v/>
      </c>
      <c r="D1410" s="7"/>
      <c r="E1410" s="12" t="str">
        <f aca="false">IF($D1410="","",IFERROR(INDEX(고객목록!$B$3:$B$502,MATCH($D1410,고객목록!$A$3:$A$502,0)),""))</f>
        <v/>
      </c>
      <c r="F1410" s="13"/>
      <c r="G1410" s="13"/>
      <c r="H1410" s="14" t="str">
        <f aca="false">IF(OR($L1410="",$M1410=""),"",ROUND(($M1410-$L1410)/60,2))</f>
        <v/>
      </c>
      <c r="I1410" s="9"/>
      <c r="J1410" s="7"/>
      <c r="K1410" s="7"/>
      <c r="L1410" s="15" t="str">
        <f aca="false">IF($F1410="","",IF($F1410&lt;1,ROUND($F1410*1440,0),INT($F1410/100)*60+MOD($F1410,100)))</f>
        <v/>
      </c>
      <c r="M1410" s="15" t="str">
        <f aca="false">IF($G1410="","",IF($G1410&lt;1,ROUND($G1410*1440,0),INT($G1410/100)*60+MOD($G1410,100)))</f>
        <v/>
      </c>
      <c r="N1410" s="15" t="str">
        <f aca="false">IF(OR($A1410="",$B1410="",$L1410="",$M1410="",$J1410="취소"),"",IF(SUMPRODUCT(($A$3:$A$2002=$A1410)*($B$3:$B$2002=$B1410)*($J$3:$J$2002&lt;&gt;"취소")*($L$3:$L$2002&lt;&gt;"")*($M$3:$M$2002&lt;&gt;"")*($L$3:$L$2002&lt;$M1410)*($M$3:$M$2002&gt;$L1410))&gt;1,"중복","-"))</f>
        <v/>
      </c>
    </row>
    <row r="1411" customFormat="false" ht="15" hidden="false" customHeight="true" outlineLevel="0" collapsed="false">
      <c r="A1411" s="11"/>
      <c r="B1411" s="7"/>
      <c r="C1411" s="12" t="str">
        <f aca="false">IF($B1411="","",IFERROR(INDEX(자원목록!$B$3:$B$102,MATCH($B1411,자원목록!$A$3:$A$102,0)),"미등록자원"))</f>
        <v/>
      </c>
      <c r="D1411" s="7"/>
      <c r="E1411" s="12" t="str">
        <f aca="false">IF($D1411="","",IFERROR(INDEX(고객목록!$B$3:$B$502,MATCH($D1411,고객목록!$A$3:$A$502,0)),""))</f>
        <v/>
      </c>
      <c r="F1411" s="13"/>
      <c r="G1411" s="13"/>
      <c r="H1411" s="14" t="str">
        <f aca="false">IF(OR($L1411="",$M1411=""),"",ROUND(($M1411-$L1411)/60,2))</f>
        <v/>
      </c>
      <c r="I1411" s="9"/>
      <c r="J1411" s="7"/>
      <c r="K1411" s="7"/>
      <c r="L1411" s="15" t="str">
        <f aca="false">IF($F1411="","",IF($F1411&lt;1,ROUND($F1411*1440,0),INT($F1411/100)*60+MOD($F1411,100)))</f>
        <v/>
      </c>
      <c r="M1411" s="15" t="str">
        <f aca="false">IF($G1411="","",IF($G1411&lt;1,ROUND($G1411*1440,0),INT($G1411/100)*60+MOD($G1411,100)))</f>
        <v/>
      </c>
      <c r="N1411" s="15" t="str">
        <f aca="false">IF(OR($A1411="",$B1411="",$L1411="",$M1411="",$J1411="취소"),"",IF(SUMPRODUCT(($A$3:$A$2002=$A1411)*($B$3:$B$2002=$B1411)*($J$3:$J$2002&lt;&gt;"취소")*($L$3:$L$2002&lt;&gt;"")*($M$3:$M$2002&lt;&gt;"")*($L$3:$L$2002&lt;$M1411)*($M$3:$M$2002&gt;$L1411))&gt;1,"중복","-"))</f>
        <v/>
      </c>
    </row>
    <row r="1412" customFormat="false" ht="15" hidden="false" customHeight="true" outlineLevel="0" collapsed="false">
      <c r="A1412" s="11"/>
      <c r="B1412" s="7"/>
      <c r="C1412" s="12" t="str">
        <f aca="false">IF($B1412="","",IFERROR(INDEX(자원목록!$B$3:$B$102,MATCH($B1412,자원목록!$A$3:$A$102,0)),"미등록자원"))</f>
        <v/>
      </c>
      <c r="D1412" s="7"/>
      <c r="E1412" s="12" t="str">
        <f aca="false">IF($D1412="","",IFERROR(INDEX(고객목록!$B$3:$B$502,MATCH($D1412,고객목록!$A$3:$A$502,0)),""))</f>
        <v/>
      </c>
      <c r="F1412" s="13"/>
      <c r="G1412" s="13"/>
      <c r="H1412" s="14" t="str">
        <f aca="false">IF(OR($L1412="",$M1412=""),"",ROUND(($M1412-$L1412)/60,2))</f>
        <v/>
      </c>
      <c r="I1412" s="9"/>
      <c r="J1412" s="7"/>
      <c r="K1412" s="7"/>
      <c r="L1412" s="15" t="str">
        <f aca="false">IF($F1412="","",IF($F1412&lt;1,ROUND($F1412*1440,0),INT($F1412/100)*60+MOD($F1412,100)))</f>
        <v/>
      </c>
      <c r="M1412" s="15" t="str">
        <f aca="false">IF($G1412="","",IF($G1412&lt;1,ROUND($G1412*1440,0),INT($G1412/100)*60+MOD($G1412,100)))</f>
        <v/>
      </c>
      <c r="N1412" s="15" t="str">
        <f aca="false">IF(OR($A1412="",$B1412="",$L1412="",$M1412="",$J1412="취소"),"",IF(SUMPRODUCT(($A$3:$A$2002=$A1412)*($B$3:$B$2002=$B1412)*($J$3:$J$2002&lt;&gt;"취소")*($L$3:$L$2002&lt;&gt;"")*($M$3:$M$2002&lt;&gt;"")*($L$3:$L$2002&lt;$M1412)*($M$3:$M$2002&gt;$L1412))&gt;1,"중복","-"))</f>
        <v/>
      </c>
    </row>
    <row r="1413" customFormat="false" ht="15" hidden="false" customHeight="true" outlineLevel="0" collapsed="false">
      <c r="A1413" s="11"/>
      <c r="B1413" s="7"/>
      <c r="C1413" s="12" t="str">
        <f aca="false">IF($B1413="","",IFERROR(INDEX(자원목록!$B$3:$B$102,MATCH($B1413,자원목록!$A$3:$A$102,0)),"미등록자원"))</f>
        <v/>
      </c>
      <c r="D1413" s="7"/>
      <c r="E1413" s="12" t="str">
        <f aca="false">IF($D1413="","",IFERROR(INDEX(고객목록!$B$3:$B$502,MATCH($D1413,고객목록!$A$3:$A$502,0)),""))</f>
        <v/>
      </c>
      <c r="F1413" s="13"/>
      <c r="G1413" s="13"/>
      <c r="H1413" s="14" t="str">
        <f aca="false">IF(OR($L1413="",$M1413=""),"",ROUND(($M1413-$L1413)/60,2))</f>
        <v/>
      </c>
      <c r="I1413" s="9"/>
      <c r="J1413" s="7"/>
      <c r="K1413" s="7"/>
      <c r="L1413" s="15" t="str">
        <f aca="false">IF($F1413="","",IF($F1413&lt;1,ROUND($F1413*1440,0),INT($F1413/100)*60+MOD($F1413,100)))</f>
        <v/>
      </c>
      <c r="M1413" s="15" t="str">
        <f aca="false">IF($G1413="","",IF($G1413&lt;1,ROUND($G1413*1440,0),INT($G1413/100)*60+MOD($G1413,100)))</f>
        <v/>
      </c>
      <c r="N1413" s="15" t="str">
        <f aca="false">IF(OR($A1413="",$B1413="",$L1413="",$M1413="",$J1413="취소"),"",IF(SUMPRODUCT(($A$3:$A$2002=$A1413)*($B$3:$B$2002=$B1413)*($J$3:$J$2002&lt;&gt;"취소")*($L$3:$L$2002&lt;&gt;"")*($M$3:$M$2002&lt;&gt;"")*($L$3:$L$2002&lt;$M1413)*($M$3:$M$2002&gt;$L1413))&gt;1,"중복","-"))</f>
        <v/>
      </c>
    </row>
    <row r="1414" customFormat="false" ht="15" hidden="false" customHeight="true" outlineLevel="0" collapsed="false">
      <c r="A1414" s="11"/>
      <c r="B1414" s="7"/>
      <c r="C1414" s="12" t="str">
        <f aca="false">IF($B1414="","",IFERROR(INDEX(자원목록!$B$3:$B$102,MATCH($B1414,자원목록!$A$3:$A$102,0)),"미등록자원"))</f>
        <v/>
      </c>
      <c r="D1414" s="7"/>
      <c r="E1414" s="12" t="str">
        <f aca="false">IF($D1414="","",IFERROR(INDEX(고객목록!$B$3:$B$502,MATCH($D1414,고객목록!$A$3:$A$502,0)),""))</f>
        <v/>
      </c>
      <c r="F1414" s="13"/>
      <c r="G1414" s="13"/>
      <c r="H1414" s="14" t="str">
        <f aca="false">IF(OR($L1414="",$M1414=""),"",ROUND(($M1414-$L1414)/60,2))</f>
        <v/>
      </c>
      <c r="I1414" s="9"/>
      <c r="J1414" s="7"/>
      <c r="K1414" s="7"/>
      <c r="L1414" s="15" t="str">
        <f aca="false">IF($F1414="","",IF($F1414&lt;1,ROUND($F1414*1440,0),INT($F1414/100)*60+MOD($F1414,100)))</f>
        <v/>
      </c>
      <c r="M1414" s="15" t="str">
        <f aca="false">IF($G1414="","",IF($G1414&lt;1,ROUND($G1414*1440,0),INT($G1414/100)*60+MOD($G1414,100)))</f>
        <v/>
      </c>
      <c r="N1414" s="15" t="str">
        <f aca="false">IF(OR($A1414="",$B1414="",$L1414="",$M1414="",$J1414="취소"),"",IF(SUMPRODUCT(($A$3:$A$2002=$A1414)*($B$3:$B$2002=$B1414)*($J$3:$J$2002&lt;&gt;"취소")*($L$3:$L$2002&lt;&gt;"")*($M$3:$M$2002&lt;&gt;"")*($L$3:$L$2002&lt;$M1414)*($M$3:$M$2002&gt;$L1414))&gt;1,"중복","-"))</f>
        <v/>
      </c>
    </row>
    <row r="1415" customFormat="false" ht="15" hidden="false" customHeight="true" outlineLevel="0" collapsed="false">
      <c r="A1415" s="11"/>
      <c r="B1415" s="7"/>
      <c r="C1415" s="12" t="str">
        <f aca="false">IF($B1415="","",IFERROR(INDEX(자원목록!$B$3:$B$102,MATCH($B1415,자원목록!$A$3:$A$102,0)),"미등록자원"))</f>
        <v/>
      </c>
      <c r="D1415" s="7"/>
      <c r="E1415" s="12" t="str">
        <f aca="false">IF($D1415="","",IFERROR(INDEX(고객목록!$B$3:$B$502,MATCH($D1415,고객목록!$A$3:$A$502,0)),""))</f>
        <v/>
      </c>
      <c r="F1415" s="13"/>
      <c r="G1415" s="13"/>
      <c r="H1415" s="14" t="str">
        <f aca="false">IF(OR($L1415="",$M1415=""),"",ROUND(($M1415-$L1415)/60,2))</f>
        <v/>
      </c>
      <c r="I1415" s="9"/>
      <c r="J1415" s="7"/>
      <c r="K1415" s="7"/>
      <c r="L1415" s="15" t="str">
        <f aca="false">IF($F1415="","",IF($F1415&lt;1,ROUND($F1415*1440,0),INT($F1415/100)*60+MOD($F1415,100)))</f>
        <v/>
      </c>
      <c r="M1415" s="15" t="str">
        <f aca="false">IF($G1415="","",IF($G1415&lt;1,ROUND($G1415*1440,0),INT($G1415/100)*60+MOD($G1415,100)))</f>
        <v/>
      </c>
      <c r="N1415" s="15" t="str">
        <f aca="false">IF(OR($A1415="",$B1415="",$L1415="",$M1415="",$J1415="취소"),"",IF(SUMPRODUCT(($A$3:$A$2002=$A1415)*($B$3:$B$2002=$B1415)*($J$3:$J$2002&lt;&gt;"취소")*($L$3:$L$2002&lt;&gt;"")*($M$3:$M$2002&lt;&gt;"")*($L$3:$L$2002&lt;$M1415)*($M$3:$M$2002&gt;$L1415))&gt;1,"중복","-"))</f>
        <v/>
      </c>
    </row>
    <row r="1416" customFormat="false" ht="15" hidden="false" customHeight="true" outlineLevel="0" collapsed="false">
      <c r="A1416" s="11"/>
      <c r="B1416" s="7"/>
      <c r="C1416" s="12" t="str">
        <f aca="false">IF($B1416="","",IFERROR(INDEX(자원목록!$B$3:$B$102,MATCH($B1416,자원목록!$A$3:$A$102,0)),"미등록자원"))</f>
        <v/>
      </c>
      <c r="D1416" s="7"/>
      <c r="E1416" s="12" t="str">
        <f aca="false">IF($D1416="","",IFERROR(INDEX(고객목록!$B$3:$B$502,MATCH($D1416,고객목록!$A$3:$A$502,0)),""))</f>
        <v/>
      </c>
      <c r="F1416" s="13"/>
      <c r="G1416" s="13"/>
      <c r="H1416" s="14" t="str">
        <f aca="false">IF(OR($L1416="",$M1416=""),"",ROUND(($M1416-$L1416)/60,2))</f>
        <v/>
      </c>
      <c r="I1416" s="9"/>
      <c r="J1416" s="7"/>
      <c r="K1416" s="7"/>
      <c r="L1416" s="15" t="str">
        <f aca="false">IF($F1416="","",IF($F1416&lt;1,ROUND($F1416*1440,0),INT($F1416/100)*60+MOD($F1416,100)))</f>
        <v/>
      </c>
      <c r="M1416" s="15" t="str">
        <f aca="false">IF($G1416="","",IF($G1416&lt;1,ROUND($G1416*1440,0),INT($G1416/100)*60+MOD($G1416,100)))</f>
        <v/>
      </c>
      <c r="N1416" s="15" t="str">
        <f aca="false">IF(OR($A1416="",$B1416="",$L1416="",$M1416="",$J1416="취소"),"",IF(SUMPRODUCT(($A$3:$A$2002=$A1416)*($B$3:$B$2002=$B1416)*($J$3:$J$2002&lt;&gt;"취소")*($L$3:$L$2002&lt;&gt;"")*($M$3:$M$2002&lt;&gt;"")*($L$3:$L$2002&lt;$M1416)*($M$3:$M$2002&gt;$L1416))&gt;1,"중복","-"))</f>
        <v/>
      </c>
    </row>
    <row r="1417" customFormat="false" ht="15" hidden="false" customHeight="true" outlineLevel="0" collapsed="false">
      <c r="A1417" s="11"/>
      <c r="B1417" s="7"/>
      <c r="C1417" s="12" t="str">
        <f aca="false">IF($B1417="","",IFERROR(INDEX(자원목록!$B$3:$B$102,MATCH($B1417,자원목록!$A$3:$A$102,0)),"미등록자원"))</f>
        <v/>
      </c>
      <c r="D1417" s="7"/>
      <c r="E1417" s="12" t="str">
        <f aca="false">IF($D1417="","",IFERROR(INDEX(고객목록!$B$3:$B$502,MATCH($D1417,고객목록!$A$3:$A$502,0)),""))</f>
        <v/>
      </c>
      <c r="F1417" s="13"/>
      <c r="G1417" s="13"/>
      <c r="H1417" s="14" t="str">
        <f aca="false">IF(OR($L1417="",$M1417=""),"",ROUND(($M1417-$L1417)/60,2))</f>
        <v/>
      </c>
      <c r="I1417" s="9"/>
      <c r="J1417" s="7"/>
      <c r="K1417" s="7"/>
      <c r="L1417" s="15" t="str">
        <f aca="false">IF($F1417="","",IF($F1417&lt;1,ROUND($F1417*1440,0),INT($F1417/100)*60+MOD($F1417,100)))</f>
        <v/>
      </c>
      <c r="M1417" s="15" t="str">
        <f aca="false">IF($G1417="","",IF($G1417&lt;1,ROUND($G1417*1440,0),INT($G1417/100)*60+MOD($G1417,100)))</f>
        <v/>
      </c>
      <c r="N1417" s="15" t="str">
        <f aca="false">IF(OR($A1417="",$B1417="",$L1417="",$M1417="",$J1417="취소"),"",IF(SUMPRODUCT(($A$3:$A$2002=$A1417)*($B$3:$B$2002=$B1417)*($J$3:$J$2002&lt;&gt;"취소")*($L$3:$L$2002&lt;&gt;"")*($M$3:$M$2002&lt;&gt;"")*($L$3:$L$2002&lt;$M1417)*($M$3:$M$2002&gt;$L1417))&gt;1,"중복","-"))</f>
        <v/>
      </c>
    </row>
    <row r="1418" customFormat="false" ht="15" hidden="false" customHeight="true" outlineLevel="0" collapsed="false">
      <c r="A1418" s="11"/>
      <c r="B1418" s="7"/>
      <c r="C1418" s="12" t="str">
        <f aca="false">IF($B1418="","",IFERROR(INDEX(자원목록!$B$3:$B$102,MATCH($B1418,자원목록!$A$3:$A$102,0)),"미등록자원"))</f>
        <v/>
      </c>
      <c r="D1418" s="7"/>
      <c r="E1418" s="12" t="str">
        <f aca="false">IF($D1418="","",IFERROR(INDEX(고객목록!$B$3:$B$502,MATCH($D1418,고객목록!$A$3:$A$502,0)),""))</f>
        <v/>
      </c>
      <c r="F1418" s="13"/>
      <c r="G1418" s="13"/>
      <c r="H1418" s="14" t="str">
        <f aca="false">IF(OR($L1418="",$M1418=""),"",ROUND(($M1418-$L1418)/60,2))</f>
        <v/>
      </c>
      <c r="I1418" s="9"/>
      <c r="J1418" s="7"/>
      <c r="K1418" s="7"/>
      <c r="L1418" s="15" t="str">
        <f aca="false">IF($F1418="","",IF($F1418&lt;1,ROUND($F1418*1440,0),INT($F1418/100)*60+MOD($F1418,100)))</f>
        <v/>
      </c>
      <c r="M1418" s="15" t="str">
        <f aca="false">IF($G1418="","",IF($G1418&lt;1,ROUND($G1418*1440,0),INT($G1418/100)*60+MOD($G1418,100)))</f>
        <v/>
      </c>
      <c r="N1418" s="15" t="str">
        <f aca="false">IF(OR($A1418="",$B1418="",$L1418="",$M1418="",$J1418="취소"),"",IF(SUMPRODUCT(($A$3:$A$2002=$A1418)*($B$3:$B$2002=$B1418)*($J$3:$J$2002&lt;&gt;"취소")*($L$3:$L$2002&lt;&gt;"")*($M$3:$M$2002&lt;&gt;"")*($L$3:$L$2002&lt;$M1418)*($M$3:$M$2002&gt;$L1418))&gt;1,"중복","-"))</f>
        <v/>
      </c>
    </row>
    <row r="1419" customFormat="false" ht="15" hidden="false" customHeight="true" outlineLevel="0" collapsed="false">
      <c r="A1419" s="11"/>
      <c r="B1419" s="7"/>
      <c r="C1419" s="12" t="str">
        <f aca="false">IF($B1419="","",IFERROR(INDEX(자원목록!$B$3:$B$102,MATCH($B1419,자원목록!$A$3:$A$102,0)),"미등록자원"))</f>
        <v/>
      </c>
      <c r="D1419" s="7"/>
      <c r="E1419" s="12" t="str">
        <f aca="false">IF($D1419="","",IFERROR(INDEX(고객목록!$B$3:$B$502,MATCH($D1419,고객목록!$A$3:$A$502,0)),""))</f>
        <v/>
      </c>
      <c r="F1419" s="13"/>
      <c r="G1419" s="13"/>
      <c r="H1419" s="14" t="str">
        <f aca="false">IF(OR($L1419="",$M1419=""),"",ROUND(($M1419-$L1419)/60,2))</f>
        <v/>
      </c>
      <c r="I1419" s="9"/>
      <c r="J1419" s="7"/>
      <c r="K1419" s="7"/>
      <c r="L1419" s="15" t="str">
        <f aca="false">IF($F1419="","",IF($F1419&lt;1,ROUND($F1419*1440,0),INT($F1419/100)*60+MOD($F1419,100)))</f>
        <v/>
      </c>
      <c r="M1419" s="15" t="str">
        <f aca="false">IF($G1419="","",IF($G1419&lt;1,ROUND($G1419*1440,0),INT($G1419/100)*60+MOD($G1419,100)))</f>
        <v/>
      </c>
      <c r="N1419" s="15" t="str">
        <f aca="false">IF(OR($A1419="",$B1419="",$L1419="",$M1419="",$J1419="취소"),"",IF(SUMPRODUCT(($A$3:$A$2002=$A1419)*($B$3:$B$2002=$B1419)*($J$3:$J$2002&lt;&gt;"취소")*($L$3:$L$2002&lt;&gt;"")*($M$3:$M$2002&lt;&gt;"")*($L$3:$L$2002&lt;$M1419)*($M$3:$M$2002&gt;$L1419))&gt;1,"중복","-"))</f>
        <v/>
      </c>
    </row>
    <row r="1420" customFormat="false" ht="15" hidden="false" customHeight="true" outlineLevel="0" collapsed="false">
      <c r="A1420" s="11"/>
      <c r="B1420" s="7"/>
      <c r="C1420" s="12" t="str">
        <f aca="false">IF($B1420="","",IFERROR(INDEX(자원목록!$B$3:$B$102,MATCH($B1420,자원목록!$A$3:$A$102,0)),"미등록자원"))</f>
        <v/>
      </c>
      <c r="D1420" s="7"/>
      <c r="E1420" s="12" t="str">
        <f aca="false">IF($D1420="","",IFERROR(INDEX(고객목록!$B$3:$B$502,MATCH($D1420,고객목록!$A$3:$A$502,0)),""))</f>
        <v/>
      </c>
      <c r="F1420" s="13"/>
      <c r="G1420" s="13"/>
      <c r="H1420" s="14" t="str">
        <f aca="false">IF(OR($L1420="",$M1420=""),"",ROUND(($M1420-$L1420)/60,2))</f>
        <v/>
      </c>
      <c r="I1420" s="9"/>
      <c r="J1420" s="7"/>
      <c r="K1420" s="7"/>
      <c r="L1420" s="15" t="str">
        <f aca="false">IF($F1420="","",IF($F1420&lt;1,ROUND($F1420*1440,0),INT($F1420/100)*60+MOD($F1420,100)))</f>
        <v/>
      </c>
      <c r="M1420" s="15" t="str">
        <f aca="false">IF($G1420="","",IF($G1420&lt;1,ROUND($G1420*1440,0),INT($G1420/100)*60+MOD($G1420,100)))</f>
        <v/>
      </c>
      <c r="N1420" s="15" t="str">
        <f aca="false">IF(OR($A1420="",$B1420="",$L1420="",$M1420="",$J1420="취소"),"",IF(SUMPRODUCT(($A$3:$A$2002=$A1420)*($B$3:$B$2002=$B1420)*($J$3:$J$2002&lt;&gt;"취소")*($L$3:$L$2002&lt;&gt;"")*($M$3:$M$2002&lt;&gt;"")*($L$3:$L$2002&lt;$M1420)*($M$3:$M$2002&gt;$L1420))&gt;1,"중복","-"))</f>
        <v/>
      </c>
    </row>
    <row r="1421" customFormat="false" ht="15" hidden="false" customHeight="true" outlineLevel="0" collapsed="false">
      <c r="A1421" s="11"/>
      <c r="B1421" s="7"/>
      <c r="C1421" s="12" t="str">
        <f aca="false">IF($B1421="","",IFERROR(INDEX(자원목록!$B$3:$B$102,MATCH($B1421,자원목록!$A$3:$A$102,0)),"미등록자원"))</f>
        <v/>
      </c>
      <c r="D1421" s="7"/>
      <c r="E1421" s="12" t="str">
        <f aca="false">IF($D1421="","",IFERROR(INDEX(고객목록!$B$3:$B$502,MATCH($D1421,고객목록!$A$3:$A$502,0)),""))</f>
        <v/>
      </c>
      <c r="F1421" s="13"/>
      <c r="G1421" s="13"/>
      <c r="H1421" s="14" t="str">
        <f aca="false">IF(OR($L1421="",$M1421=""),"",ROUND(($M1421-$L1421)/60,2))</f>
        <v/>
      </c>
      <c r="I1421" s="9"/>
      <c r="J1421" s="7"/>
      <c r="K1421" s="7"/>
      <c r="L1421" s="15" t="str">
        <f aca="false">IF($F1421="","",IF($F1421&lt;1,ROUND($F1421*1440,0),INT($F1421/100)*60+MOD($F1421,100)))</f>
        <v/>
      </c>
      <c r="M1421" s="15" t="str">
        <f aca="false">IF($G1421="","",IF($G1421&lt;1,ROUND($G1421*1440,0),INT($G1421/100)*60+MOD($G1421,100)))</f>
        <v/>
      </c>
      <c r="N1421" s="15" t="str">
        <f aca="false">IF(OR($A1421="",$B1421="",$L1421="",$M1421="",$J1421="취소"),"",IF(SUMPRODUCT(($A$3:$A$2002=$A1421)*($B$3:$B$2002=$B1421)*($J$3:$J$2002&lt;&gt;"취소")*($L$3:$L$2002&lt;&gt;"")*($M$3:$M$2002&lt;&gt;"")*($L$3:$L$2002&lt;$M1421)*($M$3:$M$2002&gt;$L1421))&gt;1,"중복","-"))</f>
        <v/>
      </c>
    </row>
    <row r="1422" customFormat="false" ht="15" hidden="false" customHeight="true" outlineLevel="0" collapsed="false">
      <c r="A1422" s="11"/>
      <c r="B1422" s="7"/>
      <c r="C1422" s="12" t="str">
        <f aca="false">IF($B1422="","",IFERROR(INDEX(자원목록!$B$3:$B$102,MATCH($B1422,자원목록!$A$3:$A$102,0)),"미등록자원"))</f>
        <v/>
      </c>
      <c r="D1422" s="7"/>
      <c r="E1422" s="12" t="str">
        <f aca="false">IF($D1422="","",IFERROR(INDEX(고객목록!$B$3:$B$502,MATCH($D1422,고객목록!$A$3:$A$502,0)),""))</f>
        <v/>
      </c>
      <c r="F1422" s="13"/>
      <c r="G1422" s="13"/>
      <c r="H1422" s="14" t="str">
        <f aca="false">IF(OR($L1422="",$M1422=""),"",ROUND(($M1422-$L1422)/60,2))</f>
        <v/>
      </c>
      <c r="I1422" s="9"/>
      <c r="J1422" s="7"/>
      <c r="K1422" s="7"/>
      <c r="L1422" s="15" t="str">
        <f aca="false">IF($F1422="","",IF($F1422&lt;1,ROUND($F1422*1440,0),INT($F1422/100)*60+MOD($F1422,100)))</f>
        <v/>
      </c>
      <c r="M1422" s="15" t="str">
        <f aca="false">IF($G1422="","",IF($G1422&lt;1,ROUND($G1422*1440,0),INT($G1422/100)*60+MOD($G1422,100)))</f>
        <v/>
      </c>
      <c r="N1422" s="15" t="str">
        <f aca="false">IF(OR($A1422="",$B1422="",$L1422="",$M1422="",$J1422="취소"),"",IF(SUMPRODUCT(($A$3:$A$2002=$A1422)*($B$3:$B$2002=$B1422)*($J$3:$J$2002&lt;&gt;"취소")*($L$3:$L$2002&lt;&gt;"")*($M$3:$M$2002&lt;&gt;"")*($L$3:$L$2002&lt;$M1422)*($M$3:$M$2002&gt;$L1422))&gt;1,"중복","-"))</f>
        <v/>
      </c>
    </row>
    <row r="1423" customFormat="false" ht="15" hidden="false" customHeight="true" outlineLevel="0" collapsed="false">
      <c r="A1423" s="11"/>
      <c r="B1423" s="7"/>
      <c r="C1423" s="12" t="str">
        <f aca="false">IF($B1423="","",IFERROR(INDEX(자원목록!$B$3:$B$102,MATCH($B1423,자원목록!$A$3:$A$102,0)),"미등록자원"))</f>
        <v/>
      </c>
      <c r="D1423" s="7"/>
      <c r="E1423" s="12" t="str">
        <f aca="false">IF($D1423="","",IFERROR(INDEX(고객목록!$B$3:$B$502,MATCH($D1423,고객목록!$A$3:$A$502,0)),""))</f>
        <v/>
      </c>
      <c r="F1423" s="13"/>
      <c r="G1423" s="13"/>
      <c r="H1423" s="14" t="str">
        <f aca="false">IF(OR($L1423="",$M1423=""),"",ROUND(($M1423-$L1423)/60,2))</f>
        <v/>
      </c>
      <c r="I1423" s="9"/>
      <c r="J1423" s="7"/>
      <c r="K1423" s="7"/>
      <c r="L1423" s="15" t="str">
        <f aca="false">IF($F1423="","",IF($F1423&lt;1,ROUND($F1423*1440,0),INT($F1423/100)*60+MOD($F1423,100)))</f>
        <v/>
      </c>
      <c r="M1423" s="15" t="str">
        <f aca="false">IF($G1423="","",IF($G1423&lt;1,ROUND($G1423*1440,0),INT($G1423/100)*60+MOD($G1423,100)))</f>
        <v/>
      </c>
      <c r="N1423" s="15" t="str">
        <f aca="false">IF(OR($A1423="",$B1423="",$L1423="",$M1423="",$J1423="취소"),"",IF(SUMPRODUCT(($A$3:$A$2002=$A1423)*($B$3:$B$2002=$B1423)*($J$3:$J$2002&lt;&gt;"취소")*($L$3:$L$2002&lt;&gt;"")*($M$3:$M$2002&lt;&gt;"")*($L$3:$L$2002&lt;$M1423)*($M$3:$M$2002&gt;$L1423))&gt;1,"중복","-"))</f>
        <v/>
      </c>
    </row>
    <row r="1424" customFormat="false" ht="15" hidden="false" customHeight="true" outlineLevel="0" collapsed="false">
      <c r="A1424" s="11"/>
      <c r="B1424" s="7"/>
      <c r="C1424" s="12" t="str">
        <f aca="false">IF($B1424="","",IFERROR(INDEX(자원목록!$B$3:$B$102,MATCH($B1424,자원목록!$A$3:$A$102,0)),"미등록자원"))</f>
        <v/>
      </c>
      <c r="D1424" s="7"/>
      <c r="E1424" s="12" t="str">
        <f aca="false">IF($D1424="","",IFERROR(INDEX(고객목록!$B$3:$B$502,MATCH($D1424,고객목록!$A$3:$A$502,0)),""))</f>
        <v/>
      </c>
      <c r="F1424" s="13"/>
      <c r="G1424" s="13"/>
      <c r="H1424" s="14" t="str">
        <f aca="false">IF(OR($L1424="",$M1424=""),"",ROUND(($M1424-$L1424)/60,2))</f>
        <v/>
      </c>
      <c r="I1424" s="9"/>
      <c r="J1424" s="7"/>
      <c r="K1424" s="7"/>
      <c r="L1424" s="15" t="str">
        <f aca="false">IF($F1424="","",IF($F1424&lt;1,ROUND($F1424*1440,0),INT($F1424/100)*60+MOD($F1424,100)))</f>
        <v/>
      </c>
      <c r="M1424" s="15" t="str">
        <f aca="false">IF($G1424="","",IF($G1424&lt;1,ROUND($G1424*1440,0),INT($G1424/100)*60+MOD($G1424,100)))</f>
        <v/>
      </c>
      <c r="N1424" s="15" t="str">
        <f aca="false">IF(OR($A1424="",$B1424="",$L1424="",$M1424="",$J1424="취소"),"",IF(SUMPRODUCT(($A$3:$A$2002=$A1424)*($B$3:$B$2002=$B1424)*($J$3:$J$2002&lt;&gt;"취소")*($L$3:$L$2002&lt;&gt;"")*($M$3:$M$2002&lt;&gt;"")*($L$3:$L$2002&lt;$M1424)*($M$3:$M$2002&gt;$L1424))&gt;1,"중복","-"))</f>
        <v/>
      </c>
    </row>
    <row r="1425" customFormat="false" ht="15" hidden="false" customHeight="true" outlineLevel="0" collapsed="false">
      <c r="A1425" s="11"/>
      <c r="B1425" s="7"/>
      <c r="C1425" s="12" t="str">
        <f aca="false">IF($B1425="","",IFERROR(INDEX(자원목록!$B$3:$B$102,MATCH($B1425,자원목록!$A$3:$A$102,0)),"미등록자원"))</f>
        <v/>
      </c>
      <c r="D1425" s="7"/>
      <c r="E1425" s="12" t="str">
        <f aca="false">IF($D1425="","",IFERROR(INDEX(고객목록!$B$3:$B$502,MATCH($D1425,고객목록!$A$3:$A$502,0)),""))</f>
        <v/>
      </c>
      <c r="F1425" s="13"/>
      <c r="G1425" s="13"/>
      <c r="H1425" s="14" t="str">
        <f aca="false">IF(OR($L1425="",$M1425=""),"",ROUND(($M1425-$L1425)/60,2))</f>
        <v/>
      </c>
      <c r="I1425" s="9"/>
      <c r="J1425" s="7"/>
      <c r="K1425" s="7"/>
      <c r="L1425" s="15" t="str">
        <f aca="false">IF($F1425="","",IF($F1425&lt;1,ROUND($F1425*1440,0),INT($F1425/100)*60+MOD($F1425,100)))</f>
        <v/>
      </c>
      <c r="M1425" s="15" t="str">
        <f aca="false">IF($G1425="","",IF($G1425&lt;1,ROUND($G1425*1440,0),INT($G1425/100)*60+MOD($G1425,100)))</f>
        <v/>
      </c>
      <c r="N1425" s="15" t="str">
        <f aca="false">IF(OR($A1425="",$B1425="",$L1425="",$M1425="",$J1425="취소"),"",IF(SUMPRODUCT(($A$3:$A$2002=$A1425)*($B$3:$B$2002=$B1425)*($J$3:$J$2002&lt;&gt;"취소")*($L$3:$L$2002&lt;&gt;"")*($M$3:$M$2002&lt;&gt;"")*($L$3:$L$2002&lt;$M1425)*($M$3:$M$2002&gt;$L1425))&gt;1,"중복","-"))</f>
        <v/>
      </c>
    </row>
    <row r="1426" customFormat="false" ht="15" hidden="false" customHeight="true" outlineLevel="0" collapsed="false">
      <c r="A1426" s="11"/>
      <c r="B1426" s="7"/>
      <c r="C1426" s="12" t="str">
        <f aca="false">IF($B1426="","",IFERROR(INDEX(자원목록!$B$3:$B$102,MATCH($B1426,자원목록!$A$3:$A$102,0)),"미등록자원"))</f>
        <v/>
      </c>
      <c r="D1426" s="7"/>
      <c r="E1426" s="12" t="str">
        <f aca="false">IF($D1426="","",IFERROR(INDEX(고객목록!$B$3:$B$502,MATCH($D1426,고객목록!$A$3:$A$502,0)),""))</f>
        <v/>
      </c>
      <c r="F1426" s="13"/>
      <c r="G1426" s="13"/>
      <c r="H1426" s="14" t="str">
        <f aca="false">IF(OR($L1426="",$M1426=""),"",ROUND(($M1426-$L1426)/60,2))</f>
        <v/>
      </c>
      <c r="I1426" s="9"/>
      <c r="J1426" s="7"/>
      <c r="K1426" s="7"/>
      <c r="L1426" s="15" t="str">
        <f aca="false">IF($F1426="","",IF($F1426&lt;1,ROUND($F1426*1440,0),INT($F1426/100)*60+MOD($F1426,100)))</f>
        <v/>
      </c>
      <c r="M1426" s="15" t="str">
        <f aca="false">IF($G1426="","",IF($G1426&lt;1,ROUND($G1426*1440,0),INT($G1426/100)*60+MOD($G1426,100)))</f>
        <v/>
      </c>
      <c r="N1426" s="15" t="str">
        <f aca="false">IF(OR($A1426="",$B1426="",$L1426="",$M1426="",$J1426="취소"),"",IF(SUMPRODUCT(($A$3:$A$2002=$A1426)*($B$3:$B$2002=$B1426)*($J$3:$J$2002&lt;&gt;"취소")*($L$3:$L$2002&lt;&gt;"")*($M$3:$M$2002&lt;&gt;"")*($L$3:$L$2002&lt;$M1426)*($M$3:$M$2002&gt;$L1426))&gt;1,"중복","-"))</f>
        <v/>
      </c>
    </row>
    <row r="1427" customFormat="false" ht="15" hidden="false" customHeight="true" outlineLevel="0" collapsed="false">
      <c r="A1427" s="11"/>
      <c r="B1427" s="7"/>
      <c r="C1427" s="12" t="str">
        <f aca="false">IF($B1427="","",IFERROR(INDEX(자원목록!$B$3:$B$102,MATCH($B1427,자원목록!$A$3:$A$102,0)),"미등록자원"))</f>
        <v/>
      </c>
      <c r="D1427" s="7"/>
      <c r="E1427" s="12" t="str">
        <f aca="false">IF($D1427="","",IFERROR(INDEX(고객목록!$B$3:$B$502,MATCH($D1427,고객목록!$A$3:$A$502,0)),""))</f>
        <v/>
      </c>
      <c r="F1427" s="13"/>
      <c r="G1427" s="13"/>
      <c r="H1427" s="14" t="str">
        <f aca="false">IF(OR($L1427="",$M1427=""),"",ROUND(($M1427-$L1427)/60,2))</f>
        <v/>
      </c>
      <c r="I1427" s="9"/>
      <c r="J1427" s="7"/>
      <c r="K1427" s="7"/>
      <c r="L1427" s="15" t="str">
        <f aca="false">IF($F1427="","",IF($F1427&lt;1,ROUND($F1427*1440,0),INT($F1427/100)*60+MOD($F1427,100)))</f>
        <v/>
      </c>
      <c r="M1427" s="15" t="str">
        <f aca="false">IF($G1427="","",IF($G1427&lt;1,ROUND($G1427*1440,0),INT($G1427/100)*60+MOD($G1427,100)))</f>
        <v/>
      </c>
      <c r="N1427" s="15" t="str">
        <f aca="false">IF(OR($A1427="",$B1427="",$L1427="",$M1427="",$J1427="취소"),"",IF(SUMPRODUCT(($A$3:$A$2002=$A1427)*($B$3:$B$2002=$B1427)*($J$3:$J$2002&lt;&gt;"취소")*($L$3:$L$2002&lt;&gt;"")*($M$3:$M$2002&lt;&gt;"")*($L$3:$L$2002&lt;$M1427)*($M$3:$M$2002&gt;$L1427))&gt;1,"중복","-"))</f>
        <v/>
      </c>
    </row>
    <row r="1428" customFormat="false" ht="15" hidden="false" customHeight="true" outlineLevel="0" collapsed="false">
      <c r="A1428" s="11"/>
      <c r="B1428" s="7"/>
      <c r="C1428" s="12" t="str">
        <f aca="false">IF($B1428="","",IFERROR(INDEX(자원목록!$B$3:$B$102,MATCH($B1428,자원목록!$A$3:$A$102,0)),"미등록자원"))</f>
        <v/>
      </c>
      <c r="D1428" s="7"/>
      <c r="E1428" s="12" t="str">
        <f aca="false">IF($D1428="","",IFERROR(INDEX(고객목록!$B$3:$B$502,MATCH($D1428,고객목록!$A$3:$A$502,0)),""))</f>
        <v/>
      </c>
      <c r="F1428" s="13"/>
      <c r="G1428" s="13"/>
      <c r="H1428" s="14" t="str">
        <f aca="false">IF(OR($L1428="",$M1428=""),"",ROUND(($M1428-$L1428)/60,2))</f>
        <v/>
      </c>
      <c r="I1428" s="9"/>
      <c r="J1428" s="7"/>
      <c r="K1428" s="7"/>
      <c r="L1428" s="15" t="str">
        <f aca="false">IF($F1428="","",IF($F1428&lt;1,ROUND($F1428*1440,0),INT($F1428/100)*60+MOD($F1428,100)))</f>
        <v/>
      </c>
      <c r="M1428" s="15" t="str">
        <f aca="false">IF($G1428="","",IF($G1428&lt;1,ROUND($G1428*1440,0),INT($G1428/100)*60+MOD($G1428,100)))</f>
        <v/>
      </c>
      <c r="N1428" s="15" t="str">
        <f aca="false">IF(OR($A1428="",$B1428="",$L1428="",$M1428="",$J1428="취소"),"",IF(SUMPRODUCT(($A$3:$A$2002=$A1428)*($B$3:$B$2002=$B1428)*($J$3:$J$2002&lt;&gt;"취소")*($L$3:$L$2002&lt;&gt;"")*($M$3:$M$2002&lt;&gt;"")*($L$3:$L$2002&lt;$M1428)*($M$3:$M$2002&gt;$L1428))&gt;1,"중복","-"))</f>
        <v/>
      </c>
    </row>
    <row r="1429" customFormat="false" ht="15" hidden="false" customHeight="true" outlineLevel="0" collapsed="false">
      <c r="A1429" s="11"/>
      <c r="B1429" s="7"/>
      <c r="C1429" s="12" t="str">
        <f aca="false">IF($B1429="","",IFERROR(INDEX(자원목록!$B$3:$B$102,MATCH($B1429,자원목록!$A$3:$A$102,0)),"미등록자원"))</f>
        <v/>
      </c>
      <c r="D1429" s="7"/>
      <c r="E1429" s="12" t="str">
        <f aca="false">IF($D1429="","",IFERROR(INDEX(고객목록!$B$3:$B$502,MATCH($D1429,고객목록!$A$3:$A$502,0)),""))</f>
        <v/>
      </c>
      <c r="F1429" s="13"/>
      <c r="G1429" s="13"/>
      <c r="H1429" s="14" t="str">
        <f aca="false">IF(OR($L1429="",$M1429=""),"",ROUND(($M1429-$L1429)/60,2))</f>
        <v/>
      </c>
      <c r="I1429" s="9"/>
      <c r="J1429" s="7"/>
      <c r="K1429" s="7"/>
      <c r="L1429" s="15" t="str">
        <f aca="false">IF($F1429="","",IF($F1429&lt;1,ROUND($F1429*1440,0),INT($F1429/100)*60+MOD($F1429,100)))</f>
        <v/>
      </c>
      <c r="M1429" s="15" t="str">
        <f aca="false">IF($G1429="","",IF($G1429&lt;1,ROUND($G1429*1440,0),INT($G1429/100)*60+MOD($G1429,100)))</f>
        <v/>
      </c>
      <c r="N1429" s="15" t="str">
        <f aca="false">IF(OR($A1429="",$B1429="",$L1429="",$M1429="",$J1429="취소"),"",IF(SUMPRODUCT(($A$3:$A$2002=$A1429)*($B$3:$B$2002=$B1429)*($J$3:$J$2002&lt;&gt;"취소")*($L$3:$L$2002&lt;&gt;"")*($M$3:$M$2002&lt;&gt;"")*($L$3:$L$2002&lt;$M1429)*($M$3:$M$2002&gt;$L1429))&gt;1,"중복","-"))</f>
        <v/>
      </c>
    </row>
    <row r="1430" customFormat="false" ht="15" hidden="false" customHeight="true" outlineLevel="0" collapsed="false">
      <c r="A1430" s="11"/>
      <c r="B1430" s="7"/>
      <c r="C1430" s="12" t="str">
        <f aca="false">IF($B1430="","",IFERROR(INDEX(자원목록!$B$3:$B$102,MATCH($B1430,자원목록!$A$3:$A$102,0)),"미등록자원"))</f>
        <v/>
      </c>
      <c r="D1430" s="7"/>
      <c r="E1430" s="12" t="str">
        <f aca="false">IF($D1430="","",IFERROR(INDEX(고객목록!$B$3:$B$502,MATCH($D1430,고객목록!$A$3:$A$502,0)),""))</f>
        <v/>
      </c>
      <c r="F1430" s="13"/>
      <c r="G1430" s="13"/>
      <c r="H1430" s="14" t="str">
        <f aca="false">IF(OR($L1430="",$M1430=""),"",ROUND(($M1430-$L1430)/60,2))</f>
        <v/>
      </c>
      <c r="I1430" s="9"/>
      <c r="J1430" s="7"/>
      <c r="K1430" s="7"/>
      <c r="L1430" s="15" t="str">
        <f aca="false">IF($F1430="","",IF($F1430&lt;1,ROUND($F1430*1440,0),INT($F1430/100)*60+MOD($F1430,100)))</f>
        <v/>
      </c>
      <c r="M1430" s="15" t="str">
        <f aca="false">IF($G1430="","",IF($G1430&lt;1,ROUND($G1430*1440,0),INT($G1430/100)*60+MOD($G1430,100)))</f>
        <v/>
      </c>
      <c r="N1430" s="15" t="str">
        <f aca="false">IF(OR($A1430="",$B1430="",$L1430="",$M1430="",$J1430="취소"),"",IF(SUMPRODUCT(($A$3:$A$2002=$A1430)*($B$3:$B$2002=$B1430)*($J$3:$J$2002&lt;&gt;"취소")*($L$3:$L$2002&lt;&gt;"")*($M$3:$M$2002&lt;&gt;"")*($L$3:$L$2002&lt;$M1430)*($M$3:$M$2002&gt;$L1430))&gt;1,"중복","-"))</f>
        <v/>
      </c>
    </row>
    <row r="1431" customFormat="false" ht="15" hidden="false" customHeight="true" outlineLevel="0" collapsed="false">
      <c r="A1431" s="11"/>
      <c r="B1431" s="7"/>
      <c r="C1431" s="12" t="str">
        <f aca="false">IF($B1431="","",IFERROR(INDEX(자원목록!$B$3:$B$102,MATCH($B1431,자원목록!$A$3:$A$102,0)),"미등록자원"))</f>
        <v/>
      </c>
      <c r="D1431" s="7"/>
      <c r="E1431" s="12" t="str">
        <f aca="false">IF($D1431="","",IFERROR(INDEX(고객목록!$B$3:$B$502,MATCH($D1431,고객목록!$A$3:$A$502,0)),""))</f>
        <v/>
      </c>
      <c r="F1431" s="13"/>
      <c r="G1431" s="13"/>
      <c r="H1431" s="14" t="str">
        <f aca="false">IF(OR($L1431="",$M1431=""),"",ROUND(($M1431-$L1431)/60,2))</f>
        <v/>
      </c>
      <c r="I1431" s="9"/>
      <c r="J1431" s="7"/>
      <c r="K1431" s="7"/>
      <c r="L1431" s="15" t="str">
        <f aca="false">IF($F1431="","",IF($F1431&lt;1,ROUND($F1431*1440,0),INT($F1431/100)*60+MOD($F1431,100)))</f>
        <v/>
      </c>
      <c r="M1431" s="15" t="str">
        <f aca="false">IF($G1431="","",IF($G1431&lt;1,ROUND($G1431*1440,0),INT($G1431/100)*60+MOD($G1431,100)))</f>
        <v/>
      </c>
      <c r="N1431" s="15" t="str">
        <f aca="false">IF(OR($A1431="",$B1431="",$L1431="",$M1431="",$J1431="취소"),"",IF(SUMPRODUCT(($A$3:$A$2002=$A1431)*($B$3:$B$2002=$B1431)*($J$3:$J$2002&lt;&gt;"취소")*($L$3:$L$2002&lt;&gt;"")*($M$3:$M$2002&lt;&gt;"")*($L$3:$L$2002&lt;$M1431)*($M$3:$M$2002&gt;$L1431))&gt;1,"중복","-"))</f>
        <v/>
      </c>
    </row>
    <row r="1432" customFormat="false" ht="15" hidden="false" customHeight="true" outlineLevel="0" collapsed="false">
      <c r="A1432" s="11"/>
      <c r="B1432" s="7"/>
      <c r="C1432" s="12" t="str">
        <f aca="false">IF($B1432="","",IFERROR(INDEX(자원목록!$B$3:$B$102,MATCH($B1432,자원목록!$A$3:$A$102,0)),"미등록자원"))</f>
        <v/>
      </c>
      <c r="D1432" s="7"/>
      <c r="E1432" s="12" t="str">
        <f aca="false">IF($D1432="","",IFERROR(INDEX(고객목록!$B$3:$B$502,MATCH($D1432,고객목록!$A$3:$A$502,0)),""))</f>
        <v/>
      </c>
      <c r="F1432" s="13"/>
      <c r="G1432" s="13"/>
      <c r="H1432" s="14" t="str">
        <f aca="false">IF(OR($L1432="",$M1432=""),"",ROUND(($M1432-$L1432)/60,2))</f>
        <v/>
      </c>
      <c r="I1432" s="9"/>
      <c r="J1432" s="7"/>
      <c r="K1432" s="7"/>
      <c r="L1432" s="15" t="str">
        <f aca="false">IF($F1432="","",IF($F1432&lt;1,ROUND($F1432*1440,0),INT($F1432/100)*60+MOD($F1432,100)))</f>
        <v/>
      </c>
      <c r="M1432" s="15" t="str">
        <f aca="false">IF($G1432="","",IF($G1432&lt;1,ROUND($G1432*1440,0),INT($G1432/100)*60+MOD($G1432,100)))</f>
        <v/>
      </c>
      <c r="N1432" s="15" t="str">
        <f aca="false">IF(OR($A1432="",$B1432="",$L1432="",$M1432="",$J1432="취소"),"",IF(SUMPRODUCT(($A$3:$A$2002=$A1432)*($B$3:$B$2002=$B1432)*($J$3:$J$2002&lt;&gt;"취소")*($L$3:$L$2002&lt;&gt;"")*($M$3:$M$2002&lt;&gt;"")*($L$3:$L$2002&lt;$M1432)*($M$3:$M$2002&gt;$L1432))&gt;1,"중복","-"))</f>
        <v/>
      </c>
    </row>
    <row r="1433" customFormat="false" ht="15" hidden="false" customHeight="true" outlineLevel="0" collapsed="false">
      <c r="A1433" s="11"/>
      <c r="B1433" s="7"/>
      <c r="C1433" s="12" t="str">
        <f aca="false">IF($B1433="","",IFERROR(INDEX(자원목록!$B$3:$B$102,MATCH($B1433,자원목록!$A$3:$A$102,0)),"미등록자원"))</f>
        <v/>
      </c>
      <c r="D1433" s="7"/>
      <c r="E1433" s="12" t="str">
        <f aca="false">IF($D1433="","",IFERROR(INDEX(고객목록!$B$3:$B$502,MATCH($D1433,고객목록!$A$3:$A$502,0)),""))</f>
        <v/>
      </c>
      <c r="F1433" s="13"/>
      <c r="G1433" s="13"/>
      <c r="H1433" s="14" t="str">
        <f aca="false">IF(OR($L1433="",$M1433=""),"",ROUND(($M1433-$L1433)/60,2))</f>
        <v/>
      </c>
      <c r="I1433" s="9"/>
      <c r="J1433" s="7"/>
      <c r="K1433" s="7"/>
      <c r="L1433" s="15" t="str">
        <f aca="false">IF($F1433="","",IF($F1433&lt;1,ROUND($F1433*1440,0),INT($F1433/100)*60+MOD($F1433,100)))</f>
        <v/>
      </c>
      <c r="M1433" s="15" t="str">
        <f aca="false">IF($G1433="","",IF($G1433&lt;1,ROUND($G1433*1440,0),INT($G1433/100)*60+MOD($G1433,100)))</f>
        <v/>
      </c>
      <c r="N1433" s="15" t="str">
        <f aca="false">IF(OR($A1433="",$B1433="",$L1433="",$M1433="",$J1433="취소"),"",IF(SUMPRODUCT(($A$3:$A$2002=$A1433)*($B$3:$B$2002=$B1433)*($J$3:$J$2002&lt;&gt;"취소")*($L$3:$L$2002&lt;&gt;"")*($M$3:$M$2002&lt;&gt;"")*($L$3:$L$2002&lt;$M1433)*($M$3:$M$2002&gt;$L1433))&gt;1,"중복","-"))</f>
        <v/>
      </c>
    </row>
    <row r="1434" customFormat="false" ht="15" hidden="false" customHeight="true" outlineLevel="0" collapsed="false">
      <c r="A1434" s="11"/>
      <c r="B1434" s="7"/>
      <c r="C1434" s="12" t="str">
        <f aca="false">IF($B1434="","",IFERROR(INDEX(자원목록!$B$3:$B$102,MATCH($B1434,자원목록!$A$3:$A$102,0)),"미등록자원"))</f>
        <v/>
      </c>
      <c r="D1434" s="7"/>
      <c r="E1434" s="12" t="str">
        <f aca="false">IF($D1434="","",IFERROR(INDEX(고객목록!$B$3:$B$502,MATCH($D1434,고객목록!$A$3:$A$502,0)),""))</f>
        <v/>
      </c>
      <c r="F1434" s="13"/>
      <c r="G1434" s="13"/>
      <c r="H1434" s="14" t="str">
        <f aca="false">IF(OR($L1434="",$M1434=""),"",ROUND(($M1434-$L1434)/60,2))</f>
        <v/>
      </c>
      <c r="I1434" s="9"/>
      <c r="J1434" s="7"/>
      <c r="K1434" s="7"/>
      <c r="L1434" s="15" t="str">
        <f aca="false">IF($F1434="","",IF($F1434&lt;1,ROUND($F1434*1440,0),INT($F1434/100)*60+MOD($F1434,100)))</f>
        <v/>
      </c>
      <c r="M1434" s="15" t="str">
        <f aca="false">IF($G1434="","",IF($G1434&lt;1,ROUND($G1434*1440,0),INT($G1434/100)*60+MOD($G1434,100)))</f>
        <v/>
      </c>
      <c r="N1434" s="15" t="str">
        <f aca="false">IF(OR($A1434="",$B1434="",$L1434="",$M1434="",$J1434="취소"),"",IF(SUMPRODUCT(($A$3:$A$2002=$A1434)*($B$3:$B$2002=$B1434)*($J$3:$J$2002&lt;&gt;"취소")*($L$3:$L$2002&lt;&gt;"")*($M$3:$M$2002&lt;&gt;"")*($L$3:$L$2002&lt;$M1434)*($M$3:$M$2002&gt;$L1434))&gt;1,"중복","-"))</f>
        <v/>
      </c>
    </row>
    <row r="1435" customFormat="false" ht="15" hidden="false" customHeight="true" outlineLevel="0" collapsed="false">
      <c r="A1435" s="11"/>
      <c r="B1435" s="7"/>
      <c r="C1435" s="12" t="str">
        <f aca="false">IF($B1435="","",IFERROR(INDEX(자원목록!$B$3:$B$102,MATCH($B1435,자원목록!$A$3:$A$102,0)),"미등록자원"))</f>
        <v/>
      </c>
      <c r="D1435" s="7"/>
      <c r="E1435" s="12" t="str">
        <f aca="false">IF($D1435="","",IFERROR(INDEX(고객목록!$B$3:$B$502,MATCH($D1435,고객목록!$A$3:$A$502,0)),""))</f>
        <v/>
      </c>
      <c r="F1435" s="13"/>
      <c r="G1435" s="13"/>
      <c r="H1435" s="14" t="str">
        <f aca="false">IF(OR($L1435="",$M1435=""),"",ROUND(($M1435-$L1435)/60,2))</f>
        <v/>
      </c>
      <c r="I1435" s="9"/>
      <c r="J1435" s="7"/>
      <c r="K1435" s="7"/>
      <c r="L1435" s="15" t="str">
        <f aca="false">IF($F1435="","",IF($F1435&lt;1,ROUND($F1435*1440,0),INT($F1435/100)*60+MOD($F1435,100)))</f>
        <v/>
      </c>
      <c r="M1435" s="15" t="str">
        <f aca="false">IF($G1435="","",IF($G1435&lt;1,ROUND($G1435*1440,0),INT($G1435/100)*60+MOD($G1435,100)))</f>
        <v/>
      </c>
      <c r="N1435" s="15" t="str">
        <f aca="false">IF(OR($A1435="",$B1435="",$L1435="",$M1435="",$J1435="취소"),"",IF(SUMPRODUCT(($A$3:$A$2002=$A1435)*($B$3:$B$2002=$B1435)*($J$3:$J$2002&lt;&gt;"취소")*($L$3:$L$2002&lt;&gt;"")*($M$3:$M$2002&lt;&gt;"")*($L$3:$L$2002&lt;$M1435)*($M$3:$M$2002&gt;$L1435))&gt;1,"중복","-"))</f>
        <v/>
      </c>
    </row>
    <row r="1436" customFormat="false" ht="15" hidden="false" customHeight="true" outlineLevel="0" collapsed="false">
      <c r="A1436" s="11"/>
      <c r="B1436" s="7"/>
      <c r="C1436" s="12" t="str">
        <f aca="false">IF($B1436="","",IFERROR(INDEX(자원목록!$B$3:$B$102,MATCH($B1436,자원목록!$A$3:$A$102,0)),"미등록자원"))</f>
        <v/>
      </c>
      <c r="D1436" s="7"/>
      <c r="E1436" s="12" t="str">
        <f aca="false">IF($D1436="","",IFERROR(INDEX(고객목록!$B$3:$B$502,MATCH($D1436,고객목록!$A$3:$A$502,0)),""))</f>
        <v/>
      </c>
      <c r="F1436" s="13"/>
      <c r="G1436" s="13"/>
      <c r="H1436" s="14" t="str">
        <f aca="false">IF(OR($L1436="",$M1436=""),"",ROUND(($M1436-$L1436)/60,2))</f>
        <v/>
      </c>
      <c r="I1436" s="9"/>
      <c r="J1436" s="7"/>
      <c r="K1436" s="7"/>
      <c r="L1436" s="15" t="str">
        <f aca="false">IF($F1436="","",IF($F1436&lt;1,ROUND($F1436*1440,0),INT($F1436/100)*60+MOD($F1436,100)))</f>
        <v/>
      </c>
      <c r="M1436" s="15" t="str">
        <f aca="false">IF($G1436="","",IF($G1436&lt;1,ROUND($G1436*1440,0),INT($G1436/100)*60+MOD($G1436,100)))</f>
        <v/>
      </c>
      <c r="N1436" s="15" t="str">
        <f aca="false">IF(OR($A1436="",$B1436="",$L1436="",$M1436="",$J1436="취소"),"",IF(SUMPRODUCT(($A$3:$A$2002=$A1436)*($B$3:$B$2002=$B1436)*($J$3:$J$2002&lt;&gt;"취소")*($L$3:$L$2002&lt;&gt;"")*($M$3:$M$2002&lt;&gt;"")*($L$3:$L$2002&lt;$M1436)*($M$3:$M$2002&gt;$L1436))&gt;1,"중복","-"))</f>
        <v/>
      </c>
    </row>
    <row r="1437" customFormat="false" ht="15" hidden="false" customHeight="true" outlineLevel="0" collapsed="false">
      <c r="A1437" s="11"/>
      <c r="B1437" s="7"/>
      <c r="C1437" s="12" t="str">
        <f aca="false">IF($B1437="","",IFERROR(INDEX(자원목록!$B$3:$B$102,MATCH($B1437,자원목록!$A$3:$A$102,0)),"미등록자원"))</f>
        <v/>
      </c>
      <c r="D1437" s="7"/>
      <c r="E1437" s="12" t="str">
        <f aca="false">IF($D1437="","",IFERROR(INDEX(고객목록!$B$3:$B$502,MATCH($D1437,고객목록!$A$3:$A$502,0)),""))</f>
        <v/>
      </c>
      <c r="F1437" s="13"/>
      <c r="G1437" s="13"/>
      <c r="H1437" s="14" t="str">
        <f aca="false">IF(OR($L1437="",$M1437=""),"",ROUND(($M1437-$L1437)/60,2))</f>
        <v/>
      </c>
      <c r="I1437" s="9"/>
      <c r="J1437" s="7"/>
      <c r="K1437" s="7"/>
      <c r="L1437" s="15" t="str">
        <f aca="false">IF($F1437="","",IF($F1437&lt;1,ROUND($F1437*1440,0),INT($F1437/100)*60+MOD($F1437,100)))</f>
        <v/>
      </c>
      <c r="M1437" s="15" t="str">
        <f aca="false">IF($G1437="","",IF($G1437&lt;1,ROUND($G1437*1440,0),INT($G1437/100)*60+MOD($G1437,100)))</f>
        <v/>
      </c>
      <c r="N1437" s="15" t="str">
        <f aca="false">IF(OR($A1437="",$B1437="",$L1437="",$M1437="",$J1437="취소"),"",IF(SUMPRODUCT(($A$3:$A$2002=$A1437)*($B$3:$B$2002=$B1437)*($J$3:$J$2002&lt;&gt;"취소")*($L$3:$L$2002&lt;&gt;"")*($M$3:$M$2002&lt;&gt;"")*($L$3:$L$2002&lt;$M1437)*($M$3:$M$2002&gt;$L1437))&gt;1,"중복","-"))</f>
        <v/>
      </c>
    </row>
    <row r="1438" customFormat="false" ht="15" hidden="false" customHeight="true" outlineLevel="0" collapsed="false">
      <c r="A1438" s="11"/>
      <c r="B1438" s="7"/>
      <c r="C1438" s="12" t="str">
        <f aca="false">IF($B1438="","",IFERROR(INDEX(자원목록!$B$3:$B$102,MATCH($B1438,자원목록!$A$3:$A$102,0)),"미등록자원"))</f>
        <v/>
      </c>
      <c r="D1438" s="7"/>
      <c r="E1438" s="12" t="str">
        <f aca="false">IF($D1438="","",IFERROR(INDEX(고객목록!$B$3:$B$502,MATCH($D1438,고객목록!$A$3:$A$502,0)),""))</f>
        <v/>
      </c>
      <c r="F1438" s="13"/>
      <c r="G1438" s="13"/>
      <c r="H1438" s="14" t="str">
        <f aca="false">IF(OR($L1438="",$M1438=""),"",ROUND(($M1438-$L1438)/60,2))</f>
        <v/>
      </c>
      <c r="I1438" s="9"/>
      <c r="J1438" s="7"/>
      <c r="K1438" s="7"/>
      <c r="L1438" s="15" t="str">
        <f aca="false">IF($F1438="","",IF($F1438&lt;1,ROUND($F1438*1440,0),INT($F1438/100)*60+MOD($F1438,100)))</f>
        <v/>
      </c>
      <c r="M1438" s="15" t="str">
        <f aca="false">IF($G1438="","",IF($G1438&lt;1,ROUND($G1438*1440,0),INT($G1438/100)*60+MOD($G1438,100)))</f>
        <v/>
      </c>
      <c r="N1438" s="15" t="str">
        <f aca="false">IF(OR($A1438="",$B1438="",$L1438="",$M1438="",$J1438="취소"),"",IF(SUMPRODUCT(($A$3:$A$2002=$A1438)*($B$3:$B$2002=$B1438)*($J$3:$J$2002&lt;&gt;"취소")*($L$3:$L$2002&lt;&gt;"")*($M$3:$M$2002&lt;&gt;"")*($L$3:$L$2002&lt;$M1438)*($M$3:$M$2002&gt;$L1438))&gt;1,"중복","-"))</f>
        <v/>
      </c>
    </row>
    <row r="1439" customFormat="false" ht="15" hidden="false" customHeight="true" outlineLevel="0" collapsed="false">
      <c r="A1439" s="11"/>
      <c r="B1439" s="7"/>
      <c r="C1439" s="12" t="str">
        <f aca="false">IF($B1439="","",IFERROR(INDEX(자원목록!$B$3:$B$102,MATCH($B1439,자원목록!$A$3:$A$102,0)),"미등록자원"))</f>
        <v/>
      </c>
      <c r="D1439" s="7"/>
      <c r="E1439" s="12" t="str">
        <f aca="false">IF($D1439="","",IFERROR(INDEX(고객목록!$B$3:$B$502,MATCH($D1439,고객목록!$A$3:$A$502,0)),""))</f>
        <v/>
      </c>
      <c r="F1439" s="13"/>
      <c r="G1439" s="13"/>
      <c r="H1439" s="14" t="str">
        <f aca="false">IF(OR($L1439="",$M1439=""),"",ROUND(($M1439-$L1439)/60,2))</f>
        <v/>
      </c>
      <c r="I1439" s="9"/>
      <c r="J1439" s="7"/>
      <c r="K1439" s="7"/>
      <c r="L1439" s="15" t="str">
        <f aca="false">IF($F1439="","",IF($F1439&lt;1,ROUND($F1439*1440,0),INT($F1439/100)*60+MOD($F1439,100)))</f>
        <v/>
      </c>
      <c r="M1439" s="15" t="str">
        <f aca="false">IF($G1439="","",IF($G1439&lt;1,ROUND($G1439*1440,0),INT($G1439/100)*60+MOD($G1439,100)))</f>
        <v/>
      </c>
      <c r="N1439" s="15" t="str">
        <f aca="false">IF(OR($A1439="",$B1439="",$L1439="",$M1439="",$J1439="취소"),"",IF(SUMPRODUCT(($A$3:$A$2002=$A1439)*($B$3:$B$2002=$B1439)*($J$3:$J$2002&lt;&gt;"취소")*($L$3:$L$2002&lt;&gt;"")*($M$3:$M$2002&lt;&gt;"")*($L$3:$L$2002&lt;$M1439)*($M$3:$M$2002&gt;$L1439))&gt;1,"중복","-"))</f>
        <v/>
      </c>
    </row>
    <row r="1440" customFormat="false" ht="15" hidden="false" customHeight="true" outlineLevel="0" collapsed="false">
      <c r="A1440" s="11"/>
      <c r="B1440" s="7"/>
      <c r="C1440" s="12" t="str">
        <f aca="false">IF($B1440="","",IFERROR(INDEX(자원목록!$B$3:$B$102,MATCH($B1440,자원목록!$A$3:$A$102,0)),"미등록자원"))</f>
        <v/>
      </c>
      <c r="D1440" s="7"/>
      <c r="E1440" s="12" t="str">
        <f aca="false">IF($D1440="","",IFERROR(INDEX(고객목록!$B$3:$B$502,MATCH($D1440,고객목록!$A$3:$A$502,0)),""))</f>
        <v/>
      </c>
      <c r="F1440" s="13"/>
      <c r="G1440" s="13"/>
      <c r="H1440" s="14" t="str">
        <f aca="false">IF(OR($L1440="",$M1440=""),"",ROUND(($M1440-$L1440)/60,2))</f>
        <v/>
      </c>
      <c r="I1440" s="9"/>
      <c r="J1440" s="7"/>
      <c r="K1440" s="7"/>
      <c r="L1440" s="15" t="str">
        <f aca="false">IF($F1440="","",IF($F1440&lt;1,ROUND($F1440*1440,0),INT($F1440/100)*60+MOD($F1440,100)))</f>
        <v/>
      </c>
      <c r="M1440" s="15" t="str">
        <f aca="false">IF($G1440="","",IF($G1440&lt;1,ROUND($G1440*1440,0),INT($G1440/100)*60+MOD($G1440,100)))</f>
        <v/>
      </c>
      <c r="N1440" s="15" t="str">
        <f aca="false">IF(OR($A1440="",$B1440="",$L1440="",$M1440="",$J1440="취소"),"",IF(SUMPRODUCT(($A$3:$A$2002=$A1440)*($B$3:$B$2002=$B1440)*($J$3:$J$2002&lt;&gt;"취소")*($L$3:$L$2002&lt;&gt;"")*($M$3:$M$2002&lt;&gt;"")*($L$3:$L$2002&lt;$M1440)*($M$3:$M$2002&gt;$L1440))&gt;1,"중복","-"))</f>
        <v/>
      </c>
    </row>
    <row r="1441" customFormat="false" ht="15" hidden="false" customHeight="true" outlineLevel="0" collapsed="false">
      <c r="A1441" s="11"/>
      <c r="B1441" s="7"/>
      <c r="C1441" s="12" t="str">
        <f aca="false">IF($B1441="","",IFERROR(INDEX(자원목록!$B$3:$B$102,MATCH($B1441,자원목록!$A$3:$A$102,0)),"미등록자원"))</f>
        <v/>
      </c>
      <c r="D1441" s="7"/>
      <c r="E1441" s="12" t="str">
        <f aca="false">IF($D1441="","",IFERROR(INDEX(고객목록!$B$3:$B$502,MATCH($D1441,고객목록!$A$3:$A$502,0)),""))</f>
        <v/>
      </c>
      <c r="F1441" s="13"/>
      <c r="G1441" s="13"/>
      <c r="H1441" s="14" t="str">
        <f aca="false">IF(OR($L1441="",$M1441=""),"",ROUND(($M1441-$L1441)/60,2))</f>
        <v/>
      </c>
      <c r="I1441" s="9"/>
      <c r="J1441" s="7"/>
      <c r="K1441" s="7"/>
      <c r="L1441" s="15" t="str">
        <f aca="false">IF($F1441="","",IF($F1441&lt;1,ROUND($F1441*1440,0),INT($F1441/100)*60+MOD($F1441,100)))</f>
        <v/>
      </c>
      <c r="M1441" s="15" t="str">
        <f aca="false">IF($G1441="","",IF($G1441&lt;1,ROUND($G1441*1440,0),INT($G1441/100)*60+MOD($G1441,100)))</f>
        <v/>
      </c>
      <c r="N1441" s="15" t="str">
        <f aca="false">IF(OR($A1441="",$B1441="",$L1441="",$M1441="",$J1441="취소"),"",IF(SUMPRODUCT(($A$3:$A$2002=$A1441)*($B$3:$B$2002=$B1441)*($J$3:$J$2002&lt;&gt;"취소")*($L$3:$L$2002&lt;&gt;"")*($M$3:$M$2002&lt;&gt;"")*($L$3:$L$2002&lt;$M1441)*($M$3:$M$2002&gt;$L1441))&gt;1,"중복","-"))</f>
        <v/>
      </c>
    </row>
    <row r="1442" customFormat="false" ht="15" hidden="false" customHeight="true" outlineLevel="0" collapsed="false">
      <c r="A1442" s="11"/>
      <c r="B1442" s="7"/>
      <c r="C1442" s="12" t="str">
        <f aca="false">IF($B1442="","",IFERROR(INDEX(자원목록!$B$3:$B$102,MATCH($B1442,자원목록!$A$3:$A$102,0)),"미등록자원"))</f>
        <v/>
      </c>
      <c r="D1442" s="7"/>
      <c r="E1442" s="12" t="str">
        <f aca="false">IF($D1442="","",IFERROR(INDEX(고객목록!$B$3:$B$502,MATCH($D1442,고객목록!$A$3:$A$502,0)),""))</f>
        <v/>
      </c>
      <c r="F1442" s="13"/>
      <c r="G1442" s="13"/>
      <c r="H1442" s="14" t="str">
        <f aca="false">IF(OR($L1442="",$M1442=""),"",ROUND(($M1442-$L1442)/60,2))</f>
        <v/>
      </c>
      <c r="I1442" s="9"/>
      <c r="J1442" s="7"/>
      <c r="K1442" s="7"/>
      <c r="L1442" s="15" t="str">
        <f aca="false">IF($F1442="","",IF($F1442&lt;1,ROUND($F1442*1440,0),INT($F1442/100)*60+MOD($F1442,100)))</f>
        <v/>
      </c>
      <c r="M1442" s="15" t="str">
        <f aca="false">IF($G1442="","",IF($G1442&lt;1,ROUND($G1442*1440,0),INT($G1442/100)*60+MOD($G1442,100)))</f>
        <v/>
      </c>
      <c r="N1442" s="15" t="str">
        <f aca="false">IF(OR($A1442="",$B1442="",$L1442="",$M1442="",$J1442="취소"),"",IF(SUMPRODUCT(($A$3:$A$2002=$A1442)*($B$3:$B$2002=$B1442)*($J$3:$J$2002&lt;&gt;"취소")*($L$3:$L$2002&lt;&gt;"")*($M$3:$M$2002&lt;&gt;"")*($L$3:$L$2002&lt;$M1442)*($M$3:$M$2002&gt;$L1442))&gt;1,"중복","-"))</f>
        <v/>
      </c>
    </row>
    <row r="1443" customFormat="false" ht="15" hidden="false" customHeight="true" outlineLevel="0" collapsed="false">
      <c r="A1443" s="11"/>
      <c r="B1443" s="7"/>
      <c r="C1443" s="12" t="str">
        <f aca="false">IF($B1443="","",IFERROR(INDEX(자원목록!$B$3:$B$102,MATCH($B1443,자원목록!$A$3:$A$102,0)),"미등록자원"))</f>
        <v/>
      </c>
      <c r="D1443" s="7"/>
      <c r="E1443" s="12" t="str">
        <f aca="false">IF($D1443="","",IFERROR(INDEX(고객목록!$B$3:$B$502,MATCH($D1443,고객목록!$A$3:$A$502,0)),""))</f>
        <v/>
      </c>
      <c r="F1443" s="13"/>
      <c r="G1443" s="13"/>
      <c r="H1443" s="14" t="str">
        <f aca="false">IF(OR($L1443="",$M1443=""),"",ROUND(($M1443-$L1443)/60,2))</f>
        <v/>
      </c>
      <c r="I1443" s="9"/>
      <c r="J1443" s="7"/>
      <c r="K1443" s="7"/>
      <c r="L1443" s="15" t="str">
        <f aca="false">IF($F1443="","",IF($F1443&lt;1,ROUND($F1443*1440,0),INT($F1443/100)*60+MOD($F1443,100)))</f>
        <v/>
      </c>
      <c r="M1443" s="15" t="str">
        <f aca="false">IF($G1443="","",IF($G1443&lt;1,ROUND($G1443*1440,0),INT($G1443/100)*60+MOD($G1443,100)))</f>
        <v/>
      </c>
      <c r="N1443" s="15" t="str">
        <f aca="false">IF(OR($A1443="",$B1443="",$L1443="",$M1443="",$J1443="취소"),"",IF(SUMPRODUCT(($A$3:$A$2002=$A1443)*($B$3:$B$2002=$B1443)*($J$3:$J$2002&lt;&gt;"취소")*($L$3:$L$2002&lt;&gt;"")*($M$3:$M$2002&lt;&gt;"")*($L$3:$L$2002&lt;$M1443)*($M$3:$M$2002&gt;$L1443))&gt;1,"중복","-"))</f>
        <v/>
      </c>
    </row>
    <row r="1444" customFormat="false" ht="15" hidden="false" customHeight="true" outlineLevel="0" collapsed="false">
      <c r="A1444" s="11"/>
      <c r="B1444" s="7"/>
      <c r="C1444" s="12" t="str">
        <f aca="false">IF($B1444="","",IFERROR(INDEX(자원목록!$B$3:$B$102,MATCH($B1444,자원목록!$A$3:$A$102,0)),"미등록자원"))</f>
        <v/>
      </c>
      <c r="D1444" s="7"/>
      <c r="E1444" s="12" t="str">
        <f aca="false">IF($D1444="","",IFERROR(INDEX(고객목록!$B$3:$B$502,MATCH($D1444,고객목록!$A$3:$A$502,0)),""))</f>
        <v/>
      </c>
      <c r="F1444" s="13"/>
      <c r="G1444" s="13"/>
      <c r="H1444" s="14" t="str">
        <f aca="false">IF(OR($L1444="",$M1444=""),"",ROUND(($M1444-$L1444)/60,2))</f>
        <v/>
      </c>
      <c r="I1444" s="9"/>
      <c r="J1444" s="7"/>
      <c r="K1444" s="7"/>
      <c r="L1444" s="15" t="str">
        <f aca="false">IF($F1444="","",IF($F1444&lt;1,ROUND($F1444*1440,0),INT($F1444/100)*60+MOD($F1444,100)))</f>
        <v/>
      </c>
      <c r="M1444" s="15" t="str">
        <f aca="false">IF($G1444="","",IF($G1444&lt;1,ROUND($G1444*1440,0),INT($G1444/100)*60+MOD($G1444,100)))</f>
        <v/>
      </c>
      <c r="N1444" s="15" t="str">
        <f aca="false">IF(OR($A1444="",$B1444="",$L1444="",$M1444="",$J1444="취소"),"",IF(SUMPRODUCT(($A$3:$A$2002=$A1444)*($B$3:$B$2002=$B1444)*($J$3:$J$2002&lt;&gt;"취소")*($L$3:$L$2002&lt;&gt;"")*($M$3:$M$2002&lt;&gt;"")*($L$3:$L$2002&lt;$M1444)*($M$3:$M$2002&gt;$L1444))&gt;1,"중복","-"))</f>
        <v/>
      </c>
    </row>
    <row r="1445" customFormat="false" ht="15" hidden="false" customHeight="true" outlineLevel="0" collapsed="false">
      <c r="A1445" s="11"/>
      <c r="B1445" s="7"/>
      <c r="C1445" s="12" t="str">
        <f aca="false">IF($B1445="","",IFERROR(INDEX(자원목록!$B$3:$B$102,MATCH($B1445,자원목록!$A$3:$A$102,0)),"미등록자원"))</f>
        <v/>
      </c>
      <c r="D1445" s="7"/>
      <c r="E1445" s="12" t="str">
        <f aca="false">IF($D1445="","",IFERROR(INDEX(고객목록!$B$3:$B$502,MATCH($D1445,고객목록!$A$3:$A$502,0)),""))</f>
        <v/>
      </c>
      <c r="F1445" s="13"/>
      <c r="G1445" s="13"/>
      <c r="H1445" s="14" t="str">
        <f aca="false">IF(OR($L1445="",$M1445=""),"",ROUND(($M1445-$L1445)/60,2))</f>
        <v/>
      </c>
      <c r="I1445" s="9"/>
      <c r="J1445" s="7"/>
      <c r="K1445" s="7"/>
      <c r="L1445" s="15" t="str">
        <f aca="false">IF($F1445="","",IF($F1445&lt;1,ROUND($F1445*1440,0),INT($F1445/100)*60+MOD($F1445,100)))</f>
        <v/>
      </c>
      <c r="M1445" s="15" t="str">
        <f aca="false">IF($G1445="","",IF($G1445&lt;1,ROUND($G1445*1440,0),INT($G1445/100)*60+MOD($G1445,100)))</f>
        <v/>
      </c>
      <c r="N1445" s="15" t="str">
        <f aca="false">IF(OR($A1445="",$B1445="",$L1445="",$M1445="",$J1445="취소"),"",IF(SUMPRODUCT(($A$3:$A$2002=$A1445)*($B$3:$B$2002=$B1445)*($J$3:$J$2002&lt;&gt;"취소")*($L$3:$L$2002&lt;&gt;"")*($M$3:$M$2002&lt;&gt;"")*($L$3:$L$2002&lt;$M1445)*($M$3:$M$2002&gt;$L1445))&gt;1,"중복","-"))</f>
        <v/>
      </c>
    </row>
    <row r="1446" customFormat="false" ht="15" hidden="false" customHeight="true" outlineLevel="0" collapsed="false">
      <c r="A1446" s="11"/>
      <c r="B1446" s="7"/>
      <c r="C1446" s="12" t="str">
        <f aca="false">IF($B1446="","",IFERROR(INDEX(자원목록!$B$3:$B$102,MATCH($B1446,자원목록!$A$3:$A$102,0)),"미등록자원"))</f>
        <v/>
      </c>
      <c r="D1446" s="7"/>
      <c r="E1446" s="12" t="str">
        <f aca="false">IF($D1446="","",IFERROR(INDEX(고객목록!$B$3:$B$502,MATCH($D1446,고객목록!$A$3:$A$502,0)),""))</f>
        <v/>
      </c>
      <c r="F1446" s="13"/>
      <c r="G1446" s="13"/>
      <c r="H1446" s="14" t="str">
        <f aca="false">IF(OR($L1446="",$M1446=""),"",ROUND(($M1446-$L1446)/60,2))</f>
        <v/>
      </c>
      <c r="I1446" s="9"/>
      <c r="J1446" s="7"/>
      <c r="K1446" s="7"/>
      <c r="L1446" s="15" t="str">
        <f aca="false">IF($F1446="","",IF($F1446&lt;1,ROUND($F1446*1440,0),INT($F1446/100)*60+MOD($F1446,100)))</f>
        <v/>
      </c>
      <c r="M1446" s="15" t="str">
        <f aca="false">IF($G1446="","",IF($G1446&lt;1,ROUND($G1446*1440,0),INT($G1446/100)*60+MOD($G1446,100)))</f>
        <v/>
      </c>
      <c r="N1446" s="15" t="str">
        <f aca="false">IF(OR($A1446="",$B1446="",$L1446="",$M1446="",$J1446="취소"),"",IF(SUMPRODUCT(($A$3:$A$2002=$A1446)*($B$3:$B$2002=$B1446)*($J$3:$J$2002&lt;&gt;"취소")*($L$3:$L$2002&lt;&gt;"")*($M$3:$M$2002&lt;&gt;"")*($L$3:$L$2002&lt;$M1446)*($M$3:$M$2002&gt;$L1446))&gt;1,"중복","-"))</f>
        <v/>
      </c>
    </row>
    <row r="1447" customFormat="false" ht="15" hidden="false" customHeight="true" outlineLevel="0" collapsed="false">
      <c r="A1447" s="11"/>
      <c r="B1447" s="7"/>
      <c r="C1447" s="12" t="str">
        <f aca="false">IF($B1447="","",IFERROR(INDEX(자원목록!$B$3:$B$102,MATCH($B1447,자원목록!$A$3:$A$102,0)),"미등록자원"))</f>
        <v/>
      </c>
      <c r="D1447" s="7"/>
      <c r="E1447" s="12" t="str">
        <f aca="false">IF($D1447="","",IFERROR(INDEX(고객목록!$B$3:$B$502,MATCH($D1447,고객목록!$A$3:$A$502,0)),""))</f>
        <v/>
      </c>
      <c r="F1447" s="13"/>
      <c r="G1447" s="13"/>
      <c r="H1447" s="14" t="str">
        <f aca="false">IF(OR($L1447="",$M1447=""),"",ROUND(($M1447-$L1447)/60,2))</f>
        <v/>
      </c>
      <c r="I1447" s="9"/>
      <c r="J1447" s="7"/>
      <c r="K1447" s="7"/>
      <c r="L1447" s="15" t="str">
        <f aca="false">IF($F1447="","",IF($F1447&lt;1,ROUND($F1447*1440,0),INT($F1447/100)*60+MOD($F1447,100)))</f>
        <v/>
      </c>
      <c r="M1447" s="15" t="str">
        <f aca="false">IF($G1447="","",IF($G1447&lt;1,ROUND($G1447*1440,0),INT($G1447/100)*60+MOD($G1447,100)))</f>
        <v/>
      </c>
      <c r="N1447" s="15" t="str">
        <f aca="false">IF(OR($A1447="",$B1447="",$L1447="",$M1447="",$J1447="취소"),"",IF(SUMPRODUCT(($A$3:$A$2002=$A1447)*($B$3:$B$2002=$B1447)*($J$3:$J$2002&lt;&gt;"취소")*($L$3:$L$2002&lt;&gt;"")*($M$3:$M$2002&lt;&gt;"")*($L$3:$L$2002&lt;$M1447)*($M$3:$M$2002&gt;$L1447))&gt;1,"중복","-"))</f>
        <v/>
      </c>
    </row>
    <row r="1448" customFormat="false" ht="15" hidden="false" customHeight="true" outlineLevel="0" collapsed="false">
      <c r="A1448" s="11"/>
      <c r="B1448" s="7"/>
      <c r="C1448" s="12" t="str">
        <f aca="false">IF($B1448="","",IFERROR(INDEX(자원목록!$B$3:$B$102,MATCH($B1448,자원목록!$A$3:$A$102,0)),"미등록자원"))</f>
        <v/>
      </c>
      <c r="D1448" s="7"/>
      <c r="E1448" s="12" t="str">
        <f aca="false">IF($D1448="","",IFERROR(INDEX(고객목록!$B$3:$B$502,MATCH($D1448,고객목록!$A$3:$A$502,0)),""))</f>
        <v/>
      </c>
      <c r="F1448" s="13"/>
      <c r="G1448" s="13"/>
      <c r="H1448" s="14" t="str">
        <f aca="false">IF(OR($L1448="",$M1448=""),"",ROUND(($M1448-$L1448)/60,2))</f>
        <v/>
      </c>
      <c r="I1448" s="9"/>
      <c r="J1448" s="7"/>
      <c r="K1448" s="7"/>
      <c r="L1448" s="15" t="str">
        <f aca="false">IF($F1448="","",IF($F1448&lt;1,ROUND($F1448*1440,0),INT($F1448/100)*60+MOD($F1448,100)))</f>
        <v/>
      </c>
      <c r="M1448" s="15" t="str">
        <f aca="false">IF($G1448="","",IF($G1448&lt;1,ROUND($G1448*1440,0),INT($G1448/100)*60+MOD($G1448,100)))</f>
        <v/>
      </c>
      <c r="N1448" s="15" t="str">
        <f aca="false">IF(OR($A1448="",$B1448="",$L1448="",$M1448="",$J1448="취소"),"",IF(SUMPRODUCT(($A$3:$A$2002=$A1448)*($B$3:$B$2002=$B1448)*($J$3:$J$2002&lt;&gt;"취소")*($L$3:$L$2002&lt;&gt;"")*($M$3:$M$2002&lt;&gt;"")*($L$3:$L$2002&lt;$M1448)*($M$3:$M$2002&gt;$L1448))&gt;1,"중복","-"))</f>
        <v/>
      </c>
    </row>
    <row r="1449" customFormat="false" ht="15" hidden="false" customHeight="true" outlineLevel="0" collapsed="false">
      <c r="A1449" s="11"/>
      <c r="B1449" s="7"/>
      <c r="C1449" s="12" t="str">
        <f aca="false">IF($B1449="","",IFERROR(INDEX(자원목록!$B$3:$B$102,MATCH($B1449,자원목록!$A$3:$A$102,0)),"미등록자원"))</f>
        <v/>
      </c>
      <c r="D1449" s="7"/>
      <c r="E1449" s="12" t="str">
        <f aca="false">IF($D1449="","",IFERROR(INDEX(고객목록!$B$3:$B$502,MATCH($D1449,고객목록!$A$3:$A$502,0)),""))</f>
        <v/>
      </c>
      <c r="F1449" s="13"/>
      <c r="G1449" s="13"/>
      <c r="H1449" s="14" t="str">
        <f aca="false">IF(OR($L1449="",$M1449=""),"",ROUND(($M1449-$L1449)/60,2))</f>
        <v/>
      </c>
      <c r="I1449" s="9"/>
      <c r="J1449" s="7"/>
      <c r="K1449" s="7"/>
      <c r="L1449" s="15" t="str">
        <f aca="false">IF($F1449="","",IF($F1449&lt;1,ROUND($F1449*1440,0),INT($F1449/100)*60+MOD($F1449,100)))</f>
        <v/>
      </c>
      <c r="M1449" s="15" t="str">
        <f aca="false">IF($G1449="","",IF($G1449&lt;1,ROUND($G1449*1440,0),INT($G1449/100)*60+MOD($G1449,100)))</f>
        <v/>
      </c>
      <c r="N1449" s="15" t="str">
        <f aca="false">IF(OR($A1449="",$B1449="",$L1449="",$M1449="",$J1449="취소"),"",IF(SUMPRODUCT(($A$3:$A$2002=$A1449)*($B$3:$B$2002=$B1449)*($J$3:$J$2002&lt;&gt;"취소")*($L$3:$L$2002&lt;&gt;"")*($M$3:$M$2002&lt;&gt;"")*($L$3:$L$2002&lt;$M1449)*($M$3:$M$2002&gt;$L1449))&gt;1,"중복","-"))</f>
        <v/>
      </c>
    </row>
    <row r="1450" customFormat="false" ht="15" hidden="false" customHeight="true" outlineLevel="0" collapsed="false">
      <c r="A1450" s="11"/>
      <c r="B1450" s="7"/>
      <c r="C1450" s="12" t="str">
        <f aca="false">IF($B1450="","",IFERROR(INDEX(자원목록!$B$3:$B$102,MATCH($B1450,자원목록!$A$3:$A$102,0)),"미등록자원"))</f>
        <v/>
      </c>
      <c r="D1450" s="7"/>
      <c r="E1450" s="12" t="str">
        <f aca="false">IF($D1450="","",IFERROR(INDEX(고객목록!$B$3:$B$502,MATCH($D1450,고객목록!$A$3:$A$502,0)),""))</f>
        <v/>
      </c>
      <c r="F1450" s="13"/>
      <c r="G1450" s="13"/>
      <c r="H1450" s="14" t="str">
        <f aca="false">IF(OR($L1450="",$M1450=""),"",ROUND(($M1450-$L1450)/60,2))</f>
        <v/>
      </c>
      <c r="I1450" s="9"/>
      <c r="J1450" s="7"/>
      <c r="K1450" s="7"/>
      <c r="L1450" s="15" t="str">
        <f aca="false">IF($F1450="","",IF($F1450&lt;1,ROUND($F1450*1440,0),INT($F1450/100)*60+MOD($F1450,100)))</f>
        <v/>
      </c>
      <c r="M1450" s="15" t="str">
        <f aca="false">IF($G1450="","",IF($G1450&lt;1,ROUND($G1450*1440,0),INT($G1450/100)*60+MOD($G1450,100)))</f>
        <v/>
      </c>
      <c r="N1450" s="15" t="str">
        <f aca="false">IF(OR($A1450="",$B1450="",$L1450="",$M1450="",$J1450="취소"),"",IF(SUMPRODUCT(($A$3:$A$2002=$A1450)*($B$3:$B$2002=$B1450)*($J$3:$J$2002&lt;&gt;"취소")*($L$3:$L$2002&lt;&gt;"")*($M$3:$M$2002&lt;&gt;"")*($L$3:$L$2002&lt;$M1450)*($M$3:$M$2002&gt;$L1450))&gt;1,"중복","-"))</f>
        <v/>
      </c>
    </row>
    <row r="1451" customFormat="false" ht="15" hidden="false" customHeight="true" outlineLevel="0" collapsed="false">
      <c r="A1451" s="11"/>
      <c r="B1451" s="7"/>
      <c r="C1451" s="12" t="str">
        <f aca="false">IF($B1451="","",IFERROR(INDEX(자원목록!$B$3:$B$102,MATCH($B1451,자원목록!$A$3:$A$102,0)),"미등록자원"))</f>
        <v/>
      </c>
      <c r="D1451" s="7"/>
      <c r="E1451" s="12" t="str">
        <f aca="false">IF($D1451="","",IFERROR(INDEX(고객목록!$B$3:$B$502,MATCH($D1451,고객목록!$A$3:$A$502,0)),""))</f>
        <v/>
      </c>
      <c r="F1451" s="13"/>
      <c r="G1451" s="13"/>
      <c r="H1451" s="14" t="str">
        <f aca="false">IF(OR($L1451="",$M1451=""),"",ROUND(($M1451-$L1451)/60,2))</f>
        <v/>
      </c>
      <c r="I1451" s="9"/>
      <c r="J1451" s="7"/>
      <c r="K1451" s="7"/>
      <c r="L1451" s="15" t="str">
        <f aca="false">IF($F1451="","",IF($F1451&lt;1,ROUND($F1451*1440,0),INT($F1451/100)*60+MOD($F1451,100)))</f>
        <v/>
      </c>
      <c r="M1451" s="15" t="str">
        <f aca="false">IF($G1451="","",IF($G1451&lt;1,ROUND($G1451*1440,0),INT($G1451/100)*60+MOD($G1451,100)))</f>
        <v/>
      </c>
      <c r="N1451" s="15" t="str">
        <f aca="false">IF(OR($A1451="",$B1451="",$L1451="",$M1451="",$J1451="취소"),"",IF(SUMPRODUCT(($A$3:$A$2002=$A1451)*($B$3:$B$2002=$B1451)*($J$3:$J$2002&lt;&gt;"취소")*($L$3:$L$2002&lt;&gt;"")*($M$3:$M$2002&lt;&gt;"")*($L$3:$L$2002&lt;$M1451)*($M$3:$M$2002&gt;$L1451))&gt;1,"중복","-"))</f>
        <v/>
      </c>
    </row>
    <row r="1452" customFormat="false" ht="15" hidden="false" customHeight="true" outlineLevel="0" collapsed="false">
      <c r="A1452" s="11"/>
      <c r="B1452" s="7"/>
      <c r="C1452" s="12" t="str">
        <f aca="false">IF($B1452="","",IFERROR(INDEX(자원목록!$B$3:$B$102,MATCH($B1452,자원목록!$A$3:$A$102,0)),"미등록자원"))</f>
        <v/>
      </c>
      <c r="D1452" s="7"/>
      <c r="E1452" s="12" t="str">
        <f aca="false">IF($D1452="","",IFERROR(INDEX(고객목록!$B$3:$B$502,MATCH($D1452,고객목록!$A$3:$A$502,0)),""))</f>
        <v/>
      </c>
      <c r="F1452" s="13"/>
      <c r="G1452" s="13"/>
      <c r="H1452" s="14" t="str">
        <f aca="false">IF(OR($L1452="",$M1452=""),"",ROUND(($M1452-$L1452)/60,2))</f>
        <v/>
      </c>
      <c r="I1452" s="9"/>
      <c r="J1452" s="7"/>
      <c r="K1452" s="7"/>
      <c r="L1452" s="15" t="str">
        <f aca="false">IF($F1452="","",IF($F1452&lt;1,ROUND($F1452*1440,0),INT($F1452/100)*60+MOD($F1452,100)))</f>
        <v/>
      </c>
      <c r="M1452" s="15" t="str">
        <f aca="false">IF($G1452="","",IF($G1452&lt;1,ROUND($G1452*1440,0),INT($G1452/100)*60+MOD($G1452,100)))</f>
        <v/>
      </c>
      <c r="N1452" s="15" t="str">
        <f aca="false">IF(OR($A1452="",$B1452="",$L1452="",$M1452="",$J1452="취소"),"",IF(SUMPRODUCT(($A$3:$A$2002=$A1452)*($B$3:$B$2002=$B1452)*($J$3:$J$2002&lt;&gt;"취소")*($L$3:$L$2002&lt;&gt;"")*($M$3:$M$2002&lt;&gt;"")*($L$3:$L$2002&lt;$M1452)*($M$3:$M$2002&gt;$L1452))&gt;1,"중복","-"))</f>
        <v/>
      </c>
    </row>
    <row r="1453" customFormat="false" ht="15" hidden="false" customHeight="true" outlineLevel="0" collapsed="false">
      <c r="A1453" s="11"/>
      <c r="B1453" s="7"/>
      <c r="C1453" s="12" t="str">
        <f aca="false">IF($B1453="","",IFERROR(INDEX(자원목록!$B$3:$B$102,MATCH($B1453,자원목록!$A$3:$A$102,0)),"미등록자원"))</f>
        <v/>
      </c>
      <c r="D1453" s="7"/>
      <c r="E1453" s="12" t="str">
        <f aca="false">IF($D1453="","",IFERROR(INDEX(고객목록!$B$3:$B$502,MATCH($D1453,고객목록!$A$3:$A$502,0)),""))</f>
        <v/>
      </c>
      <c r="F1453" s="13"/>
      <c r="G1453" s="13"/>
      <c r="H1453" s="14" t="str">
        <f aca="false">IF(OR($L1453="",$M1453=""),"",ROUND(($M1453-$L1453)/60,2))</f>
        <v/>
      </c>
      <c r="I1453" s="9"/>
      <c r="J1453" s="7"/>
      <c r="K1453" s="7"/>
      <c r="L1453" s="15" t="str">
        <f aca="false">IF($F1453="","",IF($F1453&lt;1,ROUND($F1453*1440,0),INT($F1453/100)*60+MOD($F1453,100)))</f>
        <v/>
      </c>
      <c r="M1453" s="15" t="str">
        <f aca="false">IF($G1453="","",IF($G1453&lt;1,ROUND($G1453*1440,0),INT($G1453/100)*60+MOD($G1453,100)))</f>
        <v/>
      </c>
      <c r="N1453" s="15" t="str">
        <f aca="false">IF(OR($A1453="",$B1453="",$L1453="",$M1453="",$J1453="취소"),"",IF(SUMPRODUCT(($A$3:$A$2002=$A1453)*($B$3:$B$2002=$B1453)*($J$3:$J$2002&lt;&gt;"취소")*($L$3:$L$2002&lt;&gt;"")*($M$3:$M$2002&lt;&gt;"")*($L$3:$L$2002&lt;$M1453)*($M$3:$M$2002&gt;$L1453))&gt;1,"중복","-"))</f>
        <v/>
      </c>
    </row>
    <row r="1454" customFormat="false" ht="15" hidden="false" customHeight="true" outlineLevel="0" collapsed="false">
      <c r="A1454" s="11"/>
      <c r="B1454" s="7"/>
      <c r="C1454" s="12" t="str">
        <f aca="false">IF($B1454="","",IFERROR(INDEX(자원목록!$B$3:$B$102,MATCH($B1454,자원목록!$A$3:$A$102,0)),"미등록자원"))</f>
        <v/>
      </c>
      <c r="D1454" s="7"/>
      <c r="E1454" s="12" t="str">
        <f aca="false">IF($D1454="","",IFERROR(INDEX(고객목록!$B$3:$B$502,MATCH($D1454,고객목록!$A$3:$A$502,0)),""))</f>
        <v/>
      </c>
      <c r="F1454" s="13"/>
      <c r="G1454" s="13"/>
      <c r="H1454" s="14" t="str">
        <f aca="false">IF(OR($L1454="",$M1454=""),"",ROUND(($M1454-$L1454)/60,2))</f>
        <v/>
      </c>
      <c r="I1454" s="9"/>
      <c r="J1454" s="7"/>
      <c r="K1454" s="7"/>
      <c r="L1454" s="15" t="str">
        <f aca="false">IF($F1454="","",IF($F1454&lt;1,ROUND($F1454*1440,0),INT($F1454/100)*60+MOD($F1454,100)))</f>
        <v/>
      </c>
      <c r="M1454" s="15" t="str">
        <f aca="false">IF($G1454="","",IF($G1454&lt;1,ROUND($G1454*1440,0),INT($G1454/100)*60+MOD($G1454,100)))</f>
        <v/>
      </c>
      <c r="N1454" s="15" t="str">
        <f aca="false">IF(OR($A1454="",$B1454="",$L1454="",$M1454="",$J1454="취소"),"",IF(SUMPRODUCT(($A$3:$A$2002=$A1454)*($B$3:$B$2002=$B1454)*($J$3:$J$2002&lt;&gt;"취소")*($L$3:$L$2002&lt;&gt;"")*($M$3:$M$2002&lt;&gt;"")*($L$3:$L$2002&lt;$M1454)*($M$3:$M$2002&gt;$L1454))&gt;1,"중복","-"))</f>
        <v/>
      </c>
    </row>
    <row r="1455" customFormat="false" ht="15" hidden="false" customHeight="true" outlineLevel="0" collapsed="false">
      <c r="A1455" s="11"/>
      <c r="B1455" s="7"/>
      <c r="C1455" s="12" t="str">
        <f aca="false">IF($B1455="","",IFERROR(INDEX(자원목록!$B$3:$B$102,MATCH($B1455,자원목록!$A$3:$A$102,0)),"미등록자원"))</f>
        <v/>
      </c>
      <c r="D1455" s="7"/>
      <c r="E1455" s="12" t="str">
        <f aca="false">IF($D1455="","",IFERROR(INDEX(고객목록!$B$3:$B$502,MATCH($D1455,고객목록!$A$3:$A$502,0)),""))</f>
        <v/>
      </c>
      <c r="F1455" s="13"/>
      <c r="G1455" s="13"/>
      <c r="H1455" s="14" t="str">
        <f aca="false">IF(OR($L1455="",$M1455=""),"",ROUND(($M1455-$L1455)/60,2))</f>
        <v/>
      </c>
      <c r="I1455" s="9"/>
      <c r="J1455" s="7"/>
      <c r="K1455" s="7"/>
      <c r="L1455" s="15" t="str">
        <f aca="false">IF($F1455="","",IF($F1455&lt;1,ROUND($F1455*1440,0),INT($F1455/100)*60+MOD($F1455,100)))</f>
        <v/>
      </c>
      <c r="M1455" s="15" t="str">
        <f aca="false">IF($G1455="","",IF($G1455&lt;1,ROUND($G1455*1440,0),INT($G1455/100)*60+MOD($G1455,100)))</f>
        <v/>
      </c>
      <c r="N1455" s="15" t="str">
        <f aca="false">IF(OR($A1455="",$B1455="",$L1455="",$M1455="",$J1455="취소"),"",IF(SUMPRODUCT(($A$3:$A$2002=$A1455)*($B$3:$B$2002=$B1455)*($J$3:$J$2002&lt;&gt;"취소")*($L$3:$L$2002&lt;&gt;"")*($M$3:$M$2002&lt;&gt;"")*($L$3:$L$2002&lt;$M1455)*($M$3:$M$2002&gt;$L1455))&gt;1,"중복","-"))</f>
        <v/>
      </c>
    </row>
    <row r="1456" customFormat="false" ht="15" hidden="false" customHeight="true" outlineLevel="0" collapsed="false">
      <c r="A1456" s="11"/>
      <c r="B1456" s="7"/>
      <c r="C1456" s="12" t="str">
        <f aca="false">IF($B1456="","",IFERROR(INDEX(자원목록!$B$3:$B$102,MATCH($B1456,자원목록!$A$3:$A$102,0)),"미등록자원"))</f>
        <v/>
      </c>
      <c r="D1456" s="7"/>
      <c r="E1456" s="12" t="str">
        <f aca="false">IF($D1456="","",IFERROR(INDEX(고객목록!$B$3:$B$502,MATCH($D1456,고객목록!$A$3:$A$502,0)),""))</f>
        <v/>
      </c>
      <c r="F1456" s="13"/>
      <c r="G1456" s="13"/>
      <c r="H1456" s="14" t="str">
        <f aca="false">IF(OR($L1456="",$M1456=""),"",ROUND(($M1456-$L1456)/60,2))</f>
        <v/>
      </c>
      <c r="I1456" s="9"/>
      <c r="J1456" s="7"/>
      <c r="K1456" s="7"/>
      <c r="L1456" s="15" t="str">
        <f aca="false">IF($F1456="","",IF($F1456&lt;1,ROUND($F1456*1440,0),INT($F1456/100)*60+MOD($F1456,100)))</f>
        <v/>
      </c>
      <c r="M1456" s="15" t="str">
        <f aca="false">IF($G1456="","",IF($G1456&lt;1,ROUND($G1456*1440,0),INT($G1456/100)*60+MOD($G1456,100)))</f>
        <v/>
      </c>
      <c r="N1456" s="15" t="str">
        <f aca="false">IF(OR($A1456="",$B1456="",$L1456="",$M1456="",$J1456="취소"),"",IF(SUMPRODUCT(($A$3:$A$2002=$A1456)*($B$3:$B$2002=$B1456)*($J$3:$J$2002&lt;&gt;"취소")*($L$3:$L$2002&lt;&gt;"")*($M$3:$M$2002&lt;&gt;"")*($L$3:$L$2002&lt;$M1456)*($M$3:$M$2002&gt;$L1456))&gt;1,"중복","-"))</f>
        <v/>
      </c>
    </row>
    <row r="1457" customFormat="false" ht="15" hidden="false" customHeight="true" outlineLevel="0" collapsed="false">
      <c r="A1457" s="11"/>
      <c r="B1457" s="7"/>
      <c r="C1457" s="12" t="str">
        <f aca="false">IF($B1457="","",IFERROR(INDEX(자원목록!$B$3:$B$102,MATCH($B1457,자원목록!$A$3:$A$102,0)),"미등록자원"))</f>
        <v/>
      </c>
      <c r="D1457" s="7"/>
      <c r="E1457" s="12" t="str">
        <f aca="false">IF($D1457="","",IFERROR(INDEX(고객목록!$B$3:$B$502,MATCH($D1457,고객목록!$A$3:$A$502,0)),""))</f>
        <v/>
      </c>
      <c r="F1457" s="13"/>
      <c r="G1457" s="13"/>
      <c r="H1457" s="14" t="str">
        <f aca="false">IF(OR($L1457="",$M1457=""),"",ROUND(($M1457-$L1457)/60,2))</f>
        <v/>
      </c>
      <c r="I1457" s="9"/>
      <c r="J1457" s="7"/>
      <c r="K1457" s="7"/>
      <c r="L1457" s="15" t="str">
        <f aca="false">IF($F1457="","",IF($F1457&lt;1,ROUND($F1457*1440,0),INT($F1457/100)*60+MOD($F1457,100)))</f>
        <v/>
      </c>
      <c r="M1457" s="15" t="str">
        <f aca="false">IF($G1457="","",IF($G1457&lt;1,ROUND($G1457*1440,0),INT($G1457/100)*60+MOD($G1457,100)))</f>
        <v/>
      </c>
      <c r="N1457" s="15" t="str">
        <f aca="false">IF(OR($A1457="",$B1457="",$L1457="",$M1457="",$J1457="취소"),"",IF(SUMPRODUCT(($A$3:$A$2002=$A1457)*($B$3:$B$2002=$B1457)*($J$3:$J$2002&lt;&gt;"취소")*($L$3:$L$2002&lt;&gt;"")*($M$3:$M$2002&lt;&gt;"")*($L$3:$L$2002&lt;$M1457)*($M$3:$M$2002&gt;$L1457))&gt;1,"중복","-"))</f>
        <v/>
      </c>
    </row>
    <row r="1458" customFormat="false" ht="15" hidden="false" customHeight="true" outlineLevel="0" collapsed="false">
      <c r="A1458" s="11"/>
      <c r="B1458" s="7"/>
      <c r="C1458" s="12" t="str">
        <f aca="false">IF($B1458="","",IFERROR(INDEX(자원목록!$B$3:$B$102,MATCH($B1458,자원목록!$A$3:$A$102,0)),"미등록자원"))</f>
        <v/>
      </c>
      <c r="D1458" s="7"/>
      <c r="E1458" s="12" t="str">
        <f aca="false">IF($D1458="","",IFERROR(INDEX(고객목록!$B$3:$B$502,MATCH($D1458,고객목록!$A$3:$A$502,0)),""))</f>
        <v/>
      </c>
      <c r="F1458" s="13"/>
      <c r="G1458" s="13"/>
      <c r="H1458" s="14" t="str">
        <f aca="false">IF(OR($L1458="",$M1458=""),"",ROUND(($M1458-$L1458)/60,2))</f>
        <v/>
      </c>
      <c r="I1458" s="9"/>
      <c r="J1458" s="7"/>
      <c r="K1458" s="7"/>
      <c r="L1458" s="15" t="str">
        <f aca="false">IF($F1458="","",IF($F1458&lt;1,ROUND($F1458*1440,0),INT($F1458/100)*60+MOD($F1458,100)))</f>
        <v/>
      </c>
      <c r="M1458" s="15" t="str">
        <f aca="false">IF($G1458="","",IF($G1458&lt;1,ROUND($G1458*1440,0),INT($G1458/100)*60+MOD($G1458,100)))</f>
        <v/>
      </c>
      <c r="N1458" s="15" t="str">
        <f aca="false">IF(OR($A1458="",$B1458="",$L1458="",$M1458="",$J1458="취소"),"",IF(SUMPRODUCT(($A$3:$A$2002=$A1458)*($B$3:$B$2002=$B1458)*($J$3:$J$2002&lt;&gt;"취소")*($L$3:$L$2002&lt;&gt;"")*($M$3:$M$2002&lt;&gt;"")*($L$3:$L$2002&lt;$M1458)*($M$3:$M$2002&gt;$L1458))&gt;1,"중복","-"))</f>
        <v/>
      </c>
    </row>
    <row r="1459" customFormat="false" ht="15" hidden="false" customHeight="true" outlineLevel="0" collapsed="false">
      <c r="A1459" s="11"/>
      <c r="B1459" s="7"/>
      <c r="C1459" s="12" t="str">
        <f aca="false">IF($B1459="","",IFERROR(INDEX(자원목록!$B$3:$B$102,MATCH($B1459,자원목록!$A$3:$A$102,0)),"미등록자원"))</f>
        <v/>
      </c>
      <c r="D1459" s="7"/>
      <c r="E1459" s="12" t="str">
        <f aca="false">IF($D1459="","",IFERROR(INDEX(고객목록!$B$3:$B$502,MATCH($D1459,고객목록!$A$3:$A$502,0)),""))</f>
        <v/>
      </c>
      <c r="F1459" s="13"/>
      <c r="G1459" s="13"/>
      <c r="H1459" s="14" t="str">
        <f aca="false">IF(OR($L1459="",$M1459=""),"",ROUND(($M1459-$L1459)/60,2))</f>
        <v/>
      </c>
      <c r="I1459" s="9"/>
      <c r="J1459" s="7"/>
      <c r="K1459" s="7"/>
      <c r="L1459" s="15" t="str">
        <f aca="false">IF($F1459="","",IF($F1459&lt;1,ROUND($F1459*1440,0),INT($F1459/100)*60+MOD($F1459,100)))</f>
        <v/>
      </c>
      <c r="M1459" s="15" t="str">
        <f aca="false">IF($G1459="","",IF($G1459&lt;1,ROUND($G1459*1440,0),INT($G1459/100)*60+MOD($G1459,100)))</f>
        <v/>
      </c>
      <c r="N1459" s="15" t="str">
        <f aca="false">IF(OR($A1459="",$B1459="",$L1459="",$M1459="",$J1459="취소"),"",IF(SUMPRODUCT(($A$3:$A$2002=$A1459)*($B$3:$B$2002=$B1459)*($J$3:$J$2002&lt;&gt;"취소")*($L$3:$L$2002&lt;&gt;"")*($M$3:$M$2002&lt;&gt;"")*($L$3:$L$2002&lt;$M1459)*($M$3:$M$2002&gt;$L1459))&gt;1,"중복","-"))</f>
        <v/>
      </c>
    </row>
    <row r="1460" customFormat="false" ht="15" hidden="false" customHeight="true" outlineLevel="0" collapsed="false">
      <c r="A1460" s="11"/>
      <c r="B1460" s="7"/>
      <c r="C1460" s="12" t="str">
        <f aca="false">IF($B1460="","",IFERROR(INDEX(자원목록!$B$3:$B$102,MATCH($B1460,자원목록!$A$3:$A$102,0)),"미등록자원"))</f>
        <v/>
      </c>
      <c r="D1460" s="7"/>
      <c r="E1460" s="12" t="str">
        <f aca="false">IF($D1460="","",IFERROR(INDEX(고객목록!$B$3:$B$502,MATCH($D1460,고객목록!$A$3:$A$502,0)),""))</f>
        <v/>
      </c>
      <c r="F1460" s="13"/>
      <c r="G1460" s="13"/>
      <c r="H1460" s="14" t="str">
        <f aca="false">IF(OR($L1460="",$M1460=""),"",ROUND(($M1460-$L1460)/60,2))</f>
        <v/>
      </c>
      <c r="I1460" s="9"/>
      <c r="J1460" s="7"/>
      <c r="K1460" s="7"/>
      <c r="L1460" s="15" t="str">
        <f aca="false">IF($F1460="","",IF($F1460&lt;1,ROUND($F1460*1440,0),INT($F1460/100)*60+MOD($F1460,100)))</f>
        <v/>
      </c>
      <c r="M1460" s="15" t="str">
        <f aca="false">IF($G1460="","",IF($G1460&lt;1,ROUND($G1460*1440,0),INT($G1460/100)*60+MOD($G1460,100)))</f>
        <v/>
      </c>
      <c r="N1460" s="15" t="str">
        <f aca="false">IF(OR($A1460="",$B1460="",$L1460="",$M1460="",$J1460="취소"),"",IF(SUMPRODUCT(($A$3:$A$2002=$A1460)*($B$3:$B$2002=$B1460)*($J$3:$J$2002&lt;&gt;"취소")*($L$3:$L$2002&lt;&gt;"")*($M$3:$M$2002&lt;&gt;"")*($L$3:$L$2002&lt;$M1460)*($M$3:$M$2002&gt;$L1460))&gt;1,"중복","-"))</f>
        <v/>
      </c>
    </row>
    <row r="1461" customFormat="false" ht="15" hidden="false" customHeight="true" outlineLevel="0" collapsed="false">
      <c r="A1461" s="11"/>
      <c r="B1461" s="7"/>
      <c r="C1461" s="12" t="str">
        <f aca="false">IF($B1461="","",IFERROR(INDEX(자원목록!$B$3:$B$102,MATCH($B1461,자원목록!$A$3:$A$102,0)),"미등록자원"))</f>
        <v/>
      </c>
      <c r="D1461" s="7"/>
      <c r="E1461" s="12" t="str">
        <f aca="false">IF($D1461="","",IFERROR(INDEX(고객목록!$B$3:$B$502,MATCH($D1461,고객목록!$A$3:$A$502,0)),""))</f>
        <v/>
      </c>
      <c r="F1461" s="13"/>
      <c r="G1461" s="13"/>
      <c r="H1461" s="14" t="str">
        <f aca="false">IF(OR($L1461="",$M1461=""),"",ROUND(($M1461-$L1461)/60,2))</f>
        <v/>
      </c>
      <c r="I1461" s="9"/>
      <c r="J1461" s="7"/>
      <c r="K1461" s="7"/>
      <c r="L1461" s="15" t="str">
        <f aca="false">IF($F1461="","",IF($F1461&lt;1,ROUND($F1461*1440,0),INT($F1461/100)*60+MOD($F1461,100)))</f>
        <v/>
      </c>
      <c r="M1461" s="15" t="str">
        <f aca="false">IF($G1461="","",IF($G1461&lt;1,ROUND($G1461*1440,0),INT($G1461/100)*60+MOD($G1461,100)))</f>
        <v/>
      </c>
      <c r="N1461" s="15" t="str">
        <f aca="false">IF(OR($A1461="",$B1461="",$L1461="",$M1461="",$J1461="취소"),"",IF(SUMPRODUCT(($A$3:$A$2002=$A1461)*($B$3:$B$2002=$B1461)*($J$3:$J$2002&lt;&gt;"취소")*($L$3:$L$2002&lt;&gt;"")*($M$3:$M$2002&lt;&gt;"")*($L$3:$L$2002&lt;$M1461)*($M$3:$M$2002&gt;$L1461))&gt;1,"중복","-"))</f>
        <v/>
      </c>
    </row>
    <row r="1462" customFormat="false" ht="15" hidden="false" customHeight="true" outlineLevel="0" collapsed="false">
      <c r="A1462" s="11"/>
      <c r="B1462" s="7"/>
      <c r="C1462" s="12" t="str">
        <f aca="false">IF($B1462="","",IFERROR(INDEX(자원목록!$B$3:$B$102,MATCH($B1462,자원목록!$A$3:$A$102,0)),"미등록자원"))</f>
        <v/>
      </c>
      <c r="D1462" s="7"/>
      <c r="E1462" s="12" t="str">
        <f aca="false">IF($D1462="","",IFERROR(INDEX(고객목록!$B$3:$B$502,MATCH($D1462,고객목록!$A$3:$A$502,0)),""))</f>
        <v/>
      </c>
      <c r="F1462" s="13"/>
      <c r="G1462" s="13"/>
      <c r="H1462" s="14" t="str">
        <f aca="false">IF(OR($L1462="",$M1462=""),"",ROUND(($M1462-$L1462)/60,2))</f>
        <v/>
      </c>
      <c r="I1462" s="9"/>
      <c r="J1462" s="7"/>
      <c r="K1462" s="7"/>
      <c r="L1462" s="15" t="str">
        <f aca="false">IF($F1462="","",IF($F1462&lt;1,ROUND($F1462*1440,0),INT($F1462/100)*60+MOD($F1462,100)))</f>
        <v/>
      </c>
      <c r="M1462" s="15" t="str">
        <f aca="false">IF($G1462="","",IF($G1462&lt;1,ROUND($G1462*1440,0),INT($G1462/100)*60+MOD($G1462,100)))</f>
        <v/>
      </c>
      <c r="N1462" s="15" t="str">
        <f aca="false">IF(OR($A1462="",$B1462="",$L1462="",$M1462="",$J1462="취소"),"",IF(SUMPRODUCT(($A$3:$A$2002=$A1462)*($B$3:$B$2002=$B1462)*($J$3:$J$2002&lt;&gt;"취소")*($L$3:$L$2002&lt;&gt;"")*($M$3:$M$2002&lt;&gt;"")*($L$3:$L$2002&lt;$M1462)*($M$3:$M$2002&gt;$L1462))&gt;1,"중복","-"))</f>
        <v/>
      </c>
    </row>
    <row r="1463" customFormat="false" ht="15" hidden="false" customHeight="true" outlineLevel="0" collapsed="false">
      <c r="A1463" s="11"/>
      <c r="B1463" s="7"/>
      <c r="C1463" s="12" t="str">
        <f aca="false">IF($B1463="","",IFERROR(INDEX(자원목록!$B$3:$B$102,MATCH($B1463,자원목록!$A$3:$A$102,0)),"미등록자원"))</f>
        <v/>
      </c>
      <c r="D1463" s="7"/>
      <c r="E1463" s="12" t="str">
        <f aca="false">IF($D1463="","",IFERROR(INDEX(고객목록!$B$3:$B$502,MATCH($D1463,고객목록!$A$3:$A$502,0)),""))</f>
        <v/>
      </c>
      <c r="F1463" s="13"/>
      <c r="G1463" s="13"/>
      <c r="H1463" s="14" t="str">
        <f aca="false">IF(OR($L1463="",$M1463=""),"",ROUND(($M1463-$L1463)/60,2))</f>
        <v/>
      </c>
      <c r="I1463" s="9"/>
      <c r="J1463" s="7"/>
      <c r="K1463" s="7"/>
      <c r="L1463" s="15" t="str">
        <f aca="false">IF($F1463="","",IF($F1463&lt;1,ROUND($F1463*1440,0),INT($F1463/100)*60+MOD($F1463,100)))</f>
        <v/>
      </c>
      <c r="M1463" s="15" t="str">
        <f aca="false">IF($G1463="","",IF($G1463&lt;1,ROUND($G1463*1440,0),INT($G1463/100)*60+MOD($G1463,100)))</f>
        <v/>
      </c>
      <c r="N1463" s="15" t="str">
        <f aca="false">IF(OR($A1463="",$B1463="",$L1463="",$M1463="",$J1463="취소"),"",IF(SUMPRODUCT(($A$3:$A$2002=$A1463)*($B$3:$B$2002=$B1463)*($J$3:$J$2002&lt;&gt;"취소")*($L$3:$L$2002&lt;&gt;"")*($M$3:$M$2002&lt;&gt;"")*($L$3:$L$2002&lt;$M1463)*($M$3:$M$2002&gt;$L1463))&gt;1,"중복","-"))</f>
        <v/>
      </c>
    </row>
    <row r="1464" customFormat="false" ht="15" hidden="false" customHeight="true" outlineLevel="0" collapsed="false">
      <c r="A1464" s="11"/>
      <c r="B1464" s="7"/>
      <c r="C1464" s="12" t="str">
        <f aca="false">IF($B1464="","",IFERROR(INDEX(자원목록!$B$3:$B$102,MATCH($B1464,자원목록!$A$3:$A$102,0)),"미등록자원"))</f>
        <v/>
      </c>
      <c r="D1464" s="7"/>
      <c r="E1464" s="12" t="str">
        <f aca="false">IF($D1464="","",IFERROR(INDEX(고객목록!$B$3:$B$502,MATCH($D1464,고객목록!$A$3:$A$502,0)),""))</f>
        <v/>
      </c>
      <c r="F1464" s="13"/>
      <c r="G1464" s="13"/>
      <c r="H1464" s="14" t="str">
        <f aca="false">IF(OR($L1464="",$M1464=""),"",ROUND(($M1464-$L1464)/60,2))</f>
        <v/>
      </c>
      <c r="I1464" s="9"/>
      <c r="J1464" s="7"/>
      <c r="K1464" s="7"/>
      <c r="L1464" s="15" t="str">
        <f aca="false">IF($F1464="","",IF($F1464&lt;1,ROUND($F1464*1440,0),INT($F1464/100)*60+MOD($F1464,100)))</f>
        <v/>
      </c>
      <c r="M1464" s="15" t="str">
        <f aca="false">IF($G1464="","",IF($G1464&lt;1,ROUND($G1464*1440,0),INT($G1464/100)*60+MOD($G1464,100)))</f>
        <v/>
      </c>
      <c r="N1464" s="15" t="str">
        <f aca="false">IF(OR($A1464="",$B1464="",$L1464="",$M1464="",$J1464="취소"),"",IF(SUMPRODUCT(($A$3:$A$2002=$A1464)*($B$3:$B$2002=$B1464)*($J$3:$J$2002&lt;&gt;"취소")*($L$3:$L$2002&lt;&gt;"")*($M$3:$M$2002&lt;&gt;"")*($L$3:$L$2002&lt;$M1464)*($M$3:$M$2002&gt;$L1464))&gt;1,"중복","-"))</f>
        <v/>
      </c>
    </row>
    <row r="1465" customFormat="false" ht="15" hidden="false" customHeight="true" outlineLevel="0" collapsed="false">
      <c r="A1465" s="11"/>
      <c r="B1465" s="7"/>
      <c r="C1465" s="12" t="str">
        <f aca="false">IF($B1465="","",IFERROR(INDEX(자원목록!$B$3:$B$102,MATCH($B1465,자원목록!$A$3:$A$102,0)),"미등록자원"))</f>
        <v/>
      </c>
      <c r="D1465" s="7"/>
      <c r="E1465" s="12" t="str">
        <f aca="false">IF($D1465="","",IFERROR(INDEX(고객목록!$B$3:$B$502,MATCH($D1465,고객목록!$A$3:$A$502,0)),""))</f>
        <v/>
      </c>
      <c r="F1465" s="13"/>
      <c r="G1465" s="13"/>
      <c r="H1465" s="14" t="str">
        <f aca="false">IF(OR($L1465="",$M1465=""),"",ROUND(($M1465-$L1465)/60,2))</f>
        <v/>
      </c>
      <c r="I1465" s="9"/>
      <c r="J1465" s="7"/>
      <c r="K1465" s="7"/>
      <c r="L1465" s="15" t="str">
        <f aca="false">IF($F1465="","",IF($F1465&lt;1,ROUND($F1465*1440,0),INT($F1465/100)*60+MOD($F1465,100)))</f>
        <v/>
      </c>
      <c r="M1465" s="15" t="str">
        <f aca="false">IF($G1465="","",IF($G1465&lt;1,ROUND($G1465*1440,0),INT($G1465/100)*60+MOD($G1465,100)))</f>
        <v/>
      </c>
      <c r="N1465" s="15" t="str">
        <f aca="false">IF(OR($A1465="",$B1465="",$L1465="",$M1465="",$J1465="취소"),"",IF(SUMPRODUCT(($A$3:$A$2002=$A1465)*($B$3:$B$2002=$B1465)*($J$3:$J$2002&lt;&gt;"취소")*($L$3:$L$2002&lt;&gt;"")*($M$3:$M$2002&lt;&gt;"")*($L$3:$L$2002&lt;$M1465)*($M$3:$M$2002&gt;$L1465))&gt;1,"중복","-"))</f>
        <v/>
      </c>
    </row>
    <row r="1466" customFormat="false" ht="15" hidden="false" customHeight="true" outlineLevel="0" collapsed="false">
      <c r="A1466" s="11"/>
      <c r="B1466" s="7"/>
      <c r="C1466" s="12" t="str">
        <f aca="false">IF($B1466="","",IFERROR(INDEX(자원목록!$B$3:$B$102,MATCH($B1466,자원목록!$A$3:$A$102,0)),"미등록자원"))</f>
        <v/>
      </c>
      <c r="D1466" s="7"/>
      <c r="E1466" s="12" t="str">
        <f aca="false">IF($D1466="","",IFERROR(INDEX(고객목록!$B$3:$B$502,MATCH($D1466,고객목록!$A$3:$A$502,0)),""))</f>
        <v/>
      </c>
      <c r="F1466" s="13"/>
      <c r="G1466" s="13"/>
      <c r="H1466" s="14" t="str">
        <f aca="false">IF(OR($L1466="",$M1466=""),"",ROUND(($M1466-$L1466)/60,2))</f>
        <v/>
      </c>
      <c r="I1466" s="9"/>
      <c r="J1466" s="7"/>
      <c r="K1466" s="7"/>
      <c r="L1466" s="15" t="str">
        <f aca="false">IF($F1466="","",IF($F1466&lt;1,ROUND($F1466*1440,0),INT($F1466/100)*60+MOD($F1466,100)))</f>
        <v/>
      </c>
      <c r="M1466" s="15" t="str">
        <f aca="false">IF($G1466="","",IF($G1466&lt;1,ROUND($G1466*1440,0),INT($G1466/100)*60+MOD($G1466,100)))</f>
        <v/>
      </c>
      <c r="N1466" s="15" t="str">
        <f aca="false">IF(OR($A1466="",$B1466="",$L1466="",$M1466="",$J1466="취소"),"",IF(SUMPRODUCT(($A$3:$A$2002=$A1466)*($B$3:$B$2002=$B1466)*($J$3:$J$2002&lt;&gt;"취소")*($L$3:$L$2002&lt;&gt;"")*($M$3:$M$2002&lt;&gt;"")*($L$3:$L$2002&lt;$M1466)*($M$3:$M$2002&gt;$L1466))&gt;1,"중복","-"))</f>
        <v/>
      </c>
    </row>
    <row r="1467" customFormat="false" ht="15" hidden="false" customHeight="true" outlineLevel="0" collapsed="false">
      <c r="A1467" s="11"/>
      <c r="B1467" s="7"/>
      <c r="C1467" s="12" t="str">
        <f aca="false">IF($B1467="","",IFERROR(INDEX(자원목록!$B$3:$B$102,MATCH($B1467,자원목록!$A$3:$A$102,0)),"미등록자원"))</f>
        <v/>
      </c>
      <c r="D1467" s="7"/>
      <c r="E1467" s="12" t="str">
        <f aca="false">IF($D1467="","",IFERROR(INDEX(고객목록!$B$3:$B$502,MATCH($D1467,고객목록!$A$3:$A$502,0)),""))</f>
        <v/>
      </c>
      <c r="F1467" s="13"/>
      <c r="G1467" s="13"/>
      <c r="H1467" s="14" t="str">
        <f aca="false">IF(OR($L1467="",$M1467=""),"",ROUND(($M1467-$L1467)/60,2))</f>
        <v/>
      </c>
      <c r="I1467" s="9"/>
      <c r="J1467" s="7"/>
      <c r="K1467" s="7"/>
      <c r="L1467" s="15" t="str">
        <f aca="false">IF($F1467="","",IF($F1467&lt;1,ROUND($F1467*1440,0),INT($F1467/100)*60+MOD($F1467,100)))</f>
        <v/>
      </c>
      <c r="M1467" s="15" t="str">
        <f aca="false">IF($G1467="","",IF($G1467&lt;1,ROUND($G1467*1440,0),INT($G1467/100)*60+MOD($G1467,100)))</f>
        <v/>
      </c>
      <c r="N1467" s="15" t="str">
        <f aca="false">IF(OR($A1467="",$B1467="",$L1467="",$M1467="",$J1467="취소"),"",IF(SUMPRODUCT(($A$3:$A$2002=$A1467)*($B$3:$B$2002=$B1467)*($J$3:$J$2002&lt;&gt;"취소")*($L$3:$L$2002&lt;&gt;"")*($M$3:$M$2002&lt;&gt;"")*($L$3:$L$2002&lt;$M1467)*($M$3:$M$2002&gt;$L1467))&gt;1,"중복","-"))</f>
        <v/>
      </c>
    </row>
    <row r="1468" customFormat="false" ht="15" hidden="false" customHeight="true" outlineLevel="0" collapsed="false">
      <c r="A1468" s="11"/>
      <c r="B1468" s="7"/>
      <c r="C1468" s="12" t="str">
        <f aca="false">IF($B1468="","",IFERROR(INDEX(자원목록!$B$3:$B$102,MATCH($B1468,자원목록!$A$3:$A$102,0)),"미등록자원"))</f>
        <v/>
      </c>
      <c r="D1468" s="7"/>
      <c r="E1468" s="12" t="str">
        <f aca="false">IF($D1468="","",IFERROR(INDEX(고객목록!$B$3:$B$502,MATCH($D1468,고객목록!$A$3:$A$502,0)),""))</f>
        <v/>
      </c>
      <c r="F1468" s="13"/>
      <c r="G1468" s="13"/>
      <c r="H1468" s="14" t="str">
        <f aca="false">IF(OR($L1468="",$M1468=""),"",ROUND(($M1468-$L1468)/60,2))</f>
        <v/>
      </c>
      <c r="I1468" s="9"/>
      <c r="J1468" s="7"/>
      <c r="K1468" s="7"/>
      <c r="L1468" s="15" t="str">
        <f aca="false">IF($F1468="","",IF($F1468&lt;1,ROUND($F1468*1440,0),INT($F1468/100)*60+MOD($F1468,100)))</f>
        <v/>
      </c>
      <c r="M1468" s="15" t="str">
        <f aca="false">IF($G1468="","",IF($G1468&lt;1,ROUND($G1468*1440,0),INT($G1468/100)*60+MOD($G1468,100)))</f>
        <v/>
      </c>
      <c r="N1468" s="15" t="str">
        <f aca="false">IF(OR($A1468="",$B1468="",$L1468="",$M1468="",$J1468="취소"),"",IF(SUMPRODUCT(($A$3:$A$2002=$A1468)*($B$3:$B$2002=$B1468)*($J$3:$J$2002&lt;&gt;"취소")*($L$3:$L$2002&lt;&gt;"")*($M$3:$M$2002&lt;&gt;"")*($L$3:$L$2002&lt;$M1468)*($M$3:$M$2002&gt;$L1468))&gt;1,"중복","-"))</f>
        <v/>
      </c>
    </row>
    <row r="1469" customFormat="false" ht="15" hidden="false" customHeight="true" outlineLevel="0" collapsed="false">
      <c r="A1469" s="11"/>
      <c r="B1469" s="7"/>
      <c r="C1469" s="12" t="str">
        <f aca="false">IF($B1469="","",IFERROR(INDEX(자원목록!$B$3:$B$102,MATCH($B1469,자원목록!$A$3:$A$102,0)),"미등록자원"))</f>
        <v/>
      </c>
      <c r="D1469" s="7"/>
      <c r="E1469" s="12" t="str">
        <f aca="false">IF($D1469="","",IFERROR(INDEX(고객목록!$B$3:$B$502,MATCH($D1469,고객목록!$A$3:$A$502,0)),""))</f>
        <v/>
      </c>
      <c r="F1469" s="13"/>
      <c r="G1469" s="13"/>
      <c r="H1469" s="14" t="str">
        <f aca="false">IF(OR($L1469="",$M1469=""),"",ROUND(($M1469-$L1469)/60,2))</f>
        <v/>
      </c>
      <c r="I1469" s="9"/>
      <c r="J1469" s="7"/>
      <c r="K1469" s="7"/>
      <c r="L1469" s="15" t="str">
        <f aca="false">IF($F1469="","",IF($F1469&lt;1,ROUND($F1469*1440,0),INT($F1469/100)*60+MOD($F1469,100)))</f>
        <v/>
      </c>
      <c r="M1469" s="15" t="str">
        <f aca="false">IF($G1469="","",IF($G1469&lt;1,ROUND($G1469*1440,0),INT($G1469/100)*60+MOD($G1469,100)))</f>
        <v/>
      </c>
      <c r="N1469" s="15" t="str">
        <f aca="false">IF(OR($A1469="",$B1469="",$L1469="",$M1469="",$J1469="취소"),"",IF(SUMPRODUCT(($A$3:$A$2002=$A1469)*($B$3:$B$2002=$B1469)*($J$3:$J$2002&lt;&gt;"취소")*($L$3:$L$2002&lt;&gt;"")*($M$3:$M$2002&lt;&gt;"")*($L$3:$L$2002&lt;$M1469)*($M$3:$M$2002&gt;$L1469))&gt;1,"중복","-"))</f>
        <v/>
      </c>
    </row>
    <row r="1470" customFormat="false" ht="15" hidden="false" customHeight="true" outlineLevel="0" collapsed="false">
      <c r="A1470" s="11"/>
      <c r="B1470" s="7"/>
      <c r="C1470" s="12" t="str">
        <f aca="false">IF($B1470="","",IFERROR(INDEX(자원목록!$B$3:$B$102,MATCH($B1470,자원목록!$A$3:$A$102,0)),"미등록자원"))</f>
        <v/>
      </c>
      <c r="D1470" s="7"/>
      <c r="E1470" s="12" t="str">
        <f aca="false">IF($D1470="","",IFERROR(INDEX(고객목록!$B$3:$B$502,MATCH($D1470,고객목록!$A$3:$A$502,0)),""))</f>
        <v/>
      </c>
      <c r="F1470" s="13"/>
      <c r="G1470" s="13"/>
      <c r="H1470" s="14" t="str">
        <f aca="false">IF(OR($L1470="",$M1470=""),"",ROUND(($M1470-$L1470)/60,2))</f>
        <v/>
      </c>
      <c r="I1470" s="9"/>
      <c r="J1470" s="7"/>
      <c r="K1470" s="7"/>
      <c r="L1470" s="15" t="str">
        <f aca="false">IF($F1470="","",IF($F1470&lt;1,ROUND($F1470*1440,0),INT($F1470/100)*60+MOD($F1470,100)))</f>
        <v/>
      </c>
      <c r="M1470" s="15" t="str">
        <f aca="false">IF($G1470="","",IF($G1470&lt;1,ROUND($G1470*1440,0),INT($G1470/100)*60+MOD($G1470,100)))</f>
        <v/>
      </c>
      <c r="N1470" s="15" t="str">
        <f aca="false">IF(OR($A1470="",$B1470="",$L1470="",$M1470="",$J1470="취소"),"",IF(SUMPRODUCT(($A$3:$A$2002=$A1470)*($B$3:$B$2002=$B1470)*($J$3:$J$2002&lt;&gt;"취소")*($L$3:$L$2002&lt;&gt;"")*($M$3:$M$2002&lt;&gt;"")*($L$3:$L$2002&lt;$M1470)*($M$3:$M$2002&gt;$L1470))&gt;1,"중복","-"))</f>
        <v/>
      </c>
    </row>
    <row r="1471" customFormat="false" ht="15" hidden="false" customHeight="true" outlineLevel="0" collapsed="false">
      <c r="A1471" s="11"/>
      <c r="B1471" s="7"/>
      <c r="C1471" s="12" t="str">
        <f aca="false">IF($B1471="","",IFERROR(INDEX(자원목록!$B$3:$B$102,MATCH($B1471,자원목록!$A$3:$A$102,0)),"미등록자원"))</f>
        <v/>
      </c>
      <c r="D1471" s="7"/>
      <c r="E1471" s="12" t="str">
        <f aca="false">IF($D1471="","",IFERROR(INDEX(고객목록!$B$3:$B$502,MATCH($D1471,고객목록!$A$3:$A$502,0)),""))</f>
        <v/>
      </c>
      <c r="F1471" s="13"/>
      <c r="G1471" s="13"/>
      <c r="H1471" s="14" t="str">
        <f aca="false">IF(OR($L1471="",$M1471=""),"",ROUND(($M1471-$L1471)/60,2))</f>
        <v/>
      </c>
      <c r="I1471" s="9"/>
      <c r="J1471" s="7"/>
      <c r="K1471" s="7"/>
      <c r="L1471" s="15" t="str">
        <f aca="false">IF($F1471="","",IF($F1471&lt;1,ROUND($F1471*1440,0),INT($F1471/100)*60+MOD($F1471,100)))</f>
        <v/>
      </c>
      <c r="M1471" s="15" t="str">
        <f aca="false">IF($G1471="","",IF($G1471&lt;1,ROUND($G1471*1440,0),INT($G1471/100)*60+MOD($G1471,100)))</f>
        <v/>
      </c>
      <c r="N1471" s="15" t="str">
        <f aca="false">IF(OR($A1471="",$B1471="",$L1471="",$M1471="",$J1471="취소"),"",IF(SUMPRODUCT(($A$3:$A$2002=$A1471)*($B$3:$B$2002=$B1471)*($J$3:$J$2002&lt;&gt;"취소")*($L$3:$L$2002&lt;&gt;"")*($M$3:$M$2002&lt;&gt;"")*($L$3:$L$2002&lt;$M1471)*($M$3:$M$2002&gt;$L1471))&gt;1,"중복","-"))</f>
        <v/>
      </c>
    </row>
    <row r="1472" customFormat="false" ht="15" hidden="false" customHeight="true" outlineLevel="0" collapsed="false">
      <c r="A1472" s="11"/>
      <c r="B1472" s="7"/>
      <c r="C1472" s="12" t="str">
        <f aca="false">IF($B1472="","",IFERROR(INDEX(자원목록!$B$3:$B$102,MATCH($B1472,자원목록!$A$3:$A$102,0)),"미등록자원"))</f>
        <v/>
      </c>
      <c r="D1472" s="7"/>
      <c r="E1472" s="12" t="str">
        <f aca="false">IF($D1472="","",IFERROR(INDEX(고객목록!$B$3:$B$502,MATCH($D1472,고객목록!$A$3:$A$502,0)),""))</f>
        <v/>
      </c>
      <c r="F1472" s="13"/>
      <c r="G1472" s="13"/>
      <c r="H1472" s="14" t="str">
        <f aca="false">IF(OR($L1472="",$M1472=""),"",ROUND(($M1472-$L1472)/60,2))</f>
        <v/>
      </c>
      <c r="I1472" s="9"/>
      <c r="J1472" s="7"/>
      <c r="K1472" s="7"/>
      <c r="L1472" s="15" t="str">
        <f aca="false">IF($F1472="","",IF($F1472&lt;1,ROUND($F1472*1440,0),INT($F1472/100)*60+MOD($F1472,100)))</f>
        <v/>
      </c>
      <c r="M1472" s="15" t="str">
        <f aca="false">IF($G1472="","",IF($G1472&lt;1,ROUND($G1472*1440,0),INT($G1472/100)*60+MOD($G1472,100)))</f>
        <v/>
      </c>
      <c r="N1472" s="15" t="str">
        <f aca="false">IF(OR($A1472="",$B1472="",$L1472="",$M1472="",$J1472="취소"),"",IF(SUMPRODUCT(($A$3:$A$2002=$A1472)*($B$3:$B$2002=$B1472)*($J$3:$J$2002&lt;&gt;"취소")*($L$3:$L$2002&lt;&gt;"")*($M$3:$M$2002&lt;&gt;"")*($L$3:$L$2002&lt;$M1472)*($M$3:$M$2002&gt;$L1472))&gt;1,"중복","-"))</f>
        <v/>
      </c>
    </row>
    <row r="1473" customFormat="false" ht="15" hidden="false" customHeight="true" outlineLevel="0" collapsed="false">
      <c r="A1473" s="11"/>
      <c r="B1473" s="7"/>
      <c r="C1473" s="12" t="str">
        <f aca="false">IF($B1473="","",IFERROR(INDEX(자원목록!$B$3:$B$102,MATCH($B1473,자원목록!$A$3:$A$102,0)),"미등록자원"))</f>
        <v/>
      </c>
      <c r="D1473" s="7"/>
      <c r="E1473" s="12" t="str">
        <f aca="false">IF($D1473="","",IFERROR(INDEX(고객목록!$B$3:$B$502,MATCH($D1473,고객목록!$A$3:$A$502,0)),""))</f>
        <v/>
      </c>
      <c r="F1473" s="13"/>
      <c r="G1473" s="13"/>
      <c r="H1473" s="14" t="str">
        <f aca="false">IF(OR($L1473="",$M1473=""),"",ROUND(($M1473-$L1473)/60,2))</f>
        <v/>
      </c>
      <c r="I1473" s="9"/>
      <c r="J1473" s="7"/>
      <c r="K1473" s="7"/>
      <c r="L1473" s="15" t="str">
        <f aca="false">IF($F1473="","",IF($F1473&lt;1,ROUND($F1473*1440,0),INT($F1473/100)*60+MOD($F1473,100)))</f>
        <v/>
      </c>
      <c r="M1473" s="15" t="str">
        <f aca="false">IF($G1473="","",IF($G1473&lt;1,ROUND($G1473*1440,0),INT($G1473/100)*60+MOD($G1473,100)))</f>
        <v/>
      </c>
      <c r="N1473" s="15" t="str">
        <f aca="false">IF(OR($A1473="",$B1473="",$L1473="",$M1473="",$J1473="취소"),"",IF(SUMPRODUCT(($A$3:$A$2002=$A1473)*($B$3:$B$2002=$B1473)*($J$3:$J$2002&lt;&gt;"취소")*($L$3:$L$2002&lt;&gt;"")*($M$3:$M$2002&lt;&gt;"")*($L$3:$L$2002&lt;$M1473)*($M$3:$M$2002&gt;$L1473))&gt;1,"중복","-"))</f>
        <v/>
      </c>
    </row>
    <row r="1474" customFormat="false" ht="15" hidden="false" customHeight="true" outlineLevel="0" collapsed="false">
      <c r="A1474" s="11"/>
      <c r="B1474" s="7"/>
      <c r="C1474" s="12" t="str">
        <f aca="false">IF($B1474="","",IFERROR(INDEX(자원목록!$B$3:$B$102,MATCH($B1474,자원목록!$A$3:$A$102,0)),"미등록자원"))</f>
        <v/>
      </c>
      <c r="D1474" s="7"/>
      <c r="E1474" s="12" t="str">
        <f aca="false">IF($D1474="","",IFERROR(INDEX(고객목록!$B$3:$B$502,MATCH($D1474,고객목록!$A$3:$A$502,0)),""))</f>
        <v/>
      </c>
      <c r="F1474" s="13"/>
      <c r="G1474" s="13"/>
      <c r="H1474" s="14" t="str">
        <f aca="false">IF(OR($L1474="",$M1474=""),"",ROUND(($M1474-$L1474)/60,2))</f>
        <v/>
      </c>
      <c r="I1474" s="9"/>
      <c r="J1474" s="7"/>
      <c r="K1474" s="7"/>
      <c r="L1474" s="15" t="str">
        <f aca="false">IF($F1474="","",IF($F1474&lt;1,ROUND($F1474*1440,0),INT($F1474/100)*60+MOD($F1474,100)))</f>
        <v/>
      </c>
      <c r="M1474" s="15" t="str">
        <f aca="false">IF($G1474="","",IF($G1474&lt;1,ROUND($G1474*1440,0),INT($G1474/100)*60+MOD($G1474,100)))</f>
        <v/>
      </c>
      <c r="N1474" s="15" t="str">
        <f aca="false">IF(OR($A1474="",$B1474="",$L1474="",$M1474="",$J1474="취소"),"",IF(SUMPRODUCT(($A$3:$A$2002=$A1474)*($B$3:$B$2002=$B1474)*($J$3:$J$2002&lt;&gt;"취소")*($L$3:$L$2002&lt;&gt;"")*($M$3:$M$2002&lt;&gt;"")*($L$3:$L$2002&lt;$M1474)*($M$3:$M$2002&gt;$L1474))&gt;1,"중복","-"))</f>
        <v/>
      </c>
    </row>
    <row r="1475" customFormat="false" ht="15" hidden="false" customHeight="true" outlineLevel="0" collapsed="false">
      <c r="A1475" s="11"/>
      <c r="B1475" s="7"/>
      <c r="C1475" s="12" t="str">
        <f aca="false">IF($B1475="","",IFERROR(INDEX(자원목록!$B$3:$B$102,MATCH($B1475,자원목록!$A$3:$A$102,0)),"미등록자원"))</f>
        <v/>
      </c>
      <c r="D1475" s="7"/>
      <c r="E1475" s="12" t="str">
        <f aca="false">IF($D1475="","",IFERROR(INDEX(고객목록!$B$3:$B$502,MATCH($D1475,고객목록!$A$3:$A$502,0)),""))</f>
        <v/>
      </c>
      <c r="F1475" s="13"/>
      <c r="G1475" s="13"/>
      <c r="H1475" s="14" t="str">
        <f aca="false">IF(OR($L1475="",$M1475=""),"",ROUND(($M1475-$L1475)/60,2))</f>
        <v/>
      </c>
      <c r="I1475" s="9"/>
      <c r="J1475" s="7"/>
      <c r="K1475" s="7"/>
      <c r="L1475" s="15" t="str">
        <f aca="false">IF($F1475="","",IF($F1475&lt;1,ROUND($F1475*1440,0),INT($F1475/100)*60+MOD($F1475,100)))</f>
        <v/>
      </c>
      <c r="M1475" s="15" t="str">
        <f aca="false">IF($G1475="","",IF($G1475&lt;1,ROUND($G1475*1440,0),INT($G1475/100)*60+MOD($G1475,100)))</f>
        <v/>
      </c>
      <c r="N1475" s="15" t="str">
        <f aca="false">IF(OR($A1475="",$B1475="",$L1475="",$M1475="",$J1475="취소"),"",IF(SUMPRODUCT(($A$3:$A$2002=$A1475)*($B$3:$B$2002=$B1475)*($J$3:$J$2002&lt;&gt;"취소")*($L$3:$L$2002&lt;&gt;"")*($M$3:$M$2002&lt;&gt;"")*($L$3:$L$2002&lt;$M1475)*($M$3:$M$2002&gt;$L1475))&gt;1,"중복","-"))</f>
        <v/>
      </c>
    </row>
    <row r="1476" customFormat="false" ht="15" hidden="false" customHeight="true" outlineLevel="0" collapsed="false">
      <c r="A1476" s="11"/>
      <c r="B1476" s="7"/>
      <c r="C1476" s="12" t="str">
        <f aca="false">IF($B1476="","",IFERROR(INDEX(자원목록!$B$3:$B$102,MATCH($B1476,자원목록!$A$3:$A$102,0)),"미등록자원"))</f>
        <v/>
      </c>
      <c r="D1476" s="7"/>
      <c r="E1476" s="12" t="str">
        <f aca="false">IF($D1476="","",IFERROR(INDEX(고객목록!$B$3:$B$502,MATCH($D1476,고객목록!$A$3:$A$502,0)),""))</f>
        <v/>
      </c>
      <c r="F1476" s="13"/>
      <c r="G1476" s="13"/>
      <c r="H1476" s="14" t="str">
        <f aca="false">IF(OR($L1476="",$M1476=""),"",ROUND(($M1476-$L1476)/60,2))</f>
        <v/>
      </c>
      <c r="I1476" s="9"/>
      <c r="J1476" s="7"/>
      <c r="K1476" s="7"/>
      <c r="L1476" s="15" t="str">
        <f aca="false">IF($F1476="","",IF($F1476&lt;1,ROUND($F1476*1440,0),INT($F1476/100)*60+MOD($F1476,100)))</f>
        <v/>
      </c>
      <c r="M1476" s="15" t="str">
        <f aca="false">IF($G1476="","",IF($G1476&lt;1,ROUND($G1476*1440,0),INT($G1476/100)*60+MOD($G1476,100)))</f>
        <v/>
      </c>
      <c r="N1476" s="15" t="str">
        <f aca="false">IF(OR($A1476="",$B1476="",$L1476="",$M1476="",$J1476="취소"),"",IF(SUMPRODUCT(($A$3:$A$2002=$A1476)*($B$3:$B$2002=$B1476)*($J$3:$J$2002&lt;&gt;"취소")*($L$3:$L$2002&lt;&gt;"")*($M$3:$M$2002&lt;&gt;"")*($L$3:$L$2002&lt;$M1476)*($M$3:$M$2002&gt;$L1476))&gt;1,"중복","-"))</f>
        <v/>
      </c>
    </row>
    <row r="1477" customFormat="false" ht="15" hidden="false" customHeight="true" outlineLevel="0" collapsed="false">
      <c r="A1477" s="11"/>
      <c r="B1477" s="7"/>
      <c r="C1477" s="12" t="str">
        <f aca="false">IF($B1477="","",IFERROR(INDEX(자원목록!$B$3:$B$102,MATCH($B1477,자원목록!$A$3:$A$102,0)),"미등록자원"))</f>
        <v/>
      </c>
      <c r="D1477" s="7"/>
      <c r="E1477" s="12" t="str">
        <f aca="false">IF($D1477="","",IFERROR(INDEX(고객목록!$B$3:$B$502,MATCH($D1477,고객목록!$A$3:$A$502,0)),""))</f>
        <v/>
      </c>
      <c r="F1477" s="13"/>
      <c r="G1477" s="13"/>
      <c r="H1477" s="14" t="str">
        <f aca="false">IF(OR($L1477="",$M1477=""),"",ROUND(($M1477-$L1477)/60,2))</f>
        <v/>
      </c>
      <c r="I1477" s="9"/>
      <c r="J1477" s="7"/>
      <c r="K1477" s="7"/>
      <c r="L1477" s="15" t="str">
        <f aca="false">IF($F1477="","",IF($F1477&lt;1,ROUND($F1477*1440,0),INT($F1477/100)*60+MOD($F1477,100)))</f>
        <v/>
      </c>
      <c r="M1477" s="15" t="str">
        <f aca="false">IF($G1477="","",IF($G1477&lt;1,ROUND($G1477*1440,0),INT($G1477/100)*60+MOD($G1477,100)))</f>
        <v/>
      </c>
      <c r="N1477" s="15" t="str">
        <f aca="false">IF(OR($A1477="",$B1477="",$L1477="",$M1477="",$J1477="취소"),"",IF(SUMPRODUCT(($A$3:$A$2002=$A1477)*($B$3:$B$2002=$B1477)*($J$3:$J$2002&lt;&gt;"취소")*($L$3:$L$2002&lt;&gt;"")*($M$3:$M$2002&lt;&gt;"")*($L$3:$L$2002&lt;$M1477)*($M$3:$M$2002&gt;$L1477))&gt;1,"중복","-"))</f>
        <v/>
      </c>
    </row>
    <row r="1478" customFormat="false" ht="15" hidden="false" customHeight="true" outlineLevel="0" collapsed="false">
      <c r="A1478" s="11"/>
      <c r="B1478" s="7"/>
      <c r="C1478" s="12" t="str">
        <f aca="false">IF($B1478="","",IFERROR(INDEX(자원목록!$B$3:$B$102,MATCH($B1478,자원목록!$A$3:$A$102,0)),"미등록자원"))</f>
        <v/>
      </c>
      <c r="D1478" s="7"/>
      <c r="E1478" s="12" t="str">
        <f aca="false">IF($D1478="","",IFERROR(INDEX(고객목록!$B$3:$B$502,MATCH($D1478,고객목록!$A$3:$A$502,0)),""))</f>
        <v/>
      </c>
      <c r="F1478" s="13"/>
      <c r="G1478" s="13"/>
      <c r="H1478" s="14" t="str">
        <f aca="false">IF(OR($L1478="",$M1478=""),"",ROUND(($M1478-$L1478)/60,2))</f>
        <v/>
      </c>
      <c r="I1478" s="9"/>
      <c r="J1478" s="7"/>
      <c r="K1478" s="7"/>
      <c r="L1478" s="15" t="str">
        <f aca="false">IF($F1478="","",IF($F1478&lt;1,ROUND($F1478*1440,0),INT($F1478/100)*60+MOD($F1478,100)))</f>
        <v/>
      </c>
      <c r="M1478" s="15" t="str">
        <f aca="false">IF($G1478="","",IF($G1478&lt;1,ROUND($G1478*1440,0),INT($G1478/100)*60+MOD($G1478,100)))</f>
        <v/>
      </c>
      <c r="N1478" s="15" t="str">
        <f aca="false">IF(OR($A1478="",$B1478="",$L1478="",$M1478="",$J1478="취소"),"",IF(SUMPRODUCT(($A$3:$A$2002=$A1478)*($B$3:$B$2002=$B1478)*($J$3:$J$2002&lt;&gt;"취소")*($L$3:$L$2002&lt;&gt;"")*($M$3:$M$2002&lt;&gt;"")*($L$3:$L$2002&lt;$M1478)*($M$3:$M$2002&gt;$L1478))&gt;1,"중복","-"))</f>
        <v/>
      </c>
    </row>
    <row r="1479" customFormat="false" ht="15" hidden="false" customHeight="true" outlineLevel="0" collapsed="false">
      <c r="A1479" s="11"/>
      <c r="B1479" s="7"/>
      <c r="C1479" s="12" t="str">
        <f aca="false">IF($B1479="","",IFERROR(INDEX(자원목록!$B$3:$B$102,MATCH($B1479,자원목록!$A$3:$A$102,0)),"미등록자원"))</f>
        <v/>
      </c>
      <c r="D1479" s="7"/>
      <c r="E1479" s="12" t="str">
        <f aca="false">IF($D1479="","",IFERROR(INDEX(고객목록!$B$3:$B$502,MATCH($D1479,고객목록!$A$3:$A$502,0)),""))</f>
        <v/>
      </c>
      <c r="F1479" s="13"/>
      <c r="G1479" s="13"/>
      <c r="H1479" s="14" t="str">
        <f aca="false">IF(OR($L1479="",$M1479=""),"",ROUND(($M1479-$L1479)/60,2))</f>
        <v/>
      </c>
      <c r="I1479" s="9"/>
      <c r="J1479" s="7"/>
      <c r="K1479" s="7"/>
      <c r="L1479" s="15" t="str">
        <f aca="false">IF($F1479="","",IF($F1479&lt;1,ROUND($F1479*1440,0),INT($F1479/100)*60+MOD($F1479,100)))</f>
        <v/>
      </c>
      <c r="M1479" s="15" t="str">
        <f aca="false">IF($G1479="","",IF($G1479&lt;1,ROUND($G1479*1440,0),INT($G1479/100)*60+MOD($G1479,100)))</f>
        <v/>
      </c>
      <c r="N1479" s="15" t="str">
        <f aca="false">IF(OR($A1479="",$B1479="",$L1479="",$M1479="",$J1479="취소"),"",IF(SUMPRODUCT(($A$3:$A$2002=$A1479)*($B$3:$B$2002=$B1479)*($J$3:$J$2002&lt;&gt;"취소")*($L$3:$L$2002&lt;&gt;"")*($M$3:$M$2002&lt;&gt;"")*($L$3:$L$2002&lt;$M1479)*($M$3:$M$2002&gt;$L1479))&gt;1,"중복","-"))</f>
        <v/>
      </c>
    </row>
    <row r="1480" customFormat="false" ht="15" hidden="false" customHeight="true" outlineLevel="0" collapsed="false">
      <c r="A1480" s="11"/>
      <c r="B1480" s="7"/>
      <c r="C1480" s="12" t="str">
        <f aca="false">IF($B1480="","",IFERROR(INDEX(자원목록!$B$3:$B$102,MATCH($B1480,자원목록!$A$3:$A$102,0)),"미등록자원"))</f>
        <v/>
      </c>
      <c r="D1480" s="7"/>
      <c r="E1480" s="12" t="str">
        <f aca="false">IF($D1480="","",IFERROR(INDEX(고객목록!$B$3:$B$502,MATCH($D1480,고객목록!$A$3:$A$502,0)),""))</f>
        <v/>
      </c>
      <c r="F1480" s="13"/>
      <c r="G1480" s="13"/>
      <c r="H1480" s="14" t="str">
        <f aca="false">IF(OR($L1480="",$M1480=""),"",ROUND(($M1480-$L1480)/60,2))</f>
        <v/>
      </c>
      <c r="I1480" s="9"/>
      <c r="J1480" s="7"/>
      <c r="K1480" s="7"/>
      <c r="L1480" s="15" t="str">
        <f aca="false">IF($F1480="","",IF($F1480&lt;1,ROUND($F1480*1440,0),INT($F1480/100)*60+MOD($F1480,100)))</f>
        <v/>
      </c>
      <c r="M1480" s="15" t="str">
        <f aca="false">IF($G1480="","",IF($G1480&lt;1,ROUND($G1480*1440,0),INT($G1480/100)*60+MOD($G1480,100)))</f>
        <v/>
      </c>
      <c r="N1480" s="15" t="str">
        <f aca="false">IF(OR($A1480="",$B1480="",$L1480="",$M1480="",$J1480="취소"),"",IF(SUMPRODUCT(($A$3:$A$2002=$A1480)*($B$3:$B$2002=$B1480)*($J$3:$J$2002&lt;&gt;"취소")*($L$3:$L$2002&lt;&gt;"")*($M$3:$M$2002&lt;&gt;"")*($L$3:$L$2002&lt;$M1480)*($M$3:$M$2002&gt;$L1480))&gt;1,"중복","-"))</f>
        <v/>
      </c>
    </row>
    <row r="1481" customFormat="false" ht="15" hidden="false" customHeight="true" outlineLevel="0" collapsed="false">
      <c r="A1481" s="11"/>
      <c r="B1481" s="7"/>
      <c r="C1481" s="12" t="str">
        <f aca="false">IF($B1481="","",IFERROR(INDEX(자원목록!$B$3:$B$102,MATCH($B1481,자원목록!$A$3:$A$102,0)),"미등록자원"))</f>
        <v/>
      </c>
      <c r="D1481" s="7"/>
      <c r="E1481" s="12" t="str">
        <f aca="false">IF($D1481="","",IFERROR(INDEX(고객목록!$B$3:$B$502,MATCH($D1481,고객목록!$A$3:$A$502,0)),""))</f>
        <v/>
      </c>
      <c r="F1481" s="13"/>
      <c r="G1481" s="13"/>
      <c r="H1481" s="14" t="str">
        <f aca="false">IF(OR($L1481="",$M1481=""),"",ROUND(($M1481-$L1481)/60,2))</f>
        <v/>
      </c>
      <c r="I1481" s="9"/>
      <c r="J1481" s="7"/>
      <c r="K1481" s="7"/>
      <c r="L1481" s="15" t="str">
        <f aca="false">IF($F1481="","",IF($F1481&lt;1,ROUND($F1481*1440,0),INT($F1481/100)*60+MOD($F1481,100)))</f>
        <v/>
      </c>
      <c r="M1481" s="15" t="str">
        <f aca="false">IF($G1481="","",IF($G1481&lt;1,ROUND($G1481*1440,0),INT($G1481/100)*60+MOD($G1481,100)))</f>
        <v/>
      </c>
      <c r="N1481" s="15" t="str">
        <f aca="false">IF(OR($A1481="",$B1481="",$L1481="",$M1481="",$J1481="취소"),"",IF(SUMPRODUCT(($A$3:$A$2002=$A1481)*($B$3:$B$2002=$B1481)*($J$3:$J$2002&lt;&gt;"취소")*($L$3:$L$2002&lt;&gt;"")*($M$3:$M$2002&lt;&gt;"")*($L$3:$L$2002&lt;$M1481)*($M$3:$M$2002&gt;$L1481))&gt;1,"중복","-"))</f>
        <v/>
      </c>
    </row>
    <row r="1482" customFormat="false" ht="15" hidden="false" customHeight="true" outlineLevel="0" collapsed="false">
      <c r="A1482" s="11"/>
      <c r="B1482" s="7"/>
      <c r="C1482" s="12" t="str">
        <f aca="false">IF($B1482="","",IFERROR(INDEX(자원목록!$B$3:$B$102,MATCH($B1482,자원목록!$A$3:$A$102,0)),"미등록자원"))</f>
        <v/>
      </c>
      <c r="D1482" s="7"/>
      <c r="E1482" s="12" t="str">
        <f aca="false">IF($D1482="","",IFERROR(INDEX(고객목록!$B$3:$B$502,MATCH($D1482,고객목록!$A$3:$A$502,0)),""))</f>
        <v/>
      </c>
      <c r="F1482" s="13"/>
      <c r="G1482" s="13"/>
      <c r="H1482" s="14" t="str">
        <f aca="false">IF(OR($L1482="",$M1482=""),"",ROUND(($M1482-$L1482)/60,2))</f>
        <v/>
      </c>
      <c r="I1482" s="9"/>
      <c r="J1482" s="7"/>
      <c r="K1482" s="7"/>
      <c r="L1482" s="15" t="str">
        <f aca="false">IF($F1482="","",IF($F1482&lt;1,ROUND($F1482*1440,0),INT($F1482/100)*60+MOD($F1482,100)))</f>
        <v/>
      </c>
      <c r="M1482" s="15" t="str">
        <f aca="false">IF($G1482="","",IF($G1482&lt;1,ROUND($G1482*1440,0),INT($G1482/100)*60+MOD($G1482,100)))</f>
        <v/>
      </c>
      <c r="N1482" s="15" t="str">
        <f aca="false">IF(OR($A1482="",$B1482="",$L1482="",$M1482="",$J1482="취소"),"",IF(SUMPRODUCT(($A$3:$A$2002=$A1482)*($B$3:$B$2002=$B1482)*($J$3:$J$2002&lt;&gt;"취소")*($L$3:$L$2002&lt;&gt;"")*($M$3:$M$2002&lt;&gt;"")*($L$3:$L$2002&lt;$M1482)*($M$3:$M$2002&gt;$L1482))&gt;1,"중복","-"))</f>
        <v/>
      </c>
    </row>
    <row r="1483" customFormat="false" ht="15" hidden="false" customHeight="true" outlineLevel="0" collapsed="false">
      <c r="A1483" s="11"/>
      <c r="B1483" s="7"/>
      <c r="C1483" s="12" t="str">
        <f aca="false">IF($B1483="","",IFERROR(INDEX(자원목록!$B$3:$B$102,MATCH($B1483,자원목록!$A$3:$A$102,0)),"미등록자원"))</f>
        <v/>
      </c>
      <c r="D1483" s="7"/>
      <c r="E1483" s="12" t="str">
        <f aca="false">IF($D1483="","",IFERROR(INDEX(고객목록!$B$3:$B$502,MATCH($D1483,고객목록!$A$3:$A$502,0)),""))</f>
        <v/>
      </c>
      <c r="F1483" s="13"/>
      <c r="G1483" s="13"/>
      <c r="H1483" s="14" t="str">
        <f aca="false">IF(OR($L1483="",$M1483=""),"",ROUND(($M1483-$L1483)/60,2))</f>
        <v/>
      </c>
      <c r="I1483" s="9"/>
      <c r="J1483" s="7"/>
      <c r="K1483" s="7"/>
      <c r="L1483" s="15" t="str">
        <f aca="false">IF($F1483="","",IF($F1483&lt;1,ROUND($F1483*1440,0),INT($F1483/100)*60+MOD($F1483,100)))</f>
        <v/>
      </c>
      <c r="M1483" s="15" t="str">
        <f aca="false">IF($G1483="","",IF($G1483&lt;1,ROUND($G1483*1440,0),INT($G1483/100)*60+MOD($G1483,100)))</f>
        <v/>
      </c>
      <c r="N1483" s="15" t="str">
        <f aca="false">IF(OR($A1483="",$B1483="",$L1483="",$M1483="",$J1483="취소"),"",IF(SUMPRODUCT(($A$3:$A$2002=$A1483)*($B$3:$B$2002=$B1483)*($J$3:$J$2002&lt;&gt;"취소")*($L$3:$L$2002&lt;&gt;"")*($M$3:$M$2002&lt;&gt;"")*($L$3:$L$2002&lt;$M1483)*($M$3:$M$2002&gt;$L1483))&gt;1,"중복","-"))</f>
        <v/>
      </c>
    </row>
    <row r="1484" customFormat="false" ht="15" hidden="false" customHeight="true" outlineLevel="0" collapsed="false">
      <c r="A1484" s="11"/>
      <c r="B1484" s="7"/>
      <c r="C1484" s="12" t="str">
        <f aca="false">IF($B1484="","",IFERROR(INDEX(자원목록!$B$3:$B$102,MATCH($B1484,자원목록!$A$3:$A$102,0)),"미등록자원"))</f>
        <v/>
      </c>
      <c r="D1484" s="7"/>
      <c r="E1484" s="12" t="str">
        <f aca="false">IF($D1484="","",IFERROR(INDEX(고객목록!$B$3:$B$502,MATCH($D1484,고객목록!$A$3:$A$502,0)),""))</f>
        <v/>
      </c>
      <c r="F1484" s="13"/>
      <c r="G1484" s="13"/>
      <c r="H1484" s="14" t="str">
        <f aca="false">IF(OR($L1484="",$M1484=""),"",ROUND(($M1484-$L1484)/60,2))</f>
        <v/>
      </c>
      <c r="I1484" s="9"/>
      <c r="J1484" s="7"/>
      <c r="K1484" s="7"/>
      <c r="L1484" s="15" t="str">
        <f aca="false">IF($F1484="","",IF($F1484&lt;1,ROUND($F1484*1440,0),INT($F1484/100)*60+MOD($F1484,100)))</f>
        <v/>
      </c>
      <c r="M1484" s="15" t="str">
        <f aca="false">IF($G1484="","",IF($G1484&lt;1,ROUND($G1484*1440,0),INT($G1484/100)*60+MOD($G1484,100)))</f>
        <v/>
      </c>
      <c r="N1484" s="15" t="str">
        <f aca="false">IF(OR($A1484="",$B1484="",$L1484="",$M1484="",$J1484="취소"),"",IF(SUMPRODUCT(($A$3:$A$2002=$A1484)*($B$3:$B$2002=$B1484)*($J$3:$J$2002&lt;&gt;"취소")*($L$3:$L$2002&lt;&gt;"")*($M$3:$M$2002&lt;&gt;"")*($L$3:$L$2002&lt;$M1484)*($M$3:$M$2002&gt;$L1484))&gt;1,"중복","-"))</f>
        <v/>
      </c>
    </row>
    <row r="1485" customFormat="false" ht="15" hidden="false" customHeight="true" outlineLevel="0" collapsed="false">
      <c r="A1485" s="11"/>
      <c r="B1485" s="7"/>
      <c r="C1485" s="12" t="str">
        <f aca="false">IF($B1485="","",IFERROR(INDEX(자원목록!$B$3:$B$102,MATCH($B1485,자원목록!$A$3:$A$102,0)),"미등록자원"))</f>
        <v/>
      </c>
      <c r="D1485" s="7"/>
      <c r="E1485" s="12" t="str">
        <f aca="false">IF($D1485="","",IFERROR(INDEX(고객목록!$B$3:$B$502,MATCH($D1485,고객목록!$A$3:$A$502,0)),""))</f>
        <v/>
      </c>
      <c r="F1485" s="13"/>
      <c r="G1485" s="13"/>
      <c r="H1485" s="14" t="str">
        <f aca="false">IF(OR($L1485="",$M1485=""),"",ROUND(($M1485-$L1485)/60,2))</f>
        <v/>
      </c>
      <c r="I1485" s="9"/>
      <c r="J1485" s="7"/>
      <c r="K1485" s="7"/>
      <c r="L1485" s="15" t="str">
        <f aca="false">IF($F1485="","",IF($F1485&lt;1,ROUND($F1485*1440,0),INT($F1485/100)*60+MOD($F1485,100)))</f>
        <v/>
      </c>
      <c r="M1485" s="15" t="str">
        <f aca="false">IF($G1485="","",IF($G1485&lt;1,ROUND($G1485*1440,0),INT($G1485/100)*60+MOD($G1485,100)))</f>
        <v/>
      </c>
      <c r="N1485" s="15" t="str">
        <f aca="false">IF(OR($A1485="",$B1485="",$L1485="",$M1485="",$J1485="취소"),"",IF(SUMPRODUCT(($A$3:$A$2002=$A1485)*($B$3:$B$2002=$B1485)*($J$3:$J$2002&lt;&gt;"취소")*($L$3:$L$2002&lt;&gt;"")*($M$3:$M$2002&lt;&gt;"")*($L$3:$L$2002&lt;$M1485)*($M$3:$M$2002&gt;$L1485))&gt;1,"중복","-"))</f>
        <v/>
      </c>
    </row>
    <row r="1486" customFormat="false" ht="15" hidden="false" customHeight="true" outlineLevel="0" collapsed="false">
      <c r="A1486" s="11"/>
      <c r="B1486" s="7"/>
      <c r="C1486" s="12" t="str">
        <f aca="false">IF($B1486="","",IFERROR(INDEX(자원목록!$B$3:$B$102,MATCH($B1486,자원목록!$A$3:$A$102,0)),"미등록자원"))</f>
        <v/>
      </c>
      <c r="D1486" s="7"/>
      <c r="E1486" s="12" t="str">
        <f aca="false">IF($D1486="","",IFERROR(INDEX(고객목록!$B$3:$B$502,MATCH($D1486,고객목록!$A$3:$A$502,0)),""))</f>
        <v/>
      </c>
      <c r="F1486" s="13"/>
      <c r="G1486" s="13"/>
      <c r="H1486" s="14" t="str">
        <f aca="false">IF(OR($L1486="",$M1486=""),"",ROUND(($M1486-$L1486)/60,2))</f>
        <v/>
      </c>
      <c r="I1486" s="9"/>
      <c r="J1486" s="7"/>
      <c r="K1486" s="7"/>
      <c r="L1486" s="15" t="str">
        <f aca="false">IF($F1486="","",IF($F1486&lt;1,ROUND($F1486*1440,0),INT($F1486/100)*60+MOD($F1486,100)))</f>
        <v/>
      </c>
      <c r="M1486" s="15" t="str">
        <f aca="false">IF($G1486="","",IF($G1486&lt;1,ROUND($G1486*1440,0),INT($G1486/100)*60+MOD($G1486,100)))</f>
        <v/>
      </c>
      <c r="N1486" s="15" t="str">
        <f aca="false">IF(OR($A1486="",$B1486="",$L1486="",$M1486="",$J1486="취소"),"",IF(SUMPRODUCT(($A$3:$A$2002=$A1486)*($B$3:$B$2002=$B1486)*($J$3:$J$2002&lt;&gt;"취소")*($L$3:$L$2002&lt;&gt;"")*($M$3:$M$2002&lt;&gt;"")*($L$3:$L$2002&lt;$M1486)*($M$3:$M$2002&gt;$L1486))&gt;1,"중복","-"))</f>
        <v/>
      </c>
    </row>
    <row r="1487" customFormat="false" ht="15" hidden="false" customHeight="true" outlineLevel="0" collapsed="false">
      <c r="A1487" s="11"/>
      <c r="B1487" s="7"/>
      <c r="C1487" s="12" t="str">
        <f aca="false">IF($B1487="","",IFERROR(INDEX(자원목록!$B$3:$B$102,MATCH($B1487,자원목록!$A$3:$A$102,0)),"미등록자원"))</f>
        <v/>
      </c>
      <c r="D1487" s="7"/>
      <c r="E1487" s="12" t="str">
        <f aca="false">IF($D1487="","",IFERROR(INDEX(고객목록!$B$3:$B$502,MATCH($D1487,고객목록!$A$3:$A$502,0)),""))</f>
        <v/>
      </c>
      <c r="F1487" s="13"/>
      <c r="G1487" s="13"/>
      <c r="H1487" s="14" t="str">
        <f aca="false">IF(OR($L1487="",$M1487=""),"",ROUND(($M1487-$L1487)/60,2))</f>
        <v/>
      </c>
      <c r="I1487" s="9"/>
      <c r="J1487" s="7"/>
      <c r="K1487" s="7"/>
      <c r="L1487" s="15" t="str">
        <f aca="false">IF($F1487="","",IF($F1487&lt;1,ROUND($F1487*1440,0),INT($F1487/100)*60+MOD($F1487,100)))</f>
        <v/>
      </c>
      <c r="M1487" s="15" t="str">
        <f aca="false">IF($G1487="","",IF($G1487&lt;1,ROUND($G1487*1440,0),INT($G1487/100)*60+MOD($G1487,100)))</f>
        <v/>
      </c>
      <c r="N1487" s="15" t="str">
        <f aca="false">IF(OR($A1487="",$B1487="",$L1487="",$M1487="",$J1487="취소"),"",IF(SUMPRODUCT(($A$3:$A$2002=$A1487)*($B$3:$B$2002=$B1487)*($J$3:$J$2002&lt;&gt;"취소")*($L$3:$L$2002&lt;&gt;"")*($M$3:$M$2002&lt;&gt;"")*($L$3:$L$2002&lt;$M1487)*($M$3:$M$2002&gt;$L1487))&gt;1,"중복","-"))</f>
        <v/>
      </c>
    </row>
    <row r="1488" customFormat="false" ht="15" hidden="false" customHeight="true" outlineLevel="0" collapsed="false">
      <c r="A1488" s="11"/>
      <c r="B1488" s="7"/>
      <c r="C1488" s="12" t="str">
        <f aca="false">IF($B1488="","",IFERROR(INDEX(자원목록!$B$3:$B$102,MATCH($B1488,자원목록!$A$3:$A$102,0)),"미등록자원"))</f>
        <v/>
      </c>
      <c r="D1488" s="7"/>
      <c r="E1488" s="12" t="str">
        <f aca="false">IF($D1488="","",IFERROR(INDEX(고객목록!$B$3:$B$502,MATCH($D1488,고객목록!$A$3:$A$502,0)),""))</f>
        <v/>
      </c>
      <c r="F1488" s="13"/>
      <c r="G1488" s="13"/>
      <c r="H1488" s="14" t="str">
        <f aca="false">IF(OR($L1488="",$M1488=""),"",ROUND(($M1488-$L1488)/60,2))</f>
        <v/>
      </c>
      <c r="I1488" s="9"/>
      <c r="J1488" s="7"/>
      <c r="K1488" s="7"/>
      <c r="L1488" s="15" t="str">
        <f aca="false">IF($F1488="","",IF($F1488&lt;1,ROUND($F1488*1440,0),INT($F1488/100)*60+MOD($F1488,100)))</f>
        <v/>
      </c>
      <c r="M1488" s="15" t="str">
        <f aca="false">IF($G1488="","",IF($G1488&lt;1,ROUND($G1488*1440,0),INT($G1488/100)*60+MOD($G1488,100)))</f>
        <v/>
      </c>
      <c r="N1488" s="15" t="str">
        <f aca="false">IF(OR($A1488="",$B1488="",$L1488="",$M1488="",$J1488="취소"),"",IF(SUMPRODUCT(($A$3:$A$2002=$A1488)*($B$3:$B$2002=$B1488)*($J$3:$J$2002&lt;&gt;"취소")*($L$3:$L$2002&lt;&gt;"")*($M$3:$M$2002&lt;&gt;"")*($L$3:$L$2002&lt;$M1488)*($M$3:$M$2002&gt;$L1488))&gt;1,"중복","-"))</f>
        <v/>
      </c>
    </row>
    <row r="1489" customFormat="false" ht="15" hidden="false" customHeight="true" outlineLevel="0" collapsed="false">
      <c r="A1489" s="11"/>
      <c r="B1489" s="7"/>
      <c r="C1489" s="12" t="str">
        <f aca="false">IF($B1489="","",IFERROR(INDEX(자원목록!$B$3:$B$102,MATCH($B1489,자원목록!$A$3:$A$102,0)),"미등록자원"))</f>
        <v/>
      </c>
      <c r="D1489" s="7"/>
      <c r="E1489" s="12" t="str">
        <f aca="false">IF($D1489="","",IFERROR(INDEX(고객목록!$B$3:$B$502,MATCH($D1489,고객목록!$A$3:$A$502,0)),""))</f>
        <v/>
      </c>
      <c r="F1489" s="13"/>
      <c r="G1489" s="13"/>
      <c r="H1489" s="14" t="str">
        <f aca="false">IF(OR($L1489="",$M1489=""),"",ROUND(($M1489-$L1489)/60,2))</f>
        <v/>
      </c>
      <c r="I1489" s="9"/>
      <c r="J1489" s="7"/>
      <c r="K1489" s="7"/>
      <c r="L1489" s="15" t="str">
        <f aca="false">IF($F1489="","",IF($F1489&lt;1,ROUND($F1489*1440,0),INT($F1489/100)*60+MOD($F1489,100)))</f>
        <v/>
      </c>
      <c r="M1489" s="15" t="str">
        <f aca="false">IF($G1489="","",IF($G1489&lt;1,ROUND($G1489*1440,0),INT($G1489/100)*60+MOD($G1489,100)))</f>
        <v/>
      </c>
      <c r="N1489" s="15" t="str">
        <f aca="false">IF(OR($A1489="",$B1489="",$L1489="",$M1489="",$J1489="취소"),"",IF(SUMPRODUCT(($A$3:$A$2002=$A1489)*($B$3:$B$2002=$B1489)*($J$3:$J$2002&lt;&gt;"취소")*($L$3:$L$2002&lt;&gt;"")*($M$3:$M$2002&lt;&gt;"")*($L$3:$L$2002&lt;$M1489)*($M$3:$M$2002&gt;$L1489))&gt;1,"중복","-"))</f>
        <v/>
      </c>
    </row>
    <row r="1490" customFormat="false" ht="15" hidden="false" customHeight="true" outlineLevel="0" collapsed="false">
      <c r="A1490" s="11"/>
      <c r="B1490" s="7"/>
      <c r="C1490" s="12" t="str">
        <f aca="false">IF($B1490="","",IFERROR(INDEX(자원목록!$B$3:$B$102,MATCH($B1490,자원목록!$A$3:$A$102,0)),"미등록자원"))</f>
        <v/>
      </c>
      <c r="D1490" s="7"/>
      <c r="E1490" s="12" t="str">
        <f aca="false">IF($D1490="","",IFERROR(INDEX(고객목록!$B$3:$B$502,MATCH($D1490,고객목록!$A$3:$A$502,0)),""))</f>
        <v/>
      </c>
      <c r="F1490" s="13"/>
      <c r="G1490" s="13"/>
      <c r="H1490" s="14" t="str">
        <f aca="false">IF(OR($L1490="",$M1490=""),"",ROUND(($M1490-$L1490)/60,2))</f>
        <v/>
      </c>
      <c r="I1490" s="9"/>
      <c r="J1490" s="7"/>
      <c r="K1490" s="7"/>
      <c r="L1490" s="15" t="str">
        <f aca="false">IF($F1490="","",IF($F1490&lt;1,ROUND($F1490*1440,0),INT($F1490/100)*60+MOD($F1490,100)))</f>
        <v/>
      </c>
      <c r="M1490" s="15" t="str">
        <f aca="false">IF($G1490="","",IF($G1490&lt;1,ROUND($G1490*1440,0),INT($G1490/100)*60+MOD($G1490,100)))</f>
        <v/>
      </c>
      <c r="N1490" s="15" t="str">
        <f aca="false">IF(OR($A1490="",$B1490="",$L1490="",$M1490="",$J1490="취소"),"",IF(SUMPRODUCT(($A$3:$A$2002=$A1490)*($B$3:$B$2002=$B1490)*($J$3:$J$2002&lt;&gt;"취소")*($L$3:$L$2002&lt;&gt;"")*($M$3:$M$2002&lt;&gt;"")*($L$3:$L$2002&lt;$M1490)*($M$3:$M$2002&gt;$L1490))&gt;1,"중복","-"))</f>
        <v/>
      </c>
    </row>
    <row r="1491" customFormat="false" ht="15" hidden="false" customHeight="true" outlineLevel="0" collapsed="false">
      <c r="A1491" s="11"/>
      <c r="B1491" s="7"/>
      <c r="C1491" s="12" t="str">
        <f aca="false">IF($B1491="","",IFERROR(INDEX(자원목록!$B$3:$B$102,MATCH($B1491,자원목록!$A$3:$A$102,0)),"미등록자원"))</f>
        <v/>
      </c>
      <c r="D1491" s="7"/>
      <c r="E1491" s="12" t="str">
        <f aca="false">IF($D1491="","",IFERROR(INDEX(고객목록!$B$3:$B$502,MATCH($D1491,고객목록!$A$3:$A$502,0)),""))</f>
        <v/>
      </c>
      <c r="F1491" s="13"/>
      <c r="G1491" s="13"/>
      <c r="H1491" s="14" t="str">
        <f aca="false">IF(OR($L1491="",$M1491=""),"",ROUND(($M1491-$L1491)/60,2))</f>
        <v/>
      </c>
      <c r="I1491" s="9"/>
      <c r="J1491" s="7"/>
      <c r="K1491" s="7"/>
      <c r="L1491" s="15" t="str">
        <f aca="false">IF($F1491="","",IF($F1491&lt;1,ROUND($F1491*1440,0),INT($F1491/100)*60+MOD($F1491,100)))</f>
        <v/>
      </c>
      <c r="M1491" s="15" t="str">
        <f aca="false">IF($G1491="","",IF($G1491&lt;1,ROUND($G1491*1440,0),INT($G1491/100)*60+MOD($G1491,100)))</f>
        <v/>
      </c>
      <c r="N1491" s="15" t="str">
        <f aca="false">IF(OR($A1491="",$B1491="",$L1491="",$M1491="",$J1491="취소"),"",IF(SUMPRODUCT(($A$3:$A$2002=$A1491)*($B$3:$B$2002=$B1491)*($J$3:$J$2002&lt;&gt;"취소")*($L$3:$L$2002&lt;&gt;"")*($M$3:$M$2002&lt;&gt;"")*($L$3:$L$2002&lt;$M1491)*($M$3:$M$2002&gt;$L1491))&gt;1,"중복","-"))</f>
        <v/>
      </c>
    </row>
    <row r="1492" customFormat="false" ht="15" hidden="false" customHeight="true" outlineLevel="0" collapsed="false">
      <c r="A1492" s="11"/>
      <c r="B1492" s="7"/>
      <c r="C1492" s="12" t="str">
        <f aca="false">IF($B1492="","",IFERROR(INDEX(자원목록!$B$3:$B$102,MATCH($B1492,자원목록!$A$3:$A$102,0)),"미등록자원"))</f>
        <v/>
      </c>
      <c r="D1492" s="7"/>
      <c r="E1492" s="12" t="str">
        <f aca="false">IF($D1492="","",IFERROR(INDEX(고객목록!$B$3:$B$502,MATCH($D1492,고객목록!$A$3:$A$502,0)),""))</f>
        <v/>
      </c>
      <c r="F1492" s="13"/>
      <c r="G1492" s="13"/>
      <c r="H1492" s="14" t="str">
        <f aca="false">IF(OR($L1492="",$M1492=""),"",ROUND(($M1492-$L1492)/60,2))</f>
        <v/>
      </c>
      <c r="I1492" s="9"/>
      <c r="J1492" s="7"/>
      <c r="K1492" s="7"/>
      <c r="L1492" s="15" t="str">
        <f aca="false">IF($F1492="","",IF($F1492&lt;1,ROUND($F1492*1440,0),INT($F1492/100)*60+MOD($F1492,100)))</f>
        <v/>
      </c>
      <c r="M1492" s="15" t="str">
        <f aca="false">IF($G1492="","",IF($G1492&lt;1,ROUND($G1492*1440,0),INT($G1492/100)*60+MOD($G1492,100)))</f>
        <v/>
      </c>
      <c r="N1492" s="15" t="str">
        <f aca="false">IF(OR($A1492="",$B1492="",$L1492="",$M1492="",$J1492="취소"),"",IF(SUMPRODUCT(($A$3:$A$2002=$A1492)*($B$3:$B$2002=$B1492)*($J$3:$J$2002&lt;&gt;"취소")*($L$3:$L$2002&lt;&gt;"")*($M$3:$M$2002&lt;&gt;"")*($L$3:$L$2002&lt;$M1492)*($M$3:$M$2002&gt;$L1492))&gt;1,"중복","-"))</f>
        <v/>
      </c>
    </row>
    <row r="1493" customFormat="false" ht="15" hidden="false" customHeight="true" outlineLevel="0" collapsed="false">
      <c r="A1493" s="11"/>
      <c r="B1493" s="7"/>
      <c r="C1493" s="12" t="str">
        <f aca="false">IF($B1493="","",IFERROR(INDEX(자원목록!$B$3:$B$102,MATCH($B1493,자원목록!$A$3:$A$102,0)),"미등록자원"))</f>
        <v/>
      </c>
      <c r="D1493" s="7"/>
      <c r="E1493" s="12" t="str">
        <f aca="false">IF($D1493="","",IFERROR(INDEX(고객목록!$B$3:$B$502,MATCH($D1493,고객목록!$A$3:$A$502,0)),""))</f>
        <v/>
      </c>
      <c r="F1493" s="13"/>
      <c r="G1493" s="13"/>
      <c r="H1493" s="14" t="str">
        <f aca="false">IF(OR($L1493="",$M1493=""),"",ROUND(($M1493-$L1493)/60,2))</f>
        <v/>
      </c>
      <c r="I1493" s="9"/>
      <c r="J1493" s="7"/>
      <c r="K1493" s="7"/>
      <c r="L1493" s="15" t="str">
        <f aca="false">IF($F1493="","",IF($F1493&lt;1,ROUND($F1493*1440,0),INT($F1493/100)*60+MOD($F1493,100)))</f>
        <v/>
      </c>
      <c r="M1493" s="15" t="str">
        <f aca="false">IF($G1493="","",IF($G1493&lt;1,ROUND($G1493*1440,0),INT($G1493/100)*60+MOD($G1493,100)))</f>
        <v/>
      </c>
      <c r="N1493" s="15" t="str">
        <f aca="false">IF(OR($A1493="",$B1493="",$L1493="",$M1493="",$J1493="취소"),"",IF(SUMPRODUCT(($A$3:$A$2002=$A1493)*($B$3:$B$2002=$B1493)*($J$3:$J$2002&lt;&gt;"취소")*($L$3:$L$2002&lt;&gt;"")*($M$3:$M$2002&lt;&gt;"")*($L$3:$L$2002&lt;$M1493)*($M$3:$M$2002&gt;$L1493))&gt;1,"중복","-"))</f>
        <v/>
      </c>
    </row>
    <row r="1494" customFormat="false" ht="15" hidden="false" customHeight="true" outlineLevel="0" collapsed="false">
      <c r="A1494" s="11"/>
      <c r="B1494" s="7"/>
      <c r="C1494" s="12" t="str">
        <f aca="false">IF($B1494="","",IFERROR(INDEX(자원목록!$B$3:$B$102,MATCH($B1494,자원목록!$A$3:$A$102,0)),"미등록자원"))</f>
        <v/>
      </c>
      <c r="D1494" s="7"/>
      <c r="E1494" s="12" t="str">
        <f aca="false">IF($D1494="","",IFERROR(INDEX(고객목록!$B$3:$B$502,MATCH($D1494,고객목록!$A$3:$A$502,0)),""))</f>
        <v/>
      </c>
      <c r="F1494" s="13"/>
      <c r="G1494" s="13"/>
      <c r="H1494" s="14" t="str">
        <f aca="false">IF(OR($L1494="",$M1494=""),"",ROUND(($M1494-$L1494)/60,2))</f>
        <v/>
      </c>
      <c r="I1494" s="9"/>
      <c r="J1494" s="7"/>
      <c r="K1494" s="7"/>
      <c r="L1494" s="15" t="str">
        <f aca="false">IF($F1494="","",IF($F1494&lt;1,ROUND($F1494*1440,0),INT($F1494/100)*60+MOD($F1494,100)))</f>
        <v/>
      </c>
      <c r="M1494" s="15" t="str">
        <f aca="false">IF($G1494="","",IF($G1494&lt;1,ROUND($G1494*1440,0),INT($G1494/100)*60+MOD($G1494,100)))</f>
        <v/>
      </c>
      <c r="N1494" s="15" t="str">
        <f aca="false">IF(OR($A1494="",$B1494="",$L1494="",$M1494="",$J1494="취소"),"",IF(SUMPRODUCT(($A$3:$A$2002=$A1494)*($B$3:$B$2002=$B1494)*($J$3:$J$2002&lt;&gt;"취소")*($L$3:$L$2002&lt;&gt;"")*($M$3:$M$2002&lt;&gt;"")*($L$3:$L$2002&lt;$M1494)*($M$3:$M$2002&gt;$L1494))&gt;1,"중복","-"))</f>
        <v/>
      </c>
    </row>
    <row r="1495" customFormat="false" ht="15" hidden="false" customHeight="true" outlineLevel="0" collapsed="false">
      <c r="A1495" s="11"/>
      <c r="B1495" s="7"/>
      <c r="C1495" s="12" t="str">
        <f aca="false">IF($B1495="","",IFERROR(INDEX(자원목록!$B$3:$B$102,MATCH($B1495,자원목록!$A$3:$A$102,0)),"미등록자원"))</f>
        <v/>
      </c>
      <c r="D1495" s="7"/>
      <c r="E1495" s="12" t="str">
        <f aca="false">IF($D1495="","",IFERROR(INDEX(고객목록!$B$3:$B$502,MATCH($D1495,고객목록!$A$3:$A$502,0)),""))</f>
        <v/>
      </c>
      <c r="F1495" s="13"/>
      <c r="G1495" s="13"/>
      <c r="H1495" s="14" t="str">
        <f aca="false">IF(OR($L1495="",$M1495=""),"",ROUND(($M1495-$L1495)/60,2))</f>
        <v/>
      </c>
      <c r="I1495" s="9"/>
      <c r="J1495" s="7"/>
      <c r="K1495" s="7"/>
      <c r="L1495" s="15" t="str">
        <f aca="false">IF($F1495="","",IF($F1495&lt;1,ROUND($F1495*1440,0),INT($F1495/100)*60+MOD($F1495,100)))</f>
        <v/>
      </c>
      <c r="M1495" s="15" t="str">
        <f aca="false">IF($G1495="","",IF($G1495&lt;1,ROUND($G1495*1440,0),INT($G1495/100)*60+MOD($G1495,100)))</f>
        <v/>
      </c>
      <c r="N1495" s="15" t="str">
        <f aca="false">IF(OR($A1495="",$B1495="",$L1495="",$M1495="",$J1495="취소"),"",IF(SUMPRODUCT(($A$3:$A$2002=$A1495)*($B$3:$B$2002=$B1495)*($J$3:$J$2002&lt;&gt;"취소")*($L$3:$L$2002&lt;&gt;"")*($M$3:$M$2002&lt;&gt;"")*($L$3:$L$2002&lt;$M1495)*($M$3:$M$2002&gt;$L1495))&gt;1,"중복","-"))</f>
        <v/>
      </c>
    </row>
    <row r="1496" customFormat="false" ht="15" hidden="false" customHeight="true" outlineLevel="0" collapsed="false">
      <c r="A1496" s="11"/>
      <c r="B1496" s="7"/>
      <c r="C1496" s="12" t="str">
        <f aca="false">IF($B1496="","",IFERROR(INDEX(자원목록!$B$3:$B$102,MATCH($B1496,자원목록!$A$3:$A$102,0)),"미등록자원"))</f>
        <v/>
      </c>
      <c r="D1496" s="7"/>
      <c r="E1496" s="12" t="str">
        <f aca="false">IF($D1496="","",IFERROR(INDEX(고객목록!$B$3:$B$502,MATCH($D1496,고객목록!$A$3:$A$502,0)),""))</f>
        <v/>
      </c>
      <c r="F1496" s="13"/>
      <c r="G1496" s="13"/>
      <c r="H1496" s="14" t="str">
        <f aca="false">IF(OR($L1496="",$M1496=""),"",ROUND(($M1496-$L1496)/60,2))</f>
        <v/>
      </c>
      <c r="I1496" s="9"/>
      <c r="J1496" s="7"/>
      <c r="K1496" s="7"/>
      <c r="L1496" s="15" t="str">
        <f aca="false">IF($F1496="","",IF($F1496&lt;1,ROUND($F1496*1440,0),INT($F1496/100)*60+MOD($F1496,100)))</f>
        <v/>
      </c>
      <c r="M1496" s="15" t="str">
        <f aca="false">IF($G1496="","",IF($G1496&lt;1,ROUND($G1496*1440,0),INT($G1496/100)*60+MOD($G1496,100)))</f>
        <v/>
      </c>
      <c r="N1496" s="15" t="str">
        <f aca="false">IF(OR($A1496="",$B1496="",$L1496="",$M1496="",$J1496="취소"),"",IF(SUMPRODUCT(($A$3:$A$2002=$A1496)*($B$3:$B$2002=$B1496)*($J$3:$J$2002&lt;&gt;"취소")*($L$3:$L$2002&lt;&gt;"")*($M$3:$M$2002&lt;&gt;"")*($L$3:$L$2002&lt;$M1496)*($M$3:$M$2002&gt;$L1496))&gt;1,"중복","-"))</f>
        <v/>
      </c>
    </row>
    <row r="1497" customFormat="false" ht="15" hidden="false" customHeight="true" outlineLevel="0" collapsed="false">
      <c r="A1497" s="11"/>
      <c r="B1497" s="7"/>
      <c r="C1497" s="12" t="str">
        <f aca="false">IF($B1497="","",IFERROR(INDEX(자원목록!$B$3:$B$102,MATCH($B1497,자원목록!$A$3:$A$102,0)),"미등록자원"))</f>
        <v/>
      </c>
      <c r="D1497" s="7"/>
      <c r="E1497" s="12" t="str">
        <f aca="false">IF($D1497="","",IFERROR(INDEX(고객목록!$B$3:$B$502,MATCH($D1497,고객목록!$A$3:$A$502,0)),""))</f>
        <v/>
      </c>
      <c r="F1497" s="13"/>
      <c r="G1497" s="13"/>
      <c r="H1497" s="14" t="str">
        <f aca="false">IF(OR($L1497="",$M1497=""),"",ROUND(($M1497-$L1497)/60,2))</f>
        <v/>
      </c>
      <c r="I1497" s="9"/>
      <c r="J1497" s="7"/>
      <c r="K1497" s="7"/>
      <c r="L1497" s="15" t="str">
        <f aca="false">IF($F1497="","",IF($F1497&lt;1,ROUND($F1497*1440,0),INT($F1497/100)*60+MOD($F1497,100)))</f>
        <v/>
      </c>
      <c r="M1497" s="15" t="str">
        <f aca="false">IF($G1497="","",IF($G1497&lt;1,ROUND($G1497*1440,0),INT($G1497/100)*60+MOD($G1497,100)))</f>
        <v/>
      </c>
      <c r="N1497" s="15" t="str">
        <f aca="false">IF(OR($A1497="",$B1497="",$L1497="",$M1497="",$J1497="취소"),"",IF(SUMPRODUCT(($A$3:$A$2002=$A1497)*($B$3:$B$2002=$B1497)*($J$3:$J$2002&lt;&gt;"취소")*($L$3:$L$2002&lt;&gt;"")*($M$3:$M$2002&lt;&gt;"")*($L$3:$L$2002&lt;$M1497)*($M$3:$M$2002&gt;$L1497))&gt;1,"중복","-"))</f>
        <v/>
      </c>
    </row>
    <row r="1498" customFormat="false" ht="15" hidden="false" customHeight="true" outlineLevel="0" collapsed="false">
      <c r="A1498" s="11"/>
      <c r="B1498" s="7"/>
      <c r="C1498" s="12" t="str">
        <f aca="false">IF($B1498="","",IFERROR(INDEX(자원목록!$B$3:$B$102,MATCH($B1498,자원목록!$A$3:$A$102,0)),"미등록자원"))</f>
        <v/>
      </c>
      <c r="D1498" s="7"/>
      <c r="E1498" s="12" t="str">
        <f aca="false">IF($D1498="","",IFERROR(INDEX(고객목록!$B$3:$B$502,MATCH($D1498,고객목록!$A$3:$A$502,0)),""))</f>
        <v/>
      </c>
      <c r="F1498" s="13"/>
      <c r="G1498" s="13"/>
      <c r="H1498" s="14" t="str">
        <f aca="false">IF(OR($L1498="",$M1498=""),"",ROUND(($M1498-$L1498)/60,2))</f>
        <v/>
      </c>
      <c r="I1498" s="9"/>
      <c r="J1498" s="7"/>
      <c r="K1498" s="7"/>
      <c r="L1498" s="15" t="str">
        <f aca="false">IF($F1498="","",IF($F1498&lt;1,ROUND($F1498*1440,0),INT($F1498/100)*60+MOD($F1498,100)))</f>
        <v/>
      </c>
      <c r="M1498" s="15" t="str">
        <f aca="false">IF($G1498="","",IF($G1498&lt;1,ROUND($G1498*1440,0),INT($G1498/100)*60+MOD($G1498,100)))</f>
        <v/>
      </c>
      <c r="N1498" s="15" t="str">
        <f aca="false">IF(OR($A1498="",$B1498="",$L1498="",$M1498="",$J1498="취소"),"",IF(SUMPRODUCT(($A$3:$A$2002=$A1498)*($B$3:$B$2002=$B1498)*($J$3:$J$2002&lt;&gt;"취소")*($L$3:$L$2002&lt;&gt;"")*($M$3:$M$2002&lt;&gt;"")*($L$3:$L$2002&lt;$M1498)*($M$3:$M$2002&gt;$L1498))&gt;1,"중복","-"))</f>
        <v/>
      </c>
    </row>
    <row r="1499" customFormat="false" ht="15" hidden="false" customHeight="true" outlineLevel="0" collapsed="false">
      <c r="A1499" s="11"/>
      <c r="B1499" s="7"/>
      <c r="C1499" s="12" t="str">
        <f aca="false">IF($B1499="","",IFERROR(INDEX(자원목록!$B$3:$B$102,MATCH($B1499,자원목록!$A$3:$A$102,0)),"미등록자원"))</f>
        <v/>
      </c>
      <c r="D1499" s="7"/>
      <c r="E1499" s="12" t="str">
        <f aca="false">IF($D1499="","",IFERROR(INDEX(고객목록!$B$3:$B$502,MATCH($D1499,고객목록!$A$3:$A$502,0)),""))</f>
        <v/>
      </c>
      <c r="F1499" s="13"/>
      <c r="G1499" s="13"/>
      <c r="H1499" s="14" t="str">
        <f aca="false">IF(OR($L1499="",$M1499=""),"",ROUND(($M1499-$L1499)/60,2))</f>
        <v/>
      </c>
      <c r="I1499" s="9"/>
      <c r="J1499" s="7"/>
      <c r="K1499" s="7"/>
      <c r="L1499" s="15" t="str">
        <f aca="false">IF($F1499="","",IF($F1499&lt;1,ROUND($F1499*1440,0),INT($F1499/100)*60+MOD($F1499,100)))</f>
        <v/>
      </c>
      <c r="M1499" s="15" t="str">
        <f aca="false">IF($G1499="","",IF($G1499&lt;1,ROUND($G1499*1440,0),INT($G1499/100)*60+MOD($G1499,100)))</f>
        <v/>
      </c>
      <c r="N1499" s="15" t="str">
        <f aca="false">IF(OR($A1499="",$B1499="",$L1499="",$M1499="",$J1499="취소"),"",IF(SUMPRODUCT(($A$3:$A$2002=$A1499)*($B$3:$B$2002=$B1499)*($J$3:$J$2002&lt;&gt;"취소")*($L$3:$L$2002&lt;&gt;"")*($M$3:$M$2002&lt;&gt;"")*($L$3:$L$2002&lt;$M1499)*($M$3:$M$2002&gt;$L1499))&gt;1,"중복","-"))</f>
        <v/>
      </c>
    </row>
    <row r="1500" customFormat="false" ht="15" hidden="false" customHeight="true" outlineLevel="0" collapsed="false">
      <c r="A1500" s="11"/>
      <c r="B1500" s="7"/>
      <c r="C1500" s="12" t="str">
        <f aca="false">IF($B1500="","",IFERROR(INDEX(자원목록!$B$3:$B$102,MATCH($B1500,자원목록!$A$3:$A$102,0)),"미등록자원"))</f>
        <v/>
      </c>
      <c r="D1500" s="7"/>
      <c r="E1500" s="12" t="str">
        <f aca="false">IF($D1500="","",IFERROR(INDEX(고객목록!$B$3:$B$502,MATCH($D1500,고객목록!$A$3:$A$502,0)),""))</f>
        <v/>
      </c>
      <c r="F1500" s="13"/>
      <c r="G1500" s="13"/>
      <c r="H1500" s="14" t="str">
        <f aca="false">IF(OR($L1500="",$M1500=""),"",ROUND(($M1500-$L1500)/60,2))</f>
        <v/>
      </c>
      <c r="I1500" s="9"/>
      <c r="J1500" s="7"/>
      <c r="K1500" s="7"/>
      <c r="L1500" s="15" t="str">
        <f aca="false">IF($F1500="","",IF($F1500&lt;1,ROUND($F1500*1440,0),INT($F1500/100)*60+MOD($F1500,100)))</f>
        <v/>
      </c>
      <c r="M1500" s="15" t="str">
        <f aca="false">IF($G1500="","",IF($G1500&lt;1,ROUND($G1500*1440,0),INT($G1500/100)*60+MOD($G1500,100)))</f>
        <v/>
      </c>
      <c r="N1500" s="15" t="str">
        <f aca="false">IF(OR($A1500="",$B1500="",$L1500="",$M1500="",$J1500="취소"),"",IF(SUMPRODUCT(($A$3:$A$2002=$A1500)*($B$3:$B$2002=$B1500)*($J$3:$J$2002&lt;&gt;"취소")*($L$3:$L$2002&lt;&gt;"")*($M$3:$M$2002&lt;&gt;"")*($L$3:$L$2002&lt;$M1500)*($M$3:$M$2002&gt;$L1500))&gt;1,"중복","-"))</f>
        <v/>
      </c>
    </row>
    <row r="1501" customFormat="false" ht="15" hidden="false" customHeight="true" outlineLevel="0" collapsed="false">
      <c r="A1501" s="11"/>
      <c r="B1501" s="7"/>
      <c r="C1501" s="12" t="str">
        <f aca="false">IF($B1501="","",IFERROR(INDEX(자원목록!$B$3:$B$102,MATCH($B1501,자원목록!$A$3:$A$102,0)),"미등록자원"))</f>
        <v/>
      </c>
      <c r="D1501" s="7"/>
      <c r="E1501" s="12" t="str">
        <f aca="false">IF($D1501="","",IFERROR(INDEX(고객목록!$B$3:$B$502,MATCH($D1501,고객목록!$A$3:$A$502,0)),""))</f>
        <v/>
      </c>
      <c r="F1501" s="13"/>
      <c r="G1501" s="13"/>
      <c r="H1501" s="14" t="str">
        <f aca="false">IF(OR($L1501="",$M1501=""),"",ROUND(($M1501-$L1501)/60,2))</f>
        <v/>
      </c>
      <c r="I1501" s="9"/>
      <c r="J1501" s="7"/>
      <c r="K1501" s="7"/>
      <c r="L1501" s="15" t="str">
        <f aca="false">IF($F1501="","",IF($F1501&lt;1,ROUND($F1501*1440,0),INT($F1501/100)*60+MOD($F1501,100)))</f>
        <v/>
      </c>
      <c r="M1501" s="15" t="str">
        <f aca="false">IF($G1501="","",IF($G1501&lt;1,ROUND($G1501*1440,0),INT($G1501/100)*60+MOD($G1501,100)))</f>
        <v/>
      </c>
      <c r="N1501" s="15" t="str">
        <f aca="false">IF(OR($A1501="",$B1501="",$L1501="",$M1501="",$J1501="취소"),"",IF(SUMPRODUCT(($A$3:$A$2002=$A1501)*($B$3:$B$2002=$B1501)*($J$3:$J$2002&lt;&gt;"취소")*($L$3:$L$2002&lt;&gt;"")*($M$3:$M$2002&lt;&gt;"")*($L$3:$L$2002&lt;$M1501)*($M$3:$M$2002&gt;$L1501))&gt;1,"중복","-"))</f>
        <v/>
      </c>
    </row>
    <row r="1502" customFormat="false" ht="15" hidden="false" customHeight="true" outlineLevel="0" collapsed="false">
      <c r="A1502" s="11"/>
      <c r="B1502" s="7"/>
      <c r="C1502" s="12" t="str">
        <f aca="false">IF($B1502="","",IFERROR(INDEX(자원목록!$B$3:$B$102,MATCH($B1502,자원목록!$A$3:$A$102,0)),"미등록자원"))</f>
        <v/>
      </c>
      <c r="D1502" s="7"/>
      <c r="E1502" s="12" t="str">
        <f aca="false">IF($D1502="","",IFERROR(INDEX(고객목록!$B$3:$B$502,MATCH($D1502,고객목록!$A$3:$A$502,0)),""))</f>
        <v/>
      </c>
      <c r="F1502" s="13"/>
      <c r="G1502" s="13"/>
      <c r="H1502" s="14" t="str">
        <f aca="false">IF(OR($L1502="",$M1502=""),"",ROUND(($M1502-$L1502)/60,2))</f>
        <v/>
      </c>
      <c r="I1502" s="9"/>
      <c r="J1502" s="7"/>
      <c r="K1502" s="7"/>
      <c r="L1502" s="15" t="str">
        <f aca="false">IF($F1502="","",IF($F1502&lt;1,ROUND($F1502*1440,0),INT($F1502/100)*60+MOD($F1502,100)))</f>
        <v/>
      </c>
      <c r="M1502" s="15" t="str">
        <f aca="false">IF($G1502="","",IF($G1502&lt;1,ROUND($G1502*1440,0),INT($G1502/100)*60+MOD($G1502,100)))</f>
        <v/>
      </c>
      <c r="N1502" s="15" t="str">
        <f aca="false">IF(OR($A1502="",$B1502="",$L1502="",$M1502="",$J1502="취소"),"",IF(SUMPRODUCT(($A$3:$A$2002=$A1502)*($B$3:$B$2002=$B1502)*($J$3:$J$2002&lt;&gt;"취소")*($L$3:$L$2002&lt;&gt;"")*($M$3:$M$2002&lt;&gt;"")*($L$3:$L$2002&lt;$M1502)*($M$3:$M$2002&gt;$L1502))&gt;1,"중복","-"))</f>
        <v/>
      </c>
    </row>
    <row r="1503" customFormat="false" ht="15" hidden="false" customHeight="true" outlineLevel="0" collapsed="false">
      <c r="A1503" s="11"/>
      <c r="B1503" s="7"/>
      <c r="C1503" s="12" t="str">
        <f aca="false">IF($B1503="","",IFERROR(INDEX(자원목록!$B$3:$B$102,MATCH($B1503,자원목록!$A$3:$A$102,0)),"미등록자원"))</f>
        <v/>
      </c>
      <c r="D1503" s="7"/>
      <c r="E1503" s="12" t="str">
        <f aca="false">IF($D1503="","",IFERROR(INDEX(고객목록!$B$3:$B$502,MATCH($D1503,고객목록!$A$3:$A$502,0)),""))</f>
        <v/>
      </c>
      <c r="F1503" s="13"/>
      <c r="G1503" s="13"/>
      <c r="H1503" s="14" t="str">
        <f aca="false">IF(OR($L1503="",$M1503=""),"",ROUND(($M1503-$L1503)/60,2))</f>
        <v/>
      </c>
      <c r="I1503" s="9"/>
      <c r="J1503" s="7"/>
      <c r="K1503" s="7"/>
      <c r="L1503" s="15" t="str">
        <f aca="false">IF($F1503="","",IF($F1503&lt;1,ROUND($F1503*1440,0),INT($F1503/100)*60+MOD($F1503,100)))</f>
        <v/>
      </c>
      <c r="M1503" s="15" t="str">
        <f aca="false">IF($G1503="","",IF($G1503&lt;1,ROUND($G1503*1440,0),INT($G1503/100)*60+MOD($G1503,100)))</f>
        <v/>
      </c>
      <c r="N1503" s="15" t="str">
        <f aca="false">IF(OR($A1503="",$B1503="",$L1503="",$M1503="",$J1503="취소"),"",IF(SUMPRODUCT(($A$3:$A$2002=$A1503)*($B$3:$B$2002=$B1503)*($J$3:$J$2002&lt;&gt;"취소")*($L$3:$L$2002&lt;&gt;"")*($M$3:$M$2002&lt;&gt;"")*($L$3:$L$2002&lt;$M1503)*($M$3:$M$2002&gt;$L1503))&gt;1,"중복","-"))</f>
        <v/>
      </c>
    </row>
    <row r="1504" customFormat="false" ht="15" hidden="false" customHeight="true" outlineLevel="0" collapsed="false">
      <c r="A1504" s="11"/>
      <c r="B1504" s="7"/>
      <c r="C1504" s="12" t="str">
        <f aca="false">IF($B1504="","",IFERROR(INDEX(자원목록!$B$3:$B$102,MATCH($B1504,자원목록!$A$3:$A$102,0)),"미등록자원"))</f>
        <v/>
      </c>
      <c r="D1504" s="7"/>
      <c r="E1504" s="12" t="str">
        <f aca="false">IF($D1504="","",IFERROR(INDEX(고객목록!$B$3:$B$502,MATCH($D1504,고객목록!$A$3:$A$502,0)),""))</f>
        <v/>
      </c>
      <c r="F1504" s="13"/>
      <c r="G1504" s="13"/>
      <c r="H1504" s="14" t="str">
        <f aca="false">IF(OR($L1504="",$M1504=""),"",ROUND(($M1504-$L1504)/60,2))</f>
        <v/>
      </c>
      <c r="I1504" s="9"/>
      <c r="J1504" s="7"/>
      <c r="K1504" s="7"/>
      <c r="L1504" s="15" t="str">
        <f aca="false">IF($F1504="","",IF($F1504&lt;1,ROUND($F1504*1440,0),INT($F1504/100)*60+MOD($F1504,100)))</f>
        <v/>
      </c>
      <c r="M1504" s="15" t="str">
        <f aca="false">IF($G1504="","",IF($G1504&lt;1,ROUND($G1504*1440,0),INT($G1504/100)*60+MOD($G1504,100)))</f>
        <v/>
      </c>
      <c r="N1504" s="15" t="str">
        <f aca="false">IF(OR($A1504="",$B1504="",$L1504="",$M1504="",$J1504="취소"),"",IF(SUMPRODUCT(($A$3:$A$2002=$A1504)*($B$3:$B$2002=$B1504)*($J$3:$J$2002&lt;&gt;"취소")*($L$3:$L$2002&lt;&gt;"")*($M$3:$M$2002&lt;&gt;"")*($L$3:$L$2002&lt;$M1504)*($M$3:$M$2002&gt;$L1504))&gt;1,"중복","-"))</f>
        <v/>
      </c>
    </row>
    <row r="1505" customFormat="false" ht="15" hidden="false" customHeight="true" outlineLevel="0" collapsed="false">
      <c r="A1505" s="11"/>
      <c r="B1505" s="7"/>
      <c r="C1505" s="12" t="str">
        <f aca="false">IF($B1505="","",IFERROR(INDEX(자원목록!$B$3:$B$102,MATCH($B1505,자원목록!$A$3:$A$102,0)),"미등록자원"))</f>
        <v/>
      </c>
      <c r="D1505" s="7"/>
      <c r="E1505" s="12" t="str">
        <f aca="false">IF($D1505="","",IFERROR(INDEX(고객목록!$B$3:$B$502,MATCH($D1505,고객목록!$A$3:$A$502,0)),""))</f>
        <v/>
      </c>
      <c r="F1505" s="13"/>
      <c r="G1505" s="13"/>
      <c r="H1505" s="14" t="str">
        <f aca="false">IF(OR($L1505="",$M1505=""),"",ROUND(($M1505-$L1505)/60,2))</f>
        <v/>
      </c>
      <c r="I1505" s="9"/>
      <c r="J1505" s="7"/>
      <c r="K1505" s="7"/>
      <c r="L1505" s="15" t="str">
        <f aca="false">IF($F1505="","",IF($F1505&lt;1,ROUND($F1505*1440,0),INT($F1505/100)*60+MOD($F1505,100)))</f>
        <v/>
      </c>
      <c r="M1505" s="15" t="str">
        <f aca="false">IF($G1505="","",IF($G1505&lt;1,ROUND($G1505*1440,0),INT($G1505/100)*60+MOD($G1505,100)))</f>
        <v/>
      </c>
      <c r="N1505" s="15" t="str">
        <f aca="false">IF(OR($A1505="",$B1505="",$L1505="",$M1505="",$J1505="취소"),"",IF(SUMPRODUCT(($A$3:$A$2002=$A1505)*($B$3:$B$2002=$B1505)*($J$3:$J$2002&lt;&gt;"취소")*($L$3:$L$2002&lt;&gt;"")*($M$3:$M$2002&lt;&gt;"")*($L$3:$L$2002&lt;$M1505)*($M$3:$M$2002&gt;$L1505))&gt;1,"중복","-"))</f>
        <v/>
      </c>
    </row>
    <row r="1506" customFormat="false" ht="15" hidden="false" customHeight="true" outlineLevel="0" collapsed="false">
      <c r="A1506" s="11"/>
      <c r="B1506" s="7"/>
      <c r="C1506" s="12" t="str">
        <f aca="false">IF($B1506="","",IFERROR(INDEX(자원목록!$B$3:$B$102,MATCH($B1506,자원목록!$A$3:$A$102,0)),"미등록자원"))</f>
        <v/>
      </c>
      <c r="D1506" s="7"/>
      <c r="E1506" s="12" t="str">
        <f aca="false">IF($D1506="","",IFERROR(INDEX(고객목록!$B$3:$B$502,MATCH($D1506,고객목록!$A$3:$A$502,0)),""))</f>
        <v/>
      </c>
      <c r="F1506" s="13"/>
      <c r="G1506" s="13"/>
      <c r="H1506" s="14" t="str">
        <f aca="false">IF(OR($L1506="",$M1506=""),"",ROUND(($M1506-$L1506)/60,2))</f>
        <v/>
      </c>
      <c r="I1506" s="9"/>
      <c r="J1506" s="7"/>
      <c r="K1506" s="7"/>
      <c r="L1506" s="15" t="str">
        <f aca="false">IF($F1506="","",IF($F1506&lt;1,ROUND($F1506*1440,0),INT($F1506/100)*60+MOD($F1506,100)))</f>
        <v/>
      </c>
      <c r="M1506" s="15" t="str">
        <f aca="false">IF($G1506="","",IF($G1506&lt;1,ROUND($G1506*1440,0),INT($G1506/100)*60+MOD($G1506,100)))</f>
        <v/>
      </c>
      <c r="N1506" s="15" t="str">
        <f aca="false">IF(OR($A1506="",$B1506="",$L1506="",$M1506="",$J1506="취소"),"",IF(SUMPRODUCT(($A$3:$A$2002=$A1506)*($B$3:$B$2002=$B1506)*($J$3:$J$2002&lt;&gt;"취소")*($L$3:$L$2002&lt;&gt;"")*($M$3:$M$2002&lt;&gt;"")*($L$3:$L$2002&lt;$M1506)*($M$3:$M$2002&gt;$L1506))&gt;1,"중복","-"))</f>
        <v/>
      </c>
    </row>
    <row r="1507" customFormat="false" ht="15" hidden="false" customHeight="true" outlineLevel="0" collapsed="false">
      <c r="A1507" s="11"/>
      <c r="B1507" s="7"/>
      <c r="C1507" s="12" t="str">
        <f aca="false">IF($B1507="","",IFERROR(INDEX(자원목록!$B$3:$B$102,MATCH($B1507,자원목록!$A$3:$A$102,0)),"미등록자원"))</f>
        <v/>
      </c>
      <c r="D1507" s="7"/>
      <c r="E1507" s="12" t="str">
        <f aca="false">IF($D1507="","",IFERROR(INDEX(고객목록!$B$3:$B$502,MATCH($D1507,고객목록!$A$3:$A$502,0)),""))</f>
        <v/>
      </c>
      <c r="F1507" s="13"/>
      <c r="G1507" s="13"/>
      <c r="H1507" s="14" t="str">
        <f aca="false">IF(OR($L1507="",$M1507=""),"",ROUND(($M1507-$L1507)/60,2))</f>
        <v/>
      </c>
      <c r="I1507" s="9"/>
      <c r="J1507" s="7"/>
      <c r="K1507" s="7"/>
      <c r="L1507" s="15" t="str">
        <f aca="false">IF($F1507="","",IF($F1507&lt;1,ROUND($F1507*1440,0),INT($F1507/100)*60+MOD($F1507,100)))</f>
        <v/>
      </c>
      <c r="M1507" s="15" t="str">
        <f aca="false">IF($G1507="","",IF($G1507&lt;1,ROUND($G1507*1440,0),INT($G1507/100)*60+MOD($G1507,100)))</f>
        <v/>
      </c>
      <c r="N1507" s="15" t="str">
        <f aca="false">IF(OR($A1507="",$B1507="",$L1507="",$M1507="",$J1507="취소"),"",IF(SUMPRODUCT(($A$3:$A$2002=$A1507)*($B$3:$B$2002=$B1507)*($J$3:$J$2002&lt;&gt;"취소")*($L$3:$L$2002&lt;&gt;"")*($M$3:$M$2002&lt;&gt;"")*($L$3:$L$2002&lt;$M1507)*($M$3:$M$2002&gt;$L1507))&gt;1,"중복","-"))</f>
        <v/>
      </c>
    </row>
    <row r="1508" customFormat="false" ht="15" hidden="false" customHeight="true" outlineLevel="0" collapsed="false">
      <c r="A1508" s="11"/>
      <c r="B1508" s="7"/>
      <c r="C1508" s="12" t="str">
        <f aca="false">IF($B1508="","",IFERROR(INDEX(자원목록!$B$3:$B$102,MATCH($B1508,자원목록!$A$3:$A$102,0)),"미등록자원"))</f>
        <v/>
      </c>
      <c r="D1508" s="7"/>
      <c r="E1508" s="12" t="str">
        <f aca="false">IF($D1508="","",IFERROR(INDEX(고객목록!$B$3:$B$502,MATCH($D1508,고객목록!$A$3:$A$502,0)),""))</f>
        <v/>
      </c>
      <c r="F1508" s="13"/>
      <c r="G1508" s="13"/>
      <c r="H1508" s="14" t="str">
        <f aca="false">IF(OR($L1508="",$M1508=""),"",ROUND(($M1508-$L1508)/60,2))</f>
        <v/>
      </c>
      <c r="I1508" s="9"/>
      <c r="J1508" s="7"/>
      <c r="K1508" s="7"/>
      <c r="L1508" s="15" t="str">
        <f aca="false">IF($F1508="","",IF($F1508&lt;1,ROUND($F1508*1440,0),INT($F1508/100)*60+MOD($F1508,100)))</f>
        <v/>
      </c>
      <c r="M1508" s="15" t="str">
        <f aca="false">IF($G1508="","",IF($G1508&lt;1,ROUND($G1508*1440,0),INT($G1508/100)*60+MOD($G1508,100)))</f>
        <v/>
      </c>
      <c r="N1508" s="15" t="str">
        <f aca="false">IF(OR($A1508="",$B1508="",$L1508="",$M1508="",$J1508="취소"),"",IF(SUMPRODUCT(($A$3:$A$2002=$A1508)*($B$3:$B$2002=$B1508)*($J$3:$J$2002&lt;&gt;"취소")*($L$3:$L$2002&lt;&gt;"")*($M$3:$M$2002&lt;&gt;"")*($L$3:$L$2002&lt;$M1508)*($M$3:$M$2002&gt;$L1508))&gt;1,"중복","-"))</f>
        <v/>
      </c>
    </row>
    <row r="1509" customFormat="false" ht="15" hidden="false" customHeight="true" outlineLevel="0" collapsed="false">
      <c r="A1509" s="11"/>
      <c r="B1509" s="7"/>
      <c r="C1509" s="12" t="str">
        <f aca="false">IF($B1509="","",IFERROR(INDEX(자원목록!$B$3:$B$102,MATCH($B1509,자원목록!$A$3:$A$102,0)),"미등록자원"))</f>
        <v/>
      </c>
      <c r="D1509" s="7"/>
      <c r="E1509" s="12" t="str">
        <f aca="false">IF($D1509="","",IFERROR(INDEX(고객목록!$B$3:$B$502,MATCH($D1509,고객목록!$A$3:$A$502,0)),""))</f>
        <v/>
      </c>
      <c r="F1509" s="13"/>
      <c r="G1509" s="13"/>
      <c r="H1509" s="14" t="str">
        <f aca="false">IF(OR($L1509="",$M1509=""),"",ROUND(($M1509-$L1509)/60,2))</f>
        <v/>
      </c>
      <c r="I1509" s="9"/>
      <c r="J1509" s="7"/>
      <c r="K1509" s="7"/>
      <c r="L1509" s="15" t="str">
        <f aca="false">IF($F1509="","",IF($F1509&lt;1,ROUND($F1509*1440,0),INT($F1509/100)*60+MOD($F1509,100)))</f>
        <v/>
      </c>
      <c r="M1509" s="15" t="str">
        <f aca="false">IF($G1509="","",IF($G1509&lt;1,ROUND($G1509*1440,0),INT($G1509/100)*60+MOD($G1509,100)))</f>
        <v/>
      </c>
      <c r="N1509" s="15" t="str">
        <f aca="false">IF(OR($A1509="",$B1509="",$L1509="",$M1509="",$J1509="취소"),"",IF(SUMPRODUCT(($A$3:$A$2002=$A1509)*($B$3:$B$2002=$B1509)*($J$3:$J$2002&lt;&gt;"취소")*($L$3:$L$2002&lt;&gt;"")*($M$3:$M$2002&lt;&gt;"")*($L$3:$L$2002&lt;$M1509)*($M$3:$M$2002&gt;$L1509))&gt;1,"중복","-"))</f>
        <v/>
      </c>
    </row>
    <row r="1510" customFormat="false" ht="15" hidden="false" customHeight="true" outlineLevel="0" collapsed="false">
      <c r="A1510" s="11"/>
      <c r="B1510" s="7"/>
      <c r="C1510" s="12" t="str">
        <f aca="false">IF($B1510="","",IFERROR(INDEX(자원목록!$B$3:$B$102,MATCH($B1510,자원목록!$A$3:$A$102,0)),"미등록자원"))</f>
        <v/>
      </c>
      <c r="D1510" s="7"/>
      <c r="E1510" s="12" t="str">
        <f aca="false">IF($D1510="","",IFERROR(INDEX(고객목록!$B$3:$B$502,MATCH($D1510,고객목록!$A$3:$A$502,0)),""))</f>
        <v/>
      </c>
      <c r="F1510" s="13"/>
      <c r="G1510" s="13"/>
      <c r="H1510" s="14" t="str">
        <f aca="false">IF(OR($L1510="",$M1510=""),"",ROUND(($M1510-$L1510)/60,2))</f>
        <v/>
      </c>
      <c r="I1510" s="9"/>
      <c r="J1510" s="7"/>
      <c r="K1510" s="7"/>
      <c r="L1510" s="15" t="str">
        <f aca="false">IF($F1510="","",IF($F1510&lt;1,ROUND($F1510*1440,0),INT($F1510/100)*60+MOD($F1510,100)))</f>
        <v/>
      </c>
      <c r="M1510" s="15" t="str">
        <f aca="false">IF($G1510="","",IF($G1510&lt;1,ROUND($G1510*1440,0),INT($G1510/100)*60+MOD($G1510,100)))</f>
        <v/>
      </c>
      <c r="N1510" s="15" t="str">
        <f aca="false">IF(OR($A1510="",$B1510="",$L1510="",$M1510="",$J1510="취소"),"",IF(SUMPRODUCT(($A$3:$A$2002=$A1510)*($B$3:$B$2002=$B1510)*($J$3:$J$2002&lt;&gt;"취소")*($L$3:$L$2002&lt;&gt;"")*($M$3:$M$2002&lt;&gt;"")*($L$3:$L$2002&lt;$M1510)*($M$3:$M$2002&gt;$L1510))&gt;1,"중복","-"))</f>
        <v/>
      </c>
    </row>
    <row r="1511" customFormat="false" ht="15" hidden="false" customHeight="true" outlineLevel="0" collapsed="false">
      <c r="A1511" s="11"/>
      <c r="B1511" s="7"/>
      <c r="C1511" s="12" t="str">
        <f aca="false">IF($B1511="","",IFERROR(INDEX(자원목록!$B$3:$B$102,MATCH($B1511,자원목록!$A$3:$A$102,0)),"미등록자원"))</f>
        <v/>
      </c>
      <c r="D1511" s="7"/>
      <c r="E1511" s="12" t="str">
        <f aca="false">IF($D1511="","",IFERROR(INDEX(고객목록!$B$3:$B$502,MATCH($D1511,고객목록!$A$3:$A$502,0)),""))</f>
        <v/>
      </c>
      <c r="F1511" s="13"/>
      <c r="G1511" s="13"/>
      <c r="H1511" s="14" t="str">
        <f aca="false">IF(OR($L1511="",$M1511=""),"",ROUND(($M1511-$L1511)/60,2))</f>
        <v/>
      </c>
      <c r="I1511" s="9"/>
      <c r="J1511" s="7"/>
      <c r="K1511" s="7"/>
      <c r="L1511" s="15" t="str">
        <f aca="false">IF($F1511="","",IF($F1511&lt;1,ROUND($F1511*1440,0),INT($F1511/100)*60+MOD($F1511,100)))</f>
        <v/>
      </c>
      <c r="M1511" s="15" t="str">
        <f aca="false">IF($G1511="","",IF($G1511&lt;1,ROUND($G1511*1440,0),INT($G1511/100)*60+MOD($G1511,100)))</f>
        <v/>
      </c>
      <c r="N1511" s="15" t="str">
        <f aca="false">IF(OR($A1511="",$B1511="",$L1511="",$M1511="",$J1511="취소"),"",IF(SUMPRODUCT(($A$3:$A$2002=$A1511)*($B$3:$B$2002=$B1511)*($J$3:$J$2002&lt;&gt;"취소")*($L$3:$L$2002&lt;&gt;"")*($M$3:$M$2002&lt;&gt;"")*($L$3:$L$2002&lt;$M1511)*($M$3:$M$2002&gt;$L1511))&gt;1,"중복","-"))</f>
        <v/>
      </c>
    </row>
    <row r="1512" customFormat="false" ht="15" hidden="false" customHeight="true" outlineLevel="0" collapsed="false">
      <c r="A1512" s="11"/>
      <c r="B1512" s="7"/>
      <c r="C1512" s="12" t="str">
        <f aca="false">IF($B1512="","",IFERROR(INDEX(자원목록!$B$3:$B$102,MATCH($B1512,자원목록!$A$3:$A$102,0)),"미등록자원"))</f>
        <v/>
      </c>
      <c r="D1512" s="7"/>
      <c r="E1512" s="12" t="str">
        <f aca="false">IF($D1512="","",IFERROR(INDEX(고객목록!$B$3:$B$502,MATCH($D1512,고객목록!$A$3:$A$502,0)),""))</f>
        <v/>
      </c>
      <c r="F1512" s="13"/>
      <c r="G1512" s="13"/>
      <c r="H1512" s="14" t="str">
        <f aca="false">IF(OR($L1512="",$M1512=""),"",ROUND(($M1512-$L1512)/60,2))</f>
        <v/>
      </c>
      <c r="I1512" s="9"/>
      <c r="J1512" s="7"/>
      <c r="K1512" s="7"/>
      <c r="L1512" s="15" t="str">
        <f aca="false">IF($F1512="","",IF($F1512&lt;1,ROUND($F1512*1440,0),INT($F1512/100)*60+MOD($F1512,100)))</f>
        <v/>
      </c>
      <c r="M1512" s="15" t="str">
        <f aca="false">IF($G1512="","",IF($G1512&lt;1,ROUND($G1512*1440,0),INT($G1512/100)*60+MOD($G1512,100)))</f>
        <v/>
      </c>
      <c r="N1512" s="15" t="str">
        <f aca="false">IF(OR($A1512="",$B1512="",$L1512="",$M1512="",$J1512="취소"),"",IF(SUMPRODUCT(($A$3:$A$2002=$A1512)*($B$3:$B$2002=$B1512)*($J$3:$J$2002&lt;&gt;"취소")*($L$3:$L$2002&lt;&gt;"")*($M$3:$M$2002&lt;&gt;"")*($L$3:$L$2002&lt;$M1512)*($M$3:$M$2002&gt;$L1512))&gt;1,"중복","-"))</f>
        <v/>
      </c>
    </row>
    <row r="1513" customFormat="false" ht="15" hidden="false" customHeight="true" outlineLevel="0" collapsed="false">
      <c r="A1513" s="11"/>
      <c r="B1513" s="7"/>
      <c r="C1513" s="12" t="str">
        <f aca="false">IF($B1513="","",IFERROR(INDEX(자원목록!$B$3:$B$102,MATCH($B1513,자원목록!$A$3:$A$102,0)),"미등록자원"))</f>
        <v/>
      </c>
      <c r="D1513" s="7"/>
      <c r="E1513" s="12" t="str">
        <f aca="false">IF($D1513="","",IFERROR(INDEX(고객목록!$B$3:$B$502,MATCH($D1513,고객목록!$A$3:$A$502,0)),""))</f>
        <v/>
      </c>
      <c r="F1513" s="13"/>
      <c r="G1513" s="13"/>
      <c r="H1513" s="14" t="str">
        <f aca="false">IF(OR($L1513="",$M1513=""),"",ROUND(($M1513-$L1513)/60,2))</f>
        <v/>
      </c>
      <c r="I1513" s="9"/>
      <c r="J1513" s="7"/>
      <c r="K1513" s="7"/>
      <c r="L1513" s="15" t="str">
        <f aca="false">IF($F1513="","",IF($F1513&lt;1,ROUND($F1513*1440,0),INT($F1513/100)*60+MOD($F1513,100)))</f>
        <v/>
      </c>
      <c r="M1513" s="15" t="str">
        <f aca="false">IF($G1513="","",IF($G1513&lt;1,ROUND($G1513*1440,0),INT($G1513/100)*60+MOD($G1513,100)))</f>
        <v/>
      </c>
      <c r="N1513" s="15" t="str">
        <f aca="false">IF(OR($A1513="",$B1513="",$L1513="",$M1513="",$J1513="취소"),"",IF(SUMPRODUCT(($A$3:$A$2002=$A1513)*($B$3:$B$2002=$B1513)*($J$3:$J$2002&lt;&gt;"취소")*($L$3:$L$2002&lt;&gt;"")*($M$3:$M$2002&lt;&gt;"")*($L$3:$L$2002&lt;$M1513)*($M$3:$M$2002&gt;$L1513))&gt;1,"중복","-"))</f>
        <v/>
      </c>
    </row>
    <row r="1514" customFormat="false" ht="15" hidden="false" customHeight="true" outlineLevel="0" collapsed="false">
      <c r="A1514" s="11"/>
      <c r="B1514" s="7"/>
      <c r="C1514" s="12" t="str">
        <f aca="false">IF($B1514="","",IFERROR(INDEX(자원목록!$B$3:$B$102,MATCH($B1514,자원목록!$A$3:$A$102,0)),"미등록자원"))</f>
        <v/>
      </c>
      <c r="D1514" s="7"/>
      <c r="E1514" s="12" t="str">
        <f aca="false">IF($D1514="","",IFERROR(INDEX(고객목록!$B$3:$B$502,MATCH($D1514,고객목록!$A$3:$A$502,0)),""))</f>
        <v/>
      </c>
      <c r="F1514" s="13"/>
      <c r="G1514" s="13"/>
      <c r="H1514" s="14" t="str">
        <f aca="false">IF(OR($L1514="",$M1514=""),"",ROUND(($M1514-$L1514)/60,2))</f>
        <v/>
      </c>
      <c r="I1514" s="9"/>
      <c r="J1514" s="7"/>
      <c r="K1514" s="7"/>
      <c r="L1514" s="15" t="str">
        <f aca="false">IF($F1514="","",IF($F1514&lt;1,ROUND($F1514*1440,0),INT($F1514/100)*60+MOD($F1514,100)))</f>
        <v/>
      </c>
      <c r="M1514" s="15" t="str">
        <f aca="false">IF($G1514="","",IF($G1514&lt;1,ROUND($G1514*1440,0),INT($G1514/100)*60+MOD($G1514,100)))</f>
        <v/>
      </c>
      <c r="N1514" s="15" t="str">
        <f aca="false">IF(OR($A1514="",$B1514="",$L1514="",$M1514="",$J1514="취소"),"",IF(SUMPRODUCT(($A$3:$A$2002=$A1514)*($B$3:$B$2002=$B1514)*($J$3:$J$2002&lt;&gt;"취소")*($L$3:$L$2002&lt;&gt;"")*($M$3:$M$2002&lt;&gt;"")*($L$3:$L$2002&lt;$M1514)*($M$3:$M$2002&gt;$L1514))&gt;1,"중복","-"))</f>
        <v/>
      </c>
    </row>
    <row r="1515" customFormat="false" ht="15" hidden="false" customHeight="true" outlineLevel="0" collapsed="false">
      <c r="A1515" s="11"/>
      <c r="B1515" s="7"/>
      <c r="C1515" s="12" t="str">
        <f aca="false">IF($B1515="","",IFERROR(INDEX(자원목록!$B$3:$B$102,MATCH($B1515,자원목록!$A$3:$A$102,0)),"미등록자원"))</f>
        <v/>
      </c>
      <c r="D1515" s="7"/>
      <c r="E1515" s="12" t="str">
        <f aca="false">IF($D1515="","",IFERROR(INDEX(고객목록!$B$3:$B$502,MATCH($D1515,고객목록!$A$3:$A$502,0)),""))</f>
        <v/>
      </c>
      <c r="F1515" s="13"/>
      <c r="G1515" s="13"/>
      <c r="H1515" s="14" t="str">
        <f aca="false">IF(OR($L1515="",$M1515=""),"",ROUND(($M1515-$L1515)/60,2))</f>
        <v/>
      </c>
      <c r="I1515" s="9"/>
      <c r="J1515" s="7"/>
      <c r="K1515" s="7"/>
      <c r="L1515" s="15" t="str">
        <f aca="false">IF($F1515="","",IF($F1515&lt;1,ROUND($F1515*1440,0),INT($F1515/100)*60+MOD($F1515,100)))</f>
        <v/>
      </c>
      <c r="M1515" s="15" t="str">
        <f aca="false">IF($G1515="","",IF($G1515&lt;1,ROUND($G1515*1440,0),INT($G1515/100)*60+MOD($G1515,100)))</f>
        <v/>
      </c>
      <c r="N1515" s="15" t="str">
        <f aca="false">IF(OR($A1515="",$B1515="",$L1515="",$M1515="",$J1515="취소"),"",IF(SUMPRODUCT(($A$3:$A$2002=$A1515)*($B$3:$B$2002=$B1515)*($J$3:$J$2002&lt;&gt;"취소")*($L$3:$L$2002&lt;&gt;"")*($M$3:$M$2002&lt;&gt;"")*($L$3:$L$2002&lt;$M1515)*($M$3:$M$2002&gt;$L1515))&gt;1,"중복","-"))</f>
        <v/>
      </c>
    </row>
    <row r="1516" customFormat="false" ht="15" hidden="false" customHeight="true" outlineLevel="0" collapsed="false">
      <c r="A1516" s="11"/>
      <c r="B1516" s="7"/>
      <c r="C1516" s="12" t="str">
        <f aca="false">IF($B1516="","",IFERROR(INDEX(자원목록!$B$3:$B$102,MATCH($B1516,자원목록!$A$3:$A$102,0)),"미등록자원"))</f>
        <v/>
      </c>
      <c r="D1516" s="7"/>
      <c r="E1516" s="12" t="str">
        <f aca="false">IF($D1516="","",IFERROR(INDEX(고객목록!$B$3:$B$502,MATCH($D1516,고객목록!$A$3:$A$502,0)),""))</f>
        <v/>
      </c>
      <c r="F1516" s="13"/>
      <c r="G1516" s="13"/>
      <c r="H1516" s="14" t="str">
        <f aca="false">IF(OR($L1516="",$M1516=""),"",ROUND(($M1516-$L1516)/60,2))</f>
        <v/>
      </c>
      <c r="I1516" s="9"/>
      <c r="J1516" s="7"/>
      <c r="K1516" s="7"/>
      <c r="L1516" s="15" t="str">
        <f aca="false">IF($F1516="","",IF($F1516&lt;1,ROUND($F1516*1440,0),INT($F1516/100)*60+MOD($F1516,100)))</f>
        <v/>
      </c>
      <c r="M1516" s="15" t="str">
        <f aca="false">IF($G1516="","",IF($G1516&lt;1,ROUND($G1516*1440,0),INT($G1516/100)*60+MOD($G1516,100)))</f>
        <v/>
      </c>
      <c r="N1516" s="15" t="str">
        <f aca="false">IF(OR($A1516="",$B1516="",$L1516="",$M1516="",$J1516="취소"),"",IF(SUMPRODUCT(($A$3:$A$2002=$A1516)*($B$3:$B$2002=$B1516)*($J$3:$J$2002&lt;&gt;"취소")*($L$3:$L$2002&lt;&gt;"")*($M$3:$M$2002&lt;&gt;"")*($L$3:$L$2002&lt;$M1516)*($M$3:$M$2002&gt;$L1516))&gt;1,"중복","-"))</f>
        <v/>
      </c>
    </row>
    <row r="1517" customFormat="false" ht="15" hidden="false" customHeight="true" outlineLevel="0" collapsed="false">
      <c r="A1517" s="11"/>
      <c r="B1517" s="7"/>
      <c r="C1517" s="12" t="str">
        <f aca="false">IF($B1517="","",IFERROR(INDEX(자원목록!$B$3:$B$102,MATCH($B1517,자원목록!$A$3:$A$102,0)),"미등록자원"))</f>
        <v/>
      </c>
      <c r="D1517" s="7"/>
      <c r="E1517" s="12" t="str">
        <f aca="false">IF($D1517="","",IFERROR(INDEX(고객목록!$B$3:$B$502,MATCH($D1517,고객목록!$A$3:$A$502,0)),""))</f>
        <v/>
      </c>
      <c r="F1517" s="13"/>
      <c r="G1517" s="13"/>
      <c r="H1517" s="14" t="str">
        <f aca="false">IF(OR($L1517="",$M1517=""),"",ROUND(($M1517-$L1517)/60,2))</f>
        <v/>
      </c>
      <c r="I1517" s="9"/>
      <c r="J1517" s="7"/>
      <c r="K1517" s="7"/>
      <c r="L1517" s="15" t="str">
        <f aca="false">IF($F1517="","",IF($F1517&lt;1,ROUND($F1517*1440,0),INT($F1517/100)*60+MOD($F1517,100)))</f>
        <v/>
      </c>
      <c r="M1517" s="15" t="str">
        <f aca="false">IF($G1517="","",IF($G1517&lt;1,ROUND($G1517*1440,0),INT($G1517/100)*60+MOD($G1517,100)))</f>
        <v/>
      </c>
      <c r="N1517" s="15" t="str">
        <f aca="false">IF(OR($A1517="",$B1517="",$L1517="",$M1517="",$J1517="취소"),"",IF(SUMPRODUCT(($A$3:$A$2002=$A1517)*($B$3:$B$2002=$B1517)*($J$3:$J$2002&lt;&gt;"취소")*($L$3:$L$2002&lt;&gt;"")*($M$3:$M$2002&lt;&gt;"")*($L$3:$L$2002&lt;$M1517)*($M$3:$M$2002&gt;$L1517))&gt;1,"중복","-"))</f>
        <v/>
      </c>
    </row>
    <row r="1518" customFormat="false" ht="15" hidden="false" customHeight="true" outlineLevel="0" collapsed="false">
      <c r="A1518" s="11"/>
      <c r="B1518" s="7"/>
      <c r="C1518" s="12" t="str">
        <f aca="false">IF($B1518="","",IFERROR(INDEX(자원목록!$B$3:$B$102,MATCH($B1518,자원목록!$A$3:$A$102,0)),"미등록자원"))</f>
        <v/>
      </c>
      <c r="D1518" s="7"/>
      <c r="E1518" s="12" t="str">
        <f aca="false">IF($D1518="","",IFERROR(INDEX(고객목록!$B$3:$B$502,MATCH($D1518,고객목록!$A$3:$A$502,0)),""))</f>
        <v/>
      </c>
      <c r="F1518" s="13"/>
      <c r="G1518" s="13"/>
      <c r="H1518" s="14" t="str">
        <f aca="false">IF(OR($L1518="",$M1518=""),"",ROUND(($M1518-$L1518)/60,2))</f>
        <v/>
      </c>
      <c r="I1518" s="9"/>
      <c r="J1518" s="7"/>
      <c r="K1518" s="7"/>
      <c r="L1518" s="15" t="str">
        <f aca="false">IF($F1518="","",IF($F1518&lt;1,ROUND($F1518*1440,0),INT($F1518/100)*60+MOD($F1518,100)))</f>
        <v/>
      </c>
      <c r="M1518" s="15" t="str">
        <f aca="false">IF($G1518="","",IF($G1518&lt;1,ROUND($G1518*1440,0),INT($G1518/100)*60+MOD($G1518,100)))</f>
        <v/>
      </c>
      <c r="N1518" s="15" t="str">
        <f aca="false">IF(OR($A1518="",$B1518="",$L1518="",$M1518="",$J1518="취소"),"",IF(SUMPRODUCT(($A$3:$A$2002=$A1518)*($B$3:$B$2002=$B1518)*($J$3:$J$2002&lt;&gt;"취소")*($L$3:$L$2002&lt;&gt;"")*($M$3:$M$2002&lt;&gt;"")*($L$3:$L$2002&lt;$M1518)*($M$3:$M$2002&gt;$L1518))&gt;1,"중복","-"))</f>
        <v/>
      </c>
    </row>
    <row r="1519" customFormat="false" ht="15" hidden="false" customHeight="true" outlineLevel="0" collapsed="false">
      <c r="A1519" s="11"/>
      <c r="B1519" s="7"/>
      <c r="C1519" s="12" t="str">
        <f aca="false">IF($B1519="","",IFERROR(INDEX(자원목록!$B$3:$B$102,MATCH($B1519,자원목록!$A$3:$A$102,0)),"미등록자원"))</f>
        <v/>
      </c>
      <c r="D1519" s="7"/>
      <c r="E1519" s="12" t="str">
        <f aca="false">IF($D1519="","",IFERROR(INDEX(고객목록!$B$3:$B$502,MATCH($D1519,고객목록!$A$3:$A$502,0)),""))</f>
        <v/>
      </c>
      <c r="F1519" s="13"/>
      <c r="G1519" s="13"/>
      <c r="H1519" s="14" t="str">
        <f aca="false">IF(OR($L1519="",$M1519=""),"",ROUND(($M1519-$L1519)/60,2))</f>
        <v/>
      </c>
      <c r="I1519" s="9"/>
      <c r="J1519" s="7"/>
      <c r="K1519" s="7"/>
      <c r="L1519" s="15" t="str">
        <f aca="false">IF($F1519="","",IF($F1519&lt;1,ROUND($F1519*1440,0),INT($F1519/100)*60+MOD($F1519,100)))</f>
        <v/>
      </c>
      <c r="M1519" s="15" t="str">
        <f aca="false">IF($G1519="","",IF($G1519&lt;1,ROUND($G1519*1440,0),INT($G1519/100)*60+MOD($G1519,100)))</f>
        <v/>
      </c>
      <c r="N1519" s="15" t="str">
        <f aca="false">IF(OR($A1519="",$B1519="",$L1519="",$M1519="",$J1519="취소"),"",IF(SUMPRODUCT(($A$3:$A$2002=$A1519)*($B$3:$B$2002=$B1519)*($J$3:$J$2002&lt;&gt;"취소")*($L$3:$L$2002&lt;&gt;"")*($M$3:$M$2002&lt;&gt;"")*($L$3:$L$2002&lt;$M1519)*($M$3:$M$2002&gt;$L1519))&gt;1,"중복","-"))</f>
        <v/>
      </c>
    </row>
    <row r="1520" customFormat="false" ht="15" hidden="false" customHeight="true" outlineLevel="0" collapsed="false">
      <c r="A1520" s="11"/>
      <c r="B1520" s="7"/>
      <c r="C1520" s="12" t="str">
        <f aca="false">IF($B1520="","",IFERROR(INDEX(자원목록!$B$3:$B$102,MATCH($B1520,자원목록!$A$3:$A$102,0)),"미등록자원"))</f>
        <v/>
      </c>
      <c r="D1520" s="7"/>
      <c r="E1520" s="12" t="str">
        <f aca="false">IF($D1520="","",IFERROR(INDEX(고객목록!$B$3:$B$502,MATCH($D1520,고객목록!$A$3:$A$502,0)),""))</f>
        <v/>
      </c>
      <c r="F1520" s="13"/>
      <c r="G1520" s="13"/>
      <c r="H1520" s="14" t="str">
        <f aca="false">IF(OR($L1520="",$M1520=""),"",ROUND(($M1520-$L1520)/60,2))</f>
        <v/>
      </c>
      <c r="I1520" s="9"/>
      <c r="J1520" s="7"/>
      <c r="K1520" s="7"/>
      <c r="L1520" s="15" t="str">
        <f aca="false">IF($F1520="","",IF($F1520&lt;1,ROUND($F1520*1440,0),INT($F1520/100)*60+MOD($F1520,100)))</f>
        <v/>
      </c>
      <c r="M1520" s="15" t="str">
        <f aca="false">IF($G1520="","",IF($G1520&lt;1,ROUND($G1520*1440,0),INT($G1520/100)*60+MOD($G1520,100)))</f>
        <v/>
      </c>
      <c r="N1520" s="15" t="str">
        <f aca="false">IF(OR($A1520="",$B1520="",$L1520="",$M1520="",$J1520="취소"),"",IF(SUMPRODUCT(($A$3:$A$2002=$A1520)*($B$3:$B$2002=$B1520)*($J$3:$J$2002&lt;&gt;"취소")*($L$3:$L$2002&lt;&gt;"")*($M$3:$M$2002&lt;&gt;"")*($L$3:$L$2002&lt;$M1520)*($M$3:$M$2002&gt;$L1520))&gt;1,"중복","-"))</f>
        <v/>
      </c>
    </row>
    <row r="1521" customFormat="false" ht="15" hidden="false" customHeight="true" outlineLevel="0" collapsed="false">
      <c r="A1521" s="11"/>
      <c r="B1521" s="7"/>
      <c r="C1521" s="12" t="str">
        <f aca="false">IF($B1521="","",IFERROR(INDEX(자원목록!$B$3:$B$102,MATCH($B1521,자원목록!$A$3:$A$102,0)),"미등록자원"))</f>
        <v/>
      </c>
      <c r="D1521" s="7"/>
      <c r="E1521" s="12" t="str">
        <f aca="false">IF($D1521="","",IFERROR(INDEX(고객목록!$B$3:$B$502,MATCH($D1521,고객목록!$A$3:$A$502,0)),""))</f>
        <v/>
      </c>
      <c r="F1521" s="13"/>
      <c r="G1521" s="13"/>
      <c r="H1521" s="14" t="str">
        <f aca="false">IF(OR($L1521="",$M1521=""),"",ROUND(($M1521-$L1521)/60,2))</f>
        <v/>
      </c>
      <c r="I1521" s="9"/>
      <c r="J1521" s="7"/>
      <c r="K1521" s="7"/>
      <c r="L1521" s="15" t="str">
        <f aca="false">IF($F1521="","",IF($F1521&lt;1,ROUND($F1521*1440,0),INT($F1521/100)*60+MOD($F1521,100)))</f>
        <v/>
      </c>
      <c r="M1521" s="15" t="str">
        <f aca="false">IF($G1521="","",IF($G1521&lt;1,ROUND($G1521*1440,0),INT($G1521/100)*60+MOD($G1521,100)))</f>
        <v/>
      </c>
      <c r="N1521" s="15" t="str">
        <f aca="false">IF(OR($A1521="",$B1521="",$L1521="",$M1521="",$J1521="취소"),"",IF(SUMPRODUCT(($A$3:$A$2002=$A1521)*($B$3:$B$2002=$B1521)*($J$3:$J$2002&lt;&gt;"취소")*($L$3:$L$2002&lt;&gt;"")*($M$3:$M$2002&lt;&gt;"")*($L$3:$L$2002&lt;$M1521)*($M$3:$M$2002&gt;$L1521))&gt;1,"중복","-"))</f>
        <v/>
      </c>
    </row>
    <row r="1522" customFormat="false" ht="15" hidden="false" customHeight="true" outlineLevel="0" collapsed="false">
      <c r="A1522" s="11"/>
      <c r="B1522" s="7"/>
      <c r="C1522" s="12" t="str">
        <f aca="false">IF($B1522="","",IFERROR(INDEX(자원목록!$B$3:$B$102,MATCH($B1522,자원목록!$A$3:$A$102,0)),"미등록자원"))</f>
        <v/>
      </c>
      <c r="D1522" s="7"/>
      <c r="E1522" s="12" t="str">
        <f aca="false">IF($D1522="","",IFERROR(INDEX(고객목록!$B$3:$B$502,MATCH($D1522,고객목록!$A$3:$A$502,0)),""))</f>
        <v/>
      </c>
      <c r="F1522" s="13"/>
      <c r="G1522" s="13"/>
      <c r="H1522" s="14" t="str">
        <f aca="false">IF(OR($L1522="",$M1522=""),"",ROUND(($M1522-$L1522)/60,2))</f>
        <v/>
      </c>
      <c r="I1522" s="9"/>
      <c r="J1522" s="7"/>
      <c r="K1522" s="7"/>
      <c r="L1522" s="15" t="str">
        <f aca="false">IF($F1522="","",IF($F1522&lt;1,ROUND($F1522*1440,0),INT($F1522/100)*60+MOD($F1522,100)))</f>
        <v/>
      </c>
      <c r="M1522" s="15" t="str">
        <f aca="false">IF($G1522="","",IF($G1522&lt;1,ROUND($G1522*1440,0),INT($G1522/100)*60+MOD($G1522,100)))</f>
        <v/>
      </c>
      <c r="N1522" s="15" t="str">
        <f aca="false">IF(OR($A1522="",$B1522="",$L1522="",$M1522="",$J1522="취소"),"",IF(SUMPRODUCT(($A$3:$A$2002=$A1522)*($B$3:$B$2002=$B1522)*($J$3:$J$2002&lt;&gt;"취소")*($L$3:$L$2002&lt;&gt;"")*($M$3:$M$2002&lt;&gt;"")*($L$3:$L$2002&lt;$M1522)*($M$3:$M$2002&gt;$L1522))&gt;1,"중복","-"))</f>
        <v/>
      </c>
    </row>
    <row r="1523" customFormat="false" ht="15" hidden="false" customHeight="true" outlineLevel="0" collapsed="false">
      <c r="A1523" s="11"/>
      <c r="B1523" s="7"/>
      <c r="C1523" s="12" t="str">
        <f aca="false">IF($B1523="","",IFERROR(INDEX(자원목록!$B$3:$B$102,MATCH($B1523,자원목록!$A$3:$A$102,0)),"미등록자원"))</f>
        <v/>
      </c>
      <c r="D1523" s="7"/>
      <c r="E1523" s="12" t="str">
        <f aca="false">IF($D1523="","",IFERROR(INDEX(고객목록!$B$3:$B$502,MATCH($D1523,고객목록!$A$3:$A$502,0)),""))</f>
        <v/>
      </c>
      <c r="F1523" s="13"/>
      <c r="G1523" s="13"/>
      <c r="H1523" s="14" t="str">
        <f aca="false">IF(OR($L1523="",$M1523=""),"",ROUND(($M1523-$L1523)/60,2))</f>
        <v/>
      </c>
      <c r="I1523" s="9"/>
      <c r="J1523" s="7"/>
      <c r="K1523" s="7"/>
      <c r="L1523" s="15" t="str">
        <f aca="false">IF($F1523="","",IF($F1523&lt;1,ROUND($F1523*1440,0),INT($F1523/100)*60+MOD($F1523,100)))</f>
        <v/>
      </c>
      <c r="M1523" s="15" t="str">
        <f aca="false">IF($G1523="","",IF($G1523&lt;1,ROUND($G1523*1440,0),INT($G1523/100)*60+MOD($G1523,100)))</f>
        <v/>
      </c>
      <c r="N1523" s="15" t="str">
        <f aca="false">IF(OR($A1523="",$B1523="",$L1523="",$M1523="",$J1523="취소"),"",IF(SUMPRODUCT(($A$3:$A$2002=$A1523)*($B$3:$B$2002=$B1523)*($J$3:$J$2002&lt;&gt;"취소")*($L$3:$L$2002&lt;&gt;"")*($M$3:$M$2002&lt;&gt;"")*($L$3:$L$2002&lt;$M1523)*($M$3:$M$2002&gt;$L1523))&gt;1,"중복","-"))</f>
        <v/>
      </c>
    </row>
    <row r="1524" customFormat="false" ht="15" hidden="false" customHeight="true" outlineLevel="0" collapsed="false">
      <c r="A1524" s="11"/>
      <c r="B1524" s="7"/>
      <c r="C1524" s="12" t="str">
        <f aca="false">IF($B1524="","",IFERROR(INDEX(자원목록!$B$3:$B$102,MATCH($B1524,자원목록!$A$3:$A$102,0)),"미등록자원"))</f>
        <v/>
      </c>
      <c r="D1524" s="7"/>
      <c r="E1524" s="12" t="str">
        <f aca="false">IF($D1524="","",IFERROR(INDEX(고객목록!$B$3:$B$502,MATCH($D1524,고객목록!$A$3:$A$502,0)),""))</f>
        <v/>
      </c>
      <c r="F1524" s="13"/>
      <c r="G1524" s="13"/>
      <c r="H1524" s="14" t="str">
        <f aca="false">IF(OR($L1524="",$M1524=""),"",ROUND(($M1524-$L1524)/60,2))</f>
        <v/>
      </c>
      <c r="I1524" s="9"/>
      <c r="J1524" s="7"/>
      <c r="K1524" s="7"/>
      <c r="L1524" s="15" t="str">
        <f aca="false">IF($F1524="","",IF($F1524&lt;1,ROUND($F1524*1440,0),INT($F1524/100)*60+MOD($F1524,100)))</f>
        <v/>
      </c>
      <c r="M1524" s="15" t="str">
        <f aca="false">IF($G1524="","",IF($G1524&lt;1,ROUND($G1524*1440,0),INT($G1524/100)*60+MOD($G1524,100)))</f>
        <v/>
      </c>
      <c r="N1524" s="15" t="str">
        <f aca="false">IF(OR($A1524="",$B1524="",$L1524="",$M1524="",$J1524="취소"),"",IF(SUMPRODUCT(($A$3:$A$2002=$A1524)*($B$3:$B$2002=$B1524)*($J$3:$J$2002&lt;&gt;"취소")*($L$3:$L$2002&lt;&gt;"")*($M$3:$M$2002&lt;&gt;"")*($L$3:$L$2002&lt;$M1524)*($M$3:$M$2002&gt;$L1524))&gt;1,"중복","-"))</f>
        <v/>
      </c>
    </row>
    <row r="1525" customFormat="false" ht="15" hidden="false" customHeight="true" outlineLevel="0" collapsed="false">
      <c r="A1525" s="11"/>
      <c r="B1525" s="7"/>
      <c r="C1525" s="12" t="str">
        <f aca="false">IF($B1525="","",IFERROR(INDEX(자원목록!$B$3:$B$102,MATCH($B1525,자원목록!$A$3:$A$102,0)),"미등록자원"))</f>
        <v/>
      </c>
      <c r="D1525" s="7"/>
      <c r="E1525" s="12" t="str">
        <f aca="false">IF($D1525="","",IFERROR(INDEX(고객목록!$B$3:$B$502,MATCH($D1525,고객목록!$A$3:$A$502,0)),""))</f>
        <v/>
      </c>
      <c r="F1525" s="13"/>
      <c r="G1525" s="13"/>
      <c r="H1525" s="14" t="str">
        <f aca="false">IF(OR($L1525="",$M1525=""),"",ROUND(($M1525-$L1525)/60,2))</f>
        <v/>
      </c>
      <c r="I1525" s="9"/>
      <c r="J1525" s="7"/>
      <c r="K1525" s="7"/>
      <c r="L1525" s="15" t="str">
        <f aca="false">IF($F1525="","",IF($F1525&lt;1,ROUND($F1525*1440,0),INT($F1525/100)*60+MOD($F1525,100)))</f>
        <v/>
      </c>
      <c r="M1525" s="15" t="str">
        <f aca="false">IF($G1525="","",IF($G1525&lt;1,ROUND($G1525*1440,0),INT($G1525/100)*60+MOD($G1525,100)))</f>
        <v/>
      </c>
      <c r="N1525" s="15" t="str">
        <f aca="false">IF(OR($A1525="",$B1525="",$L1525="",$M1525="",$J1525="취소"),"",IF(SUMPRODUCT(($A$3:$A$2002=$A1525)*($B$3:$B$2002=$B1525)*($J$3:$J$2002&lt;&gt;"취소")*($L$3:$L$2002&lt;&gt;"")*($M$3:$M$2002&lt;&gt;"")*($L$3:$L$2002&lt;$M1525)*($M$3:$M$2002&gt;$L1525))&gt;1,"중복","-"))</f>
        <v/>
      </c>
    </row>
    <row r="1526" customFormat="false" ht="15" hidden="false" customHeight="true" outlineLevel="0" collapsed="false">
      <c r="A1526" s="11"/>
      <c r="B1526" s="7"/>
      <c r="C1526" s="12" t="str">
        <f aca="false">IF($B1526="","",IFERROR(INDEX(자원목록!$B$3:$B$102,MATCH($B1526,자원목록!$A$3:$A$102,0)),"미등록자원"))</f>
        <v/>
      </c>
      <c r="D1526" s="7"/>
      <c r="E1526" s="12" t="str">
        <f aca="false">IF($D1526="","",IFERROR(INDEX(고객목록!$B$3:$B$502,MATCH($D1526,고객목록!$A$3:$A$502,0)),""))</f>
        <v/>
      </c>
      <c r="F1526" s="13"/>
      <c r="G1526" s="13"/>
      <c r="H1526" s="14" t="str">
        <f aca="false">IF(OR($L1526="",$M1526=""),"",ROUND(($M1526-$L1526)/60,2))</f>
        <v/>
      </c>
      <c r="I1526" s="9"/>
      <c r="J1526" s="7"/>
      <c r="K1526" s="7"/>
      <c r="L1526" s="15" t="str">
        <f aca="false">IF($F1526="","",IF($F1526&lt;1,ROUND($F1526*1440,0),INT($F1526/100)*60+MOD($F1526,100)))</f>
        <v/>
      </c>
      <c r="M1526" s="15" t="str">
        <f aca="false">IF($G1526="","",IF($G1526&lt;1,ROUND($G1526*1440,0),INT($G1526/100)*60+MOD($G1526,100)))</f>
        <v/>
      </c>
      <c r="N1526" s="15" t="str">
        <f aca="false">IF(OR($A1526="",$B1526="",$L1526="",$M1526="",$J1526="취소"),"",IF(SUMPRODUCT(($A$3:$A$2002=$A1526)*($B$3:$B$2002=$B1526)*($J$3:$J$2002&lt;&gt;"취소")*($L$3:$L$2002&lt;&gt;"")*($M$3:$M$2002&lt;&gt;"")*($L$3:$L$2002&lt;$M1526)*($M$3:$M$2002&gt;$L1526))&gt;1,"중복","-"))</f>
        <v/>
      </c>
    </row>
    <row r="1527" customFormat="false" ht="15" hidden="false" customHeight="true" outlineLevel="0" collapsed="false">
      <c r="A1527" s="11"/>
      <c r="B1527" s="7"/>
      <c r="C1527" s="12" t="str">
        <f aca="false">IF($B1527="","",IFERROR(INDEX(자원목록!$B$3:$B$102,MATCH($B1527,자원목록!$A$3:$A$102,0)),"미등록자원"))</f>
        <v/>
      </c>
      <c r="D1527" s="7"/>
      <c r="E1527" s="12" t="str">
        <f aca="false">IF($D1527="","",IFERROR(INDEX(고객목록!$B$3:$B$502,MATCH($D1527,고객목록!$A$3:$A$502,0)),""))</f>
        <v/>
      </c>
      <c r="F1527" s="13"/>
      <c r="G1527" s="13"/>
      <c r="H1527" s="14" t="str">
        <f aca="false">IF(OR($L1527="",$M1527=""),"",ROUND(($M1527-$L1527)/60,2))</f>
        <v/>
      </c>
      <c r="I1527" s="9"/>
      <c r="J1527" s="7"/>
      <c r="K1527" s="7"/>
      <c r="L1527" s="15" t="str">
        <f aca="false">IF($F1527="","",IF($F1527&lt;1,ROUND($F1527*1440,0),INT($F1527/100)*60+MOD($F1527,100)))</f>
        <v/>
      </c>
      <c r="M1527" s="15" t="str">
        <f aca="false">IF($G1527="","",IF($G1527&lt;1,ROUND($G1527*1440,0),INT($G1527/100)*60+MOD($G1527,100)))</f>
        <v/>
      </c>
      <c r="N1527" s="15" t="str">
        <f aca="false">IF(OR($A1527="",$B1527="",$L1527="",$M1527="",$J1527="취소"),"",IF(SUMPRODUCT(($A$3:$A$2002=$A1527)*($B$3:$B$2002=$B1527)*($J$3:$J$2002&lt;&gt;"취소")*($L$3:$L$2002&lt;&gt;"")*($M$3:$M$2002&lt;&gt;"")*($L$3:$L$2002&lt;$M1527)*($M$3:$M$2002&gt;$L1527))&gt;1,"중복","-"))</f>
        <v/>
      </c>
    </row>
    <row r="1528" customFormat="false" ht="15" hidden="false" customHeight="true" outlineLevel="0" collapsed="false">
      <c r="A1528" s="11"/>
      <c r="B1528" s="7"/>
      <c r="C1528" s="12" t="str">
        <f aca="false">IF($B1528="","",IFERROR(INDEX(자원목록!$B$3:$B$102,MATCH($B1528,자원목록!$A$3:$A$102,0)),"미등록자원"))</f>
        <v/>
      </c>
      <c r="D1528" s="7"/>
      <c r="E1528" s="12" t="str">
        <f aca="false">IF($D1528="","",IFERROR(INDEX(고객목록!$B$3:$B$502,MATCH($D1528,고객목록!$A$3:$A$502,0)),""))</f>
        <v/>
      </c>
      <c r="F1528" s="13"/>
      <c r="G1528" s="13"/>
      <c r="H1528" s="14" t="str">
        <f aca="false">IF(OR($L1528="",$M1528=""),"",ROUND(($M1528-$L1528)/60,2))</f>
        <v/>
      </c>
      <c r="I1528" s="9"/>
      <c r="J1528" s="7"/>
      <c r="K1528" s="7"/>
      <c r="L1528" s="15" t="str">
        <f aca="false">IF($F1528="","",IF($F1528&lt;1,ROUND($F1528*1440,0),INT($F1528/100)*60+MOD($F1528,100)))</f>
        <v/>
      </c>
      <c r="M1528" s="15" t="str">
        <f aca="false">IF($G1528="","",IF($G1528&lt;1,ROUND($G1528*1440,0),INT($G1528/100)*60+MOD($G1528,100)))</f>
        <v/>
      </c>
      <c r="N1528" s="15" t="str">
        <f aca="false">IF(OR($A1528="",$B1528="",$L1528="",$M1528="",$J1528="취소"),"",IF(SUMPRODUCT(($A$3:$A$2002=$A1528)*($B$3:$B$2002=$B1528)*($J$3:$J$2002&lt;&gt;"취소")*($L$3:$L$2002&lt;&gt;"")*($M$3:$M$2002&lt;&gt;"")*($L$3:$L$2002&lt;$M1528)*($M$3:$M$2002&gt;$L1528))&gt;1,"중복","-"))</f>
        <v/>
      </c>
    </row>
    <row r="1529" customFormat="false" ht="15" hidden="false" customHeight="true" outlineLevel="0" collapsed="false">
      <c r="A1529" s="11"/>
      <c r="B1529" s="7"/>
      <c r="C1529" s="12" t="str">
        <f aca="false">IF($B1529="","",IFERROR(INDEX(자원목록!$B$3:$B$102,MATCH($B1529,자원목록!$A$3:$A$102,0)),"미등록자원"))</f>
        <v/>
      </c>
      <c r="D1529" s="7"/>
      <c r="E1529" s="12" t="str">
        <f aca="false">IF($D1529="","",IFERROR(INDEX(고객목록!$B$3:$B$502,MATCH($D1529,고객목록!$A$3:$A$502,0)),""))</f>
        <v/>
      </c>
      <c r="F1529" s="13"/>
      <c r="G1529" s="13"/>
      <c r="H1529" s="14" t="str">
        <f aca="false">IF(OR($L1529="",$M1529=""),"",ROUND(($M1529-$L1529)/60,2))</f>
        <v/>
      </c>
      <c r="I1529" s="9"/>
      <c r="J1529" s="7"/>
      <c r="K1529" s="7"/>
      <c r="L1529" s="15" t="str">
        <f aca="false">IF($F1529="","",IF($F1529&lt;1,ROUND($F1529*1440,0),INT($F1529/100)*60+MOD($F1529,100)))</f>
        <v/>
      </c>
      <c r="M1529" s="15" t="str">
        <f aca="false">IF($G1529="","",IF($G1529&lt;1,ROUND($G1529*1440,0),INT($G1529/100)*60+MOD($G1529,100)))</f>
        <v/>
      </c>
      <c r="N1529" s="15" t="str">
        <f aca="false">IF(OR($A1529="",$B1529="",$L1529="",$M1529="",$J1529="취소"),"",IF(SUMPRODUCT(($A$3:$A$2002=$A1529)*($B$3:$B$2002=$B1529)*($J$3:$J$2002&lt;&gt;"취소")*($L$3:$L$2002&lt;&gt;"")*($M$3:$M$2002&lt;&gt;"")*($L$3:$L$2002&lt;$M1529)*($M$3:$M$2002&gt;$L1529))&gt;1,"중복","-"))</f>
        <v/>
      </c>
    </row>
    <row r="1530" customFormat="false" ht="15" hidden="false" customHeight="true" outlineLevel="0" collapsed="false">
      <c r="A1530" s="11"/>
      <c r="B1530" s="7"/>
      <c r="C1530" s="12" t="str">
        <f aca="false">IF($B1530="","",IFERROR(INDEX(자원목록!$B$3:$B$102,MATCH($B1530,자원목록!$A$3:$A$102,0)),"미등록자원"))</f>
        <v/>
      </c>
      <c r="D1530" s="7"/>
      <c r="E1530" s="12" t="str">
        <f aca="false">IF($D1530="","",IFERROR(INDEX(고객목록!$B$3:$B$502,MATCH($D1530,고객목록!$A$3:$A$502,0)),""))</f>
        <v/>
      </c>
      <c r="F1530" s="13"/>
      <c r="G1530" s="13"/>
      <c r="H1530" s="14" t="str">
        <f aca="false">IF(OR($L1530="",$M1530=""),"",ROUND(($M1530-$L1530)/60,2))</f>
        <v/>
      </c>
      <c r="I1530" s="9"/>
      <c r="J1530" s="7"/>
      <c r="K1530" s="7"/>
      <c r="L1530" s="15" t="str">
        <f aca="false">IF($F1530="","",IF($F1530&lt;1,ROUND($F1530*1440,0),INT($F1530/100)*60+MOD($F1530,100)))</f>
        <v/>
      </c>
      <c r="M1530" s="15" t="str">
        <f aca="false">IF($G1530="","",IF($G1530&lt;1,ROUND($G1530*1440,0),INT($G1530/100)*60+MOD($G1530,100)))</f>
        <v/>
      </c>
      <c r="N1530" s="15" t="str">
        <f aca="false">IF(OR($A1530="",$B1530="",$L1530="",$M1530="",$J1530="취소"),"",IF(SUMPRODUCT(($A$3:$A$2002=$A1530)*($B$3:$B$2002=$B1530)*($J$3:$J$2002&lt;&gt;"취소")*($L$3:$L$2002&lt;&gt;"")*($M$3:$M$2002&lt;&gt;"")*($L$3:$L$2002&lt;$M1530)*($M$3:$M$2002&gt;$L1530))&gt;1,"중복","-"))</f>
        <v/>
      </c>
    </row>
    <row r="1531" customFormat="false" ht="15" hidden="false" customHeight="true" outlineLevel="0" collapsed="false">
      <c r="A1531" s="11"/>
      <c r="B1531" s="7"/>
      <c r="C1531" s="12" t="str">
        <f aca="false">IF($B1531="","",IFERROR(INDEX(자원목록!$B$3:$B$102,MATCH($B1531,자원목록!$A$3:$A$102,0)),"미등록자원"))</f>
        <v/>
      </c>
      <c r="D1531" s="7"/>
      <c r="E1531" s="12" t="str">
        <f aca="false">IF($D1531="","",IFERROR(INDEX(고객목록!$B$3:$B$502,MATCH($D1531,고객목록!$A$3:$A$502,0)),""))</f>
        <v/>
      </c>
      <c r="F1531" s="13"/>
      <c r="G1531" s="13"/>
      <c r="H1531" s="14" t="str">
        <f aca="false">IF(OR($L1531="",$M1531=""),"",ROUND(($M1531-$L1531)/60,2))</f>
        <v/>
      </c>
      <c r="I1531" s="9"/>
      <c r="J1531" s="7"/>
      <c r="K1531" s="7"/>
      <c r="L1531" s="15" t="str">
        <f aca="false">IF($F1531="","",IF($F1531&lt;1,ROUND($F1531*1440,0),INT($F1531/100)*60+MOD($F1531,100)))</f>
        <v/>
      </c>
      <c r="M1531" s="15" t="str">
        <f aca="false">IF($G1531="","",IF($G1531&lt;1,ROUND($G1531*1440,0),INT($G1531/100)*60+MOD($G1531,100)))</f>
        <v/>
      </c>
      <c r="N1531" s="15" t="str">
        <f aca="false">IF(OR($A1531="",$B1531="",$L1531="",$M1531="",$J1531="취소"),"",IF(SUMPRODUCT(($A$3:$A$2002=$A1531)*($B$3:$B$2002=$B1531)*($J$3:$J$2002&lt;&gt;"취소")*($L$3:$L$2002&lt;&gt;"")*($M$3:$M$2002&lt;&gt;"")*($L$3:$L$2002&lt;$M1531)*($M$3:$M$2002&gt;$L1531))&gt;1,"중복","-"))</f>
        <v/>
      </c>
    </row>
    <row r="1532" customFormat="false" ht="15" hidden="false" customHeight="true" outlineLevel="0" collapsed="false">
      <c r="A1532" s="11"/>
      <c r="B1532" s="7"/>
      <c r="C1532" s="12" t="str">
        <f aca="false">IF($B1532="","",IFERROR(INDEX(자원목록!$B$3:$B$102,MATCH($B1532,자원목록!$A$3:$A$102,0)),"미등록자원"))</f>
        <v/>
      </c>
      <c r="D1532" s="7"/>
      <c r="E1532" s="12" t="str">
        <f aca="false">IF($D1532="","",IFERROR(INDEX(고객목록!$B$3:$B$502,MATCH($D1532,고객목록!$A$3:$A$502,0)),""))</f>
        <v/>
      </c>
      <c r="F1532" s="13"/>
      <c r="G1532" s="13"/>
      <c r="H1532" s="14" t="str">
        <f aca="false">IF(OR($L1532="",$M1532=""),"",ROUND(($M1532-$L1532)/60,2))</f>
        <v/>
      </c>
      <c r="I1532" s="9"/>
      <c r="J1532" s="7"/>
      <c r="K1532" s="7"/>
      <c r="L1532" s="15" t="str">
        <f aca="false">IF($F1532="","",IF($F1532&lt;1,ROUND($F1532*1440,0),INT($F1532/100)*60+MOD($F1532,100)))</f>
        <v/>
      </c>
      <c r="M1532" s="15" t="str">
        <f aca="false">IF($G1532="","",IF($G1532&lt;1,ROUND($G1532*1440,0),INT($G1532/100)*60+MOD($G1532,100)))</f>
        <v/>
      </c>
      <c r="N1532" s="15" t="str">
        <f aca="false">IF(OR($A1532="",$B1532="",$L1532="",$M1532="",$J1532="취소"),"",IF(SUMPRODUCT(($A$3:$A$2002=$A1532)*($B$3:$B$2002=$B1532)*($J$3:$J$2002&lt;&gt;"취소")*($L$3:$L$2002&lt;&gt;"")*($M$3:$M$2002&lt;&gt;"")*($L$3:$L$2002&lt;$M1532)*($M$3:$M$2002&gt;$L1532))&gt;1,"중복","-"))</f>
        <v/>
      </c>
    </row>
    <row r="1533" customFormat="false" ht="15" hidden="false" customHeight="true" outlineLevel="0" collapsed="false">
      <c r="A1533" s="11"/>
      <c r="B1533" s="7"/>
      <c r="C1533" s="12" t="str">
        <f aca="false">IF($B1533="","",IFERROR(INDEX(자원목록!$B$3:$B$102,MATCH($B1533,자원목록!$A$3:$A$102,0)),"미등록자원"))</f>
        <v/>
      </c>
      <c r="D1533" s="7"/>
      <c r="E1533" s="12" t="str">
        <f aca="false">IF($D1533="","",IFERROR(INDEX(고객목록!$B$3:$B$502,MATCH($D1533,고객목록!$A$3:$A$502,0)),""))</f>
        <v/>
      </c>
      <c r="F1533" s="13"/>
      <c r="G1533" s="13"/>
      <c r="H1533" s="14" t="str">
        <f aca="false">IF(OR($L1533="",$M1533=""),"",ROUND(($M1533-$L1533)/60,2))</f>
        <v/>
      </c>
      <c r="I1533" s="9"/>
      <c r="J1533" s="7"/>
      <c r="K1533" s="7"/>
      <c r="L1533" s="15" t="str">
        <f aca="false">IF($F1533="","",IF($F1533&lt;1,ROUND($F1533*1440,0),INT($F1533/100)*60+MOD($F1533,100)))</f>
        <v/>
      </c>
      <c r="M1533" s="15" t="str">
        <f aca="false">IF($G1533="","",IF($G1533&lt;1,ROUND($G1533*1440,0),INT($G1533/100)*60+MOD($G1533,100)))</f>
        <v/>
      </c>
      <c r="N1533" s="15" t="str">
        <f aca="false">IF(OR($A1533="",$B1533="",$L1533="",$M1533="",$J1533="취소"),"",IF(SUMPRODUCT(($A$3:$A$2002=$A1533)*($B$3:$B$2002=$B1533)*($J$3:$J$2002&lt;&gt;"취소")*($L$3:$L$2002&lt;&gt;"")*($M$3:$M$2002&lt;&gt;"")*($L$3:$L$2002&lt;$M1533)*($M$3:$M$2002&gt;$L1533))&gt;1,"중복","-"))</f>
        <v/>
      </c>
    </row>
    <row r="1534" customFormat="false" ht="15" hidden="false" customHeight="true" outlineLevel="0" collapsed="false">
      <c r="A1534" s="11"/>
      <c r="B1534" s="7"/>
      <c r="C1534" s="12" t="str">
        <f aca="false">IF($B1534="","",IFERROR(INDEX(자원목록!$B$3:$B$102,MATCH($B1534,자원목록!$A$3:$A$102,0)),"미등록자원"))</f>
        <v/>
      </c>
      <c r="D1534" s="7"/>
      <c r="E1534" s="12" t="str">
        <f aca="false">IF($D1534="","",IFERROR(INDEX(고객목록!$B$3:$B$502,MATCH($D1534,고객목록!$A$3:$A$502,0)),""))</f>
        <v/>
      </c>
      <c r="F1534" s="13"/>
      <c r="G1534" s="13"/>
      <c r="H1534" s="14" t="str">
        <f aca="false">IF(OR($L1534="",$M1534=""),"",ROUND(($M1534-$L1534)/60,2))</f>
        <v/>
      </c>
      <c r="I1534" s="9"/>
      <c r="J1534" s="7"/>
      <c r="K1534" s="7"/>
      <c r="L1534" s="15" t="str">
        <f aca="false">IF($F1534="","",IF($F1534&lt;1,ROUND($F1534*1440,0),INT($F1534/100)*60+MOD($F1534,100)))</f>
        <v/>
      </c>
      <c r="M1534" s="15" t="str">
        <f aca="false">IF($G1534="","",IF($G1534&lt;1,ROUND($G1534*1440,0),INT($G1534/100)*60+MOD($G1534,100)))</f>
        <v/>
      </c>
      <c r="N1534" s="15" t="str">
        <f aca="false">IF(OR($A1534="",$B1534="",$L1534="",$M1534="",$J1534="취소"),"",IF(SUMPRODUCT(($A$3:$A$2002=$A1534)*($B$3:$B$2002=$B1534)*($J$3:$J$2002&lt;&gt;"취소")*($L$3:$L$2002&lt;&gt;"")*($M$3:$M$2002&lt;&gt;"")*($L$3:$L$2002&lt;$M1534)*($M$3:$M$2002&gt;$L1534))&gt;1,"중복","-"))</f>
        <v/>
      </c>
    </row>
    <row r="1535" customFormat="false" ht="15" hidden="false" customHeight="true" outlineLevel="0" collapsed="false">
      <c r="A1535" s="11"/>
      <c r="B1535" s="7"/>
      <c r="C1535" s="12" t="str">
        <f aca="false">IF($B1535="","",IFERROR(INDEX(자원목록!$B$3:$B$102,MATCH($B1535,자원목록!$A$3:$A$102,0)),"미등록자원"))</f>
        <v/>
      </c>
      <c r="D1535" s="7"/>
      <c r="E1535" s="12" t="str">
        <f aca="false">IF($D1535="","",IFERROR(INDEX(고객목록!$B$3:$B$502,MATCH($D1535,고객목록!$A$3:$A$502,0)),""))</f>
        <v/>
      </c>
      <c r="F1535" s="13"/>
      <c r="G1535" s="13"/>
      <c r="H1535" s="14" t="str">
        <f aca="false">IF(OR($L1535="",$M1535=""),"",ROUND(($M1535-$L1535)/60,2))</f>
        <v/>
      </c>
      <c r="I1535" s="9"/>
      <c r="J1535" s="7"/>
      <c r="K1535" s="7"/>
      <c r="L1535" s="15" t="str">
        <f aca="false">IF($F1535="","",IF($F1535&lt;1,ROUND($F1535*1440,0),INT($F1535/100)*60+MOD($F1535,100)))</f>
        <v/>
      </c>
      <c r="M1535" s="15" t="str">
        <f aca="false">IF($G1535="","",IF($G1535&lt;1,ROUND($G1535*1440,0),INT($G1535/100)*60+MOD($G1535,100)))</f>
        <v/>
      </c>
      <c r="N1535" s="15" t="str">
        <f aca="false">IF(OR($A1535="",$B1535="",$L1535="",$M1535="",$J1535="취소"),"",IF(SUMPRODUCT(($A$3:$A$2002=$A1535)*($B$3:$B$2002=$B1535)*($J$3:$J$2002&lt;&gt;"취소")*($L$3:$L$2002&lt;&gt;"")*($M$3:$M$2002&lt;&gt;"")*($L$3:$L$2002&lt;$M1535)*($M$3:$M$2002&gt;$L1535))&gt;1,"중복","-"))</f>
        <v/>
      </c>
    </row>
    <row r="1536" customFormat="false" ht="15" hidden="false" customHeight="true" outlineLevel="0" collapsed="false">
      <c r="A1536" s="11"/>
      <c r="B1536" s="7"/>
      <c r="C1536" s="12" t="str">
        <f aca="false">IF($B1536="","",IFERROR(INDEX(자원목록!$B$3:$B$102,MATCH($B1536,자원목록!$A$3:$A$102,0)),"미등록자원"))</f>
        <v/>
      </c>
      <c r="D1536" s="7"/>
      <c r="E1536" s="12" t="str">
        <f aca="false">IF($D1536="","",IFERROR(INDEX(고객목록!$B$3:$B$502,MATCH($D1536,고객목록!$A$3:$A$502,0)),""))</f>
        <v/>
      </c>
      <c r="F1536" s="13"/>
      <c r="G1536" s="13"/>
      <c r="H1536" s="14" t="str">
        <f aca="false">IF(OR($L1536="",$M1536=""),"",ROUND(($M1536-$L1536)/60,2))</f>
        <v/>
      </c>
      <c r="I1536" s="9"/>
      <c r="J1536" s="7"/>
      <c r="K1536" s="7"/>
      <c r="L1536" s="15" t="str">
        <f aca="false">IF($F1536="","",IF($F1536&lt;1,ROUND($F1536*1440,0),INT($F1536/100)*60+MOD($F1536,100)))</f>
        <v/>
      </c>
      <c r="M1536" s="15" t="str">
        <f aca="false">IF($G1536="","",IF($G1536&lt;1,ROUND($G1536*1440,0),INT($G1536/100)*60+MOD($G1536,100)))</f>
        <v/>
      </c>
      <c r="N1536" s="15" t="str">
        <f aca="false">IF(OR($A1536="",$B1536="",$L1536="",$M1536="",$J1536="취소"),"",IF(SUMPRODUCT(($A$3:$A$2002=$A1536)*($B$3:$B$2002=$B1536)*($J$3:$J$2002&lt;&gt;"취소")*($L$3:$L$2002&lt;&gt;"")*($M$3:$M$2002&lt;&gt;"")*($L$3:$L$2002&lt;$M1536)*($M$3:$M$2002&gt;$L1536))&gt;1,"중복","-"))</f>
        <v/>
      </c>
    </row>
    <row r="1537" customFormat="false" ht="15" hidden="false" customHeight="true" outlineLevel="0" collapsed="false">
      <c r="A1537" s="11"/>
      <c r="B1537" s="7"/>
      <c r="C1537" s="12" t="str">
        <f aca="false">IF($B1537="","",IFERROR(INDEX(자원목록!$B$3:$B$102,MATCH($B1537,자원목록!$A$3:$A$102,0)),"미등록자원"))</f>
        <v/>
      </c>
      <c r="D1537" s="7"/>
      <c r="E1537" s="12" t="str">
        <f aca="false">IF($D1537="","",IFERROR(INDEX(고객목록!$B$3:$B$502,MATCH($D1537,고객목록!$A$3:$A$502,0)),""))</f>
        <v/>
      </c>
      <c r="F1537" s="13"/>
      <c r="G1537" s="13"/>
      <c r="H1537" s="14" t="str">
        <f aca="false">IF(OR($L1537="",$M1537=""),"",ROUND(($M1537-$L1537)/60,2))</f>
        <v/>
      </c>
      <c r="I1537" s="9"/>
      <c r="J1537" s="7"/>
      <c r="K1537" s="7"/>
      <c r="L1537" s="15" t="str">
        <f aca="false">IF($F1537="","",IF($F1537&lt;1,ROUND($F1537*1440,0),INT($F1537/100)*60+MOD($F1537,100)))</f>
        <v/>
      </c>
      <c r="M1537" s="15" t="str">
        <f aca="false">IF($G1537="","",IF($G1537&lt;1,ROUND($G1537*1440,0),INT($G1537/100)*60+MOD($G1537,100)))</f>
        <v/>
      </c>
      <c r="N1537" s="15" t="str">
        <f aca="false">IF(OR($A1537="",$B1537="",$L1537="",$M1537="",$J1537="취소"),"",IF(SUMPRODUCT(($A$3:$A$2002=$A1537)*($B$3:$B$2002=$B1537)*($J$3:$J$2002&lt;&gt;"취소")*($L$3:$L$2002&lt;&gt;"")*($M$3:$M$2002&lt;&gt;"")*($L$3:$L$2002&lt;$M1537)*($M$3:$M$2002&gt;$L1537))&gt;1,"중복","-"))</f>
        <v/>
      </c>
    </row>
    <row r="1538" customFormat="false" ht="15" hidden="false" customHeight="true" outlineLevel="0" collapsed="false">
      <c r="A1538" s="11"/>
      <c r="B1538" s="7"/>
      <c r="C1538" s="12" t="str">
        <f aca="false">IF($B1538="","",IFERROR(INDEX(자원목록!$B$3:$B$102,MATCH($B1538,자원목록!$A$3:$A$102,0)),"미등록자원"))</f>
        <v/>
      </c>
      <c r="D1538" s="7"/>
      <c r="E1538" s="12" t="str">
        <f aca="false">IF($D1538="","",IFERROR(INDEX(고객목록!$B$3:$B$502,MATCH($D1538,고객목록!$A$3:$A$502,0)),""))</f>
        <v/>
      </c>
      <c r="F1538" s="13"/>
      <c r="G1538" s="13"/>
      <c r="H1538" s="14" t="str">
        <f aca="false">IF(OR($L1538="",$M1538=""),"",ROUND(($M1538-$L1538)/60,2))</f>
        <v/>
      </c>
      <c r="I1538" s="9"/>
      <c r="J1538" s="7"/>
      <c r="K1538" s="7"/>
      <c r="L1538" s="15" t="str">
        <f aca="false">IF($F1538="","",IF($F1538&lt;1,ROUND($F1538*1440,0),INT($F1538/100)*60+MOD($F1538,100)))</f>
        <v/>
      </c>
      <c r="M1538" s="15" t="str">
        <f aca="false">IF($G1538="","",IF($G1538&lt;1,ROUND($G1538*1440,0),INT($G1538/100)*60+MOD($G1538,100)))</f>
        <v/>
      </c>
      <c r="N1538" s="15" t="str">
        <f aca="false">IF(OR($A1538="",$B1538="",$L1538="",$M1538="",$J1538="취소"),"",IF(SUMPRODUCT(($A$3:$A$2002=$A1538)*($B$3:$B$2002=$B1538)*($J$3:$J$2002&lt;&gt;"취소")*($L$3:$L$2002&lt;&gt;"")*($M$3:$M$2002&lt;&gt;"")*($L$3:$L$2002&lt;$M1538)*($M$3:$M$2002&gt;$L1538))&gt;1,"중복","-"))</f>
        <v/>
      </c>
    </row>
    <row r="1539" customFormat="false" ht="15" hidden="false" customHeight="true" outlineLevel="0" collapsed="false">
      <c r="A1539" s="11"/>
      <c r="B1539" s="7"/>
      <c r="C1539" s="12" t="str">
        <f aca="false">IF($B1539="","",IFERROR(INDEX(자원목록!$B$3:$B$102,MATCH($B1539,자원목록!$A$3:$A$102,0)),"미등록자원"))</f>
        <v/>
      </c>
      <c r="D1539" s="7"/>
      <c r="E1539" s="12" t="str">
        <f aca="false">IF($D1539="","",IFERROR(INDEX(고객목록!$B$3:$B$502,MATCH($D1539,고객목록!$A$3:$A$502,0)),""))</f>
        <v/>
      </c>
      <c r="F1539" s="13"/>
      <c r="G1539" s="13"/>
      <c r="H1539" s="14" t="str">
        <f aca="false">IF(OR($L1539="",$M1539=""),"",ROUND(($M1539-$L1539)/60,2))</f>
        <v/>
      </c>
      <c r="I1539" s="9"/>
      <c r="J1539" s="7"/>
      <c r="K1539" s="7"/>
      <c r="L1539" s="15" t="str">
        <f aca="false">IF($F1539="","",IF($F1539&lt;1,ROUND($F1539*1440,0),INT($F1539/100)*60+MOD($F1539,100)))</f>
        <v/>
      </c>
      <c r="M1539" s="15" t="str">
        <f aca="false">IF($G1539="","",IF($G1539&lt;1,ROUND($G1539*1440,0),INT($G1539/100)*60+MOD($G1539,100)))</f>
        <v/>
      </c>
      <c r="N1539" s="15" t="str">
        <f aca="false">IF(OR($A1539="",$B1539="",$L1539="",$M1539="",$J1539="취소"),"",IF(SUMPRODUCT(($A$3:$A$2002=$A1539)*($B$3:$B$2002=$B1539)*($J$3:$J$2002&lt;&gt;"취소")*($L$3:$L$2002&lt;&gt;"")*($M$3:$M$2002&lt;&gt;"")*($L$3:$L$2002&lt;$M1539)*($M$3:$M$2002&gt;$L1539))&gt;1,"중복","-"))</f>
        <v/>
      </c>
    </row>
    <row r="1540" customFormat="false" ht="15" hidden="false" customHeight="true" outlineLevel="0" collapsed="false">
      <c r="A1540" s="11"/>
      <c r="B1540" s="7"/>
      <c r="C1540" s="12" t="str">
        <f aca="false">IF($B1540="","",IFERROR(INDEX(자원목록!$B$3:$B$102,MATCH($B1540,자원목록!$A$3:$A$102,0)),"미등록자원"))</f>
        <v/>
      </c>
      <c r="D1540" s="7"/>
      <c r="E1540" s="12" t="str">
        <f aca="false">IF($D1540="","",IFERROR(INDEX(고객목록!$B$3:$B$502,MATCH($D1540,고객목록!$A$3:$A$502,0)),""))</f>
        <v/>
      </c>
      <c r="F1540" s="13"/>
      <c r="G1540" s="13"/>
      <c r="H1540" s="14" t="str">
        <f aca="false">IF(OR($L1540="",$M1540=""),"",ROUND(($M1540-$L1540)/60,2))</f>
        <v/>
      </c>
      <c r="I1540" s="9"/>
      <c r="J1540" s="7"/>
      <c r="K1540" s="7"/>
      <c r="L1540" s="15" t="str">
        <f aca="false">IF($F1540="","",IF($F1540&lt;1,ROUND($F1540*1440,0),INT($F1540/100)*60+MOD($F1540,100)))</f>
        <v/>
      </c>
      <c r="M1540" s="15" t="str">
        <f aca="false">IF($G1540="","",IF($G1540&lt;1,ROUND($G1540*1440,0),INT($G1540/100)*60+MOD($G1540,100)))</f>
        <v/>
      </c>
      <c r="N1540" s="15" t="str">
        <f aca="false">IF(OR($A1540="",$B1540="",$L1540="",$M1540="",$J1540="취소"),"",IF(SUMPRODUCT(($A$3:$A$2002=$A1540)*($B$3:$B$2002=$B1540)*($J$3:$J$2002&lt;&gt;"취소")*($L$3:$L$2002&lt;&gt;"")*($M$3:$M$2002&lt;&gt;"")*($L$3:$L$2002&lt;$M1540)*($M$3:$M$2002&gt;$L1540))&gt;1,"중복","-"))</f>
        <v/>
      </c>
    </row>
    <row r="1541" customFormat="false" ht="15" hidden="false" customHeight="true" outlineLevel="0" collapsed="false">
      <c r="A1541" s="11"/>
      <c r="B1541" s="7"/>
      <c r="C1541" s="12" t="str">
        <f aca="false">IF($B1541="","",IFERROR(INDEX(자원목록!$B$3:$B$102,MATCH($B1541,자원목록!$A$3:$A$102,0)),"미등록자원"))</f>
        <v/>
      </c>
      <c r="D1541" s="7"/>
      <c r="E1541" s="12" t="str">
        <f aca="false">IF($D1541="","",IFERROR(INDEX(고객목록!$B$3:$B$502,MATCH($D1541,고객목록!$A$3:$A$502,0)),""))</f>
        <v/>
      </c>
      <c r="F1541" s="13"/>
      <c r="G1541" s="13"/>
      <c r="H1541" s="14" t="str">
        <f aca="false">IF(OR($L1541="",$M1541=""),"",ROUND(($M1541-$L1541)/60,2))</f>
        <v/>
      </c>
      <c r="I1541" s="9"/>
      <c r="J1541" s="7"/>
      <c r="K1541" s="7"/>
      <c r="L1541" s="15" t="str">
        <f aca="false">IF($F1541="","",IF($F1541&lt;1,ROUND($F1541*1440,0),INT($F1541/100)*60+MOD($F1541,100)))</f>
        <v/>
      </c>
      <c r="M1541" s="15" t="str">
        <f aca="false">IF($G1541="","",IF($G1541&lt;1,ROUND($G1541*1440,0),INT($G1541/100)*60+MOD($G1541,100)))</f>
        <v/>
      </c>
      <c r="N1541" s="15" t="str">
        <f aca="false">IF(OR($A1541="",$B1541="",$L1541="",$M1541="",$J1541="취소"),"",IF(SUMPRODUCT(($A$3:$A$2002=$A1541)*($B$3:$B$2002=$B1541)*($J$3:$J$2002&lt;&gt;"취소")*($L$3:$L$2002&lt;&gt;"")*($M$3:$M$2002&lt;&gt;"")*($L$3:$L$2002&lt;$M1541)*($M$3:$M$2002&gt;$L1541))&gt;1,"중복","-"))</f>
        <v/>
      </c>
    </row>
    <row r="1542" customFormat="false" ht="15" hidden="false" customHeight="true" outlineLevel="0" collapsed="false">
      <c r="A1542" s="11"/>
      <c r="B1542" s="7"/>
      <c r="C1542" s="12" t="str">
        <f aca="false">IF($B1542="","",IFERROR(INDEX(자원목록!$B$3:$B$102,MATCH($B1542,자원목록!$A$3:$A$102,0)),"미등록자원"))</f>
        <v/>
      </c>
      <c r="D1542" s="7"/>
      <c r="E1542" s="12" t="str">
        <f aca="false">IF($D1542="","",IFERROR(INDEX(고객목록!$B$3:$B$502,MATCH($D1542,고객목록!$A$3:$A$502,0)),""))</f>
        <v/>
      </c>
      <c r="F1542" s="13"/>
      <c r="G1542" s="13"/>
      <c r="H1542" s="14" t="str">
        <f aca="false">IF(OR($L1542="",$M1542=""),"",ROUND(($M1542-$L1542)/60,2))</f>
        <v/>
      </c>
      <c r="I1542" s="9"/>
      <c r="J1542" s="7"/>
      <c r="K1542" s="7"/>
      <c r="L1542" s="15" t="str">
        <f aca="false">IF($F1542="","",IF($F1542&lt;1,ROUND($F1542*1440,0),INT($F1542/100)*60+MOD($F1542,100)))</f>
        <v/>
      </c>
      <c r="M1542" s="15" t="str">
        <f aca="false">IF($G1542="","",IF($G1542&lt;1,ROUND($G1542*1440,0),INT($G1542/100)*60+MOD($G1542,100)))</f>
        <v/>
      </c>
      <c r="N1542" s="15" t="str">
        <f aca="false">IF(OR($A1542="",$B1542="",$L1542="",$M1542="",$J1542="취소"),"",IF(SUMPRODUCT(($A$3:$A$2002=$A1542)*($B$3:$B$2002=$B1542)*($J$3:$J$2002&lt;&gt;"취소")*($L$3:$L$2002&lt;&gt;"")*($M$3:$M$2002&lt;&gt;"")*($L$3:$L$2002&lt;$M1542)*($M$3:$M$2002&gt;$L1542))&gt;1,"중복","-"))</f>
        <v/>
      </c>
    </row>
    <row r="1543" customFormat="false" ht="15" hidden="false" customHeight="true" outlineLevel="0" collapsed="false">
      <c r="A1543" s="11"/>
      <c r="B1543" s="7"/>
      <c r="C1543" s="12" t="str">
        <f aca="false">IF($B1543="","",IFERROR(INDEX(자원목록!$B$3:$B$102,MATCH($B1543,자원목록!$A$3:$A$102,0)),"미등록자원"))</f>
        <v/>
      </c>
      <c r="D1543" s="7"/>
      <c r="E1543" s="12" t="str">
        <f aca="false">IF($D1543="","",IFERROR(INDEX(고객목록!$B$3:$B$502,MATCH($D1543,고객목록!$A$3:$A$502,0)),""))</f>
        <v/>
      </c>
      <c r="F1543" s="13"/>
      <c r="G1543" s="13"/>
      <c r="H1543" s="14" t="str">
        <f aca="false">IF(OR($L1543="",$M1543=""),"",ROUND(($M1543-$L1543)/60,2))</f>
        <v/>
      </c>
      <c r="I1543" s="9"/>
      <c r="J1543" s="7"/>
      <c r="K1543" s="7"/>
      <c r="L1543" s="15" t="str">
        <f aca="false">IF($F1543="","",IF($F1543&lt;1,ROUND($F1543*1440,0),INT($F1543/100)*60+MOD($F1543,100)))</f>
        <v/>
      </c>
      <c r="M1543" s="15" t="str">
        <f aca="false">IF($G1543="","",IF($G1543&lt;1,ROUND($G1543*1440,0),INT($G1543/100)*60+MOD($G1543,100)))</f>
        <v/>
      </c>
      <c r="N1543" s="15" t="str">
        <f aca="false">IF(OR($A1543="",$B1543="",$L1543="",$M1543="",$J1543="취소"),"",IF(SUMPRODUCT(($A$3:$A$2002=$A1543)*($B$3:$B$2002=$B1543)*($J$3:$J$2002&lt;&gt;"취소")*($L$3:$L$2002&lt;&gt;"")*($M$3:$M$2002&lt;&gt;"")*($L$3:$L$2002&lt;$M1543)*($M$3:$M$2002&gt;$L1543))&gt;1,"중복","-"))</f>
        <v/>
      </c>
    </row>
    <row r="1544" customFormat="false" ht="15" hidden="false" customHeight="true" outlineLevel="0" collapsed="false">
      <c r="A1544" s="11"/>
      <c r="B1544" s="7"/>
      <c r="C1544" s="12" t="str">
        <f aca="false">IF($B1544="","",IFERROR(INDEX(자원목록!$B$3:$B$102,MATCH($B1544,자원목록!$A$3:$A$102,0)),"미등록자원"))</f>
        <v/>
      </c>
      <c r="D1544" s="7"/>
      <c r="E1544" s="12" t="str">
        <f aca="false">IF($D1544="","",IFERROR(INDEX(고객목록!$B$3:$B$502,MATCH($D1544,고객목록!$A$3:$A$502,0)),""))</f>
        <v/>
      </c>
      <c r="F1544" s="13"/>
      <c r="G1544" s="13"/>
      <c r="H1544" s="14" t="str">
        <f aca="false">IF(OR($L1544="",$M1544=""),"",ROUND(($M1544-$L1544)/60,2))</f>
        <v/>
      </c>
      <c r="I1544" s="9"/>
      <c r="J1544" s="7"/>
      <c r="K1544" s="7"/>
      <c r="L1544" s="15" t="str">
        <f aca="false">IF($F1544="","",IF($F1544&lt;1,ROUND($F1544*1440,0),INT($F1544/100)*60+MOD($F1544,100)))</f>
        <v/>
      </c>
      <c r="M1544" s="15" t="str">
        <f aca="false">IF($G1544="","",IF($G1544&lt;1,ROUND($G1544*1440,0),INT($G1544/100)*60+MOD($G1544,100)))</f>
        <v/>
      </c>
      <c r="N1544" s="15" t="str">
        <f aca="false">IF(OR($A1544="",$B1544="",$L1544="",$M1544="",$J1544="취소"),"",IF(SUMPRODUCT(($A$3:$A$2002=$A1544)*($B$3:$B$2002=$B1544)*($J$3:$J$2002&lt;&gt;"취소")*($L$3:$L$2002&lt;&gt;"")*($M$3:$M$2002&lt;&gt;"")*($L$3:$L$2002&lt;$M1544)*($M$3:$M$2002&gt;$L1544))&gt;1,"중복","-"))</f>
        <v/>
      </c>
    </row>
    <row r="1545" customFormat="false" ht="15" hidden="false" customHeight="true" outlineLevel="0" collapsed="false">
      <c r="A1545" s="11"/>
      <c r="B1545" s="7"/>
      <c r="C1545" s="12" t="str">
        <f aca="false">IF($B1545="","",IFERROR(INDEX(자원목록!$B$3:$B$102,MATCH($B1545,자원목록!$A$3:$A$102,0)),"미등록자원"))</f>
        <v/>
      </c>
      <c r="D1545" s="7"/>
      <c r="E1545" s="12" t="str">
        <f aca="false">IF($D1545="","",IFERROR(INDEX(고객목록!$B$3:$B$502,MATCH($D1545,고객목록!$A$3:$A$502,0)),""))</f>
        <v/>
      </c>
      <c r="F1545" s="13"/>
      <c r="G1545" s="13"/>
      <c r="H1545" s="14" t="str">
        <f aca="false">IF(OR($L1545="",$M1545=""),"",ROUND(($M1545-$L1545)/60,2))</f>
        <v/>
      </c>
      <c r="I1545" s="9"/>
      <c r="J1545" s="7"/>
      <c r="K1545" s="7"/>
      <c r="L1545" s="15" t="str">
        <f aca="false">IF($F1545="","",IF($F1545&lt;1,ROUND($F1545*1440,0),INT($F1545/100)*60+MOD($F1545,100)))</f>
        <v/>
      </c>
      <c r="M1545" s="15" t="str">
        <f aca="false">IF($G1545="","",IF($G1545&lt;1,ROUND($G1545*1440,0),INT($G1545/100)*60+MOD($G1545,100)))</f>
        <v/>
      </c>
      <c r="N1545" s="15" t="str">
        <f aca="false">IF(OR($A1545="",$B1545="",$L1545="",$M1545="",$J1545="취소"),"",IF(SUMPRODUCT(($A$3:$A$2002=$A1545)*($B$3:$B$2002=$B1545)*($J$3:$J$2002&lt;&gt;"취소")*($L$3:$L$2002&lt;&gt;"")*($M$3:$M$2002&lt;&gt;"")*($L$3:$L$2002&lt;$M1545)*($M$3:$M$2002&gt;$L1545))&gt;1,"중복","-"))</f>
        <v/>
      </c>
    </row>
    <row r="1546" customFormat="false" ht="15" hidden="false" customHeight="true" outlineLevel="0" collapsed="false">
      <c r="A1546" s="11"/>
      <c r="B1546" s="7"/>
      <c r="C1546" s="12" t="str">
        <f aca="false">IF($B1546="","",IFERROR(INDEX(자원목록!$B$3:$B$102,MATCH($B1546,자원목록!$A$3:$A$102,0)),"미등록자원"))</f>
        <v/>
      </c>
      <c r="D1546" s="7"/>
      <c r="E1546" s="12" t="str">
        <f aca="false">IF($D1546="","",IFERROR(INDEX(고객목록!$B$3:$B$502,MATCH($D1546,고객목록!$A$3:$A$502,0)),""))</f>
        <v/>
      </c>
      <c r="F1546" s="13"/>
      <c r="G1546" s="13"/>
      <c r="H1546" s="14" t="str">
        <f aca="false">IF(OR($L1546="",$M1546=""),"",ROUND(($M1546-$L1546)/60,2))</f>
        <v/>
      </c>
      <c r="I1546" s="9"/>
      <c r="J1546" s="7"/>
      <c r="K1546" s="7"/>
      <c r="L1546" s="15" t="str">
        <f aca="false">IF($F1546="","",IF($F1546&lt;1,ROUND($F1546*1440,0),INT($F1546/100)*60+MOD($F1546,100)))</f>
        <v/>
      </c>
      <c r="M1546" s="15" t="str">
        <f aca="false">IF($G1546="","",IF($G1546&lt;1,ROUND($G1546*1440,0),INT($G1546/100)*60+MOD($G1546,100)))</f>
        <v/>
      </c>
      <c r="N1546" s="15" t="str">
        <f aca="false">IF(OR($A1546="",$B1546="",$L1546="",$M1546="",$J1546="취소"),"",IF(SUMPRODUCT(($A$3:$A$2002=$A1546)*($B$3:$B$2002=$B1546)*($J$3:$J$2002&lt;&gt;"취소")*($L$3:$L$2002&lt;&gt;"")*($M$3:$M$2002&lt;&gt;"")*($L$3:$L$2002&lt;$M1546)*($M$3:$M$2002&gt;$L1546))&gt;1,"중복","-"))</f>
        <v/>
      </c>
    </row>
    <row r="1547" customFormat="false" ht="15" hidden="false" customHeight="true" outlineLevel="0" collapsed="false">
      <c r="A1547" s="11"/>
      <c r="B1547" s="7"/>
      <c r="C1547" s="12" t="str">
        <f aca="false">IF($B1547="","",IFERROR(INDEX(자원목록!$B$3:$B$102,MATCH($B1547,자원목록!$A$3:$A$102,0)),"미등록자원"))</f>
        <v/>
      </c>
      <c r="D1547" s="7"/>
      <c r="E1547" s="12" t="str">
        <f aca="false">IF($D1547="","",IFERROR(INDEX(고객목록!$B$3:$B$502,MATCH($D1547,고객목록!$A$3:$A$502,0)),""))</f>
        <v/>
      </c>
      <c r="F1547" s="13"/>
      <c r="G1547" s="13"/>
      <c r="H1547" s="14" t="str">
        <f aca="false">IF(OR($L1547="",$M1547=""),"",ROUND(($M1547-$L1547)/60,2))</f>
        <v/>
      </c>
      <c r="I1547" s="9"/>
      <c r="J1547" s="7"/>
      <c r="K1547" s="7"/>
      <c r="L1547" s="15" t="str">
        <f aca="false">IF($F1547="","",IF($F1547&lt;1,ROUND($F1547*1440,0),INT($F1547/100)*60+MOD($F1547,100)))</f>
        <v/>
      </c>
      <c r="M1547" s="15" t="str">
        <f aca="false">IF($G1547="","",IF($G1547&lt;1,ROUND($G1547*1440,0),INT($G1547/100)*60+MOD($G1547,100)))</f>
        <v/>
      </c>
      <c r="N1547" s="15" t="str">
        <f aca="false">IF(OR($A1547="",$B1547="",$L1547="",$M1547="",$J1547="취소"),"",IF(SUMPRODUCT(($A$3:$A$2002=$A1547)*($B$3:$B$2002=$B1547)*($J$3:$J$2002&lt;&gt;"취소")*($L$3:$L$2002&lt;&gt;"")*($M$3:$M$2002&lt;&gt;"")*($L$3:$L$2002&lt;$M1547)*($M$3:$M$2002&gt;$L1547))&gt;1,"중복","-"))</f>
        <v/>
      </c>
    </row>
    <row r="1548" customFormat="false" ht="15" hidden="false" customHeight="true" outlineLevel="0" collapsed="false">
      <c r="A1548" s="11"/>
      <c r="B1548" s="7"/>
      <c r="C1548" s="12" t="str">
        <f aca="false">IF($B1548="","",IFERROR(INDEX(자원목록!$B$3:$B$102,MATCH($B1548,자원목록!$A$3:$A$102,0)),"미등록자원"))</f>
        <v/>
      </c>
      <c r="D1548" s="7"/>
      <c r="E1548" s="12" t="str">
        <f aca="false">IF($D1548="","",IFERROR(INDEX(고객목록!$B$3:$B$502,MATCH($D1548,고객목록!$A$3:$A$502,0)),""))</f>
        <v/>
      </c>
      <c r="F1548" s="13"/>
      <c r="G1548" s="13"/>
      <c r="H1548" s="14" t="str">
        <f aca="false">IF(OR($L1548="",$M1548=""),"",ROUND(($M1548-$L1548)/60,2))</f>
        <v/>
      </c>
      <c r="I1548" s="9"/>
      <c r="J1548" s="7"/>
      <c r="K1548" s="7"/>
      <c r="L1548" s="15" t="str">
        <f aca="false">IF($F1548="","",IF($F1548&lt;1,ROUND($F1548*1440,0),INT($F1548/100)*60+MOD($F1548,100)))</f>
        <v/>
      </c>
      <c r="M1548" s="15" t="str">
        <f aca="false">IF($G1548="","",IF($G1548&lt;1,ROUND($G1548*1440,0),INT($G1548/100)*60+MOD($G1548,100)))</f>
        <v/>
      </c>
      <c r="N1548" s="15" t="str">
        <f aca="false">IF(OR($A1548="",$B1548="",$L1548="",$M1548="",$J1548="취소"),"",IF(SUMPRODUCT(($A$3:$A$2002=$A1548)*($B$3:$B$2002=$B1548)*($J$3:$J$2002&lt;&gt;"취소")*($L$3:$L$2002&lt;&gt;"")*($M$3:$M$2002&lt;&gt;"")*($L$3:$L$2002&lt;$M1548)*($M$3:$M$2002&gt;$L1548))&gt;1,"중복","-"))</f>
        <v/>
      </c>
    </row>
    <row r="1549" customFormat="false" ht="15" hidden="false" customHeight="true" outlineLevel="0" collapsed="false">
      <c r="A1549" s="11"/>
      <c r="B1549" s="7"/>
      <c r="C1549" s="12" t="str">
        <f aca="false">IF($B1549="","",IFERROR(INDEX(자원목록!$B$3:$B$102,MATCH($B1549,자원목록!$A$3:$A$102,0)),"미등록자원"))</f>
        <v/>
      </c>
      <c r="D1549" s="7"/>
      <c r="E1549" s="12" t="str">
        <f aca="false">IF($D1549="","",IFERROR(INDEX(고객목록!$B$3:$B$502,MATCH($D1549,고객목록!$A$3:$A$502,0)),""))</f>
        <v/>
      </c>
      <c r="F1549" s="13"/>
      <c r="G1549" s="13"/>
      <c r="H1549" s="14" t="str">
        <f aca="false">IF(OR($L1549="",$M1549=""),"",ROUND(($M1549-$L1549)/60,2))</f>
        <v/>
      </c>
      <c r="I1549" s="9"/>
      <c r="J1549" s="7"/>
      <c r="K1549" s="7"/>
      <c r="L1549" s="15" t="str">
        <f aca="false">IF($F1549="","",IF($F1549&lt;1,ROUND($F1549*1440,0),INT($F1549/100)*60+MOD($F1549,100)))</f>
        <v/>
      </c>
      <c r="M1549" s="15" t="str">
        <f aca="false">IF($G1549="","",IF($G1549&lt;1,ROUND($G1549*1440,0),INT($G1549/100)*60+MOD($G1549,100)))</f>
        <v/>
      </c>
      <c r="N1549" s="15" t="str">
        <f aca="false">IF(OR($A1549="",$B1549="",$L1549="",$M1549="",$J1549="취소"),"",IF(SUMPRODUCT(($A$3:$A$2002=$A1549)*($B$3:$B$2002=$B1549)*($J$3:$J$2002&lt;&gt;"취소")*($L$3:$L$2002&lt;&gt;"")*($M$3:$M$2002&lt;&gt;"")*($L$3:$L$2002&lt;$M1549)*($M$3:$M$2002&gt;$L1549))&gt;1,"중복","-"))</f>
        <v/>
      </c>
    </row>
    <row r="1550" customFormat="false" ht="15" hidden="false" customHeight="true" outlineLevel="0" collapsed="false">
      <c r="A1550" s="11"/>
      <c r="B1550" s="7"/>
      <c r="C1550" s="12" t="str">
        <f aca="false">IF($B1550="","",IFERROR(INDEX(자원목록!$B$3:$B$102,MATCH($B1550,자원목록!$A$3:$A$102,0)),"미등록자원"))</f>
        <v/>
      </c>
      <c r="D1550" s="7"/>
      <c r="E1550" s="12" t="str">
        <f aca="false">IF($D1550="","",IFERROR(INDEX(고객목록!$B$3:$B$502,MATCH($D1550,고객목록!$A$3:$A$502,0)),""))</f>
        <v/>
      </c>
      <c r="F1550" s="13"/>
      <c r="G1550" s="13"/>
      <c r="H1550" s="14" t="str">
        <f aca="false">IF(OR($L1550="",$M1550=""),"",ROUND(($M1550-$L1550)/60,2))</f>
        <v/>
      </c>
      <c r="I1550" s="9"/>
      <c r="J1550" s="7"/>
      <c r="K1550" s="7"/>
      <c r="L1550" s="15" t="str">
        <f aca="false">IF($F1550="","",IF($F1550&lt;1,ROUND($F1550*1440,0),INT($F1550/100)*60+MOD($F1550,100)))</f>
        <v/>
      </c>
      <c r="M1550" s="15" t="str">
        <f aca="false">IF($G1550="","",IF($G1550&lt;1,ROUND($G1550*1440,0),INT($G1550/100)*60+MOD($G1550,100)))</f>
        <v/>
      </c>
      <c r="N1550" s="15" t="str">
        <f aca="false">IF(OR($A1550="",$B1550="",$L1550="",$M1550="",$J1550="취소"),"",IF(SUMPRODUCT(($A$3:$A$2002=$A1550)*($B$3:$B$2002=$B1550)*($J$3:$J$2002&lt;&gt;"취소")*($L$3:$L$2002&lt;&gt;"")*($M$3:$M$2002&lt;&gt;"")*($L$3:$L$2002&lt;$M1550)*($M$3:$M$2002&gt;$L1550))&gt;1,"중복","-"))</f>
        <v/>
      </c>
    </row>
    <row r="1551" customFormat="false" ht="15" hidden="false" customHeight="true" outlineLevel="0" collapsed="false">
      <c r="A1551" s="11"/>
      <c r="B1551" s="7"/>
      <c r="C1551" s="12" t="str">
        <f aca="false">IF($B1551="","",IFERROR(INDEX(자원목록!$B$3:$B$102,MATCH($B1551,자원목록!$A$3:$A$102,0)),"미등록자원"))</f>
        <v/>
      </c>
      <c r="D1551" s="7"/>
      <c r="E1551" s="12" t="str">
        <f aca="false">IF($D1551="","",IFERROR(INDEX(고객목록!$B$3:$B$502,MATCH($D1551,고객목록!$A$3:$A$502,0)),""))</f>
        <v/>
      </c>
      <c r="F1551" s="13"/>
      <c r="G1551" s="13"/>
      <c r="H1551" s="14" t="str">
        <f aca="false">IF(OR($L1551="",$M1551=""),"",ROUND(($M1551-$L1551)/60,2))</f>
        <v/>
      </c>
      <c r="I1551" s="9"/>
      <c r="J1551" s="7"/>
      <c r="K1551" s="7"/>
      <c r="L1551" s="15" t="str">
        <f aca="false">IF($F1551="","",IF($F1551&lt;1,ROUND($F1551*1440,0),INT($F1551/100)*60+MOD($F1551,100)))</f>
        <v/>
      </c>
      <c r="M1551" s="15" t="str">
        <f aca="false">IF($G1551="","",IF($G1551&lt;1,ROUND($G1551*1440,0),INT($G1551/100)*60+MOD($G1551,100)))</f>
        <v/>
      </c>
      <c r="N1551" s="15" t="str">
        <f aca="false">IF(OR($A1551="",$B1551="",$L1551="",$M1551="",$J1551="취소"),"",IF(SUMPRODUCT(($A$3:$A$2002=$A1551)*($B$3:$B$2002=$B1551)*($J$3:$J$2002&lt;&gt;"취소")*($L$3:$L$2002&lt;&gt;"")*($M$3:$M$2002&lt;&gt;"")*($L$3:$L$2002&lt;$M1551)*($M$3:$M$2002&gt;$L1551))&gt;1,"중복","-"))</f>
        <v/>
      </c>
    </row>
    <row r="1552" customFormat="false" ht="15" hidden="false" customHeight="true" outlineLevel="0" collapsed="false">
      <c r="A1552" s="11"/>
      <c r="B1552" s="7"/>
      <c r="C1552" s="12" t="str">
        <f aca="false">IF($B1552="","",IFERROR(INDEX(자원목록!$B$3:$B$102,MATCH($B1552,자원목록!$A$3:$A$102,0)),"미등록자원"))</f>
        <v/>
      </c>
      <c r="D1552" s="7"/>
      <c r="E1552" s="12" t="str">
        <f aca="false">IF($D1552="","",IFERROR(INDEX(고객목록!$B$3:$B$502,MATCH($D1552,고객목록!$A$3:$A$502,0)),""))</f>
        <v/>
      </c>
      <c r="F1552" s="13"/>
      <c r="G1552" s="13"/>
      <c r="H1552" s="14" t="str">
        <f aca="false">IF(OR($L1552="",$M1552=""),"",ROUND(($M1552-$L1552)/60,2))</f>
        <v/>
      </c>
      <c r="I1552" s="9"/>
      <c r="J1552" s="7"/>
      <c r="K1552" s="7"/>
      <c r="L1552" s="15" t="str">
        <f aca="false">IF($F1552="","",IF($F1552&lt;1,ROUND($F1552*1440,0),INT($F1552/100)*60+MOD($F1552,100)))</f>
        <v/>
      </c>
      <c r="M1552" s="15" t="str">
        <f aca="false">IF($G1552="","",IF($G1552&lt;1,ROUND($G1552*1440,0),INT($G1552/100)*60+MOD($G1552,100)))</f>
        <v/>
      </c>
      <c r="N1552" s="15" t="str">
        <f aca="false">IF(OR($A1552="",$B1552="",$L1552="",$M1552="",$J1552="취소"),"",IF(SUMPRODUCT(($A$3:$A$2002=$A1552)*($B$3:$B$2002=$B1552)*($J$3:$J$2002&lt;&gt;"취소")*($L$3:$L$2002&lt;&gt;"")*($M$3:$M$2002&lt;&gt;"")*($L$3:$L$2002&lt;$M1552)*($M$3:$M$2002&gt;$L1552))&gt;1,"중복","-"))</f>
        <v/>
      </c>
    </row>
    <row r="1553" customFormat="false" ht="15" hidden="false" customHeight="true" outlineLevel="0" collapsed="false">
      <c r="A1553" s="11"/>
      <c r="B1553" s="7"/>
      <c r="C1553" s="12" t="str">
        <f aca="false">IF($B1553="","",IFERROR(INDEX(자원목록!$B$3:$B$102,MATCH($B1553,자원목록!$A$3:$A$102,0)),"미등록자원"))</f>
        <v/>
      </c>
      <c r="D1553" s="7"/>
      <c r="E1553" s="12" t="str">
        <f aca="false">IF($D1553="","",IFERROR(INDEX(고객목록!$B$3:$B$502,MATCH($D1553,고객목록!$A$3:$A$502,0)),""))</f>
        <v/>
      </c>
      <c r="F1553" s="13"/>
      <c r="G1553" s="13"/>
      <c r="H1553" s="14" t="str">
        <f aca="false">IF(OR($L1553="",$M1553=""),"",ROUND(($M1553-$L1553)/60,2))</f>
        <v/>
      </c>
      <c r="I1553" s="9"/>
      <c r="J1553" s="7"/>
      <c r="K1553" s="7"/>
      <c r="L1553" s="15" t="str">
        <f aca="false">IF($F1553="","",IF($F1553&lt;1,ROUND($F1553*1440,0),INT($F1553/100)*60+MOD($F1553,100)))</f>
        <v/>
      </c>
      <c r="M1553" s="15" t="str">
        <f aca="false">IF($G1553="","",IF($G1553&lt;1,ROUND($G1553*1440,0),INT($G1553/100)*60+MOD($G1553,100)))</f>
        <v/>
      </c>
      <c r="N1553" s="15" t="str">
        <f aca="false">IF(OR($A1553="",$B1553="",$L1553="",$M1553="",$J1553="취소"),"",IF(SUMPRODUCT(($A$3:$A$2002=$A1553)*($B$3:$B$2002=$B1553)*($J$3:$J$2002&lt;&gt;"취소")*($L$3:$L$2002&lt;&gt;"")*($M$3:$M$2002&lt;&gt;"")*($L$3:$L$2002&lt;$M1553)*($M$3:$M$2002&gt;$L1553))&gt;1,"중복","-"))</f>
        <v/>
      </c>
    </row>
    <row r="1554" customFormat="false" ht="15" hidden="false" customHeight="true" outlineLevel="0" collapsed="false">
      <c r="A1554" s="11"/>
      <c r="B1554" s="7"/>
      <c r="C1554" s="12" t="str">
        <f aca="false">IF($B1554="","",IFERROR(INDEX(자원목록!$B$3:$B$102,MATCH($B1554,자원목록!$A$3:$A$102,0)),"미등록자원"))</f>
        <v/>
      </c>
      <c r="D1554" s="7"/>
      <c r="E1554" s="12" t="str">
        <f aca="false">IF($D1554="","",IFERROR(INDEX(고객목록!$B$3:$B$502,MATCH($D1554,고객목록!$A$3:$A$502,0)),""))</f>
        <v/>
      </c>
      <c r="F1554" s="13"/>
      <c r="G1554" s="13"/>
      <c r="H1554" s="14" t="str">
        <f aca="false">IF(OR($L1554="",$M1554=""),"",ROUND(($M1554-$L1554)/60,2))</f>
        <v/>
      </c>
      <c r="I1554" s="9"/>
      <c r="J1554" s="7"/>
      <c r="K1554" s="7"/>
      <c r="L1554" s="15" t="str">
        <f aca="false">IF($F1554="","",IF($F1554&lt;1,ROUND($F1554*1440,0),INT($F1554/100)*60+MOD($F1554,100)))</f>
        <v/>
      </c>
      <c r="M1554" s="15" t="str">
        <f aca="false">IF($G1554="","",IF($G1554&lt;1,ROUND($G1554*1440,0),INT($G1554/100)*60+MOD($G1554,100)))</f>
        <v/>
      </c>
      <c r="N1554" s="15" t="str">
        <f aca="false">IF(OR($A1554="",$B1554="",$L1554="",$M1554="",$J1554="취소"),"",IF(SUMPRODUCT(($A$3:$A$2002=$A1554)*($B$3:$B$2002=$B1554)*($J$3:$J$2002&lt;&gt;"취소")*($L$3:$L$2002&lt;&gt;"")*($M$3:$M$2002&lt;&gt;"")*($L$3:$L$2002&lt;$M1554)*($M$3:$M$2002&gt;$L1554))&gt;1,"중복","-"))</f>
        <v/>
      </c>
    </row>
    <row r="1555" customFormat="false" ht="15" hidden="false" customHeight="true" outlineLevel="0" collapsed="false">
      <c r="A1555" s="11"/>
      <c r="B1555" s="7"/>
      <c r="C1555" s="12" t="str">
        <f aca="false">IF($B1555="","",IFERROR(INDEX(자원목록!$B$3:$B$102,MATCH($B1555,자원목록!$A$3:$A$102,0)),"미등록자원"))</f>
        <v/>
      </c>
      <c r="D1555" s="7"/>
      <c r="E1555" s="12" t="str">
        <f aca="false">IF($D1555="","",IFERROR(INDEX(고객목록!$B$3:$B$502,MATCH($D1555,고객목록!$A$3:$A$502,0)),""))</f>
        <v/>
      </c>
      <c r="F1555" s="13"/>
      <c r="G1555" s="13"/>
      <c r="H1555" s="14" t="str">
        <f aca="false">IF(OR($L1555="",$M1555=""),"",ROUND(($M1555-$L1555)/60,2))</f>
        <v/>
      </c>
      <c r="I1555" s="9"/>
      <c r="J1555" s="7"/>
      <c r="K1555" s="7"/>
      <c r="L1555" s="15" t="str">
        <f aca="false">IF($F1555="","",IF($F1555&lt;1,ROUND($F1555*1440,0),INT($F1555/100)*60+MOD($F1555,100)))</f>
        <v/>
      </c>
      <c r="M1555" s="15" t="str">
        <f aca="false">IF($G1555="","",IF($G1555&lt;1,ROUND($G1555*1440,0),INT($G1555/100)*60+MOD($G1555,100)))</f>
        <v/>
      </c>
      <c r="N1555" s="15" t="str">
        <f aca="false">IF(OR($A1555="",$B1555="",$L1555="",$M1555="",$J1555="취소"),"",IF(SUMPRODUCT(($A$3:$A$2002=$A1555)*($B$3:$B$2002=$B1555)*($J$3:$J$2002&lt;&gt;"취소")*($L$3:$L$2002&lt;&gt;"")*($M$3:$M$2002&lt;&gt;"")*($L$3:$L$2002&lt;$M1555)*($M$3:$M$2002&gt;$L1555))&gt;1,"중복","-"))</f>
        <v/>
      </c>
    </row>
    <row r="1556" customFormat="false" ht="15" hidden="false" customHeight="true" outlineLevel="0" collapsed="false">
      <c r="A1556" s="11"/>
      <c r="B1556" s="7"/>
      <c r="C1556" s="12" t="str">
        <f aca="false">IF($B1556="","",IFERROR(INDEX(자원목록!$B$3:$B$102,MATCH($B1556,자원목록!$A$3:$A$102,0)),"미등록자원"))</f>
        <v/>
      </c>
      <c r="D1556" s="7"/>
      <c r="E1556" s="12" t="str">
        <f aca="false">IF($D1556="","",IFERROR(INDEX(고객목록!$B$3:$B$502,MATCH($D1556,고객목록!$A$3:$A$502,0)),""))</f>
        <v/>
      </c>
      <c r="F1556" s="13"/>
      <c r="G1556" s="13"/>
      <c r="H1556" s="14" t="str">
        <f aca="false">IF(OR($L1556="",$M1556=""),"",ROUND(($M1556-$L1556)/60,2))</f>
        <v/>
      </c>
      <c r="I1556" s="9"/>
      <c r="J1556" s="7"/>
      <c r="K1556" s="7"/>
      <c r="L1556" s="15" t="str">
        <f aca="false">IF($F1556="","",IF($F1556&lt;1,ROUND($F1556*1440,0),INT($F1556/100)*60+MOD($F1556,100)))</f>
        <v/>
      </c>
      <c r="M1556" s="15" t="str">
        <f aca="false">IF($G1556="","",IF($G1556&lt;1,ROUND($G1556*1440,0),INT($G1556/100)*60+MOD($G1556,100)))</f>
        <v/>
      </c>
      <c r="N1556" s="15" t="str">
        <f aca="false">IF(OR($A1556="",$B1556="",$L1556="",$M1556="",$J1556="취소"),"",IF(SUMPRODUCT(($A$3:$A$2002=$A1556)*($B$3:$B$2002=$B1556)*($J$3:$J$2002&lt;&gt;"취소")*($L$3:$L$2002&lt;&gt;"")*($M$3:$M$2002&lt;&gt;"")*($L$3:$L$2002&lt;$M1556)*($M$3:$M$2002&gt;$L1556))&gt;1,"중복","-"))</f>
        <v/>
      </c>
    </row>
    <row r="1557" customFormat="false" ht="15" hidden="false" customHeight="true" outlineLevel="0" collapsed="false">
      <c r="A1557" s="11"/>
      <c r="B1557" s="7"/>
      <c r="C1557" s="12" t="str">
        <f aca="false">IF($B1557="","",IFERROR(INDEX(자원목록!$B$3:$B$102,MATCH($B1557,자원목록!$A$3:$A$102,0)),"미등록자원"))</f>
        <v/>
      </c>
      <c r="D1557" s="7"/>
      <c r="E1557" s="12" t="str">
        <f aca="false">IF($D1557="","",IFERROR(INDEX(고객목록!$B$3:$B$502,MATCH($D1557,고객목록!$A$3:$A$502,0)),""))</f>
        <v/>
      </c>
      <c r="F1557" s="13"/>
      <c r="G1557" s="13"/>
      <c r="H1557" s="14" t="str">
        <f aca="false">IF(OR($L1557="",$M1557=""),"",ROUND(($M1557-$L1557)/60,2))</f>
        <v/>
      </c>
      <c r="I1557" s="9"/>
      <c r="J1557" s="7"/>
      <c r="K1557" s="7"/>
      <c r="L1557" s="15" t="str">
        <f aca="false">IF($F1557="","",IF($F1557&lt;1,ROUND($F1557*1440,0),INT($F1557/100)*60+MOD($F1557,100)))</f>
        <v/>
      </c>
      <c r="M1557" s="15" t="str">
        <f aca="false">IF($G1557="","",IF($G1557&lt;1,ROUND($G1557*1440,0),INT($G1557/100)*60+MOD($G1557,100)))</f>
        <v/>
      </c>
      <c r="N1557" s="15" t="str">
        <f aca="false">IF(OR($A1557="",$B1557="",$L1557="",$M1557="",$J1557="취소"),"",IF(SUMPRODUCT(($A$3:$A$2002=$A1557)*($B$3:$B$2002=$B1557)*($J$3:$J$2002&lt;&gt;"취소")*($L$3:$L$2002&lt;&gt;"")*($M$3:$M$2002&lt;&gt;"")*($L$3:$L$2002&lt;$M1557)*($M$3:$M$2002&gt;$L1557))&gt;1,"중복","-"))</f>
        <v/>
      </c>
    </row>
    <row r="1558" customFormat="false" ht="15" hidden="false" customHeight="true" outlineLevel="0" collapsed="false">
      <c r="A1558" s="11"/>
      <c r="B1558" s="7"/>
      <c r="C1558" s="12" t="str">
        <f aca="false">IF($B1558="","",IFERROR(INDEX(자원목록!$B$3:$B$102,MATCH($B1558,자원목록!$A$3:$A$102,0)),"미등록자원"))</f>
        <v/>
      </c>
      <c r="D1558" s="7"/>
      <c r="E1558" s="12" t="str">
        <f aca="false">IF($D1558="","",IFERROR(INDEX(고객목록!$B$3:$B$502,MATCH($D1558,고객목록!$A$3:$A$502,0)),""))</f>
        <v/>
      </c>
      <c r="F1558" s="13"/>
      <c r="G1558" s="13"/>
      <c r="H1558" s="14" t="str">
        <f aca="false">IF(OR($L1558="",$M1558=""),"",ROUND(($M1558-$L1558)/60,2))</f>
        <v/>
      </c>
      <c r="I1558" s="9"/>
      <c r="J1558" s="7"/>
      <c r="K1558" s="7"/>
      <c r="L1558" s="15" t="str">
        <f aca="false">IF($F1558="","",IF($F1558&lt;1,ROUND($F1558*1440,0),INT($F1558/100)*60+MOD($F1558,100)))</f>
        <v/>
      </c>
      <c r="M1558" s="15" t="str">
        <f aca="false">IF($G1558="","",IF($G1558&lt;1,ROUND($G1558*1440,0),INT($G1558/100)*60+MOD($G1558,100)))</f>
        <v/>
      </c>
      <c r="N1558" s="15" t="str">
        <f aca="false">IF(OR($A1558="",$B1558="",$L1558="",$M1558="",$J1558="취소"),"",IF(SUMPRODUCT(($A$3:$A$2002=$A1558)*($B$3:$B$2002=$B1558)*($J$3:$J$2002&lt;&gt;"취소")*($L$3:$L$2002&lt;&gt;"")*($M$3:$M$2002&lt;&gt;"")*($L$3:$L$2002&lt;$M1558)*($M$3:$M$2002&gt;$L1558))&gt;1,"중복","-"))</f>
        <v/>
      </c>
    </row>
    <row r="1559" customFormat="false" ht="15" hidden="false" customHeight="true" outlineLevel="0" collapsed="false">
      <c r="A1559" s="11"/>
      <c r="B1559" s="7"/>
      <c r="C1559" s="12" t="str">
        <f aca="false">IF($B1559="","",IFERROR(INDEX(자원목록!$B$3:$B$102,MATCH($B1559,자원목록!$A$3:$A$102,0)),"미등록자원"))</f>
        <v/>
      </c>
      <c r="D1559" s="7"/>
      <c r="E1559" s="12" t="str">
        <f aca="false">IF($D1559="","",IFERROR(INDEX(고객목록!$B$3:$B$502,MATCH($D1559,고객목록!$A$3:$A$502,0)),""))</f>
        <v/>
      </c>
      <c r="F1559" s="13"/>
      <c r="G1559" s="13"/>
      <c r="H1559" s="14" t="str">
        <f aca="false">IF(OR($L1559="",$M1559=""),"",ROUND(($M1559-$L1559)/60,2))</f>
        <v/>
      </c>
      <c r="I1559" s="9"/>
      <c r="J1559" s="7"/>
      <c r="K1559" s="7"/>
      <c r="L1559" s="15" t="str">
        <f aca="false">IF($F1559="","",IF($F1559&lt;1,ROUND($F1559*1440,0),INT($F1559/100)*60+MOD($F1559,100)))</f>
        <v/>
      </c>
      <c r="M1559" s="15" t="str">
        <f aca="false">IF($G1559="","",IF($G1559&lt;1,ROUND($G1559*1440,0),INT($G1559/100)*60+MOD($G1559,100)))</f>
        <v/>
      </c>
      <c r="N1559" s="15" t="str">
        <f aca="false">IF(OR($A1559="",$B1559="",$L1559="",$M1559="",$J1559="취소"),"",IF(SUMPRODUCT(($A$3:$A$2002=$A1559)*($B$3:$B$2002=$B1559)*($J$3:$J$2002&lt;&gt;"취소")*($L$3:$L$2002&lt;&gt;"")*($M$3:$M$2002&lt;&gt;"")*($L$3:$L$2002&lt;$M1559)*($M$3:$M$2002&gt;$L1559))&gt;1,"중복","-"))</f>
        <v/>
      </c>
    </row>
    <row r="1560" customFormat="false" ht="15" hidden="false" customHeight="true" outlineLevel="0" collapsed="false">
      <c r="A1560" s="11"/>
      <c r="B1560" s="7"/>
      <c r="C1560" s="12" t="str">
        <f aca="false">IF($B1560="","",IFERROR(INDEX(자원목록!$B$3:$B$102,MATCH($B1560,자원목록!$A$3:$A$102,0)),"미등록자원"))</f>
        <v/>
      </c>
      <c r="D1560" s="7"/>
      <c r="E1560" s="12" t="str">
        <f aca="false">IF($D1560="","",IFERROR(INDEX(고객목록!$B$3:$B$502,MATCH($D1560,고객목록!$A$3:$A$502,0)),""))</f>
        <v/>
      </c>
      <c r="F1560" s="13"/>
      <c r="G1560" s="13"/>
      <c r="H1560" s="14" t="str">
        <f aca="false">IF(OR($L1560="",$M1560=""),"",ROUND(($M1560-$L1560)/60,2))</f>
        <v/>
      </c>
      <c r="I1560" s="9"/>
      <c r="J1560" s="7"/>
      <c r="K1560" s="7"/>
      <c r="L1560" s="15" t="str">
        <f aca="false">IF($F1560="","",IF($F1560&lt;1,ROUND($F1560*1440,0),INT($F1560/100)*60+MOD($F1560,100)))</f>
        <v/>
      </c>
      <c r="M1560" s="15" t="str">
        <f aca="false">IF($G1560="","",IF($G1560&lt;1,ROUND($G1560*1440,0),INT($G1560/100)*60+MOD($G1560,100)))</f>
        <v/>
      </c>
      <c r="N1560" s="15" t="str">
        <f aca="false">IF(OR($A1560="",$B1560="",$L1560="",$M1560="",$J1560="취소"),"",IF(SUMPRODUCT(($A$3:$A$2002=$A1560)*($B$3:$B$2002=$B1560)*($J$3:$J$2002&lt;&gt;"취소")*($L$3:$L$2002&lt;&gt;"")*($M$3:$M$2002&lt;&gt;"")*($L$3:$L$2002&lt;$M1560)*($M$3:$M$2002&gt;$L1560))&gt;1,"중복","-"))</f>
        <v/>
      </c>
    </row>
    <row r="1561" customFormat="false" ht="15" hidden="false" customHeight="true" outlineLevel="0" collapsed="false">
      <c r="A1561" s="11"/>
      <c r="B1561" s="7"/>
      <c r="C1561" s="12" t="str">
        <f aca="false">IF($B1561="","",IFERROR(INDEX(자원목록!$B$3:$B$102,MATCH($B1561,자원목록!$A$3:$A$102,0)),"미등록자원"))</f>
        <v/>
      </c>
      <c r="D1561" s="7"/>
      <c r="E1561" s="12" t="str">
        <f aca="false">IF($D1561="","",IFERROR(INDEX(고객목록!$B$3:$B$502,MATCH($D1561,고객목록!$A$3:$A$502,0)),""))</f>
        <v/>
      </c>
      <c r="F1561" s="13"/>
      <c r="G1561" s="13"/>
      <c r="H1561" s="14" t="str">
        <f aca="false">IF(OR($L1561="",$M1561=""),"",ROUND(($M1561-$L1561)/60,2))</f>
        <v/>
      </c>
      <c r="I1561" s="9"/>
      <c r="J1561" s="7"/>
      <c r="K1561" s="7"/>
      <c r="L1561" s="15" t="str">
        <f aca="false">IF($F1561="","",IF($F1561&lt;1,ROUND($F1561*1440,0),INT($F1561/100)*60+MOD($F1561,100)))</f>
        <v/>
      </c>
      <c r="M1561" s="15" t="str">
        <f aca="false">IF($G1561="","",IF($G1561&lt;1,ROUND($G1561*1440,0),INT($G1561/100)*60+MOD($G1561,100)))</f>
        <v/>
      </c>
      <c r="N1561" s="15" t="str">
        <f aca="false">IF(OR($A1561="",$B1561="",$L1561="",$M1561="",$J1561="취소"),"",IF(SUMPRODUCT(($A$3:$A$2002=$A1561)*($B$3:$B$2002=$B1561)*($J$3:$J$2002&lt;&gt;"취소")*($L$3:$L$2002&lt;&gt;"")*($M$3:$M$2002&lt;&gt;"")*($L$3:$L$2002&lt;$M1561)*($M$3:$M$2002&gt;$L1561))&gt;1,"중복","-"))</f>
        <v/>
      </c>
    </row>
    <row r="1562" customFormat="false" ht="15" hidden="false" customHeight="true" outlineLevel="0" collapsed="false">
      <c r="A1562" s="11"/>
      <c r="B1562" s="7"/>
      <c r="C1562" s="12" t="str">
        <f aca="false">IF($B1562="","",IFERROR(INDEX(자원목록!$B$3:$B$102,MATCH($B1562,자원목록!$A$3:$A$102,0)),"미등록자원"))</f>
        <v/>
      </c>
      <c r="D1562" s="7"/>
      <c r="E1562" s="12" t="str">
        <f aca="false">IF($D1562="","",IFERROR(INDEX(고객목록!$B$3:$B$502,MATCH($D1562,고객목록!$A$3:$A$502,0)),""))</f>
        <v/>
      </c>
      <c r="F1562" s="13"/>
      <c r="G1562" s="13"/>
      <c r="H1562" s="14" t="str">
        <f aca="false">IF(OR($L1562="",$M1562=""),"",ROUND(($M1562-$L1562)/60,2))</f>
        <v/>
      </c>
      <c r="I1562" s="9"/>
      <c r="J1562" s="7"/>
      <c r="K1562" s="7"/>
      <c r="L1562" s="15" t="str">
        <f aca="false">IF($F1562="","",IF($F1562&lt;1,ROUND($F1562*1440,0),INT($F1562/100)*60+MOD($F1562,100)))</f>
        <v/>
      </c>
      <c r="M1562" s="15" t="str">
        <f aca="false">IF($G1562="","",IF($G1562&lt;1,ROUND($G1562*1440,0),INT($G1562/100)*60+MOD($G1562,100)))</f>
        <v/>
      </c>
      <c r="N1562" s="15" t="str">
        <f aca="false">IF(OR($A1562="",$B1562="",$L1562="",$M1562="",$J1562="취소"),"",IF(SUMPRODUCT(($A$3:$A$2002=$A1562)*($B$3:$B$2002=$B1562)*($J$3:$J$2002&lt;&gt;"취소")*($L$3:$L$2002&lt;&gt;"")*($M$3:$M$2002&lt;&gt;"")*($L$3:$L$2002&lt;$M1562)*($M$3:$M$2002&gt;$L1562))&gt;1,"중복","-"))</f>
        <v/>
      </c>
    </row>
    <row r="1563" customFormat="false" ht="15" hidden="false" customHeight="true" outlineLevel="0" collapsed="false">
      <c r="A1563" s="11"/>
      <c r="B1563" s="7"/>
      <c r="C1563" s="12" t="str">
        <f aca="false">IF($B1563="","",IFERROR(INDEX(자원목록!$B$3:$B$102,MATCH($B1563,자원목록!$A$3:$A$102,0)),"미등록자원"))</f>
        <v/>
      </c>
      <c r="D1563" s="7"/>
      <c r="E1563" s="12" t="str">
        <f aca="false">IF($D1563="","",IFERROR(INDEX(고객목록!$B$3:$B$502,MATCH($D1563,고객목록!$A$3:$A$502,0)),""))</f>
        <v/>
      </c>
      <c r="F1563" s="13"/>
      <c r="G1563" s="13"/>
      <c r="H1563" s="14" t="str">
        <f aca="false">IF(OR($L1563="",$M1563=""),"",ROUND(($M1563-$L1563)/60,2))</f>
        <v/>
      </c>
      <c r="I1563" s="9"/>
      <c r="J1563" s="7"/>
      <c r="K1563" s="7"/>
      <c r="L1563" s="15" t="str">
        <f aca="false">IF($F1563="","",IF($F1563&lt;1,ROUND($F1563*1440,0),INT($F1563/100)*60+MOD($F1563,100)))</f>
        <v/>
      </c>
      <c r="M1563" s="15" t="str">
        <f aca="false">IF($G1563="","",IF($G1563&lt;1,ROUND($G1563*1440,0),INT($G1563/100)*60+MOD($G1563,100)))</f>
        <v/>
      </c>
      <c r="N1563" s="15" t="str">
        <f aca="false">IF(OR($A1563="",$B1563="",$L1563="",$M1563="",$J1563="취소"),"",IF(SUMPRODUCT(($A$3:$A$2002=$A1563)*($B$3:$B$2002=$B1563)*($J$3:$J$2002&lt;&gt;"취소")*($L$3:$L$2002&lt;&gt;"")*($M$3:$M$2002&lt;&gt;"")*($L$3:$L$2002&lt;$M1563)*($M$3:$M$2002&gt;$L1563))&gt;1,"중복","-"))</f>
        <v/>
      </c>
    </row>
    <row r="1564" customFormat="false" ht="15" hidden="false" customHeight="true" outlineLevel="0" collapsed="false">
      <c r="A1564" s="11"/>
      <c r="B1564" s="7"/>
      <c r="C1564" s="12" t="str">
        <f aca="false">IF($B1564="","",IFERROR(INDEX(자원목록!$B$3:$B$102,MATCH($B1564,자원목록!$A$3:$A$102,0)),"미등록자원"))</f>
        <v/>
      </c>
      <c r="D1564" s="7"/>
      <c r="E1564" s="12" t="str">
        <f aca="false">IF($D1564="","",IFERROR(INDEX(고객목록!$B$3:$B$502,MATCH($D1564,고객목록!$A$3:$A$502,0)),""))</f>
        <v/>
      </c>
      <c r="F1564" s="13"/>
      <c r="G1564" s="13"/>
      <c r="H1564" s="14" t="str">
        <f aca="false">IF(OR($L1564="",$M1564=""),"",ROUND(($M1564-$L1564)/60,2))</f>
        <v/>
      </c>
      <c r="I1564" s="9"/>
      <c r="J1564" s="7"/>
      <c r="K1564" s="7"/>
      <c r="L1564" s="15" t="str">
        <f aca="false">IF($F1564="","",IF($F1564&lt;1,ROUND($F1564*1440,0),INT($F1564/100)*60+MOD($F1564,100)))</f>
        <v/>
      </c>
      <c r="M1564" s="15" t="str">
        <f aca="false">IF($G1564="","",IF($G1564&lt;1,ROUND($G1564*1440,0),INT($G1564/100)*60+MOD($G1564,100)))</f>
        <v/>
      </c>
      <c r="N1564" s="15" t="str">
        <f aca="false">IF(OR($A1564="",$B1564="",$L1564="",$M1564="",$J1564="취소"),"",IF(SUMPRODUCT(($A$3:$A$2002=$A1564)*($B$3:$B$2002=$B1564)*($J$3:$J$2002&lt;&gt;"취소")*($L$3:$L$2002&lt;&gt;"")*($M$3:$M$2002&lt;&gt;"")*($L$3:$L$2002&lt;$M1564)*($M$3:$M$2002&gt;$L1564))&gt;1,"중복","-"))</f>
        <v/>
      </c>
    </row>
    <row r="1565" customFormat="false" ht="15" hidden="false" customHeight="true" outlineLevel="0" collapsed="false">
      <c r="A1565" s="11"/>
      <c r="B1565" s="7"/>
      <c r="C1565" s="12" t="str">
        <f aca="false">IF($B1565="","",IFERROR(INDEX(자원목록!$B$3:$B$102,MATCH($B1565,자원목록!$A$3:$A$102,0)),"미등록자원"))</f>
        <v/>
      </c>
      <c r="D1565" s="7"/>
      <c r="E1565" s="12" t="str">
        <f aca="false">IF($D1565="","",IFERROR(INDEX(고객목록!$B$3:$B$502,MATCH($D1565,고객목록!$A$3:$A$502,0)),""))</f>
        <v/>
      </c>
      <c r="F1565" s="13"/>
      <c r="G1565" s="13"/>
      <c r="H1565" s="14" t="str">
        <f aca="false">IF(OR($L1565="",$M1565=""),"",ROUND(($M1565-$L1565)/60,2))</f>
        <v/>
      </c>
      <c r="I1565" s="9"/>
      <c r="J1565" s="7"/>
      <c r="K1565" s="7"/>
      <c r="L1565" s="15" t="str">
        <f aca="false">IF($F1565="","",IF($F1565&lt;1,ROUND($F1565*1440,0),INT($F1565/100)*60+MOD($F1565,100)))</f>
        <v/>
      </c>
      <c r="M1565" s="15" t="str">
        <f aca="false">IF($G1565="","",IF($G1565&lt;1,ROUND($G1565*1440,0),INT($G1565/100)*60+MOD($G1565,100)))</f>
        <v/>
      </c>
      <c r="N1565" s="15" t="str">
        <f aca="false">IF(OR($A1565="",$B1565="",$L1565="",$M1565="",$J1565="취소"),"",IF(SUMPRODUCT(($A$3:$A$2002=$A1565)*($B$3:$B$2002=$B1565)*($J$3:$J$2002&lt;&gt;"취소")*($L$3:$L$2002&lt;&gt;"")*($M$3:$M$2002&lt;&gt;"")*($L$3:$L$2002&lt;$M1565)*($M$3:$M$2002&gt;$L1565))&gt;1,"중복","-"))</f>
        <v/>
      </c>
    </row>
    <row r="1566" customFormat="false" ht="15" hidden="false" customHeight="true" outlineLevel="0" collapsed="false">
      <c r="A1566" s="11"/>
      <c r="B1566" s="7"/>
      <c r="C1566" s="12" t="str">
        <f aca="false">IF($B1566="","",IFERROR(INDEX(자원목록!$B$3:$B$102,MATCH($B1566,자원목록!$A$3:$A$102,0)),"미등록자원"))</f>
        <v/>
      </c>
      <c r="D1566" s="7"/>
      <c r="E1566" s="12" t="str">
        <f aca="false">IF($D1566="","",IFERROR(INDEX(고객목록!$B$3:$B$502,MATCH($D1566,고객목록!$A$3:$A$502,0)),""))</f>
        <v/>
      </c>
      <c r="F1566" s="13"/>
      <c r="G1566" s="13"/>
      <c r="H1566" s="14" t="str">
        <f aca="false">IF(OR($L1566="",$M1566=""),"",ROUND(($M1566-$L1566)/60,2))</f>
        <v/>
      </c>
      <c r="I1566" s="9"/>
      <c r="J1566" s="7"/>
      <c r="K1566" s="7"/>
      <c r="L1566" s="15" t="str">
        <f aca="false">IF($F1566="","",IF($F1566&lt;1,ROUND($F1566*1440,0),INT($F1566/100)*60+MOD($F1566,100)))</f>
        <v/>
      </c>
      <c r="M1566" s="15" t="str">
        <f aca="false">IF($G1566="","",IF($G1566&lt;1,ROUND($G1566*1440,0),INT($G1566/100)*60+MOD($G1566,100)))</f>
        <v/>
      </c>
      <c r="N1566" s="15" t="str">
        <f aca="false">IF(OR($A1566="",$B1566="",$L1566="",$M1566="",$J1566="취소"),"",IF(SUMPRODUCT(($A$3:$A$2002=$A1566)*($B$3:$B$2002=$B1566)*($J$3:$J$2002&lt;&gt;"취소")*($L$3:$L$2002&lt;&gt;"")*($M$3:$M$2002&lt;&gt;"")*($L$3:$L$2002&lt;$M1566)*($M$3:$M$2002&gt;$L1566))&gt;1,"중복","-"))</f>
        <v/>
      </c>
    </row>
    <row r="1567" customFormat="false" ht="15" hidden="false" customHeight="true" outlineLevel="0" collapsed="false">
      <c r="A1567" s="11"/>
      <c r="B1567" s="7"/>
      <c r="C1567" s="12" t="str">
        <f aca="false">IF($B1567="","",IFERROR(INDEX(자원목록!$B$3:$B$102,MATCH($B1567,자원목록!$A$3:$A$102,0)),"미등록자원"))</f>
        <v/>
      </c>
      <c r="D1567" s="7"/>
      <c r="E1567" s="12" t="str">
        <f aca="false">IF($D1567="","",IFERROR(INDEX(고객목록!$B$3:$B$502,MATCH($D1567,고객목록!$A$3:$A$502,0)),""))</f>
        <v/>
      </c>
      <c r="F1567" s="13"/>
      <c r="G1567" s="13"/>
      <c r="H1567" s="14" t="str">
        <f aca="false">IF(OR($L1567="",$M1567=""),"",ROUND(($M1567-$L1567)/60,2))</f>
        <v/>
      </c>
      <c r="I1567" s="9"/>
      <c r="J1567" s="7"/>
      <c r="K1567" s="7"/>
      <c r="L1567" s="15" t="str">
        <f aca="false">IF($F1567="","",IF($F1567&lt;1,ROUND($F1567*1440,0),INT($F1567/100)*60+MOD($F1567,100)))</f>
        <v/>
      </c>
      <c r="M1567" s="15" t="str">
        <f aca="false">IF($G1567="","",IF($G1567&lt;1,ROUND($G1567*1440,0),INT($G1567/100)*60+MOD($G1567,100)))</f>
        <v/>
      </c>
      <c r="N1567" s="15" t="str">
        <f aca="false">IF(OR($A1567="",$B1567="",$L1567="",$M1567="",$J1567="취소"),"",IF(SUMPRODUCT(($A$3:$A$2002=$A1567)*($B$3:$B$2002=$B1567)*($J$3:$J$2002&lt;&gt;"취소")*($L$3:$L$2002&lt;&gt;"")*($M$3:$M$2002&lt;&gt;"")*($L$3:$L$2002&lt;$M1567)*($M$3:$M$2002&gt;$L1567))&gt;1,"중복","-"))</f>
        <v/>
      </c>
    </row>
    <row r="1568" customFormat="false" ht="15" hidden="false" customHeight="true" outlineLevel="0" collapsed="false">
      <c r="A1568" s="11"/>
      <c r="B1568" s="7"/>
      <c r="C1568" s="12" t="str">
        <f aca="false">IF($B1568="","",IFERROR(INDEX(자원목록!$B$3:$B$102,MATCH($B1568,자원목록!$A$3:$A$102,0)),"미등록자원"))</f>
        <v/>
      </c>
      <c r="D1568" s="7"/>
      <c r="E1568" s="12" t="str">
        <f aca="false">IF($D1568="","",IFERROR(INDEX(고객목록!$B$3:$B$502,MATCH($D1568,고객목록!$A$3:$A$502,0)),""))</f>
        <v/>
      </c>
      <c r="F1568" s="13"/>
      <c r="G1568" s="13"/>
      <c r="H1568" s="14" t="str">
        <f aca="false">IF(OR($L1568="",$M1568=""),"",ROUND(($M1568-$L1568)/60,2))</f>
        <v/>
      </c>
      <c r="I1568" s="9"/>
      <c r="J1568" s="7"/>
      <c r="K1568" s="7"/>
      <c r="L1568" s="15" t="str">
        <f aca="false">IF($F1568="","",IF($F1568&lt;1,ROUND($F1568*1440,0),INT($F1568/100)*60+MOD($F1568,100)))</f>
        <v/>
      </c>
      <c r="M1568" s="15" t="str">
        <f aca="false">IF($G1568="","",IF($G1568&lt;1,ROUND($G1568*1440,0),INT($G1568/100)*60+MOD($G1568,100)))</f>
        <v/>
      </c>
      <c r="N1568" s="15" t="str">
        <f aca="false">IF(OR($A1568="",$B1568="",$L1568="",$M1568="",$J1568="취소"),"",IF(SUMPRODUCT(($A$3:$A$2002=$A1568)*($B$3:$B$2002=$B1568)*($J$3:$J$2002&lt;&gt;"취소")*($L$3:$L$2002&lt;&gt;"")*($M$3:$M$2002&lt;&gt;"")*($L$3:$L$2002&lt;$M1568)*($M$3:$M$2002&gt;$L1568))&gt;1,"중복","-"))</f>
        <v/>
      </c>
    </row>
    <row r="1569" customFormat="false" ht="15" hidden="false" customHeight="true" outlineLevel="0" collapsed="false">
      <c r="A1569" s="11"/>
      <c r="B1569" s="7"/>
      <c r="C1569" s="12" t="str">
        <f aca="false">IF($B1569="","",IFERROR(INDEX(자원목록!$B$3:$B$102,MATCH($B1569,자원목록!$A$3:$A$102,0)),"미등록자원"))</f>
        <v/>
      </c>
      <c r="D1569" s="7"/>
      <c r="E1569" s="12" t="str">
        <f aca="false">IF($D1569="","",IFERROR(INDEX(고객목록!$B$3:$B$502,MATCH($D1569,고객목록!$A$3:$A$502,0)),""))</f>
        <v/>
      </c>
      <c r="F1569" s="13"/>
      <c r="G1569" s="13"/>
      <c r="H1569" s="14" t="str">
        <f aca="false">IF(OR($L1569="",$M1569=""),"",ROUND(($M1569-$L1569)/60,2))</f>
        <v/>
      </c>
      <c r="I1569" s="9"/>
      <c r="J1569" s="7"/>
      <c r="K1569" s="7"/>
      <c r="L1569" s="15" t="str">
        <f aca="false">IF($F1569="","",IF($F1569&lt;1,ROUND($F1569*1440,0),INT($F1569/100)*60+MOD($F1569,100)))</f>
        <v/>
      </c>
      <c r="M1569" s="15" t="str">
        <f aca="false">IF($G1569="","",IF($G1569&lt;1,ROUND($G1569*1440,0),INT($G1569/100)*60+MOD($G1569,100)))</f>
        <v/>
      </c>
      <c r="N1569" s="15" t="str">
        <f aca="false">IF(OR($A1569="",$B1569="",$L1569="",$M1569="",$J1569="취소"),"",IF(SUMPRODUCT(($A$3:$A$2002=$A1569)*($B$3:$B$2002=$B1569)*($J$3:$J$2002&lt;&gt;"취소")*($L$3:$L$2002&lt;&gt;"")*($M$3:$M$2002&lt;&gt;"")*($L$3:$L$2002&lt;$M1569)*($M$3:$M$2002&gt;$L1569))&gt;1,"중복","-"))</f>
        <v/>
      </c>
    </row>
    <row r="1570" customFormat="false" ht="15" hidden="false" customHeight="true" outlineLevel="0" collapsed="false">
      <c r="A1570" s="11"/>
      <c r="B1570" s="7"/>
      <c r="C1570" s="12" t="str">
        <f aca="false">IF($B1570="","",IFERROR(INDEX(자원목록!$B$3:$B$102,MATCH($B1570,자원목록!$A$3:$A$102,0)),"미등록자원"))</f>
        <v/>
      </c>
      <c r="D1570" s="7"/>
      <c r="E1570" s="12" t="str">
        <f aca="false">IF($D1570="","",IFERROR(INDEX(고객목록!$B$3:$B$502,MATCH($D1570,고객목록!$A$3:$A$502,0)),""))</f>
        <v/>
      </c>
      <c r="F1570" s="13"/>
      <c r="G1570" s="13"/>
      <c r="H1570" s="14" t="str">
        <f aca="false">IF(OR($L1570="",$M1570=""),"",ROUND(($M1570-$L1570)/60,2))</f>
        <v/>
      </c>
      <c r="I1570" s="9"/>
      <c r="J1570" s="7"/>
      <c r="K1570" s="7"/>
      <c r="L1570" s="15" t="str">
        <f aca="false">IF($F1570="","",IF($F1570&lt;1,ROUND($F1570*1440,0),INT($F1570/100)*60+MOD($F1570,100)))</f>
        <v/>
      </c>
      <c r="M1570" s="15" t="str">
        <f aca="false">IF($G1570="","",IF($G1570&lt;1,ROUND($G1570*1440,0),INT($G1570/100)*60+MOD($G1570,100)))</f>
        <v/>
      </c>
      <c r="N1570" s="15" t="str">
        <f aca="false">IF(OR($A1570="",$B1570="",$L1570="",$M1570="",$J1570="취소"),"",IF(SUMPRODUCT(($A$3:$A$2002=$A1570)*($B$3:$B$2002=$B1570)*($J$3:$J$2002&lt;&gt;"취소")*($L$3:$L$2002&lt;&gt;"")*($M$3:$M$2002&lt;&gt;"")*($L$3:$L$2002&lt;$M1570)*($M$3:$M$2002&gt;$L1570))&gt;1,"중복","-"))</f>
        <v/>
      </c>
    </row>
    <row r="1571" customFormat="false" ht="15" hidden="false" customHeight="true" outlineLevel="0" collapsed="false">
      <c r="A1571" s="11"/>
      <c r="B1571" s="7"/>
      <c r="C1571" s="12" t="str">
        <f aca="false">IF($B1571="","",IFERROR(INDEX(자원목록!$B$3:$B$102,MATCH($B1571,자원목록!$A$3:$A$102,0)),"미등록자원"))</f>
        <v/>
      </c>
      <c r="D1571" s="7"/>
      <c r="E1571" s="12" t="str">
        <f aca="false">IF($D1571="","",IFERROR(INDEX(고객목록!$B$3:$B$502,MATCH($D1571,고객목록!$A$3:$A$502,0)),""))</f>
        <v/>
      </c>
      <c r="F1571" s="13"/>
      <c r="G1571" s="13"/>
      <c r="H1571" s="14" t="str">
        <f aca="false">IF(OR($L1571="",$M1571=""),"",ROUND(($M1571-$L1571)/60,2))</f>
        <v/>
      </c>
      <c r="I1571" s="9"/>
      <c r="J1571" s="7"/>
      <c r="K1571" s="7"/>
      <c r="L1571" s="15" t="str">
        <f aca="false">IF($F1571="","",IF($F1571&lt;1,ROUND($F1571*1440,0),INT($F1571/100)*60+MOD($F1571,100)))</f>
        <v/>
      </c>
      <c r="M1571" s="15" t="str">
        <f aca="false">IF($G1571="","",IF($G1571&lt;1,ROUND($G1571*1440,0),INT($G1571/100)*60+MOD($G1571,100)))</f>
        <v/>
      </c>
      <c r="N1571" s="15" t="str">
        <f aca="false">IF(OR($A1571="",$B1571="",$L1571="",$M1571="",$J1571="취소"),"",IF(SUMPRODUCT(($A$3:$A$2002=$A1571)*($B$3:$B$2002=$B1571)*($J$3:$J$2002&lt;&gt;"취소")*($L$3:$L$2002&lt;&gt;"")*($M$3:$M$2002&lt;&gt;"")*($L$3:$L$2002&lt;$M1571)*($M$3:$M$2002&gt;$L1571))&gt;1,"중복","-"))</f>
        <v/>
      </c>
    </row>
    <row r="1572" customFormat="false" ht="15" hidden="false" customHeight="true" outlineLevel="0" collapsed="false">
      <c r="A1572" s="11"/>
      <c r="B1572" s="7"/>
      <c r="C1572" s="12" t="str">
        <f aca="false">IF($B1572="","",IFERROR(INDEX(자원목록!$B$3:$B$102,MATCH($B1572,자원목록!$A$3:$A$102,0)),"미등록자원"))</f>
        <v/>
      </c>
      <c r="D1572" s="7"/>
      <c r="E1572" s="12" t="str">
        <f aca="false">IF($D1572="","",IFERROR(INDEX(고객목록!$B$3:$B$502,MATCH($D1572,고객목록!$A$3:$A$502,0)),""))</f>
        <v/>
      </c>
      <c r="F1572" s="13"/>
      <c r="G1572" s="13"/>
      <c r="H1572" s="14" t="str">
        <f aca="false">IF(OR($L1572="",$M1572=""),"",ROUND(($M1572-$L1572)/60,2))</f>
        <v/>
      </c>
      <c r="I1572" s="9"/>
      <c r="J1572" s="7"/>
      <c r="K1572" s="7"/>
      <c r="L1572" s="15" t="str">
        <f aca="false">IF($F1572="","",IF($F1572&lt;1,ROUND($F1572*1440,0),INT($F1572/100)*60+MOD($F1572,100)))</f>
        <v/>
      </c>
      <c r="M1572" s="15" t="str">
        <f aca="false">IF($G1572="","",IF($G1572&lt;1,ROUND($G1572*1440,0),INT($G1572/100)*60+MOD($G1572,100)))</f>
        <v/>
      </c>
      <c r="N1572" s="15" t="str">
        <f aca="false">IF(OR($A1572="",$B1572="",$L1572="",$M1572="",$J1572="취소"),"",IF(SUMPRODUCT(($A$3:$A$2002=$A1572)*($B$3:$B$2002=$B1572)*($J$3:$J$2002&lt;&gt;"취소")*($L$3:$L$2002&lt;&gt;"")*($M$3:$M$2002&lt;&gt;"")*($L$3:$L$2002&lt;$M1572)*($M$3:$M$2002&gt;$L1572))&gt;1,"중복","-"))</f>
        <v/>
      </c>
    </row>
    <row r="1573" customFormat="false" ht="15" hidden="false" customHeight="true" outlineLevel="0" collapsed="false">
      <c r="A1573" s="11"/>
      <c r="B1573" s="7"/>
      <c r="C1573" s="12" t="str">
        <f aca="false">IF($B1573="","",IFERROR(INDEX(자원목록!$B$3:$B$102,MATCH($B1573,자원목록!$A$3:$A$102,0)),"미등록자원"))</f>
        <v/>
      </c>
      <c r="D1573" s="7"/>
      <c r="E1573" s="12" t="str">
        <f aca="false">IF($D1573="","",IFERROR(INDEX(고객목록!$B$3:$B$502,MATCH($D1573,고객목록!$A$3:$A$502,0)),""))</f>
        <v/>
      </c>
      <c r="F1573" s="13"/>
      <c r="G1573" s="13"/>
      <c r="H1573" s="14" t="str">
        <f aca="false">IF(OR($L1573="",$M1573=""),"",ROUND(($M1573-$L1573)/60,2))</f>
        <v/>
      </c>
      <c r="I1573" s="9"/>
      <c r="J1573" s="7"/>
      <c r="K1573" s="7"/>
      <c r="L1573" s="15" t="str">
        <f aca="false">IF($F1573="","",IF($F1573&lt;1,ROUND($F1573*1440,0),INT($F1573/100)*60+MOD($F1573,100)))</f>
        <v/>
      </c>
      <c r="M1573" s="15" t="str">
        <f aca="false">IF($G1573="","",IF($G1573&lt;1,ROUND($G1573*1440,0),INT($G1573/100)*60+MOD($G1573,100)))</f>
        <v/>
      </c>
      <c r="N1573" s="15" t="str">
        <f aca="false">IF(OR($A1573="",$B1573="",$L1573="",$M1573="",$J1573="취소"),"",IF(SUMPRODUCT(($A$3:$A$2002=$A1573)*($B$3:$B$2002=$B1573)*($J$3:$J$2002&lt;&gt;"취소")*($L$3:$L$2002&lt;&gt;"")*($M$3:$M$2002&lt;&gt;"")*($L$3:$L$2002&lt;$M1573)*($M$3:$M$2002&gt;$L1573))&gt;1,"중복","-"))</f>
        <v/>
      </c>
    </row>
    <row r="1574" customFormat="false" ht="15" hidden="false" customHeight="true" outlineLevel="0" collapsed="false">
      <c r="A1574" s="11"/>
      <c r="B1574" s="7"/>
      <c r="C1574" s="12" t="str">
        <f aca="false">IF($B1574="","",IFERROR(INDEX(자원목록!$B$3:$B$102,MATCH($B1574,자원목록!$A$3:$A$102,0)),"미등록자원"))</f>
        <v/>
      </c>
      <c r="D1574" s="7"/>
      <c r="E1574" s="12" t="str">
        <f aca="false">IF($D1574="","",IFERROR(INDEX(고객목록!$B$3:$B$502,MATCH($D1574,고객목록!$A$3:$A$502,0)),""))</f>
        <v/>
      </c>
      <c r="F1574" s="13"/>
      <c r="G1574" s="13"/>
      <c r="H1574" s="14" t="str">
        <f aca="false">IF(OR($L1574="",$M1574=""),"",ROUND(($M1574-$L1574)/60,2))</f>
        <v/>
      </c>
      <c r="I1574" s="9"/>
      <c r="J1574" s="7"/>
      <c r="K1574" s="7"/>
      <c r="L1574" s="15" t="str">
        <f aca="false">IF($F1574="","",IF($F1574&lt;1,ROUND($F1574*1440,0),INT($F1574/100)*60+MOD($F1574,100)))</f>
        <v/>
      </c>
      <c r="M1574" s="15" t="str">
        <f aca="false">IF($G1574="","",IF($G1574&lt;1,ROUND($G1574*1440,0),INT($G1574/100)*60+MOD($G1574,100)))</f>
        <v/>
      </c>
      <c r="N1574" s="15" t="str">
        <f aca="false">IF(OR($A1574="",$B1574="",$L1574="",$M1574="",$J1574="취소"),"",IF(SUMPRODUCT(($A$3:$A$2002=$A1574)*($B$3:$B$2002=$B1574)*($J$3:$J$2002&lt;&gt;"취소")*($L$3:$L$2002&lt;&gt;"")*($M$3:$M$2002&lt;&gt;"")*($L$3:$L$2002&lt;$M1574)*($M$3:$M$2002&gt;$L1574))&gt;1,"중복","-"))</f>
        <v/>
      </c>
    </row>
    <row r="1575" customFormat="false" ht="15" hidden="false" customHeight="true" outlineLevel="0" collapsed="false">
      <c r="A1575" s="11"/>
      <c r="B1575" s="7"/>
      <c r="C1575" s="12" t="str">
        <f aca="false">IF($B1575="","",IFERROR(INDEX(자원목록!$B$3:$B$102,MATCH($B1575,자원목록!$A$3:$A$102,0)),"미등록자원"))</f>
        <v/>
      </c>
      <c r="D1575" s="7"/>
      <c r="E1575" s="12" t="str">
        <f aca="false">IF($D1575="","",IFERROR(INDEX(고객목록!$B$3:$B$502,MATCH($D1575,고객목록!$A$3:$A$502,0)),""))</f>
        <v/>
      </c>
      <c r="F1575" s="13"/>
      <c r="G1575" s="13"/>
      <c r="H1575" s="14" t="str">
        <f aca="false">IF(OR($L1575="",$M1575=""),"",ROUND(($M1575-$L1575)/60,2))</f>
        <v/>
      </c>
      <c r="I1575" s="9"/>
      <c r="J1575" s="7"/>
      <c r="K1575" s="7"/>
      <c r="L1575" s="15" t="str">
        <f aca="false">IF($F1575="","",IF($F1575&lt;1,ROUND($F1575*1440,0),INT($F1575/100)*60+MOD($F1575,100)))</f>
        <v/>
      </c>
      <c r="M1575" s="15" t="str">
        <f aca="false">IF($G1575="","",IF($G1575&lt;1,ROUND($G1575*1440,0),INT($G1575/100)*60+MOD($G1575,100)))</f>
        <v/>
      </c>
      <c r="N1575" s="15" t="str">
        <f aca="false">IF(OR($A1575="",$B1575="",$L1575="",$M1575="",$J1575="취소"),"",IF(SUMPRODUCT(($A$3:$A$2002=$A1575)*($B$3:$B$2002=$B1575)*($J$3:$J$2002&lt;&gt;"취소")*($L$3:$L$2002&lt;&gt;"")*($M$3:$M$2002&lt;&gt;"")*($L$3:$L$2002&lt;$M1575)*($M$3:$M$2002&gt;$L1575))&gt;1,"중복","-"))</f>
        <v/>
      </c>
    </row>
    <row r="1576" customFormat="false" ht="15" hidden="false" customHeight="true" outlineLevel="0" collapsed="false">
      <c r="A1576" s="11"/>
      <c r="B1576" s="7"/>
      <c r="C1576" s="12" t="str">
        <f aca="false">IF($B1576="","",IFERROR(INDEX(자원목록!$B$3:$B$102,MATCH($B1576,자원목록!$A$3:$A$102,0)),"미등록자원"))</f>
        <v/>
      </c>
      <c r="D1576" s="7"/>
      <c r="E1576" s="12" t="str">
        <f aca="false">IF($D1576="","",IFERROR(INDEX(고객목록!$B$3:$B$502,MATCH($D1576,고객목록!$A$3:$A$502,0)),""))</f>
        <v/>
      </c>
      <c r="F1576" s="13"/>
      <c r="G1576" s="13"/>
      <c r="H1576" s="14" t="str">
        <f aca="false">IF(OR($L1576="",$M1576=""),"",ROUND(($M1576-$L1576)/60,2))</f>
        <v/>
      </c>
      <c r="I1576" s="9"/>
      <c r="J1576" s="7"/>
      <c r="K1576" s="7"/>
      <c r="L1576" s="15" t="str">
        <f aca="false">IF($F1576="","",IF($F1576&lt;1,ROUND($F1576*1440,0),INT($F1576/100)*60+MOD($F1576,100)))</f>
        <v/>
      </c>
      <c r="M1576" s="15" t="str">
        <f aca="false">IF($G1576="","",IF($G1576&lt;1,ROUND($G1576*1440,0),INT($G1576/100)*60+MOD($G1576,100)))</f>
        <v/>
      </c>
      <c r="N1576" s="15" t="str">
        <f aca="false">IF(OR($A1576="",$B1576="",$L1576="",$M1576="",$J1576="취소"),"",IF(SUMPRODUCT(($A$3:$A$2002=$A1576)*($B$3:$B$2002=$B1576)*($J$3:$J$2002&lt;&gt;"취소")*($L$3:$L$2002&lt;&gt;"")*($M$3:$M$2002&lt;&gt;"")*($L$3:$L$2002&lt;$M1576)*($M$3:$M$2002&gt;$L1576))&gt;1,"중복","-"))</f>
        <v/>
      </c>
    </row>
    <row r="1577" customFormat="false" ht="15" hidden="false" customHeight="true" outlineLevel="0" collapsed="false">
      <c r="A1577" s="11"/>
      <c r="B1577" s="7"/>
      <c r="C1577" s="12" t="str">
        <f aca="false">IF($B1577="","",IFERROR(INDEX(자원목록!$B$3:$B$102,MATCH($B1577,자원목록!$A$3:$A$102,0)),"미등록자원"))</f>
        <v/>
      </c>
      <c r="D1577" s="7"/>
      <c r="E1577" s="12" t="str">
        <f aca="false">IF($D1577="","",IFERROR(INDEX(고객목록!$B$3:$B$502,MATCH($D1577,고객목록!$A$3:$A$502,0)),""))</f>
        <v/>
      </c>
      <c r="F1577" s="13"/>
      <c r="G1577" s="13"/>
      <c r="H1577" s="14" t="str">
        <f aca="false">IF(OR($L1577="",$M1577=""),"",ROUND(($M1577-$L1577)/60,2))</f>
        <v/>
      </c>
      <c r="I1577" s="9"/>
      <c r="J1577" s="7"/>
      <c r="K1577" s="7"/>
      <c r="L1577" s="15" t="str">
        <f aca="false">IF($F1577="","",IF($F1577&lt;1,ROUND($F1577*1440,0),INT($F1577/100)*60+MOD($F1577,100)))</f>
        <v/>
      </c>
      <c r="M1577" s="15" t="str">
        <f aca="false">IF($G1577="","",IF($G1577&lt;1,ROUND($G1577*1440,0),INT($G1577/100)*60+MOD($G1577,100)))</f>
        <v/>
      </c>
      <c r="N1577" s="15" t="str">
        <f aca="false">IF(OR($A1577="",$B1577="",$L1577="",$M1577="",$J1577="취소"),"",IF(SUMPRODUCT(($A$3:$A$2002=$A1577)*($B$3:$B$2002=$B1577)*($J$3:$J$2002&lt;&gt;"취소")*($L$3:$L$2002&lt;&gt;"")*($M$3:$M$2002&lt;&gt;"")*($L$3:$L$2002&lt;$M1577)*($M$3:$M$2002&gt;$L1577))&gt;1,"중복","-"))</f>
        <v/>
      </c>
    </row>
    <row r="1578" customFormat="false" ht="15" hidden="false" customHeight="true" outlineLevel="0" collapsed="false">
      <c r="A1578" s="11"/>
      <c r="B1578" s="7"/>
      <c r="C1578" s="12" t="str">
        <f aca="false">IF($B1578="","",IFERROR(INDEX(자원목록!$B$3:$B$102,MATCH($B1578,자원목록!$A$3:$A$102,0)),"미등록자원"))</f>
        <v/>
      </c>
      <c r="D1578" s="7"/>
      <c r="E1578" s="12" t="str">
        <f aca="false">IF($D1578="","",IFERROR(INDEX(고객목록!$B$3:$B$502,MATCH($D1578,고객목록!$A$3:$A$502,0)),""))</f>
        <v/>
      </c>
      <c r="F1578" s="13"/>
      <c r="G1578" s="13"/>
      <c r="H1578" s="14" t="str">
        <f aca="false">IF(OR($L1578="",$M1578=""),"",ROUND(($M1578-$L1578)/60,2))</f>
        <v/>
      </c>
      <c r="I1578" s="9"/>
      <c r="J1578" s="7"/>
      <c r="K1578" s="7"/>
      <c r="L1578" s="15" t="str">
        <f aca="false">IF($F1578="","",IF($F1578&lt;1,ROUND($F1578*1440,0),INT($F1578/100)*60+MOD($F1578,100)))</f>
        <v/>
      </c>
      <c r="M1578" s="15" t="str">
        <f aca="false">IF($G1578="","",IF($G1578&lt;1,ROUND($G1578*1440,0),INT($G1578/100)*60+MOD($G1578,100)))</f>
        <v/>
      </c>
      <c r="N1578" s="15" t="str">
        <f aca="false">IF(OR($A1578="",$B1578="",$L1578="",$M1578="",$J1578="취소"),"",IF(SUMPRODUCT(($A$3:$A$2002=$A1578)*($B$3:$B$2002=$B1578)*($J$3:$J$2002&lt;&gt;"취소")*($L$3:$L$2002&lt;&gt;"")*($M$3:$M$2002&lt;&gt;"")*($L$3:$L$2002&lt;$M1578)*($M$3:$M$2002&gt;$L1578))&gt;1,"중복","-"))</f>
        <v/>
      </c>
    </row>
    <row r="1579" customFormat="false" ht="15" hidden="false" customHeight="true" outlineLevel="0" collapsed="false">
      <c r="A1579" s="11"/>
      <c r="B1579" s="7"/>
      <c r="C1579" s="12" t="str">
        <f aca="false">IF($B1579="","",IFERROR(INDEX(자원목록!$B$3:$B$102,MATCH($B1579,자원목록!$A$3:$A$102,0)),"미등록자원"))</f>
        <v/>
      </c>
      <c r="D1579" s="7"/>
      <c r="E1579" s="12" t="str">
        <f aca="false">IF($D1579="","",IFERROR(INDEX(고객목록!$B$3:$B$502,MATCH($D1579,고객목록!$A$3:$A$502,0)),""))</f>
        <v/>
      </c>
      <c r="F1579" s="13"/>
      <c r="G1579" s="13"/>
      <c r="H1579" s="14" t="str">
        <f aca="false">IF(OR($L1579="",$M1579=""),"",ROUND(($M1579-$L1579)/60,2))</f>
        <v/>
      </c>
      <c r="I1579" s="9"/>
      <c r="J1579" s="7"/>
      <c r="K1579" s="7"/>
      <c r="L1579" s="15" t="str">
        <f aca="false">IF($F1579="","",IF($F1579&lt;1,ROUND($F1579*1440,0),INT($F1579/100)*60+MOD($F1579,100)))</f>
        <v/>
      </c>
      <c r="M1579" s="15" t="str">
        <f aca="false">IF($G1579="","",IF($G1579&lt;1,ROUND($G1579*1440,0),INT($G1579/100)*60+MOD($G1579,100)))</f>
        <v/>
      </c>
      <c r="N1579" s="15" t="str">
        <f aca="false">IF(OR($A1579="",$B1579="",$L1579="",$M1579="",$J1579="취소"),"",IF(SUMPRODUCT(($A$3:$A$2002=$A1579)*($B$3:$B$2002=$B1579)*($J$3:$J$2002&lt;&gt;"취소")*($L$3:$L$2002&lt;&gt;"")*($M$3:$M$2002&lt;&gt;"")*($L$3:$L$2002&lt;$M1579)*($M$3:$M$2002&gt;$L1579))&gt;1,"중복","-"))</f>
        <v/>
      </c>
    </row>
    <row r="1580" customFormat="false" ht="15" hidden="false" customHeight="true" outlineLevel="0" collapsed="false">
      <c r="A1580" s="11"/>
      <c r="B1580" s="7"/>
      <c r="C1580" s="12" t="str">
        <f aca="false">IF($B1580="","",IFERROR(INDEX(자원목록!$B$3:$B$102,MATCH($B1580,자원목록!$A$3:$A$102,0)),"미등록자원"))</f>
        <v/>
      </c>
      <c r="D1580" s="7"/>
      <c r="E1580" s="12" t="str">
        <f aca="false">IF($D1580="","",IFERROR(INDEX(고객목록!$B$3:$B$502,MATCH($D1580,고객목록!$A$3:$A$502,0)),""))</f>
        <v/>
      </c>
      <c r="F1580" s="13"/>
      <c r="G1580" s="13"/>
      <c r="H1580" s="14" t="str">
        <f aca="false">IF(OR($L1580="",$M1580=""),"",ROUND(($M1580-$L1580)/60,2))</f>
        <v/>
      </c>
      <c r="I1580" s="9"/>
      <c r="J1580" s="7"/>
      <c r="K1580" s="7"/>
      <c r="L1580" s="15" t="str">
        <f aca="false">IF($F1580="","",IF($F1580&lt;1,ROUND($F1580*1440,0),INT($F1580/100)*60+MOD($F1580,100)))</f>
        <v/>
      </c>
      <c r="M1580" s="15" t="str">
        <f aca="false">IF($G1580="","",IF($G1580&lt;1,ROUND($G1580*1440,0),INT($G1580/100)*60+MOD($G1580,100)))</f>
        <v/>
      </c>
      <c r="N1580" s="15" t="str">
        <f aca="false">IF(OR($A1580="",$B1580="",$L1580="",$M1580="",$J1580="취소"),"",IF(SUMPRODUCT(($A$3:$A$2002=$A1580)*($B$3:$B$2002=$B1580)*($J$3:$J$2002&lt;&gt;"취소")*($L$3:$L$2002&lt;&gt;"")*($M$3:$M$2002&lt;&gt;"")*($L$3:$L$2002&lt;$M1580)*($M$3:$M$2002&gt;$L1580))&gt;1,"중복","-"))</f>
        <v/>
      </c>
    </row>
    <row r="1581" customFormat="false" ht="15" hidden="false" customHeight="true" outlineLevel="0" collapsed="false">
      <c r="A1581" s="11"/>
      <c r="B1581" s="7"/>
      <c r="C1581" s="12" t="str">
        <f aca="false">IF($B1581="","",IFERROR(INDEX(자원목록!$B$3:$B$102,MATCH($B1581,자원목록!$A$3:$A$102,0)),"미등록자원"))</f>
        <v/>
      </c>
      <c r="D1581" s="7"/>
      <c r="E1581" s="12" t="str">
        <f aca="false">IF($D1581="","",IFERROR(INDEX(고객목록!$B$3:$B$502,MATCH($D1581,고객목록!$A$3:$A$502,0)),""))</f>
        <v/>
      </c>
      <c r="F1581" s="13"/>
      <c r="G1581" s="13"/>
      <c r="H1581" s="14" t="str">
        <f aca="false">IF(OR($L1581="",$M1581=""),"",ROUND(($M1581-$L1581)/60,2))</f>
        <v/>
      </c>
      <c r="I1581" s="9"/>
      <c r="J1581" s="7"/>
      <c r="K1581" s="7"/>
      <c r="L1581" s="15" t="str">
        <f aca="false">IF($F1581="","",IF($F1581&lt;1,ROUND($F1581*1440,0),INT($F1581/100)*60+MOD($F1581,100)))</f>
        <v/>
      </c>
      <c r="M1581" s="15" t="str">
        <f aca="false">IF($G1581="","",IF($G1581&lt;1,ROUND($G1581*1440,0),INT($G1581/100)*60+MOD($G1581,100)))</f>
        <v/>
      </c>
      <c r="N1581" s="15" t="str">
        <f aca="false">IF(OR($A1581="",$B1581="",$L1581="",$M1581="",$J1581="취소"),"",IF(SUMPRODUCT(($A$3:$A$2002=$A1581)*($B$3:$B$2002=$B1581)*($J$3:$J$2002&lt;&gt;"취소")*($L$3:$L$2002&lt;&gt;"")*($M$3:$M$2002&lt;&gt;"")*($L$3:$L$2002&lt;$M1581)*($M$3:$M$2002&gt;$L1581))&gt;1,"중복","-"))</f>
        <v/>
      </c>
    </row>
    <row r="1582" customFormat="false" ht="15" hidden="false" customHeight="true" outlineLevel="0" collapsed="false">
      <c r="A1582" s="11"/>
      <c r="B1582" s="7"/>
      <c r="C1582" s="12" t="str">
        <f aca="false">IF($B1582="","",IFERROR(INDEX(자원목록!$B$3:$B$102,MATCH($B1582,자원목록!$A$3:$A$102,0)),"미등록자원"))</f>
        <v/>
      </c>
      <c r="D1582" s="7"/>
      <c r="E1582" s="12" t="str">
        <f aca="false">IF($D1582="","",IFERROR(INDEX(고객목록!$B$3:$B$502,MATCH($D1582,고객목록!$A$3:$A$502,0)),""))</f>
        <v/>
      </c>
      <c r="F1582" s="13"/>
      <c r="G1582" s="13"/>
      <c r="H1582" s="14" t="str">
        <f aca="false">IF(OR($L1582="",$M1582=""),"",ROUND(($M1582-$L1582)/60,2))</f>
        <v/>
      </c>
      <c r="I1582" s="9"/>
      <c r="J1582" s="7"/>
      <c r="K1582" s="7"/>
      <c r="L1582" s="15" t="str">
        <f aca="false">IF($F1582="","",IF($F1582&lt;1,ROUND($F1582*1440,0),INT($F1582/100)*60+MOD($F1582,100)))</f>
        <v/>
      </c>
      <c r="M1582" s="15" t="str">
        <f aca="false">IF($G1582="","",IF($G1582&lt;1,ROUND($G1582*1440,0),INT($G1582/100)*60+MOD($G1582,100)))</f>
        <v/>
      </c>
      <c r="N1582" s="15" t="str">
        <f aca="false">IF(OR($A1582="",$B1582="",$L1582="",$M1582="",$J1582="취소"),"",IF(SUMPRODUCT(($A$3:$A$2002=$A1582)*($B$3:$B$2002=$B1582)*($J$3:$J$2002&lt;&gt;"취소")*($L$3:$L$2002&lt;&gt;"")*($M$3:$M$2002&lt;&gt;"")*($L$3:$L$2002&lt;$M1582)*($M$3:$M$2002&gt;$L1582))&gt;1,"중복","-"))</f>
        <v/>
      </c>
    </row>
    <row r="1583" customFormat="false" ht="15" hidden="false" customHeight="true" outlineLevel="0" collapsed="false">
      <c r="A1583" s="11"/>
      <c r="B1583" s="7"/>
      <c r="C1583" s="12" t="str">
        <f aca="false">IF($B1583="","",IFERROR(INDEX(자원목록!$B$3:$B$102,MATCH($B1583,자원목록!$A$3:$A$102,0)),"미등록자원"))</f>
        <v/>
      </c>
      <c r="D1583" s="7"/>
      <c r="E1583" s="12" t="str">
        <f aca="false">IF($D1583="","",IFERROR(INDEX(고객목록!$B$3:$B$502,MATCH($D1583,고객목록!$A$3:$A$502,0)),""))</f>
        <v/>
      </c>
      <c r="F1583" s="13"/>
      <c r="G1583" s="13"/>
      <c r="H1583" s="14" t="str">
        <f aca="false">IF(OR($L1583="",$M1583=""),"",ROUND(($M1583-$L1583)/60,2))</f>
        <v/>
      </c>
      <c r="I1583" s="9"/>
      <c r="J1583" s="7"/>
      <c r="K1583" s="7"/>
      <c r="L1583" s="15" t="str">
        <f aca="false">IF($F1583="","",IF($F1583&lt;1,ROUND($F1583*1440,0),INT($F1583/100)*60+MOD($F1583,100)))</f>
        <v/>
      </c>
      <c r="M1583" s="15" t="str">
        <f aca="false">IF($G1583="","",IF($G1583&lt;1,ROUND($G1583*1440,0),INT($G1583/100)*60+MOD($G1583,100)))</f>
        <v/>
      </c>
      <c r="N1583" s="15" t="str">
        <f aca="false">IF(OR($A1583="",$B1583="",$L1583="",$M1583="",$J1583="취소"),"",IF(SUMPRODUCT(($A$3:$A$2002=$A1583)*($B$3:$B$2002=$B1583)*($J$3:$J$2002&lt;&gt;"취소")*($L$3:$L$2002&lt;&gt;"")*($M$3:$M$2002&lt;&gt;"")*($L$3:$L$2002&lt;$M1583)*($M$3:$M$2002&gt;$L1583))&gt;1,"중복","-"))</f>
        <v/>
      </c>
    </row>
    <row r="1584" customFormat="false" ht="15" hidden="false" customHeight="true" outlineLevel="0" collapsed="false">
      <c r="A1584" s="11"/>
      <c r="B1584" s="7"/>
      <c r="C1584" s="12" t="str">
        <f aca="false">IF($B1584="","",IFERROR(INDEX(자원목록!$B$3:$B$102,MATCH($B1584,자원목록!$A$3:$A$102,0)),"미등록자원"))</f>
        <v/>
      </c>
      <c r="D1584" s="7"/>
      <c r="E1584" s="12" t="str">
        <f aca="false">IF($D1584="","",IFERROR(INDEX(고객목록!$B$3:$B$502,MATCH($D1584,고객목록!$A$3:$A$502,0)),""))</f>
        <v/>
      </c>
      <c r="F1584" s="13"/>
      <c r="G1584" s="13"/>
      <c r="H1584" s="14" t="str">
        <f aca="false">IF(OR($L1584="",$M1584=""),"",ROUND(($M1584-$L1584)/60,2))</f>
        <v/>
      </c>
      <c r="I1584" s="9"/>
      <c r="J1584" s="7"/>
      <c r="K1584" s="7"/>
      <c r="L1584" s="15" t="str">
        <f aca="false">IF($F1584="","",IF($F1584&lt;1,ROUND($F1584*1440,0),INT($F1584/100)*60+MOD($F1584,100)))</f>
        <v/>
      </c>
      <c r="M1584" s="15" t="str">
        <f aca="false">IF($G1584="","",IF($G1584&lt;1,ROUND($G1584*1440,0),INT($G1584/100)*60+MOD($G1584,100)))</f>
        <v/>
      </c>
      <c r="N1584" s="15" t="str">
        <f aca="false">IF(OR($A1584="",$B1584="",$L1584="",$M1584="",$J1584="취소"),"",IF(SUMPRODUCT(($A$3:$A$2002=$A1584)*($B$3:$B$2002=$B1584)*($J$3:$J$2002&lt;&gt;"취소")*($L$3:$L$2002&lt;&gt;"")*($M$3:$M$2002&lt;&gt;"")*($L$3:$L$2002&lt;$M1584)*($M$3:$M$2002&gt;$L1584))&gt;1,"중복","-"))</f>
        <v/>
      </c>
    </row>
    <row r="1585" customFormat="false" ht="15" hidden="false" customHeight="true" outlineLevel="0" collapsed="false">
      <c r="A1585" s="11"/>
      <c r="B1585" s="7"/>
      <c r="C1585" s="12" t="str">
        <f aca="false">IF($B1585="","",IFERROR(INDEX(자원목록!$B$3:$B$102,MATCH($B1585,자원목록!$A$3:$A$102,0)),"미등록자원"))</f>
        <v/>
      </c>
      <c r="D1585" s="7"/>
      <c r="E1585" s="12" t="str">
        <f aca="false">IF($D1585="","",IFERROR(INDEX(고객목록!$B$3:$B$502,MATCH($D1585,고객목록!$A$3:$A$502,0)),""))</f>
        <v/>
      </c>
      <c r="F1585" s="13"/>
      <c r="G1585" s="13"/>
      <c r="H1585" s="14" t="str">
        <f aca="false">IF(OR($L1585="",$M1585=""),"",ROUND(($M1585-$L1585)/60,2))</f>
        <v/>
      </c>
      <c r="I1585" s="9"/>
      <c r="J1585" s="7"/>
      <c r="K1585" s="7"/>
      <c r="L1585" s="15" t="str">
        <f aca="false">IF($F1585="","",IF($F1585&lt;1,ROUND($F1585*1440,0),INT($F1585/100)*60+MOD($F1585,100)))</f>
        <v/>
      </c>
      <c r="M1585" s="15" t="str">
        <f aca="false">IF($G1585="","",IF($G1585&lt;1,ROUND($G1585*1440,0),INT($G1585/100)*60+MOD($G1585,100)))</f>
        <v/>
      </c>
      <c r="N1585" s="15" t="str">
        <f aca="false">IF(OR($A1585="",$B1585="",$L1585="",$M1585="",$J1585="취소"),"",IF(SUMPRODUCT(($A$3:$A$2002=$A1585)*($B$3:$B$2002=$B1585)*($J$3:$J$2002&lt;&gt;"취소")*($L$3:$L$2002&lt;&gt;"")*($M$3:$M$2002&lt;&gt;"")*($L$3:$L$2002&lt;$M1585)*($M$3:$M$2002&gt;$L1585))&gt;1,"중복","-"))</f>
        <v/>
      </c>
    </row>
    <row r="1586" customFormat="false" ht="15" hidden="false" customHeight="true" outlineLevel="0" collapsed="false">
      <c r="A1586" s="11"/>
      <c r="B1586" s="7"/>
      <c r="C1586" s="12" t="str">
        <f aca="false">IF($B1586="","",IFERROR(INDEX(자원목록!$B$3:$B$102,MATCH($B1586,자원목록!$A$3:$A$102,0)),"미등록자원"))</f>
        <v/>
      </c>
      <c r="D1586" s="7"/>
      <c r="E1586" s="12" t="str">
        <f aca="false">IF($D1586="","",IFERROR(INDEX(고객목록!$B$3:$B$502,MATCH($D1586,고객목록!$A$3:$A$502,0)),""))</f>
        <v/>
      </c>
      <c r="F1586" s="13"/>
      <c r="G1586" s="13"/>
      <c r="H1586" s="14" t="str">
        <f aca="false">IF(OR($L1586="",$M1586=""),"",ROUND(($M1586-$L1586)/60,2))</f>
        <v/>
      </c>
      <c r="I1586" s="9"/>
      <c r="J1586" s="7"/>
      <c r="K1586" s="7"/>
      <c r="L1586" s="15" t="str">
        <f aca="false">IF($F1586="","",IF($F1586&lt;1,ROUND($F1586*1440,0),INT($F1586/100)*60+MOD($F1586,100)))</f>
        <v/>
      </c>
      <c r="M1586" s="15" t="str">
        <f aca="false">IF($G1586="","",IF($G1586&lt;1,ROUND($G1586*1440,0),INT($G1586/100)*60+MOD($G1586,100)))</f>
        <v/>
      </c>
      <c r="N1586" s="15" t="str">
        <f aca="false">IF(OR($A1586="",$B1586="",$L1586="",$M1586="",$J1586="취소"),"",IF(SUMPRODUCT(($A$3:$A$2002=$A1586)*($B$3:$B$2002=$B1586)*($J$3:$J$2002&lt;&gt;"취소")*($L$3:$L$2002&lt;&gt;"")*($M$3:$M$2002&lt;&gt;"")*($L$3:$L$2002&lt;$M1586)*($M$3:$M$2002&gt;$L1586))&gt;1,"중복","-"))</f>
        <v/>
      </c>
    </row>
    <row r="1587" customFormat="false" ht="15" hidden="false" customHeight="true" outlineLevel="0" collapsed="false">
      <c r="A1587" s="11"/>
      <c r="B1587" s="7"/>
      <c r="C1587" s="12" t="str">
        <f aca="false">IF($B1587="","",IFERROR(INDEX(자원목록!$B$3:$B$102,MATCH($B1587,자원목록!$A$3:$A$102,0)),"미등록자원"))</f>
        <v/>
      </c>
      <c r="D1587" s="7"/>
      <c r="E1587" s="12" t="str">
        <f aca="false">IF($D1587="","",IFERROR(INDEX(고객목록!$B$3:$B$502,MATCH($D1587,고객목록!$A$3:$A$502,0)),""))</f>
        <v/>
      </c>
      <c r="F1587" s="13"/>
      <c r="G1587" s="13"/>
      <c r="H1587" s="14" t="str">
        <f aca="false">IF(OR($L1587="",$M1587=""),"",ROUND(($M1587-$L1587)/60,2))</f>
        <v/>
      </c>
      <c r="I1587" s="9"/>
      <c r="J1587" s="7"/>
      <c r="K1587" s="7"/>
      <c r="L1587" s="15" t="str">
        <f aca="false">IF($F1587="","",IF($F1587&lt;1,ROUND($F1587*1440,0),INT($F1587/100)*60+MOD($F1587,100)))</f>
        <v/>
      </c>
      <c r="M1587" s="15" t="str">
        <f aca="false">IF($G1587="","",IF($G1587&lt;1,ROUND($G1587*1440,0),INT($G1587/100)*60+MOD($G1587,100)))</f>
        <v/>
      </c>
      <c r="N1587" s="15" t="str">
        <f aca="false">IF(OR($A1587="",$B1587="",$L1587="",$M1587="",$J1587="취소"),"",IF(SUMPRODUCT(($A$3:$A$2002=$A1587)*($B$3:$B$2002=$B1587)*($J$3:$J$2002&lt;&gt;"취소")*($L$3:$L$2002&lt;&gt;"")*($M$3:$M$2002&lt;&gt;"")*($L$3:$L$2002&lt;$M1587)*($M$3:$M$2002&gt;$L1587))&gt;1,"중복","-"))</f>
        <v/>
      </c>
    </row>
    <row r="1588" customFormat="false" ht="15" hidden="false" customHeight="true" outlineLevel="0" collapsed="false">
      <c r="A1588" s="11"/>
      <c r="B1588" s="7"/>
      <c r="C1588" s="12" t="str">
        <f aca="false">IF($B1588="","",IFERROR(INDEX(자원목록!$B$3:$B$102,MATCH($B1588,자원목록!$A$3:$A$102,0)),"미등록자원"))</f>
        <v/>
      </c>
      <c r="D1588" s="7"/>
      <c r="E1588" s="12" t="str">
        <f aca="false">IF($D1588="","",IFERROR(INDEX(고객목록!$B$3:$B$502,MATCH($D1588,고객목록!$A$3:$A$502,0)),""))</f>
        <v/>
      </c>
      <c r="F1588" s="13"/>
      <c r="G1588" s="13"/>
      <c r="H1588" s="14" t="str">
        <f aca="false">IF(OR($L1588="",$M1588=""),"",ROUND(($M1588-$L1588)/60,2))</f>
        <v/>
      </c>
      <c r="I1588" s="9"/>
      <c r="J1588" s="7"/>
      <c r="K1588" s="7"/>
      <c r="L1588" s="15" t="str">
        <f aca="false">IF($F1588="","",IF($F1588&lt;1,ROUND($F1588*1440,0),INT($F1588/100)*60+MOD($F1588,100)))</f>
        <v/>
      </c>
      <c r="M1588" s="15" t="str">
        <f aca="false">IF($G1588="","",IF($G1588&lt;1,ROUND($G1588*1440,0),INT($G1588/100)*60+MOD($G1588,100)))</f>
        <v/>
      </c>
      <c r="N1588" s="15" t="str">
        <f aca="false">IF(OR($A1588="",$B1588="",$L1588="",$M1588="",$J1588="취소"),"",IF(SUMPRODUCT(($A$3:$A$2002=$A1588)*($B$3:$B$2002=$B1588)*($J$3:$J$2002&lt;&gt;"취소")*($L$3:$L$2002&lt;&gt;"")*($M$3:$M$2002&lt;&gt;"")*($L$3:$L$2002&lt;$M1588)*($M$3:$M$2002&gt;$L1588))&gt;1,"중복","-"))</f>
        <v/>
      </c>
    </row>
    <row r="1589" customFormat="false" ht="15" hidden="false" customHeight="true" outlineLevel="0" collapsed="false">
      <c r="A1589" s="11"/>
      <c r="B1589" s="7"/>
      <c r="C1589" s="12" t="str">
        <f aca="false">IF($B1589="","",IFERROR(INDEX(자원목록!$B$3:$B$102,MATCH($B1589,자원목록!$A$3:$A$102,0)),"미등록자원"))</f>
        <v/>
      </c>
      <c r="D1589" s="7"/>
      <c r="E1589" s="12" t="str">
        <f aca="false">IF($D1589="","",IFERROR(INDEX(고객목록!$B$3:$B$502,MATCH($D1589,고객목록!$A$3:$A$502,0)),""))</f>
        <v/>
      </c>
      <c r="F1589" s="13"/>
      <c r="G1589" s="13"/>
      <c r="H1589" s="14" t="str">
        <f aca="false">IF(OR($L1589="",$M1589=""),"",ROUND(($M1589-$L1589)/60,2))</f>
        <v/>
      </c>
      <c r="I1589" s="9"/>
      <c r="J1589" s="7"/>
      <c r="K1589" s="7"/>
      <c r="L1589" s="15" t="str">
        <f aca="false">IF($F1589="","",IF($F1589&lt;1,ROUND($F1589*1440,0),INT($F1589/100)*60+MOD($F1589,100)))</f>
        <v/>
      </c>
      <c r="M1589" s="15" t="str">
        <f aca="false">IF($G1589="","",IF($G1589&lt;1,ROUND($G1589*1440,0),INT($G1589/100)*60+MOD($G1589,100)))</f>
        <v/>
      </c>
      <c r="N1589" s="15" t="str">
        <f aca="false">IF(OR($A1589="",$B1589="",$L1589="",$M1589="",$J1589="취소"),"",IF(SUMPRODUCT(($A$3:$A$2002=$A1589)*($B$3:$B$2002=$B1589)*($J$3:$J$2002&lt;&gt;"취소")*($L$3:$L$2002&lt;&gt;"")*($M$3:$M$2002&lt;&gt;"")*($L$3:$L$2002&lt;$M1589)*($M$3:$M$2002&gt;$L1589))&gt;1,"중복","-"))</f>
        <v/>
      </c>
    </row>
    <row r="1590" customFormat="false" ht="15" hidden="false" customHeight="true" outlineLevel="0" collapsed="false">
      <c r="A1590" s="11"/>
      <c r="B1590" s="7"/>
      <c r="C1590" s="12" t="str">
        <f aca="false">IF($B1590="","",IFERROR(INDEX(자원목록!$B$3:$B$102,MATCH($B1590,자원목록!$A$3:$A$102,0)),"미등록자원"))</f>
        <v/>
      </c>
      <c r="D1590" s="7"/>
      <c r="E1590" s="12" t="str">
        <f aca="false">IF($D1590="","",IFERROR(INDEX(고객목록!$B$3:$B$502,MATCH($D1590,고객목록!$A$3:$A$502,0)),""))</f>
        <v/>
      </c>
      <c r="F1590" s="13"/>
      <c r="G1590" s="13"/>
      <c r="H1590" s="14" t="str">
        <f aca="false">IF(OR($L1590="",$M1590=""),"",ROUND(($M1590-$L1590)/60,2))</f>
        <v/>
      </c>
      <c r="I1590" s="9"/>
      <c r="J1590" s="7"/>
      <c r="K1590" s="7"/>
      <c r="L1590" s="15" t="str">
        <f aca="false">IF($F1590="","",IF($F1590&lt;1,ROUND($F1590*1440,0),INT($F1590/100)*60+MOD($F1590,100)))</f>
        <v/>
      </c>
      <c r="M1590" s="15" t="str">
        <f aca="false">IF($G1590="","",IF($G1590&lt;1,ROUND($G1590*1440,0),INT($G1590/100)*60+MOD($G1590,100)))</f>
        <v/>
      </c>
      <c r="N1590" s="15" t="str">
        <f aca="false">IF(OR($A1590="",$B1590="",$L1590="",$M1590="",$J1590="취소"),"",IF(SUMPRODUCT(($A$3:$A$2002=$A1590)*($B$3:$B$2002=$B1590)*($J$3:$J$2002&lt;&gt;"취소")*($L$3:$L$2002&lt;&gt;"")*($M$3:$M$2002&lt;&gt;"")*($L$3:$L$2002&lt;$M1590)*($M$3:$M$2002&gt;$L1590))&gt;1,"중복","-"))</f>
        <v/>
      </c>
    </row>
    <row r="1591" customFormat="false" ht="15" hidden="false" customHeight="true" outlineLevel="0" collapsed="false">
      <c r="A1591" s="11"/>
      <c r="B1591" s="7"/>
      <c r="C1591" s="12" t="str">
        <f aca="false">IF($B1591="","",IFERROR(INDEX(자원목록!$B$3:$B$102,MATCH($B1591,자원목록!$A$3:$A$102,0)),"미등록자원"))</f>
        <v/>
      </c>
      <c r="D1591" s="7"/>
      <c r="E1591" s="12" t="str">
        <f aca="false">IF($D1591="","",IFERROR(INDEX(고객목록!$B$3:$B$502,MATCH($D1591,고객목록!$A$3:$A$502,0)),""))</f>
        <v/>
      </c>
      <c r="F1591" s="13"/>
      <c r="G1591" s="13"/>
      <c r="H1591" s="14" t="str">
        <f aca="false">IF(OR($L1591="",$M1591=""),"",ROUND(($M1591-$L1591)/60,2))</f>
        <v/>
      </c>
      <c r="I1591" s="9"/>
      <c r="J1591" s="7"/>
      <c r="K1591" s="7"/>
      <c r="L1591" s="15" t="str">
        <f aca="false">IF($F1591="","",IF($F1591&lt;1,ROUND($F1591*1440,0),INT($F1591/100)*60+MOD($F1591,100)))</f>
        <v/>
      </c>
      <c r="M1591" s="15" t="str">
        <f aca="false">IF($G1591="","",IF($G1591&lt;1,ROUND($G1591*1440,0),INT($G1591/100)*60+MOD($G1591,100)))</f>
        <v/>
      </c>
      <c r="N1591" s="15" t="str">
        <f aca="false">IF(OR($A1591="",$B1591="",$L1591="",$M1591="",$J1591="취소"),"",IF(SUMPRODUCT(($A$3:$A$2002=$A1591)*($B$3:$B$2002=$B1591)*($J$3:$J$2002&lt;&gt;"취소")*($L$3:$L$2002&lt;&gt;"")*($M$3:$M$2002&lt;&gt;"")*($L$3:$L$2002&lt;$M1591)*($M$3:$M$2002&gt;$L1591))&gt;1,"중복","-"))</f>
        <v/>
      </c>
    </row>
    <row r="1592" customFormat="false" ht="15" hidden="false" customHeight="true" outlineLevel="0" collapsed="false">
      <c r="A1592" s="11"/>
      <c r="B1592" s="7"/>
      <c r="C1592" s="12" t="str">
        <f aca="false">IF($B1592="","",IFERROR(INDEX(자원목록!$B$3:$B$102,MATCH($B1592,자원목록!$A$3:$A$102,0)),"미등록자원"))</f>
        <v/>
      </c>
      <c r="D1592" s="7"/>
      <c r="E1592" s="12" t="str">
        <f aca="false">IF($D1592="","",IFERROR(INDEX(고객목록!$B$3:$B$502,MATCH($D1592,고객목록!$A$3:$A$502,0)),""))</f>
        <v/>
      </c>
      <c r="F1592" s="13"/>
      <c r="G1592" s="13"/>
      <c r="H1592" s="14" t="str">
        <f aca="false">IF(OR($L1592="",$M1592=""),"",ROUND(($M1592-$L1592)/60,2))</f>
        <v/>
      </c>
      <c r="I1592" s="9"/>
      <c r="J1592" s="7"/>
      <c r="K1592" s="7"/>
      <c r="L1592" s="15" t="str">
        <f aca="false">IF($F1592="","",IF($F1592&lt;1,ROUND($F1592*1440,0),INT($F1592/100)*60+MOD($F1592,100)))</f>
        <v/>
      </c>
      <c r="M1592" s="15" t="str">
        <f aca="false">IF($G1592="","",IF($G1592&lt;1,ROUND($G1592*1440,0),INT($G1592/100)*60+MOD($G1592,100)))</f>
        <v/>
      </c>
      <c r="N1592" s="15" t="str">
        <f aca="false">IF(OR($A1592="",$B1592="",$L1592="",$M1592="",$J1592="취소"),"",IF(SUMPRODUCT(($A$3:$A$2002=$A1592)*($B$3:$B$2002=$B1592)*($J$3:$J$2002&lt;&gt;"취소")*($L$3:$L$2002&lt;&gt;"")*($M$3:$M$2002&lt;&gt;"")*($L$3:$L$2002&lt;$M1592)*($M$3:$M$2002&gt;$L1592))&gt;1,"중복","-"))</f>
        <v/>
      </c>
    </row>
    <row r="1593" customFormat="false" ht="15" hidden="false" customHeight="true" outlineLevel="0" collapsed="false">
      <c r="A1593" s="11"/>
      <c r="B1593" s="7"/>
      <c r="C1593" s="12" t="str">
        <f aca="false">IF($B1593="","",IFERROR(INDEX(자원목록!$B$3:$B$102,MATCH($B1593,자원목록!$A$3:$A$102,0)),"미등록자원"))</f>
        <v/>
      </c>
      <c r="D1593" s="7"/>
      <c r="E1593" s="12" t="str">
        <f aca="false">IF($D1593="","",IFERROR(INDEX(고객목록!$B$3:$B$502,MATCH($D1593,고객목록!$A$3:$A$502,0)),""))</f>
        <v/>
      </c>
      <c r="F1593" s="13"/>
      <c r="G1593" s="13"/>
      <c r="H1593" s="14" t="str">
        <f aca="false">IF(OR($L1593="",$M1593=""),"",ROUND(($M1593-$L1593)/60,2))</f>
        <v/>
      </c>
      <c r="I1593" s="9"/>
      <c r="J1593" s="7"/>
      <c r="K1593" s="7"/>
      <c r="L1593" s="15" t="str">
        <f aca="false">IF($F1593="","",IF($F1593&lt;1,ROUND($F1593*1440,0),INT($F1593/100)*60+MOD($F1593,100)))</f>
        <v/>
      </c>
      <c r="M1593" s="15" t="str">
        <f aca="false">IF($G1593="","",IF($G1593&lt;1,ROUND($G1593*1440,0),INT($G1593/100)*60+MOD($G1593,100)))</f>
        <v/>
      </c>
      <c r="N1593" s="15" t="str">
        <f aca="false">IF(OR($A1593="",$B1593="",$L1593="",$M1593="",$J1593="취소"),"",IF(SUMPRODUCT(($A$3:$A$2002=$A1593)*($B$3:$B$2002=$B1593)*($J$3:$J$2002&lt;&gt;"취소")*($L$3:$L$2002&lt;&gt;"")*($M$3:$M$2002&lt;&gt;"")*($L$3:$L$2002&lt;$M1593)*($M$3:$M$2002&gt;$L1593))&gt;1,"중복","-"))</f>
        <v/>
      </c>
    </row>
    <row r="1594" customFormat="false" ht="15" hidden="false" customHeight="true" outlineLevel="0" collapsed="false">
      <c r="A1594" s="11"/>
      <c r="B1594" s="7"/>
      <c r="C1594" s="12" t="str">
        <f aca="false">IF($B1594="","",IFERROR(INDEX(자원목록!$B$3:$B$102,MATCH($B1594,자원목록!$A$3:$A$102,0)),"미등록자원"))</f>
        <v/>
      </c>
      <c r="D1594" s="7"/>
      <c r="E1594" s="12" t="str">
        <f aca="false">IF($D1594="","",IFERROR(INDEX(고객목록!$B$3:$B$502,MATCH($D1594,고객목록!$A$3:$A$502,0)),""))</f>
        <v/>
      </c>
      <c r="F1594" s="13"/>
      <c r="G1594" s="13"/>
      <c r="H1594" s="14" t="str">
        <f aca="false">IF(OR($L1594="",$M1594=""),"",ROUND(($M1594-$L1594)/60,2))</f>
        <v/>
      </c>
      <c r="I1594" s="9"/>
      <c r="J1594" s="7"/>
      <c r="K1594" s="7"/>
      <c r="L1594" s="15" t="str">
        <f aca="false">IF($F1594="","",IF($F1594&lt;1,ROUND($F1594*1440,0),INT($F1594/100)*60+MOD($F1594,100)))</f>
        <v/>
      </c>
      <c r="M1594" s="15" t="str">
        <f aca="false">IF($G1594="","",IF($G1594&lt;1,ROUND($G1594*1440,0),INT($G1594/100)*60+MOD($G1594,100)))</f>
        <v/>
      </c>
      <c r="N1594" s="15" t="str">
        <f aca="false">IF(OR($A1594="",$B1594="",$L1594="",$M1594="",$J1594="취소"),"",IF(SUMPRODUCT(($A$3:$A$2002=$A1594)*($B$3:$B$2002=$B1594)*($J$3:$J$2002&lt;&gt;"취소")*($L$3:$L$2002&lt;&gt;"")*($M$3:$M$2002&lt;&gt;"")*($L$3:$L$2002&lt;$M1594)*($M$3:$M$2002&gt;$L1594))&gt;1,"중복","-"))</f>
        <v/>
      </c>
    </row>
    <row r="1595" customFormat="false" ht="15" hidden="false" customHeight="true" outlineLevel="0" collapsed="false">
      <c r="A1595" s="11"/>
      <c r="B1595" s="7"/>
      <c r="C1595" s="12" t="str">
        <f aca="false">IF($B1595="","",IFERROR(INDEX(자원목록!$B$3:$B$102,MATCH($B1595,자원목록!$A$3:$A$102,0)),"미등록자원"))</f>
        <v/>
      </c>
      <c r="D1595" s="7"/>
      <c r="E1595" s="12" t="str">
        <f aca="false">IF($D1595="","",IFERROR(INDEX(고객목록!$B$3:$B$502,MATCH($D1595,고객목록!$A$3:$A$502,0)),""))</f>
        <v/>
      </c>
      <c r="F1595" s="13"/>
      <c r="G1595" s="13"/>
      <c r="H1595" s="14" t="str">
        <f aca="false">IF(OR($L1595="",$M1595=""),"",ROUND(($M1595-$L1595)/60,2))</f>
        <v/>
      </c>
      <c r="I1595" s="9"/>
      <c r="J1595" s="7"/>
      <c r="K1595" s="7"/>
      <c r="L1595" s="15" t="str">
        <f aca="false">IF($F1595="","",IF($F1595&lt;1,ROUND($F1595*1440,0),INT($F1595/100)*60+MOD($F1595,100)))</f>
        <v/>
      </c>
      <c r="M1595" s="15" t="str">
        <f aca="false">IF($G1595="","",IF($G1595&lt;1,ROUND($G1595*1440,0),INT($G1595/100)*60+MOD($G1595,100)))</f>
        <v/>
      </c>
      <c r="N1595" s="15" t="str">
        <f aca="false">IF(OR($A1595="",$B1595="",$L1595="",$M1595="",$J1595="취소"),"",IF(SUMPRODUCT(($A$3:$A$2002=$A1595)*($B$3:$B$2002=$B1595)*($J$3:$J$2002&lt;&gt;"취소")*($L$3:$L$2002&lt;&gt;"")*($M$3:$M$2002&lt;&gt;"")*($L$3:$L$2002&lt;$M1595)*($M$3:$M$2002&gt;$L1595))&gt;1,"중복","-"))</f>
        <v/>
      </c>
    </row>
    <row r="1596" customFormat="false" ht="15" hidden="false" customHeight="true" outlineLevel="0" collapsed="false">
      <c r="A1596" s="11"/>
      <c r="B1596" s="7"/>
      <c r="C1596" s="12" t="str">
        <f aca="false">IF($B1596="","",IFERROR(INDEX(자원목록!$B$3:$B$102,MATCH($B1596,자원목록!$A$3:$A$102,0)),"미등록자원"))</f>
        <v/>
      </c>
      <c r="D1596" s="7"/>
      <c r="E1596" s="12" t="str">
        <f aca="false">IF($D1596="","",IFERROR(INDEX(고객목록!$B$3:$B$502,MATCH($D1596,고객목록!$A$3:$A$502,0)),""))</f>
        <v/>
      </c>
      <c r="F1596" s="13"/>
      <c r="G1596" s="13"/>
      <c r="H1596" s="14" t="str">
        <f aca="false">IF(OR($L1596="",$M1596=""),"",ROUND(($M1596-$L1596)/60,2))</f>
        <v/>
      </c>
      <c r="I1596" s="9"/>
      <c r="J1596" s="7"/>
      <c r="K1596" s="7"/>
      <c r="L1596" s="15" t="str">
        <f aca="false">IF($F1596="","",IF($F1596&lt;1,ROUND($F1596*1440,0),INT($F1596/100)*60+MOD($F1596,100)))</f>
        <v/>
      </c>
      <c r="M1596" s="15" t="str">
        <f aca="false">IF($G1596="","",IF($G1596&lt;1,ROUND($G1596*1440,0),INT($G1596/100)*60+MOD($G1596,100)))</f>
        <v/>
      </c>
      <c r="N1596" s="15" t="str">
        <f aca="false">IF(OR($A1596="",$B1596="",$L1596="",$M1596="",$J1596="취소"),"",IF(SUMPRODUCT(($A$3:$A$2002=$A1596)*($B$3:$B$2002=$B1596)*($J$3:$J$2002&lt;&gt;"취소")*($L$3:$L$2002&lt;&gt;"")*($M$3:$M$2002&lt;&gt;"")*($L$3:$L$2002&lt;$M1596)*($M$3:$M$2002&gt;$L1596))&gt;1,"중복","-"))</f>
        <v/>
      </c>
    </row>
    <row r="1597" customFormat="false" ht="15" hidden="false" customHeight="true" outlineLevel="0" collapsed="false">
      <c r="A1597" s="11"/>
      <c r="B1597" s="7"/>
      <c r="C1597" s="12" t="str">
        <f aca="false">IF($B1597="","",IFERROR(INDEX(자원목록!$B$3:$B$102,MATCH($B1597,자원목록!$A$3:$A$102,0)),"미등록자원"))</f>
        <v/>
      </c>
      <c r="D1597" s="7"/>
      <c r="E1597" s="12" t="str">
        <f aca="false">IF($D1597="","",IFERROR(INDEX(고객목록!$B$3:$B$502,MATCH($D1597,고객목록!$A$3:$A$502,0)),""))</f>
        <v/>
      </c>
      <c r="F1597" s="13"/>
      <c r="G1597" s="13"/>
      <c r="H1597" s="14" t="str">
        <f aca="false">IF(OR($L1597="",$M1597=""),"",ROUND(($M1597-$L1597)/60,2))</f>
        <v/>
      </c>
      <c r="I1597" s="9"/>
      <c r="J1597" s="7"/>
      <c r="K1597" s="7"/>
      <c r="L1597" s="15" t="str">
        <f aca="false">IF($F1597="","",IF($F1597&lt;1,ROUND($F1597*1440,0),INT($F1597/100)*60+MOD($F1597,100)))</f>
        <v/>
      </c>
      <c r="M1597" s="15" t="str">
        <f aca="false">IF($G1597="","",IF($G1597&lt;1,ROUND($G1597*1440,0),INT($G1597/100)*60+MOD($G1597,100)))</f>
        <v/>
      </c>
      <c r="N1597" s="15" t="str">
        <f aca="false">IF(OR($A1597="",$B1597="",$L1597="",$M1597="",$J1597="취소"),"",IF(SUMPRODUCT(($A$3:$A$2002=$A1597)*($B$3:$B$2002=$B1597)*($J$3:$J$2002&lt;&gt;"취소")*($L$3:$L$2002&lt;&gt;"")*($M$3:$M$2002&lt;&gt;"")*($L$3:$L$2002&lt;$M1597)*($M$3:$M$2002&gt;$L1597))&gt;1,"중복","-"))</f>
        <v/>
      </c>
    </row>
    <row r="1598" customFormat="false" ht="15" hidden="false" customHeight="true" outlineLevel="0" collapsed="false">
      <c r="A1598" s="11"/>
      <c r="B1598" s="7"/>
      <c r="C1598" s="12" t="str">
        <f aca="false">IF($B1598="","",IFERROR(INDEX(자원목록!$B$3:$B$102,MATCH($B1598,자원목록!$A$3:$A$102,0)),"미등록자원"))</f>
        <v/>
      </c>
      <c r="D1598" s="7"/>
      <c r="E1598" s="12" t="str">
        <f aca="false">IF($D1598="","",IFERROR(INDEX(고객목록!$B$3:$B$502,MATCH($D1598,고객목록!$A$3:$A$502,0)),""))</f>
        <v/>
      </c>
      <c r="F1598" s="13"/>
      <c r="G1598" s="13"/>
      <c r="H1598" s="14" t="str">
        <f aca="false">IF(OR($L1598="",$M1598=""),"",ROUND(($M1598-$L1598)/60,2))</f>
        <v/>
      </c>
      <c r="I1598" s="9"/>
      <c r="J1598" s="7"/>
      <c r="K1598" s="7"/>
      <c r="L1598" s="15" t="str">
        <f aca="false">IF($F1598="","",IF($F1598&lt;1,ROUND($F1598*1440,0),INT($F1598/100)*60+MOD($F1598,100)))</f>
        <v/>
      </c>
      <c r="M1598" s="15" t="str">
        <f aca="false">IF($G1598="","",IF($G1598&lt;1,ROUND($G1598*1440,0),INT($G1598/100)*60+MOD($G1598,100)))</f>
        <v/>
      </c>
      <c r="N1598" s="15" t="str">
        <f aca="false">IF(OR($A1598="",$B1598="",$L1598="",$M1598="",$J1598="취소"),"",IF(SUMPRODUCT(($A$3:$A$2002=$A1598)*($B$3:$B$2002=$B1598)*($J$3:$J$2002&lt;&gt;"취소")*($L$3:$L$2002&lt;&gt;"")*($M$3:$M$2002&lt;&gt;"")*($L$3:$L$2002&lt;$M1598)*($M$3:$M$2002&gt;$L1598))&gt;1,"중복","-"))</f>
        <v/>
      </c>
    </row>
    <row r="1599" customFormat="false" ht="15" hidden="false" customHeight="true" outlineLevel="0" collapsed="false">
      <c r="A1599" s="11"/>
      <c r="B1599" s="7"/>
      <c r="C1599" s="12" t="str">
        <f aca="false">IF($B1599="","",IFERROR(INDEX(자원목록!$B$3:$B$102,MATCH($B1599,자원목록!$A$3:$A$102,0)),"미등록자원"))</f>
        <v/>
      </c>
      <c r="D1599" s="7"/>
      <c r="E1599" s="12" t="str">
        <f aca="false">IF($D1599="","",IFERROR(INDEX(고객목록!$B$3:$B$502,MATCH($D1599,고객목록!$A$3:$A$502,0)),""))</f>
        <v/>
      </c>
      <c r="F1599" s="13"/>
      <c r="G1599" s="13"/>
      <c r="H1599" s="14" t="str">
        <f aca="false">IF(OR($L1599="",$M1599=""),"",ROUND(($M1599-$L1599)/60,2))</f>
        <v/>
      </c>
      <c r="I1599" s="9"/>
      <c r="J1599" s="7"/>
      <c r="K1599" s="7"/>
      <c r="L1599" s="15" t="str">
        <f aca="false">IF($F1599="","",IF($F1599&lt;1,ROUND($F1599*1440,0),INT($F1599/100)*60+MOD($F1599,100)))</f>
        <v/>
      </c>
      <c r="M1599" s="15" t="str">
        <f aca="false">IF($G1599="","",IF($G1599&lt;1,ROUND($G1599*1440,0),INT($G1599/100)*60+MOD($G1599,100)))</f>
        <v/>
      </c>
      <c r="N1599" s="15" t="str">
        <f aca="false">IF(OR($A1599="",$B1599="",$L1599="",$M1599="",$J1599="취소"),"",IF(SUMPRODUCT(($A$3:$A$2002=$A1599)*($B$3:$B$2002=$B1599)*($J$3:$J$2002&lt;&gt;"취소")*($L$3:$L$2002&lt;&gt;"")*($M$3:$M$2002&lt;&gt;"")*($L$3:$L$2002&lt;$M1599)*($M$3:$M$2002&gt;$L1599))&gt;1,"중복","-"))</f>
        <v/>
      </c>
    </row>
    <row r="1600" customFormat="false" ht="15" hidden="false" customHeight="true" outlineLevel="0" collapsed="false">
      <c r="A1600" s="11"/>
      <c r="B1600" s="7"/>
      <c r="C1600" s="12" t="str">
        <f aca="false">IF($B1600="","",IFERROR(INDEX(자원목록!$B$3:$B$102,MATCH($B1600,자원목록!$A$3:$A$102,0)),"미등록자원"))</f>
        <v/>
      </c>
      <c r="D1600" s="7"/>
      <c r="E1600" s="12" t="str">
        <f aca="false">IF($D1600="","",IFERROR(INDEX(고객목록!$B$3:$B$502,MATCH($D1600,고객목록!$A$3:$A$502,0)),""))</f>
        <v/>
      </c>
      <c r="F1600" s="13"/>
      <c r="G1600" s="13"/>
      <c r="H1600" s="14" t="str">
        <f aca="false">IF(OR($L1600="",$M1600=""),"",ROUND(($M1600-$L1600)/60,2))</f>
        <v/>
      </c>
      <c r="I1600" s="9"/>
      <c r="J1600" s="7"/>
      <c r="K1600" s="7"/>
      <c r="L1600" s="15" t="str">
        <f aca="false">IF($F1600="","",IF($F1600&lt;1,ROUND($F1600*1440,0),INT($F1600/100)*60+MOD($F1600,100)))</f>
        <v/>
      </c>
      <c r="M1600" s="15" t="str">
        <f aca="false">IF($G1600="","",IF($G1600&lt;1,ROUND($G1600*1440,0),INT($G1600/100)*60+MOD($G1600,100)))</f>
        <v/>
      </c>
      <c r="N1600" s="15" t="str">
        <f aca="false">IF(OR($A1600="",$B1600="",$L1600="",$M1600="",$J1600="취소"),"",IF(SUMPRODUCT(($A$3:$A$2002=$A1600)*($B$3:$B$2002=$B1600)*($J$3:$J$2002&lt;&gt;"취소")*($L$3:$L$2002&lt;&gt;"")*($M$3:$M$2002&lt;&gt;"")*($L$3:$L$2002&lt;$M1600)*($M$3:$M$2002&gt;$L1600))&gt;1,"중복","-"))</f>
        <v/>
      </c>
    </row>
    <row r="1601" customFormat="false" ht="15" hidden="false" customHeight="true" outlineLevel="0" collapsed="false">
      <c r="A1601" s="11"/>
      <c r="B1601" s="7"/>
      <c r="C1601" s="12" t="str">
        <f aca="false">IF($B1601="","",IFERROR(INDEX(자원목록!$B$3:$B$102,MATCH($B1601,자원목록!$A$3:$A$102,0)),"미등록자원"))</f>
        <v/>
      </c>
      <c r="D1601" s="7"/>
      <c r="E1601" s="12" t="str">
        <f aca="false">IF($D1601="","",IFERROR(INDEX(고객목록!$B$3:$B$502,MATCH($D1601,고객목록!$A$3:$A$502,0)),""))</f>
        <v/>
      </c>
      <c r="F1601" s="13"/>
      <c r="G1601" s="13"/>
      <c r="H1601" s="14" t="str">
        <f aca="false">IF(OR($L1601="",$M1601=""),"",ROUND(($M1601-$L1601)/60,2))</f>
        <v/>
      </c>
      <c r="I1601" s="9"/>
      <c r="J1601" s="7"/>
      <c r="K1601" s="7"/>
      <c r="L1601" s="15" t="str">
        <f aca="false">IF($F1601="","",IF($F1601&lt;1,ROUND($F1601*1440,0),INT($F1601/100)*60+MOD($F1601,100)))</f>
        <v/>
      </c>
      <c r="M1601" s="15" t="str">
        <f aca="false">IF($G1601="","",IF($G1601&lt;1,ROUND($G1601*1440,0),INT($G1601/100)*60+MOD($G1601,100)))</f>
        <v/>
      </c>
      <c r="N1601" s="15" t="str">
        <f aca="false">IF(OR($A1601="",$B1601="",$L1601="",$M1601="",$J1601="취소"),"",IF(SUMPRODUCT(($A$3:$A$2002=$A1601)*($B$3:$B$2002=$B1601)*($J$3:$J$2002&lt;&gt;"취소")*($L$3:$L$2002&lt;&gt;"")*($M$3:$M$2002&lt;&gt;"")*($L$3:$L$2002&lt;$M1601)*($M$3:$M$2002&gt;$L1601))&gt;1,"중복","-"))</f>
        <v/>
      </c>
    </row>
    <row r="1602" customFormat="false" ht="15" hidden="false" customHeight="true" outlineLevel="0" collapsed="false">
      <c r="A1602" s="11"/>
      <c r="B1602" s="7"/>
      <c r="C1602" s="12" t="str">
        <f aca="false">IF($B1602="","",IFERROR(INDEX(자원목록!$B$3:$B$102,MATCH($B1602,자원목록!$A$3:$A$102,0)),"미등록자원"))</f>
        <v/>
      </c>
      <c r="D1602" s="7"/>
      <c r="E1602" s="12" t="str">
        <f aca="false">IF($D1602="","",IFERROR(INDEX(고객목록!$B$3:$B$502,MATCH($D1602,고객목록!$A$3:$A$502,0)),""))</f>
        <v/>
      </c>
      <c r="F1602" s="13"/>
      <c r="G1602" s="13"/>
      <c r="H1602" s="14" t="str">
        <f aca="false">IF(OR($L1602="",$M1602=""),"",ROUND(($M1602-$L1602)/60,2))</f>
        <v/>
      </c>
      <c r="I1602" s="9"/>
      <c r="J1602" s="7"/>
      <c r="K1602" s="7"/>
      <c r="L1602" s="15" t="str">
        <f aca="false">IF($F1602="","",IF($F1602&lt;1,ROUND($F1602*1440,0),INT($F1602/100)*60+MOD($F1602,100)))</f>
        <v/>
      </c>
      <c r="M1602" s="15" t="str">
        <f aca="false">IF($G1602="","",IF($G1602&lt;1,ROUND($G1602*1440,0),INT($G1602/100)*60+MOD($G1602,100)))</f>
        <v/>
      </c>
      <c r="N1602" s="15" t="str">
        <f aca="false">IF(OR($A1602="",$B1602="",$L1602="",$M1602="",$J1602="취소"),"",IF(SUMPRODUCT(($A$3:$A$2002=$A1602)*($B$3:$B$2002=$B1602)*($J$3:$J$2002&lt;&gt;"취소")*($L$3:$L$2002&lt;&gt;"")*($M$3:$M$2002&lt;&gt;"")*($L$3:$L$2002&lt;$M1602)*($M$3:$M$2002&gt;$L1602))&gt;1,"중복","-"))</f>
        <v/>
      </c>
    </row>
    <row r="1603" customFormat="false" ht="15" hidden="false" customHeight="true" outlineLevel="0" collapsed="false">
      <c r="A1603" s="11"/>
      <c r="B1603" s="7"/>
      <c r="C1603" s="12" t="str">
        <f aca="false">IF($B1603="","",IFERROR(INDEX(자원목록!$B$3:$B$102,MATCH($B1603,자원목록!$A$3:$A$102,0)),"미등록자원"))</f>
        <v/>
      </c>
      <c r="D1603" s="7"/>
      <c r="E1603" s="12" t="str">
        <f aca="false">IF($D1603="","",IFERROR(INDEX(고객목록!$B$3:$B$502,MATCH($D1603,고객목록!$A$3:$A$502,0)),""))</f>
        <v/>
      </c>
      <c r="F1603" s="13"/>
      <c r="G1603" s="13"/>
      <c r="H1603" s="14" t="str">
        <f aca="false">IF(OR($L1603="",$M1603=""),"",ROUND(($M1603-$L1603)/60,2))</f>
        <v/>
      </c>
      <c r="I1603" s="9"/>
      <c r="J1603" s="7"/>
      <c r="K1603" s="7"/>
      <c r="L1603" s="15" t="str">
        <f aca="false">IF($F1603="","",IF($F1603&lt;1,ROUND($F1603*1440,0),INT($F1603/100)*60+MOD($F1603,100)))</f>
        <v/>
      </c>
      <c r="M1603" s="15" t="str">
        <f aca="false">IF($G1603="","",IF($G1603&lt;1,ROUND($G1603*1440,0),INT($G1603/100)*60+MOD($G1603,100)))</f>
        <v/>
      </c>
      <c r="N1603" s="15" t="str">
        <f aca="false">IF(OR($A1603="",$B1603="",$L1603="",$M1603="",$J1603="취소"),"",IF(SUMPRODUCT(($A$3:$A$2002=$A1603)*($B$3:$B$2002=$B1603)*($J$3:$J$2002&lt;&gt;"취소")*($L$3:$L$2002&lt;&gt;"")*($M$3:$M$2002&lt;&gt;"")*($L$3:$L$2002&lt;$M1603)*($M$3:$M$2002&gt;$L1603))&gt;1,"중복","-"))</f>
        <v/>
      </c>
    </row>
    <row r="1604" customFormat="false" ht="15" hidden="false" customHeight="true" outlineLevel="0" collapsed="false">
      <c r="A1604" s="11"/>
      <c r="B1604" s="7"/>
      <c r="C1604" s="12" t="str">
        <f aca="false">IF($B1604="","",IFERROR(INDEX(자원목록!$B$3:$B$102,MATCH($B1604,자원목록!$A$3:$A$102,0)),"미등록자원"))</f>
        <v/>
      </c>
      <c r="D1604" s="7"/>
      <c r="E1604" s="12" t="str">
        <f aca="false">IF($D1604="","",IFERROR(INDEX(고객목록!$B$3:$B$502,MATCH($D1604,고객목록!$A$3:$A$502,0)),""))</f>
        <v/>
      </c>
      <c r="F1604" s="13"/>
      <c r="G1604" s="13"/>
      <c r="H1604" s="14" t="str">
        <f aca="false">IF(OR($L1604="",$M1604=""),"",ROUND(($M1604-$L1604)/60,2))</f>
        <v/>
      </c>
      <c r="I1604" s="9"/>
      <c r="J1604" s="7"/>
      <c r="K1604" s="7"/>
      <c r="L1604" s="15" t="str">
        <f aca="false">IF($F1604="","",IF($F1604&lt;1,ROUND($F1604*1440,0),INT($F1604/100)*60+MOD($F1604,100)))</f>
        <v/>
      </c>
      <c r="M1604" s="15" t="str">
        <f aca="false">IF($G1604="","",IF($G1604&lt;1,ROUND($G1604*1440,0),INT($G1604/100)*60+MOD($G1604,100)))</f>
        <v/>
      </c>
      <c r="N1604" s="15" t="str">
        <f aca="false">IF(OR($A1604="",$B1604="",$L1604="",$M1604="",$J1604="취소"),"",IF(SUMPRODUCT(($A$3:$A$2002=$A1604)*($B$3:$B$2002=$B1604)*($J$3:$J$2002&lt;&gt;"취소")*($L$3:$L$2002&lt;&gt;"")*($M$3:$M$2002&lt;&gt;"")*($L$3:$L$2002&lt;$M1604)*($M$3:$M$2002&gt;$L1604))&gt;1,"중복","-"))</f>
        <v/>
      </c>
    </row>
    <row r="1605" customFormat="false" ht="15" hidden="false" customHeight="true" outlineLevel="0" collapsed="false">
      <c r="A1605" s="11"/>
      <c r="B1605" s="7"/>
      <c r="C1605" s="12" t="str">
        <f aca="false">IF($B1605="","",IFERROR(INDEX(자원목록!$B$3:$B$102,MATCH($B1605,자원목록!$A$3:$A$102,0)),"미등록자원"))</f>
        <v/>
      </c>
      <c r="D1605" s="7"/>
      <c r="E1605" s="12" t="str">
        <f aca="false">IF($D1605="","",IFERROR(INDEX(고객목록!$B$3:$B$502,MATCH($D1605,고객목록!$A$3:$A$502,0)),""))</f>
        <v/>
      </c>
      <c r="F1605" s="13"/>
      <c r="G1605" s="13"/>
      <c r="H1605" s="14" t="str">
        <f aca="false">IF(OR($L1605="",$M1605=""),"",ROUND(($M1605-$L1605)/60,2))</f>
        <v/>
      </c>
      <c r="I1605" s="9"/>
      <c r="J1605" s="7"/>
      <c r="K1605" s="7"/>
      <c r="L1605" s="15" t="str">
        <f aca="false">IF($F1605="","",IF($F1605&lt;1,ROUND($F1605*1440,0),INT($F1605/100)*60+MOD($F1605,100)))</f>
        <v/>
      </c>
      <c r="M1605" s="15" t="str">
        <f aca="false">IF($G1605="","",IF($G1605&lt;1,ROUND($G1605*1440,0),INT($G1605/100)*60+MOD($G1605,100)))</f>
        <v/>
      </c>
      <c r="N1605" s="15" t="str">
        <f aca="false">IF(OR($A1605="",$B1605="",$L1605="",$M1605="",$J1605="취소"),"",IF(SUMPRODUCT(($A$3:$A$2002=$A1605)*($B$3:$B$2002=$B1605)*($J$3:$J$2002&lt;&gt;"취소")*($L$3:$L$2002&lt;&gt;"")*($M$3:$M$2002&lt;&gt;"")*($L$3:$L$2002&lt;$M1605)*($M$3:$M$2002&gt;$L1605))&gt;1,"중복","-"))</f>
        <v/>
      </c>
    </row>
    <row r="1606" customFormat="false" ht="15" hidden="false" customHeight="true" outlineLevel="0" collapsed="false">
      <c r="A1606" s="11"/>
      <c r="B1606" s="7"/>
      <c r="C1606" s="12" t="str">
        <f aca="false">IF($B1606="","",IFERROR(INDEX(자원목록!$B$3:$B$102,MATCH($B1606,자원목록!$A$3:$A$102,0)),"미등록자원"))</f>
        <v/>
      </c>
      <c r="D1606" s="7"/>
      <c r="E1606" s="12" t="str">
        <f aca="false">IF($D1606="","",IFERROR(INDEX(고객목록!$B$3:$B$502,MATCH($D1606,고객목록!$A$3:$A$502,0)),""))</f>
        <v/>
      </c>
      <c r="F1606" s="13"/>
      <c r="G1606" s="13"/>
      <c r="H1606" s="14" t="str">
        <f aca="false">IF(OR($L1606="",$M1606=""),"",ROUND(($M1606-$L1606)/60,2))</f>
        <v/>
      </c>
      <c r="I1606" s="9"/>
      <c r="J1606" s="7"/>
      <c r="K1606" s="7"/>
      <c r="L1606" s="15" t="str">
        <f aca="false">IF($F1606="","",IF($F1606&lt;1,ROUND($F1606*1440,0),INT($F1606/100)*60+MOD($F1606,100)))</f>
        <v/>
      </c>
      <c r="M1606" s="15" t="str">
        <f aca="false">IF($G1606="","",IF($G1606&lt;1,ROUND($G1606*1440,0),INT($G1606/100)*60+MOD($G1606,100)))</f>
        <v/>
      </c>
      <c r="N1606" s="15" t="str">
        <f aca="false">IF(OR($A1606="",$B1606="",$L1606="",$M1606="",$J1606="취소"),"",IF(SUMPRODUCT(($A$3:$A$2002=$A1606)*($B$3:$B$2002=$B1606)*($J$3:$J$2002&lt;&gt;"취소")*($L$3:$L$2002&lt;&gt;"")*($M$3:$M$2002&lt;&gt;"")*($L$3:$L$2002&lt;$M1606)*($M$3:$M$2002&gt;$L1606))&gt;1,"중복","-"))</f>
        <v/>
      </c>
    </row>
    <row r="1607" customFormat="false" ht="15" hidden="false" customHeight="true" outlineLevel="0" collapsed="false">
      <c r="A1607" s="11"/>
      <c r="B1607" s="7"/>
      <c r="C1607" s="12" t="str">
        <f aca="false">IF($B1607="","",IFERROR(INDEX(자원목록!$B$3:$B$102,MATCH($B1607,자원목록!$A$3:$A$102,0)),"미등록자원"))</f>
        <v/>
      </c>
      <c r="D1607" s="7"/>
      <c r="E1607" s="12" t="str">
        <f aca="false">IF($D1607="","",IFERROR(INDEX(고객목록!$B$3:$B$502,MATCH($D1607,고객목록!$A$3:$A$502,0)),""))</f>
        <v/>
      </c>
      <c r="F1607" s="13"/>
      <c r="G1607" s="13"/>
      <c r="H1607" s="14" t="str">
        <f aca="false">IF(OR($L1607="",$M1607=""),"",ROUND(($M1607-$L1607)/60,2))</f>
        <v/>
      </c>
      <c r="I1607" s="9"/>
      <c r="J1607" s="7"/>
      <c r="K1607" s="7"/>
      <c r="L1607" s="15" t="str">
        <f aca="false">IF($F1607="","",IF($F1607&lt;1,ROUND($F1607*1440,0),INT($F1607/100)*60+MOD($F1607,100)))</f>
        <v/>
      </c>
      <c r="M1607" s="15" t="str">
        <f aca="false">IF($G1607="","",IF($G1607&lt;1,ROUND($G1607*1440,0),INT($G1607/100)*60+MOD($G1607,100)))</f>
        <v/>
      </c>
      <c r="N1607" s="15" t="str">
        <f aca="false">IF(OR($A1607="",$B1607="",$L1607="",$M1607="",$J1607="취소"),"",IF(SUMPRODUCT(($A$3:$A$2002=$A1607)*($B$3:$B$2002=$B1607)*($J$3:$J$2002&lt;&gt;"취소")*($L$3:$L$2002&lt;&gt;"")*($M$3:$M$2002&lt;&gt;"")*($L$3:$L$2002&lt;$M1607)*($M$3:$M$2002&gt;$L1607))&gt;1,"중복","-"))</f>
        <v/>
      </c>
    </row>
    <row r="1608" customFormat="false" ht="15" hidden="false" customHeight="true" outlineLevel="0" collapsed="false">
      <c r="A1608" s="11"/>
      <c r="B1608" s="7"/>
      <c r="C1608" s="12" t="str">
        <f aca="false">IF($B1608="","",IFERROR(INDEX(자원목록!$B$3:$B$102,MATCH($B1608,자원목록!$A$3:$A$102,0)),"미등록자원"))</f>
        <v/>
      </c>
      <c r="D1608" s="7"/>
      <c r="E1608" s="12" t="str">
        <f aca="false">IF($D1608="","",IFERROR(INDEX(고객목록!$B$3:$B$502,MATCH($D1608,고객목록!$A$3:$A$502,0)),""))</f>
        <v/>
      </c>
      <c r="F1608" s="13"/>
      <c r="G1608" s="13"/>
      <c r="H1608" s="14" t="str">
        <f aca="false">IF(OR($L1608="",$M1608=""),"",ROUND(($M1608-$L1608)/60,2))</f>
        <v/>
      </c>
      <c r="I1608" s="9"/>
      <c r="J1608" s="7"/>
      <c r="K1608" s="7"/>
      <c r="L1608" s="15" t="str">
        <f aca="false">IF($F1608="","",IF($F1608&lt;1,ROUND($F1608*1440,0),INT($F1608/100)*60+MOD($F1608,100)))</f>
        <v/>
      </c>
      <c r="M1608" s="15" t="str">
        <f aca="false">IF($G1608="","",IF($G1608&lt;1,ROUND($G1608*1440,0),INT($G1608/100)*60+MOD($G1608,100)))</f>
        <v/>
      </c>
      <c r="N1608" s="15" t="str">
        <f aca="false">IF(OR($A1608="",$B1608="",$L1608="",$M1608="",$J1608="취소"),"",IF(SUMPRODUCT(($A$3:$A$2002=$A1608)*($B$3:$B$2002=$B1608)*($J$3:$J$2002&lt;&gt;"취소")*($L$3:$L$2002&lt;&gt;"")*($M$3:$M$2002&lt;&gt;"")*($L$3:$L$2002&lt;$M1608)*($M$3:$M$2002&gt;$L1608))&gt;1,"중복","-"))</f>
        <v/>
      </c>
    </row>
    <row r="1609" customFormat="false" ht="15" hidden="false" customHeight="true" outlineLevel="0" collapsed="false">
      <c r="A1609" s="11"/>
      <c r="B1609" s="7"/>
      <c r="C1609" s="12" t="str">
        <f aca="false">IF($B1609="","",IFERROR(INDEX(자원목록!$B$3:$B$102,MATCH($B1609,자원목록!$A$3:$A$102,0)),"미등록자원"))</f>
        <v/>
      </c>
      <c r="D1609" s="7"/>
      <c r="E1609" s="12" t="str">
        <f aca="false">IF($D1609="","",IFERROR(INDEX(고객목록!$B$3:$B$502,MATCH($D1609,고객목록!$A$3:$A$502,0)),""))</f>
        <v/>
      </c>
      <c r="F1609" s="13"/>
      <c r="G1609" s="13"/>
      <c r="H1609" s="14" t="str">
        <f aca="false">IF(OR($L1609="",$M1609=""),"",ROUND(($M1609-$L1609)/60,2))</f>
        <v/>
      </c>
      <c r="I1609" s="9"/>
      <c r="J1609" s="7"/>
      <c r="K1609" s="7"/>
      <c r="L1609" s="15" t="str">
        <f aca="false">IF($F1609="","",IF($F1609&lt;1,ROUND($F1609*1440,0),INT($F1609/100)*60+MOD($F1609,100)))</f>
        <v/>
      </c>
      <c r="M1609" s="15" t="str">
        <f aca="false">IF($G1609="","",IF($G1609&lt;1,ROUND($G1609*1440,0),INT($G1609/100)*60+MOD($G1609,100)))</f>
        <v/>
      </c>
      <c r="N1609" s="15" t="str">
        <f aca="false">IF(OR($A1609="",$B1609="",$L1609="",$M1609="",$J1609="취소"),"",IF(SUMPRODUCT(($A$3:$A$2002=$A1609)*($B$3:$B$2002=$B1609)*($J$3:$J$2002&lt;&gt;"취소")*($L$3:$L$2002&lt;&gt;"")*($M$3:$M$2002&lt;&gt;"")*($L$3:$L$2002&lt;$M1609)*($M$3:$M$2002&gt;$L1609))&gt;1,"중복","-"))</f>
        <v/>
      </c>
    </row>
    <row r="1610" customFormat="false" ht="15" hidden="false" customHeight="true" outlineLevel="0" collapsed="false">
      <c r="A1610" s="11"/>
      <c r="B1610" s="7"/>
      <c r="C1610" s="12" t="str">
        <f aca="false">IF($B1610="","",IFERROR(INDEX(자원목록!$B$3:$B$102,MATCH($B1610,자원목록!$A$3:$A$102,0)),"미등록자원"))</f>
        <v/>
      </c>
      <c r="D1610" s="7"/>
      <c r="E1610" s="12" t="str">
        <f aca="false">IF($D1610="","",IFERROR(INDEX(고객목록!$B$3:$B$502,MATCH($D1610,고객목록!$A$3:$A$502,0)),""))</f>
        <v/>
      </c>
      <c r="F1610" s="13"/>
      <c r="G1610" s="13"/>
      <c r="H1610" s="14" t="str">
        <f aca="false">IF(OR($L1610="",$M1610=""),"",ROUND(($M1610-$L1610)/60,2))</f>
        <v/>
      </c>
      <c r="I1610" s="9"/>
      <c r="J1610" s="7"/>
      <c r="K1610" s="7"/>
      <c r="L1610" s="15" t="str">
        <f aca="false">IF($F1610="","",IF($F1610&lt;1,ROUND($F1610*1440,0),INT($F1610/100)*60+MOD($F1610,100)))</f>
        <v/>
      </c>
      <c r="M1610" s="15" t="str">
        <f aca="false">IF($G1610="","",IF($G1610&lt;1,ROUND($G1610*1440,0),INT($G1610/100)*60+MOD($G1610,100)))</f>
        <v/>
      </c>
      <c r="N1610" s="15" t="str">
        <f aca="false">IF(OR($A1610="",$B1610="",$L1610="",$M1610="",$J1610="취소"),"",IF(SUMPRODUCT(($A$3:$A$2002=$A1610)*($B$3:$B$2002=$B1610)*($J$3:$J$2002&lt;&gt;"취소")*($L$3:$L$2002&lt;&gt;"")*($M$3:$M$2002&lt;&gt;"")*($L$3:$L$2002&lt;$M1610)*($M$3:$M$2002&gt;$L1610))&gt;1,"중복","-"))</f>
        <v/>
      </c>
    </row>
    <row r="1611" customFormat="false" ht="15" hidden="false" customHeight="true" outlineLevel="0" collapsed="false">
      <c r="A1611" s="11"/>
      <c r="B1611" s="7"/>
      <c r="C1611" s="12" t="str">
        <f aca="false">IF($B1611="","",IFERROR(INDEX(자원목록!$B$3:$B$102,MATCH($B1611,자원목록!$A$3:$A$102,0)),"미등록자원"))</f>
        <v/>
      </c>
      <c r="D1611" s="7"/>
      <c r="E1611" s="12" t="str">
        <f aca="false">IF($D1611="","",IFERROR(INDEX(고객목록!$B$3:$B$502,MATCH($D1611,고객목록!$A$3:$A$502,0)),""))</f>
        <v/>
      </c>
      <c r="F1611" s="13"/>
      <c r="G1611" s="13"/>
      <c r="H1611" s="14" t="str">
        <f aca="false">IF(OR($L1611="",$M1611=""),"",ROUND(($M1611-$L1611)/60,2))</f>
        <v/>
      </c>
      <c r="I1611" s="9"/>
      <c r="J1611" s="7"/>
      <c r="K1611" s="7"/>
      <c r="L1611" s="15" t="str">
        <f aca="false">IF($F1611="","",IF($F1611&lt;1,ROUND($F1611*1440,0),INT($F1611/100)*60+MOD($F1611,100)))</f>
        <v/>
      </c>
      <c r="M1611" s="15" t="str">
        <f aca="false">IF($G1611="","",IF($G1611&lt;1,ROUND($G1611*1440,0),INT($G1611/100)*60+MOD($G1611,100)))</f>
        <v/>
      </c>
      <c r="N1611" s="15" t="str">
        <f aca="false">IF(OR($A1611="",$B1611="",$L1611="",$M1611="",$J1611="취소"),"",IF(SUMPRODUCT(($A$3:$A$2002=$A1611)*($B$3:$B$2002=$B1611)*($J$3:$J$2002&lt;&gt;"취소")*($L$3:$L$2002&lt;&gt;"")*($M$3:$M$2002&lt;&gt;"")*($L$3:$L$2002&lt;$M1611)*($M$3:$M$2002&gt;$L1611))&gt;1,"중복","-"))</f>
        <v/>
      </c>
    </row>
    <row r="1612" customFormat="false" ht="15" hidden="false" customHeight="true" outlineLevel="0" collapsed="false">
      <c r="A1612" s="11"/>
      <c r="B1612" s="7"/>
      <c r="C1612" s="12" t="str">
        <f aca="false">IF($B1612="","",IFERROR(INDEX(자원목록!$B$3:$B$102,MATCH($B1612,자원목록!$A$3:$A$102,0)),"미등록자원"))</f>
        <v/>
      </c>
      <c r="D1612" s="7"/>
      <c r="E1612" s="12" t="str">
        <f aca="false">IF($D1612="","",IFERROR(INDEX(고객목록!$B$3:$B$502,MATCH($D1612,고객목록!$A$3:$A$502,0)),""))</f>
        <v/>
      </c>
      <c r="F1612" s="13"/>
      <c r="G1612" s="13"/>
      <c r="H1612" s="14" t="str">
        <f aca="false">IF(OR($L1612="",$M1612=""),"",ROUND(($M1612-$L1612)/60,2))</f>
        <v/>
      </c>
      <c r="I1612" s="9"/>
      <c r="J1612" s="7"/>
      <c r="K1612" s="7"/>
      <c r="L1612" s="15" t="str">
        <f aca="false">IF($F1612="","",IF($F1612&lt;1,ROUND($F1612*1440,0),INT($F1612/100)*60+MOD($F1612,100)))</f>
        <v/>
      </c>
      <c r="M1612" s="15" t="str">
        <f aca="false">IF($G1612="","",IF($G1612&lt;1,ROUND($G1612*1440,0),INT($G1612/100)*60+MOD($G1612,100)))</f>
        <v/>
      </c>
      <c r="N1612" s="15" t="str">
        <f aca="false">IF(OR($A1612="",$B1612="",$L1612="",$M1612="",$J1612="취소"),"",IF(SUMPRODUCT(($A$3:$A$2002=$A1612)*($B$3:$B$2002=$B1612)*($J$3:$J$2002&lt;&gt;"취소")*($L$3:$L$2002&lt;&gt;"")*($M$3:$M$2002&lt;&gt;"")*($L$3:$L$2002&lt;$M1612)*($M$3:$M$2002&gt;$L1612))&gt;1,"중복","-"))</f>
        <v/>
      </c>
    </row>
    <row r="1613" customFormat="false" ht="15" hidden="false" customHeight="true" outlineLevel="0" collapsed="false">
      <c r="A1613" s="11"/>
      <c r="B1613" s="7"/>
      <c r="C1613" s="12" t="str">
        <f aca="false">IF($B1613="","",IFERROR(INDEX(자원목록!$B$3:$B$102,MATCH($B1613,자원목록!$A$3:$A$102,0)),"미등록자원"))</f>
        <v/>
      </c>
      <c r="D1613" s="7"/>
      <c r="E1613" s="12" t="str">
        <f aca="false">IF($D1613="","",IFERROR(INDEX(고객목록!$B$3:$B$502,MATCH($D1613,고객목록!$A$3:$A$502,0)),""))</f>
        <v/>
      </c>
      <c r="F1613" s="13"/>
      <c r="G1613" s="13"/>
      <c r="H1613" s="14" t="str">
        <f aca="false">IF(OR($L1613="",$M1613=""),"",ROUND(($M1613-$L1613)/60,2))</f>
        <v/>
      </c>
      <c r="I1613" s="9"/>
      <c r="J1613" s="7"/>
      <c r="K1613" s="7"/>
      <c r="L1613" s="15" t="str">
        <f aca="false">IF($F1613="","",IF($F1613&lt;1,ROUND($F1613*1440,0),INT($F1613/100)*60+MOD($F1613,100)))</f>
        <v/>
      </c>
      <c r="M1613" s="15" t="str">
        <f aca="false">IF($G1613="","",IF($G1613&lt;1,ROUND($G1613*1440,0),INT($G1613/100)*60+MOD($G1613,100)))</f>
        <v/>
      </c>
      <c r="N1613" s="15" t="str">
        <f aca="false">IF(OR($A1613="",$B1613="",$L1613="",$M1613="",$J1613="취소"),"",IF(SUMPRODUCT(($A$3:$A$2002=$A1613)*($B$3:$B$2002=$B1613)*($J$3:$J$2002&lt;&gt;"취소")*($L$3:$L$2002&lt;&gt;"")*($M$3:$M$2002&lt;&gt;"")*($L$3:$L$2002&lt;$M1613)*($M$3:$M$2002&gt;$L1613))&gt;1,"중복","-"))</f>
        <v/>
      </c>
    </row>
    <row r="1614" customFormat="false" ht="15" hidden="false" customHeight="true" outlineLevel="0" collapsed="false">
      <c r="A1614" s="11"/>
      <c r="B1614" s="7"/>
      <c r="C1614" s="12" t="str">
        <f aca="false">IF($B1614="","",IFERROR(INDEX(자원목록!$B$3:$B$102,MATCH($B1614,자원목록!$A$3:$A$102,0)),"미등록자원"))</f>
        <v/>
      </c>
      <c r="D1614" s="7"/>
      <c r="E1614" s="12" t="str">
        <f aca="false">IF($D1614="","",IFERROR(INDEX(고객목록!$B$3:$B$502,MATCH($D1614,고객목록!$A$3:$A$502,0)),""))</f>
        <v/>
      </c>
      <c r="F1614" s="13"/>
      <c r="G1614" s="13"/>
      <c r="H1614" s="14" t="str">
        <f aca="false">IF(OR($L1614="",$M1614=""),"",ROUND(($M1614-$L1614)/60,2))</f>
        <v/>
      </c>
      <c r="I1614" s="9"/>
      <c r="J1614" s="7"/>
      <c r="K1614" s="7"/>
      <c r="L1614" s="15" t="str">
        <f aca="false">IF($F1614="","",IF($F1614&lt;1,ROUND($F1614*1440,0),INT($F1614/100)*60+MOD($F1614,100)))</f>
        <v/>
      </c>
      <c r="M1614" s="15" t="str">
        <f aca="false">IF($G1614="","",IF($G1614&lt;1,ROUND($G1614*1440,0),INT($G1614/100)*60+MOD($G1614,100)))</f>
        <v/>
      </c>
      <c r="N1614" s="15" t="str">
        <f aca="false">IF(OR($A1614="",$B1614="",$L1614="",$M1614="",$J1614="취소"),"",IF(SUMPRODUCT(($A$3:$A$2002=$A1614)*($B$3:$B$2002=$B1614)*($J$3:$J$2002&lt;&gt;"취소")*($L$3:$L$2002&lt;&gt;"")*($M$3:$M$2002&lt;&gt;"")*($L$3:$L$2002&lt;$M1614)*($M$3:$M$2002&gt;$L1614))&gt;1,"중복","-"))</f>
        <v/>
      </c>
    </row>
    <row r="1615" customFormat="false" ht="15" hidden="false" customHeight="true" outlineLevel="0" collapsed="false">
      <c r="A1615" s="11"/>
      <c r="B1615" s="7"/>
      <c r="C1615" s="12" t="str">
        <f aca="false">IF($B1615="","",IFERROR(INDEX(자원목록!$B$3:$B$102,MATCH($B1615,자원목록!$A$3:$A$102,0)),"미등록자원"))</f>
        <v/>
      </c>
      <c r="D1615" s="7"/>
      <c r="E1615" s="12" t="str">
        <f aca="false">IF($D1615="","",IFERROR(INDEX(고객목록!$B$3:$B$502,MATCH($D1615,고객목록!$A$3:$A$502,0)),""))</f>
        <v/>
      </c>
      <c r="F1615" s="13"/>
      <c r="G1615" s="13"/>
      <c r="H1615" s="14" t="str">
        <f aca="false">IF(OR($L1615="",$M1615=""),"",ROUND(($M1615-$L1615)/60,2))</f>
        <v/>
      </c>
      <c r="I1615" s="9"/>
      <c r="J1615" s="7"/>
      <c r="K1615" s="7"/>
      <c r="L1615" s="15" t="str">
        <f aca="false">IF($F1615="","",IF($F1615&lt;1,ROUND($F1615*1440,0),INT($F1615/100)*60+MOD($F1615,100)))</f>
        <v/>
      </c>
      <c r="M1615" s="15" t="str">
        <f aca="false">IF($G1615="","",IF($G1615&lt;1,ROUND($G1615*1440,0),INT($G1615/100)*60+MOD($G1615,100)))</f>
        <v/>
      </c>
      <c r="N1615" s="15" t="str">
        <f aca="false">IF(OR($A1615="",$B1615="",$L1615="",$M1615="",$J1615="취소"),"",IF(SUMPRODUCT(($A$3:$A$2002=$A1615)*($B$3:$B$2002=$B1615)*($J$3:$J$2002&lt;&gt;"취소")*($L$3:$L$2002&lt;&gt;"")*($M$3:$M$2002&lt;&gt;"")*($L$3:$L$2002&lt;$M1615)*($M$3:$M$2002&gt;$L1615))&gt;1,"중복","-"))</f>
        <v/>
      </c>
    </row>
    <row r="1616" customFormat="false" ht="15" hidden="false" customHeight="true" outlineLevel="0" collapsed="false">
      <c r="A1616" s="11"/>
      <c r="B1616" s="7"/>
      <c r="C1616" s="12" t="str">
        <f aca="false">IF($B1616="","",IFERROR(INDEX(자원목록!$B$3:$B$102,MATCH($B1616,자원목록!$A$3:$A$102,0)),"미등록자원"))</f>
        <v/>
      </c>
      <c r="D1616" s="7"/>
      <c r="E1616" s="12" t="str">
        <f aca="false">IF($D1616="","",IFERROR(INDEX(고객목록!$B$3:$B$502,MATCH($D1616,고객목록!$A$3:$A$502,0)),""))</f>
        <v/>
      </c>
      <c r="F1616" s="13"/>
      <c r="G1616" s="13"/>
      <c r="H1616" s="14" t="str">
        <f aca="false">IF(OR($L1616="",$M1616=""),"",ROUND(($M1616-$L1616)/60,2))</f>
        <v/>
      </c>
      <c r="I1616" s="9"/>
      <c r="J1616" s="7"/>
      <c r="K1616" s="7"/>
      <c r="L1616" s="15" t="str">
        <f aca="false">IF($F1616="","",IF($F1616&lt;1,ROUND($F1616*1440,0),INT($F1616/100)*60+MOD($F1616,100)))</f>
        <v/>
      </c>
      <c r="M1616" s="15" t="str">
        <f aca="false">IF($G1616="","",IF($G1616&lt;1,ROUND($G1616*1440,0),INT($G1616/100)*60+MOD($G1616,100)))</f>
        <v/>
      </c>
      <c r="N1616" s="15" t="str">
        <f aca="false">IF(OR($A1616="",$B1616="",$L1616="",$M1616="",$J1616="취소"),"",IF(SUMPRODUCT(($A$3:$A$2002=$A1616)*($B$3:$B$2002=$B1616)*($J$3:$J$2002&lt;&gt;"취소")*($L$3:$L$2002&lt;&gt;"")*($M$3:$M$2002&lt;&gt;"")*($L$3:$L$2002&lt;$M1616)*($M$3:$M$2002&gt;$L1616))&gt;1,"중복","-"))</f>
        <v/>
      </c>
    </row>
    <row r="1617" customFormat="false" ht="15" hidden="false" customHeight="true" outlineLevel="0" collapsed="false">
      <c r="A1617" s="11"/>
      <c r="B1617" s="7"/>
      <c r="C1617" s="12" t="str">
        <f aca="false">IF($B1617="","",IFERROR(INDEX(자원목록!$B$3:$B$102,MATCH($B1617,자원목록!$A$3:$A$102,0)),"미등록자원"))</f>
        <v/>
      </c>
      <c r="D1617" s="7"/>
      <c r="E1617" s="12" t="str">
        <f aca="false">IF($D1617="","",IFERROR(INDEX(고객목록!$B$3:$B$502,MATCH($D1617,고객목록!$A$3:$A$502,0)),""))</f>
        <v/>
      </c>
      <c r="F1617" s="13"/>
      <c r="G1617" s="13"/>
      <c r="H1617" s="14" t="str">
        <f aca="false">IF(OR($L1617="",$M1617=""),"",ROUND(($M1617-$L1617)/60,2))</f>
        <v/>
      </c>
      <c r="I1617" s="9"/>
      <c r="J1617" s="7"/>
      <c r="K1617" s="7"/>
      <c r="L1617" s="15" t="str">
        <f aca="false">IF($F1617="","",IF($F1617&lt;1,ROUND($F1617*1440,0),INT($F1617/100)*60+MOD($F1617,100)))</f>
        <v/>
      </c>
      <c r="M1617" s="15" t="str">
        <f aca="false">IF($G1617="","",IF($G1617&lt;1,ROUND($G1617*1440,0),INT($G1617/100)*60+MOD($G1617,100)))</f>
        <v/>
      </c>
      <c r="N1617" s="15" t="str">
        <f aca="false">IF(OR($A1617="",$B1617="",$L1617="",$M1617="",$J1617="취소"),"",IF(SUMPRODUCT(($A$3:$A$2002=$A1617)*($B$3:$B$2002=$B1617)*($J$3:$J$2002&lt;&gt;"취소")*($L$3:$L$2002&lt;&gt;"")*($M$3:$M$2002&lt;&gt;"")*($L$3:$L$2002&lt;$M1617)*($M$3:$M$2002&gt;$L1617))&gt;1,"중복","-"))</f>
        <v/>
      </c>
    </row>
    <row r="1618" customFormat="false" ht="15" hidden="false" customHeight="true" outlineLevel="0" collapsed="false">
      <c r="A1618" s="11"/>
      <c r="B1618" s="7"/>
      <c r="C1618" s="12" t="str">
        <f aca="false">IF($B1618="","",IFERROR(INDEX(자원목록!$B$3:$B$102,MATCH($B1618,자원목록!$A$3:$A$102,0)),"미등록자원"))</f>
        <v/>
      </c>
      <c r="D1618" s="7"/>
      <c r="E1618" s="12" t="str">
        <f aca="false">IF($D1618="","",IFERROR(INDEX(고객목록!$B$3:$B$502,MATCH($D1618,고객목록!$A$3:$A$502,0)),""))</f>
        <v/>
      </c>
      <c r="F1618" s="13"/>
      <c r="G1618" s="13"/>
      <c r="H1618" s="14" t="str">
        <f aca="false">IF(OR($L1618="",$M1618=""),"",ROUND(($M1618-$L1618)/60,2))</f>
        <v/>
      </c>
      <c r="I1618" s="9"/>
      <c r="J1618" s="7"/>
      <c r="K1618" s="7"/>
      <c r="L1618" s="15" t="str">
        <f aca="false">IF($F1618="","",IF($F1618&lt;1,ROUND($F1618*1440,0),INT($F1618/100)*60+MOD($F1618,100)))</f>
        <v/>
      </c>
      <c r="M1618" s="15" t="str">
        <f aca="false">IF($G1618="","",IF($G1618&lt;1,ROUND($G1618*1440,0),INT($G1618/100)*60+MOD($G1618,100)))</f>
        <v/>
      </c>
      <c r="N1618" s="15" t="str">
        <f aca="false">IF(OR($A1618="",$B1618="",$L1618="",$M1618="",$J1618="취소"),"",IF(SUMPRODUCT(($A$3:$A$2002=$A1618)*($B$3:$B$2002=$B1618)*($J$3:$J$2002&lt;&gt;"취소")*($L$3:$L$2002&lt;&gt;"")*($M$3:$M$2002&lt;&gt;"")*($L$3:$L$2002&lt;$M1618)*($M$3:$M$2002&gt;$L1618))&gt;1,"중복","-"))</f>
        <v/>
      </c>
    </row>
    <row r="1619" customFormat="false" ht="15" hidden="false" customHeight="true" outlineLevel="0" collapsed="false">
      <c r="A1619" s="11"/>
      <c r="B1619" s="7"/>
      <c r="C1619" s="12" t="str">
        <f aca="false">IF($B1619="","",IFERROR(INDEX(자원목록!$B$3:$B$102,MATCH($B1619,자원목록!$A$3:$A$102,0)),"미등록자원"))</f>
        <v/>
      </c>
      <c r="D1619" s="7"/>
      <c r="E1619" s="12" t="str">
        <f aca="false">IF($D1619="","",IFERROR(INDEX(고객목록!$B$3:$B$502,MATCH($D1619,고객목록!$A$3:$A$502,0)),""))</f>
        <v/>
      </c>
      <c r="F1619" s="13"/>
      <c r="G1619" s="13"/>
      <c r="H1619" s="14" t="str">
        <f aca="false">IF(OR($L1619="",$M1619=""),"",ROUND(($M1619-$L1619)/60,2))</f>
        <v/>
      </c>
      <c r="I1619" s="9"/>
      <c r="J1619" s="7"/>
      <c r="K1619" s="7"/>
      <c r="L1619" s="15" t="str">
        <f aca="false">IF($F1619="","",IF($F1619&lt;1,ROUND($F1619*1440,0),INT($F1619/100)*60+MOD($F1619,100)))</f>
        <v/>
      </c>
      <c r="M1619" s="15" t="str">
        <f aca="false">IF($G1619="","",IF($G1619&lt;1,ROUND($G1619*1440,0),INT($G1619/100)*60+MOD($G1619,100)))</f>
        <v/>
      </c>
      <c r="N1619" s="15" t="str">
        <f aca="false">IF(OR($A1619="",$B1619="",$L1619="",$M1619="",$J1619="취소"),"",IF(SUMPRODUCT(($A$3:$A$2002=$A1619)*($B$3:$B$2002=$B1619)*($J$3:$J$2002&lt;&gt;"취소")*($L$3:$L$2002&lt;&gt;"")*($M$3:$M$2002&lt;&gt;"")*($L$3:$L$2002&lt;$M1619)*($M$3:$M$2002&gt;$L1619))&gt;1,"중복","-"))</f>
        <v/>
      </c>
    </row>
    <row r="1620" customFormat="false" ht="15" hidden="false" customHeight="true" outlineLevel="0" collapsed="false">
      <c r="A1620" s="11"/>
      <c r="B1620" s="7"/>
      <c r="C1620" s="12" t="str">
        <f aca="false">IF($B1620="","",IFERROR(INDEX(자원목록!$B$3:$B$102,MATCH($B1620,자원목록!$A$3:$A$102,0)),"미등록자원"))</f>
        <v/>
      </c>
      <c r="D1620" s="7"/>
      <c r="E1620" s="12" t="str">
        <f aca="false">IF($D1620="","",IFERROR(INDEX(고객목록!$B$3:$B$502,MATCH($D1620,고객목록!$A$3:$A$502,0)),""))</f>
        <v/>
      </c>
      <c r="F1620" s="13"/>
      <c r="G1620" s="13"/>
      <c r="H1620" s="14" t="str">
        <f aca="false">IF(OR($L1620="",$M1620=""),"",ROUND(($M1620-$L1620)/60,2))</f>
        <v/>
      </c>
      <c r="I1620" s="9"/>
      <c r="J1620" s="7"/>
      <c r="K1620" s="7"/>
      <c r="L1620" s="15" t="str">
        <f aca="false">IF($F1620="","",IF($F1620&lt;1,ROUND($F1620*1440,0),INT($F1620/100)*60+MOD($F1620,100)))</f>
        <v/>
      </c>
      <c r="M1620" s="15" t="str">
        <f aca="false">IF($G1620="","",IF($G1620&lt;1,ROUND($G1620*1440,0),INT($G1620/100)*60+MOD($G1620,100)))</f>
        <v/>
      </c>
      <c r="N1620" s="15" t="str">
        <f aca="false">IF(OR($A1620="",$B1620="",$L1620="",$M1620="",$J1620="취소"),"",IF(SUMPRODUCT(($A$3:$A$2002=$A1620)*($B$3:$B$2002=$B1620)*($J$3:$J$2002&lt;&gt;"취소")*($L$3:$L$2002&lt;&gt;"")*($M$3:$M$2002&lt;&gt;"")*($L$3:$L$2002&lt;$M1620)*($M$3:$M$2002&gt;$L1620))&gt;1,"중복","-"))</f>
        <v/>
      </c>
    </row>
    <row r="1621" customFormat="false" ht="15" hidden="false" customHeight="true" outlineLevel="0" collapsed="false">
      <c r="A1621" s="11"/>
      <c r="B1621" s="7"/>
      <c r="C1621" s="12" t="str">
        <f aca="false">IF($B1621="","",IFERROR(INDEX(자원목록!$B$3:$B$102,MATCH($B1621,자원목록!$A$3:$A$102,0)),"미등록자원"))</f>
        <v/>
      </c>
      <c r="D1621" s="7"/>
      <c r="E1621" s="12" t="str">
        <f aca="false">IF($D1621="","",IFERROR(INDEX(고객목록!$B$3:$B$502,MATCH($D1621,고객목록!$A$3:$A$502,0)),""))</f>
        <v/>
      </c>
      <c r="F1621" s="13"/>
      <c r="G1621" s="13"/>
      <c r="H1621" s="14" t="str">
        <f aca="false">IF(OR($L1621="",$M1621=""),"",ROUND(($M1621-$L1621)/60,2))</f>
        <v/>
      </c>
      <c r="I1621" s="9"/>
      <c r="J1621" s="7"/>
      <c r="K1621" s="7"/>
      <c r="L1621" s="15" t="str">
        <f aca="false">IF($F1621="","",IF($F1621&lt;1,ROUND($F1621*1440,0),INT($F1621/100)*60+MOD($F1621,100)))</f>
        <v/>
      </c>
      <c r="M1621" s="15" t="str">
        <f aca="false">IF($G1621="","",IF($G1621&lt;1,ROUND($G1621*1440,0),INT($G1621/100)*60+MOD($G1621,100)))</f>
        <v/>
      </c>
      <c r="N1621" s="15" t="str">
        <f aca="false">IF(OR($A1621="",$B1621="",$L1621="",$M1621="",$J1621="취소"),"",IF(SUMPRODUCT(($A$3:$A$2002=$A1621)*($B$3:$B$2002=$B1621)*($J$3:$J$2002&lt;&gt;"취소")*($L$3:$L$2002&lt;&gt;"")*($M$3:$M$2002&lt;&gt;"")*($L$3:$L$2002&lt;$M1621)*($M$3:$M$2002&gt;$L1621))&gt;1,"중복","-"))</f>
        <v/>
      </c>
    </row>
    <row r="1622" customFormat="false" ht="15" hidden="false" customHeight="true" outlineLevel="0" collapsed="false">
      <c r="A1622" s="11"/>
      <c r="B1622" s="7"/>
      <c r="C1622" s="12" t="str">
        <f aca="false">IF($B1622="","",IFERROR(INDEX(자원목록!$B$3:$B$102,MATCH($B1622,자원목록!$A$3:$A$102,0)),"미등록자원"))</f>
        <v/>
      </c>
      <c r="D1622" s="7"/>
      <c r="E1622" s="12" t="str">
        <f aca="false">IF($D1622="","",IFERROR(INDEX(고객목록!$B$3:$B$502,MATCH($D1622,고객목록!$A$3:$A$502,0)),""))</f>
        <v/>
      </c>
      <c r="F1622" s="13"/>
      <c r="G1622" s="13"/>
      <c r="H1622" s="14" t="str">
        <f aca="false">IF(OR($L1622="",$M1622=""),"",ROUND(($M1622-$L1622)/60,2))</f>
        <v/>
      </c>
      <c r="I1622" s="9"/>
      <c r="J1622" s="7"/>
      <c r="K1622" s="7"/>
      <c r="L1622" s="15" t="str">
        <f aca="false">IF($F1622="","",IF($F1622&lt;1,ROUND($F1622*1440,0),INT($F1622/100)*60+MOD($F1622,100)))</f>
        <v/>
      </c>
      <c r="M1622" s="15" t="str">
        <f aca="false">IF($G1622="","",IF($G1622&lt;1,ROUND($G1622*1440,0),INT($G1622/100)*60+MOD($G1622,100)))</f>
        <v/>
      </c>
      <c r="N1622" s="15" t="str">
        <f aca="false">IF(OR($A1622="",$B1622="",$L1622="",$M1622="",$J1622="취소"),"",IF(SUMPRODUCT(($A$3:$A$2002=$A1622)*($B$3:$B$2002=$B1622)*($J$3:$J$2002&lt;&gt;"취소")*($L$3:$L$2002&lt;&gt;"")*($M$3:$M$2002&lt;&gt;"")*($L$3:$L$2002&lt;$M1622)*($M$3:$M$2002&gt;$L1622))&gt;1,"중복","-"))</f>
        <v/>
      </c>
    </row>
    <row r="1623" customFormat="false" ht="15" hidden="false" customHeight="true" outlineLevel="0" collapsed="false">
      <c r="A1623" s="11"/>
      <c r="B1623" s="7"/>
      <c r="C1623" s="12" t="str">
        <f aca="false">IF($B1623="","",IFERROR(INDEX(자원목록!$B$3:$B$102,MATCH($B1623,자원목록!$A$3:$A$102,0)),"미등록자원"))</f>
        <v/>
      </c>
      <c r="D1623" s="7"/>
      <c r="E1623" s="12" t="str">
        <f aca="false">IF($D1623="","",IFERROR(INDEX(고객목록!$B$3:$B$502,MATCH($D1623,고객목록!$A$3:$A$502,0)),""))</f>
        <v/>
      </c>
      <c r="F1623" s="13"/>
      <c r="G1623" s="13"/>
      <c r="H1623" s="14" t="str">
        <f aca="false">IF(OR($L1623="",$M1623=""),"",ROUND(($M1623-$L1623)/60,2))</f>
        <v/>
      </c>
      <c r="I1623" s="9"/>
      <c r="J1623" s="7"/>
      <c r="K1623" s="7"/>
      <c r="L1623" s="15" t="str">
        <f aca="false">IF($F1623="","",IF($F1623&lt;1,ROUND($F1623*1440,0),INT($F1623/100)*60+MOD($F1623,100)))</f>
        <v/>
      </c>
      <c r="M1623" s="15" t="str">
        <f aca="false">IF($G1623="","",IF($G1623&lt;1,ROUND($G1623*1440,0),INT($G1623/100)*60+MOD($G1623,100)))</f>
        <v/>
      </c>
      <c r="N1623" s="15" t="str">
        <f aca="false">IF(OR($A1623="",$B1623="",$L1623="",$M1623="",$J1623="취소"),"",IF(SUMPRODUCT(($A$3:$A$2002=$A1623)*($B$3:$B$2002=$B1623)*($J$3:$J$2002&lt;&gt;"취소")*($L$3:$L$2002&lt;&gt;"")*($M$3:$M$2002&lt;&gt;"")*($L$3:$L$2002&lt;$M1623)*($M$3:$M$2002&gt;$L1623))&gt;1,"중복","-"))</f>
        <v/>
      </c>
    </row>
    <row r="1624" customFormat="false" ht="15" hidden="false" customHeight="true" outlineLevel="0" collapsed="false">
      <c r="A1624" s="11"/>
      <c r="B1624" s="7"/>
      <c r="C1624" s="12" t="str">
        <f aca="false">IF($B1624="","",IFERROR(INDEX(자원목록!$B$3:$B$102,MATCH($B1624,자원목록!$A$3:$A$102,0)),"미등록자원"))</f>
        <v/>
      </c>
      <c r="D1624" s="7"/>
      <c r="E1624" s="12" t="str">
        <f aca="false">IF($D1624="","",IFERROR(INDEX(고객목록!$B$3:$B$502,MATCH($D1624,고객목록!$A$3:$A$502,0)),""))</f>
        <v/>
      </c>
      <c r="F1624" s="13"/>
      <c r="G1624" s="13"/>
      <c r="H1624" s="14" t="str">
        <f aca="false">IF(OR($L1624="",$M1624=""),"",ROUND(($M1624-$L1624)/60,2))</f>
        <v/>
      </c>
      <c r="I1624" s="9"/>
      <c r="J1624" s="7"/>
      <c r="K1624" s="7"/>
      <c r="L1624" s="15" t="str">
        <f aca="false">IF($F1624="","",IF($F1624&lt;1,ROUND($F1624*1440,0),INT($F1624/100)*60+MOD($F1624,100)))</f>
        <v/>
      </c>
      <c r="M1624" s="15" t="str">
        <f aca="false">IF($G1624="","",IF($G1624&lt;1,ROUND($G1624*1440,0),INT($G1624/100)*60+MOD($G1624,100)))</f>
        <v/>
      </c>
      <c r="N1624" s="15" t="str">
        <f aca="false">IF(OR($A1624="",$B1624="",$L1624="",$M1624="",$J1624="취소"),"",IF(SUMPRODUCT(($A$3:$A$2002=$A1624)*($B$3:$B$2002=$B1624)*($J$3:$J$2002&lt;&gt;"취소")*($L$3:$L$2002&lt;&gt;"")*($M$3:$M$2002&lt;&gt;"")*($L$3:$L$2002&lt;$M1624)*($M$3:$M$2002&gt;$L1624))&gt;1,"중복","-"))</f>
        <v/>
      </c>
    </row>
    <row r="1625" customFormat="false" ht="15" hidden="false" customHeight="true" outlineLevel="0" collapsed="false">
      <c r="A1625" s="11"/>
      <c r="B1625" s="7"/>
      <c r="C1625" s="12" t="str">
        <f aca="false">IF($B1625="","",IFERROR(INDEX(자원목록!$B$3:$B$102,MATCH($B1625,자원목록!$A$3:$A$102,0)),"미등록자원"))</f>
        <v/>
      </c>
      <c r="D1625" s="7"/>
      <c r="E1625" s="12" t="str">
        <f aca="false">IF($D1625="","",IFERROR(INDEX(고객목록!$B$3:$B$502,MATCH($D1625,고객목록!$A$3:$A$502,0)),""))</f>
        <v/>
      </c>
      <c r="F1625" s="13"/>
      <c r="G1625" s="13"/>
      <c r="H1625" s="14" t="str">
        <f aca="false">IF(OR($L1625="",$M1625=""),"",ROUND(($M1625-$L1625)/60,2))</f>
        <v/>
      </c>
      <c r="I1625" s="9"/>
      <c r="J1625" s="7"/>
      <c r="K1625" s="7"/>
      <c r="L1625" s="15" t="str">
        <f aca="false">IF($F1625="","",IF($F1625&lt;1,ROUND($F1625*1440,0),INT($F1625/100)*60+MOD($F1625,100)))</f>
        <v/>
      </c>
      <c r="M1625" s="15" t="str">
        <f aca="false">IF($G1625="","",IF($G1625&lt;1,ROUND($G1625*1440,0),INT($G1625/100)*60+MOD($G1625,100)))</f>
        <v/>
      </c>
      <c r="N1625" s="15" t="str">
        <f aca="false">IF(OR($A1625="",$B1625="",$L1625="",$M1625="",$J1625="취소"),"",IF(SUMPRODUCT(($A$3:$A$2002=$A1625)*($B$3:$B$2002=$B1625)*($J$3:$J$2002&lt;&gt;"취소")*($L$3:$L$2002&lt;&gt;"")*($M$3:$M$2002&lt;&gt;"")*($L$3:$L$2002&lt;$M1625)*($M$3:$M$2002&gt;$L1625))&gt;1,"중복","-"))</f>
        <v/>
      </c>
    </row>
    <row r="1626" customFormat="false" ht="15" hidden="false" customHeight="true" outlineLevel="0" collapsed="false">
      <c r="A1626" s="11"/>
      <c r="B1626" s="7"/>
      <c r="C1626" s="12" t="str">
        <f aca="false">IF($B1626="","",IFERROR(INDEX(자원목록!$B$3:$B$102,MATCH($B1626,자원목록!$A$3:$A$102,0)),"미등록자원"))</f>
        <v/>
      </c>
      <c r="D1626" s="7"/>
      <c r="E1626" s="12" t="str">
        <f aca="false">IF($D1626="","",IFERROR(INDEX(고객목록!$B$3:$B$502,MATCH($D1626,고객목록!$A$3:$A$502,0)),""))</f>
        <v/>
      </c>
      <c r="F1626" s="13"/>
      <c r="G1626" s="13"/>
      <c r="H1626" s="14" t="str">
        <f aca="false">IF(OR($L1626="",$M1626=""),"",ROUND(($M1626-$L1626)/60,2))</f>
        <v/>
      </c>
      <c r="I1626" s="9"/>
      <c r="J1626" s="7"/>
      <c r="K1626" s="7"/>
      <c r="L1626" s="15" t="str">
        <f aca="false">IF($F1626="","",IF($F1626&lt;1,ROUND($F1626*1440,0),INT($F1626/100)*60+MOD($F1626,100)))</f>
        <v/>
      </c>
      <c r="M1626" s="15" t="str">
        <f aca="false">IF($G1626="","",IF($G1626&lt;1,ROUND($G1626*1440,0),INT($G1626/100)*60+MOD($G1626,100)))</f>
        <v/>
      </c>
      <c r="N1626" s="15" t="str">
        <f aca="false">IF(OR($A1626="",$B1626="",$L1626="",$M1626="",$J1626="취소"),"",IF(SUMPRODUCT(($A$3:$A$2002=$A1626)*($B$3:$B$2002=$B1626)*($J$3:$J$2002&lt;&gt;"취소")*($L$3:$L$2002&lt;&gt;"")*($M$3:$M$2002&lt;&gt;"")*($L$3:$L$2002&lt;$M1626)*($M$3:$M$2002&gt;$L1626))&gt;1,"중복","-"))</f>
        <v/>
      </c>
    </row>
    <row r="1627" customFormat="false" ht="15" hidden="false" customHeight="true" outlineLevel="0" collapsed="false">
      <c r="A1627" s="11"/>
      <c r="B1627" s="7"/>
      <c r="C1627" s="12" t="str">
        <f aca="false">IF($B1627="","",IFERROR(INDEX(자원목록!$B$3:$B$102,MATCH($B1627,자원목록!$A$3:$A$102,0)),"미등록자원"))</f>
        <v/>
      </c>
      <c r="D1627" s="7"/>
      <c r="E1627" s="12" t="str">
        <f aca="false">IF($D1627="","",IFERROR(INDEX(고객목록!$B$3:$B$502,MATCH($D1627,고객목록!$A$3:$A$502,0)),""))</f>
        <v/>
      </c>
      <c r="F1627" s="13"/>
      <c r="G1627" s="13"/>
      <c r="H1627" s="14" t="str">
        <f aca="false">IF(OR($L1627="",$M1627=""),"",ROUND(($M1627-$L1627)/60,2))</f>
        <v/>
      </c>
      <c r="I1627" s="9"/>
      <c r="J1627" s="7"/>
      <c r="K1627" s="7"/>
      <c r="L1627" s="15" t="str">
        <f aca="false">IF($F1627="","",IF($F1627&lt;1,ROUND($F1627*1440,0),INT($F1627/100)*60+MOD($F1627,100)))</f>
        <v/>
      </c>
      <c r="M1627" s="15" t="str">
        <f aca="false">IF($G1627="","",IF($G1627&lt;1,ROUND($G1627*1440,0),INT($G1627/100)*60+MOD($G1627,100)))</f>
        <v/>
      </c>
      <c r="N1627" s="15" t="str">
        <f aca="false">IF(OR($A1627="",$B1627="",$L1627="",$M1627="",$J1627="취소"),"",IF(SUMPRODUCT(($A$3:$A$2002=$A1627)*($B$3:$B$2002=$B1627)*($J$3:$J$2002&lt;&gt;"취소")*($L$3:$L$2002&lt;&gt;"")*($M$3:$M$2002&lt;&gt;"")*($L$3:$L$2002&lt;$M1627)*($M$3:$M$2002&gt;$L1627))&gt;1,"중복","-"))</f>
        <v/>
      </c>
    </row>
    <row r="1628" customFormat="false" ht="15" hidden="false" customHeight="true" outlineLevel="0" collapsed="false">
      <c r="A1628" s="11"/>
      <c r="B1628" s="7"/>
      <c r="C1628" s="12" t="str">
        <f aca="false">IF($B1628="","",IFERROR(INDEX(자원목록!$B$3:$B$102,MATCH($B1628,자원목록!$A$3:$A$102,0)),"미등록자원"))</f>
        <v/>
      </c>
      <c r="D1628" s="7"/>
      <c r="E1628" s="12" t="str">
        <f aca="false">IF($D1628="","",IFERROR(INDEX(고객목록!$B$3:$B$502,MATCH($D1628,고객목록!$A$3:$A$502,0)),""))</f>
        <v/>
      </c>
      <c r="F1628" s="13"/>
      <c r="G1628" s="13"/>
      <c r="H1628" s="14" t="str">
        <f aca="false">IF(OR($L1628="",$M1628=""),"",ROUND(($M1628-$L1628)/60,2))</f>
        <v/>
      </c>
      <c r="I1628" s="9"/>
      <c r="J1628" s="7"/>
      <c r="K1628" s="7"/>
      <c r="L1628" s="15" t="str">
        <f aca="false">IF($F1628="","",IF($F1628&lt;1,ROUND($F1628*1440,0),INT($F1628/100)*60+MOD($F1628,100)))</f>
        <v/>
      </c>
      <c r="M1628" s="15" t="str">
        <f aca="false">IF($G1628="","",IF($G1628&lt;1,ROUND($G1628*1440,0),INT($G1628/100)*60+MOD($G1628,100)))</f>
        <v/>
      </c>
      <c r="N1628" s="15" t="str">
        <f aca="false">IF(OR($A1628="",$B1628="",$L1628="",$M1628="",$J1628="취소"),"",IF(SUMPRODUCT(($A$3:$A$2002=$A1628)*($B$3:$B$2002=$B1628)*($J$3:$J$2002&lt;&gt;"취소")*($L$3:$L$2002&lt;&gt;"")*($M$3:$M$2002&lt;&gt;"")*($L$3:$L$2002&lt;$M1628)*($M$3:$M$2002&gt;$L1628))&gt;1,"중복","-"))</f>
        <v/>
      </c>
    </row>
    <row r="1629" customFormat="false" ht="15" hidden="false" customHeight="true" outlineLevel="0" collapsed="false">
      <c r="A1629" s="11"/>
      <c r="B1629" s="7"/>
      <c r="C1629" s="12" t="str">
        <f aca="false">IF($B1629="","",IFERROR(INDEX(자원목록!$B$3:$B$102,MATCH($B1629,자원목록!$A$3:$A$102,0)),"미등록자원"))</f>
        <v/>
      </c>
      <c r="D1629" s="7"/>
      <c r="E1629" s="12" t="str">
        <f aca="false">IF($D1629="","",IFERROR(INDEX(고객목록!$B$3:$B$502,MATCH($D1629,고객목록!$A$3:$A$502,0)),""))</f>
        <v/>
      </c>
      <c r="F1629" s="13"/>
      <c r="G1629" s="13"/>
      <c r="H1629" s="14" t="str">
        <f aca="false">IF(OR($L1629="",$M1629=""),"",ROUND(($M1629-$L1629)/60,2))</f>
        <v/>
      </c>
      <c r="I1629" s="9"/>
      <c r="J1629" s="7"/>
      <c r="K1629" s="7"/>
      <c r="L1629" s="15" t="str">
        <f aca="false">IF($F1629="","",IF($F1629&lt;1,ROUND($F1629*1440,0),INT($F1629/100)*60+MOD($F1629,100)))</f>
        <v/>
      </c>
      <c r="M1629" s="15" t="str">
        <f aca="false">IF($G1629="","",IF($G1629&lt;1,ROUND($G1629*1440,0),INT($G1629/100)*60+MOD($G1629,100)))</f>
        <v/>
      </c>
      <c r="N1629" s="15" t="str">
        <f aca="false">IF(OR($A1629="",$B1629="",$L1629="",$M1629="",$J1629="취소"),"",IF(SUMPRODUCT(($A$3:$A$2002=$A1629)*($B$3:$B$2002=$B1629)*($J$3:$J$2002&lt;&gt;"취소")*($L$3:$L$2002&lt;&gt;"")*($M$3:$M$2002&lt;&gt;"")*($L$3:$L$2002&lt;$M1629)*($M$3:$M$2002&gt;$L1629))&gt;1,"중복","-"))</f>
        <v/>
      </c>
    </row>
    <row r="1630" customFormat="false" ht="15" hidden="false" customHeight="true" outlineLevel="0" collapsed="false">
      <c r="A1630" s="11"/>
      <c r="B1630" s="7"/>
      <c r="C1630" s="12" t="str">
        <f aca="false">IF($B1630="","",IFERROR(INDEX(자원목록!$B$3:$B$102,MATCH($B1630,자원목록!$A$3:$A$102,0)),"미등록자원"))</f>
        <v/>
      </c>
      <c r="D1630" s="7"/>
      <c r="E1630" s="12" t="str">
        <f aca="false">IF($D1630="","",IFERROR(INDEX(고객목록!$B$3:$B$502,MATCH($D1630,고객목록!$A$3:$A$502,0)),""))</f>
        <v/>
      </c>
      <c r="F1630" s="13"/>
      <c r="G1630" s="13"/>
      <c r="H1630" s="14" t="str">
        <f aca="false">IF(OR($L1630="",$M1630=""),"",ROUND(($M1630-$L1630)/60,2))</f>
        <v/>
      </c>
      <c r="I1630" s="9"/>
      <c r="J1630" s="7"/>
      <c r="K1630" s="7"/>
      <c r="L1630" s="15" t="str">
        <f aca="false">IF($F1630="","",IF($F1630&lt;1,ROUND($F1630*1440,0),INT($F1630/100)*60+MOD($F1630,100)))</f>
        <v/>
      </c>
      <c r="M1630" s="15" t="str">
        <f aca="false">IF($G1630="","",IF($G1630&lt;1,ROUND($G1630*1440,0),INT($G1630/100)*60+MOD($G1630,100)))</f>
        <v/>
      </c>
      <c r="N1630" s="15" t="str">
        <f aca="false">IF(OR($A1630="",$B1630="",$L1630="",$M1630="",$J1630="취소"),"",IF(SUMPRODUCT(($A$3:$A$2002=$A1630)*($B$3:$B$2002=$B1630)*($J$3:$J$2002&lt;&gt;"취소")*($L$3:$L$2002&lt;&gt;"")*($M$3:$M$2002&lt;&gt;"")*($L$3:$L$2002&lt;$M1630)*($M$3:$M$2002&gt;$L1630))&gt;1,"중복","-"))</f>
        <v/>
      </c>
    </row>
    <row r="1631" customFormat="false" ht="15" hidden="false" customHeight="true" outlineLevel="0" collapsed="false">
      <c r="A1631" s="11"/>
      <c r="B1631" s="7"/>
      <c r="C1631" s="12" t="str">
        <f aca="false">IF($B1631="","",IFERROR(INDEX(자원목록!$B$3:$B$102,MATCH($B1631,자원목록!$A$3:$A$102,0)),"미등록자원"))</f>
        <v/>
      </c>
      <c r="D1631" s="7"/>
      <c r="E1631" s="12" t="str">
        <f aca="false">IF($D1631="","",IFERROR(INDEX(고객목록!$B$3:$B$502,MATCH($D1631,고객목록!$A$3:$A$502,0)),""))</f>
        <v/>
      </c>
      <c r="F1631" s="13"/>
      <c r="G1631" s="13"/>
      <c r="H1631" s="14" t="str">
        <f aca="false">IF(OR($L1631="",$M1631=""),"",ROUND(($M1631-$L1631)/60,2))</f>
        <v/>
      </c>
      <c r="I1631" s="9"/>
      <c r="J1631" s="7"/>
      <c r="K1631" s="7"/>
      <c r="L1631" s="15" t="str">
        <f aca="false">IF($F1631="","",IF($F1631&lt;1,ROUND($F1631*1440,0),INT($F1631/100)*60+MOD($F1631,100)))</f>
        <v/>
      </c>
      <c r="M1631" s="15" t="str">
        <f aca="false">IF($G1631="","",IF($G1631&lt;1,ROUND($G1631*1440,0),INT($G1631/100)*60+MOD($G1631,100)))</f>
        <v/>
      </c>
      <c r="N1631" s="15" t="str">
        <f aca="false">IF(OR($A1631="",$B1631="",$L1631="",$M1631="",$J1631="취소"),"",IF(SUMPRODUCT(($A$3:$A$2002=$A1631)*($B$3:$B$2002=$B1631)*($J$3:$J$2002&lt;&gt;"취소")*($L$3:$L$2002&lt;&gt;"")*($M$3:$M$2002&lt;&gt;"")*($L$3:$L$2002&lt;$M1631)*($M$3:$M$2002&gt;$L1631))&gt;1,"중복","-"))</f>
        <v/>
      </c>
    </row>
    <row r="1632" customFormat="false" ht="15" hidden="false" customHeight="true" outlineLevel="0" collapsed="false">
      <c r="A1632" s="11"/>
      <c r="B1632" s="7"/>
      <c r="C1632" s="12" t="str">
        <f aca="false">IF($B1632="","",IFERROR(INDEX(자원목록!$B$3:$B$102,MATCH($B1632,자원목록!$A$3:$A$102,0)),"미등록자원"))</f>
        <v/>
      </c>
      <c r="D1632" s="7"/>
      <c r="E1632" s="12" t="str">
        <f aca="false">IF($D1632="","",IFERROR(INDEX(고객목록!$B$3:$B$502,MATCH($D1632,고객목록!$A$3:$A$502,0)),""))</f>
        <v/>
      </c>
      <c r="F1632" s="13"/>
      <c r="G1632" s="13"/>
      <c r="H1632" s="14" t="str">
        <f aca="false">IF(OR($L1632="",$M1632=""),"",ROUND(($M1632-$L1632)/60,2))</f>
        <v/>
      </c>
      <c r="I1632" s="9"/>
      <c r="J1632" s="7"/>
      <c r="K1632" s="7"/>
      <c r="L1632" s="15" t="str">
        <f aca="false">IF($F1632="","",IF($F1632&lt;1,ROUND($F1632*1440,0),INT($F1632/100)*60+MOD($F1632,100)))</f>
        <v/>
      </c>
      <c r="M1632" s="15" t="str">
        <f aca="false">IF($G1632="","",IF($G1632&lt;1,ROUND($G1632*1440,0),INT($G1632/100)*60+MOD($G1632,100)))</f>
        <v/>
      </c>
      <c r="N1632" s="15" t="str">
        <f aca="false">IF(OR($A1632="",$B1632="",$L1632="",$M1632="",$J1632="취소"),"",IF(SUMPRODUCT(($A$3:$A$2002=$A1632)*($B$3:$B$2002=$B1632)*($J$3:$J$2002&lt;&gt;"취소")*($L$3:$L$2002&lt;&gt;"")*($M$3:$M$2002&lt;&gt;"")*($L$3:$L$2002&lt;$M1632)*($M$3:$M$2002&gt;$L1632))&gt;1,"중복","-"))</f>
        <v/>
      </c>
    </row>
    <row r="1633" customFormat="false" ht="15" hidden="false" customHeight="true" outlineLevel="0" collapsed="false">
      <c r="A1633" s="11"/>
      <c r="B1633" s="7"/>
      <c r="C1633" s="12" t="str">
        <f aca="false">IF($B1633="","",IFERROR(INDEX(자원목록!$B$3:$B$102,MATCH($B1633,자원목록!$A$3:$A$102,0)),"미등록자원"))</f>
        <v/>
      </c>
      <c r="D1633" s="7"/>
      <c r="E1633" s="12" t="str">
        <f aca="false">IF($D1633="","",IFERROR(INDEX(고객목록!$B$3:$B$502,MATCH($D1633,고객목록!$A$3:$A$502,0)),""))</f>
        <v/>
      </c>
      <c r="F1633" s="13"/>
      <c r="G1633" s="13"/>
      <c r="H1633" s="14" t="str">
        <f aca="false">IF(OR($L1633="",$M1633=""),"",ROUND(($M1633-$L1633)/60,2))</f>
        <v/>
      </c>
      <c r="I1633" s="9"/>
      <c r="J1633" s="7"/>
      <c r="K1633" s="7"/>
      <c r="L1633" s="15" t="str">
        <f aca="false">IF($F1633="","",IF($F1633&lt;1,ROUND($F1633*1440,0),INT($F1633/100)*60+MOD($F1633,100)))</f>
        <v/>
      </c>
      <c r="M1633" s="15" t="str">
        <f aca="false">IF($G1633="","",IF($G1633&lt;1,ROUND($G1633*1440,0),INT($G1633/100)*60+MOD($G1633,100)))</f>
        <v/>
      </c>
      <c r="N1633" s="15" t="str">
        <f aca="false">IF(OR($A1633="",$B1633="",$L1633="",$M1633="",$J1633="취소"),"",IF(SUMPRODUCT(($A$3:$A$2002=$A1633)*($B$3:$B$2002=$B1633)*($J$3:$J$2002&lt;&gt;"취소")*($L$3:$L$2002&lt;&gt;"")*($M$3:$M$2002&lt;&gt;"")*($L$3:$L$2002&lt;$M1633)*($M$3:$M$2002&gt;$L1633))&gt;1,"중복","-"))</f>
        <v/>
      </c>
    </row>
    <row r="1634" customFormat="false" ht="15" hidden="false" customHeight="true" outlineLevel="0" collapsed="false">
      <c r="A1634" s="11"/>
      <c r="B1634" s="7"/>
      <c r="C1634" s="12" t="str">
        <f aca="false">IF($B1634="","",IFERROR(INDEX(자원목록!$B$3:$B$102,MATCH($B1634,자원목록!$A$3:$A$102,0)),"미등록자원"))</f>
        <v/>
      </c>
      <c r="D1634" s="7"/>
      <c r="E1634" s="12" t="str">
        <f aca="false">IF($D1634="","",IFERROR(INDEX(고객목록!$B$3:$B$502,MATCH($D1634,고객목록!$A$3:$A$502,0)),""))</f>
        <v/>
      </c>
      <c r="F1634" s="13"/>
      <c r="G1634" s="13"/>
      <c r="H1634" s="14" t="str">
        <f aca="false">IF(OR($L1634="",$M1634=""),"",ROUND(($M1634-$L1634)/60,2))</f>
        <v/>
      </c>
      <c r="I1634" s="9"/>
      <c r="J1634" s="7"/>
      <c r="K1634" s="7"/>
      <c r="L1634" s="15" t="str">
        <f aca="false">IF($F1634="","",IF($F1634&lt;1,ROUND($F1634*1440,0),INT($F1634/100)*60+MOD($F1634,100)))</f>
        <v/>
      </c>
      <c r="M1634" s="15" t="str">
        <f aca="false">IF($G1634="","",IF($G1634&lt;1,ROUND($G1634*1440,0),INT($G1634/100)*60+MOD($G1634,100)))</f>
        <v/>
      </c>
      <c r="N1634" s="15" t="str">
        <f aca="false">IF(OR($A1634="",$B1634="",$L1634="",$M1634="",$J1634="취소"),"",IF(SUMPRODUCT(($A$3:$A$2002=$A1634)*($B$3:$B$2002=$B1634)*($J$3:$J$2002&lt;&gt;"취소")*($L$3:$L$2002&lt;&gt;"")*($M$3:$M$2002&lt;&gt;"")*($L$3:$L$2002&lt;$M1634)*($M$3:$M$2002&gt;$L1634))&gt;1,"중복","-"))</f>
        <v/>
      </c>
    </row>
    <row r="1635" customFormat="false" ht="15" hidden="false" customHeight="true" outlineLevel="0" collapsed="false">
      <c r="A1635" s="11"/>
      <c r="B1635" s="7"/>
      <c r="C1635" s="12" t="str">
        <f aca="false">IF($B1635="","",IFERROR(INDEX(자원목록!$B$3:$B$102,MATCH($B1635,자원목록!$A$3:$A$102,0)),"미등록자원"))</f>
        <v/>
      </c>
      <c r="D1635" s="7"/>
      <c r="E1635" s="12" t="str">
        <f aca="false">IF($D1635="","",IFERROR(INDEX(고객목록!$B$3:$B$502,MATCH($D1635,고객목록!$A$3:$A$502,0)),""))</f>
        <v/>
      </c>
      <c r="F1635" s="13"/>
      <c r="G1635" s="13"/>
      <c r="H1635" s="14" t="str">
        <f aca="false">IF(OR($L1635="",$M1635=""),"",ROUND(($M1635-$L1635)/60,2))</f>
        <v/>
      </c>
      <c r="I1635" s="9"/>
      <c r="J1635" s="7"/>
      <c r="K1635" s="7"/>
      <c r="L1635" s="15" t="str">
        <f aca="false">IF($F1635="","",IF($F1635&lt;1,ROUND($F1635*1440,0),INT($F1635/100)*60+MOD($F1635,100)))</f>
        <v/>
      </c>
      <c r="M1635" s="15" t="str">
        <f aca="false">IF($G1635="","",IF($G1635&lt;1,ROUND($G1635*1440,0),INT($G1635/100)*60+MOD($G1635,100)))</f>
        <v/>
      </c>
      <c r="N1635" s="15" t="str">
        <f aca="false">IF(OR($A1635="",$B1635="",$L1635="",$M1635="",$J1635="취소"),"",IF(SUMPRODUCT(($A$3:$A$2002=$A1635)*($B$3:$B$2002=$B1635)*($J$3:$J$2002&lt;&gt;"취소")*($L$3:$L$2002&lt;&gt;"")*($M$3:$M$2002&lt;&gt;"")*($L$3:$L$2002&lt;$M1635)*($M$3:$M$2002&gt;$L1635))&gt;1,"중복","-"))</f>
        <v/>
      </c>
    </row>
    <row r="1636" customFormat="false" ht="15" hidden="false" customHeight="true" outlineLevel="0" collapsed="false">
      <c r="A1636" s="11"/>
      <c r="B1636" s="7"/>
      <c r="C1636" s="12" t="str">
        <f aca="false">IF($B1636="","",IFERROR(INDEX(자원목록!$B$3:$B$102,MATCH($B1636,자원목록!$A$3:$A$102,0)),"미등록자원"))</f>
        <v/>
      </c>
      <c r="D1636" s="7"/>
      <c r="E1636" s="12" t="str">
        <f aca="false">IF($D1636="","",IFERROR(INDEX(고객목록!$B$3:$B$502,MATCH($D1636,고객목록!$A$3:$A$502,0)),""))</f>
        <v/>
      </c>
      <c r="F1636" s="13"/>
      <c r="G1636" s="13"/>
      <c r="H1636" s="14" t="str">
        <f aca="false">IF(OR($L1636="",$M1636=""),"",ROUND(($M1636-$L1636)/60,2))</f>
        <v/>
      </c>
      <c r="I1636" s="9"/>
      <c r="J1636" s="7"/>
      <c r="K1636" s="7"/>
      <c r="L1636" s="15" t="str">
        <f aca="false">IF($F1636="","",IF($F1636&lt;1,ROUND($F1636*1440,0),INT($F1636/100)*60+MOD($F1636,100)))</f>
        <v/>
      </c>
      <c r="M1636" s="15" t="str">
        <f aca="false">IF($G1636="","",IF($G1636&lt;1,ROUND($G1636*1440,0),INT($G1636/100)*60+MOD($G1636,100)))</f>
        <v/>
      </c>
      <c r="N1636" s="15" t="str">
        <f aca="false">IF(OR($A1636="",$B1636="",$L1636="",$M1636="",$J1636="취소"),"",IF(SUMPRODUCT(($A$3:$A$2002=$A1636)*($B$3:$B$2002=$B1636)*($J$3:$J$2002&lt;&gt;"취소")*($L$3:$L$2002&lt;&gt;"")*($M$3:$M$2002&lt;&gt;"")*($L$3:$L$2002&lt;$M1636)*($M$3:$M$2002&gt;$L1636))&gt;1,"중복","-"))</f>
        <v/>
      </c>
    </row>
    <row r="1637" customFormat="false" ht="15" hidden="false" customHeight="true" outlineLevel="0" collapsed="false">
      <c r="A1637" s="11"/>
      <c r="B1637" s="7"/>
      <c r="C1637" s="12" t="str">
        <f aca="false">IF($B1637="","",IFERROR(INDEX(자원목록!$B$3:$B$102,MATCH($B1637,자원목록!$A$3:$A$102,0)),"미등록자원"))</f>
        <v/>
      </c>
      <c r="D1637" s="7"/>
      <c r="E1637" s="12" t="str">
        <f aca="false">IF($D1637="","",IFERROR(INDEX(고객목록!$B$3:$B$502,MATCH($D1637,고객목록!$A$3:$A$502,0)),""))</f>
        <v/>
      </c>
      <c r="F1637" s="13"/>
      <c r="G1637" s="13"/>
      <c r="H1637" s="14" t="str">
        <f aca="false">IF(OR($L1637="",$M1637=""),"",ROUND(($M1637-$L1637)/60,2))</f>
        <v/>
      </c>
      <c r="I1637" s="9"/>
      <c r="J1637" s="7"/>
      <c r="K1637" s="7"/>
      <c r="L1637" s="15" t="str">
        <f aca="false">IF($F1637="","",IF($F1637&lt;1,ROUND($F1637*1440,0),INT($F1637/100)*60+MOD($F1637,100)))</f>
        <v/>
      </c>
      <c r="M1637" s="15" t="str">
        <f aca="false">IF($G1637="","",IF($G1637&lt;1,ROUND($G1637*1440,0),INT($G1637/100)*60+MOD($G1637,100)))</f>
        <v/>
      </c>
      <c r="N1637" s="15" t="str">
        <f aca="false">IF(OR($A1637="",$B1637="",$L1637="",$M1637="",$J1637="취소"),"",IF(SUMPRODUCT(($A$3:$A$2002=$A1637)*($B$3:$B$2002=$B1637)*($J$3:$J$2002&lt;&gt;"취소")*($L$3:$L$2002&lt;&gt;"")*($M$3:$M$2002&lt;&gt;"")*($L$3:$L$2002&lt;$M1637)*($M$3:$M$2002&gt;$L1637))&gt;1,"중복","-"))</f>
        <v/>
      </c>
    </row>
    <row r="1638" customFormat="false" ht="15" hidden="false" customHeight="true" outlineLevel="0" collapsed="false">
      <c r="A1638" s="11"/>
      <c r="B1638" s="7"/>
      <c r="C1638" s="12" t="str">
        <f aca="false">IF($B1638="","",IFERROR(INDEX(자원목록!$B$3:$B$102,MATCH($B1638,자원목록!$A$3:$A$102,0)),"미등록자원"))</f>
        <v/>
      </c>
      <c r="D1638" s="7"/>
      <c r="E1638" s="12" t="str">
        <f aca="false">IF($D1638="","",IFERROR(INDEX(고객목록!$B$3:$B$502,MATCH($D1638,고객목록!$A$3:$A$502,0)),""))</f>
        <v/>
      </c>
      <c r="F1638" s="13"/>
      <c r="G1638" s="13"/>
      <c r="H1638" s="14" t="str">
        <f aca="false">IF(OR($L1638="",$M1638=""),"",ROUND(($M1638-$L1638)/60,2))</f>
        <v/>
      </c>
      <c r="I1638" s="9"/>
      <c r="J1638" s="7"/>
      <c r="K1638" s="7"/>
      <c r="L1638" s="15" t="str">
        <f aca="false">IF($F1638="","",IF($F1638&lt;1,ROUND($F1638*1440,0),INT($F1638/100)*60+MOD($F1638,100)))</f>
        <v/>
      </c>
      <c r="M1638" s="15" t="str">
        <f aca="false">IF($G1638="","",IF($G1638&lt;1,ROUND($G1638*1440,0),INT($G1638/100)*60+MOD($G1638,100)))</f>
        <v/>
      </c>
      <c r="N1638" s="15" t="str">
        <f aca="false">IF(OR($A1638="",$B1638="",$L1638="",$M1638="",$J1638="취소"),"",IF(SUMPRODUCT(($A$3:$A$2002=$A1638)*($B$3:$B$2002=$B1638)*($J$3:$J$2002&lt;&gt;"취소")*($L$3:$L$2002&lt;&gt;"")*($M$3:$M$2002&lt;&gt;"")*($L$3:$L$2002&lt;$M1638)*($M$3:$M$2002&gt;$L1638))&gt;1,"중복","-"))</f>
        <v/>
      </c>
    </row>
    <row r="1639" customFormat="false" ht="15" hidden="false" customHeight="true" outlineLevel="0" collapsed="false">
      <c r="A1639" s="11"/>
      <c r="B1639" s="7"/>
      <c r="C1639" s="12" t="str">
        <f aca="false">IF($B1639="","",IFERROR(INDEX(자원목록!$B$3:$B$102,MATCH($B1639,자원목록!$A$3:$A$102,0)),"미등록자원"))</f>
        <v/>
      </c>
      <c r="D1639" s="7"/>
      <c r="E1639" s="12" t="str">
        <f aca="false">IF($D1639="","",IFERROR(INDEX(고객목록!$B$3:$B$502,MATCH($D1639,고객목록!$A$3:$A$502,0)),""))</f>
        <v/>
      </c>
      <c r="F1639" s="13"/>
      <c r="G1639" s="13"/>
      <c r="H1639" s="14" t="str">
        <f aca="false">IF(OR($L1639="",$M1639=""),"",ROUND(($M1639-$L1639)/60,2))</f>
        <v/>
      </c>
      <c r="I1639" s="9"/>
      <c r="J1639" s="7"/>
      <c r="K1639" s="7"/>
      <c r="L1639" s="15" t="str">
        <f aca="false">IF($F1639="","",IF($F1639&lt;1,ROUND($F1639*1440,0),INT($F1639/100)*60+MOD($F1639,100)))</f>
        <v/>
      </c>
      <c r="M1639" s="15" t="str">
        <f aca="false">IF($G1639="","",IF($G1639&lt;1,ROUND($G1639*1440,0),INT($G1639/100)*60+MOD($G1639,100)))</f>
        <v/>
      </c>
      <c r="N1639" s="15" t="str">
        <f aca="false">IF(OR($A1639="",$B1639="",$L1639="",$M1639="",$J1639="취소"),"",IF(SUMPRODUCT(($A$3:$A$2002=$A1639)*($B$3:$B$2002=$B1639)*($J$3:$J$2002&lt;&gt;"취소")*($L$3:$L$2002&lt;&gt;"")*($M$3:$M$2002&lt;&gt;"")*($L$3:$L$2002&lt;$M1639)*($M$3:$M$2002&gt;$L1639))&gt;1,"중복","-"))</f>
        <v/>
      </c>
    </row>
    <row r="1640" customFormat="false" ht="15" hidden="false" customHeight="true" outlineLevel="0" collapsed="false">
      <c r="A1640" s="11"/>
      <c r="B1640" s="7"/>
      <c r="C1640" s="12" t="str">
        <f aca="false">IF($B1640="","",IFERROR(INDEX(자원목록!$B$3:$B$102,MATCH($B1640,자원목록!$A$3:$A$102,0)),"미등록자원"))</f>
        <v/>
      </c>
      <c r="D1640" s="7"/>
      <c r="E1640" s="12" t="str">
        <f aca="false">IF($D1640="","",IFERROR(INDEX(고객목록!$B$3:$B$502,MATCH($D1640,고객목록!$A$3:$A$502,0)),""))</f>
        <v/>
      </c>
      <c r="F1640" s="13"/>
      <c r="G1640" s="13"/>
      <c r="H1640" s="14" t="str">
        <f aca="false">IF(OR($L1640="",$M1640=""),"",ROUND(($M1640-$L1640)/60,2))</f>
        <v/>
      </c>
      <c r="I1640" s="9"/>
      <c r="J1640" s="7"/>
      <c r="K1640" s="7"/>
      <c r="L1640" s="15" t="str">
        <f aca="false">IF($F1640="","",IF($F1640&lt;1,ROUND($F1640*1440,0),INT($F1640/100)*60+MOD($F1640,100)))</f>
        <v/>
      </c>
      <c r="M1640" s="15" t="str">
        <f aca="false">IF($G1640="","",IF($G1640&lt;1,ROUND($G1640*1440,0),INT($G1640/100)*60+MOD($G1640,100)))</f>
        <v/>
      </c>
      <c r="N1640" s="15" t="str">
        <f aca="false">IF(OR($A1640="",$B1640="",$L1640="",$M1640="",$J1640="취소"),"",IF(SUMPRODUCT(($A$3:$A$2002=$A1640)*($B$3:$B$2002=$B1640)*($J$3:$J$2002&lt;&gt;"취소")*($L$3:$L$2002&lt;&gt;"")*($M$3:$M$2002&lt;&gt;"")*($L$3:$L$2002&lt;$M1640)*($M$3:$M$2002&gt;$L1640))&gt;1,"중복","-"))</f>
        <v/>
      </c>
    </row>
    <row r="1641" customFormat="false" ht="15" hidden="false" customHeight="true" outlineLevel="0" collapsed="false">
      <c r="A1641" s="11"/>
      <c r="B1641" s="7"/>
      <c r="C1641" s="12" t="str">
        <f aca="false">IF($B1641="","",IFERROR(INDEX(자원목록!$B$3:$B$102,MATCH($B1641,자원목록!$A$3:$A$102,0)),"미등록자원"))</f>
        <v/>
      </c>
      <c r="D1641" s="7"/>
      <c r="E1641" s="12" t="str">
        <f aca="false">IF($D1641="","",IFERROR(INDEX(고객목록!$B$3:$B$502,MATCH($D1641,고객목록!$A$3:$A$502,0)),""))</f>
        <v/>
      </c>
      <c r="F1641" s="13"/>
      <c r="G1641" s="13"/>
      <c r="H1641" s="14" t="str">
        <f aca="false">IF(OR($L1641="",$M1641=""),"",ROUND(($M1641-$L1641)/60,2))</f>
        <v/>
      </c>
      <c r="I1641" s="9"/>
      <c r="J1641" s="7"/>
      <c r="K1641" s="7"/>
      <c r="L1641" s="15" t="str">
        <f aca="false">IF($F1641="","",IF($F1641&lt;1,ROUND($F1641*1440,0),INT($F1641/100)*60+MOD($F1641,100)))</f>
        <v/>
      </c>
      <c r="M1641" s="15" t="str">
        <f aca="false">IF($G1641="","",IF($G1641&lt;1,ROUND($G1641*1440,0),INT($G1641/100)*60+MOD($G1641,100)))</f>
        <v/>
      </c>
      <c r="N1641" s="15" t="str">
        <f aca="false">IF(OR($A1641="",$B1641="",$L1641="",$M1641="",$J1641="취소"),"",IF(SUMPRODUCT(($A$3:$A$2002=$A1641)*($B$3:$B$2002=$B1641)*($J$3:$J$2002&lt;&gt;"취소")*($L$3:$L$2002&lt;&gt;"")*($M$3:$M$2002&lt;&gt;"")*($L$3:$L$2002&lt;$M1641)*($M$3:$M$2002&gt;$L1641))&gt;1,"중복","-"))</f>
        <v/>
      </c>
    </row>
    <row r="1642" customFormat="false" ht="15" hidden="false" customHeight="true" outlineLevel="0" collapsed="false">
      <c r="A1642" s="11"/>
      <c r="B1642" s="7"/>
      <c r="C1642" s="12" t="str">
        <f aca="false">IF($B1642="","",IFERROR(INDEX(자원목록!$B$3:$B$102,MATCH($B1642,자원목록!$A$3:$A$102,0)),"미등록자원"))</f>
        <v/>
      </c>
      <c r="D1642" s="7"/>
      <c r="E1642" s="12" t="str">
        <f aca="false">IF($D1642="","",IFERROR(INDEX(고객목록!$B$3:$B$502,MATCH($D1642,고객목록!$A$3:$A$502,0)),""))</f>
        <v/>
      </c>
      <c r="F1642" s="13"/>
      <c r="G1642" s="13"/>
      <c r="H1642" s="14" t="str">
        <f aca="false">IF(OR($L1642="",$M1642=""),"",ROUND(($M1642-$L1642)/60,2))</f>
        <v/>
      </c>
      <c r="I1642" s="9"/>
      <c r="J1642" s="7"/>
      <c r="K1642" s="7"/>
      <c r="L1642" s="15" t="str">
        <f aca="false">IF($F1642="","",IF($F1642&lt;1,ROUND($F1642*1440,0),INT($F1642/100)*60+MOD($F1642,100)))</f>
        <v/>
      </c>
      <c r="M1642" s="15" t="str">
        <f aca="false">IF($G1642="","",IF($G1642&lt;1,ROUND($G1642*1440,0),INT($G1642/100)*60+MOD($G1642,100)))</f>
        <v/>
      </c>
      <c r="N1642" s="15" t="str">
        <f aca="false">IF(OR($A1642="",$B1642="",$L1642="",$M1642="",$J1642="취소"),"",IF(SUMPRODUCT(($A$3:$A$2002=$A1642)*($B$3:$B$2002=$B1642)*($J$3:$J$2002&lt;&gt;"취소")*($L$3:$L$2002&lt;&gt;"")*($M$3:$M$2002&lt;&gt;"")*($L$3:$L$2002&lt;$M1642)*($M$3:$M$2002&gt;$L1642))&gt;1,"중복","-"))</f>
        <v/>
      </c>
    </row>
    <row r="1643" customFormat="false" ht="15" hidden="false" customHeight="true" outlineLevel="0" collapsed="false">
      <c r="A1643" s="11"/>
      <c r="B1643" s="7"/>
      <c r="C1643" s="12" t="str">
        <f aca="false">IF($B1643="","",IFERROR(INDEX(자원목록!$B$3:$B$102,MATCH($B1643,자원목록!$A$3:$A$102,0)),"미등록자원"))</f>
        <v/>
      </c>
      <c r="D1643" s="7"/>
      <c r="E1643" s="12" t="str">
        <f aca="false">IF($D1643="","",IFERROR(INDEX(고객목록!$B$3:$B$502,MATCH($D1643,고객목록!$A$3:$A$502,0)),""))</f>
        <v/>
      </c>
      <c r="F1643" s="13"/>
      <c r="G1643" s="13"/>
      <c r="H1643" s="14" t="str">
        <f aca="false">IF(OR($L1643="",$M1643=""),"",ROUND(($M1643-$L1643)/60,2))</f>
        <v/>
      </c>
      <c r="I1643" s="9"/>
      <c r="J1643" s="7"/>
      <c r="K1643" s="7"/>
      <c r="L1643" s="15" t="str">
        <f aca="false">IF($F1643="","",IF($F1643&lt;1,ROUND($F1643*1440,0),INT($F1643/100)*60+MOD($F1643,100)))</f>
        <v/>
      </c>
      <c r="M1643" s="15" t="str">
        <f aca="false">IF($G1643="","",IF($G1643&lt;1,ROUND($G1643*1440,0),INT($G1643/100)*60+MOD($G1643,100)))</f>
        <v/>
      </c>
      <c r="N1643" s="15" t="str">
        <f aca="false">IF(OR($A1643="",$B1643="",$L1643="",$M1643="",$J1643="취소"),"",IF(SUMPRODUCT(($A$3:$A$2002=$A1643)*($B$3:$B$2002=$B1643)*($J$3:$J$2002&lt;&gt;"취소")*($L$3:$L$2002&lt;&gt;"")*($M$3:$M$2002&lt;&gt;"")*($L$3:$L$2002&lt;$M1643)*($M$3:$M$2002&gt;$L1643))&gt;1,"중복","-"))</f>
        <v/>
      </c>
    </row>
    <row r="1644" customFormat="false" ht="15" hidden="false" customHeight="true" outlineLevel="0" collapsed="false">
      <c r="A1644" s="11"/>
      <c r="B1644" s="7"/>
      <c r="C1644" s="12" t="str">
        <f aca="false">IF($B1644="","",IFERROR(INDEX(자원목록!$B$3:$B$102,MATCH($B1644,자원목록!$A$3:$A$102,0)),"미등록자원"))</f>
        <v/>
      </c>
      <c r="D1644" s="7"/>
      <c r="E1644" s="12" t="str">
        <f aca="false">IF($D1644="","",IFERROR(INDEX(고객목록!$B$3:$B$502,MATCH($D1644,고객목록!$A$3:$A$502,0)),""))</f>
        <v/>
      </c>
      <c r="F1644" s="13"/>
      <c r="G1644" s="13"/>
      <c r="H1644" s="14" t="str">
        <f aca="false">IF(OR($L1644="",$M1644=""),"",ROUND(($M1644-$L1644)/60,2))</f>
        <v/>
      </c>
      <c r="I1644" s="9"/>
      <c r="J1644" s="7"/>
      <c r="K1644" s="7"/>
      <c r="L1644" s="15" t="str">
        <f aca="false">IF($F1644="","",IF($F1644&lt;1,ROUND($F1644*1440,0),INT($F1644/100)*60+MOD($F1644,100)))</f>
        <v/>
      </c>
      <c r="M1644" s="15" t="str">
        <f aca="false">IF($G1644="","",IF($G1644&lt;1,ROUND($G1644*1440,0),INT($G1644/100)*60+MOD($G1644,100)))</f>
        <v/>
      </c>
      <c r="N1644" s="15" t="str">
        <f aca="false">IF(OR($A1644="",$B1644="",$L1644="",$M1644="",$J1644="취소"),"",IF(SUMPRODUCT(($A$3:$A$2002=$A1644)*($B$3:$B$2002=$B1644)*($J$3:$J$2002&lt;&gt;"취소")*($L$3:$L$2002&lt;&gt;"")*($M$3:$M$2002&lt;&gt;"")*($L$3:$L$2002&lt;$M1644)*($M$3:$M$2002&gt;$L1644))&gt;1,"중복","-"))</f>
        <v/>
      </c>
    </row>
    <row r="1645" customFormat="false" ht="15" hidden="false" customHeight="true" outlineLevel="0" collapsed="false">
      <c r="A1645" s="11"/>
      <c r="B1645" s="7"/>
      <c r="C1645" s="12" t="str">
        <f aca="false">IF($B1645="","",IFERROR(INDEX(자원목록!$B$3:$B$102,MATCH($B1645,자원목록!$A$3:$A$102,0)),"미등록자원"))</f>
        <v/>
      </c>
      <c r="D1645" s="7"/>
      <c r="E1645" s="12" t="str">
        <f aca="false">IF($D1645="","",IFERROR(INDEX(고객목록!$B$3:$B$502,MATCH($D1645,고객목록!$A$3:$A$502,0)),""))</f>
        <v/>
      </c>
      <c r="F1645" s="13"/>
      <c r="G1645" s="13"/>
      <c r="H1645" s="14" t="str">
        <f aca="false">IF(OR($L1645="",$M1645=""),"",ROUND(($M1645-$L1645)/60,2))</f>
        <v/>
      </c>
      <c r="I1645" s="9"/>
      <c r="J1645" s="7"/>
      <c r="K1645" s="7"/>
      <c r="L1645" s="15" t="str">
        <f aca="false">IF($F1645="","",IF($F1645&lt;1,ROUND($F1645*1440,0),INT($F1645/100)*60+MOD($F1645,100)))</f>
        <v/>
      </c>
      <c r="M1645" s="15" t="str">
        <f aca="false">IF($G1645="","",IF($G1645&lt;1,ROUND($G1645*1440,0),INT($G1645/100)*60+MOD($G1645,100)))</f>
        <v/>
      </c>
      <c r="N1645" s="15" t="str">
        <f aca="false">IF(OR($A1645="",$B1645="",$L1645="",$M1645="",$J1645="취소"),"",IF(SUMPRODUCT(($A$3:$A$2002=$A1645)*($B$3:$B$2002=$B1645)*($J$3:$J$2002&lt;&gt;"취소")*($L$3:$L$2002&lt;&gt;"")*($M$3:$M$2002&lt;&gt;"")*($L$3:$L$2002&lt;$M1645)*($M$3:$M$2002&gt;$L1645))&gt;1,"중복","-"))</f>
        <v/>
      </c>
    </row>
    <row r="1646" customFormat="false" ht="15" hidden="false" customHeight="true" outlineLevel="0" collapsed="false">
      <c r="A1646" s="11"/>
      <c r="B1646" s="7"/>
      <c r="C1646" s="12" t="str">
        <f aca="false">IF($B1646="","",IFERROR(INDEX(자원목록!$B$3:$B$102,MATCH($B1646,자원목록!$A$3:$A$102,0)),"미등록자원"))</f>
        <v/>
      </c>
      <c r="D1646" s="7"/>
      <c r="E1646" s="12" t="str">
        <f aca="false">IF($D1646="","",IFERROR(INDEX(고객목록!$B$3:$B$502,MATCH($D1646,고객목록!$A$3:$A$502,0)),""))</f>
        <v/>
      </c>
      <c r="F1646" s="13"/>
      <c r="G1646" s="13"/>
      <c r="H1646" s="14" t="str">
        <f aca="false">IF(OR($L1646="",$M1646=""),"",ROUND(($M1646-$L1646)/60,2))</f>
        <v/>
      </c>
      <c r="I1646" s="9"/>
      <c r="J1646" s="7"/>
      <c r="K1646" s="7"/>
      <c r="L1646" s="15" t="str">
        <f aca="false">IF($F1646="","",IF($F1646&lt;1,ROUND($F1646*1440,0),INT($F1646/100)*60+MOD($F1646,100)))</f>
        <v/>
      </c>
      <c r="M1646" s="15" t="str">
        <f aca="false">IF($G1646="","",IF($G1646&lt;1,ROUND($G1646*1440,0),INT($G1646/100)*60+MOD($G1646,100)))</f>
        <v/>
      </c>
      <c r="N1646" s="15" t="str">
        <f aca="false">IF(OR($A1646="",$B1646="",$L1646="",$M1646="",$J1646="취소"),"",IF(SUMPRODUCT(($A$3:$A$2002=$A1646)*($B$3:$B$2002=$B1646)*($J$3:$J$2002&lt;&gt;"취소")*($L$3:$L$2002&lt;&gt;"")*($M$3:$M$2002&lt;&gt;"")*($L$3:$L$2002&lt;$M1646)*($M$3:$M$2002&gt;$L1646))&gt;1,"중복","-"))</f>
        <v/>
      </c>
    </row>
    <row r="1647" customFormat="false" ht="15" hidden="false" customHeight="true" outlineLevel="0" collapsed="false">
      <c r="A1647" s="11"/>
      <c r="B1647" s="7"/>
      <c r="C1647" s="12" t="str">
        <f aca="false">IF($B1647="","",IFERROR(INDEX(자원목록!$B$3:$B$102,MATCH($B1647,자원목록!$A$3:$A$102,0)),"미등록자원"))</f>
        <v/>
      </c>
      <c r="D1647" s="7"/>
      <c r="E1647" s="12" t="str">
        <f aca="false">IF($D1647="","",IFERROR(INDEX(고객목록!$B$3:$B$502,MATCH($D1647,고객목록!$A$3:$A$502,0)),""))</f>
        <v/>
      </c>
      <c r="F1647" s="13"/>
      <c r="G1647" s="13"/>
      <c r="H1647" s="14" t="str">
        <f aca="false">IF(OR($L1647="",$M1647=""),"",ROUND(($M1647-$L1647)/60,2))</f>
        <v/>
      </c>
      <c r="I1647" s="9"/>
      <c r="J1647" s="7"/>
      <c r="K1647" s="7"/>
      <c r="L1647" s="15" t="str">
        <f aca="false">IF($F1647="","",IF($F1647&lt;1,ROUND($F1647*1440,0),INT($F1647/100)*60+MOD($F1647,100)))</f>
        <v/>
      </c>
      <c r="M1647" s="15" t="str">
        <f aca="false">IF($G1647="","",IF($G1647&lt;1,ROUND($G1647*1440,0),INT($G1647/100)*60+MOD($G1647,100)))</f>
        <v/>
      </c>
      <c r="N1647" s="15" t="str">
        <f aca="false">IF(OR($A1647="",$B1647="",$L1647="",$M1647="",$J1647="취소"),"",IF(SUMPRODUCT(($A$3:$A$2002=$A1647)*($B$3:$B$2002=$B1647)*($J$3:$J$2002&lt;&gt;"취소")*($L$3:$L$2002&lt;&gt;"")*($M$3:$M$2002&lt;&gt;"")*($L$3:$L$2002&lt;$M1647)*($M$3:$M$2002&gt;$L1647))&gt;1,"중복","-"))</f>
        <v/>
      </c>
    </row>
    <row r="1648" customFormat="false" ht="15" hidden="false" customHeight="true" outlineLevel="0" collapsed="false">
      <c r="A1648" s="11"/>
      <c r="B1648" s="7"/>
      <c r="C1648" s="12" t="str">
        <f aca="false">IF($B1648="","",IFERROR(INDEX(자원목록!$B$3:$B$102,MATCH($B1648,자원목록!$A$3:$A$102,0)),"미등록자원"))</f>
        <v/>
      </c>
      <c r="D1648" s="7"/>
      <c r="E1648" s="12" t="str">
        <f aca="false">IF($D1648="","",IFERROR(INDEX(고객목록!$B$3:$B$502,MATCH($D1648,고객목록!$A$3:$A$502,0)),""))</f>
        <v/>
      </c>
      <c r="F1648" s="13"/>
      <c r="G1648" s="13"/>
      <c r="H1648" s="14" t="str">
        <f aca="false">IF(OR($L1648="",$M1648=""),"",ROUND(($M1648-$L1648)/60,2))</f>
        <v/>
      </c>
      <c r="I1648" s="9"/>
      <c r="J1648" s="7"/>
      <c r="K1648" s="7"/>
      <c r="L1648" s="15" t="str">
        <f aca="false">IF($F1648="","",IF($F1648&lt;1,ROUND($F1648*1440,0),INT($F1648/100)*60+MOD($F1648,100)))</f>
        <v/>
      </c>
      <c r="M1648" s="15" t="str">
        <f aca="false">IF($G1648="","",IF($G1648&lt;1,ROUND($G1648*1440,0),INT($G1648/100)*60+MOD($G1648,100)))</f>
        <v/>
      </c>
      <c r="N1648" s="15" t="str">
        <f aca="false">IF(OR($A1648="",$B1648="",$L1648="",$M1648="",$J1648="취소"),"",IF(SUMPRODUCT(($A$3:$A$2002=$A1648)*($B$3:$B$2002=$B1648)*($J$3:$J$2002&lt;&gt;"취소")*($L$3:$L$2002&lt;&gt;"")*($M$3:$M$2002&lt;&gt;"")*($L$3:$L$2002&lt;$M1648)*($M$3:$M$2002&gt;$L1648))&gt;1,"중복","-"))</f>
        <v/>
      </c>
    </row>
    <row r="1649" customFormat="false" ht="15" hidden="false" customHeight="true" outlineLevel="0" collapsed="false">
      <c r="A1649" s="11"/>
      <c r="B1649" s="7"/>
      <c r="C1649" s="12" t="str">
        <f aca="false">IF($B1649="","",IFERROR(INDEX(자원목록!$B$3:$B$102,MATCH($B1649,자원목록!$A$3:$A$102,0)),"미등록자원"))</f>
        <v/>
      </c>
      <c r="D1649" s="7"/>
      <c r="E1649" s="12" t="str">
        <f aca="false">IF($D1649="","",IFERROR(INDEX(고객목록!$B$3:$B$502,MATCH($D1649,고객목록!$A$3:$A$502,0)),""))</f>
        <v/>
      </c>
      <c r="F1649" s="13"/>
      <c r="G1649" s="13"/>
      <c r="H1649" s="14" t="str">
        <f aca="false">IF(OR($L1649="",$M1649=""),"",ROUND(($M1649-$L1649)/60,2))</f>
        <v/>
      </c>
      <c r="I1649" s="9"/>
      <c r="J1649" s="7"/>
      <c r="K1649" s="7"/>
      <c r="L1649" s="15" t="str">
        <f aca="false">IF($F1649="","",IF($F1649&lt;1,ROUND($F1649*1440,0),INT($F1649/100)*60+MOD($F1649,100)))</f>
        <v/>
      </c>
      <c r="M1649" s="15" t="str">
        <f aca="false">IF($G1649="","",IF($G1649&lt;1,ROUND($G1649*1440,0),INT($G1649/100)*60+MOD($G1649,100)))</f>
        <v/>
      </c>
      <c r="N1649" s="15" t="str">
        <f aca="false">IF(OR($A1649="",$B1649="",$L1649="",$M1649="",$J1649="취소"),"",IF(SUMPRODUCT(($A$3:$A$2002=$A1649)*($B$3:$B$2002=$B1649)*($J$3:$J$2002&lt;&gt;"취소")*($L$3:$L$2002&lt;&gt;"")*($M$3:$M$2002&lt;&gt;"")*($L$3:$L$2002&lt;$M1649)*($M$3:$M$2002&gt;$L1649))&gt;1,"중복","-"))</f>
        <v/>
      </c>
    </row>
    <row r="1650" customFormat="false" ht="15" hidden="false" customHeight="true" outlineLevel="0" collapsed="false">
      <c r="A1650" s="11"/>
      <c r="B1650" s="7"/>
      <c r="C1650" s="12" t="str">
        <f aca="false">IF($B1650="","",IFERROR(INDEX(자원목록!$B$3:$B$102,MATCH($B1650,자원목록!$A$3:$A$102,0)),"미등록자원"))</f>
        <v/>
      </c>
      <c r="D1650" s="7"/>
      <c r="E1650" s="12" t="str">
        <f aca="false">IF($D1650="","",IFERROR(INDEX(고객목록!$B$3:$B$502,MATCH($D1650,고객목록!$A$3:$A$502,0)),""))</f>
        <v/>
      </c>
      <c r="F1650" s="13"/>
      <c r="G1650" s="13"/>
      <c r="H1650" s="14" t="str">
        <f aca="false">IF(OR($L1650="",$M1650=""),"",ROUND(($M1650-$L1650)/60,2))</f>
        <v/>
      </c>
      <c r="I1650" s="9"/>
      <c r="J1650" s="7"/>
      <c r="K1650" s="7"/>
      <c r="L1650" s="15" t="str">
        <f aca="false">IF($F1650="","",IF($F1650&lt;1,ROUND($F1650*1440,0),INT($F1650/100)*60+MOD($F1650,100)))</f>
        <v/>
      </c>
      <c r="M1650" s="15" t="str">
        <f aca="false">IF($G1650="","",IF($G1650&lt;1,ROUND($G1650*1440,0),INT($G1650/100)*60+MOD($G1650,100)))</f>
        <v/>
      </c>
      <c r="N1650" s="15" t="str">
        <f aca="false">IF(OR($A1650="",$B1650="",$L1650="",$M1650="",$J1650="취소"),"",IF(SUMPRODUCT(($A$3:$A$2002=$A1650)*($B$3:$B$2002=$B1650)*($J$3:$J$2002&lt;&gt;"취소")*($L$3:$L$2002&lt;&gt;"")*($M$3:$M$2002&lt;&gt;"")*($L$3:$L$2002&lt;$M1650)*($M$3:$M$2002&gt;$L1650))&gt;1,"중복","-"))</f>
        <v/>
      </c>
    </row>
    <row r="1651" customFormat="false" ht="15" hidden="false" customHeight="true" outlineLevel="0" collapsed="false">
      <c r="A1651" s="11"/>
      <c r="B1651" s="7"/>
      <c r="C1651" s="12" t="str">
        <f aca="false">IF($B1651="","",IFERROR(INDEX(자원목록!$B$3:$B$102,MATCH($B1651,자원목록!$A$3:$A$102,0)),"미등록자원"))</f>
        <v/>
      </c>
      <c r="D1651" s="7"/>
      <c r="E1651" s="12" t="str">
        <f aca="false">IF($D1651="","",IFERROR(INDEX(고객목록!$B$3:$B$502,MATCH($D1651,고객목록!$A$3:$A$502,0)),""))</f>
        <v/>
      </c>
      <c r="F1651" s="13"/>
      <c r="G1651" s="13"/>
      <c r="H1651" s="14" t="str">
        <f aca="false">IF(OR($L1651="",$M1651=""),"",ROUND(($M1651-$L1651)/60,2))</f>
        <v/>
      </c>
      <c r="I1651" s="9"/>
      <c r="J1651" s="7"/>
      <c r="K1651" s="7"/>
      <c r="L1651" s="15" t="str">
        <f aca="false">IF($F1651="","",IF($F1651&lt;1,ROUND($F1651*1440,0),INT($F1651/100)*60+MOD($F1651,100)))</f>
        <v/>
      </c>
      <c r="M1651" s="15" t="str">
        <f aca="false">IF($G1651="","",IF($G1651&lt;1,ROUND($G1651*1440,0),INT($G1651/100)*60+MOD($G1651,100)))</f>
        <v/>
      </c>
      <c r="N1651" s="15" t="str">
        <f aca="false">IF(OR($A1651="",$B1651="",$L1651="",$M1651="",$J1651="취소"),"",IF(SUMPRODUCT(($A$3:$A$2002=$A1651)*($B$3:$B$2002=$B1651)*($J$3:$J$2002&lt;&gt;"취소")*($L$3:$L$2002&lt;&gt;"")*($M$3:$M$2002&lt;&gt;"")*($L$3:$L$2002&lt;$M1651)*($M$3:$M$2002&gt;$L1651))&gt;1,"중복","-"))</f>
        <v/>
      </c>
    </row>
    <row r="1652" customFormat="false" ht="15" hidden="false" customHeight="true" outlineLevel="0" collapsed="false">
      <c r="A1652" s="11"/>
      <c r="B1652" s="7"/>
      <c r="C1652" s="12" t="str">
        <f aca="false">IF($B1652="","",IFERROR(INDEX(자원목록!$B$3:$B$102,MATCH($B1652,자원목록!$A$3:$A$102,0)),"미등록자원"))</f>
        <v/>
      </c>
      <c r="D1652" s="7"/>
      <c r="E1652" s="12" t="str">
        <f aca="false">IF($D1652="","",IFERROR(INDEX(고객목록!$B$3:$B$502,MATCH($D1652,고객목록!$A$3:$A$502,0)),""))</f>
        <v/>
      </c>
      <c r="F1652" s="13"/>
      <c r="G1652" s="13"/>
      <c r="H1652" s="14" t="str">
        <f aca="false">IF(OR($L1652="",$M1652=""),"",ROUND(($M1652-$L1652)/60,2))</f>
        <v/>
      </c>
      <c r="I1652" s="9"/>
      <c r="J1652" s="7"/>
      <c r="K1652" s="7"/>
      <c r="L1652" s="15" t="str">
        <f aca="false">IF($F1652="","",IF($F1652&lt;1,ROUND($F1652*1440,0),INT($F1652/100)*60+MOD($F1652,100)))</f>
        <v/>
      </c>
      <c r="M1652" s="15" t="str">
        <f aca="false">IF($G1652="","",IF($G1652&lt;1,ROUND($G1652*1440,0),INT($G1652/100)*60+MOD($G1652,100)))</f>
        <v/>
      </c>
      <c r="N1652" s="15" t="str">
        <f aca="false">IF(OR($A1652="",$B1652="",$L1652="",$M1652="",$J1652="취소"),"",IF(SUMPRODUCT(($A$3:$A$2002=$A1652)*($B$3:$B$2002=$B1652)*($J$3:$J$2002&lt;&gt;"취소")*($L$3:$L$2002&lt;&gt;"")*($M$3:$M$2002&lt;&gt;"")*($L$3:$L$2002&lt;$M1652)*($M$3:$M$2002&gt;$L1652))&gt;1,"중복","-"))</f>
        <v/>
      </c>
    </row>
    <row r="1653" customFormat="false" ht="15" hidden="false" customHeight="true" outlineLevel="0" collapsed="false">
      <c r="A1653" s="11"/>
      <c r="B1653" s="7"/>
      <c r="C1653" s="12" t="str">
        <f aca="false">IF($B1653="","",IFERROR(INDEX(자원목록!$B$3:$B$102,MATCH($B1653,자원목록!$A$3:$A$102,0)),"미등록자원"))</f>
        <v/>
      </c>
      <c r="D1653" s="7"/>
      <c r="E1653" s="12" t="str">
        <f aca="false">IF($D1653="","",IFERROR(INDEX(고객목록!$B$3:$B$502,MATCH($D1653,고객목록!$A$3:$A$502,0)),""))</f>
        <v/>
      </c>
      <c r="F1653" s="13"/>
      <c r="G1653" s="13"/>
      <c r="H1653" s="14" t="str">
        <f aca="false">IF(OR($L1653="",$M1653=""),"",ROUND(($M1653-$L1653)/60,2))</f>
        <v/>
      </c>
      <c r="I1653" s="9"/>
      <c r="J1653" s="7"/>
      <c r="K1653" s="7"/>
      <c r="L1653" s="15" t="str">
        <f aca="false">IF($F1653="","",IF($F1653&lt;1,ROUND($F1653*1440,0),INT($F1653/100)*60+MOD($F1653,100)))</f>
        <v/>
      </c>
      <c r="M1653" s="15" t="str">
        <f aca="false">IF($G1653="","",IF($G1653&lt;1,ROUND($G1653*1440,0),INT($G1653/100)*60+MOD($G1653,100)))</f>
        <v/>
      </c>
      <c r="N1653" s="15" t="str">
        <f aca="false">IF(OR($A1653="",$B1653="",$L1653="",$M1653="",$J1653="취소"),"",IF(SUMPRODUCT(($A$3:$A$2002=$A1653)*($B$3:$B$2002=$B1653)*($J$3:$J$2002&lt;&gt;"취소")*($L$3:$L$2002&lt;&gt;"")*($M$3:$M$2002&lt;&gt;"")*($L$3:$L$2002&lt;$M1653)*($M$3:$M$2002&gt;$L1653))&gt;1,"중복","-"))</f>
        <v/>
      </c>
    </row>
    <row r="1654" customFormat="false" ht="15" hidden="false" customHeight="true" outlineLevel="0" collapsed="false">
      <c r="A1654" s="11"/>
      <c r="B1654" s="7"/>
      <c r="C1654" s="12" t="str">
        <f aca="false">IF($B1654="","",IFERROR(INDEX(자원목록!$B$3:$B$102,MATCH($B1654,자원목록!$A$3:$A$102,0)),"미등록자원"))</f>
        <v/>
      </c>
      <c r="D1654" s="7"/>
      <c r="E1654" s="12" t="str">
        <f aca="false">IF($D1654="","",IFERROR(INDEX(고객목록!$B$3:$B$502,MATCH($D1654,고객목록!$A$3:$A$502,0)),""))</f>
        <v/>
      </c>
      <c r="F1654" s="13"/>
      <c r="G1654" s="13"/>
      <c r="H1654" s="14" t="str">
        <f aca="false">IF(OR($L1654="",$M1654=""),"",ROUND(($M1654-$L1654)/60,2))</f>
        <v/>
      </c>
      <c r="I1654" s="9"/>
      <c r="J1654" s="7"/>
      <c r="K1654" s="7"/>
      <c r="L1654" s="15" t="str">
        <f aca="false">IF($F1654="","",IF($F1654&lt;1,ROUND($F1654*1440,0),INT($F1654/100)*60+MOD($F1654,100)))</f>
        <v/>
      </c>
      <c r="M1654" s="15" t="str">
        <f aca="false">IF($G1654="","",IF($G1654&lt;1,ROUND($G1654*1440,0),INT($G1654/100)*60+MOD($G1654,100)))</f>
        <v/>
      </c>
      <c r="N1654" s="15" t="str">
        <f aca="false">IF(OR($A1654="",$B1654="",$L1654="",$M1654="",$J1654="취소"),"",IF(SUMPRODUCT(($A$3:$A$2002=$A1654)*($B$3:$B$2002=$B1654)*($J$3:$J$2002&lt;&gt;"취소")*($L$3:$L$2002&lt;&gt;"")*($M$3:$M$2002&lt;&gt;"")*($L$3:$L$2002&lt;$M1654)*($M$3:$M$2002&gt;$L1654))&gt;1,"중복","-"))</f>
        <v/>
      </c>
    </row>
    <row r="1655" customFormat="false" ht="15" hidden="false" customHeight="true" outlineLevel="0" collapsed="false">
      <c r="A1655" s="11"/>
      <c r="B1655" s="7"/>
      <c r="C1655" s="12" t="str">
        <f aca="false">IF($B1655="","",IFERROR(INDEX(자원목록!$B$3:$B$102,MATCH($B1655,자원목록!$A$3:$A$102,0)),"미등록자원"))</f>
        <v/>
      </c>
      <c r="D1655" s="7"/>
      <c r="E1655" s="12" t="str">
        <f aca="false">IF($D1655="","",IFERROR(INDEX(고객목록!$B$3:$B$502,MATCH($D1655,고객목록!$A$3:$A$502,0)),""))</f>
        <v/>
      </c>
      <c r="F1655" s="13"/>
      <c r="G1655" s="13"/>
      <c r="H1655" s="14" t="str">
        <f aca="false">IF(OR($L1655="",$M1655=""),"",ROUND(($M1655-$L1655)/60,2))</f>
        <v/>
      </c>
      <c r="I1655" s="9"/>
      <c r="J1655" s="7"/>
      <c r="K1655" s="7"/>
      <c r="L1655" s="15" t="str">
        <f aca="false">IF($F1655="","",IF($F1655&lt;1,ROUND($F1655*1440,0),INT($F1655/100)*60+MOD($F1655,100)))</f>
        <v/>
      </c>
      <c r="M1655" s="15" t="str">
        <f aca="false">IF($G1655="","",IF($G1655&lt;1,ROUND($G1655*1440,0),INT($G1655/100)*60+MOD($G1655,100)))</f>
        <v/>
      </c>
      <c r="N1655" s="15" t="str">
        <f aca="false">IF(OR($A1655="",$B1655="",$L1655="",$M1655="",$J1655="취소"),"",IF(SUMPRODUCT(($A$3:$A$2002=$A1655)*($B$3:$B$2002=$B1655)*($J$3:$J$2002&lt;&gt;"취소")*($L$3:$L$2002&lt;&gt;"")*($M$3:$M$2002&lt;&gt;"")*($L$3:$L$2002&lt;$M1655)*($M$3:$M$2002&gt;$L1655))&gt;1,"중복","-"))</f>
        <v/>
      </c>
    </row>
    <row r="1656" customFormat="false" ht="15" hidden="false" customHeight="true" outlineLevel="0" collapsed="false">
      <c r="A1656" s="11"/>
      <c r="B1656" s="7"/>
      <c r="C1656" s="12" t="str">
        <f aca="false">IF($B1656="","",IFERROR(INDEX(자원목록!$B$3:$B$102,MATCH($B1656,자원목록!$A$3:$A$102,0)),"미등록자원"))</f>
        <v/>
      </c>
      <c r="D1656" s="7"/>
      <c r="E1656" s="12" t="str">
        <f aca="false">IF($D1656="","",IFERROR(INDEX(고객목록!$B$3:$B$502,MATCH($D1656,고객목록!$A$3:$A$502,0)),""))</f>
        <v/>
      </c>
      <c r="F1656" s="13"/>
      <c r="G1656" s="13"/>
      <c r="H1656" s="14" t="str">
        <f aca="false">IF(OR($L1656="",$M1656=""),"",ROUND(($M1656-$L1656)/60,2))</f>
        <v/>
      </c>
      <c r="I1656" s="9"/>
      <c r="J1656" s="7"/>
      <c r="K1656" s="7"/>
      <c r="L1656" s="15" t="str">
        <f aca="false">IF($F1656="","",IF($F1656&lt;1,ROUND($F1656*1440,0),INT($F1656/100)*60+MOD($F1656,100)))</f>
        <v/>
      </c>
      <c r="M1656" s="15" t="str">
        <f aca="false">IF($G1656="","",IF($G1656&lt;1,ROUND($G1656*1440,0),INT($G1656/100)*60+MOD($G1656,100)))</f>
        <v/>
      </c>
      <c r="N1656" s="15" t="str">
        <f aca="false">IF(OR($A1656="",$B1656="",$L1656="",$M1656="",$J1656="취소"),"",IF(SUMPRODUCT(($A$3:$A$2002=$A1656)*($B$3:$B$2002=$B1656)*($J$3:$J$2002&lt;&gt;"취소")*($L$3:$L$2002&lt;&gt;"")*($M$3:$M$2002&lt;&gt;"")*($L$3:$L$2002&lt;$M1656)*($M$3:$M$2002&gt;$L1656))&gt;1,"중복","-"))</f>
        <v/>
      </c>
    </row>
    <row r="1657" customFormat="false" ht="15" hidden="false" customHeight="true" outlineLevel="0" collapsed="false">
      <c r="A1657" s="11"/>
      <c r="B1657" s="7"/>
      <c r="C1657" s="12" t="str">
        <f aca="false">IF($B1657="","",IFERROR(INDEX(자원목록!$B$3:$B$102,MATCH($B1657,자원목록!$A$3:$A$102,0)),"미등록자원"))</f>
        <v/>
      </c>
      <c r="D1657" s="7"/>
      <c r="E1657" s="12" t="str">
        <f aca="false">IF($D1657="","",IFERROR(INDEX(고객목록!$B$3:$B$502,MATCH($D1657,고객목록!$A$3:$A$502,0)),""))</f>
        <v/>
      </c>
      <c r="F1657" s="13"/>
      <c r="G1657" s="13"/>
      <c r="H1657" s="14" t="str">
        <f aca="false">IF(OR($L1657="",$M1657=""),"",ROUND(($M1657-$L1657)/60,2))</f>
        <v/>
      </c>
      <c r="I1657" s="9"/>
      <c r="J1657" s="7"/>
      <c r="K1657" s="7"/>
      <c r="L1657" s="15" t="str">
        <f aca="false">IF($F1657="","",IF($F1657&lt;1,ROUND($F1657*1440,0),INT($F1657/100)*60+MOD($F1657,100)))</f>
        <v/>
      </c>
      <c r="M1657" s="15" t="str">
        <f aca="false">IF($G1657="","",IF($G1657&lt;1,ROUND($G1657*1440,0),INT($G1657/100)*60+MOD($G1657,100)))</f>
        <v/>
      </c>
      <c r="N1657" s="15" t="str">
        <f aca="false">IF(OR($A1657="",$B1657="",$L1657="",$M1657="",$J1657="취소"),"",IF(SUMPRODUCT(($A$3:$A$2002=$A1657)*($B$3:$B$2002=$B1657)*($J$3:$J$2002&lt;&gt;"취소")*($L$3:$L$2002&lt;&gt;"")*($M$3:$M$2002&lt;&gt;"")*($L$3:$L$2002&lt;$M1657)*($M$3:$M$2002&gt;$L1657))&gt;1,"중복","-"))</f>
        <v/>
      </c>
    </row>
    <row r="1658" customFormat="false" ht="15" hidden="false" customHeight="true" outlineLevel="0" collapsed="false">
      <c r="A1658" s="11"/>
      <c r="B1658" s="7"/>
      <c r="C1658" s="12" t="str">
        <f aca="false">IF($B1658="","",IFERROR(INDEX(자원목록!$B$3:$B$102,MATCH($B1658,자원목록!$A$3:$A$102,0)),"미등록자원"))</f>
        <v/>
      </c>
      <c r="D1658" s="7"/>
      <c r="E1658" s="12" t="str">
        <f aca="false">IF($D1658="","",IFERROR(INDEX(고객목록!$B$3:$B$502,MATCH($D1658,고객목록!$A$3:$A$502,0)),""))</f>
        <v/>
      </c>
      <c r="F1658" s="13"/>
      <c r="G1658" s="13"/>
      <c r="H1658" s="14" t="str">
        <f aca="false">IF(OR($L1658="",$M1658=""),"",ROUND(($M1658-$L1658)/60,2))</f>
        <v/>
      </c>
      <c r="I1658" s="9"/>
      <c r="J1658" s="7"/>
      <c r="K1658" s="7"/>
      <c r="L1658" s="15" t="str">
        <f aca="false">IF($F1658="","",IF($F1658&lt;1,ROUND($F1658*1440,0),INT($F1658/100)*60+MOD($F1658,100)))</f>
        <v/>
      </c>
      <c r="M1658" s="15" t="str">
        <f aca="false">IF($G1658="","",IF($G1658&lt;1,ROUND($G1658*1440,0),INT($G1658/100)*60+MOD($G1658,100)))</f>
        <v/>
      </c>
      <c r="N1658" s="15" t="str">
        <f aca="false">IF(OR($A1658="",$B1658="",$L1658="",$M1658="",$J1658="취소"),"",IF(SUMPRODUCT(($A$3:$A$2002=$A1658)*($B$3:$B$2002=$B1658)*($J$3:$J$2002&lt;&gt;"취소")*($L$3:$L$2002&lt;&gt;"")*($M$3:$M$2002&lt;&gt;"")*($L$3:$L$2002&lt;$M1658)*($M$3:$M$2002&gt;$L1658))&gt;1,"중복","-"))</f>
        <v/>
      </c>
    </row>
    <row r="1659" customFormat="false" ht="15" hidden="false" customHeight="true" outlineLevel="0" collapsed="false">
      <c r="A1659" s="11"/>
      <c r="B1659" s="7"/>
      <c r="C1659" s="12" t="str">
        <f aca="false">IF($B1659="","",IFERROR(INDEX(자원목록!$B$3:$B$102,MATCH($B1659,자원목록!$A$3:$A$102,0)),"미등록자원"))</f>
        <v/>
      </c>
      <c r="D1659" s="7"/>
      <c r="E1659" s="12" t="str">
        <f aca="false">IF($D1659="","",IFERROR(INDEX(고객목록!$B$3:$B$502,MATCH($D1659,고객목록!$A$3:$A$502,0)),""))</f>
        <v/>
      </c>
      <c r="F1659" s="13"/>
      <c r="G1659" s="13"/>
      <c r="H1659" s="14" t="str">
        <f aca="false">IF(OR($L1659="",$M1659=""),"",ROUND(($M1659-$L1659)/60,2))</f>
        <v/>
      </c>
      <c r="I1659" s="9"/>
      <c r="J1659" s="7"/>
      <c r="K1659" s="7"/>
      <c r="L1659" s="15" t="str">
        <f aca="false">IF($F1659="","",IF($F1659&lt;1,ROUND($F1659*1440,0),INT($F1659/100)*60+MOD($F1659,100)))</f>
        <v/>
      </c>
      <c r="M1659" s="15" t="str">
        <f aca="false">IF($G1659="","",IF($G1659&lt;1,ROUND($G1659*1440,0),INT($G1659/100)*60+MOD($G1659,100)))</f>
        <v/>
      </c>
      <c r="N1659" s="15" t="str">
        <f aca="false">IF(OR($A1659="",$B1659="",$L1659="",$M1659="",$J1659="취소"),"",IF(SUMPRODUCT(($A$3:$A$2002=$A1659)*($B$3:$B$2002=$B1659)*($J$3:$J$2002&lt;&gt;"취소")*($L$3:$L$2002&lt;&gt;"")*($M$3:$M$2002&lt;&gt;"")*($L$3:$L$2002&lt;$M1659)*($M$3:$M$2002&gt;$L1659))&gt;1,"중복","-"))</f>
        <v/>
      </c>
    </row>
    <row r="1660" customFormat="false" ht="15" hidden="false" customHeight="true" outlineLevel="0" collapsed="false">
      <c r="A1660" s="11"/>
      <c r="B1660" s="7"/>
      <c r="C1660" s="12" t="str">
        <f aca="false">IF($B1660="","",IFERROR(INDEX(자원목록!$B$3:$B$102,MATCH($B1660,자원목록!$A$3:$A$102,0)),"미등록자원"))</f>
        <v/>
      </c>
      <c r="D1660" s="7"/>
      <c r="E1660" s="12" t="str">
        <f aca="false">IF($D1660="","",IFERROR(INDEX(고객목록!$B$3:$B$502,MATCH($D1660,고객목록!$A$3:$A$502,0)),""))</f>
        <v/>
      </c>
      <c r="F1660" s="13"/>
      <c r="G1660" s="13"/>
      <c r="H1660" s="14" t="str">
        <f aca="false">IF(OR($L1660="",$M1660=""),"",ROUND(($M1660-$L1660)/60,2))</f>
        <v/>
      </c>
      <c r="I1660" s="9"/>
      <c r="J1660" s="7"/>
      <c r="K1660" s="7"/>
      <c r="L1660" s="15" t="str">
        <f aca="false">IF($F1660="","",IF($F1660&lt;1,ROUND($F1660*1440,0),INT($F1660/100)*60+MOD($F1660,100)))</f>
        <v/>
      </c>
      <c r="M1660" s="15" t="str">
        <f aca="false">IF($G1660="","",IF($G1660&lt;1,ROUND($G1660*1440,0),INT($G1660/100)*60+MOD($G1660,100)))</f>
        <v/>
      </c>
      <c r="N1660" s="15" t="str">
        <f aca="false">IF(OR($A1660="",$B1660="",$L1660="",$M1660="",$J1660="취소"),"",IF(SUMPRODUCT(($A$3:$A$2002=$A1660)*($B$3:$B$2002=$B1660)*($J$3:$J$2002&lt;&gt;"취소")*($L$3:$L$2002&lt;&gt;"")*($M$3:$M$2002&lt;&gt;"")*($L$3:$L$2002&lt;$M1660)*($M$3:$M$2002&gt;$L1660))&gt;1,"중복","-"))</f>
        <v/>
      </c>
    </row>
    <row r="1661" customFormat="false" ht="15" hidden="false" customHeight="true" outlineLevel="0" collapsed="false">
      <c r="A1661" s="11"/>
      <c r="B1661" s="7"/>
      <c r="C1661" s="12" t="str">
        <f aca="false">IF($B1661="","",IFERROR(INDEX(자원목록!$B$3:$B$102,MATCH($B1661,자원목록!$A$3:$A$102,0)),"미등록자원"))</f>
        <v/>
      </c>
      <c r="D1661" s="7"/>
      <c r="E1661" s="12" t="str">
        <f aca="false">IF($D1661="","",IFERROR(INDEX(고객목록!$B$3:$B$502,MATCH($D1661,고객목록!$A$3:$A$502,0)),""))</f>
        <v/>
      </c>
      <c r="F1661" s="13"/>
      <c r="G1661" s="13"/>
      <c r="H1661" s="14" t="str">
        <f aca="false">IF(OR($L1661="",$M1661=""),"",ROUND(($M1661-$L1661)/60,2))</f>
        <v/>
      </c>
      <c r="I1661" s="9"/>
      <c r="J1661" s="7"/>
      <c r="K1661" s="7"/>
      <c r="L1661" s="15" t="str">
        <f aca="false">IF($F1661="","",IF($F1661&lt;1,ROUND($F1661*1440,0),INT($F1661/100)*60+MOD($F1661,100)))</f>
        <v/>
      </c>
      <c r="M1661" s="15" t="str">
        <f aca="false">IF($G1661="","",IF($G1661&lt;1,ROUND($G1661*1440,0),INT($G1661/100)*60+MOD($G1661,100)))</f>
        <v/>
      </c>
      <c r="N1661" s="15" t="str">
        <f aca="false">IF(OR($A1661="",$B1661="",$L1661="",$M1661="",$J1661="취소"),"",IF(SUMPRODUCT(($A$3:$A$2002=$A1661)*($B$3:$B$2002=$B1661)*($J$3:$J$2002&lt;&gt;"취소")*($L$3:$L$2002&lt;&gt;"")*($M$3:$M$2002&lt;&gt;"")*($L$3:$L$2002&lt;$M1661)*($M$3:$M$2002&gt;$L1661))&gt;1,"중복","-"))</f>
        <v/>
      </c>
    </row>
    <row r="1662" customFormat="false" ht="15" hidden="false" customHeight="true" outlineLevel="0" collapsed="false">
      <c r="A1662" s="11"/>
      <c r="B1662" s="7"/>
      <c r="C1662" s="12" t="str">
        <f aca="false">IF($B1662="","",IFERROR(INDEX(자원목록!$B$3:$B$102,MATCH($B1662,자원목록!$A$3:$A$102,0)),"미등록자원"))</f>
        <v/>
      </c>
      <c r="D1662" s="7"/>
      <c r="E1662" s="12" t="str">
        <f aca="false">IF($D1662="","",IFERROR(INDEX(고객목록!$B$3:$B$502,MATCH($D1662,고객목록!$A$3:$A$502,0)),""))</f>
        <v/>
      </c>
      <c r="F1662" s="13"/>
      <c r="G1662" s="13"/>
      <c r="H1662" s="14" t="str">
        <f aca="false">IF(OR($L1662="",$M1662=""),"",ROUND(($M1662-$L1662)/60,2))</f>
        <v/>
      </c>
      <c r="I1662" s="9"/>
      <c r="J1662" s="7"/>
      <c r="K1662" s="7"/>
      <c r="L1662" s="15" t="str">
        <f aca="false">IF($F1662="","",IF($F1662&lt;1,ROUND($F1662*1440,0),INT($F1662/100)*60+MOD($F1662,100)))</f>
        <v/>
      </c>
      <c r="M1662" s="15" t="str">
        <f aca="false">IF($G1662="","",IF($G1662&lt;1,ROUND($G1662*1440,0),INT($G1662/100)*60+MOD($G1662,100)))</f>
        <v/>
      </c>
      <c r="N1662" s="15" t="str">
        <f aca="false">IF(OR($A1662="",$B1662="",$L1662="",$M1662="",$J1662="취소"),"",IF(SUMPRODUCT(($A$3:$A$2002=$A1662)*($B$3:$B$2002=$B1662)*($J$3:$J$2002&lt;&gt;"취소")*($L$3:$L$2002&lt;&gt;"")*($M$3:$M$2002&lt;&gt;"")*($L$3:$L$2002&lt;$M1662)*($M$3:$M$2002&gt;$L1662))&gt;1,"중복","-"))</f>
        <v/>
      </c>
    </row>
    <row r="1663" customFormat="false" ht="15" hidden="false" customHeight="true" outlineLevel="0" collapsed="false">
      <c r="A1663" s="11"/>
      <c r="B1663" s="7"/>
      <c r="C1663" s="12" t="str">
        <f aca="false">IF($B1663="","",IFERROR(INDEX(자원목록!$B$3:$B$102,MATCH($B1663,자원목록!$A$3:$A$102,0)),"미등록자원"))</f>
        <v/>
      </c>
      <c r="D1663" s="7"/>
      <c r="E1663" s="12" t="str">
        <f aca="false">IF($D1663="","",IFERROR(INDEX(고객목록!$B$3:$B$502,MATCH($D1663,고객목록!$A$3:$A$502,0)),""))</f>
        <v/>
      </c>
      <c r="F1663" s="13"/>
      <c r="G1663" s="13"/>
      <c r="H1663" s="14" t="str">
        <f aca="false">IF(OR($L1663="",$M1663=""),"",ROUND(($M1663-$L1663)/60,2))</f>
        <v/>
      </c>
      <c r="I1663" s="9"/>
      <c r="J1663" s="7"/>
      <c r="K1663" s="7"/>
      <c r="L1663" s="15" t="str">
        <f aca="false">IF($F1663="","",IF($F1663&lt;1,ROUND($F1663*1440,0),INT($F1663/100)*60+MOD($F1663,100)))</f>
        <v/>
      </c>
      <c r="M1663" s="15" t="str">
        <f aca="false">IF($G1663="","",IF($G1663&lt;1,ROUND($G1663*1440,0),INT($G1663/100)*60+MOD($G1663,100)))</f>
        <v/>
      </c>
      <c r="N1663" s="15" t="str">
        <f aca="false">IF(OR($A1663="",$B1663="",$L1663="",$M1663="",$J1663="취소"),"",IF(SUMPRODUCT(($A$3:$A$2002=$A1663)*($B$3:$B$2002=$B1663)*($J$3:$J$2002&lt;&gt;"취소")*($L$3:$L$2002&lt;&gt;"")*($M$3:$M$2002&lt;&gt;"")*($L$3:$L$2002&lt;$M1663)*($M$3:$M$2002&gt;$L1663))&gt;1,"중복","-"))</f>
        <v/>
      </c>
    </row>
    <row r="1664" customFormat="false" ht="15" hidden="false" customHeight="true" outlineLevel="0" collapsed="false">
      <c r="A1664" s="11"/>
      <c r="B1664" s="7"/>
      <c r="C1664" s="12" t="str">
        <f aca="false">IF($B1664="","",IFERROR(INDEX(자원목록!$B$3:$B$102,MATCH($B1664,자원목록!$A$3:$A$102,0)),"미등록자원"))</f>
        <v/>
      </c>
      <c r="D1664" s="7"/>
      <c r="E1664" s="12" t="str">
        <f aca="false">IF($D1664="","",IFERROR(INDEX(고객목록!$B$3:$B$502,MATCH($D1664,고객목록!$A$3:$A$502,0)),""))</f>
        <v/>
      </c>
      <c r="F1664" s="13"/>
      <c r="G1664" s="13"/>
      <c r="H1664" s="14" t="str">
        <f aca="false">IF(OR($L1664="",$M1664=""),"",ROUND(($M1664-$L1664)/60,2))</f>
        <v/>
      </c>
      <c r="I1664" s="9"/>
      <c r="J1664" s="7"/>
      <c r="K1664" s="7"/>
      <c r="L1664" s="15" t="str">
        <f aca="false">IF($F1664="","",IF($F1664&lt;1,ROUND($F1664*1440,0),INT($F1664/100)*60+MOD($F1664,100)))</f>
        <v/>
      </c>
      <c r="M1664" s="15" t="str">
        <f aca="false">IF($G1664="","",IF($G1664&lt;1,ROUND($G1664*1440,0),INT($G1664/100)*60+MOD($G1664,100)))</f>
        <v/>
      </c>
      <c r="N1664" s="15" t="str">
        <f aca="false">IF(OR($A1664="",$B1664="",$L1664="",$M1664="",$J1664="취소"),"",IF(SUMPRODUCT(($A$3:$A$2002=$A1664)*($B$3:$B$2002=$B1664)*($J$3:$J$2002&lt;&gt;"취소")*($L$3:$L$2002&lt;&gt;"")*($M$3:$M$2002&lt;&gt;"")*($L$3:$L$2002&lt;$M1664)*($M$3:$M$2002&gt;$L1664))&gt;1,"중복","-"))</f>
        <v/>
      </c>
    </row>
    <row r="1665" customFormat="false" ht="15" hidden="false" customHeight="true" outlineLevel="0" collapsed="false">
      <c r="A1665" s="11"/>
      <c r="B1665" s="7"/>
      <c r="C1665" s="12" t="str">
        <f aca="false">IF($B1665="","",IFERROR(INDEX(자원목록!$B$3:$B$102,MATCH($B1665,자원목록!$A$3:$A$102,0)),"미등록자원"))</f>
        <v/>
      </c>
      <c r="D1665" s="7"/>
      <c r="E1665" s="12" t="str">
        <f aca="false">IF($D1665="","",IFERROR(INDEX(고객목록!$B$3:$B$502,MATCH($D1665,고객목록!$A$3:$A$502,0)),""))</f>
        <v/>
      </c>
      <c r="F1665" s="13"/>
      <c r="G1665" s="13"/>
      <c r="H1665" s="14" t="str">
        <f aca="false">IF(OR($L1665="",$M1665=""),"",ROUND(($M1665-$L1665)/60,2))</f>
        <v/>
      </c>
      <c r="I1665" s="9"/>
      <c r="J1665" s="7"/>
      <c r="K1665" s="7"/>
      <c r="L1665" s="15" t="str">
        <f aca="false">IF($F1665="","",IF($F1665&lt;1,ROUND($F1665*1440,0),INT($F1665/100)*60+MOD($F1665,100)))</f>
        <v/>
      </c>
      <c r="M1665" s="15" t="str">
        <f aca="false">IF($G1665="","",IF($G1665&lt;1,ROUND($G1665*1440,0),INT($G1665/100)*60+MOD($G1665,100)))</f>
        <v/>
      </c>
      <c r="N1665" s="15" t="str">
        <f aca="false">IF(OR($A1665="",$B1665="",$L1665="",$M1665="",$J1665="취소"),"",IF(SUMPRODUCT(($A$3:$A$2002=$A1665)*($B$3:$B$2002=$B1665)*($J$3:$J$2002&lt;&gt;"취소")*($L$3:$L$2002&lt;&gt;"")*($M$3:$M$2002&lt;&gt;"")*($L$3:$L$2002&lt;$M1665)*($M$3:$M$2002&gt;$L1665))&gt;1,"중복","-"))</f>
        <v/>
      </c>
    </row>
    <row r="1666" customFormat="false" ht="15" hidden="false" customHeight="true" outlineLevel="0" collapsed="false">
      <c r="A1666" s="11"/>
      <c r="B1666" s="7"/>
      <c r="C1666" s="12" t="str">
        <f aca="false">IF($B1666="","",IFERROR(INDEX(자원목록!$B$3:$B$102,MATCH($B1666,자원목록!$A$3:$A$102,0)),"미등록자원"))</f>
        <v/>
      </c>
      <c r="D1666" s="7"/>
      <c r="E1666" s="12" t="str">
        <f aca="false">IF($D1666="","",IFERROR(INDEX(고객목록!$B$3:$B$502,MATCH($D1666,고객목록!$A$3:$A$502,0)),""))</f>
        <v/>
      </c>
      <c r="F1666" s="13"/>
      <c r="G1666" s="13"/>
      <c r="H1666" s="14" t="str">
        <f aca="false">IF(OR($L1666="",$M1666=""),"",ROUND(($M1666-$L1666)/60,2))</f>
        <v/>
      </c>
      <c r="I1666" s="9"/>
      <c r="J1666" s="7"/>
      <c r="K1666" s="7"/>
      <c r="L1666" s="15" t="str">
        <f aca="false">IF($F1666="","",IF($F1666&lt;1,ROUND($F1666*1440,0),INT($F1666/100)*60+MOD($F1666,100)))</f>
        <v/>
      </c>
      <c r="M1666" s="15" t="str">
        <f aca="false">IF($G1666="","",IF($G1666&lt;1,ROUND($G1666*1440,0),INT($G1666/100)*60+MOD($G1666,100)))</f>
        <v/>
      </c>
      <c r="N1666" s="15" t="str">
        <f aca="false">IF(OR($A1666="",$B1666="",$L1666="",$M1666="",$J1666="취소"),"",IF(SUMPRODUCT(($A$3:$A$2002=$A1666)*($B$3:$B$2002=$B1666)*($J$3:$J$2002&lt;&gt;"취소")*($L$3:$L$2002&lt;&gt;"")*($M$3:$M$2002&lt;&gt;"")*($L$3:$L$2002&lt;$M1666)*($M$3:$M$2002&gt;$L1666))&gt;1,"중복","-"))</f>
        <v/>
      </c>
    </row>
    <row r="1667" customFormat="false" ht="15" hidden="false" customHeight="true" outlineLevel="0" collapsed="false">
      <c r="A1667" s="11"/>
      <c r="B1667" s="7"/>
      <c r="C1667" s="12" t="str">
        <f aca="false">IF($B1667="","",IFERROR(INDEX(자원목록!$B$3:$B$102,MATCH($B1667,자원목록!$A$3:$A$102,0)),"미등록자원"))</f>
        <v/>
      </c>
      <c r="D1667" s="7"/>
      <c r="E1667" s="12" t="str">
        <f aca="false">IF($D1667="","",IFERROR(INDEX(고객목록!$B$3:$B$502,MATCH($D1667,고객목록!$A$3:$A$502,0)),""))</f>
        <v/>
      </c>
      <c r="F1667" s="13"/>
      <c r="G1667" s="13"/>
      <c r="H1667" s="14" t="str">
        <f aca="false">IF(OR($L1667="",$M1667=""),"",ROUND(($M1667-$L1667)/60,2))</f>
        <v/>
      </c>
      <c r="I1667" s="9"/>
      <c r="J1667" s="7"/>
      <c r="K1667" s="7"/>
      <c r="L1667" s="15" t="str">
        <f aca="false">IF($F1667="","",IF($F1667&lt;1,ROUND($F1667*1440,0),INT($F1667/100)*60+MOD($F1667,100)))</f>
        <v/>
      </c>
      <c r="M1667" s="15" t="str">
        <f aca="false">IF($G1667="","",IF($G1667&lt;1,ROUND($G1667*1440,0),INT($G1667/100)*60+MOD($G1667,100)))</f>
        <v/>
      </c>
      <c r="N1667" s="15" t="str">
        <f aca="false">IF(OR($A1667="",$B1667="",$L1667="",$M1667="",$J1667="취소"),"",IF(SUMPRODUCT(($A$3:$A$2002=$A1667)*($B$3:$B$2002=$B1667)*($J$3:$J$2002&lt;&gt;"취소")*($L$3:$L$2002&lt;&gt;"")*($M$3:$M$2002&lt;&gt;"")*($L$3:$L$2002&lt;$M1667)*($M$3:$M$2002&gt;$L1667))&gt;1,"중복","-"))</f>
        <v/>
      </c>
    </row>
    <row r="1668" customFormat="false" ht="15" hidden="false" customHeight="true" outlineLevel="0" collapsed="false">
      <c r="A1668" s="11"/>
      <c r="B1668" s="7"/>
      <c r="C1668" s="12" t="str">
        <f aca="false">IF($B1668="","",IFERROR(INDEX(자원목록!$B$3:$B$102,MATCH($B1668,자원목록!$A$3:$A$102,0)),"미등록자원"))</f>
        <v/>
      </c>
      <c r="D1668" s="7"/>
      <c r="E1668" s="12" t="str">
        <f aca="false">IF($D1668="","",IFERROR(INDEX(고객목록!$B$3:$B$502,MATCH($D1668,고객목록!$A$3:$A$502,0)),""))</f>
        <v/>
      </c>
      <c r="F1668" s="13"/>
      <c r="G1668" s="13"/>
      <c r="H1668" s="14" t="str">
        <f aca="false">IF(OR($L1668="",$M1668=""),"",ROUND(($M1668-$L1668)/60,2))</f>
        <v/>
      </c>
      <c r="I1668" s="9"/>
      <c r="J1668" s="7"/>
      <c r="K1668" s="7"/>
      <c r="L1668" s="15" t="str">
        <f aca="false">IF($F1668="","",IF($F1668&lt;1,ROUND($F1668*1440,0),INT($F1668/100)*60+MOD($F1668,100)))</f>
        <v/>
      </c>
      <c r="M1668" s="15" t="str">
        <f aca="false">IF($G1668="","",IF($G1668&lt;1,ROUND($G1668*1440,0),INT($G1668/100)*60+MOD($G1668,100)))</f>
        <v/>
      </c>
      <c r="N1668" s="15" t="str">
        <f aca="false">IF(OR($A1668="",$B1668="",$L1668="",$M1668="",$J1668="취소"),"",IF(SUMPRODUCT(($A$3:$A$2002=$A1668)*($B$3:$B$2002=$B1668)*($J$3:$J$2002&lt;&gt;"취소")*($L$3:$L$2002&lt;&gt;"")*($M$3:$M$2002&lt;&gt;"")*($L$3:$L$2002&lt;$M1668)*($M$3:$M$2002&gt;$L1668))&gt;1,"중복","-"))</f>
        <v/>
      </c>
    </row>
    <row r="1669" customFormat="false" ht="15" hidden="false" customHeight="true" outlineLevel="0" collapsed="false">
      <c r="A1669" s="11"/>
      <c r="B1669" s="7"/>
      <c r="C1669" s="12" t="str">
        <f aca="false">IF($B1669="","",IFERROR(INDEX(자원목록!$B$3:$B$102,MATCH($B1669,자원목록!$A$3:$A$102,0)),"미등록자원"))</f>
        <v/>
      </c>
      <c r="D1669" s="7"/>
      <c r="E1669" s="12" t="str">
        <f aca="false">IF($D1669="","",IFERROR(INDEX(고객목록!$B$3:$B$502,MATCH($D1669,고객목록!$A$3:$A$502,0)),""))</f>
        <v/>
      </c>
      <c r="F1669" s="13"/>
      <c r="G1669" s="13"/>
      <c r="H1669" s="14" t="str">
        <f aca="false">IF(OR($L1669="",$M1669=""),"",ROUND(($M1669-$L1669)/60,2))</f>
        <v/>
      </c>
      <c r="I1669" s="9"/>
      <c r="J1669" s="7"/>
      <c r="K1669" s="7"/>
      <c r="L1669" s="15" t="str">
        <f aca="false">IF($F1669="","",IF($F1669&lt;1,ROUND($F1669*1440,0),INT($F1669/100)*60+MOD($F1669,100)))</f>
        <v/>
      </c>
      <c r="M1669" s="15" t="str">
        <f aca="false">IF($G1669="","",IF($G1669&lt;1,ROUND($G1669*1440,0),INT($G1669/100)*60+MOD($G1669,100)))</f>
        <v/>
      </c>
      <c r="N1669" s="15" t="str">
        <f aca="false">IF(OR($A1669="",$B1669="",$L1669="",$M1669="",$J1669="취소"),"",IF(SUMPRODUCT(($A$3:$A$2002=$A1669)*($B$3:$B$2002=$B1669)*($J$3:$J$2002&lt;&gt;"취소")*($L$3:$L$2002&lt;&gt;"")*($M$3:$M$2002&lt;&gt;"")*($L$3:$L$2002&lt;$M1669)*($M$3:$M$2002&gt;$L1669))&gt;1,"중복","-"))</f>
        <v/>
      </c>
    </row>
    <row r="1670" customFormat="false" ht="15" hidden="false" customHeight="true" outlineLevel="0" collapsed="false">
      <c r="A1670" s="11"/>
      <c r="B1670" s="7"/>
      <c r="C1670" s="12" t="str">
        <f aca="false">IF($B1670="","",IFERROR(INDEX(자원목록!$B$3:$B$102,MATCH($B1670,자원목록!$A$3:$A$102,0)),"미등록자원"))</f>
        <v/>
      </c>
      <c r="D1670" s="7"/>
      <c r="E1670" s="12" t="str">
        <f aca="false">IF($D1670="","",IFERROR(INDEX(고객목록!$B$3:$B$502,MATCH($D1670,고객목록!$A$3:$A$502,0)),""))</f>
        <v/>
      </c>
      <c r="F1670" s="13"/>
      <c r="G1670" s="13"/>
      <c r="H1670" s="14" t="str">
        <f aca="false">IF(OR($L1670="",$M1670=""),"",ROUND(($M1670-$L1670)/60,2))</f>
        <v/>
      </c>
      <c r="I1670" s="9"/>
      <c r="J1670" s="7"/>
      <c r="K1670" s="7"/>
      <c r="L1670" s="15" t="str">
        <f aca="false">IF($F1670="","",IF($F1670&lt;1,ROUND($F1670*1440,0),INT($F1670/100)*60+MOD($F1670,100)))</f>
        <v/>
      </c>
      <c r="M1670" s="15" t="str">
        <f aca="false">IF($G1670="","",IF($G1670&lt;1,ROUND($G1670*1440,0),INT($G1670/100)*60+MOD($G1670,100)))</f>
        <v/>
      </c>
      <c r="N1670" s="15" t="str">
        <f aca="false">IF(OR($A1670="",$B1670="",$L1670="",$M1670="",$J1670="취소"),"",IF(SUMPRODUCT(($A$3:$A$2002=$A1670)*($B$3:$B$2002=$B1670)*($J$3:$J$2002&lt;&gt;"취소")*($L$3:$L$2002&lt;&gt;"")*($M$3:$M$2002&lt;&gt;"")*($L$3:$L$2002&lt;$M1670)*($M$3:$M$2002&gt;$L1670))&gt;1,"중복","-"))</f>
        <v/>
      </c>
    </row>
    <row r="1671" customFormat="false" ht="15" hidden="false" customHeight="true" outlineLevel="0" collapsed="false">
      <c r="A1671" s="11"/>
      <c r="B1671" s="7"/>
      <c r="C1671" s="12" t="str">
        <f aca="false">IF($B1671="","",IFERROR(INDEX(자원목록!$B$3:$B$102,MATCH($B1671,자원목록!$A$3:$A$102,0)),"미등록자원"))</f>
        <v/>
      </c>
      <c r="D1671" s="7"/>
      <c r="E1671" s="12" t="str">
        <f aca="false">IF($D1671="","",IFERROR(INDEX(고객목록!$B$3:$B$502,MATCH($D1671,고객목록!$A$3:$A$502,0)),""))</f>
        <v/>
      </c>
      <c r="F1671" s="13"/>
      <c r="G1671" s="13"/>
      <c r="H1671" s="14" t="str">
        <f aca="false">IF(OR($L1671="",$M1671=""),"",ROUND(($M1671-$L1671)/60,2))</f>
        <v/>
      </c>
      <c r="I1671" s="9"/>
      <c r="J1671" s="7"/>
      <c r="K1671" s="7"/>
      <c r="L1671" s="15" t="str">
        <f aca="false">IF($F1671="","",IF($F1671&lt;1,ROUND($F1671*1440,0),INT($F1671/100)*60+MOD($F1671,100)))</f>
        <v/>
      </c>
      <c r="M1671" s="15" t="str">
        <f aca="false">IF($G1671="","",IF($G1671&lt;1,ROUND($G1671*1440,0),INT($G1671/100)*60+MOD($G1671,100)))</f>
        <v/>
      </c>
      <c r="N1671" s="15" t="str">
        <f aca="false">IF(OR($A1671="",$B1671="",$L1671="",$M1671="",$J1671="취소"),"",IF(SUMPRODUCT(($A$3:$A$2002=$A1671)*($B$3:$B$2002=$B1671)*($J$3:$J$2002&lt;&gt;"취소")*($L$3:$L$2002&lt;&gt;"")*($M$3:$M$2002&lt;&gt;"")*($L$3:$L$2002&lt;$M1671)*($M$3:$M$2002&gt;$L1671))&gt;1,"중복","-"))</f>
        <v/>
      </c>
    </row>
    <row r="1672" customFormat="false" ht="15" hidden="false" customHeight="true" outlineLevel="0" collapsed="false">
      <c r="A1672" s="11"/>
      <c r="B1672" s="7"/>
      <c r="C1672" s="12" t="str">
        <f aca="false">IF($B1672="","",IFERROR(INDEX(자원목록!$B$3:$B$102,MATCH($B1672,자원목록!$A$3:$A$102,0)),"미등록자원"))</f>
        <v/>
      </c>
      <c r="D1672" s="7"/>
      <c r="E1672" s="12" t="str">
        <f aca="false">IF($D1672="","",IFERROR(INDEX(고객목록!$B$3:$B$502,MATCH($D1672,고객목록!$A$3:$A$502,0)),""))</f>
        <v/>
      </c>
      <c r="F1672" s="13"/>
      <c r="G1672" s="13"/>
      <c r="H1672" s="14" t="str">
        <f aca="false">IF(OR($L1672="",$M1672=""),"",ROUND(($M1672-$L1672)/60,2))</f>
        <v/>
      </c>
      <c r="I1672" s="9"/>
      <c r="J1672" s="7"/>
      <c r="K1672" s="7"/>
      <c r="L1672" s="15" t="str">
        <f aca="false">IF($F1672="","",IF($F1672&lt;1,ROUND($F1672*1440,0),INT($F1672/100)*60+MOD($F1672,100)))</f>
        <v/>
      </c>
      <c r="M1672" s="15" t="str">
        <f aca="false">IF($G1672="","",IF($G1672&lt;1,ROUND($G1672*1440,0),INT($G1672/100)*60+MOD($G1672,100)))</f>
        <v/>
      </c>
      <c r="N1672" s="15" t="str">
        <f aca="false">IF(OR($A1672="",$B1672="",$L1672="",$M1672="",$J1672="취소"),"",IF(SUMPRODUCT(($A$3:$A$2002=$A1672)*($B$3:$B$2002=$B1672)*($J$3:$J$2002&lt;&gt;"취소")*($L$3:$L$2002&lt;&gt;"")*($M$3:$M$2002&lt;&gt;"")*($L$3:$L$2002&lt;$M1672)*($M$3:$M$2002&gt;$L1672))&gt;1,"중복","-"))</f>
        <v/>
      </c>
    </row>
    <row r="1673" customFormat="false" ht="15" hidden="false" customHeight="true" outlineLevel="0" collapsed="false">
      <c r="A1673" s="11"/>
      <c r="B1673" s="7"/>
      <c r="C1673" s="12" t="str">
        <f aca="false">IF($B1673="","",IFERROR(INDEX(자원목록!$B$3:$B$102,MATCH($B1673,자원목록!$A$3:$A$102,0)),"미등록자원"))</f>
        <v/>
      </c>
      <c r="D1673" s="7"/>
      <c r="E1673" s="12" t="str">
        <f aca="false">IF($D1673="","",IFERROR(INDEX(고객목록!$B$3:$B$502,MATCH($D1673,고객목록!$A$3:$A$502,0)),""))</f>
        <v/>
      </c>
      <c r="F1673" s="13"/>
      <c r="G1673" s="13"/>
      <c r="H1673" s="14" t="str">
        <f aca="false">IF(OR($L1673="",$M1673=""),"",ROUND(($M1673-$L1673)/60,2))</f>
        <v/>
      </c>
      <c r="I1673" s="9"/>
      <c r="J1673" s="7"/>
      <c r="K1673" s="7"/>
      <c r="L1673" s="15" t="str">
        <f aca="false">IF($F1673="","",IF($F1673&lt;1,ROUND($F1673*1440,0),INT($F1673/100)*60+MOD($F1673,100)))</f>
        <v/>
      </c>
      <c r="M1673" s="15" t="str">
        <f aca="false">IF($G1673="","",IF($G1673&lt;1,ROUND($G1673*1440,0),INT($G1673/100)*60+MOD($G1673,100)))</f>
        <v/>
      </c>
      <c r="N1673" s="15" t="str">
        <f aca="false">IF(OR($A1673="",$B1673="",$L1673="",$M1673="",$J1673="취소"),"",IF(SUMPRODUCT(($A$3:$A$2002=$A1673)*($B$3:$B$2002=$B1673)*($J$3:$J$2002&lt;&gt;"취소")*($L$3:$L$2002&lt;&gt;"")*($M$3:$M$2002&lt;&gt;"")*($L$3:$L$2002&lt;$M1673)*($M$3:$M$2002&gt;$L1673))&gt;1,"중복","-"))</f>
        <v/>
      </c>
    </row>
    <row r="1674" customFormat="false" ht="15" hidden="false" customHeight="true" outlineLevel="0" collapsed="false">
      <c r="A1674" s="11"/>
      <c r="B1674" s="7"/>
      <c r="C1674" s="12" t="str">
        <f aca="false">IF($B1674="","",IFERROR(INDEX(자원목록!$B$3:$B$102,MATCH($B1674,자원목록!$A$3:$A$102,0)),"미등록자원"))</f>
        <v/>
      </c>
      <c r="D1674" s="7"/>
      <c r="E1674" s="12" t="str">
        <f aca="false">IF($D1674="","",IFERROR(INDEX(고객목록!$B$3:$B$502,MATCH($D1674,고객목록!$A$3:$A$502,0)),""))</f>
        <v/>
      </c>
      <c r="F1674" s="13"/>
      <c r="G1674" s="13"/>
      <c r="H1674" s="14" t="str">
        <f aca="false">IF(OR($L1674="",$M1674=""),"",ROUND(($M1674-$L1674)/60,2))</f>
        <v/>
      </c>
      <c r="I1674" s="9"/>
      <c r="J1674" s="7"/>
      <c r="K1674" s="7"/>
      <c r="L1674" s="15" t="str">
        <f aca="false">IF($F1674="","",IF($F1674&lt;1,ROUND($F1674*1440,0),INT($F1674/100)*60+MOD($F1674,100)))</f>
        <v/>
      </c>
      <c r="M1674" s="15" t="str">
        <f aca="false">IF($G1674="","",IF($G1674&lt;1,ROUND($G1674*1440,0),INT($G1674/100)*60+MOD($G1674,100)))</f>
        <v/>
      </c>
      <c r="N1674" s="15" t="str">
        <f aca="false">IF(OR($A1674="",$B1674="",$L1674="",$M1674="",$J1674="취소"),"",IF(SUMPRODUCT(($A$3:$A$2002=$A1674)*($B$3:$B$2002=$B1674)*($J$3:$J$2002&lt;&gt;"취소")*($L$3:$L$2002&lt;&gt;"")*($M$3:$M$2002&lt;&gt;"")*($L$3:$L$2002&lt;$M1674)*($M$3:$M$2002&gt;$L1674))&gt;1,"중복","-"))</f>
        <v/>
      </c>
    </row>
    <row r="1675" customFormat="false" ht="15" hidden="false" customHeight="true" outlineLevel="0" collapsed="false">
      <c r="A1675" s="11"/>
      <c r="B1675" s="7"/>
      <c r="C1675" s="12" t="str">
        <f aca="false">IF($B1675="","",IFERROR(INDEX(자원목록!$B$3:$B$102,MATCH($B1675,자원목록!$A$3:$A$102,0)),"미등록자원"))</f>
        <v/>
      </c>
      <c r="D1675" s="7"/>
      <c r="E1675" s="12" t="str">
        <f aca="false">IF($D1675="","",IFERROR(INDEX(고객목록!$B$3:$B$502,MATCH($D1675,고객목록!$A$3:$A$502,0)),""))</f>
        <v/>
      </c>
      <c r="F1675" s="13"/>
      <c r="G1675" s="13"/>
      <c r="H1675" s="14" t="str">
        <f aca="false">IF(OR($L1675="",$M1675=""),"",ROUND(($M1675-$L1675)/60,2))</f>
        <v/>
      </c>
      <c r="I1675" s="9"/>
      <c r="J1675" s="7"/>
      <c r="K1675" s="7"/>
      <c r="L1675" s="15" t="str">
        <f aca="false">IF($F1675="","",IF($F1675&lt;1,ROUND($F1675*1440,0),INT($F1675/100)*60+MOD($F1675,100)))</f>
        <v/>
      </c>
      <c r="M1675" s="15" t="str">
        <f aca="false">IF($G1675="","",IF($G1675&lt;1,ROUND($G1675*1440,0),INT($G1675/100)*60+MOD($G1675,100)))</f>
        <v/>
      </c>
      <c r="N1675" s="15" t="str">
        <f aca="false">IF(OR($A1675="",$B1675="",$L1675="",$M1675="",$J1675="취소"),"",IF(SUMPRODUCT(($A$3:$A$2002=$A1675)*($B$3:$B$2002=$B1675)*($J$3:$J$2002&lt;&gt;"취소")*($L$3:$L$2002&lt;&gt;"")*($M$3:$M$2002&lt;&gt;"")*($L$3:$L$2002&lt;$M1675)*($M$3:$M$2002&gt;$L1675))&gt;1,"중복","-"))</f>
        <v/>
      </c>
    </row>
    <row r="1676" customFormat="false" ht="15" hidden="false" customHeight="true" outlineLevel="0" collapsed="false">
      <c r="A1676" s="11"/>
      <c r="B1676" s="7"/>
      <c r="C1676" s="12" t="str">
        <f aca="false">IF($B1676="","",IFERROR(INDEX(자원목록!$B$3:$B$102,MATCH($B1676,자원목록!$A$3:$A$102,0)),"미등록자원"))</f>
        <v/>
      </c>
      <c r="D1676" s="7"/>
      <c r="E1676" s="12" t="str">
        <f aca="false">IF($D1676="","",IFERROR(INDEX(고객목록!$B$3:$B$502,MATCH($D1676,고객목록!$A$3:$A$502,0)),""))</f>
        <v/>
      </c>
      <c r="F1676" s="13"/>
      <c r="G1676" s="13"/>
      <c r="H1676" s="14" t="str">
        <f aca="false">IF(OR($L1676="",$M1676=""),"",ROUND(($M1676-$L1676)/60,2))</f>
        <v/>
      </c>
      <c r="I1676" s="9"/>
      <c r="J1676" s="7"/>
      <c r="K1676" s="7"/>
      <c r="L1676" s="15" t="str">
        <f aca="false">IF($F1676="","",IF($F1676&lt;1,ROUND($F1676*1440,0),INT($F1676/100)*60+MOD($F1676,100)))</f>
        <v/>
      </c>
      <c r="M1676" s="15" t="str">
        <f aca="false">IF($G1676="","",IF($G1676&lt;1,ROUND($G1676*1440,0),INT($G1676/100)*60+MOD($G1676,100)))</f>
        <v/>
      </c>
      <c r="N1676" s="15" t="str">
        <f aca="false">IF(OR($A1676="",$B1676="",$L1676="",$M1676="",$J1676="취소"),"",IF(SUMPRODUCT(($A$3:$A$2002=$A1676)*($B$3:$B$2002=$B1676)*($J$3:$J$2002&lt;&gt;"취소")*($L$3:$L$2002&lt;&gt;"")*($M$3:$M$2002&lt;&gt;"")*($L$3:$L$2002&lt;$M1676)*($M$3:$M$2002&gt;$L1676))&gt;1,"중복","-"))</f>
        <v/>
      </c>
    </row>
    <row r="1677" customFormat="false" ht="15" hidden="false" customHeight="true" outlineLevel="0" collapsed="false">
      <c r="A1677" s="11"/>
      <c r="B1677" s="7"/>
      <c r="C1677" s="12" t="str">
        <f aca="false">IF($B1677="","",IFERROR(INDEX(자원목록!$B$3:$B$102,MATCH($B1677,자원목록!$A$3:$A$102,0)),"미등록자원"))</f>
        <v/>
      </c>
      <c r="D1677" s="7"/>
      <c r="E1677" s="12" t="str">
        <f aca="false">IF($D1677="","",IFERROR(INDEX(고객목록!$B$3:$B$502,MATCH($D1677,고객목록!$A$3:$A$502,0)),""))</f>
        <v/>
      </c>
      <c r="F1677" s="13"/>
      <c r="G1677" s="13"/>
      <c r="H1677" s="14" t="str">
        <f aca="false">IF(OR($L1677="",$M1677=""),"",ROUND(($M1677-$L1677)/60,2))</f>
        <v/>
      </c>
      <c r="I1677" s="9"/>
      <c r="J1677" s="7"/>
      <c r="K1677" s="7"/>
      <c r="L1677" s="15" t="str">
        <f aca="false">IF($F1677="","",IF($F1677&lt;1,ROUND($F1677*1440,0),INT($F1677/100)*60+MOD($F1677,100)))</f>
        <v/>
      </c>
      <c r="M1677" s="15" t="str">
        <f aca="false">IF($G1677="","",IF($G1677&lt;1,ROUND($G1677*1440,0),INT($G1677/100)*60+MOD($G1677,100)))</f>
        <v/>
      </c>
      <c r="N1677" s="15" t="str">
        <f aca="false">IF(OR($A1677="",$B1677="",$L1677="",$M1677="",$J1677="취소"),"",IF(SUMPRODUCT(($A$3:$A$2002=$A1677)*($B$3:$B$2002=$B1677)*($J$3:$J$2002&lt;&gt;"취소")*($L$3:$L$2002&lt;&gt;"")*($M$3:$M$2002&lt;&gt;"")*($L$3:$L$2002&lt;$M1677)*($M$3:$M$2002&gt;$L1677))&gt;1,"중복","-"))</f>
        <v/>
      </c>
    </row>
    <row r="1678" customFormat="false" ht="15" hidden="false" customHeight="true" outlineLevel="0" collapsed="false">
      <c r="A1678" s="11"/>
      <c r="B1678" s="7"/>
      <c r="C1678" s="12" t="str">
        <f aca="false">IF($B1678="","",IFERROR(INDEX(자원목록!$B$3:$B$102,MATCH($B1678,자원목록!$A$3:$A$102,0)),"미등록자원"))</f>
        <v/>
      </c>
      <c r="D1678" s="7"/>
      <c r="E1678" s="12" t="str">
        <f aca="false">IF($D1678="","",IFERROR(INDEX(고객목록!$B$3:$B$502,MATCH($D1678,고객목록!$A$3:$A$502,0)),""))</f>
        <v/>
      </c>
      <c r="F1678" s="13"/>
      <c r="G1678" s="13"/>
      <c r="H1678" s="14" t="str">
        <f aca="false">IF(OR($L1678="",$M1678=""),"",ROUND(($M1678-$L1678)/60,2))</f>
        <v/>
      </c>
      <c r="I1678" s="9"/>
      <c r="J1678" s="7"/>
      <c r="K1678" s="7"/>
      <c r="L1678" s="15" t="str">
        <f aca="false">IF($F1678="","",IF($F1678&lt;1,ROUND($F1678*1440,0),INT($F1678/100)*60+MOD($F1678,100)))</f>
        <v/>
      </c>
      <c r="M1678" s="15" t="str">
        <f aca="false">IF($G1678="","",IF($G1678&lt;1,ROUND($G1678*1440,0),INT($G1678/100)*60+MOD($G1678,100)))</f>
        <v/>
      </c>
      <c r="N1678" s="15" t="str">
        <f aca="false">IF(OR($A1678="",$B1678="",$L1678="",$M1678="",$J1678="취소"),"",IF(SUMPRODUCT(($A$3:$A$2002=$A1678)*($B$3:$B$2002=$B1678)*($J$3:$J$2002&lt;&gt;"취소")*($L$3:$L$2002&lt;&gt;"")*($M$3:$M$2002&lt;&gt;"")*($L$3:$L$2002&lt;$M1678)*($M$3:$M$2002&gt;$L1678))&gt;1,"중복","-"))</f>
        <v/>
      </c>
    </row>
    <row r="1679" customFormat="false" ht="15" hidden="false" customHeight="true" outlineLevel="0" collapsed="false">
      <c r="A1679" s="11"/>
      <c r="B1679" s="7"/>
      <c r="C1679" s="12" t="str">
        <f aca="false">IF($B1679="","",IFERROR(INDEX(자원목록!$B$3:$B$102,MATCH($B1679,자원목록!$A$3:$A$102,0)),"미등록자원"))</f>
        <v/>
      </c>
      <c r="D1679" s="7"/>
      <c r="E1679" s="12" t="str">
        <f aca="false">IF($D1679="","",IFERROR(INDEX(고객목록!$B$3:$B$502,MATCH($D1679,고객목록!$A$3:$A$502,0)),""))</f>
        <v/>
      </c>
      <c r="F1679" s="13"/>
      <c r="G1679" s="13"/>
      <c r="H1679" s="14" t="str">
        <f aca="false">IF(OR($L1679="",$M1679=""),"",ROUND(($M1679-$L1679)/60,2))</f>
        <v/>
      </c>
      <c r="I1679" s="9"/>
      <c r="J1679" s="7"/>
      <c r="K1679" s="7"/>
      <c r="L1679" s="15" t="str">
        <f aca="false">IF($F1679="","",IF($F1679&lt;1,ROUND($F1679*1440,0),INT($F1679/100)*60+MOD($F1679,100)))</f>
        <v/>
      </c>
      <c r="M1679" s="15" t="str">
        <f aca="false">IF($G1679="","",IF($G1679&lt;1,ROUND($G1679*1440,0),INT($G1679/100)*60+MOD($G1679,100)))</f>
        <v/>
      </c>
      <c r="N1679" s="15" t="str">
        <f aca="false">IF(OR($A1679="",$B1679="",$L1679="",$M1679="",$J1679="취소"),"",IF(SUMPRODUCT(($A$3:$A$2002=$A1679)*($B$3:$B$2002=$B1679)*($J$3:$J$2002&lt;&gt;"취소")*($L$3:$L$2002&lt;&gt;"")*($M$3:$M$2002&lt;&gt;"")*($L$3:$L$2002&lt;$M1679)*($M$3:$M$2002&gt;$L1679))&gt;1,"중복","-"))</f>
        <v/>
      </c>
    </row>
    <row r="1680" customFormat="false" ht="15" hidden="false" customHeight="true" outlineLevel="0" collapsed="false">
      <c r="A1680" s="11"/>
      <c r="B1680" s="7"/>
      <c r="C1680" s="12" t="str">
        <f aca="false">IF($B1680="","",IFERROR(INDEX(자원목록!$B$3:$B$102,MATCH($B1680,자원목록!$A$3:$A$102,0)),"미등록자원"))</f>
        <v/>
      </c>
      <c r="D1680" s="7"/>
      <c r="E1680" s="12" t="str">
        <f aca="false">IF($D1680="","",IFERROR(INDEX(고객목록!$B$3:$B$502,MATCH($D1680,고객목록!$A$3:$A$502,0)),""))</f>
        <v/>
      </c>
      <c r="F1680" s="13"/>
      <c r="G1680" s="13"/>
      <c r="H1680" s="14" t="str">
        <f aca="false">IF(OR($L1680="",$M1680=""),"",ROUND(($M1680-$L1680)/60,2))</f>
        <v/>
      </c>
      <c r="I1680" s="9"/>
      <c r="J1680" s="7"/>
      <c r="K1680" s="7"/>
      <c r="L1680" s="15" t="str">
        <f aca="false">IF($F1680="","",IF($F1680&lt;1,ROUND($F1680*1440,0),INT($F1680/100)*60+MOD($F1680,100)))</f>
        <v/>
      </c>
      <c r="M1680" s="15" t="str">
        <f aca="false">IF($G1680="","",IF($G1680&lt;1,ROUND($G1680*1440,0),INT($G1680/100)*60+MOD($G1680,100)))</f>
        <v/>
      </c>
      <c r="N1680" s="15" t="str">
        <f aca="false">IF(OR($A1680="",$B1680="",$L1680="",$M1680="",$J1680="취소"),"",IF(SUMPRODUCT(($A$3:$A$2002=$A1680)*($B$3:$B$2002=$B1680)*($J$3:$J$2002&lt;&gt;"취소")*($L$3:$L$2002&lt;&gt;"")*($M$3:$M$2002&lt;&gt;"")*($L$3:$L$2002&lt;$M1680)*($M$3:$M$2002&gt;$L1680))&gt;1,"중복","-"))</f>
        <v/>
      </c>
    </row>
    <row r="1681" customFormat="false" ht="15" hidden="false" customHeight="true" outlineLevel="0" collapsed="false">
      <c r="A1681" s="11"/>
      <c r="B1681" s="7"/>
      <c r="C1681" s="12" t="str">
        <f aca="false">IF($B1681="","",IFERROR(INDEX(자원목록!$B$3:$B$102,MATCH($B1681,자원목록!$A$3:$A$102,0)),"미등록자원"))</f>
        <v/>
      </c>
      <c r="D1681" s="7"/>
      <c r="E1681" s="12" t="str">
        <f aca="false">IF($D1681="","",IFERROR(INDEX(고객목록!$B$3:$B$502,MATCH($D1681,고객목록!$A$3:$A$502,0)),""))</f>
        <v/>
      </c>
      <c r="F1681" s="13"/>
      <c r="G1681" s="13"/>
      <c r="H1681" s="14" t="str">
        <f aca="false">IF(OR($L1681="",$M1681=""),"",ROUND(($M1681-$L1681)/60,2))</f>
        <v/>
      </c>
      <c r="I1681" s="9"/>
      <c r="J1681" s="7"/>
      <c r="K1681" s="7"/>
      <c r="L1681" s="15" t="str">
        <f aca="false">IF($F1681="","",IF($F1681&lt;1,ROUND($F1681*1440,0),INT($F1681/100)*60+MOD($F1681,100)))</f>
        <v/>
      </c>
      <c r="M1681" s="15" t="str">
        <f aca="false">IF($G1681="","",IF($G1681&lt;1,ROUND($G1681*1440,0),INT($G1681/100)*60+MOD($G1681,100)))</f>
        <v/>
      </c>
      <c r="N1681" s="15" t="str">
        <f aca="false">IF(OR($A1681="",$B1681="",$L1681="",$M1681="",$J1681="취소"),"",IF(SUMPRODUCT(($A$3:$A$2002=$A1681)*($B$3:$B$2002=$B1681)*($J$3:$J$2002&lt;&gt;"취소")*($L$3:$L$2002&lt;&gt;"")*($M$3:$M$2002&lt;&gt;"")*($L$3:$L$2002&lt;$M1681)*($M$3:$M$2002&gt;$L1681))&gt;1,"중복","-"))</f>
        <v/>
      </c>
    </row>
    <row r="1682" customFormat="false" ht="15" hidden="false" customHeight="true" outlineLevel="0" collapsed="false">
      <c r="A1682" s="11"/>
      <c r="B1682" s="7"/>
      <c r="C1682" s="12" t="str">
        <f aca="false">IF($B1682="","",IFERROR(INDEX(자원목록!$B$3:$B$102,MATCH($B1682,자원목록!$A$3:$A$102,0)),"미등록자원"))</f>
        <v/>
      </c>
      <c r="D1682" s="7"/>
      <c r="E1682" s="12" t="str">
        <f aca="false">IF($D1682="","",IFERROR(INDEX(고객목록!$B$3:$B$502,MATCH($D1682,고객목록!$A$3:$A$502,0)),""))</f>
        <v/>
      </c>
      <c r="F1682" s="13"/>
      <c r="G1682" s="13"/>
      <c r="H1682" s="14" t="str">
        <f aca="false">IF(OR($L1682="",$M1682=""),"",ROUND(($M1682-$L1682)/60,2))</f>
        <v/>
      </c>
      <c r="I1682" s="9"/>
      <c r="J1682" s="7"/>
      <c r="K1682" s="7"/>
      <c r="L1682" s="15" t="str">
        <f aca="false">IF($F1682="","",IF($F1682&lt;1,ROUND($F1682*1440,0),INT($F1682/100)*60+MOD($F1682,100)))</f>
        <v/>
      </c>
      <c r="M1682" s="15" t="str">
        <f aca="false">IF($G1682="","",IF($G1682&lt;1,ROUND($G1682*1440,0),INT($G1682/100)*60+MOD($G1682,100)))</f>
        <v/>
      </c>
      <c r="N1682" s="15" t="str">
        <f aca="false">IF(OR($A1682="",$B1682="",$L1682="",$M1682="",$J1682="취소"),"",IF(SUMPRODUCT(($A$3:$A$2002=$A1682)*($B$3:$B$2002=$B1682)*($J$3:$J$2002&lt;&gt;"취소")*($L$3:$L$2002&lt;&gt;"")*($M$3:$M$2002&lt;&gt;"")*($L$3:$L$2002&lt;$M1682)*($M$3:$M$2002&gt;$L1682))&gt;1,"중복","-"))</f>
        <v/>
      </c>
    </row>
    <row r="1683" customFormat="false" ht="15" hidden="false" customHeight="true" outlineLevel="0" collapsed="false">
      <c r="A1683" s="11"/>
      <c r="B1683" s="7"/>
      <c r="C1683" s="12" t="str">
        <f aca="false">IF($B1683="","",IFERROR(INDEX(자원목록!$B$3:$B$102,MATCH($B1683,자원목록!$A$3:$A$102,0)),"미등록자원"))</f>
        <v/>
      </c>
      <c r="D1683" s="7"/>
      <c r="E1683" s="12" t="str">
        <f aca="false">IF($D1683="","",IFERROR(INDEX(고객목록!$B$3:$B$502,MATCH($D1683,고객목록!$A$3:$A$502,0)),""))</f>
        <v/>
      </c>
      <c r="F1683" s="13"/>
      <c r="G1683" s="13"/>
      <c r="H1683" s="14" t="str">
        <f aca="false">IF(OR($L1683="",$M1683=""),"",ROUND(($M1683-$L1683)/60,2))</f>
        <v/>
      </c>
      <c r="I1683" s="9"/>
      <c r="J1683" s="7"/>
      <c r="K1683" s="7"/>
      <c r="L1683" s="15" t="str">
        <f aca="false">IF($F1683="","",IF($F1683&lt;1,ROUND($F1683*1440,0),INT($F1683/100)*60+MOD($F1683,100)))</f>
        <v/>
      </c>
      <c r="M1683" s="15" t="str">
        <f aca="false">IF($G1683="","",IF($G1683&lt;1,ROUND($G1683*1440,0),INT($G1683/100)*60+MOD($G1683,100)))</f>
        <v/>
      </c>
      <c r="N1683" s="15" t="str">
        <f aca="false">IF(OR($A1683="",$B1683="",$L1683="",$M1683="",$J1683="취소"),"",IF(SUMPRODUCT(($A$3:$A$2002=$A1683)*($B$3:$B$2002=$B1683)*($J$3:$J$2002&lt;&gt;"취소")*($L$3:$L$2002&lt;&gt;"")*($M$3:$M$2002&lt;&gt;"")*($L$3:$L$2002&lt;$M1683)*($M$3:$M$2002&gt;$L1683))&gt;1,"중복","-"))</f>
        <v/>
      </c>
    </row>
    <row r="1684" customFormat="false" ht="15" hidden="false" customHeight="true" outlineLevel="0" collapsed="false">
      <c r="A1684" s="11"/>
      <c r="B1684" s="7"/>
      <c r="C1684" s="12" t="str">
        <f aca="false">IF($B1684="","",IFERROR(INDEX(자원목록!$B$3:$B$102,MATCH($B1684,자원목록!$A$3:$A$102,0)),"미등록자원"))</f>
        <v/>
      </c>
      <c r="D1684" s="7"/>
      <c r="E1684" s="12" t="str">
        <f aca="false">IF($D1684="","",IFERROR(INDEX(고객목록!$B$3:$B$502,MATCH($D1684,고객목록!$A$3:$A$502,0)),""))</f>
        <v/>
      </c>
      <c r="F1684" s="13"/>
      <c r="G1684" s="13"/>
      <c r="H1684" s="14" t="str">
        <f aca="false">IF(OR($L1684="",$M1684=""),"",ROUND(($M1684-$L1684)/60,2))</f>
        <v/>
      </c>
      <c r="I1684" s="9"/>
      <c r="J1684" s="7"/>
      <c r="K1684" s="7"/>
      <c r="L1684" s="15" t="str">
        <f aca="false">IF($F1684="","",IF($F1684&lt;1,ROUND($F1684*1440,0),INT($F1684/100)*60+MOD($F1684,100)))</f>
        <v/>
      </c>
      <c r="M1684" s="15" t="str">
        <f aca="false">IF($G1684="","",IF($G1684&lt;1,ROUND($G1684*1440,0),INT($G1684/100)*60+MOD($G1684,100)))</f>
        <v/>
      </c>
      <c r="N1684" s="15" t="str">
        <f aca="false">IF(OR($A1684="",$B1684="",$L1684="",$M1684="",$J1684="취소"),"",IF(SUMPRODUCT(($A$3:$A$2002=$A1684)*($B$3:$B$2002=$B1684)*($J$3:$J$2002&lt;&gt;"취소")*($L$3:$L$2002&lt;&gt;"")*($M$3:$M$2002&lt;&gt;"")*($L$3:$L$2002&lt;$M1684)*($M$3:$M$2002&gt;$L1684))&gt;1,"중복","-"))</f>
        <v/>
      </c>
    </row>
    <row r="1685" customFormat="false" ht="15" hidden="false" customHeight="true" outlineLevel="0" collapsed="false">
      <c r="A1685" s="11"/>
      <c r="B1685" s="7"/>
      <c r="C1685" s="12" t="str">
        <f aca="false">IF($B1685="","",IFERROR(INDEX(자원목록!$B$3:$B$102,MATCH($B1685,자원목록!$A$3:$A$102,0)),"미등록자원"))</f>
        <v/>
      </c>
      <c r="D1685" s="7"/>
      <c r="E1685" s="12" t="str">
        <f aca="false">IF($D1685="","",IFERROR(INDEX(고객목록!$B$3:$B$502,MATCH($D1685,고객목록!$A$3:$A$502,0)),""))</f>
        <v/>
      </c>
      <c r="F1685" s="13"/>
      <c r="G1685" s="13"/>
      <c r="H1685" s="14" t="str">
        <f aca="false">IF(OR($L1685="",$M1685=""),"",ROUND(($M1685-$L1685)/60,2))</f>
        <v/>
      </c>
      <c r="I1685" s="9"/>
      <c r="J1685" s="7"/>
      <c r="K1685" s="7"/>
      <c r="L1685" s="15" t="str">
        <f aca="false">IF($F1685="","",IF($F1685&lt;1,ROUND($F1685*1440,0),INT($F1685/100)*60+MOD($F1685,100)))</f>
        <v/>
      </c>
      <c r="M1685" s="15" t="str">
        <f aca="false">IF($G1685="","",IF($G1685&lt;1,ROUND($G1685*1440,0),INT($G1685/100)*60+MOD($G1685,100)))</f>
        <v/>
      </c>
      <c r="N1685" s="15" t="str">
        <f aca="false">IF(OR($A1685="",$B1685="",$L1685="",$M1685="",$J1685="취소"),"",IF(SUMPRODUCT(($A$3:$A$2002=$A1685)*($B$3:$B$2002=$B1685)*($J$3:$J$2002&lt;&gt;"취소")*($L$3:$L$2002&lt;&gt;"")*($M$3:$M$2002&lt;&gt;"")*($L$3:$L$2002&lt;$M1685)*($M$3:$M$2002&gt;$L1685))&gt;1,"중복","-"))</f>
        <v/>
      </c>
    </row>
    <row r="1686" customFormat="false" ht="15" hidden="false" customHeight="true" outlineLevel="0" collapsed="false">
      <c r="A1686" s="11"/>
      <c r="B1686" s="7"/>
      <c r="C1686" s="12" t="str">
        <f aca="false">IF($B1686="","",IFERROR(INDEX(자원목록!$B$3:$B$102,MATCH($B1686,자원목록!$A$3:$A$102,0)),"미등록자원"))</f>
        <v/>
      </c>
      <c r="D1686" s="7"/>
      <c r="E1686" s="12" t="str">
        <f aca="false">IF($D1686="","",IFERROR(INDEX(고객목록!$B$3:$B$502,MATCH($D1686,고객목록!$A$3:$A$502,0)),""))</f>
        <v/>
      </c>
      <c r="F1686" s="13"/>
      <c r="G1686" s="13"/>
      <c r="H1686" s="14" t="str">
        <f aca="false">IF(OR($L1686="",$M1686=""),"",ROUND(($M1686-$L1686)/60,2))</f>
        <v/>
      </c>
      <c r="I1686" s="9"/>
      <c r="J1686" s="7"/>
      <c r="K1686" s="7"/>
      <c r="L1686" s="15" t="str">
        <f aca="false">IF($F1686="","",IF($F1686&lt;1,ROUND($F1686*1440,0),INT($F1686/100)*60+MOD($F1686,100)))</f>
        <v/>
      </c>
      <c r="M1686" s="15" t="str">
        <f aca="false">IF($G1686="","",IF($G1686&lt;1,ROUND($G1686*1440,0),INT($G1686/100)*60+MOD($G1686,100)))</f>
        <v/>
      </c>
      <c r="N1686" s="15" t="str">
        <f aca="false">IF(OR($A1686="",$B1686="",$L1686="",$M1686="",$J1686="취소"),"",IF(SUMPRODUCT(($A$3:$A$2002=$A1686)*($B$3:$B$2002=$B1686)*($J$3:$J$2002&lt;&gt;"취소")*($L$3:$L$2002&lt;&gt;"")*($M$3:$M$2002&lt;&gt;"")*($L$3:$L$2002&lt;$M1686)*($M$3:$M$2002&gt;$L1686))&gt;1,"중복","-"))</f>
        <v/>
      </c>
    </row>
    <row r="1687" customFormat="false" ht="15" hidden="false" customHeight="true" outlineLevel="0" collapsed="false">
      <c r="A1687" s="11"/>
      <c r="B1687" s="7"/>
      <c r="C1687" s="12" t="str">
        <f aca="false">IF($B1687="","",IFERROR(INDEX(자원목록!$B$3:$B$102,MATCH($B1687,자원목록!$A$3:$A$102,0)),"미등록자원"))</f>
        <v/>
      </c>
      <c r="D1687" s="7"/>
      <c r="E1687" s="12" t="str">
        <f aca="false">IF($D1687="","",IFERROR(INDEX(고객목록!$B$3:$B$502,MATCH($D1687,고객목록!$A$3:$A$502,0)),""))</f>
        <v/>
      </c>
      <c r="F1687" s="13"/>
      <c r="G1687" s="13"/>
      <c r="H1687" s="14" t="str">
        <f aca="false">IF(OR($L1687="",$M1687=""),"",ROUND(($M1687-$L1687)/60,2))</f>
        <v/>
      </c>
      <c r="I1687" s="9"/>
      <c r="J1687" s="7"/>
      <c r="K1687" s="7"/>
      <c r="L1687" s="15" t="str">
        <f aca="false">IF($F1687="","",IF($F1687&lt;1,ROUND($F1687*1440,0),INT($F1687/100)*60+MOD($F1687,100)))</f>
        <v/>
      </c>
      <c r="M1687" s="15" t="str">
        <f aca="false">IF($G1687="","",IF($G1687&lt;1,ROUND($G1687*1440,0),INT($G1687/100)*60+MOD($G1687,100)))</f>
        <v/>
      </c>
      <c r="N1687" s="15" t="str">
        <f aca="false">IF(OR($A1687="",$B1687="",$L1687="",$M1687="",$J1687="취소"),"",IF(SUMPRODUCT(($A$3:$A$2002=$A1687)*($B$3:$B$2002=$B1687)*($J$3:$J$2002&lt;&gt;"취소")*($L$3:$L$2002&lt;&gt;"")*($M$3:$M$2002&lt;&gt;"")*($L$3:$L$2002&lt;$M1687)*($M$3:$M$2002&gt;$L1687))&gt;1,"중복","-"))</f>
        <v/>
      </c>
    </row>
    <row r="1688" customFormat="false" ht="15" hidden="false" customHeight="true" outlineLevel="0" collapsed="false">
      <c r="A1688" s="11"/>
      <c r="B1688" s="7"/>
      <c r="C1688" s="12" t="str">
        <f aca="false">IF($B1688="","",IFERROR(INDEX(자원목록!$B$3:$B$102,MATCH($B1688,자원목록!$A$3:$A$102,0)),"미등록자원"))</f>
        <v/>
      </c>
      <c r="D1688" s="7"/>
      <c r="E1688" s="12" t="str">
        <f aca="false">IF($D1688="","",IFERROR(INDEX(고객목록!$B$3:$B$502,MATCH($D1688,고객목록!$A$3:$A$502,0)),""))</f>
        <v/>
      </c>
      <c r="F1688" s="13"/>
      <c r="G1688" s="13"/>
      <c r="H1688" s="14" t="str">
        <f aca="false">IF(OR($L1688="",$M1688=""),"",ROUND(($M1688-$L1688)/60,2))</f>
        <v/>
      </c>
      <c r="I1688" s="9"/>
      <c r="J1688" s="7"/>
      <c r="K1688" s="7"/>
      <c r="L1688" s="15" t="str">
        <f aca="false">IF($F1688="","",IF($F1688&lt;1,ROUND($F1688*1440,0),INT($F1688/100)*60+MOD($F1688,100)))</f>
        <v/>
      </c>
      <c r="M1688" s="15" t="str">
        <f aca="false">IF($G1688="","",IF($G1688&lt;1,ROUND($G1688*1440,0),INT($G1688/100)*60+MOD($G1688,100)))</f>
        <v/>
      </c>
      <c r="N1688" s="15" t="str">
        <f aca="false">IF(OR($A1688="",$B1688="",$L1688="",$M1688="",$J1688="취소"),"",IF(SUMPRODUCT(($A$3:$A$2002=$A1688)*($B$3:$B$2002=$B1688)*($J$3:$J$2002&lt;&gt;"취소")*($L$3:$L$2002&lt;&gt;"")*($M$3:$M$2002&lt;&gt;"")*($L$3:$L$2002&lt;$M1688)*($M$3:$M$2002&gt;$L1688))&gt;1,"중복","-"))</f>
        <v/>
      </c>
    </row>
    <row r="1689" customFormat="false" ht="15" hidden="false" customHeight="true" outlineLevel="0" collapsed="false">
      <c r="A1689" s="11"/>
      <c r="B1689" s="7"/>
      <c r="C1689" s="12" t="str">
        <f aca="false">IF($B1689="","",IFERROR(INDEX(자원목록!$B$3:$B$102,MATCH($B1689,자원목록!$A$3:$A$102,0)),"미등록자원"))</f>
        <v/>
      </c>
      <c r="D1689" s="7"/>
      <c r="E1689" s="12" t="str">
        <f aca="false">IF($D1689="","",IFERROR(INDEX(고객목록!$B$3:$B$502,MATCH($D1689,고객목록!$A$3:$A$502,0)),""))</f>
        <v/>
      </c>
      <c r="F1689" s="13"/>
      <c r="G1689" s="13"/>
      <c r="H1689" s="14" t="str">
        <f aca="false">IF(OR($L1689="",$M1689=""),"",ROUND(($M1689-$L1689)/60,2))</f>
        <v/>
      </c>
      <c r="I1689" s="9"/>
      <c r="J1689" s="7"/>
      <c r="K1689" s="7"/>
      <c r="L1689" s="15" t="str">
        <f aca="false">IF($F1689="","",IF($F1689&lt;1,ROUND($F1689*1440,0),INT($F1689/100)*60+MOD($F1689,100)))</f>
        <v/>
      </c>
      <c r="M1689" s="15" t="str">
        <f aca="false">IF($G1689="","",IF($G1689&lt;1,ROUND($G1689*1440,0),INT($G1689/100)*60+MOD($G1689,100)))</f>
        <v/>
      </c>
      <c r="N1689" s="15" t="str">
        <f aca="false">IF(OR($A1689="",$B1689="",$L1689="",$M1689="",$J1689="취소"),"",IF(SUMPRODUCT(($A$3:$A$2002=$A1689)*($B$3:$B$2002=$B1689)*($J$3:$J$2002&lt;&gt;"취소")*($L$3:$L$2002&lt;&gt;"")*($M$3:$M$2002&lt;&gt;"")*($L$3:$L$2002&lt;$M1689)*($M$3:$M$2002&gt;$L1689))&gt;1,"중복","-"))</f>
        <v/>
      </c>
    </row>
    <row r="1690" customFormat="false" ht="15" hidden="false" customHeight="true" outlineLevel="0" collapsed="false">
      <c r="A1690" s="11"/>
      <c r="B1690" s="7"/>
      <c r="C1690" s="12" t="str">
        <f aca="false">IF($B1690="","",IFERROR(INDEX(자원목록!$B$3:$B$102,MATCH($B1690,자원목록!$A$3:$A$102,0)),"미등록자원"))</f>
        <v/>
      </c>
      <c r="D1690" s="7"/>
      <c r="E1690" s="12" t="str">
        <f aca="false">IF($D1690="","",IFERROR(INDEX(고객목록!$B$3:$B$502,MATCH($D1690,고객목록!$A$3:$A$502,0)),""))</f>
        <v/>
      </c>
      <c r="F1690" s="13"/>
      <c r="G1690" s="13"/>
      <c r="H1690" s="14" t="str">
        <f aca="false">IF(OR($L1690="",$M1690=""),"",ROUND(($M1690-$L1690)/60,2))</f>
        <v/>
      </c>
      <c r="I1690" s="9"/>
      <c r="J1690" s="7"/>
      <c r="K1690" s="7"/>
      <c r="L1690" s="15" t="str">
        <f aca="false">IF($F1690="","",IF($F1690&lt;1,ROUND($F1690*1440,0),INT($F1690/100)*60+MOD($F1690,100)))</f>
        <v/>
      </c>
      <c r="M1690" s="15" t="str">
        <f aca="false">IF($G1690="","",IF($G1690&lt;1,ROUND($G1690*1440,0),INT($G1690/100)*60+MOD($G1690,100)))</f>
        <v/>
      </c>
      <c r="N1690" s="15" t="str">
        <f aca="false">IF(OR($A1690="",$B1690="",$L1690="",$M1690="",$J1690="취소"),"",IF(SUMPRODUCT(($A$3:$A$2002=$A1690)*($B$3:$B$2002=$B1690)*($J$3:$J$2002&lt;&gt;"취소")*($L$3:$L$2002&lt;&gt;"")*($M$3:$M$2002&lt;&gt;"")*($L$3:$L$2002&lt;$M1690)*($M$3:$M$2002&gt;$L1690))&gt;1,"중복","-"))</f>
        <v/>
      </c>
    </row>
    <row r="1691" customFormat="false" ht="15" hidden="false" customHeight="true" outlineLevel="0" collapsed="false">
      <c r="A1691" s="11"/>
      <c r="B1691" s="7"/>
      <c r="C1691" s="12" t="str">
        <f aca="false">IF($B1691="","",IFERROR(INDEX(자원목록!$B$3:$B$102,MATCH($B1691,자원목록!$A$3:$A$102,0)),"미등록자원"))</f>
        <v/>
      </c>
      <c r="D1691" s="7"/>
      <c r="E1691" s="12" t="str">
        <f aca="false">IF($D1691="","",IFERROR(INDEX(고객목록!$B$3:$B$502,MATCH($D1691,고객목록!$A$3:$A$502,0)),""))</f>
        <v/>
      </c>
      <c r="F1691" s="13"/>
      <c r="G1691" s="13"/>
      <c r="H1691" s="14" t="str">
        <f aca="false">IF(OR($L1691="",$M1691=""),"",ROUND(($M1691-$L1691)/60,2))</f>
        <v/>
      </c>
      <c r="I1691" s="9"/>
      <c r="J1691" s="7"/>
      <c r="K1691" s="7"/>
      <c r="L1691" s="15" t="str">
        <f aca="false">IF($F1691="","",IF($F1691&lt;1,ROUND($F1691*1440,0),INT($F1691/100)*60+MOD($F1691,100)))</f>
        <v/>
      </c>
      <c r="M1691" s="15" t="str">
        <f aca="false">IF($G1691="","",IF($G1691&lt;1,ROUND($G1691*1440,0),INT($G1691/100)*60+MOD($G1691,100)))</f>
        <v/>
      </c>
      <c r="N1691" s="15" t="str">
        <f aca="false">IF(OR($A1691="",$B1691="",$L1691="",$M1691="",$J1691="취소"),"",IF(SUMPRODUCT(($A$3:$A$2002=$A1691)*($B$3:$B$2002=$B1691)*($J$3:$J$2002&lt;&gt;"취소")*($L$3:$L$2002&lt;&gt;"")*($M$3:$M$2002&lt;&gt;"")*($L$3:$L$2002&lt;$M1691)*($M$3:$M$2002&gt;$L1691))&gt;1,"중복","-"))</f>
        <v/>
      </c>
    </row>
    <row r="1692" customFormat="false" ht="15" hidden="false" customHeight="true" outlineLevel="0" collapsed="false">
      <c r="A1692" s="11"/>
      <c r="B1692" s="7"/>
      <c r="C1692" s="12" t="str">
        <f aca="false">IF($B1692="","",IFERROR(INDEX(자원목록!$B$3:$B$102,MATCH($B1692,자원목록!$A$3:$A$102,0)),"미등록자원"))</f>
        <v/>
      </c>
      <c r="D1692" s="7"/>
      <c r="E1692" s="12" t="str">
        <f aca="false">IF($D1692="","",IFERROR(INDEX(고객목록!$B$3:$B$502,MATCH($D1692,고객목록!$A$3:$A$502,0)),""))</f>
        <v/>
      </c>
      <c r="F1692" s="13"/>
      <c r="G1692" s="13"/>
      <c r="H1692" s="14" t="str">
        <f aca="false">IF(OR($L1692="",$M1692=""),"",ROUND(($M1692-$L1692)/60,2))</f>
        <v/>
      </c>
      <c r="I1692" s="9"/>
      <c r="J1692" s="7"/>
      <c r="K1692" s="7"/>
      <c r="L1692" s="15" t="str">
        <f aca="false">IF($F1692="","",IF($F1692&lt;1,ROUND($F1692*1440,0),INT($F1692/100)*60+MOD($F1692,100)))</f>
        <v/>
      </c>
      <c r="M1692" s="15" t="str">
        <f aca="false">IF($G1692="","",IF($G1692&lt;1,ROUND($G1692*1440,0),INT($G1692/100)*60+MOD($G1692,100)))</f>
        <v/>
      </c>
      <c r="N1692" s="15" t="str">
        <f aca="false">IF(OR($A1692="",$B1692="",$L1692="",$M1692="",$J1692="취소"),"",IF(SUMPRODUCT(($A$3:$A$2002=$A1692)*($B$3:$B$2002=$B1692)*($J$3:$J$2002&lt;&gt;"취소")*($L$3:$L$2002&lt;&gt;"")*($M$3:$M$2002&lt;&gt;"")*($L$3:$L$2002&lt;$M1692)*($M$3:$M$2002&gt;$L1692))&gt;1,"중복","-"))</f>
        <v/>
      </c>
    </row>
    <row r="1693" customFormat="false" ht="15" hidden="false" customHeight="true" outlineLevel="0" collapsed="false">
      <c r="A1693" s="11"/>
      <c r="B1693" s="7"/>
      <c r="C1693" s="12" t="str">
        <f aca="false">IF($B1693="","",IFERROR(INDEX(자원목록!$B$3:$B$102,MATCH($B1693,자원목록!$A$3:$A$102,0)),"미등록자원"))</f>
        <v/>
      </c>
      <c r="D1693" s="7"/>
      <c r="E1693" s="12" t="str">
        <f aca="false">IF($D1693="","",IFERROR(INDEX(고객목록!$B$3:$B$502,MATCH($D1693,고객목록!$A$3:$A$502,0)),""))</f>
        <v/>
      </c>
      <c r="F1693" s="13"/>
      <c r="G1693" s="13"/>
      <c r="H1693" s="14" t="str">
        <f aca="false">IF(OR($L1693="",$M1693=""),"",ROUND(($M1693-$L1693)/60,2))</f>
        <v/>
      </c>
      <c r="I1693" s="9"/>
      <c r="J1693" s="7"/>
      <c r="K1693" s="7"/>
      <c r="L1693" s="15" t="str">
        <f aca="false">IF($F1693="","",IF($F1693&lt;1,ROUND($F1693*1440,0),INT($F1693/100)*60+MOD($F1693,100)))</f>
        <v/>
      </c>
      <c r="M1693" s="15" t="str">
        <f aca="false">IF($G1693="","",IF($G1693&lt;1,ROUND($G1693*1440,0),INT($G1693/100)*60+MOD($G1693,100)))</f>
        <v/>
      </c>
      <c r="N1693" s="15" t="str">
        <f aca="false">IF(OR($A1693="",$B1693="",$L1693="",$M1693="",$J1693="취소"),"",IF(SUMPRODUCT(($A$3:$A$2002=$A1693)*($B$3:$B$2002=$B1693)*($J$3:$J$2002&lt;&gt;"취소")*($L$3:$L$2002&lt;&gt;"")*($M$3:$M$2002&lt;&gt;"")*($L$3:$L$2002&lt;$M1693)*($M$3:$M$2002&gt;$L1693))&gt;1,"중복","-"))</f>
        <v/>
      </c>
    </row>
    <row r="1694" customFormat="false" ht="15" hidden="false" customHeight="true" outlineLevel="0" collapsed="false">
      <c r="A1694" s="11"/>
      <c r="B1694" s="7"/>
      <c r="C1694" s="12" t="str">
        <f aca="false">IF($B1694="","",IFERROR(INDEX(자원목록!$B$3:$B$102,MATCH($B1694,자원목록!$A$3:$A$102,0)),"미등록자원"))</f>
        <v/>
      </c>
      <c r="D1694" s="7"/>
      <c r="E1694" s="12" t="str">
        <f aca="false">IF($D1694="","",IFERROR(INDEX(고객목록!$B$3:$B$502,MATCH($D1694,고객목록!$A$3:$A$502,0)),""))</f>
        <v/>
      </c>
      <c r="F1694" s="13"/>
      <c r="G1694" s="13"/>
      <c r="H1694" s="14" t="str">
        <f aca="false">IF(OR($L1694="",$M1694=""),"",ROUND(($M1694-$L1694)/60,2))</f>
        <v/>
      </c>
      <c r="I1694" s="9"/>
      <c r="J1694" s="7"/>
      <c r="K1694" s="7"/>
      <c r="L1694" s="15" t="str">
        <f aca="false">IF($F1694="","",IF($F1694&lt;1,ROUND($F1694*1440,0),INT($F1694/100)*60+MOD($F1694,100)))</f>
        <v/>
      </c>
      <c r="M1694" s="15" t="str">
        <f aca="false">IF($G1694="","",IF($G1694&lt;1,ROUND($G1694*1440,0),INT($G1694/100)*60+MOD($G1694,100)))</f>
        <v/>
      </c>
      <c r="N1694" s="15" t="str">
        <f aca="false">IF(OR($A1694="",$B1694="",$L1694="",$M1694="",$J1694="취소"),"",IF(SUMPRODUCT(($A$3:$A$2002=$A1694)*($B$3:$B$2002=$B1694)*($J$3:$J$2002&lt;&gt;"취소")*($L$3:$L$2002&lt;&gt;"")*($M$3:$M$2002&lt;&gt;"")*($L$3:$L$2002&lt;$M1694)*($M$3:$M$2002&gt;$L1694))&gt;1,"중복","-"))</f>
        <v/>
      </c>
    </row>
    <row r="1695" customFormat="false" ht="15" hidden="false" customHeight="true" outlineLevel="0" collapsed="false">
      <c r="A1695" s="11"/>
      <c r="B1695" s="7"/>
      <c r="C1695" s="12" t="str">
        <f aca="false">IF($B1695="","",IFERROR(INDEX(자원목록!$B$3:$B$102,MATCH($B1695,자원목록!$A$3:$A$102,0)),"미등록자원"))</f>
        <v/>
      </c>
      <c r="D1695" s="7"/>
      <c r="E1695" s="12" t="str">
        <f aca="false">IF($D1695="","",IFERROR(INDEX(고객목록!$B$3:$B$502,MATCH($D1695,고객목록!$A$3:$A$502,0)),""))</f>
        <v/>
      </c>
      <c r="F1695" s="13"/>
      <c r="G1695" s="13"/>
      <c r="H1695" s="14" t="str">
        <f aca="false">IF(OR($L1695="",$M1695=""),"",ROUND(($M1695-$L1695)/60,2))</f>
        <v/>
      </c>
      <c r="I1695" s="9"/>
      <c r="J1695" s="7"/>
      <c r="K1695" s="7"/>
      <c r="L1695" s="15" t="str">
        <f aca="false">IF($F1695="","",IF($F1695&lt;1,ROUND($F1695*1440,0),INT($F1695/100)*60+MOD($F1695,100)))</f>
        <v/>
      </c>
      <c r="M1695" s="15" t="str">
        <f aca="false">IF($G1695="","",IF($G1695&lt;1,ROUND($G1695*1440,0),INT($G1695/100)*60+MOD($G1695,100)))</f>
        <v/>
      </c>
      <c r="N1695" s="15" t="str">
        <f aca="false">IF(OR($A1695="",$B1695="",$L1695="",$M1695="",$J1695="취소"),"",IF(SUMPRODUCT(($A$3:$A$2002=$A1695)*($B$3:$B$2002=$B1695)*($J$3:$J$2002&lt;&gt;"취소")*($L$3:$L$2002&lt;&gt;"")*($M$3:$M$2002&lt;&gt;"")*($L$3:$L$2002&lt;$M1695)*($M$3:$M$2002&gt;$L1695))&gt;1,"중복","-"))</f>
        <v/>
      </c>
    </row>
    <row r="1696" customFormat="false" ht="15" hidden="false" customHeight="true" outlineLevel="0" collapsed="false">
      <c r="A1696" s="11"/>
      <c r="B1696" s="7"/>
      <c r="C1696" s="12" t="str">
        <f aca="false">IF($B1696="","",IFERROR(INDEX(자원목록!$B$3:$B$102,MATCH($B1696,자원목록!$A$3:$A$102,0)),"미등록자원"))</f>
        <v/>
      </c>
      <c r="D1696" s="7"/>
      <c r="E1696" s="12" t="str">
        <f aca="false">IF($D1696="","",IFERROR(INDEX(고객목록!$B$3:$B$502,MATCH($D1696,고객목록!$A$3:$A$502,0)),""))</f>
        <v/>
      </c>
      <c r="F1696" s="13"/>
      <c r="G1696" s="13"/>
      <c r="H1696" s="14" t="str">
        <f aca="false">IF(OR($L1696="",$M1696=""),"",ROUND(($M1696-$L1696)/60,2))</f>
        <v/>
      </c>
      <c r="I1696" s="9"/>
      <c r="J1696" s="7"/>
      <c r="K1696" s="7"/>
      <c r="L1696" s="15" t="str">
        <f aca="false">IF($F1696="","",IF($F1696&lt;1,ROUND($F1696*1440,0),INT($F1696/100)*60+MOD($F1696,100)))</f>
        <v/>
      </c>
      <c r="M1696" s="15" t="str">
        <f aca="false">IF($G1696="","",IF($G1696&lt;1,ROUND($G1696*1440,0),INT($G1696/100)*60+MOD($G1696,100)))</f>
        <v/>
      </c>
      <c r="N1696" s="15" t="str">
        <f aca="false">IF(OR($A1696="",$B1696="",$L1696="",$M1696="",$J1696="취소"),"",IF(SUMPRODUCT(($A$3:$A$2002=$A1696)*($B$3:$B$2002=$B1696)*($J$3:$J$2002&lt;&gt;"취소")*($L$3:$L$2002&lt;&gt;"")*($M$3:$M$2002&lt;&gt;"")*($L$3:$L$2002&lt;$M1696)*($M$3:$M$2002&gt;$L1696))&gt;1,"중복","-"))</f>
        <v/>
      </c>
    </row>
    <row r="1697" customFormat="false" ht="15" hidden="false" customHeight="true" outlineLevel="0" collapsed="false">
      <c r="A1697" s="11"/>
      <c r="B1697" s="7"/>
      <c r="C1697" s="12" t="str">
        <f aca="false">IF($B1697="","",IFERROR(INDEX(자원목록!$B$3:$B$102,MATCH($B1697,자원목록!$A$3:$A$102,0)),"미등록자원"))</f>
        <v/>
      </c>
      <c r="D1697" s="7"/>
      <c r="E1697" s="12" t="str">
        <f aca="false">IF($D1697="","",IFERROR(INDEX(고객목록!$B$3:$B$502,MATCH($D1697,고객목록!$A$3:$A$502,0)),""))</f>
        <v/>
      </c>
      <c r="F1697" s="13"/>
      <c r="G1697" s="13"/>
      <c r="H1697" s="14" t="str">
        <f aca="false">IF(OR($L1697="",$M1697=""),"",ROUND(($M1697-$L1697)/60,2))</f>
        <v/>
      </c>
      <c r="I1697" s="9"/>
      <c r="J1697" s="7"/>
      <c r="K1697" s="7"/>
      <c r="L1697" s="15" t="str">
        <f aca="false">IF($F1697="","",IF($F1697&lt;1,ROUND($F1697*1440,0),INT($F1697/100)*60+MOD($F1697,100)))</f>
        <v/>
      </c>
      <c r="M1697" s="15" t="str">
        <f aca="false">IF($G1697="","",IF($G1697&lt;1,ROUND($G1697*1440,0),INT($G1697/100)*60+MOD($G1697,100)))</f>
        <v/>
      </c>
      <c r="N1697" s="15" t="str">
        <f aca="false">IF(OR($A1697="",$B1697="",$L1697="",$M1697="",$J1697="취소"),"",IF(SUMPRODUCT(($A$3:$A$2002=$A1697)*($B$3:$B$2002=$B1697)*($J$3:$J$2002&lt;&gt;"취소")*($L$3:$L$2002&lt;&gt;"")*($M$3:$M$2002&lt;&gt;"")*($L$3:$L$2002&lt;$M1697)*($M$3:$M$2002&gt;$L1697))&gt;1,"중복","-"))</f>
        <v/>
      </c>
    </row>
    <row r="1698" customFormat="false" ht="15" hidden="false" customHeight="true" outlineLevel="0" collapsed="false">
      <c r="A1698" s="11"/>
      <c r="B1698" s="7"/>
      <c r="C1698" s="12" t="str">
        <f aca="false">IF($B1698="","",IFERROR(INDEX(자원목록!$B$3:$B$102,MATCH($B1698,자원목록!$A$3:$A$102,0)),"미등록자원"))</f>
        <v/>
      </c>
      <c r="D1698" s="7"/>
      <c r="E1698" s="12" t="str">
        <f aca="false">IF($D1698="","",IFERROR(INDEX(고객목록!$B$3:$B$502,MATCH($D1698,고객목록!$A$3:$A$502,0)),""))</f>
        <v/>
      </c>
      <c r="F1698" s="13"/>
      <c r="G1698" s="13"/>
      <c r="H1698" s="14" t="str">
        <f aca="false">IF(OR($L1698="",$M1698=""),"",ROUND(($M1698-$L1698)/60,2))</f>
        <v/>
      </c>
      <c r="I1698" s="9"/>
      <c r="J1698" s="7"/>
      <c r="K1698" s="7"/>
      <c r="L1698" s="15" t="str">
        <f aca="false">IF($F1698="","",IF($F1698&lt;1,ROUND($F1698*1440,0),INT($F1698/100)*60+MOD($F1698,100)))</f>
        <v/>
      </c>
      <c r="M1698" s="15" t="str">
        <f aca="false">IF($G1698="","",IF($G1698&lt;1,ROUND($G1698*1440,0),INT($G1698/100)*60+MOD($G1698,100)))</f>
        <v/>
      </c>
      <c r="N1698" s="15" t="str">
        <f aca="false">IF(OR($A1698="",$B1698="",$L1698="",$M1698="",$J1698="취소"),"",IF(SUMPRODUCT(($A$3:$A$2002=$A1698)*($B$3:$B$2002=$B1698)*($J$3:$J$2002&lt;&gt;"취소")*($L$3:$L$2002&lt;&gt;"")*($M$3:$M$2002&lt;&gt;"")*($L$3:$L$2002&lt;$M1698)*($M$3:$M$2002&gt;$L1698))&gt;1,"중복","-"))</f>
        <v/>
      </c>
    </row>
    <row r="1699" customFormat="false" ht="15" hidden="false" customHeight="true" outlineLevel="0" collapsed="false">
      <c r="A1699" s="11"/>
      <c r="B1699" s="7"/>
      <c r="C1699" s="12" t="str">
        <f aca="false">IF($B1699="","",IFERROR(INDEX(자원목록!$B$3:$B$102,MATCH($B1699,자원목록!$A$3:$A$102,0)),"미등록자원"))</f>
        <v/>
      </c>
      <c r="D1699" s="7"/>
      <c r="E1699" s="12" t="str">
        <f aca="false">IF($D1699="","",IFERROR(INDEX(고객목록!$B$3:$B$502,MATCH($D1699,고객목록!$A$3:$A$502,0)),""))</f>
        <v/>
      </c>
      <c r="F1699" s="13"/>
      <c r="G1699" s="13"/>
      <c r="H1699" s="14" t="str">
        <f aca="false">IF(OR($L1699="",$M1699=""),"",ROUND(($M1699-$L1699)/60,2))</f>
        <v/>
      </c>
      <c r="I1699" s="9"/>
      <c r="J1699" s="7"/>
      <c r="K1699" s="7"/>
      <c r="L1699" s="15" t="str">
        <f aca="false">IF($F1699="","",IF($F1699&lt;1,ROUND($F1699*1440,0),INT($F1699/100)*60+MOD($F1699,100)))</f>
        <v/>
      </c>
      <c r="M1699" s="15" t="str">
        <f aca="false">IF($G1699="","",IF($G1699&lt;1,ROUND($G1699*1440,0),INT($G1699/100)*60+MOD($G1699,100)))</f>
        <v/>
      </c>
      <c r="N1699" s="15" t="str">
        <f aca="false">IF(OR($A1699="",$B1699="",$L1699="",$M1699="",$J1699="취소"),"",IF(SUMPRODUCT(($A$3:$A$2002=$A1699)*($B$3:$B$2002=$B1699)*($J$3:$J$2002&lt;&gt;"취소")*($L$3:$L$2002&lt;&gt;"")*($M$3:$M$2002&lt;&gt;"")*($L$3:$L$2002&lt;$M1699)*($M$3:$M$2002&gt;$L1699))&gt;1,"중복","-"))</f>
        <v/>
      </c>
    </row>
    <row r="1700" customFormat="false" ht="15" hidden="false" customHeight="true" outlineLevel="0" collapsed="false">
      <c r="A1700" s="11"/>
      <c r="B1700" s="7"/>
      <c r="C1700" s="12" t="str">
        <f aca="false">IF($B1700="","",IFERROR(INDEX(자원목록!$B$3:$B$102,MATCH($B1700,자원목록!$A$3:$A$102,0)),"미등록자원"))</f>
        <v/>
      </c>
      <c r="D1700" s="7"/>
      <c r="E1700" s="12" t="str">
        <f aca="false">IF($D1700="","",IFERROR(INDEX(고객목록!$B$3:$B$502,MATCH($D1700,고객목록!$A$3:$A$502,0)),""))</f>
        <v/>
      </c>
      <c r="F1700" s="13"/>
      <c r="G1700" s="13"/>
      <c r="H1700" s="14" t="str">
        <f aca="false">IF(OR($L1700="",$M1700=""),"",ROUND(($M1700-$L1700)/60,2))</f>
        <v/>
      </c>
      <c r="I1700" s="9"/>
      <c r="J1700" s="7"/>
      <c r="K1700" s="7"/>
      <c r="L1700" s="15" t="str">
        <f aca="false">IF($F1700="","",IF($F1700&lt;1,ROUND($F1700*1440,0),INT($F1700/100)*60+MOD($F1700,100)))</f>
        <v/>
      </c>
      <c r="M1700" s="15" t="str">
        <f aca="false">IF($G1700="","",IF($G1700&lt;1,ROUND($G1700*1440,0),INT($G1700/100)*60+MOD($G1700,100)))</f>
        <v/>
      </c>
      <c r="N1700" s="15" t="str">
        <f aca="false">IF(OR($A1700="",$B1700="",$L1700="",$M1700="",$J1700="취소"),"",IF(SUMPRODUCT(($A$3:$A$2002=$A1700)*($B$3:$B$2002=$B1700)*($J$3:$J$2002&lt;&gt;"취소")*($L$3:$L$2002&lt;&gt;"")*($M$3:$M$2002&lt;&gt;"")*($L$3:$L$2002&lt;$M1700)*($M$3:$M$2002&gt;$L1700))&gt;1,"중복","-"))</f>
        <v/>
      </c>
    </row>
    <row r="1701" customFormat="false" ht="15" hidden="false" customHeight="true" outlineLevel="0" collapsed="false">
      <c r="A1701" s="11"/>
      <c r="B1701" s="7"/>
      <c r="C1701" s="12" t="str">
        <f aca="false">IF($B1701="","",IFERROR(INDEX(자원목록!$B$3:$B$102,MATCH($B1701,자원목록!$A$3:$A$102,0)),"미등록자원"))</f>
        <v/>
      </c>
      <c r="D1701" s="7"/>
      <c r="E1701" s="12" t="str">
        <f aca="false">IF($D1701="","",IFERROR(INDEX(고객목록!$B$3:$B$502,MATCH($D1701,고객목록!$A$3:$A$502,0)),""))</f>
        <v/>
      </c>
      <c r="F1701" s="13"/>
      <c r="G1701" s="13"/>
      <c r="H1701" s="14" t="str">
        <f aca="false">IF(OR($L1701="",$M1701=""),"",ROUND(($M1701-$L1701)/60,2))</f>
        <v/>
      </c>
      <c r="I1701" s="9"/>
      <c r="J1701" s="7"/>
      <c r="K1701" s="7"/>
      <c r="L1701" s="15" t="str">
        <f aca="false">IF($F1701="","",IF($F1701&lt;1,ROUND($F1701*1440,0),INT($F1701/100)*60+MOD($F1701,100)))</f>
        <v/>
      </c>
      <c r="M1701" s="15" t="str">
        <f aca="false">IF($G1701="","",IF($G1701&lt;1,ROUND($G1701*1440,0),INT($G1701/100)*60+MOD($G1701,100)))</f>
        <v/>
      </c>
      <c r="N1701" s="15" t="str">
        <f aca="false">IF(OR($A1701="",$B1701="",$L1701="",$M1701="",$J1701="취소"),"",IF(SUMPRODUCT(($A$3:$A$2002=$A1701)*($B$3:$B$2002=$B1701)*($J$3:$J$2002&lt;&gt;"취소")*($L$3:$L$2002&lt;&gt;"")*($M$3:$M$2002&lt;&gt;"")*($L$3:$L$2002&lt;$M1701)*($M$3:$M$2002&gt;$L1701))&gt;1,"중복","-"))</f>
        <v/>
      </c>
    </row>
    <row r="1702" customFormat="false" ht="15" hidden="false" customHeight="true" outlineLevel="0" collapsed="false">
      <c r="A1702" s="11"/>
      <c r="B1702" s="7"/>
      <c r="C1702" s="12" t="str">
        <f aca="false">IF($B1702="","",IFERROR(INDEX(자원목록!$B$3:$B$102,MATCH($B1702,자원목록!$A$3:$A$102,0)),"미등록자원"))</f>
        <v/>
      </c>
      <c r="D1702" s="7"/>
      <c r="E1702" s="12" t="str">
        <f aca="false">IF($D1702="","",IFERROR(INDEX(고객목록!$B$3:$B$502,MATCH($D1702,고객목록!$A$3:$A$502,0)),""))</f>
        <v/>
      </c>
      <c r="F1702" s="13"/>
      <c r="G1702" s="13"/>
      <c r="H1702" s="14" t="str">
        <f aca="false">IF(OR($L1702="",$M1702=""),"",ROUND(($M1702-$L1702)/60,2))</f>
        <v/>
      </c>
      <c r="I1702" s="9"/>
      <c r="J1702" s="7"/>
      <c r="K1702" s="7"/>
      <c r="L1702" s="15" t="str">
        <f aca="false">IF($F1702="","",IF($F1702&lt;1,ROUND($F1702*1440,0),INT($F1702/100)*60+MOD($F1702,100)))</f>
        <v/>
      </c>
      <c r="M1702" s="15" t="str">
        <f aca="false">IF($G1702="","",IF($G1702&lt;1,ROUND($G1702*1440,0),INT($G1702/100)*60+MOD($G1702,100)))</f>
        <v/>
      </c>
      <c r="N1702" s="15" t="str">
        <f aca="false">IF(OR($A1702="",$B1702="",$L1702="",$M1702="",$J1702="취소"),"",IF(SUMPRODUCT(($A$3:$A$2002=$A1702)*($B$3:$B$2002=$B1702)*($J$3:$J$2002&lt;&gt;"취소")*($L$3:$L$2002&lt;&gt;"")*($M$3:$M$2002&lt;&gt;"")*($L$3:$L$2002&lt;$M1702)*($M$3:$M$2002&gt;$L1702))&gt;1,"중복","-"))</f>
        <v/>
      </c>
    </row>
    <row r="1703" customFormat="false" ht="15" hidden="false" customHeight="true" outlineLevel="0" collapsed="false">
      <c r="A1703" s="11"/>
      <c r="B1703" s="7"/>
      <c r="C1703" s="12" t="str">
        <f aca="false">IF($B1703="","",IFERROR(INDEX(자원목록!$B$3:$B$102,MATCH($B1703,자원목록!$A$3:$A$102,0)),"미등록자원"))</f>
        <v/>
      </c>
      <c r="D1703" s="7"/>
      <c r="E1703" s="12" t="str">
        <f aca="false">IF($D1703="","",IFERROR(INDEX(고객목록!$B$3:$B$502,MATCH($D1703,고객목록!$A$3:$A$502,0)),""))</f>
        <v/>
      </c>
      <c r="F1703" s="13"/>
      <c r="G1703" s="13"/>
      <c r="H1703" s="14" t="str">
        <f aca="false">IF(OR($L1703="",$M1703=""),"",ROUND(($M1703-$L1703)/60,2))</f>
        <v/>
      </c>
      <c r="I1703" s="9"/>
      <c r="J1703" s="7"/>
      <c r="K1703" s="7"/>
      <c r="L1703" s="15" t="str">
        <f aca="false">IF($F1703="","",IF($F1703&lt;1,ROUND($F1703*1440,0),INT($F1703/100)*60+MOD($F1703,100)))</f>
        <v/>
      </c>
      <c r="M1703" s="15" t="str">
        <f aca="false">IF($G1703="","",IF($G1703&lt;1,ROUND($G1703*1440,0),INT($G1703/100)*60+MOD($G1703,100)))</f>
        <v/>
      </c>
      <c r="N1703" s="15" t="str">
        <f aca="false">IF(OR($A1703="",$B1703="",$L1703="",$M1703="",$J1703="취소"),"",IF(SUMPRODUCT(($A$3:$A$2002=$A1703)*($B$3:$B$2002=$B1703)*($J$3:$J$2002&lt;&gt;"취소")*($L$3:$L$2002&lt;&gt;"")*($M$3:$M$2002&lt;&gt;"")*($L$3:$L$2002&lt;$M1703)*($M$3:$M$2002&gt;$L1703))&gt;1,"중복","-"))</f>
        <v/>
      </c>
    </row>
    <row r="1704" customFormat="false" ht="15" hidden="false" customHeight="true" outlineLevel="0" collapsed="false">
      <c r="A1704" s="11"/>
      <c r="B1704" s="7"/>
      <c r="C1704" s="12" t="str">
        <f aca="false">IF($B1704="","",IFERROR(INDEX(자원목록!$B$3:$B$102,MATCH($B1704,자원목록!$A$3:$A$102,0)),"미등록자원"))</f>
        <v/>
      </c>
      <c r="D1704" s="7"/>
      <c r="E1704" s="12" t="str">
        <f aca="false">IF($D1704="","",IFERROR(INDEX(고객목록!$B$3:$B$502,MATCH($D1704,고객목록!$A$3:$A$502,0)),""))</f>
        <v/>
      </c>
      <c r="F1704" s="13"/>
      <c r="G1704" s="13"/>
      <c r="H1704" s="14" t="str">
        <f aca="false">IF(OR($L1704="",$M1704=""),"",ROUND(($M1704-$L1704)/60,2))</f>
        <v/>
      </c>
      <c r="I1704" s="9"/>
      <c r="J1704" s="7"/>
      <c r="K1704" s="7"/>
      <c r="L1704" s="15" t="str">
        <f aca="false">IF($F1704="","",IF($F1704&lt;1,ROUND($F1704*1440,0),INT($F1704/100)*60+MOD($F1704,100)))</f>
        <v/>
      </c>
      <c r="M1704" s="15" t="str">
        <f aca="false">IF($G1704="","",IF($G1704&lt;1,ROUND($G1704*1440,0),INT($G1704/100)*60+MOD($G1704,100)))</f>
        <v/>
      </c>
      <c r="N1704" s="15" t="str">
        <f aca="false">IF(OR($A1704="",$B1704="",$L1704="",$M1704="",$J1704="취소"),"",IF(SUMPRODUCT(($A$3:$A$2002=$A1704)*($B$3:$B$2002=$B1704)*($J$3:$J$2002&lt;&gt;"취소")*($L$3:$L$2002&lt;&gt;"")*($M$3:$M$2002&lt;&gt;"")*($L$3:$L$2002&lt;$M1704)*($M$3:$M$2002&gt;$L1704))&gt;1,"중복","-"))</f>
        <v/>
      </c>
    </row>
    <row r="1705" customFormat="false" ht="15" hidden="false" customHeight="true" outlineLevel="0" collapsed="false">
      <c r="A1705" s="11"/>
      <c r="B1705" s="7"/>
      <c r="C1705" s="12" t="str">
        <f aca="false">IF($B1705="","",IFERROR(INDEX(자원목록!$B$3:$B$102,MATCH($B1705,자원목록!$A$3:$A$102,0)),"미등록자원"))</f>
        <v/>
      </c>
      <c r="D1705" s="7"/>
      <c r="E1705" s="12" t="str">
        <f aca="false">IF($D1705="","",IFERROR(INDEX(고객목록!$B$3:$B$502,MATCH($D1705,고객목록!$A$3:$A$502,0)),""))</f>
        <v/>
      </c>
      <c r="F1705" s="13"/>
      <c r="G1705" s="13"/>
      <c r="H1705" s="14" t="str">
        <f aca="false">IF(OR($L1705="",$M1705=""),"",ROUND(($M1705-$L1705)/60,2))</f>
        <v/>
      </c>
      <c r="I1705" s="9"/>
      <c r="J1705" s="7"/>
      <c r="K1705" s="7"/>
      <c r="L1705" s="15" t="str">
        <f aca="false">IF($F1705="","",IF($F1705&lt;1,ROUND($F1705*1440,0),INT($F1705/100)*60+MOD($F1705,100)))</f>
        <v/>
      </c>
      <c r="M1705" s="15" t="str">
        <f aca="false">IF($G1705="","",IF($G1705&lt;1,ROUND($G1705*1440,0),INT($G1705/100)*60+MOD($G1705,100)))</f>
        <v/>
      </c>
      <c r="N1705" s="15" t="str">
        <f aca="false">IF(OR($A1705="",$B1705="",$L1705="",$M1705="",$J1705="취소"),"",IF(SUMPRODUCT(($A$3:$A$2002=$A1705)*($B$3:$B$2002=$B1705)*($J$3:$J$2002&lt;&gt;"취소")*($L$3:$L$2002&lt;&gt;"")*($M$3:$M$2002&lt;&gt;"")*($L$3:$L$2002&lt;$M1705)*($M$3:$M$2002&gt;$L1705))&gt;1,"중복","-"))</f>
        <v/>
      </c>
    </row>
    <row r="1706" customFormat="false" ht="15" hidden="false" customHeight="true" outlineLevel="0" collapsed="false">
      <c r="A1706" s="11"/>
      <c r="B1706" s="7"/>
      <c r="C1706" s="12" t="str">
        <f aca="false">IF($B1706="","",IFERROR(INDEX(자원목록!$B$3:$B$102,MATCH($B1706,자원목록!$A$3:$A$102,0)),"미등록자원"))</f>
        <v/>
      </c>
      <c r="D1706" s="7"/>
      <c r="E1706" s="12" t="str">
        <f aca="false">IF($D1706="","",IFERROR(INDEX(고객목록!$B$3:$B$502,MATCH($D1706,고객목록!$A$3:$A$502,0)),""))</f>
        <v/>
      </c>
      <c r="F1706" s="13"/>
      <c r="G1706" s="13"/>
      <c r="H1706" s="14" t="str">
        <f aca="false">IF(OR($L1706="",$M1706=""),"",ROUND(($M1706-$L1706)/60,2))</f>
        <v/>
      </c>
      <c r="I1706" s="9"/>
      <c r="J1706" s="7"/>
      <c r="K1706" s="7"/>
      <c r="L1706" s="15" t="str">
        <f aca="false">IF($F1706="","",IF($F1706&lt;1,ROUND($F1706*1440,0),INT($F1706/100)*60+MOD($F1706,100)))</f>
        <v/>
      </c>
      <c r="M1706" s="15" t="str">
        <f aca="false">IF($G1706="","",IF($G1706&lt;1,ROUND($G1706*1440,0),INT($G1706/100)*60+MOD($G1706,100)))</f>
        <v/>
      </c>
      <c r="N1706" s="15" t="str">
        <f aca="false">IF(OR($A1706="",$B1706="",$L1706="",$M1706="",$J1706="취소"),"",IF(SUMPRODUCT(($A$3:$A$2002=$A1706)*($B$3:$B$2002=$B1706)*($J$3:$J$2002&lt;&gt;"취소")*($L$3:$L$2002&lt;&gt;"")*($M$3:$M$2002&lt;&gt;"")*($L$3:$L$2002&lt;$M1706)*($M$3:$M$2002&gt;$L1706))&gt;1,"중복","-"))</f>
        <v/>
      </c>
    </row>
    <row r="1707" customFormat="false" ht="15" hidden="false" customHeight="true" outlineLevel="0" collapsed="false">
      <c r="A1707" s="11"/>
      <c r="B1707" s="7"/>
      <c r="C1707" s="12" t="str">
        <f aca="false">IF($B1707="","",IFERROR(INDEX(자원목록!$B$3:$B$102,MATCH($B1707,자원목록!$A$3:$A$102,0)),"미등록자원"))</f>
        <v/>
      </c>
      <c r="D1707" s="7"/>
      <c r="E1707" s="12" t="str">
        <f aca="false">IF($D1707="","",IFERROR(INDEX(고객목록!$B$3:$B$502,MATCH($D1707,고객목록!$A$3:$A$502,0)),""))</f>
        <v/>
      </c>
      <c r="F1707" s="13"/>
      <c r="G1707" s="13"/>
      <c r="H1707" s="14" t="str">
        <f aca="false">IF(OR($L1707="",$M1707=""),"",ROUND(($M1707-$L1707)/60,2))</f>
        <v/>
      </c>
      <c r="I1707" s="9"/>
      <c r="J1707" s="7"/>
      <c r="K1707" s="7"/>
      <c r="L1707" s="15" t="str">
        <f aca="false">IF($F1707="","",IF($F1707&lt;1,ROUND($F1707*1440,0),INT($F1707/100)*60+MOD($F1707,100)))</f>
        <v/>
      </c>
      <c r="M1707" s="15" t="str">
        <f aca="false">IF($G1707="","",IF($G1707&lt;1,ROUND($G1707*1440,0),INT($G1707/100)*60+MOD($G1707,100)))</f>
        <v/>
      </c>
      <c r="N1707" s="15" t="str">
        <f aca="false">IF(OR($A1707="",$B1707="",$L1707="",$M1707="",$J1707="취소"),"",IF(SUMPRODUCT(($A$3:$A$2002=$A1707)*($B$3:$B$2002=$B1707)*($J$3:$J$2002&lt;&gt;"취소")*($L$3:$L$2002&lt;&gt;"")*($M$3:$M$2002&lt;&gt;"")*($L$3:$L$2002&lt;$M1707)*($M$3:$M$2002&gt;$L1707))&gt;1,"중복","-"))</f>
        <v/>
      </c>
    </row>
    <row r="1708" customFormat="false" ht="15" hidden="false" customHeight="true" outlineLevel="0" collapsed="false">
      <c r="A1708" s="11"/>
      <c r="B1708" s="7"/>
      <c r="C1708" s="12" t="str">
        <f aca="false">IF($B1708="","",IFERROR(INDEX(자원목록!$B$3:$B$102,MATCH($B1708,자원목록!$A$3:$A$102,0)),"미등록자원"))</f>
        <v/>
      </c>
      <c r="D1708" s="7"/>
      <c r="E1708" s="12" t="str">
        <f aca="false">IF($D1708="","",IFERROR(INDEX(고객목록!$B$3:$B$502,MATCH($D1708,고객목록!$A$3:$A$502,0)),""))</f>
        <v/>
      </c>
      <c r="F1708" s="13"/>
      <c r="G1708" s="13"/>
      <c r="H1708" s="14" t="str">
        <f aca="false">IF(OR($L1708="",$M1708=""),"",ROUND(($M1708-$L1708)/60,2))</f>
        <v/>
      </c>
      <c r="I1708" s="9"/>
      <c r="J1708" s="7"/>
      <c r="K1708" s="7"/>
      <c r="L1708" s="15" t="str">
        <f aca="false">IF($F1708="","",IF($F1708&lt;1,ROUND($F1708*1440,0),INT($F1708/100)*60+MOD($F1708,100)))</f>
        <v/>
      </c>
      <c r="M1708" s="15" t="str">
        <f aca="false">IF($G1708="","",IF($G1708&lt;1,ROUND($G1708*1440,0),INT($G1708/100)*60+MOD($G1708,100)))</f>
        <v/>
      </c>
      <c r="N1708" s="15" t="str">
        <f aca="false">IF(OR($A1708="",$B1708="",$L1708="",$M1708="",$J1708="취소"),"",IF(SUMPRODUCT(($A$3:$A$2002=$A1708)*($B$3:$B$2002=$B1708)*($J$3:$J$2002&lt;&gt;"취소")*($L$3:$L$2002&lt;&gt;"")*($M$3:$M$2002&lt;&gt;"")*($L$3:$L$2002&lt;$M1708)*($M$3:$M$2002&gt;$L1708))&gt;1,"중복","-"))</f>
        <v/>
      </c>
    </row>
    <row r="1709" customFormat="false" ht="15" hidden="false" customHeight="true" outlineLevel="0" collapsed="false">
      <c r="A1709" s="11"/>
      <c r="B1709" s="7"/>
      <c r="C1709" s="12" t="str">
        <f aca="false">IF($B1709="","",IFERROR(INDEX(자원목록!$B$3:$B$102,MATCH($B1709,자원목록!$A$3:$A$102,0)),"미등록자원"))</f>
        <v/>
      </c>
      <c r="D1709" s="7"/>
      <c r="E1709" s="12" t="str">
        <f aca="false">IF($D1709="","",IFERROR(INDEX(고객목록!$B$3:$B$502,MATCH($D1709,고객목록!$A$3:$A$502,0)),""))</f>
        <v/>
      </c>
      <c r="F1709" s="13"/>
      <c r="G1709" s="13"/>
      <c r="H1709" s="14" t="str">
        <f aca="false">IF(OR($L1709="",$M1709=""),"",ROUND(($M1709-$L1709)/60,2))</f>
        <v/>
      </c>
      <c r="I1709" s="9"/>
      <c r="J1709" s="7"/>
      <c r="K1709" s="7"/>
      <c r="L1709" s="15" t="str">
        <f aca="false">IF($F1709="","",IF($F1709&lt;1,ROUND($F1709*1440,0),INT($F1709/100)*60+MOD($F1709,100)))</f>
        <v/>
      </c>
      <c r="M1709" s="15" t="str">
        <f aca="false">IF($G1709="","",IF($G1709&lt;1,ROUND($G1709*1440,0),INT($G1709/100)*60+MOD($G1709,100)))</f>
        <v/>
      </c>
      <c r="N1709" s="15" t="str">
        <f aca="false">IF(OR($A1709="",$B1709="",$L1709="",$M1709="",$J1709="취소"),"",IF(SUMPRODUCT(($A$3:$A$2002=$A1709)*($B$3:$B$2002=$B1709)*($J$3:$J$2002&lt;&gt;"취소")*($L$3:$L$2002&lt;&gt;"")*($M$3:$M$2002&lt;&gt;"")*($L$3:$L$2002&lt;$M1709)*($M$3:$M$2002&gt;$L1709))&gt;1,"중복","-"))</f>
        <v/>
      </c>
    </row>
    <row r="1710" customFormat="false" ht="15" hidden="false" customHeight="true" outlineLevel="0" collapsed="false">
      <c r="A1710" s="11"/>
      <c r="B1710" s="7"/>
      <c r="C1710" s="12" t="str">
        <f aca="false">IF($B1710="","",IFERROR(INDEX(자원목록!$B$3:$B$102,MATCH($B1710,자원목록!$A$3:$A$102,0)),"미등록자원"))</f>
        <v/>
      </c>
      <c r="D1710" s="7"/>
      <c r="E1710" s="12" t="str">
        <f aca="false">IF($D1710="","",IFERROR(INDEX(고객목록!$B$3:$B$502,MATCH($D1710,고객목록!$A$3:$A$502,0)),""))</f>
        <v/>
      </c>
      <c r="F1710" s="13"/>
      <c r="G1710" s="13"/>
      <c r="H1710" s="14" t="str">
        <f aca="false">IF(OR($L1710="",$M1710=""),"",ROUND(($M1710-$L1710)/60,2))</f>
        <v/>
      </c>
      <c r="I1710" s="9"/>
      <c r="J1710" s="7"/>
      <c r="K1710" s="7"/>
      <c r="L1710" s="15" t="str">
        <f aca="false">IF($F1710="","",IF($F1710&lt;1,ROUND($F1710*1440,0),INT($F1710/100)*60+MOD($F1710,100)))</f>
        <v/>
      </c>
      <c r="M1710" s="15" t="str">
        <f aca="false">IF($G1710="","",IF($G1710&lt;1,ROUND($G1710*1440,0),INT($G1710/100)*60+MOD($G1710,100)))</f>
        <v/>
      </c>
      <c r="N1710" s="15" t="str">
        <f aca="false">IF(OR($A1710="",$B1710="",$L1710="",$M1710="",$J1710="취소"),"",IF(SUMPRODUCT(($A$3:$A$2002=$A1710)*($B$3:$B$2002=$B1710)*($J$3:$J$2002&lt;&gt;"취소")*($L$3:$L$2002&lt;&gt;"")*($M$3:$M$2002&lt;&gt;"")*($L$3:$L$2002&lt;$M1710)*($M$3:$M$2002&gt;$L1710))&gt;1,"중복","-"))</f>
        <v/>
      </c>
    </row>
    <row r="1711" customFormat="false" ht="15" hidden="false" customHeight="true" outlineLevel="0" collapsed="false">
      <c r="A1711" s="11"/>
      <c r="B1711" s="7"/>
      <c r="C1711" s="12" t="str">
        <f aca="false">IF($B1711="","",IFERROR(INDEX(자원목록!$B$3:$B$102,MATCH($B1711,자원목록!$A$3:$A$102,0)),"미등록자원"))</f>
        <v/>
      </c>
      <c r="D1711" s="7"/>
      <c r="E1711" s="12" t="str">
        <f aca="false">IF($D1711="","",IFERROR(INDEX(고객목록!$B$3:$B$502,MATCH($D1711,고객목록!$A$3:$A$502,0)),""))</f>
        <v/>
      </c>
      <c r="F1711" s="13"/>
      <c r="G1711" s="13"/>
      <c r="H1711" s="14" t="str">
        <f aca="false">IF(OR($L1711="",$M1711=""),"",ROUND(($M1711-$L1711)/60,2))</f>
        <v/>
      </c>
      <c r="I1711" s="9"/>
      <c r="J1711" s="7"/>
      <c r="K1711" s="7"/>
      <c r="L1711" s="15" t="str">
        <f aca="false">IF($F1711="","",IF($F1711&lt;1,ROUND($F1711*1440,0),INT($F1711/100)*60+MOD($F1711,100)))</f>
        <v/>
      </c>
      <c r="M1711" s="15" t="str">
        <f aca="false">IF($G1711="","",IF($G1711&lt;1,ROUND($G1711*1440,0),INT($G1711/100)*60+MOD($G1711,100)))</f>
        <v/>
      </c>
      <c r="N1711" s="15" t="str">
        <f aca="false">IF(OR($A1711="",$B1711="",$L1711="",$M1711="",$J1711="취소"),"",IF(SUMPRODUCT(($A$3:$A$2002=$A1711)*($B$3:$B$2002=$B1711)*($J$3:$J$2002&lt;&gt;"취소")*($L$3:$L$2002&lt;&gt;"")*($M$3:$M$2002&lt;&gt;"")*($L$3:$L$2002&lt;$M1711)*($M$3:$M$2002&gt;$L1711))&gt;1,"중복","-"))</f>
        <v/>
      </c>
    </row>
    <row r="1712" customFormat="false" ht="15" hidden="false" customHeight="true" outlineLevel="0" collapsed="false">
      <c r="A1712" s="11"/>
      <c r="B1712" s="7"/>
      <c r="C1712" s="12" t="str">
        <f aca="false">IF($B1712="","",IFERROR(INDEX(자원목록!$B$3:$B$102,MATCH($B1712,자원목록!$A$3:$A$102,0)),"미등록자원"))</f>
        <v/>
      </c>
      <c r="D1712" s="7"/>
      <c r="E1712" s="12" t="str">
        <f aca="false">IF($D1712="","",IFERROR(INDEX(고객목록!$B$3:$B$502,MATCH($D1712,고객목록!$A$3:$A$502,0)),""))</f>
        <v/>
      </c>
      <c r="F1712" s="13"/>
      <c r="G1712" s="13"/>
      <c r="H1712" s="14" t="str">
        <f aca="false">IF(OR($L1712="",$M1712=""),"",ROUND(($M1712-$L1712)/60,2))</f>
        <v/>
      </c>
      <c r="I1712" s="9"/>
      <c r="J1712" s="7"/>
      <c r="K1712" s="7"/>
      <c r="L1712" s="15" t="str">
        <f aca="false">IF($F1712="","",IF($F1712&lt;1,ROUND($F1712*1440,0),INT($F1712/100)*60+MOD($F1712,100)))</f>
        <v/>
      </c>
      <c r="M1712" s="15" t="str">
        <f aca="false">IF($G1712="","",IF($G1712&lt;1,ROUND($G1712*1440,0),INT($G1712/100)*60+MOD($G1712,100)))</f>
        <v/>
      </c>
      <c r="N1712" s="15" t="str">
        <f aca="false">IF(OR($A1712="",$B1712="",$L1712="",$M1712="",$J1712="취소"),"",IF(SUMPRODUCT(($A$3:$A$2002=$A1712)*($B$3:$B$2002=$B1712)*($J$3:$J$2002&lt;&gt;"취소")*($L$3:$L$2002&lt;&gt;"")*($M$3:$M$2002&lt;&gt;"")*($L$3:$L$2002&lt;$M1712)*($M$3:$M$2002&gt;$L1712))&gt;1,"중복","-"))</f>
        <v/>
      </c>
    </row>
    <row r="1713" customFormat="false" ht="15" hidden="false" customHeight="true" outlineLevel="0" collapsed="false">
      <c r="A1713" s="11"/>
      <c r="B1713" s="7"/>
      <c r="C1713" s="12" t="str">
        <f aca="false">IF($B1713="","",IFERROR(INDEX(자원목록!$B$3:$B$102,MATCH($B1713,자원목록!$A$3:$A$102,0)),"미등록자원"))</f>
        <v/>
      </c>
      <c r="D1713" s="7"/>
      <c r="E1713" s="12" t="str">
        <f aca="false">IF($D1713="","",IFERROR(INDEX(고객목록!$B$3:$B$502,MATCH($D1713,고객목록!$A$3:$A$502,0)),""))</f>
        <v/>
      </c>
      <c r="F1713" s="13"/>
      <c r="G1713" s="13"/>
      <c r="H1713" s="14" t="str">
        <f aca="false">IF(OR($L1713="",$M1713=""),"",ROUND(($M1713-$L1713)/60,2))</f>
        <v/>
      </c>
      <c r="I1713" s="9"/>
      <c r="J1713" s="7"/>
      <c r="K1713" s="7"/>
      <c r="L1713" s="15" t="str">
        <f aca="false">IF($F1713="","",IF($F1713&lt;1,ROUND($F1713*1440,0),INT($F1713/100)*60+MOD($F1713,100)))</f>
        <v/>
      </c>
      <c r="M1713" s="15" t="str">
        <f aca="false">IF($G1713="","",IF($G1713&lt;1,ROUND($G1713*1440,0),INT($G1713/100)*60+MOD($G1713,100)))</f>
        <v/>
      </c>
      <c r="N1713" s="15" t="str">
        <f aca="false">IF(OR($A1713="",$B1713="",$L1713="",$M1713="",$J1713="취소"),"",IF(SUMPRODUCT(($A$3:$A$2002=$A1713)*($B$3:$B$2002=$B1713)*($J$3:$J$2002&lt;&gt;"취소")*($L$3:$L$2002&lt;&gt;"")*($M$3:$M$2002&lt;&gt;"")*($L$3:$L$2002&lt;$M1713)*($M$3:$M$2002&gt;$L1713))&gt;1,"중복","-"))</f>
        <v/>
      </c>
    </row>
    <row r="1714" customFormat="false" ht="15" hidden="false" customHeight="true" outlineLevel="0" collapsed="false">
      <c r="A1714" s="11"/>
      <c r="B1714" s="7"/>
      <c r="C1714" s="12" t="str">
        <f aca="false">IF($B1714="","",IFERROR(INDEX(자원목록!$B$3:$B$102,MATCH($B1714,자원목록!$A$3:$A$102,0)),"미등록자원"))</f>
        <v/>
      </c>
      <c r="D1714" s="7"/>
      <c r="E1714" s="12" t="str">
        <f aca="false">IF($D1714="","",IFERROR(INDEX(고객목록!$B$3:$B$502,MATCH($D1714,고객목록!$A$3:$A$502,0)),""))</f>
        <v/>
      </c>
      <c r="F1714" s="13"/>
      <c r="G1714" s="13"/>
      <c r="H1714" s="14" t="str">
        <f aca="false">IF(OR($L1714="",$M1714=""),"",ROUND(($M1714-$L1714)/60,2))</f>
        <v/>
      </c>
      <c r="I1714" s="9"/>
      <c r="J1714" s="7"/>
      <c r="K1714" s="7"/>
      <c r="L1714" s="15" t="str">
        <f aca="false">IF($F1714="","",IF($F1714&lt;1,ROUND($F1714*1440,0),INT($F1714/100)*60+MOD($F1714,100)))</f>
        <v/>
      </c>
      <c r="M1714" s="15" t="str">
        <f aca="false">IF($G1714="","",IF($G1714&lt;1,ROUND($G1714*1440,0),INT($G1714/100)*60+MOD($G1714,100)))</f>
        <v/>
      </c>
      <c r="N1714" s="15" t="str">
        <f aca="false">IF(OR($A1714="",$B1714="",$L1714="",$M1714="",$J1714="취소"),"",IF(SUMPRODUCT(($A$3:$A$2002=$A1714)*($B$3:$B$2002=$B1714)*($J$3:$J$2002&lt;&gt;"취소")*($L$3:$L$2002&lt;&gt;"")*($M$3:$M$2002&lt;&gt;"")*($L$3:$L$2002&lt;$M1714)*($M$3:$M$2002&gt;$L1714))&gt;1,"중복","-"))</f>
        <v/>
      </c>
    </row>
    <row r="1715" customFormat="false" ht="15" hidden="false" customHeight="true" outlineLevel="0" collapsed="false">
      <c r="A1715" s="11"/>
      <c r="B1715" s="7"/>
      <c r="C1715" s="12" t="str">
        <f aca="false">IF($B1715="","",IFERROR(INDEX(자원목록!$B$3:$B$102,MATCH($B1715,자원목록!$A$3:$A$102,0)),"미등록자원"))</f>
        <v/>
      </c>
      <c r="D1715" s="7"/>
      <c r="E1715" s="12" t="str">
        <f aca="false">IF($D1715="","",IFERROR(INDEX(고객목록!$B$3:$B$502,MATCH($D1715,고객목록!$A$3:$A$502,0)),""))</f>
        <v/>
      </c>
      <c r="F1715" s="13"/>
      <c r="G1715" s="13"/>
      <c r="H1715" s="14" t="str">
        <f aca="false">IF(OR($L1715="",$M1715=""),"",ROUND(($M1715-$L1715)/60,2))</f>
        <v/>
      </c>
      <c r="I1715" s="9"/>
      <c r="J1715" s="7"/>
      <c r="K1715" s="7"/>
      <c r="L1715" s="15" t="str">
        <f aca="false">IF($F1715="","",IF($F1715&lt;1,ROUND($F1715*1440,0),INT($F1715/100)*60+MOD($F1715,100)))</f>
        <v/>
      </c>
      <c r="M1715" s="15" t="str">
        <f aca="false">IF($G1715="","",IF($G1715&lt;1,ROUND($G1715*1440,0),INT($G1715/100)*60+MOD($G1715,100)))</f>
        <v/>
      </c>
      <c r="N1715" s="15" t="str">
        <f aca="false">IF(OR($A1715="",$B1715="",$L1715="",$M1715="",$J1715="취소"),"",IF(SUMPRODUCT(($A$3:$A$2002=$A1715)*($B$3:$B$2002=$B1715)*($J$3:$J$2002&lt;&gt;"취소")*($L$3:$L$2002&lt;&gt;"")*($M$3:$M$2002&lt;&gt;"")*($L$3:$L$2002&lt;$M1715)*($M$3:$M$2002&gt;$L1715))&gt;1,"중복","-"))</f>
        <v/>
      </c>
    </row>
    <row r="1716" customFormat="false" ht="15" hidden="false" customHeight="true" outlineLevel="0" collapsed="false">
      <c r="A1716" s="11"/>
      <c r="B1716" s="7"/>
      <c r="C1716" s="12" t="str">
        <f aca="false">IF($B1716="","",IFERROR(INDEX(자원목록!$B$3:$B$102,MATCH($B1716,자원목록!$A$3:$A$102,0)),"미등록자원"))</f>
        <v/>
      </c>
      <c r="D1716" s="7"/>
      <c r="E1716" s="12" t="str">
        <f aca="false">IF($D1716="","",IFERROR(INDEX(고객목록!$B$3:$B$502,MATCH($D1716,고객목록!$A$3:$A$502,0)),""))</f>
        <v/>
      </c>
      <c r="F1716" s="13"/>
      <c r="G1716" s="13"/>
      <c r="H1716" s="14" t="str">
        <f aca="false">IF(OR($L1716="",$M1716=""),"",ROUND(($M1716-$L1716)/60,2))</f>
        <v/>
      </c>
      <c r="I1716" s="9"/>
      <c r="J1716" s="7"/>
      <c r="K1716" s="7"/>
      <c r="L1716" s="15" t="str">
        <f aca="false">IF($F1716="","",IF($F1716&lt;1,ROUND($F1716*1440,0),INT($F1716/100)*60+MOD($F1716,100)))</f>
        <v/>
      </c>
      <c r="M1716" s="15" t="str">
        <f aca="false">IF($G1716="","",IF($G1716&lt;1,ROUND($G1716*1440,0),INT($G1716/100)*60+MOD($G1716,100)))</f>
        <v/>
      </c>
      <c r="N1716" s="15" t="str">
        <f aca="false">IF(OR($A1716="",$B1716="",$L1716="",$M1716="",$J1716="취소"),"",IF(SUMPRODUCT(($A$3:$A$2002=$A1716)*($B$3:$B$2002=$B1716)*($J$3:$J$2002&lt;&gt;"취소")*($L$3:$L$2002&lt;&gt;"")*($M$3:$M$2002&lt;&gt;"")*($L$3:$L$2002&lt;$M1716)*($M$3:$M$2002&gt;$L1716))&gt;1,"중복","-"))</f>
        <v/>
      </c>
    </row>
    <row r="1717" customFormat="false" ht="15" hidden="false" customHeight="true" outlineLevel="0" collapsed="false">
      <c r="A1717" s="11"/>
      <c r="B1717" s="7"/>
      <c r="C1717" s="12" t="str">
        <f aca="false">IF($B1717="","",IFERROR(INDEX(자원목록!$B$3:$B$102,MATCH($B1717,자원목록!$A$3:$A$102,0)),"미등록자원"))</f>
        <v/>
      </c>
      <c r="D1717" s="7"/>
      <c r="E1717" s="12" t="str">
        <f aca="false">IF($D1717="","",IFERROR(INDEX(고객목록!$B$3:$B$502,MATCH($D1717,고객목록!$A$3:$A$502,0)),""))</f>
        <v/>
      </c>
      <c r="F1717" s="13"/>
      <c r="G1717" s="13"/>
      <c r="H1717" s="14" t="str">
        <f aca="false">IF(OR($L1717="",$M1717=""),"",ROUND(($M1717-$L1717)/60,2))</f>
        <v/>
      </c>
      <c r="I1717" s="9"/>
      <c r="J1717" s="7"/>
      <c r="K1717" s="7"/>
      <c r="L1717" s="15" t="str">
        <f aca="false">IF($F1717="","",IF($F1717&lt;1,ROUND($F1717*1440,0),INT($F1717/100)*60+MOD($F1717,100)))</f>
        <v/>
      </c>
      <c r="M1717" s="15" t="str">
        <f aca="false">IF($G1717="","",IF($G1717&lt;1,ROUND($G1717*1440,0),INT($G1717/100)*60+MOD($G1717,100)))</f>
        <v/>
      </c>
      <c r="N1717" s="15" t="str">
        <f aca="false">IF(OR($A1717="",$B1717="",$L1717="",$M1717="",$J1717="취소"),"",IF(SUMPRODUCT(($A$3:$A$2002=$A1717)*($B$3:$B$2002=$B1717)*($J$3:$J$2002&lt;&gt;"취소")*($L$3:$L$2002&lt;&gt;"")*($M$3:$M$2002&lt;&gt;"")*($L$3:$L$2002&lt;$M1717)*($M$3:$M$2002&gt;$L1717))&gt;1,"중복","-"))</f>
        <v/>
      </c>
    </row>
    <row r="1718" customFormat="false" ht="15" hidden="false" customHeight="true" outlineLevel="0" collapsed="false">
      <c r="A1718" s="11"/>
      <c r="B1718" s="7"/>
      <c r="C1718" s="12" t="str">
        <f aca="false">IF($B1718="","",IFERROR(INDEX(자원목록!$B$3:$B$102,MATCH($B1718,자원목록!$A$3:$A$102,0)),"미등록자원"))</f>
        <v/>
      </c>
      <c r="D1718" s="7"/>
      <c r="E1718" s="12" t="str">
        <f aca="false">IF($D1718="","",IFERROR(INDEX(고객목록!$B$3:$B$502,MATCH($D1718,고객목록!$A$3:$A$502,0)),""))</f>
        <v/>
      </c>
      <c r="F1718" s="13"/>
      <c r="G1718" s="13"/>
      <c r="H1718" s="14" t="str">
        <f aca="false">IF(OR($L1718="",$M1718=""),"",ROUND(($M1718-$L1718)/60,2))</f>
        <v/>
      </c>
      <c r="I1718" s="9"/>
      <c r="J1718" s="7"/>
      <c r="K1718" s="7"/>
      <c r="L1718" s="15" t="str">
        <f aca="false">IF($F1718="","",IF($F1718&lt;1,ROUND($F1718*1440,0),INT($F1718/100)*60+MOD($F1718,100)))</f>
        <v/>
      </c>
      <c r="M1718" s="15" t="str">
        <f aca="false">IF($G1718="","",IF($G1718&lt;1,ROUND($G1718*1440,0),INT($G1718/100)*60+MOD($G1718,100)))</f>
        <v/>
      </c>
      <c r="N1718" s="15" t="str">
        <f aca="false">IF(OR($A1718="",$B1718="",$L1718="",$M1718="",$J1718="취소"),"",IF(SUMPRODUCT(($A$3:$A$2002=$A1718)*($B$3:$B$2002=$B1718)*($J$3:$J$2002&lt;&gt;"취소")*($L$3:$L$2002&lt;&gt;"")*($M$3:$M$2002&lt;&gt;"")*($L$3:$L$2002&lt;$M1718)*($M$3:$M$2002&gt;$L1718))&gt;1,"중복","-"))</f>
        <v/>
      </c>
    </row>
    <row r="1719" customFormat="false" ht="15" hidden="false" customHeight="true" outlineLevel="0" collapsed="false">
      <c r="A1719" s="11"/>
      <c r="B1719" s="7"/>
      <c r="C1719" s="12" t="str">
        <f aca="false">IF($B1719="","",IFERROR(INDEX(자원목록!$B$3:$B$102,MATCH($B1719,자원목록!$A$3:$A$102,0)),"미등록자원"))</f>
        <v/>
      </c>
      <c r="D1719" s="7"/>
      <c r="E1719" s="12" t="str">
        <f aca="false">IF($D1719="","",IFERROR(INDEX(고객목록!$B$3:$B$502,MATCH($D1719,고객목록!$A$3:$A$502,0)),""))</f>
        <v/>
      </c>
      <c r="F1719" s="13"/>
      <c r="G1719" s="13"/>
      <c r="H1719" s="14" t="str">
        <f aca="false">IF(OR($L1719="",$M1719=""),"",ROUND(($M1719-$L1719)/60,2))</f>
        <v/>
      </c>
      <c r="I1719" s="9"/>
      <c r="J1719" s="7"/>
      <c r="K1719" s="7"/>
      <c r="L1719" s="15" t="str">
        <f aca="false">IF($F1719="","",IF($F1719&lt;1,ROUND($F1719*1440,0),INT($F1719/100)*60+MOD($F1719,100)))</f>
        <v/>
      </c>
      <c r="M1719" s="15" t="str">
        <f aca="false">IF($G1719="","",IF($G1719&lt;1,ROUND($G1719*1440,0),INT($G1719/100)*60+MOD($G1719,100)))</f>
        <v/>
      </c>
      <c r="N1719" s="15" t="str">
        <f aca="false">IF(OR($A1719="",$B1719="",$L1719="",$M1719="",$J1719="취소"),"",IF(SUMPRODUCT(($A$3:$A$2002=$A1719)*($B$3:$B$2002=$B1719)*($J$3:$J$2002&lt;&gt;"취소")*($L$3:$L$2002&lt;&gt;"")*($M$3:$M$2002&lt;&gt;"")*($L$3:$L$2002&lt;$M1719)*($M$3:$M$2002&gt;$L1719))&gt;1,"중복","-"))</f>
        <v/>
      </c>
    </row>
    <row r="1720" customFormat="false" ht="15" hidden="false" customHeight="true" outlineLevel="0" collapsed="false">
      <c r="A1720" s="11"/>
      <c r="B1720" s="7"/>
      <c r="C1720" s="12" t="str">
        <f aca="false">IF($B1720="","",IFERROR(INDEX(자원목록!$B$3:$B$102,MATCH($B1720,자원목록!$A$3:$A$102,0)),"미등록자원"))</f>
        <v/>
      </c>
      <c r="D1720" s="7"/>
      <c r="E1720" s="12" t="str">
        <f aca="false">IF($D1720="","",IFERROR(INDEX(고객목록!$B$3:$B$502,MATCH($D1720,고객목록!$A$3:$A$502,0)),""))</f>
        <v/>
      </c>
      <c r="F1720" s="13"/>
      <c r="G1720" s="13"/>
      <c r="H1720" s="14" t="str">
        <f aca="false">IF(OR($L1720="",$M1720=""),"",ROUND(($M1720-$L1720)/60,2))</f>
        <v/>
      </c>
      <c r="I1720" s="9"/>
      <c r="J1720" s="7"/>
      <c r="K1720" s="7"/>
      <c r="L1720" s="15" t="str">
        <f aca="false">IF($F1720="","",IF($F1720&lt;1,ROUND($F1720*1440,0),INT($F1720/100)*60+MOD($F1720,100)))</f>
        <v/>
      </c>
      <c r="M1720" s="15" t="str">
        <f aca="false">IF($G1720="","",IF($G1720&lt;1,ROUND($G1720*1440,0),INT($G1720/100)*60+MOD($G1720,100)))</f>
        <v/>
      </c>
      <c r="N1720" s="15" t="str">
        <f aca="false">IF(OR($A1720="",$B1720="",$L1720="",$M1720="",$J1720="취소"),"",IF(SUMPRODUCT(($A$3:$A$2002=$A1720)*($B$3:$B$2002=$B1720)*($J$3:$J$2002&lt;&gt;"취소")*($L$3:$L$2002&lt;&gt;"")*($M$3:$M$2002&lt;&gt;"")*($L$3:$L$2002&lt;$M1720)*($M$3:$M$2002&gt;$L1720))&gt;1,"중복","-"))</f>
        <v/>
      </c>
    </row>
    <row r="1721" customFormat="false" ht="15" hidden="false" customHeight="true" outlineLevel="0" collapsed="false">
      <c r="A1721" s="11"/>
      <c r="B1721" s="7"/>
      <c r="C1721" s="12" t="str">
        <f aca="false">IF($B1721="","",IFERROR(INDEX(자원목록!$B$3:$B$102,MATCH($B1721,자원목록!$A$3:$A$102,0)),"미등록자원"))</f>
        <v/>
      </c>
      <c r="D1721" s="7"/>
      <c r="E1721" s="12" t="str">
        <f aca="false">IF($D1721="","",IFERROR(INDEX(고객목록!$B$3:$B$502,MATCH($D1721,고객목록!$A$3:$A$502,0)),""))</f>
        <v/>
      </c>
      <c r="F1721" s="13"/>
      <c r="G1721" s="13"/>
      <c r="H1721" s="14" t="str">
        <f aca="false">IF(OR($L1721="",$M1721=""),"",ROUND(($M1721-$L1721)/60,2))</f>
        <v/>
      </c>
      <c r="I1721" s="9"/>
      <c r="J1721" s="7"/>
      <c r="K1721" s="7"/>
      <c r="L1721" s="15" t="str">
        <f aca="false">IF($F1721="","",IF($F1721&lt;1,ROUND($F1721*1440,0),INT($F1721/100)*60+MOD($F1721,100)))</f>
        <v/>
      </c>
      <c r="M1721" s="15" t="str">
        <f aca="false">IF($G1721="","",IF($G1721&lt;1,ROUND($G1721*1440,0),INT($G1721/100)*60+MOD($G1721,100)))</f>
        <v/>
      </c>
      <c r="N1721" s="15" t="str">
        <f aca="false">IF(OR($A1721="",$B1721="",$L1721="",$M1721="",$J1721="취소"),"",IF(SUMPRODUCT(($A$3:$A$2002=$A1721)*($B$3:$B$2002=$B1721)*($J$3:$J$2002&lt;&gt;"취소")*($L$3:$L$2002&lt;&gt;"")*($M$3:$M$2002&lt;&gt;"")*($L$3:$L$2002&lt;$M1721)*($M$3:$M$2002&gt;$L1721))&gt;1,"중복","-"))</f>
        <v/>
      </c>
    </row>
    <row r="1722" customFormat="false" ht="15" hidden="false" customHeight="true" outlineLevel="0" collapsed="false">
      <c r="A1722" s="11"/>
      <c r="B1722" s="7"/>
      <c r="C1722" s="12" t="str">
        <f aca="false">IF($B1722="","",IFERROR(INDEX(자원목록!$B$3:$B$102,MATCH($B1722,자원목록!$A$3:$A$102,0)),"미등록자원"))</f>
        <v/>
      </c>
      <c r="D1722" s="7"/>
      <c r="E1722" s="12" t="str">
        <f aca="false">IF($D1722="","",IFERROR(INDEX(고객목록!$B$3:$B$502,MATCH($D1722,고객목록!$A$3:$A$502,0)),""))</f>
        <v/>
      </c>
      <c r="F1722" s="13"/>
      <c r="G1722" s="13"/>
      <c r="H1722" s="14" t="str">
        <f aca="false">IF(OR($L1722="",$M1722=""),"",ROUND(($M1722-$L1722)/60,2))</f>
        <v/>
      </c>
      <c r="I1722" s="9"/>
      <c r="J1722" s="7"/>
      <c r="K1722" s="7"/>
      <c r="L1722" s="15" t="str">
        <f aca="false">IF($F1722="","",IF($F1722&lt;1,ROUND($F1722*1440,0),INT($F1722/100)*60+MOD($F1722,100)))</f>
        <v/>
      </c>
      <c r="M1722" s="15" t="str">
        <f aca="false">IF($G1722="","",IF($G1722&lt;1,ROUND($G1722*1440,0),INT($G1722/100)*60+MOD($G1722,100)))</f>
        <v/>
      </c>
      <c r="N1722" s="15" t="str">
        <f aca="false">IF(OR($A1722="",$B1722="",$L1722="",$M1722="",$J1722="취소"),"",IF(SUMPRODUCT(($A$3:$A$2002=$A1722)*($B$3:$B$2002=$B1722)*($J$3:$J$2002&lt;&gt;"취소")*($L$3:$L$2002&lt;&gt;"")*($M$3:$M$2002&lt;&gt;"")*($L$3:$L$2002&lt;$M1722)*($M$3:$M$2002&gt;$L1722))&gt;1,"중복","-"))</f>
        <v/>
      </c>
    </row>
    <row r="1723" customFormat="false" ht="15" hidden="false" customHeight="true" outlineLevel="0" collapsed="false">
      <c r="A1723" s="11"/>
      <c r="B1723" s="7"/>
      <c r="C1723" s="12" t="str">
        <f aca="false">IF($B1723="","",IFERROR(INDEX(자원목록!$B$3:$B$102,MATCH($B1723,자원목록!$A$3:$A$102,0)),"미등록자원"))</f>
        <v/>
      </c>
      <c r="D1723" s="7"/>
      <c r="E1723" s="12" t="str">
        <f aca="false">IF($D1723="","",IFERROR(INDEX(고객목록!$B$3:$B$502,MATCH($D1723,고객목록!$A$3:$A$502,0)),""))</f>
        <v/>
      </c>
      <c r="F1723" s="13"/>
      <c r="G1723" s="13"/>
      <c r="H1723" s="14" t="str">
        <f aca="false">IF(OR($L1723="",$M1723=""),"",ROUND(($M1723-$L1723)/60,2))</f>
        <v/>
      </c>
      <c r="I1723" s="9"/>
      <c r="J1723" s="7"/>
      <c r="K1723" s="7"/>
      <c r="L1723" s="15" t="str">
        <f aca="false">IF($F1723="","",IF($F1723&lt;1,ROUND($F1723*1440,0),INT($F1723/100)*60+MOD($F1723,100)))</f>
        <v/>
      </c>
      <c r="M1723" s="15" t="str">
        <f aca="false">IF($G1723="","",IF($G1723&lt;1,ROUND($G1723*1440,0),INT($G1723/100)*60+MOD($G1723,100)))</f>
        <v/>
      </c>
      <c r="N1723" s="15" t="str">
        <f aca="false">IF(OR($A1723="",$B1723="",$L1723="",$M1723="",$J1723="취소"),"",IF(SUMPRODUCT(($A$3:$A$2002=$A1723)*($B$3:$B$2002=$B1723)*($J$3:$J$2002&lt;&gt;"취소")*($L$3:$L$2002&lt;&gt;"")*($M$3:$M$2002&lt;&gt;"")*($L$3:$L$2002&lt;$M1723)*($M$3:$M$2002&gt;$L1723))&gt;1,"중복","-"))</f>
        <v/>
      </c>
    </row>
    <row r="1724" customFormat="false" ht="15" hidden="false" customHeight="true" outlineLevel="0" collapsed="false">
      <c r="A1724" s="11"/>
      <c r="B1724" s="7"/>
      <c r="C1724" s="12" t="str">
        <f aca="false">IF($B1724="","",IFERROR(INDEX(자원목록!$B$3:$B$102,MATCH($B1724,자원목록!$A$3:$A$102,0)),"미등록자원"))</f>
        <v/>
      </c>
      <c r="D1724" s="7"/>
      <c r="E1724" s="12" t="str">
        <f aca="false">IF($D1724="","",IFERROR(INDEX(고객목록!$B$3:$B$502,MATCH($D1724,고객목록!$A$3:$A$502,0)),""))</f>
        <v/>
      </c>
      <c r="F1724" s="13"/>
      <c r="G1724" s="13"/>
      <c r="H1724" s="14" t="str">
        <f aca="false">IF(OR($L1724="",$M1724=""),"",ROUND(($M1724-$L1724)/60,2))</f>
        <v/>
      </c>
      <c r="I1724" s="9"/>
      <c r="J1724" s="7"/>
      <c r="K1724" s="7"/>
      <c r="L1724" s="15" t="str">
        <f aca="false">IF($F1724="","",IF($F1724&lt;1,ROUND($F1724*1440,0),INT($F1724/100)*60+MOD($F1724,100)))</f>
        <v/>
      </c>
      <c r="M1724" s="15" t="str">
        <f aca="false">IF($G1724="","",IF($G1724&lt;1,ROUND($G1724*1440,0),INT($G1724/100)*60+MOD($G1724,100)))</f>
        <v/>
      </c>
      <c r="N1724" s="15" t="str">
        <f aca="false">IF(OR($A1724="",$B1724="",$L1724="",$M1724="",$J1724="취소"),"",IF(SUMPRODUCT(($A$3:$A$2002=$A1724)*($B$3:$B$2002=$B1724)*($J$3:$J$2002&lt;&gt;"취소")*($L$3:$L$2002&lt;&gt;"")*($M$3:$M$2002&lt;&gt;"")*($L$3:$L$2002&lt;$M1724)*($M$3:$M$2002&gt;$L1724))&gt;1,"중복","-"))</f>
        <v/>
      </c>
    </row>
    <row r="1725" customFormat="false" ht="15" hidden="false" customHeight="true" outlineLevel="0" collapsed="false">
      <c r="A1725" s="11"/>
      <c r="B1725" s="7"/>
      <c r="C1725" s="12" t="str">
        <f aca="false">IF($B1725="","",IFERROR(INDEX(자원목록!$B$3:$B$102,MATCH($B1725,자원목록!$A$3:$A$102,0)),"미등록자원"))</f>
        <v/>
      </c>
      <c r="D1725" s="7"/>
      <c r="E1725" s="12" t="str">
        <f aca="false">IF($D1725="","",IFERROR(INDEX(고객목록!$B$3:$B$502,MATCH($D1725,고객목록!$A$3:$A$502,0)),""))</f>
        <v/>
      </c>
      <c r="F1725" s="13"/>
      <c r="G1725" s="13"/>
      <c r="H1725" s="14" t="str">
        <f aca="false">IF(OR($L1725="",$M1725=""),"",ROUND(($M1725-$L1725)/60,2))</f>
        <v/>
      </c>
      <c r="I1725" s="9"/>
      <c r="J1725" s="7"/>
      <c r="K1725" s="7"/>
      <c r="L1725" s="15" t="str">
        <f aca="false">IF($F1725="","",IF($F1725&lt;1,ROUND($F1725*1440,0),INT($F1725/100)*60+MOD($F1725,100)))</f>
        <v/>
      </c>
      <c r="M1725" s="15" t="str">
        <f aca="false">IF($G1725="","",IF($G1725&lt;1,ROUND($G1725*1440,0),INT($G1725/100)*60+MOD($G1725,100)))</f>
        <v/>
      </c>
      <c r="N1725" s="15" t="str">
        <f aca="false">IF(OR($A1725="",$B1725="",$L1725="",$M1725="",$J1725="취소"),"",IF(SUMPRODUCT(($A$3:$A$2002=$A1725)*($B$3:$B$2002=$B1725)*($J$3:$J$2002&lt;&gt;"취소")*($L$3:$L$2002&lt;&gt;"")*($M$3:$M$2002&lt;&gt;"")*($L$3:$L$2002&lt;$M1725)*($M$3:$M$2002&gt;$L1725))&gt;1,"중복","-"))</f>
        <v/>
      </c>
    </row>
    <row r="1726" customFormat="false" ht="15" hidden="false" customHeight="true" outlineLevel="0" collapsed="false">
      <c r="A1726" s="11"/>
      <c r="B1726" s="7"/>
      <c r="C1726" s="12" t="str">
        <f aca="false">IF($B1726="","",IFERROR(INDEX(자원목록!$B$3:$B$102,MATCH($B1726,자원목록!$A$3:$A$102,0)),"미등록자원"))</f>
        <v/>
      </c>
      <c r="D1726" s="7"/>
      <c r="E1726" s="12" t="str">
        <f aca="false">IF($D1726="","",IFERROR(INDEX(고객목록!$B$3:$B$502,MATCH($D1726,고객목록!$A$3:$A$502,0)),""))</f>
        <v/>
      </c>
      <c r="F1726" s="13"/>
      <c r="G1726" s="13"/>
      <c r="H1726" s="14" t="str">
        <f aca="false">IF(OR($L1726="",$M1726=""),"",ROUND(($M1726-$L1726)/60,2))</f>
        <v/>
      </c>
      <c r="I1726" s="9"/>
      <c r="J1726" s="7"/>
      <c r="K1726" s="7"/>
      <c r="L1726" s="15" t="str">
        <f aca="false">IF($F1726="","",IF($F1726&lt;1,ROUND($F1726*1440,0),INT($F1726/100)*60+MOD($F1726,100)))</f>
        <v/>
      </c>
      <c r="M1726" s="15" t="str">
        <f aca="false">IF($G1726="","",IF($G1726&lt;1,ROUND($G1726*1440,0),INT($G1726/100)*60+MOD($G1726,100)))</f>
        <v/>
      </c>
      <c r="N1726" s="15" t="str">
        <f aca="false">IF(OR($A1726="",$B1726="",$L1726="",$M1726="",$J1726="취소"),"",IF(SUMPRODUCT(($A$3:$A$2002=$A1726)*($B$3:$B$2002=$B1726)*($J$3:$J$2002&lt;&gt;"취소")*($L$3:$L$2002&lt;&gt;"")*($M$3:$M$2002&lt;&gt;"")*($L$3:$L$2002&lt;$M1726)*($M$3:$M$2002&gt;$L1726))&gt;1,"중복","-"))</f>
        <v/>
      </c>
    </row>
    <row r="1727" customFormat="false" ht="15" hidden="false" customHeight="true" outlineLevel="0" collapsed="false">
      <c r="A1727" s="11"/>
      <c r="B1727" s="7"/>
      <c r="C1727" s="12" t="str">
        <f aca="false">IF($B1727="","",IFERROR(INDEX(자원목록!$B$3:$B$102,MATCH($B1727,자원목록!$A$3:$A$102,0)),"미등록자원"))</f>
        <v/>
      </c>
      <c r="D1727" s="7"/>
      <c r="E1727" s="12" t="str">
        <f aca="false">IF($D1727="","",IFERROR(INDEX(고객목록!$B$3:$B$502,MATCH($D1727,고객목록!$A$3:$A$502,0)),""))</f>
        <v/>
      </c>
      <c r="F1727" s="13"/>
      <c r="G1727" s="13"/>
      <c r="H1727" s="14" t="str">
        <f aca="false">IF(OR($L1727="",$M1727=""),"",ROUND(($M1727-$L1727)/60,2))</f>
        <v/>
      </c>
      <c r="I1727" s="9"/>
      <c r="J1727" s="7"/>
      <c r="K1727" s="7"/>
      <c r="L1727" s="15" t="str">
        <f aca="false">IF($F1727="","",IF($F1727&lt;1,ROUND($F1727*1440,0),INT($F1727/100)*60+MOD($F1727,100)))</f>
        <v/>
      </c>
      <c r="M1727" s="15" t="str">
        <f aca="false">IF($G1727="","",IF($G1727&lt;1,ROUND($G1727*1440,0),INT($G1727/100)*60+MOD($G1727,100)))</f>
        <v/>
      </c>
      <c r="N1727" s="15" t="str">
        <f aca="false">IF(OR($A1727="",$B1727="",$L1727="",$M1727="",$J1727="취소"),"",IF(SUMPRODUCT(($A$3:$A$2002=$A1727)*($B$3:$B$2002=$B1727)*($J$3:$J$2002&lt;&gt;"취소")*($L$3:$L$2002&lt;&gt;"")*($M$3:$M$2002&lt;&gt;"")*($L$3:$L$2002&lt;$M1727)*($M$3:$M$2002&gt;$L1727))&gt;1,"중복","-"))</f>
        <v/>
      </c>
    </row>
    <row r="1728" customFormat="false" ht="15" hidden="false" customHeight="true" outlineLevel="0" collapsed="false">
      <c r="A1728" s="11"/>
      <c r="B1728" s="7"/>
      <c r="C1728" s="12" t="str">
        <f aca="false">IF($B1728="","",IFERROR(INDEX(자원목록!$B$3:$B$102,MATCH($B1728,자원목록!$A$3:$A$102,0)),"미등록자원"))</f>
        <v/>
      </c>
      <c r="D1728" s="7"/>
      <c r="E1728" s="12" t="str">
        <f aca="false">IF($D1728="","",IFERROR(INDEX(고객목록!$B$3:$B$502,MATCH($D1728,고객목록!$A$3:$A$502,0)),""))</f>
        <v/>
      </c>
      <c r="F1728" s="13"/>
      <c r="G1728" s="13"/>
      <c r="H1728" s="14" t="str">
        <f aca="false">IF(OR($L1728="",$M1728=""),"",ROUND(($M1728-$L1728)/60,2))</f>
        <v/>
      </c>
      <c r="I1728" s="9"/>
      <c r="J1728" s="7"/>
      <c r="K1728" s="7"/>
      <c r="L1728" s="15" t="str">
        <f aca="false">IF($F1728="","",IF($F1728&lt;1,ROUND($F1728*1440,0),INT($F1728/100)*60+MOD($F1728,100)))</f>
        <v/>
      </c>
      <c r="M1728" s="15" t="str">
        <f aca="false">IF($G1728="","",IF($G1728&lt;1,ROUND($G1728*1440,0),INT($G1728/100)*60+MOD($G1728,100)))</f>
        <v/>
      </c>
      <c r="N1728" s="15" t="str">
        <f aca="false">IF(OR($A1728="",$B1728="",$L1728="",$M1728="",$J1728="취소"),"",IF(SUMPRODUCT(($A$3:$A$2002=$A1728)*($B$3:$B$2002=$B1728)*($J$3:$J$2002&lt;&gt;"취소")*($L$3:$L$2002&lt;&gt;"")*($M$3:$M$2002&lt;&gt;"")*($L$3:$L$2002&lt;$M1728)*($M$3:$M$2002&gt;$L1728))&gt;1,"중복","-"))</f>
        <v/>
      </c>
    </row>
    <row r="1729" customFormat="false" ht="15" hidden="false" customHeight="true" outlineLevel="0" collapsed="false">
      <c r="A1729" s="11"/>
      <c r="B1729" s="7"/>
      <c r="C1729" s="12" t="str">
        <f aca="false">IF($B1729="","",IFERROR(INDEX(자원목록!$B$3:$B$102,MATCH($B1729,자원목록!$A$3:$A$102,0)),"미등록자원"))</f>
        <v/>
      </c>
      <c r="D1729" s="7"/>
      <c r="E1729" s="12" t="str">
        <f aca="false">IF($D1729="","",IFERROR(INDEX(고객목록!$B$3:$B$502,MATCH($D1729,고객목록!$A$3:$A$502,0)),""))</f>
        <v/>
      </c>
      <c r="F1729" s="13"/>
      <c r="G1729" s="13"/>
      <c r="H1729" s="14" t="str">
        <f aca="false">IF(OR($L1729="",$M1729=""),"",ROUND(($M1729-$L1729)/60,2))</f>
        <v/>
      </c>
      <c r="I1729" s="9"/>
      <c r="J1729" s="7"/>
      <c r="K1729" s="7"/>
      <c r="L1729" s="15" t="str">
        <f aca="false">IF($F1729="","",IF($F1729&lt;1,ROUND($F1729*1440,0),INT($F1729/100)*60+MOD($F1729,100)))</f>
        <v/>
      </c>
      <c r="M1729" s="15" t="str">
        <f aca="false">IF($G1729="","",IF($G1729&lt;1,ROUND($G1729*1440,0),INT($G1729/100)*60+MOD($G1729,100)))</f>
        <v/>
      </c>
      <c r="N1729" s="15" t="str">
        <f aca="false">IF(OR($A1729="",$B1729="",$L1729="",$M1729="",$J1729="취소"),"",IF(SUMPRODUCT(($A$3:$A$2002=$A1729)*($B$3:$B$2002=$B1729)*($J$3:$J$2002&lt;&gt;"취소")*($L$3:$L$2002&lt;&gt;"")*($M$3:$M$2002&lt;&gt;"")*($L$3:$L$2002&lt;$M1729)*($M$3:$M$2002&gt;$L1729))&gt;1,"중복","-"))</f>
        <v/>
      </c>
    </row>
    <row r="1730" customFormat="false" ht="15" hidden="false" customHeight="true" outlineLevel="0" collapsed="false">
      <c r="A1730" s="11"/>
      <c r="B1730" s="7"/>
      <c r="C1730" s="12" t="str">
        <f aca="false">IF($B1730="","",IFERROR(INDEX(자원목록!$B$3:$B$102,MATCH($B1730,자원목록!$A$3:$A$102,0)),"미등록자원"))</f>
        <v/>
      </c>
      <c r="D1730" s="7"/>
      <c r="E1730" s="12" t="str">
        <f aca="false">IF($D1730="","",IFERROR(INDEX(고객목록!$B$3:$B$502,MATCH($D1730,고객목록!$A$3:$A$502,0)),""))</f>
        <v/>
      </c>
      <c r="F1730" s="13"/>
      <c r="G1730" s="13"/>
      <c r="H1730" s="14" t="str">
        <f aca="false">IF(OR($L1730="",$M1730=""),"",ROUND(($M1730-$L1730)/60,2))</f>
        <v/>
      </c>
      <c r="I1730" s="9"/>
      <c r="J1730" s="7"/>
      <c r="K1730" s="7"/>
      <c r="L1730" s="15" t="str">
        <f aca="false">IF($F1730="","",IF($F1730&lt;1,ROUND($F1730*1440,0),INT($F1730/100)*60+MOD($F1730,100)))</f>
        <v/>
      </c>
      <c r="M1730" s="15" t="str">
        <f aca="false">IF($G1730="","",IF($G1730&lt;1,ROUND($G1730*1440,0),INT($G1730/100)*60+MOD($G1730,100)))</f>
        <v/>
      </c>
      <c r="N1730" s="15" t="str">
        <f aca="false">IF(OR($A1730="",$B1730="",$L1730="",$M1730="",$J1730="취소"),"",IF(SUMPRODUCT(($A$3:$A$2002=$A1730)*($B$3:$B$2002=$B1730)*($J$3:$J$2002&lt;&gt;"취소")*($L$3:$L$2002&lt;&gt;"")*($M$3:$M$2002&lt;&gt;"")*($L$3:$L$2002&lt;$M1730)*($M$3:$M$2002&gt;$L1730))&gt;1,"중복","-"))</f>
        <v/>
      </c>
    </row>
    <row r="1731" customFormat="false" ht="15" hidden="false" customHeight="true" outlineLevel="0" collapsed="false">
      <c r="A1731" s="11"/>
      <c r="B1731" s="7"/>
      <c r="C1731" s="12" t="str">
        <f aca="false">IF($B1731="","",IFERROR(INDEX(자원목록!$B$3:$B$102,MATCH($B1731,자원목록!$A$3:$A$102,0)),"미등록자원"))</f>
        <v/>
      </c>
      <c r="D1731" s="7"/>
      <c r="E1731" s="12" t="str">
        <f aca="false">IF($D1731="","",IFERROR(INDEX(고객목록!$B$3:$B$502,MATCH($D1731,고객목록!$A$3:$A$502,0)),""))</f>
        <v/>
      </c>
      <c r="F1731" s="13"/>
      <c r="G1731" s="13"/>
      <c r="H1731" s="14" t="str">
        <f aca="false">IF(OR($L1731="",$M1731=""),"",ROUND(($M1731-$L1731)/60,2))</f>
        <v/>
      </c>
      <c r="I1731" s="9"/>
      <c r="J1731" s="7"/>
      <c r="K1731" s="7"/>
      <c r="L1731" s="15" t="str">
        <f aca="false">IF($F1731="","",IF($F1731&lt;1,ROUND($F1731*1440,0),INT($F1731/100)*60+MOD($F1731,100)))</f>
        <v/>
      </c>
      <c r="M1731" s="15" t="str">
        <f aca="false">IF($G1731="","",IF($G1731&lt;1,ROUND($G1731*1440,0),INT($G1731/100)*60+MOD($G1731,100)))</f>
        <v/>
      </c>
      <c r="N1731" s="15" t="str">
        <f aca="false">IF(OR($A1731="",$B1731="",$L1731="",$M1731="",$J1731="취소"),"",IF(SUMPRODUCT(($A$3:$A$2002=$A1731)*($B$3:$B$2002=$B1731)*($J$3:$J$2002&lt;&gt;"취소")*($L$3:$L$2002&lt;&gt;"")*($M$3:$M$2002&lt;&gt;"")*($L$3:$L$2002&lt;$M1731)*($M$3:$M$2002&gt;$L1731))&gt;1,"중복","-"))</f>
        <v/>
      </c>
    </row>
    <row r="1732" customFormat="false" ht="15" hidden="false" customHeight="true" outlineLevel="0" collapsed="false">
      <c r="A1732" s="11"/>
      <c r="B1732" s="7"/>
      <c r="C1732" s="12" t="str">
        <f aca="false">IF($B1732="","",IFERROR(INDEX(자원목록!$B$3:$B$102,MATCH($B1732,자원목록!$A$3:$A$102,0)),"미등록자원"))</f>
        <v/>
      </c>
      <c r="D1732" s="7"/>
      <c r="E1732" s="12" t="str">
        <f aca="false">IF($D1732="","",IFERROR(INDEX(고객목록!$B$3:$B$502,MATCH($D1732,고객목록!$A$3:$A$502,0)),""))</f>
        <v/>
      </c>
      <c r="F1732" s="13"/>
      <c r="G1732" s="13"/>
      <c r="H1732" s="14" t="str">
        <f aca="false">IF(OR($L1732="",$M1732=""),"",ROUND(($M1732-$L1732)/60,2))</f>
        <v/>
      </c>
      <c r="I1732" s="9"/>
      <c r="J1732" s="7"/>
      <c r="K1732" s="7"/>
      <c r="L1732" s="15" t="str">
        <f aca="false">IF($F1732="","",IF($F1732&lt;1,ROUND($F1732*1440,0),INT($F1732/100)*60+MOD($F1732,100)))</f>
        <v/>
      </c>
      <c r="M1732" s="15" t="str">
        <f aca="false">IF($G1732="","",IF($G1732&lt;1,ROUND($G1732*1440,0),INT($G1732/100)*60+MOD($G1732,100)))</f>
        <v/>
      </c>
      <c r="N1732" s="15" t="str">
        <f aca="false">IF(OR($A1732="",$B1732="",$L1732="",$M1732="",$J1732="취소"),"",IF(SUMPRODUCT(($A$3:$A$2002=$A1732)*($B$3:$B$2002=$B1732)*($J$3:$J$2002&lt;&gt;"취소")*($L$3:$L$2002&lt;&gt;"")*($M$3:$M$2002&lt;&gt;"")*($L$3:$L$2002&lt;$M1732)*($M$3:$M$2002&gt;$L1732))&gt;1,"중복","-"))</f>
        <v/>
      </c>
    </row>
    <row r="1733" customFormat="false" ht="15" hidden="false" customHeight="true" outlineLevel="0" collapsed="false">
      <c r="A1733" s="11"/>
      <c r="B1733" s="7"/>
      <c r="C1733" s="12" t="str">
        <f aca="false">IF($B1733="","",IFERROR(INDEX(자원목록!$B$3:$B$102,MATCH($B1733,자원목록!$A$3:$A$102,0)),"미등록자원"))</f>
        <v/>
      </c>
      <c r="D1733" s="7"/>
      <c r="E1733" s="12" t="str">
        <f aca="false">IF($D1733="","",IFERROR(INDEX(고객목록!$B$3:$B$502,MATCH($D1733,고객목록!$A$3:$A$502,0)),""))</f>
        <v/>
      </c>
      <c r="F1733" s="13"/>
      <c r="G1733" s="13"/>
      <c r="H1733" s="14" t="str">
        <f aca="false">IF(OR($L1733="",$M1733=""),"",ROUND(($M1733-$L1733)/60,2))</f>
        <v/>
      </c>
      <c r="I1733" s="9"/>
      <c r="J1733" s="7"/>
      <c r="K1733" s="7"/>
      <c r="L1733" s="15" t="str">
        <f aca="false">IF($F1733="","",IF($F1733&lt;1,ROUND($F1733*1440,0),INT($F1733/100)*60+MOD($F1733,100)))</f>
        <v/>
      </c>
      <c r="M1733" s="15" t="str">
        <f aca="false">IF($G1733="","",IF($G1733&lt;1,ROUND($G1733*1440,0),INT($G1733/100)*60+MOD($G1733,100)))</f>
        <v/>
      </c>
      <c r="N1733" s="15" t="str">
        <f aca="false">IF(OR($A1733="",$B1733="",$L1733="",$M1733="",$J1733="취소"),"",IF(SUMPRODUCT(($A$3:$A$2002=$A1733)*($B$3:$B$2002=$B1733)*($J$3:$J$2002&lt;&gt;"취소")*($L$3:$L$2002&lt;&gt;"")*($M$3:$M$2002&lt;&gt;"")*($L$3:$L$2002&lt;$M1733)*($M$3:$M$2002&gt;$L1733))&gt;1,"중복","-"))</f>
        <v/>
      </c>
    </row>
    <row r="1734" customFormat="false" ht="15" hidden="false" customHeight="true" outlineLevel="0" collapsed="false">
      <c r="A1734" s="11"/>
      <c r="B1734" s="7"/>
      <c r="C1734" s="12" t="str">
        <f aca="false">IF($B1734="","",IFERROR(INDEX(자원목록!$B$3:$B$102,MATCH($B1734,자원목록!$A$3:$A$102,0)),"미등록자원"))</f>
        <v/>
      </c>
      <c r="D1734" s="7"/>
      <c r="E1734" s="12" t="str">
        <f aca="false">IF($D1734="","",IFERROR(INDEX(고객목록!$B$3:$B$502,MATCH($D1734,고객목록!$A$3:$A$502,0)),""))</f>
        <v/>
      </c>
      <c r="F1734" s="13"/>
      <c r="G1734" s="13"/>
      <c r="H1734" s="14" t="str">
        <f aca="false">IF(OR($L1734="",$M1734=""),"",ROUND(($M1734-$L1734)/60,2))</f>
        <v/>
      </c>
      <c r="I1734" s="9"/>
      <c r="J1734" s="7"/>
      <c r="K1734" s="7"/>
      <c r="L1734" s="15" t="str">
        <f aca="false">IF($F1734="","",IF($F1734&lt;1,ROUND($F1734*1440,0),INT($F1734/100)*60+MOD($F1734,100)))</f>
        <v/>
      </c>
      <c r="M1734" s="15" t="str">
        <f aca="false">IF($G1734="","",IF($G1734&lt;1,ROUND($G1734*1440,0),INT($G1734/100)*60+MOD($G1734,100)))</f>
        <v/>
      </c>
      <c r="N1734" s="15" t="str">
        <f aca="false">IF(OR($A1734="",$B1734="",$L1734="",$M1734="",$J1734="취소"),"",IF(SUMPRODUCT(($A$3:$A$2002=$A1734)*($B$3:$B$2002=$B1734)*($J$3:$J$2002&lt;&gt;"취소")*($L$3:$L$2002&lt;&gt;"")*($M$3:$M$2002&lt;&gt;"")*($L$3:$L$2002&lt;$M1734)*($M$3:$M$2002&gt;$L1734))&gt;1,"중복","-"))</f>
        <v/>
      </c>
    </row>
    <row r="1735" customFormat="false" ht="15" hidden="false" customHeight="true" outlineLevel="0" collapsed="false">
      <c r="A1735" s="11"/>
      <c r="B1735" s="7"/>
      <c r="C1735" s="12" t="str">
        <f aca="false">IF($B1735="","",IFERROR(INDEX(자원목록!$B$3:$B$102,MATCH($B1735,자원목록!$A$3:$A$102,0)),"미등록자원"))</f>
        <v/>
      </c>
      <c r="D1735" s="7"/>
      <c r="E1735" s="12" t="str">
        <f aca="false">IF($D1735="","",IFERROR(INDEX(고객목록!$B$3:$B$502,MATCH($D1735,고객목록!$A$3:$A$502,0)),""))</f>
        <v/>
      </c>
      <c r="F1735" s="13"/>
      <c r="G1735" s="13"/>
      <c r="H1735" s="14" t="str">
        <f aca="false">IF(OR($L1735="",$M1735=""),"",ROUND(($M1735-$L1735)/60,2))</f>
        <v/>
      </c>
      <c r="I1735" s="9"/>
      <c r="J1735" s="7"/>
      <c r="K1735" s="7"/>
      <c r="L1735" s="15" t="str">
        <f aca="false">IF($F1735="","",IF($F1735&lt;1,ROUND($F1735*1440,0),INT($F1735/100)*60+MOD($F1735,100)))</f>
        <v/>
      </c>
      <c r="M1735" s="15" t="str">
        <f aca="false">IF($G1735="","",IF($G1735&lt;1,ROUND($G1735*1440,0),INT($G1735/100)*60+MOD($G1735,100)))</f>
        <v/>
      </c>
      <c r="N1735" s="15" t="str">
        <f aca="false">IF(OR($A1735="",$B1735="",$L1735="",$M1735="",$J1735="취소"),"",IF(SUMPRODUCT(($A$3:$A$2002=$A1735)*($B$3:$B$2002=$B1735)*($J$3:$J$2002&lt;&gt;"취소")*($L$3:$L$2002&lt;&gt;"")*($M$3:$M$2002&lt;&gt;"")*($L$3:$L$2002&lt;$M1735)*($M$3:$M$2002&gt;$L1735))&gt;1,"중복","-"))</f>
        <v/>
      </c>
    </row>
    <row r="1736" customFormat="false" ht="15" hidden="false" customHeight="true" outlineLevel="0" collapsed="false">
      <c r="A1736" s="11"/>
      <c r="B1736" s="7"/>
      <c r="C1736" s="12" t="str">
        <f aca="false">IF($B1736="","",IFERROR(INDEX(자원목록!$B$3:$B$102,MATCH($B1736,자원목록!$A$3:$A$102,0)),"미등록자원"))</f>
        <v/>
      </c>
      <c r="D1736" s="7"/>
      <c r="E1736" s="12" t="str">
        <f aca="false">IF($D1736="","",IFERROR(INDEX(고객목록!$B$3:$B$502,MATCH($D1736,고객목록!$A$3:$A$502,0)),""))</f>
        <v/>
      </c>
      <c r="F1736" s="13"/>
      <c r="G1736" s="13"/>
      <c r="H1736" s="14" t="str">
        <f aca="false">IF(OR($L1736="",$M1736=""),"",ROUND(($M1736-$L1736)/60,2))</f>
        <v/>
      </c>
      <c r="I1736" s="9"/>
      <c r="J1736" s="7"/>
      <c r="K1736" s="7"/>
      <c r="L1736" s="15" t="str">
        <f aca="false">IF($F1736="","",IF($F1736&lt;1,ROUND($F1736*1440,0),INT($F1736/100)*60+MOD($F1736,100)))</f>
        <v/>
      </c>
      <c r="M1736" s="15" t="str">
        <f aca="false">IF($G1736="","",IF($G1736&lt;1,ROUND($G1736*1440,0),INT($G1736/100)*60+MOD($G1736,100)))</f>
        <v/>
      </c>
      <c r="N1736" s="15" t="str">
        <f aca="false">IF(OR($A1736="",$B1736="",$L1736="",$M1736="",$J1736="취소"),"",IF(SUMPRODUCT(($A$3:$A$2002=$A1736)*($B$3:$B$2002=$B1736)*($J$3:$J$2002&lt;&gt;"취소")*($L$3:$L$2002&lt;&gt;"")*($M$3:$M$2002&lt;&gt;"")*($L$3:$L$2002&lt;$M1736)*($M$3:$M$2002&gt;$L1736))&gt;1,"중복","-"))</f>
        <v/>
      </c>
    </row>
    <row r="1737" customFormat="false" ht="15" hidden="false" customHeight="true" outlineLevel="0" collapsed="false">
      <c r="A1737" s="11"/>
      <c r="B1737" s="7"/>
      <c r="C1737" s="12" t="str">
        <f aca="false">IF($B1737="","",IFERROR(INDEX(자원목록!$B$3:$B$102,MATCH($B1737,자원목록!$A$3:$A$102,0)),"미등록자원"))</f>
        <v/>
      </c>
      <c r="D1737" s="7"/>
      <c r="E1737" s="12" t="str">
        <f aca="false">IF($D1737="","",IFERROR(INDEX(고객목록!$B$3:$B$502,MATCH($D1737,고객목록!$A$3:$A$502,0)),""))</f>
        <v/>
      </c>
      <c r="F1737" s="13"/>
      <c r="G1737" s="13"/>
      <c r="H1737" s="14" t="str">
        <f aca="false">IF(OR($L1737="",$M1737=""),"",ROUND(($M1737-$L1737)/60,2))</f>
        <v/>
      </c>
      <c r="I1737" s="9"/>
      <c r="J1737" s="7"/>
      <c r="K1737" s="7"/>
      <c r="L1737" s="15" t="str">
        <f aca="false">IF($F1737="","",IF($F1737&lt;1,ROUND($F1737*1440,0),INT($F1737/100)*60+MOD($F1737,100)))</f>
        <v/>
      </c>
      <c r="M1737" s="15" t="str">
        <f aca="false">IF($G1737="","",IF($G1737&lt;1,ROUND($G1737*1440,0),INT($G1737/100)*60+MOD($G1737,100)))</f>
        <v/>
      </c>
      <c r="N1737" s="15" t="str">
        <f aca="false">IF(OR($A1737="",$B1737="",$L1737="",$M1737="",$J1737="취소"),"",IF(SUMPRODUCT(($A$3:$A$2002=$A1737)*($B$3:$B$2002=$B1737)*($J$3:$J$2002&lt;&gt;"취소")*($L$3:$L$2002&lt;&gt;"")*($M$3:$M$2002&lt;&gt;"")*($L$3:$L$2002&lt;$M1737)*($M$3:$M$2002&gt;$L1737))&gt;1,"중복","-"))</f>
        <v/>
      </c>
    </row>
    <row r="1738" customFormat="false" ht="15" hidden="false" customHeight="true" outlineLevel="0" collapsed="false">
      <c r="A1738" s="11"/>
      <c r="B1738" s="7"/>
      <c r="C1738" s="12" t="str">
        <f aca="false">IF($B1738="","",IFERROR(INDEX(자원목록!$B$3:$B$102,MATCH($B1738,자원목록!$A$3:$A$102,0)),"미등록자원"))</f>
        <v/>
      </c>
      <c r="D1738" s="7"/>
      <c r="E1738" s="12" t="str">
        <f aca="false">IF($D1738="","",IFERROR(INDEX(고객목록!$B$3:$B$502,MATCH($D1738,고객목록!$A$3:$A$502,0)),""))</f>
        <v/>
      </c>
      <c r="F1738" s="13"/>
      <c r="G1738" s="13"/>
      <c r="H1738" s="14" t="str">
        <f aca="false">IF(OR($L1738="",$M1738=""),"",ROUND(($M1738-$L1738)/60,2))</f>
        <v/>
      </c>
      <c r="I1738" s="9"/>
      <c r="J1738" s="7"/>
      <c r="K1738" s="7"/>
      <c r="L1738" s="15" t="str">
        <f aca="false">IF($F1738="","",IF($F1738&lt;1,ROUND($F1738*1440,0),INT($F1738/100)*60+MOD($F1738,100)))</f>
        <v/>
      </c>
      <c r="M1738" s="15" t="str">
        <f aca="false">IF($G1738="","",IF($G1738&lt;1,ROUND($G1738*1440,0),INT($G1738/100)*60+MOD($G1738,100)))</f>
        <v/>
      </c>
      <c r="N1738" s="15" t="str">
        <f aca="false">IF(OR($A1738="",$B1738="",$L1738="",$M1738="",$J1738="취소"),"",IF(SUMPRODUCT(($A$3:$A$2002=$A1738)*($B$3:$B$2002=$B1738)*($J$3:$J$2002&lt;&gt;"취소")*($L$3:$L$2002&lt;&gt;"")*($M$3:$M$2002&lt;&gt;"")*($L$3:$L$2002&lt;$M1738)*($M$3:$M$2002&gt;$L1738))&gt;1,"중복","-"))</f>
        <v/>
      </c>
    </row>
    <row r="1739" customFormat="false" ht="15" hidden="false" customHeight="true" outlineLevel="0" collapsed="false">
      <c r="A1739" s="11"/>
      <c r="B1739" s="7"/>
      <c r="C1739" s="12" t="str">
        <f aca="false">IF($B1739="","",IFERROR(INDEX(자원목록!$B$3:$B$102,MATCH($B1739,자원목록!$A$3:$A$102,0)),"미등록자원"))</f>
        <v/>
      </c>
      <c r="D1739" s="7"/>
      <c r="E1739" s="12" t="str">
        <f aca="false">IF($D1739="","",IFERROR(INDEX(고객목록!$B$3:$B$502,MATCH($D1739,고객목록!$A$3:$A$502,0)),""))</f>
        <v/>
      </c>
      <c r="F1739" s="13"/>
      <c r="G1739" s="13"/>
      <c r="H1739" s="14" t="str">
        <f aca="false">IF(OR($L1739="",$M1739=""),"",ROUND(($M1739-$L1739)/60,2))</f>
        <v/>
      </c>
      <c r="I1739" s="9"/>
      <c r="J1739" s="7"/>
      <c r="K1739" s="7"/>
      <c r="L1739" s="15" t="str">
        <f aca="false">IF($F1739="","",IF($F1739&lt;1,ROUND($F1739*1440,0),INT($F1739/100)*60+MOD($F1739,100)))</f>
        <v/>
      </c>
      <c r="M1739" s="15" t="str">
        <f aca="false">IF($G1739="","",IF($G1739&lt;1,ROUND($G1739*1440,0),INT($G1739/100)*60+MOD($G1739,100)))</f>
        <v/>
      </c>
      <c r="N1739" s="15" t="str">
        <f aca="false">IF(OR($A1739="",$B1739="",$L1739="",$M1739="",$J1739="취소"),"",IF(SUMPRODUCT(($A$3:$A$2002=$A1739)*($B$3:$B$2002=$B1739)*($J$3:$J$2002&lt;&gt;"취소")*($L$3:$L$2002&lt;&gt;"")*($M$3:$M$2002&lt;&gt;"")*($L$3:$L$2002&lt;$M1739)*($M$3:$M$2002&gt;$L1739))&gt;1,"중복","-"))</f>
        <v/>
      </c>
    </row>
    <row r="1740" customFormat="false" ht="15" hidden="false" customHeight="true" outlineLevel="0" collapsed="false">
      <c r="A1740" s="11"/>
      <c r="B1740" s="7"/>
      <c r="C1740" s="12" t="str">
        <f aca="false">IF($B1740="","",IFERROR(INDEX(자원목록!$B$3:$B$102,MATCH($B1740,자원목록!$A$3:$A$102,0)),"미등록자원"))</f>
        <v/>
      </c>
      <c r="D1740" s="7"/>
      <c r="E1740" s="12" t="str">
        <f aca="false">IF($D1740="","",IFERROR(INDEX(고객목록!$B$3:$B$502,MATCH($D1740,고객목록!$A$3:$A$502,0)),""))</f>
        <v/>
      </c>
      <c r="F1740" s="13"/>
      <c r="G1740" s="13"/>
      <c r="H1740" s="14" t="str">
        <f aca="false">IF(OR($L1740="",$M1740=""),"",ROUND(($M1740-$L1740)/60,2))</f>
        <v/>
      </c>
      <c r="I1740" s="9"/>
      <c r="J1740" s="7"/>
      <c r="K1740" s="7"/>
      <c r="L1740" s="15" t="str">
        <f aca="false">IF($F1740="","",IF($F1740&lt;1,ROUND($F1740*1440,0),INT($F1740/100)*60+MOD($F1740,100)))</f>
        <v/>
      </c>
      <c r="M1740" s="15" t="str">
        <f aca="false">IF($G1740="","",IF($G1740&lt;1,ROUND($G1740*1440,0),INT($G1740/100)*60+MOD($G1740,100)))</f>
        <v/>
      </c>
      <c r="N1740" s="15" t="str">
        <f aca="false">IF(OR($A1740="",$B1740="",$L1740="",$M1740="",$J1740="취소"),"",IF(SUMPRODUCT(($A$3:$A$2002=$A1740)*($B$3:$B$2002=$B1740)*($J$3:$J$2002&lt;&gt;"취소")*($L$3:$L$2002&lt;&gt;"")*($M$3:$M$2002&lt;&gt;"")*($L$3:$L$2002&lt;$M1740)*($M$3:$M$2002&gt;$L1740))&gt;1,"중복","-"))</f>
        <v/>
      </c>
    </row>
    <row r="1741" customFormat="false" ht="15" hidden="false" customHeight="true" outlineLevel="0" collapsed="false">
      <c r="A1741" s="11"/>
      <c r="B1741" s="7"/>
      <c r="C1741" s="12" t="str">
        <f aca="false">IF($B1741="","",IFERROR(INDEX(자원목록!$B$3:$B$102,MATCH($B1741,자원목록!$A$3:$A$102,0)),"미등록자원"))</f>
        <v/>
      </c>
      <c r="D1741" s="7"/>
      <c r="E1741" s="12" t="str">
        <f aca="false">IF($D1741="","",IFERROR(INDEX(고객목록!$B$3:$B$502,MATCH($D1741,고객목록!$A$3:$A$502,0)),""))</f>
        <v/>
      </c>
      <c r="F1741" s="13"/>
      <c r="G1741" s="13"/>
      <c r="H1741" s="14" t="str">
        <f aca="false">IF(OR($L1741="",$M1741=""),"",ROUND(($M1741-$L1741)/60,2))</f>
        <v/>
      </c>
      <c r="I1741" s="9"/>
      <c r="J1741" s="7"/>
      <c r="K1741" s="7"/>
      <c r="L1741" s="15" t="str">
        <f aca="false">IF($F1741="","",IF($F1741&lt;1,ROUND($F1741*1440,0),INT($F1741/100)*60+MOD($F1741,100)))</f>
        <v/>
      </c>
      <c r="M1741" s="15" t="str">
        <f aca="false">IF($G1741="","",IF($G1741&lt;1,ROUND($G1741*1440,0),INT($G1741/100)*60+MOD($G1741,100)))</f>
        <v/>
      </c>
      <c r="N1741" s="15" t="str">
        <f aca="false">IF(OR($A1741="",$B1741="",$L1741="",$M1741="",$J1741="취소"),"",IF(SUMPRODUCT(($A$3:$A$2002=$A1741)*($B$3:$B$2002=$B1741)*($J$3:$J$2002&lt;&gt;"취소")*($L$3:$L$2002&lt;&gt;"")*($M$3:$M$2002&lt;&gt;"")*($L$3:$L$2002&lt;$M1741)*($M$3:$M$2002&gt;$L1741))&gt;1,"중복","-"))</f>
        <v/>
      </c>
    </row>
    <row r="1742" customFormat="false" ht="15" hidden="false" customHeight="true" outlineLevel="0" collapsed="false">
      <c r="A1742" s="11"/>
      <c r="B1742" s="7"/>
      <c r="C1742" s="12" t="str">
        <f aca="false">IF($B1742="","",IFERROR(INDEX(자원목록!$B$3:$B$102,MATCH($B1742,자원목록!$A$3:$A$102,0)),"미등록자원"))</f>
        <v/>
      </c>
      <c r="D1742" s="7"/>
      <c r="E1742" s="12" t="str">
        <f aca="false">IF($D1742="","",IFERROR(INDEX(고객목록!$B$3:$B$502,MATCH($D1742,고객목록!$A$3:$A$502,0)),""))</f>
        <v/>
      </c>
      <c r="F1742" s="13"/>
      <c r="G1742" s="13"/>
      <c r="H1742" s="14" t="str">
        <f aca="false">IF(OR($L1742="",$M1742=""),"",ROUND(($M1742-$L1742)/60,2))</f>
        <v/>
      </c>
      <c r="I1742" s="9"/>
      <c r="J1742" s="7"/>
      <c r="K1742" s="7"/>
      <c r="L1742" s="15" t="str">
        <f aca="false">IF($F1742="","",IF($F1742&lt;1,ROUND($F1742*1440,0),INT($F1742/100)*60+MOD($F1742,100)))</f>
        <v/>
      </c>
      <c r="M1742" s="15" t="str">
        <f aca="false">IF($G1742="","",IF($G1742&lt;1,ROUND($G1742*1440,0),INT($G1742/100)*60+MOD($G1742,100)))</f>
        <v/>
      </c>
      <c r="N1742" s="15" t="str">
        <f aca="false">IF(OR($A1742="",$B1742="",$L1742="",$M1742="",$J1742="취소"),"",IF(SUMPRODUCT(($A$3:$A$2002=$A1742)*($B$3:$B$2002=$B1742)*($J$3:$J$2002&lt;&gt;"취소")*($L$3:$L$2002&lt;&gt;"")*($M$3:$M$2002&lt;&gt;"")*($L$3:$L$2002&lt;$M1742)*($M$3:$M$2002&gt;$L1742))&gt;1,"중복","-"))</f>
        <v/>
      </c>
    </row>
    <row r="1743" customFormat="false" ht="15" hidden="false" customHeight="true" outlineLevel="0" collapsed="false">
      <c r="A1743" s="11"/>
      <c r="B1743" s="7"/>
      <c r="C1743" s="12" t="str">
        <f aca="false">IF($B1743="","",IFERROR(INDEX(자원목록!$B$3:$B$102,MATCH($B1743,자원목록!$A$3:$A$102,0)),"미등록자원"))</f>
        <v/>
      </c>
      <c r="D1743" s="7"/>
      <c r="E1743" s="12" t="str">
        <f aca="false">IF($D1743="","",IFERROR(INDEX(고객목록!$B$3:$B$502,MATCH($D1743,고객목록!$A$3:$A$502,0)),""))</f>
        <v/>
      </c>
      <c r="F1743" s="13"/>
      <c r="G1743" s="13"/>
      <c r="H1743" s="14" t="str">
        <f aca="false">IF(OR($L1743="",$M1743=""),"",ROUND(($M1743-$L1743)/60,2))</f>
        <v/>
      </c>
      <c r="I1743" s="9"/>
      <c r="J1743" s="7"/>
      <c r="K1743" s="7"/>
      <c r="L1743" s="15" t="str">
        <f aca="false">IF($F1743="","",IF($F1743&lt;1,ROUND($F1743*1440,0),INT($F1743/100)*60+MOD($F1743,100)))</f>
        <v/>
      </c>
      <c r="M1743" s="15" t="str">
        <f aca="false">IF($G1743="","",IF($G1743&lt;1,ROUND($G1743*1440,0),INT($G1743/100)*60+MOD($G1743,100)))</f>
        <v/>
      </c>
      <c r="N1743" s="15" t="str">
        <f aca="false">IF(OR($A1743="",$B1743="",$L1743="",$M1743="",$J1743="취소"),"",IF(SUMPRODUCT(($A$3:$A$2002=$A1743)*($B$3:$B$2002=$B1743)*($J$3:$J$2002&lt;&gt;"취소")*($L$3:$L$2002&lt;&gt;"")*($M$3:$M$2002&lt;&gt;"")*($L$3:$L$2002&lt;$M1743)*($M$3:$M$2002&gt;$L1743))&gt;1,"중복","-"))</f>
        <v/>
      </c>
    </row>
    <row r="1744" customFormat="false" ht="15" hidden="false" customHeight="true" outlineLevel="0" collapsed="false">
      <c r="A1744" s="11"/>
      <c r="B1744" s="7"/>
      <c r="C1744" s="12" t="str">
        <f aca="false">IF($B1744="","",IFERROR(INDEX(자원목록!$B$3:$B$102,MATCH($B1744,자원목록!$A$3:$A$102,0)),"미등록자원"))</f>
        <v/>
      </c>
      <c r="D1744" s="7"/>
      <c r="E1744" s="12" t="str">
        <f aca="false">IF($D1744="","",IFERROR(INDEX(고객목록!$B$3:$B$502,MATCH($D1744,고객목록!$A$3:$A$502,0)),""))</f>
        <v/>
      </c>
      <c r="F1744" s="13"/>
      <c r="G1744" s="13"/>
      <c r="H1744" s="14" t="str">
        <f aca="false">IF(OR($L1744="",$M1744=""),"",ROUND(($M1744-$L1744)/60,2))</f>
        <v/>
      </c>
      <c r="I1744" s="9"/>
      <c r="J1744" s="7"/>
      <c r="K1744" s="7"/>
      <c r="L1744" s="15" t="str">
        <f aca="false">IF($F1744="","",IF($F1744&lt;1,ROUND($F1744*1440,0),INT($F1744/100)*60+MOD($F1744,100)))</f>
        <v/>
      </c>
      <c r="M1744" s="15" t="str">
        <f aca="false">IF($G1744="","",IF($G1744&lt;1,ROUND($G1744*1440,0),INT($G1744/100)*60+MOD($G1744,100)))</f>
        <v/>
      </c>
      <c r="N1744" s="15" t="str">
        <f aca="false">IF(OR($A1744="",$B1744="",$L1744="",$M1744="",$J1744="취소"),"",IF(SUMPRODUCT(($A$3:$A$2002=$A1744)*($B$3:$B$2002=$B1744)*($J$3:$J$2002&lt;&gt;"취소")*($L$3:$L$2002&lt;&gt;"")*($M$3:$M$2002&lt;&gt;"")*($L$3:$L$2002&lt;$M1744)*($M$3:$M$2002&gt;$L1744))&gt;1,"중복","-"))</f>
        <v/>
      </c>
    </row>
    <row r="1745" customFormat="false" ht="15" hidden="false" customHeight="true" outlineLevel="0" collapsed="false">
      <c r="A1745" s="11"/>
      <c r="B1745" s="7"/>
      <c r="C1745" s="12" t="str">
        <f aca="false">IF($B1745="","",IFERROR(INDEX(자원목록!$B$3:$B$102,MATCH($B1745,자원목록!$A$3:$A$102,0)),"미등록자원"))</f>
        <v/>
      </c>
      <c r="D1745" s="7"/>
      <c r="E1745" s="12" t="str">
        <f aca="false">IF($D1745="","",IFERROR(INDEX(고객목록!$B$3:$B$502,MATCH($D1745,고객목록!$A$3:$A$502,0)),""))</f>
        <v/>
      </c>
      <c r="F1745" s="13"/>
      <c r="G1745" s="13"/>
      <c r="H1745" s="14" t="str">
        <f aca="false">IF(OR($L1745="",$M1745=""),"",ROUND(($M1745-$L1745)/60,2))</f>
        <v/>
      </c>
      <c r="I1745" s="9"/>
      <c r="J1745" s="7"/>
      <c r="K1745" s="7"/>
      <c r="L1745" s="15" t="str">
        <f aca="false">IF($F1745="","",IF($F1745&lt;1,ROUND($F1745*1440,0),INT($F1745/100)*60+MOD($F1745,100)))</f>
        <v/>
      </c>
      <c r="M1745" s="15" t="str">
        <f aca="false">IF($G1745="","",IF($G1745&lt;1,ROUND($G1745*1440,0),INT($G1745/100)*60+MOD($G1745,100)))</f>
        <v/>
      </c>
      <c r="N1745" s="15" t="str">
        <f aca="false">IF(OR($A1745="",$B1745="",$L1745="",$M1745="",$J1745="취소"),"",IF(SUMPRODUCT(($A$3:$A$2002=$A1745)*($B$3:$B$2002=$B1745)*($J$3:$J$2002&lt;&gt;"취소")*($L$3:$L$2002&lt;&gt;"")*($M$3:$M$2002&lt;&gt;"")*($L$3:$L$2002&lt;$M1745)*($M$3:$M$2002&gt;$L1745))&gt;1,"중복","-"))</f>
        <v/>
      </c>
    </row>
    <row r="1746" customFormat="false" ht="15" hidden="false" customHeight="true" outlineLevel="0" collapsed="false">
      <c r="A1746" s="11"/>
      <c r="B1746" s="7"/>
      <c r="C1746" s="12" t="str">
        <f aca="false">IF($B1746="","",IFERROR(INDEX(자원목록!$B$3:$B$102,MATCH($B1746,자원목록!$A$3:$A$102,0)),"미등록자원"))</f>
        <v/>
      </c>
      <c r="D1746" s="7"/>
      <c r="E1746" s="12" t="str">
        <f aca="false">IF($D1746="","",IFERROR(INDEX(고객목록!$B$3:$B$502,MATCH($D1746,고객목록!$A$3:$A$502,0)),""))</f>
        <v/>
      </c>
      <c r="F1746" s="13"/>
      <c r="G1746" s="13"/>
      <c r="H1746" s="14" t="str">
        <f aca="false">IF(OR($L1746="",$M1746=""),"",ROUND(($M1746-$L1746)/60,2))</f>
        <v/>
      </c>
      <c r="I1746" s="9"/>
      <c r="J1746" s="7"/>
      <c r="K1746" s="7"/>
      <c r="L1746" s="15" t="str">
        <f aca="false">IF($F1746="","",IF($F1746&lt;1,ROUND($F1746*1440,0),INT($F1746/100)*60+MOD($F1746,100)))</f>
        <v/>
      </c>
      <c r="M1746" s="15" t="str">
        <f aca="false">IF($G1746="","",IF($G1746&lt;1,ROUND($G1746*1440,0),INT($G1746/100)*60+MOD($G1746,100)))</f>
        <v/>
      </c>
      <c r="N1746" s="15" t="str">
        <f aca="false">IF(OR($A1746="",$B1746="",$L1746="",$M1746="",$J1746="취소"),"",IF(SUMPRODUCT(($A$3:$A$2002=$A1746)*($B$3:$B$2002=$B1746)*($J$3:$J$2002&lt;&gt;"취소")*($L$3:$L$2002&lt;&gt;"")*($M$3:$M$2002&lt;&gt;"")*($L$3:$L$2002&lt;$M1746)*($M$3:$M$2002&gt;$L1746))&gt;1,"중복","-"))</f>
        <v/>
      </c>
    </row>
    <row r="1747" customFormat="false" ht="15" hidden="false" customHeight="true" outlineLevel="0" collapsed="false">
      <c r="A1747" s="11"/>
      <c r="B1747" s="7"/>
      <c r="C1747" s="12" t="str">
        <f aca="false">IF($B1747="","",IFERROR(INDEX(자원목록!$B$3:$B$102,MATCH($B1747,자원목록!$A$3:$A$102,0)),"미등록자원"))</f>
        <v/>
      </c>
      <c r="D1747" s="7"/>
      <c r="E1747" s="12" t="str">
        <f aca="false">IF($D1747="","",IFERROR(INDEX(고객목록!$B$3:$B$502,MATCH($D1747,고객목록!$A$3:$A$502,0)),""))</f>
        <v/>
      </c>
      <c r="F1747" s="13"/>
      <c r="G1747" s="13"/>
      <c r="H1747" s="14" t="str">
        <f aca="false">IF(OR($L1747="",$M1747=""),"",ROUND(($M1747-$L1747)/60,2))</f>
        <v/>
      </c>
      <c r="I1747" s="9"/>
      <c r="J1747" s="7"/>
      <c r="K1747" s="7"/>
      <c r="L1747" s="15" t="str">
        <f aca="false">IF($F1747="","",IF($F1747&lt;1,ROUND($F1747*1440,0),INT($F1747/100)*60+MOD($F1747,100)))</f>
        <v/>
      </c>
      <c r="M1747" s="15" t="str">
        <f aca="false">IF($G1747="","",IF($G1747&lt;1,ROUND($G1747*1440,0),INT($G1747/100)*60+MOD($G1747,100)))</f>
        <v/>
      </c>
      <c r="N1747" s="15" t="str">
        <f aca="false">IF(OR($A1747="",$B1747="",$L1747="",$M1747="",$J1747="취소"),"",IF(SUMPRODUCT(($A$3:$A$2002=$A1747)*($B$3:$B$2002=$B1747)*($J$3:$J$2002&lt;&gt;"취소")*($L$3:$L$2002&lt;&gt;"")*($M$3:$M$2002&lt;&gt;"")*($L$3:$L$2002&lt;$M1747)*($M$3:$M$2002&gt;$L1747))&gt;1,"중복","-"))</f>
        <v/>
      </c>
    </row>
    <row r="1748" customFormat="false" ht="15" hidden="false" customHeight="true" outlineLevel="0" collapsed="false">
      <c r="A1748" s="11"/>
      <c r="B1748" s="7"/>
      <c r="C1748" s="12" t="str">
        <f aca="false">IF($B1748="","",IFERROR(INDEX(자원목록!$B$3:$B$102,MATCH($B1748,자원목록!$A$3:$A$102,0)),"미등록자원"))</f>
        <v/>
      </c>
      <c r="D1748" s="7"/>
      <c r="E1748" s="12" t="str">
        <f aca="false">IF($D1748="","",IFERROR(INDEX(고객목록!$B$3:$B$502,MATCH($D1748,고객목록!$A$3:$A$502,0)),""))</f>
        <v/>
      </c>
      <c r="F1748" s="13"/>
      <c r="G1748" s="13"/>
      <c r="H1748" s="14" t="str">
        <f aca="false">IF(OR($L1748="",$M1748=""),"",ROUND(($M1748-$L1748)/60,2))</f>
        <v/>
      </c>
      <c r="I1748" s="9"/>
      <c r="J1748" s="7"/>
      <c r="K1748" s="7"/>
      <c r="L1748" s="15" t="str">
        <f aca="false">IF($F1748="","",IF($F1748&lt;1,ROUND($F1748*1440,0),INT($F1748/100)*60+MOD($F1748,100)))</f>
        <v/>
      </c>
      <c r="M1748" s="15" t="str">
        <f aca="false">IF($G1748="","",IF($G1748&lt;1,ROUND($G1748*1440,0),INT($G1748/100)*60+MOD($G1748,100)))</f>
        <v/>
      </c>
      <c r="N1748" s="15" t="str">
        <f aca="false">IF(OR($A1748="",$B1748="",$L1748="",$M1748="",$J1748="취소"),"",IF(SUMPRODUCT(($A$3:$A$2002=$A1748)*($B$3:$B$2002=$B1748)*($J$3:$J$2002&lt;&gt;"취소")*($L$3:$L$2002&lt;&gt;"")*($M$3:$M$2002&lt;&gt;"")*($L$3:$L$2002&lt;$M1748)*($M$3:$M$2002&gt;$L1748))&gt;1,"중복","-"))</f>
        <v/>
      </c>
    </row>
    <row r="1749" customFormat="false" ht="15" hidden="false" customHeight="true" outlineLevel="0" collapsed="false">
      <c r="A1749" s="11"/>
      <c r="B1749" s="7"/>
      <c r="C1749" s="12" t="str">
        <f aca="false">IF($B1749="","",IFERROR(INDEX(자원목록!$B$3:$B$102,MATCH($B1749,자원목록!$A$3:$A$102,0)),"미등록자원"))</f>
        <v/>
      </c>
      <c r="D1749" s="7"/>
      <c r="E1749" s="12" t="str">
        <f aca="false">IF($D1749="","",IFERROR(INDEX(고객목록!$B$3:$B$502,MATCH($D1749,고객목록!$A$3:$A$502,0)),""))</f>
        <v/>
      </c>
      <c r="F1749" s="13"/>
      <c r="G1749" s="13"/>
      <c r="H1749" s="14" t="str">
        <f aca="false">IF(OR($L1749="",$M1749=""),"",ROUND(($M1749-$L1749)/60,2))</f>
        <v/>
      </c>
      <c r="I1749" s="9"/>
      <c r="J1749" s="7"/>
      <c r="K1749" s="7"/>
      <c r="L1749" s="15" t="str">
        <f aca="false">IF($F1749="","",IF($F1749&lt;1,ROUND($F1749*1440,0),INT($F1749/100)*60+MOD($F1749,100)))</f>
        <v/>
      </c>
      <c r="M1749" s="15" t="str">
        <f aca="false">IF($G1749="","",IF($G1749&lt;1,ROUND($G1749*1440,0),INT($G1749/100)*60+MOD($G1749,100)))</f>
        <v/>
      </c>
      <c r="N1749" s="15" t="str">
        <f aca="false">IF(OR($A1749="",$B1749="",$L1749="",$M1749="",$J1749="취소"),"",IF(SUMPRODUCT(($A$3:$A$2002=$A1749)*($B$3:$B$2002=$B1749)*($J$3:$J$2002&lt;&gt;"취소")*($L$3:$L$2002&lt;&gt;"")*($M$3:$M$2002&lt;&gt;"")*($L$3:$L$2002&lt;$M1749)*($M$3:$M$2002&gt;$L1749))&gt;1,"중복","-"))</f>
        <v/>
      </c>
    </row>
    <row r="1750" customFormat="false" ht="15" hidden="false" customHeight="true" outlineLevel="0" collapsed="false">
      <c r="A1750" s="11"/>
      <c r="B1750" s="7"/>
      <c r="C1750" s="12" t="str">
        <f aca="false">IF($B1750="","",IFERROR(INDEX(자원목록!$B$3:$B$102,MATCH($B1750,자원목록!$A$3:$A$102,0)),"미등록자원"))</f>
        <v/>
      </c>
      <c r="D1750" s="7"/>
      <c r="E1750" s="12" t="str">
        <f aca="false">IF($D1750="","",IFERROR(INDEX(고객목록!$B$3:$B$502,MATCH($D1750,고객목록!$A$3:$A$502,0)),""))</f>
        <v/>
      </c>
      <c r="F1750" s="13"/>
      <c r="G1750" s="13"/>
      <c r="H1750" s="14" t="str">
        <f aca="false">IF(OR($L1750="",$M1750=""),"",ROUND(($M1750-$L1750)/60,2))</f>
        <v/>
      </c>
      <c r="I1750" s="9"/>
      <c r="J1750" s="7"/>
      <c r="K1750" s="7"/>
      <c r="L1750" s="15" t="str">
        <f aca="false">IF($F1750="","",IF($F1750&lt;1,ROUND($F1750*1440,0),INT($F1750/100)*60+MOD($F1750,100)))</f>
        <v/>
      </c>
      <c r="M1750" s="15" t="str">
        <f aca="false">IF($G1750="","",IF($G1750&lt;1,ROUND($G1750*1440,0),INT($G1750/100)*60+MOD($G1750,100)))</f>
        <v/>
      </c>
      <c r="N1750" s="15" t="str">
        <f aca="false">IF(OR($A1750="",$B1750="",$L1750="",$M1750="",$J1750="취소"),"",IF(SUMPRODUCT(($A$3:$A$2002=$A1750)*($B$3:$B$2002=$B1750)*($J$3:$J$2002&lt;&gt;"취소")*($L$3:$L$2002&lt;&gt;"")*($M$3:$M$2002&lt;&gt;"")*($L$3:$L$2002&lt;$M1750)*($M$3:$M$2002&gt;$L1750))&gt;1,"중복","-"))</f>
        <v/>
      </c>
    </row>
    <row r="1751" customFormat="false" ht="15" hidden="false" customHeight="true" outlineLevel="0" collapsed="false">
      <c r="A1751" s="11"/>
      <c r="B1751" s="7"/>
      <c r="C1751" s="12" t="str">
        <f aca="false">IF($B1751="","",IFERROR(INDEX(자원목록!$B$3:$B$102,MATCH($B1751,자원목록!$A$3:$A$102,0)),"미등록자원"))</f>
        <v/>
      </c>
      <c r="D1751" s="7"/>
      <c r="E1751" s="12" t="str">
        <f aca="false">IF($D1751="","",IFERROR(INDEX(고객목록!$B$3:$B$502,MATCH($D1751,고객목록!$A$3:$A$502,0)),""))</f>
        <v/>
      </c>
      <c r="F1751" s="13"/>
      <c r="G1751" s="13"/>
      <c r="H1751" s="14" t="str">
        <f aca="false">IF(OR($L1751="",$M1751=""),"",ROUND(($M1751-$L1751)/60,2))</f>
        <v/>
      </c>
      <c r="I1751" s="9"/>
      <c r="J1751" s="7"/>
      <c r="K1751" s="7"/>
      <c r="L1751" s="15" t="str">
        <f aca="false">IF($F1751="","",IF($F1751&lt;1,ROUND($F1751*1440,0),INT($F1751/100)*60+MOD($F1751,100)))</f>
        <v/>
      </c>
      <c r="M1751" s="15" t="str">
        <f aca="false">IF($G1751="","",IF($G1751&lt;1,ROUND($G1751*1440,0),INT($G1751/100)*60+MOD($G1751,100)))</f>
        <v/>
      </c>
      <c r="N1751" s="15" t="str">
        <f aca="false">IF(OR($A1751="",$B1751="",$L1751="",$M1751="",$J1751="취소"),"",IF(SUMPRODUCT(($A$3:$A$2002=$A1751)*($B$3:$B$2002=$B1751)*($J$3:$J$2002&lt;&gt;"취소")*($L$3:$L$2002&lt;&gt;"")*($M$3:$M$2002&lt;&gt;"")*($L$3:$L$2002&lt;$M1751)*($M$3:$M$2002&gt;$L1751))&gt;1,"중복","-"))</f>
        <v/>
      </c>
    </row>
    <row r="1752" customFormat="false" ht="15" hidden="false" customHeight="true" outlineLevel="0" collapsed="false">
      <c r="A1752" s="11"/>
      <c r="B1752" s="7"/>
      <c r="C1752" s="12" t="str">
        <f aca="false">IF($B1752="","",IFERROR(INDEX(자원목록!$B$3:$B$102,MATCH($B1752,자원목록!$A$3:$A$102,0)),"미등록자원"))</f>
        <v/>
      </c>
      <c r="D1752" s="7"/>
      <c r="E1752" s="12" t="str">
        <f aca="false">IF($D1752="","",IFERROR(INDEX(고객목록!$B$3:$B$502,MATCH($D1752,고객목록!$A$3:$A$502,0)),""))</f>
        <v/>
      </c>
      <c r="F1752" s="13"/>
      <c r="G1752" s="13"/>
      <c r="H1752" s="14" t="str">
        <f aca="false">IF(OR($L1752="",$M1752=""),"",ROUND(($M1752-$L1752)/60,2))</f>
        <v/>
      </c>
      <c r="I1752" s="9"/>
      <c r="J1752" s="7"/>
      <c r="K1752" s="7"/>
      <c r="L1752" s="15" t="str">
        <f aca="false">IF($F1752="","",IF($F1752&lt;1,ROUND($F1752*1440,0),INT($F1752/100)*60+MOD($F1752,100)))</f>
        <v/>
      </c>
      <c r="M1752" s="15" t="str">
        <f aca="false">IF($G1752="","",IF($G1752&lt;1,ROUND($G1752*1440,0),INT($G1752/100)*60+MOD($G1752,100)))</f>
        <v/>
      </c>
      <c r="N1752" s="15" t="str">
        <f aca="false">IF(OR($A1752="",$B1752="",$L1752="",$M1752="",$J1752="취소"),"",IF(SUMPRODUCT(($A$3:$A$2002=$A1752)*($B$3:$B$2002=$B1752)*($J$3:$J$2002&lt;&gt;"취소")*($L$3:$L$2002&lt;&gt;"")*($M$3:$M$2002&lt;&gt;"")*($L$3:$L$2002&lt;$M1752)*($M$3:$M$2002&gt;$L1752))&gt;1,"중복","-"))</f>
        <v/>
      </c>
    </row>
    <row r="1753" customFormat="false" ht="15" hidden="false" customHeight="true" outlineLevel="0" collapsed="false">
      <c r="A1753" s="11"/>
      <c r="B1753" s="7"/>
      <c r="C1753" s="12" t="str">
        <f aca="false">IF($B1753="","",IFERROR(INDEX(자원목록!$B$3:$B$102,MATCH($B1753,자원목록!$A$3:$A$102,0)),"미등록자원"))</f>
        <v/>
      </c>
      <c r="D1753" s="7"/>
      <c r="E1753" s="12" t="str">
        <f aca="false">IF($D1753="","",IFERROR(INDEX(고객목록!$B$3:$B$502,MATCH($D1753,고객목록!$A$3:$A$502,0)),""))</f>
        <v/>
      </c>
      <c r="F1753" s="13"/>
      <c r="G1753" s="13"/>
      <c r="H1753" s="14" t="str">
        <f aca="false">IF(OR($L1753="",$M1753=""),"",ROUND(($M1753-$L1753)/60,2))</f>
        <v/>
      </c>
      <c r="I1753" s="9"/>
      <c r="J1753" s="7"/>
      <c r="K1753" s="7"/>
      <c r="L1753" s="15" t="str">
        <f aca="false">IF($F1753="","",IF($F1753&lt;1,ROUND($F1753*1440,0),INT($F1753/100)*60+MOD($F1753,100)))</f>
        <v/>
      </c>
      <c r="M1753" s="15" t="str">
        <f aca="false">IF($G1753="","",IF($G1753&lt;1,ROUND($G1753*1440,0),INT($G1753/100)*60+MOD($G1753,100)))</f>
        <v/>
      </c>
      <c r="N1753" s="15" t="str">
        <f aca="false">IF(OR($A1753="",$B1753="",$L1753="",$M1753="",$J1753="취소"),"",IF(SUMPRODUCT(($A$3:$A$2002=$A1753)*($B$3:$B$2002=$B1753)*($J$3:$J$2002&lt;&gt;"취소")*($L$3:$L$2002&lt;&gt;"")*($M$3:$M$2002&lt;&gt;"")*($L$3:$L$2002&lt;$M1753)*($M$3:$M$2002&gt;$L1753))&gt;1,"중복","-"))</f>
        <v/>
      </c>
    </row>
    <row r="1754" customFormat="false" ht="15" hidden="false" customHeight="true" outlineLevel="0" collapsed="false">
      <c r="A1754" s="11"/>
      <c r="B1754" s="7"/>
      <c r="C1754" s="12" t="str">
        <f aca="false">IF($B1754="","",IFERROR(INDEX(자원목록!$B$3:$B$102,MATCH($B1754,자원목록!$A$3:$A$102,0)),"미등록자원"))</f>
        <v/>
      </c>
      <c r="D1754" s="7"/>
      <c r="E1754" s="12" t="str">
        <f aca="false">IF($D1754="","",IFERROR(INDEX(고객목록!$B$3:$B$502,MATCH($D1754,고객목록!$A$3:$A$502,0)),""))</f>
        <v/>
      </c>
      <c r="F1754" s="13"/>
      <c r="G1754" s="13"/>
      <c r="H1754" s="14" t="str">
        <f aca="false">IF(OR($L1754="",$M1754=""),"",ROUND(($M1754-$L1754)/60,2))</f>
        <v/>
      </c>
      <c r="I1754" s="9"/>
      <c r="J1754" s="7"/>
      <c r="K1754" s="7"/>
      <c r="L1754" s="15" t="str">
        <f aca="false">IF($F1754="","",IF($F1754&lt;1,ROUND($F1754*1440,0),INT($F1754/100)*60+MOD($F1754,100)))</f>
        <v/>
      </c>
      <c r="M1754" s="15" t="str">
        <f aca="false">IF($G1754="","",IF($G1754&lt;1,ROUND($G1754*1440,0),INT($G1754/100)*60+MOD($G1754,100)))</f>
        <v/>
      </c>
      <c r="N1754" s="15" t="str">
        <f aca="false">IF(OR($A1754="",$B1754="",$L1754="",$M1754="",$J1754="취소"),"",IF(SUMPRODUCT(($A$3:$A$2002=$A1754)*($B$3:$B$2002=$B1754)*($J$3:$J$2002&lt;&gt;"취소")*($L$3:$L$2002&lt;&gt;"")*($M$3:$M$2002&lt;&gt;"")*($L$3:$L$2002&lt;$M1754)*($M$3:$M$2002&gt;$L1754))&gt;1,"중복","-"))</f>
        <v/>
      </c>
    </row>
    <row r="1755" customFormat="false" ht="15" hidden="false" customHeight="true" outlineLevel="0" collapsed="false">
      <c r="A1755" s="11"/>
      <c r="B1755" s="7"/>
      <c r="C1755" s="12" t="str">
        <f aca="false">IF($B1755="","",IFERROR(INDEX(자원목록!$B$3:$B$102,MATCH($B1755,자원목록!$A$3:$A$102,0)),"미등록자원"))</f>
        <v/>
      </c>
      <c r="D1755" s="7"/>
      <c r="E1755" s="12" t="str">
        <f aca="false">IF($D1755="","",IFERROR(INDEX(고객목록!$B$3:$B$502,MATCH($D1755,고객목록!$A$3:$A$502,0)),""))</f>
        <v/>
      </c>
      <c r="F1755" s="13"/>
      <c r="G1755" s="13"/>
      <c r="H1755" s="14" t="str">
        <f aca="false">IF(OR($L1755="",$M1755=""),"",ROUND(($M1755-$L1755)/60,2))</f>
        <v/>
      </c>
      <c r="I1755" s="9"/>
      <c r="J1755" s="7"/>
      <c r="K1755" s="7"/>
      <c r="L1755" s="15" t="str">
        <f aca="false">IF($F1755="","",IF($F1755&lt;1,ROUND($F1755*1440,0),INT($F1755/100)*60+MOD($F1755,100)))</f>
        <v/>
      </c>
      <c r="M1755" s="15" t="str">
        <f aca="false">IF($G1755="","",IF($G1755&lt;1,ROUND($G1755*1440,0),INT($G1755/100)*60+MOD($G1755,100)))</f>
        <v/>
      </c>
      <c r="N1755" s="15" t="str">
        <f aca="false">IF(OR($A1755="",$B1755="",$L1755="",$M1755="",$J1755="취소"),"",IF(SUMPRODUCT(($A$3:$A$2002=$A1755)*($B$3:$B$2002=$B1755)*($J$3:$J$2002&lt;&gt;"취소")*($L$3:$L$2002&lt;&gt;"")*($M$3:$M$2002&lt;&gt;"")*($L$3:$L$2002&lt;$M1755)*($M$3:$M$2002&gt;$L1755))&gt;1,"중복","-"))</f>
        <v/>
      </c>
    </row>
    <row r="1756" customFormat="false" ht="15" hidden="false" customHeight="true" outlineLevel="0" collapsed="false">
      <c r="A1756" s="11"/>
      <c r="B1756" s="7"/>
      <c r="C1756" s="12" t="str">
        <f aca="false">IF($B1756="","",IFERROR(INDEX(자원목록!$B$3:$B$102,MATCH($B1756,자원목록!$A$3:$A$102,0)),"미등록자원"))</f>
        <v/>
      </c>
      <c r="D1756" s="7"/>
      <c r="E1756" s="12" t="str">
        <f aca="false">IF($D1756="","",IFERROR(INDEX(고객목록!$B$3:$B$502,MATCH($D1756,고객목록!$A$3:$A$502,0)),""))</f>
        <v/>
      </c>
      <c r="F1756" s="13"/>
      <c r="G1756" s="13"/>
      <c r="H1756" s="14" t="str">
        <f aca="false">IF(OR($L1756="",$M1756=""),"",ROUND(($M1756-$L1756)/60,2))</f>
        <v/>
      </c>
      <c r="I1756" s="9"/>
      <c r="J1756" s="7"/>
      <c r="K1756" s="7"/>
      <c r="L1756" s="15" t="str">
        <f aca="false">IF($F1756="","",IF($F1756&lt;1,ROUND($F1756*1440,0),INT($F1756/100)*60+MOD($F1756,100)))</f>
        <v/>
      </c>
      <c r="M1756" s="15" t="str">
        <f aca="false">IF($G1756="","",IF($G1756&lt;1,ROUND($G1756*1440,0),INT($G1756/100)*60+MOD($G1756,100)))</f>
        <v/>
      </c>
      <c r="N1756" s="15" t="str">
        <f aca="false">IF(OR($A1756="",$B1756="",$L1756="",$M1756="",$J1756="취소"),"",IF(SUMPRODUCT(($A$3:$A$2002=$A1756)*($B$3:$B$2002=$B1756)*($J$3:$J$2002&lt;&gt;"취소")*($L$3:$L$2002&lt;&gt;"")*($M$3:$M$2002&lt;&gt;"")*($L$3:$L$2002&lt;$M1756)*($M$3:$M$2002&gt;$L1756))&gt;1,"중복","-"))</f>
        <v/>
      </c>
    </row>
    <row r="1757" customFormat="false" ht="15" hidden="false" customHeight="true" outlineLevel="0" collapsed="false">
      <c r="A1757" s="11"/>
      <c r="B1757" s="7"/>
      <c r="C1757" s="12" t="str">
        <f aca="false">IF($B1757="","",IFERROR(INDEX(자원목록!$B$3:$B$102,MATCH($B1757,자원목록!$A$3:$A$102,0)),"미등록자원"))</f>
        <v/>
      </c>
      <c r="D1757" s="7"/>
      <c r="E1757" s="12" t="str">
        <f aca="false">IF($D1757="","",IFERROR(INDEX(고객목록!$B$3:$B$502,MATCH($D1757,고객목록!$A$3:$A$502,0)),""))</f>
        <v/>
      </c>
      <c r="F1757" s="13"/>
      <c r="G1757" s="13"/>
      <c r="H1757" s="14" t="str">
        <f aca="false">IF(OR($L1757="",$M1757=""),"",ROUND(($M1757-$L1757)/60,2))</f>
        <v/>
      </c>
      <c r="I1757" s="9"/>
      <c r="J1757" s="7"/>
      <c r="K1757" s="7"/>
      <c r="L1757" s="15" t="str">
        <f aca="false">IF($F1757="","",IF($F1757&lt;1,ROUND($F1757*1440,0),INT($F1757/100)*60+MOD($F1757,100)))</f>
        <v/>
      </c>
      <c r="M1757" s="15" t="str">
        <f aca="false">IF($G1757="","",IF($G1757&lt;1,ROUND($G1757*1440,0),INT($G1757/100)*60+MOD($G1757,100)))</f>
        <v/>
      </c>
      <c r="N1757" s="15" t="str">
        <f aca="false">IF(OR($A1757="",$B1757="",$L1757="",$M1757="",$J1757="취소"),"",IF(SUMPRODUCT(($A$3:$A$2002=$A1757)*($B$3:$B$2002=$B1757)*($J$3:$J$2002&lt;&gt;"취소")*($L$3:$L$2002&lt;&gt;"")*($M$3:$M$2002&lt;&gt;"")*($L$3:$L$2002&lt;$M1757)*($M$3:$M$2002&gt;$L1757))&gt;1,"중복","-"))</f>
        <v/>
      </c>
    </row>
    <row r="1758" customFormat="false" ht="15" hidden="false" customHeight="true" outlineLevel="0" collapsed="false">
      <c r="A1758" s="11"/>
      <c r="B1758" s="7"/>
      <c r="C1758" s="12" t="str">
        <f aca="false">IF($B1758="","",IFERROR(INDEX(자원목록!$B$3:$B$102,MATCH($B1758,자원목록!$A$3:$A$102,0)),"미등록자원"))</f>
        <v/>
      </c>
      <c r="D1758" s="7"/>
      <c r="E1758" s="12" t="str">
        <f aca="false">IF($D1758="","",IFERROR(INDEX(고객목록!$B$3:$B$502,MATCH($D1758,고객목록!$A$3:$A$502,0)),""))</f>
        <v/>
      </c>
      <c r="F1758" s="13"/>
      <c r="G1758" s="13"/>
      <c r="H1758" s="14" t="str">
        <f aca="false">IF(OR($L1758="",$M1758=""),"",ROUND(($M1758-$L1758)/60,2))</f>
        <v/>
      </c>
      <c r="I1758" s="9"/>
      <c r="J1758" s="7"/>
      <c r="K1758" s="7"/>
      <c r="L1758" s="15" t="str">
        <f aca="false">IF($F1758="","",IF($F1758&lt;1,ROUND($F1758*1440,0),INT($F1758/100)*60+MOD($F1758,100)))</f>
        <v/>
      </c>
      <c r="M1758" s="15" t="str">
        <f aca="false">IF($G1758="","",IF($G1758&lt;1,ROUND($G1758*1440,0),INT($G1758/100)*60+MOD($G1758,100)))</f>
        <v/>
      </c>
      <c r="N1758" s="15" t="str">
        <f aca="false">IF(OR($A1758="",$B1758="",$L1758="",$M1758="",$J1758="취소"),"",IF(SUMPRODUCT(($A$3:$A$2002=$A1758)*($B$3:$B$2002=$B1758)*($J$3:$J$2002&lt;&gt;"취소")*($L$3:$L$2002&lt;&gt;"")*($M$3:$M$2002&lt;&gt;"")*($L$3:$L$2002&lt;$M1758)*($M$3:$M$2002&gt;$L1758))&gt;1,"중복","-"))</f>
        <v/>
      </c>
    </row>
    <row r="1759" customFormat="false" ht="15" hidden="false" customHeight="true" outlineLevel="0" collapsed="false">
      <c r="A1759" s="11"/>
      <c r="B1759" s="7"/>
      <c r="C1759" s="12" t="str">
        <f aca="false">IF($B1759="","",IFERROR(INDEX(자원목록!$B$3:$B$102,MATCH($B1759,자원목록!$A$3:$A$102,0)),"미등록자원"))</f>
        <v/>
      </c>
      <c r="D1759" s="7"/>
      <c r="E1759" s="12" t="str">
        <f aca="false">IF($D1759="","",IFERROR(INDEX(고객목록!$B$3:$B$502,MATCH($D1759,고객목록!$A$3:$A$502,0)),""))</f>
        <v/>
      </c>
      <c r="F1759" s="13"/>
      <c r="G1759" s="13"/>
      <c r="H1759" s="14" t="str">
        <f aca="false">IF(OR($L1759="",$M1759=""),"",ROUND(($M1759-$L1759)/60,2))</f>
        <v/>
      </c>
      <c r="I1759" s="9"/>
      <c r="J1759" s="7"/>
      <c r="K1759" s="7"/>
      <c r="L1759" s="15" t="str">
        <f aca="false">IF($F1759="","",IF($F1759&lt;1,ROUND($F1759*1440,0),INT($F1759/100)*60+MOD($F1759,100)))</f>
        <v/>
      </c>
      <c r="M1759" s="15" t="str">
        <f aca="false">IF($G1759="","",IF($G1759&lt;1,ROUND($G1759*1440,0),INT($G1759/100)*60+MOD($G1759,100)))</f>
        <v/>
      </c>
      <c r="N1759" s="15" t="str">
        <f aca="false">IF(OR($A1759="",$B1759="",$L1759="",$M1759="",$J1759="취소"),"",IF(SUMPRODUCT(($A$3:$A$2002=$A1759)*($B$3:$B$2002=$B1759)*($J$3:$J$2002&lt;&gt;"취소")*($L$3:$L$2002&lt;&gt;"")*($M$3:$M$2002&lt;&gt;"")*($L$3:$L$2002&lt;$M1759)*($M$3:$M$2002&gt;$L1759))&gt;1,"중복","-"))</f>
        <v/>
      </c>
    </row>
    <row r="1760" customFormat="false" ht="15" hidden="false" customHeight="true" outlineLevel="0" collapsed="false">
      <c r="A1760" s="11"/>
      <c r="B1760" s="7"/>
      <c r="C1760" s="12" t="str">
        <f aca="false">IF($B1760="","",IFERROR(INDEX(자원목록!$B$3:$B$102,MATCH($B1760,자원목록!$A$3:$A$102,0)),"미등록자원"))</f>
        <v/>
      </c>
      <c r="D1760" s="7"/>
      <c r="E1760" s="12" t="str">
        <f aca="false">IF($D1760="","",IFERROR(INDEX(고객목록!$B$3:$B$502,MATCH($D1760,고객목록!$A$3:$A$502,0)),""))</f>
        <v/>
      </c>
      <c r="F1760" s="13"/>
      <c r="G1760" s="13"/>
      <c r="H1760" s="14" t="str">
        <f aca="false">IF(OR($L1760="",$M1760=""),"",ROUND(($M1760-$L1760)/60,2))</f>
        <v/>
      </c>
      <c r="I1760" s="9"/>
      <c r="J1760" s="7"/>
      <c r="K1760" s="7"/>
      <c r="L1760" s="15" t="str">
        <f aca="false">IF($F1760="","",IF($F1760&lt;1,ROUND($F1760*1440,0),INT($F1760/100)*60+MOD($F1760,100)))</f>
        <v/>
      </c>
      <c r="M1760" s="15" t="str">
        <f aca="false">IF($G1760="","",IF($G1760&lt;1,ROUND($G1760*1440,0),INT($G1760/100)*60+MOD($G1760,100)))</f>
        <v/>
      </c>
      <c r="N1760" s="15" t="str">
        <f aca="false">IF(OR($A1760="",$B1760="",$L1760="",$M1760="",$J1760="취소"),"",IF(SUMPRODUCT(($A$3:$A$2002=$A1760)*($B$3:$B$2002=$B1760)*($J$3:$J$2002&lt;&gt;"취소")*($L$3:$L$2002&lt;&gt;"")*($M$3:$M$2002&lt;&gt;"")*($L$3:$L$2002&lt;$M1760)*($M$3:$M$2002&gt;$L1760))&gt;1,"중복","-"))</f>
        <v/>
      </c>
    </row>
    <row r="1761" customFormat="false" ht="15" hidden="false" customHeight="true" outlineLevel="0" collapsed="false">
      <c r="A1761" s="11"/>
      <c r="B1761" s="7"/>
      <c r="C1761" s="12" t="str">
        <f aca="false">IF($B1761="","",IFERROR(INDEX(자원목록!$B$3:$B$102,MATCH($B1761,자원목록!$A$3:$A$102,0)),"미등록자원"))</f>
        <v/>
      </c>
      <c r="D1761" s="7"/>
      <c r="E1761" s="12" t="str">
        <f aca="false">IF($D1761="","",IFERROR(INDEX(고객목록!$B$3:$B$502,MATCH($D1761,고객목록!$A$3:$A$502,0)),""))</f>
        <v/>
      </c>
      <c r="F1761" s="13"/>
      <c r="G1761" s="13"/>
      <c r="H1761" s="14" t="str">
        <f aca="false">IF(OR($L1761="",$M1761=""),"",ROUND(($M1761-$L1761)/60,2))</f>
        <v/>
      </c>
      <c r="I1761" s="9"/>
      <c r="J1761" s="7"/>
      <c r="K1761" s="7"/>
      <c r="L1761" s="15" t="str">
        <f aca="false">IF($F1761="","",IF($F1761&lt;1,ROUND($F1761*1440,0),INT($F1761/100)*60+MOD($F1761,100)))</f>
        <v/>
      </c>
      <c r="M1761" s="15" t="str">
        <f aca="false">IF($G1761="","",IF($G1761&lt;1,ROUND($G1761*1440,0),INT($G1761/100)*60+MOD($G1761,100)))</f>
        <v/>
      </c>
      <c r="N1761" s="15" t="str">
        <f aca="false">IF(OR($A1761="",$B1761="",$L1761="",$M1761="",$J1761="취소"),"",IF(SUMPRODUCT(($A$3:$A$2002=$A1761)*($B$3:$B$2002=$B1761)*($J$3:$J$2002&lt;&gt;"취소")*($L$3:$L$2002&lt;&gt;"")*($M$3:$M$2002&lt;&gt;"")*($L$3:$L$2002&lt;$M1761)*($M$3:$M$2002&gt;$L1761))&gt;1,"중복","-"))</f>
        <v/>
      </c>
    </row>
    <row r="1762" customFormat="false" ht="15" hidden="false" customHeight="true" outlineLevel="0" collapsed="false">
      <c r="A1762" s="11"/>
      <c r="B1762" s="7"/>
      <c r="C1762" s="12" t="str">
        <f aca="false">IF($B1762="","",IFERROR(INDEX(자원목록!$B$3:$B$102,MATCH($B1762,자원목록!$A$3:$A$102,0)),"미등록자원"))</f>
        <v/>
      </c>
      <c r="D1762" s="7"/>
      <c r="E1762" s="12" t="str">
        <f aca="false">IF($D1762="","",IFERROR(INDEX(고객목록!$B$3:$B$502,MATCH($D1762,고객목록!$A$3:$A$502,0)),""))</f>
        <v/>
      </c>
      <c r="F1762" s="13"/>
      <c r="G1762" s="13"/>
      <c r="H1762" s="14" t="str">
        <f aca="false">IF(OR($L1762="",$M1762=""),"",ROUND(($M1762-$L1762)/60,2))</f>
        <v/>
      </c>
      <c r="I1762" s="9"/>
      <c r="J1762" s="7"/>
      <c r="K1762" s="7"/>
      <c r="L1762" s="15" t="str">
        <f aca="false">IF($F1762="","",IF($F1762&lt;1,ROUND($F1762*1440,0),INT($F1762/100)*60+MOD($F1762,100)))</f>
        <v/>
      </c>
      <c r="M1762" s="15" t="str">
        <f aca="false">IF($G1762="","",IF($G1762&lt;1,ROUND($G1762*1440,0),INT($G1762/100)*60+MOD($G1762,100)))</f>
        <v/>
      </c>
      <c r="N1762" s="15" t="str">
        <f aca="false">IF(OR($A1762="",$B1762="",$L1762="",$M1762="",$J1762="취소"),"",IF(SUMPRODUCT(($A$3:$A$2002=$A1762)*($B$3:$B$2002=$B1762)*($J$3:$J$2002&lt;&gt;"취소")*($L$3:$L$2002&lt;&gt;"")*($M$3:$M$2002&lt;&gt;"")*($L$3:$L$2002&lt;$M1762)*($M$3:$M$2002&gt;$L1762))&gt;1,"중복","-"))</f>
        <v/>
      </c>
    </row>
    <row r="1763" customFormat="false" ht="15" hidden="false" customHeight="true" outlineLevel="0" collapsed="false">
      <c r="A1763" s="11"/>
      <c r="B1763" s="7"/>
      <c r="C1763" s="12" t="str">
        <f aca="false">IF($B1763="","",IFERROR(INDEX(자원목록!$B$3:$B$102,MATCH($B1763,자원목록!$A$3:$A$102,0)),"미등록자원"))</f>
        <v/>
      </c>
      <c r="D1763" s="7"/>
      <c r="E1763" s="12" t="str">
        <f aca="false">IF($D1763="","",IFERROR(INDEX(고객목록!$B$3:$B$502,MATCH($D1763,고객목록!$A$3:$A$502,0)),""))</f>
        <v/>
      </c>
      <c r="F1763" s="13"/>
      <c r="G1763" s="13"/>
      <c r="H1763" s="14" t="str">
        <f aca="false">IF(OR($L1763="",$M1763=""),"",ROUND(($M1763-$L1763)/60,2))</f>
        <v/>
      </c>
      <c r="I1763" s="9"/>
      <c r="J1763" s="7"/>
      <c r="K1763" s="7"/>
      <c r="L1763" s="15" t="str">
        <f aca="false">IF($F1763="","",IF($F1763&lt;1,ROUND($F1763*1440,0),INT($F1763/100)*60+MOD($F1763,100)))</f>
        <v/>
      </c>
      <c r="M1763" s="15" t="str">
        <f aca="false">IF($G1763="","",IF($G1763&lt;1,ROUND($G1763*1440,0),INT($G1763/100)*60+MOD($G1763,100)))</f>
        <v/>
      </c>
      <c r="N1763" s="15" t="str">
        <f aca="false">IF(OR($A1763="",$B1763="",$L1763="",$M1763="",$J1763="취소"),"",IF(SUMPRODUCT(($A$3:$A$2002=$A1763)*($B$3:$B$2002=$B1763)*($J$3:$J$2002&lt;&gt;"취소")*($L$3:$L$2002&lt;&gt;"")*($M$3:$M$2002&lt;&gt;"")*($L$3:$L$2002&lt;$M1763)*($M$3:$M$2002&gt;$L1763))&gt;1,"중복","-"))</f>
        <v/>
      </c>
    </row>
    <row r="1764" customFormat="false" ht="15" hidden="false" customHeight="true" outlineLevel="0" collapsed="false">
      <c r="A1764" s="11"/>
      <c r="B1764" s="7"/>
      <c r="C1764" s="12" t="str">
        <f aca="false">IF($B1764="","",IFERROR(INDEX(자원목록!$B$3:$B$102,MATCH($B1764,자원목록!$A$3:$A$102,0)),"미등록자원"))</f>
        <v/>
      </c>
      <c r="D1764" s="7"/>
      <c r="E1764" s="12" t="str">
        <f aca="false">IF($D1764="","",IFERROR(INDEX(고객목록!$B$3:$B$502,MATCH($D1764,고객목록!$A$3:$A$502,0)),""))</f>
        <v/>
      </c>
      <c r="F1764" s="13"/>
      <c r="G1764" s="13"/>
      <c r="H1764" s="14" t="str">
        <f aca="false">IF(OR($L1764="",$M1764=""),"",ROUND(($M1764-$L1764)/60,2))</f>
        <v/>
      </c>
      <c r="I1764" s="9"/>
      <c r="J1764" s="7"/>
      <c r="K1764" s="7"/>
      <c r="L1764" s="15" t="str">
        <f aca="false">IF($F1764="","",IF($F1764&lt;1,ROUND($F1764*1440,0),INT($F1764/100)*60+MOD($F1764,100)))</f>
        <v/>
      </c>
      <c r="M1764" s="15" t="str">
        <f aca="false">IF($G1764="","",IF($G1764&lt;1,ROUND($G1764*1440,0),INT($G1764/100)*60+MOD($G1764,100)))</f>
        <v/>
      </c>
      <c r="N1764" s="15" t="str">
        <f aca="false">IF(OR($A1764="",$B1764="",$L1764="",$M1764="",$J1764="취소"),"",IF(SUMPRODUCT(($A$3:$A$2002=$A1764)*($B$3:$B$2002=$B1764)*($J$3:$J$2002&lt;&gt;"취소")*($L$3:$L$2002&lt;&gt;"")*($M$3:$M$2002&lt;&gt;"")*($L$3:$L$2002&lt;$M1764)*($M$3:$M$2002&gt;$L1764))&gt;1,"중복","-"))</f>
        <v/>
      </c>
    </row>
    <row r="1765" customFormat="false" ht="15" hidden="false" customHeight="true" outlineLevel="0" collapsed="false">
      <c r="A1765" s="11"/>
      <c r="B1765" s="7"/>
      <c r="C1765" s="12" t="str">
        <f aca="false">IF($B1765="","",IFERROR(INDEX(자원목록!$B$3:$B$102,MATCH($B1765,자원목록!$A$3:$A$102,0)),"미등록자원"))</f>
        <v/>
      </c>
      <c r="D1765" s="7"/>
      <c r="E1765" s="12" t="str">
        <f aca="false">IF($D1765="","",IFERROR(INDEX(고객목록!$B$3:$B$502,MATCH($D1765,고객목록!$A$3:$A$502,0)),""))</f>
        <v/>
      </c>
      <c r="F1765" s="13"/>
      <c r="G1765" s="13"/>
      <c r="H1765" s="14" t="str">
        <f aca="false">IF(OR($L1765="",$M1765=""),"",ROUND(($M1765-$L1765)/60,2))</f>
        <v/>
      </c>
      <c r="I1765" s="9"/>
      <c r="J1765" s="7"/>
      <c r="K1765" s="7"/>
      <c r="L1765" s="15" t="str">
        <f aca="false">IF($F1765="","",IF($F1765&lt;1,ROUND($F1765*1440,0),INT($F1765/100)*60+MOD($F1765,100)))</f>
        <v/>
      </c>
      <c r="M1765" s="15" t="str">
        <f aca="false">IF($G1765="","",IF($G1765&lt;1,ROUND($G1765*1440,0),INT($G1765/100)*60+MOD($G1765,100)))</f>
        <v/>
      </c>
      <c r="N1765" s="15" t="str">
        <f aca="false">IF(OR($A1765="",$B1765="",$L1765="",$M1765="",$J1765="취소"),"",IF(SUMPRODUCT(($A$3:$A$2002=$A1765)*($B$3:$B$2002=$B1765)*($J$3:$J$2002&lt;&gt;"취소")*($L$3:$L$2002&lt;&gt;"")*($M$3:$M$2002&lt;&gt;"")*($L$3:$L$2002&lt;$M1765)*($M$3:$M$2002&gt;$L1765))&gt;1,"중복","-"))</f>
        <v/>
      </c>
    </row>
    <row r="1766" customFormat="false" ht="15" hidden="false" customHeight="true" outlineLevel="0" collapsed="false">
      <c r="A1766" s="11"/>
      <c r="B1766" s="7"/>
      <c r="C1766" s="12" t="str">
        <f aca="false">IF($B1766="","",IFERROR(INDEX(자원목록!$B$3:$B$102,MATCH($B1766,자원목록!$A$3:$A$102,0)),"미등록자원"))</f>
        <v/>
      </c>
      <c r="D1766" s="7"/>
      <c r="E1766" s="12" t="str">
        <f aca="false">IF($D1766="","",IFERROR(INDEX(고객목록!$B$3:$B$502,MATCH($D1766,고객목록!$A$3:$A$502,0)),""))</f>
        <v/>
      </c>
      <c r="F1766" s="13"/>
      <c r="G1766" s="13"/>
      <c r="H1766" s="14" t="str">
        <f aca="false">IF(OR($L1766="",$M1766=""),"",ROUND(($M1766-$L1766)/60,2))</f>
        <v/>
      </c>
      <c r="I1766" s="9"/>
      <c r="J1766" s="7"/>
      <c r="K1766" s="7"/>
      <c r="L1766" s="15" t="str">
        <f aca="false">IF($F1766="","",IF($F1766&lt;1,ROUND($F1766*1440,0),INT($F1766/100)*60+MOD($F1766,100)))</f>
        <v/>
      </c>
      <c r="M1766" s="15" t="str">
        <f aca="false">IF($G1766="","",IF($G1766&lt;1,ROUND($G1766*1440,0),INT($G1766/100)*60+MOD($G1766,100)))</f>
        <v/>
      </c>
      <c r="N1766" s="15" t="str">
        <f aca="false">IF(OR($A1766="",$B1766="",$L1766="",$M1766="",$J1766="취소"),"",IF(SUMPRODUCT(($A$3:$A$2002=$A1766)*($B$3:$B$2002=$B1766)*($J$3:$J$2002&lt;&gt;"취소")*($L$3:$L$2002&lt;&gt;"")*($M$3:$M$2002&lt;&gt;"")*($L$3:$L$2002&lt;$M1766)*($M$3:$M$2002&gt;$L1766))&gt;1,"중복","-"))</f>
        <v/>
      </c>
    </row>
    <row r="1767" customFormat="false" ht="15" hidden="false" customHeight="true" outlineLevel="0" collapsed="false">
      <c r="A1767" s="11"/>
      <c r="B1767" s="7"/>
      <c r="C1767" s="12" t="str">
        <f aca="false">IF($B1767="","",IFERROR(INDEX(자원목록!$B$3:$B$102,MATCH($B1767,자원목록!$A$3:$A$102,0)),"미등록자원"))</f>
        <v/>
      </c>
      <c r="D1767" s="7"/>
      <c r="E1767" s="12" t="str">
        <f aca="false">IF($D1767="","",IFERROR(INDEX(고객목록!$B$3:$B$502,MATCH($D1767,고객목록!$A$3:$A$502,0)),""))</f>
        <v/>
      </c>
      <c r="F1767" s="13"/>
      <c r="G1767" s="13"/>
      <c r="H1767" s="14" t="str">
        <f aca="false">IF(OR($L1767="",$M1767=""),"",ROUND(($M1767-$L1767)/60,2))</f>
        <v/>
      </c>
      <c r="I1767" s="9"/>
      <c r="J1767" s="7"/>
      <c r="K1767" s="7"/>
      <c r="L1767" s="15" t="str">
        <f aca="false">IF($F1767="","",IF($F1767&lt;1,ROUND($F1767*1440,0),INT($F1767/100)*60+MOD($F1767,100)))</f>
        <v/>
      </c>
      <c r="M1767" s="15" t="str">
        <f aca="false">IF($G1767="","",IF($G1767&lt;1,ROUND($G1767*1440,0),INT($G1767/100)*60+MOD($G1767,100)))</f>
        <v/>
      </c>
      <c r="N1767" s="15" t="str">
        <f aca="false">IF(OR($A1767="",$B1767="",$L1767="",$M1767="",$J1767="취소"),"",IF(SUMPRODUCT(($A$3:$A$2002=$A1767)*($B$3:$B$2002=$B1767)*($J$3:$J$2002&lt;&gt;"취소")*($L$3:$L$2002&lt;&gt;"")*($M$3:$M$2002&lt;&gt;"")*($L$3:$L$2002&lt;$M1767)*($M$3:$M$2002&gt;$L1767))&gt;1,"중복","-"))</f>
        <v/>
      </c>
    </row>
    <row r="1768" customFormat="false" ht="15" hidden="false" customHeight="true" outlineLevel="0" collapsed="false">
      <c r="A1768" s="11"/>
      <c r="B1768" s="7"/>
      <c r="C1768" s="12" t="str">
        <f aca="false">IF($B1768="","",IFERROR(INDEX(자원목록!$B$3:$B$102,MATCH($B1768,자원목록!$A$3:$A$102,0)),"미등록자원"))</f>
        <v/>
      </c>
      <c r="D1768" s="7"/>
      <c r="E1768" s="12" t="str">
        <f aca="false">IF($D1768="","",IFERROR(INDEX(고객목록!$B$3:$B$502,MATCH($D1768,고객목록!$A$3:$A$502,0)),""))</f>
        <v/>
      </c>
      <c r="F1768" s="13"/>
      <c r="G1768" s="13"/>
      <c r="H1768" s="14" t="str">
        <f aca="false">IF(OR($L1768="",$M1768=""),"",ROUND(($M1768-$L1768)/60,2))</f>
        <v/>
      </c>
      <c r="I1768" s="9"/>
      <c r="J1768" s="7"/>
      <c r="K1768" s="7"/>
      <c r="L1768" s="15" t="str">
        <f aca="false">IF($F1768="","",IF($F1768&lt;1,ROUND($F1768*1440,0),INT($F1768/100)*60+MOD($F1768,100)))</f>
        <v/>
      </c>
      <c r="M1768" s="15" t="str">
        <f aca="false">IF($G1768="","",IF($G1768&lt;1,ROUND($G1768*1440,0),INT($G1768/100)*60+MOD($G1768,100)))</f>
        <v/>
      </c>
      <c r="N1768" s="15" t="str">
        <f aca="false">IF(OR($A1768="",$B1768="",$L1768="",$M1768="",$J1768="취소"),"",IF(SUMPRODUCT(($A$3:$A$2002=$A1768)*($B$3:$B$2002=$B1768)*($J$3:$J$2002&lt;&gt;"취소")*($L$3:$L$2002&lt;&gt;"")*($M$3:$M$2002&lt;&gt;"")*($L$3:$L$2002&lt;$M1768)*($M$3:$M$2002&gt;$L1768))&gt;1,"중복","-"))</f>
        <v/>
      </c>
    </row>
    <row r="1769" customFormat="false" ht="15" hidden="false" customHeight="true" outlineLevel="0" collapsed="false">
      <c r="A1769" s="11"/>
      <c r="B1769" s="7"/>
      <c r="C1769" s="12" t="str">
        <f aca="false">IF($B1769="","",IFERROR(INDEX(자원목록!$B$3:$B$102,MATCH($B1769,자원목록!$A$3:$A$102,0)),"미등록자원"))</f>
        <v/>
      </c>
      <c r="D1769" s="7"/>
      <c r="E1769" s="12" t="str">
        <f aca="false">IF($D1769="","",IFERROR(INDEX(고객목록!$B$3:$B$502,MATCH($D1769,고객목록!$A$3:$A$502,0)),""))</f>
        <v/>
      </c>
      <c r="F1769" s="13"/>
      <c r="G1769" s="13"/>
      <c r="H1769" s="14" t="str">
        <f aca="false">IF(OR($L1769="",$M1769=""),"",ROUND(($M1769-$L1769)/60,2))</f>
        <v/>
      </c>
      <c r="I1769" s="9"/>
      <c r="J1769" s="7"/>
      <c r="K1769" s="7"/>
      <c r="L1769" s="15" t="str">
        <f aca="false">IF($F1769="","",IF($F1769&lt;1,ROUND($F1769*1440,0),INT($F1769/100)*60+MOD($F1769,100)))</f>
        <v/>
      </c>
      <c r="M1769" s="15" t="str">
        <f aca="false">IF($G1769="","",IF($G1769&lt;1,ROUND($G1769*1440,0),INT($G1769/100)*60+MOD($G1769,100)))</f>
        <v/>
      </c>
      <c r="N1769" s="15" t="str">
        <f aca="false">IF(OR($A1769="",$B1769="",$L1769="",$M1769="",$J1769="취소"),"",IF(SUMPRODUCT(($A$3:$A$2002=$A1769)*($B$3:$B$2002=$B1769)*($J$3:$J$2002&lt;&gt;"취소")*($L$3:$L$2002&lt;&gt;"")*($M$3:$M$2002&lt;&gt;"")*($L$3:$L$2002&lt;$M1769)*($M$3:$M$2002&gt;$L1769))&gt;1,"중복","-"))</f>
        <v/>
      </c>
    </row>
    <row r="1770" customFormat="false" ht="15" hidden="false" customHeight="true" outlineLevel="0" collapsed="false">
      <c r="A1770" s="11"/>
      <c r="B1770" s="7"/>
      <c r="C1770" s="12" t="str">
        <f aca="false">IF($B1770="","",IFERROR(INDEX(자원목록!$B$3:$B$102,MATCH($B1770,자원목록!$A$3:$A$102,0)),"미등록자원"))</f>
        <v/>
      </c>
      <c r="D1770" s="7"/>
      <c r="E1770" s="12" t="str">
        <f aca="false">IF($D1770="","",IFERROR(INDEX(고객목록!$B$3:$B$502,MATCH($D1770,고객목록!$A$3:$A$502,0)),""))</f>
        <v/>
      </c>
      <c r="F1770" s="13"/>
      <c r="G1770" s="13"/>
      <c r="H1770" s="14" t="str">
        <f aca="false">IF(OR($L1770="",$M1770=""),"",ROUND(($M1770-$L1770)/60,2))</f>
        <v/>
      </c>
      <c r="I1770" s="9"/>
      <c r="J1770" s="7"/>
      <c r="K1770" s="7"/>
      <c r="L1770" s="15" t="str">
        <f aca="false">IF($F1770="","",IF($F1770&lt;1,ROUND($F1770*1440,0),INT($F1770/100)*60+MOD($F1770,100)))</f>
        <v/>
      </c>
      <c r="M1770" s="15" t="str">
        <f aca="false">IF($G1770="","",IF($G1770&lt;1,ROUND($G1770*1440,0),INT($G1770/100)*60+MOD($G1770,100)))</f>
        <v/>
      </c>
      <c r="N1770" s="15" t="str">
        <f aca="false">IF(OR($A1770="",$B1770="",$L1770="",$M1770="",$J1770="취소"),"",IF(SUMPRODUCT(($A$3:$A$2002=$A1770)*($B$3:$B$2002=$B1770)*($J$3:$J$2002&lt;&gt;"취소")*($L$3:$L$2002&lt;&gt;"")*($M$3:$M$2002&lt;&gt;"")*($L$3:$L$2002&lt;$M1770)*($M$3:$M$2002&gt;$L1770))&gt;1,"중복","-"))</f>
        <v/>
      </c>
    </row>
    <row r="1771" customFormat="false" ht="15" hidden="false" customHeight="true" outlineLevel="0" collapsed="false">
      <c r="A1771" s="11"/>
      <c r="B1771" s="7"/>
      <c r="C1771" s="12" t="str">
        <f aca="false">IF($B1771="","",IFERROR(INDEX(자원목록!$B$3:$B$102,MATCH($B1771,자원목록!$A$3:$A$102,0)),"미등록자원"))</f>
        <v/>
      </c>
      <c r="D1771" s="7"/>
      <c r="E1771" s="12" t="str">
        <f aca="false">IF($D1771="","",IFERROR(INDEX(고객목록!$B$3:$B$502,MATCH($D1771,고객목록!$A$3:$A$502,0)),""))</f>
        <v/>
      </c>
      <c r="F1771" s="13"/>
      <c r="G1771" s="13"/>
      <c r="H1771" s="14" t="str">
        <f aca="false">IF(OR($L1771="",$M1771=""),"",ROUND(($M1771-$L1771)/60,2))</f>
        <v/>
      </c>
      <c r="I1771" s="9"/>
      <c r="J1771" s="7"/>
      <c r="K1771" s="7"/>
      <c r="L1771" s="15" t="str">
        <f aca="false">IF($F1771="","",IF($F1771&lt;1,ROUND($F1771*1440,0),INT($F1771/100)*60+MOD($F1771,100)))</f>
        <v/>
      </c>
      <c r="M1771" s="15" t="str">
        <f aca="false">IF($G1771="","",IF($G1771&lt;1,ROUND($G1771*1440,0),INT($G1771/100)*60+MOD($G1771,100)))</f>
        <v/>
      </c>
      <c r="N1771" s="15" t="str">
        <f aca="false">IF(OR($A1771="",$B1771="",$L1771="",$M1771="",$J1771="취소"),"",IF(SUMPRODUCT(($A$3:$A$2002=$A1771)*($B$3:$B$2002=$B1771)*($J$3:$J$2002&lt;&gt;"취소")*($L$3:$L$2002&lt;&gt;"")*($M$3:$M$2002&lt;&gt;"")*($L$3:$L$2002&lt;$M1771)*($M$3:$M$2002&gt;$L1771))&gt;1,"중복","-"))</f>
        <v/>
      </c>
    </row>
    <row r="1772" customFormat="false" ht="15" hidden="false" customHeight="true" outlineLevel="0" collapsed="false">
      <c r="A1772" s="11"/>
      <c r="B1772" s="7"/>
      <c r="C1772" s="12" t="str">
        <f aca="false">IF($B1772="","",IFERROR(INDEX(자원목록!$B$3:$B$102,MATCH($B1772,자원목록!$A$3:$A$102,0)),"미등록자원"))</f>
        <v/>
      </c>
      <c r="D1772" s="7"/>
      <c r="E1772" s="12" t="str">
        <f aca="false">IF($D1772="","",IFERROR(INDEX(고객목록!$B$3:$B$502,MATCH($D1772,고객목록!$A$3:$A$502,0)),""))</f>
        <v/>
      </c>
      <c r="F1772" s="13"/>
      <c r="G1772" s="13"/>
      <c r="H1772" s="14" t="str">
        <f aca="false">IF(OR($L1772="",$M1772=""),"",ROUND(($M1772-$L1772)/60,2))</f>
        <v/>
      </c>
      <c r="I1772" s="9"/>
      <c r="J1772" s="7"/>
      <c r="K1772" s="7"/>
      <c r="L1772" s="15" t="str">
        <f aca="false">IF($F1772="","",IF($F1772&lt;1,ROUND($F1772*1440,0),INT($F1772/100)*60+MOD($F1772,100)))</f>
        <v/>
      </c>
      <c r="M1772" s="15" t="str">
        <f aca="false">IF($G1772="","",IF($G1772&lt;1,ROUND($G1772*1440,0),INT($G1772/100)*60+MOD($G1772,100)))</f>
        <v/>
      </c>
      <c r="N1772" s="15" t="str">
        <f aca="false">IF(OR($A1772="",$B1772="",$L1772="",$M1772="",$J1772="취소"),"",IF(SUMPRODUCT(($A$3:$A$2002=$A1772)*($B$3:$B$2002=$B1772)*($J$3:$J$2002&lt;&gt;"취소")*($L$3:$L$2002&lt;&gt;"")*($M$3:$M$2002&lt;&gt;"")*($L$3:$L$2002&lt;$M1772)*($M$3:$M$2002&gt;$L1772))&gt;1,"중복","-"))</f>
        <v/>
      </c>
    </row>
    <row r="1773" customFormat="false" ht="15" hidden="false" customHeight="true" outlineLevel="0" collapsed="false">
      <c r="A1773" s="11"/>
      <c r="B1773" s="7"/>
      <c r="C1773" s="12" t="str">
        <f aca="false">IF($B1773="","",IFERROR(INDEX(자원목록!$B$3:$B$102,MATCH($B1773,자원목록!$A$3:$A$102,0)),"미등록자원"))</f>
        <v/>
      </c>
      <c r="D1773" s="7"/>
      <c r="E1773" s="12" t="str">
        <f aca="false">IF($D1773="","",IFERROR(INDEX(고객목록!$B$3:$B$502,MATCH($D1773,고객목록!$A$3:$A$502,0)),""))</f>
        <v/>
      </c>
      <c r="F1773" s="13"/>
      <c r="G1773" s="13"/>
      <c r="H1773" s="14" t="str">
        <f aca="false">IF(OR($L1773="",$M1773=""),"",ROUND(($M1773-$L1773)/60,2))</f>
        <v/>
      </c>
      <c r="I1773" s="9"/>
      <c r="J1773" s="7"/>
      <c r="K1773" s="7"/>
      <c r="L1773" s="15" t="str">
        <f aca="false">IF($F1773="","",IF($F1773&lt;1,ROUND($F1773*1440,0),INT($F1773/100)*60+MOD($F1773,100)))</f>
        <v/>
      </c>
      <c r="M1773" s="15" t="str">
        <f aca="false">IF($G1773="","",IF($G1773&lt;1,ROUND($G1773*1440,0),INT($G1773/100)*60+MOD($G1773,100)))</f>
        <v/>
      </c>
      <c r="N1773" s="15" t="str">
        <f aca="false">IF(OR($A1773="",$B1773="",$L1773="",$M1773="",$J1773="취소"),"",IF(SUMPRODUCT(($A$3:$A$2002=$A1773)*($B$3:$B$2002=$B1773)*($J$3:$J$2002&lt;&gt;"취소")*($L$3:$L$2002&lt;&gt;"")*($M$3:$M$2002&lt;&gt;"")*($L$3:$L$2002&lt;$M1773)*($M$3:$M$2002&gt;$L1773))&gt;1,"중복","-"))</f>
        <v/>
      </c>
    </row>
    <row r="1774" customFormat="false" ht="15" hidden="false" customHeight="true" outlineLevel="0" collapsed="false">
      <c r="A1774" s="11"/>
      <c r="B1774" s="7"/>
      <c r="C1774" s="12" t="str">
        <f aca="false">IF($B1774="","",IFERROR(INDEX(자원목록!$B$3:$B$102,MATCH($B1774,자원목록!$A$3:$A$102,0)),"미등록자원"))</f>
        <v/>
      </c>
      <c r="D1774" s="7"/>
      <c r="E1774" s="12" t="str">
        <f aca="false">IF($D1774="","",IFERROR(INDEX(고객목록!$B$3:$B$502,MATCH($D1774,고객목록!$A$3:$A$502,0)),""))</f>
        <v/>
      </c>
      <c r="F1774" s="13"/>
      <c r="G1774" s="13"/>
      <c r="H1774" s="14" t="str">
        <f aca="false">IF(OR($L1774="",$M1774=""),"",ROUND(($M1774-$L1774)/60,2))</f>
        <v/>
      </c>
      <c r="I1774" s="9"/>
      <c r="J1774" s="7"/>
      <c r="K1774" s="7"/>
      <c r="L1774" s="15" t="str">
        <f aca="false">IF($F1774="","",IF($F1774&lt;1,ROUND($F1774*1440,0),INT($F1774/100)*60+MOD($F1774,100)))</f>
        <v/>
      </c>
      <c r="M1774" s="15" t="str">
        <f aca="false">IF($G1774="","",IF($G1774&lt;1,ROUND($G1774*1440,0),INT($G1774/100)*60+MOD($G1774,100)))</f>
        <v/>
      </c>
      <c r="N1774" s="15" t="str">
        <f aca="false">IF(OR($A1774="",$B1774="",$L1774="",$M1774="",$J1774="취소"),"",IF(SUMPRODUCT(($A$3:$A$2002=$A1774)*($B$3:$B$2002=$B1774)*($J$3:$J$2002&lt;&gt;"취소")*($L$3:$L$2002&lt;&gt;"")*($M$3:$M$2002&lt;&gt;"")*($L$3:$L$2002&lt;$M1774)*($M$3:$M$2002&gt;$L1774))&gt;1,"중복","-"))</f>
        <v/>
      </c>
    </row>
    <row r="1775" customFormat="false" ht="15" hidden="false" customHeight="true" outlineLevel="0" collapsed="false">
      <c r="A1775" s="11"/>
      <c r="B1775" s="7"/>
      <c r="C1775" s="12" t="str">
        <f aca="false">IF($B1775="","",IFERROR(INDEX(자원목록!$B$3:$B$102,MATCH($B1775,자원목록!$A$3:$A$102,0)),"미등록자원"))</f>
        <v/>
      </c>
      <c r="D1775" s="7"/>
      <c r="E1775" s="12" t="str">
        <f aca="false">IF($D1775="","",IFERROR(INDEX(고객목록!$B$3:$B$502,MATCH($D1775,고객목록!$A$3:$A$502,0)),""))</f>
        <v/>
      </c>
      <c r="F1775" s="13"/>
      <c r="G1775" s="13"/>
      <c r="H1775" s="14" t="str">
        <f aca="false">IF(OR($L1775="",$M1775=""),"",ROUND(($M1775-$L1775)/60,2))</f>
        <v/>
      </c>
      <c r="I1775" s="9"/>
      <c r="J1775" s="7"/>
      <c r="K1775" s="7"/>
      <c r="L1775" s="15" t="str">
        <f aca="false">IF($F1775="","",IF($F1775&lt;1,ROUND($F1775*1440,0),INT($F1775/100)*60+MOD($F1775,100)))</f>
        <v/>
      </c>
      <c r="M1775" s="15" t="str">
        <f aca="false">IF($G1775="","",IF($G1775&lt;1,ROUND($G1775*1440,0),INT($G1775/100)*60+MOD($G1775,100)))</f>
        <v/>
      </c>
      <c r="N1775" s="15" t="str">
        <f aca="false">IF(OR($A1775="",$B1775="",$L1775="",$M1775="",$J1775="취소"),"",IF(SUMPRODUCT(($A$3:$A$2002=$A1775)*($B$3:$B$2002=$B1775)*($J$3:$J$2002&lt;&gt;"취소")*($L$3:$L$2002&lt;&gt;"")*($M$3:$M$2002&lt;&gt;"")*($L$3:$L$2002&lt;$M1775)*($M$3:$M$2002&gt;$L1775))&gt;1,"중복","-"))</f>
        <v/>
      </c>
    </row>
    <row r="1776" customFormat="false" ht="15" hidden="false" customHeight="true" outlineLevel="0" collapsed="false">
      <c r="A1776" s="11"/>
      <c r="B1776" s="7"/>
      <c r="C1776" s="12" t="str">
        <f aca="false">IF($B1776="","",IFERROR(INDEX(자원목록!$B$3:$B$102,MATCH($B1776,자원목록!$A$3:$A$102,0)),"미등록자원"))</f>
        <v/>
      </c>
      <c r="D1776" s="7"/>
      <c r="E1776" s="12" t="str">
        <f aca="false">IF($D1776="","",IFERROR(INDEX(고객목록!$B$3:$B$502,MATCH($D1776,고객목록!$A$3:$A$502,0)),""))</f>
        <v/>
      </c>
      <c r="F1776" s="13"/>
      <c r="G1776" s="13"/>
      <c r="H1776" s="14" t="str">
        <f aca="false">IF(OR($L1776="",$M1776=""),"",ROUND(($M1776-$L1776)/60,2))</f>
        <v/>
      </c>
      <c r="I1776" s="9"/>
      <c r="J1776" s="7"/>
      <c r="K1776" s="7"/>
      <c r="L1776" s="15" t="str">
        <f aca="false">IF($F1776="","",IF($F1776&lt;1,ROUND($F1776*1440,0),INT($F1776/100)*60+MOD($F1776,100)))</f>
        <v/>
      </c>
      <c r="M1776" s="15" t="str">
        <f aca="false">IF($G1776="","",IF($G1776&lt;1,ROUND($G1776*1440,0),INT($G1776/100)*60+MOD($G1776,100)))</f>
        <v/>
      </c>
      <c r="N1776" s="15" t="str">
        <f aca="false">IF(OR($A1776="",$B1776="",$L1776="",$M1776="",$J1776="취소"),"",IF(SUMPRODUCT(($A$3:$A$2002=$A1776)*($B$3:$B$2002=$B1776)*($J$3:$J$2002&lt;&gt;"취소")*($L$3:$L$2002&lt;&gt;"")*($M$3:$M$2002&lt;&gt;"")*($L$3:$L$2002&lt;$M1776)*($M$3:$M$2002&gt;$L1776))&gt;1,"중복","-"))</f>
        <v/>
      </c>
    </row>
    <row r="1777" customFormat="false" ht="15" hidden="false" customHeight="true" outlineLevel="0" collapsed="false">
      <c r="A1777" s="11"/>
      <c r="B1777" s="7"/>
      <c r="C1777" s="12" t="str">
        <f aca="false">IF($B1777="","",IFERROR(INDEX(자원목록!$B$3:$B$102,MATCH($B1777,자원목록!$A$3:$A$102,0)),"미등록자원"))</f>
        <v/>
      </c>
      <c r="D1777" s="7"/>
      <c r="E1777" s="12" t="str">
        <f aca="false">IF($D1777="","",IFERROR(INDEX(고객목록!$B$3:$B$502,MATCH($D1777,고객목록!$A$3:$A$502,0)),""))</f>
        <v/>
      </c>
      <c r="F1777" s="13"/>
      <c r="G1777" s="13"/>
      <c r="H1777" s="14" t="str">
        <f aca="false">IF(OR($L1777="",$M1777=""),"",ROUND(($M1777-$L1777)/60,2))</f>
        <v/>
      </c>
      <c r="I1777" s="9"/>
      <c r="J1777" s="7"/>
      <c r="K1777" s="7"/>
      <c r="L1777" s="15" t="str">
        <f aca="false">IF($F1777="","",IF($F1777&lt;1,ROUND($F1777*1440,0),INT($F1777/100)*60+MOD($F1777,100)))</f>
        <v/>
      </c>
      <c r="M1777" s="15" t="str">
        <f aca="false">IF($G1777="","",IF($G1777&lt;1,ROUND($G1777*1440,0),INT($G1777/100)*60+MOD($G1777,100)))</f>
        <v/>
      </c>
      <c r="N1777" s="15" t="str">
        <f aca="false">IF(OR($A1777="",$B1777="",$L1777="",$M1777="",$J1777="취소"),"",IF(SUMPRODUCT(($A$3:$A$2002=$A1777)*($B$3:$B$2002=$B1777)*($J$3:$J$2002&lt;&gt;"취소")*($L$3:$L$2002&lt;&gt;"")*($M$3:$M$2002&lt;&gt;"")*($L$3:$L$2002&lt;$M1777)*($M$3:$M$2002&gt;$L1777))&gt;1,"중복","-"))</f>
        <v/>
      </c>
    </row>
    <row r="1778" customFormat="false" ht="15" hidden="false" customHeight="true" outlineLevel="0" collapsed="false">
      <c r="A1778" s="11"/>
      <c r="B1778" s="7"/>
      <c r="C1778" s="12" t="str">
        <f aca="false">IF($B1778="","",IFERROR(INDEX(자원목록!$B$3:$B$102,MATCH($B1778,자원목록!$A$3:$A$102,0)),"미등록자원"))</f>
        <v/>
      </c>
      <c r="D1778" s="7"/>
      <c r="E1778" s="12" t="str">
        <f aca="false">IF($D1778="","",IFERROR(INDEX(고객목록!$B$3:$B$502,MATCH($D1778,고객목록!$A$3:$A$502,0)),""))</f>
        <v/>
      </c>
      <c r="F1778" s="13"/>
      <c r="G1778" s="13"/>
      <c r="H1778" s="14" t="str">
        <f aca="false">IF(OR($L1778="",$M1778=""),"",ROUND(($M1778-$L1778)/60,2))</f>
        <v/>
      </c>
      <c r="I1778" s="9"/>
      <c r="J1778" s="7"/>
      <c r="K1778" s="7"/>
      <c r="L1778" s="15" t="str">
        <f aca="false">IF($F1778="","",IF($F1778&lt;1,ROUND($F1778*1440,0),INT($F1778/100)*60+MOD($F1778,100)))</f>
        <v/>
      </c>
      <c r="M1778" s="15" t="str">
        <f aca="false">IF($G1778="","",IF($G1778&lt;1,ROUND($G1778*1440,0),INT($G1778/100)*60+MOD($G1778,100)))</f>
        <v/>
      </c>
      <c r="N1778" s="15" t="str">
        <f aca="false">IF(OR($A1778="",$B1778="",$L1778="",$M1778="",$J1778="취소"),"",IF(SUMPRODUCT(($A$3:$A$2002=$A1778)*($B$3:$B$2002=$B1778)*($J$3:$J$2002&lt;&gt;"취소")*($L$3:$L$2002&lt;&gt;"")*($M$3:$M$2002&lt;&gt;"")*($L$3:$L$2002&lt;$M1778)*($M$3:$M$2002&gt;$L1778))&gt;1,"중복","-"))</f>
        <v/>
      </c>
    </row>
    <row r="1779" customFormat="false" ht="15" hidden="false" customHeight="true" outlineLevel="0" collapsed="false">
      <c r="A1779" s="11"/>
      <c r="B1779" s="7"/>
      <c r="C1779" s="12" t="str">
        <f aca="false">IF($B1779="","",IFERROR(INDEX(자원목록!$B$3:$B$102,MATCH($B1779,자원목록!$A$3:$A$102,0)),"미등록자원"))</f>
        <v/>
      </c>
      <c r="D1779" s="7"/>
      <c r="E1779" s="12" t="str">
        <f aca="false">IF($D1779="","",IFERROR(INDEX(고객목록!$B$3:$B$502,MATCH($D1779,고객목록!$A$3:$A$502,0)),""))</f>
        <v/>
      </c>
      <c r="F1779" s="13"/>
      <c r="G1779" s="13"/>
      <c r="H1779" s="14" t="str">
        <f aca="false">IF(OR($L1779="",$M1779=""),"",ROUND(($M1779-$L1779)/60,2))</f>
        <v/>
      </c>
      <c r="I1779" s="9"/>
      <c r="J1779" s="7"/>
      <c r="K1779" s="7"/>
      <c r="L1779" s="15" t="str">
        <f aca="false">IF($F1779="","",IF($F1779&lt;1,ROUND($F1779*1440,0),INT($F1779/100)*60+MOD($F1779,100)))</f>
        <v/>
      </c>
      <c r="M1779" s="15" t="str">
        <f aca="false">IF($G1779="","",IF($G1779&lt;1,ROUND($G1779*1440,0),INT($G1779/100)*60+MOD($G1779,100)))</f>
        <v/>
      </c>
      <c r="N1779" s="15" t="str">
        <f aca="false">IF(OR($A1779="",$B1779="",$L1779="",$M1779="",$J1779="취소"),"",IF(SUMPRODUCT(($A$3:$A$2002=$A1779)*($B$3:$B$2002=$B1779)*($J$3:$J$2002&lt;&gt;"취소")*($L$3:$L$2002&lt;&gt;"")*($M$3:$M$2002&lt;&gt;"")*($L$3:$L$2002&lt;$M1779)*($M$3:$M$2002&gt;$L1779))&gt;1,"중복","-"))</f>
        <v/>
      </c>
    </row>
    <row r="1780" customFormat="false" ht="15" hidden="false" customHeight="true" outlineLevel="0" collapsed="false">
      <c r="A1780" s="11"/>
      <c r="B1780" s="7"/>
      <c r="C1780" s="12" t="str">
        <f aca="false">IF($B1780="","",IFERROR(INDEX(자원목록!$B$3:$B$102,MATCH($B1780,자원목록!$A$3:$A$102,0)),"미등록자원"))</f>
        <v/>
      </c>
      <c r="D1780" s="7"/>
      <c r="E1780" s="12" t="str">
        <f aca="false">IF($D1780="","",IFERROR(INDEX(고객목록!$B$3:$B$502,MATCH($D1780,고객목록!$A$3:$A$502,0)),""))</f>
        <v/>
      </c>
      <c r="F1780" s="13"/>
      <c r="G1780" s="13"/>
      <c r="H1780" s="14" t="str">
        <f aca="false">IF(OR($L1780="",$M1780=""),"",ROUND(($M1780-$L1780)/60,2))</f>
        <v/>
      </c>
      <c r="I1780" s="9"/>
      <c r="J1780" s="7"/>
      <c r="K1780" s="7"/>
      <c r="L1780" s="15" t="str">
        <f aca="false">IF($F1780="","",IF($F1780&lt;1,ROUND($F1780*1440,0),INT($F1780/100)*60+MOD($F1780,100)))</f>
        <v/>
      </c>
      <c r="M1780" s="15" t="str">
        <f aca="false">IF($G1780="","",IF($G1780&lt;1,ROUND($G1780*1440,0),INT($G1780/100)*60+MOD($G1780,100)))</f>
        <v/>
      </c>
      <c r="N1780" s="15" t="str">
        <f aca="false">IF(OR($A1780="",$B1780="",$L1780="",$M1780="",$J1780="취소"),"",IF(SUMPRODUCT(($A$3:$A$2002=$A1780)*($B$3:$B$2002=$B1780)*($J$3:$J$2002&lt;&gt;"취소")*($L$3:$L$2002&lt;&gt;"")*($M$3:$M$2002&lt;&gt;"")*($L$3:$L$2002&lt;$M1780)*($M$3:$M$2002&gt;$L1780))&gt;1,"중복","-"))</f>
        <v/>
      </c>
    </row>
    <row r="1781" customFormat="false" ht="15" hidden="false" customHeight="true" outlineLevel="0" collapsed="false">
      <c r="A1781" s="11"/>
      <c r="B1781" s="7"/>
      <c r="C1781" s="12" t="str">
        <f aca="false">IF($B1781="","",IFERROR(INDEX(자원목록!$B$3:$B$102,MATCH($B1781,자원목록!$A$3:$A$102,0)),"미등록자원"))</f>
        <v/>
      </c>
      <c r="D1781" s="7"/>
      <c r="E1781" s="12" t="str">
        <f aca="false">IF($D1781="","",IFERROR(INDEX(고객목록!$B$3:$B$502,MATCH($D1781,고객목록!$A$3:$A$502,0)),""))</f>
        <v/>
      </c>
      <c r="F1781" s="13"/>
      <c r="G1781" s="13"/>
      <c r="H1781" s="14" t="str">
        <f aca="false">IF(OR($L1781="",$M1781=""),"",ROUND(($M1781-$L1781)/60,2))</f>
        <v/>
      </c>
      <c r="I1781" s="9"/>
      <c r="J1781" s="7"/>
      <c r="K1781" s="7"/>
      <c r="L1781" s="15" t="str">
        <f aca="false">IF($F1781="","",IF($F1781&lt;1,ROUND($F1781*1440,0),INT($F1781/100)*60+MOD($F1781,100)))</f>
        <v/>
      </c>
      <c r="M1781" s="15" t="str">
        <f aca="false">IF($G1781="","",IF($G1781&lt;1,ROUND($G1781*1440,0),INT($G1781/100)*60+MOD($G1781,100)))</f>
        <v/>
      </c>
      <c r="N1781" s="15" t="str">
        <f aca="false">IF(OR($A1781="",$B1781="",$L1781="",$M1781="",$J1781="취소"),"",IF(SUMPRODUCT(($A$3:$A$2002=$A1781)*($B$3:$B$2002=$B1781)*($J$3:$J$2002&lt;&gt;"취소")*($L$3:$L$2002&lt;&gt;"")*($M$3:$M$2002&lt;&gt;"")*($L$3:$L$2002&lt;$M1781)*($M$3:$M$2002&gt;$L1781))&gt;1,"중복","-"))</f>
        <v/>
      </c>
    </row>
    <row r="1782" customFormat="false" ht="15" hidden="false" customHeight="true" outlineLevel="0" collapsed="false">
      <c r="A1782" s="11"/>
      <c r="B1782" s="7"/>
      <c r="C1782" s="12" t="str">
        <f aca="false">IF($B1782="","",IFERROR(INDEX(자원목록!$B$3:$B$102,MATCH($B1782,자원목록!$A$3:$A$102,0)),"미등록자원"))</f>
        <v/>
      </c>
      <c r="D1782" s="7"/>
      <c r="E1782" s="12" t="str">
        <f aca="false">IF($D1782="","",IFERROR(INDEX(고객목록!$B$3:$B$502,MATCH($D1782,고객목록!$A$3:$A$502,0)),""))</f>
        <v/>
      </c>
      <c r="F1782" s="13"/>
      <c r="G1782" s="13"/>
      <c r="H1782" s="14" t="str">
        <f aca="false">IF(OR($L1782="",$M1782=""),"",ROUND(($M1782-$L1782)/60,2))</f>
        <v/>
      </c>
      <c r="I1782" s="9"/>
      <c r="J1782" s="7"/>
      <c r="K1782" s="7"/>
      <c r="L1782" s="15" t="str">
        <f aca="false">IF($F1782="","",IF($F1782&lt;1,ROUND($F1782*1440,0),INT($F1782/100)*60+MOD($F1782,100)))</f>
        <v/>
      </c>
      <c r="M1782" s="15" t="str">
        <f aca="false">IF($G1782="","",IF($G1782&lt;1,ROUND($G1782*1440,0),INT($G1782/100)*60+MOD($G1782,100)))</f>
        <v/>
      </c>
      <c r="N1782" s="15" t="str">
        <f aca="false">IF(OR($A1782="",$B1782="",$L1782="",$M1782="",$J1782="취소"),"",IF(SUMPRODUCT(($A$3:$A$2002=$A1782)*($B$3:$B$2002=$B1782)*($J$3:$J$2002&lt;&gt;"취소")*($L$3:$L$2002&lt;&gt;"")*($M$3:$M$2002&lt;&gt;"")*($L$3:$L$2002&lt;$M1782)*($M$3:$M$2002&gt;$L1782))&gt;1,"중복","-"))</f>
        <v/>
      </c>
    </row>
    <row r="1783" customFormat="false" ht="15" hidden="false" customHeight="true" outlineLevel="0" collapsed="false">
      <c r="A1783" s="11"/>
      <c r="B1783" s="7"/>
      <c r="C1783" s="12" t="str">
        <f aca="false">IF($B1783="","",IFERROR(INDEX(자원목록!$B$3:$B$102,MATCH($B1783,자원목록!$A$3:$A$102,0)),"미등록자원"))</f>
        <v/>
      </c>
      <c r="D1783" s="7"/>
      <c r="E1783" s="12" t="str">
        <f aca="false">IF($D1783="","",IFERROR(INDEX(고객목록!$B$3:$B$502,MATCH($D1783,고객목록!$A$3:$A$502,0)),""))</f>
        <v/>
      </c>
      <c r="F1783" s="13"/>
      <c r="G1783" s="13"/>
      <c r="H1783" s="14" t="str">
        <f aca="false">IF(OR($L1783="",$M1783=""),"",ROUND(($M1783-$L1783)/60,2))</f>
        <v/>
      </c>
      <c r="I1783" s="9"/>
      <c r="J1783" s="7"/>
      <c r="K1783" s="7"/>
      <c r="L1783" s="15" t="str">
        <f aca="false">IF($F1783="","",IF($F1783&lt;1,ROUND($F1783*1440,0),INT($F1783/100)*60+MOD($F1783,100)))</f>
        <v/>
      </c>
      <c r="M1783" s="15" t="str">
        <f aca="false">IF($G1783="","",IF($G1783&lt;1,ROUND($G1783*1440,0),INT($G1783/100)*60+MOD($G1783,100)))</f>
        <v/>
      </c>
      <c r="N1783" s="15" t="str">
        <f aca="false">IF(OR($A1783="",$B1783="",$L1783="",$M1783="",$J1783="취소"),"",IF(SUMPRODUCT(($A$3:$A$2002=$A1783)*($B$3:$B$2002=$B1783)*($J$3:$J$2002&lt;&gt;"취소")*($L$3:$L$2002&lt;&gt;"")*($M$3:$M$2002&lt;&gt;"")*($L$3:$L$2002&lt;$M1783)*($M$3:$M$2002&gt;$L1783))&gt;1,"중복","-"))</f>
        <v/>
      </c>
    </row>
    <row r="1784" customFormat="false" ht="15" hidden="false" customHeight="true" outlineLevel="0" collapsed="false">
      <c r="A1784" s="11"/>
      <c r="B1784" s="7"/>
      <c r="C1784" s="12" t="str">
        <f aca="false">IF($B1784="","",IFERROR(INDEX(자원목록!$B$3:$B$102,MATCH($B1784,자원목록!$A$3:$A$102,0)),"미등록자원"))</f>
        <v/>
      </c>
      <c r="D1784" s="7"/>
      <c r="E1784" s="12" t="str">
        <f aca="false">IF($D1784="","",IFERROR(INDEX(고객목록!$B$3:$B$502,MATCH($D1784,고객목록!$A$3:$A$502,0)),""))</f>
        <v/>
      </c>
      <c r="F1784" s="13"/>
      <c r="G1784" s="13"/>
      <c r="H1784" s="14" t="str">
        <f aca="false">IF(OR($L1784="",$M1784=""),"",ROUND(($M1784-$L1784)/60,2))</f>
        <v/>
      </c>
      <c r="I1784" s="9"/>
      <c r="J1784" s="7"/>
      <c r="K1784" s="7"/>
      <c r="L1784" s="15" t="str">
        <f aca="false">IF($F1784="","",IF($F1784&lt;1,ROUND($F1784*1440,0),INT($F1784/100)*60+MOD($F1784,100)))</f>
        <v/>
      </c>
      <c r="M1784" s="15" t="str">
        <f aca="false">IF($G1784="","",IF($G1784&lt;1,ROUND($G1784*1440,0),INT($G1784/100)*60+MOD($G1784,100)))</f>
        <v/>
      </c>
      <c r="N1784" s="15" t="str">
        <f aca="false">IF(OR($A1784="",$B1784="",$L1784="",$M1784="",$J1784="취소"),"",IF(SUMPRODUCT(($A$3:$A$2002=$A1784)*($B$3:$B$2002=$B1784)*($J$3:$J$2002&lt;&gt;"취소")*($L$3:$L$2002&lt;&gt;"")*($M$3:$M$2002&lt;&gt;"")*($L$3:$L$2002&lt;$M1784)*($M$3:$M$2002&gt;$L1784))&gt;1,"중복","-"))</f>
        <v/>
      </c>
    </row>
    <row r="1785" customFormat="false" ht="15" hidden="false" customHeight="true" outlineLevel="0" collapsed="false">
      <c r="A1785" s="11"/>
      <c r="B1785" s="7"/>
      <c r="C1785" s="12" t="str">
        <f aca="false">IF($B1785="","",IFERROR(INDEX(자원목록!$B$3:$B$102,MATCH($B1785,자원목록!$A$3:$A$102,0)),"미등록자원"))</f>
        <v/>
      </c>
      <c r="D1785" s="7"/>
      <c r="E1785" s="12" t="str">
        <f aca="false">IF($D1785="","",IFERROR(INDEX(고객목록!$B$3:$B$502,MATCH($D1785,고객목록!$A$3:$A$502,0)),""))</f>
        <v/>
      </c>
      <c r="F1785" s="13"/>
      <c r="G1785" s="13"/>
      <c r="H1785" s="14" t="str">
        <f aca="false">IF(OR($L1785="",$M1785=""),"",ROUND(($M1785-$L1785)/60,2))</f>
        <v/>
      </c>
      <c r="I1785" s="9"/>
      <c r="J1785" s="7"/>
      <c r="K1785" s="7"/>
      <c r="L1785" s="15" t="str">
        <f aca="false">IF($F1785="","",IF($F1785&lt;1,ROUND($F1785*1440,0),INT($F1785/100)*60+MOD($F1785,100)))</f>
        <v/>
      </c>
      <c r="M1785" s="15" t="str">
        <f aca="false">IF($G1785="","",IF($G1785&lt;1,ROUND($G1785*1440,0),INT($G1785/100)*60+MOD($G1785,100)))</f>
        <v/>
      </c>
      <c r="N1785" s="15" t="str">
        <f aca="false">IF(OR($A1785="",$B1785="",$L1785="",$M1785="",$J1785="취소"),"",IF(SUMPRODUCT(($A$3:$A$2002=$A1785)*($B$3:$B$2002=$B1785)*($J$3:$J$2002&lt;&gt;"취소")*($L$3:$L$2002&lt;&gt;"")*($M$3:$M$2002&lt;&gt;"")*($L$3:$L$2002&lt;$M1785)*($M$3:$M$2002&gt;$L1785))&gt;1,"중복","-"))</f>
        <v/>
      </c>
    </row>
    <row r="1786" customFormat="false" ht="15" hidden="false" customHeight="true" outlineLevel="0" collapsed="false">
      <c r="A1786" s="11"/>
      <c r="B1786" s="7"/>
      <c r="C1786" s="12" t="str">
        <f aca="false">IF($B1786="","",IFERROR(INDEX(자원목록!$B$3:$B$102,MATCH($B1786,자원목록!$A$3:$A$102,0)),"미등록자원"))</f>
        <v/>
      </c>
      <c r="D1786" s="7"/>
      <c r="E1786" s="12" t="str">
        <f aca="false">IF($D1786="","",IFERROR(INDEX(고객목록!$B$3:$B$502,MATCH($D1786,고객목록!$A$3:$A$502,0)),""))</f>
        <v/>
      </c>
      <c r="F1786" s="13"/>
      <c r="G1786" s="13"/>
      <c r="H1786" s="14" t="str">
        <f aca="false">IF(OR($L1786="",$M1786=""),"",ROUND(($M1786-$L1786)/60,2))</f>
        <v/>
      </c>
      <c r="I1786" s="9"/>
      <c r="J1786" s="7"/>
      <c r="K1786" s="7"/>
      <c r="L1786" s="15" t="str">
        <f aca="false">IF($F1786="","",IF($F1786&lt;1,ROUND($F1786*1440,0),INT($F1786/100)*60+MOD($F1786,100)))</f>
        <v/>
      </c>
      <c r="M1786" s="15" t="str">
        <f aca="false">IF($G1786="","",IF($G1786&lt;1,ROUND($G1786*1440,0),INT($G1786/100)*60+MOD($G1786,100)))</f>
        <v/>
      </c>
      <c r="N1786" s="15" t="str">
        <f aca="false">IF(OR($A1786="",$B1786="",$L1786="",$M1786="",$J1786="취소"),"",IF(SUMPRODUCT(($A$3:$A$2002=$A1786)*($B$3:$B$2002=$B1786)*($J$3:$J$2002&lt;&gt;"취소")*($L$3:$L$2002&lt;&gt;"")*($M$3:$M$2002&lt;&gt;"")*($L$3:$L$2002&lt;$M1786)*($M$3:$M$2002&gt;$L1786))&gt;1,"중복","-"))</f>
        <v/>
      </c>
    </row>
    <row r="1787" customFormat="false" ht="15" hidden="false" customHeight="true" outlineLevel="0" collapsed="false">
      <c r="A1787" s="11"/>
      <c r="B1787" s="7"/>
      <c r="C1787" s="12" t="str">
        <f aca="false">IF($B1787="","",IFERROR(INDEX(자원목록!$B$3:$B$102,MATCH($B1787,자원목록!$A$3:$A$102,0)),"미등록자원"))</f>
        <v/>
      </c>
      <c r="D1787" s="7"/>
      <c r="E1787" s="12" t="str">
        <f aca="false">IF($D1787="","",IFERROR(INDEX(고객목록!$B$3:$B$502,MATCH($D1787,고객목록!$A$3:$A$502,0)),""))</f>
        <v/>
      </c>
      <c r="F1787" s="13"/>
      <c r="G1787" s="13"/>
      <c r="H1787" s="14" t="str">
        <f aca="false">IF(OR($L1787="",$M1787=""),"",ROUND(($M1787-$L1787)/60,2))</f>
        <v/>
      </c>
      <c r="I1787" s="9"/>
      <c r="J1787" s="7"/>
      <c r="K1787" s="7"/>
      <c r="L1787" s="15" t="str">
        <f aca="false">IF($F1787="","",IF($F1787&lt;1,ROUND($F1787*1440,0),INT($F1787/100)*60+MOD($F1787,100)))</f>
        <v/>
      </c>
      <c r="M1787" s="15" t="str">
        <f aca="false">IF($G1787="","",IF($G1787&lt;1,ROUND($G1787*1440,0),INT($G1787/100)*60+MOD($G1787,100)))</f>
        <v/>
      </c>
      <c r="N1787" s="15" t="str">
        <f aca="false">IF(OR($A1787="",$B1787="",$L1787="",$M1787="",$J1787="취소"),"",IF(SUMPRODUCT(($A$3:$A$2002=$A1787)*($B$3:$B$2002=$B1787)*($J$3:$J$2002&lt;&gt;"취소")*($L$3:$L$2002&lt;&gt;"")*($M$3:$M$2002&lt;&gt;"")*($L$3:$L$2002&lt;$M1787)*($M$3:$M$2002&gt;$L1787))&gt;1,"중복","-"))</f>
        <v/>
      </c>
    </row>
    <row r="1788" customFormat="false" ht="15" hidden="false" customHeight="true" outlineLevel="0" collapsed="false">
      <c r="A1788" s="11"/>
      <c r="B1788" s="7"/>
      <c r="C1788" s="12" t="str">
        <f aca="false">IF($B1788="","",IFERROR(INDEX(자원목록!$B$3:$B$102,MATCH($B1788,자원목록!$A$3:$A$102,0)),"미등록자원"))</f>
        <v/>
      </c>
      <c r="D1788" s="7"/>
      <c r="E1788" s="12" t="str">
        <f aca="false">IF($D1788="","",IFERROR(INDEX(고객목록!$B$3:$B$502,MATCH($D1788,고객목록!$A$3:$A$502,0)),""))</f>
        <v/>
      </c>
      <c r="F1788" s="13"/>
      <c r="G1788" s="13"/>
      <c r="H1788" s="14" t="str">
        <f aca="false">IF(OR($L1788="",$M1788=""),"",ROUND(($M1788-$L1788)/60,2))</f>
        <v/>
      </c>
      <c r="I1788" s="9"/>
      <c r="J1788" s="7"/>
      <c r="K1788" s="7"/>
      <c r="L1788" s="15" t="str">
        <f aca="false">IF($F1788="","",IF($F1788&lt;1,ROUND($F1788*1440,0),INT($F1788/100)*60+MOD($F1788,100)))</f>
        <v/>
      </c>
      <c r="M1788" s="15" t="str">
        <f aca="false">IF($G1788="","",IF($G1788&lt;1,ROUND($G1788*1440,0),INT($G1788/100)*60+MOD($G1788,100)))</f>
        <v/>
      </c>
      <c r="N1788" s="15" t="str">
        <f aca="false">IF(OR($A1788="",$B1788="",$L1788="",$M1788="",$J1788="취소"),"",IF(SUMPRODUCT(($A$3:$A$2002=$A1788)*($B$3:$B$2002=$B1788)*($J$3:$J$2002&lt;&gt;"취소")*($L$3:$L$2002&lt;&gt;"")*($M$3:$M$2002&lt;&gt;"")*($L$3:$L$2002&lt;$M1788)*($M$3:$M$2002&gt;$L1788))&gt;1,"중복","-"))</f>
        <v/>
      </c>
    </row>
    <row r="1789" customFormat="false" ht="15" hidden="false" customHeight="true" outlineLevel="0" collapsed="false">
      <c r="A1789" s="11"/>
      <c r="B1789" s="7"/>
      <c r="C1789" s="12" t="str">
        <f aca="false">IF($B1789="","",IFERROR(INDEX(자원목록!$B$3:$B$102,MATCH($B1789,자원목록!$A$3:$A$102,0)),"미등록자원"))</f>
        <v/>
      </c>
      <c r="D1789" s="7"/>
      <c r="E1789" s="12" t="str">
        <f aca="false">IF($D1789="","",IFERROR(INDEX(고객목록!$B$3:$B$502,MATCH($D1789,고객목록!$A$3:$A$502,0)),""))</f>
        <v/>
      </c>
      <c r="F1789" s="13"/>
      <c r="G1789" s="13"/>
      <c r="H1789" s="14" t="str">
        <f aca="false">IF(OR($L1789="",$M1789=""),"",ROUND(($M1789-$L1789)/60,2))</f>
        <v/>
      </c>
      <c r="I1789" s="9"/>
      <c r="J1789" s="7"/>
      <c r="K1789" s="7"/>
      <c r="L1789" s="15" t="str">
        <f aca="false">IF($F1789="","",IF($F1789&lt;1,ROUND($F1789*1440,0),INT($F1789/100)*60+MOD($F1789,100)))</f>
        <v/>
      </c>
      <c r="M1789" s="15" t="str">
        <f aca="false">IF($G1789="","",IF($G1789&lt;1,ROUND($G1789*1440,0),INT($G1789/100)*60+MOD($G1789,100)))</f>
        <v/>
      </c>
      <c r="N1789" s="15" t="str">
        <f aca="false">IF(OR($A1789="",$B1789="",$L1789="",$M1789="",$J1789="취소"),"",IF(SUMPRODUCT(($A$3:$A$2002=$A1789)*($B$3:$B$2002=$B1789)*($J$3:$J$2002&lt;&gt;"취소")*($L$3:$L$2002&lt;&gt;"")*($M$3:$M$2002&lt;&gt;"")*($L$3:$L$2002&lt;$M1789)*($M$3:$M$2002&gt;$L1789))&gt;1,"중복","-"))</f>
        <v/>
      </c>
    </row>
    <row r="1790" customFormat="false" ht="15" hidden="false" customHeight="true" outlineLevel="0" collapsed="false">
      <c r="A1790" s="11"/>
      <c r="B1790" s="7"/>
      <c r="C1790" s="12" t="str">
        <f aca="false">IF($B1790="","",IFERROR(INDEX(자원목록!$B$3:$B$102,MATCH($B1790,자원목록!$A$3:$A$102,0)),"미등록자원"))</f>
        <v/>
      </c>
      <c r="D1790" s="7"/>
      <c r="E1790" s="12" t="str">
        <f aca="false">IF($D1790="","",IFERROR(INDEX(고객목록!$B$3:$B$502,MATCH($D1790,고객목록!$A$3:$A$502,0)),""))</f>
        <v/>
      </c>
      <c r="F1790" s="13"/>
      <c r="G1790" s="13"/>
      <c r="H1790" s="14" t="str">
        <f aca="false">IF(OR($L1790="",$M1790=""),"",ROUND(($M1790-$L1790)/60,2))</f>
        <v/>
      </c>
      <c r="I1790" s="9"/>
      <c r="J1790" s="7"/>
      <c r="K1790" s="7"/>
      <c r="L1790" s="15" t="str">
        <f aca="false">IF($F1790="","",IF($F1790&lt;1,ROUND($F1790*1440,0),INT($F1790/100)*60+MOD($F1790,100)))</f>
        <v/>
      </c>
      <c r="M1790" s="15" t="str">
        <f aca="false">IF($G1790="","",IF($G1790&lt;1,ROUND($G1790*1440,0),INT($G1790/100)*60+MOD($G1790,100)))</f>
        <v/>
      </c>
      <c r="N1790" s="15" t="str">
        <f aca="false">IF(OR($A1790="",$B1790="",$L1790="",$M1790="",$J1790="취소"),"",IF(SUMPRODUCT(($A$3:$A$2002=$A1790)*($B$3:$B$2002=$B1790)*($J$3:$J$2002&lt;&gt;"취소")*($L$3:$L$2002&lt;&gt;"")*($M$3:$M$2002&lt;&gt;"")*($L$3:$L$2002&lt;$M1790)*($M$3:$M$2002&gt;$L1790))&gt;1,"중복","-"))</f>
        <v/>
      </c>
    </row>
    <row r="1791" customFormat="false" ht="15" hidden="false" customHeight="true" outlineLevel="0" collapsed="false">
      <c r="A1791" s="11"/>
      <c r="B1791" s="7"/>
      <c r="C1791" s="12" t="str">
        <f aca="false">IF($B1791="","",IFERROR(INDEX(자원목록!$B$3:$B$102,MATCH($B1791,자원목록!$A$3:$A$102,0)),"미등록자원"))</f>
        <v/>
      </c>
      <c r="D1791" s="7"/>
      <c r="E1791" s="12" t="str">
        <f aca="false">IF($D1791="","",IFERROR(INDEX(고객목록!$B$3:$B$502,MATCH($D1791,고객목록!$A$3:$A$502,0)),""))</f>
        <v/>
      </c>
      <c r="F1791" s="13"/>
      <c r="G1791" s="13"/>
      <c r="H1791" s="14" t="str">
        <f aca="false">IF(OR($L1791="",$M1791=""),"",ROUND(($M1791-$L1791)/60,2))</f>
        <v/>
      </c>
      <c r="I1791" s="9"/>
      <c r="J1791" s="7"/>
      <c r="K1791" s="7"/>
      <c r="L1791" s="15" t="str">
        <f aca="false">IF($F1791="","",IF($F1791&lt;1,ROUND($F1791*1440,0),INT($F1791/100)*60+MOD($F1791,100)))</f>
        <v/>
      </c>
      <c r="M1791" s="15" t="str">
        <f aca="false">IF($G1791="","",IF($G1791&lt;1,ROUND($G1791*1440,0),INT($G1791/100)*60+MOD($G1791,100)))</f>
        <v/>
      </c>
      <c r="N1791" s="15" t="str">
        <f aca="false">IF(OR($A1791="",$B1791="",$L1791="",$M1791="",$J1791="취소"),"",IF(SUMPRODUCT(($A$3:$A$2002=$A1791)*($B$3:$B$2002=$B1791)*($J$3:$J$2002&lt;&gt;"취소")*($L$3:$L$2002&lt;&gt;"")*($M$3:$M$2002&lt;&gt;"")*($L$3:$L$2002&lt;$M1791)*($M$3:$M$2002&gt;$L1791))&gt;1,"중복","-"))</f>
        <v/>
      </c>
    </row>
    <row r="1792" customFormat="false" ht="15" hidden="false" customHeight="true" outlineLevel="0" collapsed="false">
      <c r="A1792" s="11"/>
      <c r="B1792" s="7"/>
      <c r="C1792" s="12" t="str">
        <f aca="false">IF($B1792="","",IFERROR(INDEX(자원목록!$B$3:$B$102,MATCH($B1792,자원목록!$A$3:$A$102,0)),"미등록자원"))</f>
        <v/>
      </c>
      <c r="D1792" s="7"/>
      <c r="E1792" s="12" t="str">
        <f aca="false">IF($D1792="","",IFERROR(INDEX(고객목록!$B$3:$B$502,MATCH($D1792,고객목록!$A$3:$A$502,0)),""))</f>
        <v/>
      </c>
      <c r="F1792" s="13"/>
      <c r="G1792" s="13"/>
      <c r="H1792" s="14" t="str">
        <f aca="false">IF(OR($L1792="",$M1792=""),"",ROUND(($M1792-$L1792)/60,2))</f>
        <v/>
      </c>
      <c r="I1792" s="9"/>
      <c r="J1792" s="7"/>
      <c r="K1792" s="7"/>
      <c r="L1792" s="15" t="str">
        <f aca="false">IF($F1792="","",IF($F1792&lt;1,ROUND($F1792*1440,0),INT($F1792/100)*60+MOD($F1792,100)))</f>
        <v/>
      </c>
      <c r="M1792" s="15" t="str">
        <f aca="false">IF($G1792="","",IF($G1792&lt;1,ROUND($G1792*1440,0),INT($G1792/100)*60+MOD($G1792,100)))</f>
        <v/>
      </c>
      <c r="N1792" s="15" t="str">
        <f aca="false">IF(OR($A1792="",$B1792="",$L1792="",$M1792="",$J1792="취소"),"",IF(SUMPRODUCT(($A$3:$A$2002=$A1792)*($B$3:$B$2002=$B1792)*($J$3:$J$2002&lt;&gt;"취소")*($L$3:$L$2002&lt;&gt;"")*($M$3:$M$2002&lt;&gt;"")*($L$3:$L$2002&lt;$M1792)*($M$3:$M$2002&gt;$L1792))&gt;1,"중복","-"))</f>
        <v/>
      </c>
    </row>
    <row r="1793" customFormat="false" ht="15" hidden="false" customHeight="true" outlineLevel="0" collapsed="false">
      <c r="A1793" s="11"/>
      <c r="B1793" s="7"/>
      <c r="C1793" s="12" t="str">
        <f aca="false">IF($B1793="","",IFERROR(INDEX(자원목록!$B$3:$B$102,MATCH($B1793,자원목록!$A$3:$A$102,0)),"미등록자원"))</f>
        <v/>
      </c>
      <c r="D1793" s="7"/>
      <c r="E1793" s="12" t="str">
        <f aca="false">IF($D1793="","",IFERROR(INDEX(고객목록!$B$3:$B$502,MATCH($D1793,고객목록!$A$3:$A$502,0)),""))</f>
        <v/>
      </c>
      <c r="F1793" s="13"/>
      <c r="G1793" s="13"/>
      <c r="H1793" s="14" t="str">
        <f aca="false">IF(OR($L1793="",$M1793=""),"",ROUND(($M1793-$L1793)/60,2))</f>
        <v/>
      </c>
      <c r="I1793" s="9"/>
      <c r="J1793" s="7"/>
      <c r="K1793" s="7"/>
      <c r="L1793" s="15" t="str">
        <f aca="false">IF($F1793="","",IF($F1793&lt;1,ROUND($F1793*1440,0),INT($F1793/100)*60+MOD($F1793,100)))</f>
        <v/>
      </c>
      <c r="M1793" s="15" t="str">
        <f aca="false">IF($G1793="","",IF($G1793&lt;1,ROUND($G1793*1440,0),INT($G1793/100)*60+MOD($G1793,100)))</f>
        <v/>
      </c>
      <c r="N1793" s="15" t="str">
        <f aca="false">IF(OR($A1793="",$B1793="",$L1793="",$M1793="",$J1793="취소"),"",IF(SUMPRODUCT(($A$3:$A$2002=$A1793)*($B$3:$B$2002=$B1793)*($J$3:$J$2002&lt;&gt;"취소")*($L$3:$L$2002&lt;&gt;"")*($M$3:$M$2002&lt;&gt;"")*($L$3:$L$2002&lt;$M1793)*($M$3:$M$2002&gt;$L1793))&gt;1,"중복","-"))</f>
        <v/>
      </c>
    </row>
    <row r="1794" customFormat="false" ht="15" hidden="false" customHeight="true" outlineLevel="0" collapsed="false">
      <c r="A1794" s="11"/>
      <c r="B1794" s="7"/>
      <c r="C1794" s="12" t="str">
        <f aca="false">IF($B1794="","",IFERROR(INDEX(자원목록!$B$3:$B$102,MATCH($B1794,자원목록!$A$3:$A$102,0)),"미등록자원"))</f>
        <v/>
      </c>
      <c r="D1794" s="7"/>
      <c r="E1794" s="12" t="str">
        <f aca="false">IF($D1794="","",IFERROR(INDEX(고객목록!$B$3:$B$502,MATCH($D1794,고객목록!$A$3:$A$502,0)),""))</f>
        <v/>
      </c>
      <c r="F1794" s="13"/>
      <c r="G1794" s="13"/>
      <c r="H1794" s="14" t="str">
        <f aca="false">IF(OR($L1794="",$M1794=""),"",ROUND(($M1794-$L1794)/60,2))</f>
        <v/>
      </c>
      <c r="I1794" s="9"/>
      <c r="J1794" s="7"/>
      <c r="K1794" s="7"/>
      <c r="L1794" s="15" t="str">
        <f aca="false">IF($F1794="","",IF($F1794&lt;1,ROUND($F1794*1440,0),INT($F1794/100)*60+MOD($F1794,100)))</f>
        <v/>
      </c>
      <c r="M1794" s="15" t="str">
        <f aca="false">IF($G1794="","",IF($G1794&lt;1,ROUND($G1794*1440,0),INT($G1794/100)*60+MOD($G1794,100)))</f>
        <v/>
      </c>
      <c r="N1794" s="15" t="str">
        <f aca="false">IF(OR($A1794="",$B1794="",$L1794="",$M1794="",$J1794="취소"),"",IF(SUMPRODUCT(($A$3:$A$2002=$A1794)*($B$3:$B$2002=$B1794)*($J$3:$J$2002&lt;&gt;"취소")*($L$3:$L$2002&lt;&gt;"")*($M$3:$M$2002&lt;&gt;"")*($L$3:$L$2002&lt;$M1794)*($M$3:$M$2002&gt;$L1794))&gt;1,"중복","-"))</f>
        <v/>
      </c>
    </row>
    <row r="1795" customFormat="false" ht="15" hidden="false" customHeight="true" outlineLevel="0" collapsed="false">
      <c r="A1795" s="11"/>
      <c r="B1795" s="7"/>
      <c r="C1795" s="12" t="str">
        <f aca="false">IF($B1795="","",IFERROR(INDEX(자원목록!$B$3:$B$102,MATCH($B1795,자원목록!$A$3:$A$102,0)),"미등록자원"))</f>
        <v/>
      </c>
      <c r="D1795" s="7"/>
      <c r="E1795" s="12" t="str">
        <f aca="false">IF($D1795="","",IFERROR(INDEX(고객목록!$B$3:$B$502,MATCH($D1795,고객목록!$A$3:$A$502,0)),""))</f>
        <v/>
      </c>
      <c r="F1795" s="13"/>
      <c r="G1795" s="13"/>
      <c r="H1795" s="14" t="str">
        <f aca="false">IF(OR($L1795="",$M1795=""),"",ROUND(($M1795-$L1795)/60,2))</f>
        <v/>
      </c>
      <c r="I1795" s="9"/>
      <c r="J1795" s="7"/>
      <c r="K1795" s="7"/>
      <c r="L1795" s="15" t="str">
        <f aca="false">IF($F1795="","",IF($F1795&lt;1,ROUND($F1795*1440,0),INT($F1795/100)*60+MOD($F1795,100)))</f>
        <v/>
      </c>
      <c r="M1795" s="15" t="str">
        <f aca="false">IF($G1795="","",IF($G1795&lt;1,ROUND($G1795*1440,0),INT($G1795/100)*60+MOD($G1795,100)))</f>
        <v/>
      </c>
      <c r="N1795" s="15" t="str">
        <f aca="false">IF(OR($A1795="",$B1795="",$L1795="",$M1795="",$J1795="취소"),"",IF(SUMPRODUCT(($A$3:$A$2002=$A1795)*($B$3:$B$2002=$B1795)*($J$3:$J$2002&lt;&gt;"취소")*($L$3:$L$2002&lt;&gt;"")*($M$3:$M$2002&lt;&gt;"")*($L$3:$L$2002&lt;$M1795)*($M$3:$M$2002&gt;$L1795))&gt;1,"중복","-"))</f>
        <v/>
      </c>
    </row>
    <row r="1796" customFormat="false" ht="15" hidden="false" customHeight="true" outlineLevel="0" collapsed="false">
      <c r="A1796" s="11"/>
      <c r="B1796" s="7"/>
      <c r="C1796" s="12" t="str">
        <f aca="false">IF($B1796="","",IFERROR(INDEX(자원목록!$B$3:$B$102,MATCH($B1796,자원목록!$A$3:$A$102,0)),"미등록자원"))</f>
        <v/>
      </c>
      <c r="D1796" s="7"/>
      <c r="E1796" s="12" t="str">
        <f aca="false">IF($D1796="","",IFERROR(INDEX(고객목록!$B$3:$B$502,MATCH($D1796,고객목록!$A$3:$A$502,0)),""))</f>
        <v/>
      </c>
      <c r="F1796" s="13"/>
      <c r="G1796" s="13"/>
      <c r="H1796" s="14" t="str">
        <f aca="false">IF(OR($L1796="",$M1796=""),"",ROUND(($M1796-$L1796)/60,2))</f>
        <v/>
      </c>
      <c r="I1796" s="9"/>
      <c r="J1796" s="7"/>
      <c r="K1796" s="7"/>
      <c r="L1796" s="15" t="str">
        <f aca="false">IF($F1796="","",IF($F1796&lt;1,ROUND($F1796*1440,0),INT($F1796/100)*60+MOD($F1796,100)))</f>
        <v/>
      </c>
      <c r="M1796" s="15" t="str">
        <f aca="false">IF($G1796="","",IF($G1796&lt;1,ROUND($G1796*1440,0),INT($G1796/100)*60+MOD($G1796,100)))</f>
        <v/>
      </c>
      <c r="N1796" s="15" t="str">
        <f aca="false">IF(OR($A1796="",$B1796="",$L1796="",$M1796="",$J1796="취소"),"",IF(SUMPRODUCT(($A$3:$A$2002=$A1796)*($B$3:$B$2002=$B1796)*($J$3:$J$2002&lt;&gt;"취소")*($L$3:$L$2002&lt;&gt;"")*($M$3:$M$2002&lt;&gt;"")*($L$3:$L$2002&lt;$M1796)*($M$3:$M$2002&gt;$L1796))&gt;1,"중복","-"))</f>
        <v/>
      </c>
    </row>
    <row r="1797" customFormat="false" ht="15" hidden="false" customHeight="true" outlineLevel="0" collapsed="false">
      <c r="A1797" s="11"/>
      <c r="B1797" s="7"/>
      <c r="C1797" s="12" t="str">
        <f aca="false">IF($B1797="","",IFERROR(INDEX(자원목록!$B$3:$B$102,MATCH($B1797,자원목록!$A$3:$A$102,0)),"미등록자원"))</f>
        <v/>
      </c>
      <c r="D1797" s="7"/>
      <c r="E1797" s="12" t="str">
        <f aca="false">IF($D1797="","",IFERROR(INDEX(고객목록!$B$3:$B$502,MATCH($D1797,고객목록!$A$3:$A$502,0)),""))</f>
        <v/>
      </c>
      <c r="F1797" s="13"/>
      <c r="G1797" s="13"/>
      <c r="H1797" s="14" t="str">
        <f aca="false">IF(OR($L1797="",$M1797=""),"",ROUND(($M1797-$L1797)/60,2))</f>
        <v/>
      </c>
      <c r="I1797" s="9"/>
      <c r="J1797" s="7"/>
      <c r="K1797" s="7"/>
      <c r="L1797" s="15" t="str">
        <f aca="false">IF($F1797="","",IF($F1797&lt;1,ROUND($F1797*1440,0),INT($F1797/100)*60+MOD($F1797,100)))</f>
        <v/>
      </c>
      <c r="M1797" s="15" t="str">
        <f aca="false">IF($G1797="","",IF($G1797&lt;1,ROUND($G1797*1440,0),INT($G1797/100)*60+MOD($G1797,100)))</f>
        <v/>
      </c>
      <c r="N1797" s="15" t="str">
        <f aca="false">IF(OR($A1797="",$B1797="",$L1797="",$M1797="",$J1797="취소"),"",IF(SUMPRODUCT(($A$3:$A$2002=$A1797)*($B$3:$B$2002=$B1797)*($J$3:$J$2002&lt;&gt;"취소")*($L$3:$L$2002&lt;&gt;"")*($M$3:$M$2002&lt;&gt;"")*($L$3:$L$2002&lt;$M1797)*($M$3:$M$2002&gt;$L1797))&gt;1,"중복","-"))</f>
        <v/>
      </c>
    </row>
    <row r="1798" customFormat="false" ht="15" hidden="false" customHeight="true" outlineLevel="0" collapsed="false">
      <c r="A1798" s="11"/>
      <c r="B1798" s="7"/>
      <c r="C1798" s="12" t="str">
        <f aca="false">IF($B1798="","",IFERROR(INDEX(자원목록!$B$3:$B$102,MATCH($B1798,자원목록!$A$3:$A$102,0)),"미등록자원"))</f>
        <v/>
      </c>
      <c r="D1798" s="7"/>
      <c r="E1798" s="12" t="str">
        <f aca="false">IF($D1798="","",IFERROR(INDEX(고객목록!$B$3:$B$502,MATCH($D1798,고객목록!$A$3:$A$502,0)),""))</f>
        <v/>
      </c>
      <c r="F1798" s="13"/>
      <c r="G1798" s="13"/>
      <c r="H1798" s="14" t="str">
        <f aca="false">IF(OR($L1798="",$M1798=""),"",ROUND(($M1798-$L1798)/60,2))</f>
        <v/>
      </c>
      <c r="I1798" s="9"/>
      <c r="J1798" s="7"/>
      <c r="K1798" s="7"/>
      <c r="L1798" s="15" t="str">
        <f aca="false">IF($F1798="","",IF($F1798&lt;1,ROUND($F1798*1440,0),INT($F1798/100)*60+MOD($F1798,100)))</f>
        <v/>
      </c>
      <c r="M1798" s="15" t="str">
        <f aca="false">IF($G1798="","",IF($G1798&lt;1,ROUND($G1798*1440,0),INT($G1798/100)*60+MOD($G1798,100)))</f>
        <v/>
      </c>
      <c r="N1798" s="15" t="str">
        <f aca="false">IF(OR($A1798="",$B1798="",$L1798="",$M1798="",$J1798="취소"),"",IF(SUMPRODUCT(($A$3:$A$2002=$A1798)*($B$3:$B$2002=$B1798)*($J$3:$J$2002&lt;&gt;"취소")*($L$3:$L$2002&lt;&gt;"")*($M$3:$M$2002&lt;&gt;"")*($L$3:$L$2002&lt;$M1798)*($M$3:$M$2002&gt;$L1798))&gt;1,"중복","-"))</f>
        <v/>
      </c>
    </row>
    <row r="1799" customFormat="false" ht="15" hidden="false" customHeight="true" outlineLevel="0" collapsed="false">
      <c r="A1799" s="11"/>
      <c r="B1799" s="7"/>
      <c r="C1799" s="12" t="str">
        <f aca="false">IF($B1799="","",IFERROR(INDEX(자원목록!$B$3:$B$102,MATCH($B1799,자원목록!$A$3:$A$102,0)),"미등록자원"))</f>
        <v/>
      </c>
      <c r="D1799" s="7"/>
      <c r="E1799" s="12" t="str">
        <f aca="false">IF($D1799="","",IFERROR(INDEX(고객목록!$B$3:$B$502,MATCH($D1799,고객목록!$A$3:$A$502,0)),""))</f>
        <v/>
      </c>
      <c r="F1799" s="13"/>
      <c r="G1799" s="13"/>
      <c r="H1799" s="14" t="str">
        <f aca="false">IF(OR($L1799="",$M1799=""),"",ROUND(($M1799-$L1799)/60,2))</f>
        <v/>
      </c>
      <c r="I1799" s="9"/>
      <c r="J1799" s="7"/>
      <c r="K1799" s="7"/>
      <c r="L1799" s="15" t="str">
        <f aca="false">IF($F1799="","",IF($F1799&lt;1,ROUND($F1799*1440,0),INT($F1799/100)*60+MOD($F1799,100)))</f>
        <v/>
      </c>
      <c r="M1799" s="15" t="str">
        <f aca="false">IF($G1799="","",IF($G1799&lt;1,ROUND($G1799*1440,0),INT($G1799/100)*60+MOD($G1799,100)))</f>
        <v/>
      </c>
      <c r="N1799" s="15" t="str">
        <f aca="false">IF(OR($A1799="",$B1799="",$L1799="",$M1799="",$J1799="취소"),"",IF(SUMPRODUCT(($A$3:$A$2002=$A1799)*($B$3:$B$2002=$B1799)*($J$3:$J$2002&lt;&gt;"취소")*($L$3:$L$2002&lt;&gt;"")*($M$3:$M$2002&lt;&gt;"")*($L$3:$L$2002&lt;$M1799)*($M$3:$M$2002&gt;$L1799))&gt;1,"중복","-"))</f>
        <v/>
      </c>
    </row>
    <row r="1800" customFormat="false" ht="15" hidden="false" customHeight="true" outlineLevel="0" collapsed="false">
      <c r="A1800" s="11"/>
      <c r="B1800" s="7"/>
      <c r="C1800" s="12" t="str">
        <f aca="false">IF($B1800="","",IFERROR(INDEX(자원목록!$B$3:$B$102,MATCH($B1800,자원목록!$A$3:$A$102,0)),"미등록자원"))</f>
        <v/>
      </c>
      <c r="D1800" s="7"/>
      <c r="E1800" s="12" t="str">
        <f aca="false">IF($D1800="","",IFERROR(INDEX(고객목록!$B$3:$B$502,MATCH($D1800,고객목록!$A$3:$A$502,0)),""))</f>
        <v/>
      </c>
      <c r="F1800" s="13"/>
      <c r="G1800" s="13"/>
      <c r="H1800" s="14" t="str">
        <f aca="false">IF(OR($L1800="",$M1800=""),"",ROUND(($M1800-$L1800)/60,2))</f>
        <v/>
      </c>
      <c r="I1800" s="9"/>
      <c r="J1800" s="7"/>
      <c r="K1800" s="7"/>
      <c r="L1800" s="15" t="str">
        <f aca="false">IF($F1800="","",IF($F1800&lt;1,ROUND($F1800*1440,0),INT($F1800/100)*60+MOD($F1800,100)))</f>
        <v/>
      </c>
      <c r="M1800" s="15" t="str">
        <f aca="false">IF($G1800="","",IF($G1800&lt;1,ROUND($G1800*1440,0),INT($G1800/100)*60+MOD($G1800,100)))</f>
        <v/>
      </c>
      <c r="N1800" s="15" t="str">
        <f aca="false">IF(OR($A1800="",$B1800="",$L1800="",$M1800="",$J1800="취소"),"",IF(SUMPRODUCT(($A$3:$A$2002=$A1800)*($B$3:$B$2002=$B1800)*($J$3:$J$2002&lt;&gt;"취소")*($L$3:$L$2002&lt;&gt;"")*($M$3:$M$2002&lt;&gt;"")*($L$3:$L$2002&lt;$M1800)*($M$3:$M$2002&gt;$L1800))&gt;1,"중복","-"))</f>
        <v/>
      </c>
    </row>
    <row r="1801" customFormat="false" ht="15" hidden="false" customHeight="true" outlineLevel="0" collapsed="false">
      <c r="A1801" s="11"/>
      <c r="B1801" s="7"/>
      <c r="C1801" s="12" t="str">
        <f aca="false">IF($B1801="","",IFERROR(INDEX(자원목록!$B$3:$B$102,MATCH($B1801,자원목록!$A$3:$A$102,0)),"미등록자원"))</f>
        <v/>
      </c>
      <c r="D1801" s="7"/>
      <c r="E1801" s="12" t="str">
        <f aca="false">IF($D1801="","",IFERROR(INDEX(고객목록!$B$3:$B$502,MATCH($D1801,고객목록!$A$3:$A$502,0)),""))</f>
        <v/>
      </c>
      <c r="F1801" s="13"/>
      <c r="G1801" s="13"/>
      <c r="H1801" s="14" t="str">
        <f aca="false">IF(OR($L1801="",$M1801=""),"",ROUND(($M1801-$L1801)/60,2))</f>
        <v/>
      </c>
      <c r="I1801" s="9"/>
      <c r="J1801" s="7"/>
      <c r="K1801" s="7"/>
      <c r="L1801" s="15" t="str">
        <f aca="false">IF($F1801="","",IF($F1801&lt;1,ROUND($F1801*1440,0),INT($F1801/100)*60+MOD($F1801,100)))</f>
        <v/>
      </c>
      <c r="M1801" s="15" t="str">
        <f aca="false">IF($G1801="","",IF($G1801&lt;1,ROUND($G1801*1440,0),INT($G1801/100)*60+MOD($G1801,100)))</f>
        <v/>
      </c>
      <c r="N1801" s="15" t="str">
        <f aca="false">IF(OR($A1801="",$B1801="",$L1801="",$M1801="",$J1801="취소"),"",IF(SUMPRODUCT(($A$3:$A$2002=$A1801)*($B$3:$B$2002=$B1801)*($J$3:$J$2002&lt;&gt;"취소")*($L$3:$L$2002&lt;&gt;"")*($M$3:$M$2002&lt;&gt;"")*($L$3:$L$2002&lt;$M1801)*($M$3:$M$2002&gt;$L1801))&gt;1,"중복","-"))</f>
        <v/>
      </c>
    </row>
    <row r="1802" customFormat="false" ht="15" hidden="false" customHeight="true" outlineLevel="0" collapsed="false">
      <c r="A1802" s="11"/>
      <c r="B1802" s="7"/>
      <c r="C1802" s="12" t="str">
        <f aca="false">IF($B1802="","",IFERROR(INDEX(자원목록!$B$3:$B$102,MATCH($B1802,자원목록!$A$3:$A$102,0)),"미등록자원"))</f>
        <v/>
      </c>
      <c r="D1802" s="7"/>
      <c r="E1802" s="12" t="str">
        <f aca="false">IF($D1802="","",IFERROR(INDEX(고객목록!$B$3:$B$502,MATCH($D1802,고객목록!$A$3:$A$502,0)),""))</f>
        <v/>
      </c>
      <c r="F1802" s="13"/>
      <c r="G1802" s="13"/>
      <c r="H1802" s="14" t="str">
        <f aca="false">IF(OR($L1802="",$M1802=""),"",ROUND(($M1802-$L1802)/60,2))</f>
        <v/>
      </c>
      <c r="I1802" s="9"/>
      <c r="J1802" s="7"/>
      <c r="K1802" s="7"/>
      <c r="L1802" s="15" t="str">
        <f aca="false">IF($F1802="","",IF($F1802&lt;1,ROUND($F1802*1440,0),INT($F1802/100)*60+MOD($F1802,100)))</f>
        <v/>
      </c>
      <c r="M1802" s="15" t="str">
        <f aca="false">IF($G1802="","",IF($G1802&lt;1,ROUND($G1802*1440,0),INT($G1802/100)*60+MOD($G1802,100)))</f>
        <v/>
      </c>
      <c r="N1802" s="15" t="str">
        <f aca="false">IF(OR($A1802="",$B1802="",$L1802="",$M1802="",$J1802="취소"),"",IF(SUMPRODUCT(($A$3:$A$2002=$A1802)*($B$3:$B$2002=$B1802)*($J$3:$J$2002&lt;&gt;"취소")*($L$3:$L$2002&lt;&gt;"")*($M$3:$M$2002&lt;&gt;"")*($L$3:$L$2002&lt;$M1802)*($M$3:$M$2002&gt;$L1802))&gt;1,"중복","-"))</f>
        <v/>
      </c>
    </row>
    <row r="1803" customFormat="false" ht="15" hidden="false" customHeight="true" outlineLevel="0" collapsed="false">
      <c r="A1803" s="11"/>
      <c r="B1803" s="7"/>
      <c r="C1803" s="12" t="str">
        <f aca="false">IF($B1803="","",IFERROR(INDEX(자원목록!$B$3:$B$102,MATCH($B1803,자원목록!$A$3:$A$102,0)),"미등록자원"))</f>
        <v/>
      </c>
      <c r="D1803" s="7"/>
      <c r="E1803" s="12" t="str">
        <f aca="false">IF($D1803="","",IFERROR(INDEX(고객목록!$B$3:$B$502,MATCH($D1803,고객목록!$A$3:$A$502,0)),""))</f>
        <v/>
      </c>
      <c r="F1803" s="13"/>
      <c r="G1803" s="13"/>
      <c r="H1803" s="14" t="str">
        <f aca="false">IF(OR($L1803="",$M1803=""),"",ROUND(($M1803-$L1803)/60,2))</f>
        <v/>
      </c>
      <c r="I1803" s="9"/>
      <c r="J1803" s="7"/>
      <c r="K1803" s="7"/>
      <c r="L1803" s="15" t="str">
        <f aca="false">IF($F1803="","",IF($F1803&lt;1,ROUND($F1803*1440,0),INT($F1803/100)*60+MOD($F1803,100)))</f>
        <v/>
      </c>
      <c r="M1803" s="15" t="str">
        <f aca="false">IF($G1803="","",IF($G1803&lt;1,ROUND($G1803*1440,0),INT($G1803/100)*60+MOD($G1803,100)))</f>
        <v/>
      </c>
      <c r="N1803" s="15" t="str">
        <f aca="false">IF(OR($A1803="",$B1803="",$L1803="",$M1803="",$J1803="취소"),"",IF(SUMPRODUCT(($A$3:$A$2002=$A1803)*($B$3:$B$2002=$B1803)*($J$3:$J$2002&lt;&gt;"취소")*($L$3:$L$2002&lt;&gt;"")*($M$3:$M$2002&lt;&gt;"")*($L$3:$L$2002&lt;$M1803)*($M$3:$M$2002&gt;$L1803))&gt;1,"중복","-"))</f>
        <v/>
      </c>
    </row>
    <row r="1804" customFormat="false" ht="15" hidden="false" customHeight="true" outlineLevel="0" collapsed="false">
      <c r="A1804" s="11"/>
      <c r="B1804" s="7"/>
      <c r="C1804" s="12" t="str">
        <f aca="false">IF($B1804="","",IFERROR(INDEX(자원목록!$B$3:$B$102,MATCH($B1804,자원목록!$A$3:$A$102,0)),"미등록자원"))</f>
        <v/>
      </c>
      <c r="D1804" s="7"/>
      <c r="E1804" s="12" t="str">
        <f aca="false">IF($D1804="","",IFERROR(INDEX(고객목록!$B$3:$B$502,MATCH($D1804,고객목록!$A$3:$A$502,0)),""))</f>
        <v/>
      </c>
      <c r="F1804" s="13"/>
      <c r="G1804" s="13"/>
      <c r="H1804" s="14" t="str">
        <f aca="false">IF(OR($L1804="",$M1804=""),"",ROUND(($M1804-$L1804)/60,2))</f>
        <v/>
      </c>
      <c r="I1804" s="9"/>
      <c r="J1804" s="7"/>
      <c r="K1804" s="7"/>
      <c r="L1804" s="15" t="str">
        <f aca="false">IF($F1804="","",IF($F1804&lt;1,ROUND($F1804*1440,0),INT($F1804/100)*60+MOD($F1804,100)))</f>
        <v/>
      </c>
      <c r="M1804" s="15" t="str">
        <f aca="false">IF($G1804="","",IF($G1804&lt;1,ROUND($G1804*1440,0),INT($G1804/100)*60+MOD($G1804,100)))</f>
        <v/>
      </c>
      <c r="N1804" s="15" t="str">
        <f aca="false">IF(OR($A1804="",$B1804="",$L1804="",$M1804="",$J1804="취소"),"",IF(SUMPRODUCT(($A$3:$A$2002=$A1804)*($B$3:$B$2002=$B1804)*($J$3:$J$2002&lt;&gt;"취소")*($L$3:$L$2002&lt;&gt;"")*($M$3:$M$2002&lt;&gt;"")*($L$3:$L$2002&lt;$M1804)*($M$3:$M$2002&gt;$L1804))&gt;1,"중복","-"))</f>
        <v/>
      </c>
    </row>
    <row r="1805" customFormat="false" ht="15" hidden="false" customHeight="true" outlineLevel="0" collapsed="false">
      <c r="A1805" s="11"/>
      <c r="B1805" s="7"/>
      <c r="C1805" s="12" t="str">
        <f aca="false">IF($B1805="","",IFERROR(INDEX(자원목록!$B$3:$B$102,MATCH($B1805,자원목록!$A$3:$A$102,0)),"미등록자원"))</f>
        <v/>
      </c>
      <c r="D1805" s="7"/>
      <c r="E1805" s="12" t="str">
        <f aca="false">IF($D1805="","",IFERROR(INDEX(고객목록!$B$3:$B$502,MATCH($D1805,고객목록!$A$3:$A$502,0)),""))</f>
        <v/>
      </c>
      <c r="F1805" s="13"/>
      <c r="G1805" s="13"/>
      <c r="H1805" s="14" t="str">
        <f aca="false">IF(OR($L1805="",$M1805=""),"",ROUND(($M1805-$L1805)/60,2))</f>
        <v/>
      </c>
      <c r="I1805" s="9"/>
      <c r="J1805" s="7"/>
      <c r="K1805" s="7"/>
      <c r="L1805" s="15" t="str">
        <f aca="false">IF($F1805="","",IF($F1805&lt;1,ROUND($F1805*1440,0),INT($F1805/100)*60+MOD($F1805,100)))</f>
        <v/>
      </c>
      <c r="M1805" s="15" t="str">
        <f aca="false">IF($G1805="","",IF($G1805&lt;1,ROUND($G1805*1440,0),INT($G1805/100)*60+MOD($G1805,100)))</f>
        <v/>
      </c>
      <c r="N1805" s="15" t="str">
        <f aca="false">IF(OR($A1805="",$B1805="",$L1805="",$M1805="",$J1805="취소"),"",IF(SUMPRODUCT(($A$3:$A$2002=$A1805)*($B$3:$B$2002=$B1805)*($J$3:$J$2002&lt;&gt;"취소")*($L$3:$L$2002&lt;&gt;"")*($M$3:$M$2002&lt;&gt;"")*($L$3:$L$2002&lt;$M1805)*($M$3:$M$2002&gt;$L1805))&gt;1,"중복","-"))</f>
        <v/>
      </c>
    </row>
    <row r="1806" customFormat="false" ht="15" hidden="false" customHeight="true" outlineLevel="0" collapsed="false">
      <c r="A1806" s="11"/>
      <c r="B1806" s="7"/>
      <c r="C1806" s="12" t="str">
        <f aca="false">IF($B1806="","",IFERROR(INDEX(자원목록!$B$3:$B$102,MATCH($B1806,자원목록!$A$3:$A$102,0)),"미등록자원"))</f>
        <v/>
      </c>
      <c r="D1806" s="7"/>
      <c r="E1806" s="12" t="str">
        <f aca="false">IF($D1806="","",IFERROR(INDEX(고객목록!$B$3:$B$502,MATCH($D1806,고객목록!$A$3:$A$502,0)),""))</f>
        <v/>
      </c>
      <c r="F1806" s="13"/>
      <c r="G1806" s="13"/>
      <c r="H1806" s="14" t="str">
        <f aca="false">IF(OR($L1806="",$M1806=""),"",ROUND(($M1806-$L1806)/60,2))</f>
        <v/>
      </c>
      <c r="I1806" s="9"/>
      <c r="J1806" s="7"/>
      <c r="K1806" s="7"/>
      <c r="L1806" s="15" t="str">
        <f aca="false">IF($F1806="","",IF($F1806&lt;1,ROUND($F1806*1440,0),INT($F1806/100)*60+MOD($F1806,100)))</f>
        <v/>
      </c>
      <c r="M1806" s="15" t="str">
        <f aca="false">IF($G1806="","",IF($G1806&lt;1,ROUND($G1806*1440,0),INT($G1806/100)*60+MOD($G1806,100)))</f>
        <v/>
      </c>
      <c r="N1806" s="15" t="str">
        <f aca="false">IF(OR($A1806="",$B1806="",$L1806="",$M1806="",$J1806="취소"),"",IF(SUMPRODUCT(($A$3:$A$2002=$A1806)*($B$3:$B$2002=$B1806)*($J$3:$J$2002&lt;&gt;"취소")*($L$3:$L$2002&lt;&gt;"")*($M$3:$M$2002&lt;&gt;"")*($L$3:$L$2002&lt;$M1806)*($M$3:$M$2002&gt;$L1806))&gt;1,"중복","-"))</f>
        <v/>
      </c>
    </row>
    <row r="1807" customFormat="false" ht="15" hidden="false" customHeight="true" outlineLevel="0" collapsed="false">
      <c r="A1807" s="11"/>
      <c r="B1807" s="7"/>
      <c r="C1807" s="12" t="str">
        <f aca="false">IF($B1807="","",IFERROR(INDEX(자원목록!$B$3:$B$102,MATCH($B1807,자원목록!$A$3:$A$102,0)),"미등록자원"))</f>
        <v/>
      </c>
      <c r="D1807" s="7"/>
      <c r="E1807" s="12" t="str">
        <f aca="false">IF($D1807="","",IFERROR(INDEX(고객목록!$B$3:$B$502,MATCH($D1807,고객목록!$A$3:$A$502,0)),""))</f>
        <v/>
      </c>
      <c r="F1807" s="13"/>
      <c r="G1807" s="13"/>
      <c r="H1807" s="14" t="str">
        <f aca="false">IF(OR($L1807="",$M1807=""),"",ROUND(($M1807-$L1807)/60,2))</f>
        <v/>
      </c>
      <c r="I1807" s="9"/>
      <c r="J1807" s="7"/>
      <c r="K1807" s="7"/>
      <c r="L1807" s="15" t="str">
        <f aca="false">IF($F1807="","",IF($F1807&lt;1,ROUND($F1807*1440,0),INT($F1807/100)*60+MOD($F1807,100)))</f>
        <v/>
      </c>
      <c r="M1807" s="15" t="str">
        <f aca="false">IF($G1807="","",IF($G1807&lt;1,ROUND($G1807*1440,0),INT($G1807/100)*60+MOD($G1807,100)))</f>
        <v/>
      </c>
      <c r="N1807" s="15" t="str">
        <f aca="false">IF(OR($A1807="",$B1807="",$L1807="",$M1807="",$J1807="취소"),"",IF(SUMPRODUCT(($A$3:$A$2002=$A1807)*($B$3:$B$2002=$B1807)*($J$3:$J$2002&lt;&gt;"취소")*($L$3:$L$2002&lt;&gt;"")*($M$3:$M$2002&lt;&gt;"")*($L$3:$L$2002&lt;$M1807)*($M$3:$M$2002&gt;$L1807))&gt;1,"중복","-"))</f>
        <v/>
      </c>
    </row>
    <row r="1808" customFormat="false" ht="15" hidden="false" customHeight="true" outlineLevel="0" collapsed="false">
      <c r="A1808" s="11"/>
      <c r="B1808" s="7"/>
      <c r="C1808" s="12" t="str">
        <f aca="false">IF($B1808="","",IFERROR(INDEX(자원목록!$B$3:$B$102,MATCH($B1808,자원목록!$A$3:$A$102,0)),"미등록자원"))</f>
        <v/>
      </c>
      <c r="D1808" s="7"/>
      <c r="E1808" s="12" t="str">
        <f aca="false">IF($D1808="","",IFERROR(INDEX(고객목록!$B$3:$B$502,MATCH($D1808,고객목록!$A$3:$A$502,0)),""))</f>
        <v/>
      </c>
      <c r="F1808" s="13"/>
      <c r="G1808" s="13"/>
      <c r="H1808" s="14" t="str">
        <f aca="false">IF(OR($L1808="",$M1808=""),"",ROUND(($M1808-$L1808)/60,2))</f>
        <v/>
      </c>
      <c r="I1808" s="9"/>
      <c r="J1808" s="7"/>
      <c r="K1808" s="7"/>
      <c r="L1808" s="15" t="str">
        <f aca="false">IF($F1808="","",IF($F1808&lt;1,ROUND($F1808*1440,0),INT($F1808/100)*60+MOD($F1808,100)))</f>
        <v/>
      </c>
      <c r="M1808" s="15" t="str">
        <f aca="false">IF($G1808="","",IF($G1808&lt;1,ROUND($G1808*1440,0),INT($G1808/100)*60+MOD($G1808,100)))</f>
        <v/>
      </c>
      <c r="N1808" s="15" t="str">
        <f aca="false">IF(OR($A1808="",$B1808="",$L1808="",$M1808="",$J1808="취소"),"",IF(SUMPRODUCT(($A$3:$A$2002=$A1808)*($B$3:$B$2002=$B1808)*($J$3:$J$2002&lt;&gt;"취소")*($L$3:$L$2002&lt;&gt;"")*($M$3:$M$2002&lt;&gt;"")*($L$3:$L$2002&lt;$M1808)*($M$3:$M$2002&gt;$L1808))&gt;1,"중복","-"))</f>
        <v/>
      </c>
    </row>
    <row r="1809" customFormat="false" ht="15" hidden="false" customHeight="true" outlineLevel="0" collapsed="false">
      <c r="A1809" s="11"/>
      <c r="B1809" s="7"/>
      <c r="C1809" s="12" t="str">
        <f aca="false">IF($B1809="","",IFERROR(INDEX(자원목록!$B$3:$B$102,MATCH($B1809,자원목록!$A$3:$A$102,0)),"미등록자원"))</f>
        <v/>
      </c>
      <c r="D1809" s="7"/>
      <c r="E1809" s="12" t="str">
        <f aca="false">IF($D1809="","",IFERROR(INDEX(고객목록!$B$3:$B$502,MATCH($D1809,고객목록!$A$3:$A$502,0)),""))</f>
        <v/>
      </c>
      <c r="F1809" s="13"/>
      <c r="G1809" s="13"/>
      <c r="H1809" s="14" t="str">
        <f aca="false">IF(OR($L1809="",$M1809=""),"",ROUND(($M1809-$L1809)/60,2))</f>
        <v/>
      </c>
      <c r="I1809" s="9"/>
      <c r="J1809" s="7"/>
      <c r="K1809" s="7"/>
      <c r="L1809" s="15" t="str">
        <f aca="false">IF($F1809="","",IF($F1809&lt;1,ROUND($F1809*1440,0),INT($F1809/100)*60+MOD($F1809,100)))</f>
        <v/>
      </c>
      <c r="M1809" s="15" t="str">
        <f aca="false">IF($G1809="","",IF($G1809&lt;1,ROUND($G1809*1440,0),INT($G1809/100)*60+MOD($G1809,100)))</f>
        <v/>
      </c>
      <c r="N1809" s="15" t="str">
        <f aca="false">IF(OR($A1809="",$B1809="",$L1809="",$M1809="",$J1809="취소"),"",IF(SUMPRODUCT(($A$3:$A$2002=$A1809)*($B$3:$B$2002=$B1809)*($J$3:$J$2002&lt;&gt;"취소")*($L$3:$L$2002&lt;&gt;"")*($M$3:$M$2002&lt;&gt;"")*($L$3:$L$2002&lt;$M1809)*($M$3:$M$2002&gt;$L1809))&gt;1,"중복","-"))</f>
        <v/>
      </c>
    </row>
    <row r="1810" customFormat="false" ht="15" hidden="false" customHeight="true" outlineLevel="0" collapsed="false">
      <c r="A1810" s="11"/>
      <c r="B1810" s="7"/>
      <c r="C1810" s="12" t="str">
        <f aca="false">IF($B1810="","",IFERROR(INDEX(자원목록!$B$3:$B$102,MATCH($B1810,자원목록!$A$3:$A$102,0)),"미등록자원"))</f>
        <v/>
      </c>
      <c r="D1810" s="7"/>
      <c r="E1810" s="12" t="str">
        <f aca="false">IF($D1810="","",IFERROR(INDEX(고객목록!$B$3:$B$502,MATCH($D1810,고객목록!$A$3:$A$502,0)),""))</f>
        <v/>
      </c>
      <c r="F1810" s="13"/>
      <c r="G1810" s="13"/>
      <c r="H1810" s="14" t="str">
        <f aca="false">IF(OR($L1810="",$M1810=""),"",ROUND(($M1810-$L1810)/60,2))</f>
        <v/>
      </c>
      <c r="I1810" s="9"/>
      <c r="J1810" s="7"/>
      <c r="K1810" s="7"/>
      <c r="L1810" s="15" t="str">
        <f aca="false">IF($F1810="","",IF($F1810&lt;1,ROUND($F1810*1440,0),INT($F1810/100)*60+MOD($F1810,100)))</f>
        <v/>
      </c>
      <c r="M1810" s="15" t="str">
        <f aca="false">IF($G1810="","",IF($G1810&lt;1,ROUND($G1810*1440,0),INT($G1810/100)*60+MOD($G1810,100)))</f>
        <v/>
      </c>
      <c r="N1810" s="15" t="str">
        <f aca="false">IF(OR($A1810="",$B1810="",$L1810="",$M1810="",$J1810="취소"),"",IF(SUMPRODUCT(($A$3:$A$2002=$A1810)*($B$3:$B$2002=$B1810)*($J$3:$J$2002&lt;&gt;"취소")*($L$3:$L$2002&lt;&gt;"")*($M$3:$M$2002&lt;&gt;"")*($L$3:$L$2002&lt;$M1810)*($M$3:$M$2002&gt;$L1810))&gt;1,"중복","-"))</f>
        <v/>
      </c>
    </row>
    <row r="1811" customFormat="false" ht="15" hidden="false" customHeight="true" outlineLevel="0" collapsed="false">
      <c r="A1811" s="11"/>
      <c r="B1811" s="7"/>
      <c r="C1811" s="12" t="str">
        <f aca="false">IF($B1811="","",IFERROR(INDEX(자원목록!$B$3:$B$102,MATCH($B1811,자원목록!$A$3:$A$102,0)),"미등록자원"))</f>
        <v/>
      </c>
      <c r="D1811" s="7"/>
      <c r="E1811" s="12" t="str">
        <f aca="false">IF($D1811="","",IFERROR(INDEX(고객목록!$B$3:$B$502,MATCH($D1811,고객목록!$A$3:$A$502,0)),""))</f>
        <v/>
      </c>
      <c r="F1811" s="13"/>
      <c r="G1811" s="13"/>
      <c r="H1811" s="14" t="str">
        <f aca="false">IF(OR($L1811="",$M1811=""),"",ROUND(($M1811-$L1811)/60,2))</f>
        <v/>
      </c>
      <c r="I1811" s="9"/>
      <c r="J1811" s="7"/>
      <c r="K1811" s="7"/>
      <c r="L1811" s="15" t="str">
        <f aca="false">IF($F1811="","",IF($F1811&lt;1,ROUND($F1811*1440,0),INT($F1811/100)*60+MOD($F1811,100)))</f>
        <v/>
      </c>
      <c r="M1811" s="15" t="str">
        <f aca="false">IF($G1811="","",IF($G1811&lt;1,ROUND($G1811*1440,0),INT($G1811/100)*60+MOD($G1811,100)))</f>
        <v/>
      </c>
      <c r="N1811" s="15" t="str">
        <f aca="false">IF(OR($A1811="",$B1811="",$L1811="",$M1811="",$J1811="취소"),"",IF(SUMPRODUCT(($A$3:$A$2002=$A1811)*($B$3:$B$2002=$B1811)*($J$3:$J$2002&lt;&gt;"취소")*($L$3:$L$2002&lt;&gt;"")*($M$3:$M$2002&lt;&gt;"")*($L$3:$L$2002&lt;$M1811)*($M$3:$M$2002&gt;$L1811))&gt;1,"중복","-"))</f>
        <v/>
      </c>
    </row>
    <row r="1812" customFormat="false" ht="15" hidden="false" customHeight="true" outlineLevel="0" collapsed="false">
      <c r="A1812" s="11"/>
      <c r="B1812" s="7"/>
      <c r="C1812" s="12" t="str">
        <f aca="false">IF($B1812="","",IFERROR(INDEX(자원목록!$B$3:$B$102,MATCH($B1812,자원목록!$A$3:$A$102,0)),"미등록자원"))</f>
        <v/>
      </c>
      <c r="D1812" s="7"/>
      <c r="E1812" s="12" t="str">
        <f aca="false">IF($D1812="","",IFERROR(INDEX(고객목록!$B$3:$B$502,MATCH($D1812,고객목록!$A$3:$A$502,0)),""))</f>
        <v/>
      </c>
      <c r="F1812" s="13"/>
      <c r="G1812" s="13"/>
      <c r="H1812" s="14" t="str">
        <f aca="false">IF(OR($L1812="",$M1812=""),"",ROUND(($M1812-$L1812)/60,2))</f>
        <v/>
      </c>
      <c r="I1812" s="9"/>
      <c r="J1812" s="7"/>
      <c r="K1812" s="7"/>
      <c r="L1812" s="15" t="str">
        <f aca="false">IF($F1812="","",IF($F1812&lt;1,ROUND($F1812*1440,0),INT($F1812/100)*60+MOD($F1812,100)))</f>
        <v/>
      </c>
      <c r="M1812" s="15" t="str">
        <f aca="false">IF($G1812="","",IF($G1812&lt;1,ROUND($G1812*1440,0),INT($G1812/100)*60+MOD($G1812,100)))</f>
        <v/>
      </c>
      <c r="N1812" s="15" t="str">
        <f aca="false">IF(OR($A1812="",$B1812="",$L1812="",$M1812="",$J1812="취소"),"",IF(SUMPRODUCT(($A$3:$A$2002=$A1812)*($B$3:$B$2002=$B1812)*($J$3:$J$2002&lt;&gt;"취소")*($L$3:$L$2002&lt;&gt;"")*($M$3:$M$2002&lt;&gt;"")*($L$3:$L$2002&lt;$M1812)*($M$3:$M$2002&gt;$L1812))&gt;1,"중복","-"))</f>
        <v/>
      </c>
    </row>
    <row r="1813" customFormat="false" ht="15" hidden="false" customHeight="true" outlineLevel="0" collapsed="false">
      <c r="A1813" s="11"/>
      <c r="B1813" s="7"/>
      <c r="C1813" s="12" t="str">
        <f aca="false">IF($B1813="","",IFERROR(INDEX(자원목록!$B$3:$B$102,MATCH($B1813,자원목록!$A$3:$A$102,0)),"미등록자원"))</f>
        <v/>
      </c>
      <c r="D1813" s="7"/>
      <c r="E1813" s="12" t="str">
        <f aca="false">IF($D1813="","",IFERROR(INDEX(고객목록!$B$3:$B$502,MATCH($D1813,고객목록!$A$3:$A$502,0)),""))</f>
        <v/>
      </c>
      <c r="F1813" s="13"/>
      <c r="G1813" s="13"/>
      <c r="H1813" s="14" t="str">
        <f aca="false">IF(OR($L1813="",$M1813=""),"",ROUND(($M1813-$L1813)/60,2))</f>
        <v/>
      </c>
      <c r="I1813" s="9"/>
      <c r="J1813" s="7"/>
      <c r="K1813" s="7"/>
      <c r="L1813" s="15" t="str">
        <f aca="false">IF($F1813="","",IF($F1813&lt;1,ROUND($F1813*1440,0),INT($F1813/100)*60+MOD($F1813,100)))</f>
        <v/>
      </c>
      <c r="M1813" s="15" t="str">
        <f aca="false">IF($G1813="","",IF($G1813&lt;1,ROUND($G1813*1440,0),INT($G1813/100)*60+MOD($G1813,100)))</f>
        <v/>
      </c>
      <c r="N1813" s="15" t="str">
        <f aca="false">IF(OR($A1813="",$B1813="",$L1813="",$M1813="",$J1813="취소"),"",IF(SUMPRODUCT(($A$3:$A$2002=$A1813)*($B$3:$B$2002=$B1813)*($J$3:$J$2002&lt;&gt;"취소")*($L$3:$L$2002&lt;&gt;"")*($M$3:$M$2002&lt;&gt;"")*($L$3:$L$2002&lt;$M1813)*($M$3:$M$2002&gt;$L1813))&gt;1,"중복","-"))</f>
        <v/>
      </c>
    </row>
    <row r="1814" customFormat="false" ht="15" hidden="false" customHeight="true" outlineLevel="0" collapsed="false">
      <c r="A1814" s="11"/>
      <c r="B1814" s="7"/>
      <c r="C1814" s="12" t="str">
        <f aca="false">IF($B1814="","",IFERROR(INDEX(자원목록!$B$3:$B$102,MATCH($B1814,자원목록!$A$3:$A$102,0)),"미등록자원"))</f>
        <v/>
      </c>
      <c r="D1814" s="7"/>
      <c r="E1814" s="12" t="str">
        <f aca="false">IF($D1814="","",IFERROR(INDEX(고객목록!$B$3:$B$502,MATCH($D1814,고객목록!$A$3:$A$502,0)),""))</f>
        <v/>
      </c>
      <c r="F1814" s="13"/>
      <c r="G1814" s="13"/>
      <c r="H1814" s="14" t="str">
        <f aca="false">IF(OR($L1814="",$M1814=""),"",ROUND(($M1814-$L1814)/60,2))</f>
        <v/>
      </c>
      <c r="I1814" s="9"/>
      <c r="J1814" s="7"/>
      <c r="K1814" s="7"/>
      <c r="L1814" s="15" t="str">
        <f aca="false">IF($F1814="","",IF($F1814&lt;1,ROUND($F1814*1440,0),INT($F1814/100)*60+MOD($F1814,100)))</f>
        <v/>
      </c>
      <c r="M1814" s="15" t="str">
        <f aca="false">IF($G1814="","",IF($G1814&lt;1,ROUND($G1814*1440,0),INT($G1814/100)*60+MOD($G1814,100)))</f>
        <v/>
      </c>
      <c r="N1814" s="15" t="str">
        <f aca="false">IF(OR($A1814="",$B1814="",$L1814="",$M1814="",$J1814="취소"),"",IF(SUMPRODUCT(($A$3:$A$2002=$A1814)*($B$3:$B$2002=$B1814)*($J$3:$J$2002&lt;&gt;"취소")*($L$3:$L$2002&lt;&gt;"")*($M$3:$M$2002&lt;&gt;"")*($L$3:$L$2002&lt;$M1814)*($M$3:$M$2002&gt;$L1814))&gt;1,"중복","-"))</f>
        <v/>
      </c>
    </row>
    <row r="1815" customFormat="false" ht="15" hidden="false" customHeight="true" outlineLevel="0" collapsed="false">
      <c r="A1815" s="11"/>
      <c r="B1815" s="7"/>
      <c r="C1815" s="12" t="str">
        <f aca="false">IF($B1815="","",IFERROR(INDEX(자원목록!$B$3:$B$102,MATCH($B1815,자원목록!$A$3:$A$102,0)),"미등록자원"))</f>
        <v/>
      </c>
      <c r="D1815" s="7"/>
      <c r="E1815" s="12" t="str">
        <f aca="false">IF($D1815="","",IFERROR(INDEX(고객목록!$B$3:$B$502,MATCH($D1815,고객목록!$A$3:$A$502,0)),""))</f>
        <v/>
      </c>
      <c r="F1815" s="13"/>
      <c r="G1815" s="13"/>
      <c r="H1815" s="14" t="str">
        <f aca="false">IF(OR($L1815="",$M1815=""),"",ROUND(($M1815-$L1815)/60,2))</f>
        <v/>
      </c>
      <c r="I1815" s="9"/>
      <c r="J1815" s="7"/>
      <c r="K1815" s="7"/>
      <c r="L1815" s="15" t="str">
        <f aca="false">IF($F1815="","",IF($F1815&lt;1,ROUND($F1815*1440,0),INT($F1815/100)*60+MOD($F1815,100)))</f>
        <v/>
      </c>
      <c r="M1815" s="15" t="str">
        <f aca="false">IF($G1815="","",IF($G1815&lt;1,ROUND($G1815*1440,0),INT($G1815/100)*60+MOD($G1815,100)))</f>
        <v/>
      </c>
      <c r="N1815" s="15" t="str">
        <f aca="false">IF(OR($A1815="",$B1815="",$L1815="",$M1815="",$J1815="취소"),"",IF(SUMPRODUCT(($A$3:$A$2002=$A1815)*($B$3:$B$2002=$B1815)*($J$3:$J$2002&lt;&gt;"취소")*($L$3:$L$2002&lt;&gt;"")*($M$3:$M$2002&lt;&gt;"")*($L$3:$L$2002&lt;$M1815)*($M$3:$M$2002&gt;$L1815))&gt;1,"중복","-"))</f>
        <v/>
      </c>
    </row>
    <row r="1816" customFormat="false" ht="15" hidden="false" customHeight="true" outlineLevel="0" collapsed="false">
      <c r="A1816" s="11"/>
      <c r="B1816" s="7"/>
      <c r="C1816" s="12" t="str">
        <f aca="false">IF($B1816="","",IFERROR(INDEX(자원목록!$B$3:$B$102,MATCH($B1816,자원목록!$A$3:$A$102,0)),"미등록자원"))</f>
        <v/>
      </c>
      <c r="D1816" s="7"/>
      <c r="E1816" s="12" t="str">
        <f aca="false">IF($D1816="","",IFERROR(INDEX(고객목록!$B$3:$B$502,MATCH($D1816,고객목록!$A$3:$A$502,0)),""))</f>
        <v/>
      </c>
      <c r="F1816" s="13"/>
      <c r="G1816" s="13"/>
      <c r="H1816" s="14" t="str">
        <f aca="false">IF(OR($L1816="",$M1816=""),"",ROUND(($M1816-$L1816)/60,2))</f>
        <v/>
      </c>
      <c r="I1816" s="9"/>
      <c r="J1816" s="7"/>
      <c r="K1816" s="7"/>
      <c r="L1816" s="15" t="str">
        <f aca="false">IF($F1816="","",IF($F1816&lt;1,ROUND($F1816*1440,0),INT($F1816/100)*60+MOD($F1816,100)))</f>
        <v/>
      </c>
      <c r="M1816" s="15" t="str">
        <f aca="false">IF($G1816="","",IF($G1816&lt;1,ROUND($G1816*1440,0),INT($G1816/100)*60+MOD($G1816,100)))</f>
        <v/>
      </c>
      <c r="N1816" s="15" t="str">
        <f aca="false">IF(OR($A1816="",$B1816="",$L1816="",$M1816="",$J1816="취소"),"",IF(SUMPRODUCT(($A$3:$A$2002=$A1816)*($B$3:$B$2002=$B1816)*($J$3:$J$2002&lt;&gt;"취소")*($L$3:$L$2002&lt;&gt;"")*($M$3:$M$2002&lt;&gt;"")*($L$3:$L$2002&lt;$M1816)*($M$3:$M$2002&gt;$L1816))&gt;1,"중복","-"))</f>
        <v/>
      </c>
    </row>
    <row r="1817" customFormat="false" ht="15" hidden="false" customHeight="true" outlineLevel="0" collapsed="false">
      <c r="A1817" s="11"/>
      <c r="B1817" s="7"/>
      <c r="C1817" s="12" t="str">
        <f aca="false">IF($B1817="","",IFERROR(INDEX(자원목록!$B$3:$B$102,MATCH($B1817,자원목록!$A$3:$A$102,0)),"미등록자원"))</f>
        <v/>
      </c>
      <c r="D1817" s="7"/>
      <c r="E1817" s="12" t="str">
        <f aca="false">IF($D1817="","",IFERROR(INDEX(고객목록!$B$3:$B$502,MATCH($D1817,고객목록!$A$3:$A$502,0)),""))</f>
        <v/>
      </c>
      <c r="F1817" s="13"/>
      <c r="G1817" s="13"/>
      <c r="H1817" s="14" t="str">
        <f aca="false">IF(OR($L1817="",$M1817=""),"",ROUND(($M1817-$L1817)/60,2))</f>
        <v/>
      </c>
      <c r="I1817" s="9"/>
      <c r="J1817" s="7"/>
      <c r="K1817" s="7"/>
      <c r="L1817" s="15" t="str">
        <f aca="false">IF($F1817="","",IF($F1817&lt;1,ROUND($F1817*1440,0),INT($F1817/100)*60+MOD($F1817,100)))</f>
        <v/>
      </c>
      <c r="M1817" s="15" t="str">
        <f aca="false">IF($G1817="","",IF($G1817&lt;1,ROUND($G1817*1440,0),INT($G1817/100)*60+MOD($G1817,100)))</f>
        <v/>
      </c>
      <c r="N1817" s="15" t="str">
        <f aca="false">IF(OR($A1817="",$B1817="",$L1817="",$M1817="",$J1817="취소"),"",IF(SUMPRODUCT(($A$3:$A$2002=$A1817)*($B$3:$B$2002=$B1817)*($J$3:$J$2002&lt;&gt;"취소")*($L$3:$L$2002&lt;&gt;"")*($M$3:$M$2002&lt;&gt;"")*($L$3:$L$2002&lt;$M1817)*($M$3:$M$2002&gt;$L1817))&gt;1,"중복","-"))</f>
        <v/>
      </c>
    </row>
    <row r="1818" customFormat="false" ht="15" hidden="false" customHeight="true" outlineLevel="0" collapsed="false">
      <c r="A1818" s="11"/>
      <c r="B1818" s="7"/>
      <c r="C1818" s="12" t="str">
        <f aca="false">IF($B1818="","",IFERROR(INDEX(자원목록!$B$3:$B$102,MATCH($B1818,자원목록!$A$3:$A$102,0)),"미등록자원"))</f>
        <v/>
      </c>
      <c r="D1818" s="7"/>
      <c r="E1818" s="12" t="str">
        <f aca="false">IF($D1818="","",IFERROR(INDEX(고객목록!$B$3:$B$502,MATCH($D1818,고객목록!$A$3:$A$502,0)),""))</f>
        <v/>
      </c>
      <c r="F1818" s="13"/>
      <c r="G1818" s="13"/>
      <c r="H1818" s="14" t="str">
        <f aca="false">IF(OR($L1818="",$M1818=""),"",ROUND(($M1818-$L1818)/60,2))</f>
        <v/>
      </c>
      <c r="I1818" s="9"/>
      <c r="J1818" s="7"/>
      <c r="K1818" s="7"/>
      <c r="L1818" s="15" t="str">
        <f aca="false">IF($F1818="","",IF($F1818&lt;1,ROUND($F1818*1440,0),INT($F1818/100)*60+MOD($F1818,100)))</f>
        <v/>
      </c>
      <c r="M1818" s="15" t="str">
        <f aca="false">IF($G1818="","",IF($G1818&lt;1,ROUND($G1818*1440,0),INT($G1818/100)*60+MOD($G1818,100)))</f>
        <v/>
      </c>
      <c r="N1818" s="15" t="str">
        <f aca="false">IF(OR($A1818="",$B1818="",$L1818="",$M1818="",$J1818="취소"),"",IF(SUMPRODUCT(($A$3:$A$2002=$A1818)*($B$3:$B$2002=$B1818)*($J$3:$J$2002&lt;&gt;"취소")*($L$3:$L$2002&lt;&gt;"")*($M$3:$M$2002&lt;&gt;"")*($L$3:$L$2002&lt;$M1818)*($M$3:$M$2002&gt;$L1818))&gt;1,"중복","-"))</f>
        <v/>
      </c>
    </row>
    <row r="1819" customFormat="false" ht="15" hidden="false" customHeight="true" outlineLevel="0" collapsed="false">
      <c r="A1819" s="11"/>
      <c r="B1819" s="7"/>
      <c r="C1819" s="12" t="str">
        <f aca="false">IF($B1819="","",IFERROR(INDEX(자원목록!$B$3:$B$102,MATCH($B1819,자원목록!$A$3:$A$102,0)),"미등록자원"))</f>
        <v/>
      </c>
      <c r="D1819" s="7"/>
      <c r="E1819" s="12" t="str">
        <f aca="false">IF($D1819="","",IFERROR(INDEX(고객목록!$B$3:$B$502,MATCH($D1819,고객목록!$A$3:$A$502,0)),""))</f>
        <v/>
      </c>
      <c r="F1819" s="13"/>
      <c r="G1819" s="13"/>
      <c r="H1819" s="14" t="str">
        <f aca="false">IF(OR($L1819="",$M1819=""),"",ROUND(($M1819-$L1819)/60,2))</f>
        <v/>
      </c>
      <c r="I1819" s="9"/>
      <c r="J1819" s="7"/>
      <c r="K1819" s="7"/>
      <c r="L1819" s="15" t="str">
        <f aca="false">IF($F1819="","",IF($F1819&lt;1,ROUND($F1819*1440,0),INT($F1819/100)*60+MOD($F1819,100)))</f>
        <v/>
      </c>
      <c r="M1819" s="15" t="str">
        <f aca="false">IF($G1819="","",IF($G1819&lt;1,ROUND($G1819*1440,0),INT($G1819/100)*60+MOD($G1819,100)))</f>
        <v/>
      </c>
      <c r="N1819" s="15" t="str">
        <f aca="false">IF(OR($A1819="",$B1819="",$L1819="",$M1819="",$J1819="취소"),"",IF(SUMPRODUCT(($A$3:$A$2002=$A1819)*($B$3:$B$2002=$B1819)*($J$3:$J$2002&lt;&gt;"취소")*($L$3:$L$2002&lt;&gt;"")*($M$3:$M$2002&lt;&gt;"")*($L$3:$L$2002&lt;$M1819)*($M$3:$M$2002&gt;$L1819))&gt;1,"중복","-"))</f>
        <v/>
      </c>
    </row>
    <row r="1820" customFormat="false" ht="15" hidden="false" customHeight="true" outlineLevel="0" collapsed="false">
      <c r="A1820" s="11"/>
      <c r="B1820" s="7"/>
      <c r="C1820" s="12" t="str">
        <f aca="false">IF($B1820="","",IFERROR(INDEX(자원목록!$B$3:$B$102,MATCH($B1820,자원목록!$A$3:$A$102,0)),"미등록자원"))</f>
        <v/>
      </c>
      <c r="D1820" s="7"/>
      <c r="E1820" s="12" t="str">
        <f aca="false">IF($D1820="","",IFERROR(INDEX(고객목록!$B$3:$B$502,MATCH($D1820,고객목록!$A$3:$A$502,0)),""))</f>
        <v/>
      </c>
      <c r="F1820" s="13"/>
      <c r="G1820" s="13"/>
      <c r="H1820" s="14" t="str">
        <f aca="false">IF(OR($L1820="",$M1820=""),"",ROUND(($M1820-$L1820)/60,2))</f>
        <v/>
      </c>
      <c r="I1820" s="9"/>
      <c r="J1820" s="7"/>
      <c r="K1820" s="7"/>
      <c r="L1820" s="15" t="str">
        <f aca="false">IF($F1820="","",IF($F1820&lt;1,ROUND($F1820*1440,0),INT($F1820/100)*60+MOD($F1820,100)))</f>
        <v/>
      </c>
      <c r="M1820" s="15" t="str">
        <f aca="false">IF($G1820="","",IF($G1820&lt;1,ROUND($G1820*1440,0),INT($G1820/100)*60+MOD($G1820,100)))</f>
        <v/>
      </c>
      <c r="N1820" s="15" t="str">
        <f aca="false">IF(OR($A1820="",$B1820="",$L1820="",$M1820="",$J1820="취소"),"",IF(SUMPRODUCT(($A$3:$A$2002=$A1820)*($B$3:$B$2002=$B1820)*($J$3:$J$2002&lt;&gt;"취소")*($L$3:$L$2002&lt;&gt;"")*($M$3:$M$2002&lt;&gt;"")*($L$3:$L$2002&lt;$M1820)*($M$3:$M$2002&gt;$L1820))&gt;1,"중복","-"))</f>
        <v/>
      </c>
    </row>
    <row r="1821" customFormat="false" ht="15" hidden="false" customHeight="true" outlineLevel="0" collapsed="false">
      <c r="A1821" s="11"/>
      <c r="B1821" s="7"/>
      <c r="C1821" s="12" t="str">
        <f aca="false">IF($B1821="","",IFERROR(INDEX(자원목록!$B$3:$B$102,MATCH($B1821,자원목록!$A$3:$A$102,0)),"미등록자원"))</f>
        <v/>
      </c>
      <c r="D1821" s="7"/>
      <c r="E1821" s="12" t="str">
        <f aca="false">IF($D1821="","",IFERROR(INDEX(고객목록!$B$3:$B$502,MATCH($D1821,고객목록!$A$3:$A$502,0)),""))</f>
        <v/>
      </c>
      <c r="F1821" s="13"/>
      <c r="G1821" s="13"/>
      <c r="H1821" s="14" t="str">
        <f aca="false">IF(OR($L1821="",$M1821=""),"",ROUND(($M1821-$L1821)/60,2))</f>
        <v/>
      </c>
      <c r="I1821" s="9"/>
      <c r="J1821" s="7"/>
      <c r="K1821" s="7"/>
      <c r="L1821" s="15" t="str">
        <f aca="false">IF($F1821="","",IF($F1821&lt;1,ROUND($F1821*1440,0),INT($F1821/100)*60+MOD($F1821,100)))</f>
        <v/>
      </c>
      <c r="M1821" s="15" t="str">
        <f aca="false">IF($G1821="","",IF($G1821&lt;1,ROUND($G1821*1440,0),INT($G1821/100)*60+MOD($G1821,100)))</f>
        <v/>
      </c>
      <c r="N1821" s="15" t="str">
        <f aca="false">IF(OR($A1821="",$B1821="",$L1821="",$M1821="",$J1821="취소"),"",IF(SUMPRODUCT(($A$3:$A$2002=$A1821)*($B$3:$B$2002=$B1821)*($J$3:$J$2002&lt;&gt;"취소")*($L$3:$L$2002&lt;&gt;"")*($M$3:$M$2002&lt;&gt;"")*($L$3:$L$2002&lt;$M1821)*($M$3:$M$2002&gt;$L1821))&gt;1,"중복","-"))</f>
        <v/>
      </c>
    </row>
    <row r="1822" customFormat="false" ht="15" hidden="false" customHeight="true" outlineLevel="0" collapsed="false">
      <c r="A1822" s="11"/>
      <c r="B1822" s="7"/>
      <c r="C1822" s="12" t="str">
        <f aca="false">IF($B1822="","",IFERROR(INDEX(자원목록!$B$3:$B$102,MATCH($B1822,자원목록!$A$3:$A$102,0)),"미등록자원"))</f>
        <v/>
      </c>
      <c r="D1822" s="7"/>
      <c r="E1822" s="12" t="str">
        <f aca="false">IF($D1822="","",IFERROR(INDEX(고객목록!$B$3:$B$502,MATCH($D1822,고객목록!$A$3:$A$502,0)),""))</f>
        <v/>
      </c>
      <c r="F1822" s="13"/>
      <c r="G1822" s="13"/>
      <c r="H1822" s="14" t="str">
        <f aca="false">IF(OR($L1822="",$M1822=""),"",ROUND(($M1822-$L1822)/60,2))</f>
        <v/>
      </c>
      <c r="I1822" s="9"/>
      <c r="J1822" s="7"/>
      <c r="K1822" s="7"/>
      <c r="L1822" s="15" t="str">
        <f aca="false">IF($F1822="","",IF($F1822&lt;1,ROUND($F1822*1440,0),INT($F1822/100)*60+MOD($F1822,100)))</f>
        <v/>
      </c>
      <c r="M1822" s="15" t="str">
        <f aca="false">IF($G1822="","",IF($G1822&lt;1,ROUND($G1822*1440,0),INT($G1822/100)*60+MOD($G1822,100)))</f>
        <v/>
      </c>
      <c r="N1822" s="15" t="str">
        <f aca="false">IF(OR($A1822="",$B1822="",$L1822="",$M1822="",$J1822="취소"),"",IF(SUMPRODUCT(($A$3:$A$2002=$A1822)*($B$3:$B$2002=$B1822)*($J$3:$J$2002&lt;&gt;"취소")*($L$3:$L$2002&lt;&gt;"")*($M$3:$M$2002&lt;&gt;"")*($L$3:$L$2002&lt;$M1822)*($M$3:$M$2002&gt;$L1822))&gt;1,"중복","-"))</f>
        <v/>
      </c>
    </row>
    <row r="1823" customFormat="false" ht="15" hidden="false" customHeight="true" outlineLevel="0" collapsed="false">
      <c r="A1823" s="11"/>
      <c r="B1823" s="7"/>
      <c r="C1823" s="12" t="str">
        <f aca="false">IF($B1823="","",IFERROR(INDEX(자원목록!$B$3:$B$102,MATCH($B1823,자원목록!$A$3:$A$102,0)),"미등록자원"))</f>
        <v/>
      </c>
      <c r="D1823" s="7"/>
      <c r="E1823" s="12" t="str">
        <f aca="false">IF($D1823="","",IFERROR(INDEX(고객목록!$B$3:$B$502,MATCH($D1823,고객목록!$A$3:$A$502,0)),""))</f>
        <v/>
      </c>
      <c r="F1823" s="13"/>
      <c r="G1823" s="13"/>
      <c r="H1823" s="14" t="str">
        <f aca="false">IF(OR($L1823="",$M1823=""),"",ROUND(($M1823-$L1823)/60,2))</f>
        <v/>
      </c>
      <c r="I1823" s="9"/>
      <c r="J1823" s="7"/>
      <c r="K1823" s="7"/>
      <c r="L1823" s="15" t="str">
        <f aca="false">IF($F1823="","",IF($F1823&lt;1,ROUND($F1823*1440,0),INT($F1823/100)*60+MOD($F1823,100)))</f>
        <v/>
      </c>
      <c r="M1823" s="15" t="str">
        <f aca="false">IF($G1823="","",IF($G1823&lt;1,ROUND($G1823*1440,0),INT($G1823/100)*60+MOD($G1823,100)))</f>
        <v/>
      </c>
      <c r="N1823" s="15" t="str">
        <f aca="false">IF(OR($A1823="",$B1823="",$L1823="",$M1823="",$J1823="취소"),"",IF(SUMPRODUCT(($A$3:$A$2002=$A1823)*($B$3:$B$2002=$B1823)*($J$3:$J$2002&lt;&gt;"취소")*($L$3:$L$2002&lt;&gt;"")*($M$3:$M$2002&lt;&gt;"")*($L$3:$L$2002&lt;$M1823)*($M$3:$M$2002&gt;$L1823))&gt;1,"중복","-"))</f>
        <v/>
      </c>
    </row>
    <row r="1824" customFormat="false" ht="15" hidden="false" customHeight="true" outlineLevel="0" collapsed="false">
      <c r="A1824" s="11"/>
      <c r="B1824" s="7"/>
      <c r="C1824" s="12" t="str">
        <f aca="false">IF($B1824="","",IFERROR(INDEX(자원목록!$B$3:$B$102,MATCH($B1824,자원목록!$A$3:$A$102,0)),"미등록자원"))</f>
        <v/>
      </c>
      <c r="D1824" s="7"/>
      <c r="E1824" s="12" t="str">
        <f aca="false">IF($D1824="","",IFERROR(INDEX(고객목록!$B$3:$B$502,MATCH($D1824,고객목록!$A$3:$A$502,0)),""))</f>
        <v/>
      </c>
      <c r="F1824" s="13"/>
      <c r="G1824" s="13"/>
      <c r="H1824" s="14" t="str">
        <f aca="false">IF(OR($L1824="",$M1824=""),"",ROUND(($M1824-$L1824)/60,2))</f>
        <v/>
      </c>
      <c r="I1824" s="9"/>
      <c r="J1824" s="7"/>
      <c r="K1824" s="7"/>
      <c r="L1824" s="15" t="str">
        <f aca="false">IF($F1824="","",IF($F1824&lt;1,ROUND($F1824*1440,0),INT($F1824/100)*60+MOD($F1824,100)))</f>
        <v/>
      </c>
      <c r="M1824" s="15" t="str">
        <f aca="false">IF($G1824="","",IF($G1824&lt;1,ROUND($G1824*1440,0),INT($G1824/100)*60+MOD($G1824,100)))</f>
        <v/>
      </c>
      <c r="N1824" s="15" t="str">
        <f aca="false">IF(OR($A1824="",$B1824="",$L1824="",$M1824="",$J1824="취소"),"",IF(SUMPRODUCT(($A$3:$A$2002=$A1824)*($B$3:$B$2002=$B1824)*($J$3:$J$2002&lt;&gt;"취소")*($L$3:$L$2002&lt;&gt;"")*($M$3:$M$2002&lt;&gt;"")*($L$3:$L$2002&lt;$M1824)*($M$3:$M$2002&gt;$L1824))&gt;1,"중복","-"))</f>
        <v/>
      </c>
    </row>
    <row r="1825" customFormat="false" ht="15" hidden="false" customHeight="true" outlineLevel="0" collapsed="false">
      <c r="A1825" s="11"/>
      <c r="B1825" s="7"/>
      <c r="C1825" s="12" t="str">
        <f aca="false">IF($B1825="","",IFERROR(INDEX(자원목록!$B$3:$B$102,MATCH($B1825,자원목록!$A$3:$A$102,0)),"미등록자원"))</f>
        <v/>
      </c>
      <c r="D1825" s="7"/>
      <c r="E1825" s="12" t="str">
        <f aca="false">IF($D1825="","",IFERROR(INDEX(고객목록!$B$3:$B$502,MATCH($D1825,고객목록!$A$3:$A$502,0)),""))</f>
        <v/>
      </c>
      <c r="F1825" s="13"/>
      <c r="G1825" s="13"/>
      <c r="H1825" s="14" t="str">
        <f aca="false">IF(OR($L1825="",$M1825=""),"",ROUND(($M1825-$L1825)/60,2))</f>
        <v/>
      </c>
      <c r="I1825" s="9"/>
      <c r="J1825" s="7"/>
      <c r="K1825" s="7"/>
      <c r="L1825" s="15" t="str">
        <f aca="false">IF($F1825="","",IF($F1825&lt;1,ROUND($F1825*1440,0),INT($F1825/100)*60+MOD($F1825,100)))</f>
        <v/>
      </c>
      <c r="M1825" s="15" t="str">
        <f aca="false">IF($G1825="","",IF($G1825&lt;1,ROUND($G1825*1440,0),INT($G1825/100)*60+MOD($G1825,100)))</f>
        <v/>
      </c>
      <c r="N1825" s="15" t="str">
        <f aca="false">IF(OR($A1825="",$B1825="",$L1825="",$M1825="",$J1825="취소"),"",IF(SUMPRODUCT(($A$3:$A$2002=$A1825)*($B$3:$B$2002=$B1825)*($J$3:$J$2002&lt;&gt;"취소")*($L$3:$L$2002&lt;&gt;"")*($M$3:$M$2002&lt;&gt;"")*($L$3:$L$2002&lt;$M1825)*($M$3:$M$2002&gt;$L1825))&gt;1,"중복","-"))</f>
        <v/>
      </c>
    </row>
    <row r="1826" customFormat="false" ht="15" hidden="false" customHeight="true" outlineLevel="0" collapsed="false">
      <c r="A1826" s="11"/>
      <c r="B1826" s="7"/>
      <c r="C1826" s="12" t="str">
        <f aca="false">IF($B1826="","",IFERROR(INDEX(자원목록!$B$3:$B$102,MATCH($B1826,자원목록!$A$3:$A$102,0)),"미등록자원"))</f>
        <v/>
      </c>
      <c r="D1826" s="7"/>
      <c r="E1826" s="12" t="str">
        <f aca="false">IF($D1826="","",IFERROR(INDEX(고객목록!$B$3:$B$502,MATCH($D1826,고객목록!$A$3:$A$502,0)),""))</f>
        <v/>
      </c>
      <c r="F1826" s="13"/>
      <c r="G1826" s="13"/>
      <c r="H1826" s="14" t="str">
        <f aca="false">IF(OR($L1826="",$M1826=""),"",ROUND(($M1826-$L1826)/60,2))</f>
        <v/>
      </c>
      <c r="I1826" s="9"/>
      <c r="J1826" s="7"/>
      <c r="K1826" s="7"/>
      <c r="L1826" s="15" t="str">
        <f aca="false">IF($F1826="","",IF($F1826&lt;1,ROUND($F1826*1440,0),INT($F1826/100)*60+MOD($F1826,100)))</f>
        <v/>
      </c>
      <c r="M1826" s="15" t="str">
        <f aca="false">IF($G1826="","",IF($G1826&lt;1,ROUND($G1826*1440,0),INT($G1826/100)*60+MOD($G1826,100)))</f>
        <v/>
      </c>
      <c r="N1826" s="15" t="str">
        <f aca="false">IF(OR($A1826="",$B1826="",$L1826="",$M1826="",$J1826="취소"),"",IF(SUMPRODUCT(($A$3:$A$2002=$A1826)*($B$3:$B$2002=$B1826)*($J$3:$J$2002&lt;&gt;"취소")*($L$3:$L$2002&lt;&gt;"")*($M$3:$M$2002&lt;&gt;"")*($L$3:$L$2002&lt;$M1826)*($M$3:$M$2002&gt;$L1826))&gt;1,"중복","-"))</f>
        <v/>
      </c>
    </row>
    <row r="1827" customFormat="false" ht="15" hidden="false" customHeight="true" outlineLevel="0" collapsed="false">
      <c r="A1827" s="11"/>
      <c r="B1827" s="7"/>
      <c r="C1827" s="12" t="str">
        <f aca="false">IF($B1827="","",IFERROR(INDEX(자원목록!$B$3:$B$102,MATCH($B1827,자원목록!$A$3:$A$102,0)),"미등록자원"))</f>
        <v/>
      </c>
      <c r="D1827" s="7"/>
      <c r="E1827" s="12" t="str">
        <f aca="false">IF($D1827="","",IFERROR(INDEX(고객목록!$B$3:$B$502,MATCH($D1827,고객목록!$A$3:$A$502,0)),""))</f>
        <v/>
      </c>
      <c r="F1827" s="13"/>
      <c r="G1827" s="13"/>
      <c r="H1827" s="14" t="str">
        <f aca="false">IF(OR($L1827="",$M1827=""),"",ROUND(($M1827-$L1827)/60,2))</f>
        <v/>
      </c>
      <c r="I1827" s="9"/>
      <c r="J1827" s="7"/>
      <c r="K1827" s="7"/>
      <c r="L1827" s="15" t="str">
        <f aca="false">IF($F1827="","",IF($F1827&lt;1,ROUND($F1827*1440,0),INT($F1827/100)*60+MOD($F1827,100)))</f>
        <v/>
      </c>
      <c r="M1827" s="15" t="str">
        <f aca="false">IF($G1827="","",IF($G1827&lt;1,ROUND($G1827*1440,0),INT($G1827/100)*60+MOD($G1827,100)))</f>
        <v/>
      </c>
      <c r="N1827" s="15" t="str">
        <f aca="false">IF(OR($A1827="",$B1827="",$L1827="",$M1827="",$J1827="취소"),"",IF(SUMPRODUCT(($A$3:$A$2002=$A1827)*($B$3:$B$2002=$B1827)*($J$3:$J$2002&lt;&gt;"취소")*($L$3:$L$2002&lt;&gt;"")*($M$3:$M$2002&lt;&gt;"")*($L$3:$L$2002&lt;$M1827)*($M$3:$M$2002&gt;$L1827))&gt;1,"중복","-"))</f>
        <v/>
      </c>
    </row>
    <row r="1828" customFormat="false" ht="15" hidden="false" customHeight="true" outlineLevel="0" collapsed="false">
      <c r="A1828" s="11"/>
      <c r="B1828" s="7"/>
      <c r="C1828" s="12" t="str">
        <f aca="false">IF($B1828="","",IFERROR(INDEX(자원목록!$B$3:$B$102,MATCH($B1828,자원목록!$A$3:$A$102,0)),"미등록자원"))</f>
        <v/>
      </c>
      <c r="D1828" s="7"/>
      <c r="E1828" s="12" t="str">
        <f aca="false">IF($D1828="","",IFERROR(INDEX(고객목록!$B$3:$B$502,MATCH($D1828,고객목록!$A$3:$A$502,0)),""))</f>
        <v/>
      </c>
      <c r="F1828" s="13"/>
      <c r="G1828" s="13"/>
      <c r="H1828" s="14" t="str">
        <f aca="false">IF(OR($L1828="",$M1828=""),"",ROUND(($M1828-$L1828)/60,2))</f>
        <v/>
      </c>
      <c r="I1828" s="9"/>
      <c r="J1828" s="7"/>
      <c r="K1828" s="7"/>
      <c r="L1828" s="15" t="str">
        <f aca="false">IF($F1828="","",IF($F1828&lt;1,ROUND($F1828*1440,0),INT($F1828/100)*60+MOD($F1828,100)))</f>
        <v/>
      </c>
      <c r="M1828" s="15" t="str">
        <f aca="false">IF($G1828="","",IF($G1828&lt;1,ROUND($G1828*1440,0),INT($G1828/100)*60+MOD($G1828,100)))</f>
        <v/>
      </c>
      <c r="N1828" s="15" t="str">
        <f aca="false">IF(OR($A1828="",$B1828="",$L1828="",$M1828="",$J1828="취소"),"",IF(SUMPRODUCT(($A$3:$A$2002=$A1828)*($B$3:$B$2002=$B1828)*($J$3:$J$2002&lt;&gt;"취소")*($L$3:$L$2002&lt;&gt;"")*($M$3:$M$2002&lt;&gt;"")*($L$3:$L$2002&lt;$M1828)*($M$3:$M$2002&gt;$L1828))&gt;1,"중복","-"))</f>
        <v/>
      </c>
    </row>
    <row r="1829" customFormat="false" ht="15" hidden="false" customHeight="true" outlineLevel="0" collapsed="false">
      <c r="A1829" s="11"/>
      <c r="B1829" s="7"/>
      <c r="C1829" s="12" t="str">
        <f aca="false">IF($B1829="","",IFERROR(INDEX(자원목록!$B$3:$B$102,MATCH($B1829,자원목록!$A$3:$A$102,0)),"미등록자원"))</f>
        <v/>
      </c>
      <c r="D1829" s="7"/>
      <c r="E1829" s="12" t="str">
        <f aca="false">IF($D1829="","",IFERROR(INDEX(고객목록!$B$3:$B$502,MATCH($D1829,고객목록!$A$3:$A$502,0)),""))</f>
        <v/>
      </c>
      <c r="F1829" s="13"/>
      <c r="G1829" s="13"/>
      <c r="H1829" s="14" t="str">
        <f aca="false">IF(OR($L1829="",$M1829=""),"",ROUND(($M1829-$L1829)/60,2))</f>
        <v/>
      </c>
      <c r="I1829" s="9"/>
      <c r="J1829" s="7"/>
      <c r="K1829" s="7"/>
      <c r="L1829" s="15" t="str">
        <f aca="false">IF($F1829="","",IF($F1829&lt;1,ROUND($F1829*1440,0),INT($F1829/100)*60+MOD($F1829,100)))</f>
        <v/>
      </c>
      <c r="M1829" s="15" t="str">
        <f aca="false">IF($G1829="","",IF($G1829&lt;1,ROUND($G1829*1440,0),INT($G1829/100)*60+MOD($G1829,100)))</f>
        <v/>
      </c>
      <c r="N1829" s="15" t="str">
        <f aca="false">IF(OR($A1829="",$B1829="",$L1829="",$M1829="",$J1829="취소"),"",IF(SUMPRODUCT(($A$3:$A$2002=$A1829)*($B$3:$B$2002=$B1829)*($J$3:$J$2002&lt;&gt;"취소")*($L$3:$L$2002&lt;&gt;"")*($M$3:$M$2002&lt;&gt;"")*($L$3:$L$2002&lt;$M1829)*($M$3:$M$2002&gt;$L1829))&gt;1,"중복","-"))</f>
        <v/>
      </c>
    </row>
    <row r="1830" customFormat="false" ht="15" hidden="false" customHeight="true" outlineLevel="0" collapsed="false">
      <c r="A1830" s="11"/>
      <c r="B1830" s="7"/>
      <c r="C1830" s="12" t="str">
        <f aca="false">IF($B1830="","",IFERROR(INDEX(자원목록!$B$3:$B$102,MATCH($B1830,자원목록!$A$3:$A$102,0)),"미등록자원"))</f>
        <v/>
      </c>
      <c r="D1830" s="7"/>
      <c r="E1830" s="12" t="str">
        <f aca="false">IF($D1830="","",IFERROR(INDEX(고객목록!$B$3:$B$502,MATCH($D1830,고객목록!$A$3:$A$502,0)),""))</f>
        <v/>
      </c>
      <c r="F1830" s="13"/>
      <c r="G1830" s="13"/>
      <c r="H1830" s="14" t="str">
        <f aca="false">IF(OR($L1830="",$M1830=""),"",ROUND(($M1830-$L1830)/60,2))</f>
        <v/>
      </c>
      <c r="I1830" s="9"/>
      <c r="J1830" s="7"/>
      <c r="K1830" s="7"/>
      <c r="L1830" s="15" t="str">
        <f aca="false">IF($F1830="","",IF($F1830&lt;1,ROUND($F1830*1440,0),INT($F1830/100)*60+MOD($F1830,100)))</f>
        <v/>
      </c>
      <c r="M1830" s="15" t="str">
        <f aca="false">IF($G1830="","",IF($G1830&lt;1,ROUND($G1830*1440,0),INT($G1830/100)*60+MOD($G1830,100)))</f>
        <v/>
      </c>
      <c r="N1830" s="15" t="str">
        <f aca="false">IF(OR($A1830="",$B1830="",$L1830="",$M1830="",$J1830="취소"),"",IF(SUMPRODUCT(($A$3:$A$2002=$A1830)*($B$3:$B$2002=$B1830)*($J$3:$J$2002&lt;&gt;"취소")*($L$3:$L$2002&lt;&gt;"")*($M$3:$M$2002&lt;&gt;"")*($L$3:$L$2002&lt;$M1830)*($M$3:$M$2002&gt;$L1830))&gt;1,"중복","-"))</f>
        <v/>
      </c>
    </row>
    <row r="1831" customFormat="false" ht="15" hidden="false" customHeight="true" outlineLevel="0" collapsed="false">
      <c r="A1831" s="11"/>
      <c r="B1831" s="7"/>
      <c r="C1831" s="12" t="str">
        <f aca="false">IF($B1831="","",IFERROR(INDEX(자원목록!$B$3:$B$102,MATCH($B1831,자원목록!$A$3:$A$102,0)),"미등록자원"))</f>
        <v/>
      </c>
      <c r="D1831" s="7"/>
      <c r="E1831" s="12" t="str">
        <f aca="false">IF($D1831="","",IFERROR(INDEX(고객목록!$B$3:$B$502,MATCH($D1831,고객목록!$A$3:$A$502,0)),""))</f>
        <v/>
      </c>
      <c r="F1831" s="13"/>
      <c r="G1831" s="13"/>
      <c r="H1831" s="14" t="str">
        <f aca="false">IF(OR($L1831="",$M1831=""),"",ROUND(($M1831-$L1831)/60,2))</f>
        <v/>
      </c>
      <c r="I1831" s="9"/>
      <c r="J1831" s="7"/>
      <c r="K1831" s="7"/>
      <c r="L1831" s="15" t="str">
        <f aca="false">IF($F1831="","",IF($F1831&lt;1,ROUND($F1831*1440,0),INT($F1831/100)*60+MOD($F1831,100)))</f>
        <v/>
      </c>
      <c r="M1831" s="15" t="str">
        <f aca="false">IF($G1831="","",IF($G1831&lt;1,ROUND($G1831*1440,0),INT($G1831/100)*60+MOD($G1831,100)))</f>
        <v/>
      </c>
      <c r="N1831" s="15" t="str">
        <f aca="false">IF(OR($A1831="",$B1831="",$L1831="",$M1831="",$J1831="취소"),"",IF(SUMPRODUCT(($A$3:$A$2002=$A1831)*($B$3:$B$2002=$B1831)*($J$3:$J$2002&lt;&gt;"취소")*($L$3:$L$2002&lt;&gt;"")*($M$3:$M$2002&lt;&gt;"")*($L$3:$L$2002&lt;$M1831)*($M$3:$M$2002&gt;$L1831))&gt;1,"중복","-"))</f>
        <v/>
      </c>
    </row>
    <row r="1832" customFormat="false" ht="15" hidden="false" customHeight="true" outlineLevel="0" collapsed="false">
      <c r="A1832" s="11"/>
      <c r="B1832" s="7"/>
      <c r="C1832" s="12" t="str">
        <f aca="false">IF($B1832="","",IFERROR(INDEX(자원목록!$B$3:$B$102,MATCH($B1832,자원목록!$A$3:$A$102,0)),"미등록자원"))</f>
        <v/>
      </c>
      <c r="D1832" s="7"/>
      <c r="E1832" s="12" t="str">
        <f aca="false">IF($D1832="","",IFERROR(INDEX(고객목록!$B$3:$B$502,MATCH($D1832,고객목록!$A$3:$A$502,0)),""))</f>
        <v/>
      </c>
      <c r="F1832" s="13"/>
      <c r="G1832" s="13"/>
      <c r="H1832" s="14" t="str">
        <f aca="false">IF(OR($L1832="",$M1832=""),"",ROUND(($M1832-$L1832)/60,2))</f>
        <v/>
      </c>
      <c r="I1832" s="9"/>
      <c r="J1832" s="7"/>
      <c r="K1832" s="7"/>
      <c r="L1832" s="15" t="str">
        <f aca="false">IF($F1832="","",IF($F1832&lt;1,ROUND($F1832*1440,0),INT($F1832/100)*60+MOD($F1832,100)))</f>
        <v/>
      </c>
      <c r="M1832" s="15" t="str">
        <f aca="false">IF($G1832="","",IF($G1832&lt;1,ROUND($G1832*1440,0),INT($G1832/100)*60+MOD($G1832,100)))</f>
        <v/>
      </c>
      <c r="N1832" s="15" t="str">
        <f aca="false">IF(OR($A1832="",$B1832="",$L1832="",$M1832="",$J1832="취소"),"",IF(SUMPRODUCT(($A$3:$A$2002=$A1832)*($B$3:$B$2002=$B1832)*($J$3:$J$2002&lt;&gt;"취소")*($L$3:$L$2002&lt;&gt;"")*($M$3:$M$2002&lt;&gt;"")*($L$3:$L$2002&lt;$M1832)*($M$3:$M$2002&gt;$L1832))&gt;1,"중복","-"))</f>
        <v/>
      </c>
    </row>
    <row r="1833" customFormat="false" ht="15" hidden="false" customHeight="true" outlineLevel="0" collapsed="false">
      <c r="A1833" s="11"/>
      <c r="B1833" s="7"/>
      <c r="C1833" s="12" t="str">
        <f aca="false">IF($B1833="","",IFERROR(INDEX(자원목록!$B$3:$B$102,MATCH($B1833,자원목록!$A$3:$A$102,0)),"미등록자원"))</f>
        <v/>
      </c>
      <c r="D1833" s="7"/>
      <c r="E1833" s="12" t="str">
        <f aca="false">IF($D1833="","",IFERROR(INDEX(고객목록!$B$3:$B$502,MATCH($D1833,고객목록!$A$3:$A$502,0)),""))</f>
        <v/>
      </c>
      <c r="F1833" s="13"/>
      <c r="G1833" s="13"/>
      <c r="H1833" s="14" t="str">
        <f aca="false">IF(OR($L1833="",$M1833=""),"",ROUND(($M1833-$L1833)/60,2))</f>
        <v/>
      </c>
      <c r="I1833" s="9"/>
      <c r="J1833" s="7"/>
      <c r="K1833" s="7"/>
      <c r="L1833" s="15" t="str">
        <f aca="false">IF($F1833="","",IF($F1833&lt;1,ROUND($F1833*1440,0),INT($F1833/100)*60+MOD($F1833,100)))</f>
        <v/>
      </c>
      <c r="M1833" s="15" t="str">
        <f aca="false">IF($G1833="","",IF($G1833&lt;1,ROUND($G1833*1440,0),INT($G1833/100)*60+MOD($G1833,100)))</f>
        <v/>
      </c>
      <c r="N1833" s="15" t="str">
        <f aca="false">IF(OR($A1833="",$B1833="",$L1833="",$M1833="",$J1833="취소"),"",IF(SUMPRODUCT(($A$3:$A$2002=$A1833)*($B$3:$B$2002=$B1833)*($J$3:$J$2002&lt;&gt;"취소")*($L$3:$L$2002&lt;&gt;"")*($M$3:$M$2002&lt;&gt;"")*($L$3:$L$2002&lt;$M1833)*($M$3:$M$2002&gt;$L1833))&gt;1,"중복","-"))</f>
        <v/>
      </c>
    </row>
    <row r="1834" customFormat="false" ht="15" hidden="false" customHeight="true" outlineLevel="0" collapsed="false">
      <c r="A1834" s="11"/>
      <c r="B1834" s="7"/>
      <c r="C1834" s="12" t="str">
        <f aca="false">IF($B1834="","",IFERROR(INDEX(자원목록!$B$3:$B$102,MATCH($B1834,자원목록!$A$3:$A$102,0)),"미등록자원"))</f>
        <v/>
      </c>
      <c r="D1834" s="7"/>
      <c r="E1834" s="12" t="str">
        <f aca="false">IF($D1834="","",IFERROR(INDEX(고객목록!$B$3:$B$502,MATCH($D1834,고객목록!$A$3:$A$502,0)),""))</f>
        <v/>
      </c>
      <c r="F1834" s="13"/>
      <c r="G1834" s="13"/>
      <c r="H1834" s="14" t="str">
        <f aca="false">IF(OR($L1834="",$M1834=""),"",ROUND(($M1834-$L1834)/60,2))</f>
        <v/>
      </c>
      <c r="I1834" s="9"/>
      <c r="J1834" s="7"/>
      <c r="K1834" s="7"/>
      <c r="L1834" s="15" t="str">
        <f aca="false">IF($F1834="","",IF($F1834&lt;1,ROUND($F1834*1440,0),INT($F1834/100)*60+MOD($F1834,100)))</f>
        <v/>
      </c>
      <c r="M1834" s="15" t="str">
        <f aca="false">IF($G1834="","",IF($G1834&lt;1,ROUND($G1834*1440,0),INT($G1834/100)*60+MOD($G1834,100)))</f>
        <v/>
      </c>
      <c r="N1834" s="15" t="str">
        <f aca="false">IF(OR($A1834="",$B1834="",$L1834="",$M1834="",$J1834="취소"),"",IF(SUMPRODUCT(($A$3:$A$2002=$A1834)*($B$3:$B$2002=$B1834)*($J$3:$J$2002&lt;&gt;"취소")*($L$3:$L$2002&lt;&gt;"")*($M$3:$M$2002&lt;&gt;"")*($L$3:$L$2002&lt;$M1834)*($M$3:$M$2002&gt;$L1834))&gt;1,"중복","-"))</f>
        <v/>
      </c>
    </row>
    <row r="1835" customFormat="false" ht="15" hidden="false" customHeight="true" outlineLevel="0" collapsed="false">
      <c r="A1835" s="11"/>
      <c r="B1835" s="7"/>
      <c r="C1835" s="12" t="str">
        <f aca="false">IF($B1835="","",IFERROR(INDEX(자원목록!$B$3:$B$102,MATCH($B1835,자원목록!$A$3:$A$102,0)),"미등록자원"))</f>
        <v/>
      </c>
      <c r="D1835" s="7"/>
      <c r="E1835" s="12" t="str">
        <f aca="false">IF($D1835="","",IFERROR(INDEX(고객목록!$B$3:$B$502,MATCH($D1835,고객목록!$A$3:$A$502,0)),""))</f>
        <v/>
      </c>
      <c r="F1835" s="13"/>
      <c r="G1835" s="13"/>
      <c r="H1835" s="14" t="str">
        <f aca="false">IF(OR($L1835="",$M1835=""),"",ROUND(($M1835-$L1835)/60,2))</f>
        <v/>
      </c>
      <c r="I1835" s="9"/>
      <c r="J1835" s="7"/>
      <c r="K1835" s="7"/>
      <c r="L1835" s="15" t="str">
        <f aca="false">IF($F1835="","",IF($F1835&lt;1,ROUND($F1835*1440,0),INT($F1835/100)*60+MOD($F1835,100)))</f>
        <v/>
      </c>
      <c r="M1835" s="15" t="str">
        <f aca="false">IF($G1835="","",IF($G1835&lt;1,ROUND($G1835*1440,0),INT($G1835/100)*60+MOD($G1835,100)))</f>
        <v/>
      </c>
      <c r="N1835" s="15" t="str">
        <f aca="false">IF(OR($A1835="",$B1835="",$L1835="",$M1835="",$J1835="취소"),"",IF(SUMPRODUCT(($A$3:$A$2002=$A1835)*($B$3:$B$2002=$B1835)*($J$3:$J$2002&lt;&gt;"취소")*($L$3:$L$2002&lt;&gt;"")*($M$3:$M$2002&lt;&gt;"")*($L$3:$L$2002&lt;$M1835)*($M$3:$M$2002&gt;$L1835))&gt;1,"중복","-"))</f>
        <v/>
      </c>
    </row>
    <row r="1836" customFormat="false" ht="15" hidden="false" customHeight="true" outlineLevel="0" collapsed="false">
      <c r="A1836" s="11"/>
      <c r="B1836" s="7"/>
      <c r="C1836" s="12" t="str">
        <f aca="false">IF($B1836="","",IFERROR(INDEX(자원목록!$B$3:$B$102,MATCH($B1836,자원목록!$A$3:$A$102,0)),"미등록자원"))</f>
        <v/>
      </c>
      <c r="D1836" s="7"/>
      <c r="E1836" s="12" t="str">
        <f aca="false">IF($D1836="","",IFERROR(INDEX(고객목록!$B$3:$B$502,MATCH($D1836,고객목록!$A$3:$A$502,0)),""))</f>
        <v/>
      </c>
      <c r="F1836" s="13"/>
      <c r="G1836" s="13"/>
      <c r="H1836" s="14" t="str">
        <f aca="false">IF(OR($L1836="",$M1836=""),"",ROUND(($M1836-$L1836)/60,2))</f>
        <v/>
      </c>
      <c r="I1836" s="9"/>
      <c r="J1836" s="7"/>
      <c r="K1836" s="7"/>
      <c r="L1836" s="15" t="str">
        <f aca="false">IF($F1836="","",IF($F1836&lt;1,ROUND($F1836*1440,0),INT($F1836/100)*60+MOD($F1836,100)))</f>
        <v/>
      </c>
      <c r="M1836" s="15" t="str">
        <f aca="false">IF($G1836="","",IF($G1836&lt;1,ROUND($G1836*1440,0),INT($G1836/100)*60+MOD($G1836,100)))</f>
        <v/>
      </c>
      <c r="N1836" s="15" t="str">
        <f aca="false">IF(OR($A1836="",$B1836="",$L1836="",$M1836="",$J1836="취소"),"",IF(SUMPRODUCT(($A$3:$A$2002=$A1836)*($B$3:$B$2002=$B1836)*($J$3:$J$2002&lt;&gt;"취소")*($L$3:$L$2002&lt;&gt;"")*($M$3:$M$2002&lt;&gt;"")*($L$3:$L$2002&lt;$M1836)*($M$3:$M$2002&gt;$L1836))&gt;1,"중복","-"))</f>
        <v/>
      </c>
    </row>
    <row r="1837" customFormat="false" ht="15" hidden="false" customHeight="true" outlineLevel="0" collapsed="false">
      <c r="A1837" s="11"/>
      <c r="B1837" s="7"/>
      <c r="C1837" s="12" t="str">
        <f aca="false">IF($B1837="","",IFERROR(INDEX(자원목록!$B$3:$B$102,MATCH($B1837,자원목록!$A$3:$A$102,0)),"미등록자원"))</f>
        <v/>
      </c>
      <c r="D1837" s="7"/>
      <c r="E1837" s="12" t="str">
        <f aca="false">IF($D1837="","",IFERROR(INDEX(고객목록!$B$3:$B$502,MATCH($D1837,고객목록!$A$3:$A$502,0)),""))</f>
        <v/>
      </c>
      <c r="F1837" s="13"/>
      <c r="G1837" s="13"/>
      <c r="H1837" s="14" t="str">
        <f aca="false">IF(OR($L1837="",$M1837=""),"",ROUND(($M1837-$L1837)/60,2))</f>
        <v/>
      </c>
      <c r="I1837" s="9"/>
      <c r="J1837" s="7"/>
      <c r="K1837" s="7"/>
      <c r="L1837" s="15" t="str">
        <f aca="false">IF($F1837="","",IF($F1837&lt;1,ROUND($F1837*1440,0),INT($F1837/100)*60+MOD($F1837,100)))</f>
        <v/>
      </c>
      <c r="M1837" s="15" t="str">
        <f aca="false">IF($G1837="","",IF($G1837&lt;1,ROUND($G1837*1440,0),INT($G1837/100)*60+MOD($G1837,100)))</f>
        <v/>
      </c>
      <c r="N1837" s="15" t="str">
        <f aca="false">IF(OR($A1837="",$B1837="",$L1837="",$M1837="",$J1837="취소"),"",IF(SUMPRODUCT(($A$3:$A$2002=$A1837)*($B$3:$B$2002=$B1837)*($J$3:$J$2002&lt;&gt;"취소")*($L$3:$L$2002&lt;&gt;"")*($M$3:$M$2002&lt;&gt;"")*($L$3:$L$2002&lt;$M1837)*($M$3:$M$2002&gt;$L1837))&gt;1,"중복","-"))</f>
        <v/>
      </c>
    </row>
    <row r="1838" customFormat="false" ht="15" hidden="false" customHeight="true" outlineLevel="0" collapsed="false">
      <c r="A1838" s="11"/>
      <c r="B1838" s="7"/>
      <c r="C1838" s="12" t="str">
        <f aca="false">IF($B1838="","",IFERROR(INDEX(자원목록!$B$3:$B$102,MATCH($B1838,자원목록!$A$3:$A$102,0)),"미등록자원"))</f>
        <v/>
      </c>
      <c r="D1838" s="7"/>
      <c r="E1838" s="12" t="str">
        <f aca="false">IF($D1838="","",IFERROR(INDEX(고객목록!$B$3:$B$502,MATCH($D1838,고객목록!$A$3:$A$502,0)),""))</f>
        <v/>
      </c>
      <c r="F1838" s="13"/>
      <c r="G1838" s="13"/>
      <c r="H1838" s="14" t="str">
        <f aca="false">IF(OR($L1838="",$M1838=""),"",ROUND(($M1838-$L1838)/60,2))</f>
        <v/>
      </c>
      <c r="I1838" s="9"/>
      <c r="J1838" s="7"/>
      <c r="K1838" s="7"/>
      <c r="L1838" s="15" t="str">
        <f aca="false">IF($F1838="","",IF($F1838&lt;1,ROUND($F1838*1440,0),INT($F1838/100)*60+MOD($F1838,100)))</f>
        <v/>
      </c>
      <c r="M1838" s="15" t="str">
        <f aca="false">IF($G1838="","",IF($G1838&lt;1,ROUND($G1838*1440,0),INT($G1838/100)*60+MOD($G1838,100)))</f>
        <v/>
      </c>
      <c r="N1838" s="15" t="str">
        <f aca="false">IF(OR($A1838="",$B1838="",$L1838="",$M1838="",$J1838="취소"),"",IF(SUMPRODUCT(($A$3:$A$2002=$A1838)*($B$3:$B$2002=$B1838)*($J$3:$J$2002&lt;&gt;"취소")*($L$3:$L$2002&lt;&gt;"")*($M$3:$M$2002&lt;&gt;"")*($L$3:$L$2002&lt;$M1838)*($M$3:$M$2002&gt;$L1838))&gt;1,"중복","-"))</f>
        <v/>
      </c>
    </row>
    <row r="1839" customFormat="false" ht="15" hidden="false" customHeight="true" outlineLevel="0" collapsed="false">
      <c r="A1839" s="11"/>
      <c r="B1839" s="7"/>
      <c r="C1839" s="12" t="str">
        <f aca="false">IF($B1839="","",IFERROR(INDEX(자원목록!$B$3:$B$102,MATCH($B1839,자원목록!$A$3:$A$102,0)),"미등록자원"))</f>
        <v/>
      </c>
      <c r="D1839" s="7"/>
      <c r="E1839" s="12" t="str">
        <f aca="false">IF($D1839="","",IFERROR(INDEX(고객목록!$B$3:$B$502,MATCH($D1839,고객목록!$A$3:$A$502,0)),""))</f>
        <v/>
      </c>
      <c r="F1839" s="13"/>
      <c r="G1839" s="13"/>
      <c r="H1839" s="14" t="str">
        <f aca="false">IF(OR($L1839="",$M1839=""),"",ROUND(($M1839-$L1839)/60,2))</f>
        <v/>
      </c>
      <c r="I1839" s="9"/>
      <c r="J1839" s="7"/>
      <c r="K1839" s="7"/>
      <c r="L1839" s="15" t="str">
        <f aca="false">IF($F1839="","",IF($F1839&lt;1,ROUND($F1839*1440,0),INT($F1839/100)*60+MOD($F1839,100)))</f>
        <v/>
      </c>
      <c r="M1839" s="15" t="str">
        <f aca="false">IF($G1839="","",IF($G1839&lt;1,ROUND($G1839*1440,0),INT($G1839/100)*60+MOD($G1839,100)))</f>
        <v/>
      </c>
      <c r="N1839" s="15" t="str">
        <f aca="false">IF(OR($A1839="",$B1839="",$L1839="",$M1839="",$J1839="취소"),"",IF(SUMPRODUCT(($A$3:$A$2002=$A1839)*($B$3:$B$2002=$B1839)*($J$3:$J$2002&lt;&gt;"취소")*($L$3:$L$2002&lt;&gt;"")*($M$3:$M$2002&lt;&gt;"")*($L$3:$L$2002&lt;$M1839)*($M$3:$M$2002&gt;$L1839))&gt;1,"중복","-"))</f>
        <v/>
      </c>
    </row>
    <row r="1840" customFormat="false" ht="15" hidden="false" customHeight="true" outlineLevel="0" collapsed="false">
      <c r="A1840" s="11"/>
      <c r="B1840" s="7"/>
      <c r="C1840" s="12" t="str">
        <f aca="false">IF($B1840="","",IFERROR(INDEX(자원목록!$B$3:$B$102,MATCH($B1840,자원목록!$A$3:$A$102,0)),"미등록자원"))</f>
        <v/>
      </c>
      <c r="D1840" s="7"/>
      <c r="E1840" s="12" t="str">
        <f aca="false">IF($D1840="","",IFERROR(INDEX(고객목록!$B$3:$B$502,MATCH($D1840,고객목록!$A$3:$A$502,0)),""))</f>
        <v/>
      </c>
      <c r="F1840" s="13"/>
      <c r="G1840" s="13"/>
      <c r="H1840" s="14" t="str">
        <f aca="false">IF(OR($L1840="",$M1840=""),"",ROUND(($M1840-$L1840)/60,2))</f>
        <v/>
      </c>
      <c r="I1840" s="9"/>
      <c r="J1840" s="7"/>
      <c r="K1840" s="7"/>
      <c r="L1840" s="15" t="str">
        <f aca="false">IF($F1840="","",IF($F1840&lt;1,ROUND($F1840*1440,0),INT($F1840/100)*60+MOD($F1840,100)))</f>
        <v/>
      </c>
      <c r="M1840" s="15" t="str">
        <f aca="false">IF($G1840="","",IF($G1840&lt;1,ROUND($G1840*1440,0),INT($G1840/100)*60+MOD($G1840,100)))</f>
        <v/>
      </c>
      <c r="N1840" s="15" t="str">
        <f aca="false">IF(OR($A1840="",$B1840="",$L1840="",$M1840="",$J1840="취소"),"",IF(SUMPRODUCT(($A$3:$A$2002=$A1840)*($B$3:$B$2002=$B1840)*($J$3:$J$2002&lt;&gt;"취소")*($L$3:$L$2002&lt;&gt;"")*($M$3:$M$2002&lt;&gt;"")*($L$3:$L$2002&lt;$M1840)*($M$3:$M$2002&gt;$L1840))&gt;1,"중복","-"))</f>
        <v/>
      </c>
    </row>
    <row r="1841" customFormat="false" ht="15" hidden="false" customHeight="true" outlineLevel="0" collapsed="false">
      <c r="A1841" s="11"/>
      <c r="B1841" s="7"/>
      <c r="C1841" s="12" t="str">
        <f aca="false">IF($B1841="","",IFERROR(INDEX(자원목록!$B$3:$B$102,MATCH($B1841,자원목록!$A$3:$A$102,0)),"미등록자원"))</f>
        <v/>
      </c>
      <c r="D1841" s="7"/>
      <c r="E1841" s="12" t="str">
        <f aca="false">IF($D1841="","",IFERROR(INDEX(고객목록!$B$3:$B$502,MATCH($D1841,고객목록!$A$3:$A$502,0)),""))</f>
        <v/>
      </c>
      <c r="F1841" s="13"/>
      <c r="G1841" s="13"/>
      <c r="H1841" s="14" t="str">
        <f aca="false">IF(OR($L1841="",$M1841=""),"",ROUND(($M1841-$L1841)/60,2))</f>
        <v/>
      </c>
      <c r="I1841" s="9"/>
      <c r="J1841" s="7"/>
      <c r="K1841" s="7"/>
      <c r="L1841" s="15" t="str">
        <f aca="false">IF($F1841="","",IF($F1841&lt;1,ROUND($F1841*1440,0),INT($F1841/100)*60+MOD($F1841,100)))</f>
        <v/>
      </c>
      <c r="M1841" s="15" t="str">
        <f aca="false">IF($G1841="","",IF($G1841&lt;1,ROUND($G1841*1440,0),INT($G1841/100)*60+MOD($G1841,100)))</f>
        <v/>
      </c>
      <c r="N1841" s="15" t="str">
        <f aca="false">IF(OR($A1841="",$B1841="",$L1841="",$M1841="",$J1841="취소"),"",IF(SUMPRODUCT(($A$3:$A$2002=$A1841)*($B$3:$B$2002=$B1841)*($J$3:$J$2002&lt;&gt;"취소")*($L$3:$L$2002&lt;&gt;"")*($M$3:$M$2002&lt;&gt;"")*($L$3:$L$2002&lt;$M1841)*($M$3:$M$2002&gt;$L1841))&gt;1,"중복","-"))</f>
        <v/>
      </c>
    </row>
    <row r="1842" customFormat="false" ht="15" hidden="false" customHeight="true" outlineLevel="0" collapsed="false">
      <c r="A1842" s="11"/>
      <c r="B1842" s="7"/>
      <c r="C1842" s="12" t="str">
        <f aca="false">IF($B1842="","",IFERROR(INDEX(자원목록!$B$3:$B$102,MATCH($B1842,자원목록!$A$3:$A$102,0)),"미등록자원"))</f>
        <v/>
      </c>
      <c r="D1842" s="7"/>
      <c r="E1842" s="12" t="str">
        <f aca="false">IF($D1842="","",IFERROR(INDEX(고객목록!$B$3:$B$502,MATCH($D1842,고객목록!$A$3:$A$502,0)),""))</f>
        <v/>
      </c>
      <c r="F1842" s="13"/>
      <c r="G1842" s="13"/>
      <c r="H1842" s="14" t="str">
        <f aca="false">IF(OR($L1842="",$M1842=""),"",ROUND(($M1842-$L1842)/60,2))</f>
        <v/>
      </c>
      <c r="I1842" s="9"/>
      <c r="J1842" s="7"/>
      <c r="K1842" s="7"/>
      <c r="L1842" s="15" t="str">
        <f aca="false">IF($F1842="","",IF($F1842&lt;1,ROUND($F1842*1440,0),INT($F1842/100)*60+MOD($F1842,100)))</f>
        <v/>
      </c>
      <c r="M1842" s="15" t="str">
        <f aca="false">IF($G1842="","",IF($G1842&lt;1,ROUND($G1842*1440,0),INT($G1842/100)*60+MOD($G1842,100)))</f>
        <v/>
      </c>
      <c r="N1842" s="15" t="str">
        <f aca="false">IF(OR($A1842="",$B1842="",$L1842="",$M1842="",$J1842="취소"),"",IF(SUMPRODUCT(($A$3:$A$2002=$A1842)*($B$3:$B$2002=$B1842)*($J$3:$J$2002&lt;&gt;"취소")*($L$3:$L$2002&lt;&gt;"")*($M$3:$M$2002&lt;&gt;"")*($L$3:$L$2002&lt;$M1842)*($M$3:$M$2002&gt;$L1842))&gt;1,"중복","-"))</f>
        <v/>
      </c>
    </row>
    <row r="1843" customFormat="false" ht="15" hidden="false" customHeight="true" outlineLevel="0" collapsed="false">
      <c r="A1843" s="11"/>
      <c r="B1843" s="7"/>
      <c r="C1843" s="12" t="str">
        <f aca="false">IF($B1843="","",IFERROR(INDEX(자원목록!$B$3:$B$102,MATCH($B1843,자원목록!$A$3:$A$102,0)),"미등록자원"))</f>
        <v/>
      </c>
      <c r="D1843" s="7"/>
      <c r="E1843" s="12" t="str">
        <f aca="false">IF($D1843="","",IFERROR(INDEX(고객목록!$B$3:$B$502,MATCH($D1843,고객목록!$A$3:$A$502,0)),""))</f>
        <v/>
      </c>
      <c r="F1843" s="13"/>
      <c r="G1843" s="13"/>
      <c r="H1843" s="14" t="str">
        <f aca="false">IF(OR($L1843="",$M1843=""),"",ROUND(($M1843-$L1843)/60,2))</f>
        <v/>
      </c>
      <c r="I1843" s="9"/>
      <c r="J1843" s="7"/>
      <c r="K1843" s="7"/>
      <c r="L1843" s="15" t="str">
        <f aca="false">IF($F1843="","",IF($F1843&lt;1,ROUND($F1843*1440,0),INT($F1843/100)*60+MOD($F1843,100)))</f>
        <v/>
      </c>
      <c r="M1843" s="15" t="str">
        <f aca="false">IF($G1843="","",IF($G1843&lt;1,ROUND($G1843*1440,0),INT($G1843/100)*60+MOD($G1843,100)))</f>
        <v/>
      </c>
      <c r="N1843" s="15" t="str">
        <f aca="false">IF(OR($A1843="",$B1843="",$L1843="",$M1843="",$J1843="취소"),"",IF(SUMPRODUCT(($A$3:$A$2002=$A1843)*($B$3:$B$2002=$B1843)*($J$3:$J$2002&lt;&gt;"취소")*($L$3:$L$2002&lt;&gt;"")*($M$3:$M$2002&lt;&gt;"")*($L$3:$L$2002&lt;$M1843)*($M$3:$M$2002&gt;$L1843))&gt;1,"중복","-"))</f>
        <v/>
      </c>
    </row>
    <row r="1844" customFormat="false" ht="15" hidden="false" customHeight="true" outlineLevel="0" collapsed="false">
      <c r="A1844" s="11"/>
      <c r="B1844" s="7"/>
      <c r="C1844" s="12" t="str">
        <f aca="false">IF($B1844="","",IFERROR(INDEX(자원목록!$B$3:$B$102,MATCH($B1844,자원목록!$A$3:$A$102,0)),"미등록자원"))</f>
        <v/>
      </c>
      <c r="D1844" s="7"/>
      <c r="E1844" s="12" t="str">
        <f aca="false">IF($D1844="","",IFERROR(INDEX(고객목록!$B$3:$B$502,MATCH($D1844,고객목록!$A$3:$A$502,0)),""))</f>
        <v/>
      </c>
      <c r="F1844" s="13"/>
      <c r="G1844" s="13"/>
      <c r="H1844" s="14" t="str">
        <f aca="false">IF(OR($L1844="",$M1844=""),"",ROUND(($M1844-$L1844)/60,2))</f>
        <v/>
      </c>
      <c r="I1844" s="9"/>
      <c r="J1844" s="7"/>
      <c r="K1844" s="7"/>
      <c r="L1844" s="15" t="str">
        <f aca="false">IF($F1844="","",IF($F1844&lt;1,ROUND($F1844*1440,0),INT($F1844/100)*60+MOD($F1844,100)))</f>
        <v/>
      </c>
      <c r="M1844" s="15" t="str">
        <f aca="false">IF($G1844="","",IF($G1844&lt;1,ROUND($G1844*1440,0),INT($G1844/100)*60+MOD($G1844,100)))</f>
        <v/>
      </c>
      <c r="N1844" s="15" t="str">
        <f aca="false">IF(OR($A1844="",$B1844="",$L1844="",$M1844="",$J1844="취소"),"",IF(SUMPRODUCT(($A$3:$A$2002=$A1844)*($B$3:$B$2002=$B1844)*($J$3:$J$2002&lt;&gt;"취소")*($L$3:$L$2002&lt;&gt;"")*($M$3:$M$2002&lt;&gt;"")*($L$3:$L$2002&lt;$M1844)*($M$3:$M$2002&gt;$L1844))&gt;1,"중복","-"))</f>
        <v/>
      </c>
    </row>
    <row r="1845" customFormat="false" ht="15" hidden="false" customHeight="true" outlineLevel="0" collapsed="false">
      <c r="A1845" s="11"/>
      <c r="B1845" s="7"/>
      <c r="C1845" s="12" t="str">
        <f aca="false">IF($B1845="","",IFERROR(INDEX(자원목록!$B$3:$B$102,MATCH($B1845,자원목록!$A$3:$A$102,0)),"미등록자원"))</f>
        <v/>
      </c>
      <c r="D1845" s="7"/>
      <c r="E1845" s="12" t="str">
        <f aca="false">IF($D1845="","",IFERROR(INDEX(고객목록!$B$3:$B$502,MATCH($D1845,고객목록!$A$3:$A$502,0)),""))</f>
        <v/>
      </c>
      <c r="F1845" s="13"/>
      <c r="G1845" s="13"/>
      <c r="H1845" s="14" t="str">
        <f aca="false">IF(OR($L1845="",$M1845=""),"",ROUND(($M1845-$L1845)/60,2))</f>
        <v/>
      </c>
      <c r="I1845" s="9"/>
      <c r="J1845" s="7"/>
      <c r="K1845" s="7"/>
      <c r="L1845" s="15" t="str">
        <f aca="false">IF($F1845="","",IF($F1845&lt;1,ROUND($F1845*1440,0),INT($F1845/100)*60+MOD($F1845,100)))</f>
        <v/>
      </c>
      <c r="M1845" s="15" t="str">
        <f aca="false">IF($G1845="","",IF($G1845&lt;1,ROUND($G1845*1440,0),INT($G1845/100)*60+MOD($G1845,100)))</f>
        <v/>
      </c>
      <c r="N1845" s="15" t="str">
        <f aca="false">IF(OR($A1845="",$B1845="",$L1845="",$M1845="",$J1845="취소"),"",IF(SUMPRODUCT(($A$3:$A$2002=$A1845)*($B$3:$B$2002=$B1845)*($J$3:$J$2002&lt;&gt;"취소")*($L$3:$L$2002&lt;&gt;"")*($M$3:$M$2002&lt;&gt;"")*($L$3:$L$2002&lt;$M1845)*($M$3:$M$2002&gt;$L1845))&gt;1,"중복","-"))</f>
        <v/>
      </c>
    </row>
    <row r="1846" customFormat="false" ht="15" hidden="false" customHeight="true" outlineLevel="0" collapsed="false">
      <c r="A1846" s="11"/>
      <c r="B1846" s="7"/>
      <c r="C1846" s="12" t="str">
        <f aca="false">IF($B1846="","",IFERROR(INDEX(자원목록!$B$3:$B$102,MATCH($B1846,자원목록!$A$3:$A$102,0)),"미등록자원"))</f>
        <v/>
      </c>
      <c r="D1846" s="7"/>
      <c r="E1846" s="12" t="str">
        <f aca="false">IF($D1846="","",IFERROR(INDEX(고객목록!$B$3:$B$502,MATCH($D1846,고객목록!$A$3:$A$502,0)),""))</f>
        <v/>
      </c>
      <c r="F1846" s="13"/>
      <c r="G1846" s="13"/>
      <c r="H1846" s="14" t="str">
        <f aca="false">IF(OR($L1846="",$M1846=""),"",ROUND(($M1846-$L1846)/60,2))</f>
        <v/>
      </c>
      <c r="I1846" s="9"/>
      <c r="J1846" s="7"/>
      <c r="K1846" s="7"/>
      <c r="L1846" s="15" t="str">
        <f aca="false">IF($F1846="","",IF($F1846&lt;1,ROUND($F1846*1440,0),INT($F1846/100)*60+MOD($F1846,100)))</f>
        <v/>
      </c>
      <c r="M1846" s="15" t="str">
        <f aca="false">IF($G1846="","",IF($G1846&lt;1,ROUND($G1846*1440,0),INT($G1846/100)*60+MOD($G1846,100)))</f>
        <v/>
      </c>
      <c r="N1846" s="15" t="str">
        <f aca="false">IF(OR($A1846="",$B1846="",$L1846="",$M1846="",$J1846="취소"),"",IF(SUMPRODUCT(($A$3:$A$2002=$A1846)*($B$3:$B$2002=$B1846)*($J$3:$J$2002&lt;&gt;"취소")*($L$3:$L$2002&lt;&gt;"")*($M$3:$M$2002&lt;&gt;"")*($L$3:$L$2002&lt;$M1846)*($M$3:$M$2002&gt;$L1846))&gt;1,"중복","-"))</f>
        <v/>
      </c>
    </row>
    <row r="1847" customFormat="false" ht="15" hidden="false" customHeight="true" outlineLevel="0" collapsed="false">
      <c r="A1847" s="11"/>
      <c r="B1847" s="7"/>
      <c r="C1847" s="12" t="str">
        <f aca="false">IF($B1847="","",IFERROR(INDEX(자원목록!$B$3:$B$102,MATCH($B1847,자원목록!$A$3:$A$102,0)),"미등록자원"))</f>
        <v/>
      </c>
      <c r="D1847" s="7"/>
      <c r="E1847" s="12" t="str">
        <f aca="false">IF($D1847="","",IFERROR(INDEX(고객목록!$B$3:$B$502,MATCH($D1847,고객목록!$A$3:$A$502,0)),""))</f>
        <v/>
      </c>
      <c r="F1847" s="13"/>
      <c r="G1847" s="13"/>
      <c r="H1847" s="14" t="str">
        <f aca="false">IF(OR($L1847="",$M1847=""),"",ROUND(($M1847-$L1847)/60,2))</f>
        <v/>
      </c>
      <c r="I1847" s="9"/>
      <c r="J1847" s="7"/>
      <c r="K1847" s="7"/>
      <c r="L1847" s="15" t="str">
        <f aca="false">IF($F1847="","",IF($F1847&lt;1,ROUND($F1847*1440,0),INT($F1847/100)*60+MOD($F1847,100)))</f>
        <v/>
      </c>
      <c r="M1847" s="15" t="str">
        <f aca="false">IF($G1847="","",IF($G1847&lt;1,ROUND($G1847*1440,0),INT($G1847/100)*60+MOD($G1847,100)))</f>
        <v/>
      </c>
      <c r="N1847" s="15" t="str">
        <f aca="false">IF(OR($A1847="",$B1847="",$L1847="",$M1847="",$J1847="취소"),"",IF(SUMPRODUCT(($A$3:$A$2002=$A1847)*($B$3:$B$2002=$B1847)*($J$3:$J$2002&lt;&gt;"취소")*($L$3:$L$2002&lt;&gt;"")*($M$3:$M$2002&lt;&gt;"")*($L$3:$L$2002&lt;$M1847)*($M$3:$M$2002&gt;$L1847))&gt;1,"중복","-"))</f>
        <v/>
      </c>
    </row>
    <row r="1848" customFormat="false" ht="15" hidden="false" customHeight="true" outlineLevel="0" collapsed="false">
      <c r="A1848" s="11"/>
      <c r="B1848" s="7"/>
      <c r="C1848" s="12" t="str">
        <f aca="false">IF($B1848="","",IFERROR(INDEX(자원목록!$B$3:$B$102,MATCH($B1848,자원목록!$A$3:$A$102,0)),"미등록자원"))</f>
        <v/>
      </c>
      <c r="D1848" s="7"/>
      <c r="E1848" s="12" t="str">
        <f aca="false">IF($D1848="","",IFERROR(INDEX(고객목록!$B$3:$B$502,MATCH($D1848,고객목록!$A$3:$A$502,0)),""))</f>
        <v/>
      </c>
      <c r="F1848" s="13"/>
      <c r="G1848" s="13"/>
      <c r="H1848" s="14" t="str">
        <f aca="false">IF(OR($L1848="",$M1848=""),"",ROUND(($M1848-$L1848)/60,2))</f>
        <v/>
      </c>
      <c r="I1848" s="9"/>
      <c r="J1848" s="7"/>
      <c r="K1848" s="7"/>
      <c r="L1848" s="15" t="str">
        <f aca="false">IF($F1848="","",IF($F1848&lt;1,ROUND($F1848*1440,0),INT($F1848/100)*60+MOD($F1848,100)))</f>
        <v/>
      </c>
      <c r="M1848" s="15" t="str">
        <f aca="false">IF($G1848="","",IF($G1848&lt;1,ROUND($G1848*1440,0),INT($G1848/100)*60+MOD($G1848,100)))</f>
        <v/>
      </c>
      <c r="N1848" s="15" t="str">
        <f aca="false">IF(OR($A1848="",$B1848="",$L1848="",$M1848="",$J1848="취소"),"",IF(SUMPRODUCT(($A$3:$A$2002=$A1848)*($B$3:$B$2002=$B1848)*($J$3:$J$2002&lt;&gt;"취소")*($L$3:$L$2002&lt;&gt;"")*($M$3:$M$2002&lt;&gt;"")*($L$3:$L$2002&lt;$M1848)*($M$3:$M$2002&gt;$L1848))&gt;1,"중복","-"))</f>
        <v/>
      </c>
    </row>
    <row r="1849" customFormat="false" ht="15" hidden="false" customHeight="true" outlineLevel="0" collapsed="false">
      <c r="A1849" s="11"/>
      <c r="B1849" s="7"/>
      <c r="C1849" s="12" t="str">
        <f aca="false">IF($B1849="","",IFERROR(INDEX(자원목록!$B$3:$B$102,MATCH($B1849,자원목록!$A$3:$A$102,0)),"미등록자원"))</f>
        <v/>
      </c>
      <c r="D1849" s="7"/>
      <c r="E1849" s="12" t="str">
        <f aca="false">IF($D1849="","",IFERROR(INDEX(고객목록!$B$3:$B$502,MATCH($D1849,고객목록!$A$3:$A$502,0)),""))</f>
        <v/>
      </c>
      <c r="F1849" s="13"/>
      <c r="G1849" s="13"/>
      <c r="H1849" s="14" t="str">
        <f aca="false">IF(OR($L1849="",$M1849=""),"",ROUND(($M1849-$L1849)/60,2))</f>
        <v/>
      </c>
      <c r="I1849" s="9"/>
      <c r="J1849" s="7"/>
      <c r="K1849" s="7"/>
      <c r="L1849" s="15" t="str">
        <f aca="false">IF($F1849="","",IF($F1849&lt;1,ROUND($F1849*1440,0),INT($F1849/100)*60+MOD($F1849,100)))</f>
        <v/>
      </c>
      <c r="M1849" s="15" t="str">
        <f aca="false">IF($G1849="","",IF($G1849&lt;1,ROUND($G1849*1440,0),INT($G1849/100)*60+MOD($G1849,100)))</f>
        <v/>
      </c>
      <c r="N1849" s="15" t="str">
        <f aca="false">IF(OR($A1849="",$B1849="",$L1849="",$M1849="",$J1849="취소"),"",IF(SUMPRODUCT(($A$3:$A$2002=$A1849)*($B$3:$B$2002=$B1849)*($J$3:$J$2002&lt;&gt;"취소")*($L$3:$L$2002&lt;&gt;"")*($M$3:$M$2002&lt;&gt;"")*($L$3:$L$2002&lt;$M1849)*($M$3:$M$2002&gt;$L1849))&gt;1,"중복","-"))</f>
        <v/>
      </c>
    </row>
    <row r="1850" customFormat="false" ht="15" hidden="false" customHeight="true" outlineLevel="0" collapsed="false">
      <c r="A1850" s="11"/>
      <c r="B1850" s="7"/>
      <c r="C1850" s="12" t="str">
        <f aca="false">IF($B1850="","",IFERROR(INDEX(자원목록!$B$3:$B$102,MATCH($B1850,자원목록!$A$3:$A$102,0)),"미등록자원"))</f>
        <v/>
      </c>
      <c r="D1850" s="7"/>
      <c r="E1850" s="12" t="str">
        <f aca="false">IF($D1850="","",IFERROR(INDEX(고객목록!$B$3:$B$502,MATCH($D1850,고객목록!$A$3:$A$502,0)),""))</f>
        <v/>
      </c>
      <c r="F1850" s="13"/>
      <c r="G1850" s="13"/>
      <c r="H1850" s="14" t="str">
        <f aca="false">IF(OR($L1850="",$M1850=""),"",ROUND(($M1850-$L1850)/60,2))</f>
        <v/>
      </c>
      <c r="I1850" s="9"/>
      <c r="J1850" s="7"/>
      <c r="K1850" s="7"/>
      <c r="L1850" s="15" t="str">
        <f aca="false">IF($F1850="","",IF($F1850&lt;1,ROUND($F1850*1440,0),INT($F1850/100)*60+MOD($F1850,100)))</f>
        <v/>
      </c>
      <c r="M1850" s="15" t="str">
        <f aca="false">IF($G1850="","",IF($G1850&lt;1,ROUND($G1850*1440,0),INT($G1850/100)*60+MOD($G1850,100)))</f>
        <v/>
      </c>
      <c r="N1850" s="15" t="str">
        <f aca="false">IF(OR($A1850="",$B1850="",$L1850="",$M1850="",$J1850="취소"),"",IF(SUMPRODUCT(($A$3:$A$2002=$A1850)*($B$3:$B$2002=$B1850)*($J$3:$J$2002&lt;&gt;"취소")*($L$3:$L$2002&lt;&gt;"")*($M$3:$M$2002&lt;&gt;"")*($L$3:$L$2002&lt;$M1850)*($M$3:$M$2002&gt;$L1850))&gt;1,"중복","-"))</f>
        <v/>
      </c>
    </row>
    <row r="1851" customFormat="false" ht="15" hidden="false" customHeight="true" outlineLevel="0" collapsed="false">
      <c r="A1851" s="11"/>
      <c r="B1851" s="7"/>
      <c r="C1851" s="12" t="str">
        <f aca="false">IF($B1851="","",IFERROR(INDEX(자원목록!$B$3:$B$102,MATCH($B1851,자원목록!$A$3:$A$102,0)),"미등록자원"))</f>
        <v/>
      </c>
      <c r="D1851" s="7"/>
      <c r="E1851" s="12" t="str">
        <f aca="false">IF($D1851="","",IFERROR(INDEX(고객목록!$B$3:$B$502,MATCH($D1851,고객목록!$A$3:$A$502,0)),""))</f>
        <v/>
      </c>
      <c r="F1851" s="13"/>
      <c r="G1851" s="13"/>
      <c r="H1851" s="14" t="str">
        <f aca="false">IF(OR($L1851="",$M1851=""),"",ROUND(($M1851-$L1851)/60,2))</f>
        <v/>
      </c>
      <c r="I1851" s="9"/>
      <c r="J1851" s="7"/>
      <c r="K1851" s="7"/>
      <c r="L1851" s="15" t="str">
        <f aca="false">IF($F1851="","",IF($F1851&lt;1,ROUND($F1851*1440,0),INT($F1851/100)*60+MOD($F1851,100)))</f>
        <v/>
      </c>
      <c r="M1851" s="15" t="str">
        <f aca="false">IF($G1851="","",IF($G1851&lt;1,ROUND($G1851*1440,0),INT($G1851/100)*60+MOD($G1851,100)))</f>
        <v/>
      </c>
      <c r="N1851" s="15" t="str">
        <f aca="false">IF(OR($A1851="",$B1851="",$L1851="",$M1851="",$J1851="취소"),"",IF(SUMPRODUCT(($A$3:$A$2002=$A1851)*($B$3:$B$2002=$B1851)*($J$3:$J$2002&lt;&gt;"취소")*($L$3:$L$2002&lt;&gt;"")*($M$3:$M$2002&lt;&gt;"")*($L$3:$L$2002&lt;$M1851)*($M$3:$M$2002&gt;$L1851))&gt;1,"중복","-"))</f>
        <v/>
      </c>
    </row>
    <row r="1852" customFormat="false" ht="15" hidden="false" customHeight="true" outlineLevel="0" collapsed="false">
      <c r="A1852" s="11"/>
      <c r="B1852" s="7"/>
      <c r="C1852" s="12" t="str">
        <f aca="false">IF($B1852="","",IFERROR(INDEX(자원목록!$B$3:$B$102,MATCH($B1852,자원목록!$A$3:$A$102,0)),"미등록자원"))</f>
        <v/>
      </c>
      <c r="D1852" s="7"/>
      <c r="E1852" s="12" t="str">
        <f aca="false">IF($D1852="","",IFERROR(INDEX(고객목록!$B$3:$B$502,MATCH($D1852,고객목록!$A$3:$A$502,0)),""))</f>
        <v/>
      </c>
      <c r="F1852" s="13"/>
      <c r="G1852" s="13"/>
      <c r="H1852" s="14" t="str">
        <f aca="false">IF(OR($L1852="",$M1852=""),"",ROUND(($M1852-$L1852)/60,2))</f>
        <v/>
      </c>
      <c r="I1852" s="9"/>
      <c r="J1852" s="7"/>
      <c r="K1852" s="7"/>
      <c r="L1852" s="15" t="str">
        <f aca="false">IF($F1852="","",IF($F1852&lt;1,ROUND($F1852*1440,0),INT($F1852/100)*60+MOD($F1852,100)))</f>
        <v/>
      </c>
      <c r="M1852" s="15" t="str">
        <f aca="false">IF($G1852="","",IF($G1852&lt;1,ROUND($G1852*1440,0),INT($G1852/100)*60+MOD($G1852,100)))</f>
        <v/>
      </c>
      <c r="N1852" s="15" t="str">
        <f aca="false">IF(OR($A1852="",$B1852="",$L1852="",$M1852="",$J1852="취소"),"",IF(SUMPRODUCT(($A$3:$A$2002=$A1852)*($B$3:$B$2002=$B1852)*($J$3:$J$2002&lt;&gt;"취소")*($L$3:$L$2002&lt;&gt;"")*($M$3:$M$2002&lt;&gt;"")*($L$3:$L$2002&lt;$M1852)*($M$3:$M$2002&gt;$L1852))&gt;1,"중복","-"))</f>
        <v/>
      </c>
    </row>
    <row r="1853" customFormat="false" ht="15" hidden="false" customHeight="true" outlineLevel="0" collapsed="false">
      <c r="A1853" s="11"/>
      <c r="B1853" s="7"/>
      <c r="C1853" s="12" t="str">
        <f aca="false">IF($B1853="","",IFERROR(INDEX(자원목록!$B$3:$B$102,MATCH($B1853,자원목록!$A$3:$A$102,0)),"미등록자원"))</f>
        <v/>
      </c>
      <c r="D1853" s="7"/>
      <c r="E1853" s="12" t="str">
        <f aca="false">IF($D1853="","",IFERROR(INDEX(고객목록!$B$3:$B$502,MATCH($D1853,고객목록!$A$3:$A$502,0)),""))</f>
        <v/>
      </c>
      <c r="F1853" s="13"/>
      <c r="G1853" s="13"/>
      <c r="H1853" s="14" t="str">
        <f aca="false">IF(OR($L1853="",$M1853=""),"",ROUND(($M1853-$L1853)/60,2))</f>
        <v/>
      </c>
      <c r="I1853" s="9"/>
      <c r="J1853" s="7"/>
      <c r="K1853" s="7"/>
      <c r="L1853" s="15" t="str">
        <f aca="false">IF($F1853="","",IF($F1853&lt;1,ROUND($F1853*1440,0),INT($F1853/100)*60+MOD($F1853,100)))</f>
        <v/>
      </c>
      <c r="M1853" s="15" t="str">
        <f aca="false">IF($G1853="","",IF($G1853&lt;1,ROUND($G1853*1440,0),INT($G1853/100)*60+MOD($G1853,100)))</f>
        <v/>
      </c>
      <c r="N1853" s="15" t="str">
        <f aca="false">IF(OR($A1853="",$B1853="",$L1853="",$M1853="",$J1853="취소"),"",IF(SUMPRODUCT(($A$3:$A$2002=$A1853)*($B$3:$B$2002=$B1853)*($J$3:$J$2002&lt;&gt;"취소")*($L$3:$L$2002&lt;&gt;"")*($M$3:$M$2002&lt;&gt;"")*($L$3:$L$2002&lt;$M1853)*($M$3:$M$2002&gt;$L1853))&gt;1,"중복","-"))</f>
        <v/>
      </c>
    </row>
    <row r="1854" customFormat="false" ht="15" hidden="false" customHeight="true" outlineLevel="0" collapsed="false">
      <c r="A1854" s="11"/>
      <c r="B1854" s="7"/>
      <c r="C1854" s="12" t="str">
        <f aca="false">IF($B1854="","",IFERROR(INDEX(자원목록!$B$3:$B$102,MATCH($B1854,자원목록!$A$3:$A$102,0)),"미등록자원"))</f>
        <v/>
      </c>
      <c r="D1854" s="7"/>
      <c r="E1854" s="12" t="str">
        <f aca="false">IF($D1854="","",IFERROR(INDEX(고객목록!$B$3:$B$502,MATCH($D1854,고객목록!$A$3:$A$502,0)),""))</f>
        <v/>
      </c>
      <c r="F1854" s="13"/>
      <c r="G1854" s="13"/>
      <c r="H1854" s="14" t="str">
        <f aca="false">IF(OR($L1854="",$M1854=""),"",ROUND(($M1854-$L1854)/60,2))</f>
        <v/>
      </c>
      <c r="I1854" s="9"/>
      <c r="J1854" s="7"/>
      <c r="K1854" s="7"/>
      <c r="L1854" s="15" t="str">
        <f aca="false">IF($F1854="","",IF($F1854&lt;1,ROUND($F1854*1440,0),INT($F1854/100)*60+MOD($F1854,100)))</f>
        <v/>
      </c>
      <c r="M1854" s="15" t="str">
        <f aca="false">IF($G1854="","",IF($G1854&lt;1,ROUND($G1854*1440,0),INT($G1854/100)*60+MOD($G1854,100)))</f>
        <v/>
      </c>
      <c r="N1854" s="15" t="str">
        <f aca="false">IF(OR($A1854="",$B1854="",$L1854="",$M1854="",$J1854="취소"),"",IF(SUMPRODUCT(($A$3:$A$2002=$A1854)*($B$3:$B$2002=$B1854)*($J$3:$J$2002&lt;&gt;"취소")*($L$3:$L$2002&lt;&gt;"")*($M$3:$M$2002&lt;&gt;"")*($L$3:$L$2002&lt;$M1854)*($M$3:$M$2002&gt;$L1854))&gt;1,"중복","-"))</f>
        <v/>
      </c>
    </row>
    <row r="1855" customFormat="false" ht="15" hidden="false" customHeight="true" outlineLevel="0" collapsed="false">
      <c r="A1855" s="11"/>
      <c r="B1855" s="7"/>
      <c r="C1855" s="12" t="str">
        <f aca="false">IF($B1855="","",IFERROR(INDEX(자원목록!$B$3:$B$102,MATCH($B1855,자원목록!$A$3:$A$102,0)),"미등록자원"))</f>
        <v/>
      </c>
      <c r="D1855" s="7"/>
      <c r="E1855" s="12" t="str">
        <f aca="false">IF($D1855="","",IFERROR(INDEX(고객목록!$B$3:$B$502,MATCH($D1855,고객목록!$A$3:$A$502,0)),""))</f>
        <v/>
      </c>
      <c r="F1855" s="13"/>
      <c r="G1855" s="13"/>
      <c r="H1855" s="14" t="str">
        <f aca="false">IF(OR($L1855="",$M1855=""),"",ROUND(($M1855-$L1855)/60,2))</f>
        <v/>
      </c>
      <c r="I1855" s="9"/>
      <c r="J1855" s="7"/>
      <c r="K1855" s="7"/>
      <c r="L1855" s="15" t="str">
        <f aca="false">IF($F1855="","",IF($F1855&lt;1,ROUND($F1855*1440,0),INT($F1855/100)*60+MOD($F1855,100)))</f>
        <v/>
      </c>
      <c r="M1855" s="15" t="str">
        <f aca="false">IF($G1855="","",IF($G1855&lt;1,ROUND($G1855*1440,0),INT($G1855/100)*60+MOD($G1855,100)))</f>
        <v/>
      </c>
      <c r="N1855" s="15" t="str">
        <f aca="false">IF(OR($A1855="",$B1855="",$L1855="",$M1855="",$J1855="취소"),"",IF(SUMPRODUCT(($A$3:$A$2002=$A1855)*($B$3:$B$2002=$B1855)*($J$3:$J$2002&lt;&gt;"취소")*($L$3:$L$2002&lt;&gt;"")*($M$3:$M$2002&lt;&gt;"")*($L$3:$L$2002&lt;$M1855)*($M$3:$M$2002&gt;$L1855))&gt;1,"중복","-"))</f>
        <v/>
      </c>
    </row>
    <row r="1856" customFormat="false" ht="15" hidden="false" customHeight="true" outlineLevel="0" collapsed="false">
      <c r="A1856" s="11"/>
      <c r="B1856" s="7"/>
      <c r="C1856" s="12" t="str">
        <f aca="false">IF($B1856="","",IFERROR(INDEX(자원목록!$B$3:$B$102,MATCH($B1856,자원목록!$A$3:$A$102,0)),"미등록자원"))</f>
        <v/>
      </c>
      <c r="D1856" s="7"/>
      <c r="E1856" s="12" t="str">
        <f aca="false">IF($D1856="","",IFERROR(INDEX(고객목록!$B$3:$B$502,MATCH($D1856,고객목록!$A$3:$A$502,0)),""))</f>
        <v/>
      </c>
      <c r="F1856" s="13"/>
      <c r="G1856" s="13"/>
      <c r="H1856" s="14" t="str">
        <f aca="false">IF(OR($L1856="",$M1856=""),"",ROUND(($M1856-$L1856)/60,2))</f>
        <v/>
      </c>
      <c r="I1856" s="9"/>
      <c r="J1856" s="7"/>
      <c r="K1856" s="7"/>
      <c r="L1856" s="15" t="str">
        <f aca="false">IF($F1856="","",IF($F1856&lt;1,ROUND($F1856*1440,0),INT($F1856/100)*60+MOD($F1856,100)))</f>
        <v/>
      </c>
      <c r="M1856" s="15" t="str">
        <f aca="false">IF($G1856="","",IF($G1856&lt;1,ROUND($G1856*1440,0),INT($G1856/100)*60+MOD($G1856,100)))</f>
        <v/>
      </c>
      <c r="N1856" s="15" t="str">
        <f aca="false">IF(OR($A1856="",$B1856="",$L1856="",$M1856="",$J1856="취소"),"",IF(SUMPRODUCT(($A$3:$A$2002=$A1856)*($B$3:$B$2002=$B1856)*($J$3:$J$2002&lt;&gt;"취소")*($L$3:$L$2002&lt;&gt;"")*($M$3:$M$2002&lt;&gt;"")*($L$3:$L$2002&lt;$M1856)*($M$3:$M$2002&gt;$L1856))&gt;1,"중복","-"))</f>
        <v/>
      </c>
    </row>
    <row r="1857" customFormat="false" ht="15" hidden="false" customHeight="true" outlineLevel="0" collapsed="false">
      <c r="A1857" s="11"/>
      <c r="B1857" s="7"/>
      <c r="C1857" s="12" t="str">
        <f aca="false">IF($B1857="","",IFERROR(INDEX(자원목록!$B$3:$B$102,MATCH($B1857,자원목록!$A$3:$A$102,0)),"미등록자원"))</f>
        <v/>
      </c>
      <c r="D1857" s="7"/>
      <c r="E1857" s="12" t="str">
        <f aca="false">IF($D1857="","",IFERROR(INDEX(고객목록!$B$3:$B$502,MATCH($D1857,고객목록!$A$3:$A$502,0)),""))</f>
        <v/>
      </c>
      <c r="F1857" s="13"/>
      <c r="G1857" s="13"/>
      <c r="H1857" s="14" t="str">
        <f aca="false">IF(OR($L1857="",$M1857=""),"",ROUND(($M1857-$L1857)/60,2))</f>
        <v/>
      </c>
      <c r="I1857" s="9"/>
      <c r="J1857" s="7"/>
      <c r="K1857" s="7"/>
      <c r="L1857" s="15" t="str">
        <f aca="false">IF($F1857="","",IF($F1857&lt;1,ROUND($F1857*1440,0),INT($F1857/100)*60+MOD($F1857,100)))</f>
        <v/>
      </c>
      <c r="M1857" s="15" t="str">
        <f aca="false">IF($G1857="","",IF($G1857&lt;1,ROUND($G1857*1440,0),INT($G1857/100)*60+MOD($G1857,100)))</f>
        <v/>
      </c>
      <c r="N1857" s="15" t="str">
        <f aca="false">IF(OR($A1857="",$B1857="",$L1857="",$M1857="",$J1857="취소"),"",IF(SUMPRODUCT(($A$3:$A$2002=$A1857)*($B$3:$B$2002=$B1857)*($J$3:$J$2002&lt;&gt;"취소")*($L$3:$L$2002&lt;&gt;"")*($M$3:$M$2002&lt;&gt;"")*($L$3:$L$2002&lt;$M1857)*($M$3:$M$2002&gt;$L1857))&gt;1,"중복","-"))</f>
        <v/>
      </c>
    </row>
    <row r="1858" customFormat="false" ht="15" hidden="false" customHeight="true" outlineLevel="0" collapsed="false">
      <c r="A1858" s="11"/>
      <c r="B1858" s="7"/>
      <c r="C1858" s="12" t="str">
        <f aca="false">IF($B1858="","",IFERROR(INDEX(자원목록!$B$3:$B$102,MATCH($B1858,자원목록!$A$3:$A$102,0)),"미등록자원"))</f>
        <v/>
      </c>
      <c r="D1858" s="7"/>
      <c r="E1858" s="12" t="str">
        <f aca="false">IF($D1858="","",IFERROR(INDEX(고객목록!$B$3:$B$502,MATCH($D1858,고객목록!$A$3:$A$502,0)),""))</f>
        <v/>
      </c>
      <c r="F1858" s="13"/>
      <c r="G1858" s="13"/>
      <c r="H1858" s="14" t="str">
        <f aca="false">IF(OR($L1858="",$M1858=""),"",ROUND(($M1858-$L1858)/60,2))</f>
        <v/>
      </c>
      <c r="I1858" s="9"/>
      <c r="J1858" s="7"/>
      <c r="K1858" s="7"/>
      <c r="L1858" s="15" t="str">
        <f aca="false">IF($F1858="","",IF($F1858&lt;1,ROUND($F1858*1440,0),INT($F1858/100)*60+MOD($F1858,100)))</f>
        <v/>
      </c>
      <c r="M1858" s="15" t="str">
        <f aca="false">IF($G1858="","",IF($G1858&lt;1,ROUND($G1858*1440,0),INT($G1858/100)*60+MOD($G1858,100)))</f>
        <v/>
      </c>
      <c r="N1858" s="15" t="str">
        <f aca="false">IF(OR($A1858="",$B1858="",$L1858="",$M1858="",$J1858="취소"),"",IF(SUMPRODUCT(($A$3:$A$2002=$A1858)*($B$3:$B$2002=$B1858)*($J$3:$J$2002&lt;&gt;"취소")*($L$3:$L$2002&lt;&gt;"")*($M$3:$M$2002&lt;&gt;"")*($L$3:$L$2002&lt;$M1858)*($M$3:$M$2002&gt;$L1858))&gt;1,"중복","-"))</f>
        <v/>
      </c>
    </row>
    <row r="1859" customFormat="false" ht="15" hidden="false" customHeight="true" outlineLevel="0" collapsed="false">
      <c r="A1859" s="11"/>
      <c r="B1859" s="7"/>
      <c r="C1859" s="12" t="str">
        <f aca="false">IF($B1859="","",IFERROR(INDEX(자원목록!$B$3:$B$102,MATCH($B1859,자원목록!$A$3:$A$102,0)),"미등록자원"))</f>
        <v/>
      </c>
      <c r="D1859" s="7"/>
      <c r="E1859" s="12" t="str">
        <f aca="false">IF($D1859="","",IFERROR(INDEX(고객목록!$B$3:$B$502,MATCH($D1859,고객목록!$A$3:$A$502,0)),""))</f>
        <v/>
      </c>
      <c r="F1859" s="13"/>
      <c r="G1859" s="13"/>
      <c r="H1859" s="14" t="str">
        <f aca="false">IF(OR($L1859="",$M1859=""),"",ROUND(($M1859-$L1859)/60,2))</f>
        <v/>
      </c>
      <c r="I1859" s="9"/>
      <c r="J1859" s="7"/>
      <c r="K1859" s="7"/>
      <c r="L1859" s="15" t="str">
        <f aca="false">IF($F1859="","",IF($F1859&lt;1,ROUND($F1859*1440,0),INT($F1859/100)*60+MOD($F1859,100)))</f>
        <v/>
      </c>
      <c r="M1859" s="15" t="str">
        <f aca="false">IF($G1859="","",IF($G1859&lt;1,ROUND($G1859*1440,0),INT($G1859/100)*60+MOD($G1859,100)))</f>
        <v/>
      </c>
      <c r="N1859" s="15" t="str">
        <f aca="false">IF(OR($A1859="",$B1859="",$L1859="",$M1859="",$J1859="취소"),"",IF(SUMPRODUCT(($A$3:$A$2002=$A1859)*($B$3:$B$2002=$B1859)*($J$3:$J$2002&lt;&gt;"취소")*($L$3:$L$2002&lt;&gt;"")*($M$3:$M$2002&lt;&gt;"")*($L$3:$L$2002&lt;$M1859)*($M$3:$M$2002&gt;$L1859))&gt;1,"중복","-"))</f>
        <v/>
      </c>
    </row>
    <row r="1860" customFormat="false" ht="15" hidden="false" customHeight="true" outlineLevel="0" collapsed="false">
      <c r="A1860" s="11"/>
      <c r="B1860" s="7"/>
      <c r="C1860" s="12" t="str">
        <f aca="false">IF($B1860="","",IFERROR(INDEX(자원목록!$B$3:$B$102,MATCH($B1860,자원목록!$A$3:$A$102,0)),"미등록자원"))</f>
        <v/>
      </c>
      <c r="D1860" s="7"/>
      <c r="E1860" s="12" t="str">
        <f aca="false">IF($D1860="","",IFERROR(INDEX(고객목록!$B$3:$B$502,MATCH($D1860,고객목록!$A$3:$A$502,0)),""))</f>
        <v/>
      </c>
      <c r="F1860" s="13"/>
      <c r="G1860" s="13"/>
      <c r="H1860" s="14" t="str">
        <f aca="false">IF(OR($L1860="",$M1860=""),"",ROUND(($M1860-$L1860)/60,2))</f>
        <v/>
      </c>
      <c r="I1860" s="9"/>
      <c r="J1860" s="7"/>
      <c r="K1860" s="7"/>
      <c r="L1860" s="15" t="str">
        <f aca="false">IF($F1860="","",IF($F1860&lt;1,ROUND($F1860*1440,0),INT($F1860/100)*60+MOD($F1860,100)))</f>
        <v/>
      </c>
      <c r="M1860" s="15" t="str">
        <f aca="false">IF($G1860="","",IF($G1860&lt;1,ROUND($G1860*1440,0),INT($G1860/100)*60+MOD($G1860,100)))</f>
        <v/>
      </c>
      <c r="N1860" s="15" t="str">
        <f aca="false">IF(OR($A1860="",$B1860="",$L1860="",$M1860="",$J1860="취소"),"",IF(SUMPRODUCT(($A$3:$A$2002=$A1860)*($B$3:$B$2002=$B1860)*($J$3:$J$2002&lt;&gt;"취소")*($L$3:$L$2002&lt;&gt;"")*($M$3:$M$2002&lt;&gt;"")*($L$3:$L$2002&lt;$M1860)*($M$3:$M$2002&gt;$L1860))&gt;1,"중복","-"))</f>
        <v/>
      </c>
    </row>
    <row r="1861" customFormat="false" ht="15" hidden="false" customHeight="true" outlineLevel="0" collapsed="false">
      <c r="A1861" s="11"/>
      <c r="B1861" s="7"/>
      <c r="C1861" s="12" t="str">
        <f aca="false">IF($B1861="","",IFERROR(INDEX(자원목록!$B$3:$B$102,MATCH($B1861,자원목록!$A$3:$A$102,0)),"미등록자원"))</f>
        <v/>
      </c>
      <c r="D1861" s="7"/>
      <c r="E1861" s="12" t="str">
        <f aca="false">IF($D1861="","",IFERROR(INDEX(고객목록!$B$3:$B$502,MATCH($D1861,고객목록!$A$3:$A$502,0)),""))</f>
        <v/>
      </c>
      <c r="F1861" s="13"/>
      <c r="G1861" s="13"/>
      <c r="H1861" s="14" t="str">
        <f aca="false">IF(OR($L1861="",$M1861=""),"",ROUND(($M1861-$L1861)/60,2))</f>
        <v/>
      </c>
      <c r="I1861" s="9"/>
      <c r="J1861" s="7"/>
      <c r="K1861" s="7"/>
      <c r="L1861" s="15" t="str">
        <f aca="false">IF($F1861="","",IF($F1861&lt;1,ROUND($F1861*1440,0),INT($F1861/100)*60+MOD($F1861,100)))</f>
        <v/>
      </c>
      <c r="M1861" s="15" t="str">
        <f aca="false">IF($G1861="","",IF($G1861&lt;1,ROUND($G1861*1440,0),INT($G1861/100)*60+MOD($G1861,100)))</f>
        <v/>
      </c>
      <c r="N1861" s="15" t="str">
        <f aca="false">IF(OR($A1861="",$B1861="",$L1861="",$M1861="",$J1861="취소"),"",IF(SUMPRODUCT(($A$3:$A$2002=$A1861)*($B$3:$B$2002=$B1861)*($J$3:$J$2002&lt;&gt;"취소")*($L$3:$L$2002&lt;&gt;"")*($M$3:$M$2002&lt;&gt;"")*($L$3:$L$2002&lt;$M1861)*($M$3:$M$2002&gt;$L1861))&gt;1,"중복","-"))</f>
        <v/>
      </c>
    </row>
    <row r="1862" customFormat="false" ht="15" hidden="false" customHeight="true" outlineLevel="0" collapsed="false">
      <c r="A1862" s="11"/>
      <c r="B1862" s="7"/>
      <c r="C1862" s="12" t="str">
        <f aca="false">IF($B1862="","",IFERROR(INDEX(자원목록!$B$3:$B$102,MATCH($B1862,자원목록!$A$3:$A$102,0)),"미등록자원"))</f>
        <v/>
      </c>
      <c r="D1862" s="7"/>
      <c r="E1862" s="12" t="str">
        <f aca="false">IF($D1862="","",IFERROR(INDEX(고객목록!$B$3:$B$502,MATCH($D1862,고객목록!$A$3:$A$502,0)),""))</f>
        <v/>
      </c>
      <c r="F1862" s="13"/>
      <c r="G1862" s="13"/>
      <c r="H1862" s="14" t="str">
        <f aca="false">IF(OR($L1862="",$M1862=""),"",ROUND(($M1862-$L1862)/60,2))</f>
        <v/>
      </c>
      <c r="I1862" s="9"/>
      <c r="J1862" s="7"/>
      <c r="K1862" s="7"/>
      <c r="L1862" s="15" t="str">
        <f aca="false">IF($F1862="","",IF($F1862&lt;1,ROUND($F1862*1440,0),INT($F1862/100)*60+MOD($F1862,100)))</f>
        <v/>
      </c>
      <c r="M1862" s="15" t="str">
        <f aca="false">IF($G1862="","",IF($G1862&lt;1,ROUND($G1862*1440,0),INT($G1862/100)*60+MOD($G1862,100)))</f>
        <v/>
      </c>
      <c r="N1862" s="15" t="str">
        <f aca="false">IF(OR($A1862="",$B1862="",$L1862="",$M1862="",$J1862="취소"),"",IF(SUMPRODUCT(($A$3:$A$2002=$A1862)*($B$3:$B$2002=$B1862)*($J$3:$J$2002&lt;&gt;"취소")*($L$3:$L$2002&lt;&gt;"")*($M$3:$M$2002&lt;&gt;"")*($L$3:$L$2002&lt;$M1862)*($M$3:$M$2002&gt;$L1862))&gt;1,"중복","-"))</f>
        <v/>
      </c>
    </row>
    <row r="1863" customFormat="false" ht="15" hidden="false" customHeight="true" outlineLevel="0" collapsed="false">
      <c r="A1863" s="11"/>
      <c r="B1863" s="7"/>
      <c r="C1863" s="12" t="str">
        <f aca="false">IF($B1863="","",IFERROR(INDEX(자원목록!$B$3:$B$102,MATCH($B1863,자원목록!$A$3:$A$102,0)),"미등록자원"))</f>
        <v/>
      </c>
      <c r="D1863" s="7"/>
      <c r="E1863" s="12" t="str">
        <f aca="false">IF($D1863="","",IFERROR(INDEX(고객목록!$B$3:$B$502,MATCH($D1863,고객목록!$A$3:$A$502,0)),""))</f>
        <v/>
      </c>
      <c r="F1863" s="13"/>
      <c r="G1863" s="13"/>
      <c r="H1863" s="14" t="str">
        <f aca="false">IF(OR($L1863="",$M1863=""),"",ROUND(($M1863-$L1863)/60,2))</f>
        <v/>
      </c>
      <c r="I1863" s="9"/>
      <c r="J1863" s="7"/>
      <c r="K1863" s="7"/>
      <c r="L1863" s="15" t="str">
        <f aca="false">IF($F1863="","",IF($F1863&lt;1,ROUND($F1863*1440,0),INT($F1863/100)*60+MOD($F1863,100)))</f>
        <v/>
      </c>
      <c r="M1863" s="15" t="str">
        <f aca="false">IF($G1863="","",IF($G1863&lt;1,ROUND($G1863*1440,0),INT($G1863/100)*60+MOD($G1863,100)))</f>
        <v/>
      </c>
      <c r="N1863" s="15" t="str">
        <f aca="false">IF(OR($A1863="",$B1863="",$L1863="",$M1863="",$J1863="취소"),"",IF(SUMPRODUCT(($A$3:$A$2002=$A1863)*($B$3:$B$2002=$B1863)*($J$3:$J$2002&lt;&gt;"취소")*($L$3:$L$2002&lt;&gt;"")*($M$3:$M$2002&lt;&gt;"")*($L$3:$L$2002&lt;$M1863)*($M$3:$M$2002&gt;$L1863))&gt;1,"중복","-"))</f>
        <v/>
      </c>
    </row>
    <row r="1864" customFormat="false" ht="15" hidden="false" customHeight="true" outlineLevel="0" collapsed="false">
      <c r="A1864" s="11"/>
      <c r="B1864" s="7"/>
      <c r="C1864" s="12" t="str">
        <f aca="false">IF($B1864="","",IFERROR(INDEX(자원목록!$B$3:$B$102,MATCH($B1864,자원목록!$A$3:$A$102,0)),"미등록자원"))</f>
        <v/>
      </c>
      <c r="D1864" s="7"/>
      <c r="E1864" s="12" t="str">
        <f aca="false">IF($D1864="","",IFERROR(INDEX(고객목록!$B$3:$B$502,MATCH($D1864,고객목록!$A$3:$A$502,0)),""))</f>
        <v/>
      </c>
      <c r="F1864" s="13"/>
      <c r="G1864" s="13"/>
      <c r="H1864" s="14" t="str">
        <f aca="false">IF(OR($L1864="",$M1864=""),"",ROUND(($M1864-$L1864)/60,2))</f>
        <v/>
      </c>
      <c r="I1864" s="9"/>
      <c r="J1864" s="7"/>
      <c r="K1864" s="7"/>
      <c r="L1864" s="15" t="str">
        <f aca="false">IF($F1864="","",IF($F1864&lt;1,ROUND($F1864*1440,0),INT($F1864/100)*60+MOD($F1864,100)))</f>
        <v/>
      </c>
      <c r="M1864" s="15" t="str">
        <f aca="false">IF($G1864="","",IF($G1864&lt;1,ROUND($G1864*1440,0),INT($G1864/100)*60+MOD($G1864,100)))</f>
        <v/>
      </c>
      <c r="N1864" s="15" t="str">
        <f aca="false">IF(OR($A1864="",$B1864="",$L1864="",$M1864="",$J1864="취소"),"",IF(SUMPRODUCT(($A$3:$A$2002=$A1864)*($B$3:$B$2002=$B1864)*($J$3:$J$2002&lt;&gt;"취소")*($L$3:$L$2002&lt;&gt;"")*($M$3:$M$2002&lt;&gt;"")*($L$3:$L$2002&lt;$M1864)*($M$3:$M$2002&gt;$L1864))&gt;1,"중복","-"))</f>
        <v/>
      </c>
    </row>
    <row r="1865" customFormat="false" ht="15" hidden="false" customHeight="true" outlineLevel="0" collapsed="false">
      <c r="A1865" s="11"/>
      <c r="B1865" s="7"/>
      <c r="C1865" s="12" t="str">
        <f aca="false">IF($B1865="","",IFERROR(INDEX(자원목록!$B$3:$B$102,MATCH($B1865,자원목록!$A$3:$A$102,0)),"미등록자원"))</f>
        <v/>
      </c>
      <c r="D1865" s="7"/>
      <c r="E1865" s="12" t="str">
        <f aca="false">IF($D1865="","",IFERROR(INDEX(고객목록!$B$3:$B$502,MATCH($D1865,고객목록!$A$3:$A$502,0)),""))</f>
        <v/>
      </c>
      <c r="F1865" s="13"/>
      <c r="G1865" s="13"/>
      <c r="H1865" s="14" t="str">
        <f aca="false">IF(OR($L1865="",$M1865=""),"",ROUND(($M1865-$L1865)/60,2))</f>
        <v/>
      </c>
      <c r="I1865" s="9"/>
      <c r="J1865" s="7"/>
      <c r="K1865" s="7"/>
      <c r="L1865" s="15" t="str">
        <f aca="false">IF($F1865="","",IF($F1865&lt;1,ROUND($F1865*1440,0),INT($F1865/100)*60+MOD($F1865,100)))</f>
        <v/>
      </c>
      <c r="M1865" s="15" t="str">
        <f aca="false">IF($G1865="","",IF($G1865&lt;1,ROUND($G1865*1440,0),INT($G1865/100)*60+MOD($G1865,100)))</f>
        <v/>
      </c>
      <c r="N1865" s="15" t="str">
        <f aca="false">IF(OR($A1865="",$B1865="",$L1865="",$M1865="",$J1865="취소"),"",IF(SUMPRODUCT(($A$3:$A$2002=$A1865)*($B$3:$B$2002=$B1865)*($J$3:$J$2002&lt;&gt;"취소")*($L$3:$L$2002&lt;&gt;"")*($M$3:$M$2002&lt;&gt;"")*($L$3:$L$2002&lt;$M1865)*($M$3:$M$2002&gt;$L1865))&gt;1,"중복","-"))</f>
        <v/>
      </c>
    </row>
    <row r="1866" customFormat="false" ht="15" hidden="false" customHeight="true" outlineLevel="0" collapsed="false">
      <c r="A1866" s="11"/>
      <c r="B1866" s="7"/>
      <c r="C1866" s="12" t="str">
        <f aca="false">IF($B1866="","",IFERROR(INDEX(자원목록!$B$3:$B$102,MATCH($B1866,자원목록!$A$3:$A$102,0)),"미등록자원"))</f>
        <v/>
      </c>
      <c r="D1866" s="7"/>
      <c r="E1866" s="12" t="str">
        <f aca="false">IF($D1866="","",IFERROR(INDEX(고객목록!$B$3:$B$502,MATCH($D1866,고객목록!$A$3:$A$502,0)),""))</f>
        <v/>
      </c>
      <c r="F1866" s="13"/>
      <c r="G1866" s="13"/>
      <c r="H1866" s="14" t="str">
        <f aca="false">IF(OR($L1866="",$M1866=""),"",ROUND(($M1866-$L1866)/60,2))</f>
        <v/>
      </c>
      <c r="I1866" s="9"/>
      <c r="J1866" s="7"/>
      <c r="K1866" s="7"/>
      <c r="L1866" s="15" t="str">
        <f aca="false">IF($F1866="","",IF($F1866&lt;1,ROUND($F1866*1440,0),INT($F1866/100)*60+MOD($F1866,100)))</f>
        <v/>
      </c>
      <c r="M1866" s="15" t="str">
        <f aca="false">IF($G1866="","",IF($G1866&lt;1,ROUND($G1866*1440,0),INT($G1866/100)*60+MOD($G1866,100)))</f>
        <v/>
      </c>
      <c r="N1866" s="15" t="str">
        <f aca="false">IF(OR($A1866="",$B1866="",$L1866="",$M1866="",$J1866="취소"),"",IF(SUMPRODUCT(($A$3:$A$2002=$A1866)*($B$3:$B$2002=$B1866)*($J$3:$J$2002&lt;&gt;"취소")*($L$3:$L$2002&lt;&gt;"")*($M$3:$M$2002&lt;&gt;"")*($L$3:$L$2002&lt;$M1866)*($M$3:$M$2002&gt;$L1866))&gt;1,"중복","-"))</f>
        <v/>
      </c>
    </row>
    <row r="1867" customFormat="false" ht="15" hidden="false" customHeight="true" outlineLevel="0" collapsed="false">
      <c r="A1867" s="11"/>
      <c r="B1867" s="7"/>
      <c r="C1867" s="12" t="str">
        <f aca="false">IF($B1867="","",IFERROR(INDEX(자원목록!$B$3:$B$102,MATCH($B1867,자원목록!$A$3:$A$102,0)),"미등록자원"))</f>
        <v/>
      </c>
      <c r="D1867" s="7"/>
      <c r="E1867" s="12" t="str">
        <f aca="false">IF($D1867="","",IFERROR(INDEX(고객목록!$B$3:$B$502,MATCH($D1867,고객목록!$A$3:$A$502,0)),""))</f>
        <v/>
      </c>
      <c r="F1867" s="13"/>
      <c r="G1867" s="13"/>
      <c r="H1867" s="14" t="str">
        <f aca="false">IF(OR($L1867="",$M1867=""),"",ROUND(($M1867-$L1867)/60,2))</f>
        <v/>
      </c>
      <c r="I1867" s="9"/>
      <c r="J1867" s="7"/>
      <c r="K1867" s="7"/>
      <c r="L1867" s="15" t="str">
        <f aca="false">IF($F1867="","",IF($F1867&lt;1,ROUND($F1867*1440,0),INT($F1867/100)*60+MOD($F1867,100)))</f>
        <v/>
      </c>
      <c r="M1867" s="15" t="str">
        <f aca="false">IF($G1867="","",IF($G1867&lt;1,ROUND($G1867*1440,0),INT($G1867/100)*60+MOD($G1867,100)))</f>
        <v/>
      </c>
      <c r="N1867" s="15" t="str">
        <f aca="false">IF(OR($A1867="",$B1867="",$L1867="",$M1867="",$J1867="취소"),"",IF(SUMPRODUCT(($A$3:$A$2002=$A1867)*($B$3:$B$2002=$B1867)*($J$3:$J$2002&lt;&gt;"취소")*($L$3:$L$2002&lt;&gt;"")*($M$3:$M$2002&lt;&gt;"")*($L$3:$L$2002&lt;$M1867)*($M$3:$M$2002&gt;$L1867))&gt;1,"중복","-"))</f>
        <v/>
      </c>
    </row>
    <row r="1868" customFormat="false" ht="15" hidden="false" customHeight="true" outlineLevel="0" collapsed="false">
      <c r="A1868" s="11"/>
      <c r="B1868" s="7"/>
      <c r="C1868" s="12" t="str">
        <f aca="false">IF($B1868="","",IFERROR(INDEX(자원목록!$B$3:$B$102,MATCH($B1868,자원목록!$A$3:$A$102,0)),"미등록자원"))</f>
        <v/>
      </c>
      <c r="D1868" s="7"/>
      <c r="E1868" s="12" t="str">
        <f aca="false">IF($D1868="","",IFERROR(INDEX(고객목록!$B$3:$B$502,MATCH($D1868,고객목록!$A$3:$A$502,0)),""))</f>
        <v/>
      </c>
      <c r="F1868" s="13"/>
      <c r="G1868" s="13"/>
      <c r="H1868" s="14" t="str">
        <f aca="false">IF(OR($L1868="",$M1868=""),"",ROUND(($M1868-$L1868)/60,2))</f>
        <v/>
      </c>
      <c r="I1868" s="9"/>
      <c r="J1868" s="7"/>
      <c r="K1868" s="7"/>
      <c r="L1868" s="15" t="str">
        <f aca="false">IF($F1868="","",IF($F1868&lt;1,ROUND($F1868*1440,0),INT($F1868/100)*60+MOD($F1868,100)))</f>
        <v/>
      </c>
      <c r="M1868" s="15" t="str">
        <f aca="false">IF($G1868="","",IF($G1868&lt;1,ROUND($G1868*1440,0),INT($G1868/100)*60+MOD($G1868,100)))</f>
        <v/>
      </c>
      <c r="N1868" s="15" t="str">
        <f aca="false">IF(OR($A1868="",$B1868="",$L1868="",$M1868="",$J1868="취소"),"",IF(SUMPRODUCT(($A$3:$A$2002=$A1868)*($B$3:$B$2002=$B1868)*($J$3:$J$2002&lt;&gt;"취소")*($L$3:$L$2002&lt;&gt;"")*($M$3:$M$2002&lt;&gt;"")*($L$3:$L$2002&lt;$M1868)*($M$3:$M$2002&gt;$L1868))&gt;1,"중복","-"))</f>
        <v/>
      </c>
    </row>
    <row r="1869" customFormat="false" ht="15" hidden="false" customHeight="true" outlineLevel="0" collapsed="false">
      <c r="A1869" s="11"/>
      <c r="B1869" s="7"/>
      <c r="C1869" s="12" t="str">
        <f aca="false">IF($B1869="","",IFERROR(INDEX(자원목록!$B$3:$B$102,MATCH($B1869,자원목록!$A$3:$A$102,0)),"미등록자원"))</f>
        <v/>
      </c>
      <c r="D1869" s="7"/>
      <c r="E1869" s="12" t="str">
        <f aca="false">IF($D1869="","",IFERROR(INDEX(고객목록!$B$3:$B$502,MATCH($D1869,고객목록!$A$3:$A$502,0)),""))</f>
        <v/>
      </c>
      <c r="F1869" s="13"/>
      <c r="G1869" s="13"/>
      <c r="H1869" s="14" t="str">
        <f aca="false">IF(OR($L1869="",$M1869=""),"",ROUND(($M1869-$L1869)/60,2))</f>
        <v/>
      </c>
      <c r="I1869" s="9"/>
      <c r="J1869" s="7"/>
      <c r="K1869" s="7"/>
      <c r="L1869" s="15" t="str">
        <f aca="false">IF($F1869="","",IF($F1869&lt;1,ROUND($F1869*1440,0),INT($F1869/100)*60+MOD($F1869,100)))</f>
        <v/>
      </c>
      <c r="M1869" s="15" t="str">
        <f aca="false">IF($G1869="","",IF($G1869&lt;1,ROUND($G1869*1440,0),INT($G1869/100)*60+MOD($G1869,100)))</f>
        <v/>
      </c>
      <c r="N1869" s="15" t="str">
        <f aca="false">IF(OR($A1869="",$B1869="",$L1869="",$M1869="",$J1869="취소"),"",IF(SUMPRODUCT(($A$3:$A$2002=$A1869)*($B$3:$B$2002=$B1869)*($J$3:$J$2002&lt;&gt;"취소")*($L$3:$L$2002&lt;&gt;"")*($M$3:$M$2002&lt;&gt;"")*($L$3:$L$2002&lt;$M1869)*($M$3:$M$2002&gt;$L1869))&gt;1,"중복","-"))</f>
        <v/>
      </c>
    </row>
    <row r="1870" customFormat="false" ht="15" hidden="false" customHeight="true" outlineLevel="0" collapsed="false">
      <c r="A1870" s="11"/>
      <c r="B1870" s="7"/>
      <c r="C1870" s="12" t="str">
        <f aca="false">IF($B1870="","",IFERROR(INDEX(자원목록!$B$3:$B$102,MATCH($B1870,자원목록!$A$3:$A$102,0)),"미등록자원"))</f>
        <v/>
      </c>
      <c r="D1870" s="7"/>
      <c r="E1870" s="12" t="str">
        <f aca="false">IF($D1870="","",IFERROR(INDEX(고객목록!$B$3:$B$502,MATCH($D1870,고객목록!$A$3:$A$502,0)),""))</f>
        <v/>
      </c>
      <c r="F1870" s="13"/>
      <c r="G1870" s="13"/>
      <c r="H1870" s="14" t="str">
        <f aca="false">IF(OR($L1870="",$M1870=""),"",ROUND(($M1870-$L1870)/60,2))</f>
        <v/>
      </c>
      <c r="I1870" s="9"/>
      <c r="J1870" s="7"/>
      <c r="K1870" s="7"/>
      <c r="L1870" s="15" t="str">
        <f aca="false">IF($F1870="","",IF($F1870&lt;1,ROUND($F1870*1440,0),INT($F1870/100)*60+MOD($F1870,100)))</f>
        <v/>
      </c>
      <c r="M1870" s="15" t="str">
        <f aca="false">IF($G1870="","",IF($G1870&lt;1,ROUND($G1870*1440,0),INT($G1870/100)*60+MOD($G1870,100)))</f>
        <v/>
      </c>
      <c r="N1870" s="15" t="str">
        <f aca="false">IF(OR($A1870="",$B1870="",$L1870="",$M1870="",$J1870="취소"),"",IF(SUMPRODUCT(($A$3:$A$2002=$A1870)*($B$3:$B$2002=$B1870)*($J$3:$J$2002&lt;&gt;"취소")*($L$3:$L$2002&lt;&gt;"")*($M$3:$M$2002&lt;&gt;"")*($L$3:$L$2002&lt;$M1870)*($M$3:$M$2002&gt;$L1870))&gt;1,"중복","-"))</f>
        <v/>
      </c>
    </row>
    <row r="1871" customFormat="false" ht="15" hidden="false" customHeight="true" outlineLevel="0" collapsed="false">
      <c r="A1871" s="11"/>
      <c r="B1871" s="7"/>
      <c r="C1871" s="12" t="str">
        <f aca="false">IF($B1871="","",IFERROR(INDEX(자원목록!$B$3:$B$102,MATCH($B1871,자원목록!$A$3:$A$102,0)),"미등록자원"))</f>
        <v/>
      </c>
      <c r="D1871" s="7"/>
      <c r="E1871" s="12" t="str">
        <f aca="false">IF($D1871="","",IFERROR(INDEX(고객목록!$B$3:$B$502,MATCH($D1871,고객목록!$A$3:$A$502,0)),""))</f>
        <v/>
      </c>
      <c r="F1871" s="13"/>
      <c r="G1871" s="13"/>
      <c r="H1871" s="14" t="str">
        <f aca="false">IF(OR($L1871="",$M1871=""),"",ROUND(($M1871-$L1871)/60,2))</f>
        <v/>
      </c>
      <c r="I1871" s="9"/>
      <c r="J1871" s="7"/>
      <c r="K1871" s="7"/>
      <c r="L1871" s="15" t="str">
        <f aca="false">IF($F1871="","",IF($F1871&lt;1,ROUND($F1871*1440,0),INT($F1871/100)*60+MOD($F1871,100)))</f>
        <v/>
      </c>
      <c r="M1871" s="15" t="str">
        <f aca="false">IF($G1871="","",IF($G1871&lt;1,ROUND($G1871*1440,0),INT($G1871/100)*60+MOD($G1871,100)))</f>
        <v/>
      </c>
      <c r="N1871" s="15" t="str">
        <f aca="false">IF(OR($A1871="",$B1871="",$L1871="",$M1871="",$J1871="취소"),"",IF(SUMPRODUCT(($A$3:$A$2002=$A1871)*($B$3:$B$2002=$B1871)*($J$3:$J$2002&lt;&gt;"취소")*($L$3:$L$2002&lt;&gt;"")*($M$3:$M$2002&lt;&gt;"")*($L$3:$L$2002&lt;$M1871)*($M$3:$M$2002&gt;$L1871))&gt;1,"중복","-"))</f>
        <v/>
      </c>
    </row>
    <row r="1872" customFormat="false" ht="15" hidden="false" customHeight="true" outlineLevel="0" collapsed="false">
      <c r="A1872" s="11"/>
      <c r="B1872" s="7"/>
      <c r="C1872" s="12" t="str">
        <f aca="false">IF($B1872="","",IFERROR(INDEX(자원목록!$B$3:$B$102,MATCH($B1872,자원목록!$A$3:$A$102,0)),"미등록자원"))</f>
        <v/>
      </c>
      <c r="D1872" s="7"/>
      <c r="E1872" s="12" t="str">
        <f aca="false">IF($D1872="","",IFERROR(INDEX(고객목록!$B$3:$B$502,MATCH($D1872,고객목록!$A$3:$A$502,0)),""))</f>
        <v/>
      </c>
      <c r="F1872" s="13"/>
      <c r="G1872" s="13"/>
      <c r="H1872" s="14" t="str">
        <f aca="false">IF(OR($L1872="",$M1872=""),"",ROUND(($M1872-$L1872)/60,2))</f>
        <v/>
      </c>
      <c r="I1872" s="9"/>
      <c r="J1872" s="7"/>
      <c r="K1872" s="7"/>
      <c r="L1872" s="15" t="str">
        <f aca="false">IF($F1872="","",IF($F1872&lt;1,ROUND($F1872*1440,0),INT($F1872/100)*60+MOD($F1872,100)))</f>
        <v/>
      </c>
      <c r="M1872" s="15" t="str">
        <f aca="false">IF($G1872="","",IF($G1872&lt;1,ROUND($G1872*1440,0),INT($G1872/100)*60+MOD($G1872,100)))</f>
        <v/>
      </c>
      <c r="N1872" s="15" t="str">
        <f aca="false">IF(OR($A1872="",$B1872="",$L1872="",$M1872="",$J1872="취소"),"",IF(SUMPRODUCT(($A$3:$A$2002=$A1872)*($B$3:$B$2002=$B1872)*($J$3:$J$2002&lt;&gt;"취소")*($L$3:$L$2002&lt;&gt;"")*($M$3:$M$2002&lt;&gt;"")*($L$3:$L$2002&lt;$M1872)*($M$3:$M$2002&gt;$L1872))&gt;1,"중복","-"))</f>
        <v/>
      </c>
    </row>
    <row r="1873" customFormat="false" ht="15" hidden="false" customHeight="true" outlineLevel="0" collapsed="false">
      <c r="A1873" s="11"/>
      <c r="B1873" s="7"/>
      <c r="C1873" s="12" t="str">
        <f aca="false">IF($B1873="","",IFERROR(INDEX(자원목록!$B$3:$B$102,MATCH($B1873,자원목록!$A$3:$A$102,0)),"미등록자원"))</f>
        <v/>
      </c>
      <c r="D1873" s="7"/>
      <c r="E1873" s="12" t="str">
        <f aca="false">IF($D1873="","",IFERROR(INDEX(고객목록!$B$3:$B$502,MATCH($D1873,고객목록!$A$3:$A$502,0)),""))</f>
        <v/>
      </c>
      <c r="F1873" s="13"/>
      <c r="G1873" s="13"/>
      <c r="H1873" s="14" t="str">
        <f aca="false">IF(OR($L1873="",$M1873=""),"",ROUND(($M1873-$L1873)/60,2))</f>
        <v/>
      </c>
      <c r="I1873" s="9"/>
      <c r="J1873" s="7"/>
      <c r="K1873" s="7"/>
      <c r="L1873" s="15" t="str">
        <f aca="false">IF($F1873="","",IF($F1873&lt;1,ROUND($F1873*1440,0),INT($F1873/100)*60+MOD($F1873,100)))</f>
        <v/>
      </c>
      <c r="M1873" s="15" t="str">
        <f aca="false">IF($G1873="","",IF($G1873&lt;1,ROUND($G1873*1440,0),INT($G1873/100)*60+MOD($G1873,100)))</f>
        <v/>
      </c>
      <c r="N1873" s="15" t="str">
        <f aca="false">IF(OR($A1873="",$B1873="",$L1873="",$M1873="",$J1873="취소"),"",IF(SUMPRODUCT(($A$3:$A$2002=$A1873)*($B$3:$B$2002=$B1873)*($J$3:$J$2002&lt;&gt;"취소")*($L$3:$L$2002&lt;&gt;"")*($M$3:$M$2002&lt;&gt;"")*($L$3:$L$2002&lt;$M1873)*($M$3:$M$2002&gt;$L1873))&gt;1,"중복","-"))</f>
        <v/>
      </c>
    </row>
    <row r="1874" customFormat="false" ht="15" hidden="false" customHeight="true" outlineLevel="0" collapsed="false">
      <c r="A1874" s="11"/>
      <c r="B1874" s="7"/>
      <c r="C1874" s="12" t="str">
        <f aca="false">IF($B1874="","",IFERROR(INDEX(자원목록!$B$3:$B$102,MATCH($B1874,자원목록!$A$3:$A$102,0)),"미등록자원"))</f>
        <v/>
      </c>
      <c r="D1874" s="7"/>
      <c r="E1874" s="12" t="str">
        <f aca="false">IF($D1874="","",IFERROR(INDEX(고객목록!$B$3:$B$502,MATCH($D1874,고객목록!$A$3:$A$502,0)),""))</f>
        <v/>
      </c>
      <c r="F1874" s="13"/>
      <c r="G1874" s="13"/>
      <c r="H1874" s="14" t="str">
        <f aca="false">IF(OR($L1874="",$M1874=""),"",ROUND(($M1874-$L1874)/60,2))</f>
        <v/>
      </c>
      <c r="I1874" s="9"/>
      <c r="J1874" s="7"/>
      <c r="K1874" s="7"/>
      <c r="L1874" s="15" t="str">
        <f aca="false">IF($F1874="","",IF($F1874&lt;1,ROUND($F1874*1440,0),INT($F1874/100)*60+MOD($F1874,100)))</f>
        <v/>
      </c>
      <c r="M1874" s="15" t="str">
        <f aca="false">IF($G1874="","",IF($G1874&lt;1,ROUND($G1874*1440,0),INT($G1874/100)*60+MOD($G1874,100)))</f>
        <v/>
      </c>
      <c r="N1874" s="15" t="str">
        <f aca="false">IF(OR($A1874="",$B1874="",$L1874="",$M1874="",$J1874="취소"),"",IF(SUMPRODUCT(($A$3:$A$2002=$A1874)*($B$3:$B$2002=$B1874)*($J$3:$J$2002&lt;&gt;"취소")*($L$3:$L$2002&lt;&gt;"")*($M$3:$M$2002&lt;&gt;"")*($L$3:$L$2002&lt;$M1874)*($M$3:$M$2002&gt;$L1874))&gt;1,"중복","-"))</f>
        <v/>
      </c>
    </row>
    <row r="1875" customFormat="false" ht="15" hidden="false" customHeight="true" outlineLevel="0" collapsed="false">
      <c r="A1875" s="11"/>
      <c r="B1875" s="7"/>
      <c r="C1875" s="12" t="str">
        <f aca="false">IF($B1875="","",IFERROR(INDEX(자원목록!$B$3:$B$102,MATCH($B1875,자원목록!$A$3:$A$102,0)),"미등록자원"))</f>
        <v/>
      </c>
      <c r="D1875" s="7"/>
      <c r="E1875" s="12" t="str">
        <f aca="false">IF($D1875="","",IFERROR(INDEX(고객목록!$B$3:$B$502,MATCH($D1875,고객목록!$A$3:$A$502,0)),""))</f>
        <v/>
      </c>
      <c r="F1875" s="13"/>
      <c r="G1875" s="13"/>
      <c r="H1875" s="14" t="str">
        <f aca="false">IF(OR($L1875="",$M1875=""),"",ROUND(($M1875-$L1875)/60,2))</f>
        <v/>
      </c>
      <c r="I1875" s="9"/>
      <c r="J1875" s="7"/>
      <c r="K1875" s="7"/>
      <c r="L1875" s="15" t="str">
        <f aca="false">IF($F1875="","",IF($F1875&lt;1,ROUND($F1875*1440,0),INT($F1875/100)*60+MOD($F1875,100)))</f>
        <v/>
      </c>
      <c r="M1875" s="15" t="str">
        <f aca="false">IF($G1875="","",IF($G1875&lt;1,ROUND($G1875*1440,0),INT($G1875/100)*60+MOD($G1875,100)))</f>
        <v/>
      </c>
      <c r="N1875" s="15" t="str">
        <f aca="false">IF(OR($A1875="",$B1875="",$L1875="",$M1875="",$J1875="취소"),"",IF(SUMPRODUCT(($A$3:$A$2002=$A1875)*($B$3:$B$2002=$B1875)*($J$3:$J$2002&lt;&gt;"취소")*($L$3:$L$2002&lt;&gt;"")*($M$3:$M$2002&lt;&gt;"")*($L$3:$L$2002&lt;$M1875)*($M$3:$M$2002&gt;$L1875))&gt;1,"중복","-"))</f>
        <v/>
      </c>
    </row>
    <row r="1876" customFormat="false" ht="15" hidden="false" customHeight="true" outlineLevel="0" collapsed="false">
      <c r="A1876" s="11"/>
      <c r="B1876" s="7"/>
      <c r="C1876" s="12" t="str">
        <f aca="false">IF($B1876="","",IFERROR(INDEX(자원목록!$B$3:$B$102,MATCH($B1876,자원목록!$A$3:$A$102,0)),"미등록자원"))</f>
        <v/>
      </c>
      <c r="D1876" s="7"/>
      <c r="E1876" s="12" t="str">
        <f aca="false">IF($D1876="","",IFERROR(INDEX(고객목록!$B$3:$B$502,MATCH($D1876,고객목록!$A$3:$A$502,0)),""))</f>
        <v/>
      </c>
      <c r="F1876" s="13"/>
      <c r="G1876" s="13"/>
      <c r="H1876" s="14" t="str">
        <f aca="false">IF(OR($L1876="",$M1876=""),"",ROUND(($M1876-$L1876)/60,2))</f>
        <v/>
      </c>
      <c r="I1876" s="9"/>
      <c r="J1876" s="7"/>
      <c r="K1876" s="7"/>
      <c r="L1876" s="15" t="str">
        <f aca="false">IF($F1876="","",IF($F1876&lt;1,ROUND($F1876*1440,0),INT($F1876/100)*60+MOD($F1876,100)))</f>
        <v/>
      </c>
      <c r="M1876" s="15" t="str">
        <f aca="false">IF($G1876="","",IF($G1876&lt;1,ROUND($G1876*1440,0),INT($G1876/100)*60+MOD($G1876,100)))</f>
        <v/>
      </c>
      <c r="N1876" s="15" t="str">
        <f aca="false">IF(OR($A1876="",$B1876="",$L1876="",$M1876="",$J1876="취소"),"",IF(SUMPRODUCT(($A$3:$A$2002=$A1876)*($B$3:$B$2002=$B1876)*($J$3:$J$2002&lt;&gt;"취소")*($L$3:$L$2002&lt;&gt;"")*($M$3:$M$2002&lt;&gt;"")*($L$3:$L$2002&lt;$M1876)*($M$3:$M$2002&gt;$L1876))&gt;1,"중복","-"))</f>
        <v/>
      </c>
    </row>
    <row r="1877" customFormat="false" ht="15" hidden="false" customHeight="true" outlineLevel="0" collapsed="false">
      <c r="A1877" s="11"/>
      <c r="B1877" s="7"/>
      <c r="C1877" s="12" t="str">
        <f aca="false">IF($B1877="","",IFERROR(INDEX(자원목록!$B$3:$B$102,MATCH($B1877,자원목록!$A$3:$A$102,0)),"미등록자원"))</f>
        <v/>
      </c>
      <c r="D1877" s="7"/>
      <c r="E1877" s="12" t="str">
        <f aca="false">IF($D1877="","",IFERROR(INDEX(고객목록!$B$3:$B$502,MATCH($D1877,고객목록!$A$3:$A$502,0)),""))</f>
        <v/>
      </c>
      <c r="F1877" s="13"/>
      <c r="G1877" s="13"/>
      <c r="H1877" s="14" t="str">
        <f aca="false">IF(OR($L1877="",$M1877=""),"",ROUND(($M1877-$L1877)/60,2))</f>
        <v/>
      </c>
      <c r="I1877" s="9"/>
      <c r="J1877" s="7"/>
      <c r="K1877" s="7"/>
      <c r="L1877" s="15" t="str">
        <f aca="false">IF($F1877="","",IF($F1877&lt;1,ROUND($F1877*1440,0),INT($F1877/100)*60+MOD($F1877,100)))</f>
        <v/>
      </c>
      <c r="M1877" s="15" t="str">
        <f aca="false">IF($G1877="","",IF($G1877&lt;1,ROUND($G1877*1440,0),INT($G1877/100)*60+MOD($G1877,100)))</f>
        <v/>
      </c>
      <c r="N1877" s="15" t="str">
        <f aca="false">IF(OR($A1877="",$B1877="",$L1877="",$M1877="",$J1877="취소"),"",IF(SUMPRODUCT(($A$3:$A$2002=$A1877)*($B$3:$B$2002=$B1877)*($J$3:$J$2002&lt;&gt;"취소")*($L$3:$L$2002&lt;&gt;"")*($M$3:$M$2002&lt;&gt;"")*($L$3:$L$2002&lt;$M1877)*($M$3:$M$2002&gt;$L1877))&gt;1,"중복","-"))</f>
        <v/>
      </c>
    </row>
    <row r="1878" customFormat="false" ht="15" hidden="false" customHeight="true" outlineLevel="0" collapsed="false">
      <c r="A1878" s="11"/>
      <c r="B1878" s="7"/>
      <c r="C1878" s="12" t="str">
        <f aca="false">IF($B1878="","",IFERROR(INDEX(자원목록!$B$3:$B$102,MATCH($B1878,자원목록!$A$3:$A$102,0)),"미등록자원"))</f>
        <v/>
      </c>
      <c r="D1878" s="7"/>
      <c r="E1878" s="12" t="str">
        <f aca="false">IF($D1878="","",IFERROR(INDEX(고객목록!$B$3:$B$502,MATCH($D1878,고객목록!$A$3:$A$502,0)),""))</f>
        <v/>
      </c>
      <c r="F1878" s="13"/>
      <c r="G1878" s="13"/>
      <c r="H1878" s="14" t="str">
        <f aca="false">IF(OR($L1878="",$M1878=""),"",ROUND(($M1878-$L1878)/60,2))</f>
        <v/>
      </c>
      <c r="I1878" s="9"/>
      <c r="J1878" s="7"/>
      <c r="K1878" s="7"/>
      <c r="L1878" s="15" t="str">
        <f aca="false">IF($F1878="","",IF($F1878&lt;1,ROUND($F1878*1440,0),INT($F1878/100)*60+MOD($F1878,100)))</f>
        <v/>
      </c>
      <c r="M1878" s="15" t="str">
        <f aca="false">IF($G1878="","",IF($G1878&lt;1,ROUND($G1878*1440,0),INT($G1878/100)*60+MOD($G1878,100)))</f>
        <v/>
      </c>
      <c r="N1878" s="15" t="str">
        <f aca="false">IF(OR($A1878="",$B1878="",$L1878="",$M1878="",$J1878="취소"),"",IF(SUMPRODUCT(($A$3:$A$2002=$A1878)*($B$3:$B$2002=$B1878)*($J$3:$J$2002&lt;&gt;"취소")*($L$3:$L$2002&lt;&gt;"")*($M$3:$M$2002&lt;&gt;"")*($L$3:$L$2002&lt;$M1878)*($M$3:$M$2002&gt;$L1878))&gt;1,"중복","-"))</f>
        <v/>
      </c>
    </row>
    <row r="1879" customFormat="false" ht="15" hidden="false" customHeight="true" outlineLevel="0" collapsed="false">
      <c r="A1879" s="11"/>
      <c r="B1879" s="7"/>
      <c r="C1879" s="12" t="str">
        <f aca="false">IF($B1879="","",IFERROR(INDEX(자원목록!$B$3:$B$102,MATCH($B1879,자원목록!$A$3:$A$102,0)),"미등록자원"))</f>
        <v/>
      </c>
      <c r="D1879" s="7"/>
      <c r="E1879" s="12" t="str">
        <f aca="false">IF($D1879="","",IFERROR(INDEX(고객목록!$B$3:$B$502,MATCH($D1879,고객목록!$A$3:$A$502,0)),""))</f>
        <v/>
      </c>
      <c r="F1879" s="13"/>
      <c r="G1879" s="13"/>
      <c r="H1879" s="14" t="str">
        <f aca="false">IF(OR($L1879="",$M1879=""),"",ROUND(($M1879-$L1879)/60,2))</f>
        <v/>
      </c>
      <c r="I1879" s="9"/>
      <c r="J1879" s="7"/>
      <c r="K1879" s="7"/>
      <c r="L1879" s="15" t="str">
        <f aca="false">IF($F1879="","",IF($F1879&lt;1,ROUND($F1879*1440,0),INT($F1879/100)*60+MOD($F1879,100)))</f>
        <v/>
      </c>
      <c r="M1879" s="15" t="str">
        <f aca="false">IF($G1879="","",IF($G1879&lt;1,ROUND($G1879*1440,0),INT($G1879/100)*60+MOD($G1879,100)))</f>
        <v/>
      </c>
      <c r="N1879" s="15" t="str">
        <f aca="false">IF(OR($A1879="",$B1879="",$L1879="",$M1879="",$J1879="취소"),"",IF(SUMPRODUCT(($A$3:$A$2002=$A1879)*($B$3:$B$2002=$B1879)*($J$3:$J$2002&lt;&gt;"취소")*($L$3:$L$2002&lt;&gt;"")*($M$3:$M$2002&lt;&gt;"")*($L$3:$L$2002&lt;$M1879)*($M$3:$M$2002&gt;$L1879))&gt;1,"중복","-"))</f>
        <v/>
      </c>
    </row>
    <row r="1880" customFormat="false" ht="15" hidden="false" customHeight="true" outlineLevel="0" collapsed="false">
      <c r="A1880" s="11"/>
      <c r="B1880" s="7"/>
      <c r="C1880" s="12" t="str">
        <f aca="false">IF($B1880="","",IFERROR(INDEX(자원목록!$B$3:$B$102,MATCH($B1880,자원목록!$A$3:$A$102,0)),"미등록자원"))</f>
        <v/>
      </c>
      <c r="D1880" s="7"/>
      <c r="E1880" s="12" t="str">
        <f aca="false">IF($D1880="","",IFERROR(INDEX(고객목록!$B$3:$B$502,MATCH($D1880,고객목록!$A$3:$A$502,0)),""))</f>
        <v/>
      </c>
      <c r="F1880" s="13"/>
      <c r="G1880" s="13"/>
      <c r="H1880" s="14" t="str">
        <f aca="false">IF(OR($L1880="",$M1880=""),"",ROUND(($M1880-$L1880)/60,2))</f>
        <v/>
      </c>
      <c r="I1880" s="9"/>
      <c r="J1880" s="7"/>
      <c r="K1880" s="7"/>
      <c r="L1880" s="15" t="str">
        <f aca="false">IF($F1880="","",IF($F1880&lt;1,ROUND($F1880*1440,0),INT($F1880/100)*60+MOD($F1880,100)))</f>
        <v/>
      </c>
      <c r="M1880" s="15" t="str">
        <f aca="false">IF($G1880="","",IF($G1880&lt;1,ROUND($G1880*1440,0),INT($G1880/100)*60+MOD($G1880,100)))</f>
        <v/>
      </c>
      <c r="N1880" s="15" t="str">
        <f aca="false">IF(OR($A1880="",$B1880="",$L1880="",$M1880="",$J1880="취소"),"",IF(SUMPRODUCT(($A$3:$A$2002=$A1880)*($B$3:$B$2002=$B1880)*($J$3:$J$2002&lt;&gt;"취소")*($L$3:$L$2002&lt;&gt;"")*($M$3:$M$2002&lt;&gt;"")*($L$3:$L$2002&lt;$M1880)*($M$3:$M$2002&gt;$L1880))&gt;1,"중복","-"))</f>
        <v/>
      </c>
    </row>
    <row r="1881" customFormat="false" ht="15" hidden="false" customHeight="true" outlineLevel="0" collapsed="false">
      <c r="A1881" s="11"/>
      <c r="B1881" s="7"/>
      <c r="C1881" s="12" t="str">
        <f aca="false">IF($B1881="","",IFERROR(INDEX(자원목록!$B$3:$B$102,MATCH($B1881,자원목록!$A$3:$A$102,0)),"미등록자원"))</f>
        <v/>
      </c>
      <c r="D1881" s="7"/>
      <c r="E1881" s="12" t="str">
        <f aca="false">IF($D1881="","",IFERROR(INDEX(고객목록!$B$3:$B$502,MATCH($D1881,고객목록!$A$3:$A$502,0)),""))</f>
        <v/>
      </c>
      <c r="F1881" s="13"/>
      <c r="G1881" s="13"/>
      <c r="H1881" s="14" t="str">
        <f aca="false">IF(OR($L1881="",$M1881=""),"",ROUND(($M1881-$L1881)/60,2))</f>
        <v/>
      </c>
      <c r="I1881" s="9"/>
      <c r="J1881" s="7"/>
      <c r="K1881" s="7"/>
      <c r="L1881" s="15" t="str">
        <f aca="false">IF($F1881="","",IF($F1881&lt;1,ROUND($F1881*1440,0),INT($F1881/100)*60+MOD($F1881,100)))</f>
        <v/>
      </c>
      <c r="M1881" s="15" t="str">
        <f aca="false">IF($G1881="","",IF($G1881&lt;1,ROUND($G1881*1440,0),INT($G1881/100)*60+MOD($G1881,100)))</f>
        <v/>
      </c>
      <c r="N1881" s="15" t="str">
        <f aca="false">IF(OR($A1881="",$B1881="",$L1881="",$M1881="",$J1881="취소"),"",IF(SUMPRODUCT(($A$3:$A$2002=$A1881)*($B$3:$B$2002=$B1881)*($J$3:$J$2002&lt;&gt;"취소")*($L$3:$L$2002&lt;&gt;"")*($M$3:$M$2002&lt;&gt;"")*($L$3:$L$2002&lt;$M1881)*($M$3:$M$2002&gt;$L1881))&gt;1,"중복","-"))</f>
        <v/>
      </c>
    </row>
    <row r="1882" customFormat="false" ht="15" hidden="false" customHeight="true" outlineLevel="0" collapsed="false">
      <c r="A1882" s="11"/>
      <c r="B1882" s="7"/>
      <c r="C1882" s="12" t="str">
        <f aca="false">IF($B1882="","",IFERROR(INDEX(자원목록!$B$3:$B$102,MATCH($B1882,자원목록!$A$3:$A$102,0)),"미등록자원"))</f>
        <v/>
      </c>
      <c r="D1882" s="7"/>
      <c r="E1882" s="12" t="str">
        <f aca="false">IF($D1882="","",IFERROR(INDEX(고객목록!$B$3:$B$502,MATCH($D1882,고객목록!$A$3:$A$502,0)),""))</f>
        <v/>
      </c>
      <c r="F1882" s="13"/>
      <c r="G1882" s="13"/>
      <c r="H1882" s="14" t="str">
        <f aca="false">IF(OR($L1882="",$M1882=""),"",ROUND(($M1882-$L1882)/60,2))</f>
        <v/>
      </c>
      <c r="I1882" s="9"/>
      <c r="J1882" s="7"/>
      <c r="K1882" s="7"/>
      <c r="L1882" s="15" t="str">
        <f aca="false">IF($F1882="","",IF($F1882&lt;1,ROUND($F1882*1440,0),INT($F1882/100)*60+MOD($F1882,100)))</f>
        <v/>
      </c>
      <c r="M1882" s="15" t="str">
        <f aca="false">IF($G1882="","",IF($G1882&lt;1,ROUND($G1882*1440,0),INT($G1882/100)*60+MOD($G1882,100)))</f>
        <v/>
      </c>
      <c r="N1882" s="15" t="str">
        <f aca="false">IF(OR($A1882="",$B1882="",$L1882="",$M1882="",$J1882="취소"),"",IF(SUMPRODUCT(($A$3:$A$2002=$A1882)*($B$3:$B$2002=$B1882)*($J$3:$J$2002&lt;&gt;"취소")*($L$3:$L$2002&lt;&gt;"")*($M$3:$M$2002&lt;&gt;"")*($L$3:$L$2002&lt;$M1882)*($M$3:$M$2002&gt;$L1882))&gt;1,"중복","-"))</f>
        <v/>
      </c>
    </row>
    <row r="1883" customFormat="false" ht="15" hidden="false" customHeight="true" outlineLevel="0" collapsed="false">
      <c r="A1883" s="11"/>
      <c r="B1883" s="7"/>
      <c r="C1883" s="12" t="str">
        <f aca="false">IF($B1883="","",IFERROR(INDEX(자원목록!$B$3:$B$102,MATCH($B1883,자원목록!$A$3:$A$102,0)),"미등록자원"))</f>
        <v/>
      </c>
      <c r="D1883" s="7"/>
      <c r="E1883" s="12" t="str">
        <f aca="false">IF($D1883="","",IFERROR(INDEX(고객목록!$B$3:$B$502,MATCH($D1883,고객목록!$A$3:$A$502,0)),""))</f>
        <v/>
      </c>
      <c r="F1883" s="13"/>
      <c r="G1883" s="13"/>
      <c r="H1883" s="14" t="str">
        <f aca="false">IF(OR($L1883="",$M1883=""),"",ROUND(($M1883-$L1883)/60,2))</f>
        <v/>
      </c>
      <c r="I1883" s="9"/>
      <c r="J1883" s="7"/>
      <c r="K1883" s="7"/>
      <c r="L1883" s="15" t="str">
        <f aca="false">IF($F1883="","",IF($F1883&lt;1,ROUND($F1883*1440,0),INT($F1883/100)*60+MOD($F1883,100)))</f>
        <v/>
      </c>
      <c r="M1883" s="15" t="str">
        <f aca="false">IF($G1883="","",IF($G1883&lt;1,ROUND($G1883*1440,0),INT($G1883/100)*60+MOD($G1883,100)))</f>
        <v/>
      </c>
      <c r="N1883" s="15" t="str">
        <f aca="false">IF(OR($A1883="",$B1883="",$L1883="",$M1883="",$J1883="취소"),"",IF(SUMPRODUCT(($A$3:$A$2002=$A1883)*($B$3:$B$2002=$B1883)*($J$3:$J$2002&lt;&gt;"취소")*($L$3:$L$2002&lt;&gt;"")*($M$3:$M$2002&lt;&gt;"")*($L$3:$L$2002&lt;$M1883)*($M$3:$M$2002&gt;$L1883))&gt;1,"중복","-"))</f>
        <v/>
      </c>
    </row>
    <row r="1884" customFormat="false" ht="15" hidden="false" customHeight="true" outlineLevel="0" collapsed="false">
      <c r="A1884" s="11"/>
      <c r="B1884" s="7"/>
      <c r="C1884" s="12" t="str">
        <f aca="false">IF($B1884="","",IFERROR(INDEX(자원목록!$B$3:$B$102,MATCH($B1884,자원목록!$A$3:$A$102,0)),"미등록자원"))</f>
        <v/>
      </c>
      <c r="D1884" s="7"/>
      <c r="E1884" s="12" t="str">
        <f aca="false">IF($D1884="","",IFERROR(INDEX(고객목록!$B$3:$B$502,MATCH($D1884,고객목록!$A$3:$A$502,0)),""))</f>
        <v/>
      </c>
      <c r="F1884" s="13"/>
      <c r="G1884" s="13"/>
      <c r="H1884" s="14" t="str">
        <f aca="false">IF(OR($L1884="",$M1884=""),"",ROUND(($M1884-$L1884)/60,2))</f>
        <v/>
      </c>
      <c r="I1884" s="9"/>
      <c r="J1884" s="7"/>
      <c r="K1884" s="7"/>
      <c r="L1884" s="15" t="str">
        <f aca="false">IF($F1884="","",IF($F1884&lt;1,ROUND($F1884*1440,0),INT($F1884/100)*60+MOD($F1884,100)))</f>
        <v/>
      </c>
      <c r="M1884" s="15" t="str">
        <f aca="false">IF($G1884="","",IF($G1884&lt;1,ROUND($G1884*1440,0),INT($G1884/100)*60+MOD($G1884,100)))</f>
        <v/>
      </c>
      <c r="N1884" s="15" t="str">
        <f aca="false">IF(OR($A1884="",$B1884="",$L1884="",$M1884="",$J1884="취소"),"",IF(SUMPRODUCT(($A$3:$A$2002=$A1884)*($B$3:$B$2002=$B1884)*($J$3:$J$2002&lt;&gt;"취소")*($L$3:$L$2002&lt;&gt;"")*($M$3:$M$2002&lt;&gt;"")*($L$3:$L$2002&lt;$M1884)*($M$3:$M$2002&gt;$L1884))&gt;1,"중복","-"))</f>
        <v/>
      </c>
    </row>
    <row r="1885" customFormat="false" ht="15" hidden="false" customHeight="true" outlineLevel="0" collapsed="false">
      <c r="A1885" s="11"/>
      <c r="B1885" s="7"/>
      <c r="C1885" s="12" t="str">
        <f aca="false">IF($B1885="","",IFERROR(INDEX(자원목록!$B$3:$B$102,MATCH($B1885,자원목록!$A$3:$A$102,0)),"미등록자원"))</f>
        <v/>
      </c>
      <c r="D1885" s="7"/>
      <c r="E1885" s="12" t="str">
        <f aca="false">IF($D1885="","",IFERROR(INDEX(고객목록!$B$3:$B$502,MATCH($D1885,고객목록!$A$3:$A$502,0)),""))</f>
        <v/>
      </c>
      <c r="F1885" s="13"/>
      <c r="G1885" s="13"/>
      <c r="H1885" s="14" t="str">
        <f aca="false">IF(OR($L1885="",$M1885=""),"",ROUND(($M1885-$L1885)/60,2))</f>
        <v/>
      </c>
      <c r="I1885" s="9"/>
      <c r="J1885" s="7"/>
      <c r="K1885" s="7"/>
      <c r="L1885" s="15" t="str">
        <f aca="false">IF($F1885="","",IF($F1885&lt;1,ROUND($F1885*1440,0),INT($F1885/100)*60+MOD($F1885,100)))</f>
        <v/>
      </c>
      <c r="M1885" s="15" t="str">
        <f aca="false">IF($G1885="","",IF($G1885&lt;1,ROUND($G1885*1440,0),INT($G1885/100)*60+MOD($G1885,100)))</f>
        <v/>
      </c>
      <c r="N1885" s="15" t="str">
        <f aca="false">IF(OR($A1885="",$B1885="",$L1885="",$M1885="",$J1885="취소"),"",IF(SUMPRODUCT(($A$3:$A$2002=$A1885)*($B$3:$B$2002=$B1885)*($J$3:$J$2002&lt;&gt;"취소")*($L$3:$L$2002&lt;&gt;"")*($M$3:$M$2002&lt;&gt;"")*($L$3:$L$2002&lt;$M1885)*($M$3:$M$2002&gt;$L1885))&gt;1,"중복","-"))</f>
        <v/>
      </c>
    </row>
    <row r="1886" customFormat="false" ht="15" hidden="false" customHeight="true" outlineLevel="0" collapsed="false">
      <c r="A1886" s="11"/>
      <c r="B1886" s="7"/>
      <c r="C1886" s="12" t="str">
        <f aca="false">IF($B1886="","",IFERROR(INDEX(자원목록!$B$3:$B$102,MATCH($B1886,자원목록!$A$3:$A$102,0)),"미등록자원"))</f>
        <v/>
      </c>
      <c r="D1886" s="7"/>
      <c r="E1886" s="12" t="str">
        <f aca="false">IF($D1886="","",IFERROR(INDEX(고객목록!$B$3:$B$502,MATCH($D1886,고객목록!$A$3:$A$502,0)),""))</f>
        <v/>
      </c>
      <c r="F1886" s="13"/>
      <c r="G1886" s="13"/>
      <c r="H1886" s="14" t="str">
        <f aca="false">IF(OR($L1886="",$M1886=""),"",ROUND(($M1886-$L1886)/60,2))</f>
        <v/>
      </c>
      <c r="I1886" s="9"/>
      <c r="J1886" s="7"/>
      <c r="K1886" s="7"/>
      <c r="L1886" s="15" t="str">
        <f aca="false">IF($F1886="","",IF($F1886&lt;1,ROUND($F1886*1440,0),INT($F1886/100)*60+MOD($F1886,100)))</f>
        <v/>
      </c>
      <c r="M1886" s="15" t="str">
        <f aca="false">IF($G1886="","",IF($G1886&lt;1,ROUND($G1886*1440,0),INT($G1886/100)*60+MOD($G1886,100)))</f>
        <v/>
      </c>
      <c r="N1886" s="15" t="str">
        <f aca="false">IF(OR($A1886="",$B1886="",$L1886="",$M1886="",$J1886="취소"),"",IF(SUMPRODUCT(($A$3:$A$2002=$A1886)*($B$3:$B$2002=$B1886)*($J$3:$J$2002&lt;&gt;"취소")*($L$3:$L$2002&lt;&gt;"")*($M$3:$M$2002&lt;&gt;"")*($L$3:$L$2002&lt;$M1886)*($M$3:$M$2002&gt;$L1886))&gt;1,"중복","-"))</f>
        <v/>
      </c>
    </row>
    <row r="1887" customFormat="false" ht="15" hidden="false" customHeight="true" outlineLevel="0" collapsed="false">
      <c r="A1887" s="11"/>
      <c r="B1887" s="7"/>
      <c r="C1887" s="12" t="str">
        <f aca="false">IF($B1887="","",IFERROR(INDEX(자원목록!$B$3:$B$102,MATCH($B1887,자원목록!$A$3:$A$102,0)),"미등록자원"))</f>
        <v/>
      </c>
      <c r="D1887" s="7"/>
      <c r="E1887" s="12" t="str">
        <f aca="false">IF($D1887="","",IFERROR(INDEX(고객목록!$B$3:$B$502,MATCH($D1887,고객목록!$A$3:$A$502,0)),""))</f>
        <v/>
      </c>
      <c r="F1887" s="13"/>
      <c r="G1887" s="13"/>
      <c r="H1887" s="14" t="str">
        <f aca="false">IF(OR($L1887="",$M1887=""),"",ROUND(($M1887-$L1887)/60,2))</f>
        <v/>
      </c>
      <c r="I1887" s="9"/>
      <c r="J1887" s="7"/>
      <c r="K1887" s="7"/>
      <c r="L1887" s="15" t="str">
        <f aca="false">IF($F1887="","",IF($F1887&lt;1,ROUND($F1887*1440,0),INT($F1887/100)*60+MOD($F1887,100)))</f>
        <v/>
      </c>
      <c r="M1887" s="15" t="str">
        <f aca="false">IF($G1887="","",IF($G1887&lt;1,ROUND($G1887*1440,0),INT($G1887/100)*60+MOD($G1887,100)))</f>
        <v/>
      </c>
      <c r="N1887" s="15" t="str">
        <f aca="false">IF(OR($A1887="",$B1887="",$L1887="",$M1887="",$J1887="취소"),"",IF(SUMPRODUCT(($A$3:$A$2002=$A1887)*($B$3:$B$2002=$B1887)*($J$3:$J$2002&lt;&gt;"취소")*($L$3:$L$2002&lt;&gt;"")*($M$3:$M$2002&lt;&gt;"")*($L$3:$L$2002&lt;$M1887)*($M$3:$M$2002&gt;$L1887))&gt;1,"중복","-"))</f>
        <v/>
      </c>
    </row>
    <row r="1888" customFormat="false" ht="15" hidden="false" customHeight="true" outlineLevel="0" collapsed="false">
      <c r="A1888" s="11"/>
      <c r="B1888" s="7"/>
      <c r="C1888" s="12" t="str">
        <f aca="false">IF($B1888="","",IFERROR(INDEX(자원목록!$B$3:$B$102,MATCH($B1888,자원목록!$A$3:$A$102,0)),"미등록자원"))</f>
        <v/>
      </c>
      <c r="D1888" s="7"/>
      <c r="E1888" s="12" t="str">
        <f aca="false">IF($D1888="","",IFERROR(INDEX(고객목록!$B$3:$B$502,MATCH($D1888,고객목록!$A$3:$A$502,0)),""))</f>
        <v/>
      </c>
      <c r="F1888" s="13"/>
      <c r="G1888" s="13"/>
      <c r="H1888" s="14" t="str">
        <f aca="false">IF(OR($L1888="",$M1888=""),"",ROUND(($M1888-$L1888)/60,2))</f>
        <v/>
      </c>
      <c r="I1888" s="9"/>
      <c r="J1888" s="7"/>
      <c r="K1888" s="7"/>
      <c r="L1888" s="15" t="str">
        <f aca="false">IF($F1888="","",IF($F1888&lt;1,ROUND($F1888*1440,0),INT($F1888/100)*60+MOD($F1888,100)))</f>
        <v/>
      </c>
      <c r="M1888" s="15" t="str">
        <f aca="false">IF($G1888="","",IF($G1888&lt;1,ROUND($G1888*1440,0),INT($G1888/100)*60+MOD($G1888,100)))</f>
        <v/>
      </c>
      <c r="N1888" s="15" t="str">
        <f aca="false">IF(OR($A1888="",$B1888="",$L1888="",$M1888="",$J1888="취소"),"",IF(SUMPRODUCT(($A$3:$A$2002=$A1888)*($B$3:$B$2002=$B1888)*($J$3:$J$2002&lt;&gt;"취소")*($L$3:$L$2002&lt;&gt;"")*($M$3:$M$2002&lt;&gt;"")*($L$3:$L$2002&lt;$M1888)*($M$3:$M$2002&gt;$L1888))&gt;1,"중복","-"))</f>
        <v/>
      </c>
    </row>
    <row r="1889" customFormat="false" ht="15" hidden="false" customHeight="true" outlineLevel="0" collapsed="false">
      <c r="A1889" s="11"/>
      <c r="B1889" s="7"/>
      <c r="C1889" s="12" t="str">
        <f aca="false">IF($B1889="","",IFERROR(INDEX(자원목록!$B$3:$B$102,MATCH($B1889,자원목록!$A$3:$A$102,0)),"미등록자원"))</f>
        <v/>
      </c>
      <c r="D1889" s="7"/>
      <c r="E1889" s="12" t="str">
        <f aca="false">IF($D1889="","",IFERROR(INDEX(고객목록!$B$3:$B$502,MATCH($D1889,고객목록!$A$3:$A$502,0)),""))</f>
        <v/>
      </c>
      <c r="F1889" s="13"/>
      <c r="G1889" s="13"/>
      <c r="H1889" s="14" t="str">
        <f aca="false">IF(OR($L1889="",$M1889=""),"",ROUND(($M1889-$L1889)/60,2))</f>
        <v/>
      </c>
      <c r="I1889" s="9"/>
      <c r="J1889" s="7"/>
      <c r="K1889" s="7"/>
      <c r="L1889" s="15" t="str">
        <f aca="false">IF($F1889="","",IF($F1889&lt;1,ROUND($F1889*1440,0),INT($F1889/100)*60+MOD($F1889,100)))</f>
        <v/>
      </c>
      <c r="M1889" s="15" t="str">
        <f aca="false">IF($G1889="","",IF($G1889&lt;1,ROUND($G1889*1440,0),INT($G1889/100)*60+MOD($G1889,100)))</f>
        <v/>
      </c>
      <c r="N1889" s="15" t="str">
        <f aca="false">IF(OR($A1889="",$B1889="",$L1889="",$M1889="",$J1889="취소"),"",IF(SUMPRODUCT(($A$3:$A$2002=$A1889)*($B$3:$B$2002=$B1889)*($J$3:$J$2002&lt;&gt;"취소")*($L$3:$L$2002&lt;&gt;"")*($M$3:$M$2002&lt;&gt;"")*($L$3:$L$2002&lt;$M1889)*($M$3:$M$2002&gt;$L1889))&gt;1,"중복","-"))</f>
        <v/>
      </c>
    </row>
    <row r="1890" customFormat="false" ht="15" hidden="false" customHeight="true" outlineLevel="0" collapsed="false">
      <c r="A1890" s="11"/>
      <c r="B1890" s="7"/>
      <c r="C1890" s="12" t="str">
        <f aca="false">IF($B1890="","",IFERROR(INDEX(자원목록!$B$3:$B$102,MATCH($B1890,자원목록!$A$3:$A$102,0)),"미등록자원"))</f>
        <v/>
      </c>
      <c r="D1890" s="7"/>
      <c r="E1890" s="12" t="str">
        <f aca="false">IF($D1890="","",IFERROR(INDEX(고객목록!$B$3:$B$502,MATCH($D1890,고객목록!$A$3:$A$502,0)),""))</f>
        <v/>
      </c>
      <c r="F1890" s="13"/>
      <c r="G1890" s="13"/>
      <c r="H1890" s="14" t="str">
        <f aca="false">IF(OR($L1890="",$M1890=""),"",ROUND(($M1890-$L1890)/60,2))</f>
        <v/>
      </c>
      <c r="I1890" s="9"/>
      <c r="J1890" s="7"/>
      <c r="K1890" s="7"/>
      <c r="L1890" s="15" t="str">
        <f aca="false">IF($F1890="","",IF($F1890&lt;1,ROUND($F1890*1440,0),INT($F1890/100)*60+MOD($F1890,100)))</f>
        <v/>
      </c>
      <c r="M1890" s="15" t="str">
        <f aca="false">IF($G1890="","",IF($G1890&lt;1,ROUND($G1890*1440,0),INT($G1890/100)*60+MOD($G1890,100)))</f>
        <v/>
      </c>
      <c r="N1890" s="15" t="str">
        <f aca="false">IF(OR($A1890="",$B1890="",$L1890="",$M1890="",$J1890="취소"),"",IF(SUMPRODUCT(($A$3:$A$2002=$A1890)*($B$3:$B$2002=$B1890)*($J$3:$J$2002&lt;&gt;"취소")*($L$3:$L$2002&lt;&gt;"")*($M$3:$M$2002&lt;&gt;"")*($L$3:$L$2002&lt;$M1890)*($M$3:$M$2002&gt;$L1890))&gt;1,"중복","-"))</f>
        <v/>
      </c>
    </row>
    <row r="1891" customFormat="false" ht="15" hidden="false" customHeight="true" outlineLevel="0" collapsed="false">
      <c r="A1891" s="11"/>
      <c r="B1891" s="7"/>
      <c r="C1891" s="12" t="str">
        <f aca="false">IF($B1891="","",IFERROR(INDEX(자원목록!$B$3:$B$102,MATCH($B1891,자원목록!$A$3:$A$102,0)),"미등록자원"))</f>
        <v/>
      </c>
      <c r="D1891" s="7"/>
      <c r="E1891" s="12" t="str">
        <f aca="false">IF($D1891="","",IFERROR(INDEX(고객목록!$B$3:$B$502,MATCH($D1891,고객목록!$A$3:$A$502,0)),""))</f>
        <v/>
      </c>
      <c r="F1891" s="13"/>
      <c r="G1891" s="13"/>
      <c r="H1891" s="14" t="str">
        <f aca="false">IF(OR($L1891="",$M1891=""),"",ROUND(($M1891-$L1891)/60,2))</f>
        <v/>
      </c>
      <c r="I1891" s="9"/>
      <c r="J1891" s="7"/>
      <c r="K1891" s="7"/>
      <c r="L1891" s="15" t="str">
        <f aca="false">IF($F1891="","",IF($F1891&lt;1,ROUND($F1891*1440,0),INT($F1891/100)*60+MOD($F1891,100)))</f>
        <v/>
      </c>
      <c r="M1891" s="15" t="str">
        <f aca="false">IF($G1891="","",IF($G1891&lt;1,ROUND($G1891*1440,0),INT($G1891/100)*60+MOD($G1891,100)))</f>
        <v/>
      </c>
      <c r="N1891" s="15" t="str">
        <f aca="false">IF(OR($A1891="",$B1891="",$L1891="",$M1891="",$J1891="취소"),"",IF(SUMPRODUCT(($A$3:$A$2002=$A1891)*($B$3:$B$2002=$B1891)*($J$3:$J$2002&lt;&gt;"취소")*($L$3:$L$2002&lt;&gt;"")*($M$3:$M$2002&lt;&gt;"")*($L$3:$L$2002&lt;$M1891)*($M$3:$M$2002&gt;$L1891))&gt;1,"중복","-"))</f>
        <v/>
      </c>
    </row>
    <row r="1892" customFormat="false" ht="15" hidden="false" customHeight="true" outlineLevel="0" collapsed="false">
      <c r="A1892" s="11"/>
      <c r="B1892" s="7"/>
      <c r="C1892" s="12" t="str">
        <f aca="false">IF($B1892="","",IFERROR(INDEX(자원목록!$B$3:$B$102,MATCH($B1892,자원목록!$A$3:$A$102,0)),"미등록자원"))</f>
        <v/>
      </c>
      <c r="D1892" s="7"/>
      <c r="E1892" s="12" t="str">
        <f aca="false">IF($D1892="","",IFERROR(INDEX(고객목록!$B$3:$B$502,MATCH($D1892,고객목록!$A$3:$A$502,0)),""))</f>
        <v/>
      </c>
      <c r="F1892" s="13"/>
      <c r="G1892" s="13"/>
      <c r="H1892" s="14" t="str">
        <f aca="false">IF(OR($L1892="",$M1892=""),"",ROUND(($M1892-$L1892)/60,2))</f>
        <v/>
      </c>
      <c r="I1892" s="9"/>
      <c r="J1892" s="7"/>
      <c r="K1892" s="7"/>
      <c r="L1892" s="15" t="str">
        <f aca="false">IF($F1892="","",IF($F1892&lt;1,ROUND($F1892*1440,0),INT($F1892/100)*60+MOD($F1892,100)))</f>
        <v/>
      </c>
      <c r="M1892" s="15" t="str">
        <f aca="false">IF($G1892="","",IF($G1892&lt;1,ROUND($G1892*1440,0),INT($G1892/100)*60+MOD($G1892,100)))</f>
        <v/>
      </c>
      <c r="N1892" s="15" t="str">
        <f aca="false">IF(OR($A1892="",$B1892="",$L1892="",$M1892="",$J1892="취소"),"",IF(SUMPRODUCT(($A$3:$A$2002=$A1892)*($B$3:$B$2002=$B1892)*($J$3:$J$2002&lt;&gt;"취소")*($L$3:$L$2002&lt;&gt;"")*($M$3:$M$2002&lt;&gt;"")*($L$3:$L$2002&lt;$M1892)*($M$3:$M$2002&gt;$L1892))&gt;1,"중복","-"))</f>
        <v/>
      </c>
    </row>
    <row r="1893" customFormat="false" ht="15" hidden="false" customHeight="true" outlineLevel="0" collapsed="false">
      <c r="A1893" s="11"/>
      <c r="B1893" s="7"/>
      <c r="C1893" s="12" t="str">
        <f aca="false">IF($B1893="","",IFERROR(INDEX(자원목록!$B$3:$B$102,MATCH($B1893,자원목록!$A$3:$A$102,0)),"미등록자원"))</f>
        <v/>
      </c>
      <c r="D1893" s="7"/>
      <c r="E1893" s="12" t="str">
        <f aca="false">IF($D1893="","",IFERROR(INDEX(고객목록!$B$3:$B$502,MATCH($D1893,고객목록!$A$3:$A$502,0)),""))</f>
        <v/>
      </c>
      <c r="F1893" s="13"/>
      <c r="G1893" s="13"/>
      <c r="H1893" s="14" t="str">
        <f aca="false">IF(OR($L1893="",$M1893=""),"",ROUND(($M1893-$L1893)/60,2))</f>
        <v/>
      </c>
      <c r="I1893" s="9"/>
      <c r="J1893" s="7"/>
      <c r="K1893" s="7"/>
      <c r="L1893" s="15" t="str">
        <f aca="false">IF($F1893="","",IF($F1893&lt;1,ROUND($F1893*1440,0),INT($F1893/100)*60+MOD($F1893,100)))</f>
        <v/>
      </c>
      <c r="M1893" s="15" t="str">
        <f aca="false">IF($G1893="","",IF($G1893&lt;1,ROUND($G1893*1440,0),INT($G1893/100)*60+MOD($G1893,100)))</f>
        <v/>
      </c>
      <c r="N1893" s="15" t="str">
        <f aca="false">IF(OR($A1893="",$B1893="",$L1893="",$M1893="",$J1893="취소"),"",IF(SUMPRODUCT(($A$3:$A$2002=$A1893)*($B$3:$B$2002=$B1893)*($J$3:$J$2002&lt;&gt;"취소")*($L$3:$L$2002&lt;&gt;"")*($M$3:$M$2002&lt;&gt;"")*($L$3:$L$2002&lt;$M1893)*($M$3:$M$2002&gt;$L1893))&gt;1,"중복","-"))</f>
        <v/>
      </c>
    </row>
    <row r="1894" customFormat="false" ht="15" hidden="false" customHeight="true" outlineLevel="0" collapsed="false">
      <c r="A1894" s="11"/>
      <c r="B1894" s="7"/>
      <c r="C1894" s="12" t="str">
        <f aca="false">IF($B1894="","",IFERROR(INDEX(자원목록!$B$3:$B$102,MATCH($B1894,자원목록!$A$3:$A$102,0)),"미등록자원"))</f>
        <v/>
      </c>
      <c r="D1894" s="7"/>
      <c r="E1894" s="12" t="str">
        <f aca="false">IF($D1894="","",IFERROR(INDEX(고객목록!$B$3:$B$502,MATCH($D1894,고객목록!$A$3:$A$502,0)),""))</f>
        <v/>
      </c>
      <c r="F1894" s="13"/>
      <c r="G1894" s="13"/>
      <c r="H1894" s="14" t="str">
        <f aca="false">IF(OR($L1894="",$M1894=""),"",ROUND(($M1894-$L1894)/60,2))</f>
        <v/>
      </c>
      <c r="I1894" s="9"/>
      <c r="J1894" s="7"/>
      <c r="K1894" s="7"/>
      <c r="L1894" s="15" t="str">
        <f aca="false">IF($F1894="","",IF($F1894&lt;1,ROUND($F1894*1440,0),INT($F1894/100)*60+MOD($F1894,100)))</f>
        <v/>
      </c>
      <c r="M1894" s="15" t="str">
        <f aca="false">IF($G1894="","",IF($G1894&lt;1,ROUND($G1894*1440,0),INT($G1894/100)*60+MOD($G1894,100)))</f>
        <v/>
      </c>
      <c r="N1894" s="15" t="str">
        <f aca="false">IF(OR($A1894="",$B1894="",$L1894="",$M1894="",$J1894="취소"),"",IF(SUMPRODUCT(($A$3:$A$2002=$A1894)*($B$3:$B$2002=$B1894)*($J$3:$J$2002&lt;&gt;"취소")*($L$3:$L$2002&lt;&gt;"")*($M$3:$M$2002&lt;&gt;"")*($L$3:$L$2002&lt;$M1894)*($M$3:$M$2002&gt;$L1894))&gt;1,"중복","-"))</f>
        <v/>
      </c>
    </row>
    <row r="1895" customFormat="false" ht="15" hidden="false" customHeight="true" outlineLevel="0" collapsed="false">
      <c r="A1895" s="11"/>
      <c r="B1895" s="7"/>
      <c r="C1895" s="12" t="str">
        <f aca="false">IF($B1895="","",IFERROR(INDEX(자원목록!$B$3:$B$102,MATCH($B1895,자원목록!$A$3:$A$102,0)),"미등록자원"))</f>
        <v/>
      </c>
      <c r="D1895" s="7"/>
      <c r="E1895" s="12" t="str">
        <f aca="false">IF($D1895="","",IFERROR(INDEX(고객목록!$B$3:$B$502,MATCH($D1895,고객목록!$A$3:$A$502,0)),""))</f>
        <v/>
      </c>
      <c r="F1895" s="13"/>
      <c r="G1895" s="13"/>
      <c r="H1895" s="14" t="str">
        <f aca="false">IF(OR($L1895="",$M1895=""),"",ROUND(($M1895-$L1895)/60,2))</f>
        <v/>
      </c>
      <c r="I1895" s="9"/>
      <c r="J1895" s="7"/>
      <c r="K1895" s="7"/>
      <c r="L1895" s="15" t="str">
        <f aca="false">IF($F1895="","",IF($F1895&lt;1,ROUND($F1895*1440,0),INT($F1895/100)*60+MOD($F1895,100)))</f>
        <v/>
      </c>
      <c r="M1895" s="15" t="str">
        <f aca="false">IF($G1895="","",IF($G1895&lt;1,ROUND($G1895*1440,0),INT($G1895/100)*60+MOD($G1895,100)))</f>
        <v/>
      </c>
      <c r="N1895" s="15" t="str">
        <f aca="false">IF(OR($A1895="",$B1895="",$L1895="",$M1895="",$J1895="취소"),"",IF(SUMPRODUCT(($A$3:$A$2002=$A1895)*($B$3:$B$2002=$B1895)*($J$3:$J$2002&lt;&gt;"취소")*($L$3:$L$2002&lt;&gt;"")*($M$3:$M$2002&lt;&gt;"")*($L$3:$L$2002&lt;$M1895)*($M$3:$M$2002&gt;$L1895))&gt;1,"중복","-"))</f>
        <v/>
      </c>
    </row>
    <row r="1896" customFormat="false" ht="15" hidden="false" customHeight="true" outlineLevel="0" collapsed="false">
      <c r="A1896" s="11"/>
      <c r="B1896" s="7"/>
      <c r="C1896" s="12" t="str">
        <f aca="false">IF($B1896="","",IFERROR(INDEX(자원목록!$B$3:$B$102,MATCH($B1896,자원목록!$A$3:$A$102,0)),"미등록자원"))</f>
        <v/>
      </c>
      <c r="D1896" s="7"/>
      <c r="E1896" s="12" t="str">
        <f aca="false">IF($D1896="","",IFERROR(INDEX(고객목록!$B$3:$B$502,MATCH($D1896,고객목록!$A$3:$A$502,0)),""))</f>
        <v/>
      </c>
      <c r="F1896" s="13"/>
      <c r="G1896" s="13"/>
      <c r="H1896" s="14" t="str">
        <f aca="false">IF(OR($L1896="",$M1896=""),"",ROUND(($M1896-$L1896)/60,2))</f>
        <v/>
      </c>
      <c r="I1896" s="9"/>
      <c r="J1896" s="7"/>
      <c r="K1896" s="7"/>
      <c r="L1896" s="15" t="str">
        <f aca="false">IF($F1896="","",IF($F1896&lt;1,ROUND($F1896*1440,0),INT($F1896/100)*60+MOD($F1896,100)))</f>
        <v/>
      </c>
      <c r="M1896" s="15" t="str">
        <f aca="false">IF($G1896="","",IF($G1896&lt;1,ROUND($G1896*1440,0),INT($G1896/100)*60+MOD($G1896,100)))</f>
        <v/>
      </c>
      <c r="N1896" s="15" t="str">
        <f aca="false">IF(OR($A1896="",$B1896="",$L1896="",$M1896="",$J1896="취소"),"",IF(SUMPRODUCT(($A$3:$A$2002=$A1896)*($B$3:$B$2002=$B1896)*($J$3:$J$2002&lt;&gt;"취소")*($L$3:$L$2002&lt;&gt;"")*($M$3:$M$2002&lt;&gt;"")*($L$3:$L$2002&lt;$M1896)*($M$3:$M$2002&gt;$L1896))&gt;1,"중복","-"))</f>
        <v/>
      </c>
    </row>
    <row r="1897" customFormat="false" ht="15" hidden="false" customHeight="true" outlineLevel="0" collapsed="false">
      <c r="A1897" s="11"/>
      <c r="B1897" s="7"/>
      <c r="C1897" s="12" t="str">
        <f aca="false">IF($B1897="","",IFERROR(INDEX(자원목록!$B$3:$B$102,MATCH($B1897,자원목록!$A$3:$A$102,0)),"미등록자원"))</f>
        <v/>
      </c>
      <c r="D1897" s="7"/>
      <c r="E1897" s="12" t="str">
        <f aca="false">IF($D1897="","",IFERROR(INDEX(고객목록!$B$3:$B$502,MATCH($D1897,고객목록!$A$3:$A$502,0)),""))</f>
        <v/>
      </c>
      <c r="F1897" s="13"/>
      <c r="G1897" s="13"/>
      <c r="H1897" s="14" t="str">
        <f aca="false">IF(OR($L1897="",$M1897=""),"",ROUND(($M1897-$L1897)/60,2))</f>
        <v/>
      </c>
      <c r="I1897" s="9"/>
      <c r="J1897" s="7"/>
      <c r="K1897" s="7"/>
      <c r="L1897" s="15" t="str">
        <f aca="false">IF($F1897="","",IF($F1897&lt;1,ROUND($F1897*1440,0),INT($F1897/100)*60+MOD($F1897,100)))</f>
        <v/>
      </c>
      <c r="M1897" s="15" t="str">
        <f aca="false">IF($G1897="","",IF($G1897&lt;1,ROUND($G1897*1440,0),INT($G1897/100)*60+MOD($G1897,100)))</f>
        <v/>
      </c>
      <c r="N1897" s="15" t="str">
        <f aca="false">IF(OR($A1897="",$B1897="",$L1897="",$M1897="",$J1897="취소"),"",IF(SUMPRODUCT(($A$3:$A$2002=$A1897)*($B$3:$B$2002=$B1897)*($J$3:$J$2002&lt;&gt;"취소")*($L$3:$L$2002&lt;&gt;"")*($M$3:$M$2002&lt;&gt;"")*($L$3:$L$2002&lt;$M1897)*($M$3:$M$2002&gt;$L1897))&gt;1,"중복","-"))</f>
        <v/>
      </c>
    </row>
    <row r="1898" customFormat="false" ht="15" hidden="false" customHeight="true" outlineLevel="0" collapsed="false">
      <c r="A1898" s="11"/>
      <c r="B1898" s="7"/>
      <c r="C1898" s="12" t="str">
        <f aca="false">IF($B1898="","",IFERROR(INDEX(자원목록!$B$3:$B$102,MATCH($B1898,자원목록!$A$3:$A$102,0)),"미등록자원"))</f>
        <v/>
      </c>
      <c r="D1898" s="7"/>
      <c r="E1898" s="12" t="str">
        <f aca="false">IF($D1898="","",IFERROR(INDEX(고객목록!$B$3:$B$502,MATCH($D1898,고객목록!$A$3:$A$502,0)),""))</f>
        <v/>
      </c>
      <c r="F1898" s="13"/>
      <c r="G1898" s="13"/>
      <c r="H1898" s="14" t="str">
        <f aca="false">IF(OR($L1898="",$M1898=""),"",ROUND(($M1898-$L1898)/60,2))</f>
        <v/>
      </c>
      <c r="I1898" s="9"/>
      <c r="J1898" s="7"/>
      <c r="K1898" s="7"/>
      <c r="L1898" s="15" t="str">
        <f aca="false">IF($F1898="","",IF($F1898&lt;1,ROUND($F1898*1440,0),INT($F1898/100)*60+MOD($F1898,100)))</f>
        <v/>
      </c>
      <c r="M1898" s="15" t="str">
        <f aca="false">IF($G1898="","",IF($G1898&lt;1,ROUND($G1898*1440,0),INT($G1898/100)*60+MOD($G1898,100)))</f>
        <v/>
      </c>
      <c r="N1898" s="15" t="str">
        <f aca="false">IF(OR($A1898="",$B1898="",$L1898="",$M1898="",$J1898="취소"),"",IF(SUMPRODUCT(($A$3:$A$2002=$A1898)*($B$3:$B$2002=$B1898)*($J$3:$J$2002&lt;&gt;"취소")*($L$3:$L$2002&lt;&gt;"")*($M$3:$M$2002&lt;&gt;"")*($L$3:$L$2002&lt;$M1898)*($M$3:$M$2002&gt;$L1898))&gt;1,"중복","-"))</f>
        <v/>
      </c>
    </row>
    <row r="1899" customFormat="false" ht="15" hidden="false" customHeight="true" outlineLevel="0" collapsed="false">
      <c r="A1899" s="11"/>
      <c r="B1899" s="7"/>
      <c r="C1899" s="12" t="str">
        <f aca="false">IF($B1899="","",IFERROR(INDEX(자원목록!$B$3:$B$102,MATCH($B1899,자원목록!$A$3:$A$102,0)),"미등록자원"))</f>
        <v/>
      </c>
      <c r="D1899" s="7"/>
      <c r="E1899" s="12" t="str">
        <f aca="false">IF($D1899="","",IFERROR(INDEX(고객목록!$B$3:$B$502,MATCH($D1899,고객목록!$A$3:$A$502,0)),""))</f>
        <v/>
      </c>
      <c r="F1899" s="13"/>
      <c r="G1899" s="13"/>
      <c r="H1899" s="14" t="str">
        <f aca="false">IF(OR($L1899="",$M1899=""),"",ROUND(($M1899-$L1899)/60,2))</f>
        <v/>
      </c>
      <c r="I1899" s="9"/>
      <c r="J1899" s="7"/>
      <c r="K1899" s="7"/>
      <c r="L1899" s="15" t="str">
        <f aca="false">IF($F1899="","",IF($F1899&lt;1,ROUND($F1899*1440,0),INT($F1899/100)*60+MOD($F1899,100)))</f>
        <v/>
      </c>
      <c r="M1899" s="15" t="str">
        <f aca="false">IF($G1899="","",IF($G1899&lt;1,ROUND($G1899*1440,0),INT($G1899/100)*60+MOD($G1899,100)))</f>
        <v/>
      </c>
      <c r="N1899" s="15" t="str">
        <f aca="false">IF(OR($A1899="",$B1899="",$L1899="",$M1899="",$J1899="취소"),"",IF(SUMPRODUCT(($A$3:$A$2002=$A1899)*($B$3:$B$2002=$B1899)*($J$3:$J$2002&lt;&gt;"취소")*($L$3:$L$2002&lt;&gt;"")*($M$3:$M$2002&lt;&gt;"")*($L$3:$L$2002&lt;$M1899)*($M$3:$M$2002&gt;$L1899))&gt;1,"중복","-"))</f>
        <v/>
      </c>
    </row>
    <row r="1900" customFormat="false" ht="15" hidden="false" customHeight="true" outlineLevel="0" collapsed="false">
      <c r="A1900" s="11"/>
      <c r="B1900" s="7"/>
      <c r="C1900" s="12" t="str">
        <f aca="false">IF($B1900="","",IFERROR(INDEX(자원목록!$B$3:$B$102,MATCH($B1900,자원목록!$A$3:$A$102,0)),"미등록자원"))</f>
        <v/>
      </c>
      <c r="D1900" s="7"/>
      <c r="E1900" s="12" t="str">
        <f aca="false">IF($D1900="","",IFERROR(INDEX(고객목록!$B$3:$B$502,MATCH($D1900,고객목록!$A$3:$A$502,0)),""))</f>
        <v/>
      </c>
      <c r="F1900" s="13"/>
      <c r="G1900" s="13"/>
      <c r="H1900" s="14" t="str">
        <f aca="false">IF(OR($L1900="",$M1900=""),"",ROUND(($M1900-$L1900)/60,2))</f>
        <v/>
      </c>
      <c r="I1900" s="9"/>
      <c r="J1900" s="7"/>
      <c r="K1900" s="7"/>
      <c r="L1900" s="15" t="str">
        <f aca="false">IF($F1900="","",IF($F1900&lt;1,ROUND($F1900*1440,0),INT($F1900/100)*60+MOD($F1900,100)))</f>
        <v/>
      </c>
      <c r="M1900" s="15" t="str">
        <f aca="false">IF($G1900="","",IF($G1900&lt;1,ROUND($G1900*1440,0),INT($G1900/100)*60+MOD($G1900,100)))</f>
        <v/>
      </c>
      <c r="N1900" s="15" t="str">
        <f aca="false">IF(OR($A1900="",$B1900="",$L1900="",$M1900="",$J1900="취소"),"",IF(SUMPRODUCT(($A$3:$A$2002=$A1900)*($B$3:$B$2002=$B1900)*($J$3:$J$2002&lt;&gt;"취소")*($L$3:$L$2002&lt;&gt;"")*($M$3:$M$2002&lt;&gt;"")*($L$3:$L$2002&lt;$M1900)*($M$3:$M$2002&gt;$L1900))&gt;1,"중복","-"))</f>
        <v/>
      </c>
    </row>
    <row r="1901" customFormat="false" ht="15" hidden="false" customHeight="true" outlineLevel="0" collapsed="false">
      <c r="A1901" s="11"/>
      <c r="B1901" s="7"/>
      <c r="C1901" s="12" t="str">
        <f aca="false">IF($B1901="","",IFERROR(INDEX(자원목록!$B$3:$B$102,MATCH($B1901,자원목록!$A$3:$A$102,0)),"미등록자원"))</f>
        <v/>
      </c>
      <c r="D1901" s="7"/>
      <c r="E1901" s="12" t="str">
        <f aca="false">IF($D1901="","",IFERROR(INDEX(고객목록!$B$3:$B$502,MATCH($D1901,고객목록!$A$3:$A$502,0)),""))</f>
        <v/>
      </c>
      <c r="F1901" s="13"/>
      <c r="G1901" s="13"/>
      <c r="H1901" s="14" t="str">
        <f aca="false">IF(OR($L1901="",$M1901=""),"",ROUND(($M1901-$L1901)/60,2))</f>
        <v/>
      </c>
      <c r="I1901" s="9"/>
      <c r="J1901" s="7"/>
      <c r="K1901" s="7"/>
      <c r="L1901" s="15" t="str">
        <f aca="false">IF($F1901="","",IF($F1901&lt;1,ROUND($F1901*1440,0),INT($F1901/100)*60+MOD($F1901,100)))</f>
        <v/>
      </c>
      <c r="M1901" s="15" t="str">
        <f aca="false">IF($G1901="","",IF($G1901&lt;1,ROUND($G1901*1440,0),INT($G1901/100)*60+MOD($G1901,100)))</f>
        <v/>
      </c>
      <c r="N1901" s="15" t="str">
        <f aca="false">IF(OR($A1901="",$B1901="",$L1901="",$M1901="",$J1901="취소"),"",IF(SUMPRODUCT(($A$3:$A$2002=$A1901)*($B$3:$B$2002=$B1901)*($J$3:$J$2002&lt;&gt;"취소")*($L$3:$L$2002&lt;&gt;"")*($M$3:$M$2002&lt;&gt;"")*($L$3:$L$2002&lt;$M1901)*($M$3:$M$2002&gt;$L1901))&gt;1,"중복","-"))</f>
        <v/>
      </c>
    </row>
    <row r="1902" customFormat="false" ht="15" hidden="false" customHeight="true" outlineLevel="0" collapsed="false">
      <c r="A1902" s="11"/>
      <c r="B1902" s="7"/>
      <c r="C1902" s="12" t="str">
        <f aca="false">IF($B1902="","",IFERROR(INDEX(자원목록!$B$3:$B$102,MATCH($B1902,자원목록!$A$3:$A$102,0)),"미등록자원"))</f>
        <v/>
      </c>
      <c r="D1902" s="7"/>
      <c r="E1902" s="12" t="str">
        <f aca="false">IF($D1902="","",IFERROR(INDEX(고객목록!$B$3:$B$502,MATCH($D1902,고객목록!$A$3:$A$502,0)),""))</f>
        <v/>
      </c>
      <c r="F1902" s="13"/>
      <c r="G1902" s="13"/>
      <c r="H1902" s="14" t="str">
        <f aca="false">IF(OR($L1902="",$M1902=""),"",ROUND(($M1902-$L1902)/60,2))</f>
        <v/>
      </c>
      <c r="I1902" s="9"/>
      <c r="J1902" s="7"/>
      <c r="K1902" s="7"/>
      <c r="L1902" s="15" t="str">
        <f aca="false">IF($F1902="","",IF($F1902&lt;1,ROUND($F1902*1440,0),INT($F1902/100)*60+MOD($F1902,100)))</f>
        <v/>
      </c>
      <c r="M1902" s="15" t="str">
        <f aca="false">IF($G1902="","",IF($G1902&lt;1,ROUND($G1902*1440,0),INT($G1902/100)*60+MOD($G1902,100)))</f>
        <v/>
      </c>
      <c r="N1902" s="15" t="str">
        <f aca="false">IF(OR($A1902="",$B1902="",$L1902="",$M1902="",$J1902="취소"),"",IF(SUMPRODUCT(($A$3:$A$2002=$A1902)*($B$3:$B$2002=$B1902)*($J$3:$J$2002&lt;&gt;"취소")*($L$3:$L$2002&lt;&gt;"")*($M$3:$M$2002&lt;&gt;"")*($L$3:$L$2002&lt;$M1902)*($M$3:$M$2002&gt;$L1902))&gt;1,"중복","-"))</f>
        <v/>
      </c>
    </row>
    <row r="1903" customFormat="false" ht="15" hidden="false" customHeight="true" outlineLevel="0" collapsed="false">
      <c r="A1903" s="11"/>
      <c r="B1903" s="7"/>
      <c r="C1903" s="12" t="str">
        <f aca="false">IF($B1903="","",IFERROR(INDEX(자원목록!$B$3:$B$102,MATCH($B1903,자원목록!$A$3:$A$102,0)),"미등록자원"))</f>
        <v/>
      </c>
      <c r="D1903" s="7"/>
      <c r="E1903" s="12" t="str">
        <f aca="false">IF($D1903="","",IFERROR(INDEX(고객목록!$B$3:$B$502,MATCH($D1903,고객목록!$A$3:$A$502,0)),""))</f>
        <v/>
      </c>
      <c r="F1903" s="13"/>
      <c r="G1903" s="13"/>
      <c r="H1903" s="14" t="str">
        <f aca="false">IF(OR($L1903="",$M1903=""),"",ROUND(($M1903-$L1903)/60,2))</f>
        <v/>
      </c>
      <c r="I1903" s="9"/>
      <c r="J1903" s="7"/>
      <c r="K1903" s="7"/>
      <c r="L1903" s="15" t="str">
        <f aca="false">IF($F1903="","",IF($F1903&lt;1,ROUND($F1903*1440,0),INT($F1903/100)*60+MOD($F1903,100)))</f>
        <v/>
      </c>
      <c r="M1903" s="15" t="str">
        <f aca="false">IF($G1903="","",IF($G1903&lt;1,ROUND($G1903*1440,0),INT($G1903/100)*60+MOD($G1903,100)))</f>
        <v/>
      </c>
      <c r="N1903" s="15" t="str">
        <f aca="false">IF(OR($A1903="",$B1903="",$L1903="",$M1903="",$J1903="취소"),"",IF(SUMPRODUCT(($A$3:$A$2002=$A1903)*($B$3:$B$2002=$B1903)*($J$3:$J$2002&lt;&gt;"취소")*($L$3:$L$2002&lt;&gt;"")*($M$3:$M$2002&lt;&gt;"")*($L$3:$L$2002&lt;$M1903)*($M$3:$M$2002&gt;$L1903))&gt;1,"중복","-"))</f>
        <v/>
      </c>
    </row>
    <row r="1904" customFormat="false" ht="15" hidden="false" customHeight="true" outlineLevel="0" collapsed="false">
      <c r="A1904" s="11"/>
      <c r="B1904" s="7"/>
      <c r="C1904" s="12" t="str">
        <f aca="false">IF($B1904="","",IFERROR(INDEX(자원목록!$B$3:$B$102,MATCH($B1904,자원목록!$A$3:$A$102,0)),"미등록자원"))</f>
        <v/>
      </c>
      <c r="D1904" s="7"/>
      <c r="E1904" s="12" t="str">
        <f aca="false">IF($D1904="","",IFERROR(INDEX(고객목록!$B$3:$B$502,MATCH($D1904,고객목록!$A$3:$A$502,0)),""))</f>
        <v/>
      </c>
      <c r="F1904" s="13"/>
      <c r="G1904" s="13"/>
      <c r="H1904" s="14" t="str">
        <f aca="false">IF(OR($L1904="",$M1904=""),"",ROUND(($M1904-$L1904)/60,2))</f>
        <v/>
      </c>
      <c r="I1904" s="9"/>
      <c r="J1904" s="7"/>
      <c r="K1904" s="7"/>
      <c r="L1904" s="15" t="str">
        <f aca="false">IF($F1904="","",IF($F1904&lt;1,ROUND($F1904*1440,0),INT($F1904/100)*60+MOD($F1904,100)))</f>
        <v/>
      </c>
      <c r="M1904" s="15" t="str">
        <f aca="false">IF($G1904="","",IF($G1904&lt;1,ROUND($G1904*1440,0),INT($G1904/100)*60+MOD($G1904,100)))</f>
        <v/>
      </c>
      <c r="N1904" s="15" t="str">
        <f aca="false">IF(OR($A1904="",$B1904="",$L1904="",$M1904="",$J1904="취소"),"",IF(SUMPRODUCT(($A$3:$A$2002=$A1904)*($B$3:$B$2002=$B1904)*($J$3:$J$2002&lt;&gt;"취소")*($L$3:$L$2002&lt;&gt;"")*($M$3:$M$2002&lt;&gt;"")*($L$3:$L$2002&lt;$M1904)*($M$3:$M$2002&gt;$L1904))&gt;1,"중복","-"))</f>
        <v/>
      </c>
    </row>
    <row r="1905" customFormat="false" ht="15" hidden="false" customHeight="true" outlineLevel="0" collapsed="false">
      <c r="A1905" s="11"/>
      <c r="B1905" s="7"/>
      <c r="C1905" s="12" t="str">
        <f aca="false">IF($B1905="","",IFERROR(INDEX(자원목록!$B$3:$B$102,MATCH($B1905,자원목록!$A$3:$A$102,0)),"미등록자원"))</f>
        <v/>
      </c>
      <c r="D1905" s="7"/>
      <c r="E1905" s="12" t="str">
        <f aca="false">IF($D1905="","",IFERROR(INDEX(고객목록!$B$3:$B$502,MATCH($D1905,고객목록!$A$3:$A$502,0)),""))</f>
        <v/>
      </c>
      <c r="F1905" s="13"/>
      <c r="G1905" s="13"/>
      <c r="H1905" s="14" t="str">
        <f aca="false">IF(OR($L1905="",$M1905=""),"",ROUND(($M1905-$L1905)/60,2))</f>
        <v/>
      </c>
      <c r="I1905" s="9"/>
      <c r="J1905" s="7"/>
      <c r="K1905" s="7"/>
      <c r="L1905" s="15" t="str">
        <f aca="false">IF($F1905="","",IF($F1905&lt;1,ROUND($F1905*1440,0),INT($F1905/100)*60+MOD($F1905,100)))</f>
        <v/>
      </c>
      <c r="M1905" s="15" t="str">
        <f aca="false">IF($G1905="","",IF($G1905&lt;1,ROUND($G1905*1440,0),INT($G1905/100)*60+MOD($G1905,100)))</f>
        <v/>
      </c>
      <c r="N1905" s="15" t="str">
        <f aca="false">IF(OR($A1905="",$B1905="",$L1905="",$M1905="",$J1905="취소"),"",IF(SUMPRODUCT(($A$3:$A$2002=$A1905)*($B$3:$B$2002=$B1905)*($J$3:$J$2002&lt;&gt;"취소")*($L$3:$L$2002&lt;&gt;"")*($M$3:$M$2002&lt;&gt;"")*($L$3:$L$2002&lt;$M1905)*($M$3:$M$2002&gt;$L1905))&gt;1,"중복","-"))</f>
        <v/>
      </c>
    </row>
    <row r="1906" customFormat="false" ht="15" hidden="false" customHeight="true" outlineLevel="0" collapsed="false">
      <c r="A1906" s="11"/>
      <c r="B1906" s="7"/>
      <c r="C1906" s="12" t="str">
        <f aca="false">IF($B1906="","",IFERROR(INDEX(자원목록!$B$3:$B$102,MATCH($B1906,자원목록!$A$3:$A$102,0)),"미등록자원"))</f>
        <v/>
      </c>
      <c r="D1906" s="7"/>
      <c r="E1906" s="12" t="str">
        <f aca="false">IF($D1906="","",IFERROR(INDEX(고객목록!$B$3:$B$502,MATCH($D1906,고객목록!$A$3:$A$502,0)),""))</f>
        <v/>
      </c>
      <c r="F1906" s="13"/>
      <c r="G1906" s="13"/>
      <c r="H1906" s="14" t="str">
        <f aca="false">IF(OR($L1906="",$M1906=""),"",ROUND(($M1906-$L1906)/60,2))</f>
        <v/>
      </c>
      <c r="I1906" s="9"/>
      <c r="J1906" s="7"/>
      <c r="K1906" s="7"/>
      <c r="L1906" s="15" t="str">
        <f aca="false">IF($F1906="","",IF($F1906&lt;1,ROUND($F1906*1440,0),INT($F1906/100)*60+MOD($F1906,100)))</f>
        <v/>
      </c>
      <c r="M1906" s="15" t="str">
        <f aca="false">IF($G1906="","",IF($G1906&lt;1,ROUND($G1906*1440,0),INT($G1906/100)*60+MOD($G1906,100)))</f>
        <v/>
      </c>
      <c r="N1906" s="15" t="str">
        <f aca="false">IF(OR($A1906="",$B1906="",$L1906="",$M1906="",$J1906="취소"),"",IF(SUMPRODUCT(($A$3:$A$2002=$A1906)*($B$3:$B$2002=$B1906)*($J$3:$J$2002&lt;&gt;"취소")*($L$3:$L$2002&lt;&gt;"")*($M$3:$M$2002&lt;&gt;"")*($L$3:$L$2002&lt;$M1906)*($M$3:$M$2002&gt;$L1906))&gt;1,"중복","-"))</f>
        <v/>
      </c>
    </row>
    <row r="1907" customFormat="false" ht="15" hidden="false" customHeight="true" outlineLevel="0" collapsed="false">
      <c r="A1907" s="11"/>
      <c r="B1907" s="7"/>
      <c r="C1907" s="12" t="str">
        <f aca="false">IF($B1907="","",IFERROR(INDEX(자원목록!$B$3:$B$102,MATCH($B1907,자원목록!$A$3:$A$102,0)),"미등록자원"))</f>
        <v/>
      </c>
      <c r="D1907" s="7"/>
      <c r="E1907" s="12" t="str">
        <f aca="false">IF($D1907="","",IFERROR(INDEX(고객목록!$B$3:$B$502,MATCH($D1907,고객목록!$A$3:$A$502,0)),""))</f>
        <v/>
      </c>
      <c r="F1907" s="13"/>
      <c r="G1907" s="13"/>
      <c r="H1907" s="14" t="str">
        <f aca="false">IF(OR($L1907="",$M1907=""),"",ROUND(($M1907-$L1907)/60,2))</f>
        <v/>
      </c>
      <c r="I1907" s="9"/>
      <c r="J1907" s="7"/>
      <c r="K1907" s="7"/>
      <c r="L1907" s="15" t="str">
        <f aca="false">IF($F1907="","",IF($F1907&lt;1,ROUND($F1907*1440,0),INT($F1907/100)*60+MOD($F1907,100)))</f>
        <v/>
      </c>
      <c r="M1907" s="15" t="str">
        <f aca="false">IF($G1907="","",IF($G1907&lt;1,ROUND($G1907*1440,0),INT($G1907/100)*60+MOD($G1907,100)))</f>
        <v/>
      </c>
      <c r="N1907" s="15" t="str">
        <f aca="false">IF(OR($A1907="",$B1907="",$L1907="",$M1907="",$J1907="취소"),"",IF(SUMPRODUCT(($A$3:$A$2002=$A1907)*($B$3:$B$2002=$B1907)*($J$3:$J$2002&lt;&gt;"취소")*($L$3:$L$2002&lt;&gt;"")*($M$3:$M$2002&lt;&gt;"")*($L$3:$L$2002&lt;$M1907)*($M$3:$M$2002&gt;$L1907))&gt;1,"중복","-"))</f>
        <v/>
      </c>
    </row>
    <row r="1908" customFormat="false" ht="15" hidden="false" customHeight="true" outlineLevel="0" collapsed="false">
      <c r="A1908" s="11"/>
      <c r="B1908" s="7"/>
      <c r="C1908" s="12" t="str">
        <f aca="false">IF($B1908="","",IFERROR(INDEX(자원목록!$B$3:$B$102,MATCH($B1908,자원목록!$A$3:$A$102,0)),"미등록자원"))</f>
        <v/>
      </c>
      <c r="D1908" s="7"/>
      <c r="E1908" s="12" t="str">
        <f aca="false">IF($D1908="","",IFERROR(INDEX(고객목록!$B$3:$B$502,MATCH($D1908,고객목록!$A$3:$A$502,0)),""))</f>
        <v/>
      </c>
      <c r="F1908" s="13"/>
      <c r="G1908" s="13"/>
      <c r="H1908" s="14" t="str">
        <f aca="false">IF(OR($L1908="",$M1908=""),"",ROUND(($M1908-$L1908)/60,2))</f>
        <v/>
      </c>
      <c r="I1908" s="9"/>
      <c r="J1908" s="7"/>
      <c r="K1908" s="7"/>
      <c r="L1908" s="15" t="str">
        <f aca="false">IF($F1908="","",IF($F1908&lt;1,ROUND($F1908*1440,0),INT($F1908/100)*60+MOD($F1908,100)))</f>
        <v/>
      </c>
      <c r="M1908" s="15" t="str">
        <f aca="false">IF($G1908="","",IF($G1908&lt;1,ROUND($G1908*1440,0),INT($G1908/100)*60+MOD($G1908,100)))</f>
        <v/>
      </c>
      <c r="N1908" s="15" t="str">
        <f aca="false">IF(OR($A1908="",$B1908="",$L1908="",$M1908="",$J1908="취소"),"",IF(SUMPRODUCT(($A$3:$A$2002=$A1908)*($B$3:$B$2002=$B1908)*($J$3:$J$2002&lt;&gt;"취소")*($L$3:$L$2002&lt;&gt;"")*($M$3:$M$2002&lt;&gt;"")*($L$3:$L$2002&lt;$M1908)*($M$3:$M$2002&gt;$L1908))&gt;1,"중복","-"))</f>
        <v/>
      </c>
    </row>
    <row r="1909" customFormat="false" ht="15" hidden="false" customHeight="true" outlineLevel="0" collapsed="false">
      <c r="A1909" s="11"/>
      <c r="B1909" s="7"/>
      <c r="C1909" s="12" t="str">
        <f aca="false">IF($B1909="","",IFERROR(INDEX(자원목록!$B$3:$B$102,MATCH($B1909,자원목록!$A$3:$A$102,0)),"미등록자원"))</f>
        <v/>
      </c>
      <c r="D1909" s="7"/>
      <c r="E1909" s="12" t="str">
        <f aca="false">IF($D1909="","",IFERROR(INDEX(고객목록!$B$3:$B$502,MATCH($D1909,고객목록!$A$3:$A$502,0)),""))</f>
        <v/>
      </c>
      <c r="F1909" s="13"/>
      <c r="G1909" s="13"/>
      <c r="H1909" s="14" t="str">
        <f aca="false">IF(OR($L1909="",$M1909=""),"",ROUND(($M1909-$L1909)/60,2))</f>
        <v/>
      </c>
      <c r="I1909" s="9"/>
      <c r="J1909" s="7"/>
      <c r="K1909" s="7"/>
      <c r="L1909" s="15" t="str">
        <f aca="false">IF($F1909="","",IF($F1909&lt;1,ROUND($F1909*1440,0),INT($F1909/100)*60+MOD($F1909,100)))</f>
        <v/>
      </c>
      <c r="M1909" s="15" t="str">
        <f aca="false">IF($G1909="","",IF($G1909&lt;1,ROUND($G1909*1440,0),INT($G1909/100)*60+MOD($G1909,100)))</f>
        <v/>
      </c>
      <c r="N1909" s="15" t="str">
        <f aca="false">IF(OR($A1909="",$B1909="",$L1909="",$M1909="",$J1909="취소"),"",IF(SUMPRODUCT(($A$3:$A$2002=$A1909)*($B$3:$B$2002=$B1909)*($J$3:$J$2002&lt;&gt;"취소")*($L$3:$L$2002&lt;&gt;"")*($M$3:$M$2002&lt;&gt;"")*($L$3:$L$2002&lt;$M1909)*($M$3:$M$2002&gt;$L1909))&gt;1,"중복","-"))</f>
        <v/>
      </c>
    </row>
    <row r="1910" customFormat="false" ht="15" hidden="false" customHeight="true" outlineLevel="0" collapsed="false">
      <c r="A1910" s="11"/>
      <c r="B1910" s="7"/>
      <c r="C1910" s="12" t="str">
        <f aca="false">IF($B1910="","",IFERROR(INDEX(자원목록!$B$3:$B$102,MATCH($B1910,자원목록!$A$3:$A$102,0)),"미등록자원"))</f>
        <v/>
      </c>
      <c r="D1910" s="7"/>
      <c r="E1910" s="12" t="str">
        <f aca="false">IF($D1910="","",IFERROR(INDEX(고객목록!$B$3:$B$502,MATCH($D1910,고객목록!$A$3:$A$502,0)),""))</f>
        <v/>
      </c>
      <c r="F1910" s="13"/>
      <c r="G1910" s="13"/>
      <c r="H1910" s="14" t="str">
        <f aca="false">IF(OR($L1910="",$M1910=""),"",ROUND(($M1910-$L1910)/60,2))</f>
        <v/>
      </c>
      <c r="I1910" s="9"/>
      <c r="J1910" s="7"/>
      <c r="K1910" s="7"/>
      <c r="L1910" s="15" t="str">
        <f aca="false">IF($F1910="","",IF($F1910&lt;1,ROUND($F1910*1440,0),INT($F1910/100)*60+MOD($F1910,100)))</f>
        <v/>
      </c>
      <c r="M1910" s="15" t="str">
        <f aca="false">IF($G1910="","",IF($G1910&lt;1,ROUND($G1910*1440,0),INT($G1910/100)*60+MOD($G1910,100)))</f>
        <v/>
      </c>
      <c r="N1910" s="15" t="str">
        <f aca="false">IF(OR($A1910="",$B1910="",$L1910="",$M1910="",$J1910="취소"),"",IF(SUMPRODUCT(($A$3:$A$2002=$A1910)*($B$3:$B$2002=$B1910)*($J$3:$J$2002&lt;&gt;"취소")*($L$3:$L$2002&lt;&gt;"")*($M$3:$M$2002&lt;&gt;"")*($L$3:$L$2002&lt;$M1910)*($M$3:$M$2002&gt;$L1910))&gt;1,"중복","-"))</f>
        <v/>
      </c>
    </row>
    <row r="1911" customFormat="false" ht="15" hidden="false" customHeight="true" outlineLevel="0" collapsed="false">
      <c r="A1911" s="11"/>
      <c r="B1911" s="7"/>
      <c r="C1911" s="12" t="str">
        <f aca="false">IF($B1911="","",IFERROR(INDEX(자원목록!$B$3:$B$102,MATCH($B1911,자원목록!$A$3:$A$102,0)),"미등록자원"))</f>
        <v/>
      </c>
      <c r="D1911" s="7"/>
      <c r="E1911" s="12" t="str">
        <f aca="false">IF($D1911="","",IFERROR(INDEX(고객목록!$B$3:$B$502,MATCH($D1911,고객목록!$A$3:$A$502,0)),""))</f>
        <v/>
      </c>
      <c r="F1911" s="13"/>
      <c r="G1911" s="13"/>
      <c r="H1911" s="14" t="str">
        <f aca="false">IF(OR($L1911="",$M1911=""),"",ROUND(($M1911-$L1911)/60,2))</f>
        <v/>
      </c>
      <c r="I1911" s="9"/>
      <c r="J1911" s="7"/>
      <c r="K1911" s="7"/>
      <c r="L1911" s="15" t="str">
        <f aca="false">IF($F1911="","",IF($F1911&lt;1,ROUND($F1911*1440,0),INT($F1911/100)*60+MOD($F1911,100)))</f>
        <v/>
      </c>
      <c r="M1911" s="15" t="str">
        <f aca="false">IF($G1911="","",IF($G1911&lt;1,ROUND($G1911*1440,0),INT($G1911/100)*60+MOD($G1911,100)))</f>
        <v/>
      </c>
      <c r="N1911" s="15" t="str">
        <f aca="false">IF(OR($A1911="",$B1911="",$L1911="",$M1911="",$J1911="취소"),"",IF(SUMPRODUCT(($A$3:$A$2002=$A1911)*($B$3:$B$2002=$B1911)*($J$3:$J$2002&lt;&gt;"취소")*($L$3:$L$2002&lt;&gt;"")*($M$3:$M$2002&lt;&gt;"")*($L$3:$L$2002&lt;$M1911)*($M$3:$M$2002&gt;$L1911))&gt;1,"중복","-"))</f>
        <v/>
      </c>
    </row>
    <row r="1912" customFormat="false" ht="15" hidden="false" customHeight="true" outlineLevel="0" collapsed="false">
      <c r="A1912" s="11"/>
      <c r="B1912" s="7"/>
      <c r="C1912" s="12" t="str">
        <f aca="false">IF($B1912="","",IFERROR(INDEX(자원목록!$B$3:$B$102,MATCH($B1912,자원목록!$A$3:$A$102,0)),"미등록자원"))</f>
        <v/>
      </c>
      <c r="D1912" s="7"/>
      <c r="E1912" s="12" t="str">
        <f aca="false">IF($D1912="","",IFERROR(INDEX(고객목록!$B$3:$B$502,MATCH($D1912,고객목록!$A$3:$A$502,0)),""))</f>
        <v/>
      </c>
      <c r="F1912" s="13"/>
      <c r="G1912" s="13"/>
      <c r="H1912" s="14" t="str">
        <f aca="false">IF(OR($L1912="",$M1912=""),"",ROUND(($M1912-$L1912)/60,2))</f>
        <v/>
      </c>
      <c r="I1912" s="9"/>
      <c r="J1912" s="7"/>
      <c r="K1912" s="7"/>
      <c r="L1912" s="15" t="str">
        <f aca="false">IF($F1912="","",IF($F1912&lt;1,ROUND($F1912*1440,0),INT($F1912/100)*60+MOD($F1912,100)))</f>
        <v/>
      </c>
      <c r="M1912" s="15" t="str">
        <f aca="false">IF($G1912="","",IF($G1912&lt;1,ROUND($G1912*1440,0),INT($G1912/100)*60+MOD($G1912,100)))</f>
        <v/>
      </c>
      <c r="N1912" s="15" t="str">
        <f aca="false">IF(OR($A1912="",$B1912="",$L1912="",$M1912="",$J1912="취소"),"",IF(SUMPRODUCT(($A$3:$A$2002=$A1912)*($B$3:$B$2002=$B1912)*($J$3:$J$2002&lt;&gt;"취소")*($L$3:$L$2002&lt;&gt;"")*($M$3:$M$2002&lt;&gt;"")*($L$3:$L$2002&lt;$M1912)*($M$3:$M$2002&gt;$L1912))&gt;1,"중복","-"))</f>
        <v/>
      </c>
    </row>
    <row r="1913" customFormat="false" ht="15" hidden="false" customHeight="true" outlineLevel="0" collapsed="false">
      <c r="A1913" s="11"/>
      <c r="B1913" s="7"/>
      <c r="C1913" s="12" t="str">
        <f aca="false">IF($B1913="","",IFERROR(INDEX(자원목록!$B$3:$B$102,MATCH($B1913,자원목록!$A$3:$A$102,0)),"미등록자원"))</f>
        <v/>
      </c>
      <c r="D1913" s="7"/>
      <c r="E1913" s="12" t="str">
        <f aca="false">IF($D1913="","",IFERROR(INDEX(고객목록!$B$3:$B$502,MATCH($D1913,고객목록!$A$3:$A$502,0)),""))</f>
        <v/>
      </c>
      <c r="F1913" s="13"/>
      <c r="G1913" s="13"/>
      <c r="H1913" s="14" t="str">
        <f aca="false">IF(OR($L1913="",$M1913=""),"",ROUND(($M1913-$L1913)/60,2))</f>
        <v/>
      </c>
      <c r="I1913" s="9"/>
      <c r="J1913" s="7"/>
      <c r="K1913" s="7"/>
      <c r="L1913" s="15" t="str">
        <f aca="false">IF($F1913="","",IF($F1913&lt;1,ROUND($F1913*1440,0),INT($F1913/100)*60+MOD($F1913,100)))</f>
        <v/>
      </c>
      <c r="M1913" s="15" t="str">
        <f aca="false">IF($G1913="","",IF($G1913&lt;1,ROUND($G1913*1440,0),INT($G1913/100)*60+MOD($G1913,100)))</f>
        <v/>
      </c>
      <c r="N1913" s="15" t="str">
        <f aca="false">IF(OR($A1913="",$B1913="",$L1913="",$M1913="",$J1913="취소"),"",IF(SUMPRODUCT(($A$3:$A$2002=$A1913)*($B$3:$B$2002=$B1913)*($J$3:$J$2002&lt;&gt;"취소")*($L$3:$L$2002&lt;&gt;"")*($M$3:$M$2002&lt;&gt;"")*($L$3:$L$2002&lt;$M1913)*($M$3:$M$2002&gt;$L1913))&gt;1,"중복","-"))</f>
        <v/>
      </c>
    </row>
    <row r="1914" customFormat="false" ht="15" hidden="false" customHeight="true" outlineLevel="0" collapsed="false">
      <c r="A1914" s="11"/>
      <c r="B1914" s="7"/>
      <c r="C1914" s="12" t="str">
        <f aca="false">IF($B1914="","",IFERROR(INDEX(자원목록!$B$3:$B$102,MATCH($B1914,자원목록!$A$3:$A$102,0)),"미등록자원"))</f>
        <v/>
      </c>
      <c r="D1914" s="7"/>
      <c r="E1914" s="12" t="str">
        <f aca="false">IF($D1914="","",IFERROR(INDEX(고객목록!$B$3:$B$502,MATCH($D1914,고객목록!$A$3:$A$502,0)),""))</f>
        <v/>
      </c>
      <c r="F1914" s="13"/>
      <c r="G1914" s="13"/>
      <c r="H1914" s="14" t="str">
        <f aca="false">IF(OR($L1914="",$M1914=""),"",ROUND(($M1914-$L1914)/60,2))</f>
        <v/>
      </c>
      <c r="I1914" s="9"/>
      <c r="J1914" s="7"/>
      <c r="K1914" s="7"/>
      <c r="L1914" s="15" t="str">
        <f aca="false">IF($F1914="","",IF($F1914&lt;1,ROUND($F1914*1440,0),INT($F1914/100)*60+MOD($F1914,100)))</f>
        <v/>
      </c>
      <c r="M1914" s="15" t="str">
        <f aca="false">IF($G1914="","",IF($G1914&lt;1,ROUND($G1914*1440,0),INT($G1914/100)*60+MOD($G1914,100)))</f>
        <v/>
      </c>
      <c r="N1914" s="15" t="str">
        <f aca="false">IF(OR($A1914="",$B1914="",$L1914="",$M1914="",$J1914="취소"),"",IF(SUMPRODUCT(($A$3:$A$2002=$A1914)*($B$3:$B$2002=$B1914)*($J$3:$J$2002&lt;&gt;"취소")*($L$3:$L$2002&lt;&gt;"")*($M$3:$M$2002&lt;&gt;"")*($L$3:$L$2002&lt;$M1914)*($M$3:$M$2002&gt;$L1914))&gt;1,"중복","-"))</f>
        <v/>
      </c>
    </row>
    <row r="1915" customFormat="false" ht="15" hidden="false" customHeight="true" outlineLevel="0" collapsed="false">
      <c r="A1915" s="11"/>
      <c r="B1915" s="7"/>
      <c r="C1915" s="12" t="str">
        <f aca="false">IF($B1915="","",IFERROR(INDEX(자원목록!$B$3:$B$102,MATCH($B1915,자원목록!$A$3:$A$102,0)),"미등록자원"))</f>
        <v/>
      </c>
      <c r="D1915" s="7"/>
      <c r="E1915" s="12" t="str">
        <f aca="false">IF($D1915="","",IFERROR(INDEX(고객목록!$B$3:$B$502,MATCH($D1915,고객목록!$A$3:$A$502,0)),""))</f>
        <v/>
      </c>
      <c r="F1915" s="13"/>
      <c r="G1915" s="13"/>
      <c r="H1915" s="14" t="str">
        <f aca="false">IF(OR($L1915="",$M1915=""),"",ROUND(($M1915-$L1915)/60,2))</f>
        <v/>
      </c>
      <c r="I1915" s="9"/>
      <c r="J1915" s="7"/>
      <c r="K1915" s="7"/>
      <c r="L1915" s="15" t="str">
        <f aca="false">IF($F1915="","",IF($F1915&lt;1,ROUND($F1915*1440,0),INT($F1915/100)*60+MOD($F1915,100)))</f>
        <v/>
      </c>
      <c r="M1915" s="15" t="str">
        <f aca="false">IF($G1915="","",IF($G1915&lt;1,ROUND($G1915*1440,0),INT($G1915/100)*60+MOD($G1915,100)))</f>
        <v/>
      </c>
      <c r="N1915" s="15" t="str">
        <f aca="false">IF(OR($A1915="",$B1915="",$L1915="",$M1915="",$J1915="취소"),"",IF(SUMPRODUCT(($A$3:$A$2002=$A1915)*($B$3:$B$2002=$B1915)*($J$3:$J$2002&lt;&gt;"취소")*($L$3:$L$2002&lt;&gt;"")*($M$3:$M$2002&lt;&gt;"")*($L$3:$L$2002&lt;$M1915)*($M$3:$M$2002&gt;$L1915))&gt;1,"중복","-"))</f>
        <v/>
      </c>
    </row>
    <row r="1916" customFormat="false" ht="15" hidden="false" customHeight="true" outlineLevel="0" collapsed="false">
      <c r="A1916" s="11"/>
      <c r="B1916" s="7"/>
      <c r="C1916" s="12" t="str">
        <f aca="false">IF($B1916="","",IFERROR(INDEX(자원목록!$B$3:$B$102,MATCH($B1916,자원목록!$A$3:$A$102,0)),"미등록자원"))</f>
        <v/>
      </c>
      <c r="D1916" s="7"/>
      <c r="E1916" s="12" t="str">
        <f aca="false">IF($D1916="","",IFERROR(INDEX(고객목록!$B$3:$B$502,MATCH($D1916,고객목록!$A$3:$A$502,0)),""))</f>
        <v/>
      </c>
      <c r="F1916" s="13"/>
      <c r="G1916" s="13"/>
      <c r="H1916" s="14" t="str">
        <f aca="false">IF(OR($L1916="",$M1916=""),"",ROUND(($M1916-$L1916)/60,2))</f>
        <v/>
      </c>
      <c r="I1916" s="9"/>
      <c r="J1916" s="7"/>
      <c r="K1916" s="7"/>
      <c r="L1916" s="15" t="str">
        <f aca="false">IF($F1916="","",IF($F1916&lt;1,ROUND($F1916*1440,0),INT($F1916/100)*60+MOD($F1916,100)))</f>
        <v/>
      </c>
      <c r="M1916" s="15" t="str">
        <f aca="false">IF($G1916="","",IF($G1916&lt;1,ROUND($G1916*1440,0),INT($G1916/100)*60+MOD($G1916,100)))</f>
        <v/>
      </c>
      <c r="N1916" s="15" t="str">
        <f aca="false">IF(OR($A1916="",$B1916="",$L1916="",$M1916="",$J1916="취소"),"",IF(SUMPRODUCT(($A$3:$A$2002=$A1916)*($B$3:$B$2002=$B1916)*($J$3:$J$2002&lt;&gt;"취소")*($L$3:$L$2002&lt;&gt;"")*($M$3:$M$2002&lt;&gt;"")*($L$3:$L$2002&lt;$M1916)*($M$3:$M$2002&gt;$L1916))&gt;1,"중복","-"))</f>
        <v/>
      </c>
    </row>
    <row r="1917" customFormat="false" ht="15" hidden="false" customHeight="true" outlineLevel="0" collapsed="false">
      <c r="A1917" s="11"/>
      <c r="B1917" s="7"/>
      <c r="C1917" s="12" t="str">
        <f aca="false">IF($B1917="","",IFERROR(INDEX(자원목록!$B$3:$B$102,MATCH($B1917,자원목록!$A$3:$A$102,0)),"미등록자원"))</f>
        <v/>
      </c>
      <c r="D1917" s="7"/>
      <c r="E1917" s="12" t="str">
        <f aca="false">IF($D1917="","",IFERROR(INDEX(고객목록!$B$3:$B$502,MATCH($D1917,고객목록!$A$3:$A$502,0)),""))</f>
        <v/>
      </c>
      <c r="F1917" s="13"/>
      <c r="G1917" s="13"/>
      <c r="H1917" s="14" t="str">
        <f aca="false">IF(OR($L1917="",$M1917=""),"",ROUND(($M1917-$L1917)/60,2))</f>
        <v/>
      </c>
      <c r="I1917" s="9"/>
      <c r="J1917" s="7"/>
      <c r="K1917" s="7"/>
      <c r="L1917" s="15" t="str">
        <f aca="false">IF($F1917="","",IF($F1917&lt;1,ROUND($F1917*1440,0),INT($F1917/100)*60+MOD($F1917,100)))</f>
        <v/>
      </c>
      <c r="M1917" s="15" t="str">
        <f aca="false">IF($G1917="","",IF($G1917&lt;1,ROUND($G1917*1440,0),INT($G1917/100)*60+MOD($G1917,100)))</f>
        <v/>
      </c>
      <c r="N1917" s="15" t="str">
        <f aca="false">IF(OR($A1917="",$B1917="",$L1917="",$M1917="",$J1917="취소"),"",IF(SUMPRODUCT(($A$3:$A$2002=$A1917)*($B$3:$B$2002=$B1917)*($J$3:$J$2002&lt;&gt;"취소")*($L$3:$L$2002&lt;&gt;"")*($M$3:$M$2002&lt;&gt;"")*($L$3:$L$2002&lt;$M1917)*($M$3:$M$2002&gt;$L1917))&gt;1,"중복","-"))</f>
        <v/>
      </c>
    </row>
    <row r="1918" customFormat="false" ht="15" hidden="false" customHeight="true" outlineLevel="0" collapsed="false">
      <c r="A1918" s="11"/>
      <c r="B1918" s="7"/>
      <c r="C1918" s="12" t="str">
        <f aca="false">IF($B1918="","",IFERROR(INDEX(자원목록!$B$3:$B$102,MATCH($B1918,자원목록!$A$3:$A$102,0)),"미등록자원"))</f>
        <v/>
      </c>
      <c r="D1918" s="7"/>
      <c r="E1918" s="12" t="str">
        <f aca="false">IF($D1918="","",IFERROR(INDEX(고객목록!$B$3:$B$502,MATCH($D1918,고객목록!$A$3:$A$502,0)),""))</f>
        <v/>
      </c>
      <c r="F1918" s="13"/>
      <c r="G1918" s="13"/>
      <c r="H1918" s="14" t="str">
        <f aca="false">IF(OR($L1918="",$M1918=""),"",ROUND(($M1918-$L1918)/60,2))</f>
        <v/>
      </c>
      <c r="I1918" s="9"/>
      <c r="J1918" s="7"/>
      <c r="K1918" s="7"/>
      <c r="L1918" s="15" t="str">
        <f aca="false">IF($F1918="","",IF($F1918&lt;1,ROUND($F1918*1440,0),INT($F1918/100)*60+MOD($F1918,100)))</f>
        <v/>
      </c>
      <c r="M1918" s="15" t="str">
        <f aca="false">IF($G1918="","",IF($G1918&lt;1,ROUND($G1918*1440,0),INT($G1918/100)*60+MOD($G1918,100)))</f>
        <v/>
      </c>
      <c r="N1918" s="15" t="str">
        <f aca="false">IF(OR($A1918="",$B1918="",$L1918="",$M1918="",$J1918="취소"),"",IF(SUMPRODUCT(($A$3:$A$2002=$A1918)*($B$3:$B$2002=$B1918)*($J$3:$J$2002&lt;&gt;"취소")*($L$3:$L$2002&lt;&gt;"")*($M$3:$M$2002&lt;&gt;"")*($L$3:$L$2002&lt;$M1918)*($M$3:$M$2002&gt;$L1918))&gt;1,"중복","-"))</f>
        <v/>
      </c>
    </row>
    <row r="1919" customFormat="false" ht="15" hidden="false" customHeight="true" outlineLevel="0" collapsed="false">
      <c r="A1919" s="11"/>
      <c r="B1919" s="7"/>
      <c r="C1919" s="12" t="str">
        <f aca="false">IF($B1919="","",IFERROR(INDEX(자원목록!$B$3:$B$102,MATCH($B1919,자원목록!$A$3:$A$102,0)),"미등록자원"))</f>
        <v/>
      </c>
      <c r="D1919" s="7"/>
      <c r="E1919" s="12" t="str">
        <f aca="false">IF($D1919="","",IFERROR(INDEX(고객목록!$B$3:$B$502,MATCH($D1919,고객목록!$A$3:$A$502,0)),""))</f>
        <v/>
      </c>
      <c r="F1919" s="13"/>
      <c r="G1919" s="13"/>
      <c r="H1919" s="14" t="str">
        <f aca="false">IF(OR($L1919="",$M1919=""),"",ROUND(($M1919-$L1919)/60,2))</f>
        <v/>
      </c>
      <c r="I1919" s="9"/>
      <c r="J1919" s="7"/>
      <c r="K1919" s="7"/>
      <c r="L1919" s="15" t="str">
        <f aca="false">IF($F1919="","",IF($F1919&lt;1,ROUND($F1919*1440,0),INT($F1919/100)*60+MOD($F1919,100)))</f>
        <v/>
      </c>
      <c r="M1919" s="15" t="str">
        <f aca="false">IF($G1919="","",IF($G1919&lt;1,ROUND($G1919*1440,0),INT($G1919/100)*60+MOD($G1919,100)))</f>
        <v/>
      </c>
      <c r="N1919" s="15" t="str">
        <f aca="false">IF(OR($A1919="",$B1919="",$L1919="",$M1919="",$J1919="취소"),"",IF(SUMPRODUCT(($A$3:$A$2002=$A1919)*($B$3:$B$2002=$B1919)*($J$3:$J$2002&lt;&gt;"취소")*($L$3:$L$2002&lt;&gt;"")*($M$3:$M$2002&lt;&gt;"")*($L$3:$L$2002&lt;$M1919)*($M$3:$M$2002&gt;$L1919))&gt;1,"중복","-"))</f>
        <v/>
      </c>
    </row>
    <row r="1920" customFormat="false" ht="15" hidden="false" customHeight="true" outlineLevel="0" collapsed="false">
      <c r="A1920" s="11"/>
      <c r="B1920" s="7"/>
      <c r="C1920" s="12" t="str">
        <f aca="false">IF($B1920="","",IFERROR(INDEX(자원목록!$B$3:$B$102,MATCH($B1920,자원목록!$A$3:$A$102,0)),"미등록자원"))</f>
        <v/>
      </c>
      <c r="D1920" s="7"/>
      <c r="E1920" s="12" t="str">
        <f aca="false">IF($D1920="","",IFERROR(INDEX(고객목록!$B$3:$B$502,MATCH($D1920,고객목록!$A$3:$A$502,0)),""))</f>
        <v/>
      </c>
      <c r="F1920" s="13"/>
      <c r="G1920" s="13"/>
      <c r="H1920" s="14" t="str">
        <f aca="false">IF(OR($L1920="",$M1920=""),"",ROUND(($M1920-$L1920)/60,2))</f>
        <v/>
      </c>
      <c r="I1920" s="9"/>
      <c r="J1920" s="7"/>
      <c r="K1920" s="7"/>
      <c r="L1920" s="15" t="str">
        <f aca="false">IF($F1920="","",IF($F1920&lt;1,ROUND($F1920*1440,0),INT($F1920/100)*60+MOD($F1920,100)))</f>
        <v/>
      </c>
      <c r="M1920" s="15" t="str">
        <f aca="false">IF($G1920="","",IF($G1920&lt;1,ROUND($G1920*1440,0),INT($G1920/100)*60+MOD($G1920,100)))</f>
        <v/>
      </c>
      <c r="N1920" s="15" t="str">
        <f aca="false">IF(OR($A1920="",$B1920="",$L1920="",$M1920="",$J1920="취소"),"",IF(SUMPRODUCT(($A$3:$A$2002=$A1920)*($B$3:$B$2002=$B1920)*($J$3:$J$2002&lt;&gt;"취소")*($L$3:$L$2002&lt;&gt;"")*($M$3:$M$2002&lt;&gt;"")*($L$3:$L$2002&lt;$M1920)*($M$3:$M$2002&gt;$L1920))&gt;1,"중복","-"))</f>
        <v/>
      </c>
    </row>
    <row r="1921" customFormat="false" ht="15" hidden="false" customHeight="true" outlineLevel="0" collapsed="false">
      <c r="A1921" s="11"/>
      <c r="B1921" s="7"/>
      <c r="C1921" s="12" t="str">
        <f aca="false">IF($B1921="","",IFERROR(INDEX(자원목록!$B$3:$B$102,MATCH($B1921,자원목록!$A$3:$A$102,0)),"미등록자원"))</f>
        <v/>
      </c>
      <c r="D1921" s="7"/>
      <c r="E1921" s="12" t="str">
        <f aca="false">IF($D1921="","",IFERROR(INDEX(고객목록!$B$3:$B$502,MATCH($D1921,고객목록!$A$3:$A$502,0)),""))</f>
        <v/>
      </c>
      <c r="F1921" s="13"/>
      <c r="G1921" s="13"/>
      <c r="H1921" s="14" t="str">
        <f aca="false">IF(OR($L1921="",$M1921=""),"",ROUND(($M1921-$L1921)/60,2))</f>
        <v/>
      </c>
      <c r="I1921" s="9"/>
      <c r="J1921" s="7"/>
      <c r="K1921" s="7"/>
      <c r="L1921" s="15" t="str">
        <f aca="false">IF($F1921="","",IF($F1921&lt;1,ROUND($F1921*1440,0),INT($F1921/100)*60+MOD($F1921,100)))</f>
        <v/>
      </c>
      <c r="M1921" s="15" t="str">
        <f aca="false">IF($G1921="","",IF($G1921&lt;1,ROUND($G1921*1440,0),INT($G1921/100)*60+MOD($G1921,100)))</f>
        <v/>
      </c>
      <c r="N1921" s="15" t="str">
        <f aca="false">IF(OR($A1921="",$B1921="",$L1921="",$M1921="",$J1921="취소"),"",IF(SUMPRODUCT(($A$3:$A$2002=$A1921)*($B$3:$B$2002=$B1921)*($J$3:$J$2002&lt;&gt;"취소")*($L$3:$L$2002&lt;&gt;"")*($M$3:$M$2002&lt;&gt;"")*($L$3:$L$2002&lt;$M1921)*($M$3:$M$2002&gt;$L1921))&gt;1,"중복","-"))</f>
        <v/>
      </c>
    </row>
    <row r="1922" customFormat="false" ht="15" hidden="false" customHeight="true" outlineLevel="0" collapsed="false">
      <c r="A1922" s="11"/>
      <c r="B1922" s="7"/>
      <c r="C1922" s="12" t="str">
        <f aca="false">IF($B1922="","",IFERROR(INDEX(자원목록!$B$3:$B$102,MATCH($B1922,자원목록!$A$3:$A$102,0)),"미등록자원"))</f>
        <v/>
      </c>
      <c r="D1922" s="7"/>
      <c r="E1922" s="12" t="str">
        <f aca="false">IF($D1922="","",IFERROR(INDEX(고객목록!$B$3:$B$502,MATCH($D1922,고객목록!$A$3:$A$502,0)),""))</f>
        <v/>
      </c>
      <c r="F1922" s="13"/>
      <c r="G1922" s="13"/>
      <c r="H1922" s="14" t="str">
        <f aca="false">IF(OR($L1922="",$M1922=""),"",ROUND(($M1922-$L1922)/60,2))</f>
        <v/>
      </c>
      <c r="I1922" s="9"/>
      <c r="J1922" s="7"/>
      <c r="K1922" s="7"/>
      <c r="L1922" s="15" t="str">
        <f aca="false">IF($F1922="","",IF($F1922&lt;1,ROUND($F1922*1440,0),INT($F1922/100)*60+MOD($F1922,100)))</f>
        <v/>
      </c>
      <c r="M1922" s="15" t="str">
        <f aca="false">IF($G1922="","",IF($G1922&lt;1,ROUND($G1922*1440,0),INT($G1922/100)*60+MOD($G1922,100)))</f>
        <v/>
      </c>
      <c r="N1922" s="15" t="str">
        <f aca="false">IF(OR($A1922="",$B1922="",$L1922="",$M1922="",$J1922="취소"),"",IF(SUMPRODUCT(($A$3:$A$2002=$A1922)*($B$3:$B$2002=$B1922)*($J$3:$J$2002&lt;&gt;"취소")*($L$3:$L$2002&lt;&gt;"")*($M$3:$M$2002&lt;&gt;"")*($L$3:$L$2002&lt;$M1922)*($M$3:$M$2002&gt;$L1922))&gt;1,"중복","-"))</f>
        <v/>
      </c>
    </row>
    <row r="1923" customFormat="false" ht="15" hidden="false" customHeight="true" outlineLevel="0" collapsed="false">
      <c r="A1923" s="11"/>
      <c r="B1923" s="7"/>
      <c r="C1923" s="12" t="str">
        <f aca="false">IF($B1923="","",IFERROR(INDEX(자원목록!$B$3:$B$102,MATCH($B1923,자원목록!$A$3:$A$102,0)),"미등록자원"))</f>
        <v/>
      </c>
      <c r="D1923" s="7"/>
      <c r="E1923" s="12" t="str">
        <f aca="false">IF($D1923="","",IFERROR(INDEX(고객목록!$B$3:$B$502,MATCH($D1923,고객목록!$A$3:$A$502,0)),""))</f>
        <v/>
      </c>
      <c r="F1923" s="13"/>
      <c r="G1923" s="13"/>
      <c r="H1923" s="14" t="str">
        <f aca="false">IF(OR($L1923="",$M1923=""),"",ROUND(($M1923-$L1923)/60,2))</f>
        <v/>
      </c>
      <c r="I1923" s="9"/>
      <c r="J1923" s="7"/>
      <c r="K1923" s="7"/>
      <c r="L1923" s="15" t="str">
        <f aca="false">IF($F1923="","",IF($F1923&lt;1,ROUND($F1923*1440,0),INT($F1923/100)*60+MOD($F1923,100)))</f>
        <v/>
      </c>
      <c r="M1923" s="15" t="str">
        <f aca="false">IF($G1923="","",IF($G1923&lt;1,ROUND($G1923*1440,0),INT($G1923/100)*60+MOD($G1923,100)))</f>
        <v/>
      </c>
      <c r="N1923" s="15" t="str">
        <f aca="false">IF(OR($A1923="",$B1923="",$L1923="",$M1923="",$J1923="취소"),"",IF(SUMPRODUCT(($A$3:$A$2002=$A1923)*($B$3:$B$2002=$B1923)*($J$3:$J$2002&lt;&gt;"취소")*($L$3:$L$2002&lt;&gt;"")*($M$3:$M$2002&lt;&gt;"")*($L$3:$L$2002&lt;$M1923)*($M$3:$M$2002&gt;$L1923))&gt;1,"중복","-"))</f>
        <v/>
      </c>
    </row>
    <row r="1924" customFormat="false" ht="15" hidden="false" customHeight="true" outlineLevel="0" collapsed="false">
      <c r="A1924" s="11"/>
      <c r="B1924" s="7"/>
      <c r="C1924" s="12" t="str">
        <f aca="false">IF($B1924="","",IFERROR(INDEX(자원목록!$B$3:$B$102,MATCH($B1924,자원목록!$A$3:$A$102,0)),"미등록자원"))</f>
        <v/>
      </c>
      <c r="D1924" s="7"/>
      <c r="E1924" s="12" t="str">
        <f aca="false">IF($D1924="","",IFERROR(INDEX(고객목록!$B$3:$B$502,MATCH($D1924,고객목록!$A$3:$A$502,0)),""))</f>
        <v/>
      </c>
      <c r="F1924" s="13"/>
      <c r="G1924" s="13"/>
      <c r="H1924" s="14" t="str">
        <f aca="false">IF(OR($L1924="",$M1924=""),"",ROUND(($M1924-$L1924)/60,2))</f>
        <v/>
      </c>
      <c r="I1924" s="9"/>
      <c r="J1924" s="7"/>
      <c r="K1924" s="7"/>
      <c r="L1924" s="15" t="str">
        <f aca="false">IF($F1924="","",IF($F1924&lt;1,ROUND($F1924*1440,0),INT($F1924/100)*60+MOD($F1924,100)))</f>
        <v/>
      </c>
      <c r="M1924" s="15" t="str">
        <f aca="false">IF($G1924="","",IF($G1924&lt;1,ROUND($G1924*1440,0),INT($G1924/100)*60+MOD($G1924,100)))</f>
        <v/>
      </c>
      <c r="N1924" s="15" t="str">
        <f aca="false">IF(OR($A1924="",$B1924="",$L1924="",$M1924="",$J1924="취소"),"",IF(SUMPRODUCT(($A$3:$A$2002=$A1924)*($B$3:$B$2002=$B1924)*($J$3:$J$2002&lt;&gt;"취소")*($L$3:$L$2002&lt;&gt;"")*($M$3:$M$2002&lt;&gt;"")*($L$3:$L$2002&lt;$M1924)*($M$3:$M$2002&gt;$L1924))&gt;1,"중복","-"))</f>
        <v/>
      </c>
    </row>
    <row r="1925" customFormat="false" ht="15" hidden="false" customHeight="true" outlineLevel="0" collapsed="false">
      <c r="A1925" s="11"/>
      <c r="B1925" s="7"/>
      <c r="C1925" s="12" t="str">
        <f aca="false">IF($B1925="","",IFERROR(INDEX(자원목록!$B$3:$B$102,MATCH($B1925,자원목록!$A$3:$A$102,0)),"미등록자원"))</f>
        <v/>
      </c>
      <c r="D1925" s="7"/>
      <c r="E1925" s="12" t="str">
        <f aca="false">IF($D1925="","",IFERROR(INDEX(고객목록!$B$3:$B$502,MATCH($D1925,고객목록!$A$3:$A$502,0)),""))</f>
        <v/>
      </c>
      <c r="F1925" s="13"/>
      <c r="G1925" s="13"/>
      <c r="H1925" s="14" t="str">
        <f aca="false">IF(OR($L1925="",$M1925=""),"",ROUND(($M1925-$L1925)/60,2))</f>
        <v/>
      </c>
      <c r="I1925" s="9"/>
      <c r="J1925" s="7"/>
      <c r="K1925" s="7"/>
      <c r="L1925" s="15" t="str">
        <f aca="false">IF($F1925="","",IF($F1925&lt;1,ROUND($F1925*1440,0),INT($F1925/100)*60+MOD($F1925,100)))</f>
        <v/>
      </c>
      <c r="M1925" s="15" t="str">
        <f aca="false">IF($G1925="","",IF($G1925&lt;1,ROUND($G1925*1440,0),INT($G1925/100)*60+MOD($G1925,100)))</f>
        <v/>
      </c>
      <c r="N1925" s="15" t="str">
        <f aca="false">IF(OR($A1925="",$B1925="",$L1925="",$M1925="",$J1925="취소"),"",IF(SUMPRODUCT(($A$3:$A$2002=$A1925)*($B$3:$B$2002=$B1925)*($J$3:$J$2002&lt;&gt;"취소")*($L$3:$L$2002&lt;&gt;"")*($M$3:$M$2002&lt;&gt;"")*($L$3:$L$2002&lt;$M1925)*($M$3:$M$2002&gt;$L1925))&gt;1,"중복","-"))</f>
        <v/>
      </c>
    </row>
    <row r="1926" customFormat="false" ht="15" hidden="false" customHeight="true" outlineLevel="0" collapsed="false">
      <c r="A1926" s="11"/>
      <c r="B1926" s="7"/>
      <c r="C1926" s="12" t="str">
        <f aca="false">IF($B1926="","",IFERROR(INDEX(자원목록!$B$3:$B$102,MATCH($B1926,자원목록!$A$3:$A$102,0)),"미등록자원"))</f>
        <v/>
      </c>
      <c r="D1926" s="7"/>
      <c r="E1926" s="12" t="str">
        <f aca="false">IF($D1926="","",IFERROR(INDEX(고객목록!$B$3:$B$502,MATCH($D1926,고객목록!$A$3:$A$502,0)),""))</f>
        <v/>
      </c>
      <c r="F1926" s="13"/>
      <c r="G1926" s="13"/>
      <c r="H1926" s="14" t="str">
        <f aca="false">IF(OR($L1926="",$M1926=""),"",ROUND(($M1926-$L1926)/60,2))</f>
        <v/>
      </c>
      <c r="I1926" s="9"/>
      <c r="J1926" s="7"/>
      <c r="K1926" s="7"/>
      <c r="L1926" s="15" t="str">
        <f aca="false">IF($F1926="","",IF($F1926&lt;1,ROUND($F1926*1440,0),INT($F1926/100)*60+MOD($F1926,100)))</f>
        <v/>
      </c>
      <c r="M1926" s="15" t="str">
        <f aca="false">IF($G1926="","",IF($G1926&lt;1,ROUND($G1926*1440,0),INT($G1926/100)*60+MOD($G1926,100)))</f>
        <v/>
      </c>
      <c r="N1926" s="15" t="str">
        <f aca="false">IF(OR($A1926="",$B1926="",$L1926="",$M1926="",$J1926="취소"),"",IF(SUMPRODUCT(($A$3:$A$2002=$A1926)*($B$3:$B$2002=$B1926)*($J$3:$J$2002&lt;&gt;"취소")*($L$3:$L$2002&lt;&gt;"")*($M$3:$M$2002&lt;&gt;"")*($L$3:$L$2002&lt;$M1926)*($M$3:$M$2002&gt;$L1926))&gt;1,"중복","-"))</f>
        <v/>
      </c>
    </row>
    <row r="1927" customFormat="false" ht="15" hidden="false" customHeight="true" outlineLevel="0" collapsed="false">
      <c r="A1927" s="11"/>
      <c r="B1927" s="7"/>
      <c r="C1927" s="12" t="str">
        <f aca="false">IF($B1927="","",IFERROR(INDEX(자원목록!$B$3:$B$102,MATCH($B1927,자원목록!$A$3:$A$102,0)),"미등록자원"))</f>
        <v/>
      </c>
      <c r="D1927" s="7"/>
      <c r="E1927" s="12" t="str">
        <f aca="false">IF($D1927="","",IFERROR(INDEX(고객목록!$B$3:$B$502,MATCH($D1927,고객목록!$A$3:$A$502,0)),""))</f>
        <v/>
      </c>
      <c r="F1927" s="13"/>
      <c r="G1927" s="13"/>
      <c r="H1927" s="14" t="str">
        <f aca="false">IF(OR($L1927="",$M1927=""),"",ROUND(($M1927-$L1927)/60,2))</f>
        <v/>
      </c>
      <c r="I1927" s="9"/>
      <c r="J1927" s="7"/>
      <c r="K1927" s="7"/>
      <c r="L1927" s="15" t="str">
        <f aca="false">IF($F1927="","",IF($F1927&lt;1,ROUND($F1927*1440,0),INT($F1927/100)*60+MOD($F1927,100)))</f>
        <v/>
      </c>
      <c r="M1927" s="15" t="str">
        <f aca="false">IF($G1927="","",IF($G1927&lt;1,ROUND($G1927*1440,0),INT($G1927/100)*60+MOD($G1927,100)))</f>
        <v/>
      </c>
      <c r="N1927" s="15" t="str">
        <f aca="false">IF(OR($A1927="",$B1927="",$L1927="",$M1927="",$J1927="취소"),"",IF(SUMPRODUCT(($A$3:$A$2002=$A1927)*($B$3:$B$2002=$B1927)*($J$3:$J$2002&lt;&gt;"취소")*($L$3:$L$2002&lt;&gt;"")*($M$3:$M$2002&lt;&gt;"")*($L$3:$L$2002&lt;$M1927)*($M$3:$M$2002&gt;$L1927))&gt;1,"중복","-"))</f>
        <v/>
      </c>
    </row>
    <row r="1928" customFormat="false" ht="15" hidden="false" customHeight="true" outlineLevel="0" collapsed="false">
      <c r="A1928" s="11"/>
      <c r="B1928" s="7"/>
      <c r="C1928" s="12" t="str">
        <f aca="false">IF($B1928="","",IFERROR(INDEX(자원목록!$B$3:$B$102,MATCH($B1928,자원목록!$A$3:$A$102,0)),"미등록자원"))</f>
        <v/>
      </c>
      <c r="D1928" s="7"/>
      <c r="E1928" s="12" t="str">
        <f aca="false">IF($D1928="","",IFERROR(INDEX(고객목록!$B$3:$B$502,MATCH($D1928,고객목록!$A$3:$A$502,0)),""))</f>
        <v/>
      </c>
      <c r="F1928" s="13"/>
      <c r="G1928" s="13"/>
      <c r="H1928" s="14" t="str">
        <f aca="false">IF(OR($L1928="",$M1928=""),"",ROUND(($M1928-$L1928)/60,2))</f>
        <v/>
      </c>
      <c r="I1928" s="9"/>
      <c r="J1928" s="7"/>
      <c r="K1928" s="7"/>
      <c r="L1928" s="15" t="str">
        <f aca="false">IF($F1928="","",IF($F1928&lt;1,ROUND($F1928*1440,0),INT($F1928/100)*60+MOD($F1928,100)))</f>
        <v/>
      </c>
      <c r="M1928" s="15" t="str">
        <f aca="false">IF($G1928="","",IF($G1928&lt;1,ROUND($G1928*1440,0),INT($G1928/100)*60+MOD($G1928,100)))</f>
        <v/>
      </c>
      <c r="N1928" s="15" t="str">
        <f aca="false">IF(OR($A1928="",$B1928="",$L1928="",$M1928="",$J1928="취소"),"",IF(SUMPRODUCT(($A$3:$A$2002=$A1928)*($B$3:$B$2002=$B1928)*($J$3:$J$2002&lt;&gt;"취소")*($L$3:$L$2002&lt;&gt;"")*($M$3:$M$2002&lt;&gt;"")*($L$3:$L$2002&lt;$M1928)*($M$3:$M$2002&gt;$L1928))&gt;1,"중복","-"))</f>
        <v/>
      </c>
    </row>
    <row r="1929" customFormat="false" ht="15" hidden="false" customHeight="true" outlineLevel="0" collapsed="false">
      <c r="A1929" s="11"/>
      <c r="B1929" s="7"/>
      <c r="C1929" s="12" t="str">
        <f aca="false">IF($B1929="","",IFERROR(INDEX(자원목록!$B$3:$B$102,MATCH($B1929,자원목록!$A$3:$A$102,0)),"미등록자원"))</f>
        <v/>
      </c>
      <c r="D1929" s="7"/>
      <c r="E1929" s="12" t="str">
        <f aca="false">IF($D1929="","",IFERROR(INDEX(고객목록!$B$3:$B$502,MATCH($D1929,고객목록!$A$3:$A$502,0)),""))</f>
        <v/>
      </c>
      <c r="F1929" s="13"/>
      <c r="G1929" s="13"/>
      <c r="H1929" s="14" t="str">
        <f aca="false">IF(OR($L1929="",$M1929=""),"",ROUND(($M1929-$L1929)/60,2))</f>
        <v/>
      </c>
      <c r="I1929" s="9"/>
      <c r="J1929" s="7"/>
      <c r="K1929" s="7"/>
      <c r="L1929" s="15" t="str">
        <f aca="false">IF($F1929="","",IF($F1929&lt;1,ROUND($F1929*1440,0),INT($F1929/100)*60+MOD($F1929,100)))</f>
        <v/>
      </c>
      <c r="M1929" s="15" t="str">
        <f aca="false">IF($G1929="","",IF($G1929&lt;1,ROUND($G1929*1440,0),INT($G1929/100)*60+MOD($G1929,100)))</f>
        <v/>
      </c>
      <c r="N1929" s="15" t="str">
        <f aca="false">IF(OR($A1929="",$B1929="",$L1929="",$M1929="",$J1929="취소"),"",IF(SUMPRODUCT(($A$3:$A$2002=$A1929)*($B$3:$B$2002=$B1929)*($J$3:$J$2002&lt;&gt;"취소")*($L$3:$L$2002&lt;&gt;"")*($M$3:$M$2002&lt;&gt;"")*($L$3:$L$2002&lt;$M1929)*($M$3:$M$2002&gt;$L1929))&gt;1,"중복","-"))</f>
        <v/>
      </c>
    </row>
    <row r="1930" customFormat="false" ht="15" hidden="false" customHeight="true" outlineLevel="0" collapsed="false">
      <c r="A1930" s="11"/>
      <c r="B1930" s="7"/>
      <c r="C1930" s="12" t="str">
        <f aca="false">IF($B1930="","",IFERROR(INDEX(자원목록!$B$3:$B$102,MATCH($B1930,자원목록!$A$3:$A$102,0)),"미등록자원"))</f>
        <v/>
      </c>
      <c r="D1930" s="7"/>
      <c r="E1930" s="12" t="str">
        <f aca="false">IF($D1930="","",IFERROR(INDEX(고객목록!$B$3:$B$502,MATCH($D1930,고객목록!$A$3:$A$502,0)),""))</f>
        <v/>
      </c>
      <c r="F1930" s="13"/>
      <c r="G1930" s="13"/>
      <c r="H1930" s="14" t="str">
        <f aca="false">IF(OR($L1930="",$M1930=""),"",ROUND(($M1930-$L1930)/60,2))</f>
        <v/>
      </c>
      <c r="I1930" s="9"/>
      <c r="J1930" s="7"/>
      <c r="K1930" s="7"/>
      <c r="L1930" s="15" t="str">
        <f aca="false">IF($F1930="","",IF($F1930&lt;1,ROUND($F1930*1440,0),INT($F1930/100)*60+MOD($F1930,100)))</f>
        <v/>
      </c>
      <c r="M1930" s="15" t="str">
        <f aca="false">IF($G1930="","",IF($G1930&lt;1,ROUND($G1930*1440,0),INT($G1930/100)*60+MOD($G1930,100)))</f>
        <v/>
      </c>
      <c r="N1930" s="15" t="str">
        <f aca="false">IF(OR($A1930="",$B1930="",$L1930="",$M1930="",$J1930="취소"),"",IF(SUMPRODUCT(($A$3:$A$2002=$A1930)*($B$3:$B$2002=$B1930)*($J$3:$J$2002&lt;&gt;"취소")*($L$3:$L$2002&lt;&gt;"")*($M$3:$M$2002&lt;&gt;"")*($L$3:$L$2002&lt;$M1930)*($M$3:$M$2002&gt;$L1930))&gt;1,"중복","-"))</f>
        <v/>
      </c>
    </row>
    <row r="1931" customFormat="false" ht="15" hidden="false" customHeight="true" outlineLevel="0" collapsed="false">
      <c r="A1931" s="11"/>
      <c r="B1931" s="7"/>
      <c r="C1931" s="12" t="str">
        <f aca="false">IF($B1931="","",IFERROR(INDEX(자원목록!$B$3:$B$102,MATCH($B1931,자원목록!$A$3:$A$102,0)),"미등록자원"))</f>
        <v/>
      </c>
      <c r="D1931" s="7"/>
      <c r="E1931" s="12" t="str">
        <f aca="false">IF($D1931="","",IFERROR(INDEX(고객목록!$B$3:$B$502,MATCH($D1931,고객목록!$A$3:$A$502,0)),""))</f>
        <v/>
      </c>
      <c r="F1931" s="13"/>
      <c r="G1931" s="13"/>
      <c r="H1931" s="14" t="str">
        <f aca="false">IF(OR($L1931="",$M1931=""),"",ROUND(($M1931-$L1931)/60,2))</f>
        <v/>
      </c>
      <c r="I1931" s="9"/>
      <c r="J1931" s="7"/>
      <c r="K1931" s="7"/>
      <c r="L1931" s="15" t="str">
        <f aca="false">IF($F1931="","",IF($F1931&lt;1,ROUND($F1931*1440,0),INT($F1931/100)*60+MOD($F1931,100)))</f>
        <v/>
      </c>
      <c r="M1931" s="15" t="str">
        <f aca="false">IF($G1931="","",IF($G1931&lt;1,ROUND($G1931*1440,0),INT($G1931/100)*60+MOD($G1931,100)))</f>
        <v/>
      </c>
      <c r="N1931" s="15" t="str">
        <f aca="false">IF(OR($A1931="",$B1931="",$L1931="",$M1931="",$J1931="취소"),"",IF(SUMPRODUCT(($A$3:$A$2002=$A1931)*($B$3:$B$2002=$B1931)*($J$3:$J$2002&lt;&gt;"취소")*($L$3:$L$2002&lt;&gt;"")*($M$3:$M$2002&lt;&gt;"")*($L$3:$L$2002&lt;$M1931)*($M$3:$M$2002&gt;$L1931))&gt;1,"중복","-"))</f>
        <v/>
      </c>
    </row>
    <row r="1932" customFormat="false" ht="15" hidden="false" customHeight="true" outlineLevel="0" collapsed="false">
      <c r="A1932" s="11"/>
      <c r="B1932" s="7"/>
      <c r="C1932" s="12" t="str">
        <f aca="false">IF($B1932="","",IFERROR(INDEX(자원목록!$B$3:$B$102,MATCH($B1932,자원목록!$A$3:$A$102,0)),"미등록자원"))</f>
        <v/>
      </c>
      <c r="D1932" s="7"/>
      <c r="E1932" s="12" t="str">
        <f aca="false">IF($D1932="","",IFERROR(INDEX(고객목록!$B$3:$B$502,MATCH($D1932,고객목록!$A$3:$A$502,0)),""))</f>
        <v/>
      </c>
      <c r="F1932" s="13"/>
      <c r="G1932" s="13"/>
      <c r="H1932" s="14" t="str">
        <f aca="false">IF(OR($L1932="",$M1932=""),"",ROUND(($M1932-$L1932)/60,2))</f>
        <v/>
      </c>
      <c r="I1932" s="9"/>
      <c r="J1932" s="7"/>
      <c r="K1932" s="7"/>
      <c r="L1932" s="15" t="str">
        <f aca="false">IF($F1932="","",IF($F1932&lt;1,ROUND($F1932*1440,0),INT($F1932/100)*60+MOD($F1932,100)))</f>
        <v/>
      </c>
      <c r="M1932" s="15" t="str">
        <f aca="false">IF($G1932="","",IF($G1932&lt;1,ROUND($G1932*1440,0),INT($G1932/100)*60+MOD($G1932,100)))</f>
        <v/>
      </c>
      <c r="N1932" s="15" t="str">
        <f aca="false">IF(OR($A1932="",$B1932="",$L1932="",$M1932="",$J1932="취소"),"",IF(SUMPRODUCT(($A$3:$A$2002=$A1932)*($B$3:$B$2002=$B1932)*($J$3:$J$2002&lt;&gt;"취소")*($L$3:$L$2002&lt;&gt;"")*($M$3:$M$2002&lt;&gt;"")*($L$3:$L$2002&lt;$M1932)*($M$3:$M$2002&gt;$L1932))&gt;1,"중복","-"))</f>
        <v/>
      </c>
    </row>
    <row r="1933" customFormat="false" ht="15" hidden="false" customHeight="true" outlineLevel="0" collapsed="false">
      <c r="A1933" s="11"/>
      <c r="B1933" s="7"/>
      <c r="C1933" s="12" t="str">
        <f aca="false">IF($B1933="","",IFERROR(INDEX(자원목록!$B$3:$B$102,MATCH($B1933,자원목록!$A$3:$A$102,0)),"미등록자원"))</f>
        <v/>
      </c>
      <c r="D1933" s="7"/>
      <c r="E1933" s="12" t="str">
        <f aca="false">IF($D1933="","",IFERROR(INDEX(고객목록!$B$3:$B$502,MATCH($D1933,고객목록!$A$3:$A$502,0)),""))</f>
        <v/>
      </c>
      <c r="F1933" s="13"/>
      <c r="G1933" s="13"/>
      <c r="H1933" s="14" t="str">
        <f aca="false">IF(OR($L1933="",$M1933=""),"",ROUND(($M1933-$L1933)/60,2))</f>
        <v/>
      </c>
      <c r="I1933" s="9"/>
      <c r="J1933" s="7"/>
      <c r="K1933" s="7"/>
      <c r="L1933" s="15" t="str">
        <f aca="false">IF($F1933="","",IF($F1933&lt;1,ROUND($F1933*1440,0),INT($F1933/100)*60+MOD($F1933,100)))</f>
        <v/>
      </c>
      <c r="M1933" s="15" t="str">
        <f aca="false">IF($G1933="","",IF($G1933&lt;1,ROUND($G1933*1440,0),INT($G1933/100)*60+MOD($G1933,100)))</f>
        <v/>
      </c>
      <c r="N1933" s="15" t="str">
        <f aca="false">IF(OR($A1933="",$B1933="",$L1933="",$M1933="",$J1933="취소"),"",IF(SUMPRODUCT(($A$3:$A$2002=$A1933)*($B$3:$B$2002=$B1933)*($J$3:$J$2002&lt;&gt;"취소")*($L$3:$L$2002&lt;&gt;"")*($M$3:$M$2002&lt;&gt;"")*($L$3:$L$2002&lt;$M1933)*($M$3:$M$2002&gt;$L1933))&gt;1,"중복","-"))</f>
        <v/>
      </c>
    </row>
    <row r="1934" customFormat="false" ht="15" hidden="false" customHeight="true" outlineLevel="0" collapsed="false">
      <c r="A1934" s="11"/>
      <c r="B1934" s="7"/>
      <c r="C1934" s="12" t="str">
        <f aca="false">IF($B1934="","",IFERROR(INDEX(자원목록!$B$3:$B$102,MATCH($B1934,자원목록!$A$3:$A$102,0)),"미등록자원"))</f>
        <v/>
      </c>
      <c r="D1934" s="7"/>
      <c r="E1934" s="12" t="str">
        <f aca="false">IF($D1934="","",IFERROR(INDEX(고객목록!$B$3:$B$502,MATCH($D1934,고객목록!$A$3:$A$502,0)),""))</f>
        <v/>
      </c>
      <c r="F1934" s="13"/>
      <c r="G1934" s="13"/>
      <c r="H1934" s="14" t="str">
        <f aca="false">IF(OR($L1934="",$M1934=""),"",ROUND(($M1934-$L1934)/60,2))</f>
        <v/>
      </c>
      <c r="I1934" s="9"/>
      <c r="J1934" s="7"/>
      <c r="K1934" s="7"/>
      <c r="L1934" s="15" t="str">
        <f aca="false">IF($F1934="","",IF($F1934&lt;1,ROUND($F1934*1440,0),INT($F1934/100)*60+MOD($F1934,100)))</f>
        <v/>
      </c>
      <c r="M1934" s="15" t="str">
        <f aca="false">IF($G1934="","",IF($G1934&lt;1,ROUND($G1934*1440,0),INT($G1934/100)*60+MOD($G1934,100)))</f>
        <v/>
      </c>
      <c r="N1934" s="15" t="str">
        <f aca="false">IF(OR($A1934="",$B1934="",$L1934="",$M1934="",$J1934="취소"),"",IF(SUMPRODUCT(($A$3:$A$2002=$A1934)*($B$3:$B$2002=$B1934)*($J$3:$J$2002&lt;&gt;"취소")*($L$3:$L$2002&lt;&gt;"")*($M$3:$M$2002&lt;&gt;"")*($L$3:$L$2002&lt;$M1934)*($M$3:$M$2002&gt;$L1934))&gt;1,"중복","-"))</f>
        <v/>
      </c>
    </row>
    <row r="1935" customFormat="false" ht="15" hidden="false" customHeight="true" outlineLevel="0" collapsed="false">
      <c r="A1935" s="11"/>
      <c r="B1935" s="7"/>
      <c r="C1935" s="12" t="str">
        <f aca="false">IF($B1935="","",IFERROR(INDEX(자원목록!$B$3:$B$102,MATCH($B1935,자원목록!$A$3:$A$102,0)),"미등록자원"))</f>
        <v/>
      </c>
      <c r="D1935" s="7"/>
      <c r="E1935" s="12" t="str">
        <f aca="false">IF($D1935="","",IFERROR(INDEX(고객목록!$B$3:$B$502,MATCH($D1935,고객목록!$A$3:$A$502,0)),""))</f>
        <v/>
      </c>
      <c r="F1935" s="13"/>
      <c r="G1935" s="13"/>
      <c r="H1935" s="14" t="str">
        <f aca="false">IF(OR($L1935="",$M1935=""),"",ROUND(($M1935-$L1935)/60,2))</f>
        <v/>
      </c>
      <c r="I1935" s="9"/>
      <c r="J1935" s="7"/>
      <c r="K1935" s="7"/>
      <c r="L1935" s="15" t="str">
        <f aca="false">IF($F1935="","",IF($F1935&lt;1,ROUND($F1935*1440,0),INT($F1935/100)*60+MOD($F1935,100)))</f>
        <v/>
      </c>
      <c r="M1935" s="15" t="str">
        <f aca="false">IF($G1935="","",IF($G1935&lt;1,ROUND($G1935*1440,0),INT($G1935/100)*60+MOD($G1935,100)))</f>
        <v/>
      </c>
      <c r="N1935" s="15" t="str">
        <f aca="false">IF(OR($A1935="",$B1935="",$L1935="",$M1935="",$J1935="취소"),"",IF(SUMPRODUCT(($A$3:$A$2002=$A1935)*($B$3:$B$2002=$B1935)*($J$3:$J$2002&lt;&gt;"취소")*($L$3:$L$2002&lt;&gt;"")*($M$3:$M$2002&lt;&gt;"")*($L$3:$L$2002&lt;$M1935)*($M$3:$M$2002&gt;$L1935))&gt;1,"중복","-"))</f>
        <v/>
      </c>
    </row>
    <row r="1936" customFormat="false" ht="15" hidden="false" customHeight="true" outlineLevel="0" collapsed="false">
      <c r="A1936" s="11"/>
      <c r="B1936" s="7"/>
      <c r="C1936" s="12" t="str">
        <f aca="false">IF($B1936="","",IFERROR(INDEX(자원목록!$B$3:$B$102,MATCH($B1936,자원목록!$A$3:$A$102,0)),"미등록자원"))</f>
        <v/>
      </c>
      <c r="D1936" s="7"/>
      <c r="E1936" s="12" t="str">
        <f aca="false">IF($D1936="","",IFERROR(INDEX(고객목록!$B$3:$B$502,MATCH($D1936,고객목록!$A$3:$A$502,0)),""))</f>
        <v/>
      </c>
      <c r="F1936" s="13"/>
      <c r="G1936" s="13"/>
      <c r="H1936" s="14" t="str">
        <f aca="false">IF(OR($L1936="",$M1936=""),"",ROUND(($M1936-$L1936)/60,2))</f>
        <v/>
      </c>
      <c r="I1936" s="9"/>
      <c r="J1936" s="7"/>
      <c r="K1936" s="7"/>
      <c r="L1936" s="15" t="str">
        <f aca="false">IF($F1936="","",IF($F1936&lt;1,ROUND($F1936*1440,0),INT($F1936/100)*60+MOD($F1936,100)))</f>
        <v/>
      </c>
      <c r="M1936" s="15" t="str">
        <f aca="false">IF($G1936="","",IF($G1936&lt;1,ROUND($G1936*1440,0),INT($G1936/100)*60+MOD($G1936,100)))</f>
        <v/>
      </c>
      <c r="N1936" s="15" t="str">
        <f aca="false">IF(OR($A1936="",$B1936="",$L1936="",$M1936="",$J1936="취소"),"",IF(SUMPRODUCT(($A$3:$A$2002=$A1936)*($B$3:$B$2002=$B1936)*($J$3:$J$2002&lt;&gt;"취소")*($L$3:$L$2002&lt;&gt;"")*($M$3:$M$2002&lt;&gt;"")*($L$3:$L$2002&lt;$M1936)*($M$3:$M$2002&gt;$L1936))&gt;1,"중복","-"))</f>
        <v/>
      </c>
    </row>
    <row r="1937" customFormat="false" ht="15" hidden="false" customHeight="true" outlineLevel="0" collapsed="false">
      <c r="A1937" s="11"/>
      <c r="B1937" s="7"/>
      <c r="C1937" s="12" t="str">
        <f aca="false">IF($B1937="","",IFERROR(INDEX(자원목록!$B$3:$B$102,MATCH($B1937,자원목록!$A$3:$A$102,0)),"미등록자원"))</f>
        <v/>
      </c>
      <c r="D1937" s="7"/>
      <c r="E1937" s="12" t="str">
        <f aca="false">IF($D1937="","",IFERROR(INDEX(고객목록!$B$3:$B$502,MATCH($D1937,고객목록!$A$3:$A$502,0)),""))</f>
        <v/>
      </c>
      <c r="F1937" s="13"/>
      <c r="G1937" s="13"/>
      <c r="H1937" s="14" t="str">
        <f aca="false">IF(OR($L1937="",$M1937=""),"",ROUND(($M1937-$L1937)/60,2))</f>
        <v/>
      </c>
      <c r="I1937" s="9"/>
      <c r="J1937" s="7"/>
      <c r="K1937" s="7"/>
      <c r="L1937" s="15" t="str">
        <f aca="false">IF($F1937="","",IF($F1937&lt;1,ROUND($F1937*1440,0),INT($F1937/100)*60+MOD($F1937,100)))</f>
        <v/>
      </c>
      <c r="M1937" s="15" t="str">
        <f aca="false">IF($G1937="","",IF($G1937&lt;1,ROUND($G1937*1440,0),INT($G1937/100)*60+MOD($G1937,100)))</f>
        <v/>
      </c>
      <c r="N1937" s="15" t="str">
        <f aca="false">IF(OR($A1937="",$B1937="",$L1937="",$M1937="",$J1937="취소"),"",IF(SUMPRODUCT(($A$3:$A$2002=$A1937)*($B$3:$B$2002=$B1937)*($J$3:$J$2002&lt;&gt;"취소")*($L$3:$L$2002&lt;&gt;"")*($M$3:$M$2002&lt;&gt;"")*($L$3:$L$2002&lt;$M1937)*($M$3:$M$2002&gt;$L1937))&gt;1,"중복","-"))</f>
        <v/>
      </c>
    </row>
    <row r="1938" customFormat="false" ht="15" hidden="false" customHeight="true" outlineLevel="0" collapsed="false">
      <c r="A1938" s="11"/>
      <c r="B1938" s="7"/>
      <c r="C1938" s="12" t="str">
        <f aca="false">IF($B1938="","",IFERROR(INDEX(자원목록!$B$3:$B$102,MATCH($B1938,자원목록!$A$3:$A$102,0)),"미등록자원"))</f>
        <v/>
      </c>
      <c r="D1938" s="7"/>
      <c r="E1938" s="12" t="str">
        <f aca="false">IF($D1938="","",IFERROR(INDEX(고객목록!$B$3:$B$502,MATCH($D1938,고객목록!$A$3:$A$502,0)),""))</f>
        <v/>
      </c>
      <c r="F1938" s="13"/>
      <c r="G1938" s="13"/>
      <c r="H1938" s="14" t="str">
        <f aca="false">IF(OR($L1938="",$M1938=""),"",ROUND(($M1938-$L1938)/60,2))</f>
        <v/>
      </c>
      <c r="I1938" s="9"/>
      <c r="J1938" s="7"/>
      <c r="K1938" s="7"/>
      <c r="L1938" s="15" t="str">
        <f aca="false">IF($F1938="","",IF($F1938&lt;1,ROUND($F1938*1440,0),INT($F1938/100)*60+MOD($F1938,100)))</f>
        <v/>
      </c>
      <c r="M1938" s="15" t="str">
        <f aca="false">IF($G1938="","",IF($G1938&lt;1,ROUND($G1938*1440,0),INT($G1938/100)*60+MOD($G1938,100)))</f>
        <v/>
      </c>
      <c r="N1938" s="15" t="str">
        <f aca="false">IF(OR($A1938="",$B1938="",$L1938="",$M1938="",$J1938="취소"),"",IF(SUMPRODUCT(($A$3:$A$2002=$A1938)*($B$3:$B$2002=$B1938)*($J$3:$J$2002&lt;&gt;"취소")*($L$3:$L$2002&lt;&gt;"")*($M$3:$M$2002&lt;&gt;"")*($L$3:$L$2002&lt;$M1938)*($M$3:$M$2002&gt;$L1938))&gt;1,"중복","-"))</f>
        <v/>
      </c>
    </row>
    <row r="1939" customFormat="false" ht="15" hidden="false" customHeight="true" outlineLevel="0" collapsed="false">
      <c r="A1939" s="11"/>
      <c r="B1939" s="7"/>
      <c r="C1939" s="12" t="str">
        <f aca="false">IF($B1939="","",IFERROR(INDEX(자원목록!$B$3:$B$102,MATCH($B1939,자원목록!$A$3:$A$102,0)),"미등록자원"))</f>
        <v/>
      </c>
      <c r="D1939" s="7"/>
      <c r="E1939" s="12" t="str">
        <f aca="false">IF($D1939="","",IFERROR(INDEX(고객목록!$B$3:$B$502,MATCH($D1939,고객목록!$A$3:$A$502,0)),""))</f>
        <v/>
      </c>
      <c r="F1939" s="13"/>
      <c r="G1939" s="13"/>
      <c r="H1939" s="14" t="str">
        <f aca="false">IF(OR($L1939="",$M1939=""),"",ROUND(($M1939-$L1939)/60,2))</f>
        <v/>
      </c>
      <c r="I1939" s="9"/>
      <c r="J1939" s="7"/>
      <c r="K1939" s="7"/>
      <c r="L1939" s="15" t="str">
        <f aca="false">IF($F1939="","",IF($F1939&lt;1,ROUND($F1939*1440,0),INT($F1939/100)*60+MOD($F1939,100)))</f>
        <v/>
      </c>
      <c r="M1939" s="15" t="str">
        <f aca="false">IF($G1939="","",IF($G1939&lt;1,ROUND($G1939*1440,0),INT($G1939/100)*60+MOD($G1939,100)))</f>
        <v/>
      </c>
      <c r="N1939" s="15" t="str">
        <f aca="false">IF(OR($A1939="",$B1939="",$L1939="",$M1939="",$J1939="취소"),"",IF(SUMPRODUCT(($A$3:$A$2002=$A1939)*($B$3:$B$2002=$B1939)*($J$3:$J$2002&lt;&gt;"취소")*($L$3:$L$2002&lt;&gt;"")*($M$3:$M$2002&lt;&gt;"")*($L$3:$L$2002&lt;$M1939)*($M$3:$M$2002&gt;$L1939))&gt;1,"중복","-"))</f>
        <v/>
      </c>
    </row>
    <row r="1940" customFormat="false" ht="15" hidden="false" customHeight="true" outlineLevel="0" collapsed="false">
      <c r="A1940" s="11"/>
      <c r="B1940" s="7"/>
      <c r="C1940" s="12" t="str">
        <f aca="false">IF($B1940="","",IFERROR(INDEX(자원목록!$B$3:$B$102,MATCH($B1940,자원목록!$A$3:$A$102,0)),"미등록자원"))</f>
        <v/>
      </c>
      <c r="D1940" s="7"/>
      <c r="E1940" s="12" t="str">
        <f aca="false">IF($D1940="","",IFERROR(INDEX(고객목록!$B$3:$B$502,MATCH($D1940,고객목록!$A$3:$A$502,0)),""))</f>
        <v/>
      </c>
      <c r="F1940" s="13"/>
      <c r="G1940" s="13"/>
      <c r="H1940" s="14" t="str">
        <f aca="false">IF(OR($L1940="",$M1940=""),"",ROUND(($M1940-$L1940)/60,2))</f>
        <v/>
      </c>
      <c r="I1940" s="9"/>
      <c r="J1940" s="7"/>
      <c r="K1940" s="7"/>
      <c r="L1940" s="15" t="str">
        <f aca="false">IF($F1940="","",IF($F1940&lt;1,ROUND($F1940*1440,0),INT($F1940/100)*60+MOD($F1940,100)))</f>
        <v/>
      </c>
      <c r="M1940" s="15" t="str">
        <f aca="false">IF($G1940="","",IF($G1940&lt;1,ROUND($G1940*1440,0),INT($G1940/100)*60+MOD($G1940,100)))</f>
        <v/>
      </c>
      <c r="N1940" s="15" t="str">
        <f aca="false">IF(OR($A1940="",$B1940="",$L1940="",$M1940="",$J1940="취소"),"",IF(SUMPRODUCT(($A$3:$A$2002=$A1940)*($B$3:$B$2002=$B1940)*($J$3:$J$2002&lt;&gt;"취소")*($L$3:$L$2002&lt;&gt;"")*($M$3:$M$2002&lt;&gt;"")*($L$3:$L$2002&lt;$M1940)*($M$3:$M$2002&gt;$L1940))&gt;1,"중복","-"))</f>
        <v/>
      </c>
    </row>
    <row r="1941" customFormat="false" ht="15" hidden="false" customHeight="true" outlineLevel="0" collapsed="false">
      <c r="A1941" s="11"/>
      <c r="B1941" s="7"/>
      <c r="C1941" s="12" t="str">
        <f aca="false">IF($B1941="","",IFERROR(INDEX(자원목록!$B$3:$B$102,MATCH($B1941,자원목록!$A$3:$A$102,0)),"미등록자원"))</f>
        <v/>
      </c>
      <c r="D1941" s="7"/>
      <c r="E1941" s="12" t="str">
        <f aca="false">IF($D1941="","",IFERROR(INDEX(고객목록!$B$3:$B$502,MATCH($D1941,고객목록!$A$3:$A$502,0)),""))</f>
        <v/>
      </c>
      <c r="F1941" s="13"/>
      <c r="G1941" s="13"/>
      <c r="H1941" s="14" t="str">
        <f aca="false">IF(OR($L1941="",$M1941=""),"",ROUND(($M1941-$L1941)/60,2))</f>
        <v/>
      </c>
      <c r="I1941" s="9"/>
      <c r="J1941" s="7"/>
      <c r="K1941" s="7"/>
      <c r="L1941" s="15" t="str">
        <f aca="false">IF($F1941="","",IF($F1941&lt;1,ROUND($F1941*1440,0),INT($F1941/100)*60+MOD($F1941,100)))</f>
        <v/>
      </c>
      <c r="M1941" s="15" t="str">
        <f aca="false">IF($G1941="","",IF($G1941&lt;1,ROUND($G1941*1440,0),INT($G1941/100)*60+MOD($G1941,100)))</f>
        <v/>
      </c>
      <c r="N1941" s="15" t="str">
        <f aca="false">IF(OR($A1941="",$B1941="",$L1941="",$M1941="",$J1941="취소"),"",IF(SUMPRODUCT(($A$3:$A$2002=$A1941)*($B$3:$B$2002=$B1941)*($J$3:$J$2002&lt;&gt;"취소")*($L$3:$L$2002&lt;&gt;"")*($M$3:$M$2002&lt;&gt;"")*($L$3:$L$2002&lt;$M1941)*($M$3:$M$2002&gt;$L1941))&gt;1,"중복","-"))</f>
        <v/>
      </c>
    </row>
    <row r="1942" customFormat="false" ht="15" hidden="false" customHeight="true" outlineLevel="0" collapsed="false">
      <c r="A1942" s="11"/>
      <c r="B1942" s="7"/>
      <c r="C1942" s="12" t="str">
        <f aca="false">IF($B1942="","",IFERROR(INDEX(자원목록!$B$3:$B$102,MATCH($B1942,자원목록!$A$3:$A$102,0)),"미등록자원"))</f>
        <v/>
      </c>
      <c r="D1942" s="7"/>
      <c r="E1942" s="12" t="str">
        <f aca="false">IF($D1942="","",IFERROR(INDEX(고객목록!$B$3:$B$502,MATCH($D1942,고객목록!$A$3:$A$502,0)),""))</f>
        <v/>
      </c>
      <c r="F1942" s="13"/>
      <c r="G1942" s="13"/>
      <c r="H1942" s="14" t="str">
        <f aca="false">IF(OR($L1942="",$M1942=""),"",ROUND(($M1942-$L1942)/60,2))</f>
        <v/>
      </c>
      <c r="I1942" s="9"/>
      <c r="J1942" s="7"/>
      <c r="K1942" s="7"/>
      <c r="L1942" s="15" t="str">
        <f aca="false">IF($F1942="","",IF($F1942&lt;1,ROUND($F1942*1440,0),INT($F1942/100)*60+MOD($F1942,100)))</f>
        <v/>
      </c>
      <c r="M1942" s="15" t="str">
        <f aca="false">IF($G1942="","",IF($G1942&lt;1,ROUND($G1942*1440,0),INT($G1942/100)*60+MOD($G1942,100)))</f>
        <v/>
      </c>
      <c r="N1942" s="15" t="str">
        <f aca="false">IF(OR($A1942="",$B1942="",$L1942="",$M1942="",$J1942="취소"),"",IF(SUMPRODUCT(($A$3:$A$2002=$A1942)*($B$3:$B$2002=$B1942)*($J$3:$J$2002&lt;&gt;"취소")*($L$3:$L$2002&lt;&gt;"")*($M$3:$M$2002&lt;&gt;"")*($L$3:$L$2002&lt;$M1942)*($M$3:$M$2002&gt;$L1942))&gt;1,"중복","-"))</f>
        <v/>
      </c>
    </row>
    <row r="1943" customFormat="false" ht="15" hidden="false" customHeight="true" outlineLevel="0" collapsed="false">
      <c r="A1943" s="11"/>
      <c r="B1943" s="7"/>
      <c r="C1943" s="12" t="str">
        <f aca="false">IF($B1943="","",IFERROR(INDEX(자원목록!$B$3:$B$102,MATCH($B1943,자원목록!$A$3:$A$102,0)),"미등록자원"))</f>
        <v/>
      </c>
      <c r="D1943" s="7"/>
      <c r="E1943" s="12" t="str">
        <f aca="false">IF($D1943="","",IFERROR(INDEX(고객목록!$B$3:$B$502,MATCH($D1943,고객목록!$A$3:$A$502,0)),""))</f>
        <v/>
      </c>
      <c r="F1943" s="13"/>
      <c r="G1943" s="13"/>
      <c r="H1943" s="14" t="str">
        <f aca="false">IF(OR($L1943="",$M1943=""),"",ROUND(($M1943-$L1943)/60,2))</f>
        <v/>
      </c>
      <c r="I1943" s="9"/>
      <c r="J1943" s="7"/>
      <c r="K1943" s="7"/>
      <c r="L1943" s="15" t="str">
        <f aca="false">IF($F1943="","",IF($F1943&lt;1,ROUND($F1943*1440,0),INT($F1943/100)*60+MOD($F1943,100)))</f>
        <v/>
      </c>
      <c r="M1943" s="15" t="str">
        <f aca="false">IF($G1943="","",IF($G1943&lt;1,ROUND($G1943*1440,0),INT($G1943/100)*60+MOD($G1943,100)))</f>
        <v/>
      </c>
      <c r="N1943" s="15" t="str">
        <f aca="false">IF(OR($A1943="",$B1943="",$L1943="",$M1943="",$J1943="취소"),"",IF(SUMPRODUCT(($A$3:$A$2002=$A1943)*($B$3:$B$2002=$B1943)*($J$3:$J$2002&lt;&gt;"취소")*($L$3:$L$2002&lt;&gt;"")*($M$3:$M$2002&lt;&gt;"")*($L$3:$L$2002&lt;$M1943)*($M$3:$M$2002&gt;$L1943))&gt;1,"중복","-"))</f>
        <v/>
      </c>
    </row>
    <row r="1944" customFormat="false" ht="15" hidden="false" customHeight="true" outlineLevel="0" collapsed="false">
      <c r="A1944" s="11"/>
      <c r="B1944" s="7"/>
      <c r="C1944" s="12" t="str">
        <f aca="false">IF($B1944="","",IFERROR(INDEX(자원목록!$B$3:$B$102,MATCH($B1944,자원목록!$A$3:$A$102,0)),"미등록자원"))</f>
        <v/>
      </c>
      <c r="D1944" s="7"/>
      <c r="E1944" s="12" t="str">
        <f aca="false">IF($D1944="","",IFERROR(INDEX(고객목록!$B$3:$B$502,MATCH($D1944,고객목록!$A$3:$A$502,0)),""))</f>
        <v/>
      </c>
      <c r="F1944" s="13"/>
      <c r="G1944" s="13"/>
      <c r="H1944" s="14" t="str">
        <f aca="false">IF(OR($L1944="",$M1944=""),"",ROUND(($M1944-$L1944)/60,2))</f>
        <v/>
      </c>
      <c r="I1944" s="9"/>
      <c r="J1944" s="7"/>
      <c r="K1944" s="7"/>
      <c r="L1944" s="15" t="str">
        <f aca="false">IF($F1944="","",IF($F1944&lt;1,ROUND($F1944*1440,0),INT($F1944/100)*60+MOD($F1944,100)))</f>
        <v/>
      </c>
      <c r="M1944" s="15" t="str">
        <f aca="false">IF($G1944="","",IF($G1944&lt;1,ROUND($G1944*1440,0),INT($G1944/100)*60+MOD($G1944,100)))</f>
        <v/>
      </c>
      <c r="N1944" s="15" t="str">
        <f aca="false">IF(OR($A1944="",$B1944="",$L1944="",$M1944="",$J1944="취소"),"",IF(SUMPRODUCT(($A$3:$A$2002=$A1944)*($B$3:$B$2002=$B1944)*($J$3:$J$2002&lt;&gt;"취소")*($L$3:$L$2002&lt;&gt;"")*($M$3:$M$2002&lt;&gt;"")*($L$3:$L$2002&lt;$M1944)*($M$3:$M$2002&gt;$L1944))&gt;1,"중복","-"))</f>
        <v/>
      </c>
    </row>
    <row r="1945" customFormat="false" ht="15" hidden="false" customHeight="true" outlineLevel="0" collapsed="false">
      <c r="A1945" s="11"/>
      <c r="B1945" s="7"/>
      <c r="C1945" s="12" t="str">
        <f aca="false">IF($B1945="","",IFERROR(INDEX(자원목록!$B$3:$B$102,MATCH($B1945,자원목록!$A$3:$A$102,0)),"미등록자원"))</f>
        <v/>
      </c>
      <c r="D1945" s="7"/>
      <c r="E1945" s="12" t="str">
        <f aca="false">IF($D1945="","",IFERROR(INDEX(고객목록!$B$3:$B$502,MATCH($D1945,고객목록!$A$3:$A$502,0)),""))</f>
        <v/>
      </c>
      <c r="F1945" s="13"/>
      <c r="G1945" s="13"/>
      <c r="H1945" s="14" t="str">
        <f aca="false">IF(OR($L1945="",$M1945=""),"",ROUND(($M1945-$L1945)/60,2))</f>
        <v/>
      </c>
      <c r="I1945" s="9"/>
      <c r="J1945" s="7"/>
      <c r="K1945" s="7"/>
      <c r="L1945" s="15" t="str">
        <f aca="false">IF($F1945="","",IF($F1945&lt;1,ROUND($F1945*1440,0),INT($F1945/100)*60+MOD($F1945,100)))</f>
        <v/>
      </c>
      <c r="M1945" s="15" t="str">
        <f aca="false">IF($G1945="","",IF($G1945&lt;1,ROUND($G1945*1440,0),INT($G1945/100)*60+MOD($G1945,100)))</f>
        <v/>
      </c>
      <c r="N1945" s="15" t="str">
        <f aca="false">IF(OR($A1945="",$B1945="",$L1945="",$M1945="",$J1945="취소"),"",IF(SUMPRODUCT(($A$3:$A$2002=$A1945)*($B$3:$B$2002=$B1945)*($J$3:$J$2002&lt;&gt;"취소")*($L$3:$L$2002&lt;&gt;"")*($M$3:$M$2002&lt;&gt;"")*($L$3:$L$2002&lt;$M1945)*($M$3:$M$2002&gt;$L1945))&gt;1,"중복","-"))</f>
        <v/>
      </c>
    </row>
    <row r="1946" customFormat="false" ht="15" hidden="false" customHeight="true" outlineLevel="0" collapsed="false">
      <c r="A1946" s="11"/>
      <c r="B1946" s="7"/>
      <c r="C1946" s="12" t="str">
        <f aca="false">IF($B1946="","",IFERROR(INDEX(자원목록!$B$3:$B$102,MATCH($B1946,자원목록!$A$3:$A$102,0)),"미등록자원"))</f>
        <v/>
      </c>
      <c r="D1946" s="7"/>
      <c r="E1946" s="12" t="str">
        <f aca="false">IF($D1946="","",IFERROR(INDEX(고객목록!$B$3:$B$502,MATCH($D1946,고객목록!$A$3:$A$502,0)),""))</f>
        <v/>
      </c>
      <c r="F1946" s="13"/>
      <c r="G1946" s="13"/>
      <c r="H1946" s="14" t="str">
        <f aca="false">IF(OR($L1946="",$M1946=""),"",ROUND(($M1946-$L1946)/60,2))</f>
        <v/>
      </c>
      <c r="I1946" s="9"/>
      <c r="J1946" s="7"/>
      <c r="K1946" s="7"/>
      <c r="L1946" s="15" t="str">
        <f aca="false">IF($F1946="","",IF($F1946&lt;1,ROUND($F1946*1440,0),INT($F1946/100)*60+MOD($F1946,100)))</f>
        <v/>
      </c>
      <c r="M1946" s="15" t="str">
        <f aca="false">IF($G1946="","",IF($G1946&lt;1,ROUND($G1946*1440,0),INT($G1946/100)*60+MOD($G1946,100)))</f>
        <v/>
      </c>
      <c r="N1946" s="15" t="str">
        <f aca="false">IF(OR($A1946="",$B1946="",$L1946="",$M1946="",$J1946="취소"),"",IF(SUMPRODUCT(($A$3:$A$2002=$A1946)*($B$3:$B$2002=$B1946)*($J$3:$J$2002&lt;&gt;"취소")*($L$3:$L$2002&lt;&gt;"")*($M$3:$M$2002&lt;&gt;"")*($L$3:$L$2002&lt;$M1946)*($M$3:$M$2002&gt;$L1946))&gt;1,"중복","-"))</f>
        <v/>
      </c>
    </row>
    <row r="1947" customFormat="false" ht="15" hidden="false" customHeight="true" outlineLevel="0" collapsed="false">
      <c r="A1947" s="11"/>
      <c r="B1947" s="7"/>
      <c r="C1947" s="12" t="str">
        <f aca="false">IF($B1947="","",IFERROR(INDEX(자원목록!$B$3:$B$102,MATCH($B1947,자원목록!$A$3:$A$102,0)),"미등록자원"))</f>
        <v/>
      </c>
      <c r="D1947" s="7"/>
      <c r="E1947" s="12" t="str">
        <f aca="false">IF($D1947="","",IFERROR(INDEX(고객목록!$B$3:$B$502,MATCH($D1947,고객목록!$A$3:$A$502,0)),""))</f>
        <v/>
      </c>
      <c r="F1947" s="13"/>
      <c r="G1947" s="13"/>
      <c r="H1947" s="14" t="str">
        <f aca="false">IF(OR($L1947="",$M1947=""),"",ROUND(($M1947-$L1947)/60,2))</f>
        <v/>
      </c>
      <c r="I1947" s="9"/>
      <c r="J1947" s="7"/>
      <c r="K1947" s="7"/>
      <c r="L1947" s="15" t="str">
        <f aca="false">IF($F1947="","",IF($F1947&lt;1,ROUND($F1947*1440,0),INT($F1947/100)*60+MOD($F1947,100)))</f>
        <v/>
      </c>
      <c r="M1947" s="15" t="str">
        <f aca="false">IF($G1947="","",IF($G1947&lt;1,ROUND($G1947*1440,0),INT($G1947/100)*60+MOD($G1947,100)))</f>
        <v/>
      </c>
      <c r="N1947" s="15" t="str">
        <f aca="false">IF(OR($A1947="",$B1947="",$L1947="",$M1947="",$J1947="취소"),"",IF(SUMPRODUCT(($A$3:$A$2002=$A1947)*($B$3:$B$2002=$B1947)*($J$3:$J$2002&lt;&gt;"취소")*($L$3:$L$2002&lt;&gt;"")*($M$3:$M$2002&lt;&gt;"")*($L$3:$L$2002&lt;$M1947)*($M$3:$M$2002&gt;$L1947))&gt;1,"중복","-"))</f>
        <v/>
      </c>
    </row>
    <row r="1948" customFormat="false" ht="15" hidden="false" customHeight="true" outlineLevel="0" collapsed="false">
      <c r="A1948" s="11"/>
      <c r="B1948" s="7"/>
      <c r="C1948" s="12" t="str">
        <f aca="false">IF($B1948="","",IFERROR(INDEX(자원목록!$B$3:$B$102,MATCH($B1948,자원목록!$A$3:$A$102,0)),"미등록자원"))</f>
        <v/>
      </c>
      <c r="D1948" s="7"/>
      <c r="E1948" s="12" t="str">
        <f aca="false">IF($D1948="","",IFERROR(INDEX(고객목록!$B$3:$B$502,MATCH($D1948,고객목록!$A$3:$A$502,0)),""))</f>
        <v/>
      </c>
      <c r="F1948" s="13"/>
      <c r="G1948" s="13"/>
      <c r="H1948" s="14" t="str">
        <f aca="false">IF(OR($L1948="",$M1948=""),"",ROUND(($M1948-$L1948)/60,2))</f>
        <v/>
      </c>
      <c r="I1948" s="9"/>
      <c r="J1948" s="7"/>
      <c r="K1948" s="7"/>
      <c r="L1948" s="15" t="str">
        <f aca="false">IF($F1948="","",IF($F1948&lt;1,ROUND($F1948*1440,0),INT($F1948/100)*60+MOD($F1948,100)))</f>
        <v/>
      </c>
      <c r="M1948" s="15" t="str">
        <f aca="false">IF($G1948="","",IF($G1948&lt;1,ROUND($G1948*1440,0),INT($G1948/100)*60+MOD($G1948,100)))</f>
        <v/>
      </c>
      <c r="N1948" s="15" t="str">
        <f aca="false">IF(OR($A1948="",$B1948="",$L1948="",$M1948="",$J1948="취소"),"",IF(SUMPRODUCT(($A$3:$A$2002=$A1948)*($B$3:$B$2002=$B1948)*($J$3:$J$2002&lt;&gt;"취소")*($L$3:$L$2002&lt;&gt;"")*($M$3:$M$2002&lt;&gt;"")*($L$3:$L$2002&lt;$M1948)*($M$3:$M$2002&gt;$L1948))&gt;1,"중복","-"))</f>
        <v/>
      </c>
    </row>
    <row r="1949" customFormat="false" ht="15" hidden="false" customHeight="true" outlineLevel="0" collapsed="false">
      <c r="A1949" s="11"/>
      <c r="B1949" s="7"/>
      <c r="C1949" s="12" t="str">
        <f aca="false">IF($B1949="","",IFERROR(INDEX(자원목록!$B$3:$B$102,MATCH($B1949,자원목록!$A$3:$A$102,0)),"미등록자원"))</f>
        <v/>
      </c>
      <c r="D1949" s="7"/>
      <c r="E1949" s="12" t="str">
        <f aca="false">IF($D1949="","",IFERROR(INDEX(고객목록!$B$3:$B$502,MATCH($D1949,고객목록!$A$3:$A$502,0)),""))</f>
        <v/>
      </c>
      <c r="F1949" s="13"/>
      <c r="G1949" s="13"/>
      <c r="H1949" s="14" t="str">
        <f aca="false">IF(OR($L1949="",$M1949=""),"",ROUND(($M1949-$L1949)/60,2))</f>
        <v/>
      </c>
      <c r="I1949" s="9"/>
      <c r="J1949" s="7"/>
      <c r="K1949" s="7"/>
      <c r="L1949" s="15" t="str">
        <f aca="false">IF($F1949="","",IF($F1949&lt;1,ROUND($F1949*1440,0),INT($F1949/100)*60+MOD($F1949,100)))</f>
        <v/>
      </c>
      <c r="M1949" s="15" t="str">
        <f aca="false">IF($G1949="","",IF($G1949&lt;1,ROUND($G1949*1440,0),INT($G1949/100)*60+MOD($G1949,100)))</f>
        <v/>
      </c>
      <c r="N1949" s="15" t="str">
        <f aca="false">IF(OR($A1949="",$B1949="",$L1949="",$M1949="",$J1949="취소"),"",IF(SUMPRODUCT(($A$3:$A$2002=$A1949)*($B$3:$B$2002=$B1949)*($J$3:$J$2002&lt;&gt;"취소")*($L$3:$L$2002&lt;&gt;"")*($M$3:$M$2002&lt;&gt;"")*($L$3:$L$2002&lt;$M1949)*($M$3:$M$2002&gt;$L1949))&gt;1,"중복","-"))</f>
        <v/>
      </c>
    </row>
    <row r="1950" customFormat="false" ht="15" hidden="false" customHeight="true" outlineLevel="0" collapsed="false">
      <c r="A1950" s="11"/>
      <c r="B1950" s="7"/>
      <c r="C1950" s="12" t="str">
        <f aca="false">IF($B1950="","",IFERROR(INDEX(자원목록!$B$3:$B$102,MATCH($B1950,자원목록!$A$3:$A$102,0)),"미등록자원"))</f>
        <v/>
      </c>
      <c r="D1950" s="7"/>
      <c r="E1950" s="12" t="str">
        <f aca="false">IF($D1950="","",IFERROR(INDEX(고객목록!$B$3:$B$502,MATCH($D1950,고객목록!$A$3:$A$502,0)),""))</f>
        <v/>
      </c>
      <c r="F1950" s="13"/>
      <c r="G1950" s="13"/>
      <c r="H1950" s="14" t="str">
        <f aca="false">IF(OR($L1950="",$M1950=""),"",ROUND(($M1950-$L1950)/60,2))</f>
        <v/>
      </c>
      <c r="I1950" s="9"/>
      <c r="J1950" s="7"/>
      <c r="K1950" s="7"/>
      <c r="L1950" s="15" t="str">
        <f aca="false">IF($F1950="","",IF($F1950&lt;1,ROUND($F1950*1440,0),INT($F1950/100)*60+MOD($F1950,100)))</f>
        <v/>
      </c>
      <c r="M1950" s="15" t="str">
        <f aca="false">IF($G1950="","",IF($G1950&lt;1,ROUND($G1950*1440,0),INT($G1950/100)*60+MOD($G1950,100)))</f>
        <v/>
      </c>
      <c r="N1950" s="15" t="str">
        <f aca="false">IF(OR($A1950="",$B1950="",$L1950="",$M1950="",$J1950="취소"),"",IF(SUMPRODUCT(($A$3:$A$2002=$A1950)*($B$3:$B$2002=$B1950)*($J$3:$J$2002&lt;&gt;"취소")*($L$3:$L$2002&lt;&gt;"")*($M$3:$M$2002&lt;&gt;"")*($L$3:$L$2002&lt;$M1950)*($M$3:$M$2002&gt;$L1950))&gt;1,"중복","-"))</f>
        <v/>
      </c>
    </row>
    <row r="1951" customFormat="false" ht="15" hidden="false" customHeight="true" outlineLevel="0" collapsed="false">
      <c r="A1951" s="11"/>
      <c r="B1951" s="7"/>
      <c r="C1951" s="12" t="str">
        <f aca="false">IF($B1951="","",IFERROR(INDEX(자원목록!$B$3:$B$102,MATCH($B1951,자원목록!$A$3:$A$102,0)),"미등록자원"))</f>
        <v/>
      </c>
      <c r="D1951" s="7"/>
      <c r="E1951" s="12" t="str">
        <f aca="false">IF($D1951="","",IFERROR(INDEX(고객목록!$B$3:$B$502,MATCH($D1951,고객목록!$A$3:$A$502,0)),""))</f>
        <v/>
      </c>
      <c r="F1951" s="13"/>
      <c r="G1951" s="13"/>
      <c r="H1951" s="14" t="str">
        <f aca="false">IF(OR($L1951="",$M1951=""),"",ROUND(($M1951-$L1951)/60,2))</f>
        <v/>
      </c>
      <c r="I1951" s="9"/>
      <c r="J1951" s="7"/>
      <c r="K1951" s="7"/>
      <c r="L1951" s="15" t="str">
        <f aca="false">IF($F1951="","",IF($F1951&lt;1,ROUND($F1951*1440,0),INT($F1951/100)*60+MOD($F1951,100)))</f>
        <v/>
      </c>
      <c r="M1951" s="15" t="str">
        <f aca="false">IF($G1951="","",IF($G1951&lt;1,ROUND($G1951*1440,0),INT($G1951/100)*60+MOD($G1951,100)))</f>
        <v/>
      </c>
      <c r="N1951" s="15" t="str">
        <f aca="false">IF(OR($A1951="",$B1951="",$L1951="",$M1951="",$J1951="취소"),"",IF(SUMPRODUCT(($A$3:$A$2002=$A1951)*($B$3:$B$2002=$B1951)*($J$3:$J$2002&lt;&gt;"취소")*($L$3:$L$2002&lt;&gt;"")*($M$3:$M$2002&lt;&gt;"")*($L$3:$L$2002&lt;$M1951)*($M$3:$M$2002&gt;$L1951))&gt;1,"중복","-"))</f>
        <v/>
      </c>
    </row>
    <row r="1952" customFormat="false" ht="15" hidden="false" customHeight="true" outlineLevel="0" collapsed="false">
      <c r="A1952" s="11"/>
      <c r="B1952" s="7"/>
      <c r="C1952" s="12" t="str">
        <f aca="false">IF($B1952="","",IFERROR(INDEX(자원목록!$B$3:$B$102,MATCH($B1952,자원목록!$A$3:$A$102,0)),"미등록자원"))</f>
        <v/>
      </c>
      <c r="D1952" s="7"/>
      <c r="E1952" s="12" t="str">
        <f aca="false">IF($D1952="","",IFERROR(INDEX(고객목록!$B$3:$B$502,MATCH($D1952,고객목록!$A$3:$A$502,0)),""))</f>
        <v/>
      </c>
      <c r="F1952" s="13"/>
      <c r="G1952" s="13"/>
      <c r="H1952" s="14" t="str">
        <f aca="false">IF(OR($L1952="",$M1952=""),"",ROUND(($M1952-$L1952)/60,2))</f>
        <v/>
      </c>
      <c r="I1952" s="9"/>
      <c r="J1952" s="7"/>
      <c r="K1952" s="7"/>
      <c r="L1952" s="15" t="str">
        <f aca="false">IF($F1952="","",IF($F1952&lt;1,ROUND($F1952*1440,0),INT($F1952/100)*60+MOD($F1952,100)))</f>
        <v/>
      </c>
      <c r="M1952" s="15" t="str">
        <f aca="false">IF($G1952="","",IF($G1952&lt;1,ROUND($G1952*1440,0),INT($G1952/100)*60+MOD($G1952,100)))</f>
        <v/>
      </c>
      <c r="N1952" s="15" t="str">
        <f aca="false">IF(OR($A1952="",$B1952="",$L1952="",$M1952="",$J1952="취소"),"",IF(SUMPRODUCT(($A$3:$A$2002=$A1952)*($B$3:$B$2002=$B1952)*($J$3:$J$2002&lt;&gt;"취소")*($L$3:$L$2002&lt;&gt;"")*($M$3:$M$2002&lt;&gt;"")*($L$3:$L$2002&lt;$M1952)*($M$3:$M$2002&gt;$L1952))&gt;1,"중복","-"))</f>
        <v/>
      </c>
    </row>
    <row r="1953" customFormat="false" ht="15" hidden="false" customHeight="true" outlineLevel="0" collapsed="false">
      <c r="A1953" s="11"/>
      <c r="B1953" s="7"/>
      <c r="C1953" s="12" t="str">
        <f aca="false">IF($B1953="","",IFERROR(INDEX(자원목록!$B$3:$B$102,MATCH($B1953,자원목록!$A$3:$A$102,0)),"미등록자원"))</f>
        <v/>
      </c>
      <c r="D1953" s="7"/>
      <c r="E1953" s="12" t="str">
        <f aca="false">IF($D1953="","",IFERROR(INDEX(고객목록!$B$3:$B$502,MATCH($D1953,고객목록!$A$3:$A$502,0)),""))</f>
        <v/>
      </c>
      <c r="F1953" s="13"/>
      <c r="G1953" s="13"/>
      <c r="H1953" s="14" t="str">
        <f aca="false">IF(OR($L1953="",$M1953=""),"",ROUND(($M1953-$L1953)/60,2))</f>
        <v/>
      </c>
      <c r="I1953" s="9"/>
      <c r="J1953" s="7"/>
      <c r="K1953" s="7"/>
      <c r="L1953" s="15" t="str">
        <f aca="false">IF($F1953="","",IF($F1953&lt;1,ROUND($F1953*1440,0),INT($F1953/100)*60+MOD($F1953,100)))</f>
        <v/>
      </c>
      <c r="M1953" s="15" t="str">
        <f aca="false">IF($G1953="","",IF($G1953&lt;1,ROUND($G1953*1440,0),INT($G1953/100)*60+MOD($G1953,100)))</f>
        <v/>
      </c>
      <c r="N1953" s="15" t="str">
        <f aca="false">IF(OR($A1953="",$B1953="",$L1953="",$M1953="",$J1953="취소"),"",IF(SUMPRODUCT(($A$3:$A$2002=$A1953)*($B$3:$B$2002=$B1953)*($J$3:$J$2002&lt;&gt;"취소")*($L$3:$L$2002&lt;&gt;"")*($M$3:$M$2002&lt;&gt;"")*($L$3:$L$2002&lt;$M1953)*($M$3:$M$2002&gt;$L1953))&gt;1,"중복","-"))</f>
        <v/>
      </c>
    </row>
    <row r="1954" customFormat="false" ht="15" hidden="false" customHeight="true" outlineLevel="0" collapsed="false">
      <c r="A1954" s="11"/>
      <c r="B1954" s="7"/>
      <c r="C1954" s="12" t="str">
        <f aca="false">IF($B1954="","",IFERROR(INDEX(자원목록!$B$3:$B$102,MATCH($B1954,자원목록!$A$3:$A$102,0)),"미등록자원"))</f>
        <v/>
      </c>
      <c r="D1954" s="7"/>
      <c r="E1954" s="12" t="str">
        <f aca="false">IF($D1954="","",IFERROR(INDEX(고객목록!$B$3:$B$502,MATCH($D1954,고객목록!$A$3:$A$502,0)),""))</f>
        <v/>
      </c>
      <c r="F1954" s="13"/>
      <c r="G1954" s="13"/>
      <c r="H1954" s="14" t="str">
        <f aca="false">IF(OR($L1954="",$M1954=""),"",ROUND(($M1954-$L1954)/60,2))</f>
        <v/>
      </c>
      <c r="I1954" s="9"/>
      <c r="J1954" s="7"/>
      <c r="K1954" s="7"/>
      <c r="L1954" s="15" t="str">
        <f aca="false">IF($F1954="","",IF($F1954&lt;1,ROUND($F1954*1440,0),INT($F1954/100)*60+MOD($F1954,100)))</f>
        <v/>
      </c>
      <c r="M1954" s="15" t="str">
        <f aca="false">IF($G1954="","",IF($G1954&lt;1,ROUND($G1954*1440,0),INT($G1954/100)*60+MOD($G1954,100)))</f>
        <v/>
      </c>
      <c r="N1954" s="15" t="str">
        <f aca="false">IF(OR($A1954="",$B1954="",$L1954="",$M1954="",$J1954="취소"),"",IF(SUMPRODUCT(($A$3:$A$2002=$A1954)*($B$3:$B$2002=$B1954)*($J$3:$J$2002&lt;&gt;"취소")*($L$3:$L$2002&lt;&gt;"")*($M$3:$M$2002&lt;&gt;"")*($L$3:$L$2002&lt;$M1954)*($M$3:$M$2002&gt;$L1954))&gt;1,"중복","-"))</f>
        <v/>
      </c>
    </row>
    <row r="1955" customFormat="false" ht="15" hidden="false" customHeight="true" outlineLevel="0" collapsed="false">
      <c r="A1955" s="11"/>
      <c r="B1955" s="7"/>
      <c r="C1955" s="12" t="str">
        <f aca="false">IF($B1955="","",IFERROR(INDEX(자원목록!$B$3:$B$102,MATCH($B1955,자원목록!$A$3:$A$102,0)),"미등록자원"))</f>
        <v/>
      </c>
      <c r="D1955" s="7"/>
      <c r="E1955" s="12" t="str">
        <f aca="false">IF($D1955="","",IFERROR(INDEX(고객목록!$B$3:$B$502,MATCH($D1955,고객목록!$A$3:$A$502,0)),""))</f>
        <v/>
      </c>
      <c r="F1955" s="13"/>
      <c r="G1955" s="13"/>
      <c r="H1955" s="14" t="str">
        <f aca="false">IF(OR($L1955="",$M1955=""),"",ROUND(($M1955-$L1955)/60,2))</f>
        <v/>
      </c>
      <c r="I1955" s="9"/>
      <c r="J1955" s="7"/>
      <c r="K1955" s="7"/>
      <c r="L1955" s="15" t="str">
        <f aca="false">IF($F1955="","",IF($F1955&lt;1,ROUND($F1955*1440,0),INT($F1955/100)*60+MOD($F1955,100)))</f>
        <v/>
      </c>
      <c r="M1955" s="15" t="str">
        <f aca="false">IF($G1955="","",IF($G1955&lt;1,ROUND($G1955*1440,0),INT($G1955/100)*60+MOD($G1955,100)))</f>
        <v/>
      </c>
      <c r="N1955" s="15" t="str">
        <f aca="false">IF(OR($A1955="",$B1955="",$L1955="",$M1955="",$J1955="취소"),"",IF(SUMPRODUCT(($A$3:$A$2002=$A1955)*($B$3:$B$2002=$B1955)*($J$3:$J$2002&lt;&gt;"취소")*($L$3:$L$2002&lt;&gt;"")*($M$3:$M$2002&lt;&gt;"")*($L$3:$L$2002&lt;$M1955)*($M$3:$M$2002&gt;$L1955))&gt;1,"중복","-"))</f>
        <v/>
      </c>
    </row>
    <row r="1956" customFormat="false" ht="15" hidden="false" customHeight="true" outlineLevel="0" collapsed="false">
      <c r="A1956" s="11"/>
      <c r="B1956" s="7"/>
      <c r="C1956" s="12" t="str">
        <f aca="false">IF($B1956="","",IFERROR(INDEX(자원목록!$B$3:$B$102,MATCH($B1956,자원목록!$A$3:$A$102,0)),"미등록자원"))</f>
        <v/>
      </c>
      <c r="D1956" s="7"/>
      <c r="E1956" s="12" t="str">
        <f aca="false">IF($D1956="","",IFERROR(INDEX(고객목록!$B$3:$B$502,MATCH($D1956,고객목록!$A$3:$A$502,0)),""))</f>
        <v/>
      </c>
      <c r="F1956" s="13"/>
      <c r="G1956" s="13"/>
      <c r="H1956" s="14" t="str">
        <f aca="false">IF(OR($L1956="",$M1956=""),"",ROUND(($M1956-$L1956)/60,2))</f>
        <v/>
      </c>
      <c r="I1956" s="9"/>
      <c r="J1956" s="7"/>
      <c r="K1956" s="7"/>
      <c r="L1956" s="15" t="str">
        <f aca="false">IF($F1956="","",IF($F1956&lt;1,ROUND($F1956*1440,0),INT($F1956/100)*60+MOD($F1956,100)))</f>
        <v/>
      </c>
      <c r="M1956" s="15" t="str">
        <f aca="false">IF($G1956="","",IF($G1956&lt;1,ROUND($G1956*1440,0),INT($G1956/100)*60+MOD($G1956,100)))</f>
        <v/>
      </c>
      <c r="N1956" s="15" t="str">
        <f aca="false">IF(OR($A1956="",$B1956="",$L1956="",$M1956="",$J1956="취소"),"",IF(SUMPRODUCT(($A$3:$A$2002=$A1956)*($B$3:$B$2002=$B1956)*($J$3:$J$2002&lt;&gt;"취소")*($L$3:$L$2002&lt;&gt;"")*($M$3:$M$2002&lt;&gt;"")*($L$3:$L$2002&lt;$M1956)*($M$3:$M$2002&gt;$L1956))&gt;1,"중복","-"))</f>
        <v/>
      </c>
    </row>
    <row r="1957" customFormat="false" ht="15" hidden="false" customHeight="true" outlineLevel="0" collapsed="false">
      <c r="A1957" s="11"/>
      <c r="B1957" s="7"/>
      <c r="C1957" s="12" t="str">
        <f aca="false">IF($B1957="","",IFERROR(INDEX(자원목록!$B$3:$B$102,MATCH($B1957,자원목록!$A$3:$A$102,0)),"미등록자원"))</f>
        <v/>
      </c>
      <c r="D1957" s="7"/>
      <c r="E1957" s="12" t="str">
        <f aca="false">IF($D1957="","",IFERROR(INDEX(고객목록!$B$3:$B$502,MATCH($D1957,고객목록!$A$3:$A$502,0)),""))</f>
        <v/>
      </c>
      <c r="F1957" s="13"/>
      <c r="G1957" s="13"/>
      <c r="H1957" s="14" t="str">
        <f aca="false">IF(OR($L1957="",$M1957=""),"",ROUND(($M1957-$L1957)/60,2))</f>
        <v/>
      </c>
      <c r="I1957" s="9"/>
      <c r="J1957" s="7"/>
      <c r="K1957" s="7"/>
      <c r="L1957" s="15" t="str">
        <f aca="false">IF($F1957="","",IF($F1957&lt;1,ROUND($F1957*1440,0),INT($F1957/100)*60+MOD($F1957,100)))</f>
        <v/>
      </c>
      <c r="M1957" s="15" t="str">
        <f aca="false">IF($G1957="","",IF($G1957&lt;1,ROUND($G1957*1440,0),INT($G1957/100)*60+MOD($G1957,100)))</f>
        <v/>
      </c>
      <c r="N1957" s="15" t="str">
        <f aca="false">IF(OR($A1957="",$B1957="",$L1957="",$M1957="",$J1957="취소"),"",IF(SUMPRODUCT(($A$3:$A$2002=$A1957)*($B$3:$B$2002=$B1957)*($J$3:$J$2002&lt;&gt;"취소")*($L$3:$L$2002&lt;&gt;"")*($M$3:$M$2002&lt;&gt;"")*($L$3:$L$2002&lt;$M1957)*($M$3:$M$2002&gt;$L1957))&gt;1,"중복","-"))</f>
        <v/>
      </c>
    </row>
    <row r="1958" customFormat="false" ht="15" hidden="false" customHeight="true" outlineLevel="0" collapsed="false">
      <c r="A1958" s="11"/>
      <c r="B1958" s="7"/>
      <c r="C1958" s="12" t="str">
        <f aca="false">IF($B1958="","",IFERROR(INDEX(자원목록!$B$3:$B$102,MATCH($B1958,자원목록!$A$3:$A$102,0)),"미등록자원"))</f>
        <v/>
      </c>
      <c r="D1958" s="7"/>
      <c r="E1958" s="12" t="str">
        <f aca="false">IF($D1958="","",IFERROR(INDEX(고객목록!$B$3:$B$502,MATCH($D1958,고객목록!$A$3:$A$502,0)),""))</f>
        <v/>
      </c>
      <c r="F1958" s="13"/>
      <c r="G1958" s="13"/>
      <c r="H1958" s="14" t="str">
        <f aca="false">IF(OR($L1958="",$M1958=""),"",ROUND(($M1958-$L1958)/60,2))</f>
        <v/>
      </c>
      <c r="I1958" s="9"/>
      <c r="J1958" s="7"/>
      <c r="K1958" s="7"/>
      <c r="L1958" s="15" t="str">
        <f aca="false">IF($F1958="","",IF($F1958&lt;1,ROUND($F1958*1440,0),INT($F1958/100)*60+MOD($F1958,100)))</f>
        <v/>
      </c>
      <c r="M1958" s="15" t="str">
        <f aca="false">IF($G1958="","",IF($G1958&lt;1,ROUND($G1958*1440,0),INT($G1958/100)*60+MOD($G1958,100)))</f>
        <v/>
      </c>
      <c r="N1958" s="15" t="str">
        <f aca="false">IF(OR($A1958="",$B1958="",$L1958="",$M1958="",$J1958="취소"),"",IF(SUMPRODUCT(($A$3:$A$2002=$A1958)*($B$3:$B$2002=$B1958)*($J$3:$J$2002&lt;&gt;"취소")*($L$3:$L$2002&lt;&gt;"")*($M$3:$M$2002&lt;&gt;"")*($L$3:$L$2002&lt;$M1958)*($M$3:$M$2002&gt;$L1958))&gt;1,"중복","-"))</f>
        <v/>
      </c>
    </row>
    <row r="1959" customFormat="false" ht="15" hidden="false" customHeight="true" outlineLevel="0" collapsed="false">
      <c r="A1959" s="11"/>
      <c r="B1959" s="7"/>
      <c r="C1959" s="12" t="str">
        <f aca="false">IF($B1959="","",IFERROR(INDEX(자원목록!$B$3:$B$102,MATCH($B1959,자원목록!$A$3:$A$102,0)),"미등록자원"))</f>
        <v/>
      </c>
      <c r="D1959" s="7"/>
      <c r="E1959" s="12" t="str">
        <f aca="false">IF($D1959="","",IFERROR(INDEX(고객목록!$B$3:$B$502,MATCH($D1959,고객목록!$A$3:$A$502,0)),""))</f>
        <v/>
      </c>
      <c r="F1959" s="13"/>
      <c r="G1959" s="13"/>
      <c r="H1959" s="14" t="str">
        <f aca="false">IF(OR($L1959="",$M1959=""),"",ROUND(($M1959-$L1959)/60,2))</f>
        <v/>
      </c>
      <c r="I1959" s="9"/>
      <c r="J1959" s="7"/>
      <c r="K1959" s="7"/>
      <c r="L1959" s="15" t="str">
        <f aca="false">IF($F1959="","",IF($F1959&lt;1,ROUND($F1959*1440,0),INT($F1959/100)*60+MOD($F1959,100)))</f>
        <v/>
      </c>
      <c r="M1959" s="15" t="str">
        <f aca="false">IF($G1959="","",IF($G1959&lt;1,ROUND($G1959*1440,0),INT($G1959/100)*60+MOD($G1959,100)))</f>
        <v/>
      </c>
      <c r="N1959" s="15" t="str">
        <f aca="false">IF(OR($A1959="",$B1959="",$L1959="",$M1959="",$J1959="취소"),"",IF(SUMPRODUCT(($A$3:$A$2002=$A1959)*($B$3:$B$2002=$B1959)*($J$3:$J$2002&lt;&gt;"취소")*($L$3:$L$2002&lt;&gt;"")*($M$3:$M$2002&lt;&gt;"")*($L$3:$L$2002&lt;$M1959)*($M$3:$M$2002&gt;$L1959))&gt;1,"중복","-"))</f>
        <v/>
      </c>
    </row>
    <row r="1960" customFormat="false" ht="15" hidden="false" customHeight="true" outlineLevel="0" collapsed="false">
      <c r="A1960" s="11"/>
      <c r="B1960" s="7"/>
      <c r="C1960" s="12" t="str">
        <f aca="false">IF($B1960="","",IFERROR(INDEX(자원목록!$B$3:$B$102,MATCH($B1960,자원목록!$A$3:$A$102,0)),"미등록자원"))</f>
        <v/>
      </c>
      <c r="D1960" s="7"/>
      <c r="E1960" s="12" t="str">
        <f aca="false">IF($D1960="","",IFERROR(INDEX(고객목록!$B$3:$B$502,MATCH($D1960,고객목록!$A$3:$A$502,0)),""))</f>
        <v/>
      </c>
      <c r="F1960" s="13"/>
      <c r="G1960" s="13"/>
      <c r="H1960" s="14" t="str">
        <f aca="false">IF(OR($L1960="",$M1960=""),"",ROUND(($M1960-$L1960)/60,2))</f>
        <v/>
      </c>
      <c r="I1960" s="9"/>
      <c r="J1960" s="7"/>
      <c r="K1960" s="7"/>
      <c r="L1960" s="15" t="str">
        <f aca="false">IF($F1960="","",IF($F1960&lt;1,ROUND($F1960*1440,0),INT($F1960/100)*60+MOD($F1960,100)))</f>
        <v/>
      </c>
      <c r="M1960" s="15" t="str">
        <f aca="false">IF($G1960="","",IF($G1960&lt;1,ROUND($G1960*1440,0),INT($G1960/100)*60+MOD($G1960,100)))</f>
        <v/>
      </c>
      <c r="N1960" s="15" t="str">
        <f aca="false">IF(OR($A1960="",$B1960="",$L1960="",$M1960="",$J1960="취소"),"",IF(SUMPRODUCT(($A$3:$A$2002=$A1960)*($B$3:$B$2002=$B1960)*($J$3:$J$2002&lt;&gt;"취소")*($L$3:$L$2002&lt;&gt;"")*($M$3:$M$2002&lt;&gt;"")*($L$3:$L$2002&lt;$M1960)*($M$3:$M$2002&gt;$L1960))&gt;1,"중복","-"))</f>
        <v/>
      </c>
    </row>
    <row r="1961" customFormat="false" ht="15" hidden="false" customHeight="true" outlineLevel="0" collapsed="false">
      <c r="A1961" s="11"/>
      <c r="B1961" s="7"/>
      <c r="C1961" s="12" t="str">
        <f aca="false">IF($B1961="","",IFERROR(INDEX(자원목록!$B$3:$B$102,MATCH($B1961,자원목록!$A$3:$A$102,0)),"미등록자원"))</f>
        <v/>
      </c>
      <c r="D1961" s="7"/>
      <c r="E1961" s="12" t="str">
        <f aca="false">IF($D1961="","",IFERROR(INDEX(고객목록!$B$3:$B$502,MATCH($D1961,고객목록!$A$3:$A$502,0)),""))</f>
        <v/>
      </c>
      <c r="F1961" s="13"/>
      <c r="G1961" s="13"/>
      <c r="H1961" s="14" t="str">
        <f aca="false">IF(OR($L1961="",$M1961=""),"",ROUND(($M1961-$L1961)/60,2))</f>
        <v/>
      </c>
      <c r="I1961" s="9"/>
      <c r="J1961" s="7"/>
      <c r="K1961" s="7"/>
      <c r="L1961" s="15" t="str">
        <f aca="false">IF($F1961="","",IF($F1961&lt;1,ROUND($F1961*1440,0),INT($F1961/100)*60+MOD($F1961,100)))</f>
        <v/>
      </c>
      <c r="M1961" s="15" t="str">
        <f aca="false">IF($G1961="","",IF($G1961&lt;1,ROUND($G1961*1440,0),INT($G1961/100)*60+MOD($G1961,100)))</f>
        <v/>
      </c>
      <c r="N1961" s="15" t="str">
        <f aca="false">IF(OR($A1961="",$B1961="",$L1961="",$M1961="",$J1961="취소"),"",IF(SUMPRODUCT(($A$3:$A$2002=$A1961)*($B$3:$B$2002=$B1961)*($J$3:$J$2002&lt;&gt;"취소")*($L$3:$L$2002&lt;&gt;"")*($M$3:$M$2002&lt;&gt;"")*($L$3:$L$2002&lt;$M1961)*($M$3:$M$2002&gt;$L1961))&gt;1,"중복","-"))</f>
        <v/>
      </c>
    </row>
    <row r="1962" customFormat="false" ht="15" hidden="false" customHeight="true" outlineLevel="0" collapsed="false">
      <c r="A1962" s="11"/>
      <c r="B1962" s="7"/>
      <c r="C1962" s="12" t="str">
        <f aca="false">IF($B1962="","",IFERROR(INDEX(자원목록!$B$3:$B$102,MATCH($B1962,자원목록!$A$3:$A$102,0)),"미등록자원"))</f>
        <v/>
      </c>
      <c r="D1962" s="7"/>
      <c r="E1962" s="12" t="str">
        <f aca="false">IF($D1962="","",IFERROR(INDEX(고객목록!$B$3:$B$502,MATCH($D1962,고객목록!$A$3:$A$502,0)),""))</f>
        <v/>
      </c>
      <c r="F1962" s="13"/>
      <c r="G1962" s="13"/>
      <c r="H1962" s="14" t="str">
        <f aca="false">IF(OR($L1962="",$M1962=""),"",ROUND(($M1962-$L1962)/60,2))</f>
        <v/>
      </c>
      <c r="I1962" s="9"/>
      <c r="J1962" s="7"/>
      <c r="K1962" s="7"/>
      <c r="L1962" s="15" t="str">
        <f aca="false">IF($F1962="","",IF($F1962&lt;1,ROUND($F1962*1440,0),INT($F1962/100)*60+MOD($F1962,100)))</f>
        <v/>
      </c>
      <c r="M1962" s="15" t="str">
        <f aca="false">IF($G1962="","",IF($G1962&lt;1,ROUND($G1962*1440,0),INT($G1962/100)*60+MOD($G1962,100)))</f>
        <v/>
      </c>
      <c r="N1962" s="15" t="str">
        <f aca="false">IF(OR($A1962="",$B1962="",$L1962="",$M1962="",$J1962="취소"),"",IF(SUMPRODUCT(($A$3:$A$2002=$A1962)*($B$3:$B$2002=$B1962)*($J$3:$J$2002&lt;&gt;"취소")*($L$3:$L$2002&lt;&gt;"")*($M$3:$M$2002&lt;&gt;"")*($L$3:$L$2002&lt;$M1962)*($M$3:$M$2002&gt;$L1962))&gt;1,"중복","-"))</f>
        <v/>
      </c>
    </row>
    <row r="1963" customFormat="false" ht="15" hidden="false" customHeight="true" outlineLevel="0" collapsed="false">
      <c r="A1963" s="11"/>
      <c r="B1963" s="7"/>
      <c r="C1963" s="12" t="str">
        <f aca="false">IF($B1963="","",IFERROR(INDEX(자원목록!$B$3:$B$102,MATCH($B1963,자원목록!$A$3:$A$102,0)),"미등록자원"))</f>
        <v/>
      </c>
      <c r="D1963" s="7"/>
      <c r="E1963" s="12" t="str">
        <f aca="false">IF($D1963="","",IFERROR(INDEX(고객목록!$B$3:$B$502,MATCH($D1963,고객목록!$A$3:$A$502,0)),""))</f>
        <v/>
      </c>
      <c r="F1963" s="13"/>
      <c r="G1963" s="13"/>
      <c r="H1963" s="14" t="str">
        <f aca="false">IF(OR($L1963="",$M1963=""),"",ROUND(($M1963-$L1963)/60,2))</f>
        <v/>
      </c>
      <c r="I1963" s="9"/>
      <c r="J1963" s="7"/>
      <c r="K1963" s="7"/>
      <c r="L1963" s="15" t="str">
        <f aca="false">IF($F1963="","",IF($F1963&lt;1,ROUND($F1963*1440,0),INT($F1963/100)*60+MOD($F1963,100)))</f>
        <v/>
      </c>
      <c r="M1963" s="15" t="str">
        <f aca="false">IF($G1963="","",IF($G1963&lt;1,ROUND($G1963*1440,0),INT($G1963/100)*60+MOD($G1963,100)))</f>
        <v/>
      </c>
      <c r="N1963" s="15" t="str">
        <f aca="false">IF(OR($A1963="",$B1963="",$L1963="",$M1963="",$J1963="취소"),"",IF(SUMPRODUCT(($A$3:$A$2002=$A1963)*($B$3:$B$2002=$B1963)*($J$3:$J$2002&lt;&gt;"취소")*($L$3:$L$2002&lt;&gt;"")*($M$3:$M$2002&lt;&gt;"")*($L$3:$L$2002&lt;$M1963)*($M$3:$M$2002&gt;$L1963))&gt;1,"중복","-"))</f>
        <v/>
      </c>
    </row>
    <row r="1964" customFormat="false" ht="15" hidden="false" customHeight="true" outlineLevel="0" collapsed="false">
      <c r="A1964" s="11"/>
      <c r="B1964" s="7"/>
      <c r="C1964" s="12" t="str">
        <f aca="false">IF($B1964="","",IFERROR(INDEX(자원목록!$B$3:$B$102,MATCH($B1964,자원목록!$A$3:$A$102,0)),"미등록자원"))</f>
        <v/>
      </c>
      <c r="D1964" s="7"/>
      <c r="E1964" s="12" t="str">
        <f aca="false">IF($D1964="","",IFERROR(INDEX(고객목록!$B$3:$B$502,MATCH($D1964,고객목록!$A$3:$A$502,0)),""))</f>
        <v/>
      </c>
      <c r="F1964" s="13"/>
      <c r="G1964" s="13"/>
      <c r="H1964" s="14" t="str">
        <f aca="false">IF(OR($L1964="",$M1964=""),"",ROUND(($M1964-$L1964)/60,2))</f>
        <v/>
      </c>
      <c r="I1964" s="9"/>
      <c r="J1964" s="7"/>
      <c r="K1964" s="7"/>
      <c r="L1964" s="15" t="str">
        <f aca="false">IF($F1964="","",IF($F1964&lt;1,ROUND($F1964*1440,0),INT($F1964/100)*60+MOD($F1964,100)))</f>
        <v/>
      </c>
      <c r="M1964" s="15" t="str">
        <f aca="false">IF($G1964="","",IF($G1964&lt;1,ROUND($G1964*1440,0),INT($G1964/100)*60+MOD($G1964,100)))</f>
        <v/>
      </c>
      <c r="N1964" s="15" t="str">
        <f aca="false">IF(OR($A1964="",$B1964="",$L1964="",$M1964="",$J1964="취소"),"",IF(SUMPRODUCT(($A$3:$A$2002=$A1964)*($B$3:$B$2002=$B1964)*($J$3:$J$2002&lt;&gt;"취소")*($L$3:$L$2002&lt;&gt;"")*($M$3:$M$2002&lt;&gt;"")*($L$3:$L$2002&lt;$M1964)*($M$3:$M$2002&gt;$L1964))&gt;1,"중복","-"))</f>
        <v/>
      </c>
    </row>
    <row r="1965" customFormat="false" ht="15" hidden="false" customHeight="true" outlineLevel="0" collapsed="false">
      <c r="A1965" s="11"/>
      <c r="B1965" s="7"/>
      <c r="C1965" s="12" t="str">
        <f aca="false">IF($B1965="","",IFERROR(INDEX(자원목록!$B$3:$B$102,MATCH($B1965,자원목록!$A$3:$A$102,0)),"미등록자원"))</f>
        <v/>
      </c>
      <c r="D1965" s="7"/>
      <c r="E1965" s="12" t="str">
        <f aca="false">IF($D1965="","",IFERROR(INDEX(고객목록!$B$3:$B$502,MATCH($D1965,고객목록!$A$3:$A$502,0)),""))</f>
        <v/>
      </c>
      <c r="F1965" s="13"/>
      <c r="G1965" s="13"/>
      <c r="H1965" s="14" t="str">
        <f aca="false">IF(OR($L1965="",$M1965=""),"",ROUND(($M1965-$L1965)/60,2))</f>
        <v/>
      </c>
      <c r="I1965" s="9"/>
      <c r="J1965" s="7"/>
      <c r="K1965" s="7"/>
      <c r="L1965" s="15" t="str">
        <f aca="false">IF($F1965="","",IF($F1965&lt;1,ROUND($F1965*1440,0),INT($F1965/100)*60+MOD($F1965,100)))</f>
        <v/>
      </c>
      <c r="M1965" s="15" t="str">
        <f aca="false">IF($G1965="","",IF($G1965&lt;1,ROUND($G1965*1440,0),INT($G1965/100)*60+MOD($G1965,100)))</f>
        <v/>
      </c>
      <c r="N1965" s="15" t="str">
        <f aca="false">IF(OR($A1965="",$B1965="",$L1965="",$M1965="",$J1965="취소"),"",IF(SUMPRODUCT(($A$3:$A$2002=$A1965)*($B$3:$B$2002=$B1965)*($J$3:$J$2002&lt;&gt;"취소")*($L$3:$L$2002&lt;&gt;"")*($M$3:$M$2002&lt;&gt;"")*($L$3:$L$2002&lt;$M1965)*($M$3:$M$2002&gt;$L1965))&gt;1,"중복","-"))</f>
        <v/>
      </c>
    </row>
    <row r="1966" customFormat="false" ht="15" hidden="false" customHeight="true" outlineLevel="0" collapsed="false">
      <c r="A1966" s="11"/>
      <c r="B1966" s="7"/>
      <c r="C1966" s="12" t="str">
        <f aca="false">IF($B1966="","",IFERROR(INDEX(자원목록!$B$3:$B$102,MATCH($B1966,자원목록!$A$3:$A$102,0)),"미등록자원"))</f>
        <v/>
      </c>
      <c r="D1966" s="7"/>
      <c r="E1966" s="12" t="str">
        <f aca="false">IF($D1966="","",IFERROR(INDEX(고객목록!$B$3:$B$502,MATCH($D1966,고객목록!$A$3:$A$502,0)),""))</f>
        <v/>
      </c>
      <c r="F1966" s="13"/>
      <c r="G1966" s="13"/>
      <c r="H1966" s="14" t="str">
        <f aca="false">IF(OR($L1966="",$M1966=""),"",ROUND(($M1966-$L1966)/60,2))</f>
        <v/>
      </c>
      <c r="I1966" s="9"/>
      <c r="J1966" s="7"/>
      <c r="K1966" s="7"/>
      <c r="L1966" s="15" t="str">
        <f aca="false">IF($F1966="","",IF($F1966&lt;1,ROUND($F1966*1440,0),INT($F1966/100)*60+MOD($F1966,100)))</f>
        <v/>
      </c>
      <c r="M1966" s="15" t="str">
        <f aca="false">IF($G1966="","",IF($G1966&lt;1,ROUND($G1966*1440,0),INT($G1966/100)*60+MOD($G1966,100)))</f>
        <v/>
      </c>
      <c r="N1966" s="15" t="str">
        <f aca="false">IF(OR($A1966="",$B1966="",$L1966="",$M1966="",$J1966="취소"),"",IF(SUMPRODUCT(($A$3:$A$2002=$A1966)*($B$3:$B$2002=$B1966)*($J$3:$J$2002&lt;&gt;"취소")*($L$3:$L$2002&lt;&gt;"")*($M$3:$M$2002&lt;&gt;"")*($L$3:$L$2002&lt;$M1966)*($M$3:$M$2002&gt;$L1966))&gt;1,"중복","-"))</f>
        <v/>
      </c>
    </row>
    <row r="1967" customFormat="false" ht="15" hidden="false" customHeight="true" outlineLevel="0" collapsed="false">
      <c r="A1967" s="11"/>
      <c r="B1967" s="7"/>
      <c r="C1967" s="12" t="str">
        <f aca="false">IF($B1967="","",IFERROR(INDEX(자원목록!$B$3:$B$102,MATCH($B1967,자원목록!$A$3:$A$102,0)),"미등록자원"))</f>
        <v/>
      </c>
      <c r="D1967" s="7"/>
      <c r="E1967" s="12" t="str">
        <f aca="false">IF($D1967="","",IFERROR(INDEX(고객목록!$B$3:$B$502,MATCH($D1967,고객목록!$A$3:$A$502,0)),""))</f>
        <v/>
      </c>
      <c r="F1967" s="13"/>
      <c r="G1967" s="13"/>
      <c r="H1967" s="14" t="str">
        <f aca="false">IF(OR($L1967="",$M1967=""),"",ROUND(($M1967-$L1967)/60,2))</f>
        <v/>
      </c>
      <c r="I1967" s="9"/>
      <c r="J1967" s="7"/>
      <c r="K1967" s="7"/>
      <c r="L1967" s="15" t="str">
        <f aca="false">IF($F1967="","",IF($F1967&lt;1,ROUND($F1967*1440,0),INT($F1967/100)*60+MOD($F1967,100)))</f>
        <v/>
      </c>
      <c r="M1967" s="15" t="str">
        <f aca="false">IF($G1967="","",IF($G1967&lt;1,ROUND($G1967*1440,0),INT($G1967/100)*60+MOD($G1967,100)))</f>
        <v/>
      </c>
      <c r="N1967" s="15" t="str">
        <f aca="false">IF(OR($A1967="",$B1967="",$L1967="",$M1967="",$J1967="취소"),"",IF(SUMPRODUCT(($A$3:$A$2002=$A1967)*($B$3:$B$2002=$B1967)*($J$3:$J$2002&lt;&gt;"취소")*($L$3:$L$2002&lt;&gt;"")*($M$3:$M$2002&lt;&gt;"")*($L$3:$L$2002&lt;$M1967)*($M$3:$M$2002&gt;$L1967))&gt;1,"중복","-"))</f>
        <v/>
      </c>
    </row>
    <row r="1968" customFormat="false" ht="15" hidden="false" customHeight="true" outlineLevel="0" collapsed="false">
      <c r="A1968" s="11"/>
      <c r="B1968" s="7"/>
      <c r="C1968" s="12" t="str">
        <f aca="false">IF($B1968="","",IFERROR(INDEX(자원목록!$B$3:$B$102,MATCH($B1968,자원목록!$A$3:$A$102,0)),"미등록자원"))</f>
        <v/>
      </c>
      <c r="D1968" s="7"/>
      <c r="E1968" s="12" t="str">
        <f aca="false">IF($D1968="","",IFERROR(INDEX(고객목록!$B$3:$B$502,MATCH($D1968,고객목록!$A$3:$A$502,0)),""))</f>
        <v/>
      </c>
      <c r="F1968" s="13"/>
      <c r="G1968" s="13"/>
      <c r="H1968" s="14" t="str">
        <f aca="false">IF(OR($L1968="",$M1968=""),"",ROUND(($M1968-$L1968)/60,2))</f>
        <v/>
      </c>
      <c r="I1968" s="9"/>
      <c r="J1968" s="7"/>
      <c r="K1968" s="7"/>
      <c r="L1968" s="15" t="str">
        <f aca="false">IF($F1968="","",IF($F1968&lt;1,ROUND($F1968*1440,0),INT($F1968/100)*60+MOD($F1968,100)))</f>
        <v/>
      </c>
      <c r="M1968" s="15" t="str">
        <f aca="false">IF($G1968="","",IF($G1968&lt;1,ROUND($G1968*1440,0),INT($G1968/100)*60+MOD($G1968,100)))</f>
        <v/>
      </c>
      <c r="N1968" s="15" t="str">
        <f aca="false">IF(OR($A1968="",$B1968="",$L1968="",$M1968="",$J1968="취소"),"",IF(SUMPRODUCT(($A$3:$A$2002=$A1968)*($B$3:$B$2002=$B1968)*($J$3:$J$2002&lt;&gt;"취소")*($L$3:$L$2002&lt;&gt;"")*($M$3:$M$2002&lt;&gt;"")*($L$3:$L$2002&lt;$M1968)*($M$3:$M$2002&gt;$L1968))&gt;1,"중복","-"))</f>
        <v/>
      </c>
    </row>
    <row r="1969" customFormat="false" ht="15" hidden="false" customHeight="true" outlineLevel="0" collapsed="false">
      <c r="A1969" s="11"/>
      <c r="B1969" s="7"/>
      <c r="C1969" s="12" t="str">
        <f aca="false">IF($B1969="","",IFERROR(INDEX(자원목록!$B$3:$B$102,MATCH($B1969,자원목록!$A$3:$A$102,0)),"미등록자원"))</f>
        <v/>
      </c>
      <c r="D1969" s="7"/>
      <c r="E1969" s="12" t="str">
        <f aca="false">IF($D1969="","",IFERROR(INDEX(고객목록!$B$3:$B$502,MATCH($D1969,고객목록!$A$3:$A$502,0)),""))</f>
        <v/>
      </c>
      <c r="F1969" s="13"/>
      <c r="G1969" s="13"/>
      <c r="H1969" s="14" t="str">
        <f aca="false">IF(OR($L1969="",$M1969=""),"",ROUND(($M1969-$L1969)/60,2))</f>
        <v/>
      </c>
      <c r="I1969" s="9"/>
      <c r="J1969" s="7"/>
      <c r="K1969" s="7"/>
      <c r="L1969" s="15" t="str">
        <f aca="false">IF($F1969="","",IF($F1969&lt;1,ROUND($F1969*1440,0),INT($F1969/100)*60+MOD($F1969,100)))</f>
        <v/>
      </c>
      <c r="M1969" s="15" t="str">
        <f aca="false">IF($G1969="","",IF($G1969&lt;1,ROUND($G1969*1440,0),INT($G1969/100)*60+MOD($G1969,100)))</f>
        <v/>
      </c>
      <c r="N1969" s="15" t="str">
        <f aca="false">IF(OR($A1969="",$B1969="",$L1969="",$M1969="",$J1969="취소"),"",IF(SUMPRODUCT(($A$3:$A$2002=$A1969)*($B$3:$B$2002=$B1969)*($J$3:$J$2002&lt;&gt;"취소")*($L$3:$L$2002&lt;&gt;"")*($M$3:$M$2002&lt;&gt;"")*($L$3:$L$2002&lt;$M1969)*($M$3:$M$2002&gt;$L1969))&gt;1,"중복","-"))</f>
        <v/>
      </c>
    </row>
    <row r="1970" customFormat="false" ht="15" hidden="false" customHeight="true" outlineLevel="0" collapsed="false">
      <c r="A1970" s="11"/>
      <c r="B1970" s="7"/>
      <c r="C1970" s="12" t="str">
        <f aca="false">IF($B1970="","",IFERROR(INDEX(자원목록!$B$3:$B$102,MATCH($B1970,자원목록!$A$3:$A$102,0)),"미등록자원"))</f>
        <v/>
      </c>
      <c r="D1970" s="7"/>
      <c r="E1970" s="12" t="str">
        <f aca="false">IF($D1970="","",IFERROR(INDEX(고객목록!$B$3:$B$502,MATCH($D1970,고객목록!$A$3:$A$502,0)),""))</f>
        <v/>
      </c>
      <c r="F1970" s="13"/>
      <c r="G1970" s="13"/>
      <c r="H1970" s="14" t="str">
        <f aca="false">IF(OR($L1970="",$M1970=""),"",ROUND(($M1970-$L1970)/60,2))</f>
        <v/>
      </c>
      <c r="I1970" s="9"/>
      <c r="J1970" s="7"/>
      <c r="K1970" s="7"/>
      <c r="L1970" s="15" t="str">
        <f aca="false">IF($F1970="","",IF($F1970&lt;1,ROUND($F1970*1440,0),INT($F1970/100)*60+MOD($F1970,100)))</f>
        <v/>
      </c>
      <c r="M1970" s="15" t="str">
        <f aca="false">IF($G1970="","",IF($G1970&lt;1,ROUND($G1970*1440,0),INT($G1970/100)*60+MOD($G1970,100)))</f>
        <v/>
      </c>
      <c r="N1970" s="15" t="str">
        <f aca="false">IF(OR($A1970="",$B1970="",$L1970="",$M1970="",$J1970="취소"),"",IF(SUMPRODUCT(($A$3:$A$2002=$A1970)*($B$3:$B$2002=$B1970)*($J$3:$J$2002&lt;&gt;"취소")*($L$3:$L$2002&lt;&gt;"")*($M$3:$M$2002&lt;&gt;"")*($L$3:$L$2002&lt;$M1970)*($M$3:$M$2002&gt;$L1970))&gt;1,"중복","-"))</f>
        <v/>
      </c>
    </row>
    <row r="1971" customFormat="false" ht="15" hidden="false" customHeight="true" outlineLevel="0" collapsed="false">
      <c r="A1971" s="11"/>
      <c r="B1971" s="7"/>
      <c r="C1971" s="12" t="str">
        <f aca="false">IF($B1971="","",IFERROR(INDEX(자원목록!$B$3:$B$102,MATCH($B1971,자원목록!$A$3:$A$102,0)),"미등록자원"))</f>
        <v/>
      </c>
      <c r="D1971" s="7"/>
      <c r="E1971" s="12" t="str">
        <f aca="false">IF($D1971="","",IFERROR(INDEX(고객목록!$B$3:$B$502,MATCH($D1971,고객목록!$A$3:$A$502,0)),""))</f>
        <v/>
      </c>
      <c r="F1971" s="13"/>
      <c r="G1971" s="13"/>
      <c r="H1971" s="14" t="str">
        <f aca="false">IF(OR($L1971="",$M1971=""),"",ROUND(($M1971-$L1971)/60,2))</f>
        <v/>
      </c>
      <c r="I1971" s="9"/>
      <c r="J1971" s="7"/>
      <c r="K1971" s="7"/>
      <c r="L1971" s="15" t="str">
        <f aca="false">IF($F1971="","",IF($F1971&lt;1,ROUND($F1971*1440,0),INT($F1971/100)*60+MOD($F1971,100)))</f>
        <v/>
      </c>
      <c r="M1971" s="15" t="str">
        <f aca="false">IF($G1971="","",IF($G1971&lt;1,ROUND($G1971*1440,0),INT($G1971/100)*60+MOD($G1971,100)))</f>
        <v/>
      </c>
      <c r="N1971" s="15" t="str">
        <f aca="false">IF(OR($A1971="",$B1971="",$L1971="",$M1971="",$J1971="취소"),"",IF(SUMPRODUCT(($A$3:$A$2002=$A1971)*($B$3:$B$2002=$B1971)*($J$3:$J$2002&lt;&gt;"취소")*($L$3:$L$2002&lt;&gt;"")*($M$3:$M$2002&lt;&gt;"")*($L$3:$L$2002&lt;$M1971)*($M$3:$M$2002&gt;$L1971))&gt;1,"중복","-"))</f>
        <v/>
      </c>
    </row>
    <row r="1972" customFormat="false" ht="15" hidden="false" customHeight="true" outlineLevel="0" collapsed="false">
      <c r="A1972" s="11"/>
      <c r="B1972" s="7"/>
      <c r="C1972" s="12" t="str">
        <f aca="false">IF($B1972="","",IFERROR(INDEX(자원목록!$B$3:$B$102,MATCH($B1972,자원목록!$A$3:$A$102,0)),"미등록자원"))</f>
        <v/>
      </c>
      <c r="D1972" s="7"/>
      <c r="E1972" s="12" t="str">
        <f aca="false">IF($D1972="","",IFERROR(INDEX(고객목록!$B$3:$B$502,MATCH($D1972,고객목록!$A$3:$A$502,0)),""))</f>
        <v/>
      </c>
      <c r="F1972" s="13"/>
      <c r="G1972" s="13"/>
      <c r="H1972" s="14" t="str">
        <f aca="false">IF(OR($L1972="",$M1972=""),"",ROUND(($M1972-$L1972)/60,2))</f>
        <v/>
      </c>
      <c r="I1972" s="9"/>
      <c r="J1972" s="7"/>
      <c r="K1972" s="7"/>
      <c r="L1972" s="15" t="str">
        <f aca="false">IF($F1972="","",IF($F1972&lt;1,ROUND($F1972*1440,0),INT($F1972/100)*60+MOD($F1972,100)))</f>
        <v/>
      </c>
      <c r="M1972" s="15" t="str">
        <f aca="false">IF($G1972="","",IF($G1972&lt;1,ROUND($G1972*1440,0),INT($G1972/100)*60+MOD($G1972,100)))</f>
        <v/>
      </c>
      <c r="N1972" s="15" t="str">
        <f aca="false">IF(OR($A1972="",$B1972="",$L1972="",$M1972="",$J1972="취소"),"",IF(SUMPRODUCT(($A$3:$A$2002=$A1972)*($B$3:$B$2002=$B1972)*($J$3:$J$2002&lt;&gt;"취소")*($L$3:$L$2002&lt;&gt;"")*($M$3:$M$2002&lt;&gt;"")*($L$3:$L$2002&lt;$M1972)*($M$3:$M$2002&gt;$L1972))&gt;1,"중복","-"))</f>
        <v/>
      </c>
    </row>
    <row r="1973" customFormat="false" ht="15" hidden="false" customHeight="true" outlineLevel="0" collapsed="false">
      <c r="A1973" s="11"/>
      <c r="B1973" s="7"/>
      <c r="C1973" s="12" t="str">
        <f aca="false">IF($B1973="","",IFERROR(INDEX(자원목록!$B$3:$B$102,MATCH($B1973,자원목록!$A$3:$A$102,0)),"미등록자원"))</f>
        <v/>
      </c>
      <c r="D1973" s="7"/>
      <c r="E1973" s="12" t="str">
        <f aca="false">IF($D1973="","",IFERROR(INDEX(고객목록!$B$3:$B$502,MATCH($D1973,고객목록!$A$3:$A$502,0)),""))</f>
        <v/>
      </c>
      <c r="F1973" s="13"/>
      <c r="G1973" s="13"/>
      <c r="H1973" s="14" t="str">
        <f aca="false">IF(OR($L1973="",$M1973=""),"",ROUND(($M1973-$L1973)/60,2))</f>
        <v/>
      </c>
      <c r="I1973" s="9"/>
      <c r="J1973" s="7"/>
      <c r="K1973" s="7"/>
      <c r="L1973" s="15" t="str">
        <f aca="false">IF($F1973="","",IF($F1973&lt;1,ROUND($F1973*1440,0),INT($F1973/100)*60+MOD($F1973,100)))</f>
        <v/>
      </c>
      <c r="M1973" s="15" t="str">
        <f aca="false">IF($G1973="","",IF($G1973&lt;1,ROUND($G1973*1440,0),INT($G1973/100)*60+MOD($G1973,100)))</f>
        <v/>
      </c>
      <c r="N1973" s="15" t="str">
        <f aca="false">IF(OR($A1973="",$B1973="",$L1973="",$M1973="",$J1973="취소"),"",IF(SUMPRODUCT(($A$3:$A$2002=$A1973)*($B$3:$B$2002=$B1973)*($J$3:$J$2002&lt;&gt;"취소")*($L$3:$L$2002&lt;&gt;"")*($M$3:$M$2002&lt;&gt;"")*($L$3:$L$2002&lt;$M1973)*($M$3:$M$2002&gt;$L1973))&gt;1,"중복","-"))</f>
        <v/>
      </c>
    </row>
    <row r="1974" customFormat="false" ht="15" hidden="false" customHeight="true" outlineLevel="0" collapsed="false">
      <c r="A1974" s="11"/>
      <c r="B1974" s="7"/>
      <c r="C1974" s="12" t="str">
        <f aca="false">IF($B1974="","",IFERROR(INDEX(자원목록!$B$3:$B$102,MATCH($B1974,자원목록!$A$3:$A$102,0)),"미등록자원"))</f>
        <v/>
      </c>
      <c r="D1974" s="7"/>
      <c r="E1974" s="12" t="str">
        <f aca="false">IF($D1974="","",IFERROR(INDEX(고객목록!$B$3:$B$502,MATCH($D1974,고객목록!$A$3:$A$502,0)),""))</f>
        <v/>
      </c>
      <c r="F1974" s="13"/>
      <c r="G1974" s="13"/>
      <c r="H1974" s="14" t="str">
        <f aca="false">IF(OR($L1974="",$M1974=""),"",ROUND(($M1974-$L1974)/60,2))</f>
        <v/>
      </c>
      <c r="I1974" s="9"/>
      <c r="J1974" s="7"/>
      <c r="K1974" s="7"/>
      <c r="L1974" s="15" t="str">
        <f aca="false">IF($F1974="","",IF($F1974&lt;1,ROUND($F1974*1440,0),INT($F1974/100)*60+MOD($F1974,100)))</f>
        <v/>
      </c>
      <c r="M1974" s="15" t="str">
        <f aca="false">IF($G1974="","",IF($G1974&lt;1,ROUND($G1974*1440,0),INT($G1974/100)*60+MOD($G1974,100)))</f>
        <v/>
      </c>
      <c r="N1974" s="15" t="str">
        <f aca="false">IF(OR($A1974="",$B1974="",$L1974="",$M1974="",$J1974="취소"),"",IF(SUMPRODUCT(($A$3:$A$2002=$A1974)*($B$3:$B$2002=$B1974)*($J$3:$J$2002&lt;&gt;"취소")*($L$3:$L$2002&lt;&gt;"")*($M$3:$M$2002&lt;&gt;"")*($L$3:$L$2002&lt;$M1974)*($M$3:$M$2002&gt;$L1974))&gt;1,"중복","-"))</f>
        <v/>
      </c>
    </row>
    <row r="1975" customFormat="false" ht="15" hidden="false" customHeight="true" outlineLevel="0" collapsed="false">
      <c r="A1975" s="11"/>
      <c r="B1975" s="7"/>
      <c r="C1975" s="12" t="str">
        <f aca="false">IF($B1975="","",IFERROR(INDEX(자원목록!$B$3:$B$102,MATCH($B1975,자원목록!$A$3:$A$102,0)),"미등록자원"))</f>
        <v/>
      </c>
      <c r="D1975" s="7"/>
      <c r="E1975" s="12" t="str">
        <f aca="false">IF($D1975="","",IFERROR(INDEX(고객목록!$B$3:$B$502,MATCH($D1975,고객목록!$A$3:$A$502,0)),""))</f>
        <v/>
      </c>
      <c r="F1975" s="13"/>
      <c r="G1975" s="13"/>
      <c r="H1975" s="14" t="str">
        <f aca="false">IF(OR($L1975="",$M1975=""),"",ROUND(($M1975-$L1975)/60,2))</f>
        <v/>
      </c>
      <c r="I1975" s="9"/>
      <c r="J1975" s="7"/>
      <c r="K1975" s="7"/>
      <c r="L1975" s="15" t="str">
        <f aca="false">IF($F1975="","",IF($F1975&lt;1,ROUND($F1975*1440,0),INT($F1975/100)*60+MOD($F1975,100)))</f>
        <v/>
      </c>
      <c r="M1975" s="15" t="str">
        <f aca="false">IF($G1975="","",IF($G1975&lt;1,ROUND($G1975*1440,0),INT($G1975/100)*60+MOD($G1975,100)))</f>
        <v/>
      </c>
      <c r="N1975" s="15" t="str">
        <f aca="false">IF(OR($A1975="",$B1975="",$L1975="",$M1975="",$J1975="취소"),"",IF(SUMPRODUCT(($A$3:$A$2002=$A1975)*($B$3:$B$2002=$B1975)*($J$3:$J$2002&lt;&gt;"취소")*($L$3:$L$2002&lt;&gt;"")*($M$3:$M$2002&lt;&gt;"")*($L$3:$L$2002&lt;$M1975)*($M$3:$M$2002&gt;$L1975))&gt;1,"중복","-"))</f>
        <v/>
      </c>
    </row>
    <row r="1976" customFormat="false" ht="15" hidden="false" customHeight="true" outlineLevel="0" collapsed="false">
      <c r="A1976" s="11"/>
      <c r="B1976" s="7"/>
      <c r="C1976" s="12" t="str">
        <f aca="false">IF($B1976="","",IFERROR(INDEX(자원목록!$B$3:$B$102,MATCH($B1976,자원목록!$A$3:$A$102,0)),"미등록자원"))</f>
        <v/>
      </c>
      <c r="D1976" s="7"/>
      <c r="E1976" s="12" t="str">
        <f aca="false">IF($D1976="","",IFERROR(INDEX(고객목록!$B$3:$B$502,MATCH($D1976,고객목록!$A$3:$A$502,0)),""))</f>
        <v/>
      </c>
      <c r="F1976" s="13"/>
      <c r="G1976" s="13"/>
      <c r="H1976" s="14" t="str">
        <f aca="false">IF(OR($L1976="",$M1976=""),"",ROUND(($M1976-$L1976)/60,2))</f>
        <v/>
      </c>
      <c r="I1976" s="9"/>
      <c r="J1976" s="7"/>
      <c r="K1976" s="7"/>
      <c r="L1976" s="15" t="str">
        <f aca="false">IF($F1976="","",IF($F1976&lt;1,ROUND($F1976*1440,0),INT($F1976/100)*60+MOD($F1976,100)))</f>
        <v/>
      </c>
      <c r="M1976" s="15" t="str">
        <f aca="false">IF($G1976="","",IF($G1976&lt;1,ROUND($G1976*1440,0),INT($G1976/100)*60+MOD($G1976,100)))</f>
        <v/>
      </c>
      <c r="N1976" s="15" t="str">
        <f aca="false">IF(OR($A1976="",$B1976="",$L1976="",$M1976="",$J1976="취소"),"",IF(SUMPRODUCT(($A$3:$A$2002=$A1976)*($B$3:$B$2002=$B1976)*($J$3:$J$2002&lt;&gt;"취소")*($L$3:$L$2002&lt;&gt;"")*($M$3:$M$2002&lt;&gt;"")*($L$3:$L$2002&lt;$M1976)*($M$3:$M$2002&gt;$L1976))&gt;1,"중복","-"))</f>
        <v/>
      </c>
    </row>
    <row r="1977" customFormat="false" ht="15" hidden="false" customHeight="true" outlineLevel="0" collapsed="false">
      <c r="A1977" s="11"/>
      <c r="B1977" s="7"/>
      <c r="C1977" s="12" t="str">
        <f aca="false">IF($B1977="","",IFERROR(INDEX(자원목록!$B$3:$B$102,MATCH($B1977,자원목록!$A$3:$A$102,0)),"미등록자원"))</f>
        <v/>
      </c>
      <c r="D1977" s="7"/>
      <c r="E1977" s="12" t="str">
        <f aca="false">IF($D1977="","",IFERROR(INDEX(고객목록!$B$3:$B$502,MATCH($D1977,고객목록!$A$3:$A$502,0)),""))</f>
        <v/>
      </c>
      <c r="F1977" s="13"/>
      <c r="G1977" s="13"/>
      <c r="H1977" s="14" t="str">
        <f aca="false">IF(OR($L1977="",$M1977=""),"",ROUND(($M1977-$L1977)/60,2))</f>
        <v/>
      </c>
      <c r="I1977" s="9"/>
      <c r="J1977" s="7"/>
      <c r="K1977" s="7"/>
      <c r="L1977" s="15" t="str">
        <f aca="false">IF($F1977="","",IF($F1977&lt;1,ROUND($F1977*1440,0),INT($F1977/100)*60+MOD($F1977,100)))</f>
        <v/>
      </c>
      <c r="M1977" s="15" t="str">
        <f aca="false">IF($G1977="","",IF($G1977&lt;1,ROUND($G1977*1440,0),INT($G1977/100)*60+MOD($G1977,100)))</f>
        <v/>
      </c>
      <c r="N1977" s="15" t="str">
        <f aca="false">IF(OR($A1977="",$B1977="",$L1977="",$M1977="",$J1977="취소"),"",IF(SUMPRODUCT(($A$3:$A$2002=$A1977)*($B$3:$B$2002=$B1977)*($J$3:$J$2002&lt;&gt;"취소")*($L$3:$L$2002&lt;&gt;"")*($M$3:$M$2002&lt;&gt;"")*($L$3:$L$2002&lt;$M1977)*($M$3:$M$2002&gt;$L1977))&gt;1,"중복","-"))</f>
        <v/>
      </c>
    </row>
    <row r="1978" customFormat="false" ht="15" hidden="false" customHeight="true" outlineLevel="0" collapsed="false">
      <c r="A1978" s="11"/>
      <c r="B1978" s="7"/>
      <c r="C1978" s="12" t="str">
        <f aca="false">IF($B1978="","",IFERROR(INDEX(자원목록!$B$3:$B$102,MATCH($B1978,자원목록!$A$3:$A$102,0)),"미등록자원"))</f>
        <v/>
      </c>
      <c r="D1978" s="7"/>
      <c r="E1978" s="12" t="str">
        <f aca="false">IF($D1978="","",IFERROR(INDEX(고객목록!$B$3:$B$502,MATCH($D1978,고객목록!$A$3:$A$502,0)),""))</f>
        <v/>
      </c>
      <c r="F1978" s="13"/>
      <c r="G1978" s="13"/>
      <c r="H1978" s="14" t="str">
        <f aca="false">IF(OR($L1978="",$M1978=""),"",ROUND(($M1978-$L1978)/60,2))</f>
        <v/>
      </c>
      <c r="I1978" s="9"/>
      <c r="J1978" s="7"/>
      <c r="K1978" s="7"/>
      <c r="L1978" s="15" t="str">
        <f aca="false">IF($F1978="","",IF($F1978&lt;1,ROUND($F1978*1440,0),INT($F1978/100)*60+MOD($F1978,100)))</f>
        <v/>
      </c>
      <c r="M1978" s="15" t="str">
        <f aca="false">IF($G1978="","",IF($G1978&lt;1,ROUND($G1978*1440,0),INT($G1978/100)*60+MOD($G1978,100)))</f>
        <v/>
      </c>
      <c r="N1978" s="15" t="str">
        <f aca="false">IF(OR($A1978="",$B1978="",$L1978="",$M1978="",$J1978="취소"),"",IF(SUMPRODUCT(($A$3:$A$2002=$A1978)*($B$3:$B$2002=$B1978)*($J$3:$J$2002&lt;&gt;"취소")*($L$3:$L$2002&lt;&gt;"")*($M$3:$M$2002&lt;&gt;"")*($L$3:$L$2002&lt;$M1978)*($M$3:$M$2002&gt;$L1978))&gt;1,"중복","-"))</f>
        <v/>
      </c>
    </row>
    <row r="1979" customFormat="false" ht="15" hidden="false" customHeight="true" outlineLevel="0" collapsed="false">
      <c r="A1979" s="11"/>
      <c r="B1979" s="7"/>
      <c r="C1979" s="12" t="str">
        <f aca="false">IF($B1979="","",IFERROR(INDEX(자원목록!$B$3:$B$102,MATCH($B1979,자원목록!$A$3:$A$102,0)),"미등록자원"))</f>
        <v/>
      </c>
      <c r="D1979" s="7"/>
      <c r="E1979" s="12" t="str">
        <f aca="false">IF($D1979="","",IFERROR(INDEX(고객목록!$B$3:$B$502,MATCH($D1979,고객목록!$A$3:$A$502,0)),""))</f>
        <v/>
      </c>
      <c r="F1979" s="13"/>
      <c r="G1979" s="13"/>
      <c r="H1979" s="14" t="str">
        <f aca="false">IF(OR($L1979="",$M1979=""),"",ROUND(($M1979-$L1979)/60,2))</f>
        <v/>
      </c>
      <c r="I1979" s="9"/>
      <c r="J1979" s="7"/>
      <c r="K1979" s="7"/>
      <c r="L1979" s="15" t="str">
        <f aca="false">IF($F1979="","",IF($F1979&lt;1,ROUND($F1979*1440,0),INT($F1979/100)*60+MOD($F1979,100)))</f>
        <v/>
      </c>
      <c r="M1979" s="15" t="str">
        <f aca="false">IF($G1979="","",IF($G1979&lt;1,ROUND($G1979*1440,0),INT($G1979/100)*60+MOD($G1979,100)))</f>
        <v/>
      </c>
      <c r="N1979" s="15" t="str">
        <f aca="false">IF(OR($A1979="",$B1979="",$L1979="",$M1979="",$J1979="취소"),"",IF(SUMPRODUCT(($A$3:$A$2002=$A1979)*($B$3:$B$2002=$B1979)*($J$3:$J$2002&lt;&gt;"취소")*($L$3:$L$2002&lt;&gt;"")*($M$3:$M$2002&lt;&gt;"")*($L$3:$L$2002&lt;$M1979)*($M$3:$M$2002&gt;$L1979))&gt;1,"중복","-"))</f>
        <v/>
      </c>
    </row>
    <row r="1980" customFormat="false" ht="15" hidden="false" customHeight="true" outlineLevel="0" collapsed="false">
      <c r="A1980" s="11"/>
      <c r="B1980" s="7"/>
      <c r="C1980" s="12" t="str">
        <f aca="false">IF($B1980="","",IFERROR(INDEX(자원목록!$B$3:$B$102,MATCH($B1980,자원목록!$A$3:$A$102,0)),"미등록자원"))</f>
        <v/>
      </c>
      <c r="D1980" s="7"/>
      <c r="E1980" s="12" t="str">
        <f aca="false">IF($D1980="","",IFERROR(INDEX(고객목록!$B$3:$B$502,MATCH($D1980,고객목록!$A$3:$A$502,0)),""))</f>
        <v/>
      </c>
      <c r="F1980" s="13"/>
      <c r="G1980" s="13"/>
      <c r="H1980" s="14" t="str">
        <f aca="false">IF(OR($L1980="",$M1980=""),"",ROUND(($M1980-$L1980)/60,2))</f>
        <v/>
      </c>
      <c r="I1980" s="9"/>
      <c r="J1980" s="7"/>
      <c r="K1980" s="7"/>
      <c r="L1980" s="15" t="str">
        <f aca="false">IF($F1980="","",IF($F1980&lt;1,ROUND($F1980*1440,0),INT($F1980/100)*60+MOD($F1980,100)))</f>
        <v/>
      </c>
      <c r="M1980" s="15" t="str">
        <f aca="false">IF($G1980="","",IF($G1980&lt;1,ROUND($G1980*1440,0),INT($G1980/100)*60+MOD($G1980,100)))</f>
        <v/>
      </c>
      <c r="N1980" s="15" t="str">
        <f aca="false">IF(OR($A1980="",$B1980="",$L1980="",$M1980="",$J1980="취소"),"",IF(SUMPRODUCT(($A$3:$A$2002=$A1980)*($B$3:$B$2002=$B1980)*($J$3:$J$2002&lt;&gt;"취소")*($L$3:$L$2002&lt;&gt;"")*($M$3:$M$2002&lt;&gt;"")*($L$3:$L$2002&lt;$M1980)*($M$3:$M$2002&gt;$L1980))&gt;1,"중복","-"))</f>
        <v/>
      </c>
    </row>
    <row r="1981" customFormat="false" ht="15" hidden="false" customHeight="true" outlineLevel="0" collapsed="false">
      <c r="A1981" s="11"/>
      <c r="B1981" s="7"/>
      <c r="C1981" s="12" t="str">
        <f aca="false">IF($B1981="","",IFERROR(INDEX(자원목록!$B$3:$B$102,MATCH($B1981,자원목록!$A$3:$A$102,0)),"미등록자원"))</f>
        <v/>
      </c>
      <c r="D1981" s="7"/>
      <c r="E1981" s="12" t="str">
        <f aca="false">IF($D1981="","",IFERROR(INDEX(고객목록!$B$3:$B$502,MATCH($D1981,고객목록!$A$3:$A$502,0)),""))</f>
        <v/>
      </c>
      <c r="F1981" s="13"/>
      <c r="G1981" s="13"/>
      <c r="H1981" s="14" t="str">
        <f aca="false">IF(OR($L1981="",$M1981=""),"",ROUND(($M1981-$L1981)/60,2))</f>
        <v/>
      </c>
      <c r="I1981" s="9"/>
      <c r="J1981" s="7"/>
      <c r="K1981" s="7"/>
      <c r="L1981" s="15" t="str">
        <f aca="false">IF($F1981="","",IF($F1981&lt;1,ROUND($F1981*1440,0),INT($F1981/100)*60+MOD($F1981,100)))</f>
        <v/>
      </c>
      <c r="M1981" s="15" t="str">
        <f aca="false">IF($G1981="","",IF($G1981&lt;1,ROUND($G1981*1440,0),INT($G1981/100)*60+MOD($G1981,100)))</f>
        <v/>
      </c>
      <c r="N1981" s="15" t="str">
        <f aca="false">IF(OR($A1981="",$B1981="",$L1981="",$M1981="",$J1981="취소"),"",IF(SUMPRODUCT(($A$3:$A$2002=$A1981)*($B$3:$B$2002=$B1981)*($J$3:$J$2002&lt;&gt;"취소")*($L$3:$L$2002&lt;&gt;"")*($M$3:$M$2002&lt;&gt;"")*($L$3:$L$2002&lt;$M1981)*($M$3:$M$2002&gt;$L1981))&gt;1,"중복","-"))</f>
        <v/>
      </c>
    </row>
    <row r="1982" customFormat="false" ht="15" hidden="false" customHeight="true" outlineLevel="0" collapsed="false">
      <c r="A1982" s="11"/>
      <c r="B1982" s="7"/>
      <c r="C1982" s="12" t="str">
        <f aca="false">IF($B1982="","",IFERROR(INDEX(자원목록!$B$3:$B$102,MATCH($B1982,자원목록!$A$3:$A$102,0)),"미등록자원"))</f>
        <v/>
      </c>
      <c r="D1982" s="7"/>
      <c r="E1982" s="12" t="str">
        <f aca="false">IF($D1982="","",IFERROR(INDEX(고객목록!$B$3:$B$502,MATCH($D1982,고객목록!$A$3:$A$502,0)),""))</f>
        <v/>
      </c>
      <c r="F1982" s="13"/>
      <c r="G1982" s="13"/>
      <c r="H1982" s="14" t="str">
        <f aca="false">IF(OR($L1982="",$M1982=""),"",ROUND(($M1982-$L1982)/60,2))</f>
        <v/>
      </c>
      <c r="I1982" s="9"/>
      <c r="J1982" s="7"/>
      <c r="K1982" s="7"/>
      <c r="L1982" s="15" t="str">
        <f aca="false">IF($F1982="","",IF($F1982&lt;1,ROUND($F1982*1440,0),INT($F1982/100)*60+MOD($F1982,100)))</f>
        <v/>
      </c>
      <c r="M1982" s="15" t="str">
        <f aca="false">IF($G1982="","",IF($G1982&lt;1,ROUND($G1982*1440,0),INT($G1982/100)*60+MOD($G1982,100)))</f>
        <v/>
      </c>
      <c r="N1982" s="15" t="str">
        <f aca="false">IF(OR($A1982="",$B1982="",$L1982="",$M1982="",$J1982="취소"),"",IF(SUMPRODUCT(($A$3:$A$2002=$A1982)*($B$3:$B$2002=$B1982)*($J$3:$J$2002&lt;&gt;"취소")*($L$3:$L$2002&lt;&gt;"")*($M$3:$M$2002&lt;&gt;"")*($L$3:$L$2002&lt;$M1982)*($M$3:$M$2002&gt;$L1982))&gt;1,"중복","-"))</f>
        <v/>
      </c>
    </row>
    <row r="1983" customFormat="false" ht="15" hidden="false" customHeight="true" outlineLevel="0" collapsed="false">
      <c r="A1983" s="11"/>
      <c r="B1983" s="7"/>
      <c r="C1983" s="12" t="str">
        <f aca="false">IF($B1983="","",IFERROR(INDEX(자원목록!$B$3:$B$102,MATCH($B1983,자원목록!$A$3:$A$102,0)),"미등록자원"))</f>
        <v/>
      </c>
      <c r="D1983" s="7"/>
      <c r="E1983" s="12" t="str">
        <f aca="false">IF($D1983="","",IFERROR(INDEX(고객목록!$B$3:$B$502,MATCH($D1983,고객목록!$A$3:$A$502,0)),""))</f>
        <v/>
      </c>
      <c r="F1983" s="13"/>
      <c r="G1983" s="13"/>
      <c r="H1983" s="14" t="str">
        <f aca="false">IF(OR($L1983="",$M1983=""),"",ROUND(($M1983-$L1983)/60,2))</f>
        <v/>
      </c>
      <c r="I1983" s="9"/>
      <c r="J1983" s="7"/>
      <c r="K1983" s="7"/>
      <c r="L1983" s="15" t="str">
        <f aca="false">IF($F1983="","",IF($F1983&lt;1,ROUND($F1983*1440,0),INT($F1983/100)*60+MOD($F1983,100)))</f>
        <v/>
      </c>
      <c r="M1983" s="15" t="str">
        <f aca="false">IF($G1983="","",IF($G1983&lt;1,ROUND($G1983*1440,0),INT($G1983/100)*60+MOD($G1983,100)))</f>
        <v/>
      </c>
      <c r="N1983" s="15" t="str">
        <f aca="false">IF(OR($A1983="",$B1983="",$L1983="",$M1983="",$J1983="취소"),"",IF(SUMPRODUCT(($A$3:$A$2002=$A1983)*($B$3:$B$2002=$B1983)*($J$3:$J$2002&lt;&gt;"취소")*($L$3:$L$2002&lt;&gt;"")*($M$3:$M$2002&lt;&gt;"")*($L$3:$L$2002&lt;$M1983)*($M$3:$M$2002&gt;$L1983))&gt;1,"중복","-"))</f>
        <v/>
      </c>
    </row>
    <row r="1984" customFormat="false" ht="15" hidden="false" customHeight="true" outlineLevel="0" collapsed="false">
      <c r="A1984" s="11"/>
      <c r="B1984" s="7"/>
      <c r="C1984" s="12" t="str">
        <f aca="false">IF($B1984="","",IFERROR(INDEX(자원목록!$B$3:$B$102,MATCH($B1984,자원목록!$A$3:$A$102,0)),"미등록자원"))</f>
        <v/>
      </c>
      <c r="D1984" s="7"/>
      <c r="E1984" s="12" t="str">
        <f aca="false">IF($D1984="","",IFERROR(INDEX(고객목록!$B$3:$B$502,MATCH($D1984,고객목록!$A$3:$A$502,0)),""))</f>
        <v/>
      </c>
      <c r="F1984" s="13"/>
      <c r="G1984" s="13"/>
      <c r="H1984" s="14" t="str">
        <f aca="false">IF(OR($L1984="",$M1984=""),"",ROUND(($M1984-$L1984)/60,2))</f>
        <v/>
      </c>
      <c r="I1984" s="9"/>
      <c r="J1984" s="7"/>
      <c r="K1984" s="7"/>
      <c r="L1984" s="15" t="str">
        <f aca="false">IF($F1984="","",IF($F1984&lt;1,ROUND($F1984*1440,0),INT($F1984/100)*60+MOD($F1984,100)))</f>
        <v/>
      </c>
      <c r="M1984" s="15" t="str">
        <f aca="false">IF($G1984="","",IF($G1984&lt;1,ROUND($G1984*1440,0),INT($G1984/100)*60+MOD($G1984,100)))</f>
        <v/>
      </c>
      <c r="N1984" s="15" t="str">
        <f aca="false">IF(OR($A1984="",$B1984="",$L1984="",$M1984="",$J1984="취소"),"",IF(SUMPRODUCT(($A$3:$A$2002=$A1984)*($B$3:$B$2002=$B1984)*($J$3:$J$2002&lt;&gt;"취소")*($L$3:$L$2002&lt;&gt;"")*($M$3:$M$2002&lt;&gt;"")*($L$3:$L$2002&lt;$M1984)*($M$3:$M$2002&gt;$L1984))&gt;1,"중복","-"))</f>
        <v/>
      </c>
    </row>
    <row r="1985" customFormat="false" ht="15" hidden="false" customHeight="true" outlineLevel="0" collapsed="false">
      <c r="A1985" s="11"/>
      <c r="B1985" s="7"/>
      <c r="C1985" s="12" t="str">
        <f aca="false">IF($B1985="","",IFERROR(INDEX(자원목록!$B$3:$B$102,MATCH($B1985,자원목록!$A$3:$A$102,0)),"미등록자원"))</f>
        <v/>
      </c>
      <c r="D1985" s="7"/>
      <c r="E1985" s="12" t="str">
        <f aca="false">IF($D1985="","",IFERROR(INDEX(고객목록!$B$3:$B$502,MATCH($D1985,고객목록!$A$3:$A$502,0)),""))</f>
        <v/>
      </c>
      <c r="F1985" s="13"/>
      <c r="G1985" s="13"/>
      <c r="H1985" s="14" t="str">
        <f aca="false">IF(OR($L1985="",$M1985=""),"",ROUND(($M1985-$L1985)/60,2))</f>
        <v/>
      </c>
      <c r="I1985" s="9"/>
      <c r="J1985" s="7"/>
      <c r="K1985" s="7"/>
      <c r="L1985" s="15" t="str">
        <f aca="false">IF($F1985="","",IF($F1985&lt;1,ROUND($F1985*1440,0),INT($F1985/100)*60+MOD($F1985,100)))</f>
        <v/>
      </c>
      <c r="M1985" s="15" t="str">
        <f aca="false">IF($G1985="","",IF($G1985&lt;1,ROUND($G1985*1440,0),INT($G1985/100)*60+MOD($G1985,100)))</f>
        <v/>
      </c>
      <c r="N1985" s="15" t="str">
        <f aca="false">IF(OR($A1985="",$B1985="",$L1985="",$M1985="",$J1985="취소"),"",IF(SUMPRODUCT(($A$3:$A$2002=$A1985)*($B$3:$B$2002=$B1985)*($J$3:$J$2002&lt;&gt;"취소")*($L$3:$L$2002&lt;&gt;"")*($M$3:$M$2002&lt;&gt;"")*($L$3:$L$2002&lt;$M1985)*($M$3:$M$2002&gt;$L1985))&gt;1,"중복","-"))</f>
        <v/>
      </c>
    </row>
    <row r="1986" customFormat="false" ht="15" hidden="false" customHeight="true" outlineLevel="0" collapsed="false">
      <c r="A1986" s="11"/>
      <c r="B1986" s="7"/>
      <c r="C1986" s="12" t="str">
        <f aca="false">IF($B1986="","",IFERROR(INDEX(자원목록!$B$3:$B$102,MATCH($B1986,자원목록!$A$3:$A$102,0)),"미등록자원"))</f>
        <v/>
      </c>
      <c r="D1986" s="7"/>
      <c r="E1986" s="12" t="str">
        <f aca="false">IF($D1986="","",IFERROR(INDEX(고객목록!$B$3:$B$502,MATCH($D1986,고객목록!$A$3:$A$502,0)),""))</f>
        <v/>
      </c>
      <c r="F1986" s="13"/>
      <c r="G1986" s="13"/>
      <c r="H1986" s="14" t="str">
        <f aca="false">IF(OR($L1986="",$M1986=""),"",ROUND(($M1986-$L1986)/60,2))</f>
        <v/>
      </c>
      <c r="I1986" s="9"/>
      <c r="J1986" s="7"/>
      <c r="K1986" s="7"/>
      <c r="L1986" s="15" t="str">
        <f aca="false">IF($F1986="","",IF($F1986&lt;1,ROUND($F1986*1440,0),INT($F1986/100)*60+MOD($F1986,100)))</f>
        <v/>
      </c>
      <c r="M1986" s="15" t="str">
        <f aca="false">IF($G1986="","",IF($G1986&lt;1,ROUND($G1986*1440,0),INT($G1986/100)*60+MOD($G1986,100)))</f>
        <v/>
      </c>
      <c r="N1986" s="15" t="str">
        <f aca="false">IF(OR($A1986="",$B1986="",$L1986="",$M1986="",$J1986="취소"),"",IF(SUMPRODUCT(($A$3:$A$2002=$A1986)*($B$3:$B$2002=$B1986)*($J$3:$J$2002&lt;&gt;"취소")*($L$3:$L$2002&lt;&gt;"")*($M$3:$M$2002&lt;&gt;"")*($L$3:$L$2002&lt;$M1986)*($M$3:$M$2002&gt;$L1986))&gt;1,"중복","-"))</f>
        <v/>
      </c>
    </row>
    <row r="1987" customFormat="false" ht="15" hidden="false" customHeight="true" outlineLevel="0" collapsed="false">
      <c r="A1987" s="11"/>
      <c r="B1987" s="7"/>
      <c r="C1987" s="12" t="str">
        <f aca="false">IF($B1987="","",IFERROR(INDEX(자원목록!$B$3:$B$102,MATCH($B1987,자원목록!$A$3:$A$102,0)),"미등록자원"))</f>
        <v/>
      </c>
      <c r="D1987" s="7"/>
      <c r="E1987" s="12" t="str">
        <f aca="false">IF($D1987="","",IFERROR(INDEX(고객목록!$B$3:$B$502,MATCH($D1987,고객목록!$A$3:$A$502,0)),""))</f>
        <v/>
      </c>
      <c r="F1987" s="13"/>
      <c r="G1987" s="13"/>
      <c r="H1987" s="14" t="str">
        <f aca="false">IF(OR($L1987="",$M1987=""),"",ROUND(($M1987-$L1987)/60,2))</f>
        <v/>
      </c>
      <c r="I1987" s="9"/>
      <c r="J1987" s="7"/>
      <c r="K1987" s="7"/>
      <c r="L1987" s="15" t="str">
        <f aca="false">IF($F1987="","",IF($F1987&lt;1,ROUND($F1987*1440,0),INT($F1987/100)*60+MOD($F1987,100)))</f>
        <v/>
      </c>
      <c r="M1987" s="15" t="str">
        <f aca="false">IF($G1987="","",IF($G1987&lt;1,ROUND($G1987*1440,0),INT($G1987/100)*60+MOD($G1987,100)))</f>
        <v/>
      </c>
      <c r="N1987" s="15" t="str">
        <f aca="false">IF(OR($A1987="",$B1987="",$L1987="",$M1987="",$J1987="취소"),"",IF(SUMPRODUCT(($A$3:$A$2002=$A1987)*($B$3:$B$2002=$B1987)*($J$3:$J$2002&lt;&gt;"취소")*($L$3:$L$2002&lt;&gt;"")*($M$3:$M$2002&lt;&gt;"")*($L$3:$L$2002&lt;$M1987)*($M$3:$M$2002&gt;$L1987))&gt;1,"중복","-"))</f>
        <v/>
      </c>
    </row>
    <row r="1988" customFormat="false" ht="15" hidden="false" customHeight="true" outlineLevel="0" collapsed="false">
      <c r="A1988" s="11"/>
      <c r="B1988" s="7"/>
      <c r="C1988" s="12" t="str">
        <f aca="false">IF($B1988="","",IFERROR(INDEX(자원목록!$B$3:$B$102,MATCH($B1988,자원목록!$A$3:$A$102,0)),"미등록자원"))</f>
        <v/>
      </c>
      <c r="D1988" s="7"/>
      <c r="E1988" s="12" t="str">
        <f aca="false">IF($D1988="","",IFERROR(INDEX(고객목록!$B$3:$B$502,MATCH($D1988,고객목록!$A$3:$A$502,0)),""))</f>
        <v/>
      </c>
      <c r="F1988" s="13"/>
      <c r="G1988" s="13"/>
      <c r="H1988" s="14" t="str">
        <f aca="false">IF(OR($L1988="",$M1988=""),"",ROUND(($M1988-$L1988)/60,2))</f>
        <v/>
      </c>
      <c r="I1988" s="9"/>
      <c r="J1988" s="7"/>
      <c r="K1988" s="7"/>
      <c r="L1988" s="15" t="str">
        <f aca="false">IF($F1988="","",IF($F1988&lt;1,ROUND($F1988*1440,0),INT($F1988/100)*60+MOD($F1988,100)))</f>
        <v/>
      </c>
      <c r="M1988" s="15" t="str">
        <f aca="false">IF($G1988="","",IF($G1988&lt;1,ROUND($G1988*1440,0),INT($G1988/100)*60+MOD($G1988,100)))</f>
        <v/>
      </c>
      <c r="N1988" s="15" t="str">
        <f aca="false">IF(OR($A1988="",$B1988="",$L1988="",$M1988="",$J1988="취소"),"",IF(SUMPRODUCT(($A$3:$A$2002=$A1988)*($B$3:$B$2002=$B1988)*($J$3:$J$2002&lt;&gt;"취소")*($L$3:$L$2002&lt;&gt;"")*($M$3:$M$2002&lt;&gt;"")*($L$3:$L$2002&lt;$M1988)*($M$3:$M$2002&gt;$L1988))&gt;1,"중복","-"))</f>
        <v/>
      </c>
    </row>
    <row r="1989" customFormat="false" ht="15" hidden="false" customHeight="true" outlineLevel="0" collapsed="false">
      <c r="A1989" s="11"/>
      <c r="B1989" s="7"/>
      <c r="C1989" s="12" t="str">
        <f aca="false">IF($B1989="","",IFERROR(INDEX(자원목록!$B$3:$B$102,MATCH($B1989,자원목록!$A$3:$A$102,0)),"미등록자원"))</f>
        <v/>
      </c>
      <c r="D1989" s="7"/>
      <c r="E1989" s="12" t="str">
        <f aca="false">IF($D1989="","",IFERROR(INDEX(고객목록!$B$3:$B$502,MATCH($D1989,고객목록!$A$3:$A$502,0)),""))</f>
        <v/>
      </c>
      <c r="F1989" s="13"/>
      <c r="G1989" s="13"/>
      <c r="H1989" s="14" t="str">
        <f aca="false">IF(OR($L1989="",$M1989=""),"",ROUND(($M1989-$L1989)/60,2))</f>
        <v/>
      </c>
      <c r="I1989" s="9"/>
      <c r="J1989" s="7"/>
      <c r="K1989" s="7"/>
      <c r="L1989" s="15" t="str">
        <f aca="false">IF($F1989="","",IF($F1989&lt;1,ROUND($F1989*1440,0),INT($F1989/100)*60+MOD($F1989,100)))</f>
        <v/>
      </c>
      <c r="M1989" s="15" t="str">
        <f aca="false">IF($G1989="","",IF($G1989&lt;1,ROUND($G1989*1440,0),INT($G1989/100)*60+MOD($G1989,100)))</f>
        <v/>
      </c>
      <c r="N1989" s="15" t="str">
        <f aca="false">IF(OR($A1989="",$B1989="",$L1989="",$M1989="",$J1989="취소"),"",IF(SUMPRODUCT(($A$3:$A$2002=$A1989)*($B$3:$B$2002=$B1989)*($J$3:$J$2002&lt;&gt;"취소")*($L$3:$L$2002&lt;&gt;"")*($M$3:$M$2002&lt;&gt;"")*($L$3:$L$2002&lt;$M1989)*($M$3:$M$2002&gt;$L1989))&gt;1,"중복","-"))</f>
        <v/>
      </c>
    </row>
    <row r="1990" customFormat="false" ht="15" hidden="false" customHeight="true" outlineLevel="0" collapsed="false">
      <c r="A1990" s="11"/>
      <c r="B1990" s="7"/>
      <c r="C1990" s="12" t="str">
        <f aca="false">IF($B1990="","",IFERROR(INDEX(자원목록!$B$3:$B$102,MATCH($B1990,자원목록!$A$3:$A$102,0)),"미등록자원"))</f>
        <v/>
      </c>
      <c r="D1990" s="7"/>
      <c r="E1990" s="12" t="str">
        <f aca="false">IF($D1990="","",IFERROR(INDEX(고객목록!$B$3:$B$502,MATCH($D1990,고객목록!$A$3:$A$502,0)),""))</f>
        <v/>
      </c>
      <c r="F1990" s="13"/>
      <c r="G1990" s="13"/>
      <c r="H1990" s="14" t="str">
        <f aca="false">IF(OR($L1990="",$M1990=""),"",ROUND(($M1990-$L1990)/60,2))</f>
        <v/>
      </c>
      <c r="I1990" s="9"/>
      <c r="J1990" s="7"/>
      <c r="K1990" s="7"/>
      <c r="L1990" s="15" t="str">
        <f aca="false">IF($F1990="","",IF($F1990&lt;1,ROUND($F1990*1440,0),INT($F1990/100)*60+MOD($F1990,100)))</f>
        <v/>
      </c>
      <c r="M1990" s="15" t="str">
        <f aca="false">IF($G1990="","",IF($G1990&lt;1,ROUND($G1990*1440,0),INT($G1990/100)*60+MOD($G1990,100)))</f>
        <v/>
      </c>
      <c r="N1990" s="15" t="str">
        <f aca="false">IF(OR($A1990="",$B1990="",$L1990="",$M1990="",$J1990="취소"),"",IF(SUMPRODUCT(($A$3:$A$2002=$A1990)*($B$3:$B$2002=$B1990)*($J$3:$J$2002&lt;&gt;"취소")*($L$3:$L$2002&lt;&gt;"")*($M$3:$M$2002&lt;&gt;"")*($L$3:$L$2002&lt;$M1990)*($M$3:$M$2002&gt;$L1990))&gt;1,"중복","-"))</f>
        <v/>
      </c>
    </row>
    <row r="1991" customFormat="false" ht="15" hidden="false" customHeight="true" outlineLevel="0" collapsed="false">
      <c r="A1991" s="11"/>
      <c r="B1991" s="7"/>
      <c r="C1991" s="12" t="str">
        <f aca="false">IF($B1991="","",IFERROR(INDEX(자원목록!$B$3:$B$102,MATCH($B1991,자원목록!$A$3:$A$102,0)),"미등록자원"))</f>
        <v/>
      </c>
      <c r="D1991" s="7"/>
      <c r="E1991" s="12" t="str">
        <f aca="false">IF($D1991="","",IFERROR(INDEX(고객목록!$B$3:$B$502,MATCH($D1991,고객목록!$A$3:$A$502,0)),""))</f>
        <v/>
      </c>
      <c r="F1991" s="13"/>
      <c r="G1991" s="13"/>
      <c r="H1991" s="14" t="str">
        <f aca="false">IF(OR($L1991="",$M1991=""),"",ROUND(($M1991-$L1991)/60,2))</f>
        <v/>
      </c>
      <c r="I1991" s="9"/>
      <c r="J1991" s="7"/>
      <c r="K1991" s="7"/>
      <c r="L1991" s="15" t="str">
        <f aca="false">IF($F1991="","",IF($F1991&lt;1,ROUND($F1991*1440,0),INT($F1991/100)*60+MOD($F1991,100)))</f>
        <v/>
      </c>
      <c r="M1991" s="15" t="str">
        <f aca="false">IF($G1991="","",IF($G1991&lt;1,ROUND($G1991*1440,0),INT($G1991/100)*60+MOD($G1991,100)))</f>
        <v/>
      </c>
      <c r="N1991" s="15" t="str">
        <f aca="false">IF(OR($A1991="",$B1991="",$L1991="",$M1991="",$J1991="취소"),"",IF(SUMPRODUCT(($A$3:$A$2002=$A1991)*($B$3:$B$2002=$B1991)*($J$3:$J$2002&lt;&gt;"취소")*($L$3:$L$2002&lt;&gt;"")*($M$3:$M$2002&lt;&gt;"")*($L$3:$L$2002&lt;$M1991)*($M$3:$M$2002&gt;$L1991))&gt;1,"중복","-"))</f>
        <v/>
      </c>
    </row>
    <row r="1992" customFormat="false" ht="15" hidden="false" customHeight="true" outlineLevel="0" collapsed="false">
      <c r="A1992" s="11"/>
      <c r="B1992" s="7"/>
      <c r="C1992" s="12" t="str">
        <f aca="false">IF($B1992="","",IFERROR(INDEX(자원목록!$B$3:$B$102,MATCH($B1992,자원목록!$A$3:$A$102,0)),"미등록자원"))</f>
        <v/>
      </c>
      <c r="D1992" s="7"/>
      <c r="E1992" s="12" t="str">
        <f aca="false">IF($D1992="","",IFERROR(INDEX(고객목록!$B$3:$B$502,MATCH($D1992,고객목록!$A$3:$A$502,0)),""))</f>
        <v/>
      </c>
      <c r="F1992" s="13"/>
      <c r="G1992" s="13"/>
      <c r="H1992" s="14" t="str">
        <f aca="false">IF(OR($L1992="",$M1992=""),"",ROUND(($M1992-$L1992)/60,2))</f>
        <v/>
      </c>
      <c r="I1992" s="9"/>
      <c r="J1992" s="7"/>
      <c r="K1992" s="7"/>
      <c r="L1992" s="15" t="str">
        <f aca="false">IF($F1992="","",IF($F1992&lt;1,ROUND($F1992*1440,0),INT($F1992/100)*60+MOD($F1992,100)))</f>
        <v/>
      </c>
      <c r="M1992" s="15" t="str">
        <f aca="false">IF($G1992="","",IF($G1992&lt;1,ROUND($G1992*1440,0),INT($G1992/100)*60+MOD($G1992,100)))</f>
        <v/>
      </c>
      <c r="N1992" s="15" t="str">
        <f aca="false">IF(OR($A1992="",$B1992="",$L1992="",$M1992="",$J1992="취소"),"",IF(SUMPRODUCT(($A$3:$A$2002=$A1992)*($B$3:$B$2002=$B1992)*($J$3:$J$2002&lt;&gt;"취소")*($L$3:$L$2002&lt;&gt;"")*($M$3:$M$2002&lt;&gt;"")*($L$3:$L$2002&lt;$M1992)*($M$3:$M$2002&gt;$L1992))&gt;1,"중복","-"))</f>
        <v/>
      </c>
    </row>
    <row r="1993" customFormat="false" ht="15" hidden="false" customHeight="true" outlineLevel="0" collapsed="false">
      <c r="A1993" s="11"/>
      <c r="B1993" s="7"/>
      <c r="C1993" s="12" t="str">
        <f aca="false">IF($B1993="","",IFERROR(INDEX(자원목록!$B$3:$B$102,MATCH($B1993,자원목록!$A$3:$A$102,0)),"미등록자원"))</f>
        <v/>
      </c>
      <c r="D1993" s="7"/>
      <c r="E1993" s="12" t="str">
        <f aca="false">IF($D1993="","",IFERROR(INDEX(고객목록!$B$3:$B$502,MATCH($D1993,고객목록!$A$3:$A$502,0)),""))</f>
        <v/>
      </c>
      <c r="F1993" s="13"/>
      <c r="G1993" s="13"/>
      <c r="H1993" s="14" t="str">
        <f aca="false">IF(OR($L1993="",$M1993=""),"",ROUND(($M1993-$L1993)/60,2))</f>
        <v/>
      </c>
      <c r="I1993" s="9"/>
      <c r="J1993" s="7"/>
      <c r="K1993" s="7"/>
      <c r="L1993" s="15" t="str">
        <f aca="false">IF($F1993="","",IF($F1993&lt;1,ROUND($F1993*1440,0),INT($F1993/100)*60+MOD($F1993,100)))</f>
        <v/>
      </c>
      <c r="M1993" s="15" t="str">
        <f aca="false">IF($G1993="","",IF($G1993&lt;1,ROUND($G1993*1440,0),INT($G1993/100)*60+MOD($G1993,100)))</f>
        <v/>
      </c>
      <c r="N1993" s="15" t="str">
        <f aca="false">IF(OR($A1993="",$B1993="",$L1993="",$M1993="",$J1993="취소"),"",IF(SUMPRODUCT(($A$3:$A$2002=$A1993)*($B$3:$B$2002=$B1993)*($J$3:$J$2002&lt;&gt;"취소")*($L$3:$L$2002&lt;&gt;"")*($M$3:$M$2002&lt;&gt;"")*($L$3:$L$2002&lt;$M1993)*($M$3:$M$2002&gt;$L1993))&gt;1,"중복","-"))</f>
        <v/>
      </c>
    </row>
    <row r="1994" customFormat="false" ht="15" hidden="false" customHeight="true" outlineLevel="0" collapsed="false">
      <c r="A1994" s="11"/>
      <c r="B1994" s="7"/>
      <c r="C1994" s="12" t="str">
        <f aca="false">IF($B1994="","",IFERROR(INDEX(자원목록!$B$3:$B$102,MATCH($B1994,자원목록!$A$3:$A$102,0)),"미등록자원"))</f>
        <v/>
      </c>
      <c r="D1994" s="7"/>
      <c r="E1994" s="12" t="str">
        <f aca="false">IF($D1994="","",IFERROR(INDEX(고객목록!$B$3:$B$502,MATCH($D1994,고객목록!$A$3:$A$502,0)),""))</f>
        <v/>
      </c>
      <c r="F1994" s="13"/>
      <c r="G1994" s="13"/>
      <c r="H1994" s="14" t="str">
        <f aca="false">IF(OR($L1994="",$M1994=""),"",ROUND(($M1994-$L1994)/60,2))</f>
        <v/>
      </c>
      <c r="I1994" s="9"/>
      <c r="J1994" s="7"/>
      <c r="K1994" s="7"/>
      <c r="L1994" s="15" t="str">
        <f aca="false">IF($F1994="","",IF($F1994&lt;1,ROUND($F1994*1440,0),INT($F1994/100)*60+MOD($F1994,100)))</f>
        <v/>
      </c>
      <c r="M1994" s="15" t="str">
        <f aca="false">IF($G1994="","",IF($G1994&lt;1,ROUND($G1994*1440,0),INT($G1994/100)*60+MOD($G1994,100)))</f>
        <v/>
      </c>
      <c r="N1994" s="15" t="str">
        <f aca="false">IF(OR($A1994="",$B1994="",$L1994="",$M1994="",$J1994="취소"),"",IF(SUMPRODUCT(($A$3:$A$2002=$A1994)*($B$3:$B$2002=$B1994)*($J$3:$J$2002&lt;&gt;"취소")*($L$3:$L$2002&lt;&gt;"")*($M$3:$M$2002&lt;&gt;"")*($L$3:$L$2002&lt;$M1994)*($M$3:$M$2002&gt;$L1994))&gt;1,"중복","-"))</f>
        <v/>
      </c>
    </row>
    <row r="1995" customFormat="false" ht="15" hidden="false" customHeight="true" outlineLevel="0" collapsed="false">
      <c r="A1995" s="11"/>
      <c r="B1995" s="7"/>
      <c r="C1995" s="12" t="str">
        <f aca="false">IF($B1995="","",IFERROR(INDEX(자원목록!$B$3:$B$102,MATCH($B1995,자원목록!$A$3:$A$102,0)),"미등록자원"))</f>
        <v/>
      </c>
      <c r="D1995" s="7"/>
      <c r="E1995" s="12" t="str">
        <f aca="false">IF($D1995="","",IFERROR(INDEX(고객목록!$B$3:$B$502,MATCH($D1995,고객목록!$A$3:$A$502,0)),""))</f>
        <v/>
      </c>
      <c r="F1995" s="13"/>
      <c r="G1995" s="13"/>
      <c r="H1995" s="14" t="str">
        <f aca="false">IF(OR($L1995="",$M1995=""),"",ROUND(($M1995-$L1995)/60,2))</f>
        <v/>
      </c>
      <c r="I1995" s="9"/>
      <c r="J1995" s="7"/>
      <c r="K1995" s="7"/>
      <c r="L1995" s="15" t="str">
        <f aca="false">IF($F1995="","",IF($F1995&lt;1,ROUND($F1995*1440,0),INT($F1995/100)*60+MOD($F1995,100)))</f>
        <v/>
      </c>
      <c r="M1995" s="15" t="str">
        <f aca="false">IF($G1995="","",IF($G1995&lt;1,ROUND($G1995*1440,0),INT($G1995/100)*60+MOD($G1995,100)))</f>
        <v/>
      </c>
      <c r="N1995" s="15" t="str">
        <f aca="false">IF(OR($A1995="",$B1995="",$L1995="",$M1995="",$J1995="취소"),"",IF(SUMPRODUCT(($A$3:$A$2002=$A1995)*($B$3:$B$2002=$B1995)*($J$3:$J$2002&lt;&gt;"취소")*($L$3:$L$2002&lt;&gt;"")*($M$3:$M$2002&lt;&gt;"")*($L$3:$L$2002&lt;$M1995)*($M$3:$M$2002&gt;$L1995))&gt;1,"중복","-"))</f>
        <v/>
      </c>
    </row>
    <row r="1996" customFormat="false" ht="15" hidden="false" customHeight="true" outlineLevel="0" collapsed="false">
      <c r="A1996" s="11"/>
      <c r="B1996" s="7"/>
      <c r="C1996" s="12" t="str">
        <f aca="false">IF($B1996="","",IFERROR(INDEX(자원목록!$B$3:$B$102,MATCH($B1996,자원목록!$A$3:$A$102,0)),"미등록자원"))</f>
        <v/>
      </c>
      <c r="D1996" s="7"/>
      <c r="E1996" s="12" t="str">
        <f aca="false">IF($D1996="","",IFERROR(INDEX(고객목록!$B$3:$B$502,MATCH($D1996,고객목록!$A$3:$A$502,0)),""))</f>
        <v/>
      </c>
      <c r="F1996" s="13"/>
      <c r="G1996" s="13"/>
      <c r="H1996" s="14" t="str">
        <f aca="false">IF(OR($L1996="",$M1996=""),"",ROUND(($M1996-$L1996)/60,2))</f>
        <v/>
      </c>
      <c r="I1996" s="9"/>
      <c r="J1996" s="7"/>
      <c r="K1996" s="7"/>
      <c r="L1996" s="15" t="str">
        <f aca="false">IF($F1996="","",IF($F1996&lt;1,ROUND($F1996*1440,0),INT($F1996/100)*60+MOD($F1996,100)))</f>
        <v/>
      </c>
      <c r="M1996" s="15" t="str">
        <f aca="false">IF($G1996="","",IF($G1996&lt;1,ROUND($G1996*1440,0),INT($G1996/100)*60+MOD($G1996,100)))</f>
        <v/>
      </c>
      <c r="N1996" s="15" t="str">
        <f aca="false">IF(OR($A1996="",$B1996="",$L1996="",$M1996="",$J1996="취소"),"",IF(SUMPRODUCT(($A$3:$A$2002=$A1996)*($B$3:$B$2002=$B1996)*($J$3:$J$2002&lt;&gt;"취소")*($L$3:$L$2002&lt;&gt;"")*($M$3:$M$2002&lt;&gt;"")*($L$3:$L$2002&lt;$M1996)*($M$3:$M$2002&gt;$L1996))&gt;1,"중복","-"))</f>
        <v/>
      </c>
    </row>
    <row r="1997" customFormat="false" ht="15" hidden="false" customHeight="true" outlineLevel="0" collapsed="false">
      <c r="A1997" s="11"/>
      <c r="B1997" s="7"/>
      <c r="C1997" s="12" t="str">
        <f aca="false">IF($B1997="","",IFERROR(INDEX(자원목록!$B$3:$B$102,MATCH($B1997,자원목록!$A$3:$A$102,0)),"미등록자원"))</f>
        <v/>
      </c>
      <c r="D1997" s="7"/>
      <c r="E1997" s="12" t="str">
        <f aca="false">IF($D1997="","",IFERROR(INDEX(고객목록!$B$3:$B$502,MATCH($D1997,고객목록!$A$3:$A$502,0)),""))</f>
        <v/>
      </c>
      <c r="F1997" s="13"/>
      <c r="G1997" s="13"/>
      <c r="H1997" s="14" t="str">
        <f aca="false">IF(OR($L1997="",$M1997=""),"",ROUND(($M1997-$L1997)/60,2))</f>
        <v/>
      </c>
      <c r="I1997" s="9"/>
      <c r="J1997" s="7"/>
      <c r="K1997" s="7"/>
      <c r="L1997" s="15" t="str">
        <f aca="false">IF($F1997="","",IF($F1997&lt;1,ROUND($F1997*1440,0),INT($F1997/100)*60+MOD($F1997,100)))</f>
        <v/>
      </c>
      <c r="M1997" s="15" t="str">
        <f aca="false">IF($G1997="","",IF($G1997&lt;1,ROUND($G1997*1440,0),INT($G1997/100)*60+MOD($G1997,100)))</f>
        <v/>
      </c>
      <c r="N1997" s="15" t="str">
        <f aca="false">IF(OR($A1997="",$B1997="",$L1997="",$M1997="",$J1997="취소"),"",IF(SUMPRODUCT(($A$3:$A$2002=$A1997)*($B$3:$B$2002=$B1997)*($J$3:$J$2002&lt;&gt;"취소")*($L$3:$L$2002&lt;&gt;"")*($M$3:$M$2002&lt;&gt;"")*($L$3:$L$2002&lt;$M1997)*($M$3:$M$2002&gt;$L1997))&gt;1,"중복","-"))</f>
        <v/>
      </c>
    </row>
    <row r="1998" customFormat="false" ht="15" hidden="false" customHeight="true" outlineLevel="0" collapsed="false">
      <c r="A1998" s="11"/>
      <c r="B1998" s="7"/>
      <c r="C1998" s="12" t="str">
        <f aca="false">IF($B1998="","",IFERROR(INDEX(자원목록!$B$3:$B$102,MATCH($B1998,자원목록!$A$3:$A$102,0)),"미등록자원"))</f>
        <v/>
      </c>
      <c r="D1998" s="7"/>
      <c r="E1998" s="12" t="str">
        <f aca="false">IF($D1998="","",IFERROR(INDEX(고객목록!$B$3:$B$502,MATCH($D1998,고객목록!$A$3:$A$502,0)),""))</f>
        <v/>
      </c>
      <c r="F1998" s="13"/>
      <c r="G1998" s="13"/>
      <c r="H1998" s="14" t="str">
        <f aca="false">IF(OR($L1998="",$M1998=""),"",ROUND(($M1998-$L1998)/60,2))</f>
        <v/>
      </c>
      <c r="I1998" s="9"/>
      <c r="J1998" s="7"/>
      <c r="K1998" s="7"/>
      <c r="L1998" s="15" t="str">
        <f aca="false">IF($F1998="","",IF($F1998&lt;1,ROUND($F1998*1440,0),INT($F1998/100)*60+MOD($F1998,100)))</f>
        <v/>
      </c>
      <c r="M1998" s="15" t="str">
        <f aca="false">IF($G1998="","",IF($G1998&lt;1,ROUND($G1998*1440,0),INT($G1998/100)*60+MOD($G1998,100)))</f>
        <v/>
      </c>
      <c r="N1998" s="15" t="str">
        <f aca="false">IF(OR($A1998="",$B1998="",$L1998="",$M1998="",$J1998="취소"),"",IF(SUMPRODUCT(($A$3:$A$2002=$A1998)*($B$3:$B$2002=$B1998)*($J$3:$J$2002&lt;&gt;"취소")*($L$3:$L$2002&lt;&gt;"")*($M$3:$M$2002&lt;&gt;"")*($L$3:$L$2002&lt;$M1998)*($M$3:$M$2002&gt;$L1998))&gt;1,"중복","-"))</f>
        <v/>
      </c>
    </row>
    <row r="1999" customFormat="false" ht="15" hidden="false" customHeight="true" outlineLevel="0" collapsed="false">
      <c r="A1999" s="11"/>
      <c r="B1999" s="7"/>
      <c r="C1999" s="12" t="str">
        <f aca="false">IF($B1999="","",IFERROR(INDEX(자원목록!$B$3:$B$102,MATCH($B1999,자원목록!$A$3:$A$102,0)),"미등록자원"))</f>
        <v/>
      </c>
      <c r="D1999" s="7"/>
      <c r="E1999" s="12" t="str">
        <f aca="false">IF($D1999="","",IFERROR(INDEX(고객목록!$B$3:$B$502,MATCH($D1999,고객목록!$A$3:$A$502,0)),""))</f>
        <v/>
      </c>
      <c r="F1999" s="13"/>
      <c r="G1999" s="13"/>
      <c r="H1999" s="14" t="str">
        <f aca="false">IF(OR($L1999="",$M1999=""),"",ROUND(($M1999-$L1999)/60,2))</f>
        <v/>
      </c>
      <c r="I1999" s="9"/>
      <c r="J1999" s="7"/>
      <c r="K1999" s="7"/>
      <c r="L1999" s="15" t="str">
        <f aca="false">IF($F1999="","",IF($F1999&lt;1,ROUND($F1999*1440,0),INT($F1999/100)*60+MOD($F1999,100)))</f>
        <v/>
      </c>
      <c r="M1999" s="15" t="str">
        <f aca="false">IF($G1999="","",IF($G1999&lt;1,ROUND($G1999*1440,0),INT($G1999/100)*60+MOD($G1999,100)))</f>
        <v/>
      </c>
      <c r="N1999" s="15" t="str">
        <f aca="false">IF(OR($A1999="",$B1999="",$L1999="",$M1999="",$J1999="취소"),"",IF(SUMPRODUCT(($A$3:$A$2002=$A1999)*($B$3:$B$2002=$B1999)*($J$3:$J$2002&lt;&gt;"취소")*($L$3:$L$2002&lt;&gt;"")*($M$3:$M$2002&lt;&gt;"")*($L$3:$L$2002&lt;$M1999)*($M$3:$M$2002&gt;$L1999))&gt;1,"중복","-"))</f>
        <v/>
      </c>
    </row>
    <row r="2000" customFormat="false" ht="15" hidden="false" customHeight="true" outlineLevel="0" collapsed="false">
      <c r="A2000" s="11"/>
      <c r="B2000" s="7"/>
      <c r="C2000" s="12" t="str">
        <f aca="false">IF($B2000="","",IFERROR(INDEX(자원목록!$B$3:$B$102,MATCH($B2000,자원목록!$A$3:$A$102,0)),"미등록자원"))</f>
        <v/>
      </c>
      <c r="D2000" s="7"/>
      <c r="E2000" s="12" t="str">
        <f aca="false">IF($D2000="","",IFERROR(INDEX(고객목록!$B$3:$B$502,MATCH($D2000,고객목록!$A$3:$A$502,0)),""))</f>
        <v/>
      </c>
      <c r="F2000" s="13"/>
      <c r="G2000" s="13"/>
      <c r="H2000" s="14" t="str">
        <f aca="false">IF(OR($L2000="",$M2000=""),"",ROUND(($M2000-$L2000)/60,2))</f>
        <v/>
      </c>
      <c r="I2000" s="9"/>
      <c r="J2000" s="7"/>
      <c r="K2000" s="7"/>
      <c r="L2000" s="15" t="str">
        <f aca="false">IF($F2000="","",IF($F2000&lt;1,ROUND($F2000*1440,0),INT($F2000/100)*60+MOD($F2000,100)))</f>
        <v/>
      </c>
      <c r="M2000" s="15" t="str">
        <f aca="false">IF($G2000="","",IF($G2000&lt;1,ROUND($G2000*1440,0),INT($G2000/100)*60+MOD($G2000,100)))</f>
        <v/>
      </c>
      <c r="N2000" s="15" t="str">
        <f aca="false">IF(OR($A2000="",$B2000="",$L2000="",$M2000="",$J2000="취소"),"",IF(SUMPRODUCT(($A$3:$A$2002=$A2000)*($B$3:$B$2002=$B2000)*($J$3:$J$2002&lt;&gt;"취소")*($L$3:$L$2002&lt;&gt;"")*($M$3:$M$2002&lt;&gt;"")*($L$3:$L$2002&lt;$M2000)*($M$3:$M$2002&gt;$L2000))&gt;1,"중복","-"))</f>
        <v/>
      </c>
    </row>
    <row r="2001" customFormat="false" ht="15" hidden="false" customHeight="true" outlineLevel="0" collapsed="false">
      <c r="A2001" s="11"/>
      <c r="B2001" s="7"/>
      <c r="C2001" s="12" t="str">
        <f aca="false">IF($B2001="","",IFERROR(INDEX(자원목록!$B$3:$B$102,MATCH($B2001,자원목록!$A$3:$A$102,0)),"미등록자원"))</f>
        <v/>
      </c>
      <c r="D2001" s="7"/>
      <c r="E2001" s="12" t="str">
        <f aca="false">IF($D2001="","",IFERROR(INDEX(고객목록!$B$3:$B$502,MATCH($D2001,고객목록!$A$3:$A$502,0)),""))</f>
        <v/>
      </c>
      <c r="F2001" s="13"/>
      <c r="G2001" s="13"/>
      <c r="H2001" s="14" t="str">
        <f aca="false">IF(OR($L2001="",$M2001=""),"",ROUND(($M2001-$L2001)/60,2))</f>
        <v/>
      </c>
      <c r="I2001" s="9"/>
      <c r="J2001" s="7"/>
      <c r="K2001" s="7"/>
      <c r="L2001" s="15" t="str">
        <f aca="false">IF($F2001="","",IF($F2001&lt;1,ROUND($F2001*1440,0),INT($F2001/100)*60+MOD($F2001,100)))</f>
        <v/>
      </c>
      <c r="M2001" s="15" t="str">
        <f aca="false">IF($G2001="","",IF($G2001&lt;1,ROUND($G2001*1440,0),INT($G2001/100)*60+MOD($G2001,100)))</f>
        <v/>
      </c>
      <c r="N2001" s="15" t="str">
        <f aca="false">IF(OR($A2001="",$B2001="",$L2001="",$M2001="",$J2001="취소"),"",IF(SUMPRODUCT(($A$3:$A$2002=$A2001)*($B$3:$B$2002=$B2001)*($J$3:$J$2002&lt;&gt;"취소")*($L$3:$L$2002&lt;&gt;"")*($M$3:$M$2002&lt;&gt;"")*($L$3:$L$2002&lt;$M2001)*($M$3:$M$2002&gt;$L2001))&gt;1,"중복","-"))</f>
        <v/>
      </c>
    </row>
    <row r="2002" customFormat="false" ht="15" hidden="false" customHeight="true" outlineLevel="0" collapsed="false">
      <c r="A2002" s="11"/>
      <c r="B2002" s="7"/>
      <c r="C2002" s="12" t="str">
        <f aca="false">IF($B2002="","",IFERROR(INDEX(자원목록!$B$3:$B$102,MATCH($B2002,자원목록!$A$3:$A$102,0)),"미등록자원"))</f>
        <v/>
      </c>
      <c r="D2002" s="7"/>
      <c r="E2002" s="12" t="str">
        <f aca="false">IF($D2002="","",IFERROR(INDEX(고객목록!$B$3:$B$502,MATCH($D2002,고객목록!$A$3:$A$502,0)),""))</f>
        <v/>
      </c>
      <c r="F2002" s="13"/>
      <c r="G2002" s="13"/>
      <c r="H2002" s="14" t="str">
        <f aca="false">IF(OR($L2002="",$M2002=""),"",ROUND(($M2002-$L2002)/60,2))</f>
        <v/>
      </c>
      <c r="I2002" s="9"/>
      <c r="J2002" s="7"/>
      <c r="K2002" s="7"/>
      <c r="L2002" s="15" t="str">
        <f aca="false">IF($F2002="","",IF($F2002&lt;1,ROUND($F2002*1440,0),INT($F2002/100)*60+MOD($F2002,100)))</f>
        <v/>
      </c>
      <c r="M2002" s="15" t="str">
        <f aca="false">IF($G2002="","",IF($G2002&lt;1,ROUND($G2002*1440,0),INT($G2002/100)*60+MOD($G2002,100)))</f>
        <v/>
      </c>
      <c r="N2002" s="15" t="str">
        <f aca="false">IF(OR($A2002="",$B2002="",$L2002="",$M2002="",$J2002="취소"),"",IF(SUMPRODUCT(($A$3:$A$2002=$A2002)*($B$3:$B$2002=$B2002)*($J$3:$J$2002&lt;&gt;"취소")*($L$3:$L$2002&lt;&gt;"")*($M$3:$M$2002&lt;&gt;"")*($L$3:$L$2002&lt;$M2002)*($M$3:$M$2002&gt;$L2002))&gt;1,"중복","-"))</f>
        <v/>
      </c>
    </row>
    <row r="2004" customFormat="false" ht="15" hidden="false" customHeight="true" outlineLevel="0" collapsed="false">
      <c r="A2004" s="5" t="s">
        <v>62</v>
      </c>
    </row>
    <row r="2005" customFormat="false" ht="15" hidden="false" customHeight="true" outlineLevel="0" collapsed="false">
      <c r="A2005" s="5" t="s">
        <v>63</v>
      </c>
    </row>
  </sheetData>
  <mergeCells count="1">
    <mergeCell ref="A1:N1"/>
  </mergeCells>
  <conditionalFormatting sqref="A3:N2002">
    <cfRule type="expression" priority="2" aboveAverage="0" equalAverage="0" bottom="0" percent="0" rank="0" text="" dxfId="0">
      <formula>$N3="중복"</formula>
    </cfRule>
    <cfRule type="expression" priority="3" aboveAverage="0" equalAverage="0" bottom="0" percent="0" rank="0" text="" dxfId="1">
      <formula>$J3="취소"</formula>
    </cfRule>
  </conditionalFormatting>
  <dataValidations count="4">
    <dataValidation allowBlank="true" errorStyle="stop" operator="between" showDropDown="false" showErrorMessage="false" showInputMessage="false" sqref="B3:B2002" type="list">
      <formula1>자원목록!$A$3:$A$102</formula1>
      <formula2>0</formula2>
    </dataValidation>
    <dataValidation allowBlank="true" errorStyle="stop" operator="between" showDropDown="false" showErrorMessage="false" showInputMessage="false" sqref="D3:D2002" type="list">
      <formula1>고객목록!$A$3:$A$502</formula1>
      <formula2>0</formula2>
    </dataValidation>
    <dataValidation allowBlank="true" errorStyle="stop" operator="between" showDropDown="false" showErrorMessage="false" showInputMessage="false" sqref="J3:J2002" type="list">
      <formula1>"예약,완료,취소,노쇼"</formula1>
      <formula2>0</formula2>
    </dataValidation>
    <dataValidation allowBlank="true" error="콜론(:) 없이 숫자 네 자리로 입력하세요.&#10;오후 2시 → 1400&#10;오전 9시 30분 → 930" errorStyle="stop" errorTitle="시각 입력 형식" operator="between" prompt="예) 1430 = 14시 30분" promptTitle="시각 입력" showDropDown="false" showErrorMessage="true" showInputMessage="true" sqref="F3:G2002" type="whole">
      <formula1>0</formula1>
      <formula2>2359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11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17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11" min="10" style="1" width="12"/>
    <col collapsed="false" customWidth="true" hidden="false" outlineLevel="0" max="12" min="12" style="1" width="15"/>
  </cols>
  <sheetData>
    <row r="1" customFormat="false" ht="25.5" hidden="false" customHeight="true" outlineLevel="0" collapsed="false">
      <c r="A1" s="2" t="s">
        <v>64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65</v>
      </c>
      <c r="B3" s="16" t="n">
        <v>46280</v>
      </c>
      <c r="C3" s="17" t="str">
        <f aca="false">CHOOSE(WEEKDAY($B$3),"일","월","화","수","목","금","토")&amp;"요일"</f>
        <v>화요일</v>
      </c>
      <c r="E3" s="3" t="s">
        <v>66</v>
      </c>
      <c r="F3" s="18" t="n">
        <f aca="false">COUNTIFS(예약내역!$A$3:$A$2002,$B$3,예약내역!$J$3:$J$2002,"&lt;&gt;취소")</f>
        <v>2</v>
      </c>
      <c r="G3" s="3" t="s">
        <v>67</v>
      </c>
      <c r="H3" s="19" t="n">
        <f aca="false">COUNTIFS(예약내역!$A$3:$A$2002,$B$3,예약내역!$N$3:$N$2002,"중복")</f>
        <v>0</v>
      </c>
    </row>
    <row r="5" customFormat="false" ht="15" hidden="false" customHeight="true" outlineLevel="0" collapsed="false">
      <c r="A5" s="6" t="s">
        <v>68</v>
      </c>
      <c r="B5" s="6" t="s">
        <v>69</v>
      </c>
      <c r="C5" s="6" t="s">
        <v>70</v>
      </c>
      <c r="D5" s="6" t="s">
        <v>26</v>
      </c>
      <c r="E5" s="6" t="s">
        <v>41</v>
      </c>
      <c r="F5" s="6" t="s">
        <v>42</v>
      </c>
      <c r="G5" s="6" t="s">
        <v>56</v>
      </c>
      <c r="H5" s="6" t="s">
        <v>57</v>
      </c>
      <c r="J5" s="5" t="s">
        <v>71</v>
      </c>
      <c r="K5" s="5" t="s">
        <v>72</v>
      </c>
      <c r="L5" s="5" t="s">
        <v>73</v>
      </c>
    </row>
    <row r="6" customFormat="false" ht="15" hidden="false" customHeight="true" outlineLevel="0" collapsed="false">
      <c r="A6" s="15" t="n">
        <f aca="false">IF($D6="","",1)</f>
        <v>1</v>
      </c>
      <c r="B6" s="20" t="n">
        <f aca="false">IFERROR(INDEX(예약내역!$F$3:$F$2002,MATCH(1,일별현황!$L$6:$L$2005,0)),"")</f>
        <v>900</v>
      </c>
      <c r="C6" s="20" t="n">
        <f aca="false">IF($B6="","",IFERROR(INDEX(예약내역!$G$3:$G$2002,MATCH(1,일별현황!$L$6:$L$2005,0)),""))</f>
        <v>1100</v>
      </c>
      <c r="D6" s="12" t="str">
        <f aca="false">IFERROR(INDEX(예약내역!$C$3:$C$2002,MATCH(1,일별현황!$L$6:$L$2005,0)),"")</f>
        <v>1번 방</v>
      </c>
      <c r="E6" s="12" t="str">
        <f aca="false">IF($D6="","",IFERROR(INDEX(예약내역!$D$3:$D$2002,MATCH(1,일별현황!$L$6:$L$2005,0)),""))</f>
        <v>김고객</v>
      </c>
      <c r="F6" s="12" t="str">
        <f aca="false">IF($D6="","",IFERROR(INDEX(예약내역!$E$3:$E$2002,MATCH(1,일별현황!$L$6:$L$2005,0)),""))</f>
        <v>010-0000-0001</v>
      </c>
      <c r="G6" s="15" t="n">
        <f aca="false">IF($D6="","",IFERROR(INDEX(예약내역!$I$3:$I$2002,MATCH(1,일별현황!$L$6:$L$2005,0)),""))</f>
        <v>4</v>
      </c>
      <c r="H6" s="15" t="str">
        <f aca="false">IF($D6="","",IFERROR(INDEX(예약내역!$J$3:$J$2002,MATCH(1,일별현황!$L$6:$L$2005,0)),""))</f>
        <v>예약</v>
      </c>
      <c r="J6" s="21" t="b">
        <f aca="false">IF(예약내역!$A3="",FALSE(),AND(예약내역!$A3=$B$3,예약내역!$J3&lt;&gt;"취소"))</f>
        <v>0</v>
      </c>
      <c r="K6" s="5" t="str">
        <f aca="false">IF($J6=FALSE(),"",예약내역!$L3*10000+ROW())</f>
        <v/>
      </c>
      <c r="L6" s="5" t="str">
        <f aca="false">IF($K6="","",RANK($K6,$K$6:$K$2005,1))</f>
        <v/>
      </c>
    </row>
    <row r="7" customFormat="false" ht="15" hidden="false" customHeight="true" outlineLevel="0" collapsed="false">
      <c r="A7" s="15" t="n">
        <f aca="false">IF($D7="","",2)</f>
        <v>2</v>
      </c>
      <c r="B7" s="20" t="n">
        <f aca="false">IFERROR(INDEX(예약내역!$F$3:$F$2002,MATCH(2,일별현황!$L$6:$L$2005,0)),"")</f>
        <v>1400</v>
      </c>
      <c r="C7" s="20" t="n">
        <f aca="false">IF($B7="","",IFERROR(INDEX(예약내역!$G$3:$G$2002,MATCH(2,일별현황!$L$6:$L$2005,0)),""))</f>
        <v>1600</v>
      </c>
      <c r="D7" s="12" t="str">
        <f aca="false">IFERROR(INDEX(예약내역!$C$3:$C$2002,MATCH(2,일별현황!$L$6:$L$2005,0)),"")</f>
        <v>빔프로젝터</v>
      </c>
      <c r="E7" s="12" t="str">
        <f aca="false">IF($D7="","",IFERROR(INDEX(예약내역!$D$3:$D$2002,MATCH(2,일별현황!$L$6:$L$2005,0)),""))</f>
        <v>이고객</v>
      </c>
      <c r="F7" s="12" t="str">
        <f aca="false">IF($D7="","",IFERROR(INDEX(예약내역!$E$3:$E$2002,MATCH(2,일별현황!$L$6:$L$2005,0)),""))</f>
        <v>010-0000-0002</v>
      </c>
      <c r="G7" s="15" t="n">
        <f aca="false">IF($D7="","",IFERROR(INDEX(예약내역!$I$3:$I$2002,MATCH(2,일별현황!$L$6:$L$2005,0)),""))</f>
        <v>1</v>
      </c>
      <c r="H7" s="15" t="str">
        <f aca="false">IF($D7="","",IFERROR(INDEX(예약내역!$J$3:$J$2002,MATCH(2,일별현황!$L$6:$L$2005,0)),""))</f>
        <v>예약</v>
      </c>
      <c r="J7" s="21" t="b">
        <f aca="false">IF(예약내역!$A4="",FALSE(),AND(예약내역!$A4=$B$3,예약내역!$J4&lt;&gt;"취소"))</f>
        <v>0</v>
      </c>
      <c r="K7" s="5" t="str">
        <f aca="false">IF($J7=FALSE(),"",예약내역!$L4*10000+ROW())</f>
        <v/>
      </c>
      <c r="L7" s="5" t="str">
        <f aca="false">IF($K7="","",RANK($K7,$K$6:$K$2005,1))</f>
        <v/>
      </c>
    </row>
    <row r="8" customFormat="false" ht="15" hidden="false" customHeight="true" outlineLevel="0" collapsed="false">
      <c r="A8" s="15" t="str">
        <f aca="false">IF($D8="","",3)</f>
        <v/>
      </c>
      <c r="B8" s="20" t="str">
        <f aca="false">IFERROR(INDEX(예약내역!$F$3:$F$2002,MATCH(3,일별현황!$L$6:$L$2005,0)),"")</f>
        <v/>
      </c>
      <c r="C8" s="20" t="str">
        <f aca="false">IF($B8="","",IFERROR(INDEX(예약내역!$G$3:$G$2002,MATCH(3,일별현황!$L$6:$L$2005,0)),""))</f>
        <v/>
      </c>
      <c r="D8" s="12" t="str">
        <f aca="false">IFERROR(INDEX(예약내역!$C$3:$C$2002,MATCH(3,일별현황!$L$6:$L$2005,0)),"")</f>
        <v/>
      </c>
      <c r="E8" s="12" t="str">
        <f aca="false">IF($D8="","",IFERROR(INDEX(예약내역!$D$3:$D$2002,MATCH(3,일별현황!$L$6:$L$2005,0)),""))</f>
        <v/>
      </c>
      <c r="F8" s="12" t="str">
        <f aca="false">IF($D8="","",IFERROR(INDEX(예약내역!$E$3:$E$2002,MATCH(3,일별현황!$L$6:$L$2005,0)),""))</f>
        <v/>
      </c>
      <c r="G8" s="15" t="str">
        <f aca="false">IF($D8="","",IFERROR(INDEX(예약내역!$I$3:$I$2002,MATCH(3,일별현황!$L$6:$L$2005,0)),""))</f>
        <v/>
      </c>
      <c r="H8" s="15" t="str">
        <f aca="false">IF($D8="","",IFERROR(INDEX(예약내역!$J$3:$J$2002,MATCH(3,일별현황!$L$6:$L$2005,0)),""))</f>
        <v/>
      </c>
      <c r="J8" s="21" t="b">
        <f aca="false">IF(예약내역!$A5="",FALSE(),AND(예약내역!$A5=$B$3,예약내역!$J5&lt;&gt;"취소"))</f>
        <v>0</v>
      </c>
      <c r="K8" s="5" t="str">
        <f aca="false">IF($J8=FALSE(),"",예약내역!$L5*10000+ROW())</f>
        <v/>
      </c>
      <c r="L8" s="5" t="str">
        <f aca="false">IF($K8="","",RANK($K8,$K$6:$K$2005,1))</f>
        <v/>
      </c>
    </row>
    <row r="9" customFormat="false" ht="15" hidden="false" customHeight="true" outlineLevel="0" collapsed="false">
      <c r="A9" s="15" t="str">
        <f aca="false">IF($D9="","",4)</f>
        <v/>
      </c>
      <c r="B9" s="20" t="str">
        <f aca="false">IFERROR(INDEX(예약내역!$F$3:$F$2002,MATCH(4,일별현황!$L$6:$L$2005,0)),"")</f>
        <v/>
      </c>
      <c r="C9" s="20" t="str">
        <f aca="false">IF($B9="","",IFERROR(INDEX(예약내역!$G$3:$G$2002,MATCH(4,일별현황!$L$6:$L$2005,0)),""))</f>
        <v/>
      </c>
      <c r="D9" s="12" t="str">
        <f aca="false">IFERROR(INDEX(예약내역!$C$3:$C$2002,MATCH(4,일별현황!$L$6:$L$2005,0)),"")</f>
        <v/>
      </c>
      <c r="E9" s="12" t="str">
        <f aca="false">IF($D9="","",IFERROR(INDEX(예약내역!$D$3:$D$2002,MATCH(4,일별현황!$L$6:$L$2005,0)),""))</f>
        <v/>
      </c>
      <c r="F9" s="12" t="str">
        <f aca="false">IF($D9="","",IFERROR(INDEX(예약내역!$E$3:$E$2002,MATCH(4,일별현황!$L$6:$L$2005,0)),""))</f>
        <v/>
      </c>
      <c r="G9" s="15" t="str">
        <f aca="false">IF($D9="","",IFERROR(INDEX(예약내역!$I$3:$I$2002,MATCH(4,일별현황!$L$6:$L$2005,0)),""))</f>
        <v/>
      </c>
      <c r="H9" s="15" t="str">
        <f aca="false">IF($D9="","",IFERROR(INDEX(예약내역!$J$3:$J$2002,MATCH(4,일별현황!$L$6:$L$2005,0)),""))</f>
        <v/>
      </c>
      <c r="J9" s="21" t="b">
        <f aca="false">IF(예약내역!$A6="",FALSE(),AND(예약내역!$A6=$B$3,예약내역!$J6&lt;&gt;"취소"))</f>
        <v>0</v>
      </c>
      <c r="K9" s="5" t="str">
        <f aca="false">IF($J9=FALSE(),"",예약내역!$L6*10000+ROW())</f>
        <v/>
      </c>
      <c r="L9" s="5" t="str">
        <f aca="false">IF($K9="","",RANK($K9,$K$6:$K$2005,1))</f>
        <v/>
      </c>
    </row>
    <row r="10" customFormat="false" ht="15" hidden="false" customHeight="true" outlineLevel="0" collapsed="false">
      <c r="A10" s="15" t="str">
        <f aca="false">IF($D10="","",5)</f>
        <v/>
      </c>
      <c r="B10" s="20" t="str">
        <f aca="false">IFERROR(INDEX(예약내역!$F$3:$F$2002,MATCH(5,일별현황!$L$6:$L$2005,0)),"")</f>
        <v/>
      </c>
      <c r="C10" s="20" t="str">
        <f aca="false">IF($B10="","",IFERROR(INDEX(예약내역!$G$3:$G$2002,MATCH(5,일별현황!$L$6:$L$2005,0)),""))</f>
        <v/>
      </c>
      <c r="D10" s="12" t="str">
        <f aca="false">IFERROR(INDEX(예약내역!$C$3:$C$2002,MATCH(5,일별현황!$L$6:$L$2005,0)),"")</f>
        <v/>
      </c>
      <c r="E10" s="12" t="str">
        <f aca="false">IF($D10="","",IFERROR(INDEX(예약내역!$D$3:$D$2002,MATCH(5,일별현황!$L$6:$L$2005,0)),""))</f>
        <v/>
      </c>
      <c r="F10" s="12" t="str">
        <f aca="false">IF($D10="","",IFERROR(INDEX(예약내역!$E$3:$E$2002,MATCH(5,일별현황!$L$6:$L$2005,0)),""))</f>
        <v/>
      </c>
      <c r="G10" s="15" t="str">
        <f aca="false">IF($D10="","",IFERROR(INDEX(예약내역!$I$3:$I$2002,MATCH(5,일별현황!$L$6:$L$2005,0)),""))</f>
        <v/>
      </c>
      <c r="H10" s="15" t="str">
        <f aca="false">IF($D10="","",IFERROR(INDEX(예약내역!$J$3:$J$2002,MATCH(5,일별현황!$L$6:$L$2005,0)),""))</f>
        <v/>
      </c>
      <c r="J10" s="21" t="b">
        <f aca="false">IF(예약내역!$A7="",FALSE(),AND(예약내역!$A7=$B$3,예약내역!$J7&lt;&gt;"취소"))</f>
        <v>1</v>
      </c>
      <c r="K10" s="5" t="n">
        <f aca="false">IF($J10=FALSE(),"",예약내역!$L7*10000+ROW())</f>
        <v>5400010</v>
      </c>
      <c r="L10" s="5" t="n">
        <f aca="false">IF($K10="","",RANK($K10,$K$6:$K$2005,1))</f>
        <v>1</v>
      </c>
    </row>
    <row r="11" customFormat="false" ht="15" hidden="false" customHeight="true" outlineLevel="0" collapsed="false">
      <c r="A11" s="15" t="str">
        <f aca="false">IF($D11="","",6)</f>
        <v/>
      </c>
      <c r="B11" s="20" t="str">
        <f aca="false">IFERROR(INDEX(예약내역!$F$3:$F$2002,MATCH(6,일별현황!$L$6:$L$2005,0)),"")</f>
        <v/>
      </c>
      <c r="C11" s="20" t="str">
        <f aca="false">IF($B11="","",IFERROR(INDEX(예약내역!$G$3:$G$2002,MATCH(6,일별현황!$L$6:$L$2005,0)),""))</f>
        <v/>
      </c>
      <c r="D11" s="12" t="str">
        <f aca="false">IFERROR(INDEX(예약내역!$C$3:$C$2002,MATCH(6,일별현황!$L$6:$L$2005,0)),"")</f>
        <v/>
      </c>
      <c r="E11" s="12" t="str">
        <f aca="false">IF($D11="","",IFERROR(INDEX(예약내역!$D$3:$D$2002,MATCH(6,일별현황!$L$6:$L$2005,0)),""))</f>
        <v/>
      </c>
      <c r="F11" s="12" t="str">
        <f aca="false">IF($D11="","",IFERROR(INDEX(예약내역!$E$3:$E$2002,MATCH(6,일별현황!$L$6:$L$2005,0)),""))</f>
        <v/>
      </c>
      <c r="G11" s="15" t="str">
        <f aca="false">IF($D11="","",IFERROR(INDEX(예약내역!$I$3:$I$2002,MATCH(6,일별현황!$L$6:$L$2005,0)),""))</f>
        <v/>
      </c>
      <c r="H11" s="15" t="str">
        <f aca="false">IF($D11="","",IFERROR(INDEX(예약내역!$J$3:$J$2002,MATCH(6,일별현황!$L$6:$L$2005,0)),""))</f>
        <v/>
      </c>
      <c r="J11" s="21" t="b">
        <f aca="false">IF(예약내역!$A8="",FALSE(),AND(예약내역!$A8=$B$3,예약내역!$J8&lt;&gt;"취소"))</f>
        <v>1</v>
      </c>
      <c r="K11" s="5" t="n">
        <f aca="false">IF($J11=FALSE(),"",예약내역!$L8*10000+ROW())</f>
        <v>8400011</v>
      </c>
      <c r="L11" s="5" t="n">
        <f aca="false">IF($K11="","",RANK($K11,$K$6:$K$2005,1))</f>
        <v>2</v>
      </c>
    </row>
    <row r="12" customFormat="false" ht="15" hidden="false" customHeight="true" outlineLevel="0" collapsed="false">
      <c r="A12" s="15" t="str">
        <f aca="false">IF($D12="","",7)</f>
        <v/>
      </c>
      <c r="B12" s="20" t="str">
        <f aca="false">IFERROR(INDEX(예약내역!$F$3:$F$2002,MATCH(7,일별현황!$L$6:$L$2005,0)),"")</f>
        <v/>
      </c>
      <c r="C12" s="20" t="str">
        <f aca="false">IF($B12="","",IFERROR(INDEX(예약내역!$G$3:$G$2002,MATCH(7,일별현황!$L$6:$L$2005,0)),""))</f>
        <v/>
      </c>
      <c r="D12" s="12" t="str">
        <f aca="false">IFERROR(INDEX(예약내역!$C$3:$C$2002,MATCH(7,일별현황!$L$6:$L$2005,0)),"")</f>
        <v/>
      </c>
      <c r="E12" s="12" t="str">
        <f aca="false">IF($D12="","",IFERROR(INDEX(예약내역!$D$3:$D$2002,MATCH(7,일별현황!$L$6:$L$2005,0)),""))</f>
        <v/>
      </c>
      <c r="F12" s="12" t="str">
        <f aca="false">IF($D12="","",IFERROR(INDEX(예약내역!$E$3:$E$2002,MATCH(7,일별현황!$L$6:$L$2005,0)),""))</f>
        <v/>
      </c>
      <c r="G12" s="15" t="str">
        <f aca="false">IF($D12="","",IFERROR(INDEX(예약내역!$I$3:$I$2002,MATCH(7,일별현황!$L$6:$L$2005,0)),""))</f>
        <v/>
      </c>
      <c r="H12" s="15" t="str">
        <f aca="false">IF($D12="","",IFERROR(INDEX(예약내역!$J$3:$J$2002,MATCH(7,일별현황!$L$6:$L$2005,0)),""))</f>
        <v/>
      </c>
      <c r="J12" s="21" t="b">
        <f aca="false">IF(예약내역!$A9="",FALSE(),AND(예약내역!$A9=$B$3,예약내역!$J9&lt;&gt;"취소"))</f>
        <v>0</v>
      </c>
      <c r="K12" s="5" t="str">
        <f aca="false">IF($J12=FALSE(),"",예약내역!$L9*10000+ROW())</f>
        <v/>
      </c>
      <c r="L12" s="5" t="str">
        <f aca="false">IF($K12="","",RANK($K12,$K$6:$K$2005,1))</f>
        <v/>
      </c>
    </row>
    <row r="13" customFormat="false" ht="15" hidden="false" customHeight="true" outlineLevel="0" collapsed="false">
      <c r="A13" s="15" t="str">
        <f aca="false">IF($D13="","",8)</f>
        <v/>
      </c>
      <c r="B13" s="20" t="str">
        <f aca="false">IFERROR(INDEX(예약내역!$F$3:$F$2002,MATCH(8,일별현황!$L$6:$L$2005,0)),"")</f>
        <v/>
      </c>
      <c r="C13" s="20" t="str">
        <f aca="false">IF($B13="","",IFERROR(INDEX(예약내역!$G$3:$G$2002,MATCH(8,일별현황!$L$6:$L$2005,0)),""))</f>
        <v/>
      </c>
      <c r="D13" s="12" t="str">
        <f aca="false">IFERROR(INDEX(예약내역!$C$3:$C$2002,MATCH(8,일별현황!$L$6:$L$2005,0)),"")</f>
        <v/>
      </c>
      <c r="E13" s="12" t="str">
        <f aca="false">IF($D13="","",IFERROR(INDEX(예약내역!$D$3:$D$2002,MATCH(8,일별현황!$L$6:$L$2005,0)),""))</f>
        <v/>
      </c>
      <c r="F13" s="12" t="str">
        <f aca="false">IF($D13="","",IFERROR(INDEX(예약내역!$E$3:$E$2002,MATCH(8,일별현황!$L$6:$L$2005,0)),""))</f>
        <v/>
      </c>
      <c r="G13" s="15" t="str">
        <f aca="false">IF($D13="","",IFERROR(INDEX(예약내역!$I$3:$I$2002,MATCH(8,일별현황!$L$6:$L$2005,0)),""))</f>
        <v/>
      </c>
      <c r="H13" s="15" t="str">
        <f aca="false">IF($D13="","",IFERROR(INDEX(예약내역!$J$3:$J$2002,MATCH(8,일별현황!$L$6:$L$2005,0)),""))</f>
        <v/>
      </c>
      <c r="J13" s="21" t="b">
        <f aca="false">IF(예약내역!$A10="",FALSE(),AND(예약내역!$A10=$B$3,예약내역!$J10&lt;&gt;"취소"))</f>
        <v>0</v>
      </c>
      <c r="K13" s="5" t="str">
        <f aca="false">IF($J13=FALSE(),"",예약내역!$L10*10000+ROW())</f>
        <v/>
      </c>
      <c r="L13" s="5" t="str">
        <f aca="false">IF($K13="","",RANK($K13,$K$6:$K$2005,1))</f>
        <v/>
      </c>
    </row>
    <row r="14" customFormat="false" ht="15" hidden="false" customHeight="true" outlineLevel="0" collapsed="false">
      <c r="A14" s="15" t="str">
        <f aca="false">IF($D14="","",9)</f>
        <v/>
      </c>
      <c r="B14" s="20" t="str">
        <f aca="false">IFERROR(INDEX(예약내역!$F$3:$F$2002,MATCH(9,일별현황!$L$6:$L$2005,0)),"")</f>
        <v/>
      </c>
      <c r="C14" s="20" t="str">
        <f aca="false">IF($B14="","",IFERROR(INDEX(예약내역!$G$3:$G$2002,MATCH(9,일별현황!$L$6:$L$2005,0)),""))</f>
        <v/>
      </c>
      <c r="D14" s="12" t="str">
        <f aca="false">IFERROR(INDEX(예약내역!$C$3:$C$2002,MATCH(9,일별현황!$L$6:$L$2005,0)),"")</f>
        <v/>
      </c>
      <c r="E14" s="12" t="str">
        <f aca="false">IF($D14="","",IFERROR(INDEX(예약내역!$D$3:$D$2002,MATCH(9,일별현황!$L$6:$L$2005,0)),""))</f>
        <v/>
      </c>
      <c r="F14" s="12" t="str">
        <f aca="false">IF($D14="","",IFERROR(INDEX(예약내역!$E$3:$E$2002,MATCH(9,일별현황!$L$6:$L$2005,0)),""))</f>
        <v/>
      </c>
      <c r="G14" s="15" t="str">
        <f aca="false">IF($D14="","",IFERROR(INDEX(예약내역!$I$3:$I$2002,MATCH(9,일별현황!$L$6:$L$2005,0)),""))</f>
        <v/>
      </c>
      <c r="H14" s="15" t="str">
        <f aca="false">IF($D14="","",IFERROR(INDEX(예약내역!$J$3:$J$2002,MATCH(9,일별현황!$L$6:$L$2005,0)),""))</f>
        <v/>
      </c>
      <c r="J14" s="21" t="b">
        <f aca="false">IF(예약내역!$A11="",FALSE(),AND(예약내역!$A11=$B$3,예약내역!$J11&lt;&gt;"취소"))</f>
        <v>0</v>
      </c>
      <c r="K14" s="5" t="str">
        <f aca="false">IF($J14=FALSE(),"",예약내역!$L11*10000+ROW())</f>
        <v/>
      </c>
      <c r="L14" s="5" t="str">
        <f aca="false">IF($K14="","",RANK($K14,$K$6:$K$2005,1))</f>
        <v/>
      </c>
    </row>
    <row r="15" customFormat="false" ht="15" hidden="false" customHeight="true" outlineLevel="0" collapsed="false">
      <c r="A15" s="15" t="str">
        <f aca="false">IF($D15="","",10)</f>
        <v/>
      </c>
      <c r="B15" s="20" t="str">
        <f aca="false">IFERROR(INDEX(예약내역!$F$3:$F$2002,MATCH(10,일별현황!$L$6:$L$2005,0)),"")</f>
        <v/>
      </c>
      <c r="C15" s="20" t="str">
        <f aca="false">IF($B15="","",IFERROR(INDEX(예약내역!$G$3:$G$2002,MATCH(10,일별현황!$L$6:$L$2005,0)),""))</f>
        <v/>
      </c>
      <c r="D15" s="12" t="str">
        <f aca="false">IFERROR(INDEX(예약내역!$C$3:$C$2002,MATCH(10,일별현황!$L$6:$L$2005,0)),"")</f>
        <v/>
      </c>
      <c r="E15" s="12" t="str">
        <f aca="false">IF($D15="","",IFERROR(INDEX(예약내역!$D$3:$D$2002,MATCH(10,일별현황!$L$6:$L$2005,0)),""))</f>
        <v/>
      </c>
      <c r="F15" s="12" t="str">
        <f aca="false">IF($D15="","",IFERROR(INDEX(예약내역!$E$3:$E$2002,MATCH(10,일별현황!$L$6:$L$2005,0)),""))</f>
        <v/>
      </c>
      <c r="G15" s="15" t="str">
        <f aca="false">IF($D15="","",IFERROR(INDEX(예약내역!$I$3:$I$2002,MATCH(10,일별현황!$L$6:$L$2005,0)),""))</f>
        <v/>
      </c>
      <c r="H15" s="15" t="str">
        <f aca="false">IF($D15="","",IFERROR(INDEX(예약내역!$J$3:$J$2002,MATCH(10,일별현황!$L$6:$L$2005,0)),""))</f>
        <v/>
      </c>
      <c r="J15" s="21" t="b">
        <f aca="false">IF(예약내역!$A12="",FALSE(),AND(예약내역!$A12=$B$3,예약내역!$J12&lt;&gt;"취소"))</f>
        <v>0</v>
      </c>
      <c r="K15" s="5" t="str">
        <f aca="false">IF($J15=FALSE(),"",예약내역!$L12*10000+ROW())</f>
        <v/>
      </c>
      <c r="L15" s="5" t="str">
        <f aca="false">IF($K15="","",RANK($K15,$K$6:$K$2005,1))</f>
        <v/>
      </c>
    </row>
    <row r="16" customFormat="false" ht="15" hidden="false" customHeight="true" outlineLevel="0" collapsed="false">
      <c r="A16" s="15" t="str">
        <f aca="false">IF($D16="","",11)</f>
        <v/>
      </c>
      <c r="B16" s="20" t="str">
        <f aca="false">IFERROR(INDEX(예약내역!$F$3:$F$2002,MATCH(11,일별현황!$L$6:$L$2005,0)),"")</f>
        <v/>
      </c>
      <c r="C16" s="20" t="str">
        <f aca="false">IF($B16="","",IFERROR(INDEX(예약내역!$G$3:$G$2002,MATCH(11,일별현황!$L$6:$L$2005,0)),""))</f>
        <v/>
      </c>
      <c r="D16" s="12" t="str">
        <f aca="false">IFERROR(INDEX(예약내역!$C$3:$C$2002,MATCH(11,일별현황!$L$6:$L$2005,0)),"")</f>
        <v/>
      </c>
      <c r="E16" s="12" t="str">
        <f aca="false">IF($D16="","",IFERROR(INDEX(예약내역!$D$3:$D$2002,MATCH(11,일별현황!$L$6:$L$2005,0)),""))</f>
        <v/>
      </c>
      <c r="F16" s="12" t="str">
        <f aca="false">IF($D16="","",IFERROR(INDEX(예약내역!$E$3:$E$2002,MATCH(11,일별현황!$L$6:$L$2005,0)),""))</f>
        <v/>
      </c>
      <c r="G16" s="15" t="str">
        <f aca="false">IF($D16="","",IFERROR(INDEX(예약내역!$I$3:$I$2002,MATCH(11,일별현황!$L$6:$L$2005,0)),""))</f>
        <v/>
      </c>
      <c r="H16" s="15" t="str">
        <f aca="false">IF($D16="","",IFERROR(INDEX(예약내역!$J$3:$J$2002,MATCH(11,일별현황!$L$6:$L$2005,0)),""))</f>
        <v/>
      </c>
      <c r="J16" s="21" t="b">
        <f aca="false">IF(예약내역!$A13="",FALSE(),AND(예약내역!$A13=$B$3,예약내역!$J13&lt;&gt;"취소"))</f>
        <v>0</v>
      </c>
      <c r="K16" s="5" t="str">
        <f aca="false">IF($J16=FALSE(),"",예약내역!$L13*10000+ROW())</f>
        <v/>
      </c>
      <c r="L16" s="5" t="str">
        <f aca="false">IF($K16="","",RANK($K16,$K$6:$K$2005,1))</f>
        <v/>
      </c>
    </row>
    <row r="17" customFormat="false" ht="15" hidden="false" customHeight="true" outlineLevel="0" collapsed="false">
      <c r="A17" s="15" t="str">
        <f aca="false">IF($D17="","",12)</f>
        <v/>
      </c>
      <c r="B17" s="20" t="str">
        <f aca="false">IFERROR(INDEX(예약내역!$F$3:$F$2002,MATCH(12,일별현황!$L$6:$L$2005,0)),"")</f>
        <v/>
      </c>
      <c r="C17" s="20" t="str">
        <f aca="false">IF($B17="","",IFERROR(INDEX(예약내역!$G$3:$G$2002,MATCH(12,일별현황!$L$6:$L$2005,0)),""))</f>
        <v/>
      </c>
      <c r="D17" s="12" t="str">
        <f aca="false">IFERROR(INDEX(예약내역!$C$3:$C$2002,MATCH(12,일별현황!$L$6:$L$2005,0)),"")</f>
        <v/>
      </c>
      <c r="E17" s="12" t="str">
        <f aca="false">IF($D17="","",IFERROR(INDEX(예약내역!$D$3:$D$2002,MATCH(12,일별현황!$L$6:$L$2005,0)),""))</f>
        <v/>
      </c>
      <c r="F17" s="12" t="str">
        <f aca="false">IF($D17="","",IFERROR(INDEX(예약내역!$E$3:$E$2002,MATCH(12,일별현황!$L$6:$L$2005,0)),""))</f>
        <v/>
      </c>
      <c r="G17" s="15" t="str">
        <f aca="false">IF($D17="","",IFERROR(INDEX(예약내역!$I$3:$I$2002,MATCH(12,일별현황!$L$6:$L$2005,0)),""))</f>
        <v/>
      </c>
      <c r="H17" s="15" t="str">
        <f aca="false">IF($D17="","",IFERROR(INDEX(예약내역!$J$3:$J$2002,MATCH(12,일별현황!$L$6:$L$2005,0)),""))</f>
        <v/>
      </c>
      <c r="J17" s="21" t="b">
        <f aca="false">IF(예약내역!$A14="",FALSE(),AND(예약내역!$A14=$B$3,예약내역!$J14&lt;&gt;"취소"))</f>
        <v>0</v>
      </c>
      <c r="K17" s="5" t="str">
        <f aca="false">IF($J17=FALSE(),"",예약내역!$L14*10000+ROW())</f>
        <v/>
      </c>
      <c r="L17" s="5" t="str">
        <f aca="false">IF($K17="","",RANK($K17,$K$6:$K$2005,1))</f>
        <v/>
      </c>
    </row>
    <row r="18" customFormat="false" ht="15" hidden="false" customHeight="true" outlineLevel="0" collapsed="false">
      <c r="A18" s="15" t="str">
        <f aca="false">IF($D18="","",13)</f>
        <v/>
      </c>
      <c r="B18" s="20" t="str">
        <f aca="false">IFERROR(INDEX(예약내역!$F$3:$F$2002,MATCH(13,일별현황!$L$6:$L$2005,0)),"")</f>
        <v/>
      </c>
      <c r="C18" s="20" t="str">
        <f aca="false">IF($B18="","",IFERROR(INDEX(예약내역!$G$3:$G$2002,MATCH(13,일별현황!$L$6:$L$2005,0)),""))</f>
        <v/>
      </c>
      <c r="D18" s="12" t="str">
        <f aca="false">IFERROR(INDEX(예약내역!$C$3:$C$2002,MATCH(13,일별현황!$L$6:$L$2005,0)),"")</f>
        <v/>
      </c>
      <c r="E18" s="12" t="str">
        <f aca="false">IF($D18="","",IFERROR(INDEX(예약내역!$D$3:$D$2002,MATCH(13,일별현황!$L$6:$L$2005,0)),""))</f>
        <v/>
      </c>
      <c r="F18" s="12" t="str">
        <f aca="false">IF($D18="","",IFERROR(INDEX(예약내역!$E$3:$E$2002,MATCH(13,일별현황!$L$6:$L$2005,0)),""))</f>
        <v/>
      </c>
      <c r="G18" s="15" t="str">
        <f aca="false">IF($D18="","",IFERROR(INDEX(예약내역!$I$3:$I$2002,MATCH(13,일별현황!$L$6:$L$2005,0)),""))</f>
        <v/>
      </c>
      <c r="H18" s="15" t="str">
        <f aca="false">IF($D18="","",IFERROR(INDEX(예약내역!$J$3:$J$2002,MATCH(13,일별현황!$L$6:$L$2005,0)),""))</f>
        <v/>
      </c>
      <c r="J18" s="21" t="b">
        <f aca="false">IF(예약내역!$A15="",FALSE(),AND(예약내역!$A15=$B$3,예약내역!$J15&lt;&gt;"취소"))</f>
        <v>0</v>
      </c>
      <c r="K18" s="5" t="str">
        <f aca="false">IF($J18=FALSE(),"",예약내역!$L15*10000+ROW())</f>
        <v/>
      </c>
      <c r="L18" s="5" t="str">
        <f aca="false">IF($K18="","",RANK($K18,$K$6:$K$2005,1))</f>
        <v/>
      </c>
    </row>
    <row r="19" customFormat="false" ht="15" hidden="false" customHeight="true" outlineLevel="0" collapsed="false">
      <c r="A19" s="15" t="str">
        <f aca="false">IF($D19="","",14)</f>
        <v/>
      </c>
      <c r="B19" s="20" t="str">
        <f aca="false">IFERROR(INDEX(예약내역!$F$3:$F$2002,MATCH(14,일별현황!$L$6:$L$2005,0)),"")</f>
        <v/>
      </c>
      <c r="C19" s="20" t="str">
        <f aca="false">IF($B19="","",IFERROR(INDEX(예약내역!$G$3:$G$2002,MATCH(14,일별현황!$L$6:$L$2005,0)),""))</f>
        <v/>
      </c>
      <c r="D19" s="12" t="str">
        <f aca="false">IFERROR(INDEX(예약내역!$C$3:$C$2002,MATCH(14,일별현황!$L$6:$L$2005,0)),"")</f>
        <v/>
      </c>
      <c r="E19" s="12" t="str">
        <f aca="false">IF($D19="","",IFERROR(INDEX(예약내역!$D$3:$D$2002,MATCH(14,일별현황!$L$6:$L$2005,0)),""))</f>
        <v/>
      </c>
      <c r="F19" s="12" t="str">
        <f aca="false">IF($D19="","",IFERROR(INDEX(예약내역!$E$3:$E$2002,MATCH(14,일별현황!$L$6:$L$2005,0)),""))</f>
        <v/>
      </c>
      <c r="G19" s="15" t="str">
        <f aca="false">IF($D19="","",IFERROR(INDEX(예약내역!$I$3:$I$2002,MATCH(14,일별현황!$L$6:$L$2005,0)),""))</f>
        <v/>
      </c>
      <c r="H19" s="15" t="str">
        <f aca="false">IF($D19="","",IFERROR(INDEX(예약내역!$J$3:$J$2002,MATCH(14,일별현황!$L$6:$L$2005,0)),""))</f>
        <v/>
      </c>
      <c r="J19" s="21" t="b">
        <f aca="false">IF(예약내역!$A16="",FALSE(),AND(예약내역!$A16=$B$3,예약내역!$J16&lt;&gt;"취소"))</f>
        <v>0</v>
      </c>
      <c r="K19" s="5" t="str">
        <f aca="false">IF($J19=FALSE(),"",예약내역!$L16*10000+ROW())</f>
        <v/>
      </c>
      <c r="L19" s="5" t="str">
        <f aca="false">IF($K19="","",RANK($K19,$K$6:$K$2005,1))</f>
        <v/>
      </c>
    </row>
    <row r="20" customFormat="false" ht="15" hidden="false" customHeight="true" outlineLevel="0" collapsed="false">
      <c r="A20" s="15" t="str">
        <f aca="false">IF($D20="","",15)</f>
        <v/>
      </c>
      <c r="B20" s="20" t="str">
        <f aca="false">IFERROR(INDEX(예약내역!$F$3:$F$2002,MATCH(15,일별현황!$L$6:$L$2005,0)),"")</f>
        <v/>
      </c>
      <c r="C20" s="20" t="str">
        <f aca="false">IF($B20="","",IFERROR(INDEX(예약내역!$G$3:$G$2002,MATCH(15,일별현황!$L$6:$L$2005,0)),""))</f>
        <v/>
      </c>
      <c r="D20" s="12" t="str">
        <f aca="false">IFERROR(INDEX(예약내역!$C$3:$C$2002,MATCH(15,일별현황!$L$6:$L$2005,0)),"")</f>
        <v/>
      </c>
      <c r="E20" s="12" t="str">
        <f aca="false">IF($D20="","",IFERROR(INDEX(예약내역!$D$3:$D$2002,MATCH(15,일별현황!$L$6:$L$2005,0)),""))</f>
        <v/>
      </c>
      <c r="F20" s="12" t="str">
        <f aca="false">IF($D20="","",IFERROR(INDEX(예약내역!$E$3:$E$2002,MATCH(15,일별현황!$L$6:$L$2005,0)),""))</f>
        <v/>
      </c>
      <c r="G20" s="15" t="str">
        <f aca="false">IF($D20="","",IFERROR(INDEX(예약내역!$I$3:$I$2002,MATCH(15,일별현황!$L$6:$L$2005,0)),""))</f>
        <v/>
      </c>
      <c r="H20" s="15" t="str">
        <f aca="false">IF($D20="","",IFERROR(INDEX(예약내역!$J$3:$J$2002,MATCH(15,일별현황!$L$6:$L$2005,0)),""))</f>
        <v/>
      </c>
      <c r="J20" s="21" t="b">
        <f aca="false">IF(예약내역!$A17="",FALSE(),AND(예약내역!$A17=$B$3,예약내역!$J17&lt;&gt;"취소"))</f>
        <v>0</v>
      </c>
      <c r="K20" s="5" t="str">
        <f aca="false">IF($J20=FALSE(),"",예약내역!$L17*10000+ROW())</f>
        <v/>
      </c>
      <c r="L20" s="5" t="str">
        <f aca="false">IF($K20="","",RANK($K20,$K$6:$K$2005,1))</f>
        <v/>
      </c>
    </row>
    <row r="21" customFormat="false" ht="15" hidden="false" customHeight="true" outlineLevel="0" collapsed="false">
      <c r="A21" s="15" t="str">
        <f aca="false">IF($D21="","",16)</f>
        <v/>
      </c>
      <c r="B21" s="20" t="str">
        <f aca="false">IFERROR(INDEX(예약내역!$F$3:$F$2002,MATCH(16,일별현황!$L$6:$L$2005,0)),"")</f>
        <v/>
      </c>
      <c r="C21" s="20" t="str">
        <f aca="false">IF($B21="","",IFERROR(INDEX(예약내역!$G$3:$G$2002,MATCH(16,일별현황!$L$6:$L$2005,0)),""))</f>
        <v/>
      </c>
      <c r="D21" s="12" t="str">
        <f aca="false">IFERROR(INDEX(예약내역!$C$3:$C$2002,MATCH(16,일별현황!$L$6:$L$2005,0)),"")</f>
        <v/>
      </c>
      <c r="E21" s="12" t="str">
        <f aca="false">IF($D21="","",IFERROR(INDEX(예약내역!$D$3:$D$2002,MATCH(16,일별현황!$L$6:$L$2005,0)),""))</f>
        <v/>
      </c>
      <c r="F21" s="12" t="str">
        <f aca="false">IF($D21="","",IFERROR(INDEX(예약내역!$E$3:$E$2002,MATCH(16,일별현황!$L$6:$L$2005,0)),""))</f>
        <v/>
      </c>
      <c r="G21" s="15" t="str">
        <f aca="false">IF($D21="","",IFERROR(INDEX(예약내역!$I$3:$I$2002,MATCH(16,일별현황!$L$6:$L$2005,0)),""))</f>
        <v/>
      </c>
      <c r="H21" s="15" t="str">
        <f aca="false">IF($D21="","",IFERROR(INDEX(예약내역!$J$3:$J$2002,MATCH(16,일별현황!$L$6:$L$2005,0)),""))</f>
        <v/>
      </c>
      <c r="J21" s="21" t="b">
        <f aca="false">IF(예약내역!$A18="",FALSE(),AND(예약내역!$A18=$B$3,예약내역!$J18&lt;&gt;"취소"))</f>
        <v>0</v>
      </c>
      <c r="K21" s="5" t="str">
        <f aca="false">IF($J21=FALSE(),"",예약내역!$L18*10000+ROW())</f>
        <v/>
      </c>
      <c r="L21" s="5" t="str">
        <f aca="false">IF($K21="","",RANK($K21,$K$6:$K$2005,1))</f>
        <v/>
      </c>
    </row>
    <row r="22" customFormat="false" ht="15" hidden="false" customHeight="true" outlineLevel="0" collapsed="false">
      <c r="A22" s="15" t="str">
        <f aca="false">IF($D22="","",17)</f>
        <v/>
      </c>
      <c r="B22" s="20" t="str">
        <f aca="false">IFERROR(INDEX(예약내역!$F$3:$F$2002,MATCH(17,일별현황!$L$6:$L$2005,0)),"")</f>
        <v/>
      </c>
      <c r="C22" s="20" t="str">
        <f aca="false">IF($B22="","",IFERROR(INDEX(예약내역!$G$3:$G$2002,MATCH(17,일별현황!$L$6:$L$2005,0)),""))</f>
        <v/>
      </c>
      <c r="D22" s="12" t="str">
        <f aca="false">IFERROR(INDEX(예약내역!$C$3:$C$2002,MATCH(17,일별현황!$L$6:$L$2005,0)),"")</f>
        <v/>
      </c>
      <c r="E22" s="12" t="str">
        <f aca="false">IF($D22="","",IFERROR(INDEX(예약내역!$D$3:$D$2002,MATCH(17,일별현황!$L$6:$L$2005,0)),""))</f>
        <v/>
      </c>
      <c r="F22" s="12" t="str">
        <f aca="false">IF($D22="","",IFERROR(INDEX(예약내역!$E$3:$E$2002,MATCH(17,일별현황!$L$6:$L$2005,0)),""))</f>
        <v/>
      </c>
      <c r="G22" s="15" t="str">
        <f aca="false">IF($D22="","",IFERROR(INDEX(예약내역!$I$3:$I$2002,MATCH(17,일별현황!$L$6:$L$2005,0)),""))</f>
        <v/>
      </c>
      <c r="H22" s="15" t="str">
        <f aca="false">IF($D22="","",IFERROR(INDEX(예약내역!$J$3:$J$2002,MATCH(17,일별현황!$L$6:$L$2005,0)),""))</f>
        <v/>
      </c>
      <c r="J22" s="21" t="b">
        <f aca="false">IF(예약내역!$A19="",FALSE(),AND(예약내역!$A19=$B$3,예약내역!$J19&lt;&gt;"취소"))</f>
        <v>0</v>
      </c>
      <c r="K22" s="5" t="str">
        <f aca="false">IF($J22=FALSE(),"",예약내역!$L19*10000+ROW())</f>
        <v/>
      </c>
      <c r="L22" s="5" t="str">
        <f aca="false">IF($K22="","",RANK($K22,$K$6:$K$2005,1))</f>
        <v/>
      </c>
    </row>
    <row r="23" customFormat="false" ht="15" hidden="false" customHeight="true" outlineLevel="0" collapsed="false">
      <c r="A23" s="15" t="str">
        <f aca="false">IF($D23="","",18)</f>
        <v/>
      </c>
      <c r="B23" s="20" t="str">
        <f aca="false">IFERROR(INDEX(예약내역!$F$3:$F$2002,MATCH(18,일별현황!$L$6:$L$2005,0)),"")</f>
        <v/>
      </c>
      <c r="C23" s="20" t="str">
        <f aca="false">IF($B23="","",IFERROR(INDEX(예약내역!$G$3:$G$2002,MATCH(18,일별현황!$L$6:$L$2005,0)),""))</f>
        <v/>
      </c>
      <c r="D23" s="12" t="str">
        <f aca="false">IFERROR(INDEX(예약내역!$C$3:$C$2002,MATCH(18,일별현황!$L$6:$L$2005,0)),"")</f>
        <v/>
      </c>
      <c r="E23" s="12" t="str">
        <f aca="false">IF($D23="","",IFERROR(INDEX(예약내역!$D$3:$D$2002,MATCH(18,일별현황!$L$6:$L$2005,0)),""))</f>
        <v/>
      </c>
      <c r="F23" s="12" t="str">
        <f aca="false">IF($D23="","",IFERROR(INDEX(예약내역!$E$3:$E$2002,MATCH(18,일별현황!$L$6:$L$2005,0)),""))</f>
        <v/>
      </c>
      <c r="G23" s="15" t="str">
        <f aca="false">IF($D23="","",IFERROR(INDEX(예약내역!$I$3:$I$2002,MATCH(18,일별현황!$L$6:$L$2005,0)),""))</f>
        <v/>
      </c>
      <c r="H23" s="15" t="str">
        <f aca="false">IF($D23="","",IFERROR(INDEX(예약내역!$J$3:$J$2002,MATCH(18,일별현황!$L$6:$L$2005,0)),""))</f>
        <v/>
      </c>
      <c r="J23" s="21" t="b">
        <f aca="false">IF(예약내역!$A20="",FALSE(),AND(예약내역!$A20=$B$3,예약내역!$J20&lt;&gt;"취소"))</f>
        <v>0</v>
      </c>
      <c r="K23" s="5" t="str">
        <f aca="false">IF($J23=FALSE(),"",예약내역!$L20*10000+ROW())</f>
        <v/>
      </c>
      <c r="L23" s="5" t="str">
        <f aca="false">IF($K23="","",RANK($K23,$K$6:$K$2005,1))</f>
        <v/>
      </c>
    </row>
    <row r="24" customFormat="false" ht="15" hidden="false" customHeight="true" outlineLevel="0" collapsed="false">
      <c r="A24" s="15" t="str">
        <f aca="false">IF($D24="","",19)</f>
        <v/>
      </c>
      <c r="B24" s="20" t="str">
        <f aca="false">IFERROR(INDEX(예약내역!$F$3:$F$2002,MATCH(19,일별현황!$L$6:$L$2005,0)),"")</f>
        <v/>
      </c>
      <c r="C24" s="20" t="str">
        <f aca="false">IF($B24="","",IFERROR(INDEX(예약내역!$G$3:$G$2002,MATCH(19,일별현황!$L$6:$L$2005,0)),""))</f>
        <v/>
      </c>
      <c r="D24" s="12" t="str">
        <f aca="false">IFERROR(INDEX(예약내역!$C$3:$C$2002,MATCH(19,일별현황!$L$6:$L$2005,0)),"")</f>
        <v/>
      </c>
      <c r="E24" s="12" t="str">
        <f aca="false">IF($D24="","",IFERROR(INDEX(예약내역!$D$3:$D$2002,MATCH(19,일별현황!$L$6:$L$2005,0)),""))</f>
        <v/>
      </c>
      <c r="F24" s="12" t="str">
        <f aca="false">IF($D24="","",IFERROR(INDEX(예약내역!$E$3:$E$2002,MATCH(19,일별현황!$L$6:$L$2005,0)),""))</f>
        <v/>
      </c>
      <c r="G24" s="15" t="str">
        <f aca="false">IF($D24="","",IFERROR(INDEX(예약내역!$I$3:$I$2002,MATCH(19,일별현황!$L$6:$L$2005,0)),""))</f>
        <v/>
      </c>
      <c r="H24" s="15" t="str">
        <f aca="false">IF($D24="","",IFERROR(INDEX(예약내역!$J$3:$J$2002,MATCH(19,일별현황!$L$6:$L$2005,0)),""))</f>
        <v/>
      </c>
      <c r="J24" s="21" t="b">
        <f aca="false">IF(예약내역!$A21="",FALSE(),AND(예약내역!$A21=$B$3,예약내역!$J21&lt;&gt;"취소"))</f>
        <v>0</v>
      </c>
      <c r="K24" s="5" t="str">
        <f aca="false">IF($J24=FALSE(),"",예약내역!$L21*10000+ROW())</f>
        <v/>
      </c>
      <c r="L24" s="5" t="str">
        <f aca="false">IF($K24="","",RANK($K24,$K$6:$K$2005,1))</f>
        <v/>
      </c>
    </row>
    <row r="25" customFormat="false" ht="15" hidden="false" customHeight="true" outlineLevel="0" collapsed="false">
      <c r="A25" s="15" t="str">
        <f aca="false">IF($D25="","",20)</f>
        <v/>
      </c>
      <c r="B25" s="20" t="str">
        <f aca="false">IFERROR(INDEX(예약내역!$F$3:$F$2002,MATCH(20,일별현황!$L$6:$L$2005,0)),"")</f>
        <v/>
      </c>
      <c r="C25" s="20" t="str">
        <f aca="false">IF($B25="","",IFERROR(INDEX(예약내역!$G$3:$G$2002,MATCH(20,일별현황!$L$6:$L$2005,0)),""))</f>
        <v/>
      </c>
      <c r="D25" s="12" t="str">
        <f aca="false">IFERROR(INDEX(예약내역!$C$3:$C$2002,MATCH(20,일별현황!$L$6:$L$2005,0)),"")</f>
        <v/>
      </c>
      <c r="E25" s="12" t="str">
        <f aca="false">IF($D25="","",IFERROR(INDEX(예약내역!$D$3:$D$2002,MATCH(20,일별현황!$L$6:$L$2005,0)),""))</f>
        <v/>
      </c>
      <c r="F25" s="12" t="str">
        <f aca="false">IF($D25="","",IFERROR(INDEX(예약내역!$E$3:$E$2002,MATCH(20,일별현황!$L$6:$L$2005,0)),""))</f>
        <v/>
      </c>
      <c r="G25" s="15" t="str">
        <f aca="false">IF($D25="","",IFERROR(INDEX(예약내역!$I$3:$I$2002,MATCH(20,일별현황!$L$6:$L$2005,0)),""))</f>
        <v/>
      </c>
      <c r="H25" s="15" t="str">
        <f aca="false">IF($D25="","",IFERROR(INDEX(예약내역!$J$3:$J$2002,MATCH(20,일별현황!$L$6:$L$2005,0)),""))</f>
        <v/>
      </c>
      <c r="J25" s="21" t="b">
        <f aca="false">IF(예약내역!$A22="",FALSE(),AND(예약내역!$A22=$B$3,예약내역!$J22&lt;&gt;"취소"))</f>
        <v>0</v>
      </c>
      <c r="K25" s="5" t="str">
        <f aca="false">IF($J25=FALSE(),"",예약내역!$L22*10000+ROW())</f>
        <v/>
      </c>
      <c r="L25" s="5" t="str">
        <f aca="false">IF($K25="","",RANK($K25,$K$6:$K$2005,1))</f>
        <v/>
      </c>
    </row>
    <row r="26" customFormat="false" ht="15" hidden="false" customHeight="true" outlineLevel="0" collapsed="false">
      <c r="A26" s="15" t="str">
        <f aca="false">IF($D26="","",21)</f>
        <v/>
      </c>
      <c r="B26" s="20" t="str">
        <f aca="false">IFERROR(INDEX(예약내역!$F$3:$F$2002,MATCH(21,일별현황!$L$6:$L$2005,0)),"")</f>
        <v/>
      </c>
      <c r="C26" s="20" t="str">
        <f aca="false">IF($B26="","",IFERROR(INDEX(예약내역!$G$3:$G$2002,MATCH(21,일별현황!$L$6:$L$2005,0)),""))</f>
        <v/>
      </c>
      <c r="D26" s="12" t="str">
        <f aca="false">IFERROR(INDEX(예약내역!$C$3:$C$2002,MATCH(21,일별현황!$L$6:$L$2005,0)),"")</f>
        <v/>
      </c>
      <c r="E26" s="12" t="str">
        <f aca="false">IF($D26="","",IFERROR(INDEX(예약내역!$D$3:$D$2002,MATCH(21,일별현황!$L$6:$L$2005,0)),""))</f>
        <v/>
      </c>
      <c r="F26" s="12" t="str">
        <f aca="false">IF($D26="","",IFERROR(INDEX(예약내역!$E$3:$E$2002,MATCH(21,일별현황!$L$6:$L$2005,0)),""))</f>
        <v/>
      </c>
      <c r="G26" s="15" t="str">
        <f aca="false">IF($D26="","",IFERROR(INDEX(예약내역!$I$3:$I$2002,MATCH(21,일별현황!$L$6:$L$2005,0)),""))</f>
        <v/>
      </c>
      <c r="H26" s="15" t="str">
        <f aca="false">IF($D26="","",IFERROR(INDEX(예약내역!$J$3:$J$2002,MATCH(21,일별현황!$L$6:$L$2005,0)),""))</f>
        <v/>
      </c>
      <c r="J26" s="21" t="b">
        <f aca="false">IF(예약내역!$A23="",FALSE(),AND(예약내역!$A23=$B$3,예약내역!$J23&lt;&gt;"취소"))</f>
        <v>0</v>
      </c>
      <c r="K26" s="5" t="str">
        <f aca="false">IF($J26=FALSE(),"",예약내역!$L23*10000+ROW())</f>
        <v/>
      </c>
      <c r="L26" s="5" t="str">
        <f aca="false">IF($K26="","",RANK($K26,$K$6:$K$2005,1))</f>
        <v/>
      </c>
    </row>
    <row r="27" customFormat="false" ht="15" hidden="false" customHeight="true" outlineLevel="0" collapsed="false">
      <c r="A27" s="15" t="str">
        <f aca="false">IF($D27="","",22)</f>
        <v/>
      </c>
      <c r="B27" s="20" t="str">
        <f aca="false">IFERROR(INDEX(예약내역!$F$3:$F$2002,MATCH(22,일별현황!$L$6:$L$2005,0)),"")</f>
        <v/>
      </c>
      <c r="C27" s="20" t="str">
        <f aca="false">IF($B27="","",IFERROR(INDEX(예약내역!$G$3:$G$2002,MATCH(22,일별현황!$L$6:$L$2005,0)),""))</f>
        <v/>
      </c>
      <c r="D27" s="12" t="str">
        <f aca="false">IFERROR(INDEX(예약내역!$C$3:$C$2002,MATCH(22,일별현황!$L$6:$L$2005,0)),"")</f>
        <v/>
      </c>
      <c r="E27" s="12" t="str">
        <f aca="false">IF($D27="","",IFERROR(INDEX(예약내역!$D$3:$D$2002,MATCH(22,일별현황!$L$6:$L$2005,0)),""))</f>
        <v/>
      </c>
      <c r="F27" s="12" t="str">
        <f aca="false">IF($D27="","",IFERROR(INDEX(예약내역!$E$3:$E$2002,MATCH(22,일별현황!$L$6:$L$2005,0)),""))</f>
        <v/>
      </c>
      <c r="G27" s="15" t="str">
        <f aca="false">IF($D27="","",IFERROR(INDEX(예약내역!$I$3:$I$2002,MATCH(22,일별현황!$L$6:$L$2005,0)),""))</f>
        <v/>
      </c>
      <c r="H27" s="15" t="str">
        <f aca="false">IF($D27="","",IFERROR(INDEX(예약내역!$J$3:$J$2002,MATCH(22,일별현황!$L$6:$L$2005,0)),""))</f>
        <v/>
      </c>
      <c r="J27" s="21" t="b">
        <f aca="false">IF(예약내역!$A24="",FALSE(),AND(예약내역!$A24=$B$3,예약내역!$J24&lt;&gt;"취소"))</f>
        <v>0</v>
      </c>
      <c r="K27" s="5" t="str">
        <f aca="false">IF($J27=FALSE(),"",예약내역!$L24*10000+ROW())</f>
        <v/>
      </c>
      <c r="L27" s="5" t="str">
        <f aca="false">IF($K27="","",RANK($K27,$K$6:$K$2005,1))</f>
        <v/>
      </c>
    </row>
    <row r="28" customFormat="false" ht="15" hidden="false" customHeight="true" outlineLevel="0" collapsed="false">
      <c r="A28" s="15" t="str">
        <f aca="false">IF($D28="","",23)</f>
        <v/>
      </c>
      <c r="B28" s="20" t="str">
        <f aca="false">IFERROR(INDEX(예약내역!$F$3:$F$2002,MATCH(23,일별현황!$L$6:$L$2005,0)),"")</f>
        <v/>
      </c>
      <c r="C28" s="20" t="str">
        <f aca="false">IF($B28="","",IFERROR(INDEX(예약내역!$G$3:$G$2002,MATCH(23,일별현황!$L$6:$L$2005,0)),""))</f>
        <v/>
      </c>
      <c r="D28" s="12" t="str">
        <f aca="false">IFERROR(INDEX(예약내역!$C$3:$C$2002,MATCH(23,일별현황!$L$6:$L$2005,0)),"")</f>
        <v/>
      </c>
      <c r="E28" s="12" t="str">
        <f aca="false">IF($D28="","",IFERROR(INDEX(예약내역!$D$3:$D$2002,MATCH(23,일별현황!$L$6:$L$2005,0)),""))</f>
        <v/>
      </c>
      <c r="F28" s="12" t="str">
        <f aca="false">IF($D28="","",IFERROR(INDEX(예약내역!$E$3:$E$2002,MATCH(23,일별현황!$L$6:$L$2005,0)),""))</f>
        <v/>
      </c>
      <c r="G28" s="15" t="str">
        <f aca="false">IF($D28="","",IFERROR(INDEX(예약내역!$I$3:$I$2002,MATCH(23,일별현황!$L$6:$L$2005,0)),""))</f>
        <v/>
      </c>
      <c r="H28" s="15" t="str">
        <f aca="false">IF($D28="","",IFERROR(INDEX(예약내역!$J$3:$J$2002,MATCH(23,일별현황!$L$6:$L$2005,0)),""))</f>
        <v/>
      </c>
      <c r="J28" s="21" t="b">
        <f aca="false">IF(예약내역!$A25="",FALSE(),AND(예약내역!$A25=$B$3,예약내역!$J25&lt;&gt;"취소"))</f>
        <v>0</v>
      </c>
      <c r="K28" s="5" t="str">
        <f aca="false">IF($J28=FALSE(),"",예약내역!$L25*10000+ROW())</f>
        <v/>
      </c>
      <c r="L28" s="5" t="str">
        <f aca="false">IF($K28="","",RANK($K28,$K$6:$K$2005,1))</f>
        <v/>
      </c>
    </row>
    <row r="29" customFormat="false" ht="15" hidden="false" customHeight="true" outlineLevel="0" collapsed="false">
      <c r="A29" s="15" t="str">
        <f aca="false">IF($D29="","",24)</f>
        <v/>
      </c>
      <c r="B29" s="20" t="str">
        <f aca="false">IFERROR(INDEX(예약내역!$F$3:$F$2002,MATCH(24,일별현황!$L$6:$L$2005,0)),"")</f>
        <v/>
      </c>
      <c r="C29" s="20" t="str">
        <f aca="false">IF($B29="","",IFERROR(INDEX(예약내역!$G$3:$G$2002,MATCH(24,일별현황!$L$6:$L$2005,0)),""))</f>
        <v/>
      </c>
      <c r="D29" s="12" t="str">
        <f aca="false">IFERROR(INDEX(예약내역!$C$3:$C$2002,MATCH(24,일별현황!$L$6:$L$2005,0)),"")</f>
        <v/>
      </c>
      <c r="E29" s="12" t="str">
        <f aca="false">IF($D29="","",IFERROR(INDEX(예약내역!$D$3:$D$2002,MATCH(24,일별현황!$L$6:$L$2005,0)),""))</f>
        <v/>
      </c>
      <c r="F29" s="12" t="str">
        <f aca="false">IF($D29="","",IFERROR(INDEX(예약내역!$E$3:$E$2002,MATCH(24,일별현황!$L$6:$L$2005,0)),""))</f>
        <v/>
      </c>
      <c r="G29" s="15" t="str">
        <f aca="false">IF($D29="","",IFERROR(INDEX(예약내역!$I$3:$I$2002,MATCH(24,일별현황!$L$6:$L$2005,0)),""))</f>
        <v/>
      </c>
      <c r="H29" s="15" t="str">
        <f aca="false">IF($D29="","",IFERROR(INDEX(예약내역!$J$3:$J$2002,MATCH(24,일별현황!$L$6:$L$2005,0)),""))</f>
        <v/>
      </c>
      <c r="J29" s="21" t="b">
        <f aca="false">IF(예약내역!$A26="",FALSE(),AND(예약내역!$A26=$B$3,예약내역!$J26&lt;&gt;"취소"))</f>
        <v>0</v>
      </c>
      <c r="K29" s="5" t="str">
        <f aca="false">IF($J29=FALSE(),"",예약내역!$L26*10000+ROW())</f>
        <v/>
      </c>
      <c r="L29" s="5" t="str">
        <f aca="false">IF($K29="","",RANK($K29,$K$6:$K$2005,1))</f>
        <v/>
      </c>
    </row>
    <row r="30" customFormat="false" ht="15" hidden="false" customHeight="true" outlineLevel="0" collapsed="false">
      <c r="A30" s="15" t="str">
        <f aca="false">IF($D30="","",25)</f>
        <v/>
      </c>
      <c r="B30" s="20" t="str">
        <f aca="false">IFERROR(INDEX(예약내역!$F$3:$F$2002,MATCH(25,일별현황!$L$6:$L$2005,0)),"")</f>
        <v/>
      </c>
      <c r="C30" s="20" t="str">
        <f aca="false">IF($B30="","",IFERROR(INDEX(예약내역!$G$3:$G$2002,MATCH(25,일별현황!$L$6:$L$2005,0)),""))</f>
        <v/>
      </c>
      <c r="D30" s="12" t="str">
        <f aca="false">IFERROR(INDEX(예약내역!$C$3:$C$2002,MATCH(25,일별현황!$L$6:$L$2005,0)),"")</f>
        <v/>
      </c>
      <c r="E30" s="12" t="str">
        <f aca="false">IF($D30="","",IFERROR(INDEX(예약내역!$D$3:$D$2002,MATCH(25,일별현황!$L$6:$L$2005,0)),""))</f>
        <v/>
      </c>
      <c r="F30" s="12" t="str">
        <f aca="false">IF($D30="","",IFERROR(INDEX(예약내역!$E$3:$E$2002,MATCH(25,일별현황!$L$6:$L$2005,0)),""))</f>
        <v/>
      </c>
      <c r="G30" s="15" t="str">
        <f aca="false">IF($D30="","",IFERROR(INDEX(예약내역!$I$3:$I$2002,MATCH(25,일별현황!$L$6:$L$2005,0)),""))</f>
        <v/>
      </c>
      <c r="H30" s="15" t="str">
        <f aca="false">IF($D30="","",IFERROR(INDEX(예약내역!$J$3:$J$2002,MATCH(25,일별현황!$L$6:$L$2005,0)),""))</f>
        <v/>
      </c>
      <c r="J30" s="21" t="b">
        <f aca="false">IF(예약내역!$A27="",FALSE(),AND(예약내역!$A27=$B$3,예약내역!$J27&lt;&gt;"취소"))</f>
        <v>0</v>
      </c>
      <c r="K30" s="5" t="str">
        <f aca="false">IF($J30=FALSE(),"",예약내역!$L27*10000+ROW())</f>
        <v/>
      </c>
      <c r="L30" s="5" t="str">
        <f aca="false">IF($K30="","",RANK($K30,$K$6:$K$2005,1))</f>
        <v/>
      </c>
    </row>
    <row r="31" customFormat="false" ht="15" hidden="false" customHeight="true" outlineLevel="0" collapsed="false">
      <c r="A31" s="15" t="str">
        <f aca="false">IF($D31="","",26)</f>
        <v/>
      </c>
      <c r="B31" s="20" t="str">
        <f aca="false">IFERROR(INDEX(예약내역!$F$3:$F$2002,MATCH(26,일별현황!$L$6:$L$2005,0)),"")</f>
        <v/>
      </c>
      <c r="C31" s="20" t="str">
        <f aca="false">IF($B31="","",IFERROR(INDEX(예약내역!$G$3:$G$2002,MATCH(26,일별현황!$L$6:$L$2005,0)),""))</f>
        <v/>
      </c>
      <c r="D31" s="12" t="str">
        <f aca="false">IFERROR(INDEX(예약내역!$C$3:$C$2002,MATCH(26,일별현황!$L$6:$L$2005,0)),"")</f>
        <v/>
      </c>
      <c r="E31" s="12" t="str">
        <f aca="false">IF($D31="","",IFERROR(INDEX(예약내역!$D$3:$D$2002,MATCH(26,일별현황!$L$6:$L$2005,0)),""))</f>
        <v/>
      </c>
      <c r="F31" s="12" t="str">
        <f aca="false">IF($D31="","",IFERROR(INDEX(예약내역!$E$3:$E$2002,MATCH(26,일별현황!$L$6:$L$2005,0)),""))</f>
        <v/>
      </c>
      <c r="G31" s="15" t="str">
        <f aca="false">IF($D31="","",IFERROR(INDEX(예약내역!$I$3:$I$2002,MATCH(26,일별현황!$L$6:$L$2005,0)),""))</f>
        <v/>
      </c>
      <c r="H31" s="15" t="str">
        <f aca="false">IF($D31="","",IFERROR(INDEX(예약내역!$J$3:$J$2002,MATCH(26,일별현황!$L$6:$L$2005,0)),""))</f>
        <v/>
      </c>
      <c r="J31" s="21" t="b">
        <f aca="false">IF(예약내역!$A28="",FALSE(),AND(예약내역!$A28=$B$3,예약내역!$J28&lt;&gt;"취소"))</f>
        <v>0</v>
      </c>
      <c r="K31" s="5" t="str">
        <f aca="false">IF($J31=FALSE(),"",예약내역!$L28*10000+ROW())</f>
        <v/>
      </c>
      <c r="L31" s="5" t="str">
        <f aca="false">IF($K31="","",RANK($K31,$K$6:$K$2005,1))</f>
        <v/>
      </c>
    </row>
    <row r="32" customFormat="false" ht="15" hidden="false" customHeight="true" outlineLevel="0" collapsed="false">
      <c r="A32" s="15" t="str">
        <f aca="false">IF($D32="","",27)</f>
        <v/>
      </c>
      <c r="B32" s="20" t="str">
        <f aca="false">IFERROR(INDEX(예약내역!$F$3:$F$2002,MATCH(27,일별현황!$L$6:$L$2005,0)),"")</f>
        <v/>
      </c>
      <c r="C32" s="20" t="str">
        <f aca="false">IF($B32="","",IFERROR(INDEX(예약내역!$G$3:$G$2002,MATCH(27,일별현황!$L$6:$L$2005,0)),""))</f>
        <v/>
      </c>
      <c r="D32" s="12" t="str">
        <f aca="false">IFERROR(INDEX(예약내역!$C$3:$C$2002,MATCH(27,일별현황!$L$6:$L$2005,0)),"")</f>
        <v/>
      </c>
      <c r="E32" s="12" t="str">
        <f aca="false">IF($D32="","",IFERROR(INDEX(예약내역!$D$3:$D$2002,MATCH(27,일별현황!$L$6:$L$2005,0)),""))</f>
        <v/>
      </c>
      <c r="F32" s="12" t="str">
        <f aca="false">IF($D32="","",IFERROR(INDEX(예약내역!$E$3:$E$2002,MATCH(27,일별현황!$L$6:$L$2005,0)),""))</f>
        <v/>
      </c>
      <c r="G32" s="15" t="str">
        <f aca="false">IF($D32="","",IFERROR(INDEX(예약내역!$I$3:$I$2002,MATCH(27,일별현황!$L$6:$L$2005,0)),""))</f>
        <v/>
      </c>
      <c r="H32" s="15" t="str">
        <f aca="false">IF($D32="","",IFERROR(INDEX(예약내역!$J$3:$J$2002,MATCH(27,일별현황!$L$6:$L$2005,0)),""))</f>
        <v/>
      </c>
      <c r="J32" s="21" t="b">
        <f aca="false">IF(예약내역!$A29="",FALSE(),AND(예약내역!$A29=$B$3,예약내역!$J29&lt;&gt;"취소"))</f>
        <v>0</v>
      </c>
      <c r="K32" s="5" t="str">
        <f aca="false">IF($J32=FALSE(),"",예약내역!$L29*10000+ROW())</f>
        <v/>
      </c>
      <c r="L32" s="5" t="str">
        <f aca="false">IF($K32="","",RANK($K32,$K$6:$K$2005,1))</f>
        <v/>
      </c>
    </row>
    <row r="33" customFormat="false" ht="15" hidden="false" customHeight="true" outlineLevel="0" collapsed="false">
      <c r="A33" s="15" t="str">
        <f aca="false">IF($D33="","",28)</f>
        <v/>
      </c>
      <c r="B33" s="20" t="str">
        <f aca="false">IFERROR(INDEX(예약내역!$F$3:$F$2002,MATCH(28,일별현황!$L$6:$L$2005,0)),"")</f>
        <v/>
      </c>
      <c r="C33" s="20" t="str">
        <f aca="false">IF($B33="","",IFERROR(INDEX(예약내역!$G$3:$G$2002,MATCH(28,일별현황!$L$6:$L$2005,0)),""))</f>
        <v/>
      </c>
      <c r="D33" s="12" t="str">
        <f aca="false">IFERROR(INDEX(예약내역!$C$3:$C$2002,MATCH(28,일별현황!$L$6:$L$2005,0)),"")</f>
        <v/>
      </c>
      <c r="E33" s="12" t="str">
        <f aca="false">IF($D33="","",IFERROR(INDEX(예약내역!$D$3:$D$2002,MATCH(28,일별현황!$L$6:$L$2005,0)),""))</f>
        <v/>
      </c>
      <c r="F33" s="12" t="str">
        <f aca="false">IF($D33="","",IFERROR(INDEX(예약내역!$E$3:$E$2002,MATCH(28,일별현황!$L$6:$L$2005,0)),""))</f>
        <v/>
      </c>
      <c r="G33" s="15" t="str">
        <f aca="false">IF($D33="","",IFERROR(INDEX(예약내역!$I$3:$I$2002,MATCH(28,일별현황!$L$6:$L$2005,0)),""))</f>
        <v/>
      </c>
      <c r="H33" s="15" t="str">
        <f aca="false">IF($D33="","",IFERROR(INDEX(예약내역!$J$3:$J$2002,MATCH(28,일별현황!$L$6:$L$2005,0)),""))</f>
        <v/>
      </c>
      <c r="J33" s="21" t="b">
        <f aca="false">IF(예약내역!$A30="",FALSE(),AND(예약내역!$A30=$B$3,예약내역!$J30&lt;&gt;"취소"))</f>
        <v>0</v>
      </c>
      <c r="K33" s="5" t="str">
        <f aca="false">IF($J33=FALSE(),"",예약내역!$L30*10000+ROW())</f>
        <v/>
      </c>
      <c r="L33" s="5" t="str">
        <f aca="false">IF($K33="","",RANK($K33,$K$6:$K$2005,1))</f>
        <v/>
      </c>
    </row>
    <row r="34" customFormat="false" ht="15" hidden="false" customHeight="true" outlineLevel="0" collapsed="false">
      <c r="A34" s="15" t="str">
        <f aca="false">IF($D34="","",29)</f>
        <v/>
      </c>
      <c r="B34" s="20" t="str">
        <f aca="false">IFERROR(INDEX(예약내역!$F$3:$F$2002,MATCH(29,일별현황!$L$6:$L$2005,0)),"")</f>
        <v/>
      </c>
      <c r="C34" s="20" t="str">
        <f aca="false">IF($B34="","",IFERROR(INDEX(예약내역!$G$3:$G$2002,MATCH(29,일별현황!$L$6:$L$2005,0)),""))</f>
        <v/>
      </c>
      <c r="D34" s="12" t="str">
        <f aca="false">IFERROR(INDEX(예약내역!$C$3:$C$2002,MATCH(29,일별현황!$L$6:$L$2005,0)),"")</f>
        <v/>
      </c>
      <c r="E34" s="12" t="str">
        <f aca="false">IF($D34="","",IFERROR(INDEX(예약내역!$D$3:$D$2002,MATCH(29,일별현황!$L$6:$L$2005,0)),""))</f>
        <v/>
      </c>
      <c r="F34" s="12" t="str">
        <f aca="false">IF($D34="","",IFERROR(INDEX(예약내역!$E$3:$E$2002,MATCH(29,일별현황!$L$6:$L$2005,0)),""))</f>
        <v/>
      </c>
      <c r="G34" s="15" t="str">
        <f aca="false">IF($D34="","",IFERROR(INDEX(예약내역!$I$3:$I$2002,MATCH(29,일별현황!$L$6:$L$2005,0)),""))</f>
        <v/>
      </c>
      <c r="H34" s="15" t="str">
        <f aca="false">IF($D34="","",IFERROR(INDEX(예약내역!$J$3:$J$2002,MATCH(29,일별현황!$L$6:$L$2005,0)),""))</f>
        <v/>
      </c>
      <c r="J34" s="21" t="b">
        <f aca="false">IF(예약내역!$A31="",FALSE(),AND(예약내역!$A31=$B$3,예약내역!$J31&lt;&gt;"취소"))</f>
        <v>0</v>
      </c>
      <c r="K34" s="5" t="str">
        <f aca="false">IF($J34=FALSE(),"",예약내역!$L31*10000+ROW())</f>
        <v/>
      </c>
      <c r="L34" s="5" t="str">
        <f aca="false">IF($K34="","",RANK($K34,$K$6:$K$2005,1))</f>
        <v/>
      </c>
    </row>
    <row r="35" customFormat="false" ht="15" hidden="false" customHeight="true" outlineLevel="0" collapsed="false">
      <c r="A35" s="15" t="str">
        <f aca="false">IF($D35="","",30)</f>
        <v/>
      </c>
      <c r="B35" s="20" t="str">
        <f aca="false">IFERROR(INDEX(예약내역!$F$3:$F$2002,MATCH(30,일별현황!$L$6:$L$2005,0)),"")</f>
        <v/>
      </c>
      <c r="C35" s="20" t="str">
        <f aca="false">IF($B35="","",IFERROR(INDEX(예약내역!$G$3:$G$2002,MATCH(30,일별현황!$L$6:$L$2005,0)),""))</f>
        <v/>
      </c>
      <c r="D35" s="12" t="str">
        <f aca="false">IFERROR(INDEX(예약내역!$C$3:$C$2002,MATCH(30,일별현황!$L$6:$L$2005,0)),"")</f>
        <v/>
      </c>
      <c r="E35" s="12" t="str">
        <f aca="false">IF($D35="","",IFERROR(INDEX(예약내역!$D$3:$D$2002,MATCH(30,일별현황!$L$6:$L$2005,0)),""))</f>
        <v/>
      </c>
      <c r="F35" s="12" t="str">
        <f aca="false">IF($D35="","",IFERROR(INDEX(예약내역!$E$3:$E$2002,MATCH(30,일별현황!$L$6:$L$2005,0)),""))</f>
        <v/>
      </c>
      <c r="G35" s="15" t="str">
        <f aca="false">IF($D35="","",IFERROR(INDEX(예약내역!$I$3:$I$2002,MATCH(30,일별현황!$L$6:$L$2005,0)),""))</f>
        <v/>
      </c>
      <c r="H35" s="15" t="str">
        <f aca="false">IF($D35="","",IFERROR(INDEX(예약내역!$J$3:$J$2002,MATCH(30,일별현황!$L$6:$L$2005,0)),""))</f>
        <v/>
      </c>
      <c r="J35" s="21" t="b">
        <f aca="false">IF(예약내역!$A32="",FALSE(),AND(예약내역!$A32=$B$3,예약내역!$J32&lt;&gt;"취소"))</f>
        <v>0</v>
      </c>
      <c r="K35" s="5" t="str">
        <f aca="false">IF($J35=FALSE(),"",예약내역!$L32*10000+ROW())</f>
        <v/>
      </c>
      <c r="L35" s="5" t="str">
        <f aca="false">IF($K35="","",RANK($K35,$K$6:$K$2005,1))</f>
        <v/>
      </c>
    </row>
    <row r="36" customFormat="false" ht="15" hidden="false" customHeight="true" outlineLevel="0" collapsed="false">
      <c r="A36" s="15" t="str">
        <f aca="false">IF($D36="","",31)</f>
        <v/>
      </c>
      <c r="B36" s="20" t="str">
        <f aca="false">IFERROR(INDEX(예약내역!$F$3:$F$2002,MATCH(31,일별현황!$L$6:$L$2005,0)),"")</f>
        <v/>
      </c>
      <c r="C36" s="20" t="str">
        <f aca="false">IF($B36="","",IFERROR(INDEX(예약내역!$G$3:$G$2002,MATCH(31,일별현황!$L$6:$L$2005,0)),""))</f>
        <v/>
      </c>
      <c r="D36" s="12" t="str">
        <f aca="false">IFERROR(INDEX(예약내역!$C$3:$C$2002,MATCH(31,일별현황!$L$6:$L$2005,0)),"")</f>
        <v/>
      </c>
      <c r="E36" s="12" t="str">
        <f aca="false">IF($D36="","",IFERROR(INDEX(예약내역!$D$3:$D$2002,MATCH(31,일별현황!$L$6:$L$2005,0)),""))</f>
        <v/>
      </c>
      <c r="F36" s="12" t="str">
        <f aca="false">IF($D36="","",IFERROR(INDEX(예약내역!$E$3:$E$2002,MATCH(31,일별현황!$L$6:$L$2005,0)),""))</f>
        <v/>
      </c>
      <c r="G36" s="15" t="str">
        <f aca="false">IF($D36="","",IFERROR(INDEX(예약내역!$I$3:$I$2002,MATCH(31,일별현황!$L$6:$L$2005,0)),""))</f>
        <v/>
      </c>
      <c r="H36" s="15" t="str">
        <f aca="false">IF($D36="","",IFERROR(INDEX(예약내역!$J$3:$J$2002,MATCH(31,일별현황!$L$6:$L$2005,0)),""))</f>
        <v/>
      </c>
      <c r="J36" s="21" t="b">
        <f aca="false">IF(예약내역!$A33="",FALSE(),AND(예약내역!$A33=$B$3,예약내역!$J33&lt;&gt;"취소"))</f>
        <v>0</v>
      </c>
      <c r="K36" s="5" t="str">
        <f aca="false">IF($J36=FALSE(),"",예약내역!$L33*10000+ROW())</f>
        <v/>
      </c>
      <c r="L36" s="5" t="str">
        <f aca="false">IF($K36="","",RANK($K36,$K$6:$K$2005,1))</f>
        <v/>
      </c>
    </row>
    <row r="37" customFormat="false" ht="15" hidden="false" customHeight="true" outlineLevel="0" collapsed="false">
      <c r="A37" s="15" t="str">
        <f aca="false">IF($D37="","",32)</f>
        <v/>
      </c>
      <c r="B37" s="20" t="str">
        <f aca="false">IFERROR(INDEX(예약내역!$F$3:$F$2002,MATCH(32,일별현황!$L$6:$L$2005,0)),"")</f>
        <v/>
      </c>
      <c r="C37" s="20" t="str">
        <f aca="false">IF($B37="","",IFERROR(INDEX(예약내역!$G$3:$G$2002,MATCH(32,일별현황!$L$6:$L$2005,0)),""))</f>
        <v/>
      </c>
      <c r="D37" s="12" t="str">
        <f aca="false">IFERROR(INDEX(예약내역!$C$3:$C$2002,MATCH(32,일별현황!$L$6:$L$2005,0)),"")</f>
        <v/>
      </c>
      <c r="E37" s="12" t="str">
        <f aca="false">IF($D37="","",IFERROR(INDEX(예약내역!$D$3:$D$2002,MATCH(32,일별현황!$L$6:$L$2005,0)),""))</f>
        <v/>
      </c>
      <c r="F37" s="12" t="str">
        <f aca="false">IF($D37="","",IFERROR(INDEX(예약내역!$E$3:$E$2002,MATCH(32,일별현황!$L$6:$L$2005,0)),""))</f>
        <v/>
      </c>
      <c r="G37" s="15" t="str">
        <f aca="false">IF($D37="","",IFERROR(INDEX(예약내역!$I$3:$I$2002,MATCH(32,일별현황!$L$6:$L$2005,0)),""))</f>
        <v/>
      </c>
      <c r="H37" s="15" t="str">
        <f aca="false">IF($D37="","",IFERROR(INDEX(예약내역!$J$3:$J$2002,MATCH(32,일별현황!$L$6:$L$2005,0)),""))</f>
        <v/>
      </c>
      <c r="J37" s="21" t="b">
        <f aca="false">IF(예약내역!$A34="",FALSE(),AND(예약내역!$A34=$B$3,예약내역!$J34&lt;&gt;"취소"))</f>
        <v>0</v>
      </c>
      <c r="K37" s="5" t="str">
        <f aca="false">IF($J37=FALSE(),"",예약내역!$L34*10000+ROW())</f>
        <v/>
      </c>
      <c r="L37" s="5" t="str">
        <f aca="false">IF($K37="","",RANK($K37,$K$6:$K$2005,1))</f>
        <v/>
      </c>
    </row>
    <row r="38" customFormat="false" ht="15" hidden="false" customHeight="true" outlineLevel="0" collapsed="false">
      <c r="A38" s="15" t="str">
        <f aca="false">IF($D38="","",33)</f>
        <v/>
      </c>
      <c r="B38" s="20" t="str">
        <f aca="false">IFERROR(INDEX(예약내역!$F$3:$F$2002,MATCH(33,일별현황!$L$6:$L$2005,0)),"")</f>
        <v/>
      </c>
      <c r="C38" s="20" t="str">
        <f aca="false">IF($B38="","",IFERROR(INDEX(예약내역!$G$3:$G$2002,MATCH(33,일별현황!$L$6:$L$2005,0)),""))</f>
        <v/>
      </c>
      <c r="D38" s="12" t="str">
        <f aca="false">IFERROR(INDEX(예약내역!$C$3:$C$2002,MATCH(33,일별현황!$L$6:$L$2005,0)),"")</f>
        <v/>
      </c>
      <c r="E38" s="12" t="str">
        <f aca="false">IF($D38="","",IFERROR(INDEX(예약내역!$D$3:$D$2002,MATCH(33,일별현황!$L$6:$L$2005,0)),""))</f>
        <v/>
      </c>
      <c r="F38" s="12" t="str">
        <f aca="false">IF($D38="","",IFERROR(INDEX(예약내역!$E$3:$E$2002,MATCH(33,일별현황!$L$6:$L$2005,0)),""))</f>
        <v/>
      </c>
      <c r="G38" s="15" t="str">
        <f aca="false">IF($D38="","",IFERROR(INDEX(예약내역!$I$3:$I$2002,MATCH(33,일별현황!$L$6:$L$2005,0)),""))</f>
        <v/>
      </c>
      <c r="H38" s="15" t="str">
        <f aca="false">IF($D38="","",IFERROR(INDEX(예약내역!$J$3:$J$2002,MATCH(33,일별현황!$L$6:$L$2005,0)),""))</f>
        <v/>
      </c>
      <c r="J38" s="21" t="b">
        <f aca="false">IF(예약내역!$A35="",FALSE(),AND(예약내역!$A35=$B$3,예약내역!$J35&lt;&gt;"취소"))</f>
        <v>0</v>
      </c>
      <c r="K38" s="5" t="str">
        <f aca="false">IF($J38=FALSE(),"",예약내역!$L35*10000+ROW())</f>
        <v/>
      </c>
      <c r="L38" s="5" t="str">
        <f aca="false">IF($K38="","",RANK($K38,$K$6:$K$2005,1))</f>
        <v/>
      </c>
    </row>
    <row r="39" customFormat="false" ht="15" hidden="false" customHeight="true" outlineLevel="0" collapsed="false">
      <c r="A39" s="15" t="str">
        <f aca="false">IF($D39="","",34)</f>
        <v/>
      </c>
      <c r="B39" s="20" t="str">
        <f aca="false">IFERROR(INDEX(예약내역!$F$3:$F$2002,MATCH(34,일별현황!$L$6:$L$2005,0)),"")</f>
        <v/>
      </c>
      <c r="C39" s="20" t="str">
        <f aca="false">IF($B39="","",IFERROR(INDEX(예약내역!$G$3:$G$2002,MATCH(34,일별현황!$L$6:$L$2005,0)),""))</f>
        <v/>
      </c>
      <c r="D39" s="12" t="str">
        <f aca="false">IFERROR(INDEX(예약내역!$C$3:$C$2002,MATCH(34,일별현황!$L$6:$L$2005,0)),"")</f>
        <v/>
      </c>
      <c r="E39" s="12" t="str">
        <f aca="false">IF($D39="","",IFERROR(INDEX(예약내역!$D$3:$D$2002,MATCH(34,일별현황!$L$6:$L$2005,0)),""))</f>
        <v/>
      </c>
      <c r="F39" s="12" t="str">
        <f aca="false">IF($D39="","",IFERROR(INDEX(예약내역!$E$3:$E$2002,MATCH(34,일별현황!$L$6:$L$2005,0)),""))</f>
        <v/>
      </c>
      <c r="G39" s="15" t="str">
        <f aca="false">IF($D39="","",IFERROR(INDEX(예약내역!$I$3:$I$2002,MATCH(34,일별현황!$L$6:$L$2005,0)),""))</f>
        <v/>
      </c>
      <c r="H39" s="15" t="str">
        <f aca="false">IF($D39="","",IFERROR(INDEX(예약내역!$J$3:$J$2002,MATCH(34,일별현황!$L$6:$L$2005,0)),""))</f>
        <v/>
      </c>
      <c r="J39" s="21" t="b">
        <f aca="false">IF(예약내역!$A36="",FALSE(),AND(예약내역!$A36=$B$3,예약내역!$J36&lt;&gt;"취소"))</f>
        <v>0</v>
      </c>
      <c r="K39" s="5" t="str">
        <f aca="false">IF($J39=FALSE(),"",예약내역!$L36*10000+ROW())</f>
        <v/>
      </c>
      <c r="L39" s="5" t="str">
        <f aca="false">IF($K39="","",RANK($K39,$K$6:$K$2005,1))</f>
        <v/>
      </c>
    </row>
    <row r="40" customFormat="false" ht="15" hidden="false" customHeight="true" outlineLevel="0" collapsed="false">
      <c r="A40" s="15" t="str">
        <f aca="false">IF($D40="","",35)</f>
        <v/>
      </c>
      <c r="B40" s="20" t="str">
        <f aca="false">IFERROR(INDEX(예약내역!$F$3:$F$2002,MATCH(35,일별현황!$L$6:$L$2005,0)),"")</f>
        <v/>
      </c>
      <c r="C40" s="20" t="str">
        <f aca="false">IF($B40="","",IFERROR(INDEX(예약내역!$G$3:$G$2002,MATCH(35,일별현황!$L$6:$L$2005,0)),""))</f>
        <v/>
      </c>
      <c r="D40" s="12" t="str">
        <f aca="false">IFERROR(INDEX(예약내역!$C$3:$C$2002,MATCH(35,일별현황!$L$6:$L$2005,0)),"")</f>
        <v/>
      </c>
      <c r="E40" s="12" t="str">
        <f aca="false">IF($D40="","",IFERROR(INDEX(예약내역!$D$3:$D$2002,MATCH(35,일별현황!$L$6:$L$2005,0)),""))</f>
        <v/>
      </c>
      <c r="F40" s="12" t="str">
        <f aca="false">IF($D40="","",IFERROR(INDEX(예약내역!$E$3:$E$2002,MATCH(35,일별현황!$L$6:$L$2005,0)),""))</f>
        <v/>
      </c>
      <c r="G40" s="15" t="str">
        <f aca="false">IF($D40="","",IFERROR(INDEX(예약내역!$I$3:$I$2002,MATCH(35,일별현황!$L$6:$L$2005,0)),""))</f>
        <v/>
      </c>
      <c r="H40" s="15" t="str">
        <f aca="false">IF($D40="","",IFERROR(INDEX(예약내역!$J$3:$J$2002,MATCH(35,일별현황!$L$6:$L$2005,0)),""))</f>
        <v/>
      </c>
      <c r="J40" s="21" t="b">
        <f aca="false">IF(예약내역!$A37="",FALSE(),AND(예약내역!$A37=$B$3,예약내역!$J37&lt;&gt;"취소"))</f>
        <v>0</v>
      </c>
      <c r="K40" s="5" t="str">
        <f aca="false">IF($J40=FALSE(),"",예약내역!$L37*10000+ROW())</f>
        <v/>
      </c>
      <c r="L40" s="5" t="str">
        <f aca="false">IF($K40="","",RANK($K40,$K$6:$K$2005,1))</f>
        <v/>
      </c>
    </row>
    <row r="41" customFormat="false" ht="15" hidden="false" customHeight="true" outlineLevel="0" collapsed="false">
      <c r="A41" s="15" t="str">
        <f aca="false">IF($D41="","",36)</f>
        <v/>
      </c>
      <c r="B41" s="20" t="str">
        <f aca="false">IFERROR(INDEX(예약내역!$F$3:$F$2002,MATCH(36,일별현황!$L$6:$L$2005,0)),"")</f>
        <v/>
      </c>
      <c r="C41" s="20" t="str">
        <f aca="false">IF($B41="","",IFERROR(INDEX(예약내역!$G$3:$G$2002,MATCH(36,일별현황!$L$6:$L$2005,0)),""))</f>
        <v/>
      </c>
      <c r="D41" s="12" t="str">
        <f aca="false">IFERROR(INDEX(예약내역!$C$3:$C$2002,MATCH(36,일별현황!$L$6:$L$2005,0)),"")</f>
        <v/>
      </c>
      <c r="E41" s="12" t="str">
        <f aca="false">IF($D41="","",IFERROR(INDEX(예약내역!$D$3:$D$2002,MATCH(36,일별현황!$L$6:$L$2005,0)),""))</f>
        <v/>
      </c>
      <c r="F41" s="12" t="str">
        <f aca="false">IF($D41="","",IFERROR(INDEX(예약내역!$E$3:$E$2002,MATCH(36,일별현황!$L$6:$L$2005,0)),""))</f>
        <v/>
      </c>
      <c r="G41" s="15" t="str">
        <f aca="false">IF($D41="","",IFERROR(INDEX(예약내역!$I$3:$I$2002,MATCH(36,일별현황!$L$6:$L$2005,0)),""))</f>
        <v/>
      </c>
      <c r="H41" s="15" t="str">
        <f aca="false">IF($D41="","",IFERROR(INDEX(예약내역!$J$3:$J$2002,MATCH(36,일별현황!$L$6:$L$2005,0)),""))</f>
        <v/>
      </c>
      <c r="J41" s="21" t="b">
        <f aca="false">IF(예약내역!$A38="",FALSE(),AND(예약내역!$A38=$B$3,예약내역!$J38&lt;&gt;"취소"))</f>
        <v>0</v>
      </c>
      <c r="K41" s="5" t="str">
        <f aca="false">IF($J41=FALSE(),"",예약내역!$L38*10000+ROW())</f>
        <v/>
      </c>
      <c r="L41" s="5" t="str">
        <f aca="false">IF($K41="","",RANK($K41,$K$6:$K$2005,1))</f>
        <v/>
      </c>
    </row>
    <row r="42" customFormat="false" ht="15" hidden="false" customHeight="true" outlineLevel="0" collapsed="false">
      <c r="A42" s="15" t="str">
        <f aca="false">IF($D42="","",37)</f>
        <v/>
      </c>
      <c r="B42" s="20" t="str">
        <f aca="false">IFERROR(INDEX(예약내역!$F$3:$F$2002,MATCH(37,일별현황!$L$6:$L$2005,0)),"")</f>
        <v/>
      </c>
      <c r="C42" s="20" t="str">
        <f aca="false">IF($B42="","",IFERROR(INDEX(예약내역!$G$3:$G$2002,MATCH(37,일별현황!$L$6:$L$2005,0)),""))</f>
        <v/>
      </c>
      <c r="D42" s="12" t="str">
        <f aca="false">IFERROR(INDEX(예약내역!$C$3:$C$2002,MATCH(37,일별현황!$L$6:$L$2005,0)),"")</f>
        <v/>
      </c>
      <c r="E42" s="12" t="str">
        <f aca="false">IF($D42="","",IFERROR(INDEX(예약내역!$D$3:$D$2002,MATCH(37,일별현황!$L$6:$L$2005,0)),""))</f>
        <v/>
      </c>
      <c r="F42" s="12" t="str">
        <f aca="false">IF($D42="","",IFERROR(INDEX(예약내역!$E$3:$E$2002,MATCH(37,일별현황!$L$6:$L$2005,0)),""))</f>
        <v/>
      </c>
      <c r="G42" s="15" t="str">
        <f aca="false">IF($D42="","",IFERROR(INDEX(예약내역!$I$3:$I$2002,MATCH(37,일별현황!$L$6:$L$2005,0)),""))</f>
        <v/>
      </c>
      <c r="H42" s="15" t="str">
        <f aca="false">IF($D42="","",IFERROR(INDEX(예약내역!$J$3:$J$2002,MATCH(37,일별현황!$L$6:$L$2005,0)),""))</f>
        <v/>
      </c>
      <c r="J42" s="21" t="b">
        <f aca="false">IF(예약내역!$A39="",FALSE(),AND(예약내역!$A39=$B$3,예약내역!$J39&lt;&gt;"취소"))</f>
        <v>0</v>
      </c>
      <c r="K42" s="5" t="str">
        <f aca="false">IF($J42=FALSE(),"",예약내역!$L39*10000+ROW())</f>
        <v/>
      </c>
      <c r="L42" s="5" t="str">
        <f aca="false">IF($K42="","",RANK($K42,$K$6:$K$2005,1))</f>
        <v/>
      </c>
    </row>
    <row r="43" customFormat="false" ht="15" hidden="false" customHeight="true" outlineLevel="0" collapsed="false">
      <c r="A43" s="15" t="str">
        <f aca="false">IF($D43="","",38)</f>
        <v/>
      </c>
      <c r="B43" s="20" t="str">
        <f aca="false">IFERROR(INDEX(예약내역!$F$3:$F$2002,MATCH(38,일별현황!$L$6:$L$2005,0)),"")</f>
        <v/>
      </c>
      <c r="C43" s="20" t="str">
        <f aca="false">IF($B43="","",IFERROR(INDEX(예약내역!$G$3:$G$2002,MATCH(38,일별현황!$L$6:$L$2005,0)),""))</f>
        <v/>
      </c>
      <c r="D43" s="12" t="str">
        <f aca="false">IFERROR(INDEX(예약내역!$C$3:$C$2002,MATCH(38,일별현황!$L$6:$L$2005,0)),"")</f>
        <v/>
      </c>
      <c r="E43" s="12" t="str">
        <f aca="false">IF($D43="","",IFERROR(INDEX(예약내역!$D$3:$D$2002,MATCH(38,일별현황!$L$6:$L$2005,0)),""))</f>
        <v/>
      </c>
      <c r="F43" s="12" t="str">
        <f aca="false">IF($D43="","",IFERROR(INDEX(예약내역!$E$3:$E$2002,MATCH(38,일별현황!$L$6:$L$2005,0)),""))</f>
        <v/>
      </c>
      <c r="G43" s="15" t="str">
        <f aca="false">IF($D43="","",IFERROR(INDEX(예약내역!$I$3:$I$2002,MATCH(38,일별현황!$L$6:$L$2005,0)),""))</f>
        <v/>
      </c>
      <c r="H43" s="15" t="str">
        <f aca="false">IF($D43="","",IFERROR(INDEX(예약내역!$J$3:$J$2002,MATCH(38,일별현황!$L$6:$L$2005,0)),""))</f>
        <v/>
      </c>
      <c r="J43" s="21" t="b">
        <f aca="false">IF(예약내역!$A40="",FALSE(),AND(예약내역!$A40=$B$3,예약내역!$J40&lt;&gt;"취소"))</f>
        <v>0</v>
      </c>
      <c r="K43" s="5" t="str">
        <f aca="false">IF($J43=FALSE(),"",예약내역!$L40*10000+ROW())</f>
        <v/>
      </c>
      <c r="L43" s="5" t="str">
        <f aca="false">IF($K43="","",RANK($K43,$K$6:$K$2005,1))</f>
        <v/>
      </c>
    </row>
    <row r="44" customFormat="false" ht="15" hidden="false" customHeight="true" outlineLevel="0" collapsed="false">
      <c r="A44" s="15" t="str">
        <f aca="false">IF($D44="","",39)</f>
        <v/>
      </c>
      <c r="B44" s="20" t="str">
        <f aca="false">IFERROR(INDEX(예약내역!$F$3:$F$2002,MATCH(39,일별현황!$L$6:$L$2005,0)),"")</f>
        <v/>
      </c>
      <c r="C44" s="20" t="str">
        <f aca="false">IF($B44="","",IFERROR(INDEX(예약내역!$G$3:$G$2002,MATCH(39,일별현황!$L$6:$L$2005,0)),""))</f>
        <v/>
      </c>
      <c r="D44" s="12" t="str">
        <f aca="false">IFERROR(INDEX(예약내역!$C$3:$C$2002,MATCH(39,일별현황!$L$6:$L$2005,0)),"")</f>
        <v/>
      </c>
      <c r="E44" s="12" t="str">
        <f aca="false">IF($D44="","",IFERROR(INDEX(예약내역!$D$3:$D$2002,MATCH(39,일별현황!$L$6:$L$2005,0)),""))</f>
        <v/>
      </c>
      <c r="F44" s="12" t="str">
        <f aca="false">IF($D44="","",IFERROR(INDEX(예약내역!$E$3:$E$2002,MATCH(39,일별현황!$L$6:$L$2005,0)),""))</f>
        <v/>
      </c>
      <c r="G44" s="15" t="str">
        <f aca="false">IF($D44="","",IFERROR(INDEX(예약내역!$I$3:$I$2002,MATCH(39,일별현황!$L$6:$L$2005,0)),""))</f>
        <v/>
      </c>
      <c r="H44" s="15" t="str">
        <f aca="false">IF($D44="","",IFERROR(INDEX(예약내역!$J$3:$J$2002,MATCH(39,일별현황!$L$6:$L$2005,0)),""))</f>
        <v/>
      </c>
      <c r="J44" s="21" t="b">
        <f aca="false">IF(예약내역!$A41="",FALSE(),AND(예약내역!$A41=$B$3,예약내역!$J41&lt;&gt;"취소"))</f>
        <v>0</v>
      </c>
      <c r="K44" s="5" t="str">
        <f aca="false">IF($J44=FALSE(),"",예약내역!$L41*10000+ROW())</f>
        <v/>
      </c>
      <c r="L44" s="5" t="str">
        <f aca="false">IF($K44="","",RANK($K44,$K$6:$K$2005,1))</f>
        <v/>
      </c>
    </row>
    <row r="45" customFormat="false" ht="15" hidden="false" customHeight="true" outlineLevel="0" collapsed="false">
      <c r="A45" s="15" t="str">
        <f aca="false">IF($D45="","",40)</f>
        <v/>
      </c>
      <c r="B45" s="20" t="str">
        <f aca="false">IFERROR(INDEX(예약내역!$F$3:$F$2002,MATCH(40,일별현황!$L$6:$L$2005,0)),"")</f>
        <v/>
      </c>
      <c r="C45" s="20" t="str">
        <f aca="false">IF($B45="","",IFERROR(INDEX(예약내역!$G$3:$G$2002,MATCH(40,일별현황!$L$6:$L$2005,0)),""))</f>
        <v/>
      </c>
      <c r="D45" s="12" t="str">
        <f aca="false">IFERROR(INDEX(예약내역!$C$3:$C$2002,MATCH(40,일별현황!$L$6:$L$2005,0)),"")</f>
        <v/>
      </c>
      <c r="E45" s="12" t="str">
        <f aca="false">IF($D45="","",IFERROR(INDEX(예약내역!$D$3:$D$2002,MATCH(40,일별현황!$L$6:$L$2005,0)),""))</f>
        <v/>
      </c>
      <c r="F45" s="12" t="str">
        <f aca="false">IF($D45="","",IFERROR(INDEX(예약내역!$E$3:$E$2002,MATCH(40,일별현황!$L$6:$L$2005,0)),""))</f>
        <v/>
      </c>
      <c r="G45" s="15" t="str">
        <f aca="false">IF($D45="","",IFERROR(INDEX(예약내역!$I$3:$I$2002,MATCH(40,일별현황!$L$6:$L$2005,0)),""))</f>
        <v/>
      </c>
      <c r="H45" s="15" t="str">
        <f aca="false">IF($D45="","",IFERROR(INDEX(예약내역!$J$3:$J$2002,MATCH(40,일별현황!$L$6:$L$2005,0)),""))</f>
        <v/>
      </c>
      <c r="J45" s="21" t="b">
        <f aca="false">IF(예약내역!$A42="",FALSE(),AND(예약내역!$A42=$B$3,예약내역!$J42&lt;&gt;"취소"))</f>
        <v>0</v>
      </c>
      <c r="K45" s="5" t="str">
        <f aca="false">IF($J45=FALSE(),"",예약내역!$L42*10000+ROW())</f>
        <v/>
      </c>
      <c r="L45" s="5" t="str">
        <f aca="false">IF($K45="","",RANK($K45,$K$6:$K$2005,1))</f>
        <v/>
      </c>
    </row>
    <row r="46" customFormat="false" ht="15" hidden="false" customHeight="true" outlineLevel="0" collapsed="false">
      <c r="A46" s="15" t="str">
        <f aca="false">IF($D46="","",41)</f>
        <v/>
      </c>
      <c r="B46" s="20" t="str">
        <f aca="false">IFERROR(INDEX(예약내역!$F$3:$F$2002,MATCH(41,일별현황!$L$6:$L$2005,0)),"")</f>
        <v/>
      </c>
      <c r="C46" s="20" t="str">
        <f aca="false">IF($B46="","",IFERROR(INDEX(예약내역!$G$3:$G$2002,MATCH(41,일별현황!$L$6:$L$2005,0)),""))</f>
        <v/>
      </c>
      <c r="D46" s="12" t="str">
        <f aca="false">IFERROR(INDEX(예약내역!$C$3:$C$2002,MATCH(41,일별현황!$L$6:$L$2005,0)),"")</f>
        <v/>
      </c>
      <c r="E46" s="12" t="str">
        <f aca="false">IF($D46="","",IFERROR(INDEX(예약내역!$D$3:$D$2002,MATCH(41,일별현황!$L$6:$L$2005,0)),""))</f>
        <v/>
      </c>
      <c r="F46" s="12" t="str">
        <f aca="false">IF($D46="","",IFERROR(INDEX(예약내역!$E$3:$E$2002,MATCH(41,일별현황!$L$6:$L$2005,0)),""))</f>
        <v/>
      </c>
      <c r="G46" s="15" t="str">
        <f aca="false">IF($D46="","",IFERROR(INDEX(예약내역!$I$3:$I$2002,MATCH(41,일별현황!$L$6:$L$2005,0)),""))</f>
        <v/>
      </c>
      <c r="H46" s="15" t="str">
        <f aca="false">IF($D46="","",IFERROR(INDEX(예약내역!$J$3:$J$2002,MATCH(41,일별현황!$L$6:$L$2005,0)),""))</f>
        <v/>
      </c>
      <c r="J46" s="21" t="b">
        <f aca="false">IF(예약내역!$A43="",FALSE(),AND(예약내역!$A43=$B$3,예약내역!$J43&lt;&gt;"취소"))</f>
        <v>0</v>
      </c>
      <c r="K46" s="5" t="str">
        <f aca="false">IF($J46=FALSE(),"",예약내역!$L43*10000+ROW())</f>
        <v/>
      </c>
      <c r="L46" s="5" t="str">
        <f aca="false">IF($K46="","",RANK($K46,$K$6:$K$2005,1))</f>
        <v/>
      </c>
    </row>
    <row r="47" customFormat="false" ht="15" hidden="false" customHeight="true" outlineLevel="0" collapsed="false">
      <c r="A47" s="15" t="str">
        <f aca="false">IF($D47="","",42)</f>
        <v/>
      </c>
      <c r="B47" s="20" t="str">
        <f aca="false">IFERROR(INDEX(예약내역!$F$3:$F$2002,MATCH(42,일별현황!$L$6:$L$2005,0)),"")</f>
        <v/>
      </c>
      <c r="C47" s="20" t="str">
        <f aca="false">IF($B47="","",IFERROR(INDEX(예약내역!$G$3:$G$2002,MATCH(42,일별현황!$L$6:$L$2005,0)),""))</f>
        <v/>
      </c>
      <c r="D47" s="12" t="str">
        <f aca="false">IFERROR(INDEX(예약내역!$C$3:$C$2002,MATCH(42,일별현황!$L$6:$L$2005,0)),"")</f>
        <v/>
      </c>
      <c r="E47" s="12" t="str">
        <f aca="false">IF($D47="","",IFERROR(INDEX(예약내역!$D$3:$D$2002,MATCH(42,일별현황!$L$6:$L$2005,0)),""))</f>
        <v/>
      </c>
      <c r="F47" s="12" t="str">
        <f aca="false">IF($D47="","",IFERROR(INDEX(예약내역!$E$3:$E$2002,MATCH(42,일별현황!$L$6:$L$2005,0)),""))</f>
        <v/>
      </c>
      <c r="G47" s="15" t="str">
        <f aca="false">IF($D47="","",IFERROR(INDEX(예약내역!$I$3:$I$2002,MATCH(42,일별현황!$L$6:$L$2005,0)),""))</f>
        <v/>
      </c>
      <c r="H47" s="15" t="str">
        <f aca="false">IF($D47="","",IFERROR(INDEX(예약내역!$J$3:$J$2002,MATCH(42,일별현황!$L$6:$L$2005,0)),""))</f>
        <v/>
      </c>
      <c r="J47" s="21" t="b">
        <f aca="false">IF(예약내역!$A44="",FALSE(),AND(예약내역!$A44=$B$3,예약내역!$J44&lt;&gt;"취소"))</f>
        <v>0</v>
      </c>
      <c r="K47" s="5" t="str">
        <f aca="false">IF($J47=FALSE(),"",예약내역!$L44*10000+ROW())</f>
        <v/>
      </c>
      <c r="L47" s="5" t="str">
        <f aca="false">IF($K47="","",RANK($K47,$K$6:$K$2005,1))</f>
        <v/>
      </c>
    </row>
    <row r="48" customFormat="false" ht="15" hidden="false" customHeight="true" outlineLevel="0" collapsed="false">
      <c r="A48" s="15" t="str">
        <f aca="false">IF($D48="","",43)</f>
        <v/>
      </c>
      <c r="B48" s="20" t="str">
        <f aca="false">IFERROR(INDEX(예약내역!$F$3:$F$2002,MATCH(43,일별현황!$L$6:$L$2005,0)),"")</f>
        <v/>
      </c>
      <c r="C48" s="20" t="str">
        <f aca="false">IF($B48="","",IFERROR(INDEX(예약내역!$G$3:$G$2002,MATCH(43,일별현황!$L$6:$L$2005,0)),""))</f>
        <v/>
      </c>
      <c r="D48" s="12" t="str">
        <f aca="false">IFERROR(INDEX(예약내역!$C$3:$C$2002,MATCH(43,일별현황!$L$6:$L$2005,0)),"")</f>
        <v/>
      </c>
      <c r="E48" s="12" t="str">
        <f aca="false">IF($D48="","",IFERROR(INDEX(예약내역!$D$3:$D$2002,MATCH(43,일별현황!$L$6:$L$2005,0)),""))</f>
        <v/>
      </c>
      <c r="F48" s="12" t="str">
        <f aca="false">IF($D48="","",IFERROR(INDEX(예약내역!$E$3:$E$2002,MATCH(43,일별현황!$L$6:$L$2005,0)),""))</f>
        <v/>
      </c>
      <c r="G48" s="15" t="str">
        <f aca="false">IF($D48="","",IFERROR(INDEX(예약내역!$I$3:$I$2002,MATCH(43,일별현황!$L$6:$L$2005,0)),""))</f>
        <v/>
      </c>
      <c r="H48" s="15" t="str">
        <f aca="false">IF($D48="","",IFERROR(INDEX(예약내역!$J$3:$J$2002,MATCH(43,일별현황!$L$6:$L$2005,0)),""))</f>
        <v/>
      </c>
      <c r="J48" s="21" t="b">
        <f aca="false">IF(예약내역!$A45="",FALSE(),AND(예약내역!$A45=$B$3,예약내역!$J45&lt;&gt;"취소"))</f>
        <v>0</v>
      </c>
      <c r="K48" s="5" t="str">
        <f aca="false">IF($J48=FALSE(),"",예약내역!$L45*10000+ROW())</f>
        <v/>
      </c>
      <c r="L48" s="5" t="str">
        <f aca="false">IF($K48="","",RANK($K48,$K$6:$K$2005,1))</f>
        <v/>
      </c>
    </row>
    <row r="49" customFormat="false" ht="15" hidden="false" customHeight="true" outlineLevel="0" collapsed="false">
      <c r="A49" s="15" t="str">
        <f aca="false">IF($D49="","",44)</f>
        <v/>
      </c>
      <c r="B49" s="20" t="str">
        <f aca="false">IFERROR(INDEX(예약내역!$F$3:$F$2002,MATCH(44,일별현황!$L$6:$L$2005,0)),"")</f>
        <v/>
      </c>
      <c r="C49" s="20" t="str">
        <f aca="false">IF($B49="","",IFERROR(INDEX(예약내역!$G$3:$G$2002,MATCH(44,일별현황!$L$6:$L$2005,0)),""))</f>
        <v/>
      </c>
      <c r="D49" s="12" t="str">
        <f aca="false">IFERROR(INDEX(예약내역!$C$3:$C$2002,MATCH(44,일별현황!$L$6:$L$2005,0)),"")</f>
        <v/>
      </c>
      <c r="E49" s="12" t="str">
        <f aca="false">IF($D49="","",IFERROR(INDEX(예약내역!$D$3:$D$2002,MATCH(44,일별현황!$L$6:$L$2005,0)),""))</f>
        <v/>
      </c>
      <c r="F49" s="12" t="str">
        <f aca="false">IF($D49="","",IFERROR(INDEX(예약내역!$E$3:$E$2002,MATCH(44,일별현황!$L$6:$L$2005,0)),""))</f>
        <v/>
      </c>
      <c r="G49" s="15" t="str">
        <f aca="false">IF($D49="","",IFERROR(INDEX(예약내역!$I$3:$I$2002,MATCH(44,일별현황!$L$6:$L$2005,0)),""))</f>
        <v/>
      </c>
      <c r="H49" s="15" t="str">
        <f aca="false">IF($D49="","",IFERROR(INDEX(예약내역!$J$3:$J$2002,MATCH(44,일별현황!$L$6:$L$2005,0)),""))</f>
        <v/>
      </c>
      <c r="J49" s="21" t="b">
        <f aca="false">IF(예약내역!$A46="",FALSE(),AND(예약내역!$A46=$B$3,예약내역!$J46&lt;&gt;"취소"))</f>
        <v>0</v>
      </c>
      <c r="K49" s="5" t="str">
        <f aca="false">IF($J49=FALSE(),"",예약내역!$L46*10000+ROW())</f>
        <v/>
      </c>
      <c r="L49" s="5" t="str">
        <f aca="false">IF($K49="","",RANK($K49,$K$6:$K$2005,1))</f>
        <v/>
      </c>
    </row>
    <row r="50" customFormat="false" ht="15" hidden="false" customHeight="true" outlineLevel="0" collapsed="false">
      <c r="A50" s="15" t="str">
        <f aca="false">IF($D50="","",45)</f>
        <v/>
      </c>
      <c r="B50" s="20" t="str">
        <f aca="false">IFERROR(INDEX(예약내역!$F$3:$F$2002,MATCH(45,일별현황!$L$6:$L$2005,0)),"")</f>
        <v/>
      </c>
      <c r="C50" s="20" t="str">
        <f aca="false">IF($B50="","",IFERROR(INDEX(예약내역!$G$3:$G$2002,MATCH(45,일별현황!$L$6:$L$2005,0)),""))</f>
        <v/>
      </c>
      <c r="D50" s="12" t="str">
        <f aca="false">IFERROR(INDEX(예약내역!$C$3:$C$2002,MATCH(45,일별현황!$L$6:$L$2005,0)),"")</f>
        <v/>
      </c>
      <c r="E50" s="12" t="str">
        <f aca="false">IF($D50="","",IFERROR(INDEX(예약내역!$D$3:$D$2002,MATCH(45,일별현황!$L$6:$L$2005,0)),""))</f>
        <v/>
      </c>
      <c r="F50" s="12" t="str">
        <f aca="false">IF($D50="","",IFERROR(INDEX(예약내역!$E$3:$E$2002,MATCH(45,일별현황!$L$6:$L$2005,0)),""))</f>
        <v/>
      </c>
      <c r="G50" s="15" t="str">
        <f aca="false">IF($D50="","",IFERROR(INDEX(예약내역!$I$3:$I$2002,MATCH(45,일별현황!$L$6:$L$2005,0)),""))</f>
        <v/>
      </c>
      <c r="H50" s="15" t="str">
        <f aca="false">IF($D50="","",IFERROR(INDEX(예약내역!$J$3:$J$2002,MATCH(45,일별현황!$L$6:$L$2005,0)),""))</f>
        <v/>
      </c>
      <c r="J50" s="21" t="b">
        <f aca="false">IF(예약내역!$A47="",FALSE(),AND(예약내역!$A47=$B$3,예약내역!$J47&lt;&gt;"취소"))</f>
        <v>0</v>
      </c>
      <c r="K50" s="5" t="str">
        <f aca="false">IF($J50=FALSE(),"",예약내역!$L47*10000+ROW())</f>
        <v/>
      </c>
      <c r="L50" s="5" t="str">
        <f aca="false">IF($K50="","",RANK($K50,$K$6:$K$2005,1))</f>
        <v/>
      </c>
    </row>
    <row r="51" customFormat="false" ht="15" hidden="false" customHeight="true" outlineLevel="0" collapsed="false">
      <c r="A51" s="15" t="str">
        <f aca="false">IF($D51="","",46)</f>
        <v/>
      </c>
      <c r="B51" s="20" t="str">
        <f aca="false">IFERROR(INDEX(예약내역!$F$3:$F$2002,MATCH(46,일별현황!$L$6:$L$2005,0)),"")</f>
        <v/>
      </c>
      <c r="C51" s="20" t="str">
        <f aca="false">IF($B51="","",IFERROR(INDEX(예약내역!$G$3:$G$2002,MATCH(46,일별현황!$L$6:$L$2005,0)),""))</f>
        <v/>
      </c>
      <c r="D51" s="12" t="str">
        <f aca="false">IFERROR(INDEX(예약내역!$C$3:$C$2002,MATCH(46,일별현황!$L$6:$L$2005,0)),"")</f>
        <v/>
      </c>
      <c r="E51" s="12" t="str">
        <f aca="false">IF($D51="","",IFERROR(INDEX(예약내역!$D$3:$D$2002,MATCH(46,일별현황!$L$6:$L$2005,0)),""))</f>
        <v/>
      </c>
      <c r="F51" s="12" t="str">
        <f aca="false">IF($D51="","",IFERROR(INDEX(예약내역!$E$3:$E$2002,MATCH(46,일별현황!$L$6:$L$2005,0)),""))</f>
        <v/>
      </c>
      <c r="G51" s="15" t="str">
        <f aca="false">IF($D51="","",IFERROR(INDEX(예약내역!$I$3:$I$2002,MATCH(46,일별현황!$L$6:$L$2005,0)),""))</f>
        <v/>
      </c>
      <c r="H51" s="15" t="str">
        <f aca="false">IF($D51="","",IFERROR(INDEX(예약내역!$J$3:$J$2002,MATCH(46,일별현황!$L$6:$L$2005,0)),""))</f>
        <v/>
      </c>
      <c r="J51" s="21" t="b">
        <f aca="false">IF(예약내역!$A48="",FALSE(),AND(예약내역!$A48=$B$3,예약내역!$J48&lt;&gt;"취소"))</f>
        <v>0</v>
      </c>
      <c r="K51" s="5" t="str">
        <f aca="false">IF($J51=FALSE(),"",예약내역!$L48*10000+ROW())</f>
        <v/>
      </c>
      <c r="L51" s="5" t="str">
        <f aca="false">IF($K51="","",RANK($K51,$K$6:$K$2005,1))</f>
        <v/>
      </c>
    </row>
    <row r="52" customFormat="false" ht="15" hidden="false" customHeight="true" outlineLevel="0" collapsed="false">
      <c r="A52" s="15" t="str">
        <f aca="false">IF($D52="","",47)</f>
        <v/>
      </c>
      <c r="B52" s="20" t="str">
        <f aca="false">IFERROR(INDEX(예약내역!$F$3:$F$2002,MATCH(47,일별현황!$L$6:$L$2005,0)),"")</f>
        <v/>
      </c>
      <c r="C52" s="20" t="str">
        <f aca="false">IF($B52="","",IFERROR(INDEX(예약내역!$G$3:$G$2002,MATCH(47,일별현황!$L$6:$L$2005,0)),""))</f>
        <v/>
      </c>
      <c r="D52" s="12" t="str">
        <f aca="false">IFERROR(INDEX(예약내역!$C$3:$C$2002,MATCH(47,일별현황!$L$6:$L$2005,0)),"")</f>
        <v/>
      </c>
      <c r="E52" s="12" t="str">
        <f aca="false">IF($D52="","",IFERROR(INDEX(예약내역!$D$3:$D$2002,MATCH(47,일별현황!$L$6:$L$2005,0)),""))</f>
        <v/>
      </c>
      <c r="F52" s="12" t="str">
        <f aca="false">IF($D52="","",IFERROR(INDEX(예약내역!$E$3:$E$2002,MATCH(47,일별현황!$L$6:$L$2005,0)),""))</f>
        <v/>
      </c>
      <c r="G52" s="15" t="str">
        <f aca="false">IF($D52="","",IFERROR(INDEX(예약내역!$I$3:$I$2002,MATCH(47,일별현황!$L$6:$L$2005,0)),""))</f>
        <v/>
      </c>
      <c r="H52" s="15" t="str">
        <f aca="false">IF($D52="","",IFERROR(INDEX(예약내역!$J$3:$J$2002,MATCH(47,일별현황!$L$6:$L$2005,0)),""))</f>
        <v/>
      </c>
      <c r="J52" s="21" t="b">
        <f aca="false">IF(예약내역!$A49="",FALSE(),AND(예약내역!$A49=$B$3,예약내역!$J49&lt;&gt;"취소"))</f>
        <v>0</v>
      </c>
      <c r="K52" s="5" t="str">
        <f aca="false">IF($J52=FALSE(),"",예약내역!$L49*10000+ROW())</f>
        <v/>
      </c>
      <c r="L52" s="5" t="str">
        <f aca="false">IF($K52="","",RANK($K52,$K$6:$K$2005,1))</f>
        <v/>
      </c>
    </row>
    <row r="53" customFormat="false" ht="15" hidden="false" customHeight="true" outlineLevel="0" collapsed="false">
      <c r="A53" s="15" t="str">
        <f aca="false">IF($D53="","",48)</f>
        <v/>
      </c>
      <c r="B53" s="20" t="str">
        <f aca="false">IFERROR(INDEX(예약내역!$F$3:$F$2002,MATCH(48,일별현황!$L$6:$L$2005,0)),"")</f>
        <v/>
      </c>
      <c r="C53" s="20" t="str">
        <f aca="false">IF($B53="","",IFERROR(INDEX(예약내역!$G$3:$G$2002,MATCH(48,일별현황!$L$6:$L$2005,0)),""))</f>
        <v/>
      </c>
      <c r="D53" s="12" t="str">
        <f aca="false">IFERROR(INDEX(예약내역!$C$3:$C$2002,MATCH(48,일별현황!$L$6:$L$2005,0)),"")</f>
        <v/>
      </c>
      <c r="E53" s="12" t="str">
        <f aca="false">IF($D53="","",IFERROR(INDEX(예약내역!$D$3:$D$2002,MATCH(48,일별현황!$L$6:$L$2005,0)),""))</f>
        <v/>
      </c>
      <c r="F53" s="12" t="str">
        <f aca="false">IF($D53="","",IFERROR(INDEX(예약내역!$E$3:$E$2002,MATCH(48,일별현황!$L$6:$L$2005,0)),""))</f>
        <v/>
      </c>
      <c r="G53" s="15" t="str">
        <f aca="false">IF($D53="","",IFERROR(INDEX(예약내역!$I$3:$I$2002,MATCH(48,일별현황!$L$6:$L$2005,0)),""))</f>
        <v/>
      </c>
      <c r="H53" s="15" t="str">
        <f aca="false">IF($D53="","",IFERROR(INDEX(예약내역!$J$3:$J$2002,MATCH(48,일별현황!$L$6:$L$2005,0)),""))</f>
        <v/>
      </c>
      <c r="J53" s="21" t="b">
        <f aca="false">IF(예약내역!$A50="",FALSE(),AND(예약내역!$A50=$B$3,예약내역!$J50&lt;&gt;"취소"))</f>
        <v>0</v>
      </c>
      <c r="K53" s="5" t="str">
        <f aca="false">IF($J53=FALSE(),"",예약내역!$L50*10000+ROW())</f>
        <v/>
      </c>
      <c r="L53" s="5" t="str">
        <f aca="false">IF($K53="","",RANK($K53,$K$6:$K$2005,1))</f>
        <v/>
      </c>
    </row>
    <row r="54" customFormat="false" ht="15" hidden="false" customHeight="true" outlineLevel="0" collapsed="false">
      <c r="A54" s="15" t="str">
        <f aca="false">IF($D54="","",49)</f>
        <v/>
      </c>
      <c r="B54" s="20" t="str">
        <f aca="false">IFERROR(INDEX(예약내역!$F$3:$F$2002,MATCH(49,일별현황!$L$6:$L$2005,0)),"")</f>
        <v/>
      </c>
      <c r="C54" s="20" t="str">
        <f aca="false">IF($B54="","",IFERROR(INDEX(예약내역!$G$3:$G$2002,MATCH(49,일별현황!$L$6:$L$2005,0)),""))</f>
        <v/>
      </c>
      <c r="D54" s="12" t="str">
        <f aca="false">IFERROR(INDEX(예약내역!$C$3:$C$2002,MATCH(49,일별현황!$L$6:$L$2005,0)),"")</f>
        <v/>
      </c>
      <c r="E54" s="12" t="str">
        <f aca="false">IF($D54="","",IFERROR(INDEX(예약내역!$D$3:$D$2002,MATCH(49,일별현황!$L$6:$L$2005,0)),""))</f>
        <v/>
      </c>
      <c r="F54" s="12" t="str">
        <f aca="false">IF($D54="","",IFERROR(INDEX(예약내역!$E$3:$E$2002,MATCH(49,일별현황!$L$6:$L$2005,0)),""))</f>
        <v/>
      </c>
      <c r="G54" s="15" t="str">
        <f aca="false">IF($D54="","",IFERROR(INDEX(예약내역!$I$3:$I$2002,MATCH(49,일별현황!$L$6:$L$2005,0)),""))</f>
        <v/>
      </c>
      <c r="H54" s="15" t="str">
        <f aca="false">IF($D54="","",IFERROR(INDEX(예약내역!$J$3:$J$2002,MATCH(49,일별현황!$L$6:$L$2005,0)),""))</f>
        <v/>
      </c>
      <c r="J54" s="21" t="b">
        <f aca="false">IF(예약내역!$A51="",FALSE(),AND(예약내역!$A51=$B$3,예약내역!$J51&lt;&gt;"취소"))</f>
        <v>0</v>
      </c>
      <c r="K54" s="5" t="str">
        <f aca="false">IF($J54=FALSE(),"",예약내역!$L51*10000+ROW())</f>
        <v/>
      </c>
      <c r="L54" s="5" t="str">
        <f aca="false">IF($K54="","",RANK($K54,$K$6:$K$2005,1))</f>
        <v/>
      </c>
    </row>
    <row r="55" customFormat="false" ht="15" hidden="false" customHeight="true" outlineLevel="0" collapsed="false">
      <c r="A55" s="15" t="str">
        <f aca="false">IF($D55="","",50)</f>
        <v/>
      </c>
      <c r="B55" s="20" t="str">
        <f aca="false">IFERROR(INDEX(예약내역!$F$3:$F$2002,MATCH(50,일별현황!$L$6:$L$2005,0)),"")</f>
        <v/>
      </c>
      <c r="C55" s="20" t="str">
        <f aca="false">IF($B55="","",IFERROR(INDEX(예약내역!$G$3:$G$2002,MATCH(50,일별현황!$L$6:$L$2005,0)),""))</f>
        <v/>
      </c>
      <c r="D55" s="12" t="str">
        <f aca="false">IFERROR(INDEX(예약내역!$C$3:$C$2002,MATCH(50,일별현황!$L$6:$L$2005,0)),"")</f>
        <v/>
      </c>
      <c r="E55" s="12" t="str">
        <f aca="false">IF($D55="","",IFERROR(INDEX(예약내역!$D$3:$D$2002,MATCH(50,일별현황!$L$6:$L$2005,0)),""))</f>
        <v/>
      </c>
      <c r="F55" s="12" t="str">
        <f aca="false">IF($D55="","",IFERROR(INDEX(예약내역!$E$3:$E$2002,MATCH(50,일별현황!$L$6:$L$2005,0)),""))</f>
        <v/>
      </c>
      <c r="G55" s="15" t="str">
        <f aca="false">IF($D55="","",IFERROR(INDEX(예약내역!$I$3:$I$2002,MATCH(50,일별현황!$L$6:$L$2005,0)),""))</f>
        <v/>
      </c>
      <c r="H55" s="15" t="str">
        <f aca="false">IF($D55="","",IFERROR(INDEX(예약내역!$J$3:$J$2002,MATCH(50,일별현황!$L$6:$L$2005,0)),""))</f>
        <v/>
      </c>
      <c r="J55" s="21" t="b">
        <f aca="false">IF(예약내역!$A52="",FALSE(),AND(예약내역!$A52=$B$3,예약내역!$J52&lt;&gt;"취소"))</f>
        <v>0</v>
      </c>
      <c r="K55" s="5" t="str">
        <f aca="false">IF($J55=FALSE(),"",예약내역!$L52*10000+ROW())</f>
        <v/>
      </c>
      <c r="L55" s="5" t="str">
        <f aca="false">IF($K55="","",RANK($K55,$K$6:$K$2005,1))</f>
        <v/>
      </c>
    </row>
    <row r="56" customFormat="false" ht="15" hidden="false" customHeight="true" outlineLevel="0" collapsed="false">
      <c r="A56" s="15" t="str">
        <f aca="false">IF($D56="","",51)</f>
        <v/>
      </c>
      <c r="B56" s="20" t="str">
        <f aca="false">IFERROR(INDEX(예약내역!$F$3:$F$2002,MATCH(51,일별현황!$L$6:$L$2005,0)),"")</f>
        <v/>
      </c>
      <c r="C56" s="20" t="str">
        <f aca="false">IF($B56="","",IFERROR(INDEX(예약내역!$G$3:$G$2002,MATCH(51,일별현황!$L$6:$L$2005,0)),""))</f>
        <v/>
      </c>
      <c r="D56" s="12" t="str">
        <f aca="false">IFERROR(INDEX(예약내역!$C$3:$C$2002,MATCH(51,일별현황!$L$6:$L$2005,0)),"")</f>
        <v/>
      </c>
      <c r="E56" s="12" t="str">
        <f aca="false">IF($D56="","",IFERROR(INDEX(예약내역!$D$3:$D$2002,MATCH(51,일별현황!$L$6:$L$2005,0)),""))</f>
        <v/>
      </c>
      <c r="F56" s="12" t="str">
        <f aca="false">IF($D56="","",IFERROR(INDEX(예약내역!$E$3:$E$2002,MATCH(51,일별현황!$L$6:$L$2005,0)),""))</f>
        <v/>
      </c>
      <c r="G56" s="15" t="str">
        <f aca="false">IF($D56="","",IFERROR(INDEX(예약내역!$I$3:$I$2002,MATCH(51,일별현황!$L$6:$L$2005,0)),""))</f>
        <v/>
      </c>
      <c r="H56" s="15" t="str">
        <f aca="false">IF($D56="","",IFERROR(INDEX(예약내역!$J$3:$J$2002,MATCH(51,일별현황!$L$6:$L$2005,0)),""))</f>
        <v/>
      </c>
      <c r="J56" s="21" t="b">
        <f aca="false">IF(예약내역!$A53="",FALSE(),AND(예약내역!$A53=$B$3,예약내역!$J53&lt;&gt;"취소"))</f>
        <v>0</v>
      </c>
      <c r="K56" s="5" t="str">
        <f aca="false">IF($J56=FALSE(),"",예약내역!$L53*10000+ROW())</f>
        <v/>
      </c>
      <c r="L56" s="5" t="str">
        <f aca="false">IF($K56="","",RANK($K56,$K$6:$K$2005,1))</f>
        <v/>
      </c>
    </row>
    <row r="57" customFormat="false" ht="15" hidden="false" customHeight="true" outlineLevel="0" collapsed="false">
      <c r="A57" s="15" t="str">
        <f aca="false">IF($D57="","",52)</f>
        <v/>
      </c>
      <c r="B57" s="20" t="str">
        <f aca="false">IFERROR(INDEX(예약내역!$F$3:$F$2002,MATCH(52,일별현황!$L$6:$L$2005,0)),"")</f>
        <v/>
      </c>
      <c r="C57" s="20" t="str">
        <f aca="false">IF($B57="","",IFERROR(INDEX(예약내역!$G$3:$G$2002,MATCH(52,일별현황!$L$6:$L$2005,0)),""))</f>
        <v/>
      </c>
      <c r="D57" s="12" t="str">
        <f aca="false">IFERROR(INDEX(예약내역!$C$3:$C$2002,MATCH(52,일별현황!$L$6:$L$2005,0)),"")</f>
        <v/>
      </c>
      <c r="E57" s="12" t="str">
        <f aca="false">IF($D57="","",IFERROR(INDEX(예약내역!$D$3:$D$2002,MATCH(52,일별현황!$L$6:$L$2005,0)),""))</f>
        <v/>
      </c>
      <c r="F57" s="12" t="str">
        <f aca="false">IF($D57="","",IFERROR(INDEX(예약내역!$E$3:$E$2002,MATCH(52,일별현황!$L$6:$L$2005,0)),""))</f>
        <v/>
      </c>
      <c r="G57" s="15" t="str">
        <f aca="false">IF($D57="","",IFERROR(INDEX(예약내역!$I$3:$I$2002,MATCH(52,일별현황!$L$6:$L$2005,0)),""))</f>
        <v/>
      </c>
      <c r="H57" s="15" t="str">
        <f aca="false">IF($D57="","",IFERROR(INDEX(예약내역!$J$3:$J$2002,MATCH(52,일별현황!$L$6:$L$2005,0)),""))</f>
        <v/>
      </c>
      <c r="J57" s="21" t="b">
        <f aca="false">IF(예약내역!$A54="",FALSE(),AND(예약내역!$A54=$B$3,예약내역!$J54&lt;&gt;"취소"))</f>
        <v>0</v>
      </c>
      <c r="K57" s="5" t="str">
        <f aca="false">IF($J57=FALSE(),"",예약내역!$L54*10000+ROW())</f>
        <v/>
      </c>
      <c r="L57" s="5" t="str">
        <f aca="false">IF($K57="","",RANK($K57,$K$6:$K$2005,1))</f>
        <v/>
      </c>
    </row>
    <row r="58" customFormat="false" ht="15" hidden="false" customHeight="true" outlineLevel="0" collapsed="false">
      <c r="A58" s="15" t="str">
        <f aca="false">IF($D58="","",53)</f>
        <v/>
      </c>
      <c r="B58" s="20" t="str">
        <f aca="false">IFERROR(INDEX(예약내역!$F$3:$F$2002,MATCH(53,일별현황!$L$6:$L$2005,0)),"")</f>
        <v/>
      </c>
      <c r="C58" s="20" t="str">
        <f aca="false">IF($B58="","",IFERROR(INDEX(예약내역!$G$3:$G$2002,MATCH(53,일별현황!$L$6:$L$2005,0)),""))</f>
        <v/>
      </c>
      <c r="D58" s="12" t="str">
        <f aca="false">IFERROR(INDEX(예약내역!$C$3:$C$2002,MATCH(53,일별현황!$L$6:$L$2005,0)),"")</f>
        <v/>
      </c>
      <c r="E58" s="12" t="str">
        <f aca="false">IF($D58="","",IFERROR(INDEX(예약내역!$D$3:$D$2002,MATCH(53,일별현황!$L$6:$L$2005,0)),""))</f>
        <v/>
      </c>
      <c r="F58" s="12" t="str">
        <f aca="false">IF($D58="","",IFERROR(INDEX(예약내역!$E$3:$E$2002,MATCH(53,일별현황!$L$6:$L$2005,0)),""))</f>
        <v/>
      </c>
      <c r="G58" s="15" t="str">
        <f aca="false">IF($D58="","",IFERROR(INDEX(예약내역!$I$3:$I$2002,MATCH(53,일별현황!$L$6:$L$2005,0)),""))</f>
        <v/>
      </c>
      <c r="H58" s="15" t="str">
        <f aca="false">IF($D58="","",IFERROR(INDEX(예약내역!$J$3:$J$2002,MATCH(53,일별현황!$L$6:$L$2005,0)),""))</f>
        <v/>
      </c>
      <c r="J58" s="21" t="b">
        <f aca="false">IF(예약내역!$A55="",FALSE(),AND(예약내역!$A55=$B$3,예약내역!$J55&lt;&gt;"취소"))</f>
        <v>0</v>
      </c>
      <c r="K58" s="5" t="str">
        <f aca="false">IF($J58=FALSE(),"",예약내역!$L55*10000+ROW())</f>
        <v/>
      </c>
      <c r="L58" s="5" t="str">
        <f aca="false">IF($K58="","",RANK($K58,$K$6:$K$2005,1))</f>
        <v/>
      </c>
    </row>
    <row r="59" customFormat="false" ht="15" hidden="false" customHeight="true" outlineLevel="0" collapsed="false">
      <c r="A59" s="15" t="str">
        <f aca="false">IF($D59="","",54)</f>
        <v/>
      </c>
      <c r="B59" s="20" t="str">
        <f aca="false">IFERROR(INDEX(예약내역!$F$3:$F$2002,MATCH(54,일별현황!$L$6:$L$2005,0)),"")</f>
        <v/>
      </c>
      <c r="C59" s="20" t="str">
        <f aca="false">IF($B59="","",IFERROR(INDEX(예약내역!$G$3:$G$2002,MATCH(54,일별현황!$L$6:$L$2005,0)),""))</f>
        <v/>
      </c>
      <c r="D59" s="12" t="str">
        <f aca="false">IFERROR(INDEX(예약내역!$C$3:$C$2002,MATCH(54,일별현황!$L$6:$L$2005,0)),"")</f>
        <v/>
      </c>
      <c r="E59" s="12" t="str">
        <f aca="false">IF($D59="","",IFERROR(INDEX(예약내역!$D$3:$D$2002,MATCH(54,일별현황!$L$6:$L$2005,0)),""))</f>
        <v/>
      </c>
      <c r="F59" s="12" t="str">
        <f aca="false">IF($D59="","",IFERROR(INDEX(예약내역!$E$3:$E$2002,MATCH(54,일별현황!$L$6:$L$2005,0)),""))</f>
        <v/>
      </c>
      <c r="G59" s="15" t="str">
        <f aca="false">IF($D59="","",IFERROR(INDEX(예약내역!$I$3:$I$2002,MATCH(54,일별현황!$L$6:$L$2005,0)),""))</f>
        <v/>
      </c>
      <c r="H59" s="15" t="str">
        <f aca="false">IF($D59="","",IFERROR(INDEX(예약내역!$J$3:$J$2002,MATCH(54,일별현황!$L$6:$L$2005,0)),""))</f>
        <v/>
      </c>
      <c r="J59" s="21" t="b">
        <f aca="false">IF(예약내역!$A56="",FALSE(),AND(예약내역!$A56=$B$3,예약내역!$J56&lt;&gt;"취소"))</f>
        <v>0</v>
      </c>
      <c r="K59" s="5" t="str">
        <f aca="false">IF($J59=FALSE(),"",예약내역!$L56*10000+ROW())</f>
        <v/>
      </c>
      <c r="L59" s="5" t="str">
        <f aca="false">IF($K59="","",RANK($K59,$K$6:$K$2005,1))</f>
        <v/>
      </c>
    </row>
    <row r="60" customFormat="false" ht="15" hidden="false" customHeight="true" outlineLevel="0" collapsed="false">
      <c r="A60" s="15" t="str">
        <f aca="false">IF($D60="","",55)</f>
        <v/>
      </c>
      <c r="B60" s="20" t="str">
        <f aca="false">IFERROR(INDEX(예약내역!$F$3:$F$2002,MATCH(55,일별현황!$L$6:$L$2005,0)),"")</f>
        <v/>
      </c>
      <c r="C60" s="20" t="str">
        <f aca="false">IF($B60="","",IFERROR(INDEX(예약내역!$G$3:$G$2002,MATCH(55,일별현황!$L$6:$L$2005,0)),""))</f>
        <v/>
      </c>
      <c r="D60" s="12" t="str">
        <f aca="false">IFERROR(INDEX(예약내역!$C$3:$C$2002,MATCH(55,일별현황!$L$6:$L$2005,0)),"")</f>
        <v/>
      </c>
      <c r="E60" s="12" t="str">
        <f aca="false">IF($D60="","",IFERROR(INDEX(예약내역!$D$3:$D$2002,MATCH(55,일별현황!$L$6:$L$2005,0)),""))</f>
        <v/>
      </c>
      <c r="F60" s="12" t="str">
        <f aca="false">IF($D60="","",IFERROR(INDEX(예약내역!$E$3:$E$2002,MATCH(55,일별현황!$L$6:$L$2005,0)),""))</f>
        <v/>
      </c>
      <c r="G60" s="15" t="str">
        <f aca="false">IF($D60="","",IFERROR(INDEX(예약내역!$I$3:$I$2002,MATCH(55,일별현황!$L$6:$L$2005,0)),""))</f>
        <v/>
      </c>
      <c r="H60" s="15" t="str">
        <f aca="false">IF($D60="","",IFERROR(INDEX(예약내역!$J$3:$J$2002,MATCH(55,일별현황!$L$6:$L$2005,0)),""))</f>
        <v/>
      </c>
      <c r="J60" s="21" t="b">
        <f aca="false">IF(예약내역!$A57="",FALSE(),AND(예약내역!$A57=$B$3,예약내역!$J57&lt;&gt;"취소"))</f>
        <v>0</v>
      </c>
      <c r="K60" s="5" t="str">
        <f aca="false">IF($J60=FALSE(),"",예약내역!$L57*10000+ROW())</f>
        <v/>
      </c>
      <c r="L60" s="5" t="str">
        <f aca="false">IF($K60="","",RANK($K60,$K$6:$K$2005,1))</f>
        <v/>
      </c>
    </row>
    <row r="61" customFormat="false" ht="15" hidden="false" customHeight="true" outlineLevel="0" collapsed="false">
      <c r="A61" s="15" t="str">
        <f aca="false">IF($D61="","",56)</f>
        <v/>
      </c>
      <c r="B61" s="20" t="str">
        <f aca="false">IFERROR(INDEX(예약내역!$F$3:$F$2002,MATCH(56,일별현황!$L$6:$L$2005,0)),"")</f>
        <v/>
      </c>
      <c r="C61" s="20" t="str">
        <f aca="false">IF($B61="","",IFERROR(INDEX(예약내역!$G$3:$G$2002,MATCH(56,일별현황!$L$6:$L$2005,0)),""))</f>
        <v/>
      </c>
      <c r="D61" s="12" t="str">
        <f aca="false">IFERROR(INDEX(예약내역!$C$3:$C$2002,MATCH(56,일별현황!$L$6:$L$2005,0)),"")</f>
        <v/>
      </c>
      <c r="E61" s="12" t="str">
        <f aca="false">IF($D61="","",IFERROR(INDEX(예약내역!$D$3:$D$2002,MATCH(56,일별현황!$L$6:$L$2005,0)),""))</f>
        <v/>
      </c>
      <c r="F61" s="12" t="str">
        <f aca="false">IF($D61="","",IFERROR(INDEX(예약내역!$E$3:$E$2002,MATCH(56,일별현황!$L$6:$L$2005,0)),""))</f>
        <v/>
      </c>
      <c r="G61" s="15" t="str">
        <f aca="false">IF($D61="","",IFERROR(INDEX(예약내역!$I$3:$I$2002,MATCH(56,일별현황!$L$6:$L$2005,0)),""))</f>
        <v/>
      </c>
      <c r="H61" s="15" t="str">
        <f aca="false">IF($D61="","",IFERROR(INDEX(예약내역!$J$3:$J$2002,MATCH(56,일별현황!$L$6:$L$2005,0)),""))</f>
        <v/>
      </c>
      <c r="J61" s="21" t="b">
        <f aca="false">IF(예약내역!$A58="",FALSE(),AND(예약내역!$A58=$B$3,예약내역!$J58&lt;&gt;"취소"))</f>
        <v>0</v>
      </c>
      <c r="K61" s="5" t="str">
        <f aca="false">IF($J61=FALSE(),"",예약내역!$L58*10000+ROW())</f>
        <v/>
      </c>
      <c r="L61" s="5" t="str">
        <f aca="false">IF($K61="","",RANK($K61,$K$6:$K$2005,1))</f>
        <v/>
      </c>
    </row>
    <row r="62" customFormat="false" ht="15" hidden="false" customHeight="true" outlineLevel="0" collapsed="false">
      <c r="A62" s="15" t="str">
        <f aca="false">IF($D62="","",57)</f>
        <v/>
      </c>
      <c r="B62" s="20" t="str">
        <f aca="false">IFERROR(INDEX(예약내역!$F$3:$F$2002,MATCH(57,일별현황!$L$6:$L$2005,0)),"")</f>
        <v/>
      </c>
      <c r="C62" s="20" t="str">
        <f aca="false">IF($B62="","",IFERROR(INDEX(예약내역!$G$3:$G$2002,MATCH(57,일별현황!$L$6:$L$2005,0)),""))</f>
        <v/>
      </c>
      <c r="D62" s="12" t="str">
        <f aca="false">IFERROR(INDEX(예약내역!$C$3:$C$2002,MATCH(57,일별현황!$L$6:$L$2005,0)),"")</f>
        <v/>
      </c>
      <c r="E62" s="12" t="str">
        <f aca="false">IF($D62="","",IFERROR(INDEX(예약내역!$D$3:$D$2002,MATCH(57,일별현황!$L$6:$L$2005,0)),""))</f>
        <v/>
      </c>
      <c r="F62" s="12" t="str">
        <f aca="false">IF($D62="","",IFERROR(INDEX(예약내역!$E$3:$E$2002,MATCH(57,일별현황!$L$6:$L$2005,0)),""))</f>
        <v/>
      </c>
      <c r="G62" s="15" t="str">
        <f aca="false">IF($D62="","",IFERROR(INDEX(예약내역!$I$3:$I$2002,MATCH(57,일별현황!$L$6:$L$2005,0)),""))</f>
        <v/>
      </c>
      <c r="H62" s="15" t="str">
        <f aca="false">IF($D62="","",IFERROR(INDEX(예약내역!$J$3:$J$2002,MATCH(57,일별현황!$L$6:$L$2005,0)),""))</f>
        <v/>
      </c>
      <c r="J62" s="21" t="b">
        <f aca="false">IF(예약내역!$A59="",FALSE(),AND(예약내역!$A59=$B$3,예약내역!$J59&lt;&gt;"취소"))</f>
        <v>0</v>
      </c>
      <c r="K62" s="5" t="str">
        <f aca="false">IF($J62=FALSE(),"",예약내역!$L59*10000+ROW())</f>
        <v/>
      </c>
      <c r="L62" s="5" t="str">
        <f aca="false">IF($K62="","",RANK($K62,$K$6:$K$2005,1))</f>
        <v/>
      </c>
    </row>
    <row r="63" customFormat="false" ht="15" hidden="false" customHeight="true" outlineLevel="0" collapsed="false">
      <c r="A63" s="15" t="str">
        <f aca="false">IF($D63="","",58)</f>
        <v/>
      </c>
      <c r="B63" s="20" t="str">
        <f aca="false">IFERROR(INDEX(예약내역!$F$3:$F$2002,MATCH(58,일별현황!$L$6:$L$2005,0)),"")</f>
        <v/>
      </c>
      <c r="C63" s="20" t="str">
        <f aca="false">IF($B63="","",IFERROR(INDEX(예약내역!$G$3:$G$2002,MATCH(58,일별현황!$L$6:$L$2005,0)),""))</f>
        <v/>
      </c>
      <c r="D63" s="12" t="str">
        <f aca="false">IFERROR(INDEX(예약내역!$C$3:$C$2002,MATCH(58,일별현황!$L$6:$L$2005,0)),"")</f>
        <v/>
      </c>
      <c r="E63" s="12" t="str">
        <f aca="false">IF($D63="","",IFERROR(INDEX(예약내역!$D$3:$D$2002,MATCH(58,일별현황!$L$6:$L$2005,0)),""))</f>
        <v/>
      </c>
      <c r="F63" s="12" t="str">
        <f aca="false">IF($D63="","",IFERROR(INDEX(예약내역!$E$3:$E$2002,MATCH(58,일별현황!$L$6:$L$2005,0)),""))</f>
        <v/>
      </c>
      <c r="G63" s="15" t="str">
        <f aca="false">IF($D63="","",IFERROR(INDEX(예약내역!$I$3:$I$2002,MATCH(58,일별현황!$L$6:$L$2005,0)),""))</f>
        <v/>
      </c>
      <c r="H63" s="15" t="str">
        <f aca="false">IF($D63="","",IFERROR(INDEX(예약내역!$J$3:$J$2002,MATCH(58,일별현황!$L$6:$L$2005,0)),""))</f>
        <v/>
      </c>
      <c r="J63" s="21" t="b">
        <f aca="false">IF(예약내역!$A60="",FALSE(),AND(예약내역!$A60=$B$3,예약내역!$J60&lt;&gt;"취소"))</f>
        <v>0</v>
      </c>
      <c r="K63" s="5" t="str">
        <f aca="false">IF($J63=FALSE(),"",예약내역!$L60*10000+ROW())</f>
        <v/>
      </c>
      <c r="L63" s="5" t="str">
        <f aca="false">IF($K63="","",RANK($K63,$K$6:$K$2005,1))</f>
        <v/>
      </c>
    </row>
    <row r="64" customFormat="false" ht="15" hidden="false" customHeight="true" outlineLevel="0" collapsed="false">
      <c r="A64" s="15" t="str">
        <f aca="false">IF($D64="","",59)</f>
        <v/>
      </c>
      <c r="B64" s="20" t="str">
        <f aca="false">IFERROR(INDEX(예약내역!$F$3:$F$2002,MATCH(59,일별현황!$L$6:$L$2005,0)),"")</f>
        <v/>
      </c>
      <c r="C64" s="20" t="str">
        <f aca="false">IF($B64="","",IFERROR(INDEX(예약내역!$G$3:$G$2002,MATCH(59,일별현황!$L$6:$L$2005,0)),""))</f>
        <v/>
      </c>
      <c r="D64" s="12" t="str">
        <f aca="false">IFERROR(INDEX(예약내역!$C$3:$C$2002,MATCH(59,일별현황!$L$6:$L$2005,0)),"")</f>
        <v/>
      </c>
      <c r="E64" s="12" t="str">
        <f aca="false">IF($D64="","",IFERROR(INDEX(예약내역!$D$3:$D$2002,MATCH(59,일별현황!$L$6:$L$2005,0)),""))</f>
        <v/>
      </c>
      <c r="F64" s="12" t="str">
        <f aca="false">IF($D64="","",IFERROR(INDEX(예약내역!$E$3:$E$2002,MATCH(59,일별현황!$L$6:$L$2005,0)),""))</f>
        <v/>
      </c>
      <c r="G64" s="15" t="str">
        <f aca="false">IF($D64="","",IFERROR(INDEX(예약내역!$I$3:$I$2002,MATCH(59,일별현황!$L$6:$L$2005,0)),""))</f>
        <v/>
      </c>
      <c r="H64" s="15" t="str">
        <f aca="false">IF($D64="","",IFERROR(INDEX(예약내역!$J$3:$J$2002,MATCH(59,일별현황!$L$6:$L$2005,0)),""))</f>
        <v/>
      </c>
      <c r="J64" s="21" t="b">
        <f aca="false">IF(예약내역!$A61="",FALSE(),AND(예약내역!$A61=$B$3,예약내역!$J61&lt;&gt;"취소"))</f>
        <v>0</v>
      </c>
      <c r="K64" s="5" t="str">
        <f aca="false">IF($J64=FALSE(),"",예약내역!$L61*10000+ROW())</f>
        <v/>
      </c>
      <c r="L64" s="5" t="str">
        <f aca="false">IF($K64="","",RANK($K64,$K$6:$K$2005,1))</f>
        <v/>
      </c>
    </row>
    <row r="65" customFormat="false" ht="15" hidden="false" customHeight="true" outlineLevel="0" collapsed="false">
      <c r="A65" s="15" t="str">
        <f aca="false">IF($D65="","",60)</f>
        <v/>
      </c>
      <c r="B65" s="20" t="str">
        <f aca="false">IFERROR(INDEX(예약내역!$F$3:$F$2002,MATCH(60,일별현황!$L$6:$L$2005,0)),"")</f>
        <v/>
      </c>
      <c r="C65" s="20" t="str">
        <f aca="false">IF($B65="","",IFERROR(INDEX(예약내역!$G$3:$G$2002,MATCH(60,일별현황!$L$6:$L$2005,0)),""))</f>
        <v/>
      </c>
      <c r="D65" s="12" t="str">
        <f aca="false">IFERROR(INDEX(예약내역!$C$3:$C$2002,MATCH(60,일별현황!$L$6:$L$2005,0)),"")</f>
        <v/>
      </c>
      <c r="E65" s="12" t="str">
        <f aca="false">IF($D65="","",IFERROR(INDEX(예약내역!$D$3:$D$2002,MATCH(60,일별현황!$L$6:$L$2005,0)),""))</f>
        <v/>
      </c>
      <c r="F65" s="12" t="str">
        <f aca="false">IF($D65="","",IFERROR(INDEX(예약내역!$E$3:$E$2002,MATCH(60,일별현황!$L$6:$L$2005,0)),""))</f>
        <v/>
      </c>
      <c r="G65" s="15" t="str">
        <f aca="false">IF($D65="","",IFERROR(INDEX(예약내역!$I$3:$I$2002,MATCH(60,일별현황!$L$6:$L$2005,0)),""))</f>
        <v/>
      </c>
      <c r="H65" s="15" t="str">
        <f aca="false">IF($D65="","",IFERROR(INDEX(예약내역!$J$3:$J$2002,MATCH(60,일별현황!$L$6:$L$2005,0)),""))</f>
        <v/>
      </c>
      <c r="J65" s="21" t="b">
        <f aca="false">IF(예약내역!$A62="",FALSE(),AND(예약내역!$A62=$B$3,예약내역!$J62&lt;&gt;"취소"))</f>
        <v>0</v>
      </c>
      <c r="K65" s="5" t="str">
        <f aca="false">IF($J65=FALSE(),"",예약내역!$L62*10000+ROW())</f>
        <v/>
      </c>
      <c r="L65" s="5" t="str">
        <f aca="false">IF($K65="","",RANK($K65,$K$6:$K$2005,1))</f>
        <v/>
      </c>
    </row>
    <row r="66" customFormat="false" ht="15" hidden="false" customHeight="true" outlineLevel="0" collapsed="false">
      <c r="J66" s="21" t="b">
        <f aca="false">IF(예약내역!$A63="",FALSE(),AND(예약내역!$A63=$B$3,예약내역!$J63&lt;&gt;"취소"))</f>
        <v>0</v>
      </c>
      <c r="K66" s="5" t="str">
        <f aca="false">IF($J66=FALSE(),"",예약내역!$L63*10000+ROW())</f>
        <v/>
      </c>
      <c r="L66" s="5" t="str">
        <f aca="false">IF($K66="","",RANK($K66,$K$6:$K$2005,1))</f>
        <v/>
      </c>
    </row>
    <row r="67" customFormat="false" ht="15" hidden="false" customHeight="true" outlineLevel="0" collapsed="false">
      <c r="J67" s="21" t="b">
        <f aca="false">IF(예약내역!$A64="",FALSE(),AND(예약내역!$A64=$B$3,예약내역!$J64&lt;&gt;"취소"))</f>
        <v>0</v>
      </c>
      <c r="K67" s="5" t="str">
        <f aca="false">IF($J67=FALSE(),"",예약내역!$L64*10000+ROW())</f>
        <v/>
      </c>
      <c r="L67" s="5" t="str">
        <f aca="false">IF($K67="","",RANK($K67,$K$6:$K$2005,1))</f>
        <v/>
      </c>
    </row>
    <row r="68" customFormat="false" ht="15" hidden="false" customHeight="true" outlineLevel="0" collapsed="false">
      <c r="A68" s="5" t="s">
        <v>74</v>
      </c>
      <c r="J68" s="21" t="b">
        <f aca="false">IF(예약내역!$A65="",FALSE(),AND(예약내역!$A65=$B$3,예약내역!$J65&lt;&gt;"취소"))</f>
        <v>0</v>
      </c>
      <c r="K68" s="5" t="str">
        <f aca="false">IF($J68=FALSE(),"",예약내역!$L65*10000+ROW())</f>
        <v/>
      </c>
      <c r="L68" s="5" t="str">
        <f aca="false">IF($K68="","",RANK($K68,$K$6:$K$2005,1))</f>
        <v/>
      </c>
    </row>
    <row r="69" customFormat="false" ht="15" hidden="false" customHeight="true" outlineLevel="0" collapsed="false">
      <c r="J69" s="21" t="b">
        <f aca="false">IF(예약내역!$A66="",FALSE(),AND(예약내역!$A66=$B$3,예약내역!$J66&lt;&gt;"취소"))</f>
        <v>0</v>
      </c>
      <c r="K69" s="5" t="str">
        <f aca="false">IF($J69=FALSE(),"",예약내역!$L66*10000+ROW())</f>
        <v/>
      </c>
      <c r="L69" s="5" t="str">
        <f aca="false">IF($K69="","",RANK($K69,$K$6:$K$2005,1))</f>
        <v/>
      </c>
    </row>
    <row r="70" customFormat="false" ht="15" hidden="false" customHeight="true" outlineLevel="0" collapsed="false">
      <c r="J70" s="21" t="b">
        <f aca="false">IF(예약내역!$A67="",FALSE(),AND(예약내역!$A67=$B$3,예약내역!$J67&lt;&gt;"취소"))</f>
        <v>0</v>
      </c>
      <c r="K70" s="5" t="str">
        <f aca="false">IF($J70=FALSE(),"",예약내역!$L67*10000+ROW())</f>
        <v/>
      </c>
      <c r="L70" s="5" t="str">
        <f aca="false">IF($K70="","",RANK($K70,$K$6:$K$2005,1))</f>
        <v/>
      </c>
    </row>
    <row r="71" customFormat="false" ht="15" hidden="false" customHeight="true" outlineLevel="0" collapsed="false">
      <c r="J71" s="21" t="b">
        <f aca="false">IF(예약내역!$A68="",FALSE(),AND(예약내역!$A68=$B$3,예약내역!$J68&lt;&gt;"취소"))</f>
        <v>0</v>
      </c>
      <c r="K71" s="5" t="str">
        <f aca="false">IF($J71=FALSE(),"",예약내역!$L68*10000+ROW())</f>
        <v/>
      </c>
      <c r="L71" s="5" t="str">
        <f aca="false">IF($K71="","",RANK($K71,$K$6:$K$2005,1))</f>
        <v/>
      </c>
    </row>
    <row r="72" customFormat="false" ht="15" hidden="false" customHeight="true" outlineLevel="0" collapsed="false">
      <c r="J72" s="21" t="b">
        <f aca="false">IF(예약내역!$A69="",FALSE(),AND(예약내역!$A69=$B$3,예약내역!$J69&lt;&gt;"취소"))</f>
        <v>0</v>
      </c>
      <c r="K72" s="5" t="str">
        <f aca="false">IF($J72=FALSE(),"",예약내역!$L69*10000+ROW())</f>
        <v/>
      </c>
      <c r="L72" s="5" t="str">
        <f aca="false">IF($K72="","",RANK($K72,$K$6:$K$2005,1))</f>
        <v/>
      </c>
    </row>
    <row r="73" customFormat="false" ht="15" hidden="false" customHeight="true" outlineLevel="0" collapsed="false">
      <c r="J73" s="21" t="b">
        <f aca="false">IF(예약내역!$A70="",FALSE(),AND(예약내역!$A70=$B$3,예약내역!$J70&lt;&gt;"취소"))</f>
        <v>0</v>
      </c>
      <c r="K73" s="5" t="str">
        <f aca="false">IF($J73=FALSE(),"",예약내역!$L70*10000+ROW())</f>
        <v/>
      </c>
      <c r="L73" s="5" t="str">
        <f aca="false">IF($K73="","",RANK($K73,$K$6:$K$2005,1))</f>
        <v/>
      </c>
    </row>
    <row r="74" customFormat="false" ht="15" hidden="false" customHeight="true" outlineLevel="0" collapsed="false">
      <c r="J74" s="21" t="b">
        <f aca="false">IF(예약내역!$A71="",FALSE(),AND(예약내역!$A71=$B$3,예약내역!$J71&lt;&gt;"취소"))</f>
        <v>0</v>
      </c>
      <c r="K74" s="5" t="str">
        <f aca="false">IF($J74=FALSE(),"",예약내역!$L71*10000+ROW())</f>
        <v/>
      </c>
      <c r="L74" s="5" t="str">
        <f aca="false">IF($K74="","",RANK($K74,$K$6:$K$2005,1))</f>
        <v/>
      </c>
    </row>
    <row r="75" customFormat="false" ht="15" hidden="false" customHeight="true" outlineLevel="0" collapsed="false">
      <c r="J75" s="21" t="b">
        <f aca="false">IF(예약내역!$A72="",FALSE(),AND(예약내역!$A72=$B$3,예약내역!$J72&lt;&gt;"취소"))</f>
        <v>0</v>
      </c>
      <c r="K75" s="5" t="str">
        <f aca="false">IF($J75=FALSE(),"",예약내역!$L72*10000+ROW())</f>
        <v/>
      </c>
      <c r="L75" s="5" t="str">
        <f aca="false">IF($K75="","",RANK($K75,$K$6:$K$2005,1))</f>
        <v/>
      </c>
    </row>
    <row r="76" customFormat="false" ht="15" hidden="false" customHeight="true" outlineLevel="0" collapsed="false">
      <c r="J76" s="21" t="b">
        <f aca="false">IF(예약내역!$A73="",FALSE(),AND(예약내역!$A73=$B$3,예약내역!$J73&lt;&gt;"취소"))</f>
        <v>0</v>
      </c>
      <c r="K76" s="5" t="str">
        <f aca="false">IF($J76=FALSE(),"",예약내역!$L73*10000+ROW())</f>
        <v/>
      </c>
      <c r="L76" s="5" t="str">
        <f aca="false">IF($K76="","",RANK($K76,$K$6:$K$2005,1))</f>
        <v/>
      </c>
    </row>
    <row r="77" customFormat="false" ht="15" hidden="false" customHeight="true" outlineLevel="0" collapsed="false">
      <c r="J77" s="21" t="b">
        <f aca="false">IF(예약내역!$A74="",FALSE(),AND(예약내역!$A74=$B$3,예약내역!$J74&lt;&gt;"취소"))</f>
        <v>0</v>
      </c>
      <c r="K77" s="5" t="str">
        <f aca="false">IF($J77=FALSE(),"",예약내역!$L74*10000+ROW())</f>
        <v/>
      </c>
      <c r="L77" s="5" t="str">
        <f aca="false">IF($K77="","",RANK($K77,$K$6:$K$2005,1))</f>
        <v/>
      </c>
    </row>
    <row r="78" customFormat="false" ht="15" hidden="false" customHeight="true" outlineLevel="0" collapsed="false">
      <c r="J78" s="21" t="b">
        <f aca="false">IF(예약내역!$A75="",FALSE(),AND(예약내역!$A75=$B$3,예약내역!$J75&lt;&gt;"취소"))</f>
        <v>0</v>
      </c>
      <c r="K78" s="5" t="str">
        <f aca="false">IF($J78=FALSE(),"",예약내역!$L75*10000+ROW())</f>
        <v/>
      </c>
      <c r="L78" s="5" t="str">
        <f aca="false">IF($K78="","",RANK($K78,$K$6:$K$2005,1))</f>
        <v/>
      </c>
    </row>
    <row r="79" customFormat="false" ht="15" hidden="false" customHeight="true" outlineLevel="0" collapsed="false">
      <c r="J79" s="21" t="b">
        <f aca="false">IF(예약내역!$A76="",FALSE(),AND(예약내역!$A76=$B$3,예약내역!$J76&lt;&gt;"취소"))</f>
        <v>0</v>
      </c>
      <c r="K79" s="5" t="str">
        <f aca="false">IF($J79=FALSE(),"",예약내역!$L76*10000+ROW())</f>
        <v/>
      </c>
      <c r="L79" s="5" t="str">
        <f aca="false">IF($K79="","",RANK($K79,$K$6:$K$2005,1))</f>
        <v/>
      </c>
    </row>
    <row r="80" customFormat="false" ht="15" hidden="false" customHeight="true" outlineLevel="0" collapsed="false">
      <c r="J80" s="21" t="b">
        <f aca="false">IF(예약내역!$A77="",FALSE(),AND(예약내역!$A77=$B$3,예약내역!$J77&lt;&gt;"취소"))</f>
        <v>0</v>
      </c>
      <c r="K80" s="5" t="str">
        <f aca="false">IF($J80=FALSE(),"",예약내역!$L77*10000+ROW())</f>
        <v/>
      </c>
      <c r="L80" s="5" t="str">
        <f aca="false">IF($K80="","",RANK($K80,$K$6:$K$2005,1))</f>
        <v/>
      </c>
    </row>
    <row r="81" customFormat="false" ht="15" hidden="false" customHeight="true" outlineLevel="0" collapsed="false">
      <c r="J81" s="21" t="b">
        <f aca="false">IF(예약내역!$A78="",FALSE(),AND(예약내역!$A78=$B$3,예약내역!$J78&lt;&gt;"취소"))</f>
        <v>0</v>
      </c>
      <c r="K81" s="5" t="str">
        <f aca="false">IF($J81=FALSE(),"",예약내역!$L78*10000+ROW())</f>
        <v/>
      </c>
      <c r="L81" s="5" t="str">
        <f aca="false">IF($K81="","",RANK($K81,$K$6:$K$2005,1))</f>
        <v/>
      </c>
    </row>
    <row r="82" customFormat="false" ht="15" hidden="false" customHeight="true" outlineLevel="0" collapsed="false">
      <c r="J82" s="21" t="b">
        <f aca="false">IF(예약내역!$A79="",FALSE(),AND(예약내역!$A79=$B$3,예약내역!$J79&lt;&gt;"취소"))</f>
        <v>0</v>
      </c>
      <c r="K82" s="5" t="str">
        <f aca="false">IF($J82=FALSE(),"",예약내역!$L79*10000+ROW())</f>
        <v/>
      </c>
      <c r="L82" s="5" t="str">
        <f aca="false">IF($K82="","",RANK($K82,$K$6:$K$2005,1))</f>
        <v/>
      </c>
    </row>
    <row r="83" customFormat="false" ht="15" hidden="false" customHeight="true" outlineLevel="0" collapsed="false">
      <c r="J83" s="21" t="b">
        <f aca="false">IF(예약내역!$A80="",FALSE(),AND(예약내역!$A80=$B$3,예약내역!$J80&lt;&gt;"취소"))</f>
        <v>0</v>
      </c>
      <c r="K83" s="5" t="str">
        <f aca="false">IF($J83=FALSE(),"",예약내역!$L80*10000+ROW())</f>
        <v/>
      </c>
      <c r="L83" s="5" t="str">
        <f aca="false">IF($K83="","",RANK($K83,$K$6:$K$2005,1))</f>
        <v/>
      </c>
    </row>
    <row r="84" customFormat="false" ht="15" hidden="false" customHeight="true" outlineLevel="0" collapsed="false">
      <c r="J84" s="21" t="b">
        <f aca="false">IF(예약내역!$A81="",FALSE(),AND(예약내역!$A81=$B$3,예약내역!$J81&lt;&gt;"취소"))</f>
        <v>0</v>
      </c>
      <c r="K84" s="5" t="str">
        <f aca="false">IF($J84=FALSE(),"",예약내역!$L81*10000+ROW())</f>
        <v/>
      </c>
      <c r="L84" s="5" t="str">
        <f aca="false">IF($K84="","",RANK($K84,$K$6:$K$2005,1))</f>
        <v/>
      </c>
    </row>
    <row r="85" customFormat="false" ht="15" hidden="false" customHeight="true" outlineLevel="0" collapsed="false">
      <c r="J85" s="21" t="b">
        <f aca="false">IF(예약내역!$A82="",FALSE(),AND(예약내역!$A82=$B$3,예약내역!$J82&lt;&gt;"취소"))</f>
        <v>0</v>
      </c>
      <c r="K85" s="5" t="str">
        <f aca="false">IF($J85=FALSE(),"",예약내역!$L82*10000+ROW())</f>
        <v/>
      </c>
      <c r="L85" s="5" t="str">
        <f aca="false">IF($K85="","",RANK($K85,$K$6:$K$2005,1))</f>
        <v/>
      </c>
    </row>
    <row r="86" customFormat="false" ht="15" hidden="false" customHeight="true" outlineLevel="0" collapsed="false">
      <c r="J86" s="21" t="b">
        <f aca="false">IF(예약내역!$A83="",FALSE(),AND(예약내역!$A83=$B$3,예약내역!$J83&lt;&gt;"취소"))</f>
        <v>0</v>
      </c>
      <c r="K86" s="5" t="str">
        <f aca="false">IF($J86=FALSE(),"",예약내역!$L83*10000+ROW())</f>
        <v/>
      </c>
      <c r="L86" s="5" t="str">
        <f aca="false">IF($K86="","",RANK($K86,$K$6:$K$2005,1))</f>
        <v/>
      </c>
    </row>
    <row r="87" customFormat="false" ht="15" hidden="false" customHeight="true" outlineLevel="0" collapsed="false">
      <c r="J87" s="21" t="b">
        <f aca="false">IF(예약내역!$A84="",FALSE(),AND(예약내역!$A84=$B$3,예약내역!$J84&lt;&gt;"취소"))</f>
        <v>0</v>
      </c>
      <c r="K87" s="5" t="str">
        <f aca="false">IF($J87=FALSE(),"",예약내역!$L84*10000+ROW())</f>
        <v/>
      </c>
      <c r="L87" s="5" t="str">
        <f aca="false">IF($K87="","",RANK($K87,$K$6:$K$2005,1))</f>
        <v/>
      </c>
    </row>
    <row r="88" customFormat="false" ht="15" hidden="false" customHeight="true" outlineLevel="0" collapsed="false">
      <c r="J88" s="21" t="b">
        <f aca="false">IF(예약내역!$A85="",FALSE(),AND(예약내역!$A85=$B$3,예약내역!$J85&lt;&gt;"취소"))</f>
        <v>0</v>
      </c>
      <c r="K88" s="5" t="str">
        <f aca="false">IF($J88=FALSE(),"",예약내역!$L85*10000+ROW())</f>
        <v/>
      </c>
      <c r="L88" s="5" t="str">
        <f aca="false">IF($K88="","",RANK($K88,$K$6:$K$2005,1))</f>
        <v/>
      </c>
    </row>
    <row r="89" customFormat="false" ht="15" hidden="false" customHeight="true" outlineLevel="0" collapsed="false">
      <c r="J89" s="21" t="b">
        <f aca="false">IF(예약내역!$A86="",FALSE(),AND(예약내역!$A86=$B$3,예약내역!$J86&lt;&gt;"취소"))</f>
        <v>0</v>
      </c>
      <c r="K89" s="5" t="str">
        <f aca="false">IF($J89=FALSE(),"",예약내역!$L86*10000+ROW())</f>
        <v/>
      </c>
      <c r="L89" s="5" t="str">
        <f aca="false">IF($K89="","",RANK($K89,$K$6:$K$2005,1))</f>
        <v/>
      </c>
    </row>
    <row r="90" customFormat="false" ht="15" hidden="false" customHeight="true" outlineLevel="0" collapsed="false">
      <c r="J90" s="21" t="b">
        <f aca="false">IF(예약내역!$A87="",FALSE(),AND(예약내역!$A87=$B$3,예약내역!$J87&lt;&gt;"취소"))</f>
        <v>0</v>
      </c>
      <c r="K90" s="5" t="str">
        <f aca="false">IF($J90=FALSE(),"",예약내역!$L87*10000+ROW())</f>
        <v/>
      </c>
      <c r="L90" s="5" t="str">
        <f aca="false">IF($K90="","",RANK($K90,$K$6:$K$2005,1))</f>
        <v/>
      </c>
    </row>
    <row r="91" customFormat="false" ht="15" hidden="false" customHeight="true" outlineLevel="0" collapsed="false">
      <c r="J91" s="21" t="b">
        <f aca="false">IF(예약내역!$A88="",FALSE(),AND(예약내역!$A88=$B$3,예약내역!$J88&lt;&gt;"취소"))</f>
        <v>0</v>
      </c>
      <c r="K91" s="5" t="str">
        <f aca="false">IF($J91=FALSE(),"",예약내역!$L88*10000+ROW())</f>
        <v/>
      </c>
      <c r="L91" s="5" t="str">
        <f aca="false">IF($K91="","",RANK($K91,$K$6:$K$2005,1))</f>
        <v/>
      </c>
    </row>
    <row r="92" customFormat="false" ht="15" hidden="false" customHeight="true" outlineLevel="0" collapsed="false">
      <c r="J92" s="21" t="b">
        <f aca="false">IF(예약내역!$A89="",FALSE(),AND(예약내역!$A89=$B$3,예약내역!$J89&lt;&gt;"취소"))</f>
        <v>0</v>
      </c>
      <c r="K92" s="5" t="str">
        <f aca="false">IF($J92=FALSE(),"",예약내역!$L89*10000+ROW())</f>
        <v/>
      </c>
      <c r="L92" s="5" t="str">
        <f aca="false">IF($K92="","",RANK($K92,$K$6:$K$2005,1))</f>
        <v/>
      </c>
    </row>
    <row r="93" customFormat="false" ht="15" hidden="false" customHeight="true" outlineLevel="0" collapsed="false">
      <c r="J93" s="21" t="b">
        <f aca="false">IF(예약내역!$A90="",FALSE(),AND(예약내역!$A90=$B$3,예약내역!$J90&lt;&gt;"취소"))</f>
        <v>0</v>
      </c>
      <c r="K93" s="5" t="str">
        <f aca="false">IF($J93=FALSE(),"",예약내역!$L90*10000+ROW())</f>
        <v/>
      </c>
      <c r="L93" s="5" t="str">
        <f aca="false">IF($K93="","",RANK($K93,$K$6:$K$2005,1))</f>
        <v/>
      </c>
    </row>
    <row r="94" customFormat="false" ht="15" hidden="false" customHeight="true" outlineLevel="0" collapsed="false">
      <c r="J94" s="21" t="b">
        <f aca="false">IF(예약내역!$A91="",FALSE(),AND(예약내역!$A91=$B$3,예약내역!$J91&lt;&gt;"취소"))</f>
        <v>0</v>
      </c>
      <c r="K94" s="5" t="str">
        <f aca="false">IF($J94=FALSE(),"",예약내역!$L91*10000+ROW())</f>
        <v/>
      </c>
      <c r="L94" s="5" t="str">
        <f aca="false">IF($K94="","",RANK($K94,$K$6:$K$2005,1))</f>
        <v/>
      </c>
    </row>
    <row r="95" customFormat="false" ht="15" hidden="false" customHeight="true" outlineLevel="0" collapsed="false">
      <c r="J95" s="21" t="b">
        <f aca="false">IF(예약내역!$A92="",FALSE(),AND(예약내역!$A92=$B$3,예약내역!$J92&lt;&gt;"취소"))</f>
        <v>0</v>
      </c>
      <c r="K95" s="5" t="str">
        <f aca="false">IF($J95=FALSE(),"",예약내역!$L92*10000+ROW())</f>
        <v/>
      </c>
      <c r="L95" s="5" t="str">
        <f aca="false">IF($K95="","",RANK($K95,$K$6:$K$2005,1))</f>
        <v/>
      </c>
    </row>
    <row r="96" customFormat="false" ht="15" hidden="false" customHeight="true" outlineLevel="0" collapsed="false">
      <c r="J96" s="21" t="b">
        <f aca="false">IF(예약내역!$A93="",FALSE(),AND(예약내역!$A93=$B$3,예약내역!$J93&lt;&gt;"취소"))</f>
        <v>0</v>
      </c>
      <c r="K96" s="5" t="str">
        <f aca="false">IF($J96=FALSE(),"",예약내역!$L93*10000+ROW())</f>
        <v/>
      </c>
      <c r="L96" s="5" t="str">
        <f aca="false">IF($K96="","",RANK($K96,$K$6:$K$2005,1))</f>
        <v/>
      </c>
    </row>
    <row r="97" customFormat="false" ht="15" hidden="false" customHeight="true" outlineLevel="0" collapsed="false">
      <c r="J97" s="21" t="b">
        <f aca="false">IF(예약내역!$A94="",FALSE(),AND(예약내역!$A94=$B$3,예약내역!$J94&lt;&gt;"취소"))</f>
        <v>0</v>
      </c>
      <c r="K97" s="5" t="str">
        <f aca="false">IF($J97=FALSE(),"",예약내역!$L94*10000+ROW())</f>
        <v/>
      </c>
      <c r="L97" s="5" t="str">
        <f aca="false">IF($K97="","",RANK($K97,$K$6:$K$2005,1))</f>
        <v/>
      </c>
    </row>
    <row r="98" customFormat="false" ht="15" hidden="false" customHeight="true" outlineLevel="0" collapsed="false">
      <c r="J98" s="21" t="b">
        <f aca="false">IF(예약내역!$A95="",FALSE(),AND(예약내역!$A95=$B$3,예약내역!$J95&lt;&gt;"취소"))</f>
        <v>0</v>
      </c>
      <c r="K98" s="5" t="str">
        <f aca="false">IF($J98=FALSE(),"",예약내역!$L95*10000+ROW())</f>
        <v/>
      </c>
      <c r="L98" s="5" t="str">
        <f aca="false">IF($K98="","",RANK($K98,$K$6:$K$2005,1))</f>
        <v/>
      </c>
    </row>
    <row r="99" customFormat="false" ht="15" hidden="false" customHeight="true" outlineLevel="0" collapsed="false">
      <c r="J99" s="21" t="b">
        <f aca="false">IF(예약내역!$A96="",FALSE(),AND(예약내역!$A96=$B$3,예약내역!$J96&lt;&gt;"취소"))</f>
        <v>0</v>
      </c>
      <c r="K99" s="5" t="str">
        <f aca="false">IF($J99=FALSE(),"",예약내역!$L96*10000+ROW())</f>
        <v/>
      </c>
      <c r="L99" s="5" t="str">
        <f aca="false">IF($K99="","",RANK($K99,$K$6:$K$2005,1))</f>
        <v/>
      </c>
    </row>
    <row r="100" customFormat="false" ht="15" hidden="false" customHeight="true" outlineLevel="0" collapsed="false">
      <c r="J100" s="21" t="b">
        <f aca="false">IF(예약내역!$A97="",FALSE(),AND(예약내역!$A97=$B$3,예약내역!$J97&lt;&gt;"취소"))</f>
        <v>0</v>
      </c>
      <c r="K100" s="5" t="str">
        <f aca="false">IF($J100=FALSE(),"",예약내역!$L97*10000+ROW())</f>
        <v/>
      </c>
      <c r="L100" s="5" t="str">
        <f aca="false">IF($K100="","",RANK($K100,$K$6:$K$2005,1))</f>
        <v/>
      </c>
    </row>
    <row r="101" customFormat="false" ht="15" hidden="false" customHeight="true" outlineLevel="0" collapsed="false">
      <c r="J101" s="21" t="b">
        <f aca="false">IF(예약내역!$A98="",FALSE(),AND(예약내역!$A98=$B$3,예약내역!$J98&lt;&gt;"취소"))</f>
        <v>0</v>
      </c>
      <c r="K101" s="5" t="str">
        <f aca="false">IF($J101=FALSE(),"",예약내역!$L98*10000+ROW())</f>
        <v/>
      </c>
      <c r="L101" s="5" t="str">
        <f aca="false">IF($K101="","",RANK($K101,$K$6:$K$2005,1))</f>
        <v/>
      </c>
    </row>
    <row r="102" customFormat="false" ht="15" hidden="false" customHeight="true" outlineLevel="0" collapsed="false">
      <c r="J102" s="21" t="b">
        <f aca="false">IF(예약내역!$A99="",FALSE(),AND(예약내역!$A99=$B$3,예약내역!$J99&lt;&gt;"취소"))</f>
        <v>0</v>
      </c>
      <c r="K102" s="5" t="str">
        <f aca="false">IF($J102=FALSE(),"",예약내역!$L99*10000+ROW())</f>
        <v/>
      </c>
      <c r="L102" s="5" t="str">
        <f aca="false">IF($K102="","",RANK($K102,$K$6:$K$2005,1))</f>
        <v/>
      </c>
    </row>
    <row r="103" customFormat="false" ht="15" hidden="false" customHeight="true" outlineLevel="0" collapsed="false">
      <c r="J103" s="21" t="b">
        <f aca="false">IF(예약내역!$A100="",FALSE(),AND(예약내역!$A100=$B$3,예약내역!$J100&lt;&gt;"취소"))</f>
        <v>0</v>
      </c>
      <c r="K103" s="5" t="str">
        <f aca="false">IF($J103=FALSE(),"",예약내역!$L100*10000+ROW())</f>
        <v/>
      </c>
      <c r="L103" s="5" t="str">
        <f aca="false">IF($K103="","",RANK($K103,$K$6:$K$2005,1))</f>
        <v/>
      </c>
    </row>
    <row r="104" customFormat="false" ht="15" hidden="false" customHeight="true" outlineLevel="0" collapsed="false">
      <c r="J104" s="21" t="b">
        <f aca="false">IF(예약내역!$A101="",FALSE(),AND(예약내역!$A101=$B$3,예약내역!$J101&lt;&gt;"취소"))</f>
        <v>0</v>
      </c>
      <c r="K104" s="5" t="str">
        <f aca="false">IF($J104=FALSE(),"",예약내역!$L101*10000+ROW())</f>
        <v/>
      </c>
      <c r="L104" s="5" t="str">
        <f aca="false">IF($K104="","",RANK($K104,$K$6:$K$2005,1))</f>
        <v/>
      </c>
    </row>
    <row r="105" customFormat="false" ht="15" hidden="false" customHeight="true" outlineLevel="0" collapsed="false">
      <c r="J105" s="21" t="b">
        <f aca="false">IF(예약내역!$A102="",FALSE(),AND(예약내역!$A102=$B$3,예약내역!$J102&lt;&gt;"취소"))</f>
        <v>0</v>
      </c>
      <c r="K105" s="5" t="str">
        <f aca="false">IF($J105=FALSE(),"",예약내역!$L102*10000+ROW())</f>
        <v/>
      </c>
      <c r="L105" s="5" t="str">
        <f aca="false">IF($K105="","",RANK($K105,$K$6:$K$2005,1))</f>
        <v/>
      </c>
    </row>
    <row r="106" customFormat="false" ht="15" hidden="false" customHeight="true" outlineLevel="0" collapsed="false">
      <c r="J106" s="21" t="b">
        <f aca="false">IF(예약내역!$A103="",FALSE(),AND(예약내역!$A103=$B$3,예약내역!$J103&lt;&gt;"취소"))</f>
        <v>0</v>
      </c>
      <c r="K106" s="5" t="str">
        <f aca="false">IF($J106=FALSE(),"",예약내역!$L103*10000+ROW())</f>
        <v/>
      </c>
      <c r="L106" s="5" t="str">
        <f aca="false">IF($K106="","",RANK($K106,$K$6:$K$2005,1))</f>
        <v/>
      </c>
    </row>
    <row r="107" customFormat="false" ht="15" hidden="false" customHeight="true" outlineLevel="0" collapsed="false">
      <c r="J107" s="21" t="b">
        <f aca="false">IF(예약내역!$A104="",FALSE(),AND(예약내역!$A104=$B$3,예약내역!$J104&lt;&gt;"취소"))</f>
        <v>0</v>
      </c>
      <c r="K107" s="5" t="str">
        <f aca="false">IF($J107=FALSE(),"",예약내역!$L104*10000+ROW())</f>
        <v/>
      </c>
      <c r="L107" s="5" t="str">
        <f aca="false">IF($K107="","",RANK($K107,$K$6:$K$2005,1))</f>
        <v/>
      </c>
    </row>
    <row r="108" customFormat="false" ht="15" hidden="false" customHeight="true" outlineLevel="0" collapsed="false">
      <c r="J108" s="21" t="b">
        <f aca="false">IF(예약내역!$A105="",FALSE(),AND(예약내역!$A105=$B$3,예약내역!$J105&lt;&gt;"취소"))</f>
        <v>0</v>
      </c>
      <c r="K108" s="5" t="str">
        <f aca="false">IF($J108=FALSE(),"",예약내역!$L105*10000+ROW())</f>
        <v/>
      </c>
      <c r="L108" s="5" t="str">
        <f aca="false">IF($K108="","",RANK($K108,$K$6:$K$2005,1))</f>
        <v/>
      </c>
    </row>
    <row r="109" customFormat="false" ht="15" hidden="false" customHeight="true" outlineLevel="0" collapsed="false">
      <c r="J109" s="21" t="b">
        <f aca="false">IF(예약내역!$A106="",FALSE(),AND(예약내역!$A106=$B$3,예약내역!$J106&lt;&gt;"취소"))</f>
        <v>0</v>
      </c>
      <c r="K109" s="5" t="str">
        <f aca="false">IF($J109=FALSE(),"",예약내역!$L106*10000+ROW())</f>
        <v/>
      </c>
      <c r="L109" s="5" t="str">
        <f aca="false">IF($K109="","",RANK($K109,$K$6:$K$2005,1))</f>
        <v/>
      </c>
    </row>
    <row r="110" customFormat="false" ht="15" hidden="false" customHeight="true" outlineLevel="0" collapsed="false">
      <c r="J110" s="21" t="b">
        <f aca="false">IF(예약내역!$A107="",FALSE(),AND(예약내역!$A107=$B$3,예약내역!$J107&lt;&gt;"취소"))</f>
        <v>0</v>
      </c>
      <c r="K110" s="5" t="str">
        <f aca="false">IF($J110=FALSE(),"",예약내역!$L107*10000+ROW())</f>
        <v/>
      </c>
      <c r="L110" s="5" t="str">
        <f aca="false">IF($K110="","",RANK($K110,$K$6:$K$2005,1))</f>
        <v/>
      </c>
    </row>
    <row r="111" customFormat="false" ht="15" hidden="false" customHeight="true" outlineLevel="0" collapsed="false">
      <c r="J111" s="21" t="b">
        <f aca="false">IF(예약내역!$A108="",FALSE(),AND(예약내역!$A108=$B$3,예약내역!$J108&lt;&gt;"취소"))</f>
        <v>0</v>
      </c>
      <c r="K111" s="5" t="str">
        <f aca="false">IF($J111=FALSE(),"",예약내역!$L108*10000+ROW())</f>
        <v/>
      </c>
      <c r="L111" s="5" t="str">
        <f aca="false">IF($K111="","",RANK($K111,$K$6:$K$2005,1))</f>
        <v/>
      </c>
    </row>
    <row r="112" customFormat="false" ht="15" hidden="false" customHeight="true" outlineLevel="0" collapsed="false">
      <c r="J112" s="21" t="b">
        <f aca="false">IF(예약내역!$A109="",FALSE(),AND(예약내역!$A109=$B$3,예약내역!$J109&lt;&gt;"취소"))</f>
        <v>0</v>
      </c>
      <c r="K112" s="5" t="str">
        <f aca="false">IF($J112=FALSE(),"",예약내역!$L109*10000+ROW())</f>
        <v/>
      </c>
      <c r="L112" s="5" t="str">
        <f aca="false">IF($K112="","",RANK($K112,$K$6:$K$2005,1))</f>
        <v/>
      </c>
    </row>
    <row r="113" customFormat="false" ht="15" hidden="false" customHeight="true" outlineLevel="0" collapsed="false">
      <c r="J113" s="21" t="b">
        <f aca="false">IF(예약내역!$A110="",FALSE(),AND(예약내역!$A110=$B$3,예약내역!$J110&lt;&gt;"취소"))</f>
        <v>0</v>
      </c>
      <c r="K113" s="5" t="str">
        <f aca="false">IF($J113=FALSE(),"",예약내역!$L110*10000+ROW())</f>
        <v/>
      </c>
      <c r="L113" s="5" t="str">
        <f aca="false">IF($K113="","",RANK($K113,$K$6:$K$2005,1))</f>
        <v/>
      </c>
    </row>
    <row r="114" customFormat="false" ht="15" hidden="false" customHeight="true" outlineLevel="0" collapsed="false">
      <c r="J114" s="21" t="b">
        <f aca="false">IF(예약내역!$A111="",FALSE(),AND(예약내역!$A111=$B$3,예약내역!$J111&lt;&gt;"취소"))</f>
        <v>0</v>
      </c>
      <c r="K114" s="5" t="str">
        <f aca="false">IF($J114=FALSE(),"",예약내역!$L111*10000+ROW())</f>
        <v/>
      </c>
      <c r="L114" s="5" t="str">
        <f aca="false">IF($K114="","",RANK($K114,$K$6:$K$2005,1))</f>
        <v/>
      </c>
    </row>
    <row r="115" customFormat="false" ht="15" hidden="false" customHeight="true" outlineLevel="0" collapsed="false">
      <c r="J115" s="21" t="b">
        <f aca="false">IF(예약내역!$A112="",FALSE(),AND(예약내역!$A112=$B$3,예약내역!$J112&lt;&gt;"취소"))</f>
        <v>0</v>
      </c>
      <c r="K115" s="5" t="str">
        <f aca="false">IF($J115=FALSE(),"",예약내역!$L112*10000+ROW())</f>
        <v/>
      </c>
      <c r="L115" s="5" t="str">
        <f aca="false">IF($K115="","",RANK($K115,$K$6:$K$2005,1))</f>
        <v/>
      </c>
    </row>
    <row r="116" customFormat="false" ht="15" hidden="false" customHeight="true" outlineLevel="0" collapsed="false">
      <c r="J116" s="21" t="b">
        <f aca="false">IF(예약내역!$A113="",FALSE(),AND(예약내역!$A113=$B$3,예약내역!$J113&lt;&gt;"취소"))</f>
        <v>0</v>
      </c>
      <c r="K116" s="5" t="str">
        <f aca="false">IF($J116=FALSE(),"",예약내역!$L113*10000+ROW())</f>
        <v/>
      </c>
      <c r="L116" s="5" t="str">
        <f aca="false">IF($K116="","",RANK($K116,$K$6:$K$2005,1))</f>
        <v/>
      </c>
    </row>
    <row r="117" customFormat="false" ht="15" hidden="false" customHeight="true" outlineLevel="0" collapsed="false">
      <c r="J117" s="21" t="b">
        <f aca="false">IF(예약내역!$A114="",FALSE(),AND(예약내역!$A114=$B$3,예약내역!$J114&lt;&gt;"취소"))</f>
        <v>0</v>
      </c>
      <c r="K117" s="5" t="str">
        <f aca="false">IF($J117=FALSE(),"",예약내역!$L114*10000+ROW())</f>
        <v/>
      </c>
      <c r="L117" s="5" t="str">
        <f aca="false">IF($K117="","",RANK($K117,$K$6:$K$2005,1))</f>
        <v/>
      </c>
    </row>
    <row r="118" customFormat="false" ht="15" hidden="false" customHeight="true" outlineLevel="0" collapsed="false">
      <c r="J118" s="21" t="b">
        <f aca="false">IF(예약내역!$A115="",FALSE(),AND(예약내역!$A115=$B$3,예약내역!$J115&lt;&gt;"취소"))</f>
        <v>0</v>
      </c>
      <c r="K118" s="5" t="str">
        <f aca="false">IF($J118=FALSE(),"",예약내역!$L115*10000+ROW())</f>
        <v/>
      </c>
      <c r="L118" s="5" t="str">
        <f aca="false">IF($K118="","",RANK($K118,$K$6:$K$2005,1))</f>
        <v/>
      </c>
    </row>
    <row r="119" customFormat="false" ht="15" hidden="false" customHeight="true" outlineLevel="0" collapsed="false">
      <c r="J119" s="21" t="b">
        <f aca="false">IF(예약내역!$A116="",FALSE(),AND(예약내역!$A116=$B$3,예약내역!$J116&lt;&gt;"취소"))</f>
        <v>0</v>
      </c>
      <c r="K119" s="5" t="str">
        <f aca="false">IF($J119=FALSE(),"",예약내역!$L116*10000+ROW())</f>
        <v/>
      </c>
      <c r="L119" s="5" t="str">
        <f aca="false">IF($K119="","",RANK($K119,$K$6:$K$2005,1))</f>
        <v/>
      </c>
    </row>
    <row r="120" customFormat="false" ht="15" hidden="false" customHeight="true" outlineLevel="0" collapsed="false">
      <c r="J120" s="21" t="b">
        <f aca="false">IF(예약내역!$A117="",FALSE(),AND(예약내역!$A117=$B$3,예약내역!$J117&lt;&gt;"취소"))</f>
        <v>0</v>
      </c>
      <c r="K120" s="5" t="str">
        <f aca="false">IF($J120=FALSE(),"",예약내역!$L117*10000+ROW())</f>
        <v/>
      </c>
      <c r="L120" s="5" t="str">
        <f aca="false">IF($K120="","",RANK($K120,$K$6:$K$2005,1))</f>
        <v/>
      </c>
    </row>
    <row r="121" customFormat="false" ht="15" hidden="false" customHeight="true" outlineLevel="0" collapsed="false">
      <c r="J121" s="21" t="b">
        <f aca="false">IF(예약내역!$A118="",FALSE(),AND(예약내역!$A118=$B$3,예약내역!$J118&lt;&gt;"취소"))</f>
        <v>0</v>
      </c>
      <c r="K121" s="5" t="str">
        <f aca="false">IF($J121=FALSE(),"",예약내역!$L118*10000+ROW())</f>
        <v/>
      </c>
      <c r="L121" s="5" t="str">
        <f aca="false">IF($K121="","",RANK($K121,$K$6:$K$2005,1))</f>
        <v/>
      </c>
    </row>
    <row r="122" customFormat="false" ht="15" hidden="false" customHeight="true" outlineLevel="0" collapsed="false">
      <c r="J122" s="21" t="b">
        <f aca="false">IF(예약내역!$A119="",FALSE(),AND(예약내역!$A119=$B$3,예약내역!$J119&lt;&gt;"취소"))</f>
        <v>0</v>
      </c>
      <c r="K122" s="5" t="str">
        <f aca="false">IF($J122=FALSE(),"",예약내역!$L119*10000+ROW())</f>
        <v/>
      </c>
      <c r="L122" s="5" t="str">
        <f aca="false">IF($K122="","",RANK($K122,$K$6:$K$2005,1))</f>
        <v/>
      </c>
    </row>
    <row r="123" customFormat="false" ht="15" hidden="false" customHeight="true" outlineLevel="0" collapsed="false">
      <c r="J123" s="21" t="b">
        <f aca="false">IF(예약내역!$A120="",FALSE(),AND(예약내역!$A120=$B$3,예약내역!$J120&lt;&gt;"취소"))</f>
        <v>0</v>
      </c>
      <c r="K123" s="5" t="str">
        <f aca="false">IF($J123=FALSE(),"",예약내역!$L120*10000+ROW())</f>
        <v/>
      </c>
      <c r="L123" s="5" t="str">
        <f aca="false">IF($K123="","",RANK($K123,$K$6:$K$2005,1))</f>
        <v/>
      </c>
    </row>
    <row r="124" customFormat="false" ht="15" hidden="false" customHeight="true" outlineLevel="0" collapsed="false">
      <c r="J124" s="21" t="b">
        <f aca="false">IF(예약내역!$A121="",FALSE(),AND(예약내역!$A121=$B$3,예약내역!$J121&lt;&gt;"취소"))</f>
        <v>0</v>
      </c>
      <c r="K124" s="5" t="str">
        <f aca="false">IF($J124=FALSE(),"",예약내역!$L121*10000+ROW())</f>
        <v/>
      </c>
      <c r="L124" s="5" t="str">
        <f aca="false">IF($K124="","",RANK($K124,$K$6:$K$2005,1))</f>
        <v/>
      </c>
    </row>
    <row r="125" customFormat="false" ht="15" hidden="false" customHeight="true" outlineLevel="0" collapsed="false">
      <c r="J125" s="21" t="b">
        <f aca="false">IF(예약내역!$A122="",FALSE(),AND(예약내역!$A122=$B$3,예약내역!$J122&lt;&gt;"취소"))</f>
        <v>0</v>
      </c>
      <c r="K125" s="5" t="str">
        <f aca="false">IF($J125=FALSE(),"",예약내역!$L122*10000+ROW())</f>
        <v/>
      </c>
      <c r="L125" s="5" t="str">
        <f aca="false">IF($K125="","",RANK($K125,$K$6:$K$2005,1))</f>
        <v/>
      </c>
    </row>
    <row r="126" customFormat="false" ht="15" hidden="false" customHeight="true" outlineLevel="0" collapsed="false">
      <c r="J126" s="21" t="b">
        <f aca="false">IF(예약내역!$A123="",FALSE(),AND(예약내역!$A123=$B$3,예약내역!$J123&lt;&gt;"취소"))</f>
        <v>0</v>
      </c>
      <c r="K126" s="5" t="str">
        <f aca="false">IF($J126=FALSE(),"",예약내역!$L123*10000+ROW())</f>
        <v/>
      </c>
      <c r="L126" s="5" t="str">
        <f aca="false">IF($K126="","",RANK($K126,$K$6:$K$2005,1))</f>
        <v/>
      </c>
    </row>
    <row r="127" customFormat="false" ht="15" hidden="false" customHeight="true" outlineLevel="0" collapsed="false">
      <c r="J127" s="21" t="b">
        <f aca="false">IF(예약내역!$A124="",FALSE(),AND(예약내역!$A124=$B$3,예약내역!$J124&lt;&gt;"취소"))</f>
        <v>0</v>
      </c>
      <c r="K127" s="5" t="str">
        <f aca="false">IF($J127=FALSE(),"",예약내역!$L124*10000+ROW())</f>
        <v/>
      </c>
      <c r="L127" s="5" t="str">
        <f aca="false">IF($K127="","",RANK($K127,$K$6:$K$2005,1))</f>
        <v/>
      </c>
    </row>
    <row r="128" customFormat="false" ht="15" hidden="false" customHeight="true" outlineLevel="0" collapsed="false">
      <c r="J128" s="21" t="b">
        <f aca="false">IF(예약내역!$A125="",FALSE(),AND(예약내역!$A125=$B$3,예약내역!$J125&lt;&gt;"취소"))</f>
        <v>0</v>
      </c>
      <c r="K128" s="5" t="str">
        <f aca="false">IF($J128=FALSE(),"",예약내역!$L125*10000+ROW())</f>
        <v/>
      </c>
      <c r="L128" s="5" t="str">
        <f aca="false">IF($K128="","",RANK($K128,$K$6:$K$2005,1))</f>
        <v/>
      </c>
    </row>
    <row r="129" customFormat="false" ht="15" hidden="false" customHeight="true" outlineLevel="0" collapsed="false">
      <c r="J129" s="21" t="b">
        <f aca="false">IF(예약내역!$A126="",FALSE(),AND(예약내역!$A126=$B$3,예약내역!$J126&lt;&gt;"취소"))</f>
        <v>0</v>
      </c>
      <c r="K129" s="5" t="str">
        <f aca="false">IF($J129=FALSE(),"",예약내역!$L126*10000+ROW())</f>
        <v/>
      </c>
      <c r="L129" s="5" t="str">
        <f aca="false">IF($K129="","",RANK($K129,$K$6:$K$2005,1))</f>
        <v/>
      </c>
    </row>
    <row r="130" customFormat="false" ht="15" hidden="false" customHeight="true" outlineLevel="0" collapsed="false">
      <c r="J130" s="21" t="b">
        <f aca="false">IF(예약내역!$A127="",FALSE(),AND(예약내역!$A127=$B$3,예약내역!$J127&lt;&gt;"취소"))</f>
        <v>0</v>
      </c>
      <c r="K130" s="5" t="str">
        <f aca="false">IF($J130=FALSE(),"",예약내역!$L127*10000+ROW())</f>
        <v/>
      </c>
      <c r="L130" s="5" t="str">
        <f aca="false">IF($K130="","",RANK($K130,$K$6:$K$2005,1))</f>
        <v/>
      </c>
    </row>
    <row r="131" customFormat="false" ht="15" hidden="false" customHeight="true" outlineLevel="0" collapsed="false">
      <c r="J131" s="21" t="b">
        <f aca="false">IF(예약내역!$A128="",FALSE(),AND(예약내역!$A128=$B$3,예약내역!$J128&lt;&gt;"취소"))</f>
        <v>0</v>
      </c>
      <c r="K131" s="5" t="str">
        <f aca="false">IF($J131=FALSE(),"",예약내역!$L128*10000+ROW())</f>
        <v/>
      </c>
      <c r="L131" s="5" t="str">
        <f aca="false">IF($K131="","",RANK($K131,$K$6:$K$2005,1))</f>
        <v/>
      </c>
    </row>
    <row r="132" customFormat="false" ht="15" hidden="false" customHeight="true" outlineLevel="0" collapsed="false">
      <c r="J132" s="21" t="b">
        <f aca="false">IF(예약내역!$A129="",FALSE(),AND(예약내역!$A129=$B$3,예약내역!$J129&lt;&gt;"취소"))</f>
        <v>0</v>
      </c>
      <c r="K132" s="5" t="str">
        <f aca="false">IF($J132=FALSE(),"",예약내역!$L129*10000+ROW())</f>
        <v/>
      </c>
      <c r="L132" s="5" t="str">
        <f aca="false">IF($K132="","",RANK($K132,$K$6:$K$2005,1))</f>
        <v/>
      </c>
    </row>
    <row r="133" customFormat="false" ht="15" hidden="false" customHeight="true" outlineLevel="0" collapsed="false">
      <c r="J133" s="21" t="b">
        <f aca="false">IF(예약내역!$A130="",FALSE(),AND(예약내역!$A130=$B$3,예약내역!$J130&lt;&gt;"취소"))</f>
        <v>0</v>
      </c>
      <c r="K133" s="5" t="str">
        <f aca="false">IF($J133=FALSE(),"",예약내역!$L130*10000+ROW())</f>
        <v/>
      </c>
      <c r="L133" s="5" t="str">
        <f aca="false">IF($K133="","",RANK($K133,$K$6:$K$2005,1))</f>
        <v/>
      </c>
    </row>
    <row r="134" customFormat="false" ht="15" hidden="false" customHeight="true" outlineLevel="0" collapsed="false">
      <c r="J134" s="21" t="b">
        <f aca="false">IF(예약내역!$A131="",FALSE(),AND(예약내역!$A131=$B$3,예약내역!$J131&lt;&gt;"취소"))</f>
        <v>0</v>
      </c>
      <c r="K134" s="5" t="str">
        <f aca="false">IF($J134=FALSE(),"",예약내역!$L131*10000+ROW())</f>
        <v/>
      </c>
      <c r="L134" s="5" t="str">
        <f aca="false">IF($K134="","",RANK($K134,$K$6:$K$2005,1))</f>
        <v/>
      </c>
    </row>
    <row r="135" customFormat="false" ht="15" hidden="false" customHeight="true" outlineLevel="0" collapsed="false">
      <c r="J135" s="21" t="b">
        <f aca="false">IF(예약내역!$A132="",FALSE(),AND(예약내역!$A132=$B$3,예약내역!$J132&lt;&gt;"취소"))</f>
        <v>0</v>
      </c>
      <c r="K135" s="5" t="str">
        <f aca="false">IF($J135=FALSE(),"",예약내역!$L132*10000+ROW())</f>
        <v/>
      </c>
      <c r="L135" s="5" t="str">
        <f aca="false">IF($K135="","",RANK($K135,$K$6:$K$2005,1))</f>
        <v/>
      </c>
    </row>
    <row r="136" customFormat="false" ht="15" hidden="false" customHeight="true" outlineLevel="0" collapsed="false">
      <c r="J136" s="21" t="b">
        <f aca="false">IF(예약내역!$A133="",FALSE(),AND(예약내역!$A133=$B$3,예약내역!$J133&lt;&gt;"취소"))</f>
        <v>0</v>
      </c>
      <c r="K136" s="5" t="str">
        <f aca="false">IF($J136=FALSE(),"",예약내역!$L133*10000+ROW())</f>
        <v/>
      </c>
      <c r="L136" s="5" t="str">
        <f aca="false">IF($K136="","",RANK($K136,$K$6:$K$2005,1))</f>
        <v/>
      </c>
    </row>
    <row r="137" customFormat="false" ht="15" hidden="false" customHeight="true" outlineLevel="0" collapsed="false">
      <c r="J137" s="21" t="b">
        <f aca="false">IF(예약내역!$A134="",FALSE(),AND(예약내역!$A134=$B$3,예약내역!$J134&lt;&gt;"취소"))</f>
        <v>0</v>
      </c>
      <c r="K137" s="5" t="str">
        <f aca="false">IF($J137=FALSE(),"",예약내역!$L134*10000+ROW())</f>
        <v/>
      </c>
      <c r="L137" s="5" t="str">
        <f aca="false">IF($K137="","",RANK($K137,$K$6:$K$2005,1))</f>
        <v/>
      </c>
    </row>
    <row r="138" customFormat="false" ht="15" hidden="false" customHeight="true" outlineLevel="0" collapsed="false">
      <c r="J138" s="21" t="b">
        <f aca="false">IF(예약내역!$A135="",FALSE(),AND(예약내역!$A135=$B$3,예약내역!$J135&lt;&gt;"취소"))</f>
        <v>0</v>
      </c>
      <c r="K138" s="5" t="str">
        <f aca="false">IF($J138=FALSE(),"",예약내역!$L135*10000+ROW())</f>
        <v/>
      </c>
      <c r="L138" s="5" t="str">
        <f aca="false">IF($K138="","",RANK($K138,$K$6:$K$2005,1))</f>
        <v/>
      </c>
    </row>
    <row r="139" customFormat="false" ht="15" hidden="false" customHeight="true" outlineLevel="0" collapsed="false">
      <c r="J139" s="21" t="b">
        <f aca="false">IF(예약내역!$A136="",FALSE(),AND(예약내역!$A136=$B$3,예약내역!$J136&lt;&gt;"취소"))</f>
        <v>0</v>
      </c>
      <c r="K139" s="5" t="str">
        <f aca="false">IF($J139=FALSE(),"",예약내역!$L136*10000+ROW())</f>
        <v/>
      </c>
      <c r="L139" s="5" t="str">
        <f aca="false">IF($K139="","",RANK($K139,$K$6:$K$2005,1))</f>
        <v/>
      </c>
    </row>
    <row r="140" customFormat="false" ht="15" hidden="false" customHeight="true" outlineLevel="0" collapsed="false">
      <c r="J140" s="21" t="b">
        <f aca="false">IF(예약내역!$A137="",FALSE(),AND(예약내역!$A137=$B$3,예약내역!$J137&lt;&gt;"취소"))</f>
        <v>0</v>
      </c>
      <c r="K140" s="5" t="str">
        <f aca="false">IF($J140=FALSE(),"",예약내역!$L137*10000+ROW())</f>
        <v/>
      </c>
      <c r="L140" s="5" t="str">
        <f aca="false">IF($K140="","",RANK($K140,$K$6:$K$2005,1))</f>
        <v/>
      </c>
    </row>
    <row r="141" customFormat="false" ht="15" hidden="false" customHeight="true" outlineLevel="0" collapsed="false">
      <c r="J141" s="21" t="b">
        <f aca="false">IF(예약내역!$A138="",FALSE(),AND(예약내역!$A138=$B$3,예약내역!$J138&lt;&gt;"취소"))</f>
        <v>0</v>
      </c>
      <c r="K141" s="5" t="str">
        <f aca="false">IF($J141=FALSE(),"",예약내역!$L138*10000+ROW())</f>
        <v/>
      </c>
      <c r="L141" s="5" t="str">
        <f aca="false">IF($K141="","",RANK($K141,$K$6:$K$2005,1))</f>
        <v/>
      </c>
    </row>
    <row r="142" customFormat="false" ht="15" hidden="false" customHeight="true" outlineLevel="0" collapsed="false">
      <c r="J142" s="21" t="b">
        <f aca="false">IF(예약내역!$A139="",FALSE(),AND(예약내역!$A139=$B$3,예약내역!$J139&lt;&gt;"취소"))</f>
        <v>0</v>
      </c>
      <c r="K142" s="5" t="str">
        <f aca="false">IF($J142=FALSE(),"",예약내역!$L139*10000+ROW())</f>
        <v/>
      </c>
      <c r="L142" s="5" t="str">
        <f aca="false">IF($K142="","",RANK($K142,$K$6:$K$2005,1))</f>
        <v/>
      </c>
    </row>
    <row r="143" customFormat="false" ht="15" hidden="false" customHeight="true" outlineLevel="0" collapsed="false">
      <c r="J143" s="21" t="b">
        <f aca="false">IF(예약내역!$A140="",FALSE(),AND(예약내역!$A140=$B$3,예약내역!$J140&lt;&gt;"취소"))</f>
        <v>0</v>
      </c>
      <c r="K143" s="5" t="str">
        <f aca="false">IF($J143=FALSE(),"",예약내역!$L140*10000+ROW())</f>
        <v/>
      </c>
      <c r="L143" s="5" t="str">
        <f aca="false">IF($K143="","",RANK($K143,$K$6:$K$2005,1))</f>
        <v/>
      </c>
    </row>
    <row r="144" customFormat="false" ht="15" hidden="false" customHeight="true" outlineLevel="0" collapsed="false">
      <c r="J144" s="21" t="b">
        <f aca="false">IF(예약내역!$A141="",FALSE(),AND(예약내역!$A141=$B$3,예약내역!$J141&lt;&gt;"취소"))</f>
        <v>0</v>
      </c>
      <c r="K144" s="5" t="str">
        <f aca="false">IF($J144=FALSE(),"",예약내역!$L141*10000+ROW())</f>
        <v/>
      </c>
      <c r="L144" s="5" t="str">
        <f aca="false">IF($K144="","",RANK($K144,$K$6:$K$2005,1))</f>
        <v/>
      </c>
    </row>
    <row r="145" customFormat="false" ht="15" hidden="false" customHeight="true" outlineLevel="0" collapsed="false">
      <c r="J145" s="21" t="b">
        <f aca="false">IF(예약내역!$A142="",FALSE(),AND(예약내역!$A142=$B$3,예약내역!$J142&lt;&gt;"취소"))</f>
        <v>0</v>
      </c>
      <c r="K145" s="5" t="str">
        <f aca="false">IF($J145=FALSE(),"",예약내역!$L142*10000+ROW())</f>
        <v/>
      </c>
      <c r="L145" s="5" t="str">
        <f aca="false">IF($K145="","",RANK($K145,$K$6:$K$2005,1))</f>
        <v/>
      </c>
    </row>
    <row r="146" customFormat="false" ht="15" hidden="false" customHeight="true" outlineLevel="0" collapsed="false">
      <c r="J146" s="21" t="b">
        <f aca="false">IF(예약내역!$A143="",FALSE(),AND(예약내역!$A143=$B$3,예약내역!$J143&lt;&gt;"취소"))</f>
        <v>0</v>
      </c>
      <c r="K146" s="5" t="str">
        <f aca="false">IF($J146=FALSE(),"",예약내역!$L143*10000+ROW())</f>
        <v/>
      </c>
      <c r="L146" s="5" t="str">
        <f aca="false">IF($K146="","",RANK($K146,$K$6:$K$2005,1))</f>
        <v/>
      </c>
    </row>
    <row r="147" customFormat="false" ht="15" hidden="false" customHeight="true" outlineLevel="0" collapsed="false">
      <c r="J147" s="21" t="b">
        <f aca="false">IF(예약내역!$A144="",FALSE(),AND(예약내역!$A144=$B$3,예약내역!$J144&lt;&gt;"취소"))</f>
        <v>0</v>
      </c>
      <c r="K147" s="5" t="str">
        <f aca="false">IF($J147=FALSE(),"",예약내역!$L144*10000+ROW())</f>
        <v/>
      </c>
      <c r="L147" s="5" t="str">
        <f aca="false">IF($K147="","",RANK($K147,$K$6:$K$2005,1))</f>
        <v/>
      </c>
    </row>
    <row r="148" customFormat="false" ht="15" hidden="false" customHeight="true" outlineLevel="0" collapsed="false">
      <c r="J148" s="21" t="b">
        <f aca="false">IF(예약내역!$A145="",FALSE(),AND(예약내역!$A145=$B$3,예약내역!$J145&lt;&gt;"취소"))</f>
        <v>0</v>
      </c>
      <c r="K148" s="5" t="str">
        <f aca="false">IF($J148=FALSE(),"",예약내역!$L145*10000+ROW())</f>
        <v/>
      </c>
      <c r="L148" s="5" t="str">
        <f aca="false">IF($K148="","",RANK($K148,$K$6:$K$2005,1))</f>
        <v/>
      </c>
    </row>
    <row r="149" customFormat="false" ht="15" hidden="false" customHeight="true" outlineLevel="0" collapsed="false">
      <c r="J149" s="21" t="b">
        <f aca="false">IF(예약내역!$A146="",FALSE(),AND(예약내역!$A146=$B$3,예약내역!$J146&lt;&gt;"취소"))</f>
        <v>0</v>
      </c>
      <c r="K149" s="5" t="str">
        <f aca="false">IF($J149=FALSE(),"",예약내역!$L146*10000+ROW())</f>
        <v/>
      </c>
      <c r="L149" s="5" t="str">
        <f aca="false">IF($K149="","",RANK($K149,$K$6:$K$2005,1))</f>
        <v/>
      </c>
    </row>
    <row r="150" customFormat="false" ht="15" hidden="false" customHeight="true" outlineLevel="0" collapsed="false">
      <c r="J150" s="21" t="b">
        <f aca="false">IF(예약내역!$A147="",FALSE(),AND(예약내역!$A147=$B$3,예약내역!$J147&lt;&gt;"취소"))</f>
        <v>0</v>
      </c>
      <c r="K150" s="5" t="str">
        <f aca="false">IF($J150=FALSE(),"",예약내역!$L147*10000+ROW())</f>
        <v/>
      </c>
      <c r="L150" s="5" t="str">
        <f aca="false">IF($K150="","",RANK($K150,$K$6:$K$2005,1))</f>
        <v/>
      </c>
    </row>
    <row r="151" customFormat="false" ht="15" hidden="false" customHeight="true" outlineLevel="0" collapsed="false">
      <c r="J151" s="21" t="b">
        <f aca="false">IF(예약내역!$A148="",FALSE(),AND(예약내역!$A148=$B$3,예약내역!$J148&lt;&gt;"취소"))</f>
        <v>0</v>
      </c>
      <c r="K151" s="5" t="str">
        <f aca="false">IF($J151=FALSE(),"",예약내역!$L148*10000+ROW())</f>
        <v/>
      </c>
      <c r="L151" s="5" t="str">
        <f aca="false">IF($K151="","",RANK($K151,$K$6:$K$2005,1))</f>
        <v/>
      </c>
    </row>
    <row r="152" customFormat="false" ht="15" hidden="false" customHeight="true" outlineLevel="0" collapsed="false">
      <c r="J152" s="21" t="b">
        <f aca="false">IF(예약내역!$A149="",FALSE(),AND(예약내역!$A149=$B$3,예약내역!$J149&lt;&gt;"취소"))</f>
        <v>0</v>
      </c>
      <c r="K152" s="5" t="str">
        <f aca="false">IF($J152=FALSE(),"",예약내역!$L149*10000+ROW())</f>
        <v/>
      </c>
      <c r="L152" s="5" t="str">
        <f aca="false">IF($K152="","",RANK($K152,$K$6:$K$2005,1))</f>
        <v/>
      </c>
    </row>
    <row r="153" customFormat="false" ht="15" hidden="false" customHeight="true" outlineLevel="0" collapsed="false">
      <c r="J153" s="21" t="b">
        <f aca="false">IF(예약내역!$A150="",FALSE(),AND(예약내역!$A150=$B$3,예약내역!$J150&lt;&gt;"취소"))</f>
        <v>0</v>
      </c>
      <c r="K153" s="5" t="str">
        <f aca="false">IF($J153=FALSE(),"",예약내역!$L150*10000+ROW())</f>
        <v/>
      </c>
      <c r="L153" s="5" t="str">
        <f aca="false">IF($K153="","",RANK($K153,$K$6:$K$2005,1))</f>
        <v/>
      </c>
    </row>
    <row r="154" customFormat="false" ht="15" hidden="false" customHeight="true" outlineLevel="0" collapsed="false">
      <c r="J154" s="21" t="b">
        <f aca="false">IF(예약내역!$A151="",FALSE(),AND(예약내역!$A151=$B$3,예약내역!$J151&lt;&gt;"취소"))</f>
        <v>0</v>
      </c>
      <c r="K154" s="5" t="str">
        <f aca="false">IF($J154=FALSE(),"",예약내역!$L151*10000+ROW())</f>
        <v/>
      </c>
      <c r="L154" s="5" t="str">
        <f aca="false">IF($K154="","",RANK($K154,$K$6:$K$2005,1))</f>
        <v/>
      </c>
    </row>
    <row r="155" customFormat="false" ht="15" hidden="false" customHeight="true" outlineLevel="0" collapsed="false">
      <c r="J155" s="21" t="b">
        <f aca="false">IF(예약내역!$A152="",FALSE(),AND(예약내역!$A152=$B$3,예약내역!$J152&lt;&gt;"취소"))</f>
        <v>0</v>
      </c>
      <c r="K155" s="5" t="str">
        <f aca="false">IF($J155=FALSE(),"",예약내역!$L152*10000+ROW())</f>
        <v/>
      </c>
      <c r="L155" s="5" t="str">
        <f aca="false">IF($K155="","",RANK($K155,$K$6:$K$2005,1))</f>
        <v/>
      </c>
    </row>
    <row r="156" customFormat="false" ht="15" hidden="false" customHeight="true" outlineLevel="0" collapsed="false">
      <c r="J156" s="21" t="b">
        <f aca="false">IF(예약내역!$A153="",FALSE(),AND(예약내역!$A153=$B$3,예약내역!$J153&lt;&gt;"취소"))</f>
        <v>0</v>
      </c>
      <c r="K156" s="5" t="str">
        <f aca="false">IF($J156=FALSE(),"",예약내역!$L153*10000+ROW())</f>
        <v/>
      </c>
      <c r="L156" s="5" t="str">
        <f aca="false">IF($K156="","",RANK($K156,$K$6:$K$2005,1))</f>
        <v/>
      </c>
    </row>
    <row r="157" customFormat="false" ht="15" hidden="false" customHeight="true" outlineLevel="0" collapsed="false">
      <c r="J157" s="21" t="b">
        <f aca="false">IF(예약내역!$A154="",FALSE(),AND(예약내역!$A154=$B$3,예약내역!$J154&lt;&gt;"취소"))</f>
        <v>0</v>
      </c>
      <c r="K157" s="5" t="str">
        <f aca="false">IF($J157=FALSE(),"",예약내역!$L154*10000+ROW())</f>
        <v/>
      </c>
      <c r="L157" s="5" t="str">
        <f aca="false">IF($K157="","",RANK($K157,$K$6:$K$2005,1))</f>
        <v/>
      </c>
    </row>
    <row r="158" customFormat="false" ht="15" hidden="false" customHeight="true" outlineLevel="0" collapsed="false">
      <c r="J158" s="21" t="b">
        <f aca="false">IF(예약내역!$A155="",FALSE(),AND(예약내역!$A155=$B$3,예약내역!$J155&lt;&gt;"취소"))</f>
        <v>0</v>
      </c>
      <c r="K158" s="5" t="str">
        <f aca="false">IF($J158=FALSE(),"",예약내역!$L155*10000+ROW())</f>
        <v/>
      </c>
      <c r="L158" s="5" t="str">
        <f aca="false">IF($K158="","",RANK($K158,$K$6:$K$2005,1))</f>
        <v/>
      </c>
    </row>
    <row r="159" customFormat="false" ht="15" hidden="false" customHeight="true" outlineLevel="0" collapsed="false">
      <c r="J159" s="21" t="b">
        <f aca="false">IF(예약내역!$A156="",FALSE(),AND(예약내역!$A156=$B$3,예약내역!$J156&lt;&gt;"취소"))</f>
        <v>0</v>
      </c>
      <c r="K159" s="5" t="str">
        <f aca="false">IF($J159=FALSE(),"",예약내역!$L156*10000+ROW())</f>
        <v/>
      </c>
      <c r="L159" s="5" t="str">
        <f aca="false">IF($K159="","",RANK($K159,$K$6:$K$2005,1))</f>
        <v/>
      </c>
    </row>
    <row r="160" customFormat="false" ht="15" hidden="false" customHeight="true" outlineLevel="0" collapsed="false">
      <c r="J160" s="21" t="b">
        <f aca="false">IF(예약내역!$A157="",FALSE(),AND(예약내역!$A157=$B$3,예약내역!$J157&lt;&gt;"취소"))</f>
        <v>0</v>
      </c>
      <c r="K160" s="5" t="str">
        <f aca="false">IF($J160=FALSE(),"",예약내역!$L157*10000+ROW())</f>
        <v/>
      </c>
      <c r="L160" s="5" t="str">
        <f aca="false">IF($K160="","",RANK($K160,$K$6:$K$2005,1))</f>
        <v/>
      </c>
    </row>
    <row r="161" customFormat="false" ht="15" hidden="false" customHeight="true" outlineLevel="0" collapsed="false">
      <c r="J161" s="21" t="b">
        <f aca="false">IF(예약내역!$A158="",FALSE(),AND(예약내역!$A158=$B$3,예약내역!$J158&lt;&gt;"취소"))</f>
        <v>0</v>
      </c>
      <c r="K161" s="5" t="str">
        <f aca="false">IF($J161=FALSE(),"",예약내역!$L158*10000+ROW())</f>
        <v/>
      </c>
      <c r="L161" s="5" t="str">
        <f aca="false">IF($K161="","",RANK($K161,$K$6:$K$2005,1))</f>
        <v/>
      </c>
    </row>
    <row r="162" customFormat="false" ht="15" hidden="false" customHeight="true" outlineLevel="0" collapsed="false">
      <c r="J162" s="21" t="b">
        <f aca="false">IF(예약내역!$A159="",FALSE(),AND(예약내역!$A159=$B$3,예약내역!$J159&lt;&gt;"취소"))</f>
        <v>0</v>
      </c>
      <c r="K162" s="5" t="str">
        <f aca="false">IF($J162=FALSE(),"",예약내역!$L159*10000+ROW())</f>
        <v/>
      </c>
      <c r="L162" s="5" t="str">
        <f aca="false">IF($K162="","",RANK($K162,$K$6:$K$2005,1))</f>
        <v/>
      </c>
    </row>
    <row r="163" customFormat="false" ht="15" hidden="false" customHeight="true" outlineLevel="0" collapsed="false">
      <c r="J163" s="21" t="b">
        <f aca="false">IF(예약내역!$A160="",FALSE(),AND(예약내역!$A160=$B$3,예약내역!$J160&lt;&gt;"취소"))</f>
        <v>0</v>
      </c>
      <c r="K163" s="5" t="str">
        <f aca="false">IF($J163=FALSE(),"",예약내역!$L160*10000+ROW())</f>
        <v/>
      </c>
      <c r="L163" s="5" t="str">
        <f aca="false">IF($K163="","",RANK($K163,$K$6:$K$2005,1))</f>
        <v/>
      </c>
    </row>
    <row r="164" customFormat="false" ht="15" hidden="false" customHeight="true" outlineLevel="0" collapsed="false">
      <c r="J164" s="21" t="b">
        <f aca="false">IF(예약내역!$A161="",FALSE(),AND(예약내역!$A161=$B$3,예약내역!$J161&lt;&gt;"취소"))</f>
        <v>0</v>
      </c>
      <c r="K164" s="5" t="str">
        <f aca="false">IF($J164=FALSE(),"",예약내역!$L161*10000+ROW())</f>
        <v/>
      </c>
      <c r="L164" s="5" t="str">
        <f aca="false">IF($K164="","",RANK($K164,$K$6:$K$2005,1))</f>
        <v/>
      </c>
    </row>
    <row r="165" customFormat="false" ht="15" hidden="false" customHeight="true" outlineLevel="0" collapsed="false">
      <c r="J165" s="21" t="b">
        <f aca="false">IF(예약내역!$A162="",FALSE(),AND(예약내역!$A162=$B$3,예약내역!$J162&lt;&gt;"취소"))</f>
        <v>0</v>
      </c>
      <c r="K165" s="5" t="str">
        <f aca="false">IF($J165=FALSE(),"",예약내역!$L162*10000+ROW())</f>
        <v/>
      </c>
      <c r="L165" s="5" t="str">
        <f aca="false">IF($K165="","",RANK($K165,$K$6:$K$2005,1))</f>
        <v/>
      </c>
    </row>
    <row r="166" customFormat="false" ht="15" hidden="false" customHeight="true" outlineLevel="0" collapsed="false">
      <c r="J166" s="21" t="b">
        <f aca="false">IF(예약내역!$A163="",FALSE(),AND(예약내역!$A163=$B$3,예약내역!$J163&lt;&gt;"취소"))</f>
        <v>0</v>
      </c>
      <c r="K166" s="5" t="str">
        <f aca="false">IF($J166=FALSE(),"",예약내역!$L163*10000+ROW())</f>
        <v/>
      </c>
      <c r="L166" s="5" t="str">
        <f aca="false">IF($K166="","",RANK($K166,$K$6:$K$2005,1))</f>
        <v/>
      </c>
    </row>
    <row r="167" customFormat="false" ht="15" hidden="false" customHeight="true" outlineLevel="0" collapsed="false">
      <c r="J167" s="21" t="b">
        <f aca="false">IF(예약내역!$A164="",FALSE(),AND(예약내역!$A164=$B$3,예약내역!$J164&lt;&gt;"취소"))</f>
        <v>0</v>
      </c>
      <c r="K167" s="5" t="str">
        <f aca="false">IF($J167=FALSE(),"",예약내역!$L164*10000+ROW())</f>
        <v/>
      </c>
      <c r="L167" s="5" t="str">
        <f aca="false">IF($K167="","",RANK($K167,$K$6:$K$2005,1))</f>
        <v/>
      </c>
    </row>
    <row r="168" customFormat="false" ht="15" hidden="false" customHeight="true" outlineLevel="0" collapsed="false">
      <c r="J168" s="21" t="b">
        <f aca="false">IF(예약내역!$A165="",FALSE(),AND(예약내역!$A165=$B$3,예약내역!$J165&lt;&gt;"취소"))</f>
        <v>0</v>
      </c>
      <c r="K168" s="5" t="str">
        <f aca="false">IF($J168=FALSE(),"",예약내역!$L165*10000+ROW())</f>
        <v/>
      </c>
      <c r="L168" s="5" t="str">
        <f aca="false">IF($K168="","",RANK($K168,$K$6:$K$2005,1))</f>
        <v/>
      </c>
    </row>
    <row r="169" customFormat="false" ht="15" hidden="false" customHeight="true" outlineLevel="0" collapsed="false">
      <c r="J169" s="21" t="b">
        <f aca="false">IF(예약내역!$A166="",FALSE(),AND(예약내역!$A166=$B$3,예약내역!$J166&lt;&gt;"취소"))</f>
        <v>0</v>
      </c>
      <c r="K169" s="5" t="str">
        <f aca="false">IF($J169=FALSE(),"",예약내역!$L166*10000+ROW())</f>
        <v/>
      </c>
      <c r="L169" s="5" t="str">
        <f aca="false">IF($K169="","",RANK($K169,$K$6:$K$2005,1))</f>
        <v/>
      </c>
    </row>
    <row r="170" customFormat="false" ht="15" hidden="false" customHeight="true" outlineLevel="0" collapsed="false">
      <c r="J170" s="21" t="b">
        <f aca="false">IF(예약내역!$A167="",FALSE(),AND(예약내역!$A167=$B$3,예약내역!$J167&lt;&gt;"취소"))</f>
        <v>0</v>
      </c>
      <c r="K170" s="5" t="str">
        <f aca="false">IF($J170=FALSE(),"",예약내역!$L167*10000+ROW())</f>
        <v/>
      </c>
      <c r="L170" s="5" t="str">
        <f aca="false">IF($K170="","",RANK($K170,$K$6:$K$2005,1))</f>
        <v/>
      </c>
    </row>
    <row r="171" customFormat="false" ht="15" hidden="false" customHeight="true" outlineLevel="0" collapsed="false">
      <c r="J171" s="21" t="b">
        <f aca="false">IF(예약내역!$A168="",FALSE(),AND(예약내역!$A168=$B$3,예약내역!$J168&lt;&gt;"취소"))</f>
        <v>0</v>
      </c>
      <c r="K171" s="5" t="str">
        <f aca="false">IF($J171=FALSE(),"",예약내역!$L168*10000+ROW())</f>
        <v/>
      </c>
      <c r="L171" s="5" t="str">
        <f aca="false">IF($K171="","",RANK($K171,$K$6:$K$2005,1))</f>
        <v/>
      </c>
    </row>
    <row r="172" customFormat="false" ht="15" hidden="false" customHeight="true" outlineLevel="0" collapsed="false">
      <c r="J172" s="21" t="b">
        <f aca="false">IF(예약내역!$A169="",FALSE(),AND(예약내역!$A169=$B$3,예약내역!$J169&lt;&gt;"취소"))</f>
        <v>0</v>
      </c>
      <c r="K172" s="5" t="str">
        <f aca="false">IF($J172=FALSE(),"",예약내역!$L169*10000+ROW())</f>
        <v/>
      </c>
      <c r="L172" s="5" t="str">
        <f aca="false">IF($K172="","",RANK($K172,$K$6:$K$2005,1))</f>
        <v/>
      </c>
    </row>
    <row r="173" customFormat="false" ht="15" hidden="false" customHeight="true" outlineLevel="0" collapsed="false">
      <c r="J173" s="21" t="b">
        <f aca="false">IF(예약내역!$A170="",FALSE(),AND(예약내역!$A170=$B$3,예약내역!$J170&lt;&gt;"취소"))</f>
        <v>0</v>
      </c>
      <c r="K173" s="5" t="str">
        <f aca="false">IF($J173=FALSE(),"",예약내역!$L170*10000+ROW())</f>
        <v/>
      </c>
      <c r="L173" s="5" t="str">
        <f aca="false">IF($K173="","",RANK($K173,$K$6:$K$2005,1))</f>
        <v/>
      </c>
    </row>
    <row r="174" customFormat="false" ht="15" hidden="false" customHeight="true" outlineLevel="0" collapsed="false">
      <c r="J174" s="21" t="b">
        <f aca="false">IF(예약내역!$A171="",FALSE(),AND(예약내역!$A171=$B$3,예약내역!$J171&lt;&gt;"취소"))</f>
        <v>0</v>
      </c>
      <c r="K174" s="5" t="str">
        <f aca="false">IF($J174=FALSE(),"",예약내역!$L171*10000+ROW())</f>
        <v/>
      </c>
      <c r="L174" s="5" t="str">
        <f aca="false">IF($K174="","",RANK($K174,$K$6:$K$2005,1))</f>
        <v/>
      </c>
    </row>
    <row r="175" customFormat="false" ht="15" hidden="false" customHeight="true" outlineLevel="0" collapsed="false">
      <c r="J175" s="21" t="b">
        <f aca="false">IF(예약내역!$A172="",FALSE(),AND(예약내역!$A172=$B$3,예약내역!$J172&lt;&gt;"취소"))</f>
        <v>0</v>
      </c>
      <c r="K175" s="5" t="str">
        <f aca="false">IF($J175=FALSE(),"",예약내역!$L172*10000+ROW())</f>
        <v/>
      </c>
      <c r="L175" s="5" t="str">
        <f aca="false">IF($K175="","",RANK($K175,$K$6:$K$2005,1))</f>
        <v/>
      </c>
    </row>
    <row r="176" customFormat="false" ht="15" hidden="false" customHeight="true" outlineLevel="0" collapsed="false">
      <c r="J176" s="21" t="b">
        <f aca="false">IF(예약내역!$A173="",FALSE(),AND(예약내역!$A173=$B$3,예약내역!$J173&lt;&gt;"취소"))</f>
        <v>0</v>
      </c>
      <c r="K176" s="5" t="str">
        <f aca="false">IF($J176=FALSE(),"",예약내역!$L173*10000+ROW())</f>
        <v/>
      </c>
      <c r="L176" s="5" t="str">
        <f aca="false">IF($K176="","",RANK($K176,$K$6:$K$2005,1))</f>
        <v/>
      </c>
    </row>
    <row r="177" customFormat="false" ht="15" hidden="false" customHeight="true" outlineLevel="0" collapsed="false">
      <c r="J177" s="21" t="b">
        <f aca="false">IF(예약내역!$A174="",FALSE(),AND(예약내역!$A174=$B$3,예약내역!$J174&lt;&gt;"취소"))</f>
        <v>0</v>
      </c>
      <c r="K177" s="5" t="str">
        <f aca="false">IF($J177=FALSE(),"",예약내역!$L174*10000+ROW())</f>
        <v/>
      </c>
      <c r="L177" s="5" t="str">
        <f aca="false">IF($K177="","",RANK($K177,$K$6:$K$2005,1))</f>
        <v/>
      </c>
    </row>
    <row r="178" customFormat="false" ht="15" hidden="false" customHeight="true" outlineLevel="0" collapsed="false">
      <c r="J178" s="21" t="b">
        <f aca="false">IF(예약내역!$A175="",FALSE(),AND(예약내역!$A175=$B$3,예약내역!$J175&lt;&gt;"취소"))</f>
        <v>0</v>
      </c>
      <c r="K178" s="5" t="str">
        <f aca="false">IF($J178=FALSE(),"",예약내역!$L175*10000+ROW())</f>
        <v/>
      </c>
      <c r="L178" s="5" t="str">
        <f aca="false">IF($K178="","",RANK($K178,$K$6:$K$2005,1))</f>
        <v/>
      </c>
    </row>
    <row r="179" customFormat="false" ht="15" hidden="false" customHeight="true" outlineLevel="0" collapsed="false">
      <c r="J179" s="21" t="b">
        <f aca="false">IF(예약내역!$A176="",FALSE(),AND(예약내역!$A176=$B$3,예약내역!$J176&lt;&gt;"취소"))</f>
        <v>0</v>
      </c>
      <c r="K179" s="5" t="str">
        <f aca="false">IF($J179=FALSE(),"",예약내역!$L176*10000+ROW())</f>
        <v/>
      </c>
      <c r="L179" s="5" t="str">
        <f aca="false">IF($K179="","",RANK($K179,$K$6:$K$2005,1))</f>
        <v/>
      </c>
    </row>
    <row r="180" customFormat="false" ht="15" hidden="false" customHeight="true" outlineLevel="0" collapsed="false">
      <c r="J180" s="21" t="b">
        <f aca="false">IF(예약내역!$A177="",FALSE(),AND(예약내역!$A177=$B$3,예약내역!$J177&lt;&gt;"취소"))</f>
        <v>0</v>
      </c>
      <c r="K180" s="5" t="str">
        <f aca="false">IF($J180=FALSE(),"",예약내역!$L177*10000+ROW())</f>
        <v/>
      </c>
      <c r="L180" s="5" t="str">
        <f aca="false">IF($K180="","",RANK($K180,$K$6:$K$2005,1))</f>
        <v/>
      </c>
    </row>
    <row r="181" customFormat="false" ht="15" hidden="false" customHeight="true" outlineLevel="0" collapsed="false">
      <c r="J181" s="21" t="b">
        <f aca="false">IF(예약내역!$A178="",FALSE(),AND(예약내역!$A178=$B$3,예약내역!$J178&lt;&gt;"취소"))</f>
        <v>0</v>
      </c>
      <c r="K181" s="5" t="str">
        <f aca="false">IF($J181=FALSE(),"",예약내역!$L178*10000+ROW())</f>
        <v/>
      </c>
      <c r="L181" s="5" t="str">
        <f aca="false">IF($K181="","",RANK($K181,$K$6:$K$2005,1))</f>
        <v/>
      </c>
    </row>
    <row r="182" customFormat="false" ht="15" hidden="false" customHeight="true" outlineLevel="0" collapsed="false">
      <c r="J182" s="21" t="b">
        <f aca="false">IF(예약내역!$A179="",FALSE(),AND(예약내역!$A179=$B$3,예약내역!$J179&lt;&gt;"취소"))</f>
        <v>0</v>
      </c>
      <c r="K182" s="5" t="str">
        <f aca="false">IF($J182=FALSE(),"",예약내역!$L179*10000+ROW())</f>
        <v/>
      </c>
      <c r="L182" s="5" t="str">
        <f aca="false">IF($K182="","",RANK($K182,$K$6:$K$2005,1))</f>
        <v/>
      </c>
    </row>
    <row r="183" customFormat="false" ht="15" hidden="false" customHeight="true" outlineLevel="0" collapsed="false">
      <c r="J183" s="21" t="b">
        <f aca="false">IF(예약내역!$A180="",FALSE(),AND(예약내역!$A180=$B$3,예약내역!$J180&lt;&gt;"취소"))</f>
        <v>0</v>
      </c>
      <c r="K183" s="5" t="str">
        <f aca="false">IF($J183=FALSE(),"",예약내역!$L180*10000+ROW())</f>
        <v/>
      </c>
      <c r="L183" s="5" t="str">
        <f aca="false">IF($K183="","",RANK($K183,$K$6:$K$2005,1))</f>
        <v/>
      </c>
    </row>
    <row r="184" customFormat="false" ht="15" hidden="false" customHeight="true" outlineLevel="0" collapsed="false">
      <c r="J184" s="21" t="b">
        <f aca="false">IF(예약내역!$A181="",FALSE(),AND(예약내역!$A181=$B$3,예약내역!$J181&lt;&gt;"취소"))</f>
        <v>0</v>
      </c>
      <c r="K184" s="5" t="str">
        <f aca="false">IF($J184=FALSE(),"",예약내역!$L181*10000+ROW())</f>
        <v/>
      </c>
      <c r="L184" s="5" t="str">
        <f aca="false">IF($K184="","",RANK($K184,$K$6:$K$2005,1))</f>
        <v/>
      </c>
    </row>
    <row r="185" customFormat="false" ht="15" hidden="false" customHeight="true" outlineLevel="0" collapsed="false">
      <c r="J185" s="21" t="b">
        <f aca="false">IF(예약내역!$A182="",FALSE(),AND(예약내역!$A182=$B$3,예약내역!$J182&lt;&gt;"취소"))</f>
        <v>0</v>
      </c>
      <c r="K185" s="5" t="str">
        <f aca="false">IF($J185=FALSE(),"",예약내역!$L182*10000+ROW())</f>
        <v/>
      </c>
      <c r="L185" s="5" t="str">
        <f aca="false">IF($K185="","",RANK($K185,$K$6:$K$2005,1))</f>
        <v/>
      </c>
    </row>
    <row r="186" customFormat="false" ht="15" hidden="false" customHeight="true" outlineLevel="0" collapsed="false">
      <c r="J186" s="21" t="b">
        <f aca="false">IF(예약내역!$A183="",FALSE(),AND(예약내역!$A183=$B$3,예약내역!$J183&lt;&gt;"취소"))</f>
        <v>0</v>
      </c>
      <c r="K186" s="5" t="str">
        <f aca="false">IF($J186=FALSE(),"",예약내역!$L183*10000+ROW())</f>
        <v/>
      </c>
      <c r="L186" s="5" t="str">
        <f aca="false">IF($K186="","",RANK($K186,$K$6:$K$2005,1))</f>
        <v/>
      </c>
    </row>
    <row r="187" customFormat="false" ht="15" hidden="false" customHeight="true" outlineLevel="0" collapsed="false">
      <c r="J187" s="21" t="b">
        <f aca="false">IF(예약내역!$A184="",FALSE(),AND(예약내역!$A184=$B$3,예약내역!$J184&lt;&gt;"취소"))</f>
        <v>0</v>
      </c>
      <c r="K187" s="5" t="str">
        <f aca="false">IF($J187=FALSE(),"",예약내역!$L184*10000+ROW())</f>
        <v/>
      </c>
      <c r="L187" s="5" t="str">
        <f aca="false">IF($K187="","",RANK($K187,$K$6:$K$2005,1))</f>
        <v/>
      </c>
    </row>
    <row r="188" customFormat="false" ht="15" hidden="false" customHeight="true" outlineLevel="0" collapsed="false">
      <c r="J188" s="21" t="b">
        <f aca="false">IF(예약내역!$A185="",FALSE(),AND(예약내역!$A185=$B$3,예약내역!$J185&lt;&gt;"취소"))</f>
        <v>0</v>
      </c>
      <c r="K188" s="5" t="str">
        <f aca="false">IF($J188=FALSE(),"",예약내역!$L185*10000+ROW())</f>
        <v/>
      </c>
      <c r="L188" s="5" t="str">
        <f aca="false">IF($K188="","",RANK($K188,$K$6:$K$2005,1))</f>
        <v/>
      </c>
    </row>
    <row r="189" customFormat="false" ht="15" hidden="false" customHeight="true" outlineLevel="0" collapsed="false">
      <c r="J189" s="21" t="b">
        <f aca="false">IF(예약내역!$A186="",FALSE(),AND(예약내역!$A186=$B$3,예약내역!$J186&lt;&gt;"취소"))</f>
        <v>0</v>
      </c>
      <c r="K189" s="5" t="str">
        <f aca="false">IF($J189=FALSE(),"",예약내역!$L186*10000+ROW())</f>
        <v/>
      </c>
      <c r="L189" s="5" t="str">
        <f aca="false">IF($K189="","",RANK($K189,$K$6:$K$2005,1))</f>
        <v/>
      </c>
    </row>
    <row r="190" customFormat="false" ht="15" hidden="false" customHeight="true" outlineLevel="0" collapsed="false">
      <c r="J190" s="21" t="b">
        <f aca="false">IF(예약내역!$A187="",FALSE(),AND(예약내역!$A187=$B$3,예약내역!$J187&lt;&gt;"취소"))</f>
        <v>0</v>
      </c>
      <c r="K190" s="5" t="str">
        <f aca="false">IF($J190=FALSE(),"",예약내역!$L187*10000+ROW())</f>
        <v/>
      </c>
      <c r="L190" s="5" t="str">
        <f aca="false">IF($K190="","",RANK($K190,$K$6:$K$2005,1))</f>
        <v/>
      </c>
    </row>
    <row r="191" customFormat="false" ht="15" hidden="false" customHeight="true" outlineLevel="0" collapsed="false">
      <c r="J191" s="21" t="b">
        <f aca="false">IF(예약내역!$A188="",FALSE(),AND(예약내역!$A188=$B$3,예약내역!$J188&lt;&gt;"취소"))</f>
        <v>0</v>
      </c>
      <c r="K191" s="5" t="str">
        <f aca="false">IF($J191=FALSE(),"",예약내역!$L188*10000+ROW())</f>
        <v/>
      </c>
      <c r="L191" s="5" t="str">
        <f aca="false">IF($K191="","",RANK($K191,$K$6:$K$2005,1))</f>
        <v/>
      </c>
    </row>
    <row r="192" customFormat="false" ht="15" hidden="false" customHeight="true" outlineLevel="0" collapsed="false">
      <c r="J192" s="21" t="b">
        <f aca="false">IF(예약내역!$A189="",FALSE(),AND(예약내역!$A189=$B$3,예약내역!$J189&lt;&gt;"취소"))</f>
        <v>0</v>
      </c>
      <c r="K192" s="5" t="str">
        <f aca="false">IF($J192=FALSE(),"",예약내역!$L189*10000+ROW())</f>
        <v/>
      </c>
      <c r="L192" s="5" t="str">
        <f aca="false">IF($K192="","",RANK($K192,$K$6:$K$2005,1))</f>
        <v/>
      </c>
    </row>
    <row r="193" customFormat="false" ht="15" hidden="false" customHeight="true" outlineLevel="0" collapsed="false">
      <c r="J193" s="21" t="b">
        <f aca="false">IF(예약내역!$A190="",FALSE(),AND(예약내역!$A190=$B$3,예약내역!$J190&lt;&gt;"취소"))</f>
        <v>0</v>
      </c>
      <c r="K193" s="5" t="str">
        <f aca="false">IF($J193=FALSE(),"",예약내역!$L190*10000+ROW())</f>
        <v/>
      </c>
      <c r="L193" s="5" t="str">
        <f aca="false">IF($K193="","",RANK($K193,$K$6:$K$2005,1))</f>
        <v/>
      </c>
    </row>
    <row r="194" customFormat="false" ht="15" hidden="false" customHeight="true" outlineLevel="0" collapsed="false">
      <c r="J194" s="21" t="b">
        <f aca="false">IF(예약내역!$A191="",FALSE(),AND(예약내역!$A191=$B$3,예약내역!$J191&lt;&gt;"취소"))</f>
        <v>0</v>
      </c>
      <c r="K194" s="5" t="str">
        <f aca="false">IF($J194=FALSE(),"",예약내역!$L191*10000+ROW())</f>
        <v/>
      </c>
      <c r="L194" s="5" t="str">
        <f aca="false">IF($K194="","",RANK($K194,$K$6:$K$2005,1))</f>
        <v/>
      </c>
    </row>
    <row r="195" customFormat="false" ht="15" hidden="false" customHeight="true" outlineLevel="0" collapsed="false">
      <c r="J195" s="21" t="b">
        <f aca="false">IF(예약내역!$A192="",FALSE(),AND(예약내역!$A192=$B$3,예약내역!$J192&lt;&gt;"취소"))</f>
        <v>0</v>
      </c>
      <c r="K195" s="5" t="str">
        <f aca="false">IF($J195=FALSE(),"",예약내역!$L192*10000+ROW())</f>
        <v/>
      </c>
      <c r="L195" s="5" t="str">
        <f aca="false">IF($K195="","",RANK($K195,$K$6:$K$2005,1))</f>
        <v/>
      </c>
    </row>
    <row r="196" customFormat="false" ht="15" hidden="false" customHeight="true" outlineLevel="0" collapsed="false">
      <c r="J196" s="21" t="b">
        <f aca="false">IF(예약내역!$A193="",FALSE(),AND(예약내역!$A193=$B$3,예약내역!$J193&lt;&gt;"취소"))</f>
        <v>0</v>
      </c>
      <c r="K196" s="5" t="str">
        <f aca="false">IF($J196=FALSE(),"",예약내역!$L193*10000+ROW())</f>
        <v/>
      </c>
      <c r="L196" s="5" t="str">
        <f aca="false">IF($K196="","",RANK($K196,$K$6:$K$2005,1))</f>
        <v/>
      </c>
    </row>
    <row r="197" customFormat="false" ht="15" hidden="false" customHeight="true" outlineLevel="0" collapsed="false">
      <c r="J197" s="21" t="b">
        <f aca="false">IF(예약내역!$A194="",FALSE(),AND(예약내역!$A194=$B$3,예약내역!$J194&lt;&gt;"취소"))</f>
        <v>0</v>
      </c>
      <c r="K197" s="5" t="str">
        <f aca="false">IF($J197=FALSE(),"",예약내역!$L194*10000+ROW())</f>
        <v/>
      </c>
      <c r="L197" s="5" t="str">
        <f aca="false">IF($K197="","",RANK($K197,$K$6:$K$2005,1))</f>
        <v/>
      </c>
    </row>
    <row r="198" customFormat="false" ht="15" hidden="false" customHeight="true" outlineLevel="0" collapsed="false">
      <c r="J198" s="21" t="b">
        <f aca="false">IF(예약내역!$A195="",FALSE(),AND(예약내역!$A195=$B$3,예약내역!$J195&lt;&gt;"취소"))</f>
        <v>0</v>
      </c>
      <c r="K198" s="5" t="str">
        <f aca="false">IF($J198=FALSE(),"",예약내역!$L195*10000+ROW())</f>
        <v/>
      </c>
      <c r="L198" s="5" t="str">
        <f aca="false">IF($K198="","",RANK($K198,$K$6:$K$2005,1))</f>
        <v/>
      </c>
    </row>
    <row r="199" customFormat="false" ht="15" hidden="false" customHeight="true" outlineLevel="0" collapsed="false">
      <c r="J199" s="21" t="b">
        <f aca="false">IF(예약내역!$A196="",FALSE(),AND(예약내역!$A196=$B$3,예약내역!$J196&lt;&gt;"취소"))</f>
        <v>0</v>
      </c>
      <c r="K199" s="5" t="str">
        <f aca="false">IF($J199=FALSE(),"",예약내역!$L196*10000+ROW())</f>
        <v/>
      </c>
      <c r="L199" s="5" t="str">
        <f aca="false">IF($K199="","",RANK($K199,$K$6:$K$2005,1))</f>
        <v/>
      </c>
    </row>
    <row r="200" customFormat="false" ht="15" hidden="false" customHeight="true" outlineLevel="0" collapsed="false">
      <c r="J200" s="21" t="b">
        <f aca="false">IF(예약내역!$A197="",FALSE(),AND(예약내역!$A197=$B$3,예약내역!$J197&lt;&gt;"취소"))</f>
        <v>0</v>
      </c>
      <c r="K200" s="5" t="str">
        <f aca="false">IF($J200=FALSE(),"",예약내역!$L197*10000+ROW())</f>
        <v/>
      </c>
      <c r="L200" s="5" t="str">
        <f aca="false">IF($K200="","",RANK($K200,$K$6:$K$2005,1))</f>
        <v/>
      </c>
    </row>
    <row r="201" customFormat="false" ht="15" hidden="false" customHeight="true" outlineLevel="0" collapsed="false">
      <c r="J201" s="21" t="b">
        <f aca="false">IF(예약내역!$A198="",FALSE(),AND(예약내역!$A198=$B$3,예약내역!$J198&lt;&gt;"취소"))</f>
        <v>0</v>
      </c>
      <c r="K201" s="5" t="str">
        <f aca="false">IF($J201=FALSE(),"",예약내역!$L198*10000+ROW())</f>
        <v/>
      </c>
      <c r="L201" s="5" t="str">
        <f aca="false">IF($K201="","",RANK($K201,$K$6:$K$2005,1))</f>
        <v/>
      </c>
    </row>
    <row r="202" customFormat="false" ht="15" hidden="false" customHeight="true" outlineLevel="0" collapsed="false">
      <c r="J202" s="21" t="b">
        <f aca="false">IF(예약내역!$A199="",FALSE(),AND(예약내역!$A199=$B$3,예약내역!$J199&lt;&gt;"취소"))</f>
        <v>0</v>
      </c>
      <c r="K202" s="5" t="str">
        <f aca="false">IF($J202=FALSE(),"",예약내역!$L199*10000+ROW())</f>
        <v/>
      </c>
      <c r="L202" s="5" t="str">
        <f aca="false">IF($K202="","",RANK($K202,$K$6:$K$2005,1))</f>
        <v/>
      </c>
    </row>
    <row r="203" customFormat="false" ht="15" hidden="false" customHeight="true" outlineLevel="0" collapsed="false">
      <c r="J203" s="21" t="b">
        <f aca="false">IF(예약내역!$A200="",FALSE(),AND(예약내역!$A200=$B$3,예약내역!$J200&lt;&gt;"취소"))</f>
        <v>0</v>
      </c>
      <c r="K203" s="5" t="str">
        <f aca="false">IF($J203=FALSE(),"",예약내역!$L200*10000+ROW())</f>
        <v/>
      </c>
      <c r="L203" s="5" t="str">
        <f aca="false">IF($K203="","",RANK($K203,$K$6:$K$2005,1))</f>
        <v/>
      </c>
    </row>
    <row r="204" customFormat="false" ht="15" hidden="false" customHeight="true" outlineLevel="0" collapsed="false">
      <c r="J204" s="21" t="b">
        <f aca="false">IF(예약내역!$A201="",FALSE(),AND(예약내역!$A201=$B$3,예약내역!$J201&lt;&gt;"취소"))</f>
        <v>0</v>
      </c>
      <c r="K204" s="5" t="str">
        <f aca="false">IF($J204=FALSE(),"",예약내역!$L201*10000+ROW())</f>
        <v/>
      </c>
      <c r="L204" s="5" t="str">
        <f aca="false">IF($K204="","",RANK($K204,$K$6:$K$2005,1))</f>
        <v/>
      </c>
    </row>
    <row r="205" customFormat="false" ht="15" hidden="false" customHeight="true" outlineLevel="0" collapsed="false">
      <c r="J205" s="21" t="b">
        <f aca="false">IF(예약내역!$A202="",FALSE(),AND(예약내역!$A202=$B$3,예약내역!$J202&lt;&gt;"취소"))</f>
        <v>0</v>
      </c>
      <c r="K205" s="5" t="str">
        <f aca="false">IF($J205=FALSE(),"",예약내역!$L202*10000+ROW())</f>
        <v/>
      </c>
      <c r="L205" s="5" t="str">
        <f aca="false">IF($K205="","",RANK($K205,$K$6:$K$2005,1))</f>
        <v/>
      </c>
    </row>
    <row r="206" customFormat="false" ht="15" hidden="false" customHeight="true" outlineLevel="0" collapsed="false">
      <c r="J206" s="21" t="b">
        <f aca="false">IF(예약내역!$A203="",FALSE(),AND(예약내역!$A203=$B$3,예약내역!$J203&lt;&gt;"취소"))</f>
        <v>0</v>
      </c>
      <c r="K206" s="5" t="str">
        <f aca="false">IF($J206=FALSE(),"",예약내역!$L203*10000+ROW())</f>
        <v/>
      </c>
      <c r="L206" s="5" t="str">
        <f aca="false">IF($K206="","",RANK($K206,$K$6:$K$2005,1))</f>
        <v/>
      </c>
    </row>
    <row r="207" customFormat="false" ht="15" hidden="false" customHeight="true" outlineLevel="0" collapsed="false">
      <c r="J207" s="21" t="b">
        <f aca="false">IF(예약내역!$A204="",FALSE(),AND(예약내역!$A204=$B$3,예약내역!$J204&lt;&gt;"취소"))</f>
        <v>0</v>
      </c>
      <c r="K207" s="5" t="str">
        <f aca="false">IF($J207=FALSE(),"",예약내역!$L204*10000+ROW())</f>
        <v/>
      </c>
      <c r="L207" s="5" t="str">
        <f aca="false">IF($K207="","",RANK($K207,$K$6:$K$2005,1))</f>
        <v/>
      </c>
    </row>
    <row r="208" customFormat="false" ht="15" hidden="false" customHeight="true" outlineLevel="0" collapsed="false">
      <c r="J208" s="21" t="b">
        <f aca="false">IF(예약내역!$A205="",FALSE(),AND(예약내역!$A205=$B$3,예약내역!$J205&lt;&gt;"취소"))</f>
        <v>0</v>
      </c>
      <c r="K208" s="5" t="str">
        <f aca="false">IF($J208=FALSE(),"",예약내역!$L205*10000+ROW())</f>
        <v/>
      </c>
      <c r="L208" s="5" t="str">
        <f aca="false">IF($K208="","",RANK($K208,$K$6:$K$2005,1))</f>
        <v/>
      </c>
    </row>
    <row r="209" customFormat="false" ht="15" hidden="false" customHeight="true" outlineLevel="0" collapsed="false">
      <c r="J209" s="21" t="b">
        <f aca="false">IF(예약내역!$A206="",FALSE(),AND(예약내역!$A206=$B$3,예약내역!$J206&lt;&gt;"취소"))</f>
        <v>0</v>
      </c>
      <c r="K209" s="5" t="str">
        <f aca="false">IF($J209=FALSE(),"",예약내역!$L206*10000+ROW())</f>
        <v/>
      </c>
      <c r="L209" s="5" t="str">
        <f aca="false">IF($K209="","",RANK($K209,$K$6:$K$2005,1))</f>
        <v/>
      </c>
    </row>
    <row r="210" customFormat="false" ht="15" hidden="false" customHeight="true" outlineLevel="0" collapsed="false">
      <c r="J210" s="21" t="b">
        <f aca="false">IF(예약내역!$A207="",FALSE(),AND(예약내역!$A207=$B$3,예약내역!$J207&lt;&gt;"취소"))</f>
        <v>0</v>
      </c>
      <c r="K210" s="5" t="str">
        <f aca="false">IF($J210=FALSE(),"",예약내역!$L207*10000+ROW())</f>
        <v/>
      </c>
      <c r="L210" s="5" t="str">
        <f aca="false">IF($K210="","",RANK($K210,$K$6:$K$2005,1))</f>
        <v/>
      </c>
    </row>
    <row r="211" customFormat="false" ht="15" hidden="false" customHeight="true" outlineLevel="0" collapsed="false">
      <c r="J211" s="21" t="b">
        <f aca="false">IF(예약내역!$A208="",FALSE(),AND(예약내역!$A208=$B$3,예약내역!$J208&lt;&gt;"취소"))</f>
        <v>0</v>
      </c>
      <c r="K211" s="5" t="str">
        <f aca="false">IF($J211=FALSE(),"",예약내역!$L208*10000+ROW())</f>
        <v/>
      </c>
      <c r="L211" s="5" t="str">
        <f aca="false">IF($K211="","",RANK($K211,$K$6:$K$2005,1))</f>
        <v/>
      </c>
    </row>
    <row r="212" customFormat="false" ht="15" hidden="false" customHeight="true" outlineLevel="0" collapsed="false">
      <c r="J212" s="21" t="b">
        <f aca="false">IF(예약내역!$A209="",FALSE(),AND(예약내역!$A209=$B$3,예약내역!$J209&lt;&gt;"취소"))</f>
        <v>0</v>
      </c>
      <c r="K212" s="5" t="str">
        <f aca="false">IF($J212=FALSE(),"",예약내역!$L209*10000+ROW())</f>
        <v/>
      </c>
      <c r="L212" s="5" t="str">
        <f aca="false">IF($K212="","",RANK($K212,$K$6:$K$2005,1))</f>
        <v/>
      </c>
    </row>
    <row r="213" customFormat="false" ht="15" hidden="false" customHeight="true" outlineLevel="0" collapsed="false">
      <c r="J213" s="21" t="b">
        <f aca="false">IF(예약내역!$A210="",FALSE(),AND(예약내역!$A210=$B$3,예약내역!$J210&lt;&gt;"취소"))</f>
        <v>0</v>
      </c>
      <c r="K213" s="5" t="str">
        <f aca="false">IF($J213=FALSE(),"",예약내역!$L210*10000+ROW())</f>
        <v/>
      </c>
      <c r="L213" s="5" t="str">
        <f aca="false">IF($K213="","",RANK($K213,$K$6:$K$2005,1))</f>
        <v/>
      </c>
    </row>
    <row r="214" customFormat="false" ht="15" hidden="false" customHeight="true" outlineLevel="0" collapsed="false">
      <c r="J214" s="21" t="b">
        <f aca="false">IF(예약내역!$A211="",FALSE(),AND(예약내역!$A211=$B$3,예약내역!$J211&lt;&gt;"취소"))</f>
        <v>0</v>
      </c>
      <c r="K214" s="5" t="str">
        <f aca="false">IF($J214=FALSE(),"",예약내역!$L211*10000+ROW())</f>
        <v/>
      </c>
      <c r="L214" s="5" t="str">
        <f aca="false">IF($K214="","",RANK($K214,$K$6:$K$2005,1))</f>
        <v/>
      </c>
    </row>
    <row r="215" customFormat="false" ht="15" hidden="false" customHeight="true" outlineLevel="0" collapsed="false">
      <c r="J215" s="21" t="b">
        <f aca="false">IF(예약내역!$A212="",FALSE(),AND(예약내역!$A212=$B$3,예약내역!$J212&lt;&gt;"취소"))</f>
        <v>0</v>
      </c>
      <c r="K215" s="5" t="str">
        <f aca="false">IF($J215=FALSE(),"",예약내역!$L212*10000+ROW())</f>
        <v/>
      </c>
      <c r="L215" s="5" t="str">
        <f aca="false">IF($K215="","",RANK($K215,$K$6:$K$2005,1))</f>
        <v/>
      </c>
    </row>
    <row r="216" customFormat="false" ht="15" hidden="false" customHeight="true" outlineLevel="0" collapsed="false">
      <c r="J216" s="21" t="b">
        <f aca="false">IF(예약내역!$A213="",FALSE(),AND(예약내역!$A213=$B$3,예약내역!$J213&lt;&gt;"취소"))</f>
        <v>0</v>
      </c>
      <c r="K216" s="5" t="str">
        <f aca="false">IF($J216=FALSE(),"",예약내역!$L213*10000+ROW())</f>
        <v/>
      </c>
      <c r="L216" s="5" t="str">
        <f aca="false">IF($K216="","",RANK($K216,$K$6:$K$2005,1))</f>
        <v/>
      </c>
    </row>
    <row r="217" customFormat="false" ht="15" hidden="false" customHeight="true" outlineLevel="0" collapsed="false">
      <c r="J217" s="21" t="b">
        <f aca="false">IF(예약내역!$A214="",FALSE(),AND(예약내역!$A214=$B$3,예약내역!$J214&lt;&gt;"취소"))</f>
        <v>0</v>
      </c>
      <c r="K217" s="5" t="str">
        <f aca="false">IF($J217=FALSE(),"",예약내역!$L214*10000+ROW())</f>
        <v/>
      </c>
      <c r="L217" s="5" t="str">
        <f aca="false">IF($K217="","",RANK($K217,$K$6:$K$2005,1))</f>
        <v/>
      </c>
    </row>
    <row r="218" customFormat="false" ht="15" hidden="false" customHeight="true" outlineLevel="0" collapsed="false">
      <c r="J218" s="21" t="b">
        <f aca="false">IF(예약내역!$A215="",FALSE(),AND(예약내역!$A215=$B$3,예약내역!$J215&lt;&gt;"취소"))</f>
        <v>0</v>
      </c>
      <c r="K218" s="5" t="str">
        <f aca="false">IF($J218=FALSE(),"",예약내역!$L215*10000+ROW())</f>
        <v/>
      </c>
      <c r="L218" s="5" t="str">
        <f aca="false">IF($K218="","",RANK($K218,$K$6:$K$2005,1))</f>
        <v/>
      </c>
    </row>
    <row r="219" customFormat="false" ht="15" hidden="false" customHeight="true" outlineLevel="0" collapsed="false">
      <c r="J219" s="21" t="b">
        <f aca="false">IF(예약내역!$A216="",FALSE(),AND(예약내역!$A216=$B$3,예약내역!$J216&lt;&gt;"취소"))</f>
        <v>0</v>
      </c>
      <c r="K219" s="5" t="str">
        <f aca="false">IF($J219=FALSE(),"",예약내역!$L216*10000+ROW())</f>
        <v/>
      </c>
      <c r="L219" s="5" t="str">
        <f aca="false">IF($K219="","",RANK($K219,$K$6:$K$2005,1))</f>
        <v/>
      </c>
    </row>
    <row r="220" customFormat="false" ht="15" hidden="false" customHeight="true" outlineLevel="0" collapsed="false">
      <c r="J220" s="21" t="b">
        <f aca="false">IF(예약내역!$A217="",FALSE(),AND(예약내역!$A217=$B$3,예약내역!$J217&lt;&gt;"취소"))</f>
        <v>0</v>
      </c>
      <c r="K220" s="5" t="str">
        <f aca="false">IF($J220=FALSE(),"",예약내역!$L217*10000+ROW())</f>
        <v/>
      </c>
      <c r="L220" s="5" t="str">
        <f aca="false">IF($K220="","",RANK($K220,$K$6:$K$2005,1))</f>
        <v/>
      </c>
    </row>
    <row r="221" customFormat="false" ht="15" hidden="false" customHeight="true" outlineLevel="0" collapsed="false">
      <c r="J221" s="21" t="b">
        <f aca="false">IF(예약내역!$A218="",FALSE(),AND(예약내역!$A218=$B$3,예약내역!$J218&lt;&gt;"취소"))</f>
        <v>0</v>
      </c>
      <c r="K221" s="5" t="str">
        <f aca="false">IF($J221=FALSE(),"",예약내역!$L218*10000+ROW())</f>
        <v/>
      </c>
      <c r="L221" s="5" t="str">
        <f aca="false">IF($K221="","",RANK($K221,$K$6:$K$2005,1))</f>
        <v/>
      </c>
    </row>
    <row r="222" customFormat="false" ht="15" hidden="false" customHeight="true" outlineLevel="0" collapsed="false">
      <c r="J222" s="21" t="b">
        <f aca="false">IF(예약내역!$A219="",FALSE(),AND(예약내역!$A219=$B$3,예약내역!$J219&lt;&gt;"취소"))</f>
        <v>0</v>
      </c>
      <c r="K222" s="5" t="str">
        <f aca="false">IF($J222=FALSE(),"",예약내역!$L219*10000+ROW())</f>
        <v/>
      </c>
      <c r="L222" s="5" t="str">
        <f aca="false">IF($K222="","",RANK($K222,$K$6:$K$2005,1))</f>
        <v/>
      </c>
    </row>
    <row r="223" customFormat="false" ht="15" hidden="false" customHeight="true" outlineLevel="0" collapsed="false">
      <c r="J223" s="21" t="b">
        <f aca="false">IF(예약내역!$A220="",FALSE(),AND(예약내역!$A220=$B$3,예약내역!$J220&lt;&gt;"취소"))</f>
        <v>0</v>
      </c>
      <c r="K223" s="5" t="str">
        <f aca="false">IF($J223=FALSE(),"",예약내역!$L220*10000+ROW())</f>
        <v/>
      </c>
      <c r="L223" s="5" t="str">
        <f aca="false">IF($K223="","",RANK($K223,$K$6:$K$2005,1))</f>
        <v/>
      </c>
    </row>
    <row r="224" customFormat="false" ht="15" hidden="false" customHeight="true" outlineLevel="0" collapsed="false">
      <c r="J224" s="21" t="b">
        <f aca="false">IF(예약내역!$A221="",FALSE(),AND(예약내역!$A221=$B$3,예약내역!$J221&lt;&gt;"취소"))</f>
        <v>0</v>
      </c>
      <c r="K224" s="5" t="str">
        <f aca="false">IF($J224=FALSE(),"",예약내역!$L221*10000+ROW())</f>
        <v/>
      </c>
      <c r="L224" s="5" t="str">
        <f aca="false">IF($K224="","",RANK($K224,$K$6:$K$2005,1))</f>
        <v/>
      </c>
    </row>
    <row r="225" customFormat="false" ht="15" hidden="false" customHeight="true" outlineLevel="0" collapsed="false">
      <c r="J225" s="21" t="b">
        <f aca="false">IF(예약내역!$A222="",FALSE(),AND(예약내역!$A222=$B$3,예약내역!$J222&lt;&gt;"취소"))</f>
        <v>0</v>
      </c>
      <c r="K225" s="5" t="str">
        <f aca="false">IF($J225=FALSE(),"",예약내역!$L222*10000+ROW())</f>
        <v/>
      </c>
      <c r="L225" s="5" t="str">
        <f aca="false">IF($K225="","",RANK($K225,$K$6:$K$2005,1))</f>
        <v/>
      </c>
    </row>
    <row r="226" customFormat="false" ht="15" hidden="false" customHeight="true" outlineLevel="0" collapsed="false">
      <c r="J226" s="21" t="b">
        <f aca="false">IF(예약내역!$A223="",FALSE(),AND(예약내역!$A223=$B$3,예약내역!$J223&lt;&gt;"취소"))</f>
        <v>0</v>
      </c>
      <c r="K226" s="5" t="str">
        <f aca="false">IF($J226=FALSE(),"",예약내역!$L223*10000+ROW())</f>
        <v/>
      </c>
      <c r="L226" s="5" t="str">
        <f aca="false">IF($K226="","",RANK($K226,$K$6:$K$2005,1))</f>
        <v/>
      </c>
    </row>
    <row r="227" customFormat="false" ht="15" hidden="false" customHeight="true" outlineLevel="0" collapsed="false">
      <c r="J227" s="21" t="b">
        <f aca="false">IF(예약내역!$A224="",FALSE(),AND(예약내역!$A224=$B$3,예약내역!$J224&lt;&gt;"취소"))</f>
        <v>0</v>
      </c>
      <c r="K227" s="5" t="str">
        <f aca="false">IF($J227=FALSE(),"",예약내역!$L224*10000+ROW())</f>
        <v/>
      </c>
      <c r="L227" s="5" t="str">
        <f aca="false">IF($K227="","",RANK($K227,$K$6:$K$2005,1))</f>
        <v/>
      </c>
    </row>
    <row r="228" customFormat="false" ht="15" hidden="false" customHeight="true" outlineLevel="0" collapsed="false">
      <c r="J228" s="21" t="b">
        <f aca="false">IF(예약내역!$A225="",FALSE(),AND(예약내역!$A225=$B$3,예약내역!$J225&lt;&gt;"취소"))</f>
        <v>0</v>
      </c>
      <c r="K228" s="5" t="str">
        <f aca="false">IF($J228=FALSE(),"",예약내역!$L225*10000+ROW())</f>
        <v/>
      </c>
      <c r="L228" s="5" t="str">
        <f aca="false">IF($K228="","",RANK($K228,$K$6:$K$2005,1))</f>
        <v/>
      </c>
    </row>
    <row r="229" customFormat="false" ht="15" hidden="false" customHeight="true" outlineLevel="0" collapsed="false">
      <c r="J229" s="21" t="b">
        <f aca="false">IF(예약내역!$A226="",FALSE(),AND(예약내역!$A226=$B$3,예약내역!$J226&lt;&gt;"취소"))</f>
        <v>0</v>
      </c>
      <c r="K229" s="5" t="str">
        <f aca="false">IF($J229=FALSE(),"",예약내역!$L226*10000+ROW())</f>
        <v/>
      </c>
      <c r="L229" s="5" t="str">
        <f aca="false">IF($K229="","",RANK($K229,$K$6:$K$2005,1))</f>
        <v/>
      </c>
    </row>
    <row r="230" customFormat="false" ht="15" hidden="false" customHeight="true" outlineLevel="0" collapsed="false">
      <c r="J230" s="21" t="b">
        <f aca="false">IF(예약내역!$A227="",FALSE(),AND(예약내역!$A227=$B$3,예약내역!$J227&lt;&gt;"취소"))</f>
        <v>0</v>
      </c>
      <c r="K230" s="5" t="str">
        <f aca="false">IF($J230=FALSE(),"",예약내역!$L227*10000+ROW())</f>
        <v/>
      </c>
      <c r="L230" s="5" t="str">
        <f aca="false">IF($K230="","",RANK($K230,$K$6:$K$2005,1))</f>
        <v/>
      </c>
    </row>
    <row r="231" customFormat="false" ht="15" hidden="false" customHeight="true" outlineLevel="0" collapsed="false">
      <c r="J231" s="21" t="b">
        <f aca="false">IF(예약내역!$A228="",FALSE(),AND(예약내역!$A228=$B$3,예약내역!$J228&lt;&gt;"취소"))</f>
        <v>0</v>
      </c>
      <c r="K231" s="5" t="str">
        <f aca="false">IF($J231=FALSE(),"",예약내역!$L228*10000+ROW())</f>
        <v/>
      </c>
      <c r="L231" s="5" t="str">
        <f aca="false">IF($K231="","",RANK($K231,$K$6:$K$2005,1))</f>
        <v/>
      </c>
    </row>
    <row r="232" customFormat="false" ht="15" hidden="false" customHeight="true" outlineLevel="0" collapsed="false">
      <c r="J232" s="21" t="b">
        <f aca="false">IF(예약내역!$A229="",FALSE(),AND(예약내역!$A229=$B$3,예약내역!$J229&lt;&gt;"취소"))</f>
        <v>0</v>
      </c>
      <c r="K232" s="5" t="str">
        <f aca="false">IF($J232=FALSE(),"",예약내역!$L229*10000+ROW())</f>
        <v/>
      </c>
      <c r="L232" s="5" t="str">
        <f aca="false">IF($K232="","",RANK($K232,$K$6:$K$2005,1))</f>
        <v/>
      </c>
    </row>
    <row r="233" customFormat="false" ht="15" hidden="false" customHeight="true" outlineLevel="0" collapsed="false">
      <c r="J233" s="21" t="b">
        <f aca="false">IF(예약내역!$A230="",FALSE(),AND(예약내역!$A230=$B$3,예약내역!$J230&lt;&gt;"취소"))</f>
        <v>0</v>
      </c>
      <c r="K233" s="5" t="str">
        <f aca="false">IF($J233=FALSE(),"",예약내역!$L230*10000+ROW())</f>
        <v/>
      </c>
      <c r="L233" s="5" t="str">
        <f aca="false">IF($K233="","",RANK($K233,$K$6:$K$2005,1))</f>
        <v/>
      </c>
    </row>
    <row r="234" customFormat="false" ht="15" hidden="false" customHeight="true" outlineLevel="0" collapsed="false">
      <c r="J234" s="21" t="b">
        <f aca="false">IF(예약내역!$A231="",FALSE(),AND(예약내역!$A231=$B$3,예약내역!$J231&lt;&gt;"취소"))</f>
        <v>0</v>
      </c>
      <c r="K234" s="5" t="str">
        <f aca="false">IF($J234=FALSE(),"",예약내역!$L231*10000+ROW())</f>
        <v/>
      </c>
      <c r="L234" s="5" t="str">
        <f aca="false">IF($K234="","",RANK($K234,$K$6:$K$2005,1))</f>
        <v/>
      </c>
    </row>
    <row r="235" customFormat="false" ht="15" hidden="false" customHeight="true" outlineLevel="0" collapsed="false">
      <c r="J235" s="21" t="b">
        <f aca="false">IF(예약내역!$A232="",FALSE(),AND(예약내역!$A232=$B$3,예약내역!$J232&lt;&gt;"취소"))</f>
        <v>0</v>
      </c>
      <c r="K235" s="5" t="str">
        <f aca="false">IF($J235=FALSE(),"",예약내역!$L232*10000+ROW())</f>
        <v/>
      </c>
      <c r="L235" s="5" t="str">
        <f aca="false">IF($K235="","",RANK($K235,$K$6:$K$2005,1))</f>
        <v/>
      </c>
    </row>
    <row r="236" customFormat="false" ht="15" hidden="false" customHeight="true" outlineLevel="0" collapsed="false">
      <c r="J236" s="21" t="b">
        <f aca="false">IF(예약내역!$A233="",FALSE(),AND(예약내역!$A233=$B$3,예약내역!$J233&lt;&gt;"취소"))</f>
        <v>0</v>
      </c>
      <c r="K236" s="5" t="str">
        <f aca="false">IF($J236=FALSE(),"",예약내역!$L233*10000+ROW())</f>
        <v/>
      </c>
      <c r="L236" s="5" t="str">
        <f aca="false">IF($K236="","",RANK($K236,$K$6:$K$2005,1))</f>
        <v/>
      </c>
    </row>
    <row r="237" customFormat="false" ht="15" hidden="false" customHeight="true" outlineLevel="0" collapsed="false">
      <c r="J237" s="21" t="b">
        <f aca="false">IF(예약내역!$A234="",FALSE(),AND(예약내역!$A234=$B$3,예약내역!$J234&lt;&gt;"취소"))</f>
        <v>0</v>
      </c>
      <c r="K237" s="5" t="str">
        <f aca="false">IF($J237=FALSE(),"",예약내역!$L234*10000+ROW())</f>
        <v/>
      </c>
      <c r="L237" s="5" t="str">
        <f aca="false">IF($K237="","",RANK($K237,$K$6:$K$2005,1))</f>
        <v/>
      </c>
    </row>
    <row r="238" customFormat="false" ht="15" hidden="false" customHeight="true" outlineLevel="0" collapsed="false">
      <c r="J238" s="21" t="b">
        <f aca="false">IF(예약내역!$A235="",FALSE(),AND(예약내역!$A235=$B$3,예약내역!$J235&lt;&gt;"취소"))</f>
        <v>0</v>
      </c>
      <c r="K238" s="5" t="str">
        <f aca="false">IF($J238=FALSE(),"",예약내역!$L235*10000+ROW())</f>
        <v/>
      </c>
      <c r="L238" s="5" t="str">
        <f aca="false">IF($K238="","",RANK($K238,$K$6:$K$2005,1))</f>
        <v/>
      </c>
    </row>
    <row r="239" customFormat="false" ht="15" hidden="false" customHeight="true" outlineLevel="0" collapsed="false">
      <c r="J239" s="21" t="b">
        <f aca="false">IF(예약내역!$A236="",FALSE(),AND(예약내역!$A236=$B$3,예약내역!$J236&lt;&gt;"취소"))</f>
        <v>0</v>
      </c>
      <c r="K239" s="5" t="str">
        <f aca="false">IF($J239=FALSE(),"",예약내역!$L236*10000+ROW())</f>
        <v/>
      </c>
      <c r="L239" s="5" t="str">
        <f aca="false">IF($K239="","",RANK($K239,$K$6:$K$2005,1))</f>
        <v/>
      </c>
    </row>
    <row r="240" customFormat="false" ht="15" hidden="false" customHeight="true" outlineLevel="0" collapsed="false">
      <c r="J240" s="21" t="b">
        <f aca="false">IF(예약내역!$A237="",FALSE(),AND(예약내역!$A237=$B$3,예약내역!$J237&lt;&gt;"취소"))</f>
        <v>0</v>
      </c>
      <c r="K240" s="5" t="str">
        <f aca="false">IF($J240=FALSE(),"",예약내역!$L237*10000+ROW())</f>
        <v/>
      </c>
      <c r="L240" s="5" t="str">
        <f aca="false">IF($K240="","",RANK($K240,$K$6:$K$2005,1))</f>
        <v/>
      </c>
    </row>
    <row r="241" customFormat="false" ht="15" hidden="false" customHeight="true" outlineLevel="0" collapsed="false">
      <c r="J241" s="21" t="b">
        <f aca="false">IF(예약내역!$A238="",FALSE(),AND(예약내역!$A238=$B$3,예약내역!$J238&lt;&gt;"취소"))</f>
        <v>0</v>
      </c>
      <c r="K241" s="5" t="str">
        <f aca="false">IF($J241=FALSE(),"",예약내역!$L238*10000+ROW())</f>
        <v/>
      </c>
      <c r="L241" s="5" t="str">
        <f aca="false">IF($K241="","",RANK($K241,$K$6:$K$2005,1))</f>
        <v/>
      </c>
    </row>
    <row r="242" customFormat="false" ht="15" hidden="false" customHeight="true" outlineLevel="0" collapsed="false">
      <c r="J242" s="21" t="b">
        <f aca="false">IF(예약내역!$A239="",FALSE(),AND(예약내역!$A239=$B$3,예약내역!$J239&lt;&gt;"취소"))</f>
        <v>0</v>
      </c>
      <c r="K242" s="5" t="str">
        <f aca="false">IF($J242=FALSE(),"",예약내역!$L239*10000+ROW())</f>
        <v/>
      </c>
      <c r="L242" s="5" t="str">
        <f aca="false">IF($K242="","",RANK($K242,$K$6:$K$2005,1))</f>
        <v/>
      </c>
    </row>
    <row r="243" customFormat="false" ht="15" hidden="false" customHeight="true" outlineLevel="0" collapsed="false">
      <c r="J243" s="21" t="b">
        <f aca="false">IF(예약내역!$A240="",FALSE(),AND(예약내역!$A240=$B$3,예약내역!$J240&lt;&gt;"취소"))</f>
        <v>0</v>
      </c>
      <c r="K243" s="5" t="str">
        <f aca="false">IF($J243=FALSE(),"",예약내역!$L240*10000+ROW())</f>
        <v/>
      </c>
      <c r="L243" s="5" t="str">
        <f aca="false">IF($K243="","",RANK($K243,$K$6:$K$2005,1))</f>
        <v/>
      </c>
    </row>
    <row r="244" customFormat="false" ht="15" hidden="false" customHeight="true" outlineLevel="0" collapsed="false">
      <c r="J244" s="21" t="b">
        <f aca="false">IF(예약내역!$A241="",FALSE(),AND(예약내역!$A241=$B$3,예약내역!$J241&lt;&gt;"취소"))</f>
        <v>0</v>
      </c>
      <c r="K244" s="5" t="str">
        <f aca="false">IF($J244=FALSE(),"",예약내역!$L241*10000+ROW())</f>
        <v/>
      </c>
      <c r="L244" s="5" t="str">
        <f aca="false">IF($K244="","",RANK($K244,$K$6:$K$2005,1))</f>
        <v/>
      </c>
    </row>
    <row r="245" customFormat="false" ht="15" hidden="false" customHeight="true" outlineLevel="0" collapsed="false">
      <c r="J245" s="21" t="b">
        <f aca="false">IF(예약내역!$A242="",FALSE(),AND(예약내역!$A242=$B$3,예약내역!$J242&lt;&gt;"취소"))</f>
        <v>0</v>
      </c>
      <c r="K245" s="5" t="str">
        <f aca="false">IF($J245=FALSE(),"",예약내역!$L242*10000+ROW())</f>
        <v/>
      </c>
      <c r="L245" s="5" t="str">
        <f aca="false">IF($K245="","",RANK($K245,$K$6:$K$2005,1))</f>
        <v/>
      </c>
    </row>
    <row r="246" customFormat="false" ht="15" hidden="false" customHeight="true" outlineLevel="0" collapsed="false">
      <c r="J246" s="21" t="b">
        <f aca="false">IF(예약내역!$A243="",FALSE(),AND(예약내역!$A243=$B$3,예약내역!$J243&lt;&gt;"취소"))</f>
        <v>0</v>
      </c>
      <c r="K246" s="5" t="str">
        <f aca="false">IF($J246=FALSE(),"",예약내역!$L243*10000+ROW())</f>
        <v/>
      </c>
      <c r="L246" s="5" t="str">
        <f aca="false">IF($K246="","",RANK($K246,$K$6:$K$2005,1))</f>
        <v/>
      </c>
    </row>
    <row r="247" customFormat="false" ht="15" hidden="false" customHeight="true" outlineLevel="0" collapsed="false">
      <c r="J247" s="21" t="b">
        <f aca="false">IF(예약내역!$A244="",FALSE(),AND(예약내역!$A244=$B$3,예약내역!$J244&lt;&gt;"취소"))</f>
        <v>0</v>
      </c>
      <c r="K247" s="5" t="str">
        <f aca="false">IF($J247=FALSE(),"",예약내역!$L244*10000+ROW())</f>
        <v/>
      </c>
      <c r="L247" s="5" t="str">
        <f aca="false">IF($K247="","",RANK($K247,$K$6:$K$2005,1))</f>
        <v/>
      </c>
    </row>
    <row r="248" customFormat="false" ht="15" hidden="false" customHeight="true" outlineLevel="0" collapsed="false">
      <c r="J248" s="21" t="b">
        <f aca="false">IF(예약내역!$A245="",FALSE(),AND(예약내역!$A245=$B$3,예약내역!$J245&lt;&gt;"취소"))</f>
        <v>0</v>
      </c>
      <c r="K248" s="5" t="str">
        <f aca="false">IF($J248=FALSE(),"",예약내역!$L245*10000+ROW())</f>
        <v/>
      </c>
      <c r="L248" s="5" t="str">
        <f aca="false">IF($K248="","",RANK($K248,$K$6:$K$2005,1))</f>
        <v/>
      </c>
    </row>
    <row r="249" customFormat="false" ht="15" hidden="false" customHeight="true" outlineLevel="0" collapsed="false">
      <c r="J249" s="21" t="b">
        <f aca="false">IF(예약내역!$A246="",FALSE(),AND(예약내역!$A246=$B$3,예약내역!$J246&lt;&gt;"취소"))</f>
        <v>0</v>
      </c>
      <c r="K249" s="5" t="str">
        <f aca="false">IF($J249=FALSE(),"",예약내역!$L246*10000+ROW())</f>
        <v/>
      </c>
      <c r="L249" s="5" t="str">
        <f aca="false">IF($K249="","",RANK($K249,$K$6:$K$2005,1))</f>
        <v/>
      </c>
    </row>
    <row r="250" customFormat="false" ht="15" hidden="false" customHeight="true" outlineLevel="0" collapsed="false">
      <c r="J250" s="21" t="b">
        <f aca="false">IF(예약내역!$A247="",FALSE(),AND(예약내역!$A247=$B$3,예약내역!$J247&lt;&gt;"취소"))</f>
        <v>0</v>
      </c>
      <c r="K250" s="5" t="str">
        <f aca="false">IF($J250=FALSE(),"",예약내역!$L247*10000+ROW())</f>
        <v/>
      </c>
      <c r="L250" s="5" t="str">
        <f aca="false">IF($K250="","",RANK($K250,$K$6:$K$2005,1))</f>
        <v/>
      </c>
    </row>
    <row r="251" customFormat="false" ht="15" hidden="false" customHeight="true" outlineLevel="0" collapsed="false">
      <c r="J251" s="21" t="b">
        <f aca="false">IF(예약내역!$A248="",FALSE(),AND(예약내역!$A248=$B$3,예약내역!$J248&lt;&gt;"취소"))</f>
        <v>0</v>
      </c>
      <c r="K251" s="5" t="str">
        <f aca="false">IF($J251=FALSE(),"",예약내역!$L248*10000+ROW())</f>
        <v/>
      </c>
      <c r="L251" s="5" t="str">
        <f aca="false">IF($K251="","",RANK($K251,$K$6:$K$2005,1))</f>
        <v/>
      </c>
    </row>
    <row r="252" customFormat="false" ht="15" hidden="false" customHeight="true" outlineLevel="0" collapsed="false">
      <c r="J252" s="21" t="b">
        <f aca="false">IF(예약내역!$A249="",FALSE(),AND(예약내역!$A249=$B$3,예약내역!$J249&lt;&gt;"취소"))</f>
        <v>0</v>
      </c>
      <c r="K252" s="5" t="str">
        <f aca="false">IF($J252=FALSE(),"",예약내역!$L249*10000+ROW())</f>
        <v/>
      </c>
      <c r="L252" s="5" t="str">
        <f aca="false">IF($K252="","",RANK($K252,$K$6:$K$2005,1))</f>
        <v/>
      </c>
    </row>
    <row r="253" customFormat="false" ht="15" hidden="false" customHeight="true" outlineLevel="0" collapsed="false">
      <c r="J253" s="21" t="b">
        <f aca="false">IF(예약내역!$A250="",FALSE(),AND(예약내역!$A250=$B$3,예약내역!$J250&lt;&gt;"취소"))</f>
        <v>0</v>
      </c>
      <c r="K253" s="5" t="str">
        <f aca="false">IF($J253=FALSE(),"",예약내역!$L250*10000+ROW())</f>
        <v/>
      </c>
      <c r="L253" s="5" t="str">
        <f aca="false">IF($K253="","",RANK($K253,$K$6:$K$2005,1))</f>
        <v/>
      </c>
    </row>
    <row r="254" customFormat="false" ht="15" hidden="false" customHeight="true" outlineLevel="0" collapsed="false">
      <c r="J254" s="21" t="b">
        <f aca="false">IF(예약내역!$A251="",FALSE(),AND(예약내역!$A251=$B$3,예약내역!$J251&lt;&gt;"취소"))</f>
        <v>0</v>
      </c>
      <c r="K254" s="5" t="str">
        <f aca="false">IF($J254=FALSE(),"",예약내역!$L251*10000+ROW())</f>
        <v/>
      </c>
      <c r="L254" s="5" t="str">
        <f aca="false">IF($K254="","",RANK($K254,$K$6:$K$2005,1))</f>
        <v/>
      </c>
    </row>
    <row r="255" customFormat="false" ht="15" hidden="false" customHeight="true" outlineLevel="0" collapsed="false">
      <c r="J255" s="21" t="b">
        <f aca="false">IF(예약내역!$A252="",FALSE(),AND(예약내역!$A252=$B$3,예약내역!$J252&lt;&gt;"취소"))</f>
        <v>0</v>
      </c>
      <c r="K255" s="5" t="str">
        <f aca="false">IF($J255=FALSE(),"",예약내역!$L252*10000+ROW())</f>
        <v/>
      </c>
      <c r="L255" s="5" t="str">
        <f aca="false">IF($K255="","",RANK($K255,$K$6:$K$2005,1))</f>
        <v/>
      </c>
    </row>
    <row r="256" customFormat="false" ht="15" hidden="false" customHeight="true" outlineLevel="0" collapsed="false">
      <c r="J256" s="21" t="b">
        <f aca="false">IF(예약내역!$A253="",FALSE(),AND(예약내역!$A253=$B$3,예약내역!$J253&lt;&gt;"취소"))</f>
        <v>0</v>
      </c>
      <c r="K256" s="5" t="str">
        <f aca="false">IF($J256=FALSE(),"",예약내역!$L253*10000+ROW())</f>
        <v/>
      </c>
      <c r="L256" s="5" t="str">
        <f aca="false">IF($K256="","",RANK($K256,$K$6:$K$2005,1))</f>
        <v/>
      </c>
    </row>
    <row r="257" customFormat="false" ht="15" hidden="false" customHeight="true" outlineLevel="0" collapsed="false">
      <c r="J257" s="21" t="b">
        <f aca="false">IF(예약내역!$A254="",FALSE(),AND(예약내역!$A254=$B$3,예약내역!$J254&lt;&gt;"취소"))</f>
        <v>0</v>
      </c>
      <c r="K257" s="5" t="str">
        <f aca="false">IF($J257=FALSE(),"",예약내역!$L254*10000+ROW())</f>
        <v/>
      </c>
      <c r="L257" s="5" t="str">
        <f aca="false">IF($K257="","",RANK($K257,$K$6:$K$2005,1))</f>
        <v/>
      </c>
    </row>
    <row r="258" customFormat="false" ht="15" hidden="false" customHeight="true" outlineLevel="0" collapsed="false">
      <c r="J258" s="21" t="b">
        <f aca="false">IF(예약내역!$A255="",FALSE(),AND(예약내역!$A255=$B$3,예약내역!$J255&lt;&gt;"취소"))</f>
        <v>0</v>
      </c>
      <c r="K258" s="5" t="str">
        <f aca="false">IF($J258=FALSE(),"",예약내역!$L255*10000+ROW())</f>
        <v/>
      </c>
      <c r="L258" s="5" t="str">
        <f aca="false">IF($K258="","",RANK($K258,$K$6:$K$2005,1))</f>
        <v/>
      </c>
    </row>
    <row r="259" customFormat="false" ht="15" hidden="false" customHeight="true" outlineLevel="0" collapsed="false">
      <c r="J259" s="21" t="b">
        <f aca="false">IF(예약내역!$A256="",FALSE(),AND(예약내역!$A256=$B$3,예약내역!$J256&lt;&gt;"취소"))</f>
        <v>0</v>
      </c>
      <c r="K259" s="5" t="str">
        <f aca="false">IF($J259=FALSE(),"",예약내역!$L256*10000+ROW())</f>
        <v/>
      </c>
      <c r="L259" s="5" t="str">
        <f aca="false">IF($K259="","",RANK($K259,$K$6:$K$2005,1))</f>
        <v/>
      </c>
    </row>
    <row r="260" customFormat="false" ht="15" hidden="false" customHeight="true" outlineLevel="0" collapsed="false">
      <c r="J260" s="21" t="b">
        <f aca="false">IF(예약내역!$A257="",FALSE(),AND(예약내역!$A257=$B$3,예약내역!$J257&lt;&gt;"취소"))</f>
        <v>0</v>
      </c>
      <c r="K260" s="5" t="str">
        <f aca="false">IF($J260=FALSE(),"",예약내역!$L257*10000+ROW())</f>
        <v/>
      </c>
      <c r="L260" s="5" t="str">
        <f aca="false">IF($K260="","",RANK($K260,$K$6:$K$2005,1))</f>
        <v/>
      </c>
    </row>
    <row r="261" customFormat="false" ht="15" hidden="false" customHeight="true" outlineLevel="0" collapsed="false">
      <c r="J261" s="21" t="b">
        <f aca="false">IF(예약내역!$A258="",FALSE(),AND(예약내역!$A258=$B$3,예약내역!$J258&lt;&gt;"취소"))</f>
        <v>0</v>
      </c>
      <c r="K261" s="5" t="str">
        <f aca="false">IF($J261=FALSE(),"",예약내역!$L258*10000+ROW())</f>
        <v/>
      </c>
      <c r="L261" s="5" t="str">
        <f aca="false">IF($K261="","",RANK($K261,$K$6:$K$2005,1))</f>
        <v/>
      </c>
    </row>
    <row r="262" customFormat="false" ht="15" hidden="false" customHeight="true" outlineLevel="0" collapsed="false">
      <c r="J262" s="21" t="b">
        <f aca="false">IF(예약내역!$A259="",FALSE(),AND(예약내역!$A259=$B$3,예약내역!$J259&lt;&gt;"취소"))</f>
        <v>0</v>
      </c>
      <c r="K262" s="5" t="str">
        <f aca="false">IF($J262=FALSE(),"",예약내역!$L259*10000+ROW())</f>
        <v/>
      </c>
      <c r="L262" s="5" t="str">
        <f aca="false">IF($K262="","",RANK($K262,$K$6:$K$2005,1))</f>
        <v/>
      </c>
    </row>
    <row r="263" customFormat="false" ht="15" hidden="false" customHeight="true" outlineLevel="0" collapsed="false">
      <c r="J263" s="21" t="b">
        <f aca="false">IF(예약내역!$A260="",FALSE(),AND(예약내역!$A260=$B$3,예약내역!$J260&lt;&gt;"취소"))</f>
        <v>0</v>
      </c>
      <c r="K263" s="5" t="str">
        <f aca="false">IF($J263=FALSE(),"",예약내역!$L260*10000+ROW())</f>
        <v/>
      </c>
      <c r="L263" s="5" t="str">
        <f aca="false">IF($K263="","",RANK($K263,$K$6:$K$2005,1))</f>
        <v/>
      </c>
    </row>
    <row r="264" customFormat="false" ht="15" hidden="false" customHeight="true" outlineLevel="0" collapsed="false">
      <c r="J264" s="21" t="b">
        <f aca="false">IF(예약내역!$A261="",FALSE(),AND(예약내역!$A261=$B$3,예약내역!$J261&lt;&gt;"취소"))</f>
        <v>0</v>
      </c>
      <c r="K264" s="5" t="str">
        <f aca="false">IF($J264=FALSE(),"",예약내역!$L261*10000+ROW())</f>
        <v/>
      </c>
      <c r="L264" s="5" t="str">
        <f aca="false">IF($K264="","",RANK($K264,$K$6:$K$2005,1))</f>
        <v/>
      </c>
    </row>
    <row r="265" customFormat="false" ht="15" hidden="false" customHeight="true" outlineLevel="0" collapsed="false">
      <c r="J265" s="21" t="b">
        <f aca="false">IF(예약내역!$A262="",FALSE(),AND(예약내역!$A262=$B$3,예약내역!$J262&lt;&gt;"취소"))</f>
        <v>0</v>
      </c>
      <c r="K265" s="5" t="str">
        <f aca="false">IF($J265=FALSE(),"",예약내역!$L262*10000+ROW())</f>
        <v/>
      </c>
      <c r="L265" s="5" t="str">
        <f aca="false">IF($K265="","",RANK($K265,$K$6:$K$2005,1))</f>
        <v/>
      </c>
    </row>
    <row r="266" customFormat="false" ht="15" hidden="false" customHeight="true" outlineLevel="0" collapsed="false">
      <c r="J266" s="21" t="b">
        <f aca="false">IF(예약내역!$A263="",FALSE(),AND(예약내역!$A263=$B$3,예약내역!$J263&lt;&gt;"취소"))</f>
        <v>0</v>
      </c>
      <c r="K266" s="5" t="str">
        <f aca="false">IF($J266=FALSE(),"",예약내역!$L263*10000+ROW())</f>
        <v/>
      </c>
      <c r="L266" s="5" t="str">
        <f aca="false">IF($K266="","",RANK($K266,$K$6:$K$2005,1))</f>
        <v/>
      </c>
    </row>
    <row r="267" customFormat="false" ht="15" hidden="false" customHeight="true" outlineLevel="0" collapsed="false">
      <c r="J267" s="21" t="b">
        <f aca="false">IF(예약내역!$A264="",FALSE(),AND(예약내역!$A264=$B$3,예약내역!$J264&lt;&gt;"취소"))</f>
        <v>0</v>
      </c>
      <c r="K267" s="5" t="str">
        <f aca="false">IF($J267=FALSE(),"",예약내역!$L264*10000+ROW())</f>
        <v/>
      </c>
      <c r="L267" s="5" t="str">
        <f aca="false">IF($K267="","",RANK($K267,$K$6:$K$2005,1))</f>
        <v/>
      </c>
    </row>
    <row r="268" customFormat="false" ht="15" hidden="false" customHeight="true" outlineLevel="0" collapsed="false">
      <c r="J268" s="21" t="b">
        <f aca="false">IF(예약내역!$A265="",FALSE(),AND(예약내역!$A265=$B$3,예약내역!$J265&lt;&gt;"취소"))</f>
        <v>0</v>
      </c>
      <c r="K268" s="5" t="str">
        <f aca="false">IF($J268=FALSE(),"",예약내역!$L265*10000+ROW())</f>
        <v/>
      </c>
      <c r="L268" s="5" t="str">
        <f aca="false">IF($K268="","",RANK($K268,$K$6:$K$2005,1))</f>
        <v/>
      </c>
    </row>
    <row r="269" customFormat="false" ht="15" hidden="false" customHeight="true" outlineLevel="0" collapsed="false">
      <c r="J269" s="21" t="b">
        <f aca="false">IF(예약내역!$A266="",FALSE(),AND(예약내역!$A266=$B$3,예약내역!$J266&lt;&gt;"취소"))</f>
        <v>0</v>
      </c>
      <c r="K269" s="5" t="str">
        <f aca="false">IF($J269=FALSE(),"",예약내역!$L266*10000+ROW())</f>
        <v/>
      </c>
      <c r="L269" s="5" t="str">
        <f aca="false">IF($K269="","",RANK($K269,$K$6:$K$2005,1))</f>
        <v/>
      </c>
    </row>
    <row r="270" customFormat="false" ht="15" hidden="false" customHeight="true" outlineLevel="0" collapsed="false">
      <c r="J270" s="21" t="b">
        <f aca="false">IF(예약내역!$A267="",FALSE(),AND(예약내역!$A267=$B$3,예약내역!$J267&lt;&gt;"취소"))</f>
        <v>0</v>
      </c>
      <c r="K270" s="5" t="str">
        <f aca="false">IF($J270=FALSE(),"",예약내역!$L267*10000+ROW())</f>
        <v/>
      </c>
      <c r="L270" s="5" t="str">
        <f aca="false">IF($K270="","",RANK($K270,$K$6:$K$2005,1))</f>
        <v/>
      </c>
    </row>
    <row r="271" customFormat="false" ht="15" hidden="false" customHeight="true" outlineLevel="0" collapsed="false">
      <c r="J271" s="21" t="b">
        <f aca="false">IF(예약내역!$A268="",FALSE(),AND(예약내역!$A268=$B$3,예약내역!$J268&lt;&gt;"취소"))</f>
        <v>0</v>
      </c>
      <c r="K271" s="5" t="str">
        <f aca="false">IF($J271=FALSE(),"",예약내역!$L268*10000+ROW())</f>
        <v/>
      </c>
      <c r="L271" s="5" t="str">
        <f aca="false">IF($K271="","",RANK($K271,$K$6:$K$2005,1))</f>
        <v/>
      </c>
    </row>
    <row r="272" customFormat="false" ht="15" hidden="false" customHeight="true" outlineLevel="0" collapsed="false">
      <c r="J272" s="21" t="b">
        <f aca="false">IF(예약내역!$A269="",FALSE(),AND(예약내역!$A269=$B$3,예약내역!$J269&lt;&gt;"취소"))</f>
        <v>0</v>
      </c>
      <c r="K272" s="5" t="str">
        <f aca="false">IF($J272=FALSE(),"",예약내역!$L269*10000+ROW())</f>
        <v/>
      </c>
      <c r="L272" s="5" t="str">
        <f aca="false">IF($K272="","",RANK($K272,$K$6:$K$2005,1))</f>
        <v/>
      </c>
    </row>
    <row r="273" customFormat="false" ht="15" hidden="false" customHeight="true" outlineLevel="0" collapsed="false">
      <c r="J273" s="21" t="b">
        <f aca="false">IF(예약내역!$A270="",FALSE(),AND(예약내역!$A270=$B$3,예약내역!$J270&lt;&gt;"취소"))</f>
        <v>0</v>
      </c>
      <c r="K273" s="5" t="str">
        <f aca="false">IF($J273=FALSE(),"",예약내역!$L270*10000+ROW())</f>
        <v/>
      </c>
      <c r="L273" s="5" t="str">
        <f aca="false">IF($K273="","",RANK($K273,$K$6:$K$2005,1))</f>
        <v/>
      </c>
    </row>
    <row r="274" customFormat="false" ht="15" hidden="false" customHeight="true" outlineLevel="0" collapsed="false">
      <c r="J274" s="21" t="b">
        <f aca="false">IF(예약내역!$A271="",FALSE(),AND(예약내역!$A271=$B$3,예약내역!$J271&lt;&gt;"취소"))</f>
        <v>0</v>
      </c>
      <c r="K274" s="5" t="str">
        <f aca="false">IF($J274=FALSE(),"",예약내역!$L271*10000+ROW())</f>
        <v/>
      </c>
      <c r="L274" s="5" t="str">
        <f aca="false">IF($K274="","",RANK($K274,$K$6:$K$2005,1))</f>
        <v/>
      </c>
    </row>
    <row r="275" customFormat="false" ht="15" hidden="false" customHeight="true" outlineLevel="0" collapsed="false">
      <c r="J275" s="21" t="b">
        <f aca="false">IF(예약내역!$A272="",FALSE(),AND(예약내역!$A272=$B$3,예약내역!$J272&lt;&gt;"취소"))</f>
        <v>0</v>
      </c>
      <c r="K275" s="5" t="str">
        <f aca="false">IF($J275=FALSE(),"",예약내역!$L272*10000+ROW())</f>
        <v/>
      </c>
      <c r="L275" s="5" t="str">
        <f aca="false">IF($K275="","",RANK($K275,$K$6:$K$2005,1))</f>
        <v/>
      </c>
    </row>
    <row r="276" customFormat="false" ht="15" hidden="false" customHeight="true" outlineLevel="0" collapsed="false">
      <c r="J276" s="21" t="b">
        <f aca="false">IF(예약내역!$A273="",FALSE(),AND(예약내역!$A273=$B$3,예약내역!$J273&lt;&gt;"취소"))</f>
        <v>0</v>
      </c>
      <c r="K276" s="5" t="str">
        <f aca="false">IF($J276=FALSE(),"",예약내역!$L273*10000+ROW())</f>
        <v/>
      </c>
      <c r="L276" s="5" t="str">
        <f aca="false">IF($K276="","",RANK($K276,$K$6:$K$2005,1))</f>
        <v/>
      </c>
    </row>
    <row r="277" customFormat="false" ht="15" hidden="false" customHeight="true" outlineLevel="0" collapsed="false">
      <c r="J277" s="21" t="b">
        <f aca="false">IF(예약내역!$A274="",FALSE(),AND(예약내역!$A274=$B$3,예약내역!$J274&lt;&gt;"취소"))</f>
        <v>0</v>
      </c>
      <c r="K277" s="5" t="str">
        <f aca="false">IF($J277=FALSE(),"",예약내역!$L274*10000+ROW())</f>
        <v/>
      </c>
      <c r="L277" s="5" t="str">
        <f aca="false">IF($K277="","",RANK($K277,$K$6:$K$2005,1))</f>
        <v/>
      </c>
    </row>
    <row r="278" customFormat="false" ht="15" hidden="false" customHeight="true" outlineLevel="0" collapsed="false">
      <c r="J278" s="21" t="b">
        <f aca="false">IF(예약내역!$A275="",FALSE(),AND(예약내역!$A275=$B$3,예약내역!$J275&lt;&gt;"취소"))</f>
        <v>0</v>
      </c>
      <c r="K278" s="5" t="str">
        <f aca="false">IF($J278=FALSE(),"",예약내역!$L275*10000+ROW())</f>
        <v/>
      </c>
      <c r="L278" s="5" t="str">
        <f aca="false">IF($K278="","",RANK($K278,$K$6:$K$2005,1))</f>
        <v/>
      </c>
    </row>
    <row r="279" customFormat="false" ht="15" hidden="false" customHeight="true" outlineLevel="0" collapsed="false">
      <c r="J279" s="21" t="b">
        <f aca="false">IF(예약내역!$A276="",FALSE(),AND(예약내역!$A276=$B$3,예약내역!$J276&lt;&gt;"취소"))</f>
        <v>0</v>
      </c>
      <c r="K279" s="5" t="str">
        <f aca="false">IF($J279=FALSE(),"",예약내역!$L276*10000+ROW())</f>
        <v/>
      </c>
      <c r="L279" s="5" t="str">
        <f aca="false">IF($K279="","",RANK($K279,$K$6:$K$2005,1))</f>
        <v/>
      </c>
    </row>
    <row r="280" customFormat="false" ht="15" hidden="false" customHeight="true" outlineLevel="0" collapsed="false">
      <c r="J280" s="21" t="b">
        <f aca="false">IF(예약내역!$A277="",FALSE(),AND(예약내역!$A277=$B$3,예약내역!$J277&lt;&gt;"취소"))</f>
        <v>0</v>
      </c>
      <c r="K280" s="5" t="str">
        <f aca="false">IF($J280=FALSE(),"",예약내역!$L277*10000+ROW())</f>
        <v/>
      </c>
      <c r="L280" s="5" t="str">
        <f aca="false">IF($K280="","",RANK($K280,$K$6:$K$2005,1))</f>
        <v/>
      </c>
    </row>
    <row r="281" customFormat="false" ht="15" hidden="false" customHeight="true" outlineLevel="0" collapsed="false">
      <c r="J281" s="21" t="b">
        <f aca="false">IF(예약내역!$A278="",FALSE(),AND(예약내역!$A278=$B$3,예약내역!$J278&lt;&gt;"취소"))</f>
        <v>0</v>
      </c>
      <c r="K281" s="5" t="str">
        <f aca="false">IF($J281=FALSE(),"",예약내역!$L278*10000+ROW())</f>
        <v/>
      </c>
      <c r="L281" s="5" t="str">
        <f aca="false">IF($K281="","",RANK($K281,$K$6:$K$2005,1))</f>
        <v/>
      </c>
    </row>
    <row r="282" customFormat="false" ht="15" hidden="false" customHeight="true" outlineLevel="0" collapsed="false">
      <c r="J282" s="21" t="b">
        <f aca="false">IF(예약내역!$A279="",FALSE(),AND(예약내역!$A279=$B$3,예약내역!$J279&lt;&gt;"취소"))</f>
        <v>0</v>
      </c>
      <c r="K282" s="5" t="str">
        <f aca="false">IF($J282=FALSE(),"",예약내역!$L279*10000+ROW())</f>
        <v/>
      </c>
      <c r="L282" s="5" t="str">
        <f aca="false">IF($K282="","",RANK($K282,$K$6:$K$2005,1))</f>
        <v/>
      </c>
    </row>
    <row r="283" customFormat="false" ht="15" hidden="false" customHeight="true" outlineLevel="0" collapsed="false">
      <c r="J283" s="21" t="b">
        <f aca="false">IF(예약내역!$A280="",FALSE(),AND(예약내역!$A280=$B$3,예약내역!$J280&lt;&gt;"취소"))</f>
        <v>0</v>
      </c>
      <c r="K283" s="5" t="str">
        <f aca="false">IF($J283=FALSE(),"",예약내역!$L280*10000+ROW())</f>
        <v/>
      </c>
      <c r="L283" s="5" t="str">
        <f aca="false">IF($K283="","",RANK($K283,$K$6:$K$2005,1))</f>
        <v/>
      </c>
    </row>
    <row r="284" customFormat="false" ht="15" hidden="false" customHeight="true" outlineLevel="0" collapsed="false">
      <c r="J284" s="21" t="b">
        <f aca="false">IF(예약내역!$A281="",FALSE(),AND(예약내역!$A281=$B$3,예약내역!$J281&lt;&gt;"취소"))</f>
        <v>0</v>
      </c>
      <c r="K284" s="5" t="str">
        <f aca="false">IF($J284=FALSE(),"",예약내역!$L281*10000+ROW())</f>
        <v/>
      </c>
      <c r="L284" s="5" t="str">
        <f aca="false">IF($K284="","",RANK($K284,$K$6:$K$2005,1))</f>
        <v/>
      </c>
    </row>
    <row r="285" customFormat="false" ht="15" hidden="false" customHeight="true" outlineLevel="0" collapsed="false">
      <c r="J285" s="21" t="b">
        <f aca="false">IF(예약내역!$A282="",FALSE(),AND(예약내역!$A282=$B$3,예약내역!$J282&lt;&gt;"취소"))</f>
        <v>0</v>
      </c>
      <c r="K285" s="5" t="str">
        <f aca="false">IF($J285=FALSE(),"",예약내역!$L282*10000+ROW())</f>
        <v/>
      </c>
      <c r="L285" s="5" t="str">
        <f aca="false">IF($K285="","",RANK($K285,$K$6:$K$2005,1))</f>
        <v/>
      </c>
    </row>
    <row r="286" customFormat="false" ht="15" hidden="false" customHeight="true" outlineLevel="0" collapsed="false">
      <c r="J286" s="21" t="b">
        <f aca="false">IF(예약내역!$A283="",FALSE(),AND(예약내역!$A283=$B$3,예약내역!$J283&lt;&gt;"취소"))</f>
        <v>0</v>
      </c>
      <c r="K286" s="5" t="str">
        <f aca="false">IF($J286=FALSE(),"",예약내역!$L283*10000+ROW())</f>
        <v/>
      </c>
      <c r="L286" s="5" t="str">
        <f aca="false">IF($K286="","",RANK($K286,$K$6:$K$2005,1))</f>
        <v/>
      </c>
    </row>
    <row r="287" customFormat="false" ht="15" hidden="false" customHeight="true" outlineLevel="0" collapsed="false">
      <c r="J287" s="21" t="b">
        <f aca="false">IF(예약내역!$A284="",FALSE(),AND(예약내역!$A284=$B$3,예약내역!$J284&lt;&gt;"취소"))</f>
        <v>0</v>
      </c>
      <c r="K287" s="5" t="str">
        <f aca="false">IF($J287=FALSE(),"",예약내역!$L284*10000+ROW())</f>
        <v/>
      </c>
      <c r="L287" s="5" t="str">
        <f aca="false">IF($K287="","",RANK($K287,$K$6:$K$2005,1))</f>
        <v/>
      </c>
    </row>
    <row r="288" customFormat="false" ht="15" hidden="false" customHeight="true" outlineLevel="0" collapsed="false">
      <c r="J288" s="21" t="b">
        <f aca="false">IF(예약내역!$A285="",FALSE(),AND(예약내역!$A285=$B$3,예약내역!$J285&lt;&gt;"취소"))</f>
        <v>0</v>
      </c>
      <c r="K288" s="5" t="str">
        <f aca="false">IF($J288=FALSE(),"",예약내역!$L285*10000+ROW())</f>
        <v/>
      </c>
      <c r="L288" s="5" t="str">
        <f aca="false">IF($K288="","",RANK($K288,$K$6:$K$2005,1))</f>
        <v/>
      </c>
    </row>
    <row r="289" customFormat="false" ht="15" hidden="false" customHeight="true" outlineLevel="0" collapsed="false">
      <c r="J289" s="21" t="b">
        <f aca="false">IF(예약내역!$A286="",FALSE(),AND(예약내역!$A286=$B$3,예약내역!$J286&lt;&gt;"취소"))</f>
        <v>0</v>
      </c>
      <c r="K289" s="5" t="str">
        <f aca="false">IF($J289=FALSE(),"",예약내역!$L286*10000+ROW())</f>
        <v/>
      </c>
      <c r="L289" s="5" t="str">
        <f aca="false">IF($K289="","",RANK($K289,$K$6:$K$2005,1))</f>
        <v/>
      </c>
    </row>
    <row r="290" customFormat="false" ht="15" hidden="false" customHeight="true" outlineLevel="0" collapsed="false">
      <c r="J290" s="21" t="b">
        <f aca="false">IF(예약내역!$A287="",FALSE(),AND(예약내역!$A287=$B$3,예약내역!$J287&lt;&gt;"취소"))</f>
        <v>0</v>
      </c>
      <c r="K290" s="5" t="str">
        <f aca="false">IF($J290=FALSE(),"",예약내역!$L287*10000+ROW())</f>
        <v/>
      </c>
      <c r="L290" s="5" t="str">
        <f aca="false">IF($K290="","",RANK($K290,$K$6:$K$2005,1))</f>
        <v/>
      </c>
    </row>
    <row r="291" customFormat="false" ht="15" hidden="false" customHeight="true" outlineLevel="0" collapsed="false">
      <c r="J291" s="21" t="b">
        <f aca="false">IF(예약내역!$A288="",FALSE(),AND(예약내역!$A288=$B$3,예약내역!$J288&lt;&gt;"취소"))</f>
        <v>0</v>
      </c>
      <c r="K291" s="5" t="str">
        <f aca="false">IF($J291=FALSE(),"",예약내역!$L288*10000+ROW())</f>
        <v/>
      </c>
      <c r="L291" s="5" t="str">
        <f aca="false">IF($K291="","",RANK($K291,$K$6:$K$2005,1))</f>
        <v/>
      </c>
    </row>
    <row r="292" customFormat="false" ht="15" hidden="false" customHeight="true" outlineLevel="0" collapsed="false">
      <c r="J292" s="21" t="b">
        <f aca="false">IF(예약내역!$A289="",FALSE(),AND(예약내역!$A289=$B$3,예약내역!$J289&lt;&gt;"취소"))</f>
        <v>0</v>
      </c>
      <c r="K292" s="5" t="str">
        <f aca="false">IF($J292=FALSE(),"",예약내역!$L289*10000+ROW())</f>
        <v/>
      </c>
      <c r="L292" s="5" t="str">
        <f aca="false">IF($K292="","",RANK($K292,$K$6:$K$2005,1))</f>
        <v/>
      </c>
    </row>
    <row r="293" customFormat="false" ht="15" hidden="false" customHeight="true" outlineLevel="0" collapsed="false">
      <c r="J293" s="21" t="b">
        <f aca="false">IF(예약내역!$A290="",FALSE(),AND(예약내역!$A290=$B$3,예약내역!$J290&lt;&gt;"취소"))</f>
        <v>0</v>
      </c>
      <c r="K293" s="5" t="str">
        <f aca="false">IF($J293=FALSE(),"",예약내역!$L290*10000+ROW())</f>
        <v/>
      </c>
      <c r="L293" s="5" t="str">
        <f aca="false">IF($K293="","",RANK($K293,$K$6:$K$2005,1))</f>
        <v/>
      </c>
    </row>
    <row r="294" customFormat="false" ht="15" hidden="false" customHeight="true" outlineLevel="0" collapsed="false">
      <c r="J294" s="21" t="b">
        <f aca="false">IF(예약내역!$A291="",FALSE(),AND(예약내역!$A291=$B$3,예약내역!$J291&lt;&gt;"취소"))</f>
        <v>0</v>
      </c>
      <c r="K294" s="5" t="str">
        <f aca="false">IF($J294=FALSE(),"",예약내역!$L291*10000+ROW())</f>
        <v/>
      </c>
      <c r="L294" s="5" t="str">
        <f aca="false">IF($K294="","",RANK($K294,$K$6:$K$2005,1))</f>
        <v/>
      </c>
    </row>
    <row r="295" customFormat="false" ht="15" hidden="false" customHeight="true" outlineLevel="0" collapsed="false">
      <c r="J295" s="21" t="b">
        <f aca="false">IF(예약내역!$A292="",FALSE(),AND(예약내역!$A292=$B$3,예약내역!$J292&lt;&gt;"취소"))</f>
        <v>0</v>
      </c>
      <c r="K295" s="5" t="str">
        <f aca="false">IF($J295=FALSE(),"",예약내역!$L292*10000+ROW())</f>
        <v/>
      </c>
      <c r="L295" s="5" t="str">
        <f aca="false">IF($K295="","",RANK($K295,$K$6:$K$2005,1))</f>
        <v/>
      </c>
    </row>
    <row r="296" customFormat="false" ht="15" hidden="false" customHeight="true" outlineLevel="0" collapsed="false">
      <c r="J296" s="21" t="b">
        <f aca="false">IF(예약내역!$A293="",FALSE(),AND(예약내역!$A293=$B$3,예약내역!$J293&lt;&gt;"취소"))</f>
        <v>0</v>
      </c>
      <c r="K296" s="5" t="str">
        <f aca="false">IF($J296=FALSE(),"",예약내역!$L293*10000+ROW())</f>
        <v/>
      </c>
      <c r="L296" s="5" t="str">
        <f aca="false">IF($K296="","",RANK($K296,$K$6:$K$2005,1))</f>
        <v/>
      </c>
    </row>
    <row r="297" customFormat="false" ht="15" hidden="false" customHeight="true" outlineLevel="0" collapsed="false">
      <c r="J297" s="21" t="b">
        <f aca="false">IF(예약내역!$A294="",FALSE(),AND(예약내역!$A294=$B$3,예약내역!$J294&lt;&gt;"취소"))</f>
        <v>0</v>
      </c>
      <c r="K297" s="5" t="str">
        <f aca="false">IF($J297=FALSE(),"",예약내역!$L294*10000+ROW())</f>
        <v/>
      </c>
      <c r="L297" s="5" t="str">
        <f aca="false">IF($K297="","",RANK($K297,$K$6:$K$2005,1))</f>
        <v/>
      </c>
    </row>
    <row r="298" customFormat="false" ht="15" hidden="false" customHeight="true" outlineLevel="0" collapsed="false">
      <c r="J298" s="21" t="b">
        <f aca="false">IF(예약내역!$A295="",FALSE(),AND(예약내역!$A295=$B$3,예약내역!$J295&lt;&gt;"취소"))</f>
        <v>0</v>
      </c>
      <c r="K298" s="5" t="str">
        <f aca="false">IF($J298=FALSE(),"",예약내역!$L295*10000+ROW())</f>
        <v/>
      </c>
      <c r="L298" s="5" t="str">
        <f aca="false">IF($K298="","",RANK($K298,$K$6:$K$2005,1))</f>
        <v/>
      </c>
    </row>
    <row r="299" customFormat="false" ht="15" hidden="false" customHeight="true" outlineLevel="0" collapsed="false">
      <c r="J299" s="21" t="b">
        <f aca="false">IF(예약내역!$A296="",FALSE(),AND(예약내역!$A296=$B$3,예약내역!$J296&lt;&gt;"취소"))</f>
        <v>0</v>
      </c>
      <c r="K299" s="5" t="str">
        <f aca="false">IF($J299=FALSE(),"",예약내역!$L296*10000+ROW())</f>
        <v/>
      </c>
      <c r="L299" s="5" t="str">
        <f aca="false">IF($K299="","",RANK($K299,$K$6:$K$2005,1))</f>
        <v/>
      </c>
    </row>
    <row r="300" customFormat="false" ht="15" hidden="false" customHeight="true" outlineLevel="0" collapsed="false">
      <c r="J300" s="21" t="b">
        <f aca="false">IF(예약내역!$A297="",FALSE(),AND(예약내역!$A297=$B$3,예약내역!$J297&lt;&gt;"취소"))</f>
        <v>0</v>
      </c>
      <c r="K300" s="5" t="str">
        <f aca="false">IF($J300=FALSE(),"",예약내역!$L297*10000+ROW())</f>
        <v/>
      </c>
      <c r="L300" s="5" t="str">
        <f aca="false">IF($K300="","",RANK($K300,$K$6:$K$2005,1))</f>
        <v/>
      </c>
    </row>
    <row r="301" customFormat="false" ht="15" hidden="false" customHeight="true" outlineLevel="0" collapsed="false">
      <c r="J301" s="21" t="b">
        <f aca="false">IF(예약내역!$A298="",FALSE(),AND(예약내역!$A298=$B$3,예약내역!$J298&lt;&gt;"취소"))</f>
        <v>0</v>
      </c>
      <c r="K301" s="5" t="str">
        <f aca="false">IF($J301=FALSE(),"",예약내역!$L298*10000+ROW())</f>
        <v/>
      </c>
      <c r="L301" s="5" t="str">
        <f aca="false">IF($K301="","",RANK($K301,$K$6:$K$2005,1))</f>
        <v/>
      </c>
    </row>
    <row r="302" customFormat="false" ht="15" hidden="false" customHeight="true" outlineLevel="0" collapsed="false">
      <c r="J302" s="21" t="b">
        <f aca="false">IF(예약내역!$A299="",FALSE(),AND(예약내역!$A299=$B$3,예약내역!$J299&lt;&gt;"취소"))</f>
        <v>0</v>
      </c>
      <c r="K302" s="5" t="str">
        <f aca="false">IF($J302=FALSE(),"",예약내역!$L299*10000+ROW())</f>
        <v/>
      </c>
      <c r="L302" s="5" t="str">
        <f aca="false">IF($K302="","",RANK($K302,$K$6:$K$2005,1))</f>
        <v/>
      </c>
    </row>
    <row r="303" customFormat="false" ht="15" hidden="false" customHeight="true" outlineLevel="0" collapsed="false">
      <c r="J303" s="21" t="b">
        <f aca="false">IF(예약내역!$A300="",FALSE(),AND(예약내역!$A300=$B$3,예약내역!$J300&lt;&gt;"취소"))</f>
        <v>0</v>
      </c>
      <c r="K303" s="5" t="str">
        <f aca="false">IF($J303=FALSE(),"",예약내역!$L300*10000+ROW())</f>
        <v/>
      </c>
      <c r="L303" s="5" t="str">
        <f aca="false">IF($K303="","",RANK($K303,$K$6:$K$2005,1))</f>
        <v/>
      </c>
    </row>
    <row r="304" customFormat="false" ht="15" hidden="false" customHeight="true" outlineLevel="0" collapsed="false">
      <c r="J304" s="21" t="b">
        <f aca="false">IF(예약내역!$A301="",FALSE(),AND(예약내역!$A301=$B$3,예약내역!$J301&lt;&gt;"취소"))</f>
        <v>0</v>
      </c>
      <c r="K304" s="5" t="str">
        <f aca="false">IF($J304=FALSE(),"",예약내역!$L301*10000+ROW())</f>
        <v/>
      </c>
      <c r="L304" s="5" t="str">
        <f aca="false">IF($K304="","",RANK($K304,$K$6:$K$2005,1))</f>
        <v/>
      </c>
    </row>
    <row r="305" customFormat="false" ht="15" hidden="false" customHeight="true" outlineLevel="0" collapsed="false">
      <c r="J305" s="21" t="b">
        <f aca="false">IF(예약내역!$A302="",FALSE(),AND(예약내역!$A302=$B$3,예약내역!$J302&lt;&gt;"취소"))</f>
        <v>0</v>
      </c>
      <c r="K305" s="5" t="str">
        <f aca="false">IF($J305=FALSE(),"",예약내역!$L302*10000+ROW())</f>
        <v/>
      </c>
      <c r="L305" s="5" t="str">
        <f aca="false">IF($K305="","",RANK($K305,$K$6:$K$2005,1))</f>
        <v/>
      </c>
    </row>
    <row r="306" customFormat="false" ht="15" hidden="false" customHeight="true" outlineLevel="0" collapsed="false">
      <c r="J306" s="21" t="b">
        <f aca="false">IF(예약내역!$A303="",FALSE(),AND(예약내역!$A303=$B$3,예약내역!$J303&lt;&gt;"취소"))</f>
        <v>0</v>
      </c>
      <c r="K306" s="5" t="str">
        <f aca="false">IF($J306=FALSE(),"",예약내역!$L303*10000+ROW())</f>
        <v/>
      </c>
      <c r="L306" s="5" t="str">
        <f aca="false">IF($K306="","",RANK($K306,$K$6:$K$2005,1))</f>
        <v/>
      </c>
    </row>
    <row r="307" customFormat="false" ht="15" hidden="false" customHeight="true" outlineLevel="0" collapsed="false">
      <c r="J307" s="21" t="b">
        <f aca="false">IF(예약내역!$A304="",FALSE(),AND(예약내역!$A304=$B$3,예약내역!$J304&lt;&gt;"취소"))</f>
        <v>0</v>
      </c>
      <c r="K307" s="5" t="str">
        <f aca="false">IF($J307=FALSE(),"",예약내역!$L304*10000+ROW())</f>
        <v/>
      </c>
      <c r="L307" s="5" t="str">
        <f aca="false">IF($K307="","",RANK($K307,$K$6:$K$2005,1))</f>
        <v/>
      </c>
    </row>
    <row r="308" customFormat="false" ht="15" hidden="false" customHeight="true" outlineLevel="0" collapsed="false">
      <c r="J308" s="21" t="b">
        <f aca="false">IF(예약내역!$A305="",FALSE(),AND(예약내역!$A305=$B$3,예약내역!$J305&lt;&gt;"취소"))</f>
        <v>0</v>
      </c>
      <c r="K308" s="5" t="str">
        <f aca="false">IF($J308=FALSE(),"",예약내역!$L305*10000+ROW())</f>
        <v/>
      </c>
      <c r="L308" s="5" t="str">
        <f aca="false">IF($K308="","",RANK($K308,$K$6:$K$2005,1))</f>
        <v/>
      </c>
    </row>
    <row r="309" customFormat="false" ht="15" hidden="false" customHeight="true" outlineLevel="0" collapsed="false">
      <c r="J309" s="21" t="b">
        <f aca="false">IF(예약내역!$A306="",FALSE(),AND(예약내역!$A306=$B$3,예약내역!$J306&lt;&gt;"취소"))</f>
        <v>0</v>
      </c>
      <c r="K309" s="5" t="str">
        <f aca="false">IF($J309=FALSE(),"",예약내역!$L306*10000+ROW())</f>
        <v/>
      </c>
      <c r="L309" s="5" t="str">
        <f aca="false">IF($K309="","",RANK($K309,$K$6:$K$2005,1))</f>
        <v/>
      </c>
    </row>
    <row r="310" customFormat="false" ht="15" hidden="false" customHeight="true" outlineLevel="0" collapsed="false">
      <c r="J310" s="21" t="b">
        <f aca="false">IF(예약내역!$A307="",FALSE(),AND(예약내역!$A307=$B$3,예약내역!$J307&lt;&gt;"취소"))</f>
        <v>0</v>
      </c>
      <c r="K310" s="5" t="str">
        <f aca="false">IF($J310=FALSE(),"",예약내역!$L307*10000+ROW())</f>
        <v/>
      </c>
      <c r="L310" s="5" t="str">
        <f aca="false">IF($K310="","",RANK($K310,$K$6:$K$2005,1))</f>
        <v/>
      </c>
    </row>
    <row r="311" customFormat="false" ht="15" hidden="false" customHeight="true" outlineLevel="0" collapsed="false">
      <c r="J311" s="21" t="b">
        <f aca="false">IF(예약내역!$A308="",FALSE(),AND(예약내역!$A308=$B$3,예약내역!$J308&lt;&gt;"취소"))</f>
        <v>0</v>
      </c>
      <c r="K311" s="5" t="str">
        <f aca="false">IF($J311=FALSE(),"",예약내역!$L308*10000+ROW())</f>
        <v/>
      </c>
      <c r="L311" s="5" t="str">
        <f aca="false">IF($K311="","",RANK($K311,$K$6:$K$2005,1))</f>
        <v/>
      </c>
    </row>
    <row r="312" customFormat="false" ht="15" hidden="false" customHeight="true" outlineLevel="0" collapsed="false">
      <c r="J312" s="21" t="b">
        <f aca="false">IF(예약내역!$A309="",FALSE(),AND(예약내역!$A309=$B$3,예약내역!$J309&lt;&gt;"취소"))</f>
        <v>0</v>
      </c>
      <c r="K312" s="5" t="str">
        <f aca="false">IF($J312=FALSE(),"",예약내역!$L309*10000+ROW())</f>
        <v/>
      </c>
      <c r="L312" s="5" t="str">
        <f aca="false">IF($K312="","",RANK($K312,$K$6:$K$2005,1))</f>
        <v/>
      </c>
    </row>
    <row r="313" customFormat="false" ht="15" hidden="false" customHeight="true" outlineLevel="0" collapsed="false">
      <c r="J313" s="21" t="b">
        <f aca="false">IF(예약내역!$A310="",FALSE(),AND(예약내역!$A310=$B$3,예약내역!$J310&lt;&gt;"취소"))</f>
        <v>0</v>
      </c>
      <c r="K313" s="5" t="str">
        <f aca="false">IF($J313=FALSE(),"",예약내역!$L310*10000+ROW())</f>
        <v/>
      </c>
      <c r="L313" s="5" t="str">
        <f aca="false">IF($K313="","",RANK($K313,$K$6:$K$2005,1))</f>
        <v/>
      </c>
    </row>
    <row r="314" customFormat="false" ht="15" hidden="false" customHeight="true" outlineLevel="0" collapsed="false">
      <c r="J314" s="21" t="b">
        <f aca="false">IF(예약내역!$A311="",FALSE(),AND(예약내역!$A311=$B$3,예약내역!$J311&lt;&gt;"취소"))</f>
        <v>0</v>
      </c>
      <c r="K314" s="5" t="str">
        <f aca="false">IF($J314=FALSE(),"",예약내역!$L311*10000+ROW())</f>
        <v/>
      </c>
      <c r="L314" s="5" t="str">
        <f aca="false">IF($K314="","",RANK($K314,$K$6:$K$2005,1))</f>
        <v/>
      </c>
    </row>
    <row r="315" customFormat="false" ht="15" hidden="false" customHeight="true" outlineLevel="0" collapsed="false">
      <c r="J315" s="21" t="b">
        <f aca="false">IF(예약내역!$A312="",FALSE(),AND(예약내역!$A312=$B$3,예약내역!$J312&lt;&gt;"취소"))</f>
        <v>0</v>
      </c>
      <c r="K315" s="5" t="str">
        <f aca="false">IF($J315=FALSE(),"",예약내역!$L312*10000+ROW())</f>
        <v/>
      </c>
      <c r="L315" s="5" t="str">
        <f aca="false">IF($K315="","",RANK($K315,$K$6:$K$2005,1))</f>
        <v/>
      </c>
    </row>
    <row r="316" customFormat="false" ht="15" hidden="false" customHeight="true" outlineLevel="0" collapsed="false">
      <c r="J316" s="21" t="b">
        <f aca="false">IF(예약내역!$A313="",FALSE(),AND(예약내역!$A313=$B$3,예약내역!$J313&lt;&gt;"취소"))</f>
        <v>0</v>
      </c>
      <c r="K316" s="5" t="str">
        <f aca="false">IF($J316=FALSE(),"",예약내역!$L313*10000+ROW())</f>
        <v/>
      </c>
      <c r="L316" s="5" t="str">
        <f aca="false">IF($K316="","",RANK($K316,$K$6:$K$2005,1))</f>
        <v/>
      </c>
    </row>
    <row r="317" customFormat="false" ht="15" hidden="false" customHeight="true" outlineLevel="0" collapsed="false">
      <c r="J317" s="21" t="b">
        <f aca="false">IF(예약내역!$A314="",FALSE(),AND(예약내역!$A314=$B$3,예약내역!$J314&lt;&gt;"취소"))</f>
        <v>0</v>
      </c>
      <c r="K317" s="5" t="str">
        <f aca="false">IF($J317=FALSE(),"",예약내역!$L314*10000+ROW())</f>
        <v/>
      </c>
      <c r="L317" s="5" t="str">
        <f aca="false">IF($K317="","",RANK($K317,$K$6:$K$2005,1))</f>
        <v/>
      </c>
    </row>
    <row r="318" customFormat="false" ht="15" hidden="false" customHeight="true" outlineLevel="0" collapsed="false">
      <c r="J318" s="21" t="b">
        <f aca="false">IF(예약내역!$A315="",FALSE(),AND(예약내역!$A315=$B$3,예약내역!$J315&lt;&gt;"취소"))</f>
        <v>0</v>
      </c>
      <c r="K318" s="5" t="str">
        <f aca="false">IF($J318=FALSE(),"",예약내역!$L315*10000+ROW())</f>
        <v/>
      </c>
      <c r="L318" s="5" t="str">
        <f aca="false">IF($K318="","",RANK($K318,$K$6:$K$2005,1))</f>
        <v/>
      </c>
    </row>
    <row r="319" customFormat="false" ht="15" hidden="false" customHeight="true" outlineLevel="0" collapsed="false">
      <c r="J319" s="21" t="b">
        <f aca="false">IF(예약내역!$A316="",FALSE(),AND(예약내역!$A316=$B$3,예약내역!$J316&lt;&gt;"취소"))</f>
        <v>0</v>
      </c>
      <c r="K319" s="5" t="str">
        <f aca="false">IF($J319=FALSE(),"",예약내역!$L316*10000+ROW())</f>
        <v/>
      </c>
      <c r="L319" s="5" t="str">
        <f aca="false">IF($K319="","",RANK($K319,$K$6:$K$2005,1))</f>
        <v/>
      </c>
    </row>
    <row r="320" customFormat="false" ht="15" hidden="false" customHeight="true" outlineLevel="0" collapsed="false">
      <c r="J320" s="21" t="b">
        <f aca="false">IF(예약내역!$A317="",FALSE(),AND(예약내역!$A317=$B$3,예약내역!$J317&lt;&gt;"취소"))</f>
        <v>0</v>
      </c>
      <c r="K320" s="5" t="str">
        <f aca="false">IF($J320=FALSE(),"",예약내역!$L317*10000+ROW())</f>
        <v/>
      </c>
      <c r="L320" s="5" t="str">
        <f aca="false">IF($K320="","",RANK($K320,$K$6:$K$2005,1))</f>
        <v/>
      </c>
    </row>
    <row r="321" customFormat="false" ht="15" hidden="false" customHeight="true" outlineLevel="0" collapsed="false">
      <c r="J321" s="21" t="b">
        <f aca="false">IF(예약내역!$A318="",FALSE(),AND(예약내역!$A318=$B$3,예약내역!$J318&lt;&gt;"취소"))</f>
        <v>0</v>
      </c>
      <c r="K321" s="5" t="str">
        <f aca="false">IF($J321=FALSE(),"",예약내역!$L318*10000+ROW())</f>
        <v/>
      </c>
      <c r="L321" s="5" t="str">
        <f aca="false">IF($K321="","",RANK($K321,$K$6:$K$2005,1))</f>
        <v/>
      </c>
    </row>
    <row r="322" customFormat="false" ht="15" hidden="false" customHeight="true" outlineLevel="0" collapsed="false">
      <c r="J322" s="21" t="b">
        <f aca="false">IF(예약내역!$A319="",FALSE(),AND(예약내역!$A319=$B$3,예약내역!$J319&lt;&gt;"취소"))</f>
        <v>0</v>
      </c>
      <c r="K322" s="5" t="str">
        <f aca="false">IF($J322=FALSE(),"",예약내역!$L319*10000+ROW())</f>
        <v/>
      </c>
      <c r="L322" s="5" t="str">
        <f aca="false">IF($K322="","",RANK($K322,$K$6:$K$2005,1))</f>
        <v/>
      </c>
    </row>
    <row r="323" customFormat="false" ht="15" hidden="false" customHeight="true" outlineLevel="0" collapsed="false">
      <c r="J323" s="21" t="b">
        <f aca="false">IF(예약내역!$A320="",FALSE(),AND(예약내역!$A320=$B$3,예약내역!$J320&lt;&gt;"취소"))</f>
        <v>0</v>
      </c>
      <c r="K323" s="5" t="str">
        <f aca="false">IF($J323=FALSE(),"",예약내역!$L320*10000+ROW())</f>
        <v/>
      </c>
      <c r="L323" s="5" t="str">
        <f aca="false">IF($K323="","",RANK($K323,$K$6:$K$2005,1))</f>
        <v/>
      </c>
    </row>
    <row r="324" customFormat="false" ht="15" hidden="false" customHeight="true" outlineLevel="0" collapsed="false">
      <c r="J324" s="21" t="b">
        <f aca="false">IF(예약내역!$A321="",FALSE(),AND(예약내역!$A321=$B$3,예약내역!$J321&lt;&gt;"취소"))</f>
        <v>0</v>
      </c>
      <c r="K324" s="5" t="str">
        <f aca="false">IF($J324=FALSE(),"",예약내역!$L321*10000+ROW())</f>
        <v/>
      </c>
      <c r="L324" s="5" t="str">
        <f aca="false">IF($K324="","",RANK($K324,$K$6:$K$2005,1))</f>
        <v/>
      </c>
    </row>
    <row r="325" customFormat="false" ht="15" hidden="false" customHeight="true" outlineLevel="0" collapsed="false">
      <c r="J325" s="21" t="b">
        <f aca="false">IF(예약내역!$A322="",FALSE(),AND(예약내역!$A322=$B$3,예약내역!$J322&lt;&gt;"취소"))</f>
        <v>0</v>
      </c>
      <c r="K325" s="5" t="str">
        <f aca="false">IF($J325=FALSE(),"",예약내역!$L322*10000+ROW())</f>
        <v/>
      </c>
      <c r="L325" s="5" t="str">
        <f aca="false">IF($K325="","",RANK($K325,$K$6:$K$2005,1))</f>
        <v/>
      </c>
    </row>
    <row r="326" customFormat="false" ht="15" hidden="false" customHeight="true" outlineLevel="0" collapsed="false">
      <c r="J326" s="21" t="b">
        <f aca="false">IF(예약내역!$A323="",FALSE(),AND(예약내역!$A323=$B$3,예약내역!$J323&lt;&gt;"취소"))</f>
        <v>0</v>
      </c>
      <c r="K326" s="5" t="str">
        <f aca="false">IF($J326=FALSE(),"",예약내역!$L323*10000+ROW())</f>
        <v/>
      </c>
      <c r="L326" s="5" t="str">
        <f aca="false">IF($K326="","",RANK($K326,$K$6:$K$2005,1))</f>
        <v/>
      </c>
    </row>
    <row r="327" customFormat="false" ht="15" hidden="false" customHeight="true" outlineLevel="0" collapsed="false">
      <c r="J327" s="21" t="b">
        <f aca="false">IF(예약내역!$A324="",FALSE(),AND(예약내역!$A324=$B$3,예약내역!$J324&lt;&gt;"취소"))</f>
        <v>0</v>
      </c>
      <c r="K327" s="5" t="str">
        <f aca="false">IF($J327=FALSE(),"",예약내역!$L324*10000+ROW())</f>
        <v/>
      </c>
      <c r="L327" s="5" t="str">
        <f aca="false">IF($K327="","",RANK($K327,$K$6:$K$2005,1))</f>
        <v/>
      </c>
    </row>
    <row r="328" customFormat="false" ht="15" hidden="false" customHeight="true" outlineLevel="0" collapsed="false">
      <c r="J328" s="21" t="b">
        <f aca="false">IF(예약내역!$A325="",FALSE(),AND(예약내역!$A325=$B$3,예약내역!$J325&lt;&gt;"취소"))</f>
        <v>0</v>
      </c>
      <c r="K328" s="5" t="str">
        <f aca="false">IF($J328=FALSE(),"",예약내역!$L325*10000+ROW())</f>
        <v/>
      </c>
      <c r="L328" s="5" t="str">
        <f aca="false">IF($K328="","",RANK($K328,$K$6:$K$2005,1))</f>
        <v/>
      </c>
    </row>
    <row r="329" customFormat="false" ht="15" hidden="false" customHeight="true" outlineLevel="0" collapsed="false">
      <c r="J329" s="21" t="b">
        <f aca="false">IF(예약내역!$A326="",FALSE(),AND(예약내역!$A326=$B$3,예약내역!$J326&lt;&gt;"취소"))</f>
        <v>0</v>
      </c>
      <c r="K329" s="5" t="str">
        <f aca="false">IF($J329=FALSE(),"",예약내역!$L326*10000+ROW())</f>
        <v/>
      </c>
      <c r="L329" s="5" t="str">
        <f aca="false">IF($K329="","",RANK($K329,$K$6:$K$2005,1))</f>
        <v/>
      </c>
    </row>
    <row r="330" customFormat="false" ht="15" hidden="false" customHeight="true" outlineLevel="0" collapsed="false">
      <c r="J330" s="21" t="b">
        <f aca="false">IF(예약내역!$A327="",FALSE(),AND(예약내역!$A327=$B$3,예약내역!$J327&lt;&gt;"취소"))</f>
        <v>0</v>
      </c>
      <c r="K330" s="5" t="str">
        <f aca="false">IF($J330=FALSE(),"",예약내역!$L327*10000+ROW())</f>
        <v/>
      </c>
      <c r="L330" s="5" t="str">
        <f aca="false">IF($K330="","",RANK($K330,$K$6:$K$2005,1))</f>
        <v/>
      </c>
    </row>
    <row r="331" customFormat="false" ht="15" hidden="false" customHeight="true" outlineLevel="0" collapsed="false">
      <c r="J331" s="21" t="b">
        <f aca="false">IF(예약내역!$A328="",FALSE(),AND(예약내역!$A328=$B$3,예약내역!$J328&lt;&gt;"취소"))</f>
        <v>0</v>
      </c>
      <c r="K331" s="5" t="str">
        <f aca="false">IF($J331=FALSE(),"",예약내역!$L328*10000+ROW())</f>
        <v/>
      </c>
      <c r="L331" s="5" t="str">
        <f aca="false">IF($K331="","",RANK($K331,$K$6:$K$2005,1))</f>
        <v/>
      </c>
    </row>
    <row r="332" customFormat="false" ht="15" hidden="false" customHeight="true" outlineLevel="0" collapsed="false">
      <c r="J332" s="21" t="b">
        <f aca="false">IF(예약내역!$A329="",FALSE(),AND(예약내역!$A329=$B$3,예약내역!$J329&lt;&gt;"취소"))</f>
        <v>0</v>
      </c>
      <c r="K332" s="5" t="str">
        <f aca="false">IF($J332=FALSE(),"",예약내역!$L329*10000+ROW())</f>
        <v/>
      </c>
      <c r="L332" s="5" t="str">
        <f aca="false">IF($K332="","",RANK($K332,$K$6:$K$2005,1))</f>
        <v/>
      </c>
    </row>
    <row r="333" customFormat="false" ht="15" hidden="false" customHeight="true" outlineLevel="0" collapsed="false">
      <c r="J333" s="21" t="b">
        <f aca="false">IF(예약내역!$A330="",FALSE(),AND(예약내역!$A330=$B$3,예약내역!$J330&lt;&gt;"취소"))</f>
        <v>0</v>
      </c>
      <c r="K333" s="5" t="str">
        <f aca="false">IF($J333=FALSE(),"",예약내역!$L330*10000+ROW())</f>
        <v/>
      </c>
      <c r="L333" s="5" t="str">
        <f aca="false">IF($K333="","",RANK($K333,$K$6:$K$2005,1))</f>
        <v/>
      </c>
    </row>
    <row r="334" customFormat="false" ht="15" hidden="false" customHeight="true" outlineLevel="0" collapsed="false">
      <c r="J334" s="21" t="b">
        <f aca="false">IF(예약내역!$A331="",FALSE(),AND(예약내역!$A331=$B$3,예약내역!$J331&lt;&gt;"취소"))</f>
        <v>0</v>
      </c>
      <c r="K334" s="5" t="str">
        <f aca="false">IF($J334=FALSE(),"",예약내역!$L331*10000+ROW())</f>
        <v/>
      </c>
      <c r="L334" s="5" t="str">
        <f aca="false">IF($K334="","",RANK($K334,$K$6:$K$2005,1))</f>
        <v/>
      </c>
    </row>
    <row r="335" customFormat="false" ht="15" hidden="false" customHeight="true" outlineLevel="0" collapsed="false">
      <c r="J335" s="21" t="b">
        <f aca="false">IF(예약내역!$A332="",FALSE(),AND(예약내역!$A332=$B$3,예약내역!$J332&lt;&gt;"취소"))</f>
        <v>0</v>
      </c>
      <c r="K335" s="5" t="str">
        <f aca="false">IF($J335=FALSE(),"",예약내역!$L332*10000+ROW())</f>
        <v/>
      </c>
      <c r="L335" s="5" t="str">
        <f aca="false">IF($K335="","",RANK($K335,$K$6:$K$2005,1))</f>
        <v/>
      </c>
    </row>
    <row r="336" customFormat="false" ht="15" hidden="false" customHeight="true" outlineLevel="0" collapsed="false">
      <c r="J336" s="21" t="b">
        <f aca="false">IF(예약내역!$A333="",FALSE(),AND(예약내역!$A333=$B$3,예약내역!$J333&lt;&gt;"취소"))</f>
        <v>0</v>
      </c>
      <c r="K336" s="5" t="str">
        <f aca="false">IF($J336=FALSE(),"",예약내역!$L333*10000+ROW())</f>
        <v/>
      </c>
      <c r="L336" s="5" t="str">
        <f aca="false">IF($K336="","",RANK($K336,$K$6:$K$2005,1))</f>
        <v/>
      </c>
    </row>
    <row r="337" customFormat="false" ht="15" hidden="false" customHeight="true" outlineLevel="0" collapsed="false">
      <c r="J337" s="21" t="b">
        <f aca="false">IF(예약내역!$A334="",FALSE(),AND(예약내역!$A334=$B$3,예약내역!$J334&lt;&gt;"취소"))</f>
        <v>0</v>
      </c>
      <c r="K337" s="5" t="str">
        <f aca="false">IF($J337=FALSE(),"",예약내역!$L334*10000+ROW())</f>
        <v/>
      </c>
      <c r="L337" s="5" t="str">
        <f aca="false">IF($K337="","",RANK($K337,$K$6:$K$2005,1))</f>
        <v/>
      </c>
    </row>
    <row r="338" customFormat="false" ht="15" hidden="false" customHeight="true" outlineLevel="0" collapsed="false">
      <c r="J338" s="21" t="b">
        <f aca="false">IF(예약내역!$A335="",FALSE(),AND(예약내역!$A335=$B$3,예약내역!$J335&lt;&gt;"취소"))</f>
        <v>0</v>
      </c>
      <c r="K338" s="5" t="str">
        <f aca="false">IF($J338=FALSE(),"",예약내역!$L335*10000+ROW())</f>
        <v/>
      </c>
      <c r="L338" s="5" t="str">
        <f aca="false">IF($K338="","",RANK($K338,$K$6:$K$2005,1))</f>
        <v/>
      </c>
    </row>
    <row r="339" customFormat="false" ht="15" hidden="false" customHeight="true" outlineLevel="0" collapsed="false">
      <c r="J339" s="21" t="b">
        <f aca="false">IF(예약내역!$A336="",FALSE(),AND(예약내역!$A336=$B$3,예약내역!$J336&lt;&gt;"취소"))</f>
        <v>0</v>
      </c>
      <c r="K339" s="5" t="str">
        <f aca="false">IF($J339=FALSE(),"",예약내역!$L336*10000+ROW())</f>
        <v/>
      </c>
      <c r="L339" s="5" t="str">
        <f aca="false">IF($K339="","",RANK($K339,$K$6:$K$2005,1))</f>
        <v/>
      </c>
    </row>
    <row r="340" customFormat="false" ht="15" hidden="false" customHeight="true" outlineLevel="0" collapsed="false">
      <c r="J340" s="21" t="b">
        <f aca="false">IF(예약내역!$A337="",FALSE(),AND(예약내역!$A337=$B$3,예약내역!$J337&lt;&gt;"취소"))</f>
        <v>0</v>
      </c>
      <c r="K340" s="5" t="str">
        <f aca="false">IF($J340=FALSE(),"",예약내역!$L337*10000+ROW())</f>
        <v/>
      </c>
      <c r="L340" s="5" t="str">
        <f aca="false">IF($K340="","",RANK($K340,$K$6:$K$2005,1))</f>
        <v/>
      </c>
    </row>
    <row r="341" customFormat="false" ht="15" hidden="false" customHeight="true" outlineLevel="0" collapsed="false">
      <c r="J341" s="21" t="b">
        <f aca="false">IF(예약내역!$A338="",FALSE(),AND(예약내역!$A338=$B$3,예약내역!$J338&lt;&gt;"취소"))</f>
        <v>0</v>
      </c>
      <c r="K341" s="5" t="str">
        <f aca="false">IF($J341=FALSE(),"",예약내역!$L338*10000+ROW())</f>
        <v/>
      </c>
      <c r="L341" s="5" t="str">
        <f aca="false">IF($K341="","",RANK($K341,$K$6:$K$2005,1))</f>
        <v/>
      </c>
    </row>
    <row r="342" customFormat="false" ht="15" hidden="false" customHeight="true" outlineLevel="0" collapsed="false">
      <c r="J342" s="21" t="b">
        <f aca="false">IF(예약내역!$A339="",FALSE(),AND(예약내역!$A339=$B$3,예약내역!$J339&lt;&gt;"취소"))</f>
        <v>0</v>
      </c>
      <c r="K342" s="5" t="str">
        <f aca="false">IF($J342=FALSE(),"",예약내역!$L339*10000+ROW())</f>
        <v/>
      </c>
      <c r="L342" s="5" t="str">
        <f aca="false">IF($K342="","",RANK($K342,$K$6:$K$2005,1))</f>
        <v/>
      </c>
    </row>
    <row r="343" customFormat="false" ht="15" hidden="false" customHeight="true" outlineLevel="0" collapsed="false">
      <c r="J343" s="21" t="b">
        <f aca="false">IF(예약내역!$A340="",FALSE(),AND(예약내역!$A340=$B$3,예약내역!$J340&lt;&gt;"취소"))</f>
        <v>0</v>
      </c>
      <c r="K343" s="5" t="str">
        <f aca="false">IF($J343=FALSE(),"",예약내역!$L340*10000+ROW())</f>
        <v/>
      </c>
      <c r="L343" s="5" t="str">
        <f aca="false">IF($K343="","",RANK($K343,$K$6:$K$2005,1))</f>
        <v/>
      </c>
    </row>
    <row r="344" customFormat="false" ht="15" hidden="false" customHeight="true" outlineLevel="0" collapsed="false">
      <c r="J344" s="21" t="b">
        <f aca="false">IF(예약내역!$A341="",FALSE(),AND(예약내역!$A341=$B$3,예약내역!$J341&lt;&gt;"취소"))</f>
        <v>0</v>
      </c>
      <c r="K344" s="5" t="str">
        <f aca="false">IF($J344=FALSE(),"",예약내역!$L341*10000+ROW())</f>
        <v/>
      </c>
      <c r="L344" s="5" t="str">
        <f aca="false">IF($K344="","",RANK($K344,$K$6:$K$2005,1))</f>
        <v/>
      </c>
    </row>
    <row r="345" customFormat="false" ht="15" hidden="false" customHeight="true" outlineLevel="0" collapsed="false">
      <c r="J345" s="21" t="b">
        <f aca="false">IF(예약내역!$A342="",FALSE(),AND(예약내역!$A342=$B$3,예약내역!$J342&lt;&gt;"취소"))</f>
        <v>0</v>
      </c>
      <c r="K345" s="5" t="str">
        <f aca="false">IF($J345=FALSE(),"",예약내역!$L342*10000+ROW())</f>
        <v/>
      </c>
      <c r="L345" s="5" t="str">
        <f aca="false">IF($K345="","",RANK($K345,$K$6:$K$2005,1))</f>
        <v/>
      </c>
    </row>
    <row r="346" customFormat="false" ht="15" hidden="false" customHeight="true" outlineLevel="0" collapsed="false">
      <c r="J346" s="21" t="b">
        <f aca="false">IF(예약내역!$A343="",FALSE(),AND(예약내역!$A343=$B$3,예약내역!$J343&lt;&gt;"취소"))</f>
        <v>0</v>
      </c>
      <c r="K346" s="5" t="str">
        <f aca="false">IF($J346=FALSE(),"",예약내역!$L343*10000+ROW())</f>
        <v/>
      </c>
      <c r="L346" s="5" t="str">
        <f aca="false">IF($K346="","",RANK($K346,$K$6:$K$2005,1))</f>
        <v/>
      </c>
    </row>
    <row r="347" customFormat="false" ht="15" hidden="false" customHeight="true" outlineLevel="0" collapsed="false">
      <c r="J347" s="21" t="b">
        <f aca="false">IF(예약내역!$A344="",FALSE(),AND(예약내역!$A344=$B$3,예약내역!$J344&lt;&gt;"취소"))</f>
        <v>0</v>
      </c>
      <c r="K347" s="5" t="str">
        <f aca="false">IF($J347=FALSE(),"",예약내역!$L344*10000+ROW())</f>
        <v/>
      </c>
      <c r="L347" s="5" t="str">
        <f aca="false">IF($K347="","",RANK($K347,$K$6:$K$2005,1))</f>
        <v/>
      </c>
    </row>
    <row r="348" customFormat="false" ht="15" hidden="false" customHeight="true" outlineLevel="0" collapsed="false">
      <c r="J348" s="21" t="b">
        <f aca="false">IF(예약내역!$A345="",FALSE(),AND(예약내역!$A345=$B$3,예약내역!$J345&lt;&gt;"취소"))</f>
        <v>0</v>
      </c>
      <c r="K348" s="5" t="str">
        <f aca="false">IF($J348=FALSE(),"",예약내역!$L345*10000+ROW())</f>
        <v/>
      </c>
      <c r="L348" s="5" t="str">
        <f aca="false">IF($K348="","",RANK($K348,$K$6:$K$2005,1))</f>
        <v/>
      </c>
    </row>
    <row r="349" customFormat="false" ht="15" hidden="false" customHeight="true" outlineLevel="0" collapsed="false">
      <c r="J349" s="21" t="b">
        <f aca="false">IF(예약내역!$A346="",FALSE(),AND(예약내역!$A346=$B$3,예약내역!$J346&lt;&gt;"취소"))</f>
        <v>0</v>
      </c>
      <c r="K349" s="5" t="str">
        <f aca="false">IF($J349=FALSE(),"",예약내역!$L346*10000+ROW())</f>
        <v/>
      </c>
      <c r="L349" s="5" t="str">
        <f aca="false">IF($K349="","",RANK($K349,$K$6:$K$2005,1))</f>
        <v/>
      </c>
    </row>
    <row r="350" customFormat="false" ht="15" hidden="false" customHeight="true" outlineLevel="0" collapsed="false">
      <c r="J350" s="21" t="b">
        <f aca="false">IF(예약내역!$A347="",FALSE(),AND(예약내역!$A347=$B$3,예약내역!$J347&lt;&gt;"취소"))</f>
        <v>0</v>
      </c>
      <c r="K350" s="5" t="str">
        <f aca="false">IF($J350=FALSE(),"",예약내역!$L347*10000+ROW())</f>
        <v/>
      </c>
      <c r="L350" s="5" t="str">
        <f aca="false">IF($K350="","",RANK($K350,$K$6:$K$2005,1))</f>
        <v/>
      </c>
    </row>
    <row r="351" customFormat="false" ht="15" hidden="false" customHeight="true" outlineLevel="0" collapsed="false">
      <c r="J351" s="21" t="b">
        <f aca="false">IF(예약내역!$A348="",FALSE(),AND(예약내역!$A348=$B$3,예약내역!$J348&lt;&gt;"취소"))</f>
        <v>0</v>
      </c>
      <c r="K351" s="5" t="str">
        <f aca="false">IF($J351=FALSE(),"",예약내역!$L348*10000+ROW())</f>
        <v/>
      </c>
      <c r="L351" s="5" t="str">
        <f aca="false">IF($K351="","",RANK($K351,$K$6:$K$2005,1))</f>
        <v/>
      </c>
    </row>
    <row r="352" customFormat="false" ht="15" hidden="false" customHeight="true" outlineLevel="0" collapsed="false">
      <c r="J352" s="21" t="b">
        <f aca="false">IF(예약내역!$A349="",FALSE(),AND(예약내역!$A349=$B$3,예약내역!$J349&lt;&gt;"취소"))</f>
        <v>0</v>
      </c>
      <c r="K352" s="5" t="str">
        <f aca="false">IF($J352=FALSE(),"",예약내역!$L349*10000+ROW())</f>
        <v/>
      </c>
      <c r="L352" s="5" t="str">
        <f aca="false">IF($K352="","",RANK($K352,$K$6:$K$2005,1))</f>
        <v/>
      </c>
    </row>
    <row r="353" customFormat="false" ht="15" hidden="false" customHeight="true" outlineLevel="0" collapsed="false">
      <c r="J353" s="21" t="b">
        <f aca="false">IF(예약내역!$A350="",FALSE(),AND(예약내역!$A350=$B$3,예약내역!$J350&lt;&gt;"취소"))</f>
        <v>0</v>
      </c>
      <c r="K353" s="5" t="str">
        <f aca="false">IF($J353=FALSE(),"",예약내역!$L350*10000+ROW())</f>
        <v/>
      </c>
      <c r="L353" s="5" t="str">
        <f aca="false">IF($K353="","",RANK($K353,$K$6:$K$2005,1))</f>
        <v/>
      </c>
    </row>
    <row r="354" customFormat="false" ht="15" hidden="false" customHeight="true" outlineLevel="0" collapsed="false">
      <c r="J354" s="21" t="b">
        <f aca="false">IF(예약내역!$A351="",FALSE(),AND(예약내역!$A351=$B$3,예약내역!$J351&lt;&gt;"취소"))</f>
        <v>0</v>
      </c>
      <c r="K354" s="5" t="str">
        <f aca="false">IF($J354=FALSE(),"",예약내역!$L351*10000+ROW())</f>
        <v/>
      </c>
      <c r="L354" s="5" t="str">
        <f aca="false">IF($K354="","",RANK($K354,$K$6:$K$2005,1))</f>
        <v/>
      </c>
    </row>
    <row r="355" customFormat="false" ht="15" hidden="false" customHeight="true" outlineLevel="0" collapsed="false">
      <c r="J355" s="21" t="b">
        <f aca="false">IF(예약내역!$A352="",FALSE(),AND(예약내역!$A352=$B$3,예약내역!$J352&lt;&gt;"취소"))</f>
        <v>0</v>
      </c>
      <c r="K355" s="5" t="str">
        <f aca="false">IF($J355=FALSE(),"",예약내역!$L352*10000+ROW())</f>
        <v/>
      </c>
      <c r="L355" s="5" t="str">
        <f aca="false">IF($K355="","",RANK($K355,$K$6:$K$2005,1))</f>
        <v/>
      </c>
    </row>
    <row r="356" customFormat="false" ht="15" hidden="false" customHeight="true" outlineLevel="0" collapsed="false">
      <c r="J356" s="21" t="b">
        <f aca="false">IF(예약내역!$A353="",FALSE(),AND(예약내역!$A353=$B$3,예약내역!$J353&lt;&gt;"취소"))</f>
        <v>0</v>
      </c>
      <c r="K356" s="5" t="str">
        <f aca="false">IF($J356=FALSE(),"",예약내역!$L353*10000+ROW())</f>
        <v/>
      </c>
      <c r="L356" s="5" t="str">
        <f aca="false">IF($K356="","",RANK($K356,$K$6:$K$2005,1))</f>
        <v/>
      </c>
    </row>
    <row r="357" customFormat="false" ht="15" hidden="false" customHeight="true" outlineLevel="0" collapsed="false">
      <c r="J357" s="21" t="b">
        <f aca="false">IF(예약내역!$A354="",FALSE(),AND(예약내역!$A354=$B$3,예약내역!$J354&lt;&gt;"취소"))</f>
        <v>0</v>
      </c>
      <c r="K357" s="5" t="str">
        <f aca="false">IF($J357=FALSE(),"",예약내역!$L354*10000+ROW())</f>
        <v/>
      </c>
      <c r="L357" s="5" t="str">
        <f aca="false">IF($K357="","",RANK($K357,$K$6:$K$2005,1))</f>
        <v/>
      </c>
    </row>
    <row r="358" customFormat="false" ht="15" hidden="false" customHeight="true" outlineLevel="0" collapsed="false">
      <c r="J358" s="21" t="b">
        <f aca="false">IF(예약내역!$A355="",FALSE(),AND(예약내역!$A355=$B$3,예약내역!$J355&lt;&gt;"취소"))</f>
        <v>0</v>
      </c>
      <c r="K358" s="5" t="str">
        <f aca="false">IF($J358=FALSE(),"",예약내역!$L355*10000+ROW())</f>
        <v/>
      </c>
      <c r="L358" s="5" t="str">
        <f aca="false">IF($K358="","",RANK($K358,$K$6:$K$2005,1))</f>
        <v/>
      </c>
    </row>
    <row r="359" customFormat="false" ht="15" hidden="false" customHeight="true" outlineLevel="0" collapsed="false">
      <c r="J359" s="21" t="b">
        <f aca="false">IF(예약내역!$A356="",FALSE(),AND(예약내역!$A356=$B$3,예약내역!$J356&lt;&gt;"취소"))</f>
        <v>0</v>
      </c>
      <c r="K359" s="5" t="str">
        <f aca="false">IF($J359=FALSE(),"",예약내역!$L356*10000+ROW())</f>
        <v/>
      </c>
      <c r="L359" s="5" t="str">
        <f aca="false">IF($K359="","",RANK($K359,$K$6:$K$2005,1))</f>
        <v/>
      </c>
    </row>
    <row r="360" customFormat="false" ht="15" hidden="false" customHeight="true" outlineLevel="0" collapsed="false">
      <c r="J360" s="21" t="b">
        <f aca="false">IF(예약내역!$A357="",FALSE(),AND(예약내역!$A357=$B$3,예약내역!$J357&lt;&gt;"취소"))</f>
        <v>0</v>
      </c>
      <c r="K360" s="5" t="str">
        <f aca="false">IF($J360=FALSE(),"",예약내역!$L357*10000+ROW())</f>
        <v/>
      </c>
      <c r="L360" s="5" t="str">
        <f aca="false">IF($K360="","",RANK($K360,$K$6:$K$2005,1))</f>
        <v/>
      </c>
    </row>
    <row r="361" customFormat="false" ht="15" hidden="false" customHeight="true" outlineLevel="0" collapsed="false">
      <c r="J361" s="21" t="b">
        <f aca="false">IF(예약내역!$A358="",FALSE(),AND(예약내역!$A358=$B$3,예약내역!$J358&lt;&gt;"취소"))</f>
        <v>0</v>
      </c>
      <c r="K361" s="5" t="str">
        <f aca="false">IF($J361=FALSE(),"",예약내역!$L358*10000+ROW())</f>
        <v/>
      </c>
      <c r="L361" s="5" t="str">
        <f aca="false">IF($K361="","",RANK($K361,$K$6:$K$2005,1))</f>
        <v/>
      </c>
    </row>
    <row r="362" customFormat="false" ht="15" hidden="false" customHeight="true" outlineLevel="0" collapsed="false">
      <c r="J362" s="21" t="b">
        <f aca="false">IF(예약내역!$A359="",FALSE(),AND(예약내역!$A359=$B$3,예약내역!$J359&lt;&gt;"취소"))</f>
        <v>0</v>
      </c>
      <c r="K362" s="5" t="str">
        <f aca="false">IF($J362=FALSE(),"",예약내역!$L359*10000+ROW())</f>
        <v/>
      </c>
      <c r="L362" s="5" t="str">
        <f aca="false">IF($K362="","",RANK($K362,$K$6:$K$2005,1))</f>
        <v/>
      </c>
    </row>
    <row r="363" customFormat="false" ht="15" hidden="false" customHeight="true" outlineLevel="0" collapsed="false">
      <c r="J363" s="21" t="b">
        <f aca="false">IF(예약내역!$A360="",FALSE(),AND(예약내역!$A360=$B$3,예약내역!$J360&lt;&gt;"취소"))</f>
        <v>0</v>
      </c>
      <c r="K363" s="5" t="str">
        <f aca="false">IF($J363=FALSE(),"",예약내역!$L360*10000+ROW())</f>
        <v/>
      </c>
      <c r="L363" s="5" t="str">
        <f aca="false">IF($K363="","",RANK($K363,$K$6:$K$2005,1))</f>
        <v/>
      </c>
    </row>
    <row r="364" customFormat="false" ht="15" hidden="false" customHeight="true" outlineLevel="0" collapsed="false">
      <c r="J364" s="21" t="b">
        <f aca="false">IF(예약내역!$A361="",FALSE(),AND(예약내역!$A361=$B$3,예약내역!$J361&lt;&gt;"취소"))</f>
        <v>0</v>
      </c>
      <c r="K364" s="5" t="str">
        <f aca="false">IF($J364=FALSE(),"",예약내역!$L361*10000+ROW())</f>
        <v/>
      </c>
      <c r="L364" s="5" t="str">
        <f aca="false">IF($K364="","",RANK($K364,$K$6:$K$2005,1))</f>
        <v/>
      </c>
    </row>
    <row r="365" customFormat="false" ht="15" hidden="false" customHeight="true" outlineLevel="0" collapsed="false">
      <c r="J365" s="21" t="b">
        <f aca="false">IF(예약내역!$A362="",FALSE(),AND(예약내역!$A362=$B$3,예약내역!$J362&lt;&gt;"취소"))</f>
        <v>0</v>
      </c>
      <c r="K365" s="5" t="str">
        <f aca="false">IF($J365=FALSE(),"",예약내역!$L362*10000+ROW())</f>
        <v/>
      </c>
      <c r="L365" s="5" t="str">
        <f aca="false">IF($K365="","",RANK($K365,$K$6:$K$2005,1))</f>
        <v/>
      </c>
    </row>
    <row r="366" customFormat="false" ht="15" hidden="false" customHeight="true" outlineLevel="0" collapsed="false">
      <c r="J366" s="21" t="b">
        <f aca="false">IF(예약내역!$A363="",FALSE(),AND(예약내역!$A363=$B$3,예약내역!$J363&lt;&gt;"취소"))</f>
        <v>0</v>
      </c>
      <c r="K366" s="5" t="str">
        <f aca="false">IF($J366=FALSE(),"",예약내역!$L363*10000+ROW())</f>
        <v/>
      </c>
      <c r="L366" s="5" t="str">
        <f aca="false">IF($K366="","",RANK($K366,$K$6:$K$2005,1))</f>
        <v/>
      </c>
    </row>
    <row r="367" customFormat="false" ht="15" hidden="false" customHeight="true" outlineLevel="0" collapsed="false">
      <c r="J367" s="21" t="b">
        <f aca="false">IF(예약내역!$A364="",FALSE(),AND(예약내역!$A364=$B$3,예약내역!$J364&lt;&gt;"취소"))</f>
        <v>0</v>
      </c>
      <c r="K367" s="5" t="str">
        <f aca="false">IF($J367=FALSE(),"",예약내역!$L364*10000+ROW())</f>
        <v/>
      </c>
      <c r="L367" s="5" t="str">
        <f aca="false">IF($K367="","",RANK($K367,$K$6:$K$2005,1))</f>
        <v/>
      </c>
    </row>
    <row r="368" customFormat="false" ht="15" hidden="false" customHeight="true" outlineLevel="0" collapsed="false">
      <c r="J368" s="21" t="b">
        <f aca="false">IF(예약내역!$A365="",FALSE(),AND(예약내역!$A365=$B$3,예약내역!$J365&lt;&gt;"취소"))</f>
        <v>0</v>
      </c>
      <c r="K368" s="5" t="str">
        <f aca="false">IF($J368=FALSE(),"",예약내역!$L365*10000+ROW())</f>
        <v/>
      </c>
      <c r="L368" s="5" t="str">
        <f aca="false">IF($K368="","",RANK($K368,$K$6:$K$2005,1))</f>
        <v/>
      </c>
    </row>
    <row r="369" customFormat="false" ht="15" hidden="false" customHeight="true" outlineLevel="0" collapsed="false">
      <c r="J369" s="21" t="b">
        <f aca="false">IF(예약내역!$A366="",FALSE(),AND(예약내역!$A366=$B$3,예약내역!$J366&lt;&gt;"취소"))</f>
        <v>0</v>
      </c>
      <c r="K369" s="5" t="str">
        <f aca="false">IF($J369=FALSE(),"",예약내역!$L366*10000+ROW())</f>
        <v/>
      </c>
      <c r="L369" s="5" t="str">
        <f aca="false">IF($K369="","",RANK($K369,$K$6:$K$2005,1))</f>
        <v/>
      </c>
    </row>
    <row r="370" customFormat="false" ht="15" hidden="false" customHeight="true" outlineLevel="0" collapsed="false">
      <c r="J370" s="21" t="b">
        <f aca="false">IF(예약내역!$A367="",FALSE(),AND(예약내역!$A367=$B$3,예약내역!$J367&lt;&gt;"취소"))</f>
        <v>0</v>
      </c>
      <c r="K370" s="5" t="str">
        <f aca="false">IF($J370=FALSE(),"",예약내역!$L367*10000+ROW())</f>
        <v/>
      </c>
      <c r="L370" s="5" t="str">
        <f aca="false">IF($K370="","",RANK($K370,$K$6:$K$2005,1))</f>
        <v/>
      </c>
    </row>
    <row r="371" customFormat="false" ht="15" hidden="false" customHeight="true" outlineLevel="0" collapsed="false">
      <c r="J371" s="21" t="b">
        <f aca="false">IF(예약내역!$A368="",FALSE(),AND(예약내역!$A368=$B$3,예약내역!$J368&lt;&gt;"취소"))</f>
        <v>0</v>
      </c>
      <c r="K371" s="5" t="str">
        <f aca="false">IF($J371=FALSE(),"",예약내역!$L368*10000+ROW())</f>
        <v/>
      </c>
      <c r="L371" s="5" t="str">
        <f aca="false">IF($K371="","",RANK($K371,$K$6:$K$2005,1))</f>
        <v/>
      </c>
    </row>
    <row r="372" customFormat="false" ht="15" hidden="false" customHeight="true" outlineLevel="0" collapsed="false">
      <c r="J372" s="21" t="b">
        <f aca="false">IF(예약내역!$A369="",FALSE(),AND(예약내역!$A369=$B$3,예약내역!$J369&lt;&gt;"취소"))</f>
        <v>0</v>
      </c>
      <c r="K372" s="5" t="str">
        <f aca="false">IF($J372=FALSE(),"",예약내역!$L369*10000+ROW())</f>
        <v/>
      </c>
      <c r="L372" s="5" t="str">
        <f aca="false">IF($K372="","",RANK($K372,$K$6:$K$2005,1))</f>
        <v/>
      </c>
    </row>
    <row r="373" customFormat="false" ht="15" hidden="false" customHeight="true" outlineLevel="0" collapsed="false">
      <c r="J373" s="21" t="b">
        <f aca="false">IF(예약내역!$A370="",FALSE(),AND(예약내역!$A370=$B$3,예약내역!$J370&lt;&gt;"취소"))</f>
        <v>0</v>
      </c>
      <c r="K373" s="5" t="str">
        <f aca="false">IF($J373=FALSE(),"",예약내역!$L370*10000+ROW())</f>
        <v/>
      </c>
      <c r="L373" s="5" t="str">
        <f aca="false">IF($K373="","",RANK($K373,$K$6:$K$2005,1))</f>
        <v/>
      </c>
    </row>
    <row r="374" customFormat="false" ht="15" hidden="false" customHeight="true" outlineLevel="0" collapsed="false">
      <c r="J374" s="21" t="b">
        <f aca="false">IF(예약내역!$A371="",FALSE(),AND(예약내역!$A371=$B$3,예약내역!$J371&lt;&gt;"취소"))</f>
        <v>0</v>
      </c>
      <c r="K374" s="5" t="str">
        <f aca="false">IF($J374=FALSE(),"",예약내역!$L371*10000+ROW())</f>
        <v/>
      </c>
      <c r="L374" s="5" t="str">
        <f aca="false">IF($K374="","",RANK($K374,$K$6:$K$2005,1))</f>
        <v/>
      </c>
    </row>
    <row r="375" customFormat="false" ht="15" hidden="false" customHeight="true" outlineLevel="0" collapsed="false">
      <c r="J375" s="21" t="b">
        <f aca="false">IF(예약내역!$A372="",FALSE(),AND(예약내역!$A372=$B$3,예약내역!$J372&lt;&gt;"취소"))</f>
        <v>0</v>
      </c>
      <c r="K375" s="5" t="str">
        <f aca="false">IF($J375=FALSE(),"",예약내역!$L372*10000+ROW())</f>
        <v/>
      </c>
      <c r="L375" s="5" t="str">
        <f aca="false">IF($K375="","",RANK($K375,$K$6:$K$2005,1))</f>
        <v/>
      </c>
    </row>
    <row r="376" customFormat="false" ht="15" hidden="false" customHeight="true" outlineLevel="0" collapsed="false">
      <c r="J376" s="21" t="b">
        <f aca="false">IF(예약내역!$A373="",FALSE(),AND(예약내역!$A373=$B$3,예약내역!$J373&lt;&gt;"취소"))</f>
        <v>0</v>
      </c>
      <c r="K376" s="5" t="str">
        <f aca="false">IF($J376=FALSE(),"",예약내역!$L373*10000+ROW())</f>
        <v/>
      </c>
      <c r="L376" s="5" t="str">
        <f aca="false">IF($K376="","",RANK($K376,$K$6:$K$2005,1))</f>
        <v/>
      </c>
    </row>
    <row r="377" customFormat="false" ht="15" hidden="false" customHeight="true" outlineLevel="0" collapsed="false">
      <c r="J377" s="21" t="b">
        <f aca="false">IF(예약내역!$A374="",FALSE(),AND(예약내역!$A374=$B$3,예약내역!$J374&lt;&gt;"취소"))</f>
        <v>0</v>
      </c>
      <c r="K377" s="5" t="str">
        <f aca="false">IF($J377=FALSE(),"",예약내역!$L374*10000+ROW())</f>
        <v/>
      </c>
      <c r="L377" s="5" t="str">
        <f aca="false">IF($K377="","",RANK($K377,$K$6:$K$2005,1))</f>
        <v/>
      </c>
    </row>
    <row r="378" customFormat="false" ht="15" hidden="false" customHeight="true" outlineLevel="0" collapsed="false">
      <c r="J378" s="21" t="b">
        <f aca="false">IF(예약내역!$A375="",FALSE(),AND(예약내역!$A375=$B$3,예약내역!$J375&lt;&gt;"취소"))</f>
        <v>0</v>
      </c>
      <c r="K378" s="5" t="str">
        <f aca="false">IF($J378=FALSE(),"",예약내역!$L375*10000+ROW())</f>
        <v/>
      </c>
      <c r="L378" s="5" t="str">
        <f aca="false">IF($K378="","",RANK($K378,$K$6:$K$2005,1))</f>
        <v/>
      </c>
    </row>
    <row r="379" customFormat="false" ht="15" hidden="false" customHeight="true" outlineLevel="0" collapsed="false">
      <c r="J379" s="21" t="b">
        <f aca="false">IF(예약내역!$A376="",FALSE(),AND(예약내역!$A376=$B$3,예약내역!$J376&lt;&gt;"취소"))</f>
        <v>0</v>
      </c>
      <c r="K379" s="5" t="str">
        <f aca="false">IF($J379=FALSE(),"",예약내역!$L376*10000+ROW())</f>
        <v/>
      </c>
      <c r="L379" s="5" t="str">
        <f aca="false">IF($K379="","",RANK($K379,$K$6:$K$2005,1))</f>
        <v/>
      </c>
    </row>
    <row r="380" customFormat="false" ht="15" hidden="false" customHeight="true" outlineLevel="0" collapsed="false">
      <c r="J380" s="21" t="b">
        <f aca="false">IF(예약내역!$A377="",FALSE(),AND(예약내역!$A377=$B$3,예약내역!$J377&lt;&gt;"취소"))</f>
        <v>0</v>
      </c>
      <c r="K380" s="5" t="str">
        <f aca="false">IF($J380=FALSE(),"",예약내역!$L377*10000+ROW())</f>
        <v/>
      </c>
      <c r="L380" s="5" t="str">
        <f aca="false">IF($K380="","",RANK($K380,$K$6:$K$2005,1))</f>
        <v/>
      </c>
    </row>
    <row r="381" customFormat="false" ht="15" hidden="false" customHeight="true" outlineLevel="0" collapsed="false">
      <c r="J381" s="21" t="b">
        <f aca="false">IF(예약내역!$A378="",FALSE(),AND(예약내역!$A378=$B$3,예약내역!$J378&lt;&gt;"취소"))</f>
        <v>0</v>
      </c>
      <c r="K381" s="5" t="str">
        <f aca="false">IF($J381=FALSE(),"",예약내역!$L378*10000+ROW())</f>
        <v/>
      </c>
      <c r="L381" s="5" t="str">
        <f aca="false">IF($K381="","",RANK($K381,$K$6:$K$2005,1))</f>
        <v/>
      </c>
    </row>
    <row r="382" customFormat="false" ht="15" hidden="false" customHeight="true" outlineLevel="0" collapsed="false">
      <c r="J382" s="21" t="b">
        <f aca="false">IF(예약내역!$A379="",FALSE(),AND(예약내역!$A379=$B$3,예약내역!$J379&lt;&gt;"취소"))</f>
        <v>0</v>
      </c>
      <c r="K382" s="5" t="str">
        <f aca="false">IF($J382=FALSE(),"",예약내역!$L379*10000+ROW())</f>
        <v/>
      </c>
      <c r="L382" s="5" t="str">
        <f aca="false">IF($K382="","",RANK($K382,$K$6:$K$2005,1))</f>
        <v/>
      </c>
    </row>
    <row r="383" customFormat="false" ht="15" hidden="false" customHeight="true" outlineLevel="0" collapsed="false">
      <c r="J383" s="21" t="b">
        <f aca="false">IF(예약내역!$A380="",FALSE(),AND(예약내역!$A380=$B$3,예약내역!$J380&lt;&gt;"취소"))</f>
        <v>0</v>
      </c>
      <c r="K383" s="5" t="str">
        <f aca="false">IF($J383=FALSE(),"",예약내역!$L380*10000+ROW())</f>
        <v/>
      </c>
      <c r="L383" s="5" t="str">
        <f aca="false">IF($K383="","",RANK($K383,$K$6:$K$2005,1))</f>
        <v/>
      </c>
    </row>
    <row r="384" customFormat="false" ht="15" hidden="false" customHeight="true" outlineLevel="0" collapsed="false">
      <c r="J384" s="21" t="b">
        <f aca="false">IF(예약내역!$A381="",FALSE(),AND(예약내역!$A381=$B$3,예약내역!$J381&lt;&gt;"취소"))</f>
        <v>0</v>
      </c>
      <c r="K384" s="5" t="str">
        <f aca="false">IF($J384=FALSE(),"",예약내역!$L381*10000+ROW())</f>
        <v/>
      </c>
      <c r="L384" s="5" t="str">
        <f aca="false">IF($K384="","",RANK($K384,$K$6:$K$2005,1))</f>
        <v/>
      </c>
    </row>
    <row r="385" customFormat="false" ht="15" hidden="false" customHeight="true" outlineLevel="0" collapsed="false">
      <c r="J385" s="21" t="b">
        <f aca="false">IF(예약내역!$A382="",FALSE(),AND(예약내역!$A382=$B$3,예약내역!$J382&lt;&gt;"취소"))</f>
        <v>0</v>
      </c>
      <c r="K385" s="5" t="str">
        <f aca="false">IF($J385=FALSE(),"",예약내역!$L382*10000+ROW())</f>
        <v/>
      </c>
      <c r="L385" s="5" t="str">
        <f aca="false">IF($K385="","",RANK($K385,$K$6:$K$2005,1))</f>
        <v/>
      </c>
    </row>
    <row r="386" customFormat="false" ht="15" hidden="false" customHeight="true" outlineLevel="0" collapsed="false">
      <c r="J386" s="21" t="b">
        <f aca="false">IF(예약내역!$A383="",FALSE(),AND(예약내역!$A383=$B$3,예약내역!$J383&lt;&gt;"취소"))</f>
        <v>0</v>
      </c>
      <c r="K386" s="5" t="str">
        <f aca="false">IF($J386=FALSE(),"",예약내역!$L383*10000+ROW())</f>
        <v/>
      </c>
      <c r="L386" s="5" t="str">
        <f aca="false">IF($K386="","",RANK($K386,$K$6:$K$2005,1))</f>
        <v/>
      </c>
    </row>
    <row r="387" customFormat="false" ht="15" hidden="false" customHeight="true" outlineLevel="0" collapsed="false">
      <c r="J387" s="21" t="b">
        <f aca="false">IF(예약내역!$A384="",FALSE(),AND(예약내역!$A384=$B$3,예약내역!$J384&lt;&gt;"취소"))</f>
        <v>0</v>
      </c>
      <c r="K387" s="5" t="str">
        <f aca="false">IF($J387=FALSE(),"",예약내역!$L384*10000+ROW())</f>
        <v/>
      </c>
      <c r="L387" s="5" t="str">
        <f aca="false">IF($K387="","",RANK($K387,$K$6:$K$2005,1))</f>
        <v/>
      </c>
    </row>
    <row r="388" customFormat="false" ht="15" hidden="false" customHeight="true" outlineLevel="0" collapsed="false">
      <c r="J388" s="21" t="b">
        <f aca="false">IF(예약내역!$A385="",FALSE(),AND(예약내역!$A385=$B$3,예약내역!$J385&lt;&gt;"취소"))</f>
        <v>0</v>
      </c>
      <c r="K388" s="5" t="str">
        <f aca="false">IF($J388=FALSE(),"",예약내역!$L385*10000+ROW())</f>
        <v/>
      </c>
      <c r="L388" s="5" t="str">
        <f aca="false">IF($K388="","",RANK($K388,$K$6:$K$2005,1))</f>
        <v/>
      </c>
    </row>
    <row r="389" customFormat="false" ht="15" hidden="false" customHeight="true" outlineLevel="0" collapsed="false">
      <c r="J389" s="21" t="b">
        <f aca="false">IF(예약내역!$A386="",FALSE(),AND(예약내역!$A386=$B$3,예약내역!$J386&lt;&gt;"취소"))</f>
        <v>0</v>
      </c>
      <c r="K389" s="5" t="str">
        <f aca="false">IF($J389=FALSE(),"",예약내역!$L386*10000+ROW())</f>
        <v/>
      </c>
      <c r="L389" s="5" t="str">
        <f aca="false">IF($K389="","",RANK($K389,$K$6:$K$2005,1))</f>
        <v/>
      </c>
    </row>
    <row r="390" customFormat="false" ht="15" hidden="false" customHeight="true" outlineLevel="0" collapsed="false">
      <c r="J390" s="21" t="b">
        <f aca="false">IF(예약내역!$A387="",FALSE(),AND(예약내역!$A387=$B$3,예약내역!$J387&lt;&gt;"취소"))</f>
        <v>0</v>
      </c>
      <c r="K390" s="5" t="str">
        <f aca="false">IF($J390=FALSE(),"",예약내역!$L387*10000+ROW())</f>
        <v/>
      </c>
      <c r="L390" s="5" t="str">
        <f aca="false">IF($K390="","",RANK($K390,$K$6:$K$2005,1))</f>
        <v/>
      </c>
    </row>
    <row r="391" customFormat="false" ht="15" hidden="false" customHeight="true" outlineLevel="0" collapsed="false">
      <c r="J391" s="21" t="b">
        <f aca="false">IF(예약내역!$A388="",FALSE(),AND(예약내역!$A388=$B$3,예약내역!$J388&lt;&gt;"취소"))</f>
        <v>0</v>
      </c>
      <c r="K391" s="5" t="str">
        <f aca="false">IF($J391=FALSE(),"",예약내역!$L388*10000+ROW())</f>
        <v/>
      </c>
      <c r="L391" s="5" t="str">
        <f aca="false">IF($K391="","",RANK($K391,$K$6:$K$2005,1))</f>
        <v/>
      </c>
    </row>
    <row r="392" customFormat="false" ht="15" hidden="false" customHeight="true" outlineLevel="0" collapsed="false">
      <c r="J392" s="21" t="b">
        <f aca="false">IF(예약내역!$A389="",FALSE(),AND(예약내역!$A389=$B$3,예약내역!$J389&lt;&gt;"취소"))</f>
        <v>0</v>
      </c>
      <c r="K392" s="5" t="str">
        <f aca="false">IF($J392=FALSE(),"",예약내역!$L389*10000+ROW())</f>
        <v/>
      </c>
      <c r="L392" s="5" t="str">
        <f aca="false">IF($K392="","",RANK($K392,$K$6:$K$2005,1))</f>
        <v/>
      </c>
    </row>
    <row r="393" customFormat="false" ht="15" hidden="false" customHeight="true" outlineLevel="0" collapsed="false">
      <c r="J393" s="21" t="b">
        <f aca="false">IF(예약내역!$A390="",FALSE(),AND(예약내역!$A390=$B$3,예약내역!$J390&lt;&gt;"취소"))</f>
        <v>0</v>
      </c>
      <c r="K393" s="5" t="str">
        <f aca="false">IF($J393=FALSE(),"",예약내역!$L390*10000+ROW())</f>
        <v/>
      </c>
      <c r="L393" s="5" t="str">
        <f aca="false">IF($K393="","",RANK($K393,$K$6:$K$2005,1))</f>
        <v/>
      </c>
    </row>
    <row r="394" customFormat="false" ht="15" hidden="false" customHeight="true" outlineLevel="0" collapsed="false">
      <c r="J394" s="21" t="b">
        <f aca="false">IF(예약내역!$A391="",FALSE(),AND(예약내역!$A391=$B$3,예약내역!$J391&lt;&gt;"취소"))</f>
        <v>0</v>
      </c>
      <c r="K394" s="5" t="str">
        <f aca="false">IF($J394=FALSE(),"",예약내역!$L391*10000+ROW())</f>
        <v/>
      </c>
      <c r="L394" s="5" t="str">
        <f aca="false">IF($K394="","",RANK($K394,$K$6:$K$2005,1))</f>
        <v/>
      </c>
    </row>
    <row r="395" customFormat="false" ht="15" hidden="false" customHeight="true" outlineLevel="0" collapsed="false">
      <c r="J395" s="21" t="b">
        <f aca="false">IF(예약내역!$A392="",FALSE(),AND(예약내역!$A392=$B$3,예약내역!$J392&lt;&gt;"취소"))</f>
        <v>0</v>
      </c>
      <c r="K395" s="5" t="str">
        <f aca="false">IF($J395=FALSE(),"",예약내역!$L392*10000+ROW())</f>
        <v/>
      </c>
      <c r="L395" s="5" t="str">
        <f aca="false">IF($K395="","",RANK($K395,$K$6:$K$2005,1))</f>
        <v/>
      </c>
    </row>
    <row r="396" customFormat="false" ht="15" hidden="false" customHeight="true" outlineLevel="0" collapsed="false">
      <c r="J396" s="21" t="b">
        <f aca="false">IF(예약내역!$A393="",FALSE(),AND(예약내역!$A393=$B$3,예약내역!$J393&lt;&gt;"취소"))</f>
        <v>0</v>
      </c>
      <c r="K396" s="5" t="str">
        <f aca="false">IF($J396=FALSE(),"",예약내역!$L393*10000+ROW())</f>
        <v/>
      </c>
      <c r="L396" s="5" t="str">
        <f aca="false">IF($K396="","",RANK($K396,$K$6:$K$2005,1))</f>
        <v/>
      </c>
    </row>
    <row r="397" customFormat="false" ht="15" hidden="false" customHeight="true" outlineLevel="0" collapsed="false">
      <c r="J397" s="21" t="b">
        <f aca="false">IF(예약내역!$A394="",FALSE(),AND(예약내역!$A394=$B$3,예약내역!$J394&lt;&gt;"취소"))</f>
        <v>0</v>
      </c>
      <c r="K397" s="5" t="str">
        <f aca="false">IF($J397=FALSE(),"",예약내역!$L394*10000+ROW())</f>
        <v/>
      </c>
      <c r="L397" s="5" t="str">
        <f aca="false">IF($K397="","",RANK($K397,$K$6:$K$2005,1))</f>
        <v/>
      </c>
    </row>
    <row r="398" customFormat="false" ht="15" hidden="false" customHeight="true" outlineLevel="0" collapsed="false">
      <c r="J398" s="21" t="b">
        <f aca="false">IF(예약내역!$A395="",FALSE(),AND(예약내역!$A395=$B$3,예약내역!$J395&lt;&gt;"취소"))</f>
        <v>0</v>
      </c>
      <c r="K398" s="5" t="str">
        <f aca="false">IF($J398=FALSE(),"",예약내역!$L395*10000+ROW())</f>
        <v/>
      </c>
      <c r="L398" s="5" t="str">
        <f aca="false">IF($K398="","",RANK($K398,$K$6:$K$2005,1))</f>
        <v/>
      </c>
    </row>
    <row r="399" customFormat="false" ht="15" hidden="false" customHeight="true" outlineLevel="0" collapsed="false">
      <c r="J399" s="21" t="b">
        <f aca="false">IF(예약내역!$A396="",FALSE(),AND(예약내역!$A396=$B$3,예약내역!$J396&lt;&gt;"취소"))</f>
        <v>0</v>
      </c>
      <c r="K399" s="5" t="str">
        <f aca="false">IF($J399=FALSE(),"",예약내역!$L396*10000+ROW())</f>
        <v/>
      </c>
      <c r="L399" s="5" t="str">
        <f aca="false">IF($K399="","",RANK($K399,$K$6:$K$2005,1))</f>
        <v/>
      </c>
    </row>
    <row r="400" customFormat="false" ht="15" hidden="false" customHeight="true" outlineLevel="0" collapsed="false">
      <c r="J400" s="21" t="b">
        <f aca="false">IF(예약내역!$A397="",FALSE(),AND(예약내역!$A397=$B$3,예약내역!$J397&lt;&gt;"취소"))</f>
        <v>0</v>
      </c>
      <c r="K400" s="5" t="str">
        <f aca="false">IF($J400=FALSE(),"",예약내역!$L397*10000+ROW())</f>
        <v/>
      </c>
      <c r="L400" s="5" t="str">
        <f aca="false">IF($K400="","",RANK($K400,$K$6:$K$2005,1))</f>
        <v/>
      </c>
    </row>
    <row r="401" customFormat="false" ht="15" hidden="false" customHeight="true" outlineLevel="0" collapsed="false">
      <c r="J401" s="21" t="b">
        <f aca="false">IF(예약내역!$A398="",FALSE(),AND(예약내역!$A398=$B$3,예약내역!$J398&lt;&gt;"취소"))</f>
        <v>0</v>
      </c>
      <c r="K401" s="5" t="str">
        <f aca="false">IF($J401=FALSE(),"",예약내역!$L398*10000+ROW())</f>
        <v/>
      </c>
      <c r="L401" s="5" t="str">
        <f aca="false">IF($K401="","",RANK($K401,$K$6:$K$2005,1))</f>
        <v/>
      </c>
    </row>
    <row r="402" customFormat="false" ht="15" hidden="false" customHeight="true" outlineLevel="0" collapsed="false">
      <c r="J402" s="21" t="b">
        <f aca="false">IF(예약내역!$A399="",FALSE(),AND(예약내역!$A399=$B$3,예약내역!$J399&lt;&gt;"취소"))</f>
        <v>0</v>
      </c>
      <c r="K402" s="5" t="str">
        <f aca="false">IF($J402=FALSE(),"",예약내역!$L399*10000+ROW())</f>
        <v/>
      </c>
      <c r="L402" s="5" t="str">
        <f aca="false">IF($K402="","",RANK($K402,$K$6:$K$2005,1))</f>
        <v/>
      </c>
    </row>
    <row r="403" customFormat="false" ht="15" hidden="false" customHeight="true" outlineLevel="0" collapsed="false">
      <c r="J403" s="21" t="b">
        <f aca="false">IF(예약내역!$A400="",FALSE(),AND(예약내역!$A400=$B$3,예약내역!$J400&lt;&gt;"취소"))</f>
        <v>0</v>
      </c>
      <c r="K403" s="5" t="str">
        <f aca="false">IF($J403=FALSE(),"",예약내역!$L400*10000+ROW())</f>
        <v/>
      </c>
      <c r="L403" s="5" t="str">
        <f aca="false">IF($K403="","",RANK($K403,$K$6:$K$2005,1))</f>
        <v/>
      </c>
    </row>
    <row r="404" customFormat="false" ht="15" hidden="false" customHeight="true" outlineLevel="0" collapsed="false">
      <c r="J404" s="21" t="b">
        <f aca="false">IF(예약내역!$A401="",FALSE(),AND(예약내역!$A401=$B$3,예약내역!$J401&lt;&gt;"취소"))</f>
        <v>0</v>
      </c>
      <c r="K404" s="5" t="str">
        <f aca="false">IF($J404=FALSE(),"",예약내역!$L401*10000+ROW())</f>
        <v/>
      </c>
      <c r="L404" s="5" t="str">
        <f aca="false">IF($K404="","",RANK($K404,$K$6:$K$2005,1))</f>
        <v/>
      </c>
    </row>
    <row r="405" customFormat="false" ht="15" hidden="false" customHeight="true" outlineLevel="0" collapsed="false">
      <c r="J405" s="21" t="b">
        <f aca="false">IF(예약내역!$A402="",FALSE(),AND(예약내역!$A402=$B$3,예약내역!$J402&lt;&gt;"취소"))</f>
        <v>0</v>
      </c>
      <c r="K405" s="5" t="str">
        <f aca="false">IF($J405=FALSE(),"",예약내역!$L402*10000+ROW())</f>
        <v/>
      </c>
      <c r="L405" s="5" t="str">
        <f aca="false">IF($K405="","",RANK($K405,$K$6:$K$2005,1))</f>
        <v/>
      </c>
    </row>
    <row r="406" customFormat="false" ht="15" hidden="false" customHeight="true" outlineLevel="0" collapsed="false">
      <c r="J406" s="21" t="b">
        <f aca="false">IF(예약내역!$A403="",FALSE(),AND(예약내역!$A403=$B$3,예약내역!$J403&lt;&gt;"취소"))</f>
        <v>0</v>
      </c>
      <c r="K406" s="5" t="str">
        <f aca="false">IF($J406=FALSE(),"",예약내역!$L403*10000+ROW())</f>
        <v/>
      </c>
      <c r="L406" s="5" t="str">
        <f aca="false">IF($K406="","",RANK($K406,$K$6:$K$2005,1))</f>
        <v/>
      </c>
    </row>
    <row r="407" customFormat="false" ht="15" hidden="false" customHeight="true" outlineLevel="0" collapsed="false">
      <c r="J407" s="21" t="b">
        <f aca="false">IF(예약내역!$A404="",FALSE(),AND(예약내역!$A404=$B$3,예약내역!$J404&lt;&gt;"취소"))</f>
        <v>0</v>
      </c>
      <c r="K407" s="5" t="str">
        <f aca="false">IF($J407=FALSE(),"",예약내역!$L404*10000+ROW())</f>
        <v/>
      </c>
      <c r="L407" s="5" t="str">
        <f aca="false">IF($K407="","",RANK($K407,$K$6:$K$2005,1))</f>
        <v/>
      </c>
    </row>
    <row r="408" customFormat="false" ht="15" hidden="false" customHeight="true" outlineLevel="0" collapsed="false">
      <c r="J408" s="21" t="b">
        <f aca="false">IF(예약내역!$A405="",FALSE(),AND(예약내역!$A405=$B$3,예약내역!$J405&lt;&gt;"취소"))</f>
        <v>0</v>
      </c>
      <c r="K408" s="5" t="str">
        <f aca="false">IF($J408=FALSE(),"",예약내역!$L405*10000+ROW())</f>
        <v/>
      </c>
      <c r="L408" s="5" t="str">
        <f aca="false">IF($K408="","",RANK($K408,$K$6:$K$2005,1))</f>
        <v/>
      </c>
    </row>
    <row r="409" customFormat="false" ht="15" hidden="false" customHeight="true" outlineLevel="0" collapsed="false">
      <c r="J409" s="21" t="b">
        <f aca="false">IF(예약내역!$A406="",FALSE(),AND(예약내역!$A406=$B$3,예약내역!$J406&lt;&gt;"취소"))</f>
        <v>0</v>
      </c>
      <c r="K409" s="5" t="str">
        <f aca="false">IF($J409=FALSE(),"",예약내역!$L406*10000+ROW())</f>
        <v/>
      </c>
      <c r="L409" s="5" t="str">
        <f aca="false">IF($K409="","",RANK($K409,$K$6:$K$2005,1))</f>
        <v/>
      </c>
    </row>
    <row r="410" customFormat="false" ht="15" hidden="false" customHeight="true" outlineLevel="0" collapsed="false">
      <c r="J410" s="21" t="b">
        <f aca="false">IF(예약내역!$A407="",FALSE(),AND(예약내역!$A407=$B$3,예약내역!$J407&lt;&gt;"취소"))</f>
        <v>0</v>
      </c>
      <c r="K410" s="5" t="str">
        <f aca="false">IF($J410=FALSE(),"",예약내역!$L407*10000+ROW())</f>
        <v/>
      </c>
      <c r="L410" s="5" t="str">
        <f aca="false">IF($K410="","",RANK($K410,$K$6:$K$2005,1))</f>
        <v/>
      </c>
    </row>
    <row r="411" customFormat="false" ht="15" hidden="false" customHeight="true" outlineLevel="0" collapsed="false">
      <c r="J411" s="21" t="b">
        <f aca="false">IF(예약내역!$A408="",FALSE(),AND(예약내역!$A408=$B$3,예약내역!$J408&lt;&gt;"취소"))</f>
        <v>0</v>
      </c>
      <c r="K411" s="5" t="str">
        <f aca="false">IF($J411=FALSE(),"",예약내역!$L408*10000+ROW())</f>
        <v/>
      </c>
      <c r="L411" s="5" t="str">
        <f aca="false">IF($K411="","",RANK($K411,$K$6:$K$2005,1))</f>
        <v/>
      </c>
    </row>
    <row r="412" customFormat="false" ht="15" hidden="false" customHeight="true" outlineLevel="0" collapsed="false">
      <c r="J412" s="21" t="b">
        <f aca="false">IF(예약내역!$A409="",FALSE(),AND(예약내역!$A409=$B$3,예약내역!$J409&lt;&gt;"취소"))</f>
        <v>0</v>
      </c>
      <c r="K412" s="5" t="str">
        <f aca="false">IF($J412=FALSE(),"",예약내역!$L409*10000+ROW())</f>
        <v/>
      </c>
      <c r="L412" s="5" t="str">
        <f aca="false">IF($K412="","",RANK($K412,$K$6:$K$2005,1))</f>
        <v/>
      </c>
    </row>
    <row r="413" customFormat="false" ht="15" hidden="false" customHeight="true" outlineLevel="0" collapsed="false">
      <c r="J413" s="21" t="b">
        <f aca="false">IF(예약내역!$A410="",FALSE(),AND(예약내역!$A410=$B$3,예약내역!$J410&lt;&gt;"취소"))</f>
        <v>0</v>
      </c>
      <c r="K413" s="5" t="str">
        <f aca="false">IF($J413=FALSE(),"",예약내역!$L410*10000+ROW())</f>
        <v/>
      </c>
      <c r="L413" s="5" t="str">
        <f aca="false">IF($K413="","",RANK($K413,$K$6:$K$2005,1))</f>
        <v/>
      </c>
    </row>
    <row r="414" customFormat="false" ht="15" hidden="false" customHeight="true" outlineLevel="0" collapsed="false">
      <c r="J414" s="21" t="b">
        <f aca="false">IF(예약내역!$A411="",FALSE(),AND(예약내역!$A411=$B$3,예약내역!$J411&lt;&gt;"취소"))</f>
        <v>0</v>
      </c>
      <c r="K414" s="5" t="str">
        <f aca="false">IF($J414=FALSE(),"",예약내역!$L411*10000+ROW())</f>
        <v/>
      </c>
      <c r="L414" s="5" t="str">
        <f aca="false">IF($K414="","",RANK($K414,$K$6:$K$2005,1))</f>
        <v/>
      </c>
    </row>
    <row r="415" customFormat="false" ht="15" hidden="false" customHeight="true" outlineLevel="0" collapsed="false">
      <c r="J415" s="21" t="b">
        <f aca="false">IF(예약내역!$A412="",FALSE(),AND(예약내역!$A412=$B$3,예약내역!$J412&lt;&gt;"취소"))</f>
        <v>0</v>
      </c>
      <c r="K415" s="5" t="str">
        <f aca="false">IF($J415=FALSE(),"",예약내역!$L412*10000+ROW())</f>
        <v/>
      </c>
      <c r="L415" s="5" t="str">
        <f aca="false">IF($K415="","",RANK($K415,$K$6:$K$2005,1))</f>
        <v/>
      </c>
    </row>
    <row r="416" customFormat="false" ht="15" hidden="false" customHeight="true" outlineLevel="0" collapsed="false">
      <c r="J416" s="21" t="b">
        <f aca="false">IF(예약내역!$A413="",FALSE(),AND(예약내역!$A413=$B$3,예약내역!$J413&lt;&gt;"취소"))</f>
        <v>0</v>
      </c>
      <c r="K416" s="5" t="str">
        <f aca="false">IF($J416=FALSE(),"",예약내역!$L413*10000+ROW())</f>
        <v/>
      </c>
      <c r="L416" s="5" t="str">
        <f aca="false">IF($K416="","",RANK($K416,$K$6:$K$2005,1))</f>
        <v/>
      </c>
    </row>
    <row r="417" customFormat="false" ht="15" hidden="false" customHeight="true" outlineLevel="0" collapsed="false">
      <c r="J417" s="21" t="b">
        <f aca="false">IF(예약내역!$A414="",FALSE(),AND(예약내역!$A414=$B$3,예약내역!$J414&lt;&gt;"취소"))</f>
        <v>0</v>
      </c>
      <c r="K417" s="5" t="str">
        <f aca="false">IF($J417=FALSE(),"",예약내역!$L414*10000+ROW())</f>
        <v/>
      </c>
      <c r="L417" s="5" t="str">
        <f aca="false">IF($K417="","",RANK($K417,$K$6:$K$2005,1))</f>
        <v/>
      </c>
    </row>
    <row r="418" customFormat="false" ht="15" hidden="false" customHeight="true" outlineLevel="0" collapsed="false">
      <c r="J418" s="21" t="b">
        <f aca="false">IF(예약내역!$A415="",FALSE(),AND(예약내역!$A415=$B$3,예약내역!$J415&lt;&gt;"취소"))</f>
        <v>0</v>
      </c>
      <c r="K418" s="5" t="str">
        <f aca="false">IF($J418=FALSE(),"",예약내역!$L415*10000+ROW())</f>
        <v/>
      </c>
      <c r="L418" s="5" t="str">
        <f aca="false">IF($K418="","",RANK($K418,$K$6:$K$2005,1))</f>
        <v/>
      </c>
    </row>
    <row r="419" customFormat="false" ht="15" hidden="false" customHeight="true" outlineLevel="0" collapsed="false">
      <c r="J419" s="21" t="b">
        <f aca="false">IF(예약내역!$A416="",FALSE(),AND(예약내역!$A416=$B$3,예약내역!$J416&lt;&gt;"취소"))</f>
        <v>0</v>
      </c>
      <c r="K419" s="5" t="str">
        <f aca="false">IF($J419=FALSE(),"",예약내역!$L416*10000+ROW())</f>
        <v/>
      </c>
      <c r="L419" s="5" t="str">
        <f aca="false">IF($K419="","",RANK($K419,$K$6:$K$2005,1))</f>
        <v/>
      </c>
    </row>
    <row r="420" customFormat="false" ht="15" hidden="false" customHeight="true" outlineLevel="0" collapsed="false">
      <c r="J420" s="21" t="b">
        <f aca="false">IF(예약내역!$A417="",FALSE(),AND(예약내역!$A417=$B$3,예약내역!$J417&lt;&gt;"취소"))</f>
        <v>0</v>
      </c>
      <c r="K420" s="5" t="str">
        <f aca="false">IF($J420=FALSE(),"",예약내역!$L417*10000+ROW())</f>
        <v/>
      </c>
      <c r="L420" s="5" t="str">
        <f aca="false">IF($K420="","",RANK($K420,$K$6:$K$2005,1))</f>
        <v/>
      </c>
    </row>
    <row r="421" customFormat="false" ht="15" hidden="false" customHeight="true" outlineLevel="0" collapsed="false">
      <c r="J421" s="21" t="b">
        <f aca="false">IF(예약내역!$A418="",FALSE(),AND(예약내역!$A418=$B$3,예약내역!$J418&lt;&gt;"취소"))</f>
        <v>0</v>
      </c>
      <c r="K421" s="5" t="str">
        <f aca="false">IF($J421=FALSE(),"",예약내역!$L418*10000+ROW())</f>
        <v/>
      </c>
      <c r="L421" s="5" t="str">
        <f aca="false">IF($K421="","",RANK($K421,$K$6:$K$2005,1))</f>
        <v/>
      </c>
    </row>
    <row r="422" customFormat="false" ht="15" hidden="false" customHeight="true" outlineLevel="0" collapsed="false">
      <c r="J422" s="21" t="b">
        <f aca="false">IF(예약내역!$A419="",FALSE(),AND(예약내역!$A419=$B$3,예약내역!$J419&lt;&gt;"취소"))</f>
        <v>0</v>
      </c>
      <c r="K422" s="5" t="str">
        <f aca="false">IF($J422=FALSE(),"",예약내역!$L419*10000+ROW())</f>
        <v/>
      </c>
      <c r="L422" s="5" t="str">
        <f aca="false">IF($K422="","",RANK($K422,$K$6:$K$2005,1))</f>
        <v/>
      </c>
    </row>
    <row r="423" customFormat="false" ht="15" hidden="false" customHeight="true" outlineLevel="0" collapsed="false">
      <c r="J423" s="21" t="b">
        <f aca="false">IF(예약내역!$A420="",FALSE(),AND(예약내역!$A420=$B$3,예약내역!$J420&lt;&gt;"취소"))</f>
        <v>0</v>
      </c>
      <c r="K423" s="5" t="str">
        <f aca="false">IF($J423=FALSE(),"",예약내역!$L420*10000+ROW())</f>
        <v/>
      </c>
      <c r="L423" s="5" t="str">
        <f aca="false">IF($K423="","",RANK($K423,$K$6:$K$2005,1))</f>
        <v/>
      </c>
    </row>
    <row r="424" customFormat="false" ht="15" hidden="false" customHeight="true" outlineLevel="0" collapsed="false">
      <c r="J424" s="21" t="b">
        <f aca="false">IF(예약내역!$A421="",FALSE(),AND(예약내역!$A421=$B$3,예약내역!$J421&lt;&gt;"취소"))</f>
        <v>0</v>
      </c>
      <c r="K424" s="5" t="str">
        <f aca="false">IF($J424=FALSE(),"",예약내역!$L421*10000+ROW())</f>
        <v/>
      </c>
      <c r="L424" s="5" t="str">
        <f aca="false">IF($K424="","",RANK($K424,$K$6:$K$2005,1))</f>
        <v/>
      </c>
    </row>
    <row r="425" customFormat="false" ht="15" hidden="false" customHeight="true" outlineLevel="0" collapsed="false">
      <c r="J425" s="21" t="b">
        <f aca="false">IF(예약내역!$A422="",FALSE(),AND(예약내역!$A422=$B$3,예약내역!$J422&lt;&gt;"취소"))</f>
        <v>0</v>
      </c>
      <c r="K425" s="5" t="str">
        <f aca="false">IF($J425=FALSE(),"",예약내역!$L422*10000+ROW())</f>
        <v/>
      </c>
      <c r="L425" s="5" t="str">
        <f aca="false">IF($K425="","",RANK($K425,$K$6:$K$2005,1))</f>
        <v/>
      </c>
    </row>
    <row r="426" customFormat="false" ht="15" hidden="false" customHeight="true" outlineLevel="0" collapsed="false">
      <c r="J426" s="21" t="b">
        <f aca="false">IF(예약내역!$A423="",FALSE(),AND(예약내역!$A423=$B$3,예약내역!$J423&lt;&gt;"취소"))</f>
        <v>0</v>
      </c>
      <c r="K426" s="5" t="str">
        <f aca="false">IF($J426=FALSE(),"",예약내역!$L423*10000+ROW())</f>
        <v/>
      </c>
      <c r="L426" s="5" t="str">
        <f aca="false">IF($K426="","",RANK($K426,$K$6:$K$2005,1))</f>
        <v/>
      </c>
    </row>
    <row r="427" customFormat="false" ht="15" hidden="false" customHeight="true" outlineLevel="0" collapsed="false">
      <c r="J427" s="21" t="b">
        <f aca="false">IF(예약내역!$A424="",FALSE(),AND(예약내역!$A424=$B$3,예약내역!$J424&lt;&gt;"취소"))</f>
        <v>0</v>
      </c>
      <c r="K427" s="5" t="str">
        <f aca="false">IF($J427=FALSE(),"",예약내역!$L424*10000+ROW())</f>
        <v/>
      </c>
      <c r="L427" s="5" t="str">
        <f aca="false">IF($K427="","",RANK($K427,$K$6:$K$2005,1))</f>
        <v/>
      </c>
    </row>
    <row r="428" customFormat="false" ht="15" hidden="false" customHeight="true" outlineLevel="0" collapsed="false">
      <c r="J428" s="21" t="b">
        <f aca="false">IF(예약내역!$A425="",FALSE(),AND(예약내역!$A425=$B$3,예약내역!$J425&lt;&gt;"취소"))</f>
        <v>0</v>
      </c>
      <c r="K428" s="5" t="str">
        <f aca="false">IF($J428=FALSE(),"",예약내역!$L425*10000+ROW())</f>
        <v/>
      </c>
      <c r="L428" s="5" t="str">
        <f aca="false">IF($K428="","",RANK($K428,$K$6:$K$2005,1))</f>
        <v/>
      </c>
    </row>
    <row r="429" customFormat="false" ht="15" hidden="false" customHeight="true" outlineLevel="0" collapsed="false">
      <c r="J429" s="21" t="b">
        <f aca="false">IF(예약내역!$A426="",FALSE(),AND(예약내역!$A426=$B$3,예약내역!$J426&lt;&gt;"취소"))</f>
        <v>0</v>
      </c>
      <c r="K429" s="5" t="str">
        <f aca="false">IF($J429=FALSE(),"",예약내역!$L426*10000+ROW())</f>
        <v/>
      </c>
      <c r="L429" s="5" t="str">
        <f aca="false">IF($K429="","",RANK($K429,$K$6:$K$2005,1))</f>
        <v/>
      </c>
    </row>
    <row r="430" customFormat="false" ht="15" hidden="false" customHeight="true" outlineLevel="0" collapsed="false">
      <c r="J430" s="21" t="b">
        <f aca="false">IF(예약내역!$A427="",FALSE(),AND(예약내역!$A427=$B$3,예약내역!$J427&lt;&gt;"취소"))</f>
        <v>0</v>
      </c>
      <c r="K430" s="5" t="str">
        <f aca="false">IF($J430=FALSE(),"",예약내역!$L427*10000+ROW())</f>
        <v/>
      </c>
      <c r="L430" s="5" t="str">
        <f aca="false">IF($K430="","",RANK($K430,$K$6:$K$2005,1))</f>
        <v/>
      </c>
    </row>
    <row r="431" customFormat="false" ht="15" hidden="false" customHeight="true" outlineLevel="0" collapsed="false">
      <c r="J431" s="21" t="b">
        <f aca="false">IF(예약내역!$A428="",FALSE(),AND(예약내역!$A428=$B$3,예약내역!$J428&lt;&gt;"취소"))</f>
        <v>0</v>
      </c>
      <c r="K431" s="5" t="str">
        <f aca="false">IF($J431=FALSE(),"",예약내역!$L428*10000+ROW())</f>
        <v/>
      </c>
      <c r="L431" s="5" t="str">
        <f aca="false">IF($K431="","",RANK($K431,$K$6:$K$2005,1))</f>
        <v/>
      </c>
    </row>
    <row r="432" customFormat="false" ht="15" hidden="false" customHeight="true" outlineLevel="0" collapsed="false">
      <c r="J432" s="21" t="b">
        <f aca="false">IF(예약내역!$A429="",FALSE(),AND(예약내역!$A429=$B$3,예약내역!$J429&lt;&gt;"취소"))</f>
        <v>0</v>
      </c>
      <c r="K432" s="5" t="str">
        <f aca="false">IF($J432=FALSE(),"",예약내역!$L429*10000+ROW())</f>
        <v/>
      </c>
      <c r="L432" s="5" t="str">
        <f aca="false">IF($K432="","",RANK($K432,$K$6:$K$2005,1))</f>
        <v/>
      </c>
    </row>
    <row r="433" customFormat="false" ht="15" hidden="false" customHeight="true" outlineLevel="0" collapsed="false">
      <c r="J433" s="21" t="b">
        <f aca="false">IF(예약내역!$A430="",FALSE(),AND(예약내역!$A430=$B$3,예약내역!$J430&lt;&gt;"취소"))</f>
        <v>0</v>
      </c>
      <c r="K433" s="5" t="str">
        <f aca="false">IF($J433=FALSE(),"",예약내역!$L430*10000+ROW())</f>
        <v/>
      </c>
      <c r="L433" s="5" t="str">
        <f aca="false">IF($K433="","",RANK($K433,$K$6:$K$2005,1))</f>
        <v/>
      </c>
    </row>
    <row r="434" customFormat="false" ht="15" hidden="false" customHeight="true" outlineLevel="0" collapsed="false">
      <c r="J434" s="21" t="b">
        <f aca="false">IF(예약내역!$A431="",FALSE(),AND(예약내역!$A431=$B$3,예약내역!$J431&lt;&gt;"취소"))</f>
        <v>0</v>
      </c>
      <c r="K434" s="5" t="str">
        <f aca="false">IF($J434=FALSE(),"",예약내역!$L431*10000+ROW())</f>
        <v/>
      </c>
      <c r="L434" s="5" t="str">
        <f aca="false">IF($K434="","",RANK($K434,$K$6:$K$2005,1))</f>
        <v/>
      </c>
    </row>
    <row r="435" customFormat="false" ht="15" hidden="false" customHeight="true" outlineLevel="0" collapsed="false">
      <c r="J435" s="21" t="b">
        <f aca="false">IF(예약내역!$A432="",FALSE(),AND(예약내역!$A432=$B$3,예약내역!$J432&lt;&gt;"취소"))</f>
        <v>0</v>
      </c>
      <c r="K435" s="5" t="str">
        <f aca="false">IF($J435=FALSE(),"",예약내역!$L432*10000+ROW())</f>
        <v/>
      </c>
      <c r="L435" s="5" t="str">
        <f aca="false">IF($K435="","",RANK($K435,$K$6:$K$2005,1))</f>
        <v/>
      </c>
    </row>
    <row r="436" customFormat="false" ht="15" hidden="false" customHeight="true" outlineLevel="0" collapsed="false">
      <c r="J436" s="21" t="b">
        <f aca="false">IF(예약내역!$A433="",FALSE(),AND(예약내역!$A433=$B$3,예약내역!$J433&lt;&gt;"취소"))</f>
        <v>0</v>
      </c>
      <c r="K436" s="5" t="str">
        <f aca="false">IF($J436=FALSE(),"",예약내역!$L433*10000+ROW())</f>
        <v/>
      </c>
      <c r="L436" s="5" t="str">
        <f aca="false">IF($K436="","",RANK($K436,$K$6:$K$2005,1))</f>
        <v/>
      </c>
    </row>
    <row r="437" customFormat="false" ht="15" hidden="false" customHeight="true" outlineLevel="0" collapsed="false">
      <c r="J437" s="21" t="b">
        <f aca="false">IF(예약내역!$A434="",FALSE(),AND(예약내역!$A434=$B$3,예약내역!$J434&lt;&gt;"취소"))</f>
        <v>0</v>
      </c>
      <c r="K437" s="5" t="str">
        <f aca="false">IF($J437=FALSE(),"",예약내역!$L434*10000+ROW())</f>
        <v/>
      </c>
      <c r="L437" s="5" t="str">
        <f aca="false">IF($K437="","",RANK($K437,$K$6:$K$2005,1))</f>
        <v/>
      </c>
    </row>
    <row r="438" customFormat="false" ht="15" hidden="false" customHeight="true" outlineLevel="0" collapsed="false">
      <c r="J438" s="21" t="b">
        <f aca="false">IF(예약내역!$A435="",FALSE(),AND(예약내역!$A435=$B$3,예약내역!$J435&lt;&gt;"취소"))</f>
        <v>0</v>
      </c>
      <c r="K438" s="5" t="str">
        <f aca="false">IF($J438=FALSE(),"",예약내역!$L435*10000+ROW())</f>
        <v/>
      </c>
      <c r="L438" s="5" t="str">
        <f aca="false">IF($K438="","",RANK($K438,$K$6:$K$2005,1))</f>
        <v/>
      </c>
    </row>
    <row r="439" customFormat="false" ht="15" hidden="false" customHeight="true" outlineLevel="0" collapsed="false">
      <c r="J439" s="21" t="b">
        <f aca="false">IF(예약내역!$A436="",FALSE(),AND(예약내역!$A436=$B$3,예약내역!$J436&lt;&gt;"취소"))</f>
        <v>0</v>
      </c>
      <c r="K439" s="5" t="str">
        <f aca="false">IF($J439=FALSE(),"",예약내역!$L436*10000+ROW())</f>
        <v/>
      </c>
      <c r="L439" s="5" t="str">
        <f aca="false">IF($K439="","",RANK($K439,$K$6:$K$2005,1))</f>
        <v/>
      </c>
    </row>
    <row r="440" customFormat="false" ht="15" hidden="false" customHeight="true" outlineLevel="0" collapsed="false">
      <c r="J440" s="21" t="b">
        <f aca="false">IF(예약내역!$A437="",FALSE(),AND(예약내역!$A437=$B$3,예약내역!$J437&lt;&gt;"취소"))</f>
        <v>0</v>
      </c>
      <c r="K440" s="5" t="str">
        <f aca="false">IF($J440=FALSE(),"",예약내역!$L437*10000+ROW())</f>
        <v/>
      </c>
      <c r="L440" s="5" t="str">
        <f aca="false">IF($K440="","",RANK($K440,$K$6:$K$2005,1))</f>
        <v/>
      </c>
    </row>
    <row r="441" customFormat="false" ht="15" hidden="false" customHeight="true" outlineLevel="0" collapsed="false">
      <c r="J441" s="21" t="b">
        <f aca="false">IF(예약내역!$A438="",FALSE(),AND(예약내역!$A438=$B$3,예약내역!$J438&lt;&gt;"취소"))</f>
        <v>0</v>
      </c>
      <c r="K441" s="5" t="str">
        <f aca="false">IF($J441=FALSE(),"",예약내역!$L438*10000+ROW())</f>
        <v/>
      </c>
      <c r="L441" s="5" t="str">
        <f aca="false">IF($K441="","",RANK($K441,$K$6:$K$2005,1))</f>
        <v/>
      </c>
    </row>
    <row r="442" customFormat="false" ht="15" hidden="false" customHeight="true" outlineLevel="0" collapsed="false">
      <c r="J442" s="21" t="b">
        <f aca="false">IF(예약내역!$A439="",FALSE(),AND(예약내역!$A439=$B$3,예약내역!$J439&lt;&gt;"취소"))</f>
        <v>0</v>
      </c>
      <c r="K442" s="5" t="str">
        <f aca="false">IF($J442=FALSE(),"",예약내역!$L439*10000+ROW())</f>
        <v/>
      </c>
      <c r="L442" s="5" t="str">
        <f aca="false">IF($K442="","",RANK($K442,$K$6:$K$2005,1))</f>
        <v/>
      </c>
    </row>
    <row r="443" customFormat="false" ht="15" hidden="false" customHeight="true" outlineLevel="0" collapsed="false">
      <c r="J443" s="21" t="b">
        <f aca="false">IF(예약내역!$A440="",FALSE(),AND(예약내역!$A440=$B$3,예약내역!$J440&lt;&gt;"취소"))</f>
        <v>0</v>
      </c>
      <c r="K443" s="5" t="str">
        <f aca="false">IF($J443=FALSE(),"",예약내역!$L440*10000+ROW())</f>
        <v/>
      </c>
      <c r="L443" s="5" t="str">
        <f aca="false">IF($K443="","",RANK($K443,$K$6:$K$2005,1))</f>
        <v/>
      </c>
    </row>
    <row r="444" customFormat="false" ht="15" hidden="false" customHeight="true" outlineLevel="0" collapsed="false">
      <c r="J444" s="21" t="b">
        <f aca="false">IF(예약내역!$A441="",FALSE(),AND(예약내역!$A441=$B$3,예약내역!$J441&lt;&gt;"취소"))</f>
        <v>0</v>
      </c>
      <c r="K444" s="5" t="str">
        <f aca="false">IF($J444=FALSE(),"",예약내역!$L441*10000+ROW())</f>
        <v/>
      </c>
      <c r="L444" s="5" t="str">
        <f aca="false">IF($K444="","",RANK($K444,$K$6:$K$2005,1))</f>
        <v/>
      </c>
    </row>
    <row r="445" customFormat="false" ht="15" hidden="false" customHeight="true" outlineLevel="0" collapsed="false">
      <c r="J445" s="21" t="b">
        <f aca="false">IF(예약내역!$A442="",FALSE(),AND(예약내역!$A442=$B$3,예약내역!$J442&lt;&gt;"취소"))</f>
        <v>0</v>
      </c>
      <c r="K445" s="5" t="str">
        <f aca="false">IF($J445=FALSE(),"",예약내역!$L442*10000+ROW())</f>
        <v/>
      </c>
      <c r="L445" s="5" t="str">
        <f aca="false">IF($K445="","",RANK($K445,$K$6:$K$2005,1))</f>
        <v/>
      </c>
    </row>
    <row r="446" customFormat="false" ht="15" hidden="false" customHeight="true" outlineLevel="0" collapsed="false">
      <c r="J446" s="21" t="b">
        <f aca="false">IF(예약내역!$A443="",FALSE(),AND(예약내역!$A443=$B$3,예약내역!$J443&lt;&gt;"취소"))</f>
        <v>0</v>
      </c>
      <c r="K446" s="5" t="str">
        <f aca="false">IF($J446=FALSE(),"",예약내역!$L443*10000+ROW())</f>
        <v/>
      </c>
      <c r="L446" s="5" t="str">
        <f aca="false">IF($K446="","",RANK($K446,$K$6:$K$2005,1))</f>
        <v/>
      </c>
    </row>
    <row r="447" customFormat="false" ht="15" hidden="false" customHeight="true" outlineLevel="0" collapsed="false">
      <c r="J447" s="21" t="b">
        <f aca="false">IF(예약내역!$A444="",FALSE(),AND(예약내역!$A444=$B$3,예약내역!$J444&lt;&gt;"취소"))</f>
        <v>0</v>
      </c>
      <c r="K447" s="5" t="str">
        <f aca="false">IF($J447=FALSE(),"",예약내역!$L444*10000+ROW())</f>
        <v/>
      </c>
      <c r="L447" s="5" t="str">
        <f aca="false">IF($K447="","",RANK($K447,$K$6:$K$2005,1))</f>
        <v/>
      </c>
    </row>
    <row r="448" customFormat="false" ht="15" hidden="false" customHeight="true" outlineLevel="0" collapsed="false">
      <c r="J448" s="21" t="b">
        <f aca="false">IF(예약내역!$A445="",FALSE(),AND(예약내역!$A445=$B$3,예약내역!$J445&lt;&gt;"취소"))</f>
        <v>0</v>
      </c>
      <c r="K448" s="5" t="str">
        <f aca="false">IF($J448=FALSE(),"",예약내역!$L445*10000+ROW())</f>
        <v/>
      </c>
      <c r="L448" s="5" t="str">
        <f aca="false">IF($K448="","",RANK($K448,$K$6:$K$2005,1))</f>
        <v/>
      </c>
    </row>
    <row r="449" customFormat="false" ht="15" hidden="false" customHeight="true" outlineLevel="0" collapsed="false">
      <c r="J449" s="21" t="b">
        <f aca="false">IF(예약내역!$A446="",FALSE(),AND(예약내역!$A446=$B$3,예약내역!$J446&lt;&gt;"취소"))</f>
        <v>0</v>
      </c>
      <c r="K449" s="5" t="str">
        <f aca="false">IF($J449=FALSE(),"",예약내역!$L446*10000+ROW())</f>
        <v/>
      </c>
      <c r="L449" s="5" t="str">
        <f aca="false">IF($K449="","",RANK($K449,$K$6:$K$2005,1))</f>
        <v/>
      </c>
    </row>
    <row r="450" customFormat="false" ht="15" hidden="false" customHeight="true" outlineLevel="0" collapsed="false">
      <c r="J450" s="21" t="b">
        <f aca="false">IF(예약내역!$A447="",FALSE(),AND(예약내역!$A447=$B$3,예약내역!$J447&lt;&gt;"취소"))</f>
        <v>0</v>
      </c>
      <c r="K450" s="5" t="str">
        <f aca="false">IF($J450=FALSE(),"",예약내역!$L447*10000+ROW())</f>
        <v/>
      </c>
      <c r="L450" s="5" t="str">
        <f aca="false">IF($K450="","",RANK($K450,$K$6:$K$2005,1))</f>
        <v/>
      </c>
    </row>
    <row r="451" customFormat="false" ht="15" hidden="false" customHeight="true" outlineLevel="0" collapsed="false">
      <c r="J451" s="21" t="b">
        <f aca="false">IF(예약내역!$A448="",FALSE(),AND(예약내역!$A448=$B$3,예약내역!$J448&lt;&gt;"취소"))</f>
        <v>0</v>
      </c>
      <c r="K451" s="5" t="str">
        <f aca="false">IF($J451=FALSE(),"",예약내역!$L448*10000+ROW())</f>
        <v/>
      </c>
      <c r="L451" s="5" t="str">
        <f aca="false">IF($K451="","",RANK($K451,$K$6:$K$2005,1))</f>
        <v/>
      </c>
    </row>
    <row r="452" customFormat="false" ht="15" hidden="false" customHeight="true" outlineLevel="0" collapsed="false">
      <c r="J452" s="21" t="b">
        <f aca="false">IF(예약내역!$A449="",FALSE(),AND(예약내역!$A449=$B$3,예약내역!$J449&lt;&gt;"취소"))</f>
        <v>0</v>
      </c>
      <c r="K452" s="5" t="str">
        <f aca="false">IF($J452=FALSE(),"",예약내역!$L449*10000+ROW())</f>
        <v/>
      </c>
      <c r="L452" s="5" t="str">
        <f aca="false">IF($K452="","",RANK($K452,$K$6:$K$2005,1))</f>
        <v/>
      </c>
    </row>
    <row r="453" customFormat="false" ht="15" hidden="false" customHeight="true" outlineLevel="0" collapsed="false">
      <c r="J453" s="21" t="b">
        <f aca="false">IF(예약내역!$A450="",FALSE(),AND(예약내역!$A450=$B$3,예약내역!$J450&lt;&gt;"취소"))</f>
        <v>0</v>
      </c>
      <c r="K453" s="5" t="str">
        <f aca="false">IF($J453=FALSE(),"",예약내역!$L450*10000+ROW())</f>
        <v/>
      </c>
      <c r="L453" s="5" t="str">
        <f aca="false">IF($K453="","",RANK($K453,$K$6:$K$2005,1))</f>
        <v/>
      </c>
    </row>
    <row r="454" customFormat="false" ht="15" hidden="false" customHeight="true" outlineLevel="0" collapsed="false">
      <c r="J454" s="21" t="b">
        <f aca="false">IF(예약내역!$A451="",FALSE(),AND(예약내역!$A451=$B$3,예약내역!$J451&lt;&gt;"취소"))</f>
        <v>0</v>
      </c>
      <c r="K454" s="5" t="str">
        <f aca="false">IF($J454=FALSE(),"",예약내역!$L451*10000+ROW())</f>
        <v/>
      </c>
      <c r="L454" s="5" t="str">
        <f aca="false">IF($K454="","",RANK($K454,$K$6:$K$2005,1))</f>
        <v/>
      </c>
    </row>
    <row r="455" customFormat="false" ht="15" hidden="false" customHeight="true" outlineLevel="0" collapsed="false">
      <c r="J455" s="21" t="b">
        <f aca="false">IF(예약내역!$A452="",FALSE(),AND(예약내역!$A452=$B$3,예약내역!$J452&lt;&gt;"취소"))</f>
        <v>0</v>
      </c>
      <c r="K455" s="5" t="str">
        <f aca="false">IF($J455=FALSE(),"",예약내역!$L452*10000+ROW())</f>
        <v/>
      </c>
      <c r="L455" s="5" t="str">
        <f aca="false">IF($K455="","",RANK($K455,$K$6:$K$2005,1))</f>
        <v/>
      </c>
    </row>
    <row r="456" customFormat="false" ht="15" hidden="false" customHeight="true" outlineLevel="0" collapsed="false">
      <c r="J456" s="21" t="b">
        <f aca="false">IF(예약내역!$A453="",FALSE(),AND(예약내역!$A453=$B$3,예약내역!$J453&lt;&gt;"취소"))</f>
        <v>0</v>
      </c>
      <c r="K456" s="5" t="str">
        <f aca="false">IF($J456=FALSE(),"",예약내역!$L453*10000+ROW())</f>
        <v/>
      </c>
      <c r="L456" s="5" t="str">
        <f aca="false">IF($K456="","",RANK($K456,$K$6:$K$2005,1))</f>
        <v/>
      </c>
    </row>
    <row r="457" customFormat="false" ht="15" hidden="false" customHeight="true" outlineLevel="0" collapsed="false">
      <c r="J457" s="21" t="b">
        <f aca="false">IF(예약내역!$A454="",FALSE(),AND(예약내역!$A454=$B$3,예약내역!$J454&lt;&gt;"취소"))</f>
        <v>0</v>
      </c>
      <c r="K457" s="5" t="str">
        <f aca="false">IF($J457=FALSE(),"",예약내역!$L454*10000+ROW())</f>
        <v/>
      </c>
      <c r="L457" s="5" t="str">
        <f aca="false">IF($K457="","",RANK($K457,$K$6:$K$2005,1))</f>
        <v/>
      </c>
    </row>
    <row r="458" customFormat="false" ht="15" hidden="false" customHeight="true" outlineLevel="0" collapsed="false">
      <c r="J458" s="21" t="b">
        <f aca="false">IF(예약내역!$A455="",FALSE(),AND(예약내역!$A455=$B$3,예약내역!$J455&lt;&gt;"취소"))</f>
        <v>0</v>
      </c>
      <c r="K458" s="5" t="str">
        <f aca="false">IF($J458=FALSE(),"",예약내역!$L455*10000+ROW())</f>
        <v/>
      </c>
      <c r="L458" s="5" t="str">
        <f aca="false">IF($K458="","",RANK($K458,$K$6:$K$2005,1))</f>
        <v/>
      </c>
    </row>
    <row r="459" customFormat="false" ht="15" hidden="false" customHeight="true" outlineLevel="0" collapsed="false">
      <c r="J459" s="21" t="b">
        <f aca="false">IF(예약내역!$A456="",FALSE(),AND(예약내역!$A456=$B$3,예약내역!$J456&lt;&gt;"취소"))</f>
        <v>0</v>
      </c>
      <c r="K459" s="5" t="str">
        <f aca="false">IF($J459=FALSE(),"",예약내역!$L456*10000+ROW())</f>
        <v/>
      </c>
      <c r="L459" s="5" t="str">
        <f aca="false">IF($K459="","",RANK($K459,$K$6:$K$2005,1))</f>
        <v/>
      </c>
    </row>
    <row r="460" customFormat="false" ht="15" hidden="false" customHeight="true" outlineLevel="0" collapsed="false">
      <c r="J460" s="21" t="b">
        <f aca="false">IF(예약내역!$A457="",FALSE(),AND(예약내역!$A457=$B$3,예약내역!$J457&lt;&gt;"취소"))</f>
        <v>0</v>
      </c>
      <c r="K460" s="5" t="str">
        <f aca="false">IF($J460=FALSE(),"",예약내역!$L457*10000+ROW())</f>
        <v/>
      </c>
      <c r="L460" s="5" t="str">
        <f aca="false">IF($K460="","",RANK($K460,$K$6:$K$2005,1))</f>
        <v/>
      </c>
    </row>
    <row r="461" customFormat="false" ht="15" hidden="false" customHeight="true" outlineLevel="0" collapsed="false">
      <c r="J461" s="21" t="b">
        <f aca="false">IF(예약내역!$A458="",FALSE(),AND(예약내역!$A458=$B$3,예약내역!$J458&lt;&gt;"취소"))</f>
        <v>0</v>
      </c>
      <c r="K461" s="5" t="str">
        <f aca="false">IF($J461=FALSE(),"",예약내역!$L458*10000+ROW())</f>
        <v/>
      </c>
      <c r="L461" s="5" t="str">
        <f aca="false">IF($K461="","",RANK($K461,$K$6:$K$2005,1))</f>
        <v/>
      </c>
    </row>
    <row r="462" customFormat="false" ht="15" hidden="false" customHeight="true" outlineLevel="0" collapsed="false">
      <c r="J462" s="21" t="b">
        <f aca="false">IF(예약내역!$A459="",FALSE(),AND(예약내역!$A459=$B$3,예약내역!$J459&lt;&gt;"취소"))</f>
        <v>0</v>
      </c>
      <c r="K462" s="5" t="str">
        <f aca="false">IF($J462=FALSE(),"",예약내역!$L459*10000+ROW())</f>
        <v/>
      </c>
      <c r="L462" s="5" t="str">
        <f aca="false">IF($K462="","",RANK($K462,$K$6:$K$2005,1))</f>
        <v/>
      </c>
    </row>
    <row r="463" customFormat="false" ht="15" hidden="false" customHeight="true" outlineLevel="0" collapsed="false">
      <c r="J463" s="21" t="b">
        <f aca="false">IF(예약내역!$A460="",FALSE(),AND(예약내역!$A460=$B$3,예약내역!$J460&lt;&gt;"취소"))</f>
        <v>0</v>
      </c>
      <c r="K463" s="5" t="str">
        <f aca="false">IF($J463=FALSE(),"",예약내역!$L460*10000+ROW())</f>
        <v/>
      </c>
      <c r="L463" s="5" t="str">
        <f aca="false">IF($K463="","",RANK($K463,$K$6:$K$2005,1))</f>
        <v/>
      </c>
    </row>
    <row r="464" customFormat="false" ht="15" hidden="false" customHeight="true" outlineLevel="0" collapsed="false">
      <c r="J464" s="21" t="b">
        <f aca="false">IF(예약내역!$A461="",FALSE(),AND(예약내역!$A461=$B$3,예약내역!$J461&lt;&gt;"취소"))</f>
        <v>0</v>
      </c>
      <c r="K464" s="5" t="str">
        <f aca="false">IF($J464=FALSE(),"",예약내역!$L461*10000+ROW())</f>
        <v/>
      </c>
      <c r="L464" s="5" t="str">
        <f aca="false">IF($K464="","",RANK($K464,$K$6:$K$2005,1))</f>
        <v/>
      </c>
    </row>
    <row r="465" customFormat="false" ht="15" hidden="false" customHeight="true" outlineLevel="0" collapsed="false">
      <c r="J465" s="21" t="b">
        <f aca="false">IF(예약내역!$A462="",FALSE(),AND(예약내역!$A462=$B$3,예약내역!$J462&lt;&gt;"취소"))</f>
        <v>0</v>
      </c>
      <c r="K465" s="5" t="str">
        <f aca="false">IF($J465=FALSE(),"",예약내역!$L462*10000+ROW())</f>
        <v/>
      </c>
      <c r="L465" s="5" t="str">
        <f aca="false">IF($K465="","",RANK($K465,$K$6:$K$2005,1))</f>
        <v/>
      </c>
    </row>
    <row r="466" customFormat="false" ht="15" hidden="false" customHeight="true" outlineLevel="0" collapsed="false">
      <c r="J466" s="21" t="b">
        <f aca="false">IF(예약내역!$A463="",FALSE(),AND(예약내역!$A463=$B$3,예약내역!$J463&lt;&gt;"취소"))</f>
        <v>0</v>
      </c>
      <c r="K466" s="5" t="str">
        <f aca="false">IF($J466=FALSE(),"",예약내역!$L463*10000+ROW())</f>
        <v/>
      </c>
      <c r="L466" s="5" t="str">
        <f aca="false">IF($K466="","",RANK($K466,$K$6:$K$2005,1))</f>
        <v/>
      </c>
    </row>
    <row r="467" customFormat="false" ht="15" hidden="false" customHeight="true" outlineLevel="0" collapsed="false">
      <c r="J467" s="21" t="b">
        <f aca="false">IF(예약내역!$A464="",FALSE(),AND(예약내역!$A464=$B$3,예약내역!$J464&lt;&gt;"취소"))</f>
        <v>0</v>
      </c>
      <c r="K467" s="5" t="str">
        <f aca="false">IF($J467=FALSE(),"",예약내역!$L464*10000+ROW())</f>
        <v/>
      </c>
      <c r="L467" s="5" t="str">
        <f aca="false">IF($K467="","",RANK($K467,$K$6:$K$2005,1))</f>
        <v/>
      </c>
    </row>
    <row r="468" customFormat="false" ht="15" hidden="false" customHeight="true" outlineLevel="0" collapsed="false">
      <c r="J468" s="21" t="b">
        <f aca="false">IF(예약내역!$A465="",FALSE(),AND(예약내역!$A465=$B$3,예약내역!$J465&lt;&gt;"취소"))</f>
        <v>0</v>
      </c>
      <c r="K468" s="5" t="str">
        <f aca="false">IF($J468=FALSE(),"",예약내역!$L465*10000+ROW())</f>
        <v/>
      </c>
      <c r="L468" s="5" t="str">
        <f aca="false">IF($K468="","",RANK($K468,$K$6:$K$2005,1))</f>
        <v/>
      </c>
    </row>
    <row r="469" customFormat="false" ht="15" hidden="false" customHeight="true" outlineLevel="0" collapsed="false">
      <c r="J469" s="21" t="b">
        <f aca="false">IF(예약내역!$A466="",FALSE(),AND(예약내역!$A466=$B$3,예약내역!$J466&lt;&gt;"취소"))</f>
        <v>0</v>
      </c>
      <c r="K469" s="5" t="str">
        <f aca="false">IF($J469=FALSE(),"",예약내역!$L466*10000+ROW())</f>
        <v/>
      </c>
      <c r="L469" s="5" t="str">
        <f aca="false">IF($K469="","",RANK($K469,$K$6:$K$2005,1))</f>
        <v/>
      </c>
    </row>
    <row r="470" customFormat="false" ht="15" hidden="false" customHeight="true" outlineLevel="0" collapsed="false">
      <c r="J470" s="21" t="b">
        <f aca="false">IF(예약내역!$A467="",FALSE(),AND(예약내역!$A467=$B$3,예약내역!$J467&lt;&gt;"취소"))</f>
        <v>0</v>
      </c>
      <c r="K470" s="5" t="str">
        <f aca="false">IF($J470=FALSE(),"",예약내역!$L467*10000+ROW())</f>
        <v/>
      </c>
      <c r="L470" s="5" t="str">
        <f aca="false">IF($K470="","",RANK($K470,$K$6:$K$2005,1))</f>
        <v/>
      </c>
    </row>
    <row r="471" customFormat="false" ht="15" hidden="false" customHeight="true" outlineLevel="0" collapsed="false">
      <c r="J471" s="21" t="b">
        <f aca="false">IF(예약내역!$A468="",FALSE(),AND(예약내역!$A468=$B$3,예약내역!$J468&lt;&gt;"취소"))</f>
        <v>0</v>
      </c>
      <c r="K471" s="5" t="str">
        <f aca="false">IF($J471=FALSE(),"",예약내역!$L468*10000+ROW())</f>
        <v/>
      </c>
      <c r="L471" s="5" t="str">
        <f aca="false">IF($K471="","",RANK($K471,$K$6:$K$2005,1))</f>
        <v/>
      </c>
    </row>
    <row r="472" customFormat="false" ht="15" hidden="false" customHeight="true" outlineLevel="0" collapsed="false">
      <c r="J472" s="21" t="b">
        <f aca="false">IF(예약내역!$A469="",FALSE(),AND(예약내역!$A469=$B$3,예약내역!$J469&lt;&gt;"취소"))</f>
        <v>0</v>
      </c>
      <c r="K472" s="5" t="str">
        <f aca="false">IF($J472=FALSE(),"",예약내역!$L469*10000+ROW())</f>
        <v/>
      </c>
      <c r="L472" s="5" t="str">
        <f aca="false">IF($K472="","",RANK($K472,$K$6:$K$2005,1))</f>
        <v/>
      </c>
    </row>
    <row r="473" customFormat="false" ht="15" hidden="false" customHeight="true" outlineLevel="0" collapsed="false">
      <c r="J473" s="21" t="b">
        <f aca="false">IF(예약내역!$A470="",FALSE(),AND(예약내역!$A470=$B$3,예약내역!$J470&lt;&gt;"취소"))</f>
        <v>0</v>
      </c>
      <c r="K473" s="5" t="str">
        <f aca="false">IF($J473=FALSE(),"",예약내역!$L470*10000+ROW())</f>
        <v/>
      </c>
      <c r="L473" s="5" t="str">
        <f aca="false">IF($K473="","",RANK($K473,$K$6:$K$2005,1))</f>
        <v/>
      </c>
    </row>
    <row r="474" customFormat="false" ht="15" hidden="false" customHeight="true" outlineLevel="0" collapsed="false">
      <c r="J474" s="21" t="b">
        <f aca="false">IF(예약내역!$A471="",FALSE(),AND(예약내역!$A471=$B$3,예약내역!$J471&lt;&gt;"취소"))</f>
        <v>0</v>
      </c>
      <c r="K474" s="5" t="str">
        <f aca="false">IF($J474=FALSE(),"",예약내역!$L471*10000+ROW())</f>
        <v/>
      </c>
      <c r="L474" s="5" t="str">
        <f aca="false">IF($K474="","",RANK($K474,$K$6:$K$2005,1))</f>
        <v/>
      </c>
    </row>
    <row r="475" customFormat="false" ht="15" hidden="false" customHeight="true" outlineLevel="0" collapsed="false">
      <c r="J475" s="21" t="b">
        <f aca="false">IF(예약내역!$A472="",FALSE(),AND(예약내역!$A472=$B$3,예약내역!$J472&lt;&gt;"취소"))</f>
        <v>0</v>
      </c>
      <c r="K475" s="5" t="str">
        <f aca="false">IF($J475=FALSE(),"",예약내역!$L472*10000+ROW())</f>
        <v/>
      </c>
      <c r="L475" s="5" t="str">
        <f aca="false">IF($K475="","",RANK($K475,$K$6:$K$2005,1))</f>
        <v/>
      </c>
    </row>
    <row r="476" customFormat="false" ht="15" hidden="false" customHeight="true" outlineLevel="0" collapsed="false">
      <c r="J476" s="21" t="b">
        <f aca="false">IF(예약내역!$A473="",FALSE(),AND(예약내역!$A473=$B$3,예약내역!$J473&lt;&gt;"취소"))</f>
        <v>0</v>
      </c>
      <c r="K476" s="5" t="str">
        <f aca="false">IF($J476=FALSE(),"",예약내역!$L473*10000+ROW())</f>
        <v/>
      </c>
      <c r="L476" s="5" t="str">
        <f aca="false">IF($K476="","",RANK($K476,$K$6:$K$2005,1))</f>
        <v/>
      </c>
    </row>
    <row r="477" customFormat="false" ht="15" hidden="false" customHeight="true" outlineLevel="0" collapsed="false">
      <c r="J477" s="21" t="b">
        <f aca="false">IF(예약내역!$A474="",FALSE(),AND(예약내역!$A474=$B$3,예약내역!$J474&lt;&gt;"취소"))</f>
        <v>0</v>
      </c>
      <c r="K477" s="5" t="str">
        <f aca="false">IF($J477=FALSE(),"",예약내역!$L474*10000+ROW())</f>
        <v/>
      </c>
      <c r="L477" s="5" t="str">
        <f aca="false">IF($K477="","",RANK($K477,$K$6:$K$2005,1))</f>
        <v/>
      </c>
    </row>
    <row r="478" customFormat="false" ht="15" hidden="false" customHeight="true" outlineLevel="0" collapsed="false">
      <c r="J478" s="21" t="b">
        <f aca="false">IF(예약내역!$A475="",FALSE(),AND(예약내역!$A475=$B$3,예약내역!$J475&lt;&gt;"취소"))</f>
        <v>0</v>
      </c>
      <c r="K478" s="5" t="str">
        <f aca="false">IF($J478=FALSE(),"",예약내역!$L475*10000+ROW())</f>
        <v/>
      </c>
      <c r="L478" s="5" t="str">
        <f aca="false">IF($K478="","",RANK($K478,$K$6:$K$2005,1))</f>
        <v/>
      </c>
    </row>
    <row r="479" customFormat="false" ht="15" hidden="false" customHeight="true" outlineLevel="0" collapsed="false">
      <c r="J479" s="21" t="b">
        <f aca="false">IF(예약내역!$A476="",FALSE(),AND(예약내역!$A476=$B$3,예약내역!$J476&lt;&gt;"취소"))</f>
        <v>0</v>
      </c>
      <c r="K479" s="5" t="str">
        <f aca="false">IF($J479=FALSE(),"",예약내역!$L476*10000+ROW())</f>
        <v/>
      </c>
      <c r="L479" s="5" t="str">
        <f aca="false">IF($K479="","",RANK($K479,$K$6:$K$2005,1))</f>
        <v/>
      </c>
    </row>
    <row r="480" customFormat="false" ht="15" hidden="false" customHeight="true" outlineLevel="0" collapsed="false">
      <c r="J480" s="21" t="b">
        <f aca="false">IF(예약내역!$A477="",FALSE(),AND(예약내역!$A477=$B$3,예약내역!$J477&lt;&gt;"취소"))</f>
        <v>0</v>
      </c>
      <c r="K480" s="5" t="str">
        <f aca="false">IF($J480=FALSE(),"",예약내역!$L477*10000+ROW())</f>
        <v/>
      </c>
      <c r="L480" s="5" t="str">
        <f aca="false">IF($K480="","",RANK($K480,$K$6:$K$2005,1))</f>
        <v/>
      </c>
    </row>
    <row r="481" customFormat="false" ht="15" hidden="false" customHeight="true" outlineLevel="0" collapsed="false">
      <c r="J481" s="21" t="b">
        <f aca="false">IF(예약내역!$A478="",FALSE(),AND(예약내역!$A478=$B$3,예약내역!$J478&lt;&gt;"취소"))</f>
        <v>0</v>
      </c>
      <c r="K481" s="5" t="str">
        <f aca="false">IF($J481=FALSE(),"",예약내역!$L478*10000+ROW())</f>
        <v/>
      </c>
      <c r="L481" s="5" t="str">
        <f aca="false">IF($K481="","",RANK($K481,$K$6:$K$2005,1))</f>
        <v/>
      </c>
    </row>
    <row r="482" customFormat="false" ht="15" hidden="false" customHeight="true" outlineLevel="0" collapsed="false">
      <c r="J482" s="21" t="b">
        <f aca="false">IF(예약내역!$A479="",FALSE(),AND(예약내역!$A479=$B$3,예약내역!$J479&lt;&gt;"취소"))</f>
        <v>0</v>
      </c>
      <c r="K482" s="5" t="str">
        <f aca="false">IF($J482=FALSE(),"",예약내역!$L479*10000+ROW())</f>
        <v/>
      </c>
      <c r="L482" s="5" t="str">
        <f aca="false">IF($K482="","",RANK($K482,$K$6:$K$2005,1))</f>
        <v/>
      </c>
    </row>
    <row r="483" customFormat="false" ht="15" hidden="false" customHeight="true" outlineLevel="0" collapsed="false">
      <c r="J483" s="21" t="b">
        <f aca="false">IF(예약내역!$A480="",FALSE(),AND(예약내역!$A480=$B$3,예약내역!$J480&lt;&gt;"취소"))</f>
        <v>0</v>
      </c>
      <c r="K483" s="5" t="str">
        <f aca="false">IF($J483=FALSE(),"",예약내역!$L480*10000+ROW())</f>
        <v/>
      </c>
      <c r="L483" s="5" t="str">
        <f aca="false">IF($K483="","",RANK($K483,$K$6:$K$2005,1))</f>
        <v/>
      </c>
    </row>
    <row r="484" customFormat="false" ht="15" hidden="false" customHeight="true" outlineLevel="0" collapsed="false">
      <c r="J484" s="21" t="b">
        <f aca="false">IF(예약내역!$A481="",FALSE(),AND(예약내역!$A481=$B$3,예약내역!$J481&lt;&gt;"취소"))</f>
        <v>0</v>
      </c>
      <c r="K484" s="5" t="str">
        <f aca="false">IF($J484=FALSE(),"",예약내역!$L481*10000+ROW())</f>
        <v/>
      </c>
      <c r="L484" s="5" t="str">
        <f aca="false">IF($K484="","",RANK($K484,$K$6:$K$2005,1))</f>
        <v/>
      </c>
    </row>
    <row r="485" customFormat="false" ht="15" hidden="false" customHeight="true" outlineLevel="0" collapsed="false">
      <c r="J485" s="21" t="b">
        <f aca="false">IF(예약내역!$A482="",FALSE(),AND(예약내역!$A482=$B$3,예약내역!$J482&lt;&gt;"취소"))</f>
        <v>0</v>
      </c>
      <c r="K485" s="5" t="str">
        <f aca="false">IF($J485=FALSE(),"",예약내역!$L482*10000+ROW())</f>
        <v/>
      </c>
      <c r="L485" s="5" t="str">
        <f aca="false">IF($K485="","",RANK($K485,$K$6:$K$2005,1))</f>
        <v/>
      </c>
    </row>
    <row r="486" customFormat="false" ht="15" hidden="false" customHeight="true" outlineLevel="0" collapsed="false">
      <c r="J486" s="21" t="b">
        <f aca="false">IF(예약내역!$A483="",FALSE(),AND(예약내역!$A483=$B$3,예약내역!$J483&lt;&gt;"취소"))</f>
        <v>0</v>
      </c>
      <c r="K486" s="5" t="str">
        <f aca="false">IF($J486=FALSE(),"",예약내역!$L483*10000+ROW())</f>
        <v/>
      </c>
      <c r="L486" s="5" t="str">
        <f aca="false">IF($K486="","",RANK($K486,$K$6:$K$2005,1))</f>
        <v/>
      </c>
    </row>
    <row r="487" customFormat="false" ht="15" hidden="false" customHeight="true" outlineLevel="0" collapsed="false">
      <c r="J487" s="21" t="b">
        <f aca="false">IF(예약내역!$A484="",FALSE(),AND(예약내역!$A484=$B$3,예약내역!$J484&lt;&gt;"취소"))</f>
        <v>0</v>
      </c>
      <c r="K487" s="5" t="str">
        <f aca="false">IF($J487=FALSE(),"",예약내역!$L484*10000+ROW())</f>
        <v/>
      </c>
      <c r="L487" s="5" t="str">
        <f aca="false">IF($K487="","",RANK($K487,$K$6:$K$2005,1))</f>
        <v/>
      </c>
    </row>
    <row r="488" customFormat="false" ht="15" hidden="false" customHeight="true" outlineLevel="0" collapsed="false">
      <c r="J488" s="21" t="b">
        <f aca="false">IF(예약내역!$A485="",FALSE(),AND(예약내역!$A485=$B$3,예약내역!$J485&lt;&gt;"취소"))</f>
        <v>0</v>
      </c>
      <c r="K488" s="5" t="str">
        <f aca="false">IF($J488=FALSE(),"",예약내역!$L485*10000+ROW())</f>
        <v/>
      </c>
      <c r="L488" s="5" t="str">
        <f aca="false">IF($K488="","",RANK($K488,$K$6:$K$2005,1))</f>
        <v/>
      </c>
    </row>
    <row r="489" customFormat="false" ht="15" hidden="false" customHeight="true" outlineLevel="0" collapsed="false">
      <c r="J489" s="21" t="b">
        <f aca="false">IF(예약내역!$A486="",FALSE(),AND(예약내역!$A486=$B$3,예약내역!$J486&lt;&gt;"취소"))</f>
        <v>0</v>
      </c>
      <c r="K489" s="5" t="str">
        <f aca="false">IF($J489=FALSE(),"",예약내역!$L486*10000+ROW())</f>
        <v/>
      </c>
      <c r="L489" s="5" t="str">
        <f aca="false">IF($K489="","",RANK($K489,$K$6:$K$2005,1))</f>
        <v/>
      </c>
    </row>
    <row r="490" customFormat="false" ht="15" hidden="false" customHeight="true" outlineLevel="0" collapsed="false">
      <c r="J490" s="21" t="b">
        <f aca="false">IF(예약내역!$A487="",FALSE(),AND(예약내역!$A487=$B$3,예약내역!$J487&lt;&gt;"취소"))</f>
        <v>0</v>
      </c>
      <c r="K490" s="5" t="str">
        <f aca="false">IF($J490=FALSE(),"",예약내역!$L487*10000+ROW())</f>
        <v/>
      </c>
      <c r="L490" s="5" t="str">
        <f aca="false">IF($K490="","",RANK($K490,$K$6:$K$2005,1))</f>
        <v/>
      </c>
    </row>
    <row r="491" customFormat="false" ht="15" hidden="false" customHeight="true" outlineLevel="0" collapsed="false">
      <c r="J491" s="21" t="b">
        <f aca="false">IF(예약내역!$A488="",FALSE(),AND(예약내역!$A488=$B$3,예약내역!$J488&lt;&gt;"취소"))</f>
        <v>0</v>
      </c>
      <c r="K491" s="5" t="str">
        <f aca="false">IF($J491=FALSE(),"",예약내역!$L488*10000+ROW())</f>
        <v/>
      </c>
      <c r="L491" s="5" t="str">
        <f aca="false">IF($K491="","",RANK($K491,$K$6:$K$2005,1))</f>
        <v/>
      </c>
    </row>
    <row r="492" customFormat="false" ht="15" hidden="false" customHeight="true" outlineLevel="0" collapsed="false">
      <c r="J492" s="21" t="b">
        <f aca="false">IF(예약내역!$A489="",FALSE(),AND(예약내역!$A489=$B$3,예약내역!$J489&lt;&gt;"취소"))</f>
        <v>0</v>
      </c>
      <c r="K492" s="5" t="str">
        <f aca="false">IF($J492=FALSE(),"",예약내역!$L489*10000+ROW())</f>
        <v/>
      </c>
      <c r="L492" s="5" t="str">
        <f aca="false">IF($K492="","",RANK($K492,$K$6:$K$2005,1))</f>
        <v/>
      </c>
    </row>
    <row r="493" customFormat="false" ht="15" hidden="false" customHeight="true" outlineLevel="0" collapsed="false">
      <c r="J493" s="21" t="b">
        <f aca="false">IF(예약내역!$A490="",FALSE(),AND(예약내역!$A490=$B$3,예약내역!$J490&lt;&gt;"취소"))</f>
        <v>0</v>
      </c>
      <c r="K493" s="5" t="str">
        <f aca="false">IF($J493=FALSE(),"",예약내역!$L490*10000+ROW())</f>
        <v/>
      </c>
      <c r="L493" s="5" t="str">
        <f aca="false">IF($K493="","",RANK($K493,$K$6:$K$2005,1))</f>
        <v/>
      </c>
    </row>
    <row r="494" customFormat="false" ht="15" hidden="false" customHeight="true" outlineLevel="0" collapsed="false">
      <c r="J494" s="21" t="b">
        <f aca="false">IF(예약내역!$A491="",FALSE(),AND(예약내역!$A491=$B$3,예약내역!$J491&lt;&gt;"취소"))</f>
        <v>0</v>
      </c>
      <c r="K494" s="5" t="str">
        <f aca="false">IF($J494=FALSE(),"",예약내역!$L491*10000+ROW())</f>
        <v/>
      </c>
      <c r="L494" s="5" t="str">
        <f aca="false">IF($K494="","",RANK($K494,$K$6:$K$2005,1))</f>
        <v/>
      </c>
    </row>
    <row r="495" customFormat="false" ht="15" hidden="false" customHeight="true" outlineLevel="0" collapsed="false">
      <c r="J495" s="21" t="b">
        <f aca="false">IF(예약내역!$A492="",FALSE(),AND(예약내역!$A492=$B$3,예약내역!$J492&lt;&gt;"취소"))</f>
        <v>0</v>
      </c>
      <c r="K495" s="5" t="str">
        <f aca="false">IF($J495=FALSE(),"",예약내역!$L492*10000+ROW())</f>
        <v/>
      </c>
      <c r="L495" s="5" t="str">
        <f aca="false">IF($K495="","",RANK($K495,$K$6:$K$2005,1))</f>
        <v/>
      </c>
    </row>
    <row r="496" customFormat="false" ht="15" hidden="false" customHeight="true" outlineLevel="0" collapsed="false">
      <c r="J496" s="21" t="b">
        <f aca="false">IF(예약내역!$A493="",FALSE(),AND(예약내역!$A493=$B$3,예약내역!$J493&lt;&gt;"취소"))</f>
        <v>0</v>
      </c>
      <c r="K496" s="5" t="str">
        <f aca="false">IF($J496=FALSE(),"",예약내역!$L493*10000+ROW())</f>
        <v/>
      </c>
      <c r="L496" s="5" t="str">
        <f aca="false">IF($K496="","",RANK($K496,$K$6:$K$2005,1))</f>
        <v/>
      </c>
    </row>
    <row r="497" customFormat="false" ht="15" hidden="false" customHeight="true" outlineLevel="0" collapsed="false">
      <c r="J497" s="21" t="b">
        <f aca="false">IF(예약내역!$A494="",FALSE(),AND(예약내역!$A494=$B$3,예약내역!$J494&lt;&gt;"취소"))</f>
        <v>0</v>
      </c>
      <c r="K497" s="5" t="str">
        <f aca="false">IF($J497=FALSE(),"",예약내역!$L494*10000+ROW())</f>
        <v/>
      </c>
      <c r="L497" s="5" t="str">
        <f aca="false">IF($K497="","",RANK($K497,$K$6:$K$2005,1))</f>
        <v/>
      </c>
    </row>
    <row r="498" customFormat="false" ht="15" hidden="false" customHeight="true" outlineLevel="0" collapsed="false">
      <c r="J498" s="21" t="b">
        <f aca="false">IF(예약내역!$A495="",FALSE(),AND(예약내역!$A495=$B$3,예약내역!$J495&lt;&gt;"취소"))</f>
        <v>0</v>
      </c>
      <c r="K498" s="5" t="str">
        <f aca="false">IF($J498=FALSE(),"",예약내역!$L495*10000+ROW())</f>
        <v/>
      </c>
      <c r="L498" s="5" t="str">
        <f aca="false">IF($K498="","",RANK($K498,$K$6:$K$2005,1))</f>
        <v/>
      </c>
    </row>
    <row r="499" customFormat="false" ht="15" hidden="false" customHeight="true" outlineLevel="0" collapsed="false">
      <c r="J499" s="21" t="b">
        <f aca="false">IF(예약내역!$A496="",FALSE(),AND(예약내역!$A496=$B$3,예약내역!$J496&lt;&gt;"취소"))</f>
        <v>0</v>
      </c>
      <c r="K499" s="5" t="str">
        <f aca="false">IF($J499=FALSE(),"",예약내역!$L496*10000+ROW())</f>
        <v/>
      </c>
      <c r="L499" s="5" t="str">
        <f aca="false">IF($K499="","",RANK($K499,$K$6:$K$2005,1))</f>
        <v/>
      </c>
    </row>
    <row r="500" customFormat="false" ht="15" hidden="false" customHeight="true" outlineLevel="0" collapsed="false">
      <c r="J500" s="21" t="b">
        <f aca="false">IF(예약내역!$A497="",FALSE(),AND(예약내역!$A497=$B$3,예약내역!$J497&lt;&gt;"취소"))</f>
        <v>0</v>
      </c>
      <c r="K500" s="5" t="str">
        <f aca="false">IF($J500=FALSE(),"",예약내역!$L497*10000+ROW())</f>
        <v/>
      </c>
      <c r="L500" s="5" t="str">
        <f aca="false">IF($K500="","",RANK($K500,$K$6:$K$2005,1))</f>
        <v/>
      </c>
    </row>
    <row r="501" customFormat="false" ht="15" hidden="false" customHeight="true" outlineLevel="0" collapsed="false">
      <c r="J501" s="21" t="b">
        <f aca="false">IF(예약내역!$A498="",FALSE(),AND(예약내역!$A498=$B$3,예약내역!$J498&lt;&gt;"취소"))</f>
        <v>0</v>
      </c>
      <c r="K501" s="5" t="str">
        <f aca="false">IF($J501=FALSE(),"",예약내역!$L498*10000+ROW())</f>
        <v/>
      </c>
      <c r="L501" s="5" t="str">
        <f aca="false">IF($K501="","",RANK($K501,$K$6:$K$2005,1))</f>
        <v/>
      </c>
    </row>
    <row r="502" customFormat="false" ht="15" hidden="false" customHeight="true" outlineLevel="0" collapsed="false">
      <c r="J502" s="21" t="b">
        <f aca="false">IF(예약내역!$A499="",FALSE(),AND(예약내역!$A499=$B$3,예약내역!$J499&lt;&gt;"취소"))</f>
        <v>0</v>
      </c>
      <c r="K502" s="5" t="str">
        <f aca="false">IF($J502=FALSE(),"",예약내역!$L499*10000+ROW())</f>
        <v/>
      </c>
      <c r="L502" s="5" t="str">
        <f aca="false">IF($K502="","",RANK($K502,$K$6:$K$2005,1))</f>
        <v/>
      </c>
    </row>
    <row r="503" customFormat="false" ht="15" hidden="false" customHeight="true" outlineLevel="0" collapsed="false">
      <c r="J503" s="21" t="b">
        <f aca="false">IF(예약내역!$A500="",FALSE(),AND(예약내역!$A500=$B$3,예약내역!$J500&lt;&gt;"취소"))</f>
        <v>0</v>
      </c>
      <c r="K503" s="5" t="str">
        <f aca="false">IF($J503=FALSE(),"",예약내역!$L500*10000+ROW())</f>
        <v/>
      </c>
      <c r="L503" s="5" t="str">
        <f aca="false">IF($K503="","",RANK($K503,$K$6:$K$2005,1))</f>
        <v/>
      </c>
    </row>
    <row r="504" customFormat="false" ht="15" hidden="false" customHeight="true" outlineLevel="0" collapsed="false">
      <c r="J504" s="21" t="b">
        <f aca="false">IF(예약내역!$A501="",FALSE(),AND(예약내역!$A501=$B$3,예약내역!$J501&lt;&gt;"취소"))</f>
        <v>0</v>
      </c>
      <c r="K504" s="5" t="str">
        <f aca="false">IF($J504=FALSE(),"",예약내역!$L501*10000+ROW())</f>
        <v/>
      </c>
      <c r="L504" s="5" t="str">
        <f aca="false">IF($K504="","",RANK($K504,$K$6:$K$2005,1))</f>
        <v/>
      </c>
    </row>
    <row r="505" customFormat="false" ht="15" hidden="false" customHeight="true" outlineLevel="0" collapsed="false">
      <c r="J505" s="21" t="b">
        <f aca="false">IF(예약내역!$A502="",FALSE(),AND(예약내역!$A502=$B$3,예약내역!$J502&lt;&gt;"취소"))</f>
        <v>0</v>
      </c>
      <c r="K505" s="5" t="str">
        <f aca="false">IF($J505=FALSE(),"",예약내역!$L502*10000+ROW())</f>
        <v/>
      </c>
      <c r="L505" s="5" t="str">
        <f aca="false">IF($K505="","",RANK($K505,$K$6:$K$2005,1))</f>
        <v/>
      </c>
    </row>
    <row r="506" customFormat="false" ht="15" hidden="false" customHeight="true" outlineLevel="0" collapsed="false">
      <c r="J506" s="21" t="b">
        <f aca="false">IF(예약내역!$A503="",FALSE(),AND(예약내역!$A503=$B$3,예약내역!$J503&lt;&gt;"취소"))</f>
        <v>0</v>
      </c>
      <c r="K506" s="5" t="str">
        <f aca="false">IF($J506=FALSE(),"",예약내역!$L503*10000+ROW())</f>
        <v/>
      </c>
      <c r="L506" s="5" t="str">
        <f aca="false">IF($K506="","",RANK($K506,$K$6:$K$2005,1))</f>
        <v/>
      </c>
    </row>
    <row r="507" customFormat="false" ht="15" hidden="false" customHeight="true" outlineLevel="0" collapsed="false">
      <c r="J507" s="21" t="b">
        <f aca="false">IF(예약내역!$A504="",FALSE(),AND(예약내역!$A504=$B$3,예약내역!$J504&lt;&gt;"취소"))</f>
        <v>0</v>
      </c>
      <c r="K507" s="5" t="str">
        <f aca="false">IF($J507=FALSE(),"",예약내역!$L504*10000+ROW())</f>
        <v/>
      </c>
      <c r="L507" s="5" t="str">
        <f aca="false">IF($K507="","",RANK($K507,$K$6:$K$2005,1))</f>
        <v/>
      </c>
    </row>
    <row r="508" customFormat="false" ht="15" hidden="false" customHeight="true" outlineLevel="0" collapsed="false">
      <c r="J508" s="21" t="b">
        <f aca="false">IF(예약내역!$A505="",FALSE(),AND(예약내역!$A505=$B$3,예약내역!$J505&lt;&gt;"취소"))</f>
        <v>0</v>
      </c>
      <c r="K508" s="5" t="str">
        <f aca="false">IF($J508=FALSE(),"",예약내역!$L505*10000+ROW())</f>
        <v/>
      </c>
      <c r="L508" s="5" t="str">
        <f aca="false">IF($K508="","",RANK($K508,$K$6:$K$2005,1))</f>
        <v/>
      </c>
    </row>
    <row r="509" customFormat="false" ht="15" hidden="false" customHeight="true" outlineLevel="0" collapsed="false">
      <c r="J509" s="21" t="b">
        <f aca="false">IF(예약내역!$A506="",FALSE(),AND(예약내역!$A506=$B$3,예약내역!$J506&lt;&gt;"취소"))</f>
        <v>0</v>
      </c>
      <c r="K509" s="5" t="str">
        <f aca="false">IF($J509=FALSE(),"",예약내역!$L506*10000+ROW())</f>
        <v/>
      </c>
      <c r="L509" s="5" t="str">
        <f aca="false">IF($K509="","",RANK($K509,$K$6:$K$2005,1))</f>
        <v/>
      </c>
    </row>
    <row r="510" customFormat="false" ht="15" hidden="false" customHeight="true" outlineLevel="0" collapsed="false">
      <c r="J510" s="21" t="b">
        <f aca="false">IF(예약내역!$A507="",FALSE(),AND(예약내역!$A507=$B$3,예약내역!$J507&lt;&gt;"취소"))</f>
        <v>0</v>
      </c>
      <c r="K510" s="5" t="str">
        <f aca="false">IF($J510=FALSE(),"",예약내역!$L507*10000+ROW())</f>
        <v/>
      </c>
      <c r="L510" s="5" t="str">
        <f aca="false">IF($K510="","",RANK($K510,$K$6:$K$2005,1))</f>
        <v/>
      </c>
    </row>
    <row r="511" customFormat="false" ht="15" hidden="false" customHeight="true" outlineLevel="0" collapsed="false">
      <c r="J511" s="21" t="b">
        <f aca="false">IF(예약내역!$A508="",FALSE(),AND(예약내역!$A508=$B$3,예약내역!$J508&lt;&gt;"취소"))</f>
        <v>0</v>
      </c>
      <c r="K511" s="5" t="str">
        <f aca="false">IF($J511=FALSE(),"",예약내역!$L508*10000+ROW())</f>
        <v/>
      </c>
      <c r="L511" s="5" t="str">
        <f aca="false">IF($K511="","",RANK($K511,$K$6:$K$2005,1))</f>
        <v/>
      </c>
    </row>
    <row r="512" customFormat="false" ht="15" hidden="false" customHeight="true" outlineLevel="0" collapsed="false">
      <c r="J512" s="21" t="b">
        <f aca="false">IF(예약내역!$A509="",FALSE(),AND(예약내역!$A509=$B$3,예약내역!$J509&lt;&gt;"취소"))</f>
        <v>0</v>
      </c>
      <c r="K512" s="5" t="str">
        <f aca="false">IF($J512=FALSE(),"",예약내역!$L509*10000+ROW())</f>
        <v/>
      </c>
      <c r="L512" s="5" t="str">
        <f aca="false">IF($K512="","",RANK($K512,$K$6:$K$2005,1))</f>
        <v/>
      </c>
    </row>
    <row r="513" customFormat="false" ht="15" hidden="false" customHeight="true" outlineLevel="0" collapsed="false">
      <c r="J513" s="21" t="b">
        <f aca="false">IF(예약내역!$A510="",FALSE(),AND(예약내역!$A510=$B$3,예약내역!$J510&lt;&gt;"취소"))</f>
        <v>0</v>
      </c>
      <c r="K513" s="5" t="str">
        <f aca="false">IF($J513=FALSE(),"",예약내역!$L510*10000+ROW())</f>
        <v/>
      </c>
      <c r="L513" s="5" t="str">
        <f aca="false">IF($K513="","",RANK($K513,$K$6:$K$2005,1))</f>
        <v/>
      </c>
    </row>
    <row r="514" customFormat="false" ht="15" hidden="false" customHeight="true" outlineLevel="0" collapsed="false">
      <c r="J514" s="21" t="b">
        <f aca="false">IF(예약내역!$A511="",FALSE(),AND(예약내역!$A511=$B$3,예약내역!$J511&lt;&gt;"취소"))</f>
        <v>0</v>
      </c>
      <c r="K514" s="5" t="str">
        <f aca="false">IF($J514=FALSE(),"",예약내역!$L511*10000+ROW())</f>
        <v/>
      </c>
      <c r="L514" s="5" t="str">
        <f aca="false">IF($K514="","",RANK($K514,$K$6:$K$2005,1))</f>
        <v/>
      </c>
    </row>
    <row r="515" customFormat="false" ht="15" hidden="false" customHeight="true" outlineLevel="0" collapsed="false">
      <c r="J515" s="21" t="b">
        <f aca="false">IF(예약내역!$A512="",FALSE(),AND(예약내역!$A512=$B$3,예약내역!$J512&lt;&gt;"취소"))</f>
        <v>0</v>
      </c>
      <c r="K515" s="5" t="str">
        <f aca="false">IF($J515=FALSE(),"",예약내역!$L512*10000+ROW())</f>
        <v/>
      </c>
      <c r="L515" s="5" t="str">
        <f aca="false">IF($K515="","",RANK($K515,$K$6:$K$2005,1))</f>
        <v/>
      </c>
    </row>
    <row r="516" customFormat="false" ht="15" hidden="false" customHeight="true" outlineLevel="0" collapsed="false">
      <c r="J516" s="21" t="b">
        <f aca="false">IF(예약내역!$A513="",FALSE(),AND(예약내역!$A513=$B$3,예약내역!$J513&lt;&gt;"취소"))</f>
        <v>0</v>
      </c>
      <c r="K516" s="5" t="str">
        <f aca="false">IF($J516=FALSE(),"",예약내역!$L513*10000+ROW())</f>
        <v/>
      </c>
      <c r="L516" s="5" t="str">
        <f aca="false">IF($K516="","",RANK($K516,$K$6:$K$2005,1))</f>
        <v/>
      </c>
    </row>
    <row r="517" customFormat="false" ht="15" hidden="false" customHeight="true" outlineLevel="0" collapsed="false">
      <c r="J517" s="21" t="b">
        <f aca="false">IF(예약내역!$A514="",FALSE(),AND(예약내역!$A514=$B$3,예약내역!$J514&lt;&gt;"취소"))</f>
        <v>0</v>
      </c>
      <c r="K517" s="5" t="str">
        <f aca="false">IF($J517=FALSE(),"",예약내역!$L514*10000+ROW())</f>
        <v/>
      </c>
      <c r="L517" s="5" t="str">
        <f aca="false">IF($K517="","",RANK($K517,$K$6:$K$2005,1))</f>
        <v/>
      </c>
    </row>
    <row r="518" customFormat="false" ht="15" hidden="false" customHeight="true" outlineLevel="0" collapsed="false">
      <c r="J518" s="21" t="b">
        <f aca="false">IF(예약내역!$A515="",FALSE(),AND(예약내역!$A515=$B$3,예약내역!$J515&lt;&gt;"취소"))</f>
        <v>0</v>
      </c>
      <c r="K518" s="5" t="str">
        <f aca="false">IF($J518=FALSE(),"",예약내역!$L515*10000+ROW())</f>
        <v/>
      </c>
      <c r="L518" s="5" t="str">
        <f aca="false">IF($K518="","",RANK($K518,$K$6:$K$2005,1))</f>
        <v/>
      </c>
    </row>
    <row r="519" customFormat="false" ht="15" hidden="false" customHeight="true" outlineLevel="0" collapsed="false">
      <c r="J519" s="21" t="b">
        <f aca="false">IF(예약내역!$A516="",FALSE(),AND(예약내역!$A516=$B$3,예약내역!$J516&lt;&gt;"취소"))</f>
        <v>0</v>
      </c>
      <c r="K519" s="5" t="str">
        <f aca="false">IF($J519=FALSE(),"",예약내역!$L516*10000+ROW())</f>
        <v/>
      </c>
      <c r="L519" s="5" t="str">
        <f aca="false">IF($K519="","",RANK($K519,$K$6:$K$2005,1))</f>
        <v/>
      </c>
    </row>
    <row r="520" customFormat="false" ht="15" hidden="false" customHeight="true" outlineLevel="0" collapsed="false">
      <c r="J520" s="21" t="b">
        <f aca="false">IF(예약내역!$A517="",FALSE(),AND(예약내역!$A517=$B$3,예약내역!$J517&lt;&gt;"취소"))</f>
        <v>0</v>
      </c>
      <c r="K520" s="5" t="str">
        <f aca="false">IF($J520=FALSE(),"",예약내역!$L517*10000+ROW())</f>
        <v/>
      </c>
      <c r="L520" s="5" t="str">
        <f aca="false">IF($K520="","",RANK($K520,$K$6:$K$2005,1))</f>
        <v/>
      </c>
    </row>
    <row r="521" customFormat="false" ht="15" hidden="false" customHeight="true" outlineLevel="0" collapsed="false">
      <c r="J521" s="21" t="b">
        <f aca="false">IF(예약내역!$A518="",FALSE(),AND(예약내역!$A518=$B$3,예약내역!$J518&lt;&gt;"취소"))</f>
        <v>0</v>
      </c>
      <c r="K521" s="5" t="str">
        <f aca="false">IF($J521=FALSE(),"",예약내역!$L518*10000+ROW())</f>
        <v/>
      </c>
      <c r="L521" s="5" t="str">
        <f aca="false">IF($K521="","",RANK($K521,$K$6:$K$2005,1))</f>
        <v/>
      </c>
    </row>
    <row r="522" customFormat="false" ht="15" hidden="false" customHeight="true" outlineLevel="0" collapsed="false">
      <c r="J522" s="21" t="b">
        <f aca="false">IF(예약내역!$A519="",FALSE(),AND(예약내역!$A519=$B$3,예약내역!$J519&lt;&gt;"취소"))</f>
        <v>0</v>
      </c>
      <c r="K522" s="5" t="str">
        <f aca="false">IF($J522=FALSE(),"",예약내역!$L519*10000+ROW())</f>
        <v/>
      </c>
      <c r="L522" s="5" t="str">
        <f aca="false">IF($K522="","",RANK($K522,$K$6:$K$2005,1))</f>
        <v/>
      </c>
    </row>
    <row r="523" customFormat="false" ht="15" hidden="false" customHeight="true" outlineLevel="0" collapsed="false">
      <c r="J523" s="21" t="b">
        <f aca="false">IF(예약내역!$A520="",FALSE(),AND(예약내역!$A520=$B$3,예약내역!$J520&lt;&gt;"취소"))</f>
        <v>0</v>
      </c>
      <c r="K523" s="5" t="str">
        <f aca="false">IF($J523=FALSE(),"",예약내역!$L520*10000+ROW())</f>
        <v/>
      </c>
      <c r="L523" s="5" t="str">
        <f aca="false">IF($K523="","",RANK($K523,$K$6:$K$2005,1))</f>
        <v/>
      </c>
    </row>
    <row r="524" customFormat="false" ht="15" hidden="false" customHeight="true" outlineLevel="0" collapsed="false">
      <c r="J524" s="21" t="b">
        <f aca="false">IF(예약내역!$A521="",FALSE(),AND(예약내역!$A521=$B$3,예약내역!$J521&lt;&gt;"취소"))</f>
        <v>0</v>
      </c>
      <c r="K524" s="5" t="str">
        <f aca="false">IF($J524=FALSE(),"",예약내역!$L521*10000+ROW())</f>
        <v/>
      </c>
      <c r="L524" s="5" t="str">
        <f aca="false">IF($K524="","",RANK($K524,$K$6:$K$2005,1))</f>
        <v/>
      </c>
    </row>
    <row r="525" customFormat="false" ht="15" hidden="false" customHeight="true" outlineLevel="0" collapsed="false">
      <c r="J525" s="21" t="b">
        <f aca="false">IF(예약내역!$A522="",FALSE(),AND(예약내역!$A522=$B$3,예약내역!$J522&lt;&gt;"취소"))</f>
        <v>0</v>
      </c>
      <c r="K525" s="5" t="str">
        <f aca="false">IF($J525=FALSE(),"",예약내역!$L522*10000+ROW())</f>
        <v/>
      </c>
      <c r="L525" s="5" t="str">
        <f aca="false">IF($K525="","",RANK($K525,$K$6:$K$2005,1))</f>
        <v/>
      </c>
    </row>
    <row r="526" customFormat="false" ht="15" hidden="false" customHeight="true" outlineLevel="0" collapsed="false">
      <c r="J526" s="21" t="b">
        <f aca="false">IF(예약내역!$A523="",FALSE(),AND(예약내역!$A523=$B$3,예약내역!$J523&lt;&gt;"취소"))</f>
        <v>0</v>
      </c>
      <c r="K526" s="5" t="str">
        <f aca="false">IF($J526=FALSE(),"",예약내역!$L523*10000+ROW())</f>
        <v/>
      </c>
      <c r="L526" s="5" t="str">
        <f aca="false">IF($K526="","",RANK($K526,$K$6:$K$2005,1))</f>
        <v/>
      </c>
    </row>
    <row r="527" customFormat="false" ht="15" hidden="false" customHeight="true" outlineLevel="0" collapsed="false">
      <c r="J527" s="21" t="b">
        <f aca="false">IF(예약내역!$A524="",FALSE(),AND(예약내역!$A524=$B$3,예약내역!$J524&lt;&gt;"취소"))</f>
        <v>0</v>
      </c>
      <c r="K527" s="5" t="str">
        <f aca="false">IF($J527=FALSE(),"",예약내역!$L524*10000+ROW())</f>
        <v/>
      </c>
      <c r="L527" s="5" t="str">
        <f aca="false">IF($K527="","",RANK($K527,$K$6:$K$2005,1))</f>
        <v/>
      </c>
    </row>
    <row r="528" customFormat="false" ht="15" hidden="false" customHeight="true" outlineLevel="0" collapsed="false">
      <c r="J528" s="21" t="b">
        <f aca="false">IF(예약내역!$A525="",FALSE(),AND(예약내역!$A525=$B$3,예약내역!$J525&lt;&gt;"취소"))</f>
        <v>0</v>
      </c>
      <c r="K528" s="5" t="str">
        <f aca="false">IF($J528=FALSE(),"",예약내역!$L525*10000+ROW())</f>
        <v/>
      </c>
      <c r="L528" s="5" t="str">
        <f aca="false">IF($K528="","",RANK($K528,$K$6:$K$2005,1))</f>
        <v/>
      </c>
    </row>
    <row r="529" customFormat="false" ht="15" hidden="false" customHeight="true" outlineLevel="0" collapsed="false">
      <c r="J529" s="21" t="b">
        <f aca="false">IF(예약내역!$A526="",FALSE(),AND(예약내역!$A526=$B$3,예약내역!$J526&lt;&gt;"취소"))</f>
        <v>0</v>
      </c>
      <c r="K529" s="5" t="str">
        <f aca="false">IF($J529=FALSE(),"",예약내역!$L526*10000+ROW())</f>
        <v/>
      </c>
      <c r="L529" s="5" t="str">
        <f aca="false">IF($K529="","",RANK($K529,$K$6:$K$2005,1))</f>
        <v/>
      </c>
    </row>
    <row r="530" customFormat="false" ht="15" hidden="false" customHeight="true" outlineLevel="0" collapsed="false">
      <c r="J530" s="21" t="b">
        <f aca="false">IF(예약내역!$A527="",FALSE(),AND(예약내역!$A527=$B$3,예약내역!$J527&lt;&gt;"취소"))</f>
        <v>0</v>
      </c>
      <c r="K530" s="5" t="str">
        <f aca="false">IF($J530=FALSE(),"",예약내역!$L527*10000+ROW())</f>
        <v/>
      </c>
      <c r="L530" s="5" t="str">
        <f aca="false">IF($K530="","",RANK($K530,$K$6:$K$2005,1))</f>
        <v/>
      </c>
    </row>
    <row r="531" customFormat="false" ht="15" hidden="false" customHeight="true" outlineLevel="0" collapsed="false">
      <c r="J531" s="21" t="b">
        <f aca="false">IF(예약내역!$A528="",FALSE(),AND(예약내역!$A528=$B$3,예약내역!$J528&lt;&gt;"취소"))</f>
        <v>0</v>
      </c>
      <c r="K531" s="5" t="str">
        <f aca="false">IF($J531=FALSE(),"",예약내역!$L528*10000+ROW())</f>
        <v/>
      </c>
      <c r="L531" s="5" t="str">
        <f aca="false">IF($K531="","",RANK($K531,$K$6:$K$2005,1))</f>
        <v/>
      </c>
    </row>
    <row r="532" customFormat="false" ht="15" hidden="false" customHeight="true" outlineLevel="0" collapsed="false">
      <c r="J532" s="21" t="b">
        <f aca="false">IF(예약내역!$A529="",FALSE(),AND(예약내역!$A529=$B$3,예약내역!$J529&lt;&gt;"취소"))</f>
        <v>0</v>
      </c>
      <c r="K532" s="5" t="str">
        <f aca="false">IF($J532=FALSE(),"",예약내역!$L529*10000+ROW())</f>
        <v/>
      </c>
      <c r="L532" s="5" t="str">
        <f aca="false">IF($K532="","",RANK($K532,$K$6:$K$2005,1))</f>
        <v/>
      </c>
    </row>
    <row r="533" customFormat="false" ht="15" hidden="false" customHeight="true" outlineLevel="0" collapsed="false">
      <c r="J533" s="21" t="b">
        <f aca="false">IF(예약내역!$A530="",FALSE(),AND(예약내역!$A530=$B$3,예약내역!$J530&lt;&gt;"취소"))</f>
        <v>0</v>
      </c>
      <c r="K533" s="5" t="str">
        <f aca="false">IF($J533=FALSE(),"",예약내역!$L530*10000+ROW())</f>
        <v/>
      </c>
      <c r="L533" s="5" t="str">
        <f aca="false">IF($K533="","",RANK($K533,$K$6:$K$2005,1))</f>
        <v/>
      </c>
    </row>
    <row r="534" customFormat="false" ht="15" hidden="false" customHeight="true" outlineLevel="0" collapsed="false">
      <c r="J534" s="21" t="b">
        <f aca="false">IF(예약내역!$A531="",FALSE(),AND(예약내역!$A531=$B$3,예약내역!$J531&lt;&gt;"취소"))</f>
        <v>0</v>
      </c>
      <c r="K534" s="5" t="str">
        <f aca="false">IF($J534=FALSE(),"",예약내역!$L531*10000+ROW())</f>
        <v/>
      </c>
      <c r="L534" s="5" t="str">
        <f aca="false">IF($K534="","",RANK($K534,$K$6:$K$2005,1))</f>
        <v/>
      </c>
    </row>
    <row r="535" customFormat="false" ht="15" hidden="false" customHeight="true" outlineLevel="0" collapsed="false">
      <c r="J535" s="21" t="b">
        <f aca="false">IF(예약내역!$A532="",FALSE(),AND(예약내역!$A532=$B$3,예약내역!$J532&lt;&gt;"취소"))</f>
        <v>0</v>
      </c>
      <c r="K535" s="5" t="str">
        <f aca="false">IF($J535=FALSE(),"",예약내역!$L532*10000+ROW())</f>
        <v/>
      </c>
      <c r="L535" s="5" t="str">
        <f aca="false">IF($K535="","",RANK($K535,$K$6:$K$2005,1))</f>
        <v/>
      </c>
    </row>
    <row r="536" customFormat="false" ht="15" hidden="false" customHeight="true" outlineLevel="0" collapsed="false">
      <c r="J536" s="21" t="b">
        <f aca="false">IF(예약내역!$A533="",FALSE(),AND(예약내역!$A533=$B$3,예약내역!$J533&lt;&gt;"취소"))</f>
        <v>0</v>
      </c>
      <c r="K536" s="5" t="str">
        <f aca="false">IF($J536=FALSE(),"",예약내역!$L533*10000+ROW())</f>
        <v/>
      </c>
      <c r="L536" s="5" t="str">
        <f aca="false">IF($K536="","",RANK($K536,$K$6:$K$2005,1))</f>
        <v/>
      </c>
    </row>
    <row r="537" customFormat="false" ht="15" hidden="false" customHeight="true" outlineLevel="0" collapsed="false">
      <c r="J537" s="21" t="b">
        <f aca="false">IF(예약내역!$A534="",FALSE(),AND(예약내역!$A534=$B$3,예약내역!$J534&lt;&gt;"취소"))</f>
        <v>0</v>
      </c>
      <c r="K537" s="5" t="str">
        <f aca="false">IF($J537=FALSE(),"",예약내역!$L534*10000+ROW())</f>
        <v/>
      </c>
      <c r="L537" s="5" t="str">
        <f aca="false">IF($K537="","",RANK($K537,$K$6:$K$2005,1))</f>
        <v/>
      </c>
    </row>
    <row r="538" customFormat="false" ht="15" hidden="false" customHeight="true" outlineLevel="0" collapsed="false">
      <c r="J538" s="21" t="b">
        <f aca="false">IF(예약내역!$A535="",FALSE(),AND(예약내역!$A535=$B$3,예약내역!$J535&lt;&gt;"취소"))</f>
        <v>0</v>
      </c>
      <c r="K538" s="5" t="str">
        <f aca="false">IF($J538=FALSE(),"",예약내역!$L535*10000+ROW())</f>
        <v/>
      </c>
      <c r="L538" s="5" t="str">
        <f aca="false">IF($K538="","",RANK($K538,$K$6:$K$2005,1))</f>
        <v/>
      </c>
    </row>
    <row r="539" customFormat="false" ht="15" hidden="false" customHeight="true" outlineLevel="0" collapsed="false">
      <c r="J539" s="21" t="b">
        <f aca="false">IF(예약내역!$A536="",FALSE(),AND(예약내역!$A536=$B$3,예약내역!$J536&lt;&gt;"취소"))</f>
        <v>0</v>
      </c>
      <c r="K539" s="5" t="str">
        <f aca="false">IF($J539=FALSE(),"",예약내역!$L536*10000+ROW())</f>
        <v/>
      </c>
      <c r="L539" s="5" t="str">
        <f aca="false">IF($K539="","",RANK($K539,$K$6:$K$2005,1))</f>
        <v/>
      </c>
    </row>
    <row r="540" customFormat="false" ht="15" hidden="false" customHeight="true" outlineLevel="0" collapsed="false">
      <c r="J540" s="21" t="b">
        <f aca="false">IF(예약내역!$A537="",FALSE(),AND(예약내역!$A537=$B$3,예약내역!$J537&lt;&gt;"취소"))</f>
        <v>0</v>
      </c>
      <c r="K540" s="5" t="str">
        <f aca="false">IF($J540=FALSE(),"",예약내역!$L537*10000+ROW())</f>
        <v/>
      </c>
      <c r="L540" s="5" t="str">
        <f aca="false">IF($K540="","",RANK($K540,$K$6:$K$2005,1))</f>
        <v/>
      </c>
    </row>
    <row r="541" customFormat="false" ht="15" hidden="false" customHeight="true" outlineLevel="0" collapsed="false">
      <c r="J541" s="21" t="b">
        <f aca="false">IF(예약내역!$A538="",FALSE(),AND(예약내역!$A538=$B$3,예약내역!$J538&lt;&gt;"취소"))</f>
        <v>0</v>
      </c>
      <c r="K541" s="5" t="str">
        <f aca="false">IF($J541=FALSE(),"",예약내역!$L538*10000+ROW())</f>
        <v/>
      </c>
      <c r="L541" s="5" t="str">
        <f aca="false">IF($K541="","",RANK($K541,$K$6:$K$2005,1))</f>
        <v/>
      </c>
    </row>
    <row r="542" customFormat="false" ht="15" hidden="false" customHeight="true" outlineLevel="0" collapsed="false">
      <c r="J542" s="21" t="b">
        <f aca="false">IF(예약내역!$A539="",FALSE(),AND(예약내역!$A539=$B$3,예약내역!$J539&lt;&gt;"취소"))</f>
        <v>0</v>
      </c>
      <c r="K542" s="5" t="str">
        <f aca="false">IF($J542=FALSE(),"",예약내역!$L539*10000+ROW())</f>
        <v/>
      </c>
      <c r="L542" s="5" t="str">
        <f aca="false">IF($K542="","",RANK($K542,$K$6:$K$2005,1))</f>
        <v/>
      </c>
    </row>
    <row r="543" customFormat="false" ht="15" hidden="false" customHeight="true" outlineLevel="0" collapsed="false">
      <c r="J543" s="21" t="b">
        <f aca="false">IF(예약내역!$A540="",FALSE(),AND(예약내역!$A540=$B$3,예약내역!$J540&lt;&gt;"취소"))</f>
        <v>0</v>
      </c>
      <c r="K543" s="5" t="str">
        <f aca="false">IF($J543=FALSE(),"",예약내역!$L540*10000+ROW())</f>
        <v/>
      </c>
      <c r="L543" s="5" t="str">
        <f aca="false">IF($K543="","",RANK($K543,$K$6:$K$2005,1))</f>
        <v/>
      </c>
    </row>
    <row r="544" customFormat="false" ht="15" hidden="false" customHeight="true" outlineLevel="0" collapsed="false">
      <c r="J544" s="21" t="b">
        <f aca="false">IF(예약내역!$A541="",FALSE(),AND(예약내역!$A541=$B$3,예약내역!$J541&lt;&gt;"취소"))</f>
        <v>0</v>
      </c>
      <c r="K544" s="5" t="str">
        <f aca="false">IF($J544=FALSE(),"",예약내역!$L541*10000+ROW())</f>
        <v/>
      </c>
      <c r="L544" s="5" t="str">
        <f aca="false">IF($K544="","",RANK($K544,$K$6:$K$2005,1))</f>
        <v/>
      </c>
    </row>
    <row r="545" customFormat="false" ht="15" hidden="false" customHeight="true" outlineLevel="0" collapsed="false">
      <c r="J545" s="21" t="b">
        <f aca="false">IF(예약내역!$A542="",FALSE(),AND(예약내역!$A542=$B$3,예약내역!$J542&lt;&gt;"취소"))</f>
        <v>0</v>
      </c>
      <c r="K545" s="5" t="str">
        <f aca="false">IF($J545=FALSE(),"",예약내역!$L542*10000+ROW())</f>
        <v/>
      </c>
      <c r="L545" s="5" t="str">
        <f aca="false">IF($K545="","",RANK($K545,$K$6:$K$2005,1))</f>
        <v/>
      </c>
    </row>
    <row r="546" customFormat="false" ht="15" hidden="false" customHeight="true" outlineLevel="0" collapsed="false">
      <c r="J546" s="21" t="b">
        <f aca="false">IF(예약내역!$A543="",FALSE(),AND(예약내역!$A543=$B$3,예약내역!$J543&lt;&gt;"취소"))</f>
        <v>0</v>
      </c>
      <c r="K546" s="5" t="str">
        <f aca="false">IF($J546=FALSE(),"",예약내역!$L543*10000+ROW())</f>
        <v/>
      </c>
      <c r="L546" s="5" t="str">
        <f aca="false">IF($K546="","",RANK($K546,$K$6:$K$2005,1))</f>
        <v/>
      </c>
    </row>
    <row r="547" customFormat="false" ht="15" hidden="false" customHeight="true" outlineLevel="0" collapsed="false">
      <c r="J547" s="21" t="b">
        <f aca="false">IF(예약내역!$A544="",FALSE(),AND(예약내역!$A544=$B$3,예약내역!$J544&lt;&gt;"취소"))</f>
        <v>0</v>
      </c>
      <c r="K547" s="5" t="str">
        <f aca="false">IF($J547=FALSE(),"",예약내역!$L544*10000+ROW())</f>
        <v/>
      </c>
      <c r="L547" s="5" t="str">
        <f aca="false">IF($K547="","",RANK($K547,$K$6:$K$2005,1))</f>
        <v/>
      </c>
    </row>
    <row r="548" customFormat="false" ht="15" hidden="false" customHeight="true" outlineLevel="0" collapsed="false">
      <c r="J548" s="21" t="b">
        <f aca="false">IF(예약내역!$A545="",FALSE(),AND(예약내역!$A545=$B$3,예약내역!$J545&lt;&gt;"취소"))</f>
        <v>0</v>
      </c>
      <c r="K548" s="5" t="str">
        <f aca="false">IF($J548=FALSE(),"",예약내역!$L545*10000+ROW())</f>
        <v/>
      </c>
      <c r="L548" s="5" t="str">
        <f aca="false">IF($K548="","",RANK($K548,$K$6:$K$2005,1))</f>
        <v/>
      </c>
    </row>
    <row r="549" customFormat="false" ht="15" hidden="false" customHeight="true" outlineLevel="0" collapsed="false">
      <c r="J549" s="21" t="b">
        <f aca="false">IF(예약내역!$A546="",FALSE(),AND(예약내역!$A546=$B$3,예약내역!$J546&lt;&gt;"취소"))</f>
        <v>0</v>
      </c>
      <c r="K549" s="5" t="str">
        <f aca="false">IF($J549=FALSE(),"",예약내역!$L546*10000+ROW())</f>
        <v/>
      </c>
      <c r="L549" s="5" t="str">
        <f aca="false">IF($K549="","",RANK($K549,$K$6:$K$2005,1))</f>
        <v/>
      </c>
    </row>
    <row r="550" customFormat="false" ht="15" hidden="false" customHeight="true" outlineLevel="0" collapsed="false">
      <c r="J550" s="21" t="b">
        <f aca="false">IF(예약내역!$A547="",FALSE(),AND(예약내역!$A547=$B$3,예약내역!$J547&lt;&gt;"취소"))</f>
        <v>0</v>
      </c>
      <c r="K550" s="5" t="str">
        <f aca="false">IF($J550=FALSE(),"",예약내역!$L547*10000+ROW())</f>
        <v/>
      </c>
      <c r="L550" s="5" t="str">
        <f aca="false">IF($K550="","",RANK($K550,$K$6:$K$2005,1))</f>
        <v/>
      </c>
    </row>
    <row r="551" customFormat="false" ht="15" hidden="false" customHeight="true" outlineLevel="0" collapsed="false">
      <c r="J551" s="21" t="b">
        <f aca="false">IF(예약내역!$A548="",FALSE(),AND(예약내역!$A548=$B$3,예약내역!$J548&lt;&gt;"취소"))</f>
        <v>0</v>
      </c>
      <c r="K551" s="5" t="str">
        <f aca="false">IF($J551=FALSE(),"",예약내역!$L548*10000+ROW())</f>
        <v/>
      </c>
      <c r="L551" s="5" t="str">
        <f aca="false">IF($K551="","",RANK($K551,$K$6:$K$2005,1))</f>
        <v/>
      </c>
    </row>
    <row r="552" customFormat="false" ht="15" hidden="false" customHeight="true" outlineLevel="0" collapsed="false">
      <c r="J552" s="21" t="b">
        <f aca="false">IF(예약내역!$A549="",FALSE(),AND(예약내역!$A549=$B$3,예약내역!$J549&lt;&gt;"취소"))</f>
        <v>0</v>
      </c>
      <c r="K552" s="5" t="str">
        <f aca="false">IF($J552=FALSE(),"",예약내역!$L549*10000+ROW())</f>
        <v/>
      </c>
      <c r="L552" s="5" t="str">
        <f aca="false">IF($K552="","",RANK($K552,$K$6:$K$2005,1))</f>
        <v/>
      </c>
    </row>
    <row r="553" customFormat="false" ht="15" hidden="false" customHeight="true" outlineLevel="0" collapsed="false">
      <c r="J553" s="21" t="b">
        <f aca="false">IF(예약내역!$A550="",FALSE(),AND(예약내역!$A550=$B$3,예약내역!$J550&lt;&gt;"취소"))</f>
        <v>0</v>
      </c>
      <c r="K553" s="5" t="str">
        <f aca="false">IF($J553=FALSE(),"",예약내역!$L550*10000+ROW())</f>
        <v/>
      </c>
      <c r="L553" s="5" t="str">
        <f aca="false">IF($K553="","",RANK($K553,$K$6:$K$2005,1))</f>
        <v/>
      </c>
    </row>
    <row r="554" customFormat="false" ht="15" hidden="false" customHeight="true" outlineLevel="0" collapsed="false">
      <c r="J554" s="21" t="b">
        <f aca="false">IF(예약내역!$A551="",FALSE(),AND(예약내역!$A551=$B$3,예약내역!$J551&lt;&gt;"취소"))</f>
        <v>0</v>
      </c>
      <c r="K554" s="5" t="str">
        <f aca="false">IF($J554=FALSE(),"",예약내역!$L551*10000+ROW())</f>
        <v/>
      </c>
      <c r="L554" s="5" t="str">
        <f aca="false">IF($K554="","",RANK($K554,$K$6:$K$2005,1))</f>
        <v/>
      </c>
    </row>
    <row r="555" customFormat="false" ht="15" hidden="false" customHeight="true" outlineLevel="0" collapsed="false">
      <c r="J555" s="21" t="b">
        <f aca="false">IF(예약내역!$A552="",FALSE(),AND(예약내역!$A552=$B$3,예약내역!$J552&lt;&gt;"취소"))</f>
        <v>0</v>
      </c>
      <c r="K555" s="5" t="str">
        <f aca="false">IF($J555=FALSE(),"",예약내역!$L552*10000+ROW())</f>
        <v/>
      </c>
      <c r="L555" s="5" t="str">
        <f aca="false">IF($K555="","",RANK($K555,$K$6:$K$2005,1))</f>
        <v/>
      </c>
    </row>
    <row r="556" customFormat="false" ht="15" hidden="false" customHeight="true" outlineLevel="0" collapsed="false">
      <c r="J556" s="21" t="b">
        <f aca="false">IF(예약내역!$A553="",FALSE(),AND(예약내역!$A553=$B$3,예약내역!$J553&lt;&gt;"취소"))</f>
        <v>0</v>
      </c>
      <c r="K556" s="5" t="str">
        <f aca="false">IF($J556=FALSE(),"",예약내역!$L553*10000+ROW())</f>
        <v/>
      </c>
      <c r="L556" s="5" t="str">
        <f aca="false">IF($K556="","",RANK($K556,$K$6:$K$2005,1))</f>
        <v/>
      </c>
    </row>
    <row r="557" customFormat="false" ht="15" hidden="false" customHeight="true" outlineLevel="0" collapsed="false">
      <c r="J557" s="21" t="b">
        <f aca="false">IF(예약내역!$A554="",FALSE(),AND(예약내역!$A554=$B$3,예약내역!$J554&lt;&gt;"취소"))</f>
        <v>0</v>
      </c>
      <c r="K557" s="5" t="str">
        <f aca="false">IF($J557=FALSE(),"",예약내역!$L554*10000+ROW())</f>
        <v/>
      </c>
      <c r="L557" s="5" t="str">
        <f aca="false">IF($K557="","",RANK($K557,$K$6:$K$2005,1))</f>
        <v/>
      </c>
    </row>
    <row r="558" customFormat="false" ht="15" hidden="false" customHeight="true" outlineLevel="0" collapsed="false">
      <c r="J558" s="21" t="b">
        <f aca="false">IF(예약내역!$A555="",FALSE(),AND(예약내역!$A555=$B$3,예약내역!$J555&lt;&gt;"취소"))</f>
        <v>0</v>
      </c>
      <c r="K558" s="5" t="str">
        <f aca="false">IF($J558=FALSE(),"",예약내역!$L555*10000+ROW())</f>
        <v/>
      </c>
      <c r="L558" s="5" t="str">
        <f aca="false">IF($K558="","",RANK($K558,$K$6:$K$2005,1))</f>
        <v/>
      </c>
    </row>
    <row r="559" customFormat="false" ht="15" hidden="false" customHeight="true" outlineLevel="0" collapsed="false">
      <c r="J559" s="21" t="b">
        <f aca="false">IF(예약내역!$A556="",FALSE(),AND(예약내역!$A556=$B$3,예약내역!$J556&lt;&gt;"취소"))</f>
        <v>0</v>
      </c>
      <c r="K559" s="5" t="str">
        <f aca="false">IF($J559=FALSE(),"",예약내역!$L556*10000+ROW())</f>
        <v/>
      </c>
      <c r="L559" s="5" t="str">
        <f aca="false">IF($K559="","",RANK($K559,$K$6:$K$2005,1))</f>
        <v/>
      </c>
    </row>
    <row r="560" customFormat="false" ht="15" hidden="false" customHeight="true" outlineLevel="0" collapsed="false">
      <c r="J560" s="21" t="b">
        <f aca="false">IF(예약내역!$A557="",FALSE(),AND(예약내역!$A557=$B$3,예약내역!$J557&lt;&gt;"취소"))</f>
        <v>0</v>
      </c>
      <c r="K560" s="5" t="str">
        <f aca="false">IF($J560=FALSE(),"",예약내역!$L557*10000+ROW())</f>
        <v/>
      </c>
      <c r="L560" s="5" t="str">
        <f aca="false">IF($K560="","",RANK($K560,$K$6:$K$2005,1))</f>
        <v/>
      </c>
    </row>
    <row r="561" customFormat="false" ht="15" hidden="false" customHeight="true" outlineLevel="0" collapsed="false">
      <c r="J561" s="21" t="b">
        <f aca="false">IF(예약내역!$A558="",FALSE(),AND(예약내역!$A558=$B$3,예약내역!$J558&lt;&gt;"취소"))</f>
        <v>0</v>
      </c>
      <c r="K561" s="5" t="str">
        <f aca="false">IF($J561=FALSE(),"",예약내역!$L558*10000+ROW())</f>
        <v/>
      </c>
      <c r="L561" s="5" t="str">
        <f aca="false">IF($K561="","",RANK($K561,$K$6:$K$2005,1))</f>
        <v/>
      </c>
    </row>
    <row r="562" customFormat="false" ht="15" hidden="false" customHeight="true" outlineLevel="0" collapsed="false">
      <c r="J562" s="21" t="b">
        <f aca="false">IF(예약내역!$A559="",FALSE(),AND(예약내역!$A559=$B$3,예약내역!$J559&lt;&gt;"취소"))</f>
        <v>0</v>
      </c>
      <c r="K562" s="5" t="str">
        <f aca="false">IF($J562=FALSE(),"",예약내역!$L559*10000+ROW())</f>
        <v/>
      </c>
      <c r="L562" s="5" t="str">
        <f aca="false">IF($K562="","",RANK($K562,$K$6:$K$2005,1))</f>
        <v/>
      </c>
    </row>
    <row r="563" customFormat="false" ht="15" hidden="false" customHeight="true" outlineLevel="0" collapsed="false">
      <c r="J563" s="21" t="b">
        <f aca="false">IF(예약내역!$A560="",FALSE(),AND(예약내역!$A560=$B$3,예약내역!$J560&lt;&gt;"취소"))</f>
        <v>0</v>
      </c>
      <c r="K563" s="5" t="str">
        <f aca="false">IF($J563=FALSE(),"",예약내역!$L560*10000+ROW())</f>
        <v/>
      </c>
      <c r="L563" s="5" t="str">
        <f aca="false">IF($K563="","",RANK($K563,$K$6:$K$2005,1))</f>
        <v/>
      </c>
    </row>
    <row r="564" customFormat="false" ht="15" hidden="false" customHeight="true" outlineLevel="0" collapsed="false">
      <c r="J564" s="21" t="b">
        <f aca="false">IF(예약내역!$A561="",FALSE(),AND(예약내역!$A561=$B$3,예약내역!$J561&lt;&gt;"취소"))</f>
        <v>0</v>
      </c>
      <c r="K564" s="5" t="str">
        <f aca="false">IF($J564=FALSE(),"",예약내역!$L561*10000+ROW())</f>
        <v/>
      </c>
      <c r="L564" s="5" t="str">
        <f aca="false">IF($K564="","",RANK($K564,$K$6:$K$2005,1))</f>
        <v/>
      </c>
    </row>
    <row r="565" customFormat="false" ht="15" hidden="false" customHeight="true" outlineLevel="0" collapsed="false">
      <c r="J565" s="21" t="b">
        <f aca="false">IF(예약내역!$A562="",FALSE(),AND(예약내역!$A562=$B$3,예약내역!$J562&lt;&gt;"취소"))</f>
        <v>0</v>
      </c>
      <c r="K565" s="5" t="str">
        <f aca="false">IF($J565=FALSE(),"",예약내역!$L562*10000+ROW())</f>
        <v/>
      </c>
      <c r="L565" s="5" t="str">
        <f aca="false">IF($K565="","",RANK($K565,$K$6:$K$2005,1))</f>
        <v/>
      </c>
    </row>
    <row r="566" customFormat="false" ht="15" hidden="false" customHeight="true" outlineLevel="0" collapsed="false">
      <c r="J566" s="21" t="b">
        <f aca="false">IF(예약내역!$A563="",FALSE(),AND(예약내역!$A563=$B$3,예약내역!$J563&lt;&gt;"취소"))</f>
        <v>0</v>
      </c>
      <c r="K566" s="5" t="str">
        <f aca="false">IF($J566=FALSE(),"",예약내역!$L563*10000+ROW())</f>
        <v/>
      </c>
      <c r="L566" s="5" t="str">
        <f aca="false">IF($K566="","",RANK($K566,$K$6:$K$2005,1))</f>
        <v/>
      </c>
    </row>
    <row r="567" customFormat="false" ht="15" hidden="false" customHeight="true" outlineLevel="0" collapsed="false">
      <c r="J567" s="21" t="b">
        <f aca="false">IF(예약내역!$A564="",FALSE(),AND(예약내역!$A564=$B$3,예약내역!$J564&lt;&gt;"취소"))</f>
        <v>0</v>
      </c>
      <c r="K567" s="5" t="str">
        <f aca="false">IF($J567=FALSE(),"",예약내역!$L564*10000+ROW())</f>
        <v/>
      </c>
      <c r="L567" s="5" t="str">
        <f aca="false">IF($K567="","",RANK($K567,$K$6:$K$2005,1))</f>
        <v/>
      </c>
    </row>
    <row r="568" customFormat="false" ht="15" hidden="false" customHeight="true" outlineLevel="0" collapsed="false">
      <c r="J568" s="21" t="b">
        <f aca="false">IF(예약내역!$A565="",FALSE(),AND(예약내역!$A565=$B$3,예약내역!$J565&lt;&gt;"취소"))</f>
        <v>0</v>
      </c>
      <c r="K568" s="5" t="str">
        <f aca="false">IF($J568=FALSE(),"",예약내역!$L565*10000+ROW())</f>
        <v/>
      </c>
      <c r="L568" s="5" t="str">
        <f aca="false">IF($K568="","",RANK($K568,$K$6:$K$2005,1))</f>
        <v/>
      </c>
    </row>
    <row r="569" customFormat="false" ht="15" hidden="false" customHeight="true" outlineLevel="0" collapsed="false">
      <c r="J569" s="21" t="b">
        <f aca="false">IF(예약내역!$A566="",FALSE(),AND(예약내역!$A566=$B$3,예약내역!$J566&lt;&gt;"취소"))</f>
        <v>0</v>
      </c>
      <c r="K569" s="5" t="str">
        <f aca="false">IF($J569=FALSE(),"",예약내역!$L566*10000+ROW())</f>
        <v/>
      </c>
      <c r="L569" s="5" t="str">
        <f aca="false">IF($K569="","",RANK($K569,$K$6:$K$2005,1))</f>
        <v/>
      </c>
    </row>
    <row r="570" customFormat="false" ht="15" hidden="false" customHeight="true" outlineLevel="0" collapsed="false">
      <c r="J570" s="21" t="b">
        <f aca="false">IF(예약내역!$A567="",FALSE(),AND(예약내역!$A567=$B$3,예약내역!$J567&lt;&gt;"취소"))</f>
        <v>0</v>
      </c>
      <c r="K570" s="5" t="str">
        <f aca="false">IF($J570=FALSE(),"",예약내역!$L567*10000+ROW())</f>
        <v/>
      </c>
      <c r="L570" s="5" t="str">
        <f aca="false">IF($K570="","",RANK($K570,$K$6:$K$2005,1))</f>
        <v/>
      </c>
    </row>
    <row r="571" customFormat="false" ht="15" hidden="false" customHeight="true" outlineLevel="0" collapsed="false">
      <c r="J571" s="21" t="b">
        <f aca="false">IF(예약내역!$A568="",FALSE(),AND(예약내역!$A568=$B$3,예약내역!$J568&lt;&gt;"취소"))</f>
        <v>0</v>
      </c>
      <c r="K571" s="5" t="str">
        <f aca="false">IF($J571=FALSE(),"",예약내역!$L568*10000+ROW())</f>
        <v/>
      </c>
      <c r="L571" s="5" t="str">
        <f aca="false">IF($K571="","",RANK($K571,$K$6:$K$2005,1))</f>
        <v/>
      </c>
    </row>
    <row r="572" customFormat="false" ht="15" hidden="false" customHeight="true" outlineLevel="0" collapsed="false">
      <c r="J572" s="21" t="b">
        <f aca="false">IF(예약내역!$A569="",FALSE(),AND(예약내역!$A569=$B$3,예약내역!$J569&lt;&gt;"취소"))</f>
        <v>0</v>
      </c>
      <c r="K572" s="5" t="str">
        <f aca="false">IF($J572=FALSE(),"",예약내역!$L569*10000+ROW())</f>
        <v/>
      </c>
      <c r="L572" s="5" t="str">
        <f aca="false">IF($K572="","",RANK($K572,$K$6:$K$2005,1))</f>
        <v/>
      </c>
    </row>
    <row r="573" customFormat="false" ht="15" hidden="false" customHeight="true" outlineLevel="0" collapsed="false">
      <c r="J573" s="21" t="b">
        <f aca="false">IF(예약내역!$A570="",FALSE(),AND(예약내역!$A570=$B$3,예약내역!$J570&lt;&gt;"취소"))</f>
        <v>0</v>
      </c>
      <c r="K573" s="5" t="str">
        <f aca="false">IF($J573=FALSE(),"",예약내역!$L570*10000+ROW())</f>
        <v/>
      </c>
      <c r="L573" s="5" t="str">
        <f aca="false">IF($K573="","",RANK($K573,$K$6:$K$2005,1))</f>
        <v/>
      </c>
    </row>
    <row r="574" customFormat="false" ht="15" hidden="false" customHeight="true" outlineLevel="0" collapsed="false">
      <c r="J574" s="21" t="b">
        <f aca="false">IF(예약내역!$A571="",FALSE(),AND(예약내역!$A571=$B$3,예약내역!$J571&lt;&gt;"취소"))</f>
        <v>0</v>
      </c>
      <c r="K574" s="5" t="str">
        <f aca="false">IF($J574=FALSE(),"",예약내역!$L571*10000+ROW())</f>
        <v/>
      </c>
      <c r="L574" s="5" t="str">
        <f aca="false">IF($K574="","",RANK($K574,$K$6:$K$2005,1))</f>
        <v/>
      </c>
    </row>
    <row r="575" customFormat="false" ht="15" hidden="false" customHeight="true" outlineLevel="0" collapsed="false">
      <c r="J575" s="21" t="b">
        <f aca="false">IF(예약내역!$A572="",FALSE(),AND(예약내역!$A572=$B$3,예약내역!$J572&lt;&gt;"취소"))</f>
        <v>0</v>
      </c>
      <c r="K575" s="5" t="str">
        <f aca="false">IF($J575=FALSE(),"",예약내역!$L572*10000+ROW())</f>
        <v/>
      </c>
      <c r="L575" s="5" t="str">
        <f aca="false">IF($K575="","",RANK($K575,$K$6:$K$2005,1))</f>
        <v/>
      </c>
    </row>
    <row r="576" customFormat="false" ht="15" hidden="false" customHeight="true" outlineLevel="0" collapsed="false">
      <c r="J576" s="21" t="b">
        <f aca="false">IF(예약내역!$A573="",FALSE(),AND(예약내역!$A573=$B$3,예약내역!$J573&lt;&gt;"취소"))</f>
        <v>0</v>
      </c>
      <c r="K576" s="5" t="str">
        <f aca="false">IF($J576=FALSE(),"",예약내역!$L573*10000+ROW())</f>
        <v/>
      </c>
      <c r="L576" s="5" t="str">
        <f aca="false">IF($K576="","",RANK($K576,$K$6:$K$2005,1))</f>
        <v/>
      </c>
    </row>
    <row r="577" customFormat="false" ht="15" hidden="false" customHeight="true" outlineLevel="0" collapsed="false">
      <c r="J577" s="21" t="b">
        <f aca="false">IF(예약내역!$A574="",FALSE(),AND(예약내역!$A574=$B$3,예약내역!$J574&lt;&gt;"취소"))</f>
        <v>0</v>
      </c>
      <c r="K577" s="5" t="str">
        <f aca="false">IF($J577=FALSE(),"",예약내역!$L574*10000+ROW())</f>
        <v/>
      </c>
      <c r="L577" s="5" t="str">
        <f aca="false">IF($K577="","",RANK($K577,$K$6:$K$2005,1))</f>
        <v/>
      </c>
    </row>
    <row r="578" customFormat="false" ht="15" hidden="false" customHeight="true" outlineLevel="0" collapsed="false">
      <c r="J578" s="21" t="b">
        <f aca="false">IF(예약내역!$A575="",FALSE(),AND(예약내역!$A575=$B$3,예약내역!$J575&lt;&gt;"취소"))</f>
        <v>0</v>
      </c>
      <c r="K578" s="5" t="str">
        <f aca="false">IF($J578=FALSE(),"",예약내역!$L575*10000+ROW())</f>
        <v/>
      </c>
      <c r="L578" s="5" t="str">
        <f aca="false">IF($K578="","",RANK($K578,$K$6:$K$2005,1))</f>
        <v/>
      </c>
    </row>
    <row r="579" customFormat="false" ht="15" hidden="false" customHeight="true" outlineLevel="0" collapsed="false">
      <c r="J579" s="21" t="b">
        <f aca="false">IF(예약내역!$A576="",FALSE(),AND(예약내역!$A576=$B$3,예약내역!$J576&lt;&gt;"취소"))</f>
        <v>0</v>
      </c>
      <c r="K579" s="5" t="str">
        <f aca="false">IF($J579=FALSE(),"",예약내역!$L576*10000+ROW())</f>
        <v/>
      </c>
      <c r="L579" s="5" t="str">
        <f aca="false">IF($K579="","",RANK($K579,$K$6:$K$2005,1))</f>
        <v/>
      </c>
    </row>
    <row r="580" customFormat="false" ht="15" hidden="false" customHeight="true" outlineLevel="0" collapsed="false">
      <c r="J580" s="21" t="b">
        <f aca="false">IF(예약내역!$A577="",FALSE(),AND(예약내역!$A577=$B$3,예약내역!$J577&lt;&gt;"취소"))</f>
        <v>0</v>
      </c>
      <c r="K580" s="5" t="str">
        <f aca="false">IF($J580=FALSE(),"",예약내역!$L577*10000+ROW())</f>
        <v/>
      </c>
      <c r="L580" s="5" t="str">
        <f aca="false">IF($K580="","",RANK($K580,$K$6:$K$2005,1))</f>
        <v/>
      </c>
    </row>
    <row r="581" customFormat="false" ht="15" hidden="false" customHeight="true" outlineLevel="0" collapsed="false">
      <c r="J581" s="21" t="b">
        <f aca="false">IF(예약내역!$A578="",FALSE(),AND(예약내역!$A578=$B$3,예약내역!$J578&lt;&gt;"취소"))</f>
        <v>0</v>
      </c>
      <c r="K581" s="5" t="str">
        <f aca="false">IF($J581=FALSE(),"",예약내역!$L578*10000+ROW())</f>
        <v/>
      </c>
      <c r="L581" s="5" t="str">
        <f aca="false">IF($K581="","",RANK($K581,$K$6:$K$2005,1))</f>
        <v/>
      </c>
    </row>
    <row r="582" customFormat="false" ht="15" hidden="false" customHeight="true" outlineLevel="0" collapsed="false">
      <c r="J582" s="21" t="b">
        <f aca="false">IF(예약내역!$A579="",FALSE(),AND(예약내역!$A579=$B$3,예약내역!$J579&lt;&gt;"취소"))</f>
        <v>0</v>
      </c>
      <c r="K582" s="5" t="str">
        <f aca="false">IF($J582=FALSE(),"",예약내역!$L579*10000+ROW())</f>
        <v/>
      </c>
      <c r="L582" s="5" t="str">
        <f aca="false">IF($K582="","",RANK($K582,$K$6:$K$2005,1))</f>
        <v/>
      </c>
    </row>
    <row r="583" customFormat="false" ht="15" hidden="false" customHeight="true" outlineLevel="0" collapsed="false">
      <c r="J583" s="21" t="b">
        <f aca="false">IF(예약내역!$A580="",FALSE(),AND(예약내역!$A580=$B$3,예약내역!$J580&lt;&gt;"취소"))</f>
        <v>0</v>
      </c>
      <c r="K583" s="5" t="str">
        <f aca="false">IF($J583=FALSE(),"",예약내역!$L580*10000+ROW())</f>
        <v/>
      </c>
      <c r="L583" s="5" t="str">
        <f aca="false">IF($K583="","",RANK($K583,$K$6:$K$2005,1))</f>
        <v/>
      </c>
    </row>
    <row r="584" customFormat="false" ht="15" hidden="false" customHeight="true" outlineLevel="0" collapsed="false">
      <c r="J584" s="21" t="b">
        <f aca="false">IF(예약내역!$A581="",FALSE(),AND(예약내역!$A581=$B$3,예약내역!$J581&lt;&gt;"취소"))</f>
        <v>0</v>
      </c>
      <c r="K584" s="5" t="str">
        <f aca="false">IF($J584=FALSE(),"",예약내역!$L581*10000+ROW())</f>
        <v/>
      </c>
      <c r="L584" s="5" t="str">
        <f aca="false">IF($K584="","",RANK($K584,$K$6:$K$2005,1))</f>
        <v/>
      </c>
    </row>
    <row r="585" customFormat="false" ht="15" hidden="false" customHeight="true" outlineLevel="0" collapsed="false">
      <c r="J585" s="21" t="b">
        <f aca="false">IF(예약내역!$A582="",FALSE(),AND(예약내역!$A582=$B$3,예약내역!$J582&lt;&gt;"취소"))</f>
        <v>0</v>
      </c>
      <c r="K585" s="5" t="str">
        <f aca="false">IF($J585=FALSE(),"",예약내역!$L582*10000+ROW())</f>
        <v/>
      </c>
      <c r="L585" s="5" t="str">
        <f aca="false">IF($K585="","",RANK($K585,$K$6:$K$2005,1))</f>
        <v/>
      </c>
    </row>
    <row r="586" customFormat="false" ht="15" hidden="false" customHeight="true" outlineLevel="0" collapsed="false">
      <c r="J586" s="21" t="b">
        <f aca="false">IF(예약내역!$A583="",FALSE(),AND(예약내역!$A583=$B$3,예약내역!$J583&lt;&gt;"취소"))</f>
        <v>0</v>
      </c>
      <c r="K586" s="5" t="str">
        <f aca="false">IF($J586=FALSE(),"",예약내역!$L583*10000+ROW())</f>
        <v/>
      </c>
      <c r="L586" s="5" t="str">
        <f aca="false">IF($K586="","",RANK($K586,$K$6:$K$2005,1))</f>
        <v/>
      </c>
    </row>
    <row r="587" customFormat="false" ht="15" hidden="false" customHeight="true" outlineLevel="0" collapsed="false">
      <c r="J587" s="21" t="b">
        <f aca="false">IF(예약내역!$A584="",FALSE(),AND(예약내역!$A584=$B$3,예약내역!$J584&lt;&gt;"취소"))</f>
        <v>0</v>
      </c>
      <c r="K587" s="5" t="str">
        <f aca="false">IF($J587=FALSE(),"",예약내역!$L584*10000+ROW())</f>
        <v/>
      </c>
      <c r="L587" s="5" t="str">
        <f aca="false">IF($K587="","",RANK($K587,$K$6:$K$2005,1))</f>
        <v/>
      </c>
    </row>
    <row r="588" customFormat="false" ht="15" hidden="false" customHeight="true" outlineLevel="0" collapsed="false">
      <c r="J588" s="21" t="b">
        <f aca="false">IF(예약내역!$A585="",FALSE(),AND(예약내역!$A585=$B$3,예약내역!$J585&lt;&gt;"취소"))</f>
        <v>0</v>
      </c>
      <c r="K588" s="5" t="str">
        <f aca="false">IF($J588=FALSE(),"",예약내역!$L585*10000+ROW())</f>
        <v/>
      </c>
      <c r="L588" s="5" t="str">
        <f aca="false">IF($K588="","",RANK($K588,$K$6:$K$2005,1))</f>
        <v/>
      </c>
    </row>
    <row r="589" customFormat="false" ht="15" hidden="false" customHeight="true" outlineLevel="0" collapsed="false">
      <c r="J589" s="21" t="b">
        <f aca="false">IF(예약내역!$A586="",FALSE(),AND(예약내역!$A586=$B$3,예약내역!$J586&lt;&gt;"취소"))</f>
        <v>0</v>
      </c>
      <c r="K589" s="5" t="str">
        <f aca="false">IF($J589=FALSE(),"",예약내역!$L586*10000+ROW())</f>
        <v/>
      </c>
      <c r="L589" s="5" t="str">
        <f aca="false">IF($K589="","",RANK($K589,$K$6:$K$2005,1))</f>
        <v/>
      </c>
    </row>
    <row r="590" customFormat="false" ht="15" hidden="false" customHeight="true" outlineLevel="0" collapsed="false">
      <c r="J590" s="21" t="b">
        <f aca="false">IF(예약내역!$A587="",FALSE(),AND(예약내역!$A587=$B$3,예약내역!$J587&lt;&gt;"취소"))</f>
        <v>0</v>
      </c>
      <c r="K590" s="5" t="str">
        <f aca="false">IF($J590=FALSE(),"",예약내역!$L587*10000+ROW())</f>
        <v/>
      </c>
      <c r="L590" s="5" t="str">
        <f aca="false">IF($K590="","",RANK($K590,$K$6:$K$2005,1))</f>
        <v/>
      </c>
    </row>
    <row r="591" customFormat="false" ht="15" hidden="false" customHeight="true" outlineLevel="0" collapsed="false">
      <c r="J591" s="21" t="b">
        <f aca="false">IF(예약내역!$A588="",FALSE(),AND(예약내역!$A588=$B$3,예약내역!$J588&lt;&gt;"취소"))</f>
        <v>0</v>
      </c>
      <c r="K591" s="5" t="str">
        <f aca="false">IF($J591=FALSE(),"",예약내역!$L588*10000+ROW())</f>
        <v/>
      </c>
      <c r="L591" s="5" t="str">
        <f aca="false">IF($K591="","",RANK($K591,$K$6:$K$2005,1))</f>
        <v/>
      </c>
    </row>
    <row r="592" customFormat="false" ht="15" hidden="false" customHeight="true" outlineLevel="0" collapsed="false">
      <c r="J592" s="21" t="b">
        <f aca="false">IF(예약내역!$A589="",FALSE(),AND(예약내역!$A589=$B$3,예약내역!$J589&lt;&gt;"취소"))</f>
        <v>0</v>
      </c>
      <c r="K592" s="5" t="str">
        <f aca="false">IF($J592=FALSE(),"",예약내역!$L589*10000+ROW())</f>
        <v/>
      </c>
      <c r="L592" s="5" t="str">
        <f aca="false">IF($K592="","",RANK($K592,$K$6:$K$2005,1))</f>
        <v/>
      </c>
    </row>
    <row r="593" customFormat="false" ht="15" hidden="false" customHeight="true" outlineLevel="0" collapsed="false">
      <c r="J593" s="21" t="b">
        <f aca="false">IF(예약내역!$A590="",FALSE(),AND(예약내역!$A590=$B$3,예약내역!$J590&lt;&gt;"취소"))</f>
        <v>0</v>
      </c>
      <c r="K593" s="5" t="str">
        <f aca="false">IF($J593=FALSE(),"",예약내역!$L590*10000+ROW())</f>
        <v/>
      </c>
      <c r="L593" s="5" t="str">
        <f aca="false">IF($K593="","",RANK($K593,$K$6:$K$2005,1))</f>
        <v/>
      </c>
    </row>
    <row r="594" customFormat="false" ht="15" hidden="false" customHeight="true" outlineLevel="0" collapsed="false">
      <c r="J594" s="21" t="b">
        <f aca="false">IF(예약내역!$A591="",FALSE(),AND(예약내역!$A591=$B$3,예약내역!$J591&lt;&gt;"취소"))</f>
        <v>0</v>
      </c>
      <c r="K594" s="5" t="str">
        <f aca="false">IF($J594=FALSE(),"",예약내역!$L591*10000+ROW())</f>
        <v/>
      </c>
      <c r="L594" s="5" t="str">
        <f aca="false">IF($K594="","",RANK($K594,$K$6:$K$2005,1))</f>
        <v/>
      </c>
    </row>
    <row r="595" customFormat="false" ht="15" hidden="false" customHeight="true" outlineLevel="0" collapsed="false">
      <c r="J595" s="21" t="b">
        <f aca="false">IF(예약내역!$A592="",FALSE(),AND(예약내역!$A592=$B$3,예약내역!$J592&lt;&gt;"취소"))</f>
        <v>0</v>
      </c>
      <c r="K595" s="5" t="str">
        <f aca="false">IF($J595=FALSE(),"",예약내역!$L592*10000+ROW())</f>
        <v/>
      </c>
      <c r="L595" s="5" t="str">
        <f aca="false">IF($K595="","",RANK($K595,$K$6:$K$2005,1))</f>
        <v/>
      </c>
    </row>
    <row r="596" customFormat="false" ht="15" hidden="false" customHeight="true" outlineLevel="0" collapsed="false">
      <c r="J596" s="21" t="b">
        <f aca="false">IF(예약내역!$A593="",FALSE(),AND(예약내역!$A593=$B$3,예약내역!$J593&lt;&gt;"취소"))</f>
        <v>0</v>
      </c>
      <c r="K596" s="5" t="str">
        <f aca="false">IF($J596=FALSE(),"",예약내역!$L593*10000+ROW())</f>
        <v/>
      </c>
      <c r="L596" s="5" t="str">
        <f aca="false">IF($K596="","",RANK($K596,$K$6:$K$2005,1))</f>
        <v/>
      </c>
    </row>
    <row r="597" customFormat="false" ht="15" hidden="false" customHeight="true" outlineLevel="0" collapsed="false">
      <c r="J597" s="21" t="b">
        <f aca="false">IF(예약내역!$A594="",FALSE(),AND(예약내역!$A594=$B$3,예약내역!$J594&lt;&gt;"취소"))</f>
        <v>0</v>
      </c>
      <c r="K597" s="5" t="str">
        <f aca="false">IF($J597=FALSE(),"",예약내역!$L594*10000+ROW())</f>
        <v/>
      </c>
      <c r="L597" s="5" t="str">
        <f aca="false">IF($K597="","",RANK($K597,$K$6:$K$2005,1))</f>
        <v/>
      </c>
    </row>
    <row r="598" customFormat="false" ht="15" hidden="false" customHeight="true" outlineLevel="0" collapsed="false">
      <c r="J598" s="21" t="b">
        <f aca="false">IF(예약내역!$A595="",FALSE(),AND(예약내역!$A595=$B$3,예약내역!$J595&lt;&gt;"취소"))</f>
        <v>0</v>
      </c>
      <c r="K598" s="5" t="str">
        <f aca="false">IF($J598=FALSE(),"",예약내역!$L595*10000+ROW())</f>
        <v/>
      </c>
      <c r="L598" s="5" t="str">
        <f aca="false">IF($K598="","",RANK($K598,$K$6:$K$2005,1))</f>
        <v/>
      </c>
    </row>
    <row r="599" customFormat="false" ht="15" hidden="false" customHeight="true" outlineLevel="0" collapsed="false">
      <c r="J599" s="21" t="b">
        <f aca="false">IF(예약내역!$A596="",FALSE(),AND(예약내역!$A596=$B$3,예약내역!$J596&lt;&gt;"취소"))</f>
        <v>0</v>
      </c>
      <c r="K599" s="5" t="str">
        <f aca="false">IF($J599=FALSE(),"",예약내역!$L596*10000+ROW())</f>
        <v/>
      </c>
      <c r="L599" s="5" t="str">
        <f aca="false">IF($K599="","",RANK($K599,$K$6:$K$2005,1))</f>
        <v/>
      </c>
    </row>
    <row r="600" customFormat="false" ht="15" hidden="false" customHeight="true" outlineLevel="0" collapsed="false">
      <c r="J600" s="21" t="b">
        <f aca="false">IF(예약내역!$A597="",FALSE(),AND(예약내역!$A597=$B$3,예약내역!$J597&lt;&gt;"취소"))</f>
        <v>0</v>
      </c>
      <c r="K600" s="5" t="str">
        <f aca="false">IF($J600=FALSE(),"",예약내역!$L597*10000+ROW())</f>
        <v/>
      </c>
      <c r="L600" s="5" t="str">
        <f aca="false">IF($K600="","",RANK($K600,$K$6:$K$2005,1))</f>
        <v/>
      </c>
    </row>
    <row r="601" customFormat="false" ht="15" hidden="false" customHeight="true" outlineLevel="0" collapsed="false">
      <c r="J601" s="21" t="b">
        <f aca="false">IF(예약내역!$A598="",FALSE(),AND(예약내역!$A598=$B$3,예약내역!$J598&lt;&gt;"취소"))</f>
        <v>0</v>
      </c>
      <c r="K601" s="5" t="str">
        <f aca="false">IF($J601=FALSE(),"",예약내역!$L598*10000+ROW())</f>
        <v/>
      </c>
      <c r="L601" s="5" t="str">
        <f aca="false">IF($K601="","",RANK($K601,$K$6:$K$2005,1))</f>
        <v/>
      </c>
    </row>
    <row r="602" customFormat="false" ht="15" hidden="false" customHeight="true" outlineLevel="0" collapsed="false">
      <c r="J602" s="21" t="b">
        <f aca="false">IF(예약내역!$A599="",FALSE(),AND(예약내역!$A599=$B$3,예약내역!$J599&lt;&gt;"취소"))</f>
        <v>0</v>
      </c>
      <c r="K602" s="5" t="str">
        <f aca="false">IF($J602=FALSE(),"",예약내역!$L599*10000+ROW())</f>
        <v/>
      </c>
      <c r="L602" s="5" t="str">
        <f aca="false">IF($K602="","",RANK($K602,$K$6:$K$2005,1))</f>
        <v/>
      </c>
    </row>
    <row r="603" customFormat="false" ht="15" hidden="false" customHeight="true" outlineLevel="0" collapsed="false">
      <c r="J603" s="21" t="b">
        <f aca="false">IF(예약내역!$A600="",FALSE(),AND(예약내역!$A600=$B$3,예약내역!$J600&lt;&gt;"취소"))</f>
        <v>0</v>
      </c>
      <c r="K603" s="5" t="str">
        <f aca="false">IF($J603=FALSE(),"",예약내역!$L600*10000+ROW())</f>
        <v/>
      </c>
      <c r="L603" s="5" t="str">
        <f aca="false">IF($K603="","",RANK($K603,$K$6:$K$2005,1))</f>
        <v/>
      </c>
    </row>
    <row r="604" customFormat="false" ht="15" hidden="false" customHeight="true" outlineLevel="0" collapsed="false">
      <c r="J604" s="21" t="b">
        <f aca="false">IF(예약내역!$A601="",FALSE(),AND(예약내역!$A601=$B$3,예약내역!$J601&lt;&gt;"취소"))</f>
        <v>0</v>
      </c>
      <c r="K604" s="5" t="str">
        <f aca="false">IF($J604=FALSE(),"",예약내역!$L601*10000+ROW())</f>
        <v/>
      </c>
      <c r="L604" s="5" t="str">
        <f aca="false">IF($K604="","",RANK($K604,$K$6:$K$2005,1))</f>
        <v/>
      </c>
    </row>
    <row r="605" customFormat="false" ht="15" hidden="false" customHeight="true" outlineLevel="0" collapsed="false">
      <c r="J605" s="21" t="b">
        <f aca="false">IF(예약내역!$A602="",FALSE(),AND(예약내역!$A602=$B$3,예약내역!$J602&lt;&gt;"취소"))</f>
        <v>0</v>
      </c>
      <c r="K605" s="5" t="str">
        <f aca="false">IF($J605=FALSE(),"",예약내역!$L602*10000+ROW())</f>
        <v/>
      </c>
      <c r="L605" s="5" t="str">
        <f aca="false">IF($K605="","",RANK($K605,$K$6:$K$2005,1))</f>
        <v/>
      </c>
    </row>
    <row r="606" customFormat="false" ht="15" hidden="false" customHeight="true" outlineLevel="0" collapsed="false">
      <c r="J606" s="21" t="b">
        <f aca="false">IF(예약내역!$A603="",FALSE(),AND(예약내역!$A603=$B$3,예약내역!$J603&lt;&gt;"취소"))</f>
        <v>0</v>
      </c>
      <c r="K606" s="5" t="str">
        <f aca="false">IF($J606=FALSE(),"",예약내역!$L603*10000+ROW())</f>
        <v/>
      </c>
      <c r="L606" s="5" t="str">
        <f aca="false">IF($K606="","",RANK($K606,$K$6:$K$2005,1))</f>
        <v/>
      </c>
    </row>
    <row r="607" customFormat="false" ht="15" hidden="false" customHeight="true" outlineLevel="0" collapsed="false">
      <c r="J607" s="21" t="b">
        <f aca="false">IF(예약내역!$A604="",FALSE(),AND(예약내역!$A604=$B$3,예약내역!$J604&lt;&gt;"취소"))</f>
        <v>0</v>
      </c>
      <c r="K607" s="5" t="str">
        <f aca="false">IF($J607=FALSE(),"",예약내역!$L604*10000+ROW())</f>
        <v/>
      </c>
      <c r="L607" s="5" t="str">
        <f aca="false">IF($K607="","",RANK($K607,$K$6:$K$2005,1))</f>
        <v/>
      </c>
    </row>
    <row r="608" customFormat="false" ht="15" hidden="false" customHeight="true" outlineLevel="0" collapsed="false">
      <c r="J608" s="21" t="b">
        <f aca="false">IF(예약내역!$A605="",FALSE(),AND(예약내역!$A605=$B$3,예약내역!$J605&lt;&gt;"취소"))</f>
        <v>0</v>
      </c>
      <c r="K608" s="5" t="str">
        <f aca="false">IF($J608=FALSE(),"",예약내역!$L605*10000+ROW())</f>
        <v/>
      </c>
      <c r="L608" s="5" t="str">
        <f aca="false">IF($K608="","",RANK($K608,$K$6:$K$2005,1))</f>
        <v/>
      </c>
    </row>
    <row r="609" customFormat="false" ht="15" hidden="false" customHeight="true" outlineLevel="0" collapsed="false">
      <c r="J609" s="21" t="b">
        <f aca="false">IF(예약내역!$A606="",FALSE(),AND(예약내역!$A606=$B$3,예약내역!$J606&lt;&gt;"취소"))</f>
        <v>0</v>
      </c>
      <c r="K609" s="5" t="str">
        <f aca="false">IF($J609=FALSE(),"",예약내역!$L606*10000+ROW())</f>
        <v/>
      </c>
      <c r="L609" s="5" t="str">
        <f aca="false">IF($K609="","",RANK($K609,$K$6:$K$2005,1))</f>
        <v/>
      </c>
    </row>
    <row r="610" customFormat="false" ht="15" hidden="false" customHeight="true" outlineLevel="0" collapsed="false">
      <c r="J610" s="21" t="b">
        <f aca="false">IF(예약내역!$A607="",FALSE(),AND(예약내역!$A607=$B$3,예약내역!$J607&lt;&gt;"취소"))</f>
        <v>0</v>
      </c>
      <c r="K610" s="5" t="str">
        <f aca="false">IF($J610=FALSE(),"",예약내역!$L607*10000+ROW())</f>
        <v/>
      </c>
      <c r="L610" s="5" t="str">
        <f aca="false">IF($K610="","",RANK($K610,$K$6:$K$2005,1))</f>
        <v/>
      </c>
    </row>
    <row r="611" customFormat="false" ht="15" hidden="false" customHeight="true" outlineLevel="0" collapsed="false">
      <c r="J611" s="21" t="b">
        <f aca="false">IF(예약내역!$A608="",FALSE(),AND(예약내역!$A608=$B$3,예약내역!$J608&lt;&gt;"취소"))</f>
        <v>0</v>
      </c>
      <c r="K611" s="5" t="str">
        <f aca="false">IF($J611=FALSE(),"",예약내역!$L608*10000+ROW())</f>
        <v/>
      </c>
      <c r="L611" s="5" t="str">
        <f aca="false">IF($K611="","",RANK($K611,$K$6:$K$2005,1))</f>
        <v/>
      </c>
    </row>
    <row r="612" customFormat="false" ht="15" hidden="false" customHeight="true" outlineLevel="0" collapsed="false">
      <c r="J612" s="21" t="b">
        <f aca="false">IF(예약내역!$A609="",FALSE(),AND(예약내역!$A609=$B$3,예약내역!$J609&lt;&gt;"취소"))</f>
        <v>0</v>
      </c>
      <c r="K612" s="5" t="str">
        <f aca="false">IF($J612=FALSE(),"",예약내역!$L609*10000+ROW())</f>
        <v/>
      </c>
      <c r="L612" s="5" t="str">
        <f aca="false">IF($K612="","",RANK($K612,$K$6:$K$2005,1))</f>
        <v/>
      </c>
    </row>
    <row r="613" customFormat="false" ht="15" hidden="false" customHeight="true" outlineLevel="0" collapsed="false">
      <c r="J613" s="21" t="b">
        <f aca="false">IF(예약내역!$A610="",FALSE(),AND(예약내역!$A610=$B$3,예약내역!$J610&lt;&gt;"취소"))</f>
        <v>0</v>
      </c>
      <c r="K613" s="5" t="str">
        <f aca="false">IF($J613=FALSE(),"",예약내역!$L610*10000+ROW())</f>
        <v/>
      </c>
      <c r="L613" s="5" t="str">
        <f aca="false">IF($K613="","",RANK($K613,$K$6:$K$2005,1))</f>
        <v/>
      </c>
    </row>
    <row r="614" customFormat="false" ht="15" hidden="false" customHeight="true" outlineLevel="0" collapsed="false">
      <c r="J614" s="21" t="b">
        <f aca="false">IF(예약내역!$A611="",FALSE(),AND(예약내역!$A611=$B$3,예약내역!$J611&lt;&gt;"취소"))</f>
        <v>0</v>
      </c>
      <c r="K614" s="5" t="str">
        <f aca="false">IF($J614=FALSE(),"",예약내역!$L611*10000+ROW())</f>
        <v/>
      </c>
      <c r="L614" s="5" t="str">
        <f aca="false">IF($K614="","",RANK($K614,$K$6:$K$2005,1))</f>
        <v/>
      </c>
    </row>
    <row r="615" customFormat="false" ht="15" hidden="false" customHeight="true" outlineLevel="0" collapsed="false">
      <c r="J615" s="21" t="b">
        <f aca="false">IF(예약내역!$A612="",FALSE(),AND(예약내역!$A612=$B$3,예약내역!$J612&lt;&gt;"취소"))</f>
        <v>0</v>
      </c>
      <c r="K615" s="5" t="str">
        <f aca="false">IF($J615=FALSE(),"",예약내역!$L612*10000+ROW())</f>
        <v/>
      </c>
      <c r="L615" s="5" t="str">
        <f aca="false">IF($K615="","",RANK($K615,$K$6:$K$2005,1))</f>
        <v/>
      </c>
    </row>
    <row r="616" customFormat="false" ht="15" hidden="false" customHeight="true" outlineLevel="0" collapsed="false">
      <c r="J616" s="21" t="b">
        <f aca="false">IF(예약내역!$A613="",FALSE(),AND(예약내역!$A613=$B$3,예약내역!$J613&lt;&gt;"취소"))</f>
        <v>0</v>
      </c>
      <c r="K616" s="5" t="str">
        <f aca="false">IF($J616=FALSE(),"",예약내역!$L613*10000+ROW())</f>
        <v/>
      </c>
      <c r="L616" s="5" t="str">
        <f aca="false">IF($K616="","",RANK($K616,$K$6:$K$2005,1))</f>
        <v/>
      </c>
    </row>
    <row r="617" customFormat="false" ht="15" hidden="false" customHeight="true" outlineLevel="0" collapsed="false">
      <c r="J617" s="21" t="b">
        <f aca="false">IF(예약내역!$A614="",FALSE(),AND(예약내역!$A614=$B$3,예약내역!$J614&lt;&gt;"취소"))</f>
        <v>0</v>
      </c>
      <c r="K617" s="5" t="str">
        <f aca="false">IF($J617=FALSE(),"",예약내역!$L614*10000+ROW())</f>
        <v/>
      </c>
      <c r="L617" s="5" t="str">
        <f aca="false">IF($K617="","",RANK($K617,$K$6:$K$2005,1))</f>
        <v/>
      </c>
    </row>
    <row r="618" customFormat="false" ht="15" hidden="false" customHeight="true" outlineLevel="0" collapsed="false">
      <c r="J618" s="21" t="b">
        <f aca="false">IF(예약내역!$A615="",FALSE(),AND(예약내역!$A615=$B$3,예약내역!$J615&lt;&gt;"취소"))</f>
        <v>0</v>
      </c>
      <c r="K618" s="5" t="str">
        <f aca="false">IF($J618=FALSE(),"",예약내역!$L615*10000+ROW())</f>
        <v/>
      </c>
      <c r="L618" s="5" t="str">
        <f aca="false">IF($K618="","",RANK($K618,$K$6:$K$2005,1))</f>
        <v/>
      </c>
    </row>
    <row r="619" customFormat="false" ht="15" hidden="false" customHeight="true" outlineLevel="0" collapsed="false">
      <c r="J619" s="21" t="b">
        <f aca="false">IF(예약내역!$A616="",FALSE(),AND(예약내역!$A616=$B$3,예약내역!$J616&lt;&gt;"취소"))</f>
        <v>0</v>
      </c>
      <c r="K619" s="5" t="str">
        <f aca="false">IF($J619=FALSE(),"",예약내역!$L616*10000+ROW())</f>
        <v/>
      </c>
      <c r="L619" s="5" t="str">
        <f aca="false">IF($K619="","",RANK($K619,$K$6:$K$2005,1))</f>
        <v/>
      </c>
    </row>
    <row r="620" customFormat="false" ht="15" hidden="false" customHeight="true" outlineLevel="0" collapsed="false">
      <c r="J620" s="21" t="b">
        <f aca="false">IF(예약내역!$A617="",FALSE(),AND(예약내역!$A617=$B$3,예약내역!$J617&lt;&gt;"취소"))</f>
        <v>0</v>
      </c>
      <c r="K620" s="5" t="str">
        <f aca="false">IF($J620=FALSE(),"",예약내역!$L617*10000+ROW())</f>
        <v/>
      </c>
      <c r="L620" s="5" t="str">
        <f aca="false">IF($K620="","",RANK($K620,$K$6:$K$2005,1))</f>
        <v/>
      </c>
    </row>
    <row r="621" customFormat="false" ht="15" hidden="false" customHeight="true" outlineLevel="0" collapsed="false">
      <c r="J621" s="21" t="b">
        <f aca="false">IF(예약내역!$A618="",FALSE(),AND(예약내역!$A618=$B$3,예약내역!$J618&lt;&gt;"취소"))</f>
        <v>0</v>
      </c>
      <c r="K621" s="5" t="str">
        <f aca="false">IF($J621=FALSE(),"",예약내역!$L618*10000+ROW())</f>
        <v/>
      </c>
      <c r="L621" s="5" t="str">
        <f aca="false">IF($K621="","",RANK($K621,$K$6:$K$2005,1))</f>
        <v/>
      </c>
    </row>
    <row r="622" customFormat="false" ht="15" hidden="false" customHeight="true" outlineLevel="0" collapsed="false">
      <c r="J622" s="21" t="b">
        <f aca="false">IF(예약내역!$A619="",FALSE(),AND(예약내역!$A619=$B$3,예약내역!$J619&lt;&gt;"취소"))</f>
        <v>0</v>
      </c>
      <c r="K622" s="5" t="str">
        <f aca="false">IF($J622=FALSE(),"",예약내역!$L619*10000+ROW())</f>
        <v/>
      </c>
      <c r="L622" s="5" t="str">
        <f aca="false">IF($K622="","",RANK($K622,$K$6:$K$2005,1))</f>
        <v/>
      </c>
    </row>
    <row r="623" customFormat="false" ht="15" hidden="false" customHeight="true" outlineLevel="0" collapsed="false">
      <c r="J623" s="21" t="b">
        <f aca="false">IF(예약내역!$A620="",FALSE(),AND(예약내역!$A620=$B$3,예약내역!$J620&lt;&gt;"취소"))</f>
        <v>0</v>
      </c>
      <c r="K623" s="5" t="str">
        <f aca="false">IF($J623=FALSE(),"",예약내역!$L620*10000+ROW())</f>
        <v/>
      </c>
      <c r="L623" s="5" t="str">
        <f aca="false">IF($K623="","",RANK($K623,$K$6:$K$2005,1))</f>
        <v/>
      </c>
    </row>
    <row r="624" customFormat="false" ht="15" hidden="false" customHeight="true" outlineLevel="0" collapsed="false">
      <c r="J624" s="21" t="b">
        <f aca="false">IF(예약내역!$A621="",FALSE(),AND(예약내역!$A621=$B$3,예약내역!$J621&lt;&gt;"취소"))</f>
        <v>0</v>
      </c>
      <c r="K624" s="5" t="str">
        <f aca="false">IF($J624=FALSE(),"",예약내역!$L621*10000+ROW())</f>
        <v/>
      </c>
      <c r="L624" s="5" t="str">
        <f aca="false">IF($K624="","",RANK($K624,$K$6:$K$2005,1))</f>
        <v/>
      </c>
    </row>
    <row r="625" customFormat="false" ht="15" hidden="false" customHeight="true" outlineLevel="0" collapsed="false">
      <c r="J625" s="21" t="b">
        <f aca="false">IF(예약내역!$A622="",FALSE(),AND(예약내역!$A622=$B$3,예약내역!$J622&lt;&gt;"취소"))</f>
        <v>0</v>
      </c>
      <c r="K625" s="5" t="str">
        <f aca="false">IF($J625=FALSE(),"",예약내역!$L622*10000+ROW())</f>
        <v/>
      </c>
      <c r="L625" s="5" t="str">
        <f aca="false">IF($K625="","",RANK($K625,$K$6:$K$2005,1))</f>
        <v/>
      </c>
    </row>
    <row r="626" customFormat="false" ht="15" hidden="false" customHeight="true" outlineLevel="0" collapsed="false">
      <c r="J626" s="21" t="b">
        <f aca="false">IF(예약내역!$A623="",FALSE(),AND(예약내역!$A623=$B$3,예약내역!$J623&lt;&gt;"취소"))</f>
        <v>0</v>
      </c>
      <c r="K626" s="5" t="str">
        <f aca="false">IF($J626=FALSE(),"",예약내역!$L623*10000+ROW())</f>
        <v/>
      </c>
      <c r="L626" s="5" t="str">
        <f aca="false">IF($K626="","",RANK($K626,$K$6:$K$2005,1))</f>
        <v/>
      </c>
    </row>
    <row r="627" customFormat="false" ht="15" hidden="false" customHeight="true" outlineLevel="0" collapsed="false">
      <c r="J627" s="21" t="b">
        <f aca="false">IF(예약내역!$A624="",FALSE(),AND(예약내역!$A624=$B$3,예약내역!$J624&lt;&gt;"취소"))</f>
        <v>0</v>
      </c>
      <c r="K627" s="5" t="str">
        <f aca="false">IF($J627=FALSE(),"",예약내역!$L624*10000+ROW())</f>
        <v/>
      </c>
      <c r="L627" s="5" t="str">
        <f aca="false">IF($K627="","",RANK($K627,$K$6:$K$2005,1))</f>
        <v/>
      </c>
    </row>
    <row r="628" customFormat="false" ht="15" hidden="false" customHeight="true" outlineLevel="0" collapsed="false">
      <c r="J628" s="21" t="b">
        <f aca="false">IF(예약내역!$A625="",FALSE(),AND(예약내역!$A625=$B$3,예약내역!$J625&lt;&gt;"취소"))</f>
        <v>0</v>
      </c>
      <c r="K628" s="5" t="str">
        <f aca="false">IF($J628=FALSE(),"",예약내역!$L625*10000+ROW())</f>
        <v/>
      </c>
      <c r="L628" s="5" t="str">
        <f aca="false">IF($K628="","",RANK($K628,$K$6:$K$2005,1))</f>
        <v/>
      </c>
    </row>
    <row r="629" customFormat="false" ht="15" hidden="false" customHeight="true" outlineLevel="0" collapsed="false">
      <c r="J629" s="21" t="b">
        <f aca="false">IF(예약내역!$A626="",FALSE(),AND(예약내역!$A626=$B$3,예약내역!$J626&lt;&gt;"취소"))</f>
        <v>0</v>
      </c>
      <c r="K629" s="5" t="str">
        <f aca="false">IF($J629=FALSE(),"",예약내역!$L626*10000+ROW())</f>
        <v/>
      </c>
      <c r="L629" s="5" t="str">
        <f aca="false">IF($K629="","",RANK($K629,$K$6:$K$2005,1))</f>
        <v/>
      </c>
    </row>
    <row r="630" customFormat="false" ht="15" hidden="false" customHeight="true" outlineLevel="0" collapsed="false">
      <c r="J630" s="21" t="b">
        <f aca="false">IF(예약내역!$A627="",FALSE(),AND(예약내역!$A627=$B$3,예약내역!$J627&lt;&gt;"취소"))</f>
        <v>0</v>
      </c>
      <c r="K630" s="5" t="str">
        <f aca="false">IF($J630=FALSE(),"",예약내역!$L627*10000+ROW())</f>
        <v/>
      </c>
      <c r="L630" s="5" t="str">
        <f aca="false">IF($K630="","",RANK($K630,$K$6:$K$2005,1))</f>
        <v/>
      </c>
    </row>
    <row r="631" customFormat="false" ht="15" hidden="false" customHeight="true" outlineLevel="0" collapsed="false">
      <c r="J631" s="21" t="b">
        <f aca="false">IF(예약내역!$A628="",FALSE(),AND(예약내역!$A628=$B$3,예약내역!$J628&lt;&gt;"취소"))</f>
        <v>0</v>
      </c>
      <c r="K631" s="5" t="str">
        <f aca="false">IF($J631=FALSE(),"",예약내역!$L628*10000+ROW())</f>
        <v/>
      </c>
      <c r="L631" s="5" t="str">
        <f aca="false">IF($K631="","",RANK($K631,$K$6:$K$2005,1))</f>
        <v/>
      </c>
    </row>
    <row r="632" customFormat="false" ht="15" hidden="false" customHeight="true" outlineLevel="0" collapsed="false">
      <c r="J632" s="21" t="b">
        <f aca="false">IF(예약내역!$A629="",FALSE(),AND(예약내역!$A629=$B$3,예약내역!$J629&lt;&gt;"취소"))</f>
        <v>0</v>
      </c>
      <c r="K632" s="5" t="str">
        <f aca="false">IF($J632=FALSE(),"",예약내역!$L629*10000+ROW())</f>
        <v/>
      </c>
      <c r="L632" s="5" t="str">
        <f aca="false">IF($K632="","",RANK($K632,$K$6:$K$2005,1))</f>
        <v/>
      </c>
    </row>
    <row r="633" customFormat="false" ht="15" hidden="false" customHeight="true" outlineLevel="0" collapsed="false">
      <c r="J633" s="21" t="b">
        <f aca="false">IF(예약내역!$A630="",FALSE(),AND(예약내역!$A630=$B$3,예약내역!$J630&lt;&gt;"취소"))</f>
        <v>0</v>
      </c>
      <c r="K633" s="5" t="str">
        <f aca="false">IF($J633=FALSE(),"",예약내역!$L630*10000+ROW())</f>
        <v/>
      </c>
      <c r="L633" s="5" t="str">
        <f aca="false">IF($K633="","",RANK($K633,$K$6:$K$2005,1))</f>
        <v/>
      </c>
    </row>
    <row r="634" customFormat="false" ht="15" hidden="false" customHeight="true" outlineLevel="0" collapsed="false">
      <c r="J634" s="21" t="b">
        <f aca="false">IF(예약내역!$A631="",FALSE(),AND(예약내역!$A631=$B$3,예약내역!$J631&lt;&gt;"취소"))</f>
        <v>0</v>
      </c>
      <c r="K634" s="5" t="str">
        <f aca="false">IF($J634=FALSE(),"",예약내역!$L631*10000+ROW())</f>
        <v/>
      </c>
      <c r="L634" s="5" t="str">
        <f aca="false">IF($K634="","",RANK($K634,$K$6:$K$2005,1))</f>
        <v/>
      </c>
    </row>
    <row r="635" customFormat="false" ht="15" hidden="false" customHeight="true" outlineLevel="0" collapsed="false">
      <c r="J635" s="21" t="b">
        <f aca="false">IF(예약내역!$A632="",FALSE(),AND(예약내역!$A632=$B$3,예약내역!$J632&lt;&gt;"취소"))</f>
        <v>0</v>
      </c>
      <c r="K635" s="5" t="str">
        <f aca="false">IF($J635=FALSE(),"",예약내역!$L632*10000+ROW())</f>
        <v/>
      </c>
      <c r="L635" s="5" t="str">
        <f aca="false">IF($K635="","",RANK($K635,$K$6:$K$2005,1))</f>
        <v/>
      </c>
    </row>
    <row r="636" customFormat="false" ht="15" hidden="false" customHeight="true" outlineLevel="0" collapsed="false">
      <c r="J636" s="21" t="b">
        <f aca="false">IF(예약내역!$A633="",FALSE(),AND(예약내역!$A633=$B$3,예약내역!$J633&lt;&gt;"취소"))</f>
        <v>0</v>
      </c>
      <c r="K636" s="5" t="str">
        <f aca="false">IF($J636=FALSE(),"",예약내역!$L633*10000+ROW())</f>
        <v/>
      </c>
      <c r="L636" s="5" t="str">
        <f aca="false">IF($K636="","",RANK($K636,$K$6:$K$2005,1))</f>
        <v/>
      </c>
    </row>
    <row r="637" customFormat="false" ht="15" hidden="false" customHeight="true" outlineLevel="0" collapsed="false">
      <c r="J637" s="21" t="b">
        <f aca="false">IF(예약내역!$A634="",FALSE(),AND(예약내역!$A634=$B$3,예약내역!$J634&lt;&gt;"취소"))</f>
        <v>0</v>
      </c>
      <c r="K637" s="5" t="str">
        <f aca="false">IF($J637=FALSE(),"",예약내역!$L634*10000+ROW())</f>
        <v/>
      </c>
      <c r="L637" s="5" t="str">
        <f aca="false">IF($K637="","",RANK($K637,$K$6:$K$2005,1))</f>
        <v/>
      </c>
    </row>
    <row r="638" customFormat="false" ht="15" hidden="false" customHeight="true" outlineLevel="0" collapsed="false">
      <c r="J638" s="21" t="b">
        <f aca="false">IF(예약내역!$A635="",FALSE(),AND(예약내역!$A635=$B$3,예약내역!$J635&lt;&gt;"취소"))</f>
        <v>0</v>
      </c>
      <c r="K638" s="5" t="str">
        <f aca="false">IF($J638=FALSE(),"",예약내역!$L635*10000+ROW())</f>
        <v/>
      </c>
      <c r="L638" s="5" t="str">
        <f aca="false">IF($K638="","",RANK($K638,$K$6:$K$2005,1))</f>
        <v/>
      </c>
    </row>
    <row r="639" customFormat="false" ht="15" hidden="false" customHeight="true" outlineLevel="0" collapsed="false">
      <c r="J639" s="21" t="b">
        <f aca="false">IF(예약내역!$A636="",FALSE(),AND(예약내역!$A636=$B$3,예약내역!$J636&lt;&gt;"취소"))</f>
        <v>0</v>
      </c>
      <c r="K639" s="5" t="str">
        <f aca="false">IF($J639=FALSE(),"",예약내역!$L636*10000+ROW())</f>
        <v/>
      </c>
      <c r="L639" s="5" t="str">
        <f aca="false">IF($K639="","",RANK($K639,$K$6:$K$2005,1))</f>
        <v/>
      </c>
    </row>
    <row r="640" customFormat="false" ht="15" hidden="false" customHeight="true" outlineLevel="0" collapsed="false">
      <c r="J640" s="21" t="b">
        <f aca="false">IF(예약내역!$A637="",FALSE(),AND(예약내역!$A637=$B$3,예약내역!$J637&lt;&gt;"취소"))</f>
        <v>0</v>
      </c>
      <c r="K640" s="5" t="str">
        <f aca="false">IF($J640=FALSE(),"",예약내역!$L637*10000+ROW())</f>
        <v/>
      </c>
      <c r="L640" s="5" t="str">
        <f aca="false">IF($K640="","",RANK($K640,$K$6:$K$2005,1))</f>
        <v/>
      </c>
    </row>
    <row r="641" customFormat="false" ht="15" hidden="false" customHeight="true" outlineLevel="0" collapsed="false">
      <c r="J641" s="21" t="b">
        <f aca="false">IF(예약내역!$A638="",FALSE(),AND(예약내역!$A638=$B$3,예약내역!$J638&lt;&gt;"취소"))</f>
        <v>0</v>
      </c>
      <c r="K641" s="5" t="str">
        <f aca="false">IF($J641=FALSE(),"",예약내역!$L638*10000+ROW())</f>
        <v/>
      </c>
      <c r="L641" s="5" t="str">
        <f aca="false">IF($K641="","",RANK($K641,$K$6:$K$2005,1))</f>
        <v/>
      </c>
    </row>
    <row r="642" customFormat="false" ht="15" hidden="false" customHeight="true" outlineLevel="0" collapsed="false">
      <c r="J642" s="21" t="b">
        <f aca="false">IF(예약내역!$A639="",FALSE(),AND(예약내역!$A639=$B$3,예약내역!$J639&lt;&gt;"취소"))</f>
        <v>0</v>
      </c>
      <c r="K642" s="5" t="str">
        <f aca="false">IF($J642=FALSE(),"",예약내역!$L639*10000+ROW())</f>
        <v/>
      </c>
      <c r="L642" s="5" t="str">
        <f aca="false">IF($K642="","",RANK($K642,$K$6:$K$2005,1))</f>
        <v/>
      </c>
    </row>
    <row r="643" customFormat="false" ht="15" hidden="false" customHeight="true" outlineLevel="0" collapsed="false">
      <c r="J643" s="21" t="b">
        <f aca="false">IF(예약내역!$A640="",FALSE(),AND(예약내역!$A640=$B$3,예약내역!$J640&lt;&gt;"취소"))</f>
        <v>0</v>
      </c>
      <c r="K643" s="5" t="str">
        <f aca="false">IF($J643=FALSE(),"",예약내역!$L640*10000+ROW())</f>
        <v/>
      </c>
      <c r="L643" s="5" t="str">
        <f aca="false">IF($K643="","",RANK($K643,$K$6:$K$2005,1))</f>
        <v/>
      </c>
    </row>
    <row r="644" customFormat="false" ht="15" hidden="false" customHeight="true" outlineLevel="0" collapsed="false">
      <c r="J644" s="21" t="b">
        <f aca="false">IF(예약내역!$A641="",FALSE(),AND(예약내역!$A641=$B$3,예약내역!$J641&lt;&gt;"취소"))</f>
        <v>0</v>
      </c>
      <c r="K644" s="5" t="str">
        <f aca="false">IF($J644=FALSE(),"",예약내역!$L641*10000+ROW())</f>
        <v/>
      </c>
      <c r="L644" s="5" t="str">
        <f aca="false">IF($K644="","",RANK($K644,$K$6:$K$2005,1))</f>
        <v/>
      </c>
    </row>
    <row r="645" customFormat="false" ht="15" hidden="false" customHeight="true" outlineLevel="0" collapsed="false">
      <c r="J645" s="21" t="b">
        <f aca="false">IF(예약내역!$A642="",FALSE(),AND(예약내역!$A642=$B$3,예약내역!$J642&lt;&gt;"취소"))</f>
        <v>0</v>
      </c>
      <c r="K645" s="5" t="str">
        <f aca="false">IF($J645=FALSE(),"",예약내역!$L642*10000+ROW())</f>
        <v/>
      </c>
      <c r="L645" s="5" t="str">
        <f aca="false">IF($K645="","",RANK($K645,$K$6:$K$2005,1))</f>
        <v/>
      </c>
    </row>
    <row r="646" customFormat="false" ht="15" hidden="false" customHeight="true" outlineLevel="0" collapsed="false">
      <c r="J646" s="21" t="b">
        <f aca="false">IF(예약내역!$A643="",FALSE(),AND(예약내역!$A643=$B$3,예약내역!$J643&lt;&gt;"취소"))</f>
        <v>0</v>
      </c>
      <c r="K646" s="5" t="str">
        <f aca="false">IF($J646=FALSE(),"",예약내역!$L643*10000+ROW())</f>
        <v/>
      </c>
      <c r="L646" s="5" t="str">
        <f aca="false">IF($K646="","",RANK($K646,$K$6:$K$2005,1))</f>
        <v/>
      </c>
    </row>
    <row r="647" customFormat="false" ht="15" hidden="false" customHeight="true" outlineLevel="0" collapsed="false">
      <c r="J647" s="21" t="b">
        <f aca="false">IF(예약내역!$A644="",FALSE(),AND(예약내역!$A644=$B$3,예약내역!$J644&lt;&gt;"취소"))</f>
        <v>0</v>
      </c>
      <c r="K647" s="5" t="str">
        <f aca="false">IF($J647=FALSE(),"",예약내역!$L644*10000+ROW())</f>
        <v/>
      </c>
      <c r="L647" s="5" t="str">
        <f aca="false">IF($K647="","",RANK($K647,$K$6:$K$2005,1))</f>
        <v/>
      </c>
    </row>
    <row r="648" customFormat="false" ht="15" hidden="false" customHeight="true" outlineLevel="0" collapsed="false">
      <c r="J648" s="21" t="b">
        <f aca="false">IF(예약내역!$A645="",FALSE(),AND(예약내역!$A645=$B$3,예약내역!$J645&lt;&gt;"취소"))</f>
        <v>0</v>
      </c>
      <c r="K648" s="5" t="str">
        <f aca="false">IF($J648=FALSE(),"",예약내역!$L645*10000+ROW())</f>
        <v/>
      </c>
      <c r="L648" s="5" t="str">
        <f aca="false">IF($K648="","",RANK($K648,$K$6:$K$2005,1))</f>
        <v/>
      </c>
    </row>
    <row r="649" customFormat="false" ht="15" hidden="false" customHeight="true" outlineLevel="0" collapsed="false">
      <c r="J649" s="21" t="b">
        <f aca="false">IF(예약내역!$A646="",FALSE(),AND(예약내역!$A646=$B$3,예약내역!$J646&lt;&gt;"취소"))</f>
        <v>0</v>
      </c>
      <c r="K649" s="5" t="str">
        <f aca="false">IF($J649=FALSE(),"",예약내역!$L646*10000+ROW())</f>
        <v/>
      </c>
      <c r="L649" s="5" t="str">
        <f aca="false">IF($K649="","",RANK($K649,$K$6:$K$2005,1))</f>
        <v/>
      </c>
    </row>
    <row r="650" customFormat="false" ht="15" hidden="false" customHeight="true" outlineLevel="0" collapsed="false">
      <c r="J650" s="21" t="b">
        <f aca="false">IF(예약내역!$A647="",FALSE(),AND(예약내역!$A647=$B$3,예약내역!$J647&lt;&gt;"취소"))</f>
        <v>0</v>
      </c>
      <c r="K650" s="5" t="str">
        <f aca="false">IF($J650=FALSE(),"",예약내역!$L647*10000+ROW())</f>
        <v/>
      </c>
      <c r="L650" s="5" t="str">
        <f aca="false">IF($K650="","",RANK($K650,$K$6:$K$2005,1))</f>
        <v/>
      </c>
    </row>
    <row r="651" customFormat="false" ht="15" hidden="false" customHeight="true" outlineLevel="0" collapsed="false">
      <c r="J651" s="21" t="b">
        <f aca="false">IF(예약내역!$A648="",FALSE(),AND(예약내역!$A648=$B$3,예약내역!$J648&lt;&gt;"취소"))</f>
        <v>0</v>
      </c>
      <c r="K651" s="5" t="str">
        <f aca="false">IF($J651=FALSE(),"",예약내역!$L648*10000+ROW())</f>
        <v/>
      </c>
      <c r="L651" s="5" t="str">
        <f aca="false">IF($K651="","",RANK($K651,$K$6:$K$2005,1))</f>
        <v/>
      </c>
    </row>
    <row r="652" customFormat="false" ht="15" hidden="false" customHeight="true" outlineLevel="0" collapsed="false">
      <c r="J652" s="21" t="b">
        <f aca="false">IF(예약내역!$A649="",FALSE(),AND(예약내역!$A649=$B$3,예약내역!$J649&lt;&gt;"취소"))</f>
        <v>0</v>
      </c>
      <c r="K652" s="5" t="str">
        <f aca="false">IF($J652=FALSE(),"",예약내역!$L649*10000+ROW())</f>
        <v/>
      </c>
      <c r="L652" s="5" t="str">
        <f aca="false">IF($K652="","",RANK($K652,$K$6:$K$2005,1))</f>
        <v/>
      </c>
    </row>
    <row r="653" customFormat="false" ht="15" hidden="false" customHeight="true" outlineLevel="0" collapsed="false">
      <c r="J653" s="21" t="b">
        <f aca="false">IF(예약내역!$A650="",FALSE(),AND(예약내역!$A650=$B$3,예약내역!$J650&lt;&gt;"취소"))</f>
        <v>0</v>
      </c>
      <c r="K653" s="5" t="str">
        <f aca="false">IF($J653=FALSE(),"",예약내역!$L650*10000+ROW())</f>
        <v/>
      </c>
      <c r="L653" s="5" t="str">
        <f aca="false">IF($K653="","",RANK($K653,$K$6:$K$2005,1))</f>
        <v/>
      </c>
    </row>
    <row r="654" customFormat="false" ht="15" hidden="false" customHeight="true" outlineLevel="0" collapsed="false">
      <c r="J654" s="21" t="b">
        <f aca="false">IF(예약내역!$A651="",FALSE(),AND(예약내역!$A651=$B$3,예약내역!$J651&lt;&gt;"취소"))</f>
        <v>0</v>
      </c>
      <c r="K654" s="5" t="str">
        <f aca="false">IF($J654=FALSE(),"",예약내역!$L651*10000+ROW())</f>
        <v/>
      </c>
      <c r="L654" s="5" t="str">
        <f aca="false">IF($K654="","",RANK($K654,$K$6:$K$2005,1))</f>
        <v/>
      </c>
    </row>
    <row r="655" customFormat="false" ht="15" hidden="false" customHeight="true" outlineLevel="0" collapsed="false">
      <c r="J655" s="21" t="b">
        <f aca="false">IF(예약내역!$A652="",FALSE(),AND(예약내역!$A652=$B$3,예약내역!$J652&lt;&gt;"취소"))</f>
        <v>0</v>
      </c>
      <c r="K655" s="5" t="str">
        <f aca="false">IF($J655=FALSE(),"",예약내역!$L652*10000+ROW())</f>
        <v/>
      </c>
      <c r="L655" s="5" t="str">
        <f aca="false">IF($K655="","",RANK($K655,$K$6:$K$2005,1))</f>
        <v/>
      </c>
    </row>
    <row r="656" customFormat="false" ht="15" hidden="false" customHeight="true" outlineLevel="0" collapsed="false">
      <c r="J656" s="21" t="b">
        <f aca="false">IF(예약내역!$A653="",FALSE(),AND(예약내역!$A653=$B$3,예약내역!$J653&lt;&gt;"취소"))</f>
        <v>0</v>
      </c>
      <c r="K656" s="5" t="str">
        <f aca="false">IF($J656=FALSE(),"",예약내역!$L653*10000+ROW())</f>
        <v/>
      </c>
      <c r="L656" s="5" t="str">
        <f aca="false">IF($K656="","",RANK($K656,$K$6:$K$2005,1))</f>
        <v/>
      </c>
    </row>
    <row r="657" customFormat="false" ht="15" hidden="false" customHeight="true" outlineLevel="0" collapsed="false">
      <c r="J657" s="21" t="b">
        <f aca="false">IF(예약내역!$A654="",FALSE(),AND(예약내역!$A654=$B$3,예약내역!$J654&lt;&gt;"취소"))</f>
        <v>0</v>
      </c>
      <c r="K657" s="5" t="str">
        <f aca="false">IF($J657=FALSE(),"",예약내역!$L654*10000+ROW())</f>
        <v/>
      </c>
      <c r="L657" s="5" t="str">
        <f aca="false">IF($K657="","",RANK($K657,$K$6:$K$2005,1))</f>
        <v/>
      </c>
    </row>
    <row r="658" customFormat="false" ht="15" hidden="false" customHeight="true" outlineLevel="0" collapsed="false">
      <c r="J658" s="21" t="b">
        <f aca="false">IF(예약내역!$A655="",FALSE(),AND(예약내역!$A655=$B$3,예약내역!$J655&lt;&gt;"취소"))</f>
        <v>0</v>
      </c>
      <c r="K658" s="5" t="str">
        <f aca="false">IF($J658=FALSE(),"",예약내역!$L655*10000+ROW())</f>
        <v/>
      </c>
      <c r="L658" s="5" t="str">
        <f aca="false">IF($K658="","",RANK($K658,$K$6:$K$2005,1))</f>
        <v/>
      </c>
    </row>
    <row r="659" customFormat="false" ht="15" hidden="false" customHeight="true" outlineLevel="0" collapsed="false">
      <c r="J659" s="21" t="b">
        <f aca="false">IF(예약내역!$A656="",FALSE(),AND(예약내역!$A656=$B$3,예약내역!$J656&lt;&gt;"취소"))</f>
        <v>0</v>
      </c>
      <c r="K659" s="5" t="str">
        <f aca="false">IF($J659=FALSE(),"",예약내역!$L656*10000+ROW())</f>
        <v/>
      </c>
      <c r="L659" s="5" t="str">
        <f aca="false">IF($K659="","",RANK($K659,$K$6:$K$2005,1))</f>
        <v/>
      </c>
    </row>
    <row r="660" customFormat="false" ht="15" hidden="false" customHeight="true" outlineLevel="0" collapsed="false">
      <c r="J660" s="21" t="b">
        <f aca="false">IF(예약내역!$A657="",FALSE(),AND(예약내역!$A657=$B$3,예약내역!$J657&lt;&gt;"취소"))</f>
        <v>0</v>
      </c>
      <c r="K660" s="5" t="str">
        <f aca="false">IF($J660=FALSE(),"",예약내역!$L657*10000+ROW())</f>
        <v/>
      </c>
      <c r="L660" s="5" t="str">
        <f aca="false">IF($K660="","",RANK($K660,$K$6:$K$2005,1))</f>
        <v/>
      </c>
    </row>
    <row r="661" customFormat="false" ht="15" hidden="false" customHeight="true" outlineLevel="0" collapsed="false">
      <c r="J661" s="21" t="b">
        <f aca="false">IF(예약내역!$A658="",FALSE(),AND(예약내역!$A658=$B$3,예약내역!$J658&lt;&gt;"취소"))</f>
        <v>0</v>
      </c>
      <c r="K661" s="5" t="str">
        <f aca="false">IF($J661=FALSE(),"",예약내역!$L658*10000+ROW())</f>
        <v/>
      </c>
      <c r="L661" s="5" t="str">
        <f aca="false">IF($K661="","",RANK($K661,$K$6:$K$2005,1))</f>
        <v/>
      </c>
    </row>
    <row r="662" customFormat="false" ht="15" hidden="false" customHeight="true" outlineLevel="0" collapsed="false">
      <c r="J662" s="21" t="b">
        <f aca="false">IF(예약내역!$A659="",FALSE(),AND(예약내역!$A659=$B$3,예약내역!$J659&lt;&gt;"취소"))</f>
        <v>0</v>
      </c>
      <c r="K662" s="5" t="str">
        <f aca="false">IF($J662=FALSE(),"",예약내역!$L659*10000+ROW())</f>
        <v/>
      </c>
      <c r="L662" s="5" t="str">
        <f aca="false">IF($K662="","",RANK($K662,$K$6:$K$2005,1))</f>
        <v/>
      </c>
    </row>
    <row r="663" customFormat="false" ht="15" hidden="false" customHeight="true" outlineLevel="0" collapsed="false">
      <c r="J663" s="21" t="b">
        <f aca="false">IF(예약내역!$A660="",FALSE(),AND(예약내역!$A660=$B$3,예약내역!$J660&lt;&gt;"취소"))</f>
        <v>0</v>
      </c>
      <c r="K663" s="5" t="str">
        <f aca="false">IF($J663=FALSE(),"",예약내역!$L660*10000+ROW())</f>
        <v/>
      </c>
      <c r="L663" s="5" t="str">
        <f aca="false">IF($K663="","",RANK($K663,$K$6:$K$2005,1))</f>
        <v/>
      </c>
    </row>
    <row r="664" customFormat="false" ht="15" hidden="false" customHeight="true" outlineLevel="0" collapsed="false">
      <c r="J664" s="21" t="b">
        <f aca="false">IF(예약내역!$A661="",FALSE(),AND(예약내역!$A661=$B$3,예약내역!$J661&lt;&gt;"취소"))</f>
        <v>0</v>
      </c>
      <c r="K664" s="5" t="str">
        <f aca="false">IF($J664=FALSE(),"",예약내역!$L661*10000+ROW())</f>
        <v/>
      </c>
      <c r="L664" s="5" t="str">
        <f aca="false">IF($K664="","",RANK($K664,$K$6:$K$2005,1))</f>
        <v/>
      </c>
    </row>
    <row r="665" customFormat="false" ht="15" hidden="false" customHeight="true" outlineLevel="0" collapsed="false">
      <c r="J665" s="21" t="b">
        <f aca="false">IF(예약내역!$A662="",FALSE(),AND(예약내역!$A662=$B$3,예약내역!$J662&lt;&gt;"취소"))</f>
        <v>0</v>
      </c>
      <c r="K665" s="5" t="str">
        <f aca="false">IF($J665=FALSE(),"",예약내역!$L662*10000+ROW())</f>
        <v/>
      </c>
      <c r="L665" s="5" t="str">
        <f aca="false">IF($K665="","",RANK($K665,$K$6:$K$2005,1))</f>
        <v/>
      </c>
    </row>
    <row r="666" customFormat="false" ht="15" hidden="false" customHeight="true" outlineLevel="0" collapsed="false">
      <c r="J666" s="21" t="b">
        <f aca="false">IF(예약내역!$A663="",FALSE(),AND(예약내역!$A663=$B$3,예약내역!$J663&lt;&gt;"취소"))</f>
        <v>0</v>
      </c>
      <c r="K666" s="5" t="str">
        <f aca="false">IF($J666=FALSE(),"",예약내역!$L663*10000+ROW())</f>
        <v/>
      </c>
      <c r="L666" s="5" t="str">
        <f aca="false">IF($K666="","",RANK($K666,$K$6:$K$2005,1))</f>
        <v/>
      </c>
    </row>
    <row r="667" customFormat="false" ht="15" hidden="false" customHeight="true" outlineLevel="0" collapsed="false">
      <c r="J667" s="21" t="b">
        <f aca="false">IF(예약내역!$A664="",FALSE(),AND(예약내역!$A664=$B$3,예약내역!$J664&lt;&gt;"취소"))</f>
        <v>0</v>
      </c>
      <c r="K667" s="5" t="str">
        <f aca="false">IF($J667=FALSE(),"",예약내역!$L664*10000+ROW())</f>
        <v/>
      </c>
      <c r="L667" s="5" t="str">
        <f aca="false">IF($K667="","",RANK($K667,$K$6:$K$2005,1))</f>
        <v/>
      </c>
    </row>
    <row r="668" customFormat="false" ht="15" hidden="false" customHeight="true" outlineLevel="0" collapsed="false">
      <c r="J668" s="21" t="b">
        <f aca="false">IF(예약내역!$A665="",FALSE(),AND(예약내역!$A665=$B$3,예약내역!$J665&lt;&gt;"취소"))</f>
        <v>0</v>
      </c>
      <c r="K668" s="5" t="str">
        <f aca="false">IF($J668=FALSE(),"",예약내역!$L665*10000+ROW())</f>
        <v/>
      </c>
      <c r="L668" s="5" t="str">
        <f aca="false">IF($K668="","",RANK($K668,$K$6:$K$2005,1))</f>
        <v/>
      </c>
    </row>
    <row r="669" customFormat="false" ht="15" hidden="false" customHeight="true" outlineLevel="0" collapsed="false">
      <c r="J669" s="21" t="b">
        <f aca="false">IF(예약내역!$A666="",FALSE(),AND(예약내역!$A666=$B$3,예약내역!$J666&lt;&gt;"취소"))</f>
        <v>0</v>
      </c>
      <c r="K669" s="5" t="str">
        <f aca="false">IF($J669=FALSE(),"",예약내역!$L666*10000+ROW())</f>
        <v/>
      </c>
      <c r="L669" s="5" t="str">
        <f aca="false">IF($K669="","",RANK($K669,$K$6:$K$2005,1))</f>
        <v/>
      </c>
    </row>
    <row r="670" customFormat="false" ht="15" hidden="false" customHeight="true" outlineLevel="0" collapsed="false">
      <c r="J670" s="21" t="b">
        <f aca="false">IF(예약내역!$A667="",FALSE(),AND(예약내역!$A667=$B$3,예약내역!$J667&lt;&gt;"취소"))</f>
        <v>0</v>
      </c>
      <c r="K670" s="5" t="str">
        <f aca="false">IF($J670=FALSE(),"",예약내역!$L667*10000+ROW())</f>
        <v/>
      </c>
      <c r="L670" s="5" t="str">
        <f aca="false">IF($K670="","",RANK($K670,$K$6:$K$2005,1))</f>
        <v/>
      </c>
    </row>
    <row r="671" customFormat="false" ht="15" hidden="false" customHeight="true" outlineLevel="0" collapsed="false">
      <c r="J671" s="21" t="b">
        <f aca="false">IF(예약내역!$A668="",FALSE(),AND(예약내역!$A668=$B$3,예약내역!$J668&lt;&gt;"취소"))</f>
        <v>0</v>
      </c>
      <c r="K671" s="5" t="str">
        <f aca="false">IF($J671=FALSE(),"",예약내역!$L668*10000+ROW())</f>
        <v/>
      </c>
      <c r="L671" s="5" t="str">
        <f aca="false">IF($K671="","",RANK($K671,$K$6:$K$2005,1))</f>
        <v/>
      </c>
    </row>
    <row r="672" customFormat="false" ht="15" hidden="false" customHeight="true" outlineLevel="0" collapsed="false">
      <c r="J672" s="21" t="b">
        <f aca="false">IF(예약내역!$A669="",FALSE(),AND(예약내역!$A669=$B$3,예약내역!$J669&lt;&gt;"취소"))</f>
        <v>0</v>
      </c>
      <c r="K672" s="5" t="str">
        <f aca="false">IF($J672=FALSE(),"",예약내역!$L669*10000+ROW())</f>
        <v/>
      </c>
      <c r="L672" s="5" t="str">
        <f aca="false">IF($K672="","",RANK($K672,$K$6:$K$2005,1))</f>
        <v/>
      </c>
    </row>
    <row r="673" customFormat="false" ht="15" hidden="false" customHeight="true" outlineLevel="0" collapsed="false">
      <c r="J673" s="21" t="b">
        <f aca="false">IF(예약내역!$A670="",FALSE(),AND(예약내역!$A670=$B$3,예약내역!$J670&lt;&gt;"취소"))</f>
        <v>0</v>
      </c>
      <c r="K673" s="5" t="str">
        <f aca="false">IF($J673=FALSE(),"",예약내역!$L670*10000+ROW())</f>
        <v/>
      </c>
      <c r="L673" s="5" t="str">
        <f aca="false">IF($K673="","",RANK($K673,$K$6:$K$2005,1))</f>
        <v/>
      </c>
    </row>
    <row r="674" customFormat="false" ht="15" hidden="false" customHeight="true" outlineLevel="0" collapsed="false">
      <c r="J674" s="21" t="b">
        <f aca="false">IF(예약내역!$A671="",FALSE(),AND(예약내역!$A671=$B$3,예약내역!$J671&lt;&gt;"취소"))</f>
        <v>0</v>
      </c>
      <c r="K674" s="5" t="str">
        <f aca="false">IF($J674=FALSE(),"",예약내역!$L671*10000+ROW())</f>
        <v/>
      </c>
      <c r="L674" s="5" t="str">
        <f aca="false">IF($K674="","",RANK($K674,$K$6:$K$2005,1))</f>
        <v/>
      </c>
    </row>
    <row r="675" customFormat="false" ht="15" hidden="false" customHeight="true" outlineLevel="0" collapsed="false">
      <c r="J675" s="21" t="b">
        <f aca="false">IF(예약내역!$A672="",FALSE(),AND(예약내역!$A672=$B$3,예약내역!$J672&lt;&gt;"취소"))</f>
        <v>0</v>
      </c>
      <c r="K675" s="5" t="str">
        <f aca="false">IF($J675=FALSE(),"",예약내역!$L672*10000+ROW())</f>
        <v/>
      </c>
      <c r="L675" s="5" t="str">
        <f aca="false">IF($K675="","",RANK($K675,$K$6:$K$2005,1))</f>
        <v/>
      </c>
    </row>
    <row r="676" customFormat="false" ht="15" hidden="false" customHeight="true" outlineLevel="0" collapsed="false">
      <c r="J676" s="21" t="b">
        <f aca="false">IF(예약내역!$A673="",FALSE(),AND(예약내역!$A673=$B$3,예약내역!$J673&lt;&gt;"취소"))</f>
        <v>0</v>
      </c>
      <c r="K676" s="5" t="str">
        <f aca="false">IF($J676=FALSE(),"",예약내역!$L673*10000+ROW())</f>
        <v/>
      </c>
      <c r="L676" s="5" t="str">
        <f aca="false">IF($K676="","",RANK($K676,$K$6:$K$2005,1))</f>
        <v/>
      </c>
    </row>
    <row r="677" customFormat="false" ht="15" hidden="false" customHeight="true" outlineLevel="0" collapsed="false">
      <c r="J677" s="21" t="b">
        <f aca="false">IF(예약내역!$A674="",FALSE(),AND(예약내역!$A674=$B$3,예약내역!$J674&lt;&gt;"취소"))</f>
        <v>0</v>
      </c>
      <c r="K677" s="5" t="str">
        <f aca="false">IF($J677=FALSE(),"",예약내역!$L674*10000+ROW())</f>
        <v/>
      </c>
      <c r="L677" s="5" t="str">
        <f aca="false">IF($K677="","",RANK($K677,$K$6:$K$2005,1))</f>
        <v/>
      </c>
    </row>
    <row r="678" customFormat="false" ht="15" hidden="false" customHeight="true" outlineLevel="0" collapsed="false">
      <c r="J678" s="21" t="b">
        <f aca="false">IF(예약내역!$A675="",FALSE(),AND(예약내역!$A675=$B$3,예약내역!$J675&lt;&gt;"취소"))</f>
        <v>0</v>
      </c>
      <c r="K678" s="5" t="str">
        <f aca="false">IF($J678=FALSE(),"",예약내역!$L675*10000+ROW())</f>
        <v/>
      </c>
      <c r="L678" s="5" t="str">
        <f aca="false">IF($K678="","",RANK($K678,$K$6:$K$2005,1))</f>
        <v/>
      </c>
    </row>
    <row r="679" customFormat="false" ht="15" hidden="false" customHeight="true" outlineLevel="0" collapsed="false">
      <c r="J679" s="21" t="b">
        <f aca="false">IF(예약내역!$A676="",FALSE(),AND(예약내역!$A676=$B$3,예약내역!$J676&lt;&gt;"취소"))</f>
        <v>0</v>
      </c>
      <c r="K679" s="5" t="str">
        <f aca="false">IF($J679=FALSE(),"",예약내역!$L676*10000+ROW())</f>
        <v/>
      </c>
      <c r="L679" s="5" t="str">
        <f aca="false">IF($K679="","",RANK($K679,$K$6:$K$2005,1))</f>
        <v/>
      </c>
    </row>
    <row r="680" customFormat="false" ht="15" hidden="false" customHeight="true" outlineLevel="0" collapsed="false">
      <c r="J680" s="21" t="b">
        <f aca="false">IF(예약내역!$A677="",FALSE(),AND(예약내역!$A677=$B$3,예약내역!$J677&lt;&gt;"취소"))</f>
        <v>0</v>
      </c>
      <c r="K680" s="5" t="str">
        <f aca="false">IF($J680=FALSE(),"",예약내역!$L677*10000+ROW())</f>
        <v/>
      </c>
      <c r="L680" s="5" t="str">
        <f aca="false">IF($K680="","",RANK($K680,$K$6:$K$2005,1))</f>
        <v/>
      </c>
    </row>
    <row r="681" customFormat="false" ht="15" hidden="false" customHeight="true" outlineLevel="0" collapsed="false">
      <c r="J681" s="21" t="b">
        <f aca="false">IF(예약내역!$A678="",FALSE(),AND(예약내역!$A678=$B$3,예약내역!$J678&lt;&gt;"취소"))</f>
        <v>0</v>
      </c>
      <c r="K681" s="5" t="str">
        <f aca="false">IF($J681=FALSE(),"",예약내역!$L678*10000+ROW())</f>
        <v/>
      </c>
      <c r="L681" s="5" t="str">
        <f aca="false">IF($K681="","",RANK($K681,$K$6:$K$2005,1))</f>
        <v/>
      </c>
    </row>
    <row r="682" customFormat="false" ht="15" hidden="false" customHeight="true" outlineLevel="0" collapsed="false">
      <c r="J682" s="21" t="b">
        <f aca="false">IF(예약내역!$A679="",FALSE(),AND(예약내역!$A679=$B$3,예약내역!$J679&lt;&gt;"취소"))</f>
        <v>0</v>
      </c>
      <c r="K682" s="5" t="str">
        <f aca="false">IF($J682=FALSE(),"",예약내역!$L679*10000+ROW())</f>
        <v/>
      </c>
      <c r="L682" s="5" t="str">
        <f aca="false">IF($K682="","",RANK($K682,$K$6:$K$2005,1))</f>
        <v/>
      </c>
    </row>
    <row r="683" customFormat="false" ht="15" hidden="false" customHeight="true" outlineLevel="0" collapsed="false">
      <c r="J683" s="21" t="b">
        <f aca="false">IF(예약내역!$A680="",FALSE(),AND(예약내역!$A680=$B$3,예약내역!$J680&lt;&gt;"취소"))</f>
        <v>0</v>
      </c>
      <c r="K683" s="5" t="str">
        <f aca="false">IF($J683=FALSE(),"",예약내역!$L680*10000+ROW())</f>
        <v/>
      </c>
      <c r="L683" s="5" t="str">
        <f aca="false">IF($K683="","",RANK($K683,$K$6:$K$2005,1))</f>
        <v/>
      </c>
    </row>
    <row r="684" customFormat="false" ht="15" hidden="false" customHeight="true" outlineLevel="0" collapsed="false">
      <c r="J684" s="21" t="b">
        <f aca="false">IF(예약내역!$A681="",FALSE(),AND(예약내역!$A681=$B$3,예약내역!$J681&lt;&gt;"취소"))</f>
        <v>0</v>
      </c>
      <c r="K684" s="5" t="str">
        <f aca="false">IF($J684=FALSE(),"",예약내역!$L681*10000+ROW())</f>
        <v/>
      </c>
      <c r="L684" s="5" t="str">
        <f aca="false">IF($K684="","",RANK($K684,$K$6:$K$2005,1))</f>
        <v/>
      </c>
    </row>
    <row r="685" customFormat="false" ht="15" hidden="false" customHeight="true" outlineLevel="0" collapsed="false">
      <c r="J685" s="21" t="b">
        <f aca="false">IF(예약내역!$A682="",FALSE(),AND(예약내역!$A682=$B$3,예약내역!$J682&lt;&gt;"취소"))</f>
        <v>0</v>
      </c>
      <c r="K685" s="5" t="str">
        <f aca="false">IF($J685=FALSE(),"",예약내역!$L682*10000+ROW())</f>
        <v/>
      </c>
      <c r="L685" s="5" t="str">
        <f aca="false">IF($K685="","",RANK($K685,$K$6:$K$2005,1))</f>
        <v/>
      </c>
    </row>
    <row r="686" customFormat="false" ht="15" hidden="false" customHeight="true" outlineLevel="0" collapsed="false">
      <c r="J686" s="21" t="b">
        <f aca="false">IF(예약내역!$A683="",FALSE(),AND(예약내역!$A683=$B$3,예약내역!$J683&lt;&gt;"취소"))</f>
        <v>0</v>
      </c>
      <c r="K686" s="5" t="str">
        <f aca="false">IF($J686=FALSE(),"",예약내역!$L683*10000+ROW())</f>
        <v/>
      </c>
      <c r="L686" s="5" t="str">
        <f aca="false">IF($K686="","",RANK($K686,$K$6:$K$2005,1))</f>
        <v/>
      </c>
    </row>
    <row r="687" customFormat="false" ht="15" hidden="false" customHeight="true" outlineLevel="0" collapsed="false">
      <c r="J687" s="21" t="b">
        <f aca="false">IF(예약내역!$A684="",FALSE(),AND(예약내역!$A684=$B$3,예약내역!$J684&lt;&gt;"취소"))</f>
        <v>0</v>
      </c>
      <c r="K687" s="5" t="str">
        <f aca="false">IF($J687=FALSE(),"",예약내역!$L684*10000+ROW())</f>
        <v/>
      </c>
      <c r="L687" s="5" t="str">
        <f aca="false">IF($K687="","",RANK($K687,$K$6:$K$2005,1))</f>
        <v/>
      </c>
    </row>
    <row r="688" customFormat="false" ht="15" hidden="false" customHeight="true" outlineLevel="0" collapsed="false">
      <c r="J688" s="21" t="b">
        <f aca="false">IF(예약내역!$A685="",FALSE(),AND(예약내역!$A685=$B$3,예약내역!$J685&lt;&gt;"취소"))</f>
        <v>0</v>
      </c>
      <c r="K688" s="5" t="str">
        <f aca="false">IF($J688=FALSE(),"",예약내역!$L685*10000+ROW())</f>
        <v/>
      </c>
      <c r="L688" s="5" t="str">
        <f aca="false">IF($K688="","",RANK($K688,$K$6:$K$2005,1))</f>
        <v/>
      </c>
    </row>
    <row r="689" customFormat="false" ht="15" hidden="false" customHeight="true" outlineLevel="0" collapsed="false">
      <c r="J689" s="21" t="b">
        <f aca="false">IF(예약내역!$A686="",FALSE(),AND(예약내역!$A686=$B$3,예약내역!$J686&lt;&gt;"취소"))</f>
        <v>0</v>
      </c>
      <c r="K689" s="5" t="str">
        <f aca="false">IF($J689=FALSE(),"",예약내역!$L686*10000+ROW())</f>
        <v/>
      </c>
      <c r="L689" s="5" t="str">
        <f aca="false">IF($K689="","",RANK($K689,$K$6:$K$2005,1))</f>
        <v/>
      </c>
    </row>
    <row r="690" customFormat="false" ht="15" hidden="false" customHeight="true" outlineLevel="0" collapsed="false">
      <c r="J690" s="21" t="b">
        <f aca="false">IF(예약내역!$A687="",FALSE(),AND(예약내역!$A687=$B$3,예약내역!$J687&lt;&gt;"취소"))</f>
        <v>0</v>
      </c>
      <c r="K690" s="5" t="str">
        <f aca="false">IF($J690=FALSE(),"",예약내역!$L687*10000+ROW())</f>
        <v/>
      </c>
      <c r="L690" s="5" t="str">
        <f aca="false">IF($K690="","",RANK($K690,$K$6:$K$2005,1))</f>
        <v/>
      </c>
    </row>
    <row r="691" customFormat="false" ht="15" hidden="false" customHeight="true" outlineLevel="0" collapsed="false">
      <c r="J691" s="21" t="b">
        <f aca="false">IF(예약내역!$A688="",FALSE(),AND(예약내역!$A688=$B$3,예약내역!$J688&lt;&gt;"취소"))</f>
        <v>0</v>
      </c>
      <c r="K691" s="5" t="str">
        <f aca="false">IF($J691=FALSE(),"",예약내역!$L688*10000+ROW())</f>
        <v/>
      </c>
      <c r="L691" s="5" t="str">
        <f aca="false">IF($K691="","",RANK($K691,$K$6:$K$2005,1))</f>
        <v/>
      </c>
    </row>
    <row r="692" customFormat="false" ht="15" hidden="false" customHeight="true" outlineLevel="0" collapsed="false">
      <c r="J692" s="21" t="b">
        <f aca="false">IF(예약내역!$A689="",FALSE(),AND(예약내역!$A689=$B$3,예약내역!$J689&lt;&gt;"취소"))</f>
        <v>0</v>
      </c>
      <c r="K692" s="5" t="str">
        <f aca="false">IF($J692=FALSE(),"",예약내역!$L689*10000+ROW())</f>
        <v/>
      </c>
      <c r="L692" s="5" t="str">
        <f aca="false">IF($K692="","",RANK($K692,$K$6:$K$2005,1))</f>
        <v/>
      </c>
    </row>
    <row r="693" customFormat="false" ht="15" hidden="false" customHeight="true" outlineLevel="0" collapsed="false">
      <c r="J693" s="21" t="b">
        <f aca="false">IF(예약내역!$A690="",FALSE(),AND(예약내역!$A690=$B$3,예약내역!$J690&lt;&gt;"취소"))</f>
        <v>0</v>
      </c>
      <c r="K693" s="5" t="str">
        <f aca="false">IF($J693=FALSE(),"",예약내역!$L690*10000+ROW())</f>
        <v/>
      </c>
      <c r="L693" s="5" t="str">
        <f aca="false">IF($K693="","",RANK($K693,$K$6:$K$2005,1))</f>
        <v/>
      </c>
    </row>
    <row r="694" customFormat="false" ht="15" hidden="false" customHeight="true" outlineLevel="0" collapsed="false">
      <c r="J694" s="21" t="b">
        <f aca="false">IF(예약내역!$A691="",FALSE(),AND(예약내역!$A691=$B$3,예약내역!$J691&lt;&gt;"취소"))</f>
        <v>0</v>
      </c>
      <c r="K694" s="5" t="str">
        <f aca="false">IF($J694=FALSE(),"",예약내역!$L691*10000+ROW())</f>
        <v/>
      </c>
      <c r="L694" s="5" t="str">
        <f aca="false">IF($K694="","",RANK($K694,$K$6:$K$2005,1))</f>
        <v/>
      </c>
    </row>
    <row r="695" customFormat="false" ht="15" hidden="false" customHeight="true" outlineLevel="0" collapsed="false">
      <c r="J695" s="21" t="b">
        <f aca="false">IF(예약내역!$A692="",FALSE(),AND(예약내역!$A692=$B$3,예약내역!$J692&lt;&gt;"취소"))</f>
        <v>0</v>
      </c>
      <c r="K695" s="5" t="str">
        <f aca="false">IF($J695=FALSE(),"",예약내역!$L692*10000+ROW())</f>
        <v/>
      </c>
      <c r="L695" s="5" t="str">
        <f aca="false">IF($K695="","",RANK($K695,$K$6:$K$2005,1))</f>
        <v/>
      </c>
    </row>
    <row r="696" customFormat="false" ht="15" hidden="false" customHeight="true" outlineLevel="0" collapsed="false">
      <c r="J696" s="21" t="b">
        <f aca="false">IF(예약내역!$A693="",FALSE(),AND(예약내역!$A693=$B$3,예약내역!$J693&lt;&gt;"취소"))</f>
        <v>0</v>
      </c>
      <c r="K696" s="5" t="str">
        <f aca="false">IF($J696=FALSE(),"",예약내역!$L693*10000+ROW())</f>
        <v/>
      </c>
      <c r="L696" s="5" t="str">
        <f aca="false">IF($K696="","",RANK($K696,$K$6:$K$2005,1))</f>
        <v/>
      </c>
    </row>
    <row r="697" customFormat="false" ht="15" hidden="false" customHeight="true" outlineLevel="0" collapsed="false">
      <c r="J697" s="21" t="b">
        <f aca="false">IF(예약내역!$A694="",FALSE(),AND(예약내역!$A694=$B$3,예약내역!$J694&lt;&gt;"취소"))</f>
        <v>0</v>
      </c>
      <c r="K697" s="5" t="str">
        <f aca="false">IF($J697=FALSE(),"",예약내역!$L694*10000+ROW())</f>
        <v/>
      </c>
      <c r="L697" s="5" t="str">
        <f aca="false">IF($K697="","",RANK($K697,$K$6:$K$2005,1))</f>
        <v/>
      </c>
    </row>
    <row r="698" customFormat="false" ht="15" hidden="false" customHeight="true" outlineLevel="0" collapsed="false">
      <c r="J698" s="21" t="b">
        <f aca="false">IF(예약내역!$A695="",FALSE(),AND(예약내역!$A695=$B$3,예약내역!$J695&lt;&gt;"취소"))</f>
        <v>0</v>
      </c>
      <c r="K698" s="5" t="str">
        <f aca="false">IF($J698=FALSE(),"",예약내역!$L695*10000+ROW())</f>
        <v/>
      </c>
      <c r="L698" s="5" t="str">
        <f aca="false">IF($K698="","",RANK($K698,$K$6:$K$2005,1))</f>
        <v/>
      </c>
    </row>
    <row r="699" customFormat="false" ht="15" hidden="false" customHeight="true" outlineLevel="0" collapsed="false">
      <c r="J699" s="21" t="b">
        <f aca="false">IF(예약내역!$A696="",FALSE(),AND(예약내역!$A696=$B$3,예약내역!$J696&lt;&gt;"취소"))</f>
        <v>0</v>
      </c>
      <c r="K699" s="5" t="str">
        <f aca="false">IF($J699=FALSE(),"",예약내역!$L696*10000+ROW())</f>
        <v/>
      </c>
      <c r="L699" s="5" t="str">
        <f aca="false">IF($K699="","",RANK($K699,$K$6:$K$2005,1))</f>
        <v/>
      </c>
    </row>
    <row r="700" customFormat="false" ht="15" hidden="false" customHeight="true" outlineLevel="0" collapsed="false">
      <c r="J700" s="21" t="b">
        <f aca="false">IF(예약내역!$A697="",FALSE(),AND(예약내역!$A697=$B$3,예약내역!$J697&lt;&gt;"취소"))</f>
        <v>0</v>
      </c>
      <c r="K700" s="5" t="str">
        <f aca="false">IF($J700=FALSE(),"",예약내역!$L697*10000+ROW())</f>
        <v/>
      </c>
      <c r="L700" s="5" t="str">
        <f aca="false">IF($K700="","",RANK($K700,$K$6:$K$2005,1))</f>
        <v/>
      </c>
    </row>
    <row r="701" customFormat="false" ht="15" hidden="false" customHeight="true" outlineLevel="0" collapsed="false">
      <c r="J701" s="21" t="b">
        <f aca="false">IF(예약내역!$A698="",FALSE(),AND(예약내역!$A698=$B$3,예약내역!$J698&lt;&gt;"취소"))</f>
        <v>0</v>
      </c>
      <c r="K701" s="5" t="str">
        <f aca="false">IF($J701=FALSE(),"",예약내역!$L698*10000+ROW())</f>
        <v/>
      </c>
      <c r="L701" s="5" t="str">
        <f aca="false">IF($K701="","",RANK($K701,$K$6:$K$2005,1))</f>
        <v/>
      </c>
    </row>
    <row r="702" customFormat="false" ht="15" hidden="false" customHeight="true" outlineLevel="0" collapsed="false">
      <c r="J702" s="21" t="b">
        <f aca="false">IF(예약내역!$A699="",FALSE(),AND(예약내역!$A699=$B$3,예약내역!$J699&lt;&gt;"취소"))</f>
        <v>0</v>
      </c>
      <c r="K702" s="5" t="str">
        <f aca="false">IF($J702=FALSE(),"",예약내역!$L699*10000+ROW())</f>
        <v/>
      </c>
      <c r="L702" s="5" t="str">
        <f aca="false">IF($K702="","",RANK($K702,$K$6:$K$2005,1))</f>
        <v/>
      </c>
    </row>
    <row r="703" customFormat="false" ht="15" hidden="false" customHeight="true" outlineLevel="0" collapsed="false">
      <c r="J703" s="21" t="b">
        <f aca="false">IF(예약내역!$A700="",FALSE(),AND(예약내역!$A700=$B$3,예약내역!$J700&lt;&gt;"취소"))</f>
        <v>0</v>
      </c>
      <c r="K703" s="5" t="str">
        <f aca="false">IF($J703=FALSE(),"",예약내역!$L700*10000+ROW())</f>
        <v/>
      </c>
      <c r="L703" s="5" t="str">
        <f aca="false">IF($K703="","",RANK($K703,$K$6:$K$2005,1))</f>
        <v/>
      </c>
    </row>
    <row r="704" customFormat="false" ht="15" hidden="false" customHeight="true" outlineLevel="0" collapsed="false">
      <c r="J704" s="21" t="b">
        <f aca="false">IF(예약내역!$A701="",FALSE(),AND(예약내역!$A701=$B$3,예약내역!$J701&lt;&gt;"취소"))</f>
        <v>0</v>
      </c>
      <c r="K704" s="5" t="str">
        <f aca="false">IF($J704=FALSE(),"",예약내역!$L701*10000+ROW())</f>
        <v/>
      </c>
      <c r="L704" s="5" t="str">
        <f aca="false">IF($K704="","",RANK($K704,$K$6:$K$2005,1))</f>
        <v/>
      </c>
    </row>
    <row r="705" customFormat="false" ht="15" hidden="false" customHeight="true" outlineLevel="0" collapsed="false">
      <c r="J705" s="21" t="b">
        <f aca="false">IF(예약내역!$A702="",FALSE(),AND(예약내역!$A702=$B$3,예약내역!$J702&lt;&gt;"취소"))</f>
        <v>0</v>
      </c>
      <c r="K705" s="5" t="str">
        <f aca="false">IF($J705=FALSE(),"",예약내역!$L702*10000+ROW())</f>
        <v/>
      </c>
      <c r="L705" s="5" t="str">
        <f aca="false">IF($K705="","",RANK($K705,$K$6:$K$2005,1))</f>
        <v/>
      </c>
    </row>
    <row r="706" customFormat="false" ht="15" hidden="false" customHeight="true" outlineLevel="0" collapsed="false">
      <c r="J706" s="21" t="b">
        <f aca="false">IF(예약내역!$A703="",FALSE(),AND(예약내역!$A703=$B$3,예약내역!$J703&lt;&gt;"취소"))</f>
        <v>0</v>
      </c>
      <c r="K706" s="5" t="str">
        <f aca="false">IF($J706=FALSE(),"",예약내역!$L703*10000+ROW())</f>
        <v/>
      </c>
      <c r="L706" s="5" t="str">
        <f aca="false">IF($K706="","",RANK($K706,$K$6:$K$2005,1))</f>
        <v/>
      </c>
    </row>
    <row r="707" customFormat="false" ht="15" hidden="false" customHeight="true" outlineLevel="0" collapsed="false">
      <c r="J707" s="21" t="b">
        <f aca="false">IF(예약내역!$A704="",FALSE(),AND(예약내역!$A704=$B$3,예약내역!$J704&lt;&gt;"취소"))</f>
        <v>0</v>
      </c>
      <c r="K707" s="5" t="str">
        <f aca="false">IF($J707=FALSE(),"",예약내역!$L704*10000+ROW())</f>
        <v/>
      </c>
      <c r="L707" s="5" t="str">
        <f aca="false">IF($K707="","",RANK($K707,$K$6:$K$2005,1))</f>
        <v/>
      </c>
    </row>
    <row r="708" customFormat="false" ht="15" hidden="false" customHeight="true" outlineLevel="0" collapsed="false">
      <c r="J708" s="21" t="b">
        <f aca="false">IF(예약내역!$A705="",FALSE(),AND(예약내역!$A705=$B$3,예약내역!$J705&lt;&gt;"취소"))</f>
        <v>0</v>
      </c>
      <c r="K708" s="5" t="str">
        <f aca="false">IF($J708=FALSE(),"",예약내역!$L705*10000+ROW())</f>
        <v/>
      </c>
      <c r="L708" s="5" t="str">
        <f aca="false">IF($K708="","",RANK($K708,$K$6:$K$2005,1))</f>
        <v/>
      </c>
    </row>
    <row r="709" customFormat="false" ht="15" hidden="false" customHeight="true" outlineLevel="0" collapsed="false">
      <c r="J709" s="21" t="b">
        <f aca="false">IF(예약내역!$A706="",FALSE(),AND(예약내역!$A706=$B$3,예약내역!$J706&lt;&gt;"취소"))</f>
        <v>0</v>
      </c>
      <c r="K709" s="5" t="str">
        <f aca="false">IF($J709=FALSE(),"",예약내역!$L706*10000+ROW())</f>
        <v/>
      </c>
      <c r="L709" s="5" t="str">
        <f aca="false">IF($K709="","",RANK($K709,$K$6:$K$2005,1))</f>
        <v/>
      </c>
    </row>
    <row r="710" customFormat="false" ht="15" hidden="false" customHeight="true" outlineLevel="0" collapsed="false">
      <c r="J710" s="21" t="b">
        <f aca="false">IF(예약내역!$A707="",FALSE(),AND(예약내역!$A707=$B$3,예약내역!$J707&lt;&gt;"취소"))</f>
        <v>0</v>
      </c>
      <c r="K710" s="5" t="str">
        <f aca="false">IF($J710=FALSE(),"",예약내역!$L707*10000+ROW())</f>
        <v/>
      </c>
      <c r="L710" s="5" t="str">
        <f aca="false">IF($K710="","",RANK($K710,$K$6:$K$2005,1))</f>
        <v/>
      </c>
    </row>
    <row r="711" customFormat="false" ht="15" hidden="false" customHeight="true" outlineLevel="0" collapsed="false">
      <c r="J711" s="21" t="b">
        <f aca="false">IF(예약내역!$A708="",FALSE(),AND(예약내역!$A708=$B$3,예약내역!$J708&lt;&gt;"취소"))</f>
        <v>0</v>
      </c>
      <c r="K711" s="5" t="str">
        <f aca="false">IF($J711=FALSE(),"",예약내역!$L708*10000+ROW())</f>
        <v/>
      </c>
      <c r="L711" s="5" t="str">
        <f aca="false">IF($K711="","",RANK($K711,$K$6:$K$2005,1))</f>
        <v/>
      </c>
    </row>
    <row r="712" customFormat="false" ht="15" hidden="false" customHeight="true" outlineLevel="0" collapsed="false">
      <c r="J712" s="21" t="b">
        <f aca="false">IF(예약내역!$A709="",FALSE(),AND(예약내역!$A709=$B$3,예약내역!$J709&lt;&gt;"취소"))</f>
        <v>0</v>
      </c>
      <c r="K712" s="5" t="str">
        <f aca="false">IF($J712=FALSE(),"",예약내역!$L709*10000+ROW())</f>
        <v/>
      </c>
      <c r="L712" s="5" t="str">
        <f aca="false">IF($K712="","",RANK($K712,$K$6:$K$2005,1))</f>
        <v/>
      </c>
    </row>
    <row r="713" customFormat="false" ht="15" hidden="false" customHeight="true" outlineLevel="0" collapsed="false">
      <c r="J713" s="21" t="b">
        <f aca="false">IF(예약내역!$A710="",FALSE(),AND(예약내역!$A710=$B$3,예약내역!$J710&lt;&gt;"취소"))</f>
        <v>0</v>
      </c>
      <c r="K713" s="5" t="str">
        <f aca="false">IF($J713=FALSE(),"",예약내역!$L710*10000+ROW())</f>
        <v/>
      </c>
      <c r="L713" s="5" t="str">
        <f aca="false">IF($K713="","",RANK($K713,$K$6:$K$2005,1))</f>
        <v/>
      </c>
    </row>
    <row r="714" customFormat="false" ht="15" hidden="false" customHeight="true" outlineLevel="0" collapsed="false">
      <c r="J714" s="21" t="b">
        <f aca="false">IF(예약내역!$A711="",FALSE(),AND(예약내역!$A711=$B$3,예약내역!$J711&lt;&gt;"취소"))</f>
        <v>0</v>
      </c>
      <c r="K714" s="5" t="str">
        <f aca="false">IF($J714=FALSE(),"",예약내역!$L711*10000+ROW())</f>
        <v/>
      </c>
      <c r="L714" s="5" t="str">
        <f aca="false">IF($K714="","",RANK($K714,$K$6:$K$2005,1))</f>
        <v/>
      </c>
    </row>
    <row r="715" customFormat="false" ht="15" hidden="false" customHeight="true" outlineLevel="0" collapsed="false">
      <c r="J715" s="21" t="b">
        <f aca="false">IF(예약내역!$A712="",FALSE(),AND(예약내역!$A712=$B$3,예약내역!$J712&lt;&gt;"취소"))</f>
        <v>0</v>
      </c>
      <c r="K715" s="5" t="str">
        <f aca="false">IF($J715=FALSE(),"",예약내역!$L712*10000+ROW())</f>
        <v/>
      </c>
      <c r="L715" s="5" t="str">
        <f aca="false">IF($K715="","",RANK($K715,$K$6:$K$2005,1))</f>
        <v/>
      </c>
    </row>
    <row r="716" customFormat="false" ht="15" hidden="false" customHeight="true" outlineLevel="0" collapsed="false">
      <c r="J716" s="21" t="b">
        <f aca="false">IF(예약내역!$A713="",FALSE(),AND(예약내역!$A713=$B$3,예약내역!$J713&lt;&gt;"취소"))</f>
        <v>0</v>
      </c>
      <c r="K716" s="5" t="str">
        <f aca="false">IF($J716=FALSE(),"",예약내역!$L713*10000+ROW())</f>
        <v/>
      </c>
      <c r="L716" s="5" t="str">
        <f aca="false">IF($K716="","",RANK($K716,$K$6:$K$2005,1))</f>
        <v/>
      </c>
    </row>
    <row r="717" customFormat="false" ht="15" hidden="false" customHeight="true" outlineLevel="0" collapsed="false">
      <c r="J717" s="21" t="b">
        <f aca="false">IF(예약내역!$A714="",FALSE(),AND(예약내역!$A714=$B$3,예약내역!$J714&lt;&gt;"취소"))</f>
        <v>0</v>
      </c>
      <c r="K717" s="5" t="str">
        <f aca="false">IF($J717=FALSE(),"",예약내역!$L714*10000+ROW())</f>
        <v/>
      </c>
      <c r="L717" s="5" t="str">
        <f aca="false">IF($K717="","",RANK($K717,$K$6:$K$2005,1))</f>
        <v/>
      </c>
    </row>
    <row r="718" customFormat="false" ht="15" hidden="false" customHeight="true" outlineLevel="0" collapsed="false">
      <c r="J718" s="21" t="b">
        <f aca="false">IF(예약내역!$A715="",FALSE(),AND(예약내역!$A715=$B$3,예약내역!$J715&lt;&gt;"취소"))</f>
        <v>0</v>
      </c>
      <c r="K718" s="5" t="str">
        <f aca="false">IF($J718=FALSE(),"",예약내역!$L715*10000+ROW())</f>
        <v/>
      </c>
      <c r="L718" s="5" t="str">
        <f aca="false">IF($K718="","",RANK($K718,$K$6:$K$2005,1))</f>
        <v/>
      </c>
    </row>
    <row r="719" customFormat="false" ht="15" hidden="false" customHeight="true" outlineLevel="0" collapsed="false">
      <c r="J719" s="21" t="b">
        <f aca="false">IF(예약내역!$A716="",FALSE(),AND(예약내역!$A716=$B$3,예약내역!$J716&lt;&gt;"취소"))</f>
        <v>0</v>
      </c>
      <c r="K719" s="5" t="str">
        <f aca="false">IF($J719=FALSE(),"",예약내역!$L716*10000+ROW())</f>
        <v/>
      </c>
      <c r="L719" s="5" t="str">
        <f aca="false">IF($K719="","",RANK($K719,$K$6:$K$2005,1))</f>
        <v/>
      </c>
    </row>
    <row r="720" customFormat="false" ht="15" hidden="false" customHeight="true" outlineLevel="0" collapsed="false">
      <c r="J720" s="21" t="b">
        <f aca="false">IF(예약내역!$A717="",FALSE(),AND(예약내역!$A717=$B$3,예약내역!$J717&lt;&gt;"취소"))</f>
        <v>0</v>
      </c>
      <c r="K720" s="5" t="str">
        <f aca="false">IF($J720=FALSE(),"",예약내역!$L717*10000+ROW())</f>
        <v/>
      </c>
      <c r="L720" s="5" t="str">
        <f aca="false">IF($K720="","",RANK($K720,$K$6:$K$2005,1))</f>
        <v/>
      </c>
    </row>
    <row r="721" customFormat="false" ht="15" hidden="false" customHeight="true" outlineLevel="0" collapsed="false">
      <c r="J721" s="21" t="b">
        <f aca="false">IF(예약내역!$A718="",FALSE(),AND(예약내역!$A718=$B$3,예약내역!$J718&lt;&gt;"취소"))</f>
        <v>0</v>
      </c>
      <c r="K721" s="5" t="str">
        <f aca="false">IF($J721=FALSE(),"",예약내역!$L718*10000+ROW())</f>
        <v/>
      </c>
      <c r="L721" s="5" t="str">
        <f aca="false">IF($K721="","",RANK($K721,$K$6:$K$2005,1))</f>
        <v/>
      </c>
    </row>
    <row r="722" customFormat="false" ht="15" hidden="false" customHeight="true" outlineLevel="0" collapsed="false">
      <c r="J722" s="21" t="b">
        <f aca="false">IF(예약내역!$A719="",FALSE(),AND(예약내역!$A719=$B$3,예약내역!$J719&lt;&gt;"취소"))</f>
        <v>0</v>
      </c>
      <c r="K722" s="5" t="str">
        <f aca="false">IF($J722=FALSE(),"",예약내역!$L719*10000+ROW())</f>
        <v/>
      </c>
      <c r="L722" s="5" t="str">
        <f aca="false">IF($K722="","",RANK($K722,$K$6:$K$2005,1))</f>
        <v/>
      </c>
    </row>
    <row r="723" customFormat="false" ht="15" hidden="false" customHeight="true" outlineLevel="0" collapsed="false">
      <c r="J723" s="21" t="b">
        <f aca="false">IF(예약내역!$A720="",FALSE(),AND(예약내역!$A720=$B$3,예약내역!$J720&lt;&gt;"취소"))</f>
        <v>0</v>
      </c>
      <c r="K723" s="5" t="str">
        <f aca="false">IF($J723=FALSE(),"",예약내역!$L720*10000+ROW())</f>
        <v/>
      </c>
      <c r="L723" s="5" t="str">
        <f aca="false">IF($K723="","",RANK($K723,$K$6:$K$2005,1))</f>
        <v/>
      </c>
    </row>
    <row r="724" customFormat="false" ht="15" hidden="false" customHeight="true" outlineLevel="0" collapsed="false">
      <c r="J724" s="21" t="b">
        <f aca="false">IF(예약내역!$A721="",FALSE(),AND(예약내역!$A721=$B$3,예약내역!$J721&lt;&gt;"취소"))</f>
        <v>0</v>
      </c>
      <c r="K724" s="5" t="str">
        <f aca="false">IF($J724=FALSE(),"",예약내역!$L721*10000+ROW())</f>
        <v/>
      </c>
      <c r="L724" s="5" t="str">
        <f aca="false">IF($K724="","",RANK($K724,$K$6:$K$2005,1))</f>
        <v/>
      </c>
    </row>
    <row r="725" customFormat="false" ht="15" hidden="false" customHeight="true" outlineLevel="0" collapsed="false">
      <c r="J725" s="21" t="b">
        <f aca="false">IF(예약내역!$A722="",FALSE(),AND(예약내역!$A722=$B$3,예약내역!$J722&lt;&gt;"취소"))</f>
        <v>0</v>
      </c>
      <c r="K725" s="5" t="str">
        <f aca="false">IF($J725=FALSE(),"",예약내역!$L722*10000+ROW())</f>
        <v/>
      </c>
      <c r="L725" s="5" t="str">
        <f aca="false">IF($K725="","",RANK($K725,$K$6:$K$2005,1))</f>
        <v/>
      </c>
    </row>
    <row r="726" customFormat="false" ht="15" hidden="false" customHeight="true" outlineLevel="0" collapsed="false">
      <c r="J726" s="21" t="b">
        <f aca="false">IF(예약내역!$A723="",FALSE(),AND(예약내역!$A723=$B$3,예약내역!$J723&lt;&gt;"취소"))</f>
        <v>0</v>
      </c>
      <c r="K726" s="5" t="str">
        <f aca="false">IF($J726=FALSE(),"",예약내역!$L723*10000+ROW())</f>
        <v/>
      </c>
      <c r="L726" s="5" t="str">
        <f aca="false">IF($K726="","",RANK($K726,$K$6:$K$2005,1))</f>
        <v/>
      </c>
    </row>
    <row r="727" customFormat="false" ht="15" hidden="false" customHeight="true" outlineLevel="0" collapsed="false">
      <c r="J727" s="21" t="b">
        <f aca="false">IF(예약내역!$A724="",FALSE(),AND(예약내역!$A724=$B$3,예약내역!$J724&lt;&gt;"취소"))</f>
        <v>0</v>
      </c>
      <c r="K727" s="5" t="str">
        <f aca="false">IF($J727=FALSE(),"",예약내역!$L724*10000+ROW())</f>
        <v/>
      </c>
      <c r="L727" s="5" t="str">
        <f aca="false">IF($K727="","",RANK($K727,$K$6:$K$2005,1))</f>
        <v/>
      </c>
    </row>
    <row r="728" customFormat="false" ht="15" hidden="false" customHeight="true" outlineLevel="0" collapsed="false">
      <c r="J728" s="21" t="b">
        <f aca="false">IF(예약내역!$A725="",FALSE(),AND(예약내역!$A725=$B$3,예약내역!$J725&lt;&gt;"취소"))</f>
        <v>0</v>
      </c>
      <c r="K728" s="5" t="str">
        <f aca="false">IF($J728=FALSE(),"",예약내역!$L725*10000+ROW())</f>
        <v/>
      </c>
      <c r="L728" s="5" t="str">
        <f aca="false">IF($K728="","",RANK($K728,$K$6:$K$2005,1))</f>
        <v/>
      </c>
    </row>
    <row r="729" customFormat="false" ht="15" hidden="false" customHeight="true" outlineLevel="0" collapsed="false">
      <c r="J729" s="21" t="b">
        <f aca="false">IF(예약내역!$A726="",FALSE(),AND(예약내역!$A726=$B$3,예약내역!$J726&lt;&gt;"취소"))</f>
        <v>0</v>
      </c>
      <c r="K729" s="5" t="str">
        <f aca="false">IF($J729=FALSE(),"",예약내역!$L726*10000+ROW())</f>
        <v/>
      </c>
      <c r="L729" s="5" t="str">
        <f aca="false">IF($K729="","",RANK($K729,$K$6:$K$2005,1))</f>
        <v/>
      </c>
    </row>
    <row r="730" customFormat="false" ht="15" hidden="false" customHeight="true" outlineLevel="0" collapsed="false">
      <c r="J730" s="21" t="b">
        <f aca="false">IF(예약내역!$A727="",FALSE(),AND(예약내역!$A727=$B$3,예약내역!$J727&lt;&gt;"취소"))</f>
        <v>0</v>
      </c>
      <c r="K730" s="5" t="str">
        <f aca="false">IF($J730=FALSE(),"",예약내역!$L727*10000+ROW())</f>
        <v/>
      </c>
      <c r="L730" s="5" t="str">
        <f aca="false">IF($K730="","",RANK($K730,$K$6:$K$2005,1))</f>
        <v/>
      </c>
    </row>
    <row r="731" customFormat="false" ht="15" hidden="false" customHeight="true" outlineLevel="0" collapsed="false">
      <c r="J731" s="21" t="b">
        <f aca="false">IF(예약내역!$A728="",FALSE(),AND(예약내역!$A728=$B$3,예약내역!$J728&lt;&gt;"취소"))</f>
        <v>0</v>
      </c>
      <c r="K731" s="5" t="str">
        <f aca="false">IF($J731=FALSE(),"",예약내역!$L728*10000+ROW())</f>
        <v/>
      </c>
      <c r="L731" s="5" t="str">
        <f aca="false">IF($K731="","",RANK($K731,$K$6:$K$2005,1))</f>
        <v/>
      </c>
    </row>
    <row r="732" customFormat="false" ht="15" hidden="false" customHeight="true" outlineLevel="0" collapsed="false">
      <c r="J732" s="21" t="b">
        <f aca="false">IF(예약내역!$A729="",FALSE(),AND(예약내역!$A729=$B$3,예약내역!$J729&lt;&gt;"취소"))</f>
        <v>0</v>
      </c>
      <c r="K732" s="5" t="str">
        <f aca="false">IF($J732=FALSE(),"",예약내역!$L729*10000+ROW())</f>
        <v/>
      </c>
      <c r="L732" s="5" t="str">
        <f aca="false">IF($K732="","",RANK($K732,$K$6:$K$2005,1))</f>
        <v/>
      </c>
    </row>
    <row r="733" customFormat="false" ht="15" hidden="false" customHeight="true" outlineLevel="0" collapsed="false">
      <c r="J733" s="21" t="b">
        <f aca="false">IF(예약내역!$A730="",FALSE(),AND(예약내역!$A730=$B$3,예약내역!$J730&lt;&gt;"취소"))</f>
        <v>0</v>
      </c>
      <c r="K733" s="5" t="str">
        <f aca="false">IF($J733=FALSE(),"",예약내역!$L730*10000+ROW())</f>
        <v/>
      </c>
      <c r="L733" s="5" t="str">
        <f aca="false">IF($K733="","",RANK($K733,$K$6:$K$2005,1))</f>
        <v/>
      </c>
    </row>
    <row r="734" customFormat="false" ht="15" hidden="false" customHeight="true" outlineLevel="0" collapsed="false">
      <c r="J734" s="21" t="b">
        <f aca="false">IF(예약내역!$A731="",FALSE(),AND(예약내역!$A731=$B$3,예약내역!$J731&lt;&gt;"취소"))</f>
        <v>0</v>
      </c>
      <c r="K734" s="5" t="str">
        <f aca="false">IF($J734=FALSE(),"",예약내역!$L731*10000+ROW())</f>
        <v/>
      </c>
      <c r="L734" s="5" t="str">
        <f aca="false">IF($K734="","",RANK($K734,$K$6:$K$2005,1))</f>
        <v/>
      </c>
    </row>
    <row r="735" customFormat="false" ht="15" hidden="false" customHeight="true" outlineLevel="0" collapsed="false">
      <c r="J735" s="21" t="b">
        <f aca="false">IF(예약내역!$A732="",FALSE(),AND(예약내역!$A732=$B$3,예약내역!$J732&lt;&gt;"취소"))</f>
        <v>0</v>
      </c>
      <c r="K735" s="5" t="str">
        <f aca="false">IF($J735=FALSE(),"",예약내역!$L732*10000+ROW())</f>
        <v/>
      </c>
      <c r="L735" s="5" t="str">
        <f aca="false">IF($K735="","",RANK($K735,$K$6:$K$2005,1))</f>
        <v/>
      </c>
    </row>
    <row r="736" customFormat="false" ht="15" hidden="false" customHeight="true" outlineLevel="0" collapsed="false">
      <c r="J736" s="21" t="b">
        <f aca="false">IF(예약내역!$A733="",FALSE(),AND(예약내역!$A733=$B$3,예약내역!$J733&lt;&gt;"취소"))</f>
        <v>0</v>
      </c>
      <c r="K736" s="5" t="str">
        <f aca="false">IF($J736=FALSE(),"",예약내역!$L733*10000+ROW())</f>
        <v/>
      </c>
      <c r="L736" s="5" t="str">
        <f aca="false">IF($K736="","",RANK($K736,$K$6:$K$2005,1))</f>
        <v/>
      </c>
    </row>
    <row r="737" customFormat="false" ht="15" hidden="false" customHeight="true" outlineLevel="0" collapsed="false">
      <c r="J737" s="21" t="b">
        <f aca="false">IF(예약내역!$A734="",FALSE(),AND(예약내역!$A734=$B$3,예약내역!$J734&lt;&gt;"취소"))</f>
        <v>0</v>
      </c>
      <c r="K737" s="5" t="str">
        <f aca="false">IF($J737=FALSE(),"",예약내역!$L734*10000+ROW())</f>
        <v/>
      </c>
      <c r="L737" s="5" t="str">
        <f aca="false">IF($K737="","",RANK($K737,$K$6:$K$2005,1))</f>
        <v/>
      </c>
    </row>
    <row r="738" customFormat="false" ht="15" hidden="false" customHeight="true" outlineLevel="0" collapsed="false">
      <c r="J738" s="21" t="b">
        <f aca="false">IF(예약내역!$A735="",FALSE(),AND(예약내역!$A735=$B$3,예약내역!$J735&lt;&gt;"취소"))</f>
        <v>0</v>
      </c>
      <c r="K738" s="5" t="str">
        <f aca="false">IF($J738=FALSE(),"",예약내역!$L735*10000+ROW())</f>
        <v/>
      </c>
      <c r="L738" s="5" t="str">
        <f aca="false">IF($K738="","",RANK($K738,$K$6:$K$2005,1))</f>
        <v/>
      </c>
    </row>
    <row r="739" customFormat="false" ht="15" hidden="false" customHeight="true" outlineLevel="0" collapsed="false">
      <c r="J739" s="21" t="b">
        <f aca="false">IF(예약내역!$A736="",FALSE(),AND(예약내역!$A736=$B$3,예약내역!$J736&lt;&gt;"취소"))</f>
        <v>0</v>
      </c>
      <c r="K739" s="5" t="str">
        <f aca="false">IF($J739=FALSE(),"",예약내역!$L736*10000+ROW())</f>
        <v/>
      </c>
      <c r="L739" s="5" t="str">
        <f aca="false">IF($K739="","",RANK($K739,$K$6:$K$2005,1))</f>
        <v/>
      </c>
    </row>
    <row r="740" customFormat="false" ht="15" hidden="false" customHeight="true" outlineLevel="0" collapsed="false">
      <c r="J740" s="21" t="b">
        <f aca="false">IF(예약내역!$A737="",FALSE(),AND(예약내역!$A737=$B$3,예약내역!$J737&lt;&gt;"취소"))</f>
        <v>0</v>
      </c>
      <c r="K740" s="5" t="str">
        <f aca="false">IF($J740=FALSE(),"",예약내역!$L737*10000+ROW())</f>
        <v/>
      </c>
      <c r="L740" s="5" t="str">
        <f aca="false">IF($K740="","",RANK($K740,$K$6:$K$2005,1))</f>
        <v/>
      </c>
    </row>
    <row r="741" customFormat="false" ht="15" hidden="false" customHeight="true" outlineLevel="0" collapsed="false">
      <c r="J741" s="21" t="b">
        <f aca="false">IF(예약내역!$A738="",FALSE(),AND(예약내역!$A738=$B$3,예약내역!$J738&lt;&gt;"취소"))</f>
        <v>0</v>
      </c>
      <c r="K741" s="5" t="str">
        <f aca="false">IF($J741=FALSE(),"",예약내역!$L738*10000+ROW())</f>
        <v/>
      </c>
      <c r="L741" s="5" t="str">
        <f aca="false">IF($K741="","",RANK($K741,$K$6:$K$2005,1))</f>
        <v/>
      </c>
    </row>
    <row r="742" customFormat="false" ht="15" hidden="false" customHeight="true" outlineLevel="0" collapsed="false">
      <c r="J742" s="21" t="b">
        <f aca="false">IF(예약내역!$A739="",FALSE(),AND(예약내역!$A739=$B$3,예약내역!$J739&lt;&gt;"취소"))</f>
        <v>0</v>
      </c>
      <c r="K742" s="5" t="str">
        <f aca="false">IF($J742=FALSE(),"",예약내역!$L739*10000+ROW())</f>
        <v/>
      </c>
      <c r="L742" s="5" t="str">
        <f aca="false">IF($K742="","",RANK($K742,$K$6:$K$2005,1))</f>
        <v/>
      </c>
    </row>
    <row r="743" customFormat="false" ht="15" hidden="false" customHeight="true" outlineLevel="0" collapsed="false">
      <c r="J743" s="21" t="b">
        <f aca="false">IF(예약내역!$A740="",FALSE(),AND(예약내역!$A740=$B$3,예약내역!$J740&lt;&gt;"취소"))</f>
        <v>0</v>
      </c>
      <c r="K743" s="5" t="str">
        <f aca="false">IF($J743=FALSE(),"",예약내역!$L740*10000+ROW())</f>
        <v/>
      </c>
      <c r="L743" s="5" t="str">
        <f aca="false">IF($K743="","",RANK($K743,$K$6:$K$2005,1))</f>
        <v/>
      </c>
    </row>
    <row r="744" customFormat="false" ht="15" hidden="false" customHeight="true" outlineLevel="0" collapsed="false">
      <c r="J744" s="21" t="b">
        <f aca="false">IF(예약내역!$A741="",FALSE(),AND(예약내역!$A741=$B$3,예약내역!$J741&lt;&gt;"취소"))</f>
        <v>0</v>
      </c>
      <c r="K744" s="5" t="str">
        <f aca="false">IF($J744=FALSE(),"",예약내역!$L741*10000+ROW())</f>
        <v/>
      </c>
      <c r="L744" s="5" t="str">
        <f aca="false">IF($K744="","",RANK($K744,$K$6:$K$2005,1))</f>
        <v/>
      </c>
    </row>
    <row r="745" customFormat="false" ht="15" hidden="false" customHeight="true" outlineLevel="0" collapsed="false">
      <c r="J745" s="21" t="b">
        <f aca="false">IF(예약내역!$A742="",FALSE(),AND(예약내역!$A742=$B$3,예약내역!$J742&lt;&gt;"취소"))</f>
        <v>0</v>
      </c>
      <c r="K745" s="5" t="str">
        <f aca="false">IF($J745=FALSE(),"",예약내역!$L742*10000+ROW())</f>
        <v/>
      </c>
      <c r="L745" s="5" t="str">
        <f aca="false">IF($K745="","",RANK($K745,$K$6:$K$2005,1))</f>
        <v/>
      </c>
    </row>
    <row r="746" customFormat="false" ht="15" hidden="false" customHeight="true" outlineLevel="0" collapsed="false">
      <c r="J746" s="21" t="b">
        <f aca="false">IF(예약내역!$A743="",FALSE(),AND(예약내역!$A743=$B$3,예약내역!$J743&lt;&gt;"취소"))</f>
        <v>0</v>
      </c>
      <c r="K746" s="5" t="str">
        <f aca="false">IF($J746=FALSE(),"",예약내역!$L743*10000+ROW())</f>
        <v/>
      </c>
      <c r="L746" s="5" t="str">
        <f aca="false">IF($K746="","",RANK($K746,$K$6:$K$2005,1))</f>
        <v/>
      </c>
    </row>
    <row r="747" customFormat="false" ht="15" hidden="false" customHeight="true" outlineLevel="0" collapsed="false">
      <c r="J747" s="21" t="b">
        <f aca="false">IF(예약내역!$A744="",FALSE(),AND(예약내역!$A744=$B$3,예약내역!$J744&lt;&gt;"취소"))</f>
        <v>0</v>
      </c>
      <c r="K747" s="5" t="str">
        <f aca="false">IF($J747=FALSE(),"",예약내역!$L744*10000+ROW())</f>
        <v/>
      </c>
      <c r="L747" s="5" t="str">
        <f aca="false">IF($K747="","",RANK($K747,$K$6:$K$2005,1))</f>
        <v/>
      </c>
    </row>
    <row r="748" customFormat="false" ht="15" hidden="false" customHeight="true" outlineLevel="0" collapsed="false">
      <c r="J748" s="21" t="b">
        <f aca="false">IF(예약내역!$A745="",FALSE(),AND(예약내역!$A745=$B$3,예약내역!$J745&lt;&gt;"취소"))</f>
        <v>0</v>
      </c>
      <c r="K748" s="5" t="str">
        <f aca="false">IF($J748=FALSE(),"",예약내역!$L745*10000+ROW())</f>
        <v/>
      </c>
      <c r="L748" s="5" t="str">
        <f aca="false">IF($K748="","",RANK($K748,$K$6:$K$2005,1))</f>
        <v/>
      </c>
    </row>
    <row r="749" customFormat="false" ht="15" hidden="false" customHeight="true" outlineLevel="0" collapsed="false">
      <c r="J749" s="21" t="b">
        <f aca="false">IF(예약내역!$A746="",FALSE(),AND(예약내역!$A746=$B$3,예약내역!$J746&lt;&gt;"취소"))</f>
        <v>0</v>
      </c>
      <c r="K749" s="5" t="str">
        <f aca="false">IF($J749=FALSE(),"",예약내역!$L746*10000+ROW())</f>
        <v/>
      </c>
      <c r="L749" s="5" t="str">
        <f aca="false">IF($K749="","",RANK($K749,$K$6:$K$2005,1))</f>
        <v/>
      </c>
    </row>
    <row r="750" customFormat="false" ht="15" hidden="false" customHeight="true" outlineLevel="0" collapsed="false">
      <c r="J750" s="21" t="b">
        <f aca="false">IF(예약내역!$A747="",FALSE(),AND(예약내역!$A747=$B$3,예약내역!$J747&lt;&gt;"취소"))</f>
        <v>0</v>
      </c>
      <c r="K750" s="5" t="str">
        <f aca="false">IF($J750=FALSE(),"",예약내역!$L747*10000+ROW())</f>
        <v/>
      </c>
      <c r="L750" s="5" t="str">
        <f aca="false">IF($K750="","",RANK($K750,$K$6:$K$2005,1))</f>
        <v/>
      </c>
    </row>
    <row r="751" customFormat="false" ht="15" hidden="false" customHeight="true" outlineLevel="0" collapsed="false">
      <c r="J751" s="21" t="b">
        <f aca="false">IF(예약내역!$A748="",FALSE(),AND(예약내역!$A748=$B$3,예약내역!$J748&lt;&gt;"취소"))</f>
        <v>0</v>
      </c>
      <c r="K751" s="5" t="str">
        <f aca="false">IF($J751=FALSE(),"",예약내역!$L748*10000+ROW())</f>
        <v/>
      </c>
      <c r="L751" s="5" t="str">
        <f aca="false">IF($K751="","",RANK($K751,$K$6:$K$2005,1))</f>
        <v/>
      </c>
    </row>
    <row r="752" customFormat="false" ht="15" hidden="false" customHeight="true" outlineLevel="0" collapsed="false">
      <c r="J752" s="21" t="b">
        <f aca="false">IF(예약내역!$A749="",FALSE(),AND(예약내역!$A749=$B$3,예약내역!$J749&lt;&gt;"취소"))</f>
        <v>0</v>
      </c>
      <c r="K752" s="5" t="str">
        <f aca="false">IF($J752=FALSE(),"",예약내역!$L749*10000+ROW())</f>
        <v/>
      </c>
      <c r="L752" s="5" t="str">
        <f aca="false">IF($K752="","",RANK($K752,$K$6:$K$2005,1))</f>
        <v/>
      </c>
    </row>
    <row r="753" customFormat="false" ht="15" hidden="false" customHeight="true" outlineLevel="0" collapsed="false">
      <c r="J753" s="21" t="b">
        <f aca="false">IF(예약내역!$A750="",FALSE(),AND(예약내역!$A750=$B$3,예약내역!$J750&lt;&gt;"취소"))</f>
        <v>0</v>
      </c>
      <c r="K753" s="5" t="str">
        <f aca="false">IF($J753=FALSE(),"",예약내역!$L750*10000+ROW())</f>
        <v/>
      </c>
      <c r="L753" s="5" t="str">
        <f aca="false">IF($K753="","",RANK($K753,$K$6:$K$2005,1))</f>
        <v/>
      </c>
    </row>
    <row r="754" customFormat="false" ht="15" hidden="false" customHeight="true" outlineLevel="0" collapsed="false">
      <c r="J754" s="21" t="b">
        <f aca="false">IF(예약내역!$A751="",FALSE(),AND(예약내역!$A751=$B$3,예약내역!$J751&lt;&gt;"취소"))</f>
        <v>0</v>
      </c>
      <c r="K754" s="5" t="str">
        <f aca="false">IF($J754=FALSE(),"",예약내역!$L751*10000+ROW())</f>
        <v/>
      </c>
      <c r="L754" s="5" t="str">
        <f aca="false">IF($K754="","",RANK($K754,$K$6:$K$2005,1))</f>
        <v/>
      </c>
    </row>
    <row r="755" customFormat="false" ht="15" hidden="false" customHeight="true" outlineLevel="0" collapsed="false">
      <c r="J755" s="21" t="b">
        <f aca="false">IF(예약내역!$A752="",FALSE(),AND(예약내역!$A752=$B$3,예약내역!$J752&lt;&gt;"취소"))</f>
        <v>0</v>
      </c>
      <c r="K755" s="5" t="str">
        <f aca="false">IF($J755=FALSE(),"",예약내역!$L752*10000+ROW())</f>
        <v/>
      </c>
      <c r="L755" s="5" t="str">
        <f aca="false">IF($K755="","",RANK($K755,$K$6:$K$2005,1))</f>
        <v/>
      </c>
    </row>
    <row r="756" customFormat="false" ht="15" hidden="false" customHeight="true" outlineLevel="0" collapsed="false">
      <c r="J756" s="21" t="b">
        <f aca="false">IF(예약내역!$A753="",FALSE(),AND(예약내역!$A753=$B$3,예약내역!$J753&lt;&gt;"취소"))</f>
        <v>0</v>
      </c>
      <c r="K756" s="5" t="str">
        <f aca="false">IF($J756=FALSE(),"",예약내역!$L753*10000+ROW())</f>
        <v/>
      </c>
      <c r="L756" s="5" t="str">
        <f aca="false">IF($K756="","",RANK($K756,$K$6:$K$2005,1))</f>
        <v/>
      </c>
    </row>
    <row r="757" customFormat="false" ht="15" hidden="false" customHeight="true" outlineLevel="0" collapsed="false">
      <c r="J757" s="21" t="b">
        <f aca="false">IF(예약내역!$A754="",FALSE(),AND(예약내역!$A754=$B$3,예약내역!$J754&lt;&gt;"취소"))</f>
        <v>0</v>
      </c>
      <c r="K757" s="5" t="str">
        <f aca="false">IF($J757=FALSE(),"",예약내역!$L754*10000+ROW())</f>
        <v/>
      </c>
      <c r="L757" s="5" t="str">
        <f aca="false">IF($K757="","",RANK($K757,$K$6:$K$2005,1))</f>
        <v/>
      </c>
    </row>
    <row r="758" customFormat="false" ht="15" hidden="false" customHeight="true" outlineLevel="0" collapsed="false">
      <c r="J758" s="21" t="b">
        <f aca="false">IF(예약내역!$A755="",FALSE(),AND(예약내역!$A755=$B$3,예약내역!$J755&lt;&gt;"취소"))</f>
        <v>0</v>
      </c>
      <c r="K758" s="5" t="str">
        <f aca="false">IF($J758=FALSE(),"",예약내역!$L755*10000+ROW())</f>
        <v/>
      </c>
      <c r="L758" s="5" t="str">
        <f aca="false">IF($K758="","",RANK($K758,$K$6:$K$2005,1))</f>
        <v/>
      </c>
    </row>
    <row r="759" customFormat="false" ht="15" hidden="false" customHeight="true" outlineLevel="0" collapsed="false">
      <c r="J759" s="21" t="b">
        <f aca="false">IF(예약내역!$A756="",FALSE(),AND(예약내역!$A756=$B$3,예약내역!$J756&lt;&gt;"취소"))</f>
        <v>0</v>
      </c>
      <c r="K759" s="5" t="str">
        <f aca="false">IF($J759=FALSE(),"",예약내역!$L756*10000+ROW())</f>
        <v/>
      </c>
      <c r="L759" s="5" t="str">
        <f aca="false">IF($K759="","",RANK($K759,$K$6:$K$2005,1))</f>
        <v/>
      </c>
    </row>
    <row r="760" customFormat="false" ht="15" hidden="false" customHeight="true" outlineLevel="0" collapsed="false">
      <c r="J760" s="21" t="b">
        <f aca="false">IF(예약내역!$A757="",FALSE(),AND(예약내역!$A757=$B$3,예약내역!$J757&lt;&gt;"취소"))</f>
        <v>0</v>
      </c>
      <c r="K760" s="5" t="str">
        <f aca="false">IF($J760=FALSE(),"",예약내역!$L757*10000+ROW())</f>
        <v/>
      </c>
      <c r="L760" s="5" t="str">
        <f aca="false">IF($K760="","",RANK($K760,$K$6:$K$2005,1))</f>
        <v/>
      </c>
    </row>
    <row r="761" customFormat="false" ht="15" hidden="false" customHeight="true" outlineLevel="0" collapsed="false">
      <c r="J761" s="21" t="b">
        <f aca="false">IF(예약내역!$A758="",FALSE(),AND(예약내역!$A758=$B$3,예약내역!$J758&lt;&gt;"취소"))</f>
        <v>0</v>
      </c>
      <c r="K761" s="5" t="str">
        <f aca="false">IF($J761=FALSE(),"",예약내역!$L758*10000+ROW())</f>
        <v/>
      </c>
      <c r="L761" s="5" t="str">
        <f aca="false">IF($K761="","",RANK($K761,$K$6:$K$2005,1))</f>
        <v/>
      </c>
    </row>
    <row r="762" customFormat="false" ht="15" hidden="false" customHeight="true" outlineLevel="0" collapsed="false">
      <c r="J762" s="21" t="b">
        <f aca="false">IF(예약내역!$A759="",FALSE(),AND(예약내역!$A759=$B$3,예약내역!$J759&lt;&gt;"취소"))</f>
        <v>0</v>
      </c>
      <c r="K762" s="5" t="str">
        <f aca="false">IF($J762=FALSE(),"",예약내역!$L759*10000+ROW())</f>
        <v/>
      </c>
      <c r="L762" s="5" t="str">
        <f aca="false">IF($K762="","",RANK($K762,$K$6:$K$2005,1))</f>
        <v/>
      </c>
    </row>
    <row r="763" customFormat="false" ht="15" hidden="false" customHeight="true" outlineLevel="0" collapsed="false">
      <c r="J763" s="21" t="b">
        <f aca="false">IF(예약내역!$A760="",FALSE(),AND(예약내역!$A760=$B$3,예약내역!$J760&lt;&gt;"취소"))</f>
        <v>0</v>
      </c>
      <c r="K763" s="5" t="str">
        <f aca="false">IF($J763=FALSE(),"",예약내역!$L760*10000+ROW())</f>
        <v/>
      </c>
      <c r="L763" s="5" t="str">
        <f aca="false">IF($K763="","",RANK($K763,$K$6:$K$2005,1))</f>
        <v/>
      </c>
    </row>
    <row r="764" customFormat="false" ht="15" hidden="false" customHeight="true" outlineLevel="0" collapsed="false">
      <c r="J764" s="21" t="b">
        <f aca="false">IF(예약내역!$A761="",FALSE(),AND(예약내역!$A761=$B$3,예약내역!$J761&lt;&gt;"취소"))</f>
        <v>0</v>
      </c>
      <c r="K764" s="5" t="str">
        <f aca="false">IF($J764=FALSE(),"",예약내역!$L761*10000+ROW())</f>
        <v/>
      </c>
      <c r="L764" s="5" t="str">
        <f aca="false">IF($K764="","",RANK($K764,$K$6:$K$2005,1))</f>
        <v/>
      </c>
    </row>
    <row r="765" customFormat="false" ht="15" hidden="false" customHeight="true" outlineLevel="0" collapsed="false">
      <c r="J765" s="21" t="b">
        <f aca="false">IF(예약내역!$A762="",FALSE(),AND(예약내역!$A762=$B$3,예약내역!$J762&lt;&gt;"취소"))</f>
        <v>0</v>
      </c>
      <c r="K765" s="5" t="str">
        <f aca="false">IF($J765=FALSE(),"",예약내역!$L762*10000+ROW())</f>
        <v/>
      </c>
      <c r="L765" s="5" t="str">
        <f aca="false">IF($K765="","",RANK($K765,$K$6:$K$2005,1))</f>
        <v/>
      </c>
    </row>
    <row r="766" customFormat="false" ht="15" hidden="false" customHeight="true" outlineLevel="0" collapsed="false">
      <c r="J766" s="21" t="b">
        <f aca="false">IF(예약내역!$A763="",FALSE(),AND(예약내역!$A763=$B$3,예약내역!$J763&lt;&gt;"취소"))</f>
        <v>0</v>
      </c>
      <c r="K766" s="5" t="str">
        <f aca="false">IF($J766=FALSE(),"",예약내역!$L763*10000+ROW())</f>
        <v/>
      </c>
      <c r="L766" s="5" t="str">
        <f aca="false">IF($K766="","",RANK($K766,$K$6:$K$2005,1))</f>
        <v/>
      </c>
    </row>
    <row r="767" customFormat="false" ht="15" hidden="false" customHeight="true" outlineLevel="0" collapsed="false">
      <c r="J767" s="21" t="b">
        <f aca="false">IF(예약내역!$A764="",FALSE(),AND(예약내역!$A764=$B$3,예약내역!$J764&lt;&gt;"취소"))</f>
        <v>0</v>
      </c>
      <c r="K767" s="5" t="str">
        <f aca="false">IF($J767=FALSE(),"",예약내역!$L764*10000+ROW())</f>
        <v/>
      </c>
      <c r="L767" s="5" t="str">
        <f aca="false">IF($K767="","",RANK($K767,$K$6:$K$2005,1))</f>
        <v/>
      </c>
    </row>
    <row r="768" customFormat="false" ht="15" hidden="false" customHeight="true" outlineLevel="0" collapsed="false">
      <c r="J768" s="21" t="b">
        <f aca="false">IF(예약내역!$A765="",FALSE(),AND(예약내역!$A765=$B$3,예약내역!$J765&lt;&gt;"취소"))</f>
        <v>0</v>
      </c>
      <c r="K768" s="5" t="str">
        <f aca="false">IF($J768=FALSE(),"",예약내역!$L765*10000+ROW())</f>
        <v/>
      </c>
      <c r="L768" s="5" t="str">
        <f aca="false">IF($K768="","",RANK($K768,$K$6:$K$2005,1))</f>
        <v/>
      </c>
    </row>
    <row r="769" customFormat="false" ht="15" hidden="false" customHeight="true" outlineLevel="0" collapsed="false">
      <c r="J769" s="21" t="b">
        <f aca="false">IF(예약내역!$A766="",FALSE(),AND(예약내역!$A766=$B$3,예약내역!$J766&lt;&gt;"취소"))</f>
        <v>0</v>
      </c>
      <c r="K769" s="5" t="str">
        <f aca="false">IF($J769=FALSE(),"",예약내역!$L766*10000+ROW())</f>
        <v/>
      </c>
      <c r="L769" s="5" t="str">
        <f aca="false">IF($K769="","",RANK($K769,$K$6:$K$2005,1))</f>
        <v/>
      </c>
    </row>
    <row r="770" customFormat="false" ht="15" hidden="false" customHeight="true" outlineLevel="0" collapsed="false">
      <c r="J770" s="21" t="b">
        <f aca="false">IF(예약내역!$A767="",FALSE(),AND(예약내역!$A767=$B$3,예약내역!$J767&lt;&gt;"취소"))</f>
        <v>0</v>
      </c>
      <c r="K770" s="5" t="str">
        <f aca="false">IF($J770=FALSE(),"",예약내역!$L767*10000+ROW())</f>
        <v/>
      </c>
      <c r="L770" s="5" t="str">
        <f aca="false">IF($K770="","",RANK($K770,$K$6:$K$2005,1))</f>
        <v/>
      </c>
    </row>
    <row r="771" customFormat="false" ht="15" hidden="false" customHeight="true" outlineLevel="0" collapsed="false">
      <c r="J771" s="21" t="b">
        <f aca="false">IF(예약내역!$A768="",FALSE(),AND(예약내역!$A768=$B$3,예약내역!$J768&lt;&gt;"취소"))</f>
        <v>0</v>
      </c>
      <c r="K771" s="5" t="str">
        <f aca="false">IF($J771=FALSE(),"",예약내역!$L768*10000+ROW())</f>
        <v/>
      </c>
      <c r="L771" s="5" t="str">
        <f aca="false">IF($K771="","",RANK($K771,$K$6:$K$2005,1))</f>
        <v/>
      </c>
    </row>
    <row r="772" customFormat="false" ht="15" hidden="false" customHeight="true" outlineLevel="0" collapsed="false">
      <c r="J772" s="21" t="b">
        <f aca="false">IF(예약내역!$A769="",FALSE(),AND(예약내역!$A769=$B$3,예약내역!$J769&lt;&gt;"취소"))</f>
        <v>0</v>
      </c>
      <c r="K772" s="5" t="str">
        <f aca="false">IF($J772=FALSE(),"",예약내역!$L769*10000+ROW())</f>
        <v/>
      </c>
      <c r="L772" s="5" t="str">
        <f aca="false">IF($K772="","",RANK($K772,$K$6:$K$2005,1))</f>
        <v/>
      </c>
    </row>
    <row r="773" customFormat="false" ht="15" hidden="false" customHeight="true" outlineLevel="0" collapsed="false">
      <c r="J773" s="21" t="b">
        <f aca="false">IF(예약내역!$A770="",FALSE(),AND(예약내역!$A770=$B$3,예약내역!$J770&lt;&gt;"취소"))</f>
        <v>0</v>
      </c>
      <c r="K773" s="5" t="str">
        <f aca="false">IF($J773=FALSE(),"",예약내역!$L770*10000+ROW())</f>
        <v/>
      </c>
      <c r="L773" s="5" t="str">
        <f aca="false">IF($K773="","",RANK($K773,$K$6:$K$2005,1))</f>
        <v/>
      </c>
    </row>
    <row r="774" customFormat="false" ht="15" hidden="false" customHeight="true" outlineLevel="0" collapsed="false">
      <c r="J774" s="21" t="b">
        <f aca="false">IF(예약내역!$A771="",FALSE(),AND(예약내역!$A771=$B$3,예약내역!$J771&lt;&gt;"취소"))</f>
        <v>0</v>
      </c>
      <c r="K774" s="5" t="str">
        <f aca="false">IF($J774=FALSE(),"",예약내역!$L771*10000+ROW())</f>
        <v/>
      </c>
      <c r="L774" s="5" t="str">
        <f aca="false">IF($K774="","",RANK($K774,$K$6:$K$2005,1))</f>
        <v/>
      </c>
    </row>
    <row r="775" customFormat="false" ht="15" hidden="false" customHeight="true" outlineLevel="0" collapsed="false">
      <c r="J775" s="21" t="b">
        <f aca="false">IF(예약내역!$A772="",FALSE(),AND(예약내역!$A772=$B$3,예약내역!$J772&lt;&gt;"취소"))</f>
        <v>0</v>
      </c>
      <c r="K775" s="5" t="str">
        <f aca="false">IF($J775=FALSE(),"",예약내역!$L772*10000+ROW())</f>
        <v/>
      </c>
      <c r="L775" s="5" t="str">
        <f aca="false">IF($K775="","",RANK($K775,$K$6:$K$2005,1))</f>
        <v/>
      </c>
    </row>
    <row r="776" customFormat="false" ht="15" hidden="false" customHeight="true" outlineLevel="0" collapsed="false">
      <c r="J776" s="21" t="b">
        <f aca="false">IF(예약내역!$A773="",FALSE(),AND(예약내역!$A773=$B$3,예약내역!$J773&lt;&gt;"취소"))</f>
        <v>0</v>
      </c>
      <c r="K776" s="5" t="str">
        <f aca="false">IF($J776=FALSE(),"",예약내역!$L773*10000+ROW())</f>
        <v/>
      </c>
      <c r="L776" s="5" t="str">
        <f aca="false">IF($K776="","",RANK($K776,$K$6:$K$2005,1))</f>
        <v/>
      </c>
    </row>
    <row r="777" customFormat="false" ht="15" hidden="false" customHeight="true" outlineLevel="0" collapsed="false">
      <c r="J777" s="21" t="b">
        <f aca="false">IF(예약내역!$A774="",FALSE(),AND(예약내역!$A774=$B$3,예약내역!$J774&lt;&gt;"취소"))</f>
        <v>0</v>
      </c>
      <c r="K777" s="5" t="str">
        <f aca="false">IF($J777=FALSE(),"",예약내역!$L774*10000+ROW())</f>
        <v/>
      </c>
      <c r="L777" s="5" t="str">
        <f aca="false">IF($K777="","",RANK($K777,$K$6:$K$2005,1))</f>
        <v/>
      </c>
    </row>
    <row r="778" customFormat="false" ht="15" hidden="false" customHeight="true" outlineLevel="0" collapsed="false">
      <c r="J778" s="21" t="b">
        <f aca="false">IF(예약내역!$A775="",FALSE(),AND(예약내역!$A775=$B$3,예약내역!$J775&lt;&gt;"취소"))</f>
        <v>0</v>
      </c>
      <c r="K778" s="5" t="str">
        <f aca="false">IF($J778=FALSE(),"",예약내역!$L775*10000+ROW())</f>
        <v/>
      </c>
      <c r="L778" s="5" t="str">
        <f aca="false">IF($K778="","",RANK($K778,$K$6:$K$2005,1))</f>
        <v/>
      </c>
    </row>
    <row r="779" customFormat="false" ht="15" hidden="false" customHeight="true" outlineLevel="0" collapsed="false">
      <c r="J779" s="21" t="b">
        <f aca="false">IF(예약내역!$A776="",FALSE(),AND(예약내역!$A776=$B$3,예약내역!$J776&lt;&gt;"취소"))</f>
        <v>0</v>
      </c>
      <c r="K779" s="5" t="str">
        <f aca="false">IF($J779=FALSE(),"",예약내역!$L776*10000+ROW())</f>
        <v/>
      </c>
      <c r="L779" s="5" t="str">
        <f aca="false">IF($K779="","",RANK($K779,$K$6:$K$2005,1))</f>
        <v/>
      </c>
    </row>
    <row r="780" customFormat="false" ht="15" hidden="false" customHeight="true" outlineLevel="0" collapsed="false">
      <c r="J780" s="21" t="b">
        <f aca="false">IF(예약내역!$A777="",FALSE(),AND(예약내역!$A777=$B$3,예약내역!$J777&lt;&gt;"취소"))</f>
        <v>0</v>
      </c>
      <c r="K780" s="5" t="str">
        <f aca="false">IF($J780=FALSE(),"",예약내역!$L777*10000+ROW())</f>
        <v/>
      </c>
      <c r="L780" s="5" t="str">
        <f aca="false">IF($K780="","",RANK($K780,$K$6:$K$2005,1))</f>
        <v/>
      </c>
    </row>
    <row r="781" customFormat="false" ht="15" hidden="false" customHeight="true" outlineLevel="0" collapsed="false">
      <c r="J781" s="21" t="b">
        <f aca="false">IF(예약내역!$A778="",FALSE(),AND(예약내역!$A778=$B$3,예약내역!$J778&lt;&gt;"취소"))</f>
        <v>0</v>
      </c>
      <c r="K781" s="5" t="str">
        <f aca="false">IF($J781=FALSE(),"",예약내역!$L778*10000+ROW())</f>
        <v/>
      </c>
      <c r="L781" s="5" t="str">
        <f aca="false">IF($K781="","",RANK($K781,$K$6:$K$2005,1))</f>
        <v/>
      </c>
    </row>
    <row r="782" customFormat="false" ht="15" hidden="false" customHeight="true" outlineLevel="0" collapsed="false">
      <c r="J782" s="21" t="b">
        <f aca="false">IF(예약내역!$A779="",FALSE(),AND(예약내역!$A779=$B$3,예약내역!$J779&lt;&gt;"취소"))</f>
        <v>0</v>
      </c>
      <c r="K782" s="5" t="str">
        <f aca="false">IF($J782=FALSE(),"",예약내역!$L779*10000+ROW())</f>
        <v/>
      </c>
      <c r="L782" s="5" t="str">
        <f aca="false">IF($K782="","",RANK($K782,$K$6:$K$2005,1))</f>
        <v/>
      </c>
    </row>
    <row r="783" customFormat="false" ht="15" hidden="false" customHeight="true" outlineLevel="0" collapsed="false">
      <c r="J783" s="21" t="b">
        <f aca="false">IF(예약내역!$A780="",FALSE(),AND(예약내역!$A780=$B$3,예약내역!$J780&lt;&gt;"취소"))</f>
        <v>0</v>
      </c>
      <c r="K783" s="5" t="str">
        <f aca="false">IF($J783=FALSE(),"",예약내역!$L780*10000+ROW())</f>
        <v/>
      </c>
      <c r="L783" s="5" t="str">
        <f aca="false">IF($K783="","",RANK($K783,$K$6:$K$2005,1))</f>
        <v/>
      </c>
    </row>
    <row r="784" customFormat="false" ht="15" hidden="false" customHeight="true" outlineLevel="0" collapsed="false">
      <c r="J784" s="21" t="b">
        <f aca="false">IF(예약내역!$A781="",FALSE(),AND(예약내역!$A781=$B$3,예약내역!$J781&lt;&gt;"취소"))</f>
        <v>0</v>
      </c>
      <c r="K784" s="5" t="str">
        <f aca="false">IF($J784=FALSE(),"",예약내역!$L781*10000+ROW())</f>
        <v/>
      </c>
      <c r="L784" s="5" t="str">
        <f aca="false">IF($K784="","",RANK($K784,$K$6:$K$2005,1))</f>
        <v/>
      </c>
    </row>
    <row r="785" customFormat="false" ht="15" hidden="false" customHeight="true" outlineLevel="0" collapsed="false">
      <c r="J785" s="21" t="b">
        <f aca="false">IF(예약내역!$A782="",FALSE(),AND(예약내역!$A782=$B$3,예약내역!$J782&lt;&gt;"취소"))</f>
        <v>0</v>
      </c>
      <c r="K785" s="5" t="str">
        <f aca="false">IF($J785=FALSE(),"",예약내역!$L782*10000+ROW())</f>
        <v/>
      </c>
      <c r="L785" s="5" t="str">
        <f aca="false">IF($K785="","",RANK($K785,$K$6:$K$2005,1))</f>
        <v/>
      </c>
    </row>
    <row r="786" customFormat="false" ht="15" hidden="false" customHeight="true" outlineLevel="0" collapsed="false">
      <c r="J786" s="21" t="b">
        <f aca="false">IF(예약내역!$A783="",FALSE(),AND(예약내역!$A783=$B$3,예약내역!$J783&lt;&gt;"취소"))</f>
        <v>0</v>
      </c>
      <c r="K786" s="5" t="str">
        <f aca="false">IF($J786=FALSE(),"",예약내역!$L783*10000+ROW())</f>
        <v/>
      </c>
      <c r="L786" s="5" t="str">
        <f aca="false">IF($K786="","",RANK($K786,$K$6:$K$2005,1))</f>
        <v/>
      </c>
    </row>
    <row r="787" customFormat="false" ht="15" hidden="false" customHeight="true" outlineLevel="0" collapsed="false">
      <c r="J787" s="21" t="b">
        <f aca="false">IF(예약내역!$A784="",FALSE(),AND(예약내역!$A784=$B$3,예약내역!$J784&lt;&gt;"취소"))</f>
        <v>0</v>
      </c>
      <c r="K787" s="5" t="str">
        <f aca="false">IF($J787=FALSE(),"",예약내역!$L784*10000+ROW())</f>
        <v/>
      </c>
      <c r="L787" s="5" t="str">
        <f aca="false">IF($K787="","",RANK($K787,$K$6:$K$2005,1))</f>
        <v/>
      </c>
    </row>
    <row r="788" customFormat="false" ht="15" hidden="false" customHeight="true" outlineLevel="0" collapsed="false">
      <c r="J788" s="21" t="b">
        <f aca="false">IF(예약내역!$A785="",FALSE(),AND(예약내역!$A785=$B$3,예약내역!$J785&lt;&gt;"취소"))</f>
        <v>0</v>
      </c>
      <c r="K788" s="5" t="str">
        <f aca="false">IF($J788=FALSE(),"",예약내역!$L785*10000+ROW())</f>
        <v/>
      </c>
      <c r="L788" s="5" t="str">
        <f aca="false">IF($K788="","",RANK($K788,$K$6:$K$2005,1))</f>
        <v/>
      </c>
    </row>
    <row r="789" customFormat="false" ht="15" hidden="false" customHeight="true" outlineLevel="0" collapsed="false">
      <c r="J789" s="21" t="b">
        <f aca="false">IF(예약내역!$A786="",FALSE(),AND(예약내역!$A786=$B$3,예약내역!$J786&lt;&gt;"취소"))</f>
        <v>0</v>
      </c>
      <c r="K789" s="5" t="str">
        <f aca="false">IF($J789=FALSE(),"",예약내역!$L786*10000+ROW())</f>
        <v/>
      </c>
      <c r="L789" s="5" t="str">
        <f aca="false">IF($K789="","",RANK($K789,$K$6:$K$2005,1))</f>
        <v/>
      </c>
    </row>
    <row r="790" customFormat="false" ht="15" hidden="false" customHeight="true" outlineLevel="0" collapsed="false">
      <c r="J790" s="21" t="b">
        <f aca="false">IF(예약내역!$A787="",FALSE(),AND(예약내역!$A787=$B$3,예약내역!$J787&lt;&gt;"취소"))</f>
        <v>0</v>
      </c>
      <c r="K790" s="5" t="str">
        <f aca="false">IF($J790=FALSE(),"",예약내역!$L787*10000+ROW())</f>
        <v/>
      </c>
      <c r="L790" s="5" t="str">
        <f aca="false">IF($K790="","",RANK($K790,$K$6:$K$2005,1))</f>
        <v/>
      </c>
    </row>
    <row r="791" customFormat="false" ht="15" hidden="false" customHeight="true" outlineLevel="0" collapsed="false">
      <c r="J791" s="21" t="b">
        <f aca="false">IF(예약내역!$A788="",FALSE(),AND(예약내역!$A788=$B$3,예약내역!$J788&lt;&gt;"취소"))</f>
        <v>0</v>
      </c>
      <c r="K791" s="5" t="str">
        <f aca="false">IF($J791=FALSE(),"",예약내역!$L788*10000+ROW())</f>
        <v/>
      </c>
      <c r="L791" s="5" t="str">
        <f aca="false">IF($K791="","",RANK($K791,$K$6:$K$2005,1))</f>
        <v/>
      </c>
    </row>
    <row r="792" customFormat="false" ht="15" hidden="false" customHeight="true" outlineLevel="0" collapsed="false">
      <c r="J792" s="21" t="b">
        <f aca="false">IF(예약내역!$A789="",FALSE(),AND(예약내역!$A789=$B$3,예약내역!$J789&lt;&gt;"취소"))</f>
        <v>0</v>
      </c>
      <c r="K792" s="5" t="str">
        <f aca="false">IF($J792=FALSE(),"",예약내역!$L789*10000+ROW())</f>
        <v/>
      </c>
      <c r="L792" s="5" t="str">
        <f aca="false">IF($K792="","",RANK($K792,$K$6:$K$2005,1))</f>
        <v/>
      </c>
    </row>
    <row r="793" customFormat="false" ht="15" hidden="false" customHeight="true" outlineLevel="0" collapsed="false">
      <c r="J793" s="21" t="b">
        <f aca="false">IF(예약내역!$A790="",FALSE(),AND(예약내역!$A790=$B$3,예약내역!$J790&lt;&gt;"취소"))</f>
        <v>0</v>
      </c>
      <c r="K793" s="5" t="str">
        <f aca="false">IF($J793=FALSE(),"",예약내역!$L790*10000+ROW())</f>
        <v/>
      </c>
      <c r="L793" s="5" t="str">
        <f aca="false">IF($K793="","",RANK($K793,$K$6:$K$2005,1))</f>
        <v/>
      </c>
    </row>
    <row r="794" customFormat="false" ht="15" hidden="false" customHeight="true" outlineLevel="0" collapsed="false">
      <c r="J794" s="21" t="b">
        <f aca="false">IF(예약내역!$A791="",FALSE(),AND(예약내역!$A791=$B$3,예약내역!$J791&lt;&gt;"취소"))</f>
        <v>0</v>
      </c>
      <c r="K794" s="5" t="str">
        <f aca="false">IF($J794=FALSE(),"",예약내역!$L791*10000+ROW())</f>
        <v/>
      </c>
      <c r="L794" s="5" t="str">
        <f aca="false">IF($K794="","",RANK($K794,$K$6:$K$2005,1))</f>
        <v/>
      </c>
    </row>
    <row r="795" customFormat="false" ht="15" hidden="false" customHeight="true" outlineLevel="0" collapsed="false">
      <c r="J795" s="21" t="b">
        <f aca="false">IF(예약내역!$A792="",FALSE(),AND(예약내역!$A792=$B$3,예약내역!$J792&lt;&gt;"취소"))</f>
        <v>0</v>
      </c>
      <c r="K795" s="5" t="str">
        <f aca="false">IF($J795=FALSE(),"",예약내역!$L792*10000+ROW())</f>
        <v/>
      </c>
      <c r="L795" s="5" t="str">
        <f aca="false">IF($K795="","",RANK($K795,$K$6:$K$2005,1))</f>
        <v/>
      </c>
    </row>
    <row r="796" customFormat="false" ht="15" hidden="false" customHeight="true" outlineLevel="0" collapsed="false">
      <c r="J796" s="21" t="b">
        <f aca="false">IF(예약내역!$A793="",FALSE(),AND(예약내역!$A793=$B$3,예약내역!$J793&lt;&gt;"취소"))</f>
        <v>0</v>
      </c>
      <c r="K796" s="5" t="str">
        <f aca="false">IF($J796=FALSE(),"",예약내역!$L793*10000+ROW())</f>
        <v/>
      </c>
      <c r="L796" s="5" t="str">
        <f aca="false">IF($K796="","",RANK($K796,$K$6:$K$2005,1))</f>
        <v/>
      </c>
    </row>
    <row r="797" customFormat="false" ht="15" hidden="false" customHeight="true" outlineLevel="0" collapsed="false">
      <c r="J797" s="21" t="b">
        <f aca="false">IF(예약내역!$A794="",FALSE(),AND(예약내역!$A794=$B$3,예약내역!$J794&lt;&gt;"취소"))</f>
        <v>0</v>
      </c>
      <c r="K797" s="5" t="str">
        <f aca="false">IF($J797=FALSE(),"",예약내역!$L794*10000+ROW())</f>
        <v/>
      </c>
      <c r="L797" s="5" t="str">
        <f aca="false">IF($K797="","",RANK($K797,$K$6:$K$2005,1))</f>
        <v/>
      </c>
    </row>
    <row r="798" customFormat="false" ht="15" hidden="false" customHeight="true" outlineLevel="0" collapsed="false">
      <c r="J798" s="21" t="b">
        <f aca="false">IF(예약내역!$A795="",FALSE(),AND(예약내역!$A795=$B$3,예약내역!$J795&lt;&gt;"취소"))</f>
        <v>0</v>
      </c>
      <c r="K798" s="5" t="str">
        <f aca="false">IF($J798=FALSE(),"",예약내역!$L795*10000+ROW())</f>
        <v/>
      </c>
      <c r="L798" s="5" t="str">
        <f aca="false">IF($K798="","",RANK($K798,$K$6:$K$2005,1))</f>
        <v/>
      </c>
    </row>
    <row r="799" customFormat="false" ht="15" hidden="false" customHeight="true" outlineLevel="0" collapsed="false">
      <c r="J799" s="21" t="b">
        <f aca="false">IF(예약내역!$A796="",FALSE(),AND(예약내역!$A796=$B$3,예약내역!$J796&lt;&gt;"취소"))</f>
        <v>0</v>
      </c>
      <c r="K799" s="5" t="str">
        <f aca="false">IF($J799=FALSE(),"",예약내역!$L796*10000+ROW())</f>
        <v/>
      </c>
      <c r="L799" s="5" t="str">
        <f aca="false">IF($K799="","",RANK($K799,$K$6:$K$2005,1))</f>
        <v/>
      </c>
    </row>
    <row r="800" customFormat="false" ht="15" hidden="false" customHeight="true" outlineLevel="0" collapsed="false">
      <c r="J800" s="21" t="b">
        <f aca="false">IF(예약내역!$A797="",FALSE(),AND(예약내역!$A797=$B$3,예약내역!$J797&lt;&gt;"취소"))</f>
        <v>0</v>
      </c>
      <c r="K800" s="5" t="str">
        <f aca="false">IF($J800=FALSE(),"",예약내역!$L797*10000+ROW())</f>
        <v/>
      </c>
      <c r="L800" s="5" t="str">
        <f aca="false">IF($K800="","",RANK($K800,$K$6:$K$2005,1))</f>
        <v/>
      </c>
    </row>
    <row r="801" customFormat="false" ht="15" hidden="false" customHeight="true" outlineLevel="0" collapsed="false">
      <c r="J801" s="21" t="b">
        <f aca="false">IF(예약내역!$A798="",FALSE(),AND(예약내역!$A798=$B$3,예약내역!$J798&lt;&gt;"취소"))</f>
        <v>0</v>
      </c>
      <c r="K801" s="5" t="str">
        <f aca="false">IF($J801=FALSE(),"",예약내역!$L798*10000+ROW())</f>
        <v/>
      </c>
      <c r="L801" s="5" t="str">
        <f aca="false">IF($K801="","",RANK($K801,$K$6:$K$2005,1))</f>
        <v/>
      </c>
    </row>
    <row r="802" customFormat="false" ht="15" hidden="false" customHeight="true" outlineLevel="0" collapsed="false">
      <c r="J802" s="21" t="b">
        <f aca="false">IF(예약내역!$A799="",FALSE(),AND(예약내역!$A799=$B$3,예약내역!$J799&lt;&gt;"취소"))</f>
        <v>0</v>
      </c>
      <c r="K802" s="5" t="str">
        <f aca="false">IF($J802=FALSE(),"",예약내역!$L799*10000+ROW())</f>
        <v/>
      </c>
      <c r="L802" s="5" t="str">
        <f aca="false">IF($K802="","",RANK($K802,$K$6:$K$2005,1))</f>
        <v/>
      </c>
    </row>
    <row r="803" customFormat="false" ht="15" hidden="false" customHeight="true" outlineLevel="0" collapsed="false">
      <c r="J803" s="21" t="b">
        <f aca="false">IF(예약내역!$A800="",FALSE(),AND(예약내역!$A800=$B$3,예약내역!$J800&lt;&gt;"취소"))</f>
        <v>0</v>
      </c>
      <c r="K803" s="5" t="str">
        <f aca="false">IF($J803=FALSE(),"",예약내역!$L800*10000+ROW())</f>
        <v/>
      </c>
      <c r="L803" s="5" t="str">
        <f aca="false">IF($K803="","",RANK($K803,$K$6:$K$2005,1))</f>
        <v/>
      </c>
    </row>
    <row r="804" customFormat="false" ht="15" hidden="false" customHeight="true" outlineLevel="0" collapsed="false">
      <c r="J804" s="21" t="b">
        <f aca="false">IF(예약내역!$A801="",FALSE(),AND(예약내역!$A801=$B$3,예약내역!$J801&lt;&gt;"취소"))</f>
        <v>0</v>
      </c>
      <c r="K804" s="5" t="str">
        <f aca="false">IF($J804=FALSE(),"",예약내역!$L801*10000+ROW())</f>
        <v/>
      </c>
      <c r="L804" s="5" t="str">
        <f aca="false">IF($K804="","",RANK($K804,$K$6:$K$2005,1))</f>
        <v/>
      </c>
    </row>
    <row r="805" customFormat="false" ht="15" hidden="false" customHeight="true" outlineLevel="0" collapsed="false">
      <c r="J805" s="21" t="b">
        <f aca="false">IF(예약내역!$A802="",FALSE(),AND(예약내역!$A802=$B$3,예약내역!$J802&lt;&gt;"취소"))</f>
        <v>0</v>
      </c>
      <c r="K805" s="5" t="str">
        <f aca="false">IF($J805=FALSE(),"",예약내역!$L802*10000+ROW())</f>
        <v/>
      </c>
      <c r="L805" s="5" t="str">
        <f aca="false">IF($K805="","",RANK($K805,$K$6:$K$2005,1))</f>
        <v/>
      </c>
    </row>
    <row r="806" customFormat="false" ht="15" hidden="false" customHeight="true" outlineLevel="0" collapsed="false">
      <c r="J806" s="21" t="b">
        <f aca="false">IF(예약내역!$A803="",FALSE(),AND(예약내역!$A803=$B$3,예약내역!$J803&lt;&gt;"취소"))</f>
        <v>0</v>
      </c>
      <c r="K806" s="5" t="str">
        <f aca="false">IF($J806=FALSE(),"",예약내역!$L803*10000+ROW())</f>
        <v/>
      </c>
      <c r="L806" s="5" t="str">
        <f aca="false">IF($K806="","",RANK($K806,$K$6:$K$2005,1))</f>
        <v/>
      </c>
    </row>
    <row r="807" customFormat="false" ht="15" hidden="false" customHeight="true" outlineLevel="0" collapsed="false">
      <c r="J807" s="21" t="b">
        <f aca="false">IF(예약내역!$A804="",FALSE(),AND(예약내역!$A804=$B$3,예약내역!$J804&lt;&gt;"취소"))</f>
        <v>0</v>
      </c>
      <c r="K807" s="5" t="str">
        <f aca="false">IF($J807=FALSE(),"",예약내역!$L804*10000+ROW())</f>
        <v/>
      </c>
      <c r="L807" s="5" t="str">
        <f aca="false">IF($K807="","",RANK($K807,$K$6:$K$2005,1))</f>
        <v/>
      </c>
    </row>
    <row r="808" customFormat="false" ht="15" hidden="false" customHeight="true" outlineLevel="0" collapsed="false">
      <c r="J808" s="21" t="b">
        <f aca="false">IF(예약내역!$A805="",FALSE(),AND(예약내역!$A805=$B$3,예약내역!$J805&lt;&gt;"취소"))</f>
        <v>0</v>
      </c>
      <c r="K808" s="5" t="str">
        <f aca="false">IF($J808=FALSE(),"",예약내역!$L805*10000+ROW())</f>
        <v/>
      </c>
      <c r="L808" s="5" t="str">
        <f aca="false">IF($K808="","",RANK($K808,$K$6:$K$2005,1))</f>
        <v/>
      </c>
    </row>
    <row r="809" customFormat="false" ht="15" hidden="false" customHeight="true" outlineLevel="0" collapsed="false">
      <c r="J809" s="21" t="b">
        <f aca="false">IF(예약내역!$A806="",FALSE(),AND(예약내역!$A806=$B$3,예약내역!$J806&lt;&gt;"취소"))</f>
        <v>0</v>
      </c>
      <c r="K809" s="5" t="str">
        <f aca="false">IF($J809=FALSE(),"",예약내역!$L806*10000+ROW())</f>
        <v/>
      </c>
      <c r="L809" s="5" t="str">
        <f aca="false">IF($K809="","",RANK($K809,$K$6:$K$2005,1))</f>
        <v/>
      </c>
    </row>
    <row r="810" customFormat="false" ht="15" hidden="false" customHeight="true" outlineLevel="0" collapsed="false">
      <c r="J810" s="21" t="b">
        <f aca="false">IF(예약내역!$A807="",FALSE(),AND(예약내역!$A807=$B$3,예약내역!$J807&lt;&gt;"취소"))</f>
        <v>0</v>
      </c>
      <c r="K810" s="5" t="str">
        <f aca="false">IF($J810=FALSE(),"",예약내역!$L807*10000+ROW())</f>
        <v/>
      </c>
      <c r="L810" s="5" t="str">
        <f aca="false">IF($K810="","",RANK($K810,$K$6:$K$2005,1))</f>
        <v/>
      </c>
    </row>
    <row r="811" customFormat="false" ht="15" hidden="false" customHeight="true" outlineLevel="0" collapsed="false">
      <c r="J811" s="21" t="b">
        <f aca="false">IF(예약내역!$A808="",FALSE(),AND(예약내역!$A808=$B$3,예약내역!$J808&lt;&gt;"취소"))</f>
        <v>0</v>
      </c>
      <c r="K811" s="5" t="str">
        <f aca="false">IF($J811=FALSE(),"",예약내역!$L808*10000+ROW())</f>
        <v/>
      </c>
      <c r="L811" s="5" t="str">
        <f aca="false">IF($K811="","",RANK($K811,$K$6:$K$2005,1))</f>
        <v/>
      </c>
    </row>
    <row r="812" customFormat="false" ht="15" hidden="false" customHeight="true" outlineLevel="0" collapsed="false">
      <c r="J812" s="21" t="b">
        <f aca="false">IF(예약내역!$A809="",FALSE(),AND(예약내역!$A809=$B$3,예약내역!$J809&lt;&gt;"취소"))</f>
        <v>0</v>
      </c>
      <c r="K812" s="5" t="str">
        <f aca="false">IF($J812=FALSE(),"",예약내역!$L809*10000+ROW())</f>
        <v/>
      </c>
      <c r="L812" s="5" t="str">
        <f aca="false">IF($K812="","",RANK($K812,$K$6:$K$2005,1))</f>
        <v/>
      </c>
    </row>
    <row r="813" customFormat="false" ht="15" hidden="false" customHeight="true" outlineLevel="0" collapsed="false">
      <c r="J813" s="21" t="b">
        <f aca="false">IF(예약내역!$A810="",FALSE(),AND(예약내역!$A810=$B$3,예약내역!$J810&lt;&gt;"취소"))</f>
        <v>0</v>
      </c>
      <c r="K813" s="5" t="str">
        <f aca="false">IF($J813=FALSE(),"",예약내역!$L810*10000+ROW())</f>
        <v/>
      </c>
      <c r="L813" s="5" t="str">
        <f aca="false">IF($K813="","",RANK($K813,$K$6:$K$2005,1))</f>
        <v/>
      </c>
    </row>
    <row r="814" customFormat="false" ht="15" hidden="false" customHeight="true" outlineLevel="0" collapsed="false">
      <c r="J814" s="21" t="b">
        <f aca="false">IF(예약내역!$A811="",FALSE(),AND(예약내역!$A811=$B$3,예약내역!$J811&lt;&gt;"취소"))</f>
        <v>0</v>
      </c>
      <c r="K814" s="5" t="str">
        <f aca="false">IF($J814=FALSE(),"",예약내역!$L811*10000+ROW())</f>
        <v/>
      </c>
      <c r="L814" s="5" t="str">
        <f aca="false">IF($K814="","",RANK($K814,$K$6:$K$2005,1))</f>
        <v/>
      </c>
    </row>
    <row r="815" customFormat="false" ht="15" hidden="false" customHeight="true" outlineLevel="0" collapsed="false">
      <c r="J815" s="21" t="b">
        <f aca="false">IF(예약내역!$A812="",FALSE(),AND(예약내역!$A812=$B$3,예약내역!$J812&lt;&gt;"취소"))</f>
        <v>0</v>
      </c>
      <c r="K815" s="5" t="str">
        <f aca="false">IF($J815=FALSE(),"",예약내역!$L812*10000+ROW())</f>
        <v/>
      </c>
      <c r="L815" s="5" t="str">
        <f aca="false">IF($K815="","",RANK($K815,$K$6:$K$2005,1))</f>
        <v/>
      </c>
    </row>
    <row r="816" customFormat="false" ht="15" hidden="false" customHeight="true" outlineLevel="0" collapsed="false">
      <c r="J816" s="21" t="b">
        <f aca="false">IF(예약내역!$A813="",FALSE(),AND(예약내역!$A813=$B$3,예약내역!$J813&lt;&gt;"취소"))</f>
        <v>0</v>
      </c>
      <c r="K816" s="5" t="str">
        <f aca="false">IF($J816=FALSE(),"",예약내역!$L813*10000+ROW())</f>
        <v/>
      </c>
      <c r="L816" s="5" t="str">
        <f aca="false">IF($K816="","",RANK($K816,$K$6:$K$2005,1))</f>
        <v/>
      </c>
    </row>
    <row r="817" customFormat="false" ht="15" hidden="false" customHeight="true" outlineLevel="0" collapsed="false">
      <c r="J817" s="21" t="b">
        <f aca="false">IF(예약내역!$A814="",FALSE(),AND(예약내역!$A814=$B$3,예약내역!$J814&lt;&gt;"취소"))</f>
        <v>0</v>
      </c>
      <c r="K817" s="5" t="str">
        <f aca="false">IF($J817=FALSE(),"",예약내역!$L814*10000+ROW())</f>
        <v/>
      </c>
      <c r="L817" s="5" t="str">
        <f aca="false">IF($K817="","",RANK($K817,$K$6:$K$2005,1))</f>
        <v/>
      </c>
    </row>
    <row r="818" customFormat="false" ht="15" hidden="false" customHeight="true" outlineLevel="0" collapsed="false">
      <c r="J818" s="21" t="b">
        <f aca="false">IF(예약내역!$A815="",FALSE(),AND(예약내역!$A815=$B$3,예약내역!$J815&lt;&gt;"취소"))</f>
        <v>0</v>
      </c>
      <c r="K818" s="5" t="str">
        <f aca="false">IF($J818=FALSE(),"",예약내역!$L815*10000+ROW())</f>
        <v/>
      </c>
      <c r="L818" s="5" t="str">
        <f aca="false">IF($K818="","",RANK($K818,$K$6:$K$2005,1))</f>
        <v/>
      </c>
    </row>
    <row r="819" customFormat="false" ht="15" hidden="false" customHeight="true" outlineLevel="0" collapsed="false">
      <c r="J819" s="21" t="b">
        <f aca="false">IF(예약내역!$A816="",FALSE(),AND(예약내역!$A816=$B$3,예약내역!$J816&lt;&gt;"취소"))</f>
        <v>0</v>
      </c>
      <c r="K819" s="5" t="str">
        <f aca="false">IF($J819=FALSE(),"",예약내역!$L816*10000+ROW())</f>
        <v/>
      </c>
      <c r="L819" s="5" t="str">
        <f aca="false">IF($K819="","",RANK($K819,$K$6:$K$2005,1))</f>
        <v/>
      </c>
    </row>
    <row r="820" customFormat="false" ht="15" hidden="false" customHeight="true" outlineLevel="0" collapsed="false">
      <c r="J820" s="21" t="b">
        <f aca="false">IF(예약내역!$A817="",FALSE(),AND(예약내역!$A817=$B$3,예약내역!$J817&lt;&gt;"취소"))</f>
        <v>0</v>
      </c>
      <c r="K820" s="5" t="str">
        <f aca="false">IF($J820=FALSE(),"",예약내역!$L817*10000+ROW())</f>
        <v/>
      </c>
      <c r="L820" s="5" t="str">
        <f aca="false">IF($K820="","",RANK($K820,$K$6:$K$2005,1))</f>
        <v/>
      </c>
    </row>
    <row r="821" customFormat="false" ht="15" hidden="false" customHeight="true" outlineLevel="0" collapsed="false">
      <c r="J821" s="21" t="b">
        <f aca="false">IF(예약내역!$A818="",FALSE(),AND(예약내역!$A818=$B$3,예약내역!$J818&lt;&gt;"취소"))</f>
        <v>0</v>
      </c>
      <c r="K821" s="5" t="str">
        <f aca="false">IF($J821=FALSE(),"",예약내역!$L818*10000+ROW())</f>
        <v/>
      </c>
      <c r="L821" s="5" t="str">
        <f aca="false">IF($K821="","",RANK($K821,$K$6:$K$2005,1))</f>
        <v/>
      </c>
    </row>
    <row r="822" customFormat="false" ht="15" hidden="false" customHeight="true" outlineLevel="0" collapsed="false">
      <c r="J822" s="21" t="b">
        <f aca="false">IF(예약내역!$A819="",FALSE(),AND(예약내역!$A819=$B$3,예약내역!$J819&lt;&gt;"취소"))</f>
        <v>0</v>
      </c>
      <c r="K822" s="5" t="str">
        <f aca="false">IF($J822=FALSE(),"",예약내역!$L819*10000+ROW())</f>
        <v/>
      </c>
      <c r="L822" s="5" t="str">
        <f aca="false">IF($K822="","",RANK($K822,$K$6:$K$2005,1))</f>
        <v/>
      </c>
    </row>
    <row r="823" customFormat="false" ht="15" hidden="false" customHeight="true" outlineLevel="0" collapsed="false">
      <c r="J823" s="21" t="b">
        <f aca="false">IF(예약내역!$A820="",FALSE(),AND(예약내역!$A820=$B$3,예약내역!$J820&lt;&gt;"취소"))</f>
        <v>0</v>
      </c>
      <c r="K823" s="5" t="str">
        <f aca="false">IF($J823=FALSE(),"",예약내역!$L820*10000+ROW())</f>
        <v/>
      </c>
      <c r="L823" s="5" t="str">
        <f aca="false">IF($K823="","",RANK($K823,$K$6:$K$2005,1))</f>
        <v/>
      </c>
    </row>
    <row r="824" customFormat="false" ht="15" hidden="false" customHeight="true" outlineLevel="0" collapsed="false">
      <c r="J824" s="21" t="b">
        <f aca="false">IF(예약내역!$A821="",FALSE(),AND(예약내역!$A821=$B$3,예약내역!$J821&lt;&gt;"취소"))</f>
        <v>0</v>
      </c>
      <c r="K824" s="5" t="str">
        <f aca="false">IF($J824=FALSE(),"",예약내역!$L821*10000+ROW())</f>
        <v/>
      </c>
      <c r="L824" s="5" t="str">
        <f aca="false">IF($K824="","",RANK($K824,$K$6:$K$2005,1))</f>
        <v/>
      </c>
    </row>
    <row r="825" customFormat="false" ht="15" hidden="false" customHeight="true" outlineLevel="0" collapsed="false">
      <c r="J825" s="21" t="b">
        <f aca="false">IF(예약내역!$A822="",FALSE(),AND(예약내역!$A822=$B$3,예약내역!$J822&lt;&gt;"취소"))</f>
        <v>0</v>
      </c>
      <c r="K825" s="5" t="str">
        <f aca="false">IF($J825=FALSE(),"",예약내역!$L822*10000+ROW())</f>
        <v/>
      </c>
      <c r="L825" s="5" t="str">
        <f aca="false">IF($K825="","",RANK($K825,$K$6:$K$2005,1))</f>
        <v/>
      </c>
    </row>
    <row r="826" customFormat="false" ht="15" hidden="false" customHeight="true" outlineLevel="0" collapsed="false">
      <c r="J826" s="21" t="b">
        <f aca="false">IF(예약내역!$A823="",FALSE(),AND(예약내역!$A823=$B$3,예약내역!$J823&lt;&gt;"취소"))</f>
        <v>0</v>
      </c>
      <c r="K826" s="5" t="str">
        <f aca="false">IF($J826=FALSE(),"",예약내역!$L823*10000+ROW())</f>
        <v/>
      </c>
      <c r="L826" s="5" t="str">
        <f aca="false">IF($K826="","",RANK($K826,$K$6:$K$2005,1))</f>
        <v/>
      </c>
    </row>
    <row r="827" customFormat="false" ht="15" hidden="false" customHeight="true" outlineLevel="0" collapsed="false">
      <c r="J827" s="21" t="b">
        <f aca="false">IF(예약내역!$A824="",FALSE(),AND(예약내역!$A824=$B$3,예약내역!$J824&lt;&gt;"취소"))</f>
        <v>0</v>
      </c>
      <c r="K827" s="5" t="str">
        <f aca="false">IF($J827=FALSE(),"",예약내역!$L824*10000+ROW())</f>
        <v/>
      </c>
      <c r="L827" s="5" t="str">
        <f aca="false">IF($K827="","",RANK($K827,$K$6:$K$2005,1))</f>
        <v/>
      </c>
    </row>
    <row r="828" customFormat="false" ht="15" hidden="false" customHeight="true" outlineLevel="0" collapsed="false">
      <c r="J828" s="21" t="b">
        <f aca="false">IF(예약내역!$A825="",FALSE(),AND(예약내역!$A825=$B$3,예약내역!$J825&lt;&gt;"취소"))</f>
        <v>0</v>
      </c>
      <c r="K828" s="5" t="str">
        <f aca="false">IF($J828=FALSE(),"",예약내역!$L825*10000+ROW())</f>
        <v/>
      </c>
      <c r="L828" s="5" t="str">
        <f aca="false">IF($K828="","",RANK($K828,$K$6:$K$2005,1))</f>
        <v/>
      </c>
    </row>
    <row r="829" customFormat="false" ht="15" hidden="false" customHeight="true" outlineLevel="0" collapsed="false">
      <c r="J829" s="21" t="b">
        <f aca="false">IF(예약내역!$A826="",FALSE(),AND(예약내역!$A826=$B$3,예약내역!$J826&lt;&gt;"취소"))</f>
        <v>0</v>
      </c>
      <c r="K829" s="5" t="str">
        <f aca="false">IF($J829=FALSE(),"",예약내역!$L826*10000+ROW())</f>
        <v/>
      </c>
      <c r="L829" s="5" t="str">
        <f aca="false">IF($K829="","",RANK($K829,$K$6:$K$2005,1))</f>
        <v/>
      </c>
    </row>
    <row r="830" customFormat="false" ht="15" hidden="false" customHeight="true" outlineLevel="0" collapsed="false">
      <c r="J830" s="21" t="b">
        <f aca="false">IF(예약내역!$A827="",FALSE(),AND(예약내역!$A827=$B$3,예약내역!$J827&lt;&gt;"취소"))</f>
        <v>0</v>
      </c>
      <c r="K830" s="5" t="str">
        <f aca="false">IF($J830=FALSE(),"",예약내역!$L827*10000+ROW())</f>
        <v/>
      </c>
      <c r="L830" s="5" t="str">
        <f aca="false">IF($K830="","",RANK($K830,$K$6:$K$2005,1))</f>
        <v/>
      </c>
    </row>
    <row r="831" customFormat="false" ht="15" hidden="false" customHeight="true" outlineLevel="0" collapsed="false">
      <c r="J831" s="21" t="b">
        <f aca="false">IF(예약내역!$A828="",FALSE(),AND(예약내역!$A828=$B$3,예약내역!$J828&lt;&gt;"취소"))</f>
        <v>0</v>
      </c>
      <c r="K831" s="5" t="str">
        <f aca="false">IF($J831=FALSE(),"",예약내역!$L828*10000+ROW())</f>
        <v/>
      </c>
      <c r="L831" s="5" t="str">
        <f aca="false">IF($K831="","",RANK($K831,$K$6:$K$2005,1))</f>
        <v/>
      </c>
    </row>
    <row r="832" customFormat="false" ht="15" hidden="false" customHeight="true" outlineLevel="0" collapsed="false">
      <c r="J832" s="21" t="b">
        <f aca="false">IF(예약내역!$A829="",FALSE(),AND(예약내역!$A829=$B$3,예약내역!$J829&lt;&gt;"취소"))</f>
        <v>0</v>
      </c>
      <c r="K832" s="5" t="str">
        <f aca="false">IF($J832=FALSE(),"",예약내역!$L829*10000+ROW())</f>
        <v/>
      </c>
      <c r="L832" s="5" t="str">
        <f aca="false">IF($K832="","",RANK($K832,$K$6:$K$2005,1))</f>
        <v/>
      </c>
    </row>
    <row r="833" customFormat="false" ht="15" hidden="false" customHeight="true" outlineLevel="0" collapsed="false">
      <c r="J833" s="21" t="b">
        <f aca="false">IF(예약내역!$A830="",FALSE(),AND(예약내역!$A830=$B$3,예약내역!$J830&lt;&gt;"취소"))</f>
        <v>0</v>
      </c>
      <c r="K833" s="5" t="str">
        <f aca="false">IF($J833=FALSE(),"",예약내역!$L830*10000+ROW())</f>
        <v/>
      </c>
      <c r="L833" s="5" t="str">
        <f aca="false">IF($K833="","",RANK($K833,$K$6:$K$2005,1))</f>
        <v/>
      </c>
    </row>
    <row r="834" customFormat="false" ht="15" hidden="false" customHeight="true" outlineLevel="0" collapsed="false">
      <c r="J834" s="21" t="b">
        <f aca="false">IF(예약내역!$A831="",FALSE(),AND(예약내역!$A831=$B$3,예약내역!$J831&lt;&gt;"취소"))</f>
        <v>0</v>
      </c>
      <c r="K834" s="5" t="str">
        <f aca="false">IF($J834=FALSE(),"",예약내역!$L831*10000+ROW())</f>
        <v/>
      </c>
      <c r="L834" s="5" t="str">
        <f aca="false">IF($K834="","",RANK($K834,$K$6:$K$2005,1))</f>
        <v/>
      </c>
    </row>
    <row r="835" customFormat="false" ht="15" hidden="false" customHeight="true" outlineLevel="0" collapsed="false">
      <c r="J835" s="21" t="b">
        <f aca="false">IF(예약내역!$A832="",FALSE(),AND(예약내역!$A832=$B$3,예약내역!$J832&lt;&gt;"취소"))</f>
        <v>0</v>
      </c>
      <c r="K835" s="5" t="str">
        <f aca="false">IF($J835=FALSE(),"",예약내역!$L832*10000+ROW())</f>
        <v/>
      </c>
      <c r="L835" s="5" t="str">
        <f aca="false">IF($K835="","",RANK($K835,$K$6:$K$2005,1))</f>
        <v/>
      </c>
    </row>
    <row r="836" customFormat="false" ht="15" hidden="false" customHeight="true" outlineLevel="0" collapsed="false">
      <c r="J836" s="21" t="b">
        <f aca="false">IF(예약내역!$A833="",FALSE(),AND(예약내역!$A833=$B$3,예약내역!$J833&lt;&gt;"취소"))</f>
        <v>0</v>
      </c>
      <c r="K836" s="5" t="str">
        <f aca="false">IF($J836=FALSE(),"",예약내역!$L833*10000+ROW())</f>
        <v/>
      </c>
      <c r="L836" s="5" t="str">
        <f aca="false">IF($K836="","",RANK($K836,$K$6:$K$2005,1))</f>
        <v/>
      </c>
    </row>
    <row r="837" customFormat="false" ht="15" hidden="false" customHeight="true" outlineLevel="0" collapsed="false">
      <c r="J837" s="21" t="b">
        <f aca="false">IF(예약내역!$A834="",FALSE(),AND(예약내역!$A834=$B$3,예약내역!$J834&lt;&gt;"취소"))</f>
        <v>0</v>
      </c>
      <c r="K837" s="5" t="str">
        <f aca="false">IF($J837=FALSE(),"",예약내역!$L834*10000+ROW())</f>
        <v/>
      </c>
      <c r="L837" s="5" t="str">
        <f aca="false">IF($K837="","",RANK($K837,$K$6:$K$2005,1))</f>
        <v/>
      </c>
    </row>
    <row r="838" customFormat="false" ht="15" hidden="false" customHeight="true" outlineLevel="0" collapsed="false">
      <c r="J838" s="21" t="b">
        <f aca="false">IF(예약내역!$A835="",FALSE(),AND(예약내역!$A835=$B$3,예약내역!$J835&lt;&gt;"취소"))</f>
        <v>0</v>
      </c>
      <c r="K838" s="5" t="str">
        <f aca="false">IF($J838=FALSE(),"",예약내역!$L835*10000+ROW())</f>
        <v/>
      </c>
      <c r="L838" s="5" t="str">
        <f aca="false">IF($K838="","",RANK($K838,$K$6:$K$2005,1))</f>
        <v/>
      </c>
    </row>
    <row r="839" customFormat="false" ht="15" hidden="false" customHeight="true" outlineLevel="0" collapsed="false">
      <c r="J839" s="21" t="b">
        <f aca="false">IF(예약내역!$A836="",FALSE(),AND(예약내역!$A836=$B$3,예약내역!$J836&lt;&gt;"취소"))</f>
        <v>0</v>
      </c>
      <c r="K839" s="5" t="str">
        <f aca="false">IF($J839=FALSE(),"",예약내역!$L836*10000+ROW())</f>
        <v/>
      </c>
      <c r="L839" s="5" t="str">
        <f aca="false">IF($K839="","",RANK($K839,$K$6:$K$2005,1))</f>
        <v/>
      </c>
    </row>
    <row r="840" customFormat="false" ht="15" hidden="false" customHeight="true" outlineLevel="0" collapsed="false">
      <c r="J840" s="21" t="b">
        <f aca="false">IF(예약내역!$A837="",FALSE(),AND(예약내역!$A837=$B$3,예약내역!$J837&lt;&gt;"취소"))</f>
        <v>0</v>
      </c>
      <c r="K840" s="5" t="str">
        <f aca="false">IF($J840=FALSE(),"",예약내역!$L837*10000+ROW())</f>
        <v/>
      </c>
      <c r="L840" s="5" t="str">
        <f aca="false">IF($K840="","",RANK($K840,$K$6:$K$2005,1))</f>
        <v/>
      </c>
    </row>
    <row r="841" customFormat="false" ht="15" hidden="false" customHeight="true" outlineLevel="0" collapsed="false">
      <c r="J841" s="21" t="b">
        <f aca="false">IF(예약내역!$A838="",FALSE(),AND(예약내역!$A838=$B$3,예약내역!$J838&lt;&gt;"취소"))</f>
        <v>0</v>
      </c>
      <c r="K841" s="5" t="str">
        <f aca="false">IF($J841=FALSE(),"",예약내역!$L838*10000+ROW())</f>
        <v/>
      </c>
      <c r="L841" s="5" t="str">
        <f aca="false">IF($K841="","",RANK($K841,$K$6:$K$2005,1))</f>
        <v/>
      </c>
    </row>
    <row r="842" customFormat="false" ht="15" hidden="false" customHeight="true" outlineLevel="0" collapsed="false">
      <c r="J842" s="21" t="b">
        <f aca="false">IF(예약내역!$A839="",FALSE(),AND(예약내역!$A839=$B$3,예약내역!$J839&lt;&gt;"취소"))</f>
        <v>0</v>
      </c>
      <c r="K842" s="5" t="str">
        <f aca="false">IF($J842=FALSE(),"",예약내역!$L839*10000+ROW())</f>
        <v/>
      </c>
      <c r="L842" s="5" t="str">
        <f aca="false">IF($K842="","",RANK($K842,$K$6:$K$2005,1))</f>
        <v/>
      </c>
    </row>
    <row r="843" customFormat="false" ht="15" hidden="false" customHeight="true" outlineLevel="0" collapsed="false">
      <c r="J843" s="21" t="b">
        <f aca="false">IF(예약내역!$A840="",FALSE(),AND(예약내역!$A840=$B$3,예약내역!$J840&lt;&gt;"취소"))</f>
        <v>0</v>
      </c>
      <c r="K843" s="5" t="str">
        <f aca="false">IF($J843=FALSE(),"",예약내역!$L840*10000+ROW())</f>
        <v/>
      </c>
      <c r="L843" s="5" t="str">
        <f aca="false">IF($K843="","",RANK($K843,$K$6:$K$2005,1))</f>
        <v/>
      </c>
    </row>
    <row r="844" customFormat="false" ht="15" hidden="false" customHeight="true" outlineLevel="0" collapsed="false">
      <c r="J844" s="21" t="b">
        <f aca="false">IF(예약내역!$A841="",FALSE(),AND(예약내역!$A841=$B$3,예약내역!$J841&lt;&gt;"취소"))</f>
        <v>0</v>
      </c>
      <c r="K844" s="5" t="str">
        <f aca="false">IF($J844=FALSE(),"",예약내역!$L841*10000+ROW())</f>
        <v/>
      </c>
      <c r="L844" s="5" t="str">
        <f aca="false">IF($K844="","",RANK($K844,$K$6:$K$2005,1))</f>
        <v/>
      </c>
    </row>
    <row r="845" customFormat="false" ht="15" hidden="false" customHeight="true" outlineLevel="0" collapsed="false">
      <c r="J845" s="21" t="b">
        <f aca="false">IF(예약내역!$A842="",FALSE(),AND(예약내역!$A842=$B$3,예약내역!$J842&lt;&gt;"취소"))</f>
        <v>0</v>
      </c>
      <c r="K845" s="5" t="str">
        <f aca="false">IF($J845=FALSE(),"",예약내역!$L842*10000+ROW())</f>
        <v/>
      </c>
      <c r="L845" s="5" t="str">
        <f aca="false">IF($K845="","",RANK($K845,$K$6:$K$2005,1))</f>
        <v/>
      </c>
    </row>
    <row r="846" customFormat="false" ht="15" hidden="false" customHeight="true" outlineLevel="0" collapsed="false">
      <c r="J846" s="21" t="b">
        <f aca="false">IF(예약내역!$A843="",FALSE(),AND(예약내역!$A843=$B$3,예약내역!$J843&lt;&gt;"취소"))</f>
        <v>0</v>
      </c>
      <c r="K846" s="5" t="str">
        <f aca="false">IF($J846=FALSE(),"",예약내역!$L843*10000+ROW())</f>
        <v/>
      </c>
      <c r="L846" s="5" t="str">
        <f aca="false">IF($K846="","",RANK($K846,$K$6:$K$2005,1))</f>
        <v/>
      </c>
    </row>
    <row r="847" customFormat="false" ht="15" hidden="false" customHeight="true" outlineLevel="0" collapsed="false">
      <c r="J847" s="21" t="b">
        <f aca="false">IF(예약내역!$A844="",FALSE(),AND(예약내역!$A844=$B$3,예약내역!$J844&lt;&gt;"취소"))</f>
        <v>0</v>
      </c>
      <c r="K847" s="5" t="str">
        <f aca="false">IF($J847=FALSE(),"",예약내역!$L844*10000+ROW())</f>
        <v/>
      </c>
      <c r="L847" s="5" t="str">
        <f aca="false">IF($K847="","",RANK($K847,$K$6:$K$2005,1))</f>
        <v/>
      </c>
    </row>
    <row r="848" customFormat="false" ht="15" hidden="false" customHeight="true" outlineLevel="0" collapsed="false">
      <c r="J848" s="21" t="b">
        <f aca="false">IF(예약내역!$A845="",FALSE(),AND(예약내역!$A845=$B$3,예약내역!$J845&lt;&gt;"취소"))</f>
        <v>0</v>
      </c>
      <c r="K848" s="5" t="str">
        <f aca="false">IF($J848=FALSE(),"",예약내역!$L845*10000+ROW())</f>
        <v/>
      </c>
      <c r="L848" s="5" t="str">
        <f aca="false">IF($K848="","",RANK($K848,$K$6:$K$2005,1))</f>
        <v/>
      </c>
    </row>
    <row r="849" customFormat="false" ht="15" hidden="false" customHeight="true" outlineLevel="0" collapsed="false">
      <c r="J849" s="21" t="b">
        <f aca="false">IF(예약내역!$A846="",FALSE(),AND(예약내역!$A846=$B$3,예약내역!$J846&lt;&gt;"취소"))</f>
        <v>0</v>
      </c>
      <c r="K849" s="5" t="str">
        <f aca="false">IF($J849=FALSE(),"",예약내역!$L846*10000+ROW())</f>
        <v/>
      </c>
      <c r="L849" s="5" t="str">
        <f aca="false">IF($K849="","",RANK($K849,$K$6:$K$2005,1))</f>
        <v/>
      </c>
    </row>
    <row r="850" customFormat="false" ht="15" hidden="false" customHeight="true" outlineLevel="0" collapsed="false">
      <c r="J850" s="21" t="b">
        <f aca="false">IF(예약내역!$A847="",FALSE(),AND(예약내역!$A847=$B$3,예약내역!$J847&lt;&gt;"취소"))</f>
        <v>0</v>
      </c>
      <c r="K850" s="5" t="str">
        <f aca="false">IF($J850=FALSE(),"",예약내역!$L847*10000+ROW())</f>
        <v/>
      </c>
      <c r="L850" s="5" t="str">
        <f aca="false">IF($K850="","",RANK($K850,$K$6:$K$2005,1))</f>
        <v/>
      </c>
    </row>
    <row r="851" customFormat="false" ht="15" hidden="false" customHeight="true" outlineLevel="0" collapsed="false">
      <c r="J851" s="21" t="b">
        <f aca="false">IF(예약내역!$A848="",FALSE(),AND(예약내역!$A848=$B$3,예약내역!$J848&lt;&gt;"취소"))</f>
        <v>0</v>
      </c>
      <c r="K851" s="5" t="str">
        <f aca="false">IF($J851=FALSE(),"",예약내역!$L848*10000+ROW())</f>
        <v/>
      </c>
      <c r="L851" s="5" t="str">
        <f aca="false">IF($K851="","",RANK($K851,$K$6:$K$2005,1))</f>
        <v/>
      </c>
    </row>
    <row r="852" customFormat="false" ht="15" hidden="false" customHeight="true" outlineLevel="0" collapsed="false">
      <c r="J852" s="21" t="b">
        <f aca="false">IF(예약내역!$A849="",FALSE(),AND(예약내역!$A849=$B$3,예약내역!$J849&lt;&gt;"취소"))</f>
        <v>0</v>
      </c>
      <c r="K852" s="5" t="str">
        <f aca="false">IF($J852=FALSE(),"",예약내역!$L849*10000+ROW())</f>
        <v/>
      </c>
      <c r="L852" s="5" t="str">
        <f aca="false">IF($K852="","",RANK($K852,$K$6:$K$2005,1))</f>
        <v/>
      </c>
    </row>
    <row r="853" customFormat="false" ht="15" hidden="false" customHeight="true" outlineLevel="0" collapsed="false">
      <c r="J853" s="21" t="b">
        <f aca="false">IF(예약내역!$A850="",FALSE(),AND(예약내역!$A850=$B$3,예약내역!$J850&lt;&gt;"취소"))</f>
        <v>0</v>
      </c>
      <c r="K853" s="5" t="str">
        <f aca="false">IF($J853=FALSE(),"",예약내역!$L850*10000+ROW())</f>
        <v/>
      </c>
      <c r="L853" s="5" t="str">
        <f aca="false">IF($K853="","",RANK($K853,$K$6:$K$2005,1))</f>
        <v/>
      </c>
    </row>
    <row r="854" customFormat="false" ht="15" hidden="false" customHeight="true" outlineLevel="0" collapsed="false">
      <c r="J854" s="21" t="b">
        <f aca="false">IF(예약내역!$A851="",FALSE(),AND(예약내역!$A851=$B$3,예약내역!$J851&lt;&gt;"취소"))</f>
        <v>0</v>
      </c>
      <c r="K854" s="5" t="str">
        <f aca="false">IF($J854=FALSE(),"",예약내역!$L851*10000+ROW())</f>
        <v/>
      </c>
      <c r="L854" s="5" t="str">
        <f aca="false">IF($K854="","",RANK($K854,$K$6:$K$2005,1))</f>
        <v/>
      </c>
    </row>
    <row r="855" customFormat="false" ht="15" hidden="false" customHeight="true" outlineLevel="0" collapsed="false">
      <c r="J855" s="21" t="b">
        <f aca="false">IF(예약내역!$A852="",FALSE(),AND(예약내역!$A852=$B$3,예약내역!$J852&lt;&gt;"취소"))</f>
        <v>0</v>
      </c>
      <c r="K855" s="5" t="str">
        <f aca="false">IF($J855=FALSE(),"",예약내역!$L852*10000+ROW())</f>
        <v/>
      </c>
      <c r="L855" s="5" t="str">
        <f aca="false">IF($K855="","",RANK($K855,$K$6:$K$2005,1))</f>
        <v/>
      </c>
    </row>
    <row r="856" customFormat="false" ht="15" hidden="false" customHeight="true" outlineLevel="0" collapsed="false">
      <c r="J856" s="21" t="b">
        <f aca="false">IF(예약내역!$A853="",FALSE(),AND(예약내역!$A853=$B$3,예약내역!$J853&lt;&gt;"취소"))</f>
        <v>0</v>
      </c>
      <c r="K856" s="5" t="str">
        <f aca="false">IF($J856=FALSE(),"",예약내역!$L853*10000+ROW())</f>
        <v/>
      </c>
      <c r="L856" s="5" t="str">
        <f aca="false">IF($K856="","",RANK($K856,$K$6:$K$2005,1))</f>
        <v/>
      </c>
    </row>
    <row r="857" customFormat="false" ht="15" hidden="false" customHeight="true" outlineLevel="0" collapsed="false">
      <c r="J857" s="21" t="b">
        <f aca="false">IF(예약내역!$A854="",FALSE(),AND(예약내역!$A854=$B$3,예약내역!$J854&lt;&gt;"취소"))</f>
        <v>0</v>
      </c>
      <c r="K857" s="5" t="str">
        <f aca="false">IF($J857=FALSE(),"",예약내역!$L854*10000+ROW())</f>
        <v/>
      </c>
      <c r="L857" s="5" t="str">
        <f aca="false">IF($K857="","",RANK($K857,$K$6:$K$2005,1))</f>
        <v/>
      </c>
    </row>
    <row r="858" customFormat="false" ht="15" hidden="false" customHeight="true" outlineLevel="0" collapsed="false">
      <c r="J858" s="21" t="b">
        <f aca="false">IF(예약내역!$A855="",FALSE(),AND(예약내역!$A855=$B$3,예약내역!$J855&lt;&gt;"취소"))</f>
        <v>0</v>
      </c>
      <c r="K858" s="5" t="str">
        <f aca="false">IF($J858=FALSE(),"",예약내역!$L855*10000+ROW())</f>
        <v/>
      </c>
      <c r="L858" s="5" t="str">
        <f aca="false">IF($K858="","",RANK($K858,$K$6:$K$2005,1))</f>
        <v/>
      </c>
    </row>
    <row r="859" customFormat="false" ht="15" hidden="false" customHeight="true" outlineLevel="0" collapsed="false">
      <c r="J859" s="21" t="b">
        <f aca="false">IF(예약내역!$A856="",FALSE(),AND(예약내역!$A856=$B$3,예약내역!$J856&lt;&gt;"취소"))</f>
        <v>0</v>
      </c>
      <c r="K859" s="5" t="str">
        <f aca="false">IF($J859=FALSE(),"",예약내역!$L856*10000+ROW())</f>
        <v/>
      </c>
      <c r="L859" s="5" t="str">
        <f aca="false">IF($K859="","",RANK($K859,$K$6:$K$2005,1))</f>
        <v/>
      </c>
    </row>
    <row r="860" customFormat="false" ht="15" hidden="false" customHeight="true" outlineLevel="0" collapsed="false">
      <c r="J860" s="21" t="b">
        <f aca="false">IF(예약내역!$A857="",FALSE(),AND(예약내역!$A857=$B$3,예약내역!$J857&lt;&gt;"취소"))</f>
        <v>0</v>
      </c>
      <c r="K860" s="5" t="str">
        <f aca="false">IF($J860=FALSE(),"",예약내역!$L857*10000+ROW())</f>
        <v/>
      </c>
      <c r="L860" s="5" t="str">
        <f aca="false">IF($K860="","",RANK($K860,$K$6:$K$2005,1))</f>
        <v/>
      </c>
    </row>
    <row r="861" customFormat="false" ht="15" hidden="false" customHeight="true" outlineLevel="0" collapsed="false">
      <c r="J861" s="21" t="b">
        <f aca="false">IF(예약내역!$A858="",FALSE(),AND(예약내역!$A858=$B$3,예약내역!$J858&lt;&gt;"취소"))</f>
        <v>0</v>
      </c>
      <c r="K861" s="5" t="str">
        <f aca="false">IF($J861=FALSE(),"",예약내역!$L858*10000+ROW())</f>
        <v/>
      </c>
      <c r="L861" s="5" t="str">
        <f aca="false">IF($K861="","",RANK($K861,$K$6:$K$2005,1))</f>
        <v/>
      </c>
    </row>
    <row r="862" customFormat="false" ht="15" hidden="false" customHeight="true" outlineLevel="0" collapsed="false">
      <c r="J862" s="21" t="b">
        <f aca="false">IF(예약내역!$A859="",FALSE(),AND(예약내역!$A859=$B$3,예약내역!$J859&lt;&gt;"취소"))</f>
        <v>0</v>
      </c>
      <c r="K862" s="5" t="str">
        <f aca="false">IF($J862=FALSE(),"",예약내역!$L859*10000+ROW())</f>
        <v/>
      </c>
      <c r="L862" s="5" t="str">
        <f aca="false">IF($K862="","",RANK($K862,$K$6:$K$2005,1))</f>
        <v/>
      </c>
    </row>
    <row r="863" customFormat="false" ht="15" hidden="false" customHeight="true" outlineLevel="0" collapsed="false">
      <c r="J863" s="21" t="b">
        <f aca="false">IF(예약내역!$A860="",FALSE(),AND(예약내역!$A860=$B$3,예약내역!$J860&lt;&gt;"취소"))</f>
        <v>0</v>
      </c>
      <c r="K863" s="5" t="str">
        <f aca="false">IF($J863=FALSE(),"",예약내역!$L860*10000+ROW())</f>
        <v/>
      </c>
      <c r="L863" s="5" t="str">
        <f aca="false">IF($K863="","",RANK($K863,$K$6:$K$2005,1))</f>
        <v/>
      </c>
    </row>
    <row r="864" customFormat="false" ht="15" hidden="false" customHeight="true" outlineLevel="0" collapsed="false">
      <c r="J864" s="21" t="b">
        <f aca="false">IF(예약내역!$A861="",FALSE(),AND(예약내역!$A861=$B$3,예약내역!$J861&lt;&gt;"취소"))</f>
        <v>0</v>
      </c>
      <c r="K864" s="5" t="str">
        <f aca="false">IF($J864=FALSE(),"",예약내역!$L861*10000+ROW())</f>
        <v/>
      </c>
      <c r="L864" s="5" t="str">
        <f aca="false">IF($K864="","",RANK($K864,$K$6:$K$2005,1))</f>
        <v/>
      </c>
    </row>
    <row r="865" customFormat="false" ht="15" hidden="false" customHeight="true" outlineLevel="0" collapsed="false">
      <c r="J865" s="21" t="b">
        <f aca="false">IF(예약내역!$A862="",FALSE(),AND(예약내역!$A862=$B$3,예약내역!$J862&lt;&gt;"취소"))</f>
        <v>0</v>
      </c>
      <c r="K865" s="5" t="str">
        <f aca="false">IF($J865=FALSE(),"",예약내역!$L862*10000+ROW())</f>
        <v/>
      </c>
      <c r="L865" s="5" t="str">
        <f aca="false">IF($K865="","",RANK($K865,$K$6:$K$2005,1))</f>
        <v/>
      </c>
    </row>
    <row r="866" customFormat="false" ht="15" hidden="false" customHeight="true" outlineLevel="0" collapsed="false">
      <c r="J866" s="21" t="b">
        <f aca="false">IF(예약내역!$A863="",FALSE(),AND(예약내역!$A863=$B$3,예약내역!$J863&lt;&gt;"취소"))</f>
        <v>0</v>
      </c>
      <c r="K866" s="5" t="str">
        <f aca="false">IF($J866=FALSE(),"",예약내역!$L863*10000+ROW())</f>
        <v/>
      </c>
      <c r="L866" s="5" t="str">
        <f aca="false">IF($K866="","",RANK($K866,$K$6:$K$2005,1))</f>
        <v/>
      </c>
    </row>
    <row r="867" customFormat="false" ht="15" hidden="false" customHeight="true" outlineLevel="0" collapsed="false">
      <c r="J867" s="21" t="b">
        <f aca="false">IF(예약내역!$A864="",FALSE(),AND(예약내역!$A864=$B$3,예약내역!$J864&lt;&gt;"취소"))</f>
        <v>0</v>
      </c>
      <c r="K867" s="5" t="str">
        <f aca="false">IF($J867=FALSE(),"",예약내역!$L864*10000+ROW())</f>
        <v/>
      </c>
      <c r="L867" s="5" t="str">
        <f aca="false">IF($K867="","",RANK($K867,$K$6:$K$2005,1))</f>
        <v/>
      </c>
    </row>
    <row r="868" customFormat="false" ht="15" hidden="false" customHeight="true" outlineLevel="0" collapsed="false">
      <c r="J868" s="21" t="b">
        <f aca="false">IF(예약내역!$A865="",FALSE(),AND(예약내역!$A865=$B$3,예약내역!$J865&lt;&gt;"취소"))</f>
        <v>0</v>
      </c>
      <c r="K868" s="5" t="str">
        <f aca="false">IF($J868=FALSE(),"",예약내역!$L865*10000+ROW())</f>
        <v/>
      </c>
      <c r="L868" s="5" t="str">
        <f aca="false">IF($K868="","",RANK($K868,$K$6:$K$2005,1))</f>
        <v/>
      </c>
    </row>
    <row r="869" customFormat="false" ht="15" hidden="false" customHeight="true" outlineLevel="0" collapsed="false">
      <c r="J869" s="21" t="b">
        <f aca="false">IF(예약내역!$A866="",FALSE(),AND(예약내역!$A866=$B$3,예약내역!$J866&lt;&gt;"취소"))</f>
        <v>0</v>
      </c>
      <c r="K869" s="5" t="str">
        <f aca="false">IF($J869=FALSE(),"",예약내역!$L866*10000+ROW())</f>
        <v/>
      </c>
      <c r="L869" s="5" t="str">
        <f aca="false">IF($K869="","",RANK($K869,$K$6:$K$2005,1))</f>
        <v/>
      </c>
    </row>
    <row r="870" customFormat="false" ht="15" hidden="false" customHeight="true" outlineLevel="0" collapsed="false">
      <c r="J870" s="21" t="b">
        <f aca="false">IF(예약내역!$A867="",FALSE(),AND(예약내역!$A867=$B$3,예약내역!$J867&lt;&gt;"취소"))</f>
        <v>0</v>
      </c>
      <c r="K870" s="5" t="str">
        <f aca="false">IF($J870=FALSE(),"",예약내역!$L867*10000+ROW())</f>
        <v/>
      </c>
      <c r="L870" s="5" t="str">
        <f aca="false">IF($K870="","",RANK($K870,$K$6:$K$2005,1))</f>
        <v/>
      </c>
    </row>
    <row r="871" customFormat="false" ht="15" hidden="false" customHeight="true" outlineLevel="0" collapsed="false">
      <c r="J871" s="21" t="b">
        <f aca="false">IF(예약내역!$A868="",FALSE(),AND(예약내역!$A868=$B$3,예약내역!$J868&lt;&gt;"취소"))</f>
        <v>0</v>
      </c>
      <c r="K871" s="5" t="str">
        <f aca="false">IF($J871=FALSE(),"",예약내역!$L868*10000+ROW())</f>
        <v/>
      </c>
      <c r="L871" s="5" t="str">
        <f aca="false">IF($K871="","",RANK($K871,$K$6:$K$2005,1))</f>
        <v/>
      </c>
    </row>
    <row r="872" customFormat="false" ht="15" hidden="false" customHeight="true" outlineLevel="0" collapsed="false">
      <c r="J872" s="21" t="b">
        <f aca="false">IF(예약내역!$A869="",FALSE(),AND(예약내역!$A869=$B$3,예약내역!$J869&lt;&gt;"취소"))</f>
        <v>0</v>
      </c>
      <c r="K872" s="5" t="str">
        <f aca="false">IF($J872=FALSE(),"",예약내역!$L869*10000+ROW())</f>
        <v/>
      </c>
      <c r="L872" s="5" t="str">
        <f aca="false">IF($K872="","",RANK($K872,$K$6:$K$2005,1))</f>
        <v/>
      </c>
    </row>
    <row r="873" customFormat="false" ht="15" hidden="false" customHeight="true" outlineLevel="0" collapsed="false">
      <c r="J873" s="21" t="b">
        <f aca="false">IF(예약내역!$A870="",FALSE(),AND(예약내역!$A870=$B$3,예약내역!$J870&lt;&gt;"취소"))</f>
        <v>0</v>
      </c>
      <c r="K873" s="5" t="str">
        <f aca="false">IF($J873=FALSE(),"",예약내역!$L870*10000+ROW())</f>
        <v/>
      </c>
      <c r="L873" s="5" t="str">
        <f aca="false">IF($K873="","",RANK($K873,$K$6:$K$2005,1))</f>
        <v/>
      </c>
    </row>
    <row r="874" customFormat="false" ht="15" hidden="false" customHeight="true" outlineLevel="0" collapsed="false">
      <c r="J874" s="21" t="b">
        <f aca="false">IF(예약내역!$A871="",FALSE(),AND(예약내역!$A871=$B$3,예약내역!$J871&lt;&gt;"취소"))</f>
        <v>0</v>
      </c>
      <c r="K874" s="5" t="str">
        <f aca="false">IF($J874=FALSE(),"",예약내역!$L871*10000+ROW())</f>
        <v/>
      </c>
      <c r="L874" s="5" t="str">
        <f aca="false">IF($K874="","",RANK($K874,$K$6:$K$2005,1))</f>
        <v/>
      </c>
    </row>
    <row r="875" customFormat="false" ht="15" hidden="false" customHeight="true" outlineLevel="0" collapsed="false">
      <c r="J875" s="21" t="b">
        <f aca="false">IF(예약내역!$A872="",FALSE(),AND(예약내역!$A872=$B$3,예약내역!$J872&lt;&gt;"취소"))</f>
        <v>0</v>
      </c>
      <c r="K875" s="5" t="str">
        <f aca="false">IF($J875=FALSE(),"",예약내역!$L872*10000+ROW())</f>
        <v/>
      </c>
      <c r="L875" s="5" t="str">
        <f aca="false">IF($K875="","",RANK($K875,$K$6:$K$2005,1))</f>
        <v/>
      </c>
    </row>
    <row r="876" customFormat="false" ht="15" hidden="false" customHeight="true" outlineLevel="0" collapsed="false">
      <c r="J876" s="21" t="b">
        <f aca="false">IF(예약내역!$A873="",FALSE(),AND(예약내역!$A873=$B$3,예약내역!$J873&lt;&gt;"취소"))</f>
        <v>0</v>
      </c>
      <c r="K876" s="5" t="str">
        <f aca="false">IF($J876=FALSE(),"",예약내역!$L873*10000+ROW())</f>
        <v/>
      </c>
      <c r="L876" s="5" t="str">
        <f aca="false">IF($K876="","",RANK($K876,$K$6:$K$2005,1))</f>
        <v/>
      </c>
    </row>
    <row r="877" customFormat="false" ht="15" hidden="false" customHeight="true" outlineLevel="0" collapsed="false">
      <c r="J877" s="21" t="b">
        <f aca="false">IF(예약내역!$A874="",FALSE(),AND(예약내역!$A874=$B$3,예약내역!$J874&lt;&gt;"취소"))</f>
        <v>0</v>
      </c>
      <c r="K877" s="5" t="str">
        <f aca="false">IF($J877=FALSE(),"",예약내역!$L874*10000+ROW())</f>
        <v/>
      </c>
      <c r="L877" s="5" t="str">
        <f aca="false">IF($K877="","",RANK($K877,$K$6:$K$2005,1))</f>
        <v/>
      </c>
    </row>
    <row r="878" customFormat="false" ht="15" hidden="false" customHeight="true" outlineLevel="0" collapsed="false">
      <c r="J878" s="21" t="b">
        <f aca="false">IF(예약내역!$A875="",FALSE(),AND(예약내역!$A875=$B$3,예약내역!$J875&lt;&gt;"취소"))</f>
        <v>0</v>
      </c>
      <c r="K878" s="5" t="str">
        <f aca="false">IF($J878=FALSE(),"",예약내역!$L875*10000+ROW())</f>
        <v/>
      </c>
      <c r="L878" s="5" t="str">
        <f aca="false">IF($K878="","",RANK($K878,$K$6:$K$2005,1))</f>
        <v/>
      </c>
    </row>
    <row r="879" customFormat="false" ht="15" hidden="false" customHeight="true" outlineLevel="0" collapsed="false">
      <c r="J879" s="21" t="b">
        <f aca="false">IF(예약내역!$A876="",FALSE(),AND(예약내역!$A876=$B$3,예약내역!$J876&lt;&gt;"취소"))</f>
        <v>0</v>
      </c>
      <c r="K879" s="5" t="str">
        <f aca="false">IF($J879=FALSE(),"",예약내역!$L876*10000+ROW())</f>
        <v/>
      </c>
      <c r="L879" s="5" t="str">
        <f aca="false">IF($K879="","",RANK($K879,$K$6:$K$2005,1))</f>
        <v/>
      </c>
    </row>
    <row r="880" customFormat="false" ht="15" hidden="false" customHeight="true" outlineLevel="0" collapsed="false">
      <c r="J880" s="21" t="b">
        <f aca="false">IF(예약내역!$A877="",FALSE(),AND(예약내역!$A877=$B$3,예약내역!$J877&lt;&gt;"취소"))</f>
        <v>0</v>
      </c>
      <c r="K880" s="5" t="str">
        <f aca="false">IF($J880=FALSE(),"",예약내역!$L877*10000+ROW())</f>
        <v/>
      </c>
      <c r="L880" s="5" t="str">
        <f aca="false">IF($K880="","",RANK($K880,$K$6:$K$2005,1))</f>
        <v/>
      </c>
    </row>
    <row r="881" customFormat="false" ht="15" hidden="false" customHeight="true" outlineLevel="0" collapsed="false">
      <c r="J881" s="21" t="b">
        <f aca="false">IF(예약내역!$A878="",FALSE(),AND(예약내역!$A878=$B$3,예약내역!$J878&lt;&gt;"취소"))</f>
        <v>0</v>
      </c>
      <c r="K881" s="5" t="str">
        <f aca="false">IF($J881=FALSE(),"",예약내역!$L878*10000+ROW())</f>
        <v/>
      </c>
      <c r="L881" s="5" t="str">
        <f aca="false">IF($K881="","",RANK($K881,$K$6:$K$2005,1))</f>
        <v/>
      </c>
    </row>
    <row r="882" customFormat="false" ht="15" hidden="false" customHeight="true" outlineLevel="0" collapsed="false">
      <c r="J882" s="21" t="b">
        <f aca="false">IF(예약내역!$A879="",FALSE(),AND(예약내역!$A879=$B$3,예약내역!$J879&lt;&gt;"취소"))</f>
        <v>0</v>
      </c>
      <c r="K882" s="5" t="str">
        <f aca="false">IF($J882=FALSE(),"",예약내역!$L879*10000+ROW())</f>
        <v/>
      </c>
      <c r="L882" s="5" t="str">
        <f aca="false">IF($K882="","",RANK($K882,$K$6:$K$2005,1))</f>
        <v/>
      </c>
    </row>
    <row r="883" customFormat="false" ht="15" hidden="false" customHeight="true" outlineLevel="0" collapsed="false">
      <c r="J883" s="21" t="b">
        <f aca="false">IF(예약내역!$A880="",FALSE(),AND(예약내역!$A880=$B$3,예약내역!$J880&lt;&gt;"취소"))</f>
        <v>0</v>
      </c>
      <c r="K883" s="5" t="str">
        <f aca="false">IF($J883=FALSE(),"",예약내역!$L880*10000+ROW())</f>
        <v/>
      </c>
      <c r="L883" s="5" t="str">
        <f aca="false">IF($K883="","",RANK($K883,$K$6:$K$2005,1))</f>
        <v/>
      </c>
    </row>
    <row r="884" customFormat="false" ht="15" hidden="false" customHeight="true" outlineLevel="0" collapsed="false">
      <c r="J884" s="21" t="b">
        <f aca="false">IF(예약내역!$A881="",FALSE(),AND(예약내역!$A881=$B$3,예약내역!$J881&lt;&gt;"취소"))</f>
        <v>0</v>
      </c>
      <c r="K884" s="5" t="str">
        <f aca="false">IF($J884=FALSE(),"",예약내역!$L881*10000+ROW())</f>
        <v/>
      </c>
      <c r="L884" s="5" t="str">
        <f aca="false">IF($K884="","",RANK($K884,$K$6:$K$2005,1))</f>
        <v/>
      </c>
    </row>
    <row r="885" customFormat="false" ht="15" hidden="false" customHeight="true" outlineLevel="0" collapsed="false">
      <c r="J885" s="21" t="b">
        <f aca="false">IF(예약내역!$A882="",FALSE(),AND(예약내역!$A882=$B$3,예약내역!$J882&lt;&gt;"취소"))</f>
        <v>0</v>
      </c>
      <c r="K885" s="5" t="str">
        <f aca="false">IF($J885=FALSE(),"",예약내역!$L882*10000+ROW())</f>
        <v/>
      </c>
      <c r="L885" s="5" t="str">
        <f aca="false">IF($K885="","",RANK($K885,$K$6:$K$2005,1))</f>
        <v/>
      </c>
    </row>
    <row r="886" customFormat="false" ht="15" hidden="false" customHeight="true" outlineLevel="0" collapsed="false">
      <c r="J886" s="21" t="b">
        <f aca="false">IF(예약내역!$A883="",FALSE(),AND(예약내역!$A883=$B$3,예약내역!$J883&lt;&gt;"취소"))</f>
        <v>0</v>
      </c>
      <c r="K886" s="5" t="str">
        <f aca="false">IF($J886=FALSE(),"",예약내역!$L883*10000+ROW())</f>
        <v/>
      </c>
      <c r="L886" s="5" t="str">
        <f aca="false">IF($K886="","",RANK($K886,$K$6:$K$2005,1))</f>
        <v/>
      </c>
    </row>
    <row r="887" customFormat="false" ht="15" hidden="false" customHeight="true" outlineLevel="0" collapsed="false">
      <c r="J887" s="21" t="b">
        <f aca="false">IF(예약내역!$A884="",FALSE(),AND(예약내역!$A884=$B$3,예약내역!$J884&lt;&gt;"취소"))</f>
        <v>0</v>
      </c>
      <c r="K887" s="5" t="str">
        <f aca="false">IF($J887=FALSE(),"",예약내역!$L884*10000+ROW())</f>
        <v/>
      </c>
      <c r="L887" s="5" t="str">
        <f aca="false">IF($K887="","",RANK($K887,$K$6:$K$2005,1))</f>
        <v/>
      </c>
    </row>
    <row r="888" customFormat="false" ht="15" hidden="false" customHeight="true" outlineLevel="0" collapsed="false">
      <c r="J888" s="21" t="b">
        <f aca="false">IF(예약내역!$A885="",FALSE(),AND(예약내역!$A885=$B$3,예약내역!$J885&lt;&gt;"취소"))</f>
        <v>0</v>
      </c>
      <c r="K888" s="5" t="str">
        <f aca="false">IF($J888=FALSE(),"",예약내역!$L885*10000+ROW())</f>
        <v/>
      </c>
      <c r="L888" s="5" t="str">
        <f aca="false">IF($K888="","",RANK($K888,$K$6:$K$2005,1))</f>
        <v/>
      </c>
    </row>
    <row r="889" customFormat="false" ht="15" hidden="false" customHeight="true" outlineLevel="0" collapsed="false">
      <c r="J889" s="21" t="b">
        <f aca="false">IF(예약내역!$A886="",FALSE(),AND(예약내역!$A886=$B$3,예약내역!$J886&lt;&gt;"취소"))</f>
        <v>0</v>
      </c>
      <c r="K889" s="5" t="str">
        <f aca="false">IF($J889=FALSE(),"",예약내역!$L886*10000+ROW())</f>
        <v/>
      </c>
      <c r="L889" s="5" t="str">
        <f aca="false">IF($K889="","",RANK($K889,$K$6:$K$2005,1))</f>
        <v/>
      </c>
    </row>
    <row r="890" customFormat="false" ht="15" hidden="false" customHeight="true" outlineLevel="0" collapsed="false">
      <c r="J890" s="21" t="b">
        <f aca="false">IF(예약내역!$A887="",FALSE(),AND(예약내역!$A887=$B$3,예약내역!$J887&lt;&gt;"취소"))</f>
        <v>0</v>
      </c>
      <c r="K890" s="5" t="str">
        <f aca="false">IF($J890=FALSE(),"",예약내역!$L887*10000+ROW())</f>
        <v/>
      </c>
      <c r="L890" s="5" t="str">
        <f aca="false">IF($K890="","",RANK($K890,$K$6:$K$2005,1))</f>
        <v/>
      </c>
    </row>
    <row r="891" customFormat="false" ht="15" hidden="false" customHeight="true" outlineLevel="0" collapsed="false">
      <c r="J891" s="21" t="b">
        <f aca="false">IF(예약내역!$A888="",FALSE(),AND(예약내역!$A888=$B$3,예약내역!$J888&lt;&gt;"취소"))</f>
        <v>0</v>
      </c>
      <c r="K891" s="5" t="str">
        <f aca="false">IF($J891=FALSE(),"",예약내역!$L888*10000+ROW())</f>
        <v/>
      </c>
      <c r="L891" s="5" t="str">
        <f aca="false">IF($K891="","",RANK($K891,$K$6:$K$2005,1))</f>
        <v/>
      </c>
    </row>
    <row r="892" customFormat="false" ht="15" hidden="false" customHeight="true" outlineLevel="0" collapsed="false">
      <c r="J892" s="21" t="b">
        <f aca="false">IF(예약내역!$A889="",FALSE(),AND(예약내역!$A889=$B$3,예약내역!$J889&lt;&gt;"취소"))</f>
        <v>0</v>
      </c>
      <c r="K892" s="5" t="str">
        <f aca="false">IF($J892=FALSE(),"",예약내역!$L889*10000+ROW())</f>
        <v/>
      </c>
      <c r="L892" s="5" t="str">
        <f aca="false">IF($K892="","",RANK($K892,$K$6:$K$2005,1))</f>
        <v/>
      </c>
    </row>
    <row r="893" customFormat="false" ht="15" hidden="false" customHeight="true" outlineLevel="0" collapsed="false">
      <c r="J893" s="21" t="b">
        <f aca="false">IF(예약내역!$A890="",FALSE(),AND(예약내역!$A890=$B$3,예약내역!$J890&lt;&gt;"취소"))</f>
        <v>0</v>
      </c>
      <c r="K893" s="5" t="str">
        <f aca="false">IF($J893=FALSE(),"",예약내역!$L890*10000+ROW())</f>
        <v/>
      </c>
      <c r="L893" s="5" t="str">
        <f aca="false">IF($K893="","",RANK($K893,$K$6:$K$2005,1))</f>
        <v/>
      </c>
    </row>
    <row r="894" customFormat="false" ht="15" hidden="false" customHeight="true" outlineLevel="0" collapsed="false">
      <c r="J894" s="21" t="b">
        <f aca="false">IF(예약내역!$A891="",FALSE(),AND(예약내역!$A891=$B$3,예약내역!$J891&lt;&gt;"취소"))</f>
        <v>0</v>
      </c>
      <c r="K894" s="5" t="str">
        <f aca="false">IF($J894=FALSE(),"",예약내역!$L891*10000+ROW())</f>
        <v/>
      </c>
      <c r="L894" s="5" t="str">
        <f aca="false">IF($K894="","",RANK($K894,$K$6:$K$2005,1))</f>
        <v/>
      </c>
    </row>
    <row r="895" customFormat="false" ht="15" hidden="false" customHeight="true" outlineLevel="0" collapsed="false">
      <c r="J895" s="21" t="b">
        <f aca="false">IF(예약내역!$A892="",FALSE(),AND(예약내역!$A892=$B$3,예약내역!$J892&lt;&gt;"취소"))</f>
        <v>0</v>
      </c>
      <c r="K895" s="5" t="str">
        <f aca="false">IF($J895=FALSE(),"",예약내역!$L892*10000+ROW())</f>
        <v/>
      </c>
      <c r="L895" s="5" t="str">
        <f aca="false">IF($K895="","",RANK($K895,$K$6:$K$2005,1))</f>
        <v/>
      </c>
    </row>
    <row r="896" customFormat="false" ht="15" hidden="false" customHeight="true" outlineLevel="0" collapsed="false">
      <c r="J896" s="21" t="b">
        <f aca="false">IF(예약내역!$A893="",FALSE(),AND(예약내역!$A893=$B$3,예약내역!$J893&lt;&gt;"취소"))</f>
        <v>0</v>
      </c>
      <c r="K896" s="5" t="str">
        <f aca="false">IF($J896=FALSE(),"",예약내역!$L893*10000+ROW())</f>
        <v/>
      </c>
      <c r="L896" s="5" t="str">
        <f aca="false">IF($K896="","",RANK($K896,$K$6:$K$2005,1))</f>
        <v/>
      </c>
    </row>
    <row r="897" customFormat="false" ht="15" hidden="false" customHeight="true" outlineLevel="0" collapsed="false">
      <c r="J897" s="21" t="b">
        <f aca="false">IF(예약내역!$A894="",FALSE(),AND(예약내역!$A894=$B$3,예약내역!$J894&lt;&gt;"취소"))</f>
        <v>0</v>
      </c>
      <c r="K897" s="5" t="str">
        <f aca="false">IF($J897=FALSE(),"",예약내역!$L894*10000+ROW())</f>
        <v/>
      </c>
      <c r="L897" s="5" t="str">
        <f aca="false">IF($K897="","",RANK($K897,$K$6:$K$2005,1))</f>
        <v/>
      </c>
    </row>
    <row r="898" customFormat="false" ht="15" hidden="false" customHeight="true" outlineLevel="0" collapsed="false">
      <c r="J898" s="21" t="b">
        <f aca="false">IF(예약내역!$A895="",FALSE(),AND(예약내역!$A895=$B$3,예약내역!$J895&lt;&gt;"취소"))</f>
        <v>0</v>
      </c>
      <c r="K898" s="5" t="str">
        <f aca="false">IF($J898=FALSE(),"",예약내역!$L895*10000+ROW())</f>
        <v/>
      </c>
      <c r="L898" s="5" t="str">
        <f aca="false">IF($K898="","",RANK($K898,$K$6:$K$2005,1))</f>
        <v/>
      </c>
    </row>
    <row r="899" customFormat="false" ht="15" hidden="false" customHeight="true" outlineLevel="0" collapsed="false">
      <c r="J899" s="21" t="b">
        <f aca="false">IF(예약내역!$A896="",FALSE(),AND(예약내역!$A896=$B$3,예약내역!$J896&lt;&gt;"취소"))</f>
        <v>0</v>
      </c>
      <c r="K899" s="5" t="str">
        <f aca="false">IF($J899=FALSE(),"",예약내역!$L896*10000+ROW())</f>
        <v/>
      </c>
      <c r="L899" s="5" t="str">
        <f aca="false">IF($K899="","",RANK($K899,$K$6:$K$2005,1))</f>
        <v/>
      </c>
    </row>
    <row r="900" customFormat="false" ht="15" hidden="false" customHeight="true" outlineLevel="0" collapsed="false">
      <c r="J900" s="21" t="b">
        <f aca="false">IF(예약내역!$A897="",FALSE(),AND(예약내역!$A897=$B$3,예약내역!$J897&lt;&gt;"취소"))</f>
        <v>0</v>
      </c>
      <c r="K900" s="5" t="str">
        <f aca="false">IF($J900=FALSE(),"",예약내역!$L897*10000+ROW())</f>
        <v/>
      </c>
      <c r="L900" s="5" t="str">
        <f aca="false">IF($K900="","",RANK($K900,$K$6:$K$2005,1))</f>
        <v/>
      </c>
    </row>
    <row r="901" customFormat="false" ht="15" hidden="false" customHeight="true" outlineLevel="0" collapsed="false">
      <c r="J901" s="21" t="b">
        <f aca="false">IF(예약내역!$A898="",FALSE(),AND(예약내역!$A898=$B$3,예약내역!$J898&lt;&gt;"취소"))</f>
        <v>0</v>
      </c>
      <c r="K901" s="5" t="str">
        <f aca="false">IF($J901=FALSE(),"",예약내역!$L898*10000+ROW())</f>
        <v/>
      </c>
      <c r="L901" s="5" t="str">
        <f aca="false">IF($K901="","",RANK($K901,$K$6:$K$2005,1))</f>
        <v/>
      </c>
    </row>
    <row r="902" customFormat="false" ht="15" hidden="false" customHeight="true" outlineLevel="0" collapsed="false">
      <c r="J902" s="21" t="b">
        <f aca="false">IF(예약내역!$A899="",FALSE(),AND(예약내역!$A899=$B$3,예약내역!$J899&lt;&gt;"취소"))</f>
        <v>0</v>
      </c>
      <c r="K902" s="5" t="str">
        <f aca="false">IF($J902=FALSE(),"",예약내역!$L899*10000+ROW())</f>
        <v/>
      </c>
      <c r="L902" s="5" t="str">
        <f aca="false">IF($K902="","",RANK($K902,$K$6:$K$2005,1))</f>
        <v/>
      </c>
    </row>
    <row r="903" customFormat="false" ht="15" hidden="false" customHeight="true" outlineLevel="0" collapsed="false">
      <c r="J903" s="21" t="b">
        <f aca="false">IF(예약내역!$A900="",FALSE(),AND(예약내역!$A900=$B$3,예약내역!$J900&lt;&gt;"취소"))</f>
        <v>0</v>
      </c>
      <c r="K903" s="5" t="str">
        <f aca="false">IF($J903=FALSE(),"",예약내역!$L900*10000+ROW())</f>
        <v/>
      </c>
      <c r="L903" s="5" t="str">
        <f aca="false">IF($K903="","",RANK($K903,$K$6:$K$2005,1))</f>
        <v/>
      </c>
    </row>
    <row r="904" customFormat="false" ht="15" hidden="false" customHeight="true" outlineLevel="0" collapsed="false">
      <c r="J904" s="21" t="b">
        <f aca="false">IF(예약내역!$A901="",FALSE(),AND(예약내역!$A901=$B$3,예약내역!$J901&lt;&gt;"취소"))</f>
        <v>0</v>
      </c>
      <c r="K904" s="5" t="str">
        <f aca="false">IF($J904=FALSE(),"",예약내역!$L901*10000+ROW())</f>
        <v/>
      </c>
      <c r="L904" s="5" t="str">
        <f aca="false">IF($K904="","",RANK($K904,$K$6:$K$2005,1))</f>
        <v/>
      </c>
    </row>
    <row r="905" customFormat="false" ht="15" hidden="false" customHeight="true" outlineLevel="0" collapsed="false">
      <c r="J905" s="21" t="b">
        <f aca="false">IF(예약내역!$A902="",FALSE(),AND(예약내역!$A902=$B$3,예약내역!$J902&lt;&gt;"취소"))</f>
        <v>0</v>
      </c>
      <c r="K905" s="5" t="str">
        <f aca="false">IF($J905=FALSE(),"",예약내역!$L902*10000+ROW())</f>
        <v/>
      </c>
      <c r="L905" s="5" t="str">
        <f aca="false">IF($K905="","",RANK($K905,$K$6:$K$2005,1))</f>
        <v/>
      </c>
    </row>
    <row r="906" customFormat="false" ht="15" hidden="false" customHeight="true" outlineLevel="0" collapsed="false">
      <c r="J906" s="21" t="b">
        <f aca="false">IF(예약내역!$A903="",FALSE(),AND(예약내역!$A903=$B$3,예약내역!$J903&lt;&gt;"취소"))</f>
        <v>0</v>
      </c>
      <c r="K906" s="5" t="str">
        <f aca="false">IF($J906=FALSE(),"",예약내역!$L903*10000+ROW())</f>
        <v/>
      </c>
      <c r="L906" s="5" t="str">
        <f aca="false">IF($K906="","",RANK($K906,$K$6:$K$2005,1))</f>
        <v/>
      </c>
    </row>
    <row r="907" customFormat="false" ht="15" hidden="false" customHeight="true" outlineLevel="0" collapsed="false">
      <c r="J907" s="21" t="b">
        <f aca="false">IF(예약내역!$A904="",FALSE(),AND(예약내역!$A904=$B$3,예약내역!$J904&lt;&gt;"취소"))</f>
        <v>0</v>
      </c>
      <c r="K907" s="5" t="str">
        <f aca="false">IF($J907=FALSE(),"",예약내역!$L904*10000+ROW())</f>
        <v/>
      </c>
      <c r="L907" s="5" t="str">
        <f aca="false">IF($K907="","",RANK($K907,$K$6:$K$2005,1))</f>
        <v/>
      </c>
    </row>
    <row r="908" customFormat="false" ht="15" hidden="false" customHeight="true" outlineLevel="0" collapsed="false">
      <c r="J908" s="21" t="b">
        <f aca="false">IF(예약내역!$A905="",FALSE(),AND(예약내역!$A905=$B$3,예약내역!$J905&lt;&gt;"취소"))</f>
        <v>0</v>
      </c>
      <c r="K908" s="5" t="str">
        <f aca="false">IF($J908=FALSE(),"",예약내역!$L905*10000+ROW())</f>
        <v/>
      </c>
      <c r="L908" s="5" t="str">
        <f aca="false">IF($K908="","",RANK($K908,$K$6:$K$2005,1))</f>
        <v/>
      </c>
    </row>
    <row r="909" customFormat="false" ht="15" hidden="false" customHeight="true" outlineLevel="0" collapsed="false">
      <c r="J909" s="21" t="b">
        <f aca="false">IF(예약내역!$A906="",FALSE(),AND(예약내역!$A906=$B$3,예약내역!$J906&lt;&gt;"취소"))</f>
        <v>0</v>
      </c>
      <c r="K909" s="5" t="str">
        <f aca="false">IF($J909=FALSE(),"",예약내역!$L906*10000+ROW())</f>
        <v/>
      </c>
      <c r="L909" s="5" t="str">
        <f aca="false">IF($K909="","",RANK($K909,$K$6:$K$2005,1))</f>
        <v/>
      </c>
    </row>
    <row r="910" customFormat="false" ht="15" hidden="false" customHeight="true" outlineLevel="0" collapsed="false">
      <c r="J910" s="21" t="b">
        <f aca="false">IF(예약내역!$A907="",FALSE(),AND(예약내역!$A907=$B$3,예약내역!$J907&lt;&gt;"취소"))</f>
        <v>0</v>
      </c>
      <c r="K910" s="5" t="str">
        <f aca="false">IF($J910=FALSE(),"",예약내역!$L907*10000+ROW())</f>
        <v/>
      </c>
      <c r="L910" s="5" t="str">
        <f aca="false">IF($K910="","",RANK($K910,$K$6:$K$2005,1))</f>
        <v/>
      </c>
    </row>
    <row r="911" customFormat="false" ht="15" hidden="false" customHeight="true" outlineLevel="0" collapsed="false">
      <c r="J911" s="21" t="b">
        <f aca="false">IF(예약내역!$A908="",FALSE(),AND(예약내역!$A908=$B$3,예약내역!$J908&lt;&gt;"취소"))</f>
        <v>0</v>
      </c>
      <c r="K911" s="5" t="str">
        <f aca="false">IF($J911=FALSE(),"",예약내역!$L908*10000+ROW())</f>
        <v/>
      </c>
      <c r="L911" s="5" t="str">
        <f aca="false">IF($K911="","",RANK($K911,$K$6:$K$2005,1))</f>
        <v/>
      </c>
    </row>
    <row r="912" customFormat="false" ht="15" hidden="false" customHeight="true" outlineLevel="0" collapsed="false">
      <c r="J912" s="21" t="b">
        <f aca="false">IF(예약내역!$A909="",FALSE(),AND(예약내역!$A909=$B$3,예약내역!$J909&lt;&gt;"취소"))</f>
        <v>0</v>
      </c>
      <c r="K912" s="5" t="str">
        <f aca="false">IF($J912=FALSE(),"",예약내역!$L909*10000+ROW())</f>
        <v/>
      </c>
      <c r="L912" s="5" t="str">
        <f aca="false">IF($K912="","",RANK($K912,$K$6:$K$2005,1))</f>
        <v/>
      </c>
    </row>
    <row r="913" customFormat="false" ht="15" hidden="false" customHeight="true" outlineLevel="0" collapsed="false">
      <c r="J913" s="21" t="b">
        <f aca="false">IF(예약내역!$A910="",FALSE(),AND(예약내역!$A910=$B$3,예약내역!$J910&lt;&gt;"취소"))</f>
        <v>0</v>
      </c>
      <c r="K913" s="5" t="str">
        <f aca="false">IF($J913=FALSE(),"",예약내역!$L910*10000+ROW())</f>
        <v/>
      </c>
      <c r="L913" s="5" t="str">
        <f aca="false">IF($K913="","",RANK($K913,$K$6:$K$2005,1))</f>
        <v/>
      </c>
    </row>
    <row r="914" customFormat="false" ht="15" hidden="false" customHeight="true" outlineLevel="0" collapsed="false">
      <c r="J914" s="21" t="b">
        <f aca="false">IF(예약내역!$A911="",FALSE(),AND(예약내역!$A911=$B$3,예약내역!$J911&lt;&gt;"취소"))</f>
        <v>0</v>
      </c>
      <c r="K914" s="5" t="str">
        <f aca="false">IF($J914=FALSE(),"",예약내역!$L911*10000+ROW())</f>
        <v/>
      </c>
      <c r="L914" s="5" t="str">
        <f aca="false">IF($K914="","",RANK($K914,$K$6:$K$2005,1))</f>
        <v/>
      </c>
    </row>
    <row r="915" customFormat="false" ht="15" hidden="false" customHeight="true" outlineLevel="0" collapsed="false">
      <c r="J915" s="21" t="b">
        <f aca="false">IF(예약내역!$A912="",FALSE(),AND(예약내역!$A912=$B$3,예약내역!$J912&lt;&gt;"취소"))</f>
        <v>0</v>
      </c>
      <c r="K915" s="5" t="str">
        <f aca="false">IF($J915=FALSE(),"",예약내역!$L912*10000+ROW())</f>
        <v/>
      </c>
      <c r="L915" s="5" t="str">
        <f aca="false">IF($K915="","",RANK($K915,$K$6:$K$2005,1))</f>
        <v/>
      </c>
    </row>
    <row r="916" customFormat="false" ht="15" hidden="false" customHeight="true" outlineLevel="0" collapsed="false">
      <c r="J916" s="21" t="b">
        <f aca="false">IF(예약내역!$A913="",FALSE(),AND(예약내역!$A913=$B$3,예약내역!$J913&lt;&gt;"취소"))</f>
        <v>0</v>
      </c>
      <c r="K916" s="5" t="str">
        <f aca="false">IF($J916=FALSE(),"",예약내역!$L913*10000+ROW())</f>
        <v/>
      </c>
      <c r="L916" s="5" t="str">
        <f aca="false">IF($K916="","",RANK($K916,$K$6:$K$2005,1))</f>
        <v/>
      </c>
    </row>
    <row r="917" customFormat="false" ht="15" hidden="false" customHeight="true" outlineLevel="0" collapsed="false">
      <c r="J917" s="21" t="b">
        <f aca="false">IF(예약내역!$A914="",FALSE(),AND(예약내역!$A914=$B$3,예약내역!$J914&lt;&gt;"취소"))</f>
        <v>0</v>
      </c>
      <c r="K917" s="5" t="str">
        <f aca="false">IF($J917=FALSE(),"",예약내역!$L914*10000+ROW())</f>
        <v/>
      </c>
      <c r="L917" s="5" t="str">
        <f aca="false">IF($K917="","",RANK($K917,$K$6:$K$2005,1))</f>
        <v/>
      </c>
    </row>
    <row r="918" customFormat="false" ht="15" hidden="false" customHeight="true" outlineLevel="0" collapsed="false">
      <c r="J918" s="21" t="b">
        <f aca="false">IF(예약내역!$A915="",FALSE(),AND(예약내역!$A915=$B$3,예약내역!$J915&lt;&gt;"취소"))</f>
        <v>0</v>
      </c>
      <c r="K918" s="5" t="str">
        <f aca="false">IF($J918=FALSE(),"",예약내역!$L915*10000+ROW())</f>
        <v/>
      </c>
      <c r="L918" s="5" t="str">
        <f aca="false">IF($K918="","",RANK($K918,$K$6:$K$2005,1))</f>
        <v/>
      </c>
    </row>
    <row r="919" customFormat="false" ht="15" hidden="false" customHeight="true" outlineLevel="0" collapsed="false">
      <c r="J919" s="21" t="b">
        <f aca="false">IF(예약내역!$A916="",FALSE(),AND(예약내역!$A916=$B$3,예약내역!$J916&lt;&gt;"취소"))</f>
        <v>0</v>
      </c>
      <c r="K919" s="5" t="str">
        <f aca="false">IF($J919=FALSE(),"",예약내역!$L916*10000+ROW())</f>
        <v/>
      </c>
      <c r="L919" s="5" t="str">
        <f aca="false">IF($K919="","",RANK($K919,$K$6:$K$2005,1))</f>
        <v/>
      </c>
    </row>
    <row r="920" customFormat="false" ht="15" hidden="false" customHeight="true" outlineLevel="0" collapsed="false">
      <c r="J920" s="21" t="b">
        <f aca="false">IF(예약내역!$A917="",FALSE(),AND(예약내역!$A917=$B$3,예약내역!$J917&lt;&gt;"취소"))</f>
        <v>0</v>
      </c>
      <c r="K920" s="5" t="str">
        <f aca="false">IF($J920=FALSE(),"",예약내역!$L917*10000+ROW())</f>
        <v/>
      </c>
      <c r="L920" s="5" t="str">
        <f aca="false">IF($K920="","",RANK($K920,$K$6:$K$2005,1))</f>
        <v/>
      </c>
    </row>
    <row r="921" customFormat="false" ht="15" hidden="false" customHeight="true" outlineLevel="0" collapsed="false">
      <c r="J921" s="21" t="b">
        <f aca="false">IF(예약내역!$A918="",FALSE(),AND(예약내역!$A918=$B$3,예약내역!$J918&lt;&gt;"취소"))</f>
        <v>0</v>
      </c>
      <c r="K921" s="5" t="str">
        <f aca="false">IF($J921=FALSE(),"",예약내역!$L918*10000+ROW())</f>
        <v/>
      </c>
      <c r="L921" s="5" t="str">
        <f aca="false">IF($K921="","",RANK($K921,$K$6:$K$2005,1))</f>
        <v/>
      </c>
    </row>
    <row r="922" customFormat="false" ht="15" hidden="false" customHeight="true" outlineLevel="0" collapsed="false">
      <c r="J922" s="21" t="b">
        <f aca="false">IF(예약내역!$A919="",FALSE(),AND(예약내역!$A919=$B$3,예약내역!$J919&lt;&gt;"취소"))</f>
        <v>0</v>
      </c>
      <c r="K922" s="5" t="str">
        <f aca="false">IF($J922=FALSE(),"",예약내역!$L919*10000+ROW())</f>
        <v/>
      </c>
      <c r="L922" s="5" t="str">
        <f aca="false">IF($K922="","",RANK($K922,$K$6:$K$2005,1))</f>
        <v/>
      </c>
    </row>
    <row r="923" customFormat="false" ht="15" hidden="false" customHeight="true" outlineLevel="0" collapsed="false">
      <c r="J923" s="21" t="b">
        <f aca="false">IF(예약내역!$A920="",FALSE(),AND(예약내역!$A920=$B$3,예약내역!$J920&lt;&gt;"취소"))</f>
        <v>0</v>
      </c>
      <c r="K923" s="5" t="str">
        <f aca="false">IF($J923=FALSE(),"",예약내역!$L920*10000+ROW())</f>
        <v/>
      </c>
      <c r="L923" s="5" t="str">
        <f aca="false">IF($K923="","",RANK($K923,$K$6:$K$2005,1))</f>
        <v/>
      </c>
    </row>
    <row r="924" customFormat="false" ht="15" hidden="false" customHeight="true" outlineLevel="0" collapsed="false">
      <c r="J924" s="21" t="b">
        <f aca="false">IF(예약내역!$A921="",FALSE(),AND(예약내역!$A921=$B$3,예약내역!$J921&lt;&gt;"취소"))</f>
        <v>0</v>
      </c>
      <c r="K924" s="5" t="str">
        <f aca="false">IF($J924=FALSE(),"",예약내역!$L921*10000+ROW())</f>
        <v/>
      </c>
      <c r="L924" s="5" t="str">
        <f aca="false">IF($K924="","",RANK($K924,$K$6:$K$2005,1))</f>
        <v/>
      </c>
    </row>
    <row r="925" customFormat="false" ht="15" hidden="false" customHeight="true" outlineLevel="0" collapsed="false">
      <c r="J925" s="21" t="b">
        <f aca="false">IF(예약내역!$A922="",FALSE(),AND(예약내역!$A922=$B$3,예약내역!$J922&lt;&gt;"취소"))</f>
        <v>0</v>
      </c>
      <c r="K925" s="5" t="str">
        <f aca="false">IF($J925=FALSE(),"",예약내역!$L922*10000+ROW())</f>
        <v/>
      </c>
      <c r="L925" s="5" t="str">
        <f aca="false">IF($K925="","",RANK($K925,$K$6:$K$2005,1))</f>
        <v/>
      </c>
    </row>
    <row r="926" customFormat="false" ht="15" hidden="false" customHeight="true" outlineLevel="0" collapsed="false">
      <c r="J926" s="21" t="b">
        <f aca="false">IF(예약내역!$A923="",FALSE(),AND(예약내역!$A923=$B$3,예약내역!$J923&lt;&gt;"취소"))</f>
        <v>0</v>
      </c>
      <c r="K926" s="5" t="str">
        <f aca="false">IF($J926=FALSE(),"",예약내역!$L923*10000+ROW())</f>
        <v/>
      </c>
      <c r="L926" s="5" t="str">
        <f aca="false">IF($K926="","",RANK($K926,$K$6:$K$2005,1))</f>
        <v/>
      </c>
    </row>
    <row r="927" customFormat="false" ht="15" hidden="false" customHeight="true" outlineLevel="0" collapsed="false">
      <c r="J927" s="21" t="b">
        <f aca="false">IF(예약내역!$A924="",FALSE(),AND(예약내역!$A924=$B$3,예약내역!$J924&lt;&gt;"취소"))</f>
        <v>0</v>
      </c>
      <c r="K927" s="5" t="str">
        <f aca="false">IF($J927=FALSE(),"",예약내역!$L924*10000+ROW())</f>
        <v/>
      </c>
      <c r="L927" s="5" t="str">
        <f aca="false">IF($K927="","",RANK($K927,$K$6:$K$2005,1))</f>
        <v/>
      </c>
    </row>
    <row r="928" customFormat="false" ht="15" hidden="false" customHeight="true" outlineLevel="0" collapsed="false">
      <c r="J928" s="21" t="b">
        <f aca="false">IF(예약내역!$A925="",FALSE(),AND(예약내역!$A925=$B$3,예약내역!$J925&lt;&gt;"취소"))</f>
        <v>0</v>
      </c>
      <c r="K928" s="5" t="str">
        <f aca="false">IF($J928=FALSE(),"",예약내역!$L925*10000+ROW())</f>
        <v/>
      </c>
      <c r="L928" s="5" t="str">
        <f aca="false">IF($K928="","",RANK($K928,$K$6:$K$2005,1))</f>
        <v/>
      </c>
    </row>
    <row r="929" customFormat="false" ht="15" hidden="false" customHeight="true" outlineLevel="0" collapsed="false">
      <c r="J929" s="21" t="b">
        <f aca="false">IF(예약내역!$A926="",FALSE(),AND(예약내역!$A926=$B$3,예약내역!$J926&lt;&gt;"취소"))</f>
        <v>0</v>
      </c>
      <c r="K929" s="5" t="str">
        <f aca="false">IF($J929=FALSE(),"",예약내역!$L926*10000+ROW())</f>
        <v/>
      </c>
      <c r="L929" s="5" t="str">
        <f aca="false">IF($K929="","",RANK($K929,$K$6:$K$2005,1))</f>
        <v/>
      </c>
    </row>
    <row r="930" customFormat="false" ht="15" hidden="false" customHeight="true" outlineLevel="0" collapsed="false">
      <c r="J930" s="21" t="b">
        <f aca="false">IF(예약내역!$A927="",FALSE(),AND(예약내역!$A927=$B$3,예약내역!$J927&lt;&gt;"취소"))</f>
        <v>0</v>
      </c>
      <c r="K930" s="5" t="str">
        <f aca="false">IF($J930=FALSE(),"",예약내역!$L927*10000+ROW())</f>
        <v/>
      </c>
      <c r="L930" s="5" t="str">
        <f aca="false">IF($K930="","",RANK($K930,$K$6:$K$2005,1))</f>
        <v/>
      </c>
    </row>
    <row r="931" customFormat="false" ht="15" hidden="false" customHeight="true" outlineLevel="0" collapsed="false">
      <c r="J931" s="21" t="b">
        <f aca="false">IF(예약내역!$A928="",FALSE(),AND(예약내역!$A928=$B$3,예약내역!$J928&lt;&gt;"취소"))</f>
        <v>0</v>
      </c>
      <c r="K931" s="5" t="str">
        <f aca="false">IF($J931=FALSE(),"",예약내역!$L928*10000+ROW())</f>
        <v/>
      </c>
      <c r="L931" s="5" t="str">
        <f aca="false">IF($K931="","",RANK($K931,$K$6:$K$2005,1))</f>
        <v/>
      </c>
    </row>
    <row r="932" customFormat="false" ht="15" hidden="false" customHeight="true" outlineLevel="0" collapsed="false">
      <c r="J932" s="21" t="b">
        <f aca="false">IF(예약내역!$A929="",FALSE(),AND(예약내역!$A929=$B$3,예약내역!$J929&lt;&gt;"취소"))</f>
        <v>0</v>
      </c>
      <c r="K932" s="5" t="str">
        <f aca="false">IF($J932=FALSE(),"",예약내역!$L929*10000+ROW())</f>
        <v/>
      </c>
      <c r="L932" s="5" t="str">
        <f aca="false">IF($K932="","",RANK($K932,$K$6:$K$2005,1))</f>
        <v/>
      </c>
    </row>
    <row r="933" customFormat="false" ht="15" hidden="false" customHeight="true" outlineLevel="0" collapsed="false">
      <c r="J933" s="21" t="b">
        <f aca="false">IF(예약내역!$A930="",FALSE(),AND(예약내역!$A930=$B$3,예약내역!$J930&lt;&gt;"취소"))</f>
        <v>0</v>
      </c>
      <c r="K933" s="5" t="str">
        <f aca="false">IF($J933=FALSE(),"",예약내역!$L930*10000+ROW())</f>
        <v/>
      </c>
      <c r="L933" s="5" t="str">
        <f aca="false">IF($K933="","",RANK($K933,$K$6:$K$2005,1))</f>
        <v/>
      </c>
    </row>
    <row r="934" customFormat="false" ht="15" hidden="false" customHeight="true" outlineLevel="0" collapsed="false">
      <c r="J934" s="21" t="b">
        <f aca="false">IF(예약내역!$A931="",FALSE(),AND(예약내역!$A931=$B$3,예약내역!$J931&lt;&gt;"취소"))</f>
        <v>0</v>
      </c>
      <c r="K934" s="5" t="str">
        <f aca="false">IF($J934=FALSE(),"",예약내역!$L931*10000+ROW())</f>
        <v/>
      </c>
      <c r="L934" s="5" t="str">
        <f aca="false">IF($K934="","",RANK($K934,$K$6:$K$2005,1))</f>
        <v/>
      </c>
    </row>
    <row r="935" customFormat="false" ht="15" hidden="false" customHeight="true" outlineLevel="0" collapsed="false">
      <c r="J935" s="21" t="b">
        <f aca="false">IF(예약내역!$A932="",FALSE(),AND(예약내역!$A932=$B$3,예약내역!$J932&lt;&gt;"취소"))</f>
        <v>0</v>
      </c>
      <c r="K935" s="5" t="str">
        <f aca="false">IF($J935=FALSE(),"",예약내역!$L932*10000+ROW())</f>
        <v/>
      </c>
      <c r="L935" s="5" t="str">
        <f aca="false">IF($K935="","",RANK($K935,$K$6:$K$2005,1))</f>
        <v/>
      </c>
    </row>
    <row r="936" customFormat="false" ht="15" hidden="false" customHeight="true" outlineLevel="0" collapsed="false">
      <c r="J936" s="21" t="b">
        <f aca="false">IF(예약내역!$A933="",FALSE(),AND(예약내역!$A933=$B$3,예약내역!$J933&lt;&gt;"취소"))</f>
        <v>0</v>
      </c>
      <c r="K936" s="5" t="str">
        <f aca="false">IF($J936=FALSE(),"",예약내역!$L933*10000+ROW())</f>
        <v/>
      </c>
      <c r="L936" s="5" t="str">
        <f aca="false">IF($K936="","",RANK($K936,$K$6:$K$2005,1))</f>
        <v/>
      </c>
    </row>
    <row r="937" customFormat="false" ht="15" hidden="false" customHeight="true" outlineLevel="0" collapsed="false">
      <c r="J937" s="21" t="b">
        <f aca="false">IF(예약내역!$A934="",FALSE(),AND(예약내역!$A934=$B$3,예약내역!$J934&lt;&gt;"취소"))</f>
        <v>0</v>
      </c>
      <c r="K937" s="5" t="str">
        <f aca="false">IF($J937=FALSE(),"",예약내역!$L934*10000+ROW())</f>
        <v/>
      </c>
      <c r="L937" s="5" t="str">
        <f aca="false">IF($K937="","",RANK($K937,$K$6:$K$2005,1))</f>
        <v/>
      </c>
    </row>
    <row r="938" customFormat="false" ht="15" hidden="false" customHeight="true" outlineLevel="0" collapsed="false">
      <c r="J938" s="21" t="b">
        <f aca="false">IF(예약내역!$A935="",FALSE(),AND(예약내역!$A935=$B$3,예약내역!$J935&lt;&gt;"취소"))</f>
        <v>0</v>
      </c>
      <c r="K938" s="5" t="str">
        <f aca="false">IF($J938=FALSE(),"",예약내역!$L935*10000+ROW())</f>
        <v/>
      </c>
      <c r="L938" s="5" t="str">
        <f aca="false">IF($K938="","",RANK($K938,$K$6:$K$2005,1))</f>
        <v/>
      </c>
    </row>
    <row r="939" customFormat="false" ht="15" hidden="false" customHeight="true" outlineLevel="0" collapsed="false">
      <c r="J939" s="21" t="b">
        <f aca="false">IF(예약내역!$A936="",FALSE(),AND(예약내역!$A936=$B$3,예약내역!$J936&lt;&gt;"취소"))</f>
        <v>0</v>
      </c>
      <c r="K939" s="5" t="str">
        <f aca="false">IF($J939=FALSE(),"",예약내역!$L936*10000+ROW())</f>
        <v/>
      </c>
      <c r="L939" s="5" t="str">
        <f aca="false">IF($K939="","",RANK($K939,$K$6:$K$2005,1))</f>
        <v/>
      </c>
    </row>
    <row r="940" customFormat="false" ht="15" hidden="false" customHeight="true" outlineLevel="0" collapsed="false">
      <c r="J940" s="21" t="b">
        <f aca="false">IF(예약내역!$A937="",FALSE(),AND(예약내역!$A937=$B$3,예약내역!$J937&lt;&gt;"취소"))</f>
        <v>0</v>
      </c>
      <c r="K940" s="5" t="str">
        <f aca="false">IF($J940=FALSE(),"",예약내역!$L937*10000+ROW())</f>
        <v/>
      </c>
      <c r="L940" s="5" t="str">
        <f aca="false">IF($K940="","",RANK($K940,$K$6:$K$2005,1))</f>
        <v/>
      </c>
    </row>
    <row r="941" customFormat="false" ht="15" hidden="false" customHeight="true" outlineLevel="0" collapsed="false">
      <c r="J941" s="21" t="b">
        <f aca="false">IF(예약내역!$A938="",FALSE(),AND(예약내역!$A938=$B$3,예약내역!$J938&lt;&gt;"취소"))</f>
        <v>0</v>
      </c>
      <c r="K941" s="5" t="str">
        <f aca="false">IF($J941=FALSE(),"",예약내역!$L938*10000+ROW())</f>
        <v/>
      </c>
      <c r="L941" s="5" t="str">
        <f aca="false">IF($K941="","",RANK($K941,$K$6:$K$2005,1))</f>
        <v/>
      </c>
    </row>
    <row r="942" customFormat="false" ht="15" hidden="false" customHeight="true" outlineLevel="0" collapsed="false">
      <c r="J942" s="21" t="b">
        <f aca="false">IF(예약내역!$A939="",FALSE(),AND(예약내역!$A939=$B$3,예약내역!$J939&lt;&gt;"취소"))</f>
        <v>0</v>
      </c>
      <c r="K942" s="5" t="str">
        <f aca="false">IF($J942=FALSE(),"",예약내역!$L939*10000+ROW())</f>
        <v/>
      </c>
      <c r="L942" s="5" t="str">
        <f aca="false">IF($K942="","",RANK($K942,$K$6:$K$2005,1))</f>
        <v/>
      </c>
    </row>
    <row r="943" customFormat="false" ht="15" hidden="false" customHeight="true" outlineLevel="0" collapsed="false">
      <c r="J943" s="21" t="b">
        <f aca="false">IF(예약내역!$A940="",FALSE(),AND(예약내역!$A940=$B$3,예약내역!$J940&lt;&gt;"취소"))</f>
        <v>0</v>
      </c>
      <c r="K943" s="5" t="str">
        <f aca="false">IF($J943=FALSE(),"",예약내역!$L940*10000+ROW())</f>
        <v/>
      </c>
      <c r="L943" s="5" t="str">
        <f aca="false">IF($K943="","",RANK($K943,$K$6:$K$2005,1))</f>
        <v/>
      </c>
    </row>
    <row r="944" customFormat="false" ht="15" hidden="false" customHeight="true" outlineLevel="0" collapsed="false">
      <c r="J944" s="21" t="b">
        <f aca="false">IF(예약내역!$A941="",FALSE(),AND(예약내역!$A941=$B$3,예약내역!$J941&lt;&gt;"취소"))</f>
        <v>0</v>
      </c>
      <c r="K944" s="5" t="str">
        <f aca="false">IF($J944=FALSE(),"",예약내역!$L941*10000+ROW())</f>
        <v/>
      </c>
      <c r="L944" s="5" t="str">
        <f aca="false">IF($K944="","",RANK($K944,$K$6:$K$2005,1))</f>
        <v/>
      </c>
    </row>
    <row r="945" customFormat="false" ht="15" hidden="false" customHeight="true" outlineLevel="0" collapsed="false">
      <c r="J945" s="21" t="b">
        <f aca="false">IF(예약내역!$A942="",FALSE(),AND(예약내역!$A942=$B$3,예약내역!$J942&lt;&gt;"취소"))</f>
        <v>0</v>
      </c>
      <c r="K945" s="5" t="str">
        <f aca="false">IF($J945=FALSE(),"",예약내역!$L942*10000+ROW())</f>
        <v/>
      </c>
      <c r="L945" s="5" t="str">
        <f aca="false">IF($K945="","",RANK($K945,$K$6:$K$2005,1))</f>
        <v/>
      </c>
    </row>
    <row r="946" customFormat="false" ht="15" hidden="false" customHeight="true" outlineLevel="0" collapsed="false">
      <c r="J946" s="21" t="b">
        <f aca="false">IF(예약내역!$A943="",FALSE(),AND(예약내역!$A943=$B$3,예약내역!$J943&lt;&gt;"취소"))</f>
        <v>0</v>
      </c>
      <c r="K946" s="5" t="str">
        <f aca="false">IF($J946=FALSE(),"",예약내역!$L943*10000+ROW())</f>
        <v/>
      </c>
      <c r="L946" s="5" t="str">
        <f aca="false">IF($K946="","",RANK($K946,$K$6:$K$2005,1))</f>
        <v/>
      </c>
    </row>
    <row r="947" customFormat="false" ht="15" hidden="false" customHeight="true" outlineLevel="0" collapsed="false">
      <c r="J947" s="21" t="b">
        <f aca="false">IF(예약내역!$A944="",FALSE(),AND(예약내역!$A944=$B$3,예약내역!$J944&lt;&gt;"취소"))</f>
        <v>0</v>
      </c>
      <c r="K947" s="5" t="str">
        <f aca="false">IF($J947=FALSE(),"",예약내역!$L944*10000+ROW())</f>
        <v/>
      </c>
      <c r="L947" s="5" t="str">
        <f aca="false">IF($K947="","",RANK($K947,$K$6:$K$2005,1))</f>
        <v/>
      </c>
    </row>
    <row r="948" customFormat="false" ht="15" hidden="false" customHeight="true" outlineLevel="0" collapsed="false">
      <c r="J948" s="21" t="b">
        <f aca="false">IF(예약내역!$A945="",FALSE(),AND(예약내역!$A945=$B$3,예약내역!$J945&lt;&gt;"취소"))</f>
        <v>0</v>
      </c>
      <c r="K948" s="5" t="str">
        <f aca="false">IF($J948=FALSE(),"",예약내역!$L945*10000+ROW())</f>
        <v/>
      </c>
      <c r="L948" s="5" t="str">
        <f aca="false">IF($K948="","",RANK($K948,$K$6:$K$2005,1))</f>
        <v/>
      </c>
    </row>
    <row r="949" customFormat="false" ht="15" hidden="false" customHeight="true" outlineLevel="0" collapsed="false">
      <c r="J949" s="21" t="b">
        <f aca="false">IF(예약내역!$A946="",FALSE(),AND(예약내역!$A946=$B$3,예약내역!$J946&lt;&gt;"취소"))</f>
        <v>0</v>
      </c>
      <c r="K949" s="5" t="str">
        <f aca="false">IF($J949=FALSE(),"",예약내역!$L946*10000+ROW())</f>
        <v/>
      </c>
      <c r="L949" s="5" t="str">
        <f aca="false">IF($K949="","",RANK($K949,$K$6:$K$2005,1))</f>
        <v/>
      </c>
    </row>
    <row r="950" customFormat="false" ht="15" hidden="false" customHeight="true" outlineLevel="0" collapsed="false">
      <c r="J950" s="21" t="b">
        <f aca="false">IF(예약내역!$A947="",FALSE(),AND(예약내역!$A947=$B$3,예약내역!$J947&lt;&gt;"취소"))</f>
        <v>0</v>
      </c>
      <c r="K950" s="5" t="str">
        <f aca="false">IF($J950=FALSE(),"",예약내역!$L947*10000+ROW())</f>
        <v/>
      </c>
      <c r="L950" s="5" t="str">
        <f aca="false">IF($K950="","",RANK($K950,$K$6:$K$2005,1))</f>
        <v/>
      </c>
    </row>
    <row r="951" customFormat="false" ht="15" hidden="false" customHeight="true" outlineLevel="0" collapsed="false">
      <c r="J951" s="21" t="b">
        <f aca="false">IF(예약내역!$A948="",FALSE(),AND(예약내역!$A948=$B$3,예약내역!$J948&lt;&gt;"취소"))</f>
        <v>0</v>
      </c>
      <c r="K951" s="5" t="str">
        <f aca="false">IF($J951=FALSE(),"",예약내역!$L948*10000+ROW())</f>
        <v/>
      </c>
      <c r="L951" s="5" t="str">
        <f aca="false">IF($K951="","",RANK($K951,$K$6:$K$2005,1))</f>
        <v/>
      </c>
    </row>
    <row r="952" customFormat="false" ht="15" hidden="false" customHeight="true" outlineLevel="0" collapsed="false">
      <c r="J952" s="21" t="b">
        <f aca="false">IF(예약내역!$A949="",FALSE(),AND(예약내역!$A949=$B$3,예약내역!$J949&lt;&gt;"취소"))</f>
        <v>0</v>
      </c>
      <c r="K952" s="5" t="str">
        <f aca="false">IF($J952=FALSE(),"",예약내역!$L949*10000+ROW())</f>
        <v/>
      </c>
      <c r="L952" s="5" t="str">
        <f aca="false">IF($K952="","",RANK($K952,$K$6:$K$2005,1))</f>
        <v/>
      </c>
    </row>
    <row r="953" customFormat="false" ht="15" hidden="false" customHeight="true" outlineLevel="0" collapsed="false">
      <c r="J953" s="21" t="b">
        <f aca="false">IF(예약내역!$A950="",FALSE(),AND(예약내역!$A950=$B$3,예약내역!$J950&lt;&gt;"취소"))</f>
        <v>0</v>
      </c>
      <c r="K953" s="5" t="str">
        <f aca="false">IF($J953=FALSE(),"",예약내역!$L950*10000+ROW())</f>
        <v/>
      </c>
      <c r="L953" s="5" t="str">
        <f aca="false">IF($K953="","",RANK($K953,$K$6:$K$2005,1))</f>
        <v/>
      </c>
    </row>
    <row r="954" customFormat="false" ht="15" hidden="false" customHeight="true" outlineLevel="0" collapsed="false">
      <c r="J954" s="21" t="b">
        <f aca="false">IF(예약내역!$A951="",FALSE(),AND(예약내역!$A951=$B$3,예약내역!$J951&lt;&gt;"취소"))</f>
        <v>0</v>
      </c>
      <c r="K954" s="5" t="str">
        <f aca="false">IF($J954=FALSE(),"",예약내역!$L951*10000+ROW())</f>
        <v/>
      </c>
      <c r="L954" s="5" t="str">
        <f aca="false">IF($K954="","",RANK($K954,$K$6:$K$2005,1))</f>
        <v/>
      </c>
    </row>
    <row r="955" customFormat="false" ht="15" hidden="false" customHeight="true" outlineLevel="0" collapsed="false">
      <c r="J955" s="21" t="b">
        <f aca="false">IF(예약내역!$A952="",FALSE(),AND(예약내역!$A952=$B$3,예약내역!$J952&lt;&gt;"취소"))</f>
        <v>0</v>
      </c>
      <c r="K955" s="5" t="str">
        <f aca="false">IF($J955=FALSE(),"",예약내역!$L952*10000+ROW())</f>
        <v/>
      </c>
      <c r="L955" s="5" t="str">
        <f aca="false">IF($K955="","",RANK($K955,$K$6:$K$2005,1))</f>
        <v/>
      </c>
    </row>
    <row r="956" customFormat="false" ht="15" hidden="false" customHeight="true" outlineLevel="0" collapsed="false">
      <c r="J956" s="21" t="b">
        <f aca="false">IF(예약내역!$A953="",FALSE(),AND(예약내역!$A953=$B$3,예약내역!$J953&lt;&gt;"취소"))</f>
        <v>0</v>
      </c>
      <c r="K956" s="5" t="str">
        <f aca="false">IF($J956=FALSE(),"",예약내역!$L953*10000+ROW())</f>
        <v/>
      </c>
      <c r="L956" s="5" t="str">
        <f aca="false">IF($K956="","",RANK($K956,$K$6:$K$2005,1))</f>
        <v/>
      </c>
    </row>
    <row r="957" customFormat="false" ht="15" hidden="false" customHeight="true" outlineLevel="0" collapsed="false">
      <c r="J957" s="21" t="b">
        <f aca="false">IF(예약내역!$A954="",FALSE(),AND(예약내역!$A954=$B$3,예약내역!$J954&lt;&gt;"취소"))</f>
        <v>0</v>
      </c>
      <c r="K957" s="5" t="str">
        <f aca="false">IF($J957=FALSE(),"",예약내역!$L954*10000+ROW())</f>
        <v/>
      </c>
      <c r="L957" s="5" t="str">
        <f aca="false">IF($K957="","",RANK($K957,$K$6:$K$2005,1))</f>
        <v/>
      </c>
    </row>
    <row r="958" customFormat="false" ht="15" hidden="false" customHeight="true" outlineLevel="0" collapsed="false">
      <c r="J958" s="21" t="b">
        <f aca="false">IF(예약내역!$A955="",FALSE(),AND(예약내역!$A955=$B$3,예약내역!$J955&lt;&gt;"취소"))</f>
        <v>0</v>
      </c>
      <c r="K958" s="5" t="str">
        <f aca="false">IF($J958=FALSE(),"",예약내역!$L955*10000+ROW())</f>
        <v/>
      </c>
      <c r="L958" s="5" t="str">
        <f aca="false">IF($K958="","",RANK($K958,$K$6:$K$2005,1))</f>
        <v/>
      </c>
    </row>
    <row r="959" customFormat="false" ht="15" hidden="false" customHeight="true" outlineLevel="0" collapsed="false">
      <c r="J959" s="21" t="b">
        <f aca="false">IF(예약내역!$A956="",FALSE(),AND(예약내역!$A956=$B$3,예약내역!$J956&lt;&gt;"취소"))</f>
        <v>0</v>
      </c>
      <c r="K959" s="5" t="str">
        <f aca="false">IF($J959=FALSE(),"",예약내역!$L956*10000+ROW())</f>
        <v/>
      </c>
      <c r="L959" s="5" t="str">
        <f aca="false">IF($K959="","",RANK($K959,$K$6:$K$2005,1))</f>
        <v/>
      </c>
    </row>
    <row r="960" customFormat="false" ht="15" hidden="false" customHeight="true" outlineLevel="0" collapsed="false">
      <c r="J960" s="21" t="b">
        <f aca="false">IF(예약내역!$A957="",FALSE(),AND(예약내역!$A957=$B$3,예약내역!$J957&lt;&gt;"취소"))</f>
        <v>0</v>
      </c>
      <c r="K960" s="5" t="str">
        <f aca="false">IF($J960=FALSE(),"",예약내역!$L957*10000+ROW())</f>
        <v/>
      </c>
      <c r="L960" s="5" t="str">
        <f aca="false">IF($K960="","",RANK($K960,$K$6:$K$2005,1))</f>
        <v/>
      </c>
    </row>
    <row r="961" customFormat="false" ht="15" hidden="false" customHeight="true" outlineLevel="0" collapsed="false">
      <c r="J961" s="21" t="b">
        <f aca="false">IF(예약내역!$A958="",FALSE(),AND(예약내역!$A958=$B$3,예약내역!$J958&lt;&gt;"취소"))</f>
        <v>0</v>
      </c>
      <c r="K961" s="5" t="str">
        <f aca="false">IF($J961=FALSE(),"",예약내역!$L958*10000+ROW())</f>
        <v/>
      </c>
      <c r="L961" s="5" t="str">
        <f aca="false">IF($K961="","",RANK($K961,$K$6:$K$2005,1))</f>
        <v/>
      </c>
    </row>
    <row r="962" customFormat="false" ht="15" hidden="false" customHeight="true" outlineLevel="0" collapsed="false">
      <c r="J962" s="21" t="b">
        <f aca="false">IF(예약내역!$A959="",FALSE(),AND(예약내역!$A959=$B$3,예약내역!$J959&lt;&gt;"취소"))</f>
        <v>0</v>
      </c>
      <c r="K962" s="5" t="str">
        <f aca="false">IF($J962=FALSE(),"",예약내역!$L959*10000+ROW())</f>
        <v/>
      </c>
      <c r="L962" s="5" t="str">
        <f aca="false">IF($K962="","",RANK($K962,$K$6:$K$2005,1))</f>
        <v/>
      </c>
    </row>
    <row r="963" customFormat="false" ht="15" hidden="false" customHeight="true" outlineLevel="0" collapsed="false">
      <c r="J963" s="21" t="b">
        <f aca="false">IF(예약내역!$A960="",FALSE(),AND(예약내역!$A960=$B$3,예약내역!$J960&lt;&gt;"취소"))</f>
        <v>0</v>
      </c>
      <c r="K963" s="5" t="str">
        <f aca="false">IF($J963=FALSE(),"",예약내역!$L960*10000+ROW())</f>
        <v/>
      </c>
      <c r="L963" s="5" t="str">
        <f aca="false">IF($K963="","",RANK($K963,$K$6:$K$2005,1))</f>
        <v/>
      </c>
    </row>
    <row r="964" customFormat="false" ht="15" hidden="false" customHeight="true" outlineLevel="0" collapsed="false">
      <c r="J964" s="21" t="b">
        <f aca="false">IF(예약내역!$A961="",FALSE(),AND(예약내역!$A961=$B$3,예약내역!$J961&lt;&gt;"취소"))</f>
        <v>0</v>
      </c>
      <c r="K964" s="5" t="str">
        <f aca="false">IF($J964=FALSE(),"",예약내역!$L961*10000+ROW())</f>
        <v/>
      </c>
      <c r="L964" s="5" t="str">
        <f aca="false">IF($K964="","",RANK($K964,$K$6:$K$2005,1))</f>
        <v/>
      </c>
    </row>
    <row r="965" customFormat="false" ht="15" hidden="false" customHeight="true" outlineLevel="0" collapsed="false">
      <c r="J965" s="21" t="b">
        <f aca="false">IF(예약내역!$A962="",FALSE(),AND(예약내역!$A962=$B$3,예약내역!$J962&lt;&gt;"취소"))</f>
        <v>0</v>
      </c>
      <c r="K965" s="5" t="str">
        <f aca="false">IF($J965=FALSE(),"",예약내역!$L962*10000+ROW())</f>
        <v/>
      </c>
      <c r="L965" s="5" t="str">
        <f aca="false">IF($K965="","",RANK($K965,$K$6:$K$2005,1))</f>
        <v/>
      </c>
    </row>
    <row r="966" customFormat="false" ht="15" hidden="false" customHeight="true" outlineLevel="0" collapsed="false">
      <c r="J966" s="21" t="b">
        <f aca="false">IF(예약내역!$A963="",FALSE(),AND(예약내역!$A963=$B$3,예약내역!$J963&lt;&gt;"취소"))</f>
        <v>0</v>
      </c>
      <c r="K966" s="5" t="str">
        <f aca="false">IF($J966=FALSE(),"",예약내역!$L963*10000+ROW())</f>
        <v/>
      </c>
      <c r="L966" s="5" t="str">
        <f aca="false">IF($K966="","",RANK($K966,$K$6:$K$2005,1))</f>
        <v/>
      </c>
    </row>
    <row r="967" customFormat="false" ht="15" hidden="false" customHeight="true" outlineLevel="0" collapsed="false">
      <c r="J967" s="21" t="b">
        <f aca="false">IF(예약내역!$A964="",FALSE(),AND(예약내역!$A964=$B$3,예약내역!$J964&lt;&gt;"취소"))</f>
        <v>0</v>
      </c>
      <c r="K967" s="5" t="str">
        <f aca="false">IF($J967=FALSE(),"",예약내역!$L964*10000+ROW())</f>
        <v/>
      </c>
      <c r="L967" s="5" t="str">
        <f aca="false">IF($K967="","",RANK($K967,$K$6:$K$2005,1))</f>
        <v/>
      </c>
    </row>
    <row r="968" customFormat="false" ht="15" hidden="false" customHeight="true" outlineLevel="0" collapsed="false">
      <c r="J968" s="21" t="b">
        <f aca="false">IF(예약내역!$A965="",FALSE(),AND(예약내역!$A965=$B$3,예약내역!$J965&lt;&gt;"취소"))</f>
        <v>0</v>
      </c>
      <c r="K968" s="5" t="str">
        <f aca="false">IF($J968=FALSE(),"",예약내역!$L965*10000+ROW())</f>
        <v/>
      </c>
      <c r="L968" s="5" t="str">
        <f aca="false">IF($K968="","",RANK($K968,$K$6:$K$2005,1))</f>
        <v/>
      </c>
    </row>
    <row r="969" customFormat="false" ht="15" hidden="false" customHeight="true" outlineLevel="0" collapsed="false">
      <c r="J969" s="21" t="b">
        <f aca="false">IF(예약내역!$A966="",FALSE(),AND(예약내역!$A966=$B$3,예약내역!$J966&lt;&gt;"취소"))</f>
        <v>0</v>
      </c>
      <c r="K969" s="5" t="str">
        <f aca="false">IF($J969=FALSE(),"",예약내역!$L966*10000+ROW())</f>
        <v/>
      </c>
      <c r="L969" s="5" t="str">
        <f aca="false">IF($K969="","",RANK($K969,$K$6:$K$2005,1))</f>
        <v/>
      </c>
    </row>
    <row r="970" customFormat="false" ht="15" hidden="false" customHeight="true" outlineLevel="0" collapsed="false">
      <c r="J970" s="21" t="b">
        <f aca="false">IF(예약내역!$A967="",FALSE(),AND(예약내역!$A967=$B$3,예약내역!$J967&lt;&gt;"취소"))</f>
        <v>0</v>
      </c>
      <c r="K970" s="5" t="str">
        <f aca="false">IF($J970=FALSE(),"",예약내역!$L967*10000+ROW())</f>
        <v/>
      </c>
      <c r="L970" s="5" t="str">
        <f aca="false">IF($K970="","",RANK($K970,$K$6:$K$2005,1))</f>
        <v/>
      </c>
    </row>
    <row r="971" customFormat="false" ht="15" hidden="false" customHeight="true" outlineLevel="0" collapsed="false">
      <c r="J971" s="21" t="b">
        <f aca="false">IF(예약내역!$A968="",FALSE(),AND(예약내역!$A968=$B$3,예약내역!$J968&lt;&gt;"취소"))</f>
        <v>0</v>
      </c>
      <c r="K971" s="5" t="str">
        <f aca="false">IF($J971=FALSE(),"",예약내역!$L968*10000+ROW())</f>
        <v/>
      </c>
      <c r="L971" s="5" t="str">
        <f aca="false">IF($K971="","",RANK($K971,$K$6:$K$2005,1))</f>
        <v/>
      </c>
    </row>
    <row r="972" customFormat="false" ht="15" hidden="false" customHeight="true" outlineLevel="0" collapsed="false">
      <c r="J972" s="21" t="b">
        <f aca="false">IF(예약내역!$A969="",FALSE(),AND(예약내역!$A969=$B$3,예약내역!$J969&lt;&gt;"취소"))</f>
        <v>0</v>
      </c>
      <c r="K972" s="5" t="str">
        <f aca="false">IF($J972=FALSE(),"",예약내역!$L969*10000+ROW())</f>
        <v/>
      </c>
      <c r="L972" s="5" t="str">
        <f aca="false">IF($K972="","",RANK($K972,$K$6:$K$2005,1))</f>
        <v/>
      </c>
    </row>
    <row r="973" customFormat="false" ht="15" hidden="false" customHeight="true" outlineLevel="0" collapsed="false">
      <c r="J973" s="21" t="b">
        <f aca="false">IF(예약내역!$A970="",FALSE(),AND(예약내역!$A970=$B$3,예약내역!$J970&lt;&gt;"취소"))</f>
        <v>0</v>
      </c>
      <c r="K973" s="5" t="str">
        <f aca="false">IF($J973=FALSE(),"",예약내역!$L970*10000+ROW())</f>
        <v/>
      </c>
      <c r="L973" s="5" t="str">
        <f aca="false">IF($K973="","",RANK($K973,$K$6:$K$2005,1))</f>
        <v/>
      </c>
    </row>
    <row r="974" customFormat="false" ht="15" hidden="false" customHeight="true" outlineLevel="0" collapsed="false">
      <c r="J974" s="21" t="b">
        <f aca="false">IF(예약내역!$A971="",FALSE(),AND(예약내역!$A971=$B$3,예약내역!$J971&lt;&gt;"취소"))</f>
        <v>0</v>
      </c>
      <c r="K974" s="5" t="str">
        <f aca="false">IF($J974=FALSE(),"",예약내역!$L971*10000+ROW())</f>
        <v/>
      </c>
      <c r="L974" s="5" t="str">
        <f aca="false">IF($K974="","",RANK($K974,$K$6:$K$2005,1))</f>
        <v/>
      </c>
    </row>
    <row r="975" customFormat="false" ht="15" hidden="false" customHeight="true" outlineLevel="0" collapsed="false">
      <c r="J975" s="21" t="b">
        <f aca="false">IF(예약내역!$A972="",FALSE(),AND(예약내역!$A972=$B$3,예약내역!$J972&lt;&gt;"취소"))</f>
        <v>0</v>
      </c>
      <c r="K975" s="5" t="str">
        <f aca="false">IF($J975=FALSE(),"",예약내역!$L972*10000+ROW())</f>
        <v/>
      </c>
      <c r="L975" s="5" t="str">
        <f aca="false">IF($K975="","",RANK($K975,$K$6:$K$2005,1))</f>
        <v/>
      </c>
    </row>
    <row r="976" customFormat="false" ht="15" hidden="false" customHeight="true" outlineLevel="0" collapsed="false">
      <c r="J976" s="21" t="b">
        <f aca="false">IF(예약내역!$A973="",FALSE(),AND(예약내역!$A973=$B$3,예약내역!$J973&lt;&gt;"취소"))</f>
        <v>0</v>
      </c>
      <c r="K976" s="5" t="str">
        <f aca="false">IF($J976=FALSE(),"",예약내역!$L973*10000+ROW())</f>
        <v/>
      </c>
      <c r="L976" s="5" t="str">
        <f aca="false">IF($K976="","",RANK($K976,$K$6:$K$2005,1))</f>
        <v/>
      </c>
    </row>
    <row r="977" customFormat="false" ht="15" hidden="false" customHeight="true" outlineLevel="0" collapsed="false">
      <c r="J977" s="21" t="b">
        <f aca="false">IF(예약내역!$A974="",FALSE(),AND(예약내역!$A974=$B$3,예약내역!$J974&lt;&gt;"취소"))</f>
        <v>0</v>
      </c>
      <c r="K977" s="5" t="str">
        <f aca="false">IF($J977=FALSE(),"",예약내역!$L974*10000+ROW())</f>
        <v/>
      </c>
      <c r="L977" s="5" t="str">
        <f aca="false">IF($K977="","",RANK($K977,$K$6:$K$2005,1))</f>
        <v/>
      </c>
    </row>
    <row r="978" customFormat="false" ht="15" hidden="false" customHeight="true" outlineLevel="0" collapsed="false">
      <c r="J978" s="21" t="b">
        <f aca="false">IF(예약내역!$A975="",FALSE(),AND(예약내역!$A975=$B$3,예약내역!$J975&lt;&gt;"취소"))</f>
        <v>0</v>
      </c>
      <c r="K978" s="5" t="str">
        <f aca="false">IF($J978=FALSE(),"",예약내역!$L975*10000+ROW())</f>
        <v/>
      </c>
      <c r="L978" s="5" t="str">
        <f aca="false">IF($K978="","",RANK($K978,$K$6:$K$2005,1))</f>
        <v/>
      </c>
    </row>
    <row r="979" customFormat="false" ht="15" hidden="false" customHeight="true" outlineLevel="0" collapsed="false">
      <c r="J979" s="21" t="b">
        <f aca="false">IF(예약내역!$A976="",FALSE(),AND(예약내역!$A976=$B$3,예약내역!$J976&lt;&gt;"취소"))</f>
        <v>0</v>
      </c>
      <c r="K979" s="5" t="str">
        <f aca="false">IF($J979=FALSE(),"",예약내역!$L976*10000+ROW())</f>
        <v/>
      </c>
      <c r="L979" s="5" t="str">
        <f aca="false">IF($K979="","",RANK($K979,$K$6:$K$2005,1))</f>
        <v/>
      </c>
    </row>
    <row r="980" customFormat="false" ht="15" hidden="false" customHeight="true" outlineLevel="0" collapsed="false">
      <c r="J980" s="21" t="b">
        <f aca="false">IF(예약내역!$A977="",FALSE(),AND(예약내역!$A977=$B$3,예약내역!$J977&lt;&gt;"취소"))</f>
        <v>0</v>
      </c>
      <c r="K980" s="5" t="str">
        <f aca="false">IF($J980=FALSE(),"",예약내역!$L977*10000+ROW())</f>
        <v/>
      </c>
      <c r="L980" s="5" t="str">
        <f aca="false">IF($K980="","",RANK($K980,$K$6:$K$2005,1))</f>
        <v/>
      </c>
    </row>
    <row r="981" customFormat="false" ht="15" hidden="false" customHeight="true" outlineLevel="0" collapsed="false">
      <c r="J981" s="21" t="b">
        <f aca="false">IF(예약내역!$A978="",FALSE(),AND(예약내역!$A978=$B$3,예약내역!$J978&lt;&gt;"취소"))</f>
        <v>0</v>
      </c>
      <c r="K981" s="5" t="str">
        <f aca="false">IF($J981=FALSE(),"",예약내역!$L978*10000+ROW())</f>
        <v/>
      </c>
      <c r="L981" s="5" t="str">
        <f aca="false">IF($K981="","",RANK($K981,$K$6:$K$2005,1))</f>
        <v/>
      </c>
    </row>
    <row r="982" customFormat="false" ht="15" hidden="false" customHeight="true" outlineLevel="0" collapsed="false">
      <c r="J982" s="21" t="b">
        <f aca="false">IF(예약내역!$A979="",FALSE(),AND(예약내역!$A979=$B$3,예약내역!$J979&lt;&gt;"취소"))</f>
        <v>0</v>
      </c>
      <c r="K982" s="5" t="str">
        <f aca="false">IF($J982=FALSE(),"",예약내역!$L979*10000+ROW())</f>
        <v/>
      </c>
      <c r="L982" s="5" t="str">
        <f aca="false">IF($K982="","",RANK($K982,$K$6:$K$2005,1))</f>
        <v/>
      </c>
    </row>
    <row r="983" customFormat="false" ht="15" hidden="false" customHeight="true" outlineLevel="0" collapsed="false">
      <c r="J983" s="21" t="b">
        <f aca="false">IF(예약내역!$A980="",FALSE(),AND(예약내역!$A980=$B$3,예약내역!$J980&lt;&gt;"취소"))</f>
        <v>0</v>
      </c>
      <c r="K983" s="5" t="str">
        <f aca="false">IF($J983=FALSE(),"",예약내역!$L980*10000+ROW())</f>
        <v/>
      </c>
      <c r="L983" s="5" t="str">
        <f aca="false">IF($K983="","",RANK($K983,$K$6:$K$2005,1))</f>
        <v/>
      </c>
    </row>
    <row r="984" customFormat="false" ht="15" hidden="false" customHeight="true" outlineLevel="0" collapsed="false">
      <c r="J984" s="21" t="b">
        <f aca="false">IF(예약내역!$A981="",FALSE(),AND(예약내역!$A981=$B$3,예약내역!$J981&lt;&gt;"취소"))</f>
        <v>0</v>
      </c>
      <c r="K984" s="5" t="str">
        <f aca="false">IF($J984=FALSE(),"",예약내역!$L981*10000+ROW())</f>
        <v/>
      </c>
      <c r="L984" s="5" t="str">
        <f aca="false">IF($K984="","",RANK($K984,$K$6:$K$2005,1))</f>
        <v/>
      </c>
    </row>
    <row r="985" customFormat="false" ht="15" hidden="false" customHeight="true" outlineLevel="0" collapsed="false">
      <c r="J985" s="21" t="b">
        <f aca="false">IF(예약내역!$A982="",FALSE(),AND(예약내역!$A982=$B$3,예약내역!$J982&lt;&gt;"취소"))</f>
        <v>0</v>
      </c>
      <c r="K985" s="5" t="str">
        <f aca="false">IF($J985=FALSE(),"",예약내역!$L982*10000+ROW())</f>
        <v/>
      </c>
      <c r="L985" s="5" t="str">
        <f aca="false">IF($K985="","",RANK($K985,$K$6:$K$2005,1))</f>
        <v/>
      </c>
    </row>
    <row r="986" customFormat="false" ht="15" hidden="false" customHeight="true" outlineLevel="0" collapsed="false">
      <c r="J986" s="21" t="b">
        <f aca="false">IF(예약내역!$A983="",FALSE(),AND(예약내역!$A983=$B$3,예약내역!$J983&lt;&gt;"취소"))</f>
        <v>0</v>
      </c>
      <c r="K986" s="5" t="str">
        <f aca="false">IF($J986=FALSE(),"",예약내역!$L983*10000+ROW())</f>
        <v/>
      </c>
      <c r="L986" s="5" t="str">
        <f aca="false">IF($K986="","",RANK($K986,$K$6:$K$2005,1))</f>
        <v/>
      </c>
    </row>
    <row r="987" customFormat="false" ht="15" hidden="false" customHeight="true" outlineLevel="0" collapsed="false">
      <c r="J987" s="21" t="b">
        <f aca="false">IF(예약내역!$A984="",FALSE(),AND(예약내역!$A984=$B$3,예약내역!$J984&lt;&gt;"취소"))</f>
        <v>0</v>
      </c>
      <c r="K987" s="5" t="str">
        <f aca="false">IF($J987=FALSE(),"",예약내역!$L984*10000+ROW())</f>
        <v/>
      </c>
      <c r="L987" s="5" t="str">
        <f aca="false">IF($K987="","",RANK($K987,$K$6:$K$2005,1))</f>
        <v/>
      </c>
    </row>
    <row r="988" customFormat="false" ht="15" hidden="false" customHeight="true" outlineLevel="0" collapsed="false">
      <c r="J988" s="21" t="b">
        <f aca="false">IF(예약내역!$A985="",FALSE(),AND(예약내역!$A985=$B$3,예약내역!$J985&lt;&gt;"취소"))</f>
        <v>0</v>
      </c>
      <c r="K988" s="5" t="str">
        <f aca="false">IF($J988=FALSE(),"",예약내역!$L985*10000+ROW())</f>
        <v/>
      </c>
      <c r="L988" s="5" t="str">
        <f aca="false">IF($K988="","",RANK($K988,$K$6:$K$2005,1))</f>
        <v/>
      </c>
    </row>
    <row r="989" customFormat="false" ht="15" hidden="false" customHeight="true" outlineLevel="0" collapsed="false">
      <c r="J989" s="21" t="b">
        <f aca="false">IF(예약내역!$A986="",FALSE(),AND(예약내역!$A986=$B$3,예약내역!$J986&lt;&gt;"취소"))</f>
        <v>0</v>
      </c>
      <c r="K989" s="5" t="str">
        <f aca="false">IF($J989=FALSE(),"",예약내역!$L986*10000+ROW())</f>
        <v/>
      </c>
      <c r="L989" s="5" t="str">
        <f aca="false">IF($K989="","",RANK($K989,$K$6:$K$2005,1))</f>
        <v/>
      </c>
    </row>
    <row r="990" customFormat="false" ht="15" hidden="false" customHeight="true" outlineLevel="0" collapsed="false">
      <c r="J990" s="21" t="b">
        <f aca="false">IF(예약내역!$A987="",FALSE(),AND(예약내역!$A987=$B$3,예약내역!$J987&lt;&gt;"취소"))</f>
        <v>0</v>
      </c>
      <c r="K990" s="5" t="str">
        <f aca="false">IF($J990=FALSE(),"",예약내역!$L987*10000+ROW())</f>
        <v/>
      </c>
      <c r="L990" s="5" t="str">
        <f aca="false">IF($K990="","",RANK($K990,$K$6:$K$2005,1))</f>
        <v/>
      </c>
    </row>
    <row r="991" customFormat="false" ht="15" hidden="false" customHeight="true" outlineLevel="0" collapsed="false">
      <c r="J991" s="21" t="b">
        <f aca="false">IF(예약내역!$A988="",FALSE(),AND(예약내역!$A988=$B$3,예약내역!$J988&lt;&gt;"취소"))</f>
        <v>0</v>
      </c>
      <c r="K991" s="5" t="str">
        <f aca="false">IF($J991=FALSE(),"",예약내역!$L988*10000+ROW())</f>
        <v/>
      </c>
      <c r="L991" s="5" t="str">
        <f aca="false">IF($K991="","",RANK($K991,$K$6:$K$2005,1))</f>
        <v/>
      </c>
    </row>
    <row r="992" customFormat="false" ht="15" hidden="false" customHeight="true" outlineLevel="0" collapsed="false">
      <c r="J992" s="21" t="b">
        <f aca="false">IF(예약내역!$A989="",FALSE(),AND(예약내역!$A989=$B$3,예약내역!$J989&lt;&gt;"취소"))</f>
        <v>0</v>
      </c>
      <c r="K992" s="5" t="str">
        <f aca="false">IF($J992=FALSE(),"",예약내역!$L989*10000+ROW())</f>
        <v/>
      </c>
      <c r="L992" s="5" t="str">
        <f aca="false">IF($K992="","",RANK($K992,$K$6:$K$2005,1))</f>
        <v/>
      </c>
    </row>
    <row r="993" customFormat="false" ht="15" hidden="false" customHeight="true" outlineLevel="0" collapsed="false">
      <c r="J993" s="21" t="b">
        <f aca="false">IF(예약내역!$A990="",FALSE(),AND(예약내역!$A990=$B$3,예약내역!$J990&lt;&gt;"취소"))</f>
        <v>0</v>
      </c>
      <c r="K993" s="5" t="str">
        <f aca="false">IF($J993=FALSE(),"",예약내역!$L990*10000+ROW())</f>
        <v/>
      </c>
      <c r="L993" s="5" t="str">
        <f aca="false">IF($K993="","",RANK($K993,$K$6:$K$2005,1))</f>
        <v/>
      </c>
    </row>
    <row r="994" customFormat="false" ht="15" hidden="false" customHeight="true" outlineLevel="0" collapsed="false">
      <c r="J994" s="21" t="b">
        <f aca="false">IF(예약내역!$A991="",FALSE(),AND(예약내역!$A991=$B$3,예약내역!$J991&lt;&gt;"취소"))</f>
        <v>0</v>
      </c>
      <c r="K994" s="5" t="str">
        <f aca="false">IF($J994=FALSE(),"",예약내역!$L991*10000+ROW())</f>
        <v/>
      </c>
      <c r="L994" s="5" t="str">
        <f aca="false">IF($K994="","",RANK($K994,$K$6:$K$2005,1))</f>
        <v/>
      </c>
    </row>
    <row r="995" customFormat="false" ht="15" hidden="false" customHeight="true" outlineLevel="0" collapsed="false">
      <c r="J995" s="21" t="b">
        <f aca="false">IF(예약내역!$A992="",FALSE(),AND(예약내역!$A992=$B$3,예약내역!$J992&lt;&gt;"취소"))</f>
        <v>0</v>
      </c>
      <c r="K995" s="5" t="str">
        <f aca="false">IF($J995=FALSE(),"",예약내역!$L992*10000+ROW())</f>
        <v/>
      </c>
      <c r="L995" s="5" t="str">
        <f aca="false">IF($K995="","",RANK($K995,$K$6:$K$2005,1))</f>
        <v/>
      </c>
    </row>
    <row r="996" customFormat="false" ht="15" hidden="false" customHeight="true" outlineLevel="0" collapsed="false">
      <c r="J996" s="21" t="b">
        <f aca="false">IF(예약내역!$A993="",FALSE(),AND(예약내역!$A993=$B$3,예약내역!$J993&lt;&gt;"취소"))</f>
        <v>0</v>
      </c>
      <c r="K996" s="5" t="str">
        <f aca="false">IF($J996=FALSE(),"",예약내역!$L993*10000+ROW())</f>
        <v/>
      </c>
      <c r="L996" s="5" t="str">
        <f aca="false">IF($K996="","",RANK($K996,$K$6:$K$2005,1))</f>
        <v/>
      </c>
    </row>
    <row r="997" customFormat="false" ht="15" hidden="false" customHeight="true" outlineLevel="0" collapsed="false">
      <c r="J997" s="21" t="b">
        <f aca="false">IF(예약내역!$A994="",FALSE(),AND(예약내역!$A994=$B$3,예약내역!$J994&lt;&gt;"취소"))</f>
        <v>0</v>
      </c>
      <c r="K997" s="5" t="str">
        <f aca="false">IF($J997=FALSE(),"",예약내역!$L994*10000+ROW())</f>
        <v/>
      </c>
      <c r="L997" s="5" t="str">
        <f aca="false">IF($K997="","",RANK($K997,$K$6:$K$2005,1))</f>
        <v/>
      </c>
    </row>
    <row r="998" customFormat="false" ht="15" hidden="false" customHeight="true" outlineLevel="0" collapsed="false">
      <c r="J998" s="21" t="b">
        <f aca="false">IF(예약내역!$A995="",FALSE(),AND(예약내역!$A995=$B$3,예약내역!$J995&lt;&gt;"취소"))</f>
        <v>0</v>
      </c>
      <c r="K998" s="5" t="str">
        <f aca="false">IF($J998=FALSE(),"",예약내역!$L995*10000+ROW())</f>
        <v/>
      </c>
      <c r="L998" s="5" t="str">
        <f aca="false">IF($K998="","",RANK($K998,$K$6:$K$2005,1))</f>
        <v/>
      </c>
    </row>
    <row r="999" customFormat="false" ht="15" hidden="false" customHeight="true" outlineLevel="0" collapsed="false">
      <c r="J999" s="21" t="b">
        <f aca="false">IF(예약내역!$A996="",FALSE(),AND(예약내역!$A996=$B$3,예약내역!$J996&lt;&gt;"취소"))</f>
        <v>0</v>
      </c>
      <c r="K999" s="5" t="str">
        <f aca="false">IF($J999=FALSE(),"",예약내역!$L996*10000+ROW())</f>
        <v/>
      </c>
      <c r="L999" s="5" t="str">
        <f aca="false">IF($K999="","",RANK($K999,$K$6:$K$2005,1))</f>
        <v/>
      </c>
    </row>
    <row r="1000" customFormat="false" ht="15" hidden="false" customHeight="true" outlineLevel="0" collapsed="false">
      <c r="J1000" s="21" t="b">
        <f aca="false">IF(예약내역!$A997="",FALSE(),AND(예약내역!$A997=$B$3,예약내역!$J997&lt;&gt;"취소"))</f>
        <v>0</v>
      </c>
      <c r="K1000" s="5" t="str">
        <f aca="false">IF($J1000=FALSE(),"",예약내역!$L997*10000+ROW())</f>
        <v/>
      </c>
      <c r="L1000" s="5" t="str">
        <f aca="false">IF($K1000="","",RANK($K1000,$K$6:$K$2005,1))</f>
        <v/>
      </c>
    </row>
    <row r="1001" customFormat="false" ht="15" hidden="false" customHeight="true" outlineLevel="0" collapsed="false">
      <c r="J1001" s="21" t="b">
        <f aca="false">IF(예약내역!$A998="",FALSE(),AND(예약내역!$A998=$B$3,예약내역!$J998&lt;&gt;"취소"))</f>
        <v>0</v>
      </c>
      <c r="K1001" s="5" t="str">
        <f aca="false">IF($J1001=FALSE(),"",예약내역!$L998*10000+ROW())</f>
        <v/>
      </c>
      <c r="L1001" s="5" t="str">
        <f aca="false">IF($K1001="","",RANK($K1001,$K$6:$K$2005,1))</f>
        <v/>
      </c>
    </row>
    <row r="1002" customFormat="false" ht="15" hidden="false" customHeight="true" outlineLevel="0" collapsed="false">
      <c r="J1002" s="21" t="b">
        <f aca="false">IF(예약내역!$A999="",FALSE(),AND(예약내역!$A999=$B$3,예약내역!$J999&lt;&gt;"취소"))</f>
        <v>0</v>
      </c>
      <c r="K1002" s="5" t="str">
        <f aca="false">IF($J1002=FALSE(),"",예약내역!$L999*10000+ROW())</f>
        <v/>
      </c>
      <c r="L1002" s="5" t="str">
        <f aca="false">IF($K1002="","",RANK($K1002,$K$6:$K$2005,1))</f>
        <v/>
      </c>
    </row>
    <row r="1003" customFormat="false" ht="15" hidden="false" customHeight="true" outlineLevel="0" collapsed="false">
      <c r="J1003" s="21" t="b">
        <f aca="false">IF(예약내역!$A1000="",FALSE(),AND(예약내역!$A1000=$B$3,예약내역!$J1000&lt;&gt;"취소"))</f>
        <v>0</v>
      </c>
      <c r="K1003" s="5" t="str">
        <f aca="false">IF($J1003=FALSE(),"",예약내역!$L1000*10000+ROW())</f>
        <v/>
      </c>
      <c r="L1003" s="5" t="str">
        <f aca="false">IF($K1003="","",RANK($K1003,$K$6:$K$2005,1))</f>
        <v/>
      </c>
    </row>
    <row r="1004" customFormat="false" ht="15" hidden="false" customHeight="true" outlineLevel="0" collapsed="false">
      <c r="J1004" s="21" t="b">
        <f aca="false">IF(예약내역!$A1001="",FALSE(),AND(예약내역!$A1001=$B$3,예약내역!$J1001&lt;&gt;"취소"))</f>
        <v>0</v>
      </c>
      <c r="K1004" s="5" t="str">
        <f aca="false">IF($J1004=FALSE(),"",예약내역!$L1001*10000+ROW())</f>
        <v/>
      </c>
      <c r="L1004" s="5" t="str">
        <f aca="false">IF($K1004="","",RANK($K1004,$K$6:$K$2005,1))</f>
        <v/>
      </c>
    </row>
    <row r="1005" customFormat="false" ht="15" hidden="false" customHeight="true" outlineLevel="0" collapsed="false">
      <c r="J1005" s="21" t="b">
        <f aca="false">IF(예약내역!$A1002="",FALSE(),AND(예약내역!$A1002=$B$3,예약내역!$J1002&lt;&gt;"취소"))</f>
        <v>0</v>
      </c>
      <c r="K1005" s="5" t="str">
        <f aca="false">IF($J1005=FALSE(),"",예약내역!$L1002*10000+ROW())</f>
        <v/>
      </c>
      <c r="L1005" s="5" t="str">
        <f aca="false">IF($K1005="","",RANK($K1005,$K$6:$K$2005,1))</f>
        <v/>
      </c>
    </row>
    <row r="1006" customFormat="false" ht="15" hidden="false" customHeight="true" outlineLevel="0" collapsed="false">
      <c r="J1006" s="21" t="b">
        <f aca="false">IF(예약내역!$A1003="",FALSE(),AND(예약내역!$A1003=$B$3,예약내역!$J1003&lt;&gt;"취소"))</f>
        <v>0</v>
      </c>
      <c r="K1006" s="5" t="str">
        <f aca="false">IF($J1006=FALSE(),"",예약내역!$L1003*10000+ROW())</f>
        <v/>
      </c>
      <c r="L1006" s="5" t="str">
        <f aca="false">IF($K1006="","",RANK($K1006,$K$6:$K$2005,1))</f>
        <v/>
      </c>
    </row>
    <row r="1007" customFormat="false" ht="15" hidden="false" customHeight="true" outlineLevel="0" collapsed="false">
      <c r="J1007" s="21" t="b">
        <f aca="false">IF(예약내역!$A1004="",FALSE(),AND(예약내역!$A1004=$B$3,예약내역!$J1004&lt;&gt;"취소"))</f>
        <v>0</v>
      </c>
      <c r="K1007" s="5" t="str">
        <f aca="false">IF($J1007=FALSE(),"",예약내역!$L1004*10000+ROW())</f>
        <v/>
      </c>
      <c r="L1007" s="5" t="str">
        <f aca="false">IF($K1007="","",RANK($K1007,$K$6:$K$2005,1))</f>
        <v/>
      </c>
    </row>
    <row r="1008" customFormat="false" ht="15" hidden="false" customHeight="true" outlineLevel="0" collapsed="false">
      <c r="J1008" s="21" t="b">
        <f aca="false">IF(예약내역!$A1005="",FALSE(),AND(예약내역!$A1005=$B$3,예약내역!$J1005&lt;&gt;"취소"))</f>
        <v>0</v>
      </c>
      <c r="K1008" s="5" t="str">
        <f aca="false">IF($J1008=FALSE(),"",예약내역!$L1005*10000+ROW())</f>
        <v/>
      </c>
      <c r="L1008" s="5" t="str">
        <f aca="false">IF($K1008="","",RANK($K1008,$K$6:$K$2005,1))</f>
        <v/>
      </c>
    </row>
    <row r="1009" customFormat="false" ht="15" hidden="false" customHeight="true" outlineLevel="0" collapsed="false">
      <c r="J1009" s="21" t="b">
        <f aca="false">IF(예약내역!$A1006="",FALSE(),AND(예약내역!$A1006=$B$3,예약내역!$J1006&lt;&gt;"취소"))</f>
        <v>0</v>
      </c>
      <c r="K1009" s="5" t="str">
        <f aca="false">IF($J1009=FALSE(),"",예약내역!$L1006*10000+ROW())</f>
        <v/>
      </c>
      <c r="L1009" s="5" t="str">
        <f aca="false">IF($K1009="","",RANK($K1009,$K$6:$K$2005,1))</f>
        <v/>
      </c>
    </row>
    <row r="1010" customFormat="false" ht="15" hidden="false" customHeight="true" outlineLevel="0" collapsed="false">
      <c r="J1010" s="21" t="b">
        <f aca="false">IF(예약내역!$A1007="",FALSE(),AND(예약내역!$A1007=$B$3,예약내역!$J1007&lt;&gt;"취소"))</f>
        <v>0</v>
      </c>
      <c r="K1010" s="5" t="str">
        <f aca="false">IF($J1010=FALSE(),"",예약내역!$L1007*10000+ROW())</f>
        <v/>
      </c>
      <c r="L1010" s="5" t="str">
        <f aca="false">IF($K1010="","",RANK($K1010,$K$6:$K$2005,1))</f>
        <v/>
      </c>
    </row>
    <row r="1011" customFormat="false" ht="15" hidden="false" customHeight="true" outlineLevel="0" collapsed="false">
      <c r="J1011" s="21" t="b">
        <f aca="false">IF(예약내역!$A1008="",FALSE(),AND(예약내역!$A1008=$B$3,예약내역!$J1008&lt;&gt;"취소"))</f>
        <v>0</v>
      </c>
      <c r="K1011" s="5" t="str">
        <f aca="false">IF($J1011=FALSE(),"",예약내역!$L1008*10000+ROW())</f>
        <v/>
      </c>
      <c r="L1011" s="5" t="str">
        <f aca="false">IF($K1011="","",RANK($K1011,$K$6:$K$2005,1))</f>
        <v/>
      </c>
    </row>
    <row r="1012" customFormat="false" ht="15" hidden="false" customHeight="true" outlineLevel="0" collapsed="false">
      <c r="J1012" s="21" t="b">
        <f aca="false">IF(예약내역!$A1009="",FALSE(),AND(예약내역!$A1009=$B$3,예약내역!$J1009&lt;&gt;"취소"))</f>
        <v>0</v>
      </c>
      <c r="K1012" s="5" t="str">
        <f aca="false">IF($J1012=FALSE(),"",예약내역!$L1009*10000+ROW())</f>
        <v/>
      </c>
      <c r="L1012" s="5" t="str">
        <f aca="false">IF($K1012="","",RANK($K1012,$K$6:$K$2005,1))</f>
        <v/>
      </c>
    </row>
    <row r="1013" customFormat="false" ht="15" hidden="false" customHeight="true" outlineLevel="0" collapsed="false">
      <c r="J1013" s="21" t="b">
        <f aca="false">IF(예약내역!$A1010="",FALSE(),AND(예약내역!$A1010=$B$3,예약내역!$J1010&lt;&gt;"취소"))</f>
        <v>0</v>
      </c>
      <c r="K1013" s="5" t="str">
        <f aca="false">IF($J1013=FALSE(),"",예약내역!$L1010*10000+ROW())</f>
        <v/>
      </c>
      <c r="L1013" s="5" t="str">
        <f aca="false">IF($K1013="","",RANK($K1013,$K$6:$K$2005,1))</f>
        <v/>
      </c>
    </row>
    <row r="1014" customFormat="false" ht="15" hidden="false" customHeight="true" outlineLevel="0" collapsed="false">
      <c r="J1014" s="21" t="b">
        <f aca="false">IF(예약내역!$A1011="",FALSE(),AND(예약내역!$A1011=$B$3,예약내역!$J1011&lt;&gt;"취소"))</f>
        <v>0</v>
      </c>
      <c r="K1014" s="5" t="str">
        <f aca="false">IF($J1014=FALSE(),"",예약내역!$L1011*10000+ROW())</f>
        <v/>
      </c>
      <c r="L1014" s="5" t="str">
        <f aca="false">IF($K1014="","",RANK($K1014,$K$6:$K$2005,1))</f>
        <v/>
      </c>
    </row>
    <row r="1015" customFormat="false" ht="15" hidden="false" customHeight="true" outlineLevel="0" collapsed="false">
      <c r="J1015" s="21" t="b">
        <f aca="false">IF(예약내역!$A1012="",FALSE(),AND(예약내역!$A1012=$B$3,예약내역!$J1012&lt;&gt;"취소"))</f>
        <v>0</v>
      </c>
      <c r="K1015" s="5" t="str">
        <f aca="false">IF($J1015=FALSE(),"",예약내역!$L1012*10000+ROW())</f>
        <v/>
      </c>
      <c r="L1015" s="5" t="str">
        <f aca="false">IF($K1015="","",RANK($K1015,$K$6:$K$2005,1))</f>
        <v/>
      </c>
    </row>
    <row r="1016" customFormat="false" ht="15" hidden="false" customHeight="true" outlineLevel="0" collapsed="false">
      <c r="J1016" s="21" t="b">
        <f aca="false">IF(예약내역!$A1013="",FALSE(),AND(예약내역!$A1013=$B$3,예약내역!$J1013&lt;&gt;"취소"))</f>
        <v>0</v>
      </c>
      <c r="K1016" s="5" t="str">
        <f aca="false">IF($J1016=FALSE(),"",예약내역!$L1013*10000+ROW())</f>
        <v/>
      </c>
      <c r="L1016" s="5" t="str">
        <f aca="false">IF($K1016="","",RANK($K1016,$K$6:$K$2005,1))</f>
        <v/>
      </c>
    </row>
    <row r="1017" customFormat="false" ht="15" hidden="false" customHeight="true" outlineLevel="0" collapsed="false">
      <c r="J1017" s="21" t="b">
        <f aca="false">IF(예약내역!$A1014="",FALSE(),AND(예약내역!$A1014=$B$3,예약내역!$J1014&lt;&gt;"취소"))</f>
        <v>0</v>
      </c>
      <c r="K1017" s="5" t="str">
        <f aca="false">IF($J1017=FALSE(),"",예약내역!$L1014*10000+ROW())</f>
        <v/>
      </c>
      <c r="L1017" s="5" t="str">
        <f aca="false">IF($K1017="","",RANK($K1017,$K$6:$K$2005,1))</f>
        <v/>
      </c>
    </row>
    <row r="1018" customFormat="false" ht="15" hidden="false" customHeight="true" outlineLevel="0" collapsed="false">
      <c r="J1018" s="21" t="b">
        <f aca="false">IF(예약내역!$A1015="",FALSE(),AND(예약내역!$A1015=$B$3,예약내역!$J1015&lt;&gt;"취소"))</f>
        <v>0</v>
      </c>
      <c r="K1018" s="5" t="str">
        <f aca="false">IF($J1018=FALSE(),"",예약내역!$L1015*10000+ROW())</f>
        <v/>
      </c>
      <c r="L1018" s="5" t="str">
        <f aca="false">IF($K1018="","",RANK($K1018,$K$6:$K$2005,1))</f>
        <v/>
      </c>
    </row>
    <row r="1019" customFormat="false" ht="15" hidden="false" customHeight="true" outlineLevel="0" collapsed="false">
      <c r="J1019" s="21" t="b">
        <f aca="false">IF(예약내역!$A1016="",FALSE(),AND(예약내역!$A1016=$B$3,예약내역!$J1016&lt;&gt;"취소"))</f>
        <v>0</v>
      </c>
      <c r="K1019" s="5" t="str">
        <f aca="false">IF($J1019=FALSE(),"",예약내역!$L1016*10000+ROW())</f>
        <v/>
      </c>
      <c r="L1019" s="5" t="str">
        <f aca="false">IF($K1019="","",RANK($K1019,$K$6:$K$2005,1))</f>
        <v/>
      </c>
    </row>
    <row r="1020" customFormat="false" ht="15" hidden="false" customHeight="true" outlineLevel="0" collapsed="false">
      <c r="J1020" s="21" t="b">
        <f aca="false">IF(예약내역!$A1017="",FALSE(),AND(예약내역!$A1017=$B$3,예약내역!$J1017&lt;&gt;"취소"))</f>
        <v>0</v>
      </c>
      <c r="K1020" s="5" t="str">
        <f aca="false">IF($J1020=FALSE(),"",예약내역!$L1017*10000+ROW())</f>
        <v/>
      </c>
      <c r="L1020" s="5" t="str">
        <f aca="false">IF($K1020="","",RANK($K1020,$K$6:$K$2005,1))</f>
        <v/>
      </c>
    </row>
    <row r="1021" customFormat="false" ht="15" hidden="false" customHeight="true" outlineLevel="0" collapsed="false">
      <c r="J1021" s="21" t="b">
        <f aca="false">IF(예약내역!$A1018="",FALSE(),AND(예약내역!$A1018=$B$3,예약내역!$J1018&lt;&gt;"취소"))</f>
        <v>0</v>
      </c>
      <c r="K1021" s="5" t="str">
        <f aca="false">IF($J1021=FALSE(),"",예약내역!$L1018*10000+ROW())</f>
        <v/>
      </c>
      <c r="L1021" s="5" t="str">
        <f aca="false">IF($K1021="","",RANK($K1021,$K$6:$K$2005,1))</f>
        <v/>
      </c>
    </row>
    <row r="1022" customFormat="false" ht="15" hidden="false" customHeight="true" outlineLevel="0" collapsed="false">
      <c r="J1022" s="21" t="b">
        <f aca="false">IF(예약내역!$A1019="",FALSE(),AND(예약내역!$A1019=$B$3,예약내역!$J1019&lt;&gt;"취소"))</f>
        <v>0</v>
      </c>
      <c r="K1022" s="5" t="str">
        <f aca="false">IF($J1022=FALSE(),"",예약내역!$L1019*10000+ROW())</f>
        <v/>
      </c>
      <c r="L1022" s="5" t="str">
        <f aca="false">IF($K1022="","",RANK($K1022,$K$6:$K$2005,1))</f>
        <v/>
      </c>
    </row>
    <row r="1023" customFormat="false" ht="15" hidden="false" customHeight="true" outlineLevel="0" collapsed="false">
      <c r="J1023" s="21" t="b">
        <f aca="false">IF(예약내역!$A1020="",FALSE(),AND(예약내역!$A1020=$B$3,예약내역!$J1020&lt;&gt;"취소"))</f>
        <v>0</v>
      </c>
      <c r="K1023" s="5" t="str">
        <f aca="false">IF($J1023=FALSE(),"",예약내역!$L1020*10000+ROW())</f>
        <v/>
      </c>
      <c r="L1023" s="5" t="str">
        <f aca="false">IF($K1023="","",RANK($K1023,$K$6:$K$2005,1))</f>
        <v/>
      </c>
    </row>
    <row r="1024" customFormat="false" ht="15" hidden="false" customHeight="true" outlineLevel="0" collapsed="false">
      <c r="J1024" s="21" t="b">
        <f aca="false">IF(예약내역!$A1021="",FALSE(),AND(예약내역!$A1021=$B$3,예약내역!$J1021&lt;&gt;"취소"))</f>
        <v>0</v>
      </c>
      <c r="K1024" s="5" t="str">
        <f aca="false">IF($J1024=FALSE(),"",예약내역!$L1021*10000+ROW())</f>
        <v/>
      </c>
      <c r="L1024" s="5" t="str">
        <f aca="false">IF($K1024="","",RANK($K1024,$K$6:$K$2005,1))</f>
        <v/>
      </c>
    </row>
    <row r="1025" customFormat="false" ht="15" hidden="false" customHeight="true" outlineLevel="0" collapsed="false">
      <c r="J1025" s="21" t="b">
        <f aca="false">IF(예약내역!$A1022="",FALSE(),AND(예약내역!$A1022=$B$3,예약내역!$J1022&lt;&gt;"취소"))</f>
        <v>0</v>
      </c>
      <c r="K1025" s="5" t="str">
        <f aca="false">IF($J1025=FALSE(),"",예약내역!$L1022*10000+ROW())</f>
        <v/>
      </c>
      <c r="L1025" s="5" t="str">
        <f aca="false">IF($K1025="","",RANK($K1025,$K$6:$K$2005,1))</f>
        <v/>
      </c>
    </row>
    <row r="1026" customFormat="false" ht="15" hidden="false" customHeight="true" outlineLevel="0" collapsed="false">
      <c r="J1026" s="21" t="b">
        <f aca="false">IF(예약내역!$A1023="",FALSE(),AND(예약내역!$A1023=$B$3,예약내역!$J1023&lt;&gt;"취소"))</f>
        <v>0</v>
      </c>
      <c r="K1026" s="5" t="str">
        <f aca="false">IF($J1026=FALSE(),"",예약내역!$L1023*10000+ROW())</f>
        <v/>
      </c>
      <c r="L1026" s="5" t="str">
        <f aca="false">IF($K1026="","",RANK($K1026,$K$6:$K$2005,1))</f>
        <v/>
      </c>
    </row>
    <row r="1027" customFormat="false" ht="15" hidden="false" customHeight="true" outlineLevel="0" collapsed="false">
      <c r="J1027" s="21" t="b">
        <f aca="false">IF(예약내역!$A1024="",FALSE(),AND(예약내역!$A1024=$B$3,예약내역!$J1024&lt;&gt;"취소"))</f>
        <v>0</v>
      </c>
      <c r="K1027" s="5" t="str">
        <f aca="false">IF($J1027=FALSE(),"",예약내역!$L1024*10000+ROW())</f>
        <v/>
      </c>
      <c r="L1027" s="5" t="str">
        <f aca="false">IF($K1027="","",RANK($K1027,$K$6:$K$2005,1))</f>
        <v/>
      </c>
    </row>
    <row r="1028" customFormat="false" ht="15" hidden="false" customHeight="true" outlineLevel="0" collapsed="false">
      <c r="J1028" s="21" t="b">
        <f aca="false">IF(예약내역!$A1025="",FALSE(),AND(예약내역!$A1025=$B$3,예약내역!$J1025&lt;&gt;"취소"))</f>
        <v>0</v>
      </c>
      <c r="K1028" s="5" t="str">
        <f aca="false">IF($J1028=FALSE(),"",예약내역!$L1025*10000+ROW())</f>
        <v/>
      </c>
      <c r="L1028" s="5" t="str">
        <f aca="false">IF($K1028="","",RANK($K1028,$K$6:$K$2005,1))</f>
        <v/>
      </c>
    </row>
    <row r="1029" customFormat="false" ht="15" hidden="false" customHeight="true" outlineLevel="0" collapsed="false">
      <c r="J1029" s="21" t="b">
        <f aca="false">IF(예약내역!$A1026="",FALSE(),AND(예약내역!$A1026=$B$3,예약내역!$J1026&lt;&gt;"취소"))</f>
        <v>0</v>
      </c>
      <c r="K1029" s="5" t="str">
        <f aca="false">IF($J1029=FALSE(),"",예약내역!$L1026*10000+ROW())</f>
        <v/>
      </c>
      <c r="L1029" s="5" t="str">
        <f aca="false">IF($K1029="","",RANK($K1029,$K$6:$K$2005,1))</f>
        <v/>
      </c>
    </row>
    <row r="1030" customFormat="false" ht="15" hidden="false" customHeight="true" outlineLevel="0" collapsed="false">
      <c r="J1030" s="21" t="b">
        <f aca="false">IF(예약내역!$A1027="",FALSE(),AND(예약내역!$A1027=$B$3,예약내역!$J1027&lt;&gt;"취소"))</f>
        <v>0</v>
      </c>
      <c r="K1030" s="5" t="str">
        <f aca="false">IF($J1030=FALSE(),"",예약내역!$L1027*10000+ROW())</f>
        <v/>
      </c>
      <c r="L1030" s="5" t="str">
        <f aca="false">IF($K1030="","",RANK($K1030,$K$6:$K$2005,1))</f>
        <v/>
      </c>
    </row>
    <row r="1031" customFormat="false" ht="15" hidden="false" customHeight="true" outlineLevel="0" collapsed="false">
      <c r="J1031" s="21" t="b">
        <f aca="false">IF(예약내역!$A1028="",FALSE(),AND(예약내역!$A1028=$B$3,예약내역!$J1028&lt;&gt;"취소"))</f>
        <v>0</v>
      </c>
      <c r="K1031" s="5" t="str">
        <f aca="false">IF($J1031=FALSE(),"",예약내역!$L1028*10000+ROW())</f>
        <v/>
      </c>
      <c r="L1031" s="5" t="str">
        <f aca="false">IF($K1031="","",RANK($K1031,$K$6:$K$2005,1))</f>
        <v/>
      </c>
    </row>
    <row r="1032" customFormat="false" ht="15" hidden="false" customHeight="true" outlineLevel="0" collapsed="false">
      <c r="J1032" s="21" t="b">
        <f aca="false">IF(예약내역!$A1029="",FALSE(),AND(예약내역!$A1029=$B$3,예약내역!$J1029&lt;&gt;"취소"))</f>
        <v>0</v>
      </c>
      <c r="K1032" s="5" t="str">
        <f aca="false">IF($J1032=FALSE(),"",예약내역!$L1029*10000+ROW())</f>
        <v/>
      </c>
      <c r="L1032" s="5" t="str">
        <f aca="false">IF($K1032="","",RANK($K1032,$K$6:$K$2005,1))</f>
        <v/>
      </c>
    </row>
    <row r="1033" customFormat="false" ht="15" hidden="false" customHeight="true" outlineLevel="0" collapsed="false">
      <c r="J1033" s="21" t="b">
        <f aca="false">IF(예약내역!$A1030="",FALSE(),AND(예약내역!$A1030=$B$3,예약내역!$J1030&lt;&gt;"취소"))</f>
        <v>0</v>
      </c>
      <c r="K1033" s="5" t="str">
        <f aca="false">IF($J1033=FALSE(),"",예약내역!$L1030*10000+ROW())</f>
        <v/>
      </c>
      <c r="L1033" s="5" t="str">
        <f aca="false">IF($K1033="","",RANK($K1033,$K$6:$K$2005,1))</f>
        <v/>
      </c>
    </row>
    <row r="1034" customFormat="false" ht="15" hidden="false" customHeight="true" outlineLevel="0" collapsed="false">
      <c r="J1034" s="21" t="b">
        <f aca="false">IF(예약내역!$A1031="",FALSE(),AND(예약내역!$A1031=$B$3,예약내역!$J1031&lt;&gt;"취소"))</f>
        <v>0</v>
      </c>
      <c r="K1034" s="5" t="str">
        <f aca="false">IF($J1034=FALSE(),"",예약내역!$L1031*10000+ROW())</f>
        <v/>
      </c>
      <c r="L1034" s="5" t="str">
        <f aca="false">IF($K1034="","",RANK($K1034,$K$6:$K$2005,1))</f>
        <v/>
      </c>
    </row>
    <row r="1035" customFormat="false" ht="15" hidden="false" customHeight="true" outlineLevel="0" collapsed="false">
      <c r="J1035" s="21" t="b">
        <f aca="false">IF(예약내역!$A1032="",FALSE(),AND(예약내역!$A1032=$B$3,예약내역!$J1032&lt;&gt;"취소"))</f>
        <v>0</v>
      </c>
      <c r="K1035" s="5" t="str">
        <f aca="false">IF($J1035=FALSE(),"",예약내역!$L1032*10000+ROW())</f>
        <v/>
      </c>
      <c r="L1035" s="5" t="str">
        <f aca="false">IF($K1035="","",RANK($K1035,$K$6:$K$2005,1))</f>
        <v/>
      </c>
    </row>
    <row r="1036" customFormat="false" ht="15" hidden="false" customHeight="true" outlineLevel="0" collapsed="false">
      <c r="J1036" s="21" t="b">
        <f aca="false">IF(예약내역!$A1033="",FALSE(),AND(예약내역!$A1033=$B$3,예약내역!$J1033&lt;&gt;"취소"))</f>
        <v>0</v>
      </c>
      <c r="K1036" s="5" t="str">
        <f aca="false">IF($J1036=FALSE(),"",예약내역!$L1033*10000+ROW())</f>
        <v/>
      </c>
      <c r="L1036" s="5" t="str">
        <f aca="false">IF($K1036="","",RANK($K1036,$K$6:$K$2005,1))</f>
        <v/>
      </c>
    </row>
    <row r="1037" customFormat="false" ht="15" hidden="false" customHeight="true" outlineLevel="0" collapsed="false">
      <c r="J1037" s="21" t="b">
        <f aca="false">IF(예약내역!$A1034="",FALSE(),AND(예약내역!$A1034=$B$3,예약내역!$J1034&lt;&gt;"취소"))</f>
        <v>0</v>
      </c>
      <c r="K1037" s="5" t="str">
        <f aca="false">IF($J1037=FALSE(),"",예약내역!$L1034*10000+ROW())</f>
        <v/>
      </c>
      <c r="L1037" s="5" t="str">
        <f aca="false">IF($K1037="","",RANK($K1037,$K$6:$K$2005,1))</f>
        <v/>
      </c>
    </row>
    <row r="1038" customFormat="false" ht="15" hidden="false" customHeight="true" outlineLevel="0" collapsed="false">
      <c r="J1038" s="21" t="b">
        <f aca="false">IF(예약내역!$A1035="",FALSE(),AND(예약내역!$A1035=$B$3,예약내역!$J1035&lt;&gt;"취소"))</f>
        <v>0</v>
      </c>
      <c r="K1038" s="5" t="str">
        <f aca="false">IF($J1038=FALSE(),"",예약내역!$L1035*10000+ROW())</f>
        <v/>
      </c>
      <c r="L1038" s="5" t="str">
        <f aca="false">IF($K1038="","",RANK($K1038,$K$6:$K$2005,1))</f>
        <v/>
      </c>
    </row>
    <row r="1039" customFormat="false" ht="15" hidden="false" customHeight="true" outlineLevel="0" collapsed="false">
      <c r="J1039" s="21" t="b">
        <f aca="false">IF(예약내역!$A1036="",FALSE(),AND(예약내역!$A1036=$B$3,예약내역!$J1036&lt;&gt;"취소"))</f>
        <v>0</v>
      </c>
      <c r="K1039" s="5" t="str">
        <f aca="false">IF($J1039=FALSE(),"",예약내역!$L1036*10000+ROW())</f>
        <v/>
      </c>
      <c r="L1039" s="5" t="str">
        <f aca="false">IF($K1039="","",RANK($K1039,$K$6:$K$2005,1))</f>
        <v/>
      </c>
    </row>
    <row r="1040" customFormat="false" ht="15" hidden="false" customHeight="true" outlineLevel="0" collapsed="false">
      <c r="J1040" s="21" t="b">
        <f aca="false">IF(예약내역!$A1037="",FALSE(),AND(예약내역!$A1037=$B$3,예약내역!$J1037&lt;&gt;"취소"))</f>
        <v>0</v>
      </c>
      <c r="K1040" s="5" t="str">
        <f aca="false">IF($J1040=FALSE(),"",예약내역!$L1037*10000+ROW())</f>
        <v/>
      </c>
      <c r="L1040" s="5" t="str">
        <f aca="false">IF($K1040="","",RANK($K1040,$K$6:$K$2005,1))</f>
        <v/>
      </c>
    </row>
    <row r="1041" customFormat="false" ht="15" hidden="false" customHeight="true" outlineLevel="0" collapsed="false">
      <c r="J1041" s="21" t="b">
        <f aca="false">IF(예약내역!$A1038="",FALSE(),AND(예약내역!$A1038=$B$3,예약내역!$J1038&lt;&gt;"취소"))</f>
        <v>0</v>
      </c>
      <c r="K1041" s="5" t="str">
        <f aca="false">IF($J1041=FALSE(),"",예약내역!$L1038*10000+ROW())</f>
        <v/>
      </c>
      <c r="L1041" s="5" t="str">
        <f aca="false">IF($K1041="","",RANK($K1041,$K$6:$K$2005,1))</f>
        <v/>
      </c>
    </row>
    <row r="1042" customFormat="false" ht="15" hidden="false" customHeight="true" outlineLevel="0" collapsed="false">
      <c r="J1042" s="21" t="b">
        <f aca="false">IF(예약내역!$A1039="",FALSE(),AND(예약내역!$A1039=$B$3,예약내역!$J1039&lt;&gt;"취소"))</f>
        <v>0</v>
      </c>
      <c r="K1042" s="5" t="str">
        <f aca="false">IF($J1042=FALSE(),"",예약내역!$L1039*10000+ROW())</f>
        <v/>
      </c>
      <c r="L1042" s="5" t="str">
        <f aca="false">IF($K1042="","",RANK($K1042,$K$6:$K$2005,1))</f>
        <v/>
      </c>
    </row>
    <row r="1043" customFormat="false" ht="15" hidden="false" customHeight="true" outlineLevel="0" collapsed="false">
      <c r="J1043" s="21" t="b">
        <f aca="false">IF(예약내역!$A1040="",FALSE(),AND(예약내역!$A1040=$B$3,예약내역!$J1040&lt;&gt;"취소"))</f>
        <v>0</v>
      </c>
      <c r="K1043" s="5" t="str">
        <f aca="false">IF($J1043=FALSE(),"",예약내역!$L1040*10000+ROW())</f>
        <v/>
      </c>
      <c r="L1043" s="5" t="str">
        <f aca="false">IF($K1043="","",RANK($K1043,$K$6:$K$2005,1))</f>
        <v/>
      </c>
    </row>
    <row r="1044" customFormat="false" ht="15" hidden="false" customHeight="true" outlineLevel="0" collapsed="false">
      <c r="J1044" s="21" t="b">
        <f aca="false">IF(예약내역!$A1041="",FALSE(),AND(예약내역!$A1041=$B$3,예약내역!$J1041&lt;&gt;"취소"))</f>
        <v>0</v>
      </c>
      <c r="K1044" s="5" t="str">
        <f aca="false">IF($J1044=FALSE(),"",예약내역!$L1041*10000+ROW())</f>
        <v/>
      </c>
      <c r="L1044" s="5" t="str">
        <f aca="false">IF($K1044="","",RANK($K1044,$K$6:$K$2005,1))</f>
        <v/>
      </c>
    </row>
    <row r="1045" customFormat="false" ht="15" hidden="false" customHeight="true" outlineLevel="0" collapsed="false">
      <c r="J1045" s="21" t="b">
        <f aca="false">IF(예약내역!$A1042="",FALSE(),AND(예약내역!$A1042=$B$3,예약내역!$J1042&lt;&gt;"취소"))</f>
        <v>0</v>
      </c>
      <c r="K1045" s="5" t="str">
        <f aca="false">IF($J1045=FALSE(),"",예약내역!$L1042*10000+ROW())</f>
        <v/>
      </c>
      <c r="L1045" s="5" t="str">
        <f aca="false">IF($K1045="","",RANK($K1045,$K$6:$K$2005,1))</f>
        <v/>
      </c>
    </row>
    <row r="1046" customFormat="false" ht="15" hidden="false" customHeight="true" outlineLevel="0" collapsed="false">
      <c r="J1046" s="21" t="b">
        <f aca="false">IF(예약내역!$A1043="",FALSE(),AND(예약내역!$A1043=$B$3,예약내역!$J1043&lt;&gt;"취소"))</f>
        <v>0</v>
      </c>
      <c r="K1046" s="5" t="str">
        <f aca="false">IF($J1046=FALSE(),"",예약내역!$L1043*10000+ROW())</f>
        <v/>
      </c>
      <c r="L1046" s="5" t="str">
        <f aca="false">IF($K1046="","",RANK($K1046,$K$6:$K$2005,1))</f>
        <v/>
      </c>
    </row>
    <row r="1047" customFormat="false" ht="15" hidden="false" customHeight="true" outlineLevel="0" collapsed="false">
      <c r="J1047" s="21" t="b">
        <f aca="false">IF(예약내역!$A1044="",FALSE(),AND(예약내역!$A1044=$B$3,예약내역!$J1044&lt;&gt;"취소"))</f>
        <v>0</v>
      </c>
      <c r="K1047" s="5" t="str">
        <f aca="false">IF($J1047=FALSE(),"",예약내역!$L1044*10000+ROW())</f>
        <v/>
      </c>
      <c r="L1047" s="5" t="str">
        <f aca="false">IF($K1047="","",RANK($K1047,$K$6:$K$2005,1))</f>
        <v/>
      </c>
    </row>
    <row r="1048" customFormat="false" ht="15" hidden="false" customHeight="true" outlineLevel="0" collapsed="false">
      <c r="J1048" s="21" t="b">
        <f aca="false">IF(예약내역!$A1045="",FALSE(),AND(예약내역!$A1045=$B$3,예약내역!$J1045&lt;&gt;"취소"))</f>
        <v>0</v>
      </c>
      <c r="K1048" s="5" t="str">
        <f aca="false">IF($J1048=FALSE(),"",예약내역!$L1045*10000+ROW())</f>
        <v/>
      </c>
      <c r="L1048" s="5" t="str">
        <f aca="false">IF($K1048="","",RANK($K1048,$K$6:$K$2005,1))</f>
        <v/>
      </c>
    </row>
    <row r="1049" customFormat="false" ht="15" hidden="false" customHeight="true" outlineLevel="0" collapsed="false">
      <c r="J1049" s="21" t="b">
        <f aca="false">IF(예약내역!$A1046="",FALSE(),AND(예약내역!$A1046=$B$3,예약내역!$J1046&lt;&gt;"취소"))</f>
        <v>0</v>
      </c>
      <c r="K1049" s="5" t="str">
        <f aca="false">IF($J1049=FALSE(),"",예약내역!$L1046*10000+ROW())</f>
        <v/>
      </c>
      <c r="L1049" s="5" t="str">
        <f aca="false">IF($K1049="","",RANK($K1049,$K$6:$K$2005,1))</f>
        <v/>
      </c>
    </row>
    <row r="1050" customFormat="false" ht="15" hidden="false" customHeight="true" outlineLevel="0" collapsed="false">
      <c r="J1050" s="21" t="b">
        <f aca="false">IF(예약내역!$A1047="",FALSE(),AND(예약내역!$A1047=$B$3,예약내역!$J1047&lt;&gt;"취소"))</f>
        <v>0</v>
      </c>
      <c r="K1050" s="5" t="str">
        <f aca="false">IF($J1050=FALSE(),"",예약내역!$L1047*10000+ROW())</f>
        <v/>
      </c>
      <c r="L1050" s="5" t="str">
        <f aca="false">IF($K1050="","",RANK($K1050,$K$6:$K$2005,1))</f>
        <v/>
      </c>
    </row>
    <row r="1051" customFormat="false" ht="15" hidden="false" customHeight="true" outlineLevel="0" collapsed="false">
      <c r="J1051" s="21" t="b">
        <f aca="false">IF(예약내역!$A1048="",FALSE(),AND(예약내역!$A1048=$B$3,예약내역!$J1048&lt;&gt;"취소"))</f>
        <v>0</v>
      </c>
      <c r="K1051" s="5" t="str">
        <f aca="false">IF($J1051=FALSE(),"",예약내역!$L1048*10000+ROW())</f>
        <v/>
      </c>
      <c r="L1051" s="5" t="str">
        <f aca="false">IF($K1051="","",RANK($K1051,$K$6:$K$2005,1))</f>
        <v/>
      </c>
    </row>
    <row r="1052" customFormat="false" ht="15" hidden="false" customHeight="true" outlineLevel="0" collapsed="false">
      <c r="J1052" s="21" t="b">
        <f aca="false">IF(예약내역!$A1049="",FALSE(),AND(예약내역!$A1049=$B$3,예약내역!$J1049&lt;&gt;"취소"))</f>
        <v>0</v>
      </c>
      <c r="K1052" s="5" t="str">
        <f aca="false">IF($J1052=FALSE(),"",예약내역!$L1049*10000+ROW())</f>
        <v/>
      </c>
      <c r="L1052" s="5" t="str">
        <f aca="false">IF($K1052="","",RANK($K1052,$K$6:$K$2005,1))</f>
        <v/>
      </c>
    </row>
    <row r="1053" customFormat="false" ht="15" hidden="false" customHeight="true" outlineLevel="0" collapsed="false">
      <c r="J1053" s="21" t="b">
        <f aca="false">IF(예약내역!$A1050="",FALSE(),AND(예약내역!$A1050=$B$3,예약내역!$J1050&lt;&gt;"취소"))</f>
        <v>0</v>
      </c>
      <c r="K1053" s="5" t="str">
        <f aca="false">IF($J1053=FALSE(),"",예약내역!$L1050*10000+ROW())</f>
        <v/>
      </c>
      <c r="L1053" s="5" t="str">
        <f aca="false">IF($K1053="","",RANK($K1053,$K$6:$K$2005,1))</f>
        <v/>
      </c>
    </row>
    <row r="1054" customFormat="false" ht="15" hidden="false" customHeight="true" outlineLevel="0" collapsed="false">
      <c r="J1054" s="21" t="b">
        <f aca="false">IF(예약내역!$A1051="",FALSE(),AND(예약내역!$A1051=$B$3,예약내역!$J1051&lt;&gt;"취소"))</f>
        <v>0</v>
      </c>
      <c r="K1054" s="5" t="str">
        <f aca="false">IF($J1054=FALSE(),"",예약내역!$L1051*10000+ROW())</f>
        <v/>
      </c>
      <c r="L1054" s="5" t="str">
        <f aca="false">IF($K1054="","",RANK($K1054,$K$6:$K$2005,1))</f>
        <v/>
      </c>
    </row>
    <row r="1055" customFormat="false" ht="15" hidden="false" customHeight="true" outlineLevel="0" collapsed="false">
      <c r="J1055" s="21" t="b">
        <f aca="false">IF(예약내역!$A1052="",FALSE(),AND(예약내역!$A1052=$B$3,예약내역!$J1052&lt;&gt;"취소"))</f>
        <v>0</v>
      </c>
      <c r="K1055" s="5" t="str">
        <f aca="false">IF($J1055=FALSE(),"",예약내역!$L1052*10000+ROW())</f>
        <v/>
      </c>
      <c r="L1055" s="5" t="str">
        <f aca="false">IF($K1055="","",RANK($K1055,$K$6:$K$2005,1))</f>
        <v/>
      </c>
    </row>
    <row r="1056" customFormat="false" ht="15" hidden="false" customHeight="true" outlineLevel="0" collapsed="false">
      <c r="J1056" s="21" t="b">
        <f aca="false">IF(예약내역!$A1053="",FALSE(),AND(예약내역!$A1053=$B$3,예약내역!$J1053&lt;&gt;"취소"))</f>
        <v>0</v>
      </c>
      <c r="K1056" s="5" t="str">
        <f aca="false">IF($J1056=FALSE(),"",예약내역!$L1053*10000+ROW())</f>
        <v/>
      </c>
      <c r="L1056" s="5" t="str">
        <f aca="false">IF($K1056="","",RANK($K1056,$K$6:$K$2005,1))</f>
        <v/>
      </c>
    </row>
    <row r="1057" customFormat="false" ht="15" hidden="false" customHeight="true" outlineLevel="0" collapsed="false">
      <c r="J1057" s="21" t="b">
        <f aca="false">IF(예약내역!$A1054="",FALSE(),AND(예약내역!$A1054=$B$3,예약내역!$J1054&lt;&gt;"취소"))</f>
        <v>0</v>
      </c>
      <c r="K1057" s="5" t="str">
        <f aca="false">IF($J1057=FALSE(),"",예약내역!$L1054*10000+ROW())</f>
        <v/>
      </c>
      <c r="L1057" s="5" t="str">
        <f aca="false">IF($K1057="","",RANK($K1057,$K$6:$K$2005,1))</f>
        <v/>
      </c>
    </row>
    <row r="1058" customFormat="false" ht="15" hidden="false" customHeight="true" outlineLevel="0" collapsed="false">
      <c r="J1058" s="21" t="b">
        <f aca="false">IF(예약내역!$A1055="",FALSE(),AND(예약내역!$A1055=$B$3,예약내역!$J1055&lt;&gt;"취소"))</f>
        <v>0</v>
      </c>
      <c r="K1058" s="5" t="str">
        <f aca="false">IF($J1058=FALSE(),"",예약내역!$L1055*10000+ROW())</f>
        <v/>
      </c>
      <c r="L1058" s="5" t="str">
        <f aca="false">IF($K1058="","",RANK($K1058,$K$6:$K$2005,1))</f>
        <v/>
      </c>
    </row>
    <row r="1059" customFormat="false" ht="15" hidden="false" customHeight="true" outlineLevel="0" collapsed="false">
      <c r="J1059" s="21" t="b">
        <f aca="false">IF(예약내역!$A1056="",FALSE(),AND(예약내역!$A1056=$B$3,예약내역!$J1056&lt;&gt;"취소"))</f>
        <v>0</v>
      </c>
      <c r="K1059" s="5" t="str">
        <f aca="false">IF($J1059=FALSE(),"",예약내역!$L1056*10000+ROW())</f>
        <v/>
      </c>
      <c r="L1059" s="5" t="str">
        <f aca="false">IF($K1059="","",RANK($K1059,$K$6:$K$2005,1))</f>
        <v/>
      </c>
    </row>
    <row r="1060" customFormat="false" ht="15" hidden="false" customHeight="true" outlineLevel="0" collapsed="false">
      <c r="J1060" s="21" t="b">
        <f aca="false">IF(예약내역!$A1057="",FALSE(),AND(예약내역!$A1057=$B$3,예약내역!$J1057&lt;&gt;"취소"))</f>
        <v>0</v>
      </c>
      <c r="K1060" s="5" t="str">
        <f aca="false">IF($J1060=FALSE(),"",예약내역!$L1057*10000+ROW())</f>
        <v/>
      </c>
      <c r="L1060" s="5" t="str">
        <f aca="false">IF($K1060="","",RANK($K1060,$K$6:$K$2005,1))</f>
        <v/>
      </c>
    </row>
    <row r="1061" customFormat="false" ht="15" hidden="false" customHeight="true" outlineLevel="0" collapsed="false">
      <c r="J1061" s="21" t="b">
        <f aca="false">IF(예약내역!$A1058="",FALSE(),AND(예약내역!$A1058=$B$3,예약내역!$J1058&lt;&gt;"취소"))</f>
        <v>0</v>
      </c>
      <c r="K1061" s="5" t="str">
        <f aca="false">IF($J1061=FALSE(),"",예약내역!$L1058*10000+ROW())</f>
        <v/>
      </c>
      <c r="L1061" s="5" t="str">
        <f aca="false">IF($K1061="","",RANK($K1061,$K$6:$K$2005,1))</f>
        <v/>
      </c>
    </row>
    <row r="1062" customFormat="false" ht="15" hidden="false" customHeight="true" outlineLevel="0" collapsed="false">
      <c r="J1062" s="21" t="b">
        <f aca="false">IF(예약내역!$A1059="",FALSE(),AND(예약내역!$A1059=$B$3,예약내역!$J1059&lt;&gt;"취소"))</f>
        <v>0</v>
      </c>
      <c r="K1062" s="5" t="str">
        <f aca="false">IF($J1062=FALSE(),"",예약내역!$L1059*10000+ROW())</f>
        <v/>
      </c>
      <c r="L1062" s="5" t="str">
        <f aca="false">IF($K1062="","",RANK($K1062,$K$6:$K$2005,1))</f>
        <v/>
      </c>
    </row>
    <row r="1063" customFormat="false" ht="15" hidden="false" customHeight="true" outlineLevel="0" collapsed="false">
      <c r="J1063" s="21" t="b">
        <f aca="false">IF(예약내역!$A1060="",FALSE(),AND(예약내역!$A1060=$B$3,예약내역!$J1060&lt;&gt;"취소"))</f>
        <v>0</v>
      </c>
      <c r="K1063" s="5" t="str">
        <f aca="false">IF($J1063=FALSE(),"",예약내역!$L1060*10000+ROW())</f>
        <v/>
      </c>
      <c r="L1063" s="5" t="str">
        <f aca="false">IF($K1063="","",RANK($K1063,$K$6:$K$2005,1))</f>
        <v/>
      </c>
    </row>
    <row r="1064" customFormat="false" ht="15" hidden="false" customHeight="true" outlineLevel="0" collapsed="false">
      <c r="J1064" s="21" t="b">
        <f aca="false">IF(예약내역!$A1061="",FALSE(),AND(예약내역!$A1061=$B$3,예약내역!$J1061&lt;&gt;"취소"))</f>
        <v>0</v>
      </c>
      <c r="K1064" s="5" t="str">
        <f aca="false">IF($J1064=FALSE(),"",예약내역!$L1061*10000+ROW())</f>
        <v/>
      </c>
      <c r="L1064" s="5" t="str">
        <f aca="false">IF($K1064="","",RANK($K1064,$K$6:$K$2005,1))</f>
        <v/>
      </c>
    </row>
    <row r="1065" customFormat="false" ht="15" hidden="false" customHeight="true" outlineLevel="0" collapsed="false">
      <c r="J1065" s="21" t="b">
        <f aca="false">IF(예약내역!$A1062="",FALSE(),AND(예약내역!$A1062=$B$3,예약내역!$J1062&lt;&gt;"취소"))</f>
        <v>0</v>
      </c>
      <c r="K1065" s="5" t="str">
        <f aca="false">IF($J1065=FALSE(),"",예약내역!$L1062*10000+ROW())</f>
        <v/>
      </c>
      <c r="L1065" s="5" t="str">
        <f aca="false">IF($K1065="","",RANK($K1065,$K$6:$K$2005,1))</f>
        <v/>
      </c>
    </row>
    <row r="1066" customFormat="false" ht="15" hidden="false" customHeight="true" outlineLevel="0" collapsed="false">
      <c r="J1066" s="21" t="b">
        <f aca="false">IF(예약내역!$A1063="",FALSE(),AND(예약내역!$A1063=$B$3,예약내역!$J1063&lt;&gt;"취소"))</f>
        <v>0</v>
      </c>
      <c r="K1066" s="5" t="str">
        <f aca="false">IF($J1066=FALSE(),"",예약내역!$L1063*10000+ROW())</f>
        <v/>
      </c>
      <c r="L1066" s="5" t="str">
        <f aca="false">IF($K1066="","",RANK($K1066,$K$6:$K$2005,1))</f>
        <v/>
      </c>
    </row>
    <row r="1067" customFormat="false" ht="15" hidden="false" customHeight="true" outlineLevel="0" collapsed="false">
      <c r="J1067" s="21" t="b">
        <f aca="false">IF(예약내역!$A1064="",FALSE(),AND(예약내역!$A1064=$B$3,예약내역!$J1064&lt;&gt;"취소"))</f>
        <v>0</v>
      </c>
      <c r="K1067" s="5" t="str">
        <f aca="false">IF($J1067=FALSE(),"",예약내역!$L1064*10000+ROW())</f>
        <v/>
      </c>
      <c r="L1067" s="5" t="str">
        <f aca="false">IF($K1067="","",RANK($K1067,$K$6:$K$2005,1))</f>
        <v/>
      </c>
    </row>
    <row r="1068" customFormat="false" ht="15" hidden="false" customHeight="true" outlineLevel="0" collapsed="false">
      <c r="J1068" s="21" t="b">
        <f aca="false">IF(예약내역!$A1065="",FALSE(),AND(예약내역!$A1065=$B$3,예약내역!$J1065&lt;&gt;"취소"))</f>
        <v>0</v>
      </c>
      <c r="K1068" s="5" t="str">
        <f aca="false">IF($J1068=FALSE(),"",예약내역!$L1065*10000+ROW())</f>
        <v/>
      </c>
      <c r="L1068" s="5" t="str">
        <f aca="false">IF($K1068="","",RANK($K1068,$K$6:$K$2005,1))</f>
        <v/>
      </c>
    </row>
    <row r="1069" customFormat="false" ht="15" hidden="false" customHeight="true" outlineLevel="0" collapsed="false">
      <c r="J1069" s="21" t="b">
        <f aca="false">IF(예약내역!$A1066="",FALSE(),AND(예약내역!$A1066=$B$3,예약내역!$J1066&lt;&gt;"취소"))</f>
        <v>0</v>
      </c>
      <c r="K1069" s="5" t="str">
        <f aca="false">IF($J1069=FALSE(),"",예약내역!$L1066*10000+ROW())</f>
        <v/>
      </c>
      <c r="L1069" s="5" t="str">
        <f aca="false">IF($K1069="","",RANK($K1069,$K$6:$K$2005,1))</f>
        <v/>
      </c>
    </row>
    <row r="1070" customFormat="false" ht="15" hidden="false" customHeight="true" outlineLevel="0" collapsed="false">
      <c r="J1070" s="21" t="b">
        <f aca="false">IF(예약내역!$A1067="",FALSE(),AND(예약내역!$A1067=$B$3,예약내역!$J1067&lt;&gt;"취소"))</f>
        <v>0</v>
      </c>
      <c r="K1070" s="5" t="str">
        <f aca="false">IF($J1070=FALSE(),"",예약내역!$L1067*10000+ROW())</f>
        <v/>
      </c>
      <c r="L1070" s="5" t="str">
        <f aca="false">IF($K1070="","",RANK($K1070,$K$6:$K$2005,1))</f>
        <v/>
      </c>
    </row>
    <row r="1071" customFormat="false" ht="15" hidden="false" customHeight="true" outlineLevel="0" collapsed="false">
      <c r="J1071" s="21" t="b">
        <f aca="false">IF(예약내역!$A1068="",FALSE(),AND(예약내역!$A1068=$B$3,예약내역!$J1068&lt;&gt;"취소"))</f>
        <v>0</v>
      </c>
      <c r="K1071" s="5" t="str">
        <f aca="false">IF($J1071=FALSE(),"",예약내역!$L1068*10000+ROW())</f>
        <v/>
      </c>
      <c r="L1071" s="5" t="str">
        <f aca="false">IF($K1071="","",RANK($K1071,$K$6:$K$2005,1))</f>
        <v/>
      </c>
    </row>
    <row r="1072" customFormat="false" ht="15" hidden="false" customHeight="true" outlineLevel="0" collapsed="false">
      <c r="J1072" s="21" t="b">
        <f aca="false">IF(예약내역!$A1069="",FALSE(),AND(예약내역!$A1069=$B$3,예약내역!$J1069&lt;&gt;"취소"))</f>
        <v>0</v>
      </c>
      <c r="K1072" s="5" t="str">
        <f aca="false">IF($J1072=FALSE(),"",예약내역!$L1069*10000+ROW())</f>
        <v/>
      </c>
      <c r="L1072" s="5" t="str">
        <f aca="false">IF($K1072="","",RANK($K1072,$K$6:$K$2005,1))</f>
        <v/>
      </c>
    </row>
    <row r="1073" customFormat="false" ht="15" hidden="false" customHeight="true" outlineLevel="0" collapsed="false">
      <c r="J1073" s="21" t="b">
        <f aca="false">IF(예약내역!$A1070="",FALSE(),AND(예약내역!$A1070=$B$3,예약내역!$J1070&lt;&gt;"취소"))</f>
        <v>0</v>
      </c>
      <c r="K1073" s="5" t="str">
        <f aca="false">IF($J1073=FALSE(),"",예약내역!$L1070*10000+ROW())</f>
        <v/>
      </c>
      <c r="L1073" s="5" t="str">
        <f aca="false">IF($K1073="","",RANK($K1073,$K$6:$K$2005,1))</f>
        <v/>
      </c>
    </row>
    <row r="1074" customFormat="false" ht="15" hidden="false" customHeight="true" outlineLevel="0" collapsed="false">
      <c r="J1074" s="21" t="b">
        <f aca="false">IF(예약내역!$A1071="",FALSE(),AND(예약내역!$A1071=$B$3,예약내역!$J1071&lt;&gt;"취소"))</f>
        <v>0</v>
      </c>
      <c r="K1074" s="5" t="str">
        <f aca="false">IF($J1074=FALSE(),"",예약내역!$L1071*10000+ROW())</f>
        <v/>
      </c>
      <c r="L1074" s="5" t="str">
        <f aca="false">IF($K1074="","",RANK($K1074,$K$6:$K$2005,1))</f>
        <v/>
      </c>
    </row>
    <row r="1075" customFormat="false" ht="15" hidden="false" customHeight="true" outlineLevel="0" collapsed="false">
      <c r="J1075" s="21" t="b">
        <f aca="false">IF(예약내역!$A1072="",FALSE(),AND(예약내역!$A1072=$B$3,예약내역!$J1072&lt;&gt;"취소"))</f>
        <v>0</v>
      </c>
      <c r="K1075" s="5" t="str">
        <f aca="false">IF($J1075=FALSE(),"",예약내역!$L1072*10000+ROW())</f>
        <v/>
      </c>
      <c r="L1075" s="5" t="str">
        <f aca="false">IF($K1075="","",RANK($K1075,$K$6:$K$2005,1))</f>
        <v/>
      </c>
    </row>
    <row r="1076" customFormat="false" ht="15" hidden="false" customHeight="true" outlineLevel="0" collapsed="false">
      <c r="J1076" s="21" t="b">
        <f aca="false">IF(예약내역!$A1073="",FALSE(),AND(예약내역!$A1073=$B$3,예약내역!$J1073&lt;&gt;"취소"))</f>
        <v>0</v>
      </c>
      <c r="K1076" s="5" t="str">
        <f aca="false">IF($J1076=FALSE(),"",예약내역!$L1073*10000+ROW())</f>
        <v/>
      </c>
      <c r="L1076" s="5" t="str">
        <f aca="false">IF($K1076="","",RANK($K1076,$K$6:$K$2005,1))</f>
        <v/>
      </c>
    </row>
    <row r="1077" customFormat="false" ht="15" hidden="false" customHeight="true" outlineLevel="0" collapsed="false">
      <c r="J1077" s="21" t="b">
        <f aca="false">IF(예약내역!$A1074="",FALSE(),AND(예약내역!$A1074=$B$3,예약내역!$J1074&lt;&gt;"취소"))</f>
        <v>0</v>
      </c>
      <c r="K1077" s="5" t="str">
        <f aca="false">IF($J1077=FALSE(),"",예약내역!$L1074*10000+ROW())</f>
        <v/>
      </c>
      <c r="L1077" s="5" t="str">
        <f aca="false">IF($K1077="","",RANK($K1077,$K$6:$K$2005,1))</f>
        <v/>
      </c>
    </row>
    <row r="1078" customFormat="false" ht="15" hidden="false" customHeight="true" outlineLevel="0" collapsed="false">
      <c r="J1078" s="21" t="b">
        <f aca="false">IF(예약내역!$A1075="",FALSE(),AND(예약내역!$A1075=$B$3,예약내역!$J1075&lt;&gt;"취소"))</f>
        <v>0</v>
      </c>
      <c r="K1078" s="5" t="str">
        <f aca="false">IF($J1078=FALSE(),"",예약내역!$L1075*10000+ROW())</f>
        <v/>
      </c>
      <c r="L1078" s="5" t="str">
        <f aca="false">IF($K1078="","",RANK($K1078,$K$6:$K$2005,1))</f>
        <v/>
      </c>
    </row>
    <row r="1079" customFormat="false" ht="15" hidden="false" customHeight="true" outlineLevel="0" collapsed="false">
      <c r="J1079" s="21" t="b">
        <f aca="false">IF(예약내역!$A1076="",FALSE(),AND(예약내역!$A1076=$B$3,예약내역!$J1076&lt;&gt;"취소"))</f>
        <v>0</v>
      </c>
      <c r="K1079" s="5" t="str">
        <f aca="false">IF($J1079=FALSE(),"",예약내역!$L1076*10000+ROW())</f>
        <v/>
      </c>
      <c r="L1079" s="5" t="str">
        <f aca="false">IF($K1079="","",RANK($K1079,$K$6:$K$2005,1))</f>
        <v/>
      </c>
    </row>
    <row r="1080" customFormat="false" ht="15" hidden="false" customHeight="true" outlineLevel="0" collapsed="false">
      <c r="J1080" s="21" t="b">
        <f aca="false">IF(예약내역!$A1077="",FALSE(),AND(예약내역!$A1077=$B$3,예약내역!$J1077&lt;&gt;"취소"))</f>
        <v>0</v>
      </c>
      <c r="K1080" s="5" t="str">
        <f aca="false">IF($J1080=FALSE(),"",예약내역!$L1077*10000+ROW())</f>
        <v/>
      </c>
      <c r="L1080" s="5" t="str">
        <f aca="false">IF($K1080="","",RANK($K1080,$K$6:$K$2005,1))</f>
        <v/>
      </c>
    </row>
    <row r="1081" customFormat="false" ht="15" hidden="false" customHeight="true" outlineLevel="0" collapsed="false">
      <c r="J1081" s="21" t="b">
        <f aca="false">IF(예약내역!$A1078="",FALSE(),AND(예약내역!$A1078=$B$3,예약내역!$J1078&lt;&gt;"취소"))</f>
        <v>0</v>
      </c>
      <c r="K1081" s="5" t="str">
        <f aca="false">IF($J1081=FALSE(),"",예약내역!$L1078*10000+ROW())</f>
        <v/>
      </c>
      <c r="L1081" s="5" t="str">
        <f aca="false">IF($K1081="","",RANK($K1081,$K$6:$K$2005,1))</f>
        <v/>
      </c>
    </row>
    <row r="1082" customFormat="false" ht="15" hidden="false" customHeight="true" outlineLevel="0" collapsed="false">
      <c r="J1082" s="21" t="b">
        <f aca="false">IF(예약내역!$A1079="",FALSE(),AND(예약내역!$A1079=$B$3,예약내역!$J1079&lt;&gt;"취소"))</f>
        <v>0</v>
      </c>
      <c r="K1082" s="5" t="str">
        <f aca="false">IF($J1082=FALSE(),"",예약내역!$L1079*10000+ROW())</f>
        <v/>
      </c>
      <c r="L1082" s="5" t="str">
        <f aca="false">IF($K1082="","",RANK($K1082,$K$6:$K$2005,1))</f>
        <v/>
      </c>
    </row>
    <row r="1083" customFormat="false" ht="15" hidden="false" customHeight="true" outlineLevel="0" collapsed="false">
      <c r="J1083" s="21" t="b">
        <f aca="false">IF(예약내역!$A1080="",FALSE(),AND(예약내역!$A1080=$B$3,예약내역!$J1080&lt;&gt;"취소"))</f>
        <v>0</v>
      </c>
      <c r="K1083" s="5" t="str">
        <f aca="false">IF($J1083=FALSE(),"",예약내역!$L1080*10000+ROW())</f>
        <v/>
      </c>
      <c r="L1083" s="5" t="str">
        <f aca="false">IF($K1083="","",RANK($K1083,$K$6:$K$2005,1))</f>
        <v/>
      </c>
    </row>
    <row r="1084" customFormat="false" ht="15" hidden="false" customHeight="true" outlineLevel="0" collapsed="false">
      <c r="J1084" s="21" t="b">
        <f aca="false">IF(예약내역!$A1081="",FALSE(),AND(예약내역!$A1081=$B$3,예약내역!$J1081&lt;&gt;"취소"))</f>
        <v>0</v>
      </c>
      <c r="K1084" s="5" t="str">
        <f aca="false">IF($J1084=FALSE(),"",예약내역!$L1081*10000+ROW())</f>
        <v/>
      </c>
      <c r="L1084" s="5" t="str">
        <f aca="false">IF($K1084="","",RANK($K1084,$K$6:$K$2005,1))</f>
        <v/>
      </c>
    </row>
    <row r="1085" customFormat="false" ht="15" hidden="false" customHeight="true" outlineLevel="0" collapsed="false">
      <c r="J1085" s="21" t="b">
        <f aca="false">IF(예약내역!$A1082="",FALSE(),AND(예약내역!$A1082=$B$3,예약내역!$J1082&lt;&gt;"취소"))</f>
        <v>0</v>
      </c>
      <c r="K1085" s="5" t="str">
        <f aca="false">IF($J1085=FALSE(),"",예약내역!$L1082*10000+ROW())</f>
        <v/>
      </c>
      <c r="L1085" s="5" t="str">
        <f aca="false">IF($K1085="","",RANK($K1085,$K$6:$K$2005,1))</f>
        <v/>
      </c>
    </row>
    <row r="1086" customFormat="false" ht="15" hidden="false" customHeight="true" outlineLevel="0" collapsed="false">
      <c r="J1086" s="21" t="b">
        <f aca="false">IF(예약내역!$A1083="",FALSE(),AND(예약내역!$A1083=$B$3,예약내역!$J1083&lt;&gt;"취소"))</f>
        <v>0</v>
      </c>
      <c r="K1086" s="5" t="str">
        <f aca="false">IF($J1086=FALSE(),"",예약내역!$L1083*10000+ROW())</f>
        <v/>
      </c>
      <c r="L1086" s="5" t="str">
        <f aca="false">IF($K1086="","",RANK($K1086,$K$6:$K$2005,1))</f>
        <v/>
      </c>
    </row>
    <row r="1087" customFormat="false" ht="15" hidden="false" customHeight="true" outlineLevel="0" collapsed="false">
      <c r="J1087" s="21" t="b">
        <f aca="false">IF(예약내역!$A1084="",FALSE(),AND(예약내역!$A1084=$B$3,예약내역!$J1084&lt;&gt;"취소"))</f>
        <v>0</v>
      </c>
      <c r="K1087" s="5" t="str">
        <f aca="false">IF($J1087=FALSE(),"",예약내역!$L1084*10000+ROW())</f>
        <v/>
      </c>
      <c r="L1087" s="5" t="str">
        <f aca="false">IF($K1087="","",RANK($K1087,$K$6:$K$2005,1))</f>
        <v/>
      </c>
    </row>
    <row r="1088" customFormat="false" ht="15" hidden="false" customHeight="true" outlineLevel="0" collapsed="false">
      <c r="J1088" s="21" t="b">
        <f aca="false">IF(예약내역!$A1085="",FALSE(),AND(예약내역!$A1085=$B$3,예약내역!$J1085&lt;&gt;"취소"))</f>
        <v>0</v>
      </c>
      <c r="K1088" s="5" t="str">
        <f aca="false">IF($J1088=FALSE(),"",예약내역!$L1085*10000+ROW())</f>
        <v/>
      </c>
      <c r="L1088" s="5" t="str">
        <f aca="false">IF($K1088="","",RANK($K1088,$K$6:$K$2005,1))</f>
        <v/>
      </c>
    </row>
    <row r="1089" customFormat="false" ht="15" hidden="false" customHeight="true" outlineLevel="0" collapsed="false">
      <c r="J1089" s="21" t="b">
        <f aca="false">IF(예약내역!$A1086="",FALSE(),AND(예약내역!$A1086=$B$3,예약내역!$J1086&lt;&gt;"취소"))</f>
        <v>0</v>
      </c>
      <c r="K1089" s="5" t="str">
        <f aca="false">IF($J1089=FALSE(),"",예약내역!$L1086*10000+ROW())</f>
        <v/>
      </c>
      <c r="L1089" s="5" t="str">
        <f aca="false">IF($K1089="","",RANK($K1089,$K$6:$K$2005,1))</f>
        <v/>
      </c>
    </row>
    <row r="1090" customFormat="false" ht="15" hidden="false" customHeight="true" outlineLevel="0" collapsed="false">
      <c r="J1090" s="21" t="b">
        <f aca="false">IF(예약내역!$A1087="",FALSE(),AND(예약내역!$A1087=$B$3,예약내역!$J1087&lt;&gt;"취소"))</f>
        <v>0</v>
      </c>
      <c r="K1090" s="5" t="str">
        <f aca="false">IF($J1090=FALSE(),"",예약내역!$L1087*10000+ROW())</f>
        <v/>
      </c>
      <c r="L1090" s="5" t="str">
        <f aca="false">IF($K1090="","",RANK($K1090,$K$6:$K$2005,1))</f>
        <v/>
      </c>
    </row>
    <row r="1091" customFormat="false" ht="15" hidden="false" customHeight="true" outlineLevel="0" collapsed="false">
      <c r="J1091" s="21" t="b">
        <f aca="false">IF(예약내역!$A1088="",FALSE(),AND(예약내역!$A1088=$B$3,예약내역!$J1088&lt;&gt;"취소"))</f>
        <v>0</v>
      </c>
      <c r="K1091" s="5" t="str">
        <f aca="false">IF($J1091=FALSE(),"",예약내역!$L1088*10000+ROW())</f>
        <v/>
      </c>
      <c r="L1091" s="5" t="str">
        <f aca="false">IF($K1091="","",RANK($K1091,$K$6:$K$2005,1))</f>
        <v/>
      </c>
    </row>
    <row r="1092" customFormat="false" ht="15" hidden="false" customHeight="true" outlineLevel="0" collapsed="false">
      <c r="J1092" s="21" t="b">
        <f aca="false">IF(예약내역!$A1089="",FALSE(),AND(예약내역!$A1089=$B$3,예약내역!$J1089&lt;&gt;"취소"))</f>
        <v>0</v>
      </c>
      <c r="K1092" s="5" t="str">
        <f aca="false">IF($J1092=FALSE(),"",예약내역!$L1089*10000+ROW())</f>
        <v/>
      </c>
      <c r="L1092" s="5" t="str">
        <f aca="false">IF($K1092="","",RANK($K1092,$K$6:$K$2005,1))</f>
        <v/>
      </c>
    </row>
    <row r="1093" customFormat="false" ht="15" hidden="false" customHeight="true" outlineLevel="0" collapsed="false">
      <c r="J1093" s="21" t="b">
        <f aca="false">IF(예약내역!$A1090="",FALSE(),AND(예약내역!$A1090=$B$3,예약내역!$J1090&lt;&gt;"취소"))</f>
        <v>0</v>
      </c>
      <c r="K1093" s="5" t="str">
        <f aca="false">IF($J1093=FALSE(),"",예약내역!$L1090*10000+ROW())</f>
        <v/>
      </c>
      <c r="L1093" s="5" t="str">
        <f aca="false">IF($K1093="","",RANK($K1093,$K$6:$K$2005,1))</f>
        <v/>
      </c>
    </row>
    <row r="1094" customFormat="false" ht="15" hidden="false" customHeight="true" outlineLevel="0" collapsed="false">
      <c r="J1094" s="21" t="b">
        <f aca="false">IF(예약내역!$A1091="",FALSE(),AND(예약내역!$A1091=$B$3,예약내역!$J1091&lt;&gt;"취소"))</f>
        <v>0</v>
      </c>
      <c r="K1094" s="5" t="str">
        <f aca="false">IF($J1094=FALSE(),"",예약내역!$L1091*10000+ROW())</f>
        <v/>
      </c>
      <c r="L1094" s="5" t="str">
        <f aca="false">IF($K1094="","",RANK($K1094,$K$6:$K$2005,1))</f>
        <v/>
      </c>
    </row>
    <row r="1095" customFormat="false" ht="15" hidden="false" customHeight="true" outlineLevel="0" collapsed="false">
      <c r="J1095" s="21" t="b">
        <f aca="false">IF(예약내역!$A1092="",FALSE(),AND(예약내역!$A1092=$B$3,예약내역!$J1092&lt;&gt;"취소"))</f>
        <v>0</v>
      </c>
      <c r="K1095" s="5" t="str">
        <f aca="false">IF($J1095=FALSE(),"",예약내역!$L1092*10000+ROW())</f>
        <v/>
      </c>
      <c r="L1095" s="5" t="str">
        <f aca="false">IF($K1095="","",RANK($K1095,$K$6:$K$2005,1))</f>
        <v/>
      </c>
    </row>
    <row r="1096" customFormat="false" ht="15" hidden="false" customHeight="true" outlineLevel="0" collapsed="false">
      <c r="J1096" s="21" t="b">
        <f aca="false">IF(예약내역!$A1093="",FALSE(),AND(예약내역!$A1093=$B$3,예약내역!$J1093&lt;&gt;"취소"))</f>
        <v>0</v>
      </c>
      <c r="K1096" s="5" t="str">
        <f aca="false">IF($J1096=FALSE(),"",예약내역!$L1093*10000+ROW())</f>
        <v/>
      </c>
      <c r="L1096" s="5" t="str">
        <f aca="false">IF($K1096="","",RANK($K1096,$K$6:$K$2005,1))</f>
        <v/>
      </c>
    </row>
    <row r="1097" customFormat="false" ht="15" hidden="false" customHeight="true" outlineLevel="0" collapsed="false">
      <c r="J1097" s="21" t="b">
        <f aca="false">IF(예약내역!$A1094="",FALSE(),AND(예약내역!$A1094=$B$3,예약내역!$J1094&lt;&gt;"취소"))</f>
        <v>0</v>
      </c>
      <c r="K1097" s="5" t="str">
        <f aca="false">IF($J1097=FALSE(),"",예약내역!$L1094*10000+ROW())</f>
        <v/>
      </c>
      <c r="L1097" s="5" t="str">
        <f aca="false">IF($K1097="","",RANK($K1097,$K$6:$K$2005,1))</f>
        <v/>
      </c>
    </row>
    <row r="1098" customFormat="false" ht="15" hidden="false" customHeight="true" outlineLevel="0" collapsed="false">
      <c r="J1098" s="21" t="b">
        <f aca="false">IF(예약내역!$A1095="",FALSE(),AND(예약내역!$A1095=$B$3,예약내역!$J1095&lt;&gt;"취소"))</f>
        <v>0</v>
      </c>
      <c r="K1098" s="5" t="str">
        <f aca="false">IF($J1098=FALSE(),"",예약내역!$L1095*10000+ROW())</f>
        <v/>
      </c>
      <c r="L1098" s="5" t="str">
        <f aca="false">IF($K1098="","",RANK($K1098,$K$6:$K$2005,1))</f>
        <v/>
      </c>
    </row>
    <row r="1099" customFormat="false" ht="15" hidden="false" customHeight="true" outlineLevel="0" collapsed="false">
      <c r="J1099" s="21" t="b">
        <f aca="false">IF(예약내역!$A1096="",FALSE(),AND(예약내역!$A1096=$B$3,예약내역!$J1096&lt;&gt;"취소"))</f>
        <v>0</v>
      </c>
      <c r="K1099" s="5" t="str">
        <f aca="false">IF($J1099=FALSE(),"",예약내역!$L1096*10000+ROW())</f>
        <v/>
      </c>
      <c r="L1099" s="5" t="str">
        <f aca="false">IF($K1099="","",RANK($K1099,$K$6:$K$2005,1))</f>
        <v/>
      </c>
    </row>
    <row r="1100" customFormat="false" ht="15" hidden="false" customHeight="true" outlineLevel="0" collapsed="false">
      <c r="J1100" s="21" t="b">
        <f aca="false">IF(예약내역!$A1097="",FALSE(),AND(예약내역!$A1097=$B$3,예약내역!$J1097&lt;&gt;"취소"))</f>
        <v>0</v>
      </c>
      <c r="K1100" s="5" t="str">
        <f aca="false">IF($J1100=FALSE(),"",예약내역!$L1097*10000+ROW())</f>
        <v/>
      </c>
      <c r="L1100" s="5" t="str">
        <f aca="false">IF($K1100="","",RANK($K1100,$K$6:$K$2005,1))</f>
        <v/>
      </c>
    </row>
    <row r="1101" customFormat="false" ht="15" hidden="false" customHeight="true" outlineLevel="0" collapsed="false">
      <c r="J1101" s="21" t="b">
        <f aca="false">IF(예약내역!$A1098="",FALSE(),AND(예약내역!$A1098=$B$3,예약내역!$J1098&lt;&gt;"취소"))</f>
        <v>0</v>
      </c>
      <c r="K1101" s="5" t="str">
        <f aca="false">IF($J1101=FALSE(),"",예약내역!$L1098*10000+ROW())</f>
        <v/>
      </c>
      <c r="L1101" s="5" t="str">
        <f aca="false">IF($K1101="","",RANK($K1101,$K$6:$K$2005,1))</f>
        <v/>
      </c>
    </row>
    <row r="1102" customFormat="false" ht="15" hidden="false" customHeight="true" outlineLevel="0" collapsed="false">
      <c r="J1102" s="21" t="b">
        <f aca="false">IF(예약내역!$A1099="",FALSE(),AND(예약내역!$A1099=$B$3,예약내역!$J1099&lt;&gt;"취소"))</f>
        <v>0</v>
      </c>
      <c r="K1102" s="5" t="str">
        <f aca="false">IF($J1102=FALSE(),"",예약내역!$L1099*10000+ROW())</f>
        <v/>
      </c>
      <c r="L1102" s="5" t="str">
        <f aca="false">IF($K1102="","",RANK($K1102,$K$6:$K$2005,1))</f>
        <v/>
      </c>
    </row>
    <row r="1103" customFormat="false" ht="15" hidden="false" customHeight="true" outlineLevel="0" collapsed="false">
      <c r="J1103" s="21" t="b">
        <f aca="false">IF(예약내역!$A1100="",FALSE(),AND(예약내역!$A1100=$B$3,예약내역!$J1100&lt;&gt;"취소"))</f>
        <v>0</v>
      </c>
      <c r="K1103" s="5" t="str">
        <f aca="false">IF($J1103=FALSE(),"",예약내역!$L1100*10000+ROW())</f>
        <v/>
      </c>
      <c r="L1103" s="5" t="str">
        <f aca="false">IF($K1103="","",RANK($K1103,$K$6:$K$2005,1))</f>
        <v/>
      </c>
    </row>
    <row r="1104" customFormat="false" ht="15" hidden="false" customHeight="true" outlineLevel="0" collapsed="false">
      <c r="J1104" s="21" t="b">
        <f aca="false">IF(예약내역!$A1101="",FALSE(),AND(예약내역!$A1101=$B$3,예약내역!$J1101&lt;&gt;"취소"))</f>
        <v>0</v>
      </c>
      <c r="K1104" s="5" t="str">
        <f aca="false">IF($J1104=FALSE(),"",예약내역!$L1101*10000+ROW())</f>
        <v/>
      </c>
      <c r="L1104" s="5" t="str">
        <f aca="false">IF($K1104="","",RANK($K1104,$K$6:$K$2005,1))</f>
        <v/>
      </c>
    </row>
    <row r="1105" customFormat="false" ht="15" hidden="false" customHeight="true" outlineLevel="0" collapsed="false">
      <c r="J1105" s="21" t="b">
        <f aca="false">IF(예약내역!$A1102="",FALSE(),AND(예약내역!$A1102=$B$3,예약내역!$J1102&lt;&gt;"취소"))</f>
        <v>0</v>
      </c>
      <c r="K1105" s="5" t="str">
        <f aca="false">IF($J1105=FALSE(),"",예약내역!$L1102*10000+ROW())</f>
        <v/>
      </c>
      <c r="L1105" s="5" t="str">
        <f aca="false">IF($K1105="","",RANK($K1105,$K$6:$K$2005,1))</f>
        <v/>
      </c>
    </row>
    <row r="1106" customFormat="false" ht="15" hidden="false" customHeight="true" outlineLevel="0" collapsed="false">
      <c r="J1106" s="21" t="b">
        <f aca="false">IF(예약내역!$A1103="",FALSE(),AND(예약내역!$A1103=$B$3,예약내역!$J1103&lt;&gt;"취소"))</f>
        <v>0</v>
      </c>
      <c r="K1106" s="5" t="str">
        <f aca="false">IF($J1106=FALSE(),"",예약내역!$L1103*10000+ROW())</f>
        <v/>
      </c>
      <c r="L1106" s="5" t="str">
        <f aca="false">IF($K1106="","",RANK($K1106,$K$6:$K$2005,1))</f>
        <v/>
      </c>
    </row>
    <row r="1107" customFormat="false" ht="15" hidden="false" customHeight="true" outlineLevel="0" collapsed="false">
      <c r="J1107" s="21" t="b">
        <f aca="false">IF(예약내역!$A1104="",FALSE(),AND(예약내역!$A1104=$B$3,예약내역!$J1104&lt;&gt;"취소"))</f>
        <v>0</v>
      </c>
      <c r="K1107" s="5" t="str">
        <f aca="false">IF($J1107=FALSE(),"",예약내역!$L1104*10000+ROW())</f>
        <v/>
      </c>
      <c r="L1107" s="5" t="str">
        <f aca="false">IF($K1107="","",RANK($K1107,$K$6:$K$2005,1))</f>
        <v/>
      </c>
    </row>
    <row r="1108" customFormat="false" ht="15" hidden="false" customHeight="true" outlineLevel="0" collapsed="false">
      <c r="J1108" s="21" t="b">
        <f aca="false">IF(예약내역!$A1105="",FALSE(),AND(예약내역!$A1105=$B$3,예약내역!$J1105&lt;&gt;"취소"))</f>
        <v>0</v>
      </c>
      <c r="K1108" s="5" t="str">
        <f aca="false">IF($J1108=FALSE(),"",예약내역!$L1105*10000+ROW())</f>
        <v/>
      </c>
      <c r="L1108" s="5" t="str">
        <f aca="false">IF($K1108="","",RANK($K1108,$K$6:$K$2005,1))</f>
        <v/>
      </c>
    </row>
    <row r="1109" customFormat="false" ht="15" hidden="false" customHeight="true" outlineLevel="0" collapsed="false">
      <c r="J1109" s="21" t="b">
        <f aca="false">IF(예약내역!$A1106="",FALSE(),AND(예약내역!$A1106=$B$3,예약내역!$J1106&lt;&gt;"취소"))</f>
        <v>0</v>
      </c>
      <c r="K1109" s="5" t="str">
        <f aca="false">IF($J1109=FALSE(),"",예약내역!$L1106*10000+ROW())</f>
        <v/>
      </c>
      <c r="L1109" s="5" t="str">
        <f aca="false">IF($K1109="","",RANK($K1109,$K$6:$K$2005,1))</f>
        <v/>
      </c>
    </row>
    <row r="1110" customFormat="false" ht="15" hidden="false" customHeight="true" outlineLevel="0" collapsed="false">
      <c r="J1110" s="21" t="b">
        <f aca="false">IF(예약내역!$A1107="",FALSE(),AND(예약내역!$A1107=$B$3,예약내역!$J1107&lt;&gt;"취소"))</f>
        <v>0</v>
      </c>
      <c r="K1110" s="5" t="str">
        <f aca="false">IF($J1110=FALSE(),"",예약내역!$L1107*10000+ROW())</f>
        <v/>
      </c>
      <c r="L1110" s="5" t="str">
        <f aca="false">IF($K1110="","",RANK($K1110,$K$6:$K$2005,1))</f>
        <v/>
      </c>
    </row>
    <row r="1111" customFormat="false" ht="15" hidden="false" customHeight="true" outlineLevel="0" collapsed="false">
      <c r="J1111" s="21" t="b">
        <f aca="false">IF(예약내역!$A1108="",FALSE(),AND(예약내역!$A1108=$B$3,예약내역!$J1108&lt;&gt;"취소"))</f>
        <v>0</v>
      </c>
      <c r="K1111" s="5" t="str">
        <f aca="false">IF($J1111=FALSE(),"",예약내역!$L1108*10000+ROW())</f>
        <v/>
      </c>
      <c r="L1111" s="5" t="str">
        <f aca="false">IF($K1111="","",RANK($K1111,$K$6:$K$2005,1))</f>
        <v/>
      </c>
    </row>
    <row r="1112" customFormat="false" ht="15" hidden="false" customHeight="true" outlineLevel="0" collapsed="false">
      <c r="J1112" s="21" t="b">
        <f aca="false">IF(예약내역!$A1109="",FALSE(),AND(예약내역!$A1109=$B$3,예약내역!$J1109&lt;&gt;"취소"))</f>
        <v>0</v>
      </c>
      <c r="K1112" s="5" t="str">
        <f aca="false">IF($J1112=FALSE(),"",예약내역!$L1109*10000+ROW())</f>
        <v/>
      </c>
      <c r="L1112" s="5" t="str">
        <f aca="false">IF($K1112="","",RANK($K1112,$K$6:$K$2005,1))</f>
        <v/>
      </c>
    </row>
    <row r="1113" customFormat="false" ht="15" hidden="false" customHeight="true" outlineLevel="0" collapsed="false">
      <c r="J1113" s="21" t="b">
        <f aca="false">IF(예약내역!$A1110="",FALSE(),AND(예약내역!$A1110=$B$3,예약내역!$J1110&lt;&gt;"취소"))</f>
        <v>0</v>
      </c>
      <c r="K1113" s="5" t="str">
        <f aca="false">IF($J1113=FALSE(),"",예약내역!$L1110*10000+ROW())</f>
        <v/>
      </c>
      <c r="L1113" s="5" t="str">
        <f aca="false">IF($K1113="","",RANK($K1113,$K$6:$K$2005,1))</f>
        <v/>
      </c>
    </row>
    <row r="1114" customFormat="false" ht="15" hidden="false" customHeight="true" outlineLevel="0" collapsed="false">
      <c r="J1114" s="21" t="b">
        <f aca="false">IF(예약내역!$A1111="",FALSE(),AND(예약내역!$A1111=$B$3,예약내역!$J1111&lt;&gt;"취소"))</f>
        <v>0</v>
      </c>
      <c r="K1114" s="5" t="str">
        <f aca="false">IF($J1114=FALSE(),"",예약내역!$L1111*10000+ROW())</f>
        <v/>
      </c>
      <c r="L1114" s="5" t="str">
        <f aca="false">IF($K1114="","",RANK($K1114,$K$6:$K$2005,1))</f>
        <v/>
      </c>
    </row>
    <row r="1115" customFormat="false" ht="15" hidden="false" customHeight="true" outlineLevel="0" collapsed="false">
      <c r="J1115" s="21" t="b">
        <f aca="false">IF(예약내역!$A1112="",FALSE(),AND(예약내역!$A1112=$B$3,예약내역!$J1112&lt;&gt;"취소"))</f>
        <v>0</v>
      </c>
      <c r="K1115" s="5" t="str">
        <f aca="false">IF($J1115=FALSE(),"",예약내역!$L1112*10000+ROW())</f>
        <v/>
      </c>
      <c r="L1115" s="5" t="str">
        <f aca="false">IF($K1115="","",RANK($K1115,$K$6:$K$2005,1))</f>
        <v/>
      </c>
    </row>
    <row r="1116" customFormat="false" ht="15" hidden="false" customHeight="true" outlineLevel="0" collapsed="false">
      <c r="J1116" s="21" t="b">
        <f aca="false">IF(예약내역!$A1113="",FALSE(),AND(예약내역!$A1113=$B$3,예약내역!$J1113&lt;&gt;"취소"))</f>
        <v>0</v>
      </c>
      <c r="K1116" s="5" t="str">
        <f aca="false">IF($J1116=FALSE(),"",예약내역!$L1113*10000+ROW())</f>
        <v/>
      </c>
      <c r="L1116" s="5" t="str">
        <f aca="false">IF($K1116="","",RANK($K1116,$K$6:$K$2005,1))</f>
        <v/>
      </c>
    </row>
    <row r="1117" customFormat="false" ht="15" hidden="false" customHeight="true" outlineLevel="0" collapsed="false">
      <c r="J1117" s="21" t="b">
        <f aca="false">IF(예약내역!$A1114="",FALSE(),AND(예약내역!$A1114=$B$3,예약내역!$J1114&lt;&gt;"취소"))</f>
        <v>0</v>
      </c>
      <c r="K1117" s="5" t="str">
        <f aca="false">IF($J1117=FALSE(),"",예약내역!$L1114*10000+ROW())</f>
        <v/>
      </c>
      <c r="L1117" s="5" t="str">
        <f aca="false">IF($K1117="","",RANK($K1117,$K$6:$K$2005,1))</f>
        <v/>
      </c>
    </row>
    <row r="1118" customFormat="false" ht="15" hidden="false" customHeight="true" outlineLevel="0" collapsed="false">
      <c r="J1118" s="21" t="b">
        <f aca="false">IF(예약내역!$A1115="",FALSE(),AND(예약내역!$A1115=$B$3,예약내역!$J1115&lt;&gt;"취소"))</f>
        <v>0</v>
      </c>
      <c r="K1118" s="5" t="str">
        <f aca="false">IF($J1118=FALSE(),"",예약내역!$L1115*10000+ROW())</f>
        <v/>
      </c>
      <c r="L1118" s="5" t="str">
        <f aca="false">IF($K1118="","",RANK($K1118,$K$6:$K$2005,1))</f>
        <v/>
      </c>
    </row>
    <row r="1119" customFormat="false" ht="15" hidden="false" customHeight="true" outlineLevel="0" collapsed="false">
      <c r="J1119" s="21" t="b">
        <f aca="false">IF(예약내역!$A1116="",FALSE(),AND(예약내역!$A1116=$B$3,예약내역!$J1116&lt;&gt;"취소"))</f>
        <v>0</v>
      </c>
      <c r="K1119" s="5" t="str">
        <f aca="false">IF($J1119=FALSE(),"",예약내역!$L1116*10000+ROW())</f>
        <v/>
      </c>
      <c r="L1119" s="5" t="str">
        <f aca="false">IF($K1119="","",RANK($K1119,$K$6:$K$2005,1))</f>
        <v/>
      </c>
    </row>
    <row r="1120" customFormat="false" ht="15" hidden="false" customHeight="true" outlineLevel="0" collapsed="false">
      <c r="J1120" s="21" t="b">
        <f aca="false">IF(예약내역!$A1117="",FALSE(),AND(예약내역!$A1117=$B$3,예약내역!$J1117&lt;&gt;"취소"))</f>
        <v>0</v>
      </c>
      <c r="K1120" s="5" t="str">
        <f aca="false">IF($J1120=FALSE(),"",예약내역!$L1117*10000+ROW())</f>
        <v/>
      </c>
      <c r="L1120" s="5" t="str">
        <f aca="false">IF($K1120="","",RANK($K1120,$K$6:$K$2005,1))</f>
        <v/>
      </c>
    </row>
    <row r="1121" customFormat="false" ht="15" hidden="false" customHeight="true" outlineLevel="0" collapsed="false">
      <c r="J1121" s="21" t="b">
        <f aca="false">IF(예약내역!$A1118="",FALSE(),AND(예약내역!$A1118=$B$3,예약내역!$J1118&lt;&gt;"취소"))</f>
        <v>0</v>
      </c>
      <c r="K1121" s="5" t="str">
        <f aca="false">IF($J1121=FALSE(),"",예약내역!$L1118*10000+ROW())</f>
        <v/>
      </c>
      <c r="L1121" s="5" t="str">
        <f aca="false">IF($K1121="","",RANK($K1121,$K$6:$K$2005,1))</f>
        <v/>
      </c>
    </row>
    <row r="1122" customFormat="false" ht="15" hidden="false" customHeight="true" outlineLevel="0" collapsed="false">
      <c r="J1122" s="21" t="b">
        <f aca="false">IF(예약내역!$A1119="",FALSE(),AND(예약내역!$A1119=$B$3,예약내역!$J1119&lt;&gt;"취소"))</f>
        <v>0</v>
      </c>
      <c r="K1122" s="5" t="str">
        <f aca="false">IF($J1122=FALSE(),"",예약내역!$L1119*10000+ROW())</f>
        <v/>
      </c>
      <c r="L1122" s="5" t="str">
        <f aca="false">IF($K1122="","",RANK($K1122,$K$6:$K$2005,1))</f>
        <v/>
      </c>
    </row>
    <row r="1123" customFormat="false" ht="15" hidden="false" customHeight="true" outlineLevel="0" collapsed="false">
      <c r="J1123" s="21" t="b">
        <f aca="false">IF(예약내역!$A1120="",FALSE(),AND(예약내역!$A1120=$B$3,예약내역!$J1120&lt;&gt;"취소"))</f>
        <v>0</v>
      </c>
      <c r="K1123" s="5" t="str">
        <f aca="false">IF($J1123=FALSE(),"",예약내역!$L1120*10000+ROW())</f>
        <v/>
      </c>
      <c r="L1123" s="5" t="str">
        <f aca="false">IF($K1123="","",RANK($K1123,$K$6:$K$2005,1))</f>
        <v/>
      </c>
    </row>
    <row r="1124" customFormat="false" ht="15" hidden="false" customHeight="true" outlineLevel="0" collapsed="false">
      <c r="J1124" s="21" t="b">
        <f aca="false">IF(예약내역!$A1121="",FALSE(),AND(예약내역!$A1121=$B$3,예약내역!$J1121&lt;&gt;"취소"))</f>
        <v>0</v>
      </c>
      <c r="K1124" s="5" t="str">
        <f aca="false">IF($J1124=FALSE(),"",예약내역!$L1121*10000+ROW())</f>
        <v/>
      </c>
      <c r="L1124" s="5" t="str">
        <f aca="false">IF($K1124="","",RANK($K1124,$K$6:$K$2005,1))</f>
        <v/>
      </c>
    </row>
    <row r="1125" customFormat="false" ht="15" hidden="false" customHeight="true" outlineLevel="0" collapsed="false">
      <c r="J1125" s="21" t="b">
        <f aca="false">IF(예약내역!$A1122="",FALSE(),AND(예약내역!$A1122=$B$3,예약내역!$J1122&lt;&gt;"취소"))</f>
        <v>0</v>
      </c>
      <c r="K1125" s="5" t="str">
        <f aca="false">IF($J1125=FALSE(),"",예약내역!$L1122*10000+ROW())</f>
        <v/>
      </c>
      <c r="L1125" s="5" t="str">
        <f aca="false">IF($K1125="","",RANK($K1125,$K$6:$K$2005,1))</f>
        <v/>
      </c>
    </row>
    <row r="1126" customFormat="false" ht="15" hidden="false" customHeight="true" outlineLevel="0" collapsed="false">
      <c r="J1126" s="21" t="b">
        <f aca="false">IF(예약내역!$A1123="",FALSE(),AND(예약내역!$A1123=$B$3,예약내역!$J1123&lt;&gt;"취소"))</f>
        <v>0</v>
      </c>
      <c r="K1126" s="5" t="str">
        <f aca="false">IF($J1126=FALSE(),"",예약내역!$L1123*10000+ROW())</f>
        <v/>
      </c>
      <c r="L1126" s="5" t="str">
        <f aca="false">IF($K1126="","",RANK($K1126,$K$6:$K$2005,1))</f>
        <v/>
      </c>
    </row>
    <row r="1127" customFormat="false" ht="15" hidden="false" customHeight="true" outlineLevel="0" collapsed="false">
      <c r="J1127" s="21" t="b">
        <f aca="false">IF(예약내역!$A1124="",FALSE(),AND(예약내역!$A1124=$B$3,예약내역!$J1124&lt;&gt;"취소"))</f>
        <v>0</v>
      </c>
      <c r="K1127" s="5" t="str">
        <f aca="false">IF($J1127=FALSE(),"",예약내역!$L1124*10000+ROW())</f>
        <v/>
      </c>
      <c r="L1127" s="5" t="str">
        <f aca="false">IF($K1127="","",RANK($K1127,$K$6:$K$2005,1))</f>
        <v/>
      </c>
    </row>
    <row r="1128" customFormat="false" ht="15" hidden="false" customHeight="true" outlineLevel="0" collapsed="false">
      <c r="J1128" s="21" t="b">
        <f aca="false">IF(예약내역!$A1125="",FALSE(),AND(예약내역!$A1125=$B$3,예약내역!$J1125&lt;&gt;"취소"))</f>
        <v>0</v>
      </c>
      <c r="K1128" s="5" t="str">
        <f aca="false">IF($J1128=FALSE(),"",예약내역!$L1125*10000+ROW())</f>
        <v/>
      </c>
      <c r="L1128" s="5" t="str">
        <f aca="false">IF($K1128="","",RANK($K1128,$K$6:$K$2005,1))</f>
        <v/>
      </c>
    </row>
    <row r="1129" customFormat="false" ht="15" hidden="false" customHeight="true" outlineLevel="0" collapsed="false">
      <c r="J1129" s="21" t="b">
        <f aca="false">IF(예약내역!$A1126="",FALSE(),AND(예약내역!$A1126=$B$3,예약내역!$J1126&lt;&gt;"취소"))</f>
        <v>0</v>
      </c>
      <c r="K1129" s="5" t="str">
        <f aca="false">IF($J1129=FALSE(),"",예약내역!$L1126*10000+ROW())</f>
        <v/>
      </c>
      <c r="L1129" s="5" t="str">
        <f aca="false">IF($K1129="","",RANK($K1129,$K$6:$K$2005,1))</f>
        <v/>
      </c>
    </row>
    <row r="1130" customFormat="false" ht="15" hidden="false" customHeight="true" outlineLevel="0" collapsed="false">
      <c r="J1130" s="21" t="b">
        <f aca="false">IF(예약내역!$A1127="",FALSE(),AND(예약내역!$A1127=$B$3,예약내역!$J1127&lt;&gt;"취소"))</f>
        <v>0</v>
      </c>
      <c r="K1130" s="5" t="str">
        <f aca="false">IF($J1130=FALSE(),"",예약내역!$L1127*10000+ROW())</f>
        <v/>
      </c>
      <c r="L1130" s="5" t="str">
        <f aca="false">IF($K1130="","",RANK($K1130,$K$6:$K$2005,1))</f>
        <v/>
      </c>
    </row>
    <row r="1131" customFormat="false" ht="15" hidden="false" customHeight="true" outlineLevel="0" collapsed="false">
      <c r="J1131" s="21" t="b">
        <f aca="false">IF(예약내역!$A1128="",FALSE(),AND(예약내역!$A1128=$B$3,예약내역!$J1128&lt;&gt;"취소"))</f>
        <v>0</v>
      </c>
      <c r="K1131" s="5" t="str">
        <f aca="false">IF($J1131=FALSE(),"",예약내역!$L1128*10000+ROW())</f>
        <v/>
      </c>
      <c r="L1131" s="5" t="str">
        <f aca="false">IF($K1131="","",RANK($K1131,$K$6:$K$2005,1))</f>
        <v/>
      </c>
    </row>
    <row r="1132" customFormat="false" ht="15" hidden="false" customHeight="true" outlineLevel="0" collapsed="false">
      <c r="J1132" s="21" t="b">
        <f aca="false">IF(예약내역!$A1129="",FALSE(),AND(예약내역!$A1129=$B$3,예약내역!$J1129&lt;&gt;"취소"))</f>
        <v>0</v>
      </c>
      <c r="K1132" s="5" t="str">
        <f aca="false">IF($J1132=FALSE(),"",예약내역!$L1129*10000+ROW())</f>
        <v/>
      </c>
      <c r="L1132" s="5" t="str">
        <f aca="false">IF($K1132="","",RANK($K1132,$K$6:$K$2005,1))</f>
        <v/>
      </c>
    </row>
    <row r="1133" customFormat="false" ht="15" hidden="false" customHeight="true" outlineLevel="0" collapsed="false">
      <c r="J1133" s="21" t="b">
        <f aca="false">IF(예약내역!$A1130="",FALSE(),AND(예약내역!$A1130=$B$3,예약내역!$J1130&lt;&gt;"취소"))</f>
        <v>0</v>
      </c>
      <c r="K1133" s="5" t="str">
        <f aca="false">IF($J1133=FALSE(),"",예약내역!$L1130*10000+ROW())</f>
        <v/>
      </c>
      <c r="L1133" s="5" t="str">
        <f aca="false">IF($K1133="","",RANK($K1133,$K$6:$K$2005,1))</f>
        <v/>
      </c>
    </row>
    <row r="1134" customFormat="false" ht="15" hidden="false" customHeight="true" outlineLevel="0" collapsed="false">
      <c r="J1134" s="21" t="b">
        <f aca="false">IF(예약내역!$A1131="",FALSE(),AND(예약내역!$A1131=$B$3,예약내역!$J1131&lt;&gt;"취소"))</f>
        <v>0</v>
      </c>
      <c r="K1134" s="5" t="str">
        <f aca="false">IF($J1134=FALSE(),"",예약내역!$L1131*10000+ROW())</f>
        <v/>
      </c>
      <c r="L1134" s="5" t="str">
        <f aca="false">IF($K1134="","",RANK($K1134,$K$6:$K$2005,1))</f>
        <v/>
      </c>
    </row>
    <row r="1135" customFormat="false" ht="15" hidden="false" customHeight="true" outlineLevel="0" collapsed="false">
      <c r="J1135" s="21" t="b">
        <f aca="false">IF(예약내역!$A1132="",FALSE(),AND(예약내역!$A1132=$B$3,예약내역!$J1132&lt;&gt;"취소"))</f>
        <v>0</v>
      </c>
      <c r="K1135" s="5" t="str">
        <f aca="false">IF($J1135=FALSE(),"",예약내역!$L1132*10000+ROW())</f>
        <v/>
      </c>
      <c r="L1135" s="5" t="str">
        <f aca="false">IF($K1135="","",RANK($K1135,$K$6:$K$2005,1))</f>
        <v/>
      </c>
    </row>
    <row r="1136" customFormat="false" ht="15" hidden="false" customHeight="true" outlineLevel="0" collapsed="false">
      <c r="J1136" s="21" t="b">
        <f aca="false">IF(예약내역!$A1133="",FALSE(),AND(예약내역!$A1133=$B$3,예약내역!$J1133&lt;&gt;"취소"))</f>
        <v>0</v>
      </c>
      <c r="K1136" s="5" t="str">
        <f aca="false">IF($J1136=FALSE(),"",예약내역!$L1133*10000+ROW())</f>
        <v/>
      </c>
      <c r="L1136" s="5" t="str">
        <f aca="false">IF($K1136="","",RANK($K1136,$K$6:$K$2005,1))</f>
        <v/>
      </c>
    </row>
    <row r="1137" customFormat="false" ht="15" hidden="false" customHeight="true" outlineLevel="0" collapsed="false">
      <c r="J1137" s="21" t="b">
        <f aca="false">IF(예약내역!$A1134="",FALSE(),AND(예약내역!$A1134=$B$3,예약내역!$J1134&lt;&gt;"취소"))</f>
        <v>0</v>
      </c>
      <c r="K1137" s="5" t="str">
        <f aca="false">IF($J1137=FALSE(),"",예약내역!$L1134*10000+ROW())</f>
        <v/>
      </c>
      <c r="L1137" s="5" t="str">
        <f aca="false">IF($K1137="","",RANK($K1137,$K$6:$K$2005,1))</f>
        <v/>
      </c>
    </row>
    <row r="1138" customFormat="false" ht="15" hidden="false" customHeight="true" outlineLevel="0" collapsed="false">
      <c r="J1138" s="21" t="b">
        <f aca="false">IF(예약내역!$A1135="",FALSE(),AND(예약내역!$A1135=$B$3,예약내역!$J1135&lt;&gt;"취소"))</f>
        <v>0</v>
      </c>
      <c r="K1138" s="5" t="str">
        <f aca="false">IF($J1138=FALSE(),"",예약내역!$L1135*10000+ROW())</f>
        <v/>
      </c>
      <c r="L1138" s="5" t="str">
        <f aca="false">IF($K1138="","",RANK($K1138,$K$6:$K$2005,1))</f>
        <v/>
      </c>
    </row>
    <row r="1139" customFormat="false" ht="15" hidden="false" customHeight="true" outlineLevel="0" collapsed="false">
      <c r="J1139" s="21" t="b">
        <f aca="false">IF(예약내역!$A1136="",FALSE(),AND(예약내역!$A1136=$B$3,예약내역!$J1136&lt;&gt;"취소"))</f>
        <v>0</v>
      </c>
      <c r="K1139" s="5" t="str">
        <f aca="false">IF($J1139=FALSE(),"",예약내역!$L1136*10000+ROW())</f>
        <v/>
      </c>
      <c r="L1139" s="5" t="str">
        <f aca="false">IF($K1139="","",RANK($K1139,$K$6:$K$2005,1))</f>
        <v/>
      </c>
    </row>
    <row r="1140" customFormat="false" ht="15" hidden="false" customHeight="true" outlineLevel="0" collapsed="false">
      <c r="J1140" s="21" t="b">
        <f aca="false">IF(예약내역!$A1137="",FALSE(),AND(예약내역!$A1137=$B$3,예약내역!$J1137&lt;&gt;"취소"))</f>
        <v>0</v>
      </c>
      <c r="K1140" s="5" t="str">
        <f aca="false">IF($J1140=FALSE(),"",예약내역!$L1137*10000+ROW())</f>
        <v/>
      </c>
      <c r="L1140" s="5" t="str">
        <f aca="false">IF($K1140="","",RANK($K1140,$K$6:$K$2005,1))</f>
        <v/>
      </c>
    </row>
    <row r="1141" customFormat="false" ht="15" hidden="false" customHeight="true" outlineLevel="0" collapsed="false">
      <c r="J1141" s="21" t="b">
        <f aca="false">IF(예약내역!$A1138="",FALSE(),AND(예약내역!$A1138=$B$3,예약내역!$J1138&lt;&gt;"취소"))</f>
        <v>0</v>
      </c>
      <c r="K1141" s="5" t="str">
        <f aca="false">IF($J1141=FALSE(),"",예약내역!$L1138*10000+ROW())</f>
        <v/>
      </c>
      <c r="L1141" s="5" t="str">
        <f aca="false">IF($K1141="","",RANK($K1141,$K$6:$K$2005,1))</f>
        <v/>
      </c>
    </row>
    <row r="1142" customFormat="false" ht="15" hidden="false" customHeight="true" outlineLevel="0" collapsed="false">
      <c r="J1142" s="21" t="b">
        <f aca="false">IF(예약내역!$A1139="",FALSE(),AND(예약내역!$A1139=$B$3,예약내역!$J1139&lt;&gt;"취소"))</f>
        <v>0</v>
      </c>
      <c r="K1142" s="5" t="str">
        <f aca="false">IF($J1142=FALSE(),"",예약내역!$L1139*10000+ROW())</f>
        <v/>
      </c>
      <c r="L1142" s="5" t="str">
        <f aca="false">IF($K1142="","",RANK($K1142,$K$6:$K$2005,1))</f>
        <v/>
      </c>
    </row>
    <row r="1143" customFormat="false" ht="15" hidden="false" customHeight="true" outlineLevel="0" collapsed="false">
      <c r="J1143" s="21" t="b">
        <f aca="false">IF(예약내역!$A1140="",FALSE(),AND(예약내역!$A1140=$B$3,예약내역!$J1140&lt;&gt;"취소"))</f>
        <v>0</v>
      </c>
      <c r="K1143" s="5" t="str">
        <f aca="false">IF($J1143=FALSE(),"",예약내역!$L1140*10000+ROW())</f>
        <v/>
      </c>
      <c r="L1143" s="5" t="str">
        <f aca="false">IF($K1143="","",RANK($K1143,$K$6:$K$2005,1))</f>
        <v/>
      </c>
    </row>
    <row r="1144" customFormat="false" ht="15" hidden="false" customHeight="true" outlineLevel="0" collapsed="false">
      <c r="J1144" s="21" t="b">
        <f aca="false">IF(예약내역!$A1141="",FALSE(),AND(예약내역!$A1141=$B$3,예약내역!$J1141&lt;&gt;"취소"))</f>
        <v>0</v>
      </c>
      <c r="K1144" s="5" t="str">
        <f aca="false">IF($J1144=FALSE(),"",예약내역!$L1141*10000+ROW())</f>
        <v/>
      </c>
      <c r="L1144" s="5" t="str">
        <f aca="false">IF($K1144="","",RANK($K1144,$K$6:$K$2005,1))</f>
        <v/>
      </c>
    </row>
    <row r="1145" customFormat="false" ht="15" hidden="false" customHeight="true" outlineLevel="0" collapsed="false">
      <c r="J1145" s="21" t="b">
        <f aca="false">IF(예약내역!$A1142="",FALSE(),AND(예약내역!$A1142=$B$3,예약내역!$J1142&lt;&gt;"취소"))</f>
        <v>0</v>
      </c>
      <c r="K1145" s="5" t="str">
        <f aca="false">IF($J1145=FALSE(),"",예약내역!$L1142*10000+ROW())</f>
        <v/>
      </c>
      <c r="L1145" s="5" t="str">
        <f aca="false">IF($K1145="","",RANK($K1145,$K$6:$K$2005,1))</f>
        <v/>
      </c>
    </row>
    <row r="1146" customFormat="false" ht="15" hidden="false" customHeight="true" outlineLevel="0" collapsed="false">
      <c r="J1146" s="21" t="b">
        <f aca="false">IF(예약내역!$A1143="",FALSE(),AND(예약내역!$A1143=$B$3,예약내역!$J1143&lt;&gt;"취소"))</f>
        <v>0</v>
      </c>
      <c r="K1146" s="5" t="str">
        <f aca="false">IF($J1146=FALSE(),"",예약내역!$L1143*10000+ROW())</f>
        <v/>
      </c>
      <c r="L1146" s="5" t="str">
        <f aca="false">IF($K1146="","",RANK($K1146,$K$6:$K$2005,1))</f>
        <v/>
      </c>
    </row>
    <row r="1147" customFormat="false" ht="15" hidden="false" customHeight="true" outlineLevel="0" collapsed="false">
      <c r="J1147" s="21" t="b">
        <f aca="false">IF(예약내역!$A1144="",FALSE(),AND(예약내역!$A1144=$B$3,예약내역!$J1144&lt;&gt;"취소"))</f>
        <v>0</v>
      </c>
      <c r="K1147" s="5" t="str">
        <f aca="false">IF($J1147=FALSE(),"",예약내역!$L1144*10000+ROW())</f>
        <v/>
      </c>
      <c r="L1147" s="5" t="str">
        <f aca="false">IF($K1147="","",RANK($K1147,$K$6:$K$2005,1))</f>
        <v/>
      </c>
    </row>
    <row r="1148" customFormat="false" ht="15" hidden="false" customHeight="true" outlineLevel="0" collapsed="false">
      <c r="J1148" s="21" t="b">
        <f aca="false">IF(예약내역!$A1145="",FALSE(),AND(예약내역!$A1145=$B$3,예약내역!$J1145&lt;&gt;"취소"))</f>
        <v>0</v>
      </c>
      <c r="K1148" s="5" t="str">
        <f aca="false">IF($J1148=FALSE(),"",예약내역!$L1145*10000+ROW())</f>
        <v/>
      </c>
      <c r="L1148" s="5" t="str">
        <f aca="false">IF($K1148="","",RANK($K1148,$K$6:$K$2005,1))</f>
        <v/>
      </c>
    </row>
    <row r="1149" customFormat="false" ht="15" hidden="false" customHeight="true" outlineLevel="0" collapsed="false">
      <c r="J1149" s="21" t="b">
        <f aca="false">IF(예약내역!$A1146="",FALSE(),AND(예약내역!$A1146=$B$3,예약내역!$J1146&lt;&gt;"취소"))</f>
        <v>0</v>
      </c>
      <c r="K1149" s="5" t="str">
        <f aca="false">IF($J1149=FALSE(),"",예약내역!$L1146*10000+ROW())</f>
        <v/>
      </c>
      <c r="L1149" s="5" t="str">
        <f aca="false">IF($K1149="","",RANK($K1149,$K$6:$K$2005,1))</f>
        <v/>
      </c>
    </row>
    <row r="1150" customFormat="false" ht="15" hidden="false" customHeight="true" outlineLevel="0" collapsed="false">
      <c r="J1150" s="21" t="b">
        <f aca="false">IF(예약내역!$A1147="",FALSE(),AND(예약내역!$A1147=$B$3,예약내역!$J1147&lt;&gt;"취소"))</f>
        <v>0</v>
      </c>
      <c r="K1150" s="5" t="str">
        <f aca="false">IF($J1150=FALSE(),"",예약내역!$L1147*10000+ROW())</f>
        <v/>
      </c>
      <c r="L1150" s="5" t="str">
        <f aca="false">IF($K1150="","",RANK($K1150,$K$6:$K$2005,1))</f>
        <v/>
      </c>
    </row>
    <row r="1151" customFormat="false" ht="15" hidden="false" customHeight="true" outlineLevel="0" collapsed="false">
      <c r="J1151" s="21" t="b">
        <f aca="false">IF(예약내역!$A1148="",FALSE(),AND(예약내역!$A1148=$B$3,예약내역!$J1148&lt;&gt;"취소"))</f>
        <v>0</v>
      </c>
      <c r="K1151" s="5" t="str">
        <f aca="false">IF($J1151=FALSE(),"",예약내역!$L1148*10000+ROW())</f>
        <v/>
      </c>
      <c r="L1151" s="5" t="str">
        <f aca="false">IF($K1151="","",RANK($K1151,$K$6:$K$2005,1))</f>
        <v/>
      </c>
    </row>
    <row r="1152" customFormat="false" ht="15" hidden="false" customHeight="true" outlineLevel="0" collapsed="false">
      <c r="J1152" s="21" t="b">
        <f aca="false">IF(예약내역!$A1149="",FALSE(),AND(예약내역!$A1149=$B$3,예약내역!$J1149&lt;&gt;"취소"))</f>
        <v>0</v>
      </c>
      <c r="K1152" s="5" t="str">
        <f aca="false">IF($J1152=FALSE(),"",예약내역!$L1149*10000+ROW())</f>
        <v/>
      </c>
      <c r="L1152" s="5" t="str">
        <f aca="false">IF($K1152="","",RANK($K1152,$K$6:$K$2005,1))</f>
        <v/>
      </c>
    </row>
    <row r="1153" customFormat="false" ht="15" hidden="false" customHeight="true" outlineLevel="0" collapsed="false">
      <c r="J1153" s="21" t="b">
        <f aca="false">IF(예약내역!$A1150="",FALSE(),AND(예약내역!$A1150=$B$3,예약내역!$J1150&lt;&gt;"취소"))</f>
        <v>0</v>
      </c>
      <c r="K1153" s="5" t="str">
        <f aca="false">IF($J1153=FALSE(),"",예약내역!$L1150*10000+ROW())</f>
        <v/>
      </c>
      <c r="L1153" s="5" t="str">
        <f aca="false">IF($K1153="","",RANK($K1153,$K$6:$K$2005,1))</f>
        <v/>
      </c>
    </row>
    <row r="1154" customFormat="false" ht="15" hidden="false" customHeight="true" outlineLevel="0" collapsed="false">
      <c r="J1154" s="21" t="b">
        <f aca="false">IF(예약내역!$A1151="",FALSE(),AND(예약내역!$A1151=$B$3,예약내역!$J1151&lt;&gt;"취소"))</f>
        <v>0</v>
      </c>
      <c r="K1154" s="5" t="str">
        <f aca="false">IF($J1154=FALSE(),"",예약내역!$L1151*10000+ROW())</f>
        <v/>
      </c>
      <c r="L1154" s="5" t="str">
        <f aca="false">IF($K1154="","",RANK($K1154,$K$6:$K$2005,1))</f>
        <v/>
      </c>
    </row>
    <row r="1155" customFormat="false" ht="15" hidden="false" customHeight="true" outlineLevel="0" collapsed="false">
      <c r="J1155" s="21" t="b">
        <f aca="false">IF(예약내역!$A1152="",FALSE(),AND(예약내역!$A1152=$B$3,예약내역!$J1152&lt;&gt;"취소"))</f>
        <v>0</v>
      </c>
      <c r="K1155" s="5" t="str">
        <f aca="false">IF($J1155=FALSE(),"",예약내역!$L1152*10000+ROW())</f>
        <v/>
      </c>
      <c r="L1155" s="5" t="str">
        <f aca="false">IF($K1155="","",RANK($K1155,$K$6:$K$2005,1))</f>
        <v/>
      </c>
    </row>
    <row r="1156" customFormat="false" ht="15" hidden="false" customHeight="true" outlineLevel="0" collapsed="false">
      <c r="J1156" s="21" t="b">
        <f aca="false">IF(예약내역!$A1153="",FALSE(),AND(예약내역!$A1153=$B$3,예약내역!$J1153&lt;&gt;"취소"))</f>
        <v>0</v>
      </c>
      <c r="K1156" s="5" t="str">
        <f aca="false">IF($J1156=FALSE(),"",예약내역!$L1153*10000+ROW())</f>
        <v/>
      </c>
      <c r="L1156" s="5" t="str">
        <f aca="false">IF($K1156="","",RANK($K1156,$K$6:$K$2005,1))</f>
        <v/>
      </c>
    </row>
    <row r="1157" customFormat="false" ht="15" hidden="false" customHeight="true" outlineLevel="0" collapsed="false">
      <c r="J1157" s="21" t="b">
        <f aca="false">IF(예약내역!$A1154="",FALSE(),AND(예약내역!$A1154=$B$3,예약내역!$J1154&lt;&gt;"취소"))</f>
        <v>0</v>
      </c>
      <c r="K1157" s="5" t="str">
        <f aca="false">IF($J1157=FALSE(),"",예약내역!$L1154*10000+ROW())</f>
        <v/>
      </c>
      <c r="L1157" s="5" t="str">
        <f aca="false">IF($K1157="","",RANK($K1157,$K$6:$K$2005,1))</f>
        <v/>
      </c>
    </row>
    <row r="1158" customFormat="false" ht="15" hidden="false" customHeight="true" outlineLevel="0" collapsed="false">
      <c r="J1158" s="21" t="b">
        <f aca="false">IF(예약내역!$A1155="",FALSE(),AND(예약내역!$A1155=$B$3,예약내역!$J1155&lt;&gt;"취소"))</f>
        <v>0</v>
      </c>
      <c r="K1158" s="5" t="str">
        <f aca="false">IF($J1158=FALSE(),"",예약내역!$L1155*10000+ROW())</f>
        <v/>
      </c>
      <c r="L1158" s="5" t="str">
        <f aca="false">IF($K1158="","",RANK($K1158,$K$6:$K$2005,1))</f>
        <v/>
      </c>
    </row>
    <row r="1159" customFormat="false" ht="15" hidden="false" customHeight="true" outlineLevel="0" collapsed="false">
      <c r="J1159" s="21" t="b">
        <f aca="false">IF(예약내역!$A1156="",FALSE(),AND(예약내역!$A1156=$B$3,예약내역!$J1156&lt;&gt;"취소"))</f>
        <v>0</v>
      </c>
      <c r="K1159" s="5" t="str">
        <f aca="false">IF($J1159=FALSE(),"",예약내역!$L1156*10000+ROW())</f>
        <v/>
      </c>
      <c r="L1159" s="5" t="str">
        <f aca="false">IF($K1159="","",RANK($K1159,$K$6:$K$2005,1))</f>
        <v/>
      </c>
    </row>
    <row r="1160" customFormat="false" ht="15" hidden="false" customHeight="true" outlineLevel="0" collapsed="false">
      <c r="J1160" s="21" t="b">
        <f aca="false">IF(예약내역!$A1157="",FALSE(),AND(예약내역!$A1157=$B$3,예약내역!$J1157&lt;&gt;"취소"))</f>
        <v>0</v>
      </c>
      <c r="K1160" s="5" t="str">
        <f aca="false">IF($J1160=FALSE(),"",예약내역!$L1157*10000+ROW())</f>
        <v/>
      </c>
      <c r="L1160" s="5" t="str">
        <f aca="false">IF($K1160="","",RANK($K1160,$K$6:$K$2005,1))</f>
        <v/>
      </c>
    </row>
    <row r="1161" customFormat="false" ht="15" hidden="false" customHeight="true" outlineLevel="0" collapsed="false">
      <c r="J1161" s="21" t="b">
        <f aca="false">IF(예약내역!$A1158="",FALSE(),AND(예약내역!$A1158=$B$3,예약내역!$J1158&lt;&gt;"취소"))</f>
        <v>0</v>
      </c>
      <c r="K1161" s="5" t="str">
        <f aca="false">IF($J1161=FALSE(),"",예약내역!$L1158*10000+ROW())</f>
        <v/>
      </c>
      <c r="L1161" s="5" t="str">
        <f aca="false">IF($K1161="","",RANK($K1161,$K$6:$K$2005,1))</f>
        <v/>
      </c>
    </row>
    <row r="1162" customFormat="false" ht="15" hidden="false" customHeight="true" outlineLevel="0" collapsed="false">
      <c r="J1162" s="21" t="b">
        <f aca="false">IF(예약내역!$A1159="",FALSE(),AND(예약내역!$A1159=$B$3,예약내역!$J1159&lt;&gt;"취소"))</f>
        <v>0</v>
      </c>
      <c r="K1162" s="5" t="str">
        <f aca="false">IF($J1162=FALSE(),"",예약내역!$L1159*10000+ROW())</f>
        <v/>
      </c>
      <c r="L1162" s="5" t="str">
        <f aca="false">IF($K1162="","",RANK($K1162,$K$6:$K$2005,1))</f>
        <v/>
      </c>
    </row>
    <row r="1163" customFormat="false" ht="15" hidden="false" customHeight="true" outlineLevel="0" collapsed="false">
      <c r="J1163" s="21" t="b">
        <f aca="false">IF(예약내역!$A1160="",FALSE(),AND(예약내역!$A1160=$B$3,예약내역!$J1160&lt;&gt;"취소"))</f>
        <v>0</v>
      </c>
      <c r="K1163" s="5" t="str">
        <f aca="false">IF($J1163=FALSE(),"",예약내역!$L1160*10000+ROW())</f>
        <v/>
      </c>
      <c r="L1163" s="5" t="str">
        <f aca="false">IF($K1163="","",RANK($K1163,$K$6:$K$2005,1))</f>
        <v/>
      </c>
    </row>
    <row r="1164" customFormat="false" ht="15" hidden="false" customHeight="true" outlineLevel="0" collapsed="false">
      <c r="J1164" s="21" t="b">
        <f aca="false">IF(예약내역!$A1161="",FALSE(),AND(예약내역!$A1161=$B$3,예약내역!$J1161&lt;&gt;"취소"))</f>
        <v>0</v>
      </c>
      <c r="K1164" s="5" t="str">
        <f aca="false">IF($J1164=FALSE(),"",예약내역!$L1161*10000+ROW())</f>
        <v/>
      </c>
      <c r="L1164" s="5" t="str">
        <f aca="false">IF($K1164="","",RANK($K1164,$K$6:$K$2005,1))</f>
        <v/>
      </c>
    </row>
    <row r="1165" customFormat="false" ht="15" hidden="false" customHeight="true" outlineLevel="0" collapsed="false">
      <c r="J1165" s="21" t="b">
        <f aca="false">IF(예약내역!$A1162="",FALSE(),AND(예약내역!$A1162=$B$3,예약내역!$J1162&lt;&gt;"취소"))</f>
        <v>0</v>
      </c>
      <c r="K1165" s="5" t="str">
        <f aca="false">IF($J1165=FALSE(),"",예약내역!$L1162*10000+ROW())</f>
        <v/>
      </c>
      <c r="L1165" s="5" t="str">
        <f aca="false">IF($K1165="","",RANK($K1165,$K$6:$K$2005,1))</f>
        <v/>
      </c>
    </row>
    <row r="1166" customFormat="false" ht="15" hidden="false" customHeight="true" outlineLevel="0" collapsed="false">
      <c r="J1166" s="21" t="b">
        <f aca="false">IF(예약내역!$A1163="",FALSE(),AND(예약내역!$A1163=$B$3,예약내역!$J1163&lt;&gt;"취소"))</f>
        <v>0</v>
      </c>
      <c r="K1166" s="5" t="str">
        <f aca="false">IF($J1166=FALSE(),"",예약내역!$L1163*10000+ROW())</f>
        <v/>
      </c>
      <c r="L1166" s="5" t="str">
        <f aca="false">IF($K1166="","",RANK($K1166,$K$6:$K$2005,1))</f>
        <v/>
      </c>
    </row>
    <row r="1167" customFormat="false" ht="15" hidden="false" customHeight="true" outlineLevel="0" collapsed="false">
      <c r="J1167" s="21" t="b">
        <f aca="false">IF(예약내역!$A1164="",FALSE(),AND(예약내역!$A1164=$B$3,예약내역!$J1164&lt;&gt;"취소"))</f>
        <v>0</v>
      </c>
      <c r="K1167" s="5" t="str">
        <f aca="false">IF($J1167=FALSE(),"",예약내역!$L1164*10000+ROW())</f>
        <v/>
      </c>
      <c r="L1167" s="5" t="str">
        <f aca="false">IF($K1167="","",RANK($K1167,$K$6:$K$2005,1))</f>
        <v/>
      </c>
    </row>
    <row r="1168" customFormat="false" ht="15" hidden="false" customHeight="true" outlineLevel="0" collapsed="false">
      <c r="J1168" s="21" t="b">
        <f aca="false">IF(예약내역!$A1165="",FALSE(),AND(예약내역!$A1165=$B$3,예약내역!$J1165&lt;&gt;"취소"))</f>
        <v>0</v>
      </c>
      <c r="K1168" s="5" t="str">
        <f aca="false">IF($J1168=FALSE(),"",예약내역!$L1165*10000+ROW())</f>
        <v/>
      </c>
      <c r="L1168" s="5" t="str">
        <f aca="false">IF($K1168="","",RANK($K1168,$K$6:$K$2005,1))</f>
        <v/>
      </c>
    </row>
    <row r="1169" customFormat="false" ht="15" hidden="false" customHeight="true" outlineLevel="0" collapsed="false">
      <c r="J1169" s="21" t="b">
        <f aca="false">IF(예약내역!$A1166="",FALSE(),AND(예약내역!$A1166=$B$3,예약내역!$J1166&lt;&gt;"취소"))</f>
        <v>0</v>
      </c>
      <c r="K1169" s="5" t="str">
        <f aca="false">IF($J1169=FALSE(),"",예약내역!$L1166*10000+ROW())</f>
        <v/>
      </c>
      <c r="L1169" s="5" t="str">
        <f aca="false">IF($K1169="","",RANK($K1169,$K$6:$K$2005,1))</f>
        <v/>
      </c>
    </row>
    <row r="1170" customFormat="false" ht="15" hidden="false" customHeight="true" outlineLevel="0" collapsed="false">
      <c r="J1170" s="21" t="b">
        <f aca="false">IF(예약내역!$A1167="",FALSE(),AND(예약내역!$A1167=$B$3,예약내역!$J1167&lt;&gt;"취소"))</f>
        <v>0</v>
      </c>
      <c r="K1170" s="5" t="str">
        <f aca="false">IF($J1170=FALSE(),"",예약내역!$L1167*10000+ROW())</f>
        <v/>
      </c>
      <c r="L1170" s="5" t="str">
        <f aca="false">IF($K1170="","",RANK($K1170,$K$6:$K$2005,1))</f>
        <v/>
      </c>
    </row>
    <row r="1171" customFormat="false" ht="15" hidden="false" customHeight="true" outlineLevel="0" collapsed="false">
      <c r="J1171" s="21" t="b">
        <f aca="false">IF(예약내역!$A1168="",FALSE(),AND(예약내역!$A1168=$B$3,예약내역!$J1168&lt;&gt;"취소"))</f>
        <v>0</v>
      </c>
      <c r="K1171" s="5" t="str">
        <f aca="false">IF($J1171=FALSE(),"",예약내역!$L1168*10000+ROW())</f>
        <v/>
      </c>
      <c r="L1171" s="5" t="str">
        <f aca="false">IF($K1171="","",RANK($K1171,$K$6:$K$2005,1))</f>
        <v/>
      </c>
    </row>
    <row r="1172" customFormat="false" ht="15" hidden="false" customHeight="true" outlineLevel="0" collapsed="false">
      <c r="J1172" s="21" t="b">
        <f aca="false">IF(예약내역!$A1169="",FALSE(),AND(예약내역!$A1169=$B$3,예약내역!$J1169&lt;&gt;"취소"))</f>
        <v>0</v>
      </c>
      <c r="K1172" s="5" t="str">
        <f aca="false">IF($J1172=FALSE(),"",예약내역!$L1169*10000+ROW())</f>
        <v/>
      </c>
      <c r="L1172" s="5" t="str">
        <f aca="false">IF($K1172="","",RANK($K1172,$K$6:$K$2005,1))</f>
        <v/>
      </c>
    </row>
    <row r="1173" customFormat="false" ht="15" hidden="false" customHeight="true" outlineLevel="0" collapsed="false">
      <c r="J1173" s="21" t="b">
        <f aca="false">IF(예약내역!$A1170="",FALSE(),AND(예약내역!$A1170=$B$3,예약내역!$J1170&lt;&gt;"취소"))</f>
        <v>0</v>
      </c>
      <c r="K1173" s="5" t="str">
        <f aca="false">IF($J1173=FALSE(),"",예약내역!$L1170*10000+ROW())</f>
        <v/>
      </c>
      <c r="L1173" s="5" t="str">
        <f aca="false">IF($K1173="","",RANK($K1173,$K$6:$K$2005,1))</f>
        <v/>
      </c>
    </row>
    <row r="1174" customFormat="false" ht="15" hidden="false" customHeight="true" outlineLevel="0" collapsed="false">
      <c r="J1174" s="21" t="b">
        <f aca="false">IF(예약내역!$A1171="",FALSE(),AND(예약내역!$A1171=$B$3,예약내역!$J1171&lt;&gt;"취소"))</f>
        <v>0</v>
      </c>
      <c r="K1174" s="5" t="str">
        <f aca="false">IF($J1174=FALSE(),"",예약내역!$L1171*10000+ROW())</f>
        <v/>
      </c>
      <c r="L1174" s="5" t="str">
        <f aca="false">IF($K1174="","",RANK($K1174,$K$6:$K$2005,1))</f>
        <v/>
      </c>
    </row>
    <row r="1175" customFormat="false" ht="15" hidden="false" customHeight="true" outlineLevel="0" collapsed="false">
      <c r="J1175" s="21" t="b">
        <f aca="false">IF(예약내역!$A1172="",FALSE(),AND(예약내역!$A1172=$B$3,예약내역!$J1172&lt;&gt;"취소"))</f>
        <v>0</v>
      </c>
      <c r="K1175" s="5" t="str">
        <f aca="false">IF($J1175=FALSE(),"",예약내역!$L1172*10000+ROW())</f>
        <v/>
      </c>
      <c r="L1175" s="5" t="str">
        <f aca="false">IF($K1175="","",RANK($K1175,$K$6:$K$2005,1))</f>
        <v/>
      </c>
    </row>
    <row r="1176" customFormat="false" ht="15" hidden="false" customHeight="true" outlineLevel="0" collapsed="false">
      <c r="J1176" s="21" t="b">
        <f aca="false">IF(예약내역!$A1173="",FALSE(),AND(예약내역!$A1173=$B$3,예약내역!$J1173&lt;&gt;"취소"))</f>
        <v>0</v>
      </c>
      <c r="K1176" s="5" t="str">
        <f aca="false">IF($J1176=FALSE(),"",예약내역!$L1173*10000+ROW())</f>
        <v/>
      </c>
      <c r="L1176" s="5" t="str">
        <f aca="false">IF($K1176="","",RANK($K1176,$K$6:$K$2005,1))</f>
        <v/>
      </c>
    </row>
    <row r="1177" customFormat="false" ht="15" hidden="false" customHeight="true" outlineLevel="0" collapsed="false">
      <c r="J1177" s="21" t="b">
        <f aca="false">IF(예약내역!$A1174="",FALSE(),AND(예약내역!$A1174=$B$3,예약내역!$J1174&lt;&gt;"취소"))</f>
        <v>0</v>
      </c>
      <c r="K1177" s="5" t="str">
        <f aca="false">IF($J1177=FALSE(),"",예약내역!$L1174*10000+ROW())</f>
        <v/>
      </c>
      <c r="L1177" s="5" t="str">
        <f aca="false">IF($K1177="","",RANK($K1177,$K$6:$K$2005,1))</f>
        <v/>
      </c>
    </row>
    <row r="1178" customFormat="false" ht="15" hidden="false" customHeight="true" outlineLevel="0" collapsed="false">
      <c r="J1178" s="21" t="b">
        <f aca="false">IF(예약내역!$A1175="",FALSE(),AND(예약내역!$A1175=$B$3,예약내역!$J1175&lt;&gt;"취소"))</f>
        <v>0</v>
      </c>
      <c r="K1178" s="5" t="str">
        <f aca="false">IF($J1178=FALSE(),"",예약내역!$L1175*10000+ROW())</f>
        <v/>
      </c>
      <c r="L1178" s="5" t="str">
        <f aca="false">IF($K1178="","",RANK($K1178,$K$6:$K$2005,1))</f>
        <v/>
      </c>
    </row>
    <row r="1179" customFormat="false" ht="15" hidden="false" customHeight="true" outlineLevel="0" collapsed="false">
      <c r="J1179" s="21" t="b">
        <f aca="false">IF(예약내역!$A1176="",FALSE(),AND(예약내역!$A1176=$B$3,예약내역!$J1176&lt;&gt;"취소"))</f>
        <v>0</v>
      </c>
      <c r="K1179" s="5" t="str">
        <f aca="false">IF($J1179=FALSE(),"",예약내역!$L1176*10000+ROW())</f>
        <v/>
      </c>
      <c r="L1179" s="5" t="str">
        <f aca="false">IF($K1179="","",RANK($K1179,$K$6:$K$2005,1))</f>
        <v/>
      </c>
    </row>
    <row r="1180" customFormat="false" ht="15" hidden="false" customHeight="true" outlineLevel="0" collapsed="false">
      <c r="J1180" s="21" t="b">
        <f aca="false">IF(예약내역!$A1177="",FALSE(),AND(예약내역!$A1177=$B$3,예약내역!$J1177&lt;&gt;"취소"))</f>
        <v>0</v>
      </c>
      <c r="K1180" s="5" t="str">
        <f aca="false">IF($J1180=FALSE(),"",예약내역!$L1177*10000+ROW())</f>
        <v/>
      </c>
      <c r="L1180" s="5" t="str">
        <f aca="false">IF($K1180="","",RANK($K1180,$K$6:$K$2005,1))</f>
        <v/>
      </c>
    </row>
    <row r="1181" customFormat="false" ht="15" hidden="false" customHeight="true" outlineLevel="0" collapsed="false">
      <c r="J1181" s="21" t="b">
        <f aca="false">IF(예약내역!$A1178="",FALSE(),AND(예약내역!$A1178=$B$3,예약내역!$J1178&lt;&gt;"취소"))</f>
        <v>0</v>
      </c>
      <c r="K1181" s="5" t="str">
        <f aca="false">IF($J1181=FALSE(),"",예약내역!$L1178*10000+ROW())</f>
        <v/>
      </c>
      <c r="L1181" s="5" t="str">
        <f aca="false">IF($K1181="","",RANK($K1181,$K$6:$K$2005,1))</f>
        <v/>
      </c>
    </row>
    <row r="1182" customFormat="false" ht="15" hidden="false" customHeight="true" outlineLevel="0" collapsed="false">
      <c r="J1182" s="21" t="b">
        <f aca="false">IF(예약내역!$A1179="",FALSE(),AND(예약내역!$A1179=$B$3,예약내역!$J1179&lt;&gt;"취소"))</f>
        <v>0</v>
      </c>
      <c r="K1182" s="5" t="str">
        <f aca="false">IF($J1182=FALSE(),"",예약내역!$L1179*10000+ROW())</f>
        <v/>
      </c>
      <c r="L1182" s="5" t="str">
        <f aca="false">IF($K1182="","",RANK($K1182,$K$6:$K$2005,1))</f>
        <v/>
      </c>
    </row>
    <row r="1183" customFormat="false" ht="15" hidden="false" customHeight="true" outlineLevel="0" collapsed="false">
      <c r="J1183" s="21" t="b">
        <f aca="false">IF(예약내역!$A1180="",FALSE(),AND(예약내역!$A1180=$B$3,예약내역!$J1180&lt;&gt;"취소"))</f>
        <v>0</v>
      </c>
      <c r="K1183" s="5" t="str">
        <f aca="false">IF($J1183=FALSE(),"",예약내역!$L1180*10000+ROW())</f>
        <v/>
      </c>
      <c r="L1183" s="5" t="str">
        <f aca="false">IF($K1183="","",RANK($K1183,$K$6:$K$2005,1))</f>
        <v/>
      </c>
    </row>
    <row r="1184" customFormat="false" ht="15" hidden="false" customHeight="true" outlineLevel="0" collapsed="false">
      <c r="J1184" s="21" t="b">
        <f aca="false">IF(예약내역!$A1181="",FALSE(),AND(예약내역!$A1181=$B$3,예약내역!$J1181&lt;&gt;"취소"))</f>
        <v>0</v>
      </c>
      <c r="K1184" s="5" t="str">
        <f aca="false">IF($J1184=FALSE(),"",예약내역!$L1181*10000+ROW())</f>
        <v/>
      </c>
      <c r="L1184" s="5" t="str">
        <f aca="false">IF($K1184="","",RANK($K1184,$K$6:$K$2005,1))</f>
        <v/>
      </c>
    </row>
    <row r="1185" customFormat="false" ht="15" hidden="false" customHeight="true" outlineLevel="0" collapsed="false">
      <c r="J1185" s="21" t="b">
        <f aca="false">IF(예약내역!$A1182="",FALSE(),AND(예약내역!$A1182=$B$3,예약내역!$J1182&lt;&gt;"취소"))</f>
        <v>0</v>
      </c>
      <c r="K1185" s="5" t="str">
        <f aca="false">IF($J1185=FALSE(),"",예약내역!$L1182*10000+ROW())</f>
        <v/>
      </c>
      <c r="L1185" s="5" t="str">
        <f aca="false">IF($K1185="","",RANK($K1185,$K$6:$K$2005,1))</f>
        <v/>
      </c>
    </row>
    <row r="1186" customFormat="false" ht="15" hidden="false" customHeight="true" outlineLevel="0" collapsed="false">
      <c r="J1186" s="21" t="b">
        <f aca="false">IF(예약내역!$A1183="",FALSE(),AND(예약내역!$A1183=$B$3,예약내역!$J1183&lt;&gt;"취소"))</f>
        <v>0</v>
      </c>
      <c r="K1186" s="5" t="str">
        <f aca="false">IF($J1186=FALSE(),"",예약내역!$L1183*10000+ROW())</f>
        <v/>
      </c>
      <c r="L1186" s="5" t="str">
        <f aca="false">IF($K1186="","",RANK($K1186,$K$6:$K$2005,1))</f>
        <v/>
      </c>
    </row>
    <row r="1187" customFormat="false" ht="15" hidden="false" customHeight="true" outlineLevel="0" collapsed="false">
      <c r="J1187" s="21" t="b">
        <f aca="false">IF(예약내역!$A1184="",FALSE(),AND(예약내역!$A1184=$B$3,예약내역!$J1184&lt;&gt;"취소"))</f>
        <v>0</v>
      </c>
      <c r="K1187" s="5" t="str">
        <f aca="false">IF($J1187=FALSE(),"",예약내역!$L1184*10000+ROW())</f>
        <v/>
      </c>
      <c r="L1187" s="5" t="str">
        <f aca="false">IF($K1187="","",RANK($K1187,$K$6:$K$2005,1))</f>
        <v/>
      </c>
    </row>
    <row r="1188" customFormat="false" ht="15" hidden="false" customHeight="true" outlineLevel="0" collapsed="false">
      <c r="J1188" s="21" t="b">
        <f aca="false">IF(예약내역!$A1185="",FALSE(),AND(예약내역!$A1185=$B$3,예약내역!$J1185&lt;&gt;"취소"))</f>
        <v>0</v>
      </c>
      <c r="K1188" s="5" t="str">
        <f aca="false">IF($J1188=FALSE(),"",예약내역!$L1185*10000+ROW())</f>
        <v/>
      </c>
      <c r="L1188" s="5" t="str">
        <f aca="false">IF($K1188="","",RANK($K1188,$K$6:$K$2005,1))</f>
        <v/>
      </c>
    </row>
    <row r="1189" customFormat="false" ht="15" hidden="false" customHeight="true" outlineLevel="0" collapsed="false">
      <c r="J1189" s="21" t="b">
        <f aca="false">IF(예약내역!$A1186="",FALSE(),AND(예약내역!$A1186=$B$3,예약내역!$J1186&lt;&gt;"취소"))</f>
        <v>0</v>
      </c>
      <c r="K1189" s="5" t="str">
        <f aca="false">IF($J1189=FALSE(),"",예약내역!$L1186*10000+ROW())</f>
        <v/>
      </c>
      <c r="L1189" s="5" t="str">
        <f aca="false">IF($K1189="","",RANK($K1189,$K$6:$K$2005,1))</f>
        <v/>
      </c>
    </row>
    <row r="1190" customFormat="false" ht="15" hidden="false" customHeight="true" outlineLevel="0" collapsed="false">
      <c r="J1190" s="21" t="b">
        <f aca="false">IF(예약내역!$A1187="",FALSE(),AND(예약내역!$A1187=$B$3,예약내역!$J1187&lt;&gt;"취소"))</f>
        <v>0</v>
      </c>
      <c r="K1190" s="5" t="str">
        <f aca="false">IF($J1190=FALSE(),"",예약내역!$L1187*10000+ROW())</f>
        <v/>
      </c>
      <c r="L1190" s="5" t="str">
        <f aca="false">IF($K1190="","",RANK($K1190,$K$6:$K$2005,1))</f>
        <v/>
      </c>
    </row>
    <row r="1191" customFormat="false" ht="15" hidden="false" customHeight="true" outlineLevel="0" collapsed="false">
      <c r="J1191" s="21" t="b">
        <f aca="false">IF(예약내역!$A1188="",FALSE(),AND(예약내역!$A1188=$B$3,예약내역!$J1188&lt;&gt;"취소"))</f>
        <v>0</v>
      </c>
      <c r="K1191" s="5" t="str">
        <f aca="false">IF($J1191=FALSE(),"",예약내역!$L1188*10000+ROW())</f>
        <v/>
      </c>
      <c r="L1191" s="5" t="str">
        <f aca="false">IF($K1191="","",RANK($K1191,$K$6:$K$2005,1))</f>
        <v/>
      </c>
    </row>
    <row r="1192" customFormat="false" ht="15" hidden="false" customHeight="true" outlineLevel="0" collapsed="false">
      <c r="J1192" s="21" t="b">
        <f aca="false">IF(예약내역!$A1189="",FALSE(),AND(예약내역!$A1189=$B$3,예약내역!$J1189&lt;&gt;"취소"))</f>
        <v>0</v>
      </c>
      <c r="K1192" s="5" t="str">
        <f aca="false">IF($J1192=FALSE(),"",예약내역!$L1189*10000+ROW())</f>
        <v/>
      </c>
      <c r="L1192" s="5" t="str">
        <f aca="false">IF($K1192="","",RANK($K1192,$K$6:$K$2005,1))</f>
        <v/>
      </c>
    </row>
    <row r="1193" customFormat="false" ht="15" hidden="false" customHeight="true" outlineLevel="0" collapsed="false">
      <c r="J1193" s="21" t="b">
        <f aca="false">IF(예약내역!$A1190="",FALSE(),AND(예약내역!$A1190=$B$3,예약내역!$J1190&lt;&gt;"취소"))</f>
        <v>0</v>
      </c>
      <c r="K1193" s="5" t="str">
        <f aca="false">IF($J1193=FALSE(),"",예약내역!$L1190*10000+ROW())</f>
        <v/>
      </c>
      <c r="L1193" s="5" t="str">
        <f aca="false">IF($K1193="","",RANK($K1193,$K$6:$K$2005,1))</f>
        <v/>
      </c>
    </row>
    <row r="1194" customFormat="false" ht="15" hidden="false" customHeight="true" outlineLevel="0" collapsed="false">
      <c r="J1194" s="21" t="b">
        <f aca="false">IF(예약내역!$A1191="",FALSE(),AND(예약내역!$A1191=$B$3,예약내역!$J1191&lt;&gt;"취소"))</f>
        <v>0</v>
      </c>
      <c r="K1194" s="5" t="str">
        <f aca="false">IF($J1194=FALSE(),"",예약내역!$L1191*10000+ROW())</f>
        <v/>
      </c>
      <c r="L1194" s="5" t="str">
        <f aca="false">IF($K1194="","",RANK($K1194,$K$6:$K$2005,1))</f>
        <v/>
      </c>
    </row>
    <row r="1195" customFormat="false" ht="15" hidden="false" customHeight="true" outlineLevel="0" collapsed="false">
      <c r="J1195" s="21" t="b">
        <f aca="false">IF(예약내역!$A1192="",FALSE(),AND(예약내역!$A1192=$B$3,예약내역!$J1192&lt;&gt;"취소"))</f>
        <v>0</v>
      </c>
      <c r="K1195" s="5" t="str">
        <f aca="false">IF($J1195=FALSE(),"",예약내역!$L1192*10000+ROW())</f>
        <v/>
      </c>
      <c r="L1195" s="5" t="str">
        <f aca="false">IF($K1195="","",RANK($K1195,$K$6:$K$2005,1))</f>
        <v/>
      </c>
    </row>
    <row r="1196" customFormat="false" ht="15" hidden="false" customHeight="true" outlineLevel="0" collapsed="false">
      <c r="J1196" s="21" t="b">
        <f aca="false">IF(예약내역!$A1193="",FALSE(),AND(예약내역!$A1193=$B$3,예약내역!$J1193&lt;&gt;"취소"))</f>
        <v>0</v>
      </c>
      <c r="K1196" s="5" t="str">
        <f aca="false">IF($J1196=FALSE(),"",예약내역!$L1193*10000+ROW())</f>
        <v/>
      </c>
      <c r="L1196" s="5" t="str">
        <f aca="false">IF($K1196="","",RANK($K1196,$K$6:$K$2005,1))</f>
        <v/>
      </c>
    </row>
    <row r="1197" customFormat="false" ht="15" hidden="false" customHeight="true" outlineLevel="0" collapsed="false">
      <c r="J1197" s="21" t="b">
        <f aca="false">IF(예약내역!$A1194="",FALSE(),AND(예약내역!$A1194=$B$3,예약내역!$J1194&lt;&gt;"취소"))</f>
        <v>0</v>
      </c>
      <c r="K1197" s="5" t="str">
        <f aca="false">IF($J1197=FALSE(),"",예약내역!$L1194*10000+ROW())</f>
        <v/>
      </c>
      <c r="L1197" s="5" t="str">
        <f aca="false">IF($K1197="","",RANK($K1197,$K$6:$K$2005,1))</f>
        <v/>
      </c>
    </row>
    <row r="1198" customFormat="false" ht="15" hidden="false" customHeight="true" outlineLevel="0" collapsed="false">
      <c r="J1198" s="21" t="b">
        <f aca="false">IF(예약내역!$A1195="",FALSE(),AND(예약내역!$A1195=$B$3,예약내역!$J1195&lt;&gt;"취소"))</f>
        <v>0</v>
      </c>
      <c r="K1198" s="5" t="str">
        <f aca="false">IF($J1198=FALSE(),"",예약내역!$L1195*10000+ROW())</f>
        <v/>
      </c>
      <c r="L1198" s="5" t="str">
        <f aca="false">IF($K1198="","",RANK($K1198,$K$6:$K$2005,1))</f>
        <v/>
      </c>
    </row>
    <row r="1199" customFormat="false" ht="15" hidden="false" customHeight="true" outlineLevel="0" collapsed="false">
      <c r="J1199" s="21" t="b">
        <f aca="false">IF(예약내역!$A1196="",FALSE(),AND(예약내역!$A1196=$B$3,예약내역!$J1196&lt;&gt;"취소"))</f>
        <v>0</v>
      </c>
      <c r="K1199" s="5" t="str">
        <f aca="false">IF($J1199=FALSE(),"",예약내역!$L1196*10000+ROW())</f>
        <v/>
      </c>
      <c r="L1199" s="5" t="str">
        <f aca="false">IF($K1199="","",RANK($K1199,$K$6:$K$2005,1))</f>
        <v/>
      </c>
    </row>
    <row r="1200" customFormat="false" ht="15" hidden="false" customHeight="true" outlineLevel="0" collapsed="false">
      <c r="J1200" s="21" t="b">
        <f aca="false">IF(예약내역!$A1197="",FALSE(),AND(예약내역!$A1197=$B$3,예약내역!$J1197&lt;&gt;"취소"))</f>
        <v>0</v>
      </c>
      <c r="K1200" s="5" t="str">
        <f aca="false">IF($J1200=FALSE(),"",예약내역!$L1197*10000+ROW())</f>
        <v/>
      </c>
      <c r="L1200" s="5" t="str">
        <f aca="false">IF($K1200="","",RANK($K1200,$K$6:$K$2005,1))</f>
        <v/>
      </c>
    </row>
    <row r="1201" customFormat="false" ht="15" hidden="false" customHeight="true" outlineLevel="0" collapsed="false">
      <c r="J1201" s="21" t="b">
        <f aca="false">IF(예약내역!$A1198="",FALSE(),AND(예약내역!$A1198=$B$3,예약내역!$J1198&lt;&gt;"취소"))</f>
        <v>0</v>
      </c>
      <c r="K1201" s="5" t="str">
        <f aca="false">IF($J1201=FALSE(),"",예약내역!$L1198*10000+ROW())</f>
        <v/>
      </c>
      <c r="L1201" s="5" t="str">
        <f aca="false">IF($K1201="","",RANK($K1201,$K$6:$K$2005,1))</f>
        <v/>
      </c>
    </row>
    <row r="1202" customFormat="false" ht="15" hidden="false" customHeight="true" outlineLevel="0" collapsed="false">
      <c r="J1202" s="21" t="b">
        <f aca="false">IF(예약내역!$A1199="",FALSE(),AND(예약내역!$A1199=$B$3,예약내역!$J1199&lt;&gt;"취소"))</f>
        <v>0</v>
      </c>
      <c r="K1202" s="5" t="str">
        <f aca="false">IF($J1202=FALSE(),"",예약내역!$L1199*10000+ROW())</f>
        <v/>
      </c>
      <c r="L1202" s="5" t="str">
        <f aca="false">IF($K1202="","",RANK($K1202,$K$6:$K$2005,1))</f>
        <v/>
      </c>
    </row>
    <row r="1203" customFormat="false" ht="15" hidden="false" customHeight="true" outlineLevel="0" collapsed="false">
      <c r="J1203" s="21" t="b">
        <f aca="false">IF(예약내역!$A1200="",FALSE(),AND(예약내역!$A1200=$B$3,예약내역!$J1200&lt;&gt;"취소"))</f>
        <v>0</v>
      </c>
      <c r="K1203" s="5" t="str">
        <f aca="false">IF($J1203=FALSE(),"",예약내역!$L1200*10000+ROW())</f>
        <v/>
      </c>
      <c r="L1203" s="5" t="str">
        <f aca="false">IF($K1203="","",RANK($K1203,$K$6:$K$2005,1))</f>
        <v/>
      </c>
    </row>
    <row r="1204" customFormat="false" ht="15" hidden="false" customHeight="true" outlineLevel="0" collapsed="false">
      <c r="J1204" s="21" t="b">
        <f aca="false">IF(예약내역!$A1201="",FALSE(),AND(예약내역!$A1201=$B$3,예약내역!$J1201&lt;&gt;"취소"))</f>
        <v>0</v>
      </c>
      <c r="K1204" s="5" t="str">
        <f aca="false">IF($J1204=FALSE(),"",예약내역!$L1201*10000+ROW())</f>
        <v/>
      </c>
      <c r="L1204" s="5" t="str">
        <f aca="false">IF($K1204="","",RANK($K1204,$K$6:$K$2005,1))</f>
        <v/>
      </c>
    </row>
    <row r="1205" customFormat="false" ht="15" hidden="false" customHeight="true" outlineLevel="0" collapsed="false">
      <c r="J1205" s="21" t="b">
        <f aca="false">IF(예약내역!$A1202="",FALSE(),AND(예약내역!$A1202=$B$3,예약내역!$J1202&lt;&gt;"취소"))</f>
        <v>0</v>
      </c>
      <c r="K1205" s="5" t="str">
        <f aca="false">IF($J1205=FALSE(),"",예약내역!$L1202*10000+ROW())</f>
        <v/>
      </c>
      <c r="L1205" s="5" t="str">
        <f aca="false">IF($K1205="","",RANK($K1205,$K$6:$K$2005,1))</f>
        <v/>
      </c>
    </row>
    <row r="1206" customFormat="false" ht="15" hidden="false" customHeight="true" outlineLevel="0" collapsed="false">
      <c r="J1206" s="21" t="b">
        <f aca="false">IF(예약내역!$A1203="",FALSE(),AND(예약내역!$A1203=$B$3,예약내역!$J1203&lt;&gt;"취소"))</f>
        <v>0</v>
      </c>
      <c r="K1206" s="5" t="str">
        <f aca="false">IF($J1206=FALSE(),"",예약내역!$L1203*10000+ROW())</f>
        <v/>
      </c>
      <c r="L1206" s="5" t="str">
        <f aca="false">IF($K1206="","",RANK($K1206,$K$6:$K$2005,1))</f>
        <v/>
      </c>
    </row>
    <row r="1207" customFormat="false" ht="15" hidden="false" customHeight="true" outlineLevel="0" collapsed="false">
      <c r="J1207" s="21" t="b">
        <f aca="false">IF(예약내역!$A1204="",FALSE(),AND(예약내역!$A1204=$B$3,예약내역!$J1204&lt;&gt;"취소"))</f>
        <v>0</v>
      </c>
      <c r="K1207" s="5" t="str">
        <f aca="false">IF($J1207=FALSE(),"",예약내역!$L1204*10000+ROW())</f>
        <v/>
      </c>
      <c r="L1207" s="5" t="str">
        <f aca="false">IF($K1207="","",RANK($K1207,$K$6:$K$2005,1))</f>
        <v/>
      </c>
    </row>
    <row r="1208" customFormat="false" ht="15" hidden="false" customHeight="true" outlineLevel="0" collapsed="false">
      <c r="J1208" s="21" t="b">
        <f aca="false">IF(예약내역!$A1205="",FALSE(),AND(예약내역!$A1205=$B$3,예약내역!$J1205&lt;&gt;"취소"))</f>
        <v>0</v>
      </c>
      <c r="K1208" s="5" t="str">
        <f aca="false">IF($J1208=FALSE(),"",예약내역!$L1205*10000+ROW())</f>
        <v/>
      </c>
      <c r="L1208" s="5" t="str">
        <f aca="false">IF($K1208="","",RANK($K1208,$K$6:$K$2005,1))</f>
        <v/>
      </c>
    </row>
    <row r="1209" customFormat="false" ht="15" hidden="false" customHeight="true" outlineLevel="0" collapsed="false">
      <c r="J1209" s="21" t="b">
        <f aca="false">IF(예약내역!$A1206="",FALSE(),AND(예약내역!$A1206=$B$3,예약내역!$J1206&lt;&gt;"취소"))</f>
        <v>0</v>
      </c>
      <c r="K1209" s="5" t="str">
        <f aca="false">IF($J1209=FALSE(),"",예약내역!$L1206*10000+ROW())</f>
        <v/>
      </c>
      <c r="L1209" s="5" t="str">
        <f aca="false">IF($K1209="","",RANK($K1209,$K$6:$K$2005,1))</f>
        <v/>
      </c>
    </row>
    <row r="1210" customFormat="false" ht="15" hidden="false" customHeight="true" outlineLevel="0" collapsed="false">
      <c r="J1210" s="21" t="b">
        <f aca="false">IF(예약내역!$A1207="",FALSE(),AND(예약내역!$A1207=$B$3,예약내역!$J1207&lt;&gt;"취소"))</f>
        <v>0</v>
      </c>
      <c r="K1210" s="5" t="str">
        <f aca="false">IF($J1210=FALSE(),"",예약내역!$L1207*10000+ROW())</f>
        <v/>
      </c>
      <c r="L1210" s="5" t="str">
        <f aca="false">IF($K1210="","",RANK($K1210,$K$6:$K$2005,1))</f>
        <v/>
      </c>
    </row>
    <row r="1211" customFormat="false" ht="15" hidden="false" customHeight="true" outlineLevel="0" collapsed="false">
      <c r="J1211" s="21" t="b">
        <f aca="false">IF(예약내역!$A1208="",FALSE(),AND(예약내역!$A1208=$B$3,예약내역!$J1208&lt;&gt;"취소"))</f>
        <v>0</v>
      </c>
      <c r="K1211" s="5" t="str">
        <f aca="false">IF($J1211=FALSE(),"",예약내역!$L1208*10000+ROW())</f>
        <v/>
      </c>
      <c r="L1211" s="5" t="str">
        <f aca="false">IF($K1211="","",RANK($K1211,$K$6:$K$2005,1))</f>
        <v/>
      </c>
    </row>
    <row r="1212" customFormat="false" ht="15" hidden="false" customHeight="true" outlineLevel="0" collapsed="false">
      <c r="J1212" s="21" t="b">
        <f aca="false">IF(예약내역!$A1209="",FALSE(),AND(예약내역!$A1209=$B$3,예약내역!$J1209&lt;&gt;"취소"))</f>
        <v>0</v>
      </c>
      <c r="K1212" s="5" t="str">
        <f aca="false">IF($J1212=FALSE(),"",예약내역!$L1209*10000+ROW())</f>
        <v/>
      </c>
      <c r="L1212" s="5" t="str">
        <f aca="false">IF($K1212="","",RANK($K1212,$K$6:$K$2005,1))</f>
        <v/>
      </c>
    </row>
    <row r="1213" customFormat="false" ht="15" hidden="false" customHeight="true" outlineLevel="0" collapsed="false">
      <c r="J1213" s="21" t="b">
        <f aca="false">IF(예약내역!$A1210="",FALSE(),AND(예약내역!$A1210=$B$3,예약내역!$J1210&lt;&gt;"취소"))</f>
        <v>0</v>
      </c>
      <c r="K1213" s="5" t="str">
        <f aca="false">IF($J1213=FALSE(),"",예약내역!$L1210*10000+ROW())</f>
        <v/>
      </c>
      <c r="L1213" s="5" t="str">
        <f aca="false">IF($K1213="","",RANK($K1213,$K$6:$K$2005,1))</f>
        <v/>
      </c>
    </row>
    <row r="1214" customFormat="false" ht="15" hidden="false" customHeight="true" outlineLevel="0" collapsed="false">
      <c r="J1214" s="21" t="b">
        <f aca="false">IF(예약내역!$A1211="",FALSE(),AND(예약내역!$A1211=$B$3,예약내역!$J1211&lt;&gt;"취소"))</f>
        <v>0</v>
      </c>
      <c r="K1214" s="5" t="str">
        <f aca="false">IF($J1214=FALSE(),"",예약내역!$L1211*10000+ROW())</f>
        <v/>
      </c>
      <c r="L1214" s="5" t="str">
        <f aca="false">IF($K1214="","",RANK($K1214,$K$6:$K$2005,1))</f>
        <v/>
      </c>
    </row>
    <row r="1215" customFormat="false" ht="15" hidden="false" customHeight="true" outlineLevel="0" collapsed="false">
      <c r="J1215" s="21" t="b">
        <f aca="false">IF(예약내역!$A1212="",FALSE(),AND(예약내역!$A1212=$B$3,예약내역!$J1212&lt;&gt;"취소"))</f>
        <v>0</v>
      </c>
      <c r="K1215" s="5" t="str">
        <f aca="false">IF($J1215=FALSE(),"",예약내역!$L1212*10000+ROW())</f>
        <v/>
      </c>
      <c r="L1215" s="5" t="str">
        <f aca="false">IF($K1215="","",RANK($K1215,$K$6:$K$2005,1))</f>
        <v/>
      </c>
    </row>
    <row r="1216" customFormat="false" ht="15" hidden="false" customHeight="true" outlineLevel="0" collapsed="false">
      <c r="J1216" s="21" t="b">
        <f aca="false">IF(예약내역!$A1213="",FALSE(),AND(예약내역!$A1213=$B$3,예약내역!$J1213&lt;&gt;"취소"))</f>
        <v>0</v>
      </c>
      <c r="K1216" s="5" t="str">
        <f aca="false">IF($J1216=FALSE(),"",예약내역!$L1213*10000+ROW())</f>
        <v/>
      </c>
      <c r="L1216" s="5" t="str">
        <f aca="false">IF($K1216="","",RANK($K1216,$K$6:$K$2005,1))</f>
        <v/>
      </c>
    </row>
    <row r="1217" customFormat="false" ht="15" hidden="false" customHeight="true" outlineLevel="0" collapsed="false">
      <c r="J1217" s="21" t="b">
        <f aca="false">IF(예약내역!$A1214="",FALSE(),AND(예약내역!$A1214=$B$3,예약내역!$J1214&lt;&gt;"취소"))</f>
        <v>0</v>
      </c>
      <c r="K1217" s="5" t="str">
        <f aca="false">IF($J1217=FALSE(),"",예약내역!$L1214*10000+ROW())</f>
        <v/>
      </c>
      <c r="L1217" s="5" t="str">
        <f aca="false">IF($K1217="","",RANK($K1217,$K$6:$K$2005,1))</f>
        <v/>
      </c>
    </row>
    <row r="1218" customFormat="false" ht="15" hidden="false" customHeight="true" outlineLevel="0" collapsed="false">
      <c r="J1218" s="21" t="b">
        <f aca="false">IF(예약내역!$A1215="",FALSE(),AND(예약내역!$A1215=$B$3,예약내역!$J1215&lt;&gt;"취소"))</f>
        <v>0</v>
      </c>
      <c r="K1218" s="5" t="str">
        <f aca="false">IF($J1218=FALSE(),"",예약내역!$L1215*10000+ROW())</f>
        <v/>
      </c>
      <c r="L1218" s="5" t="str">
        <f aca="false">IF($K1218="","",RANK($K1218,$K$6:$K$2005,1))</f>
        <v/>
      </c>
    </row>
    <row r="1219" customFormat="false" ht="15" hidden="false" customHeight="true" outlineLevel="0" collapsed="false">
      <c r="J1219" s="21" t="b">
        <f aca="false">IF(예약내역!$A1216="",FALSE(),AND(예약내역!$A1216=$B$3,예약내역!$J1216&lt;&gt;"취소"))</f>
        <v>0</v>
      </c>
      <c r="K1219" s="5" t="str">
        <f aca="false">IF($J1219=FALSE(),"",예약내역!$L1216*10000+ROW())</f>
        <v/>
      </c>
      <c r="L1219" s="5" t="str">
        <f aca="false">IF($K1219="","",RANK($K1219,$K$6:$K$2005,1))</f>
        <v/>
      </c>
    </row>
    <row r="1220" customFormat="false" ht="15" hidden="false" customHeight="true" outlineLevel="0" collapsed="false">
      <c r="J1220" s="21" t="b">
        <f aca="false">IF(예약내역!$A1217="",FALSE(),AND(예약내역!$A1217=$B$3,예약내역!$J1217&lt;&gt;"취소"))</f>
        <v>0</v>
      </c>
      <c r="K1220" s="5" t="str">
        <f aca="false">IF($J1220=FALSE(),"",예약내역!$L1217*10000+ROW())</f>
        <v/>
      </c>
      <c r="L1220" s="5" t="str">
        <f aca="false">IF($K1220="","",RANK($K1220,$K$6:$K$2005,1))</f>
        <v/>
      </c>
    </row>
    <row r="1221" customFormat="false" ht="15" hidden="false" customHeight="true" outlineLevel="0" collapsed="false">
      <c r="J1221" s="21" t="b">
        <f aca="false">IF(예약내역!$A1218="",FALSE(),AND(예약내역!$A1218=$B$3,예약내역!$J1218&lt;&gt;"취소"))</f>
        <v>0</v>
      </c>
      <c r="K1221" s="5" t="str">
        <f aca="false">IF($J1221=FALSE(),"",예약내역!$L1218*10000+ROW())</f>
        <v/>
      </c>
      <c r="L1221" s="5" t="str">
        <f aca="false">IF($K1221="","",RANK($K1221,$K$6:$K$2005,1))</f>
        <v/>
      </c>
    </row>
    <row r="1222" customFormat="false" ht="15" hidden="false" customHeight="true" outlineLevel="0" collapsed="false">
      <c r="J1222" s="21" t="b">
        <f aca="false">IF(예약내역!$A1219="",FALSE(),AND(예약내역!$A1219=$B$3,예약내역!$J1219&lt;&gt;"취소"))</f>
        <v>0</v>
      </c>
      <c r="K1222" s="5" t="str">
        <f aca="false">IF($J1222=FALSE(),"",예약내역!$L1219*10000+ROW())</f>
        <v/>
      </c>
      <c r="L1222" s="5" t="str">
        <f aca="false">IF($K1222="","",RANK($K1222,$K$6:$K$2005,1))</f>
        <v/>
      </c>
    </row>
    <row r="1223" customFormat="false" ht="15" hidden="false" customHeight="true" outlineLevel="0" collapsed="false">
      <c r="J1223" s="21" t="b">
        <f aca="false">IF(예약내역!$A1220="",FALSE(),AND(예약내역!$A1220=$B$3,예약내역!$J1220&lt;&gt;"취소"))</f>
        <v>0</v>
      </c>
      <c r="K1223" s="5" t="str">
        <f aca="false">IF($J1223=FALSE(),"",예약내역!$L1220*10000+ROW())</f>
        <v/>
      </c>
      <c r="L1223" s="5" t="str">
        <f aca="false">IF($K1223="","",RANK($K1223,$K$6:$K$2005,1))</f>
        <v/>
      </c>
    </row>
    <row r="1224" customFormat="false" ht="15" hidden="false" customHeight="true" outlineLevel="0" collapsed="false">
      <c r="J1224" s="21" t="b">
        <f aca="false">IF(예약내역!$A1221="",FALSE(),AND(예약내역!$A1221=$B$3,예약내역!$J1221&lt;&gt;"취소"))</f>
        <v>0</v>
      </c>
      <c r="K1224" s="5" t="str">
        <f aca="false">IF($J1224=FALSE(),"",예약내역!$L1221*10000+ROW())</f>
        <v/>
      </c>
      <c r="L1224" s="5" t="str">
        <f aca="false">IF($K1224="","",RANK($K1224,$K$6:$K$2005,1))</f>
        <v/>
      </c>
    </row>
    <row r="1225" customFormat="false" ht="15" hidden="false" customHeight="true" outlineLevel="0" collapsed="false">
      <c r="J1225" s="21" t="b">
        <f aca="false">IF(예약내역!$A1222="",FALSE(),AND(예약내역!$A1222=$B$3,예약내역!$J1222&lt;&gt;"취소"))</f>
        <v>0</v>
      </c>
      <c r="K1225" s="5" t="str">
        <f aca="false">IF($J1225=FALSE(),"",예약내역!$L1222*10000+ROW())</f>
        <v/>
      </c>
      <c r="L1225" s="5" t="str">
        <f aca="false">IF($K1225="","",RANK($K1225,$K$6:$K$2005,1))</f>
        <v/>
      </c>
    </row>
    <row r="1226" customFormat="false" ht="15" hidden="false" customHeight="true" outlineLevel="0" collapsed="false">
      <c r="J1226" s="21" t="b">
        <f aca="false">IF(예약내역!$A1223="",FALSE(),AND(예약내역!$A1223=$B$3,예약내역!$J1223&lt;&gt;"취소"))</f>
        <v>0</v>
      </c>
      <c r="K1226" s="5" t="str">
        <f aca="false">IF($J1226=FALSE(),"",예약내역!$L1223*10000+ROW())</f>
        <v/>
      </c>
      <c r="L1226" s="5" t="str">
        <f aca="false">IF($K1226="","",RANK($K1226,$K$6:$K$2005,1))</f>
        <v/>
      </c>
    </row>
    <row r="1227" customFormat="false" ht="15" hidden="false" customHeight="true" outlineLevel="0" collapsed="false">
      <c r="J1227" s="21" t="b">
        <f aca="false">IF(예약내역!$A1224="",FALSE(),AND(예약내역!$A1224=$B$3,예약내역!$J1224&lt;&gt;"취소"))</f>
        <v>0</v>
      </c>
      <c r="K1227" s="5" t="str">
        <f aca="false">IF($J1227=FALSE(),"",예약내역!$L1224*10000+ROW())</f>
        <v/>
      </c>
      <c r="L1227" s="5" t="str">
        <f aca="false">IF($K1227="","",RANK($K1227,$K$6:$K$2005,1))</f>
        <v/>
      </c>
    </row>
    <row r="1228" customFormat="false" ht="15" hidden="false" customHeight="true" outlineLevel="0" collapsed="false">
      <c r="J1228" s="21" t="b">
        <f aca="false">IF(예약내역!$A1225="",FALSE(),AND(예약내역!$A1225=$B$3,예약내역!$J1225&lt;&gt;"취소"))</f>
        <v>0</v>
      </c>
      <c r="K1228" s="5" t="str">
        <f aca="false">IF($J1228=FALSE(),"",예약내역!$L1225*10000+ROW())</f>
        <v/>
      </c>
      <c r="L1228" s="5" t="str">
        <f aca="false">IF($K1228="","",RANK($K1228,$K$6:$K$2005,1))</f>
        <v/>
      </c>
    </row>
    <row r="1229" customFormat="false" ht="15" hidden="false" customHeight="true" outlineLevel="0" collapsed="false">
      <c r="J1229" s="21" t="b">
        <f aca="false">IF(예약내역!$A1226="",FALSE(),AND(예약내역!$A1226=$B$3,예약내역!$J1226&lt;&gt;"취소"))</f>
        <v>0</v>
      </c>
      <c r="K1229" s="5" t="str">
        <f aca="false">IF($J1229=FALSE(),"",예약내역!$L1226*10000+ROW())</f>
        <v/>
      </c>
      <c r="L1229" s="5" t="str">
        <f aca="false">IF($K1229="","",RANK($K1229,$K$6:$K$2005,1))</f>
        <v/>
      </c>
    </row>
    <row r="1230" customFormat="false" ht="15" hidden="false" customHeight="true" outlineLevel="0" collapsed="false">
      <c r="J1230" s="21" t="b">
        <f aca="false">IF(예약내역!$A1227="",FALSE(),AND(예약내역!$A1227=$B$3,예약내역!$J1227&lt;&gt;"취소"))</f>
        <v>0</v>
      </c>
      <c r="K1230" s="5" t="str">
        <f aca="false">IF($J1230=FALSE(),"",예약내역!$L1227*10000+ROW())</f>
        <v/>
      </c>
      <c r="L1230" s="5" t="str">
        <f aca="false">IF($K1230="","",RANK($K1230,$K$6:$K$2005,1))</f>
        <v/>
      </c>
    </row>
    <row r="1231" customFormat="false" ht="15" hidden="false" customHeight="true" outlineLevel="0" collapsed="false">
      <c r="J1231" s="21" t="b">
        <f aca="false">IF(예약내역!$A1228="",FALSE(),AND(예약내역!$A1228=$B$3,예약내역!$J1228&lt;&gt;"취소"))</f>
        <v>0</v>
      </c>
      <c r="K1231" s="5" t="str">
        <f aca="false">IF($J1231=FALSE(),"",예약내역!$L1228*10000+ROW())</f>
        <v/>
      </c>
      <c r="L1231" s="5" t="str">
        <f aca="false">IF($K1231="","",RANK($K1231,$K$6:$K$2005,1))</f>
        <v/>
      </c>
    </row>
    <row r="1232" customFormat="false" ht="15" hidden="false" customHeight="true" outlineLevel="0" collapsed="false">
      <c r="J1232" s="21" t="b">
        <f aca="false">IF(예약내역!$A1229="",FALSE(),AND(예약내역!$A1229=$B$3,예약내역!$J1229&lt;&gt;"취소"))</f>
        <v>0</v>
      </c>
      <c r="K1232" s="5" t="str">
        <f aca="false">IF($J1232=FALSE(),"",예약내역!$L1229*10000+ROW())</f>
        <v/>
      </c>
      <c r="L1232" s="5" t="str">
        <f aca="false">IF($K1232="","",RANK($K1232,$K$6:$K$2005,1))</f>
        <v/>
      </c>
    </row>
    <row r="1233" customFormat="false" ht="15" hidden="false" customHeight="true" outlineLevel="0" collapsed="false">
      <c r="J1233" s="21" t="b">
        <f aca="false">IF(예약내역!$A1230="",FALSE(),AND(예약내역!$A1230=$B$3,예약내역!$J1230&lt;&gt;"취소"))</f>
        <v>0</v>
      </c>
      <c r="K1233" s="5" t="str">
        <f aca="false">IF($J1233=FALSE(),"",예약내역!$L1230*10000+ROW())</f>
        <v/>
      </c>
      <c r="L1233" s="5" t="str">
        <f aca="false">IF($K1233="","",RANK($K1233,$K$6:$K$2005,1))</f>
        <v/>
      </c>
    </row>
    <row r="1234" customFormat="false" ht="15" hidden="false" customHeight="true" outlineLevel="0" collapsed="false">
      <c r="J1234" s="21" t="b">
        <f aca="false">IF(예약내역!$A1231="",FALSE(),AND(예약내역!$A1231=$B$3,예약내역!$J1231&lt;&gt;"취소"))</f>
        <v>0</v>
      </c>
      <c r="K1234" s="5" t="str">
        <f aca="false">IF($J1234=FALSE(),"",예약내역!$L1231*10000+ROW())</f>
        <v/>
      </c>
      <c r="L1234" s="5" t="str">
        <f aca="false">IF($K1234="","",RANK($K1234,$K$6:$K$2005,1))</f>
        <v/>
      </c>
    </row>
    <row r="1235" customFormat="false" ht="15" hidden="false" customHeight="true" outlineLevel="0" collapsed="false">
      <c r="J1235" s="21" t="b">
        <f aca="false">IF(예약내역!$A1232="",FALSE(),AND(예약내역!$A1232=$B$3,예약내역!$J1232&lt;&gt;"취소"))</f>
        <v>0</v>
      </c>
      <c r="K1235" s="5" t="str">
        <f aca="false">IF($J1235=FALSE(),"",예약내역!$L1232*10000+ROW())</f>
        <v/>
      </c>
      <c r="L1235" s="5" t="str">
        <f aca="false">IF($K1235="","",RANK($K1235,$K$6:$K$2005,1))</f>
        <v/>
      </c>
    </row>
    <row r="1236" customFormat="false" ht="15" hidden="false" customHeight="true" outlineLevel="0" collapsed="false">
      <c r="J1236" s="21" t="b">
        <f aca="false">IF(예약내역!$A1233="",FALSE(),AND(예약내역!$A1233=$B$3,예약내역!$J1233&lt;&gt;"취소"))</f>
        <v>0</v>
      </c>
      <c r="K1236" s="5" t="str">
        <f aca="false">IF($J1236=FALSE(),"",예약내역!$L1233*10000+ROW())</f>
        <v/>
      </c>
      <c r="L1236" s="5" t="str">
        <f aca="false">IF($K1236="","",RANK($K1236,$K$6:$K$2005,1))</f>
        <v/>
      </c>
    </row>
    <row r="1237" customFormat="false" ht="15" hidden="false" customHeight="true" outlineLevel="0" collapsed="false">
      <c r="J1237" s="21" t="b">
        <f aca="false">IF(예약내역!$A1234="",FALSE(),AND(예약내역!$A1234=$B$3,예약내역!$J1234&lt;&gt;"취소"))</f>
        <v>0</v>
      </c>
      <c r="K1237" s="5" t="str">
        <f aca="false">IF($J1237=FALSE(),"",예약내역!$L1234*10000+ROW())</f>
        <v/>
      </c>
      <c r="L1237" s="5" t="str">
        <f aca="false">IF($K1237="","",RANK($K1237,$K$6:$K$2005,1))</f>
        <v/>
      </c>
    </row>
    <row r="1238" customFormat="false" ht="15" hidden="false" customHeight="true" outlineLevel="0" collapsed="false">
      <c r="J1238" s="21" t="b">
        <f aca="false">IF(예약내역!$A1235="",FALSE(),AND(예약내역!$A1235=$B$3,예약내역!$J1235&lt;&gt;"취소"))</f>
        <v>0</v>
      </c>
      <c r="K1238" s="5" t="str">
        <f aca="false">IF($J1238=FALSE(),"",예약내역!$L1235*10000+ROW())</f>
        <v/>
      </c>
      <c r="L1238" s="5" t="str">
        <f aca="false">IF($K1238="","",RANK($K1238,$K$6:$K$2005,1))</f>
        <v/>
      </c>
    </row>
    <row r="1239" customFormat="false" ht="15" hidden="false" customHeight="true" outlineLevel="0" collapsed="false">
      <c r="J1239" s="21" t="b">
        <f aca="false">IF(예약내역!$A1236="",FALSE(),AND(예약내역!$A1236=$B$3,예약내역!$J1236&lt;&gt;"취소"))</f>
        <v>0</v>
      </c>
      <c r="K1239" s="5" t="str">
        <f aca="false">IF($J1239=FALSE(),"",예약내역!$L1236*10000+ROW())</f>
        <v/>
      </c>
      <c r="L1239" s="5" t="str">
        <f aca="false">IF($K1239="","",RANK($K1239,$K$6:$K$2005,1))</f>
        <v/>
      </c>
    </row>
    <row r="1240" customFormat="false" ht="15" hidden="false" customHeight="true" outlineLevel="0" collapsed="false">
      <c r="J1240" s="21" t="b">
        <f aca="false">IF(예약내역!$A1237="",FALSE(),AND(예약내역!$A1237=$B$3,예약내역!$J1237&lt;&gt;"취소"))</f>
        <v>0</v>
      </c>
      <c r="K1240" s="5" t="str">
        <f aca="false">IF($J1240=FALSE(),"",예약내역!$L1237*10000+ROW())</f>
        <v/>
      </c>
      <c r="L1240" s="5" t="str">
        <f aca="false">IF($K1240="","",RANK($K1240,$K$6:$K$2005,1))</f>
        <v/>
      </c>
    </row>
    <row r="1241" customFormat="false" ht="15" hidden="false" customHeight="true" outlineLevel="0" collapsed="false">
      <c r="J1241" s="21" t="b">
        <f aca="false">IF(예약내역!$A1238="",FALSE(),AND(예약내역!$A1238=$B$3,예약내역!$J1238&lt;&gt;"취소"))</f>
        <v>0</v>
      </c>
      <c r="K1241" s="5" t="str">
        <f aca="false">IF($J1241=FALSE(),"",예약내역!$L1238*10000+ROW())</f>
        <v/>
      </c>
      <c r="L1241" s="5" t="str">
        <f aca="false">IF($K1241="","",RANK($K1241,$K$6:$K$2005,1))</f>
        <v/>
      </c>
    </row>
    <row r="1242" customFormat="false" ht="15" hidden="false" customHeight="true" outlineLevel="0" collapsed="false">
      <c r="J1242" s="21" t="b">
        <f aca="false">IF(예약내역!$A1239="",FALSE(),AND(예약내역!$A1239=$B$3,예약내역!$J1239&lt;&gt;"취소"))</f>
        <v>0</v>
      </c>
      <c r="K1242" s="5" t="str">
        <f aca="false">IF($J1242=FALSE(),"",예약내역!$L1239*10000+ROW())</f>
        <v/>
      </c>
      <c r="L1242" s="5" t="str">
        <f aca="false">IF($K1242="","",RANK($K1242,$K$6:$K$2005,1))</f>
        <v/>
      </c>
    </row>
    <row r="1243" customFormat="false" ht="15" hidden="false" customHeight="true" outlineLevel="0" collapsed="false">
      <c r="J1243" s="21" t="b">
        <f aca="false">IF(예약내역!$A1240="",FALSE(),AND(예약내역!$A1240=$B$3,예약내역!$J1240&lt;&gt;"취소"))</f>
        <v>0</v>
      </c>
      <c r="K1243" s="5" t="str">
        <f aca="false">IF($J1243=FALSE(),"",예약내역!$L1240*10000+ROW())</f>
        <v/>
      </c>
      <c r="L1243" s="5" t="str">
        <f aca="false">IF($K1243="","",RANK($K1243,$K$6:$K$2005,1))</f>
        <v/>
      </c>
    </row>
    <row r="1244" customFormat="false" ht="15" hidden="false" customHeight="true" outlineLevel="0" collapsed="false">
      <c r="J1244" s="21" t="b">
        <f aca="false">IF(예약내역!$A1241="",FALSE(),AND(예약내역!$A1241=$B$3,예약내역!$J1241&lt;&gt;"취소"))</f>
        <v>0</v>
      </c>
      <c r="K1244" s="5" t="str">
        <f aca="false">IF($J1244=FALSE(),"",예약내역!$L1241*10000+ROW())</f>
        <v/>
      </c>
      <c r="L1244" s="5" t="str">
        <f aca="false">IF($K1244="","",RANK($K1244,$K$6:$K$2005,1))</f>
        <v/>
      </c>
    </row>
    <row r="1245" customFormat="false" ht="15" hidden="false" customHeight="true" outlineLevel="0" collapsed="false">
      <c r="J1245" s="21" t="b">
        <f aca="false">IF(예약내역!$A1242="",FALSE(),AND(예약내역!$A1242=$B$3,예약내역!$J1242&lt;&gt;"취소"))</f>
        <v>0</v>
      </c>
      <c r="K1245" s="5" t="str">
        <f aca="false">IF($J1245=FALSE(),"",예약내역!$L1242*10000+ROW())</f>
        <v/>
      </c>
      <c r="L1245" s="5" t="str">
        <f aca="false">IF($K1245="","",RANK($K1245,$K$6:$K$2005,1))</f>
        <v/>
      </c>
    </row>
    <row r="1246" customFormat="false" ht="15" hidden="false" customHeight="true" outlineLevel="0" collapsed="false">
      <c r="J1246" s="21" t="b">
        <f aca="false">IF(예약내역!$A1243="",FALSE(),AND(예약내역!$A1243=$B$3,예약내역!$J1243&lt;&gt;"취소"))</f>
        <v>0</v>
      </c>
      <c r="K1246" s="5" t="str">
        <f aca="false">IF($J1246=FALSE(),"",예약내역!$L1243*10000+ROW())</f>
        <v/>
      </c>
      <c r="L1246" s="5" t="str">
        <f aca="false">IF($K1246="","",RANK($K1246,$K$6:$K$2005,1))</f>
        <v/>
      </c>
    </row>
    <row r="1247" customFormat="false" ht="15" hidden="false" customHeight="true" outlineLevel="0" collapsed="false">
      <c r="J1247" s="21" t="b">
        <f aca="false">IF(예약내역!$A1244="",FALSE(),AND(예약내역!$A1244=$B$3,예약내역!$J1244&lt;&gt;"취소"))</f>
        <v>0</v>
      </c>
      <c r="K1247" s="5" t="str">
        <f aca="false">IF($J1247=FALSE(),"",예약내역!$L1244*10000+ROW())</f>
        <v/>
      </c>
      <c r="L1247" s="5" t="str">
        <f aca="false">IF($K1247="","",RANK($K1247,$K$6:$K$2005,1))</f>
        <v/>
      </c>
    </row>
    <row r="1248" customFormat="false" ht="15" hidden="false" customHeight="true" outlineLevel="0" collapsed="false">
      <c r="J1248" s="21" t="b">
        <f aca="false">IF(예약내역!$A1245="",FALSE(),AND(예약내역!$A1245=$B$3,예약내역!$J1245&lt;&gt;"취소"))</f>
        <v>0</v>
      </c>
      <c r="K1248" s="5" t="str">
        <f aca="false">IF($J1248=FALSE(),"",예약내역!$L1245*10000+ROW())</f>
        <v/>
      </c>
      <c r="L1248" s="5" t="str">
        <f aca="false">IF($K1248="","",RANK($K1248,$K$6:$K$2005,1))</f>
        <v/>
      </c>
    </row>
    <row r="1249" customFormat="false" ht="15" hidden="false" customHeight="true" outlineLevel="0" collapsed="false">
      <c r="J1249" s="21" t="b">
        <f aca="false">IF(예약내역!$A1246="",FALSE(),AND(예약내역!$A1246=$B$3,예약내역!$J1246&lt;&gt;"취소"))</f>
        <v>0</v>
      </c>
      <c r="K1249" s="5" t="str">
        <f aca="false">IF($J1249=FALSE(),"",예약내역!$L1246*10000+ROW())</f>
        <v/>
      </c>
      <c r="L1249" s="5" t="str">
        <f aca="false">IF($K1249="","",RANK($K1249,$K$6:$K$2005,1))</f>
        <v/>
      </c>
    </row>
    <row r="1250" customFormat="false" ht="15" hidden="false" customHeight="true" outlineLevel="0" collapsed="false">
      <c r="J1250" s="21" t="b">
        <f aca="false">IF(예약내역!$A1247="",FALSE(),AND(예약내역!$A1247=$B$3,예약내역!$J1247&lt;&gt;"취소"))</f>
        <v>0</v>
      </c>
      <c r="K1250" s="5" t="str">
        <f aca="false">IF($J1250=FALSE(),"",예약내역!$L1247*10000+ROW())</f>
        <v/>
      </c>
      <c r="L1250" s="5" t="str">
        <f aca="false">IF($K1250="","",RANK($K1250,$K$6:$K$2005,1))</f>
        <v/>
      </c>
    </row>
    <row r="1251" customFormat="false" ht="15" hidden="false" customHeight="true" outlineLevel="0" collapsed="false">
      <c r="J1251" s="21" t="b">
        <f aca="false">IF(예약내역!$A1248="",FALSE(),AND(예약내역!$A1248=$B$3,예약내역!$J1248&lt;&gt;"취소"))</f>
        <v>0</v>
      </c>
      <c r="K1251" s="5" t="str">
        <f aca="false">IF($J1251=FALSE(),"",예약내역!$L1248*10000+ROW())</f>
        <v/>
      </c>
      <c r="L1251" s="5" t="str">
        <f aca="false">IF($K1251="","",RANK($K1251,$K$6:$K$2005,1))</f>
        <v/>
      </c>
    </row>
    <row r="1252" customFormat="false" ht="15" hidden="false" customHeight="true" outlineLevel="0" collapsed="false">
      <c r="J1252" s="21" t="b">
        <f aca="false">IF(예약내역!$A1249="",FALSE(),AND(예약내역!$A1249=$B$3,예약내역!$J1249&lt;&gt;"취소"))</f>
        <v>0</v>
      </c>
      <c r="K1252" s="5" t="str">
        <f aca="false">IF($J1252=FALSE(),"",예약내역!$L1249*10000+ROW())</f>
        <v/>
      </c>
      <c r="L1252" s="5" t="str">
        <f aca="false">IF($K1252="","",RANK($K1252,$K$6:$K$2005,1))</f>
        <v/>
      </c>
    </row>
    <row r="1253" customFormat="false" ht="15" hidden="false" customHeight="true" outlineLevel="0" collapsed="false">
      <c r="J1253" s="21" t="b">
        <f aca="false">IF(예약내역!$A1250="",FALSE(),AND(예약내역!$A1250=$B$3,예약내역!$J1250&lt;&gt;"취소"))</f>
        <v>0</v>
      </c>
      <c r="K1253" s="5" t="str">
        <f aca="false">IF($J1253=FALSE(),"",예약내역!$L1250*10000+ROW())</f>
        <v/>
      </c>
      <c r="L1253" s="5" t="str">
        <f aca="false">IF($K1253="","",RANK($K1253,$K$6:$K$2005,1))</f>
        <v/>
      </c>
    </row>
    <row r="1254" customFormat="false" ht="15" hidden="false" customHeight="true" outlineLevel="0" collapsed="false">
      <c r="J1254" s="21" t="b">
        <f aca="false">IF(예약내역!$A1251="",FALSE(),AND(예약내역!$A1251=$B$3,예약내역!$J1251&lt;&gt;"취소"))</f>
        <v>0</v>
      </c>
      <c r="K1254" s="5" t="str">
        <f aca="false">IF($J1254=FALSE(),"",예약내역!$L1251*10000+ROW())</f>
        <v/>
      </c>
      <c r="L1254" s="5" t="str">
        <f aca="false">IF($K1254="","",RANK($K1254,$K$6:$K$2005,1))</f>
        <v/>
      </c>
    </row>
    <row r="1255" customFormat="false" ht="15" hidden="false" customHeight="true" outlineLevel="0" collapsed="false">
      <c r="J1255" s="21" t="b">
        <f aca="false">IF(예약내역!$A1252="",FALSE(),AND(예약내역!$A1252=$B$3,예약내역!$J1252&lt;&gt;"취소"))</f>
        <v>0</v>
      </c>
      <c r="K1255" s="5" t="str">
        <f aca="false">IF($J1255=FALSE(),"",예약내역!$L1252*10000+ROW())</f>
        <v/>
      </c>
      <c r="L1255" s="5" t="str">
        <f aca="false">IF($K1255="","",RANK($K1255,$K$6:$K$2005,1))</f>
        <v/>
      </c>
    </row>
    <row r="1256" customFormat="false" ht="15" hidden="false" customHeight="true" outlineLevel="0" collapsed="false">
      <c r="J1256" s="21" t="b">
        <f aca="false">IF(예약내역!$A1253="",FALSE(),AND(예약내역!$A1253=$B$3,예약내역!$J1253&lt;&gt;"취소"))</f>
        <v>0</v>
      </c>
      <c r="K1256" s="5" t="str">
        <f aca="false">IF($J1256=FALSE(),"",예약내역!$L1253*10000+ROW())</f>
        <v/>
      </c>
      <c r="L1256" s="5" t="str">
        <f aca="false">IF($K1256="","",RANK($K1256,$K$6:$K$2005,1))</f>
        <v/>
      </c>
    </row>
    <row r="1257" customFormat="false" ht="15" hidden="false" customHeight="true" outlineLevel="0" collapsed="false">
      <c r="J1257" s="21" t="b">
        <f aca="false">IF(예약내역!$A1254="",FALSE(),AND(예약내역!$A1254=$B$3,예약내역!$J1254&lt;&gt;"취소"))</f>
        <v>0</v>
      </c>
      <c r="K1257" s="5" t="str">
        <f aca="false">IF($J1257=FALSE(),"",예약내역!$L1254*10000+ROW())</f>
        <v/>
      </c>
      <c r="L1257" s="5" t="str">
        <f aca="false">IF($K1257="","",RANK($K1257,$K$6:$K$2005,1))</f>
        <v/>
      </c>
    </row>
    <row r="1258" customFormat="false" ht="15" hidden="false" customHeight="true" outlineLevel="0" collapsed="false">
      <c r="J1258" s="21" t="b">
        <f aca="false">IF(예약내역!$A1255="",FALSE(),AND(예약내역!$A1255=$B$3,예약내역!$J1255&lt;&gt;"취소"))</f>
        <v>0</v>
      </c>
      <c r="K1258" s="5" t="str">
        <f aca="false">IF($J1258=FALSE(),"",예약내역!$L1255*10000+ROW())</f>
        <v/>
      </c>
      <c r="L1258" s="5" t="str">
        <f aca="false">IF($K1258="","",RANK($K1258,$K$6:$K$2005,1))</f>
        <v/>
      </c>
    </row>
    <row r="1259" customFormat="false" ht="15" hidden="false" customHeight="true" outlineLevel="0" collapsed="false">
      <c r="J1259" s="21" t="b">
        <f aca="false">IF(예약내역!$A1256="",FALSE(),AND(예약내역!$A1256=$B$3,예약내역!$J1256&lt;&gt;"취소"))</f>
        <v>0</v>
      </c>
      <c r="K1259" s="5" t="str">
        <f aca="false">IF($J1259=FALSE(),"",예약내역!$L1256*10000+ROW())</f>
        <v/>
      </c>
      <c r="L1259" s="5" t="str">
        <f aca="false">IF($K1259="","",RANK($K1259,$K$6:$K$2005,1))</f>
        <v/>
      </c>
    </row>
    <row r="1260" customFormat="false" ht="15" hidden="false" customHeight="true" outlineLevel="0" collapsed="false">
      <c r="J1260" s="21" t="b">
        <f aca="false">IF(예약내역!$A1257="",FALSE(),AND(예약내역!$A1257=$B$3,예약내역!$J1257&lt;&gt;"취소"))</f>
        <v>0</v>
      </c>
      <c r="K1260" s="5" t="str">
        <f aca="false">IF($J1260=FALSE(),"",예약내역!$L1257*10000+ROW())</f>
        <v/>
      </c>
      <c r="L1260" s="5" t="str">
        <f aca="false">IF($K1260="","",RANK($K1260,$K$6:$K$2005,1))</f>
        <v/>
      </c>
    </row>
    <row r="1261" customFormat="false" ht="15" hidden="false" customHeight="true" outlineLevel="0" collapsed="false">
      <c r="J1261" s="21" t="b">
        <f aca="false">IF(예약내역!$A1258="",FALSE(),AND(예약내역!$A1258=$B$3,예약내역!$J1258&lt;&gt;"취소"))</f>
        <v>0</v>
      </c>
      <c r="K1261" s="5" t="str">
        <f aca="false">IF($J1261=FALSE(),"",예약내역!$L1258*10000+ROW())</f>
        <v/>
      </c>
      <c r="L1261" s="5" t="str">
        <f aca="false">IF($K1261="","",RANK($K1261,$K$6:$K$2005,1))</f>
        <v/>
      </c>
    </row>
    <row r="1262" customFormat="false" ht="15" hidden="false" customHeight="true" outlineLevel="0" collapsed="false">
      <c r="J1262" s="21" t="b">
        <f aca="false">IF(예약내역!$A1259="",FALSE(),AND(예약내역!$A1259=$B$3,예약내역!$J1259&lt;&gt;"취소"))</f>
        <v>0</v>
      </c>
      <c r="K1262" s="5" t="str">
        <f aca="false">IF($J1262=FALSE(),"",예약내역!$L1259*10000+ROW())</f>
        <v/>
      </c>
      <c r="L1262" s="5" t="str">
        <f aca="false">IF($K1262="","",RANK($K1262,$K$6:$K$2005,1))</f>
        <v/>
      </c>
    </row>
    <row r="1263" customFormat="false" ht="15" hidden="false" customHeight="true" outlineLevel="0" collapsed="false">
      <c r="J1263" s="21" t="b">
        <f aca="false">IF(예약내역!$A1260="",FALSE(),AND(예약내역!$A1260=$B$3,예약내역!$J1260&lt;&gt;"취소"))</f>
        <v>0</v>
      </c>
      <c r="K1263" s="5" t="str">
        <f aca="false">IF($J1263=FALSE(),"",예약내역!$L1260*10000+ROW())</f>
        <v/>
      </c>
      <c r="L1263" s="5" t="str">
        <f aca="false">IF($K1263="","",RANK($K1263,$K$6:$K$2005,1))</f>
        <v/>
      </c>
    </row>
    <row r="1264" customFormat="false" ht="15" hidden="false" customHeight="true" outlineLevel="0" collapsed="false">
      <c r="J1264" s="21" t="b">
        <f aca="false">IF(예약내역!$A1261="",FALSE(),AND(예약내역!$A1261=$B$3,예약내역!$J1261&lt;&gt;"취소"))</f>
        <v>0</v>
      </c>
      <c r="K1264" s="5" t="str">
        <f aca="false">IF($J1264=FALSE(),"",예약내역!$L1261*10000+ROW())</f>
        <v/>
      </c>
      <c r="L1264" s="5" t="str">
        <f aca="false">IF($K1264="","",RANK($K1264,$K$6:$K$2005,1))</f>
        <v/>
      </c>
    </row>
    <row r="1265" customFormat="false" ht="15" hidden="false" customHeight="true" outlineLevel="0" collapsed="false">
      <c r="J1265" s="21" t="b">
        <f aca="false">IF(예약내역!$A1262="",FALSE(),AND(예약내역!$A1262=$B$3,예약내역!$J1262&lt;&gt;"취소"))</f>
        <v>0</v>
      </c>
      <c r="K1265" s="5" t="str">
        <f aca="false">IF($J1265=FALSE(),"",예약내역!$L1262*10000+ROW())</f>
        <v/>
      </c>
      <c r="L1265" s="5" t="str">
        <f aca="false">IF($K1265="","",RANK($K1265,$K$6:$K$2005,1))</f>
        <v/>
      </c>
    </row>
    <row r="1266" customFormat="false" ht="15" hidden="false" customHeight="true" outlineLevel="0" collapsed="false">
      <c r="J1266" s="21" t="b">
        <f aca="false">IF(예약내역!$A1263="",FALSE(),AND(예약내역!$A1263=$B$3,예약내역!$J1263&lt;&gt;"취소"))</f>
        <v>0</v>
      </c>
      <c r="K1266" s="5" t="str">
        <f aca="false">IF($J1266=FALSE(),"",예약내역!$L1263*10000+ROW())</f>
        <v/>
      </c>
      <c r="L1266" s="5" t="str">
        <f aca="false">IF($K1266="","",RANK($K1266,$K$6:$K$2005,1))</f>
        <v/>
      </c>
    </row>
    <row r="1267" customFormat="false" ht="15" hidden="false" customHeight="true" outlineLevel="0" collapsed="false">
      <c r="J1267" s="21" t="b">
        <f aca="false">IF(예약내역!$A1264="",FALSE(),AND(예약내역!$A1264=$B$3,예약내역!$J1264&lt;&gt;"취소"))</f>
        <v>0</v>
      </c>
      <c r="K1267" s="5" t="str">
        <f aca="false">IF($J1267=FALSE(),"",예약내역!$L1264*10000+ROW())</f>
        <v/>
      </c>
      <c r="L1267" s="5" t="str">
        <f aca="false">IF($K1267="","",RANK($K1267,$K$6:$K$2005,1))</f>
        <v/>
      </c>
    </row>
    <row r="1268" customFormat="false" ht="15" hidden="false" customHeight="true" outlineLevel="0" collapsed="false">
      <c r="J1268" s="21" t="b">
        <f aca="false">IF(예약내역!$A1265="",FALSE(),AND(예약내역!$A1265=$B$3,예약내역!$J1265&lt;&gt;"취소"))</f>
        <v>0</v>
      </c>
      <c r="K1268" s="5" t="str">
        <f aca="false">IF($J1268=FALSE(),"",예약내역!$L1265*10000+ROW())</f>
        <v/>
      </c>
      <c r="L1268" s="5" t="str">
        <f aca="false">IF($K1268="","",RANK($K1268,$K$6:$K$2005,1))</f>
        <v/>
      </c>
    </row>
    <row r="1269" customFormat="false" ht="15" hidden="false" customHeight="true" outlineLevel="0" collapsed="false">
      <c r="J1269" s="21" t="b">
        <f aca="false">IF(예약내역!$A1266="",FALSE(),AND(예약내역!$A1266=$B$3,예약내역!$J1266&lt;&gt;"취소"))</f>
        <v>0</v>
      </c>
      <c r="K1269" s="5" t="str">
        <f aca="false">IF($J1269=FALSE(),"",예약내역!$L1266*10000+ROW())</f>
        <v/>
      </c>
      <c r="L1269" s="5" t="str">
        <f aca="false">IF($K1269="","",RANK($K1269,$K$6:$K$2005,1))</f>
        <v/>
      </c>
    </row>
    <row r="1270" customFormat="false" ht="15" hidden="false" customHeight="true" outlineLevel="0" collapsed="false">
      <c r="J1270" s="21" t="b">
        <f aca="false">IF(예약내역!$A1267="",FALSE(),AND(예약내역!$A1267=$B$3,예약내역!$J1267&lt;&gt;"취소"))</f>
        <v>0</v>
      </c>
      <c r="K1270" s="5" t="str">
        <f aca="false">IF($J1270=FALSE(),"",예약내역!$L1267*10000+ROW())</f>
        <v/>
      </c>
      <c r="L1270" s="5" t="str">
        <f aca="false">IF($K1270="","",RANK($K1270,$K$6:$K$2005,1))</f>
        <v/>
      </c>
    </row>
    <row r="1271" customFormat="false" ht="15" hidden="false" customHeight="true" outlineLevel="0" collapsed="false">
      <c r="J1271" s="21" t="b">
        <f aca="false">IF(예약내역!$A1268="",FALSE(),AND(예약내역!$A1268=$B$3,예약내역!$J1268&lt;&gt;"취소"))</f>
        <v>0</v>
      </c>
      <c r="K1271" s="5" t="str">
        <f aca="false">IF($J1271=FALSE(),"",예약내역!$L1268*10000+ROW())</f>
        <v/>
      </c>
      <c r="L1271" s="5" t="str">
        <f aca="false">IF($K1271="","",RANK($K1271,$K$6:$K$2005,1))</f>
        <v/>
      </c>
    </row>
    <row r="1272" customFormat="false" ht="15" hidden="false" customHeight="true" outlineLevel="0" collapsed="false">
      <c r="J1272" s="21" t="b">
        <f aca="false">IF(예약내역!$A1269="",FALSE(),AND(예약내역!$A1269=$B$3,예약내역!$J1269&lt;&gt;"취소"))</f>
        <v>0</v>
      </c>
      <c r="K1272" s="5" t="str">
        <f aca="false">IF($J1272=FALSE(),"",예약내역!$L1269*10000+ROW())</f>
        <v/>
      </c>
      <c r="L1272" s="5" t="str">
        <f aca="false">IF($K1272="","",RANK($K1272,$K$6:$K$2005,1))</f>
        <v/>
      </c>
    </row>
    <row r="1273" customFormat="false" ht="15" hidden="false" customHeight="true" outlineLevel="0" collapsed="false">
      <c r="J1273" s="21" t="b">
        <f aca="false">IF(예약내역!$A1270="",FALSE(),AND(예약내역!$A1270=$B$3,예약내역!$J1270&lt;&gt;"취소"))</f>
        <v>0</v>
      </c>
      <c r="K1273" s="5" t="str">
        <f aca="false">IF($J1273=FALSE(),"",예약내역!$L1270*10000+ROW())</f>
        <v/>
      </c>
      <c r="L1273" s="5" t="str">
        <f aca="false">IF($K1273="","",RANK($K1273,$K$6:$K$2005,1))</f>
        <v/>
      </c>
    </row>
    <row r="1274" customFormat="false" ht="15" hidden="false" customHeight="true" outlineLevel="0" collapsed="false">
      <c r="J1274" s="21" t="b">
        <f aca="false">IF(예약내역!$A1271="",FALSE(),AND(예약내역!$A1271=$B$3,예약내역!$J1271&lt;&gt;"취소"))</f>
        <v>0</v>
      </c>
      <c r="K1274" s="5" t="str">
        <f aca="false">IF($J1274=FALSE(),"",예약내역!$L1271*10000+ROW())</f>
        <v/>
      </c>
      <c r="L1274" s="5" t="str">
        <f aca="false">IF($K1274="","",RANK($K1274,$K$6:$K$2005,1))</f>
        <v/>
      </c>
    </row>
    <row r="1275" customFormat="false" ht="15" hidden="false" customHeight="true" outlineLevel="0" collapsed="false">
      <c r="J1275" s="21" t="b">
        <f aca="false">IF(예약내역!$A1272="",FALSE(),AND(예약내역!$A1272=$B$3,예약내역!$J1272&lt;&gt;"취소"))</f>
        <v>0</v>
      </c>
      <c r="K1275" s="5" t="str">
        <f aca="false">IF($J1275=FALSE(),"",예약내역!$L1272*10000+ROW())</f>
        <v/>
      </c>
      <c r="L1275" s="5" t="str">
        <f aca="false">IF($K1275="","",RANK($K1275,$K$6:$K$2005,1))</f>
        <v/>
      </c>
    </row>
    <row r="1276" customFormat="false" ht="15" hidden="false" customHeight="true" outlineLevel="0" collapsed="false">
      <c r="J1276" s="21" t="b">
        <f aca="false">IF(예약내역!$A1273="",FALSE(),AND(예약내역!$A1273=$B$3,예약내역!$J1273&lt;&gt;"취소"))</f>
        <v>0</v>
      </c>
      <c r="K1276" s="5" t="str">
        <f aca="false">IF($J1276=FALSE(),"",예약내역!$L1273*10000+ROW())</f>
        <v/>
      </c>
      <c r="L1276" s="5" t="str">
        <f aca="false">IF($K1276="","",RANK($K1276,$K$6:$K$2005,1))</f>
        <v/>
      </c>
    </row>
    <row r="1277" customFormat="false" ht="15" hidden="false" customHeight="true" outlineLevel="0" collapsed="false">
      <c r="J1277" s="21" t="b">
        <f aca="false">IF(예약내역!$A1274="",FALSE(),AND(예약내역!$A1274=$B$3,예약내역!$J1274&lt;&gt;"취소"))</f>
        <v>0</v>
      </c>
      <c r="K1277" s="5" t="str">
        <f aca="false">IF($J1277=FALSE(),"",예약내역!$L1274*10000+ROW())</f>
        <v/>
      </c>
      <c r="L1277" s="5" t="str">
        <f aca="false">IF($K1277="","",RANK($K1277,$K$6:$K$2005,1))</f>
        <v/>
      </c>
    </row>
    <row r="1278" customFormat="false" ht="15" hidden="false" customHeight="true" outlineLevel="0" collapsed="false">
      <c r="J1278" s="21" t="b">
        <f aca="false">IF(예약내역!$A1275="",FALSE(),AND(예약내역!$A1275=$B$3,예약내역!$J1275&lt;&gt;"취소"))</f>
        <v>0</v>
      </c>
      <c r="K1278" s="5" t="str">
        <f aca="false">IF($J1278=FALSE(),"",예약내역!$L1275*10000+ROW())</f>
        <v/>
      </c>
      <c r="L1278" s="5" t="str">
        <f aca="false">IF($K1278="","",RANK($K1278,$K$6:$K$2005,1))</f>
        <v/>
      </c>
    </row>
    <row r="1279" customFormat="false" ht="15" hidden="false" customHeight="true" outlineLevel="0" collapsed="false">
      <c r="J1279" s="21" t="b">
        <f aca="false">IF(예약내역!$A1276="",FALSE(),AND(예약내역!$A1276=$B$3,예약내역!$J1276&lt;&gt;"취소"))</f>
        <v>0</v>
      </c>
      <c r="K1279" s="5" t="str">
        <f aca="false">IF($J1279=FALSE(),"",예약내역!$L1276*10000+ROW())</f>
        <v/>
      </c>
      <c r="L1279" s="5" t="str">
        <f aca="false">IF($K1279="","",RANK($K1279,$K$6:$K$2005,1))</f>
        <v/>
      </c>
    </row>
    <row r="1280" customFormat="false" ht="15" hidden="false" customHeight="true" outlineLevel="0" collapsed="false">
      <c r="J1280" s="21" t="b">
        <f aca="false">IF(예약내역!$A1277="",FALSE(),AND(예약내역!$A1277=$B$3,예약내역!$J1277&lt;&gt;"취소"))</f>
        <v>0</v>
      </c>
      <c r="K1280" s="5" t="str">
        <f aca="false">IF($J1280=FALSE(),"",예약내역!$L1277*10000+ROW())</f>
        <v/>
      </c>
      <c r="L1280" s="5" t="str">
        <f aca="false">IF($K1280="","",RANK($K1280,$K$6:$K$2005,1))</f>
        <v/>
      </c>
    </row>
    <row r="1281" customFormat="false" ht="15" hidden="false" customHeight="true" outlineLevel="0" collapsed="false">
      <c r="J1281" s="21" t="b">
        <f aca="false">IF(예약내역!$A1278="",FALSE(),AND(예약내역!$A1278=$B$3,예약내역!$J1278&lt;&gt;"취소"))</f>
        <v>0</v>
      </c>
      <c r="K1281" s="5" t="str">
        <f aca="false">IF($J1281=FALSE(),"",예약내역!$L1278*10000+ROW())</f>
        <v/>
      </c>
      <c r="L1281" s="5" t="str">
        <f aca="false">IF($K1281="","",RANK($K1281,$K$6:$K$2005,1))</f>
        <v/>
      </c>
    </row>
    <row r="1282" customFormat="false" ht="15" hidden="false" customHeight="true" outlineLevel="0" collapsed="false">
      <c r="J1282" s="21" t="b">
        <f aca="false">IF(예약내역!$A1279="",FALSE(),AND(예약내역!$A1279=$B$3,예약내역!$J1279&lt;&gt;"취소"))</f>
        <v>0</v>
      </c>
      <c r="K1282" s="5" t="str">
        <f aca="false">IF($J1282=FALSE(),"",예약내역!$L1279*10000+ROW())</f>
        <v/>
      </c>
      <c r="L1282" s="5" t="str">
        <f aca="false">IF($K1282="","",RANK($K1282,$K$6:$K$2005,1))</f>
        <v/>
      </c>
    </row>
    <row r="1283" customFormat="false" ht="15" hidden="false" customHeight="true" outlineLevel="0" collapsed="false">
      <c r="J1283" s="21" t="b">
        <f aca="false">IF(예약내역!$A1280="",FALSE(),AND(예약내역!$A1280=$B$3,예약내역!$J1280&lt;&gt;"취소"))</f>
        <v>0</v>
      </c>
      <c r="K1283" s="5" t="str">
        <f aca="false">IF($J1283=FALSE(),"",예약내역!$L1280*10000+ROW())</f>
        <v/>
      </c>
      <c r="L1283" s="5" t="str">
        <f aca="false">IF($K1283="","",RANK($K1283,$K$6:$K$2005,1))</f>
        <v/>
      </c>
    </row>
    <row r="1284" customFormat="false" ht="15" hidden="false" customHeight="true" outlineLevel="0" collapsed="false">
      <c r="J1284" s="21" t="b">
        <f aca="false">IF(예약내역!$A1281="",FALSE(),AND(예약내역!$A1281=$B$3,예약내역!$J1281&lt;&gt;"취소"))</f>
        <v>0</v>
      </c>
      <c r="K1284" s="5" t="str">
        <f aca="false">IF($J1284=FALSE(),"",예약내역!$L1281*10000+ROW())</f>
        <v/>
      </c>
      <c r="L1284" s="5" t="str">
        <f aca="false">IF($K1284="","",RANK($K1284,$K$6:$K$2005,1))</f>
        <v/>
      </c>
    </row>
    <row r="1285" customFormat="false" ht="15" hidden="false" customHeight="true" outlineLevel="0" collapsed="false">
      <c r="J1285" s="21" t="b">
        <f aca="false">IF(예약내역!$A1282="",FALSE(),AND(예약내역!$A1282=$B$3,예약내역!$J1282&lt;&gt;"취소"))</f>
        <v>0</v>
      </c>
      <c r="K1285" s="5" t="str">
        <f aca="false">IF($J1285=FALSE(),"",예약내역!$L1282*10000+ROW())</f>
        <v/>
      </c>
      <c r="L1285" s="5" t="str">
        <f aca="false">IF($K1285="","",RANK($K1285,$K$6:$K$2005,1))</f>
        <v/>
      </c>
    </row>
    <row r="1286" customFormat="false" ht="15" hidden="false" customHeight="true" outlineLevel="0" collapsed="false">
      <c r="J1286" s="21" t="b">
        <f aca="false">IF(예약내역!$A1283="",FALSE(),AND(예약내역!$A1283=$B$3,예약내역!$J1283&lt;&gt;"취소"))</f>
        <v>0</v>
      </c>
      <c r="K1286" s="5" t="str">
        <f aca="false">IF($J1286=FALSE(),"",예약내역!$L1283*10000+ROW())</f>
        <v/>
      </c>
      <c r="L1286" s="5" t="str">
        <f aca="false">IF($K1286="","",RANK($K1286,$K$6:$K$2005,1))</f>
        <v/>
      </c>
    </row>
    <row r="1287" customFormat="false" ht="15" hidden="false" customHeight="true" outlineLevel="0" collapsed="false">
      <c r="J1287" s="21" t="b">
        <f aca="false">IF(예약내역!$A1284="",FALSE(),AND(예약내역!$A1284=$B$3,예약내역!$J1284&lt;&gt;"취소"))</f>
        <v>0</v>
      </c>
      <c r="K1287" s="5" t="str">
        <f aca="false">IF($J1287=FALSE(),"",예약내역!$L1284*10000+ROW())</f>
        <v/>
      </c>
      <c r="L1287" s="5" t="str">
        <f aca="false">IF($K1287="","",RANK($K1287,$K$6:$K$2005,1))</f>
        <v/>
      </c>
    </row>
    <row r="1288" customFormat="false" ht="15" hidden="false" customHeight="true" outlineLevel="0" collapsed="false">
      <c r="J1288" s="21" t="b">
        <f aca="false">IF(예약내역!$A1285="",FALSE(),AND(예약내역!$A1285=$B$3,예약내역!$J1285&lt;&gt;"취소"))</f>
        <v>0</v>
      </c>
      <c r="K1288" s="5" t="str">
        <f aca="false">IF($J1288=FALSE(),"",예약내역!$L1285*10000+ROW())</f>
        <v/>
      </c>
      <c r="L1288" s="5" t="str">
        <f aca="false">IF($K1288="","",RANK($K1288,$K$6:$K$2005,1))</f>
        <v/>
      </c>
    </row>
    <row r="1289" customFormat="false" ht="15" hidden="false" customHeight="true" outlineLevel="0" collapsed="false">
      <c r="J1289" s="21" t="b">
        <f aca="false">IF(예약내역!$A1286="",FALSE(),AND(예약내역!$A1286=$B$3,예약내역!$J1286&lt;&gt;"취소"))</f>
        <v>0</v>
      </c>
      <c r="K1289" s="5" t="str">
        <f aca="false">IF($J1289=FALSE(),"",예약내역!$L1286*10000+ROW())</f>
        <v/>
      </c>
      <c r="L1289" s="5" t="str">
        <f aca="false">IF($K1289="","",RANK($K1289,$K$6:$K$2005,1))</f>
        <v/>
      </c>
    </row>
    <row r="1290" customFormat="false" ht="15" hidden="false" customHeight="true" outlineLevel="0" collapsed="false">
      <c r="J1290" s="21" t="b">
        <f aca="false">IF(예약내역!$A1287="",FALSE(),AND(예약내역!$A1287=$B$3,예약내역!$J1287&lt;&gt;"취소"))</f>
        <v>0</v>
      </c>
      <c r="K1290" s="5" t="str">
        <f aca="false">IF($J1290=FALSE(),"",예약내역!$L1287*10000+ROW())</f>
        <v/>
      </c>
      <c r="L1290" s="5" t="str">
        <f aca="false">IF($K1290="","",RANK($K1290,$K$6:$K$2005,1))</f>
        <v/>
      </c>
    </row>
    <row r="1291" customFormat="false" ht="15" hidden="false" customHeight="true" outlineLevel="0" collapsed="false">
      <c r="J1291" s="21" t="b">
        <f aca="false">IF(예약내역!$A1288="",FALSE(),AND(예약내역!$A1288=$B$3,예약내역!$J1288&lt;&gt;"취소"))</f>
        <v>0</v>
      </c>
      <c r="K1291" s="5" t="str">
        <f aca="false">IF($J1291=FALSE(),"",예약내역!$L1288*10000+ROW())</f>
        <v/>
      </c>
      <c r="L1291" s="5" t="str">
        <f aca="false">IF($K1291="","",RANK($K1291,$K$6:$K$2005,1))</f>
        <v/>
      </c>
    </row>
    <row r="1292" customFormat="false" ht="15" hidden="false" customHeight="true" outlineLevel="0" collapsed="false">
      <c r="J1292" s="21" t="b">
        <f aca="false">IF(예약내역!$A1289="",FALSE(),AND(예약내역!$A1289=$B$3,예약내역!$J1289&lt;&gt;"취소"))</f>
        <v>0</v>
      </c>
      <c r="K1292" s="5" t="str">
        <f aca="false">IF($J1292=FALSE(),"",예약내역!$L1289*10000+ROW())</f>
        <v/>
      </c>
      <c r="L1292" s="5" t="str">
        <f aca="false">IF($K1292="","",RANK($K1292,$K$6:$K$2005,1))</f>
        <v/>
      </c>
    </row>
    <row r="1293" customFormat="false" ht="15" hidden="false" customHeight="true" outlineLevel="0" collapsed="false">
      <c r="J1293" s="21" t="b">
        <f aca="false">IF(예약내역!$A1290="",FALSE(),AND(예약내역!$A1290=$B$3,예약내역!$J1290&lt;&gt;"취소"))</f>
        <v>0</v>
      </c>
      <c r="K1293" s="5" t="str">
        <f aca="false">IF($J1293=FALSE(),"",예약내역!$L1290*10000+ROW())</f>
        <v/>
      </c>
      <c r="L1293" s="5" t="str">
        <f aca="false">IF($K1293="","",RANK($K1293,$K$6:$K$2005,1))</f>
        <v/>
      </c>
    </row>
    <row r="1294" customFormat="false" ht="15" hidden="false" customHeight="true" outlineLevel="0" collapsed="false">
      <c r="J1294" s="21" t="b">
        <f aca="false">IF(예약내역!$A1291="",FALSE(),AND(예약내역!$A1291=$B$3,예약내역!$J1291&lt;&gt;"취소"))</f>
        <v>0</v>
      </c>
      <c r="K1294" s="5" t="str">
        <f aca="false">IF($J1294=FALSE(),"",예약내역!$L1291*10000+ROW())</f>
        <v/>
      </c>
      <c r="L1294" s="5" t="str">
        <f aca="false">IF($K1294="","",RANK($K1294,$K$6:$K$2005,1))</f>
        <v/>
      </c>
    </row>
    <row r="1295" customFormat="false" ht="15" hidden="false" customHeight="true" outlineLevel="0" collapsed="false">
      <c r="J1295" s="21" t="b">
        <f aca="false">IF(예약내역!$A1292="",FALSE(),AND(예약내역!$A1292=$B$3,예약내역!$J1292&lt;&gt;"취소"))</f>
        <v>0</v>
      </c>
      <c r="K1295" s="5" t="str">
        <f aca="false">IF($J1295=FALSE(),"",예약내역!$L1292*10000+ROW())</f>
        <v/>
      </c>
      <c r="L1295" s="5" t="str">
        <f aca="false">IF($K1295="","",RANK($K1295,$K$6:$K$2005,1))</f>
        <v/>
      </c>
    </row>
    <row r="1296" customFormat="false" ht="15" hidden="false" customHeight="true" outlineLevel="0" collapsed="false">
      <c r="J1296" s="21" t="b">
        <f aca="false">IF(예약내역!$A1293="",FALSE(),AND(예약내역!$A1293=$B$3,예약내역!$J1293&lt;&gt;"취소"))</f>
        <v>0</v>
      </c>
      <c r="K1296" s="5" t="str">
        <f aca="false">IF($J1296=FALSE(),"",예약내역!$L1293*10000+ROW())</f>
        <v/>
      </c>
      <c r="L1296" s="5" t="str">
        <f aca="false">IF($K1296="","",RANK($K1296,$K$6:$K$2005,1))</f>
        <v/>
      </c>
    </row>
    <row r="1297" customFormat="false" ht="15" hidden="false" customHeight="true" outlineLevel="0" collapsed="false">
      <c r="J1297" s="21" t="b">
        <f aca="false">IF(예약내역!$A1294="",FALSE(),AND(예약내역!$A1294=$B$3,예약내역!$J1294&lt;&gt;"취소"))</f>
        <v>0</v>
      </c>
      <c r="K1297" s="5" t="str">
        <f aca="false">IF($J1297=FALSE(),"",예약내역!$L1294*10000+ROW())</f>
        <v/>
      </c>
      <c r="L1297" s="5" t="str">
        <f aca="false">IF($K1297="","",RANK($K1297,$K$6:$K$2005,1))</f>
        <v/>
      </c>
    </row>
    <row r="1298" customFormat="false" ht="15" hidden="false" customHeight="true" outlineLevel="0" collapsed="false">
      <c r="J1298" s="21" t="b">
        <f aca="false">IF(예약내역!$A1295="",FALSE(),AND(예약내역!$A1295=$B$3,예약내역!$J1295&lt;&gt;"취소"))</f>
        <v>0</v>
      </c>
      <c r="K1298" s="5" t="str">
        <f aca="false">IF($J1298=FALSE(),"",예약내역!$L1295*10000+ROW())</f>
        <v/>
      </c>
      <c r="L1298" s="5" t="str">
        <f aca="false">IF($K1298="","",RANK($K1298,$K$6:$K$2005,1))</f>
        <v/>
      </c>
    </row>
    <row r="1299" customFormat="false" ht="15" hidden="false" customHeight="true" outlineLevel="0" collapsed="false">
      <c r="J1299" s="21" t="b">
        <f aca="false">IF(예약내역!$A1296="",FALSE(),AND(예약내역!$A1296=$B$3,예약내역!$J1296&lt;&gt;"취소"))</f>
        <v>0</v>
      </c>
      <c r="K1299" s="5" t="str">
        <f aca="false">IF($J1299=FALSE(),"",예약내역!$L1296*10000+ROW())</f>
        <v/>
      </c>
      <c r="L1299" s="5" t="str">
        <f aca="false">IF($K1299="","",RANK($K1299,$K$6:$K$2005,1))</f>
        <v/>
      </c>
    </row>
    <row r="1300" customFormat="false" ht="15" hidden="false" customHeight="true" outlineLevel="0" collapsed="false">
      <c r="J1300" s="21" t="b">
        <f aca="false">IF(예약내역!$A1297="",FALSE(),AND(예약내역!$A1297=$B$3,예약내역!$J1297&lt;&gt;"취소"))</f>
        <v>0</v>
      </c>
      <c r="K1300" s="5" t="str">
        <f aca="false">IF($J1300=FALSE(),"",예약내역!$L1297*10000+ROW())</f>
        <v/>
      </c>
      <c r="L1300" s="5" t="str">
        <f aca="false">IF($K1300="","",RANK($K1300,$K$6:$K$2005,1))</f>
        <v/>
      </c>
    </row>
    <row r="1301" customFormat="false" ht="15" hidden="false" customHeight="true" outlineLevel="0" collapsed="false">
      <c r="J1301" s="21" t="b">
        <f aca="false">IF(예약내역!$A1298="",FALSE(),AND(예약내역!$A1298=$B$3,예약내역!$J1298&lt;&gt;"취소"))</f>
        <v>0</v>
      </c>
      <c r="K1301" s="5" t="str">
        <f aca="false">IF($J1301=FALSE(),"",예약내역!$L1298*10000+ROW())</f>
        <v/>
      </c>
      <c r="L1301" s="5" t="str">
        <f aca="false">IF($K1301="","",RANK($K1301,$K$6:$K$2005,1))</f>
        <v/>
      </c>
    </row>
    <row r="1302" customFormat="false" ht="15" hidden="false" customHeight="true" outlineLevel="0" collapsed="false">
      <c r="J1302" s="21" t="b">
        <f aca="false">IF(예약내역!$A1299="",FALSE(),AND(예약내역!$A1299=$B$3,예약내역!$J1299&lt;&gt;"취소"))</f>
        <v>0</v>
      </c>
      <c r="K1302" s="5" t="str">
        <f aca="false">IF($J1302=FALSE(),"",예약내역!$L1299*10000+ROW())</f>
        <v/>
      </c>
      <c r="L1302" s="5" t="str">
        <f aca="false">IF($K1302="","",RANK($K1302,$K$6:$K$2005,1))</f>
        <v/>
      </c>
    </row>
    <row r="1303" customFormat="false" ht="15" hidden="false" customHeight="true" outlineLevel="0" collapsed="false">
      <c r="J1303" s="21" t="b">
        <f aca="false">IF(예약내역!$A1300="",FALSE(),AND(예약내역!$A1300=$B$3,예약내역!$J1300&lt;&gt;"취소"))</f>
        <v>0</v>
      </c>
      <c r="K1303" s="5" t="str">
        <f aca="false">IF($J1303=FALSE(),"",예약내역!$L1300*10000+ROW())</f>
        <v/>
      </c>
      <c r="L1303" s="5" t="str">
        <f aca="false">IF($K1303="","",RANK($K1303,$K$6:$K$2005,1))</f>
        <v/>
      </c>
    </row>
    <row r="1304" customFormat="false" ht="15" hidden="false" customHeight="true" outlineLevel="0" collapsed="false">
      <c r="J1304" s="21" t="b">
        <f aca="false">IF(예약내역!$A1301="",FALSE(),AND(예약내역!$A1301=$B$3,예약내역!$J1301&lt;&gt;"취소"))</f>
        <v>0</v>
      </c>
      <c r="K1304" s="5" t="str">
        <f aca="false">IF($J1304=FALSE(),"",예약내역!$L1301*10000+ROW())</f>
        <v/>
      </c>
      <c r="L1304" s="5" t="str">
        <f aca="false">IF($K1304="","",RANK($K1304,$K$6:$K$2005,1))</f>
        <v/>
      </c>
    </row>
    <row r="1305" customFormat="false" ht="15" hidden="false" customHeight="true" outlineLevel="0" collapsed="false">
      <c r="J1305" s="21" t="b">
        <f aca="false">IF(예약내역!$A1302="",FALSE(),AND(예약내역!$A1302=$B$3,예약내역!$J1302&lt;&gt;"취소"))</f>
        <v>0</v>
      </c>
      <c r="K1305" s="5" t="str">
        <f aca="false">IF($J1305=FALSE(),"",예약내역!$L1302*10000+ROW())</f>
        <v/>
      </c>
      <c r="L1305" s="5" t="str">
        <f aca="false">IF($K1305="","",RANK($K1305,$K$6:$K$2005,1))</f>
        <v/>
      </c>
    </row>
    <row r="1306" customFormat="false" ht="15" hidden="false" customHeight="true" outlineLevel="0" collapsed="false">
      <c r="J1306" s="21" t="b">
        <f aca="false">IF(예약내역!$A1303="",FALSE(),AND(예약내역!$A1303=$B$3,예약내역!$J1303&lt;&gt;"취소"))</f>
        <v>0</v>
      </c>
      <c r="K1306" s="5" t="str">
        <f aca="false">IF($J1306=FALSE(),"",예약내역!$L1303*10000+ROW())</f>
        <v/>
      </c>
      <c r="L1306" s="5" t="str">
        <f aca="false">IF($K1306="","",RANK($K1306,$K$6:$K$2005,1))</f>
        <v/>
      </c>
    </row>
    <row r="1307" customFormat="false" ht="15" hidden="false" customHeight="true" outlineLevel="0" collapsed="false">
      <c r="J1307" s="21" t="b">
        <f aca="false">IF(예약내역!$A1304="",FALSE(),AND(예약내역!$A1304=$B$3,예약내역!$J1304&lt;&gt;"취소"))</f>
        <v>0</v>
      </c>
      <c r="K1307" s="5" t="str">
        <f aca="false">IF($J1307=FALSE(),"",예약내역!$L1304*10000+ROW())</f>
        <v/>
      </c>
      <c r="L1307" s="5" t="str">
        <f aca="false">IF($K1307="","",RANK($K1307,$K$6:$K$2005,1))</f>
        <v/>
      </c>
    </row>
    <row r="1308" customFormat="false" ht="15" hidden="false" customHeight="true" outlineLevel="0" collapsed="false">
      <c r="J1308" s="21" t="b">
        <f aca="false">IF(예약내역!$A1305="",FALSE(),AND(예약내역!$A1305=$B$3,예약내역!$J1305&lt;&gt;"취소"))</f>
        <v>0</v>
      </c>
      <c r="K1308" s="5" t="str">
        <f aca="false">IF($J1308=FALSE(),"",예약내역!$L1305*10000+ROW())</f>
        <v/>
      </c>
      <c r="L1308" s="5" t="str">
        <f aca="false">IF($K1308="","",RANK($K1308,$K$6:$K$2005,1))</f>
        <v/>
      </c>
    </row>
    <row r="1309" customFormat="false" ht="15" hidden="false" customHeight="true" outlineLevel="0" collapsed="false">
      <c r="J1309" s="21" t="b">
        <f aca="false">IF(예약내역!$A1306="",FALSE(),AND(예약내역!$A1306=$B$3,예약내역!$J1306&lt;&gt;"취소"))</f>
        <v>0</v>
      </c>
      <c r="K1309" s="5" t="str">
        <f aca="false">IF($J1309=FALSE(),"",예약내역!$L1306*10000+ROW())</f>
        <v/>
      </c>
      <c r="L1309" s="5" t="str">
        <f aca="false">IF($K1309="","",RANK($K1309,$K$6:$K$2005,1))</f>
        <v/>
      </c>
    </row>
    <row r="1310" customFormat="false" ht="15" hidden="false" customHeight="true" outlineLevel="0" collapsed="false">
      <c r="J1310" s="21" t="b">
        <f aca="false">IF(예약내역!$A1307="",FALSE(),AND(예약내역!$A1307=$B$3,예약내역!$J1307&lt;&gt;"취소"))</f>
        <v>0</v>
      </c>
      <c r="K1310" s="5" t="str">
        <f aca="false">IF($J1310=FALSE(),"",예약내역!$L1307*10000+ROW())</f>
        <v/>
      </c>
      <c r="L1310" s="5" t="str">
        <f aca="false">IF($K1310="","",RANK($K1310,$K$6:$K$2005,1))</f>
        <v/>
      </c>
    </row>
    <row r="1311" customFormat="false" ht="15" hidden="false" customHeight="true" outlineLevel="0" collapsed="false">
      <c r="J1311" s="21" t="b">
        <f aca="false">IF(예약내역!$A1308="",FALSE(),AND(예약내역!$A1308=$B$3,예약내역!$J1308&lt;&gt;"취소"))</f>
        <v>0</v>
      </c>
      <c r="K1311" s="5" t="str">
        <f aca="false">IF($J1311=FALSE(),"",예약내역!$L1308*10000+ROW())</f>
        <v/>
      </c>
      <c r="L1311" s="5" t="str">
        <f aca="false">IF($K1311="","",RANK($K1311,$K$6:$K$2005,1))</f>
        <v/>
      </c>
    </row>
    <row r="1312" customFormat="false" ht="15" hidden="false" customHeight="true" outlineLevel="0" collapsed="false">
      <c r="J1312" s="21" t="b">
        <f aca="false">IF(예약내역!$A1309="",FALSE(),AND(예약내역!$A1309=$B$3,예약내역!$J1309&lt;&gt;"취소"))</f>
        <v>0</v>
      </c>
      <c r="K1312" s="5" t="str">
        <f aca="false">IF($J1312=FALSE(),"",예약내역!$L1309*10000+ROW())</f>
        <v/>
      </c>
      <c r="L1312" s="5" t="str">
        <f aca="false">IF($K1312="","",RANK($K1312,$K$6:$K$2005,1))</f>
        <v/>
      </c>
    </row>
    <row r="1313" customFormat="false" ht="15" hidden="false" customHeight="true" outlineLevel="0" collapsed="false">
      <c r="J1313" s="21" t="b">
        <f aca="false">IF(예약내역!$A1310="",FALSE(),AND(예약내역!$A1310=$B$3,예약내역!$J1310&lt;&gt;"취소"))</f>
        <v>0</v>
      </c>
      <c r="K1313" s="5" t="str">
        <f aca="false">IF($J1313=FALSE(),"",예약내역!$L1310*10000+ROW())</f>
        <v/>
      </c>
      <c r="L1313" s="5" t="str">
        <f aca="false">IF($K1313="","",RANK($K1313,$K$6:$K$2005,1))</f>
        <v/>
      </c>
    </row>
    <row r="1314" customFormat="false" ht="15" hidden="false" customHeight="true" outlineLevel="0" collapsed="false">
      <c r="J1314" s="21" t="b">
        <f aca="false">IF(예약내역!$A1311="",FALSE(),AND(예약내역!$A1311=$B$3,예약내역!$J1311&lt;&gt;"취소"))</f>
        <v>0</v>
      </c>
      <c r="K1314" s="5" t="str">
        <f aca="false">IF($J1314=FALSE(),"",예약내역!$L1311*10000+ROW())</f>
        <v/>
      </c>
      <c r="L1314" s="5" t="str">
        <f aca="false">IF($K1314="","",RANK($K1314,$K$6:$K$2005,1))</f>
        <v/>
      </c>
    </row>
    <row r="1315" customFormat="false" ht="15" hidden="false" customHeight="true" outlineLevel="0" collapsed="false">
      <c r="J1315" s="21" t="b">
        <f aca="false">IF(예약내역!$A1312="",FALSE(),AND(예약내역!$A1312=$B$3,예약내역!$J1312&lt;&gt;"취소"))</f>
        <v>0</v>
      </c>
      <c r="K1315" s="5" t="str">
        <f aca="false">IF($J1315=FALSE(),"",예약내역!$L1312*10000+ROW())</f>
        <v/>
      </c>
      <c r="L1315" s="5" t="str">
        <f aca="false">IF($K1315="","",RANK($K1315,$K$6:$K$2005,1))</f>
        <v/>
      </c>
    </row>
    <row r="1316" customFormat="false" ht="15" hidden="false" customHeight="true" outlineLevel="0" collapsed="false">
      <c r="J1316" s="21" t="b">
        <f aca="false">IF(예약내역!$A1313="",FALSE(),AND(예약내역!$A1313=$B$3,예약내역!$J1313&lt;&gt;"취소"))</f>
        <v>0</v>
      </c>
      <c r="K1316" s="5" t="str">
        <f aca="false">IF($J1316=FALSE(),"",예약내역!$L1313*10000+ROW())</f>
        <v/>
      </c>
      <c r="L1316" s="5" t="str">
        <f aca="false">IF($K1316="","",RANK($K1316,$K$6:$K$2005,1))</f>
        <v/>
      </c>
    </row>
    <row r="1317" customFormat="false" ht="15" hidden="false" customHeight="true" outlineLevel="0" collapsed="false">
      <c r="J1317" s="21" t="b">
        <f aca="false">IF(예약내역!$A1314="",FALSE(),AND(예약내역!$A1314=$B$3,예약내역!$J1314&lt;&gt;"취소"))</f>
        <v>0</v>
      </c>
      <c r="K1317" s="5" t="str">
        <f aca="false">IF($J1317=FALSE(),"",예약내역!$L1314*10000+ROW())</f>
        <v/>
      </c>
      <c r="L1317" s="5" t="str">
        <f aca="false">IF($K1317="","",RANK($K1317,$K$6:$K$2005,1))</f>
        <v/>
      </c>
    </row>
    <row r="1318" customFormat="false" ht="15" hidden="false" customHeight="true" outlineLevel="0" collapsed="false">
      <c r="J1318" s="21" t="b">
        <f aca="false">IF(예약내역!$A1315="",FALSE(),AND(예약내역!$A1315=$B$3,예약내역!$J1315&lt;&gt;"취소"))</f>
        <v>0</v>
      </c>
      <c r="K1318" s="5" t="str">
        <f aca="false">IF($J1318=FALSE(),"",예약내역!$L1315*10000+ROW())</f>
        <v/>
      </c>
      <c r="L1318" s="5" t="str">
        <f aca="false">IF($K1318="","",RANK($K1318,$K$6:$K$2005,1))</f>
        <v/>
      </c>
    </row>
    <row r="1319" customFormat="false" ht="15" hidden="false" customHeight="true" outlineLevel="0" collapsed="false">
      <c r="J1319" s="21" t="b">
        <f aca="false">IF(예약내역!$A1316="",FALSE(),AND(예약내역!$A1316=$B$3,예약내역!$J1316&lt;&gt;"취소"))</f>
        <v>0</v>
      </c>
      <c r="K1319" s="5" t="str">
        <f aca="false">IF($J1319=FALSE(),"",예약내역!$L1316*10000+ROW())</f>
        <v/>
      </c>
      <c r="L1319" s="5" t="str">
        <f aca="false">IF($K1319="","",RANK($K1319,$K$6:$K$2005,1))</f>
        <v/>
      </c>
    </row>
    <row r="1320" customFormat="false" ht="15" hidden="false" customHeight="true" outlineLevel="0" collapsed="false">
      <c r="J1320" s="21" t="b">
        <f aca="false">IF(예약내역!$A1317="",FALSE(),AND(예약내역!$A1317=$B$3,예약내역!$J1317&lt;&gt;"취소"))</f>
        <v>0</v>
      </c>
      <c r="K1320" s="5" t="str">
        <f aca="false">IF($J1320=FALSE(),"",예약내역!$L1317*10000+ROW())</f>
        <v/>
      </c>
      <c r="L1320" s="5" t="str">
        <f aca="false">IF($K1320="","",RANK($K1320,$K$6:$K$2005,1))</f>
        <v/>
      </c>
    </row>
    <row r="1321" customFormat="false" ht="15" hidden="false" customHeight="true" outlineLevel="0" collapsed="false">
      <c r="J1321" s="21" t="b">
        <f aca="false">IF(예약내역!$A1318="",FALSE(),AND(예약내역!$A1318=$B$3,예약내역!$J1318&lt;&gt;"취소"))</f>
        <v>0</v>
      </c>
      <c r="K1321" s="5" t="str">
        <f aca="false">IF($J1321=FALSE(),"",예약내역!$L1318*10000+ROW())</f>
        <v/>
      </c>
      <c r="L1321" s="5" t="str">
        <f aca="false">IF($K1321="","",RANK($K1321,$K$6:$K$2005,1))</f>
        <v/>
      </c>
    </row>
    <row r="1322" customFormat="false" ht="15" hidden="false" customHeight="true" outlineLevel="0" collapsed="false">
      <c r="J1322" s="21" t="b">
        <f aca="false">IF(예약내역!$A1319="",FALSE(),AND(예약내역!$A1319=$B$3,예약내역!$J1319&lt;&gt;"취소"))</f>
        <v>0</v>
      </c>
      <c r="K1322" s="5" t="str">
        <f aca="false">IF($J1322=FALSE(),"",예약내역!$L1319*10000+ROW())</f>
        <v/>
      </c>
      <c r="L1322" s="5" t="str">
        <f aca="false">IF($K1322="","",RANK($K1322,$K$6:$K$2005,1))</f>
        <v/>
      </c>
    </row>
    <row r="1323" customFormat="false" ht="15" hidden="false" customHeight="true" outlineLevel="0" collapsed="false">
      <c r="J1323" s="21" t="b">
        <f aca="false">IF(예약내역!$A1320="",FALSE(),AND(예약내역!$A1320=$B$3,예약내역!$J1320&lt;&gt;"취소"))</f>
        <v>0</v>
      </c>
      <c r="K1323" s="5" t="str">
        <f aca="false">IF($J1323=FALSE(),"",예약내역!$L1320*10000+ROW())</f>
        <v/>
      </c>
      <c r="L1323" s="5" t="str">
        <f aca="false">IF($K1323="","",RANK($K1323,$K$6:$K$2005,1))</f>
        <v/>
      </c>
    </row>
    <row r="1324" customFormat="false" ht="15" hidden="false" customHeight="true" outlineLevel="0" collapsed="false">
      <c r="J1324" s="21" t="b">
        <f aca="false">IF(예약내역!$A1321="",FALSE(),AND(예약내역!$A1321=$B$3,예약내역!$J1321&lt;&gt;"취소"))</f>
        <v>0</v>
      </c>
      <c r="K1324" s="5" t="str">
        <f aca="false">IF($J1324=FALSE(),"",예약내역!$L1321*10000+ROW())</f>
        <v/>
      </c>
      <c r="L1324" s="5" t="str">
        <f aca="false">IF($K1324="","",RANK($K1324,$K$6:$K$2005,1))</f>
        <v/>
      </c>
    </row>
    <row r="1325" customFormat="false" ht="15" hidden="false" customHeight="true" outlineLevel="0" collapsed="false">
      <c r="J1325" s="21" t="b">
        <f aca="false">IF(예약내역!$A1322="",FALSE(),AND(예약내역!$A1322=$B$3,예약내역!$J1322&lt;&gt;"취소"))</f>
        <v>0</v>
      </c>
      <c r="K1325" s="5" t="str">
        <f aca="false">IF($J1325=FALSE(),"",예약내역!$L1322*10000+ROW())</f>
        <v/>
      </c>
      <c r="L1325" s="5" t="str">
        <f aca="false">IF($K1325="","",RANK($K1325,$K$6:$K$2005,1))</f>
        <v/>
      </c>
    </row>
    <row r="1326" customFormat="false" ht="15" hidden="false" customHeight="true" outlineLevel="0" collapsed="false">
      <c r="J1326" s="21" t="b">
        <f aca="false">IF(예약내역!$A1323="",FALSE(),AND(예약내역!$A1323=$B$3,예약내역!$J1323&lt;&gt;"취소"))</f>
        <v>0</v>
      </c>
      <c r="K1326" s="5" t="str">
        <f aca="false">IF($J1326=FALSE(),"",예약내역!$L1323*10000+ROW())</f>
        <v/>
      </c>
      <c r="L1326" s="5" t="str">
        <f aca="false">IF($K1326="","",RANK($K1326,$K$6:$K$2005,1))</f>
        <v/>
      </c>
    </row>
    <row r="1327" customFormat="false" ht="15" hidden="false" customHeight="true" outlineLevel="0" collapsed="false">
      <c r="J1327" s="21" t="b">
        <f aca="false">IF(예약내역!$A1324="",FALSE(),AND(예약내역!$A1324=$B$3,예약내역!$J1324&lt;&gt;"취소"))</f>
        <v>0</v>
      </c>
      <c r="K1327" s="5" t="str">
        <f aca="false">IF($J1327=FALSE(),"",예약내역!$L1324*10000+ROW())</f>
        <v/>
      </c>
      <c r="L1327" s="5" t="str">
        <f aca="false">IF($K1327="","",RANK($K1327,$K$6:$K$2005,1))</f>
        <v/>
      </c>
    </row>
    <row r="1328" customFormat="false" ht="15" hidden="false" customHeight="true" outlineLevel="0" collapsed="false">
      <c r="J1328" s="21" t="b">
        <f aca="false">IF(예약내역!$A1325="",FALSE(),AND(예약내역!$A1325=$B$3,예약내역!$J1325&lt;&gt;"취소"))</f>
        <v>0</v>
      </c>
      <c r="K1328" s="5" t="str">
        <f aca="false">IF($J1328=FALSE(),"",예약내역!$L1325*10000+ROW())</f>
        <v/>
      </c>
      <c r="L1328" s="5" t="str">
        <f aca="false">IF($K1328="","",RANK($K1328,$K$6:$K$2005,1))</f>
        <v/>
      </c>
    </row>
    <row r="1329" customFormat="false" ht="15" hidden="false" customHeight="true" outlineLevel="0" collapsed="false">
      <c r="J1329" s="21" t="b">
        <f aca="false">IF(예약내역!$A1326="",FALSE(),AND(예약내역!$A1326=$B$3,예약내역!$J1326&lt;&gt;"취소"))</f>
        <v>0</v>
      </c>
      <c r="K1329" s="5" t="str">
        <f aca="false">IF($J1329=FALSE(),"",예약내역!$L1326*10000+ROW())</f>
        <v/>
      </c>
      <c r="L1329" s="5" t="str">
        <f aca="false">IF($K1329="","",RANK($K1329,$K$6:$K$2005,1))</f>
        <v/>
      </c>
    </row>
    <row r="1330" customFormat="false" ht="15" hidden="false" customHeight="true" outlineLevel="0" collapsed="false">
      <c r="J1330" s="21" t="b">
        <f aca="false">IF(예약내역!$A1327="",FALSE(),AND(예약내역!$A1327=$B$3,예약내역!$J1327&lt;&gt;"취소"))</f>
        <v>0</v>
      </c>
      <c r="K1330" s="5" t="str">
        <f aca="false">IF($J1330=FALSE(),"",예약내역!$L1327*10000+ROW())</f>
        <v/>
      </c>
      <c r="L1330" s="5" t="str">
        <f aca="false">IF($K1330="","",RANK($K1330,$K$6:$K$2005,1))</f>
        <v/>
      </c>
    </row>
    <row r="1331" customFormat="false" ht="15" hidden="false" customHeight="true" outlineLevel="0" collapsed="false">
      <c r="J1331" s="21" t="b">
        <f aca="false">IF(예약내역!$A1328="",FALSE(),AND(예약내역!$A1328=$B$3,예약내역!$J1328&lt;&gt;"취소"))</f>
        <v>0</v>
      </c>
      <c r="K1331" s="5" t="str">
        <f aca="false">IF($J1331=FALSE(),"",예약내역!$L1328*10000+ROW())</f>
        <v/>
      </c>
      <c r="L1331" s="5" t="str">
        <f aca="false">IF($K1331="","",RANK($K1331,$K$6:$K$2005,1))</f>
        <v/>
      </c>
    </row>
    <row r="1332" customFormat="false" ht="15" hidden="false" customHeight="true" outlineLevel="0" collapsed="false">
      <c r="J1332" s="21" t="b">
        <f aca="false">IF(예약내역!$A1329="",FALSE(),AND(예약내역!$A1329=$B$3,예약내역!$J1329&lt;&gt;"취소"))</f>
        <v>0</v>
      </c>
      <c r="K1332" s="5" t="str">
        <f aca="false">IF($J1332=FALSE(),"",예약내역!$L1329*10000+ROW())</f>
        <v/>
      </c>
      <c r="L1332" s="5" t="str">
        <f aca="false">IF($K1332="","",RANK($K1332,$K$6:$K$2005,1))</f>
        <v/>
      </c>
    </row>
    <row r="1333" customFormat="false" ht="15" hidden="false" customHeight="true" outlineLevel="0" collapsed="false">
      <c r="J1333" s="21" t="b">
        <f aca="false">IF(예약내역!$A1330="",FALSE(),AND(예약내역!$A1330=$B$3,예약내역!$J1330&lt;&gt;"취소"))</f>
        <v>0</v>
      </c>
      <c r="K1333" s="5" t="str">
        <f aca="false">IF($J1333=FALSE(),"",예약내역!$L1330*10000+ROW())</f>
        <v/>
      </c>
      <c r="L1333" s="5" t="str">
        <f aca="false">IF($K1333="","",RANK($K1333,$K$6:$K$2005,1))</f>
        <v/>
      </c>
    </row>
    <row r="1334" customFormat="false" ht="15" hidden="false" customHeight="true" outlineLevel="0" collapsed="false">
      <c r="J1334" s="21" t="b">
        <f aca="false">IF(예약내역!$A1331="",FALSE(),AND(예약내역!$A1331=$B$3,예약내역!$J1331&lt;&gt;"취소"))</f>
        <v>0</v>
      </c>
      <c r="K1334" s="5" t="str">
        <f aca="false">IF($J1334=FALSE(),"",예약내역!$L1331*10000+ROW())</f>
        <v/>
      </c>
      <c r="L1334" s="5" t="str">
        <f aca="false">IF($K1334="","",RANK($K1334,$K$6:$K$2005,1))</f>
        <v/>
      </c>
    </row>
    <row r="1335" customFormat="false" ht="15" hidden="false" customHeight="true" outlineLevel="0" collapsed="false">
      <c r="J1335" s="21" t="b">
        <f aca="false">IF(예약내역!$A1332="",FALSE(),AND(예약내역!$A1332=$B$3,예약내역!$J1332&lt;&gt;"취소"))</f>
        <v>0</v>
      </c>
      <c r="K1335" s="5" t="str">
        <f aca="false">IF($J1335=FALSE(),"",예약내역!$L1332*10000+ROW())</f>
        <v/>
      </c>
      <c r="L1335" s="5" t="str">
        <f aca="false">IF($K1335="","",RANK($K1335,$K$6:$K$2005,1))</f>
        <v/>
      </c>
    </row>
    <row r="1336" customFormat="false" ht="15" hidden="false" customHeight="true" outlineLevel="0" collapsed="false">
      <c r="J1336" s="21" t="b">
        <f aca="false">IF(예약내역!$A1333="",FALSE(),AND(예약내역!$A1333=$B$3,예약내역!$J1333&lt;&gt;"취소"))</f>
        <v>0</v>
      </c>
      <c r="K1336" s="5" t="str">
        <f aca="false">IF($J1336=FALSE(),"",예약내역!$L1333*10000+ROW())</f>
        <v/>
      </c>
      <c r="L1336" s="5" t="str">
        <f aca="false">IF($K1336="","",RANK($K1336,$K$6:$K$2005,1))</f>
        <v/>
      </c>
    </row>
    <row r="1337" customFormat="false" ht="15" hidden="false" customHeight="true" outlineLevel="0" collapsed="false">
      <c r="J1337" s="21" t="b">
        <f aca="false">IF(예약내역!$A1334="",FALSE(),AND(예약내역!$A1334=$B$3,예약내역!$J1334&lt;&gt;"취소"))</f>
        <v>0</v>
      </c>
      <c r="K1337" s="5" t="str">
        <f aca="false">IF($J1337=FALSE(),"",예약내역!$L1334*10000+ROW())</f>
        <v/>
      </c>
      <c r="L1337" s="5" t="str">
        <f aca="false">IF($K1337="","",RANK($K1337,$K$6:$K$2005,1))</f>
        <v/>
      </c>
    </row>
    <row r="1338" customFormat="false" ht="15" hidden="false" customHeight="true" outlineLevel="0" collapsed="false">
      <c r="J1338" s="21" t="b">
        <f aca="false">IF(예약내역!$A1335="",FALSE(),AND(예약내역!$A1335=$B$3,예약내역!$J1335&lt;&gt;"취소"))</f>
        <v>0</v>
      </c>
      <c r="K1338" s="5" t="str">
        <f aca="false">IF($J1338=FALSE(),"",예약내역!$L1335*10000+ROW())</f>
        <v/>
      </c>
      <c r="L1338" s="5" t="str">
        <f aca="false">IF($K1338="","",RANK($K1338,$K$6:$K$2005,1))</f>
        <v/>
      </c>
    </row>
    <row r="1339" customFormat="false" ht="15" hidden="false" customHeight="true" outlineLevel="0" collapsed="false">
      <c r="J1339" s="21" t="b">
        <f aca="false">IF(예약내역!$A1336="",FALSE(),AND(예약내역!$A1336=$B$3,예약내역!$J1336&lt;&gt;"취소"))</f>
        <v>0</v>
      </c>
      <c r="K1339" s="5" t="str">
        <f aca="false">IF($J1339=FALSE(),"",예약내역!$L1336*10000+ROW())</f>
        <v/>
      </c>
      <c r="L1339" s="5" t="str">
        <f aca="false">IF($K1339="","",RANK($K1339,$K$6:$K$2005,1))</f>
        <v/>
      </c>
    </row>
    <row r="1340" customFormat="false" ht="15" hidden="false" customHeight="true" outlineLevel="0" collapsed="false">
      <c r="J1340" s="21" t="b">
        <f aca="false">IF(예약내역!$A1337="",FALSE(),AND(예약내역!$A1337=$B$3,예약내역!$J1337&lt;&gt;"취소"))</f>
        <v>0</v>
      </c>
      <c r="K1340" s="5" t="str">
        <f aca="false">IF($J1340=FALSE(),"",예약내역!$L1337*10000+ROW())</f>
        <v/>
      </c>
      <c r="L1340" s="5" t="str">
        <f aca="false">IF($K1340="","",RANK($K1340,$K$6:$K$2005,1))</f>
        <v/>
      </c>
    </row>
    <row r="1341" customFormat="false" ht="15" hidden="false" customHeight="true" outlineLevel="0" collapsed="false">
      <c r="J1341" s="21" t="b">
        <f aca="false">IF(예약내역!$A1338="",FALSE(),AND(예약내역!$A1338=$B$3,예약내역!$J1338&lt;&gt;"취소"))</f>
        <v>0</v>
      </c>
      <c r="K1341" s="5" t="str">
        <f aca="false">IF($J1341=FALSE(),"",예약내역!$L1338*10000+ROW())</f>
        <v/>
      </c>
      <c r="L1341" s="5" t="str">
        <f aca="false">IF($K1341="","",RANK($K1341,$K$6:$K$2005,1))</f>
        <v/>
      </c>
    </row>
    <row r="1342" customFormat="false" ht="15" hidden="false" customHeight="true" outlineLevel="0" collapsed="false">
      <c r="J1342" s="21" t="b">
        <f aca="false">IF(예약내역!$A1339="",FALSE(),AND(예약내역!$A1339=$B$3,예약내역!$J1339&lt;&gt;"취소"))</f>
        <v>0</v>
      </c>
      <c r="K1342" s="5" t="str">
        <f aca="false">IF($J1342=FALSE(),"",예약내역!$L1339*10000+ROW())</f>
        <v/>
      </c>
      <c r="L1342" s="5" t="str">
        <f aca="false">IF($K1342="","",RANK($K1342,$K$6:$K$2005,1))</f>
        <v/>
      </c>
    </row>
    <row r="1343" customFormat="false" ht="15" hidden="false" customHeight="true" outlineLevel="0" collapsed="false">
      <c r="J1343" s="21" t="b">
        <f aca="false">IF(예약내역!$A1340="",FALSE(),AND(예약내역!$A1340=$B$3,예약내역!$J1340&lt;&gt;"취소"))</f>
        <v>0</v>
      </c>
      <c r="K1343" s="5" t="str">
        <f aca="false">IF($J1343=FALSE(),"",예약내역!$L1340*10000+ROW())</f>
        <v/>
      </c>
      <c r="L1343" s="5" t="str">
        <f aca="false">IF($K1343="","",RANK($K1343,$K$6:$K$2005,1))</f>
        <v/>
      </c>
    </row>
    <row r="1344" customFormat="false" ht="15" hidden="false" customHeight="true" outlineLevel="0" collapsed="false">
      <c r="J1344" s="21" t="b">
        <f aca="false">IF(예약내역!$A1341="",FALSE(),AND(예약내역!$A1341=$B$3,예약내역!$J1341&lt;&gt;"취소"))</f>
        <v>0</v>
      </c>
      <c r="K1344" s="5" t="str">
        <f aca="false">IF($J1344=FALSE(),"",예약내역!$L1341*10000+ROW())</f>
        <v/>
      </c>
      <c r="L1344" s="5" t="str">
        <f aca="false">IF($K1344="","",RANK($K1344,$K$6:$K$2005,1))</f>
        <v/>
      </c>
    </row>
    <row r="1345" customFormat="false" ht="15" hidden="false" customHeight="true" outlineLevel="0" collapsed="false">
      <c r="J1345" s="21" t="b">
        <f aca="false">IF(예약내역!$A1342="",FALSE(),AND(예약내역!$A1342=$B$3,예약내역!$J1342&lt;&gt;"취소"))</f>
        <v>0</v>
      </c>
      <c r="K1345" s="5" t="str">
        <f aca="false">IF($J1345=FALSE(),"",예약내역!$L1342*10000+ROW())</f>
        <v/>
      </c>
      <c r="L1345" s="5" t="str">
        <f aca="false">IF($K1345="","",RANK($K1345,$K$6:$K$2005,1))</f>
        <v/>
      </c>
    </row>
    <row r="1346" customFormat="false" ht="15" hidden="false" customHeight="true" outlineLevel="0" collapsed="false">
      <c r="J1346" s="21" t="b">
        <f aca="false">IF(예약내역!$A1343="",FALSE(),AND(예약내역!$A1343=$B$3,예약내역!$J1343&lt;&gt;"취소"))</f>
        <v>0</v>
      </c>
      <c r="K1346" s="5" t="str">
        <f aca="false">IF($J1346=FALSE(),"",예약내역!$L1343*10000+ROW())</f>
        <v/>
      </c>
      <c r="L1346" s="5" t="str">
        <f aca="false">IF($K1346="","",RANK($K1346,$K$6:$K$2005,1))</f>
        <v/>
      </c>
    </row>
    <row r="1347" customFormat="false" ht="15" hidden="false" customHeight="true" outlineLevel="0" collapsed="false">
      <c r="J1347" s="21" t="b">
        <f aca="false">IF(예약내역!$A1344="",FALSE(),AND(예약내역!$A1344=$B$3,예약내역!$J1344&lt;&gt;"취소"))</f>
        <v>0</v>
      </c>
      <c r="K1347" s="5" t="str">
        <f aca="false">IF($J1347=FALSE(),"",예약내역!$L1344*10000+ROW())</f>
        <v/>
      </c>
      <c r="L1347" s="5" t="str">
        <f aca="false">IF($K1347="","",RANK($K1347,$K$6:$K$2005,1))</f>
        <v/>
      </c>
    </row>
    <row r="1348" customFormat="false" ht="15" hidden="false" customHeight="true" outlineLevel="0" collapsed="false">
      <c r="J1348" s="21" t="b">
        <f aca="false">IF(예약내역!$A1345="",FALSE(),AND(예약내역!$A1345=$B$3,예약내역!$J1345&lt;&gt;"취소"))</f>
        <v>0</v>
      </c>
      <c r="K1348" s="5" t="str">
        <f aca="false">IF($J1348=FALSE(),"",예약내역!$L1345*10000+ROW())</f>
        <v/>
      </c>
      <c r="L1348" s="5" t="str">
        <f aca="false">IF($K1348="","",RANK($K1348,$K$6:$K$2005,1))</f>
        <v/>
      </c>
    </row>
    <row r="1349" customFormat="false" ht="15" hidden="false" customHeight="true" outlineLevel="0" collapsed="false">
      <c r="J1349" s="21" t="b">
        <f aca="false">IF(예약내역!$A1346="",FALSE(),AND(예약내역!$A1346=$B$3,예약내역!$J1346&lt;&gt;"취소"))</f>
        <v>0</v>
      </c>
      <c r="K1349" s="5" t="str">
        <f aca="false">IF($J1349=FALSE(),"",예약내역!$L1346*10000+ROW())</f>
        <v/>
      </c>
      <c r="L1349" s="5" t="str">
        <f aca="false">IF($K1349="","",RANK($K1349,$K$6:$K$2005,1))</f>
        <v/>
      </c>
    </row>
    <row r="1350" customFormat="false" ht="15" hidden="false" customHeight="true" outlineLevel="0" collapsed="false">
      <c r="J1350" s="21" t="b">
        <f aca="false">IF(예약내역!$A1347="",FALSE(),AND(예약내역!$A1347=$B$3,예약내역!$J1347&lt;&gt;"취소"))</f>
        <v>0</v>
      </c>
      <c r="K1350" s="5" t="str">
        <f aca="false">IF($J1350=FALSE(),"",예약내역!$L1347*10000+ROW())</f>
        <v/>
      </c>
      <c r="L1350" s="5" t="str">
        <f aca="false">IF($K1350="","",RANK($K1350,$K$6:$K$2005,1))</f>
        <v/>
      </c>
    </row>
    <row r="1351" customFormat="false" ht="15" hidden="false" customHeight="true" outlineLevel="0" collapsed="false">
      <c r="J1351" s="21" t="b">
        <f aca="false">IF(예약내역!$A1348="",FALSE(),AND(예약내역!$A1348=$B$3,예약내역!$J1348&lt;&gt;"취소"))</f>
        <v>0</v>
      </c>
      <c r="K1351" s="5" t="str">
        <f aca="false">IF($J1351=FALSE(),"",예약내역!$L1348*10000+ROW())</f>
        <v/>
      </c>
      <c r="L1351" s="5" t="str">
        <f aca="false">IF($K1351="","",RANK($K1351,$K$6:$K$2005,1))</f>
        <v/>
      </c>
    </row>
    <row r="1352" customFormat="false" ht="15" hidden="false" customHeight="true" outlineLevel="0" collapsed="false">
      <c r="J1352" s="21" t="b">
        <f aca="false">IF(예약내역!$A1349="",FALSE(),AND(예약내역!$A1349=$B$3,예약내역!$J1349&lt;&gt;"취소"))</f>
        <v>0</v>
      </c>
      <c r="K1352" s="5" t="str">
        <f aca="false">IF($J1352=FALSE(),"",예약내역!$L1349*10000+ROW())</f>
        <v/>
      </c>
      <c r="L1352" s="5" t="str">
        <f aca="false">IF($K1352="","",RANK($K1352,$K$6:$K$2005,1))</f>
        <v/>
      </c>
    </row>
    <row r="1353" customFormat="false" ht="15" hidden="false" customHeight="true" outlineLevel="0" collapsed="false">
      <c r="J1353" s="21" t="b">
        <f aca="false">IF(예약내역!$A1350="",FALSE(),AND(예약내역!$A1350=$B$3,예약내역!$J1350&lt;&gt;"취소"))</f>
        <v>0</v>
      </c>
      <c r="K1353" s="5" t="str">
        <f aca="false">IF($J1353=FALSE(),"",예약내역!$L1350*10000+ROW())</f>
        <v/>
      </c>
      <c r="L1353" s="5" t="str">
        <f aca="false">IF($K1353="","",RANK($K1353,$K$6:$K$2005,1))</f>
        <v/>
      </c>
    </row>
    <row r="1354" customFormat="false" ht="15" hidden="false" customHeight="true" outlineLevel="0" collapsed="false">
      <c r="J1354" s="21" t="b">
        <f aca="false">IF(예약내역!$A1351="",FALSE(),AND(예약내역!$A1351=$B$3,예약내역!$J1351&lt;&gt;"취소"))</f>
        <v>0</v>
      </c>
      <c r="K1354" s="5" t="str">
        <f aca="false">IF($J1354=FALSE(),"",예약내역!$L1351*10000+ROW())</f>
        <v/>
      </c>
      <c r="L1354" s="5" t="str">
        <f aca="false">IF($K1354="","",RANK($K1354,$K$6:$K$2005,1))</f>
        <v/>
      </c>
    </row>
    <row r="1355" customFormat="false" ht="15" hidden="false" customHeight="true" outlineLevel="0" collapsed="false">
      <c r="J1355" s="21" t="b">
        <f aca="false">IF(예약내역!$A1352="",FALSE(),AND(예약내역!$A1352=$B$3,예약내역!$J1352&lt;&gt;"취소"))</f>
        <v>0</v>
      </c>
      <c r="K1355" s="5" t="str">
        <f aca="false">IF($J1355=FALSE(),"",예약내역!$L1352*10000+ROW())</f>
        <v/>
      </c>
      <c r="L1355" s="5" t="str">
        <f aca="false">IF($K1355="","",RANK($K1355,$K$6:$K$2005,1))</f>
        <v/>
      </c>
    </row>
    <row r="1356" customFormat="false" ht="15" hidden="false" customHeight="true" outlineLevel="0" collapsed="false">
      <c r="J1356" s="21" t="b">
        <f aca="false">IF(예약내역!$A1353="",FALSE(),AND(예약내역!$A1353=$B$3,예약내역!$J1353&lt;&gt;"취소"))</f>
        <v>0</v>
      </c>
      <c r="K1356" s="5" t="str">
        <f aca="false">IF($J1356=FALSE(),"",예약내역!$L1353*10000+ROW())</f>
        <v/>
      </c>
      <c r="L1356" s="5" t="str">
        <f aca="false">IF($K1356="","",RANK($K1356,$K$6:$K$2005,1))</f>
        <v/>
      </c>
    </row>
    <row r="1357" customFormat="false" ht="15" hidden="false" customHeight="true" outlineLevel="0" collapsed="false">
      <c r="J1357" s="21" t="b">
        <f aca="false">IF(예약내역!$A1354="",FALSE(),AND(예약내역!$A1354=$B$3,예약내역!$J1354&lt;&gt;"취소"))</f>
        <v>0</v>
      </c>
      <c r="K1357" s="5" t="str">
        <f aca="false">IF($J1357=FALSE(),"",예약내역!$L1354*10000+ROW())</f>
        <v/>
      </c>
      <c r="L1357" s="5" t="str">
        <f aca="false">IF($K1357="","",RANK($K1357,$K$6:$K$2005,1))</f>
        <v/>
      </c>
    </row>
    <row r="1358" customFormat="false" ht="15" hidden="false" customHeight="true" outlineLevel="0" collapsed="false">
      <c r="J1358" s="21" t="b">
        <f aca="false">IF(예약내역!$A1355="",FALSE(),AND(예약내역!$A1355=$B$3,예약내역!$J1355&lt;&gt;"취소"))</f>
        <v>0</v>
      </c>
      <c r="K1358" s="5" t="str">
        <f aca="false">IF($J1358=FALSE(),"",예약내역!$L1355*10000+ROW())</f>
        <v/>
      </c>
      <c r="L1358" s="5" t="str">
        <f aca="false">IF($K1358="","",RANK($K1358,$K$6:$K$2005,1))</f>
        <v/>
      </c>
    </row>
    <row r="1359" customFormat="false" ht="15" hidden="false" customHeight="true" outlineLevel="0" collapsed="false">
      <c r="J1359" s="21" t="b">
        <f aca="false">IF(예약내역!$A1356="",FALSE(),AND(예약내역!$A1356=$B$3,예약내역!$J1356&lt;&gt;"취소"))</f>
        <v>0</v>
      </c>
      <c r="K1359" s="5" t="str">
        <f aca="false">IF($J1359=FALSE(),"",예약내역!$L1356*10000+ROW())</f>
        <v/>
      </c>
      <c r="L1359" s="5" t="str">
        <f aca="false">IF($K1359="","",RANK($K1359,$K$6:$K$2005,1))</f>
        <v/>
      </c>
    </row>
    <row r="1360" customFormat="false" ht="15" hidden="false" customHeight="true" outlineLevel="0" collapsed="false">
      <c r="J1360" s="21" t="b">
        <f aca="false">IF(예약내역!$A1357="",FALSE(),AND(예약내역!$A1357=$B$3,예약내역!$J1357&lt;&gt;"취소"))</f>
        <v>0</v>
      </c>
      <c r="K1360" s="5" t="str">
        <f aca="false">IF($J1360=FALSE(),"",예약내역!$L1357*10000+ROW())</f>
        <v/>
      </c>
      <c r="L1360" s="5" t="str">
        <f aca="false">IF($K1360="","",RANK($K1360,$K$6:$K$2005,1))</f>
        <v/>
      </c>
    </row>
    <row r="1361" customFormat="false" ht="15" hidden="false" customHeight="true" outlineLevel="0" collapsed="false">
      <c r="J1361" s="21" t="b">
        <f aca="false">IF(예약내역!$A1358="",FALSE(),AND(예약내역!$A1358=$B$3,예약내역!$J1358&lt;&gt;"취소"))</f>
        <v>0</v>
      </c>
      <c r="K1361" s="5" t="str">
        <f aca="false">IF($J1361=FALSE(),"",예약내역!$L1358*10000+ROW())</f>
        <v/>
      </c>
      <c r="L1361" s="5" t="str">
        <f aca="false">IF($K1361="","",RANK($K1361,$K$6:$K$2005,1))</f>
        <v/>
      </c>
    </row>
    <row r="1362" customFormat="false" ht="15" hidden="false" customHeight="true" outlineLevel="0" collapsed="false">
      <c r="J1362" s="21" t="b">
        <f aca="false">IF(예약내역!$A1359="",FALSE(),AND(예약내역!$A1359=$B$3,예약내역!$J1359&lt;&gt;"취소"))</f>
        <v>0</v>
      </c>
      <c r="K1362" s="5" t="str">
        <f aca="false">IF($J1362=FALSE(),"",예약내역!$L1359*10000+ROW())</f>
        <v/>
      </c>
      <c r="L1362" s="5" t="str">
        <f aca="false">IF($K1362="","",RANK($K1362,$K$6:$K$2005,1))</f>
        <v/>
      </c>
    </row>
    <row r="1363" customFormat="false" ht="15" hidden="false" customHeight="true" outlineLevel="0" collapsed="false">
      <c r="J1363" s="21" t="b">
        <f aca="false">IF(예약내역!$A1360="",FALSE(),AND(예약내역!$A1360=$B$3,예약내역!$J1360&lt;&gt;"취소"))</f>
        <v>0</v>
      </c>
      <c r="K1363" s="5" t="str">
        <f aca="false">IF($J1363=FALSE(),"",예약내역!$L1360*10000+ROW())</f>
        <v/>
      </c>
      <c r="L1363" s="5" t="str">
        <f aca="false">IF($K1363="","",RANK($K1363,$K$6:$K$2005,1))</f>
        <v/>
      </c>
    </row>
    <row r="1364" customFormat="false" ht="15" hidden="false" customHeight="true" outlineLevel="0" collapsed="false">
      <c r="J1364" s="21" t="b">
        <f aca="false">IF(예약내역!$A1361="",FALSE(),AND(예약내역!$A1361=$B$3,예약내역!$J1361&lt;&gt;"취소"))</f>
        <v>0</v>
      </c>
      <c r="K1364" s="5" t="str">
        <f aca="false">IF($J1364=FALSE(),"",예약내역!$L1361*10000+ROW())</f>
        <v/>
      </c>
      <c r="L1364" s="5" t="str">
        <f aca="false">IF($K1364="","",RANK($K1364,$K$6:$K$2005,1))</f>
        <v/>
      </c>
    </row>
    <row r="1365" customFormat="false" ht="15" hidden="false" customHeight="true" outlineLevel="0" collapsed="false">
      <c r="J1365" s="21" t="b">
        <f aca="false">IF(예약내역!$A1362="",FALSE(),AND(예약내역!$A1362=$B$3,예약내역!$J1362&lt;&gt;"취소"))</f>
        <v>0</v>
      </c>
      <c r="K1365" s="5" t="str">
        <f aca="false">IF($J1365=FALSE(),"",예약내역!$L1362*10000+ROW())</f>
        <v/>
      </c>
      <c r="L1365" s="5" t="str">
        <f aca="false">IF($K1365="","",RANK($K1365,$K$6:$K$2005,1))</f>
        <v/>
      </c>
    </row>
    <row r="1366" customFormat="false" ht="15" hidden="false" customHeight="true" outlineLevel="0" collapsed="false">
      <c r="J1366" s="21" t="b">
        <f aca="false">IF(예약내역!$A1363="",FALSE(),AND(예약내역!$A1363=$B$3,예약내역!$J1363&lt;&gt;"취소"))</f>
        <v>0</v>
      </c>
      <c r="K1366" s="5" t="str">
        <f aca="false">IF($J1366=FALSE(),"",예약내역!$L1363*10000+ROW())</f>
        <v/>
      </c>
      <c r="L1366" s="5" t="str">
        <f aca="false">IF($K1366="","",RANK($K1366,$K$6:$K$2005,1))</f>
        <v/>
      </c>
    </row>
    <row r="1367" customFormat="false" ht="15" hidden="false" customHeight="true" outlineLevel="0" collapsed="false">
      <c r="J1367" s="21" t="b">
        <f aca="false">IF(예약내역!$A1364="",FALSE(),AND(예약내역!$A1364=$B$3,예약내역!$J1364&lt;&gt;"취소"))</f>
        <v>0</v>
      </c>
      <c r="K1367" s="5" t="str">
        <f aca="false">IF($J1367=FALSE(),"",예약내역!$L1364*10000+ROW())</f>
        <v/>
      </c>
      <c r="L1367" s="5" t="str">
        <f aca="false">IF($K1367="","",RANK($K1367,$K$6:$K$2005,1))</f>
        <v/>
      </c>
    </row>
    <row r="1368" customFormat="false" ht="15" hidden="false" customHeight="true" outlineLevel="0" collapsed="false">
      <c r="J1368" s="21" t="b">
        <f aca="false">IF(예약내역!$A1365="",FALSE(),AND(예약내역!$A1365=$B$3,예약내역!$J1365&lt;&gt;"취소"))</f>
        <v>0</v>
      </c>
      <c r="K1368" s="5" t="str">
        <f aca="false">IF($J1368=FALSE(),"",예약내역!$L1365*10000+ROW())</f>
        <v/>
      </c>
      <c r="L1368" s="5" t="str">
        <f aca="false">IF($K1368="","",RANK($K1368,$K$6:$K$2005,1))</f>
        <v/>
      </c>
    </row>
    <row r="1369" customFormat="false" ht="15" hidden="false" customHeight="true" outlineLevel="0" collapsed="false">
      <c r="J1369" s="21" t="b">
        <f aca="false">IF(예약내역!$A1366="",FALSE(),AND(예약내역!$A1366=$B$3,예약내역!$J1366&lt;&gt;"취소"))</f>
        <v>0</v>
      </c>
      <c r="K1369" s="5" t="str">
        <f aca="false">IF($J1369=FALSE(),"",예약내역!$L1366*10000+ROW())</f>
        <v/>
      </c>
      <c r="L1369" s="5" t="str">
        <f aca="false">IF($K1369="","",RANK($K1369,$K$6:$K$2005,1))</f>
        <v/>
      </c>
    </row>
    <row r="1370" customFormat="false" ht="15" hidden="false" customHeight="true" outlineLevel="0" collapsed="false">
      <c r="J1370" s="21" t="b">
        <f aca="false">IF(예약내역!$A1367="",FALSE(),AND(예약내역!$A1367=$B$3,예약내역!$J1367&lt;&gt;"취소"))</f>
        <v>0</v>
      </c>
      <c r="K1370" s="5" t="str">
        <f aca="false">IF($J1370=FALSE(),"",예약내역!$L1367*10000+ROW())</f>
        <v/>
      </c>
      <c r="L1370" s="5" t="str">
        <f aca="false">IF($K1370="","",RANK($K1370,$K$6:$K$2005,1))</f>
        <v/>
      </c>
    </row>
    <row r="1371" customFormat="false" ht="15" hidden="false" customHeight="true" outlineLevel="0" collapsed="false">
      <c r="J1371" s="21" t="b">
        <f aca="false">IF(예약내역!$A1368="",FALSE(),AND(예약내역!$A1368=$B$3,예약내역!$J1368&lt;&gt;"취소"))</f>
        <v>0</v>
      </c>
      <c r="K1371" s="5" t="str">
        <f aca="false">IF($J1371=FALSE(),"",예약내역!$L1368*10000+ROW())</f>
        <v/>
      </c>
      <c r="L1371" s="5" t="str">
        <f aca="false">IF($K1371="","",RANK($K1371,$K$6:$K$2005,1))</f>
        <v/>
      </c>
    </row>
    <row r="1372" customFormat="false" ht="15" hidden="false" customHeight="true" outlineLevel="0" collapsed="false">
      <c r="J1372" s="21" t="b">
        <f aca="false">IF(예약내역!$A1369="",FALSE(),AND(예약내역!$A1369=$B$3,예약내역!$J1369&lt;&gt;"취소"))</f>
        <v>0</v>
      </c>
      <c r="K1372" s="5" t="str">
        <f aca="false">IF($J1372=FALSE(),"",예약내역!$L1369*10000+ROW())</f>
        <v/>
      </c>
      <c r="L1372" s="5" t="str">
        <f aca="false">IF($K1372="","",RANK($K1372,$K$6:$K$2005,1))</f>
        <v/>
      </c>
    </row>
    <row r="1373" customFormat="false" ht="15" hidden="false" customHeight="true" outlineLevel="0" collapsed="false">
      <c r="J1373" s="21" t="b">
        <f aca="false">IF(예약내역!$A1370="",FALSE(),AND(예약내역!$A1370=$B$3,예약내역!$J1370&lt;&gt;"취소"))</f>
        <v>0</v>
      </c>
      <c r="K1373" s="5" t="str">
        <f aca="false">IF($J1373=FALSE(),"",예약내역!$L1370*10000+ROW())</f>
        <v/>
      </c>
      <c r="L1373" s="5" t="str">
        <f aca="false">IF($K1373="","",RANK($K1373,$K$6:$K$2005,1))</f>
        <v/>
      </c>
    </row>
    <row r="1374" customFormat="false" ht="15" hidden="false" customHeight="true" outlineLevel="0" collapsed="false">
      <c r="J1374" s="21" t="b">
        <f aca="false">IF(예약내역!$A1371="",FALSE(),AND(예약내역!$A1371=$B$3,예약내역!$J1371&lt;&gt;"취소"))</f>
        <v>0</v>
      </c>
      <c r="K1374" s="5" t="str">
        <f aca="false">IF($J1374=FALSE(),"",예약내역!$L1371*10000+ROW())</f>
        <v/>
      </c>
      <c r="L1374" s="5" t="str">
        <f aca="false">IF($K1374="","",RANK($K1374,$K$6:$K$2005,1))</f>
        <v/>
      </c>
    </row>
    <row r="1375" customFormat="false" ht="15" hidden="false" customHeight="true" outlineLevel="0" collapsed="false">
      <c r="J1375" s="21" t="b">
        <f aca="false">IF(예약내역!$A1372="",FALSE(),AND(예약내역!$A1372=$B$3,예약내역!$J1372&lt;&gt;"취소"))</f>
        <v>0</v>
      </c>
      <c r="K1375" s="5" t="str">
        <f aca="false">IF($J1375=FALSE(),"",예약내역!$L1372*10000+ROW())</f>
        <v/>
      </c>
      <c r="L1375" s="5" t="str">
        <f aca="false">IF($K1375="","",RANK($K1375,$K$6:$K$2005,1))</f>
        <v/>
      </c>
    </row>
    <row r="1376" customFormat="false" ht="15" hidden="false" customHeight="true" outlineLevel="0" collapsed="false">
      <c r="J1376" s="21" t="b">
        <f aca="false">IF(예약내역!$A1373="",FALSE(),AND(예약내역!$A1373=$B$3,예약내역!$J1373&lt;&gt;"취소"))</f>
        <v>0</v>
      </c>
      <c r="K1376" s="5" t="str">
        <f aca="false">IF($J1376=FALSE(),"",예약내역!$L1373*10000+ROW())</f>
        <v/>
      </c>
      <c r="L1376" s="5" t="str">
        <f aca="false">IF($K1376="","",RANK($K1376,$K$6:$K$2005,1))</f>
        <v/>
      </c>
    </row>
    <row r="1377" customFormat="false" ht="15" hidden="false" customHeight="true" outlineLevel="0" collapsed="false">
      <c r="J1377" s="21" t="b">
        <f aca="false">IF(예약내역!$A1374="",FALSE(),AND(예약내역!$A1374=$B$3,예약내역!$J1374&lt;&gt;"취소"))</f>
        <v>0</v>
      </c>
      <c r="K1377" s="5" t="str">
        <f aca="false">IF($J1377=FALSE(),"",예약내역!$L1374*10000+ROW())</f>
        <v/>
      </c>
      <c r="L1377" s="5" t="str">
        <f aca="false">IF($K1377="","",RANK($K1377,$K$6:$K$2005,1))</f>
        <v/>
      </c>
    </row>
    <row r="1378" customFormat="false" ht="15" hidden="false" customHeight="true" outlineLevel="0" collapsed="false">
      <c r="J1378" s="21" t="b">
        <f aca="false">IF(예약내역!$A1375="",FALSE(),AND(예약내역!$A1375=$B$3,예약내역!$J1375&lt;&gt;"취소"))</f>
        <v>0</v>
      </c>
      <c r="K1378" s="5" t="str">
        <f aca="false">IF($J1378=FALSE(),"",예약내역!$L1375*10000+ROW())</f>
        <v/>
      </c>
      <c r="L1378" s="5" t="str">
        <f aca="false">IF($K1378="","",RANK($K1378,$K$6:$K$2005,1))</f>
        <v/>
      </c>
    </row>
    <row r="1379" customFormat="false" ht="15" hidden="false" customHeight="true" outlineLevel="0" collapsed="false">
      <c r="J1379" s="21" t="b">
        <f aca="false">IF(예약내역!$A1376="",FALSE(),AND(예약내역!$A1376=$B$3,예약내역!$J1376&lt;&gt;"취소"))</f>
        <v>0</v>
      </c>
      <c r="K1379" s="5" t="str">
        <f aca="false">IF($J1379=FALSE(),"",예약내역!$L1376*10000+ROW())</f>
        <v/>
      </c>
      <c r="L1379" s="5" t="str">
        <f aca="false">IF($K1379="","",RANK($K1379,$K$6:$K$2005,1))</f>
        <v/>
      </c>
    </row>
    <row r="1380" customFormat="false" ht="15" hidden="false" customHeight="true" outlineLevel="0" collapsed="false">
      <c r="J1380" s="21" t="b">
        <f aca="false">IF(예약내역!$A1377="",FALSE(),AND(예약내역!$A1377=$B$3,예약내역!$J1377&lt;&gt;"취소"))</f>
        <v>0</v>
      </c>
      <c r="K1380" s="5" t="str">
        <f aca="false">IF($J1380=FALSE(),"",예약내역!$L1377*10000+ROW())</f>
        <v/>
      </c>
      <c r="L1380" s="5" t="str">
        <f aca="false">IF($K1380="","",RANK($K1380,$K$6:$K$2005,1))</f>
        <v/>
      </c>
    </row>
    <row r="1381" customFormat="false" ht="15" hidden="false" customHeight="true" outlineLevel="0" collapsed="false">
      <c r="J1381" s="21" t="b">
        <f aca="false">IF(예약내역!$A1378="",FALSE(),AND(예약내역!$A1378=$B$3,예약내역!$J1378&lt;&gt;"취소"))</f>
        <v>0</v>
      </c>
      <c r="K1381" s="5" t="str">
        <f aca="false">IF($J1381=FALSE(),"",예약내역!$L1378*10000+ROW())</f>
        <v/>
      </c>
      <c r="L1381" s="5" t="str">
        <f aca="false">IF($K1381="","",RANK($K1381,$K$6:$K$2005,1))</f>
        <v/>
      </c>
    </row>
    <row r="1382" customFormat="false" ht="15" hidden="false" customHeight="true" outlineLevel="0" collapsed="false">
      <c r="J1382" s="21" t="b">
        <f aca="false">IF(예약내역!$A1379="",FALSE(),AND(예약내역!$A1379=$B$3,예약내역!$J1379&lt;&gt;"취소"))</f>
        <v>0</v>
      </c>
      <c r="K1382" s="5" t="str">
        <f aca="false">IF($J1382=FALSE(),"",예약내역!$L1379*10000+ROW())</f>
        <v/>
      </c>
      <c r="L1382" s="5" t="str">
        <f aca="false">IF($K1382="","",RANK($K1382,$K$6:$K$2005,1))</f>
        <v/>
      </c>
    </row>
    <row r="1383" customFormat="false" ht="15" hidden="false" customHeight="true" outlineLevel="0" collapsed="false">
      <c r="J1383" s="21" t="b">
        <f aca="false">IF(예약내역!$A1380="",FALSE(),AND(예약내역!$A1380=$B$3,예약내역!$J1380&lt;&gt;"취소"))</f>
        <v>0</v>
      </c>
      <c r="K1383" s="5" t="str">
        <f aca="false">IF($J1383=FALSE(),"",예약내역!$L1380*10000+ROW())</f>
        <v/>
      </c>
      <c r="L1383" s="5" t="str">
        <f aca="false">IF($K1383="","",RANK($K1383,$K$6:$K$2005,1))</f>
        <v/>
      </c>
    </row>
    <row r="1384" customFormat="false" ht="15" hidden="false" customHeight="true" outlineLevel="0" collapsed="false">
      <c r="J1384" s="21" t="b">
        <f aca="false">IF(예약내역!$A1381="",FALSE(),AND(예약내역!$A1381=$B$3,예약내역!$J1381&lt;&gt;"취소"))</f>
        <v>0</v>
      </c>
      <c r="K1384" s="5" t="str">
        <f aca="false">IF($J1384=FALSE(),"",예약내역!$L1381*10000+ROW())</f>
        <v/>
      </c>
      <c r="L1384" s="5" t="str">
        <f aca="false">IF($K1384="","",RANK($K1384,$K$6:$K$2005,1))</f>
        <v/>
      </c>
    </row>
    <row r="1385" customFormat="false" ht="15" hidden="false" customHeight="true" outlineLevel="0" collapsed="false">
      <c r="J1385" s="21" t="b">
        <f aca="false">IF(예약내역!$A1382="",FALSE(),AND(예약내역!$A1382=$B$3,예약내역!$J1382&lt;&gt;"취소"))</f>
        <v>0</v>
      </c>
      <c r="K1385" s="5" t="str">
        <f aca="false">IF($J1385=FALSE(),"",예약내역!$L1382*10000+ROW())</f>
        <v/>
      </c>
      <c r="L1385" s="5" t="str">
        <f aca="false">IF($K1385="","",RANK($K1385,$K$6:$K$2005,1))</f>
        <v/>
      </c>
    </row>
    <row r="1386" customFormat="false" ht="15" hidden="false" customHeight="true" outlineLevel="0" collapsed="false">
      <c r="J1386" s="21" t="b">
        <f aca="false">IF(예약내역!$A1383="",FALSE(),AND(예약내역!$A1383=$B$3,예약내역!$J1383&lt;&gt;"취소"))</f>
        <v>0</v>
      </c>
      <c r="K1386" s="5" t="str">
        <f aca="false">IF($J1386=FALSE(),"",예약내역!$L1383*10000+ROW())</f>
        <v/>
      </c>
      <c r="L1386" s="5" t="str">
        <f aca="false">IF($K1386="","",RANK($K1386,$K$6:$K$2005,1))</f>
        <v/>
      </c>
    </row>
    <row r="1387" customFormat="false" ht="15" hidden="false" customHeight="true" outlineLevel="0" collapsed="false">
      <c r="J1387" s="21" t="b">
        <f aca="false">IF(예약내역!$A1384="",FALSE(),AND(예약내역!$A1384=$B$3,예약내역!$J1384&lt;&gt;"취소"))</f>
        <v>0</v>
      </c>
      <c r="K1387" s="5" t="str">
        <f aca="false">IF($J1387=FALSE(),"",예약내역!$L1384*10000+ROW())</f>
        <v/>
      </c>
      <c r="L1387" s="5" t="str">
        <f aca="false">IF($K1387="","",RANK($K1387,$K$6:$K$2005,1))</f>
        <v/>
      </c>
    </row>
    <row r="1388" customFormat="false" ht="15" hidden="false" customHeight="true" outlineLevel="0" collapsed="false">
      <c r="J1388" s="21" t="b">
        <f aca="false">IF(예약내역!$A1385="",FALSE(),AND(예약내역!$A1385=$B$3,예약내역!$J1385&lt;&gt;"취소"))</f>
        <v>0</v>
      </c>
      <c r="K1388" s="5" t="str">
        <f aca="false">IF($J1388=FALSE(),"",예약내역!$L1385*10000+ROW())</f>
        <v/>
      </c>
      <c r="L1388" s="5" t="str">
        <f aca="false">IF($K1388="","",RANK($K1388,$K$6:$K$2005,1))</f>
        <v/>
      </c>
    </row>
    <row r="1389" customFormat="false" ht="15" hidden="false" customHeight="true" outlineLevel="0" collapsed="false">
      <c r="J1389" s="21" t="b">
        <f aca="false">IF(예약내역!$A1386="",FALSE(),AND(예약내역!$A1386=$B$3,예약내역!$J1386&lt;&gt;"취소"))</f>
        <v>0</v>
      </c>
      <c r="K1389" s="5" t="str">
        <f aca="false">IF($J1389=FALSE(),"",예약내역!$L1386*10000+ROW())</f>
        <v/>
      </c>
      <c r="L1389" s="5" t="str">
        <f aca="false">IF($K1389="","",RANK($K1389,$K$6:$K$2005,1))</f>
        <v/>
      </c>
    </row>
    <row r="1390" customFormat="false" ht="15" hidden="false" customHeight="true" outlineLevel="0" collapsed="false">
      <c r="J1390" s="21" t="b">
        <f aca="false">IF(예약내역!$A1387="",FALSE(),AND(예약내역!$A1387=$B$3,예약내역!$J1387&lt;&gt;"취소"))</f>
        <v>0</v>
      </c>
      <c r="K1390" s="5" t="str">
        <f aca="false">IF($J1390=FALSE(),"",예약내역!$L1387*10000+ROW())</f>
        <v/>
      </c>
      <c r="L1390" s="5" t="str">
        <f aca="false">IF($K1390="","",RANK($K1390,$K$6:$K$2005,1))</f>
        <v/>
      </c>
    </row>
    <row r="1391" customFormat="false" ht="15" hidden="false" customHeight="true" outlineLevel="0" collapsed="false">
      <c r="J1391" s="21" t="b">
        <f aca="false">IF(예약내역!$A1388="",FALSE(),AND(예약내역!$A1388=$B$3,예약내역!$J1388&lt;&gt;"취소"))</f>
        <v>0</v>
      </c>
      <c r="K1391" s="5" t="str">
        <f aca="false">IF($J1391=FALSE(),"",예약내역!$L1388*10000+ROW())</f>
        <v/>
      </c>
      <c r="L1391" s="5" t="str">
        <f aca="false">IF($K1391="","",RANK($K1391,$K$6:$K$2005,1))</f>
        <v/>
      </c>
    </row>
    <row r="1392" customFormat="false" ht="15" hidden="false" customHeight="true" outlineLevel="0" collapsed="false">
      <c r="J1392" s="21" t="b">
        <f aca="false">IF(예약내역!$A1389="",FALSE(),AND(예약내역!$A1389=$B$3,예약내역!$J1389&lt;&gt;"취소"))</f>
        <v>0</v>
      </c>
      <c r="K1392" s="5" t="str">
        <f aca="false">IF($J1392=FALSE(),"",예약내역!$L1389*10000+ROW())</f>
        <v/>
      </c>
      <c r="L1392" s="5" t="str">
        <f aca="false">IF($K1392="","",RANK($K1392,$K$6:$K$2005,1))</f>
        <v/>
      </c>
    </row>
    <row r="1393" customFormat="false" ht="15" hidden="false" customHeight="true" outlineLevel="0" collapsed="false">
      <c r="J1393" s="21" t="b">
        <f aca="false">IF(예약내역!$A1390="",FALSE(),AND(예약내역!$A1390=$B$3,예약내역!$J1390&lt;&gt;"취소"))</f>
        <v>0</v>
      </c>
      <c r="K1393" s="5" t="str">
        <f aca="false">IF($J1393=FALSE(),"",예약내역!$L1390*10000+ROW())</f>
        <v/>
      </c>
      <c r="L1393" s="5" t="str">
        <f aca="false">IF($K1393="","",RANK($K1393,$K$6:$K$2005,1))</f>
        <v/>
      </c>
    </row>
    <row r="1394" customFormat="false" ht="15" hidden="false" customHeight="true" outlineLevel="0" collapsed="false">
      <c r="J1394" s="21" t="b">
        <f aca="false">IF(예약내역!$A1391="",FALSE(),AND(예약내역!$A1391=$B$3,예약내역!$J1391&lt;&gt;"취소"))</f>
        <v>0</v>
      </c>
      <c r="K1394" s="5" t="str">
        <f aca="false">IF($J1394=FALSE(),"",예약내역!$L1391*10000+ROW())</f>
        <v/>
      </c>
      <c r="L1394" s="5" t="str">
        <f aca="false">IF($K1394="","",RANK($K1394,$K$6:$K$2005,1))</f>
        <v/>
      </c>
    </row>
    <row r="1395" customFormat="false" ht="15" hidden="false" customHeight="true" outlineLevel="0" collapsed="false">
      <c r="J1395" s="21" t="b">
        <f aca="false">IF(예약내역!$A1392="",FALSE(),AND(예약내역!$A1392=$B$3,예약내역!$J1392&lt;&gt;"취소"))</f>
        <v>0</v>
      </c>
      <c r="K1395" s="5" t="str">
        <f aca="false">IF($J1395=FALSE(),"",예약내역!$L1392*10000+ROW())</f>
        <v/>
      </c>
      <c r="L1395" s="5" t="str">
        <f aca="false">IF($K1395="","",RANK($K1395,$K$6:$K$2005,1))</f>
        <v/>
      </c>
    </row>
    <row r="1396" customFormat="false" ht="15" hidden="false" customHeight="true" outlineLevel="0" collapsed="false">
      <c r="J1396" s="21" t="b">
        <f aca="false">IF(예약내역!$A1393="",FALSE(),AND(예약내역!$A1393=$B$3,예약내역!$J1393&lt;&gt;"취소"))</f>
        <v>0</v>
      </c>
      <c r="K1396" s="5" t="str">
        <f aca="false">IF($J1396=FALSE(),"",예약내역!$L1393*10000+ROW())</f>
        <v/>
      </c>
      <c r="L1396" s="5" t="str">
        <f aca="false">IF($K1396="","",RANK($K1396,$K$6:$K$2005,1))</f>
        <v/>
      </c>
    </row>
    <row r="1397" customFormat="false" ht="15" hidden="false" customHeight="true" outlineLevel="0" collapsed="false">
      <c r="J1397" s="21" t="b">
        <f aca="false">IF(예약내역!$A1394="",FALSE(),AND(예약내역!$A1394=$B$3,예약내역!$J1394&lt;&gt;"취소"))</f>
        <v>0</v>
      </c>
      <c r="K1397" s="5" t="str">
        <f aca="false">IF($J1397=FALSE(),"",예약내역!$L1394*10000+ROW())</f>
        <v/>
      </c>
      <c r="L1397" s="5" t="str">
        <f aca="false">IF($K1397="","",RANK($K1397,$K$6:$K$2005,1))</f>
        <v/>
      </c>
    </row>
    <row r="1398" customFormat="false" ht="15" hidden="false" customHeight="true" outlineLevel="0" collapsed="false">
      <c r="J1398" s="21" t="b">
        <f aca="false">IF(예약내역!$A1395="",FALSE(),AND(예약내역!$A1395=$B$3,예약내역!$J1395&lt;&gt;"취소"))</f>
        <v>0</v>
      </c>
      <c r="K1398" s="5" t="str">
        <f aca="false">IF($J1398=FALSE(),"",예약내역!$L1395*10000+ROW())</f>
        <v/>
      </c>
      <c r="L1398" s="5" t="str">
        <f aca="false">IF($K1398="","",RANK($K1398,$K$6:$K$2005,1))</f>
        <v/>
      </c>
    </row>
    <row r="1399" customFormat="false" ht="15" hidden="false" customHeight="true" outlineLevel="0" collapsed="false">
      <c r="J1399" s="21" t="b">
        <f aca="false">IF(예약내역!$A1396="",FALSE(),AND(예약내역!$A1396=$B$3,예약내역!$J1396&lt;&gt;"취소"))</f>
        <v>0</v>
      </c>
      <c r="K1399" s="5" t="str">
        <f aca="false">IF($J1399=FALSE(),"",예약내역!$L1396*10000+ROW())</f>
        <v/>
      </c>
      <c r="L1399" s="5" t="str">
        <f aca="false">IF($K1399="","",RANK($K1399,$K$6:$K$2005,1))</f>
        <v/>
      </c>
    </row>
    <row r="1400" customFormat="false" ht="15" hidden="false" customHeight="true" outlineLevel="0" collapsed="false">
      <c r="J1400" s="21" t="b">
        <f aca="false">IF(예약내역!$A1397="",FALSE(),AND(예약내역!$A1397=$B$3,예약내역!$J1397&lt;&gt;"취소"))</f>
        <v>0</v>
      </c>
      <c r="K1400" s="5" t="str">
        <f aca="false">IF($J1400=FALSE(),"",예약내역!$L1397*10000+ROW())</f>
        <v/>
      </c>
      <c r="L1400" s="5" t="str">
        <f aca="false">IF($K1400="","",RANK($K1400,$K$6:$K$2005,1))</f>
        <v/>
      </c>
    </row>
    <row r="1401" customFormat="false" ht="15" hidden="false" customHeight="true" outlineLevel="0" collapsed="false">
      <c r="J1401" s="21" t="b">
        <f aca="false">IF(예약내역!$A1398="",FALSE(),AND(예약내역!$A1398=$B$3,예약내역!$J1398&lt;&gt;"취소"))</f>
        <v>0</v>
      </c>
      <c r="K1401" s="5" t="str">
        <f aca="false">IF($J1401=FALSE(),"",예약내역!$L1398*10000+ROW())</f>
        <v/>
      </c>
      <c r="L1401" s="5" t="str">
        <f aca="false">IF($K1401="","",RANK($K1401,$K$6:$K$2005,1))</f>
        <v/>
      </c>
    </row>
    <row r="1402" customFormat="false" ht="15" hidden="false" customHeight="true" outlineLevel="0" collapsed="false">
      <c r="J1402" s="21" t="b">
        <f aca="false">IF(예약내역!$A1399="",FALSE(),AND(예약내역!$A1399=$B$3,예약내역!$J1399&lt;&gt;"취소"))</f>
        <v>0</v>
      </c>
      <c r="K1402" s="5" t="str">
        <f aca="false">IF($J1402=FALSE(),"",예약내역!$L1399*10000+ROW())</f>
        <v/>
      </c>
      <c r="L1402" s="5" t="str">
        <f aca="false">IF($K1402="","",RANK($K1402,$K$6:$K$2005,1))</f>
        <v/>
      </c>
    </row>
    <row r="1403" customFormat="false" ht="15" hidden="false" customHeight="true" outlineLevel="0" collapsed="false">
      <c r="J1403" s="21" t="b">
        <f aca="false">IF(예약내역!$A1400="",FALSE(),AND(예약내역!$A1400=$B$3,예약내역!$J1400&lt;&gt;"취소"))</f>
        <v>0</v>
      </c>
      <c r="K1403" s="5" t="str">
        <f aca="false">IF($J1403=FALSE(),"",예약내역!$L1400*10000+ROW())</f>
        <v/>
      </c>
      <c r="L1403" s="5" t="str">
        <f aca="false">IF($K1403="","",RANK($K1403,$K$6:$K$2005,1))</f>
        <v/>
      </c>
    </row>
    <row r="1404" customFormat="false" ht="15" hidden="false" customHeight="true" outlineLevel="0" collapsed="false">
      <c r="J1404" s="21" t="b">
        <f aca="false">IF(예약내역!$A1401="",FALSE(),AND(예약내역!$A1401=$B$3,예약내역!$J1401&lt;&gt;"취소"))</f>
        <v>0</v>
      </c>
      <c r="K1404" s="5" t="str">
        <f aca="false">IF($J1404=FALSE(),"",예약내역!$L1401*10000+ROW())</f>
        <v/>
      </c>
      <c r="L1404" s="5" t="str">
        <f aca="false">IF($K1404="","",RANK($K1404,$K$6:$K$2005,1))</f>
        <v/>
      </c>
    </row>
    <row r="1405" customFormat="false" ht="15" hidden="false" customHeight="true" outlineLevel="0" collapsed="false">
      <c r="J1405" s="21" t="b">
        <f aca="false">IF(예약내역!$A1402="",FALSE(),AND(예약내역!$A1402=$B$3,예약내역!$J1402&lt;&gt;"취소"))</f>
        <v>0</v>
      </c>
      <c r="K1405" s="5" t="str">
        <f aca="false">IF($J1405=FALSE(),"",예약내역!$L1402*10000+ROW())</f>
        <v/>
      </c>
      <c r="L1405" s="5" t="str">
        <f aca="false">IF($K1405="","",RANK($K1405,$K$6:$K$2005,1))</f>
        <v/>
      </c>
    </row>
    <row r="1406" customFormat="false" ht="15" hidden="false" customHeight="true" outlineLevel="0" collapsed="false">
      <c r="J1406" s="21" t="b">
        <f aca="false">IF(예약내역!$A1403="",FALSE(),AND(예약내역!$A1403=$B$3,예약내역!$J1403&lt;&gt;"취소"))</f>
        <v>0</v>
      </c>
      <c r="K1406" s="5" t="str">
        <f aca="false">IF($J1406=FALSE(),"",예약내역!$L1403*10000+ROW())</f>
        <v/>
      </c>
      <c r="L1406" s="5" t="str">
        <f aca="false">IF($K1406="","",RANK($K1406,$K$6:$K$2005,1))</f>
        <v/>
      </c>
    </row>
    <row r="1407" customFormat="false" ht="15" hidden="false" customHeight="true" outlineLevel="0" collapsed="false">
      <c r="J1407" s="21" t="b">
        <f aca="false">IF(예약내역!$A1404="",FALSE(),AND(예약내역!$A1404=$B$3,예약내역!$J1404&lt;&gt;"취소"))</f>
        <v>0</v>
      </c>
      <c r="K1407" s="5" t="str">
        <f aca="false">IF($J1407=FALSE(),"",예약내역!$L1404*10000+ROW())</f>
        <v/>
      </c>
      <c r="L1407" s="5" t="str">
        <f aca="false">IF($K1407="","",RANK($K1407,$K$6:$K$2005,1))</f>
        <v/>
      </c>
    </row>
    <row r="1408" customFormat="false" ht="15" hidden="false" customHeight="true" outlineLevel="0" collapsed="false">
      <c r="J1408" s="21" t="b">
        <f aca="false">IF(예약내역!$A1405="",FALSE(),AND(예약내역!$A1405=$B$3,예약내역!$J1405&lt;&gt;"취소"))</f>
        <v>0</v>
      </c>
      <c r="K1408" s="5" t="str">
        <f aca="false">IF($J1408=FALSE(),"",예약내역!$L1405*10000+ROW())</f>
        <v/>
      </c>
      <c r="L1408" s="5" t="str">
        <f aca="false">IF($K1408="","",RANK($K1408,$K$6:$K$2005,1))</f>
        <v/>
      </c>
    </row>
    <row r="1409" customFormat="false" ht="15" hidden="false" customHeight="true" outlineLevel="0" collapsed="false">
      <c r="J1409" s="21" t="b">
        <f aca="false">IF(예약내역!$A1406="",FALSE(),AND(예약내역!$A1406=$B$3,예약내역!$J1406&lt;&gt;"취소"))</f>
        <v>0</v>
      </c>
      <c r="K1409" s="5" t="str">
        <f aca="false">IF($J1409=FALSE(),"",예약내역!$L1406*10000+ROW())</f>
        <v/>
      </c>
      <c r="L1409" s="5" t="str">
        <f aca="false">IF($K1409="","",RANK($K1409,$K$6:$K$2005,1))</f>
        <v/>
      </c>
    </row>
    <row r="1410" customFormat="false" ht="15" hidden="false" customHeight="true" outlineLevel="0" collapsed="false">
      <c r="J1410" s="21" t="b">
        <f aca="false">IF(예약내역!$A1407="",FALSE(),AND(예약내역!$A1407=$B$3,예약내역!$J1407&lt;&gt;"취소"))</f>
        <v>0</v>
      </c>
      <c r="K1410" s="5" t="str">
        <f aca="false">IF($J1410=FALSE(),"",예약내역!$L1407*10000+ROW())</f>
        <v/>
      </c>
      <c r="L1410" s="5" t="str">
        <f aca="false">IF($K1410="","",RANK($K1410,$K$6:$K$2005,1))</f>
        <v/>
      </c>
    </row>
    <row r="1411" customFormat="false" ht="15" hidden="false" customHeight="true" outlineLevel="0" collapsed="false">
      <c r="J1411" s="21" t="b">
        <f aca="false">IF(예약내역!$A1408="",FALSE(),AND(예약내역!$A1408=$B$3,예약내역!$J1408&lt;&gt;"취소"))</f>
        <v>0</v>
      </c>
      <c r="K1411" s="5" t="str">
        <f aca="false">IF($J1411=FALSE(),"",예약내역!$L1408*10000+ROW())</f>
        <v/>
      </c>
      <c r="L1411" s="5" t="str">
        <f aca="false">IF($K1411="","",RANK($K1411,$K$6:$K$2005,1))</f>
        <v/>
      </c>
    </row>
    <row r="1412" customFormat="false" ht="15" hidden="false" customHeight="true" outlineLevel="0" collapsed="false">
      <c r="J1412" s="21" t="b">
        <f aca="false">IF(예약내역!$A1409="",FALSE(),AND(예약내역!$A1409=$B$3,예약내역!$J1409&lt;&gt;"취소"))</f>
        <v>0</v>
      </c>
      <c r="K1412" s="5" t="str">
        <f aca="false">IF($J1412=FALSE(),"",예약내역!$L1409*10000+ROW())</f>
        <v/>
      </c>
      <c r="L1412" s="5" t="str">
        <f aca="false">IF($K1412="","",RANK($K1412,$K$6:$K$2005,1))</f>
        <v/>
      </c>
    </row>
    <row r="1413" customFormat="false" ht="15" hidden="false" customHeight="true" outlineLevel="0" collapsed="false">
      <c r="J1413" s="21" t="b">
        <f aca="false">IF(예약내역!$A1410="",FALSE(),AND(예약내역!$A1410=$B$3,예약내역!$J1410&lt;&gt;"취소"))</f>
        <v>0</v>
      </c>
      <c r="K1413" s="5" t="str">
        <f aca="false">IF($J1413=FALSE(),"",예약내역!$L1410*10000+ROW())</f>
        <v/>
      </c>
      <c r="L1413" s="5" t="str">
        <f aca="false">IF($K1413="","",RANK($K1413,$K$6:$K$2005,1))</f>
        <v/>
      </c>
    </row>
    <row r="1414" customFormat="false" ht="15" hidden="false" customHeight="true" outlineLevel="0" collapsed="false">
      <c r="J1414" s="21" t="b">
        <f aca="false">IF(예약내역!$A1411="",FALSE(),AND(예약내역!$A1411=$B$3,예약내역!$J1411&lt;&gt;"취소"))</f>
        <v>0</v>
      </c>
      <c r="K1414" s="5" t="str">
        <f aca="false">IF($J1414=FALSE(),"",예약내역!$L1411*10000+ROW())</f>
        <v/>
      </c>
      <c r="L1414" s="5" t="str">
        <f aca="false">IF($K1414="","",RANK($K1414,$K$6:$K$2005,1))</f>
        <v/>
      </c>
    </row>
    <row r="1415" customFormat="false" ht="15" hidden="false" customHeight="true" outlineLevel="0" collapsed="false">
      <c r="J1415" s="21" t="b">
        <f aca="false">IF(예약내역!$A1412="",FALSE(),AND(예약내역!$A1412=$B$3,예약내역!$J1412&lt;&gt;"취소"))</f>
        <v>0</v>
      </c>
      <c r="K1415" s="5" t="str">
        <f aca="false">IF($J1415=FALSE(),"",예약내역!$L1412*10000+ROW())</f>
        <v/>
      </c>
      <c r="L1415" s="5" t="str">
        <f aca="false">IF($K1415="","",RANK($K1415,$K$6:$K$2005,1))</f>
        <v/>
      </c>
    </row>
    <row r="1416" customFormat="false" ht="15" hidden="false" customHeight="true" outlineLevel="0" collapsed="false">
      <c r="J1416" s="21" t="b">
        <f aca="false">IF(예약내역!$A1413="",FALSE(),AND(예약내역!$A1413=$B$3,예약내역!$J1413&lt;&gt;"취소"))</f>
        <v>0</v>
      </c>
      <c r="K1416" s="5" t="str">
        <f aca="false">IF($J1416=FALSE(),"",예약내역!$L1413*10000+ROW())</f>
        <v/>
      </c>
      <c r="L1416" s="5" t="str">
        <f aca="false">IF($K1416="","",RANK($K1416,$K$6:$K$2005,1))</f>
        <v/>
      </c>
    </row>
    <row r="1417" customFormat="false" ht="15" hidden="false" customHeight="true" outlineLevel="0" collapsed="false">
      <c r="J1417" s="21" t="b">
        <f aca="false">IF(예약내역!$A1414="",FALSE(),AND(예약내역!$A1414=$B$3,예약내역!$J1414&lt;&gt;"취소"))</f>
        <v>0</v>
      </c>
      <c r="K1417" s="5" t="str">
        <f aca="false">IF($J1417=FALSE(),"",예약내역!$L1414*10000+ROW())</f>
        <v/>
      </c>
      <c r="L1417" s="5" t="str">
        <f aca="false">IF($K1417="","",RANK($K1417,$K$6:$K$2005,1))</f>
        <v/>
      </c>
    </row>
    <row r="1418" customFormat="false" ht="15" hidden="false" customHeight="true" outlineLevel="0" collapsed="false">
      <c r="J1418" s="21" t="b">
        <f aca="false">IF(예약내역!$A1415="",FALSE(),AND(예약내역!$A1415=$B$3,예약내역!$J1415&lt;&gt;"취소"))</f>
        <v>0</v>
      </c>
      <c r="K1418" s="5" t="str">
        <f aca="false">IF($J1418=FALSE(),"",예약내역!$L1415*10000+ROW())</f>
        <v/>
      </c>
      <c r="L1418" s="5" t="str">
        <f aca="false">IF($K1418="","",RANK($K1418,$K$6:$K$2005,1))</f>
        <v/>
      </c>
    </row>
    <row r="1419" customFormat="false" ht="15" hidden="false" customHeight="true" outlineLevel="0" collapsed="false">
      <c r="J1419" s="21" t="b">
        <f aca="false">IF(예약내역!$A1416="",FALSE(),AND(예약내역!$A1416=$B$3,예약내역!$J1416&lt;&gt;"취소"))</f>
        <v>0</v>
      </c>
      <c r="K1419" s="5" t="str">
        <f aca="false">IF($J1419=FALSE(),"",예약내역!$L1416*10000+ROW())</f>
        <v/>
      </c>
      <c r="L1419" s="5" t="str">
        <f aca="false">IF($K1419="","",RANK($K1419,$K$6:$K$2005,1))</f>
        <v/>
      </c>
    </row>
    <row r="1420" customFormat="false" ht="15" hidden="false" customHeight="true" outlineLevel="0" collapsed="false">
      <c r="J1420" s="21" t="b">
        <f aca="false">IF(예약내역!$A1417="",FALSE(),AND(예약내역!$A1417=$B$3,예약내역!$J1417&lt;&gt;"취소"))</f>
        <v>0</v>
      </c>
      <c r="K1420" s="5" t="str">
        <f aca="false">IF($J1420=FALSE(),"",예약내역!$L1417*10000+ROW())</f>
        <v/>
      </c>
      <c r="L1420" s="5" t="str">
        <f aca="false">IF($K1420="","",RANK($K1420,$K$6:$K$2005,1))</f>
        <v/>
      </c>
    </row>
    <row r="1421" customFormat="false" ht="15" hidden="false" customHeight="true" outlineLevel="0" collapsed="false">
      <c r="J1421" s="21" t="b">
        <f aca="false">IF(예약내역!$A1418="",FALSE(),AND(예약내역!$A1418=$B$3,예약내역!$J1418&lt;&gt;"취소"))</f>
        <v>0</v>
      </c>
      <c r="K1421" s="5" t="str">
        <f aca="false">IF($J1421=FALSE(),"",예약내역!$L1418*10000+ROW())</f>
        <v/>
      </c>
      <c r="L1421" s="5" t="str">
        <f aca="false">IF($K1421="","",RANK($K1421,$K$6:$K$2005,1))</f>
        <v/>
      </c>
    </row>
    <row r="1422" customFormat="false" ht="15" hidden="false" customHeight="true" outlineLevel="0" collapsed="false">
      <c r="J1422" s="21" t="b">
        <f aca="false">IF(예약내역!$A1419="",FALSE(),AND(예약내역!$A1419=$B$3,예약내역!$J1419&lt;&gt;"취소"))</f>
        <v>0</v>
      </c>
      <c r="K1422" s="5" t="str">
        <f aca="false">IF($J1422=FALSE(),"",예약내역!$L1419*10000+ROW())</f>
        <v/>
      </c>
      <c r="L1422" s="5" t="str">
        <f aca="false">IF($K1422="","",RANK($K1422,$K$6:$K$2005,1))</f>
        <v/>
      </c>
    </row>
    <row r="1423" customFormat="false" ht="15" hidden="false" customHeight="true" outlineLevel="0" collapsed="false">
      <c r="J1423" s="21" t="b">
        <f aca="false">IF(예약내역!$A1420="",FALSE(),AND(예약내역!$A1420=$B$3,예약내역!$J1420&lt;&gt;"취소"))</f>
        <v>0</v>
      </c>
      <c r="K1423" s="5" t="str">
        <f aca="false">IF($J1423=FALSE(),"",예약내역!$L1420*10000+ROW())</f>
        <v/>
      </c>
      <c r="L1423" s="5" t="str">
        <f aca="false">IF($K1423="","",RANK($K1423,$K$6:$K$2005,1))</f>
        <v/>
      </c>
    </row>
    <row r="1424" customFormat="false" ht="15" hidden="false" customHeight="true" outlineLevel="0" collapsed="false">
      <c r="J1424" s="21" t="b">
        <f aca="false">IF(예약내역!$A1421="",FALSE(),AND(예약내역!$A1421=$B$3,예약내역!$J1421&lt;&gt;"취소"))</f>
        <v>0</v>
      </c>
      <c r="K1424" s="5" t="str">
        <f aca="false">IF($J1424=FALSE(),"",예약내역!$L1421*10000+ROW())</f>
        <v/>
      </c>
      <c r="L1424" s="5" t="str">
        <f aca="false">IF($K1424="","",RANK($K1424,$K$6:$K$2005,1))</f>
        <v/>
      </c>
    </row>
    <row r="1425" customFormat="false" ht="15" hidden="false" customHeight="true" outlineLevel="0" collapsed="false">
      <c r="J1425" s="21" t="b">
        <f aca="false">IF(예약내역!$A1422="",FALSE(),AND(예약내역!$A1422=$B$3,예약내역!$J1422&lt;&gt;"취소"))</f>
        <v>0</v>
      </c>
      <c r="K1425" s="5" t="str">
        <f aca="false">IF($J1425=FALSE(),"",예약내역!$L1422*10000+ROW())</f>
        <v/>
      </c>
      <c r="L1425" s="5" t="str">
        <f aca="false">IF($K1425="","",RANK($K1425,$K$6:$K$2005,1))</f>
        <v/>
      </c>
    </row>
    <row r="1426" customFormat="false" ht="15" hidden="false" customHeight="true" outlineLevel="0" collapsed="false">
      <c r="J1426" s="21" t="b">
        <f aca="false">IF(예약내역!$A1423="",FALSE(),AND(예약내역!$A1423=$B$3,예약내역!$J1423&lt;&gt;"취소"))</f>
        <v>0</v>
      </c>
      <c r="K1426" s="5" t="str">
        <f aca="false">IF($J1426=FALSE(),"",예약내역!$L1423*10000+ROW())</f>
        <v/>
      </c>
      <c r="L1426" s="5" t="str">
        <f aca="false">IF($K1426="","",RANK($K1426,$K$6:$K$2005,1))</f>
        <v/>
      </c>
    </row>
    <row r="1427" customFormat="false" ht="15" hidden="false" customHeight="true" outlineLevel="0" collapsed="false">
      <c r="J1427" s="21" t="b">
        <f aca="false">IF(예약내역!$A1424="",FALSE(),AND(예약내역!$A1424=$B$3,예약내역!$J1424&lt;&gt;"취소"))</f>
        <v>0</v>
      </c>
      <c r="K1427" s="5" t="str">
        <f aca="false">IF($J1427=FALSE(),"",예약내역!$L1424*10000+ROW())</f>
        <v/>
      </c>
      <c r="L1427" s="5" t="str">
        <f aca="false">IF($K1427="","",RANK($K1427,$K$6:$K$2005,1))</f>
        <v/>
      </c>
    </row>
    <row r="1428" customFormat="false" ht="15" hidden="false" customHeight="true" outlineLevel="0" collapsed="false">
      <c r="J1428" s="21" t="b">
        <f aca="false">IF(예약내역!$A1425="",FALSE(),AND(예약내역!$A1425=$B$3,예약내역!$J1425&lt;&gt;"취소"))</f>
        <v>0</v>
      </c>
      <c r="K1428" s="5" t="str">
        <f aca="false">IF($J1428=FALSE(),"",예약내역!$L1425*10000+ROW())</f>
        <v/>
      </c>
      <c r="L1428" s="5" t="str">
        <f aca="false">IF($K1428="","",RANK($K1428,$K$6:$K$2005,1))</f>
        <v/>
      </c>
    </row>
    <row r="1429" customFormat="false" ht="15" hidden="false" customHeight="true" outlineLevel="0" collapsed="false">
      <c r="J1429" s="21" t="b">
        <f aca="false">IF(예약내역!$A1426="",FALSE(),AND(예약내역!$A1426=$B$3,예약내역!$J1426&lt;&gt;"취소"))</f>
        <v>0</v>
      </c>
      <c r="K1429" s="5" t="str">
        <f aca="false">IF($J1429=FALSE(),"",예약내역!$L1426*10000+ROW())</f>
        <v/>
      </c>
      <c r="L1429" s="5" t="str">
        <f aca="false">IF($K1429="","",RANK($K1429,$K$6:$K$2005,1))</f>
        <v/>
      </c>
    </row>
    <row r="1430" customFormat="false" ht="15" hidden="false" customHeight="true" outlineLevel="0" collapsed="false">
      <c r="J1430" s="21" t="b">
        <f aca="false">IF(예약내역!$A1427="",FALSE(),AND(예약내역!$A1427=$B$3,예약내역!$J1427&lt;&gt;"취소"))</f>
        <v>0</v>
      </c>
      <c r="K1430" s="5" t="str">
        <f aca="false">IF($J1430=FALSE(),"",예약내역!$L1427*10000+ROW())</f>
        <v/>
      </c>
      <c r="L1430" s="5" t="str">
        <f aca="false">IF($K1430="","",RANK($K1430,$K$6:$K$2005,1))</f>
        <v/>
      </c>
    </row>
    <row r="1431" customFormat="false" ht="15" hidden="false" customHeight="true" outlineLevel="0" collapsed="false">
      <c r="J1431" s="21" t="b">
        <f aca="false">IF(예약내역!$A1428="",FALSE(),AND(예약내역!$A1428=$B$3,예약내역!$J1428&lt;&gt;"취소"))</f>
        <v>0</v>
      </c>
      <c r="K1431" s="5" t="str">
        <f aca="false">IF($J1431=FALSE(),"",예약내역!$L1428*10000+ROW())</f>
        <v/>
      </c>
      <c r="L1431" s="5" t="str">
        <f aca="false">IF($K1431="","",RANK($K1431,$K$6:$K$2005,1))</f>
        <v/>
      </c>
    </row>
    <row r="1432" customFormat="false" ht="15" hidden="false" customHeight="true" outlineLevel="0" collapsed="false">
      <c r="J1432" s="21" t="b">
        <f aca="false">IF(예약내역!$A1429="",FALSE(),AND(예약내역!$A1429=$B$3,예약내역!$J1429&lt;&gt;"취소"))</f>
        <v>0</v>
      </c>
      <c r="K1432" s="5" t="str">
        <f aca="false">IF($J1432=FALSE(),"",예약내역!$L1429*10000+ROW())</f>
        <v/>
      </c>
      <c r="L1432" s="5" t="str">
        <f aca="false">IF($K1432="","",RANK($K1432,$K$6:$K$2005,1))</f>
        <v/>
      </c>
    </row>
    <row r="1433" customFormat="false" ht="15" hidden="false" customHeight="true" outlineLevel="0" collapsed="false">
      <c r="J1433" s="21" t="b">
        <f aca="false">IF(예약내역!$A1430="",FALSE(),AND(예약내역!$A1430=$B$3,예약내역!$J1430&lt;&gt;"취소"))</f>
        <v>0</v>
      </c>
      <c r="K1433" s="5" t="str">
        <f aca="false">IF($J1433=FALSE(),"",예약내역!$L1430*10000+ROW())</f>
        <v/>
      </c>
      <c r="L1433" s="5" t="str">
        <f aca="false">IF($K1433="","",RANK($K1433,$K$6:$K$2005,1))</f>
        <v/>
      </c>
    </row>
    <row r="1434" customFormat="false" ht="15" hidden="false" customHeight="true" outlineLevel="0" collapsed="false">
      <c r="J1434" s="21" t="b">
        <f aca="false">IF(예약내역!$A1431="",FALSE(),AND(예약내역!$A1431=$B$3,예약내역!$J1431&lt;&gt;"취소"))</f>
        <v>0</v>
      </c>
      <c r="K1434" s="5" t="str">
        <f aca="false">IF($J1434=FALSE(),"",예약내역!$L1431*10000+ROW())</f>
        <v/>
      </c>
      <c r="L1434" s="5" t="str">
        <f aca="false">IF($K1434="","",RANK($K1434,$K$6:$K$2005,1))</f>
        <v/>
      </c>
    </row>
    <row r="1435" customFormat="false" ht="15" hidden="false" customHeight="true" outlineLevel="0" collapsed="false">
      <c r="J1435" s="21" t="b">
        <f aca="false">IF(예약내역!$A1432="",FALSE(),AND(예약내역!$A1432=$B$3,예약내역!$J1432&lt;&gt;"취소"))</f>
        <v>0</v>
      </c>
      <c r="K1435" s="5" t="str">
        <f aca="false">IF($J1435=FALSE(),"",예약내역!$L1432*10000+ROW())</f>
        <v/>
      </c>
      <c r="L1435" s="5" t="str">
        <f aca="false">IF($K1435="","",RANK($K1435,$K$6:$K$2005,1))</f>
        <v/>
      </c>
    </row>
    <row r="1436" customFormat="false" ht="15" hidden="false" customHeight="true" outlineLevel="0" collapsed="false">
      <c r="J1436" s="21" t="b">
        <f aca="false">IF(예약내역!$A1433="",FALSE(),AND(예약내역!$A1433=$B$3,예약내역!$J1433&lt;&gt;"취소"))</f>
        <v>0</v>
      </c>
      <c r="K1436" s="5" t="str">
        <f aca="false">IF($J1436=FALSE(),"",예약내역!$L1433*10000+ROW())</f>
        <v/>
      </c>
      <c r="L1436" s="5" t="str">
        <f aca="false">IF($K1436="","",RANK($K1436,$K$6:$K$2005,1))</f>
        <v/>
      </c>
    </row>
    <row r="1437" customFormat="false" ht="15" hidden="false" customHeight="true" outlineLevel="0" collapsed="false">
      <c r="J1437" s="21" t="b">
        <f aca="false">IF(예약내역!$A1434="",FALSE(),AND(예약내역!$A1434=$B$3,예약내역!$J1434&lt;&gt;"취소"))</f>
        <v>0</v>
      </c>
      <c r="K1437" s="5" t="str">
        <f aca="false">IF($J1437=FALSE(),"",예약내역!$L1434*10000+ROW())</f>
        <v/>
      </c>
      <c r="L1437" s="5" t="str">
        <f aca="false">IF($K1437="","",RANK($K1437,$K$6:$K$2005,1))</f>
        <v/>
      </c>
    </row>
    <row r="1438" customFormat="false" ht="15" hidden="false" customHeight="true" outlineLevel="0" collapsed="false">
      <c r="J1438" s="21" t="b">
        <f aca="false">IF(예약내역!$A1435="",FALSE(),AND(예약내역!$A1435=$B$3,예약내역!$J1435&lt;&gt;"취소"))</f>
        <v>0</v>
      </c>
      <c r="K1438" s="5" t="str">
        <f aca="false">IF($J1438=FALSE(),"",예약내역!$L1435*10000+ROW())</f>
        <v/>
      </c>
      <c r="L1438" s="5" t="str">
        <f aca="false">IF($K1438="","",RANK($K1438,$K$6:$K$2005,1))</f>
        <v/>
      </c>
    </row>
    <row r="1439" customFormat="false" ht="15" hidden="false" customHeight="true" outlineLevel="0" collapsed="false">
      <c r="J1439" s="21" t="b">
        <f aca="false">IF(예약내역!$A1436="",FALSE(),AND(예약내역!$A1436=$B$3,예약내역!$J1436&lt;&gt;"취소"))</f>
        <v>0</v>
      </c>
      <c r="K1439" s="5" t="str">
        <f aca="false">IF($J1439=FALSE(),"",예약내역!$L1436*10000+ROW())</f>
        <v/>
      </c>
      <c r="L1439" s="5" t="str">
        <f aca="false">IF($K1439="","",RANK($K1439,$K$6:$K$2005,1))</f>
        <v/>
      </c>
    </row>
    <row r="1440" customFormat="false" ht="15" hidden="false" customHeight="true" outlineLevel="0" collapsed="false">
      <c r="J1440" s="21" t="b">
        <f aca="false">IF(예약내역!$A1437="",FALSE(),AND(예약내역!$A1437=$B$3,예약내역!$J1437&lt;&gt;"취소"))</f>
        <v>0</v>
      </c>
      <c r="K1440" s="5" t="str">
        <f aca="false">IF($J1440=FALSE(),"",예약내역!$L1437*10000+ROW())</f>
        <v/>
      </c>
      <c r="L1440" s="5" t="str">
        <f aca="false">IF($K1440="","",RANK($K1440,$K$6:$K$2005,1))</f>
        <v/>
      </c>
    </row>
    <row r="1441" customFormat="false" ht="15" hidden="false" customHeight="true" outlineLevel="0" collapsed="false">
      <c r="J1441" s="21" t="b">
        <f aca="false">IF(예약내역!$A1438="",FALSE(),AND(예약내역!$A1438=$B$3,예약내역!$J1438&lt;&gt;"취소"))</f>
        <v>0</v>
      </c>
      <c r="K1441" s="5" t="str">
        <f aca="false">IF($J1441=FALSE(),"",예약내역!$L1438*10000+ROW())</f>
        <v/>
      </c>
      <c r="L1441" s="5" t="str">
        <f aca="false">IF($K1441="","",RANK($K1441,$K$6:$K$2005,1))</f>
        <v/>
      </c>
    </row>
    <row r="1442" customFormat="false" ht="15" hidden="false" customHeight="true" outlineLevel="0" collapsed="false">
      <c r="J1442" s="21" t="b">
        <f aca="false">IF(예약내역!$A1439="",FALSE(),AND(예약내역!$A1439=$B$3,예약내역!$J1439&lt;&gt;"취소"))</f>
        <v>0</v>
      </c>
      <c r="K1442" s="5" t="str">
        <f aca="false">IF($J1442=FALSE(),"",예약내역!$L1439*10000+ROW())</f>
        <v/>
      </c>
      <c r="L1442" s="5" t="str">
        <f aca="false">IF($K1442="","",RANK($K1442,$K$6:$K$2005,1))</f>
        <v/>
      </c>
    </row>
    <row r="1443" customFormat="false" ht="15" hidden="false" customHeight="true" outlineLevel="0" collapsed="false">
      <c r="J1443" s="21" t="b">
        <f aca="false">IF(예약내역!$A1440="",FALSE(),AND(예약내역!$A1440=$B$3,예약내역!$J1440&lt;&gt;"취소"))</f>
        <v>0</v>
      </c>
      <c r="K1443" s="5" t="str">
        <f aca="false">IF($J1443=FALSE(),"",예약내역!$L1440*10000+ROW())</f>
        <v/>
      </c>
      <c r="L1443" s="5" t="str">
        <f aca="false">IF($K1443="","",RANK($K1443,$K$6:$K$2005,1))</f>
        <v/>
      </c>
    </row>
    <row r="1444" customFormat="false" ht="15" hidden="false" customHeight="true" outlineLevel="0" collapsed="false">
      <c r="J1444" s="21" t="b">
        <f aca="false">IF(예약내역!$A1441="",FALSE(),AND(예약내역!$A1441=$B$3,예약내역!$J1441&lt;&gt;"취소"))</f>
        <v>0</v>
      </c>
      <c r="K1444" s="5" t="str">
        <f aca="false">IF($J1444=FALSE(),"",예약내역!$L1441*10000+ROW())</f>
        <v/>
      </c>
      <c r="L1444" s="5" t="str">
        <f aca="false">IF($K1444="","",RANK($K1444,$K$6:$K$2005,1))</f>
        <v/>
      </c>
    </row>
    <row r="1445" customFormat="false" ht="15" hidden="false" customHeight="true" outlineLevel="0" collapsed="false">
      <c r="J1445" s="21" t="b">
        <f aca="false">IF(예약내역!$A1442="",FALSE(),AND(예약내역!$A1442=$B$3,예약내역!$J1442&lt;&gt;"취소"))</f>
        <v>0</v>
      </c>
      <c r="K1445" s="5" t="str">
        <f aca="false">IF($J1445=FALSE(),"",예약내역!$L1442*10000+ROW())</f>
        <v/>
      </c>
      <c r="L1445" s="5" t="str">
        <f aca="false">IF($K1445="","",RANK($K1445,$K$6:$K$2005,1))</f>
        <v/>
      </c>
    </row>
    <row r="1446" customFormat="false" ht="15" hidden="false" customHeight="true" outlineLevel="0" collapsed="false">
      <c r="J1446" s="21" t="b">
        <f aca="false">IF(예약내역!$A1443="",FALSE(),AND(예약내역!$A1443=$B$3,예약내역!$J1443&lt;&gt;"취소"))</f>
        <v>0</v>
      </c>
      <c r="K1446" s="5" t="str">
        <f aca="false">IF($J1446=FALSE(),"",예약내역!$L1443*10000+ROW())</f>
        <v/>
      </c>
      <c r="L1446" s="5" t="str">
        <f aca="false">IF($K1446="","",RANK($K1446,$K$6:$K$2005,1))</f>
        <v/>
      </c>
    </row>
    <row r="1447" customFormat="false" ht="15" hidden="false" customHeight="true" outlineLevel="0" collapsed="false">
      <c r="J1447" s="21" t="b">
        <f aca="false">IF(예약내역!$A1444="",FALSE(),AND(예약내역!$A1444=$B$3,예약내역!$J1444&lt;&gt;"취소"))</f>
        <v>0</v>
      </c>
      <c r="K1447" s="5" t="str">
        <f aca="false">IF($J1447=FALSE(),"",예약내역!$L1444*10000+ROW())</f>
        <v/>
      </c>
      <c r="L1447" s="5" t="str">
        <f aca="false">IF($K1447="","",RANK($K1447,$K$6:$K$2005,1))</f>
        <v/>
      </c>
    </row>
    <row r="1448" customFormat="false" ht="15" hidden="false" customHeight="true" outlineLevel="0" collapsed="false">
      <c r="J1448" s="21" t="b">
        <f aca="false">IF(예약내역!$A1445="",FALSE(),AND(예약내역!$A1445=$B$3,예약내역!$J1445&lt;&gt;"취소"))</f>
        <v>0</v>
      </c>
      <c r="K1448" s="5" t="str">
        <f aca="false">IF($J1448=FALSE(),"",예약내역!$L1445*10000+ROW())</f>
        <v/>
      </c>
      <c r="L1448" s="5" t="str">
        <f aca="false">IF($K1448="","",RANK($K1448,$K$6:$K$2005,1))</f>
        <v/>
      </c>
    </row>
    <row r="1449" customFormat="false" ht="15" hidden="false" customHeight="true" outlineLevel="0" collapsed="false">
      <c r="J1449" s="21" t="b">
        <f aca="false">IF(예약내역!$A1446="",FALSE(),AND(예약내역!$A1446=$B$3,예약내역!$J1446&lt;&gt;"취소"))</f>
        <v>0</v>
      </c>
      <c r="K1449" s="5" t="str">
        <f aca="false">IF($J1449=FALSE(),"",예약내역!$L1446*10000+ROW())</f>
        <v/>
      </c>
      <c r="L1449" s="5" t="str">
        <f aca="false">IF($K1449="","",RANK($K1449,$K$6:$K$2005,1))</f>
        <v/>
      </c>
    </row>
    <row r="1450" customFormat="false" ht="15" hidden="false" customHeight="true" outlineLevel="0" collapsed="false">
      <c r="J1450" s="21" t="b">
        <f aca="false">IF(예약내역!$A1447="",FALSE(),AND(예약내역!$A1447=$B$3,예약내역!$J1447&lt;&gt;"취소"))</f>
        <v>0</v>
      </c>
      <c r="K1450" s="5" t="str">
        <f aca="false">IF($J1450=FALSE(),"",예약내역!$L1447*10000+ROW())</f>
        <v/>
      </c>
      <c r="L1450" s="5" t="str">
        <f aca="false">IF($K1450="","",RANK($K1450,$K$6:$K$2005,1))</f>
        <v/>
      </c>
    </row>
    <row r="1451" customFormat="false" ht="15" hidden="false" customHeight="true" outlineLevel="0" collapsed="false">
      <c r="J1451" s="21" t="b">
        <f aca="false">IF(예약내역!$A1448="",FALSE(),AND(예약내역!$A1448=$B$3,예약내역!$J1448&lt;&gt;"취소"))</f>
        <v>0</v>
      </c>
      <c r="K1451" s="5" t="str">
        <f aca="false">IF($J1451=FALSE(),"",예약내역!$L1448*10000+ROW())</f>
        <v/>
      </c>
      <c r="L1451" s="5" t="str">
        <f aca="false">IF($K1451="","",RANK($K1451,$K$6:$K$2005,1))</f>
        <v/>
      </c>
    </row>
    <row r="1452" customFormat="false" ht="15" hidden="false" customHeight="true" outlineLevel="0" collapsed="false">
      <c r="J1452" s="21" t="b">
        <f aca="false">IF(예약내역!$A1449="",FALSE(),AND(예약내역!$A1449=$B$3,예약내역!$J1449&lt;&gt;"취소"))</f>
        <v>0</v>
      </c>
      <c r="K1452" s="5" t="str">
        <f aca="false">IF($J1452=FALSE(),"",예약내역!$L1449*10000+ROW())</f>
        <v/>
      </c>
      <c r="L1452" s="5" t="str">
        <f aca="false">IF($K1452="","",RANK($K1452,$K$6:$K$2005,1))</f>
        <v/>
      </c>
    </row>
    <row r="1453" customFormat="false" ht="15" hidden="false" customHeight="true" outlineLevel="0" collapsed="false">
      <c r="J1453" s="21" t="b">
        <f aca="false">IF(예약내역!$A1450="",FALSE(),AND(예약내역!$A1450=$B$3,예약내역!$J1450&lt;&gt;"취소"))</f>
        <v>0</v>
      </c>
      <c r="K1453" s="5" t="str">
        <f aca="false">IF($J1453=FALSE(),"",예약내역!$L1450*10000+ROW())</f>
        <v/>
      </c>
      <c r="L1453" s="5" t="str">
        <f aca="false">IF($K1453="","",RANK($K1453,$K$6:$K$2005,1))</f>
        <v/>
      </c>
    </row>
    <row r="1454" customFormat="false" ht="15" hidden="false" customHeight="true" outlineLevel="0" collapsed="false">
      <c r="J1454" s="21" t="b">
        <f aca="false">IF(예약내역!$A1451="",FALSE(),AND(예약내역!$A1451=$B$3,예약내역!$J1451&lt;&gt;"취소"))</f>
        <v>0</v>
      </c>
      <c r="K1454" s="5" t="str">
        <f aca="false">IF($J1454=FALSE(),"",예약내역!$L1451*10000+ROW())</f>
        <v/>
      </c>
      <c r="L1454" s="5" t="str">
        <f aca="false">IF($K1454="","",RANK($K1454,$K$6:$K$2005,1))</f>
        <v/>
      </c>
    </row>
    <row r="1455" customFormat="false" ht="15" hidden="false" customHeight="true" outlineLevel="0" collapsed="false">
      <c r="J1455" s="21" t="b">
        <f aca="false">IF(예약내역!$A1452="",FALSE(),AND(예약내역!$A1452=$B$3,예약내역!$J1452&lt;&gt;"취소"))</f>
        <v>0</v>
      </c>
      <c r="K1455" s="5" t="str">
        <f aca="false">IF($J1455=FALSE(),"",예약내역!$L1452*10000+ROW())</f>
        <v/>
      </c>
      <c r="L1455" s="5" t="str">
        <f aca="false">IF($K1455="","",RANK($K1455,$K$6:$K$2005,1))</f>
        <v/>
      </c>
    </row>
    <row r="1456" customFormat="false" ht="15" hidden="false" customHeight="true" outlineLevel="0" collapsed="false">
      <c r="J1456" s="21" t="b">
        <f aca="false">IF(예약내역!$A1453="",FALSE(),AND(예약내역!$A1453=$B$3,예약내역!$J1453&lt;&gt;"취소"))</f>
        <v>0</v>
      </c>
      <c r="K1456" s="5" t="str">
        <f aca="false">IF($J1456=FALSE(),"",예약내역!$L1453*10000+ROW())</f>
        <v/>
      </c>
      <c r="L1456" s="5" t="str">
        <f aca="false">IF($K1456="","",RANK($K1456,$K$6:$K$2005,1))</f>
        <v/>
      </c>
    </row>
    <row r="1457" customFormat="false" ht="15" hidden="false" customHeight="true" outlineLevel="0" collapsed="false">
      <c r="J1457" s="21" t="b">
        <f aca="false">IF(예약내역!$A1454="",FALSE(),AND(예약내역!$A1454=$B$3,예약내역!$J1454&lt;&gt;"취소"))</f>
        <v>0</v>
      </c>
      <c r="K1457" s="5" t="str">
        <f aca="false">IF($J1457=FALSE(),"",예약내역!$L1454*10000+ROW())</f>
        <v/>
      </c>
      <c r="L1457" s="5" t="str">
        <f aca="false">IF($K1457="","",RANK($K1457,$K$6:$K$2005,1))</f>
        <v/>
      </c>
    </row>
    <row r="1458" customFormat="false" ht="15" hidden="false" customHeight="true" outlineLevel="0" collapsed="false">
      <c r="J1458" s="21" t="b">
        <f aca="false">IF(예약내역!$A1455="",FALSE(),AND(예약내역!$A1455=$B$3,예약내역!$J1455&lt;&gt;"취소"))</f>
        <v>0</v>
      </c>
      <c r="K1458" s="5" t="str">
        <f aca="false">IF($J1458=FALSE(),"",예약내역!$L1455*10000+ROW())</f>
        <v/>
      </c>
      <c r="L1458" s="5" t="str">
        <f aca="false">IF($K1458="","",RANK($K1458,$K$6:$K$2005,1))</f>
        <v/>
      </c>
    </row>
    <row r="1459" customFormat="false" ht="15" hidden="false" customHeight="true" outlineLevel="0" collapsed="false">
      <c r="J1459" s="21" t="b">
        <f aca="false">IF(예약내역!$A1456="",FALSE(),AND(예약내역!$A1456=$B$3,예약내역!$J1456&lt;&gt;"취소"))</f>
        <v>0</v>
      </c>
      <c r="K1459" s="5" t="str">
        <f aca="false">IF($J1459=FALSE(),"",예약내역!$L1456*10000+ROW())</f>
        <v/>
      </c>
      <c r="L1459" s="5" t="str">
        <f aca="false">IF($K1459="","",RANK($K1459,$K$6:$K$2005,1))</f>
        <v/>
      </c>
    </row>
    <row r="1460" customFormat="false" ht="15" hidden="false" customHeight="true" outlineLevel="0" collapsed="false">
      <c r="J1460" s="21" t="b">
        <f aca="false">IF(예약내역!$A1457="",FALSE(),AND(예약내역!$A1457=$B$3,예약내역!$J1457&lt;&gt;"취소"))</f>
        <v>0</v>
      </c>
      <c r="K1460" s="5" t="str">
        <f aca="false">IF($J1460=FALSE(),"",예약내역!$L1457*10000+ROW())</f>
        <v/>
      </c>
      <c r="L1460" s="5" t="str">
        <f aca="false">IF($K1460="","",RANK($K1460,$K$6:$K$2005,1))</f>
        <v/>
      </c>
    </row>
    <row r="1461" customFormat="false" ht="15" hidden="false" customHeight="true" outlineLevel="0" collapsed="false">
      <c r="J1461" s="21" t="b">
        <f aca="false">IF(예약내역!$A1458="",FALSE(),AND(예약내역!$A1458=$B$3,예약내역!$J1458&lt;&gt;"취소"))</f>
        <v>0</v>
      </c>
      <c r="K1461" s="5" t="str">
        <f aca="false">IF($J1461=FALSE(),"",예약내역!$L1458*10000+ROW())</f>
        <v/>
      </c>
      <c r="L1461" s="5" t="str">
        <f aca="false">IF($K1461="","",RANK($K1461,$K$6:$K$2005,1))</f>
        <v/>
      </c>
    </row>
    <row r="1462" customFormat="false" ht="15" hidden="false" customHeight="true" outlineLevel="0" collapsed="false">
      <c r="J1462" s="21" t="b">
        <f aca="false">IF(예약내역!$A1459="",FALSE(),AND(예약내역!$A1459=$B$3,예약내역!$J1459&lt;&gt;"취소"))</f>
        <v>0</v>
      </c>
      <c r="K1462" s="5" t="str">
        <f aca="false">IF($J1462=FALSE(),"",예약내역!$L1459*10000+ROW())</f>
        <v/>
      </c>
      <c r="L1462" s="5" t="str">
        <f aca="false">IF($K1462="","",RANK($K1462,$K$6:$K$2005,1))</f>
        <v/>
      </c>
    </row>
    <row r="1463" customFormat="false" ht="15" hidden="false" customHeight="true" outlineLevel="0" collapsed="false">
      <c r="J1463" s="21" t="b">
        <f aca="false">IF(예약내역!$A1460="",FALSE(),AND(예약내역!$A1460=$B$3,예약내역!$J1460&lt;&gt;"취소"))</f>
        <v>0</v>
      </c>
      <c r="K1463" s="5" t="str">
        <f aca="false">IF($J1463=FALSE(),"",예약내역!$L1460*10000+ROW())</f>
        <v/>
      </c>
      <c r="L1463" s="5" t="str">
        <f aca="false">IF($K1463="","",RANK($K1463,$K$6:$K$2005,1))</f>
        <v/>
      </c>
    </row>
    <row r="1464" customFormat="false" ht="15" hidden="false" customHeight="true" outlineLevel="0" collapsed="false">
      <c r="J1464" s="21" t="b">
        <f aca="false">IF(예약내역!$A1461="",FALSE(),AND(예약내역!$A1461=$B$3,예약내역!$J1461&lt;&gt;"취소"))</f>
        <v>0</v>
      </c>
      <c r="K1464" s="5" t="str">
        <f aca="false">IF($J1464=FALSE(),"",예약내역!$L1461*10000+ROW())</f>
        <v/>
      </c>
      <c r="L1464" s="5" t="str">
        <f aca="false">IF($K1464="","",RANK($K1464,$K$6:$K$2005,1))</f>
        <v/>
      </c>
    </row>
    <row r="1465" customFormat="false" ht="15" hidden="false" customHeight="true" outlineLevel="0" collapsed="false">
      <c r="J1465" s="21" t="b">
        <f aca="false">IF(예약내역!$A1462="",FALSE(),AND(예약내역!$A1462=$B$3,예약내역!$J1462&lt;&gt;"취소"))</f>
        <v>0</v>
      </c>
      <c r="K1465" s="5" t="str">
        <f aca="false">IF($J1465=FALSE(),"",예약내역!$L1462*10000+ROW())</f>
        <v/>
      </c>
      <c r="L1465" s="5" t="str">
        <f aca="false">IF($K1465="","",RANK($K1465,$K$6:$K$2005,1))</f>
        <v/>
      </c>
    </row>
    <row r="1466" customFormat="false" ht="15" hidden="false" customHeight="true" outlineLevel="0" collapsed="false">
      <c r="J1466" s="21" t="b">
        <f aca="false">IF(예약내역!$A1463="",FALSE(),AND(예약내역!$A1463=$B$3,예약내역!$J1463&lt;&gt;"취소"))</f>
        <v>0</v>
      </c>
      <c r="K1466" s="5" t="str">
        <f aca="false">IF($J1466=FALSE(),"",예약내역!$L1463*10000+ROW())</f>
        <v/>
      </c>
      <c r="L1466" s="5" t="str">
        <f aca="false">IF($K1466="","",RANK($K1466,$K$6:$K$2005,1))</f>
        <v/>
      </c>
    </row>
    <row r="1467" customFormat="false" ht="15" hidden="false" customHeight="true" outlineLevel="0" collapsed="false">
      <c r="J1467" s="21" t="b">
        <f aca="false">IF(예약내역!$A1464="",FALSE(),AND(예약내역!$A1464=$B$3,예약내역!$J1464&lt;&gt;"취소"))</f>
        <v>0</v>
      </c>
      <c r="K1467" s="5" t="str">
        <f aca="false">IF($J1467=FALSE(),"",예약내역!$L1464*10000+ROW())</f>
        <v/>
      </c>
      <c r="L1467" s="5" t="str">
        <f aca="false">IF($K1467="","",RANK($K1467,$K$6:$K$2005,1))</f>
        <v/>
      </c>
    </row>
    <row r="1468" customFormat="false" ht="15" hidden="false" customHeight="true" outlineLevel="0" collapsed="false">
      <c r="J1468" s="21" t="b">
        <f aca="false">IF(예약내역!$A1465="",FALSE(),AND(예약내역!$A1465=$B$3,예약내역!$J1465&lt;&gt;"취소"))</f>
        <v>0</v>
      </c>
      <c r="K1468" s="5" t="str">
        <f aca="false">IF($J1468=FALSE(),"",예약내역!$L1465*10000+ROW())</f>
        <v/>
      </c>
      <c r="L1468" s="5" t="str">
        <f aca="false">IF($K1468="","",RANK($K1468,$K$6:$K$2005,1))</f>
        <v/>
      </c>
    </row>
    <row r="1469" customFormat="false" ht="15" hidden="false" customHeight="true" outlineLevel="0" collapsed="false">
      <c r="J1469" s="21" t="b">
        <f aca="false">IF(예약내역!$A1466="",FALSE(),AND(예약내역!$A1466=$B$3,예약내역!$J1466&lt;&gt;"취소"))</f>
        <v>0</v>
      </c>
      <c r="K1469" s="5" t="str">
        <f aca="false">IF($J1469=FALSE(),"",예약내역!$L1466*10000+ROW())</f>
        <v/>
      </c>
      <c r="L1469" s="5" t="str">
        <f aca="false">IF($K1469="","",RANK($K1469,$K$6:$K$2005,1))</f>
        <v/>
      </c>
    </row>
    <row r="1470" customFormat="false" ht="15" hidden="false" customHeight="true" outlineLevel="0" collapsed="false">
      <c r="J1470" s="21" t="b">
        <f aca="false">IF(예약내역!$A1467="",FALSE(),AND(예약내역!$A1467=$B$3,예약내역!$J1467&lt;&gt;"취소"))</f>
        <v>0</v>
      </c>
      <c r="K1470" s="5" t="str">
        <f aca="false">IF($J1470=FALSE(),"",예약내역!$L1467*10000+ROW())</f>
        <v/>
      </c>
      <c r="L1470" s="5" t="str">
        <f aca="false">IF($K1470="","",RANK($K1470,$K$6:$K$2005,1))</f>
        <v/>
      </c>
    </row>
    <row r="1471" customFormat="false" ht="15" hidden="false" customHeight="true" outlineLevel="0" collapsed="false">
      <c r="J1471" s="21" t="b">
        <f aca="false">IF(예약내역!$A1468="",FALSE(),AND(예약내역!$A1468=$B$3,예약내역!$J1468&lt;&gt;"취소"))</f>
        <v>0</v>
      </c>
      <c r="K1471" s="5" t="str">
        <f aca="false">IF($J1471=FALSE(),"",예약내역!$L1468*10000+ROW())</f>
        <v/>
      </c>
      <c r="L1471" s="5" t="str">
        <f aca="false">IF($K1471="","",RANK($K1471,$K$6:$K$2005,1))</f>
        <v/>
      </c>
    </row>
    <row r="1472" customFormat="false" ht="15" hidden="false" customHeight="true" outlineLevel="0" collapsed="false">
      <c r="J1472" s="21" t="b">
        <f aca="false">IF(예약내역!$A1469="",FALSE(),AND(예약내역!$A1469=$B$3,예약내역!$J1469&lt;&gt;"취소"))</f>
        <v>0</v>
      </c>
      <c r="K1472" s="5" t="str">
        <f aca="false">IF($J1472=FALSE(),"",예약내역!$L1469*10000+ROW())</f>
        <v/>
      </c>
      <c r="L1472" s="5" t="str">
        <f aca="false">IF($K1472="","",RANK($K1472,$K$6:$K$2005,1))</f>
        <v/>
      </c>
    </row>
    <row r="1473" customFormat="false" ht="15" hidden="false" customHeight="true" outlineLevel="0" collapsed="false">
      <c r="J1473" s="21" t="b">
        <f aca="false">IF(예약내역!$A1470="",FALSE(),AND(예약내역!$A1470=$B$3,예약내역!$J1470&lt;&gt;"취소"))</f>
        <v>0</v>
      </c>
      <c r="K1473" s="5" t="str">
        <f aca="false">IF($J1473=FALSE(),"",예약내역!$L1470*10000+ROW())</f>
        <v/>
      </c>
      <c r="L1473" s="5" t="str">
        <f aca="false">IF($K1473="","",RANK($K1473,$K$6:$K$2005,1))</f>
        <v/>
      </c>
    </row>
    <row r="1474" customFormat="false" ht="15" hidden="false" customHeight="true" outlineLevel="0" collapsed="false">
      <c r="J1474" s="21" t="b">
        <f aca="false">IF(예약내역!$A1471="",FALSE(),AND(예약내역!$A1471=$B$3,예약내역!$J1471&lt;&gt;"취소"))</f>
        <v>0</v>
      </c>
      <c r="K1474" s="5" t="str">
        <f aca="false">IF($J1474=FALSE(),"",예약내역!$L1471*10000+ROW())</f>
        <v/>
      </c>
      <c r="L1474" s="5" t="str">
        <f aca="false">IF($K1474="","",RANK($K1474,$K$6:$K$2005,1))</f>
        <v/>
      </c>
    </row>
    <row r="1475" customFormat="false" ht="15" hidden="false" customHeight="true" outlineLevel="0" collapsed="false">
      <c r="J1475" s="21" t="b">
        <f aca="false">IF(예약내역!$A1472="",FALSE(),AND(예약내역!$A1472=$B$3,예약내역!$J1472&lt;&gt;"취소"))</f>
        <v>0</v>
      </c>
      <c r="K1475" s="5" t="str">
        <f aca="false">IF($J1475=FALSE(),"",예약내역!$L1472*10000+ROW())</f>
        <v/>
      </c>
      <c r="L1475" s="5" t="str">
        <f aca="false">IF($K1475="","",RANK($K1475,$K$6:$K$2005,1))</f>
        <v/>
      </c>
    </row>
    <row r="1476" customFormat="false" ht="15" hidden="false" customHeight="true" outlineLevel="0" collapsed="false">
      <c r="J1476" s="21" t="b">
        <f aca="false">IF(예약내역!$A1473="",FALSE(),AND(예약내역!$A1473=$B$3,예약내역!$J1473&lt;&gt;"취소"))</f>
        <v>0</v>
      </c>
      <c r="K1476" s="5" t="str">
        <f aca="false">IF($J1476=FALSE(),"",예약내역!$L1473*10000+ROW())</f>
        <v/>
      </c>
      <c r="L1476" s="5" t="str">
        <f aca="false">IF($K1476="","",RANK($K1476,$K$6:$K$2005,1))</f>
        <v/>
      </c>
    </row>
    <row r="1477" customFormat="false" ht="15" hidden="false" customHeight="true" outlineLevel="0" collapsed="false">
      <c r="J1477" s="21" t="b">
        <f aca="false">IF(예약내역!$A1474="",FALSE(),AND(예약내역!$A1474=$B$3,예약내역!$J1474&lt;&gt;"취소"))</f>
        <v>0</v>
      </c>
      <c r="K1477" s="5" t="str">
        <f aca="false">IF($J1477=FALSE(),"",예약내역!$L1474*10000+ROW())</f>
        <v/>
      </c>
      <c r="L1477" s="5" t="str">
        <f aca="false">IF($K1477="","",RANK($K1477,$K$6:$K$2005,1))</f>
        <v/>
      </c>
    </row>
    <row r="1478" customFormat="false" ht="15" hidden="false" customHeight="true" outlineLevel="0" collapsed="false">
      <c r="J1478" s="21" t="b">
        <f aca="false">IF(예약내역!$A1475="",FALSE(),AND(예약내역!$A1475=$B$3,예약내역!$J1475&lt;&gt;"취소"))</f>
        <v>0</v>
      </c>
      <c r="K1478" s="5" t="str">
        <f aca="false">IF($J1478=FALSE(),"",예약내역!$L1475*10000+ROW())</f>
        <v/>
      </c>
      <c r="L1478" s="5" t="str">
        <f aca="false">IF($K1478="","",RANK($K1478,$K$6:$K$2005,1))</f>
        <v/>
      </c>
    </row>
    <row r="1479" customFormat="false" ht="15" hidden="false" customHeight="true" outlineLevel="0" collapsed="false">
      <c r="J1479" s="21" t="b">
        <f aca="false">IF(예약내역!$A1476="",FALSE(),AND(예약내역!$A1476=$B$3,예약내역!$J1476&lt;&gt;"취소"))</f>
        <v>0</v>
      </c>
      <c r="K1479" s="5" t="str">
        <f aca="false">IF($J1479=FALSE(),"",예약내역!$L1476*10000+ROW())</f>
        <v/>
      </c>
      <c r="L1479" s="5" t="str">
        <f aca="false">IF($K1479="","",RANK($K1479,$K$6:$K$2005,1))</f>
        <v/>
      </c>
    </row>
    <row r="1480" customFormat="false" ht="15" hidden="false" customHeight="true" outlineLevel="0" collapsed="false">
      <c r="J1480" s="21" t="b">
        <f aca="false">IF(예약내역!$A1477="",FALSE(),AND(예약내역!$A1477=$B$3,예약내역!$J1477&lt;&gt;"취소"))</f>
        <v>0</v>
      </c>
      <c r="K1480" s="5" t="str">
        <f aca="false">IF($J1480=FALSE(),"",예약내역!$L1477*10000+ROW())</f>
        <v/>
      </c>
      <c r="L1480" s="5" t="str">
        <f aca="false">IF($K1480="","",RANK($K1480,$K$6:$K$2005,1))</f>
        <v/>
      </c>
    </row>
    <row r="1481" customFormat="false" ht="15" hidden="false" customHeight="true" outlineLevel="0" collapsed="false">
      <c r="J1481" s="21" t="b">
        <f aca="false">IF(예약내역!$A1478="",FALSE(),AND(예약내역!$A1478=$B$3,예약내역!$J1478&lt;&gt;"취소"))</f>
        <v>0</v>
      </c>
      <c r="K1481" s="5" t="str">
        <f aca="false">IF($J1481=FALSE(),"",예약내역!$L1478*10000+ROW())</f>
        <v/>
      </c>
      <c r="L1481" s="5" t="str">
        <f aca="false">IF($K1481="","",RANK($K1481,$K$6:$K$2005,1))</f>
        <v/>
      </c>
    </row>
    <row r="1482" customFormat="false" ht="15" hidden="false" customHeight="true" outlineLevel="0" collapsed="false">
      <c r="J1482" s="21" t="b">
        <f aca="false">IF(예약내역!$A1479="",FALSE(),AND(예약내역!$A1479=$B$3,예약내역!$J1479&lt;&gt;"취소"))</f>
        <v>0</v>
      </c>
      <c r="K1482" s="5" t="str">
        <f aca="false">IF($J1482=FALSE(),"",예약내역!$L1479*10000+ROW())</f>
        <v/>
      </c>
      <c r="L1482" s="5" t="str">
        <f aca="false">IF($K1482="","",RANK($K1482,$K$6:$K$2005,1))</f>
        <v/>
      </c>
    </row>
    <row r="1483" customFormat="false" ht="15" hidden="false" customHeight="true" outlineLevel="0" collapsed="false">
      <c r="J1483" s="21" t="b">
        <f aca="false">IF(예약내역!$A1480="",FALSE(),AND(예약내역!$A1480=$B$3,예약내역!$J1480&lt;&gt;"취소"))</f>
        <v>0</v>
      </c>
      <c r="K1483" s="5" t="str">
        <f aca="false">IF($J1483=FALSE(),"",예약내역!$L1480*10000+ROW())</f>
        <v/>
      </c>
      <c r="L1483" s="5" t="str">
        <f aca="false">IF($K1483="","",RANK($K1483,$K$6:$K$2005,1))</f>
        <v/>
      </c>
    </row>
    <row r="1484" customFormat="false" ht="15" hidden="false" customHeight="true" outlineLevel="0" collapsed="false">
      <c r="J1484" s="21" t="b">
        <f aca="false">IF(예약내역!$A1481="",FALSE(),AND(예약내역!$A1481=$B$3,예약내역!$J1481&lt;&gt;"취소"))</f>
        <v>0</v>
      </c>
      <c r="K1484" s="5" t="str">
        <f aca="false">IF($J1484=FALSE(),"",예약내역!$L1481*10000+ROW())</f>
        <v/>
      </c>
      <c r="L1484" s="5" t="str">
        <f aca="false">IF($K1484="","",RANK($K1484,$K$6:$K$2005,1))</f>
        <v/>
      </c>
    </row>
    <row r="1485" customFormat="false" ht="15" hidden="false" customHeight="true" outlineLevel="0" collapsed="false">
      <c r="J1485" s="21" t="b">
        <f aca="false">IF(예약내역!$A1482="",FALSE(),AND(예약내역!$A1482=$B$3,예약내역!$J1482&lt;&gt;"취소"))</f>
        <v>0</v>
      </c>
      <c r="K1485" s="5" t="str">
        <f aca="false">IF($J1485=FALSE(),"",예약내역!$L1482*10000+ROW())</f>
        <v/>
      </c>
      <c r="L1485" s="5" t="str">
        <f aca="false">IF($K1485="","",RANK($K1485,$K$6:$K$2005,1))</f>
        <v/>
      </c>
    </row>
    <row r="1486" customFormat="false" ht="15" hidden="false" customHeight="true" outlineLevel="0" collapsed="false">
      <c r="J1486" s="21" t="b">
        <f aca="false">IF(예약내역!$A1483="",FALSE(),AND(예약내역!$A1483=$B$3,예약내역!$J1483&lt;&gt;"취소"))</f>
        <v>0</v>
      </c>
      <c r="K1486" s="5" t="str">
        <f aca="false">IF($J1486=FALSE(),"",예약내역!$L1483*10000+ROW())</f>
        <v/>
      </c>
      <c r="L1486" s="5" t="str">
        <f aca="false">IF($K1486="","",RANK($K1486,$K$6:$K$2005,1))</f>
        <v/>
      </c>
    </row>
    <row r="1487" customFormat="false" ht="15" hidden="false" customHeight="true" outlineLevel="0" collapsed="false">
      <c r="J1487" s="21" t="b">
        <f aca="false">IF(예약내역!$A1484="",FALSE(),AND(예약내역!$A1484=$B$3,예약내역!$J1484&lt;&gt;"취소"))</f>
        <v>0</v>
      </c>
      <c r="K1487" s="5" t="str">
        <f aca="false">IF($J1487=FALSE(),"",예약내역!$L1484*10000+ROW())</f>
        <v/>
      </c>
      <c r="L1487" s="5" t="str">
        <f aca="false">IF($K1487="","",RANK($K1487,$K$6:$K$2005,1))</f>
        <v/>
      </c>
    </row>
    <row r="1488" customFormat="false" ht="15" hidden="false" customHeight="true" outlineLevel="0" collapsed="false">
      <c r="J1488" s="21" t="b">
        <f aca="false">IF(예약내역!$A1485="",FALSE(),AND(예약내역!$A1485=$B$3,예약내역!$J1485&lt;&gt;"취소"))</f>
        <v>0</v>
      </c>
      <c r="K1488" s="5" t="str">
        <f aca="false">IF($J1488=FALSE(),"",예약내역!$L1485*10000+ROW())</f>
        <v/>
      </c>
      <c r="L1488" s="5" t="str">
        <f aca="false">IF($K1488="","",RANK($K1488,$K$6:$K$2005,1))</f>
        <v/>
      </c>
    </row>
    <row r="1489" customFormat="false" ht="15" hidden="false" customHeight="true" outlineLevel="0" collapsed="false">
      <c r="J1489" s="21" t="b">
        <f aca="false">IF(예약내역!$A1486="",FALSE(),AND(예약내역!$A1486=$B$3,예약내역!$J1486&lt;&gt;"취소"))</f>
        <v>0</v>
      </c>
      <c r="K1489" s="5" t="str">
        <f aca="false">IF($J1489=FALSE(),"",예약내역!$L1486*10000+ROW())</f>
        <v/>
      </c>
      <c r="L1489" s="5" t="str">
        <f aca="false">IF($K1489="","",RANK($K1489,$K$6:$K$2005,1))</f>
        <v/>
      </c>
    </row>
    <row r="1490" customFormat="false" ht="15" hidden="false" customHeight="true" outlineLevel="0" collapsed="false">
      <c r="J1490" s="21" t="b">
        <f aca="false">IF(예약내역!$A1487="",FALSE(),AND(예약내역!$A1487=$B$3,예약내역!$J1487&lt;&gt;"취소"))</f>
        <v>0</v>
      </c>
      <c r="K1490" s="5" t="str">
        <f aca="false">IF($J1490=FALSE(),"",예약내역!$L1487*10000+ROW())</f>
        <v/>
      </c>
      <c r="L1490" s="5" t="str">
        <f aca="false">IF($K1490="","",RANK($K1490,$K$6:$K$2005,1))</f>
        <v/>
      </c>
    </row>
    <row r="1491" customFormat="false" ht="15" hidden="false" customHeight="true" outlineLevel="0" collapsed="false">
      <c r="J1491" s="21" t="b">
        <f aca="false">IF(예약내역!$A1488="",FALSE(),AND(예약내역!$A1488=$B$3,예약내역!$J1488&lt;&gt;"취소"))</f>
        <v>0</v>
      </c>
      <c r="K1491" s="5" t="str">
        <f aca="false">IF($J1491=FALSE(),"",예약내역!$L1488*10000+ROW())</f>
        <v/>
      </c>
      <c r="L1491" s="5" t="str">
        <f aca="false">IF($K1491="","",RANK($K1491,$K$6:$K$2005,1))</f>
        <v/>
      </c>
    </row>
    <row r="1492" customFormat="false" ht="15" hidden="false" customHeight="true" outlineLevel="0" collapsed="false">
      <c r="J1492" s="21" t="b">
        <f aca="false">IF(예약내역!$A1489="",FALSE(),AND(예약내역!$A1489=$B$3,예약내역!$J1489&lt;&gt;"취소"))</f>
        <v>0</v>
      </c>
      <c r="K1492" s="5" t="str">
        <f aca="false">IF($J1492=FALSE(),"",예약내역!$L1489*10000+ROW())</f>
        <v/>
      </c>
      <c r="L1492" s="5" t="str">
        <f aca="false">IF($K1492="","",RANK($K1492,$K$6:$K$2005,1))</f>
        <v/>
      </c>
    </row>
    <row r="1493" customFormat="false" ht="15" hidden="false" customHeight="true" outlineLevel="0" collapsed="false">
      <c r="J1493" s="21" t="b">
        <f aca="false">IF(예약내역!$A1490="",FALSE(),AND(예약내역!$A1490=$B$3,예약내역!$J1490&lt;&gt;"취소"))</f>
        <v>0</v>
      </c>
      <c r="K1493" s="5" t="str">
        <f aca="false">IF($J1493=FALSE(),"",예약내역!$L1490*10000+ROW())</f>
        <v/>
      </c>
      <c r="L1493" s="5" t="str">
        <f aca="false">IF($K1493="","",RANK($K1493,$K$6:$K$2005,1))</f>
        <v/>
      </c>
    </row>
    <row r="1494" customFormat="false" ht="15" hidden="false" customHeight="true" outlineLevel="0" collapsed="false">
      <c r="J1494" s="21" t="b">
        <f aca="false">IF(예약내역!$A1491="",FALSE(),AND(예약내역!$A1491=$B$3,예약내역!$J1491&lt;&gt;"취소"))</f>
        <v>0</v>
      </c>
      <c r="K1494" s="5" t="str">
        <f aca="false">IF($J1494=FALSE(),"",예약내역!$L1491*10000+ROW())</f>
        <v/>
      </c>
      <c r="L1494" s="5" t="str">
        <f aca="false">IF($K1494="","",RANK($K1494,$K$6:$K$2005,1))</f>
        <v/>
      </c>
    </row>
    <row r="1495" customFormat="false" ht="15" hidden="false" customHeight="true" outlineLevel="0" collapsed="false">
      <c r="J1495" s="21" t="b">
        <f aca="false">IF(예약내역!$A1492="",FALSE(),AND(예약내역!$A1492=$B$3,예약내역!$J1492&lt;&gt;"취소"))</f>
        <v>0</v>
      </c>
      <c r="K1495" s="5" t="str">
        <f aca="false">IF($J1495=FALSE(),"",예약내역!$L1492*10000+ROW())</f>
        <v/>
      </c>
      <c r="L1495" s="5" t="str">
        <f aca="false">IF($K1495="","",RANK($K1495,$K$6:$K$2005,1))</f>
        <v/>
      </c>
    </row>
    <row r="1496" customFormat="false" ht="15" hidden="false" customHeight="true" outlineLevel="0" collapsed="false">
      <c r="J1496" s="21" t="b">
        <f aca="false">IF(예약내역!$A1493="",FALSE(),AND(예약내역!$A1493=$B$3,예약내역!$J1493&lt;&gt;"취소"))</f>
        <v>0</v>
      </c>
      <c r="K1496" s="5" t="str">
        <f aca="false">IF($J1496=FALSE(),"",예약내역!$L1493*10000+ROW())</f>
        <v/>
      </c>
      <c r="L1496" s="5" t="str">
        <f aca="false">IF($K1496="","",RANK($K1496,$K$6:$K$2005,1))</f>
        <v/>
      </c>
    </row>
    <row r="1497" customFormat="false" ht="15" hidden="false" customHeight="true" outlineLevel="0" collapsed="false">
      <c r="J1497" s="21" t="b">
        <f aca="false">IF(예약내역!$A1494="",FALSE(),AND(예약내역!$A1494=$B$3,예약내역!$J1494&lt;&gt;"취소"))</f>
        <v>0</v>
      </c>
      <c r="K1497" s="5" t="str">
        <f aca="false">IF($J1497=FALSE(),"",예약내역!$L1494*10000+ROW())</f>
        <v/>
      </c>
      <c r="L1497" s="5" t="str">
        <f aca="false">IF($K1497="","",RANK($K1497,$K$6:$K$2005,1))</f>
        <v/>
      </c>
    </row>
    <row r="1498" customFormat="false" ht="15" hidden="false" customHeight="true" outlineLevel="0" collapsed="false">
      <c r="J1498" s="21" t="b">
        <f aca="false">IF(예약내역!$A1495="",FALSE(),AND(예약내역!$A1495=$B$3,예약내역!$J1495&lt;&gt;"취소"))</f>
        <v>0</v>
      </c>
      <c r="K1498" s="5" t="str">
        <f aca="false">IF($J1498=FALSE(),"",예약내역!$L1495*10000+ROW())</f>
        <v/>
      </c>
      <c r="L1498" s="5" t="str">
        <f aca="false">IF($K1498="","",RANK($K1498,$K$6:$K$2005,1))</f>
        <v/>
      </c>
    </row>
    <row r="1499" customFormat="false" ht="15" hidden="false" customHeight="true" outlineLevel="0" collapsed="false">
      <c r="J1499" s="21" t="b">
        <f aca="false">IF(예약내역!$A1496="",FALSE(),AND(예약내역!$A1496=$B$3,예약내역!$J1496&lt;&gt;"취소"))</f>
        <v>0</v>
      </c>
      <c r="K1499" s="5" t="str">
        <f aca="false">IF($J1499=FALSE(),"",예약내역!$L1496*10000+ROW())</f>
        <v/>
      </c>
      <c r="L1499" s="5" t="str">
        <f aca="false">IF($K1499="","",RANK($K1499,$K$6:$K$2005,1))</f>
        <v/>
      </c>
    </row>
    <row r="1500" customFormat="false" ht="15" hidden="false" customHeight="true" outlineLevel="0" collapsed="false">
      <c r="J1500" s="21" t="b">
        <f aca="false">IF(예약내역!$A1497="",FALSE(),AND(예약내역!$A1497=$B$3,예약내역!$J1497&lt;&gt;"취소"))</f>
        <v>0</v>
      </c>
      <c r="K1500" s="5" t="str">
        <f aca="false">IF($J1500=FALSE(),"",예약내역!$L1497*10000+ROW())</f>
        <v/>
      </c>
      <c r="L1500" s="5" t="str">
        <f aca="false">IF($K1500="","",RANK($K1500,$K$6:$K$2005,1))</f>
        <v/>
      </c>
    </row>
    <row r="1501" customFormat="false" ht="15" hidden="false" customHeight="true" outlineLevel="0" collapsed="false">
      <c r="J1501" s="21" t="b">
        <f aca="false">IF(예약내역!$A1498="",FALSE(),AND(예약내역!$A1498=$B$3,예약내역!$J1498&lt;&gt;"취소"))</f>
        <v>0</v>
      </c>
      <c r="K1501" s="5" t="str">
        <f aca="false">IF($J1501=FALSE(),"",예약내역!$L1498*10000+ROW())</f>
        <v/>
      </c>
      <c r="L1501" s="5" t="str">
        <f aca="false">IF($K1501="","",RANK($K1501,$K$6:$K$2005,1))</f>
        <v/>
      </c>
    </row>
    <row r="1502" customFormat="false" ht="15" hidden="false" customHeight="true" outlineLevel="0" collapsed="false">
      <c r="J1502" s="21" t="b">
        <f aca="false">IF(예약내역!$A1499="",FALSE(),AND(예약내역!$A1499=$B$3,예약내역!$J1499&lt;&gt;"취소"))</f>
        <v>0</v>
      </c>
      <c r="K1502" s="5" t="str">
        <f aca="false">IF($J1502=FALSE(),"",예약내역!$L1499*10000+ROW())</f>
        <v/>
      </c>
      <c r="L1502" s="5" t="str">
        <f aca="false">IF($K1502="","",RANK($K1502,$K$6:$K$2005,1))</f>
        <v/>
      </c>
    </row>
    <row r="1503" customFormat="false" ht="15" hidden="false" customHeight="true" outlineLevel="0" collapsed="false">
      <c r="J1503" s="21" t="b">
        <f aca="false">IF(예약내역!$A1500="",FALSE(),AND(예약내역!$A1500=$B$3,예약내역!$J1500&lt;&gt;"취소"))</f>
        <v>0</v>
      </c>
      <c r="K1503" s="5" t="str">
        <f aca="false">IF($J1503=FALSE(),"",예약내역!$L1500*10000+ROW())</f>
        <v/>
      </c>
      <c r="L1503" s="5" t="str">
        <f aca="false">IF($K1503="","",RANK($K1503,$K$6:$K$2005,1))</f>
        <v/>
      </c>
    </row>
    <row r="1504" customFormat="false" ht="15" hidden="false" customHeight="true" outlineLevel="0" collapsed="false">
      <c r="J1504" s="21" t="b">
        <f aca="false">IF(예약내역!$A1501="",FALSE(),AND(예약내역!$A1501=$B$3,예약내역!$J1501&lt;&gt;"취소"))</f>
        <v>0</v>
      </c>
      <c r="K1504" s="5" t="str">
        <f aca="false">IF($J1504=FALSE(),"",예약내역!$L1501*10000+ROW())</f>
        <v/>
      </c>
      <c r="L1504" s="5" t="str">
        <f aca="false">IF($K1504="","",RANK($K1504,$K$6:$K$2005,1))</f>
        <v/>
      </c>
    </row>
    <row r="1505" customFormat="false" ht="15" hidden="false" customHeight="true" outlineLevel="0" collapsed="false">
      <c r="J1505" s="21" t="b">
        <f aca="false">IF(예약내역!$A1502="",FALSE(),AND(예약내역!$A1502=$B$3,예약내역!$J1502&lt;&gt;"취소"))</f>
        <v>0</v>
      </c>
      <c r="K1505" s="5" t="str">
        <f aca="false">IF($J1505=FALSE(),"",예약내역!$L1502*10000+ROW())</f>
        <v/>
      </c>
      <c r="L1505" s="5" t="str">
        <f aca="false">IF($K1505="","",RANK($K1505,$K$6:$K$2005,1))</f>
        <v/>
      </c>
    </row>
    <row r="1506" customFormat="false" ht="15" hidden="false" customHeight="true" outlineLevel="0" collapsed="false">
      <c r="J1506" s="21" t="b">
        <f aca="false">IF(예약내역!$A1503="",FALSE(),AND(예약내역!$A1503=$B$3,예약내역!$J1503&lt;&gt;"취소"))</f>
        <v>0</v>
      </c>
      <c r="K1506" s="5" t="str">
        <f aca="false">IF($J1506=FALSE(),"",예약내역!$L1503*10000+ROW())</f>
        <v/>
      </c>
      <c r="L1506" s="5" t="str">
        <f aca="false">IF($K1506="","",RANK($K1506,$K$6:$K$2005,1))</f>
        <v/>
      </c>
    </row>
    <row r="1507" customFormat="false" ht="15" hidden="false" customHeight="true" outlineLevel="0" collapsed="false">
      <c r="J1507" s="21" t="b">
        <f aca="false">IF(예약내역!$A1504="",FALSE(),AND(예약내역!$A1504=$B$3,예약내역!$J1504&lt;&gt;"취소"))</f>
        <v>0</v>
      </c>
      <c r="K1507" s="5" t="str">
        <f aca="false">IF($J1507=FALSE(),"",예약내역!$L1504*10000+ROW())</f>
        <v/>
      </c>
      <c r="L1507" s="5" t="str">
        <f aca="false">IF($K1507="","",RANK($K1507,$K$6:$K$2005,1))</f>
        <v/>
      </c>
    </row>
    <row r="1508" customFormat="false" ht="15" hidden="false" customHeight="true" outlineLevel="0" collapsed="false">
      <c r="J1508" s="21" t="b">
        <f aca="false">IF(예약내역!$A1505="",FALSE(),AND(예약내역!$A1505=$B$3,예약내역!$J1505&lt;&gt;"취소"))</f>
        <v>0</v>
      </c>
      <c r="K1508" s="5" t="str">
        <f aca="false">IF($J1508=FALSE(),"",예약내역!$L1505*10000+ROW())</f>
        <v/>
      </c>
      <c r="L1508" s="5" t="str">
        <f aca="false">IF($K1508="","",RANK($K1508,$K$6:$K$2005,1))</f>
        <v/>
      </c>
    </row>
    <row r="1509" customFormat="false" ht="15" hidden="false" customHeight="true" outlineLevel="0" collapsed="false">
      <c r="J1509" s="21" t="b">
        <f aca="false">IF(예약내역!$A1506="",FALSE(),AND(예약내역!$A1506=$B$3,예약내역!$J1506&lt;&gt;"취소"))</f>
        <v>0</v>
      </c>
      <c r="K1509" s="5" t="str">
        <f aca="false">IF($J1509=FALSE(),"",예약내역!$L1506*10000+ROW())</f>
        <v/>
      </c>
      <c r="L1509" s="5" t="str">
        <f aca="false">IF($K1509="","",RANK($K1509,$K$6:$K$2005,1))</f>
        <v/>
      </c>
    </row>
    <row r="1510" customFormat="false" ht="15" hidden="false" customHeight="true" outlineLevel="0" collapsed="false">
      <c r="J1510" s="21" t="b">
        <f aca="false">IF(예약내역!$A1507="",FALSE(),AND(예약내역!$A1507=$B$3,예약내역!$J1507&lt;&gt;"취소"))</f>
        <v>0</v>
      </c>
      <c r="K1510" s="5" t="str">
        <f aca="false">IF($J1510=FALSE(),"",예약내역!$L1507*10000+ROW())</f>
        <v/>
      </c>
      <c r="L1510" s="5" t="str">
        <f aca="false">IF($K1510="","",RANK($K1510,$K$6:$K$2005,1))</f>
        <v/>
      </c>
    </row>
    <row r="1511" customFormat="false" ht="15" hidden="false" customHeight="true" outlineLevel="0" collapsed="false">
      <c r="J1511" s="21" t="b">
        <f aca="false">IF(예약내역!$A1508="",FALSE(),AND(예약내역!$A1508=$B$3,예약내역!$J1508&lt;&gt;"취소"))</f>
        <v>0</v>
      </c>
      <c r="K1511" s="5" t="str">
        <f aca="false">IF($J1511=FALSE(),"",예약내역!$L1508*10000+ROW())</f>
        <v/>
      </c>
      <c r="L1511" s="5" t="str">
        <f aca="false">IF($K1511="","",RANK($K1511,$K$6:$K$2005,1))</f>
        <v/>
      </c>
    </row>
    <row r="1512" customFormat="false" ht="15" hidden="false" customHeight="true" outlineLevel="0" collapsed="false">
      <c r="J1512" s="21" t="b">
        <f aca="false">IF(예약내역!$A1509="",FALSE(),AND(예약내역!$A1509=$B$3,예약내역!$J1509&lt;&gt;"취소"))</f>
        <v>0</v>
      </c>
      <c r="K1512" s="5" t="str">
        <f aca="false">IF($J1512=FALSE(),"",예약내역!$L1509*10000+ROW())</f>
        <v/>
      </c>
      <c r="L1512" s="5" t="str">
        <f aca="false">IF($K1512="","",RANK($K1512,$K$6:$K$2005,1))</f>
        <v/>
      </c>
    </row>
    <row r="1513" customFormat="false" ht="15" hidden="false" customHeight="true" outlineLevel="0" collapsed="false">
      <c r="J1513" s="21" t="b">
        <f aca="false">IF(예약내역!$A1510="",FALSE(),AND(예약내역!$A1510=$B$3,예약내역!$J1510&lt;&gt;"취소"))</f>
        <v>0</v>
      </c>
      <c r="K1513" s="5" t="str">
        <f aca="false">IF($J1513=FALSE(),"",예약내역!$L1510*10000+ROW())</f>
        <v/>
      </c>
      <c r="L1513" s="5" t="str">
        <f aca="false">IF($K1513="","",RANK($K1513,$K$6:$K$2005,1))</f>
        <v/>
      </c>
    </row>
    <row r="1514" customFormat="false" ht="15" hidden="false" customHeight="true" outlineLevel="0" collapsed="false">
      <c r="J1514" s="21" t="b">
        <f aca="false">IF(예약내역!$A1511="",FALSE(),AND(예약내역!$A1511=$B$3,예약내역!$J1511&lt;&gt;"취소"))</f>
        <v>0</v>
      </c>
      <c r="K1514" s="5" t="str">
        <f aca="false">IF($J1514=FALSE(),"",예약내역!$L1511*10000+ROW())</f>
        <v/>
      </c>
      <c r="L1514" s="5" t="str">
        <f aca="false">IF($K1514="","",RANK($K1514,$K$6:$K$2005,1))</f>
        <v/>
      </c>
    </row>
    <row r="1515" customFormat="false" ht="15" hidden="false" customHeight="true" outlineLevel="0" collapsed="false">
      <c r="J1515" s="21" t="b">
        <f aca="false">IF(예약내역!$A1512="",FALSE(),AND(예약내역!$A1512=$B$3,예약내역!$J1512&lt;&gt;"취소"))</f>
        <v>0</v>
      </c>
      <c r="K1515" s="5" t="str">
        <f aca="false">IF($J1515=FALSE(),"",예약내역!$L1512*10000+ROW())</f>
        <v/>
      </c>
      <c r="L1515" s="5" t="str">
        <f aca="false">IF($K1515="","",RANK($K1515,$K$6:$K$2005,1))</f>
        <v/>
      </c>
    </row>
    <row r="1516" customFormat="false" ht="15" hidden="false" customHeight="true" outlineLevel="0" collapsed="false">
      <c r="J1516" s="21" t="b">
        <f aca="false">IF(예약내역!$A1513="",FALSE(),AND(예약내역!$A1513=$B$3,예약내역!$J1513&lt;&gt;"취소"))</f>
        <v>0</v>
      </c>
      <c r="K1516" s="5" t="str">
        <f aca="false">IF($J1516=FALSE(),"",예약내역!$L1513*10000+ROW())</f>
        <v/>
      </c>
      <c r="L1516" s="5" t="str">
        <f aca="false">IF($K1516="","",RANK($K1516,$K$6:$K$2005,1))</f>
        <v/>
      </c>
    </row>
    <row r="1517" customFormat="false" ht="15" hidden="false" customHeight="true" outlineLevel="0" collapsed="false">
      <c r="J1517" s="21" t="b">
        <f aca="false">IF(예약내역!$A1514="",FALSE(),AND(예약내역!$A1514=$B$3,예약내역!$J1514&lt;&gt;"취소"))</f>
        <v>0</v>
      </c>
      <c r="K1517" s="5" t="str">
        <f aca="false">IF($J1517=FALSE(),"",예약내역!$L1514*10000+ROW())</f>
        <v/>
      </c>
      <c r="L1517" s="5" t="str">
        <f aca="false">IF($K1517="","",RANK($K1517,$K$6:$K$2005,1))</f>
        <v/>
      </c>
    </row>
    <row r="1518" customFormat="false" ht="15" hidden="false" customHeight="true" outlineLevel="0" collapsed="false">
      <c r="J1518" s="21" t="b">
        <f aca="false">IF(예약내역!$A1515="",FALSE(),AND(예약내역!$A1515=$B$3,예약내역!$J1515&lt;&gt;"취소"))</f>
        <v>0</v>
      </c>
      <c r="K1518" s="5" t="str">
        <f aca="false">IF($J1518=FALSE(),"",예약내역!$L1515*10000+ROW())</f>
        <v/>
      </c>
      <c r="L1518" s="5" t="str">
        <f aca="false">IF($K1518="","",RANK($K1518,$K$6:$K$2005,1))</f>
        <v/>
      </c>
    </row>
    <row r="1519" customFormat="false" ht="15" hidden="false" customHeight="true" outlineLevel="0" collapsed="false">
      <c r="J1519" s="21" t="b">
        <f aca="false">IF(예약내역!$A1516="",FALSE(),AND(예약내역!$A1516=$B$3,예약내역!$J1516&lt;&gt;"취소"))</f>
        <v>0</v>
      </c>
      <c r="K1519" s="5" t="str">
        <f aca="false">IF($J1519=FALSE(),"",예약내역!$L1516*10000+ROW())</f>
        <v/>
      </c>
      <c r="L1519" s="5" t="str">
        <f aca="false">IF($K1519="","",RANK($K1519,$K$6:$K$2005,1))</f>
        <v/>
      </c>
    </row>
    <row r="1520" customFormat="false" ht="15" hidden="false" customHeight="true" outlineLevel="0" collapsed="false">
      <c r="J1520" s="21" t="b">
        <f aca="false">IF(예약내역!$A1517="",FALSE(),AND(예약내역!$A1517=$B$3,예약내역!$J1517&lt;&gt;"취소"))</f>
        <v>0</v>
      </c>
      <c r="K1520" s="5" t="str">
        <f aca="false">IF($J1520=FALSE(),"",예약내역!$L1517*10000+ROW())</f>
        <v/>
      </c>
      <c r="L1520" s="5" t="str">
        <f aca="false">IF($K1520="","",RANK($K1520,$K$6:$K$2005,1))</f>
        <v/>
      </c>
    </row>
    <row r="1521" customFormat="false" ht="15" hidden="false" customHeight="true" outlineLevel="0" collapsed="false">
      <c r="J1521" s="21" t="b">
        <f aca="false">IF(예약내역!$A1518="",FALSE(),AND(예약내역!$A1518=$B$3,예약내역!$J1518&lt;&gt;"취소"))</f>
        <v>0</v>
      </c>
      <c r="K1521" s="5" t="str">
        <f aca="false">IF($J1521=FALSE(),"",예약내역!$L1518*10000+ROW())</f>
        <v/>
      </c>
      <c r="L1521" s="5" t="str">
        <f aca="false">IF($K1521="","",RANK($K1521,$K$6:$K$2005,1))</f>
        <v/>
      </c>
    </row>
    <row r="1522" customFormat="false" ht="15" hidden="false" customHeight="true" outlineLevel="0" collapsed="false">
      <c r="J1522" s="21" t="b">
        <f aca="false">IF(예약내역!$A1519="",FALSE(),AND(예약내역!$A1519=$B$3,예약내역!$J1519&lt;&gt;"취소"))</f>
        <v>0</v>
      </c>
      <c r="K1522" s="5" t="str">
        <f aca="false">IF($J1522=FALSE(),"",예약내역!$L1519*10000+ROW())</f>
        <v/>
      </c>
      <c r="L1522" s="5" t="str">
        <f aca="false">IF($K1522="","",RANK($K1522,$K$6:$K$2005,1))</f>
        <v/>
      </c>
    </row>
    <row r="1523" customFormat="false" ht="15" hidden="false" customHeight="true" outlineLevel="0" collapsed="false">
      <c r="J1523" s="21" t="b">
        <f aca="false">IF(예약내역!$A1520="",FALSE(),AND(예약내역!$A1520=$B$3,예약내역!$J1520&lt;&gt;"취소"))</f>
        <v>0</v>
      </c>
      <c r="K1523" s="5" t="str">
        <f aca="false">IF($J1523=FALSE(),"",예약내역!$L1520*10000+ROW())</f>
        <v/>
      </c>
      <c r="L1523" s="5" t="str">
        <f aca="false">IF($K1523="","",RANK($K1523,$K$6:$K$2005,1))</f>
        <v/>
      </c>
    </row>
    <row r="1524" customFormat="false" ht="15" hidden="false" customHeight="true" outlineLevel="0" collapsed="false">
      <c r="J1524" s="21" t="b">
        <f aca="false">IF(예약내역!$A1521="",FALSE(),AND(예약내역!$A1521=$B$3,예약내역!$J1521&lt;&gt;"취소"))</f>
        <v>0</v>
      </c>
      <c r="K1524" s="5" t="str">
        <f aca="false">IF($J1524=FALSE(),"",예약내역!$L1521*10000+ROW())</f>
        <v/>
      </c>
      <c r="L1524" s="5" t="str">
        <f aca="false">IF($K1524="","",RANK($K1524,$K$6:$K$2005,1))</f>
        <v/>
      </c>
    </row>
    <row r="1525" customFormat="false" ht="15" hidden="false" customHeight="true" outlineLevel="0" collapsed="false">
      <c r="J1525" s="21" t="b">
        <f aca="false">IF(예약내역!$A1522="",FALSE(),AND(예약내역!$A1522=$B$3,예약내역!$J1522&lt;&gt;"취소"))</f>
        <v>0</v>
      </c>
      <c r="K1525" s="5" t="str">
        <f aca="false">IF($J1525=FALSE(),"",예약내역!$L1522*10000+ROW())</f>
        <v/>
      </c>
      <c r="L1525" s="5" t="str">
        <f aca="false">IF($K1525="","",RANK($K1525,$K$6:$K$2005,1))</f>
        <v/>
      </c>
    </row>
    <row r="1526" customFormat="false" ht="15" hidden="false" customHeight="true" outlineLevel="0" collapsed="false">
      <c r="J1526" s="21" t="b">
        <f aca="false">IF(예약내역!$A1523="",FALSE(),AND(예약내역!$A1523=$B$3,예약내역!$J1523&lt;&gt;"취소"))</f>
        <v>0</v>
      </c>
      <c r="K1526" s="5" t="str">
        <f aca="false">IF($J1526=FALSE(),"",예약내역!$L1523*10000+ROW())</f>
        <v/>
      </c>
      <c r="L1526" s="5" t="str">
        <f aca="false">IF($K1526="","",RANK($K1526,$K$6:$K$2005,1))</f>
        <v/>
      </c>
    </row>
    <row r="1527" customFormat="false" ht="15" hidden="false" customHeight="true" outlineLevel="0" collapsed="false">
      <c r="J1527" s="21" t="b">
        <f aca="false">IF(예약내역!$A1524="",FALSE(),AND(예약내역!$A1524=$B$3,예약내역!$J1524&lt;&gt;"취소"))</f>
        <v>0</v>
      </c>
      <c r="K1527" s="5" t="str">
        <f aca="false">IF($J1527=FALSE(),"",예약내역!$L1524*10000+ROW())</f>
        <v/>
      </c>
      <c r="L1527" s="5" t="str">
        <f aca="false">IF($K1527="","",RANK($K1527,$K$6:$K$2005,1))</f>
        <v/>
      </c>
    </row>
    <row r="1528" customFormat="false" ht="15" hidden="false" customHeight="true" outlineLevel="0" collapsed="false">
      <c r="J1528" s="21" t="b">
        <f aca="false">IF(예약내역!$A1525="",FALSE(),AND(예약내역!$A1525=$B$3,예약내역!$J1525&lt;&gt;"취소"))</f>
        <v>0</v>
      </c>
      <c r="K1528" s="5" t="str">
        <f aca="false">IF($J1528=FALSE(),"",예약내역!$L1525*10000+ROW())</f>
        <v/>
      </c>
      <c r="L1528" s="5" t="str">
        <f aca="false">IF($K1528="","",RANK($K1528,$K$6:$K$2005,1))</f>
        <v/>
      </c>
    </row>
    <row r="1529" customFormat="false" ht="15" hidden="false" customHeight="true" outlineLevel="0" collapsed="false">
      <c r="J1529" s="21" t="b">
        <f aca="false">IF(예약내역!$A1526="",FALSE(),AND(예약내역!$A1526=$B$3,예약내역!$J1526&lt;&gt;"취소"))</f>
        <v>0</v>
      </c>
      <c r="K1529" s="5" t="str">
        <f aca="false">IF($J1529=FALSE(),"",예약내역!$L1526*10000+ROW())</f>
        <v/>
      </c>
      <c r="L1529" s="5" t="str">
        <f aca="false">IF($K1529="","",RANK($K1529,$K$6:$K$2005,1))</f>
        <v/>
      </c>
    </row>
    <row r="1530" customFormat="false" ht="15" hidden="false" customHeight="true" outlineLevel="0" collapsed="false">
      <c r="J1530" s="21" t="b">
        <f aca="false">IF(예약내역!$A1527="",FALSE(),AND(예약내역!$A1527=$B$3,예약내역!$J1527&lt;&gt;"취소"))</f>
        <v>0</v>
      </c>
      <c r="K1530" s="5" t="str">
        <f aca="false">IF($J1530=FALSE(),"",예약내역!$L1527*10000+ROW())</f>
        <v/>
      </c>
      <c r="L1530" s="5" t="str">
        <f aca="false">IF($K1530="","",RANK($K1530,$K$6:$K$2005,1))</f>
        <v/>
      </c>
    </row>
    <row r="1531" customFormat="false" ht="15" hidden="false" customHeight="true" outlineLevel="0" collapsed="false">
      <c r="J1531" s="21" t="b">
        <f aca="false">IF(예약내역!$A1528="",FALSE(),AND(예약내역!$A1528=$B$3,예약내역!$J1528&lt;&gt;"취소"))</f>
        <v>0</v>
      </c>
      <c r="K1531" s="5" t="str">
        <f aca="false">IF($J1531=FALSE(),"",예약내역!$L1528*10000+ROW())</f>
        <v/>
      </c>
      <c r="L1531" s="5" t="str">
        <f aca="false">IF($K1531="","",RANK($K1531,$K$6:$K$2005,1))</f>
        <v/>
      </c>
    </row>
    <row r="1532" customFormat="false" ht="15" hidden="false" customHeight="true" outlineLevel="0" collapsed="false">
      <c r="J1532" s="21" t="b">
        <f aca="false">IF(예약내역!$A1529="",FALSE(),AND(예약내역!$A1529=$B$3,예약내역!$J1529&lt;&gt;"취소"))</f>
        <v>0</v>
      </c>
      <c r="K1532" s="5" t="str">
        <f aca="false">IF($J1532=FALSE(),"",예약내역!$L1529*10000+ROW())</f>
        <v/>
      </c>
      <c r="L1532" s="5" t="str">
        <f aca="false">IF($K1532="","",RANK($K1532,$K$6:$K$2005,1))</f>
        <v/>
      </c>
    </row>
    <row r="1533" customFormat="false" ht="15" hidden="false" customHeight="true" outlineLevel="0" collapsed="false">
      <c r="J1533" s="21" t="b">
        <f aca="false">IF(예약내역!$A1530="",FALSE(),AND(예약내역!$A1530=$B$3,예약내역!$J1530&lt;&gt;"취소"))</f>
        <v>0</v>
      </c>
      <c r="K1533" s="5" t="str">
        <f aca="false">IF($J1533=FALSE(),"",예약내역!$L1530*10000+ROW())</f>
        <v/>
      </c>
      <c r="L1533" s="5" t="str">
        <f aca="false">IF($K1533="","",RANK($K1533,$K$6:$K$2005,1))</f>
        <v/>
      </c>
    </row>
    <row r="1534" customFormat="false" ht="15" hidden="false" customHeight="true" outlineLevel="0" collapsed="false">
      <c r="J1534" s="21" t="b">
        <f aca="false">IF(예약내역!$A1531="",FALSE(),AND(예약내역!$A1531=$B$3,예약내역!$J1531&lt;&gt;"취소"))</f>
        <v>0</v>
      </c>
      <c r="K1534" s="5" t="str">
        <f aca="false">IF($J1534=FALSE(),"",예약내역!$L1531*10000+ROW())</f>
        <v/>
      </c>
      <c r="L1534" s="5" t="str">
        <f aca="false">IF($K1534="","",RANK($K1534,$K$6:$K$2005,1))</f>
        <v/>
      </c>
    </row>
    <row r="1535" customFormat="false" ht="15" hidden="false" customHeight="true" outlineLevel="0" collapsed="false">
      <c r="J1535" s="21" t="b">
        <f aca="false">IF(예약내역!$A1532="",FALSE(),AND(예약내역!$A1532=$B$3,예약내역!$J1532&lt;&gt;"취소"))</f>
        <v>0</v>
      </c>
      <c r="K1535" s="5" t="str">
        <f aca="false">IF($J1535=FALSE(),"",예약내역!$L1532*10000+ROW())</f>
        <v/>
      </c>
      <c r="L1535" s="5" t="str">
        <f aca="false">IF($K1535="","",RANK($K1535,$K$6:$K$2005,1))</f>
        <v/>
      </c>
    </row>
    <row r="1536" customFormat="false" ht="15" hidden="false" customHeight="true" outlineLevel="0" collapsed="false">
      <c r="J1536" s="21" t="b">
        <f aca="false">IF(예약내역!$A1533="",FALSE(),AND(예약내역!$A1533=$B$3,예약내역!$J1533&lt;&gt;"취소"))</f>
        <v>0</v>
      </c>
      <c r="K1536" s="5" t="str">
        <f aca="false">IF($J1536=FALSE(),"",예약내역!$L1533*10000+ROW())</f>
        <v/>
      </c>
      <c r="L1536" s="5" t="str">
        <f aca="false">IF($K1536="","",RANK($K1536,$K$6:$K$2005,1))</f>
        <v/>
      </c>
    </row>
    <row r="1537" customFormat="false" ht="15" hidden="false" customHeight="true" outlineLevel="0" collapsed="false">
      <c r="J1537" s="21" t="b">
        <f aca="false">IF(예약내역!$A1534="",FALSE(),AND(예약내역!$A1534=$B$3,예약내역!$J1534&lt;&gt;"취소"))</f>
        <v>0</v>
      </c>
      <c r="K1537" s="5" t="str">
        <f aca="false">IF($J1537=FALSE(),"",예약내역!$L1534*10000+ROW())</f>
        <v/>
      </c>
      <c r="L1537" s="5" t="str">
        <f aca="false">IF($K1537="","",RANK($K1537,$K$6:$K$2005,1))</f>
        <v/>
      </c>
    </row>
    <row r="1538" customFormat="false" ht="15" hidden="false" customHeight="true" outlineLevel="0" collapsed="false">
      <c r="J1538" s="21" t="b">
        <f aca="false">IF(예약내역!$A1535="",FALSE(),AND(예약내역!$A1535=$B$3,예약내역!$J1535&lt;&gt;"취소"))</f>
        <v>0</v>
      </c>
      <c r="K1538" s="5" t="str">
        <f aca="false">IF($J1538=FALSE(),"",예약내역!$L1535*10000+ROW())</f>
        <v/>
      </c>
      <c r="L1538" s="5" t="str">
        <f aca="false">IF($K1538="","",RANK($K1538,$K$6:$K$2005,1))</f>
        <v/>
      </c>
    </row>
    <row r="1539" customFormat="false" ht="15" hidden="false" customHeight="true" outlineLevel="0" collapsed="false">
      <c r="J1539" s="21" t="b">
        <f aca="false">IF(예약내역!$A1536="",FALSE(),AND(예약내역!$A1536=$B$3,예약내역!$J1536&lt;&gt;"취소"))</f>
        <v>0</v>
      </c>
      <c r="K1539" s="5" t="str">
        <f aca="false">IF($J1539=FALSE(),"",예약내역!$L1536*10000+ROW())</f>
        <v/>
      </c>
      <c r="L1539" s="5" t="str">
        <f aca="false">IF($K1539="","",RANK($K1539,$K$6:$K$2005,1))</f>
        <v/>
      </c>
    </row>
    <row r="1540" customFormat="false" ht="15" hidden="false" customHeight="true" outlineLevel="0" collapsed="false">
      <c r="J1540" s="21" t="b">
        <f aca="false">IF(예약내역!$A1537="",FALSE(),AND(예약내역!$A1537=$B$3,예약내역!$J1537&lt;&gt;"취소"))</f>
        <v>0</v>
      </c>
      <c r="K1540" s="5" t="str">
        <f aca="false">IF($J1540=FALSE(),"",예약내역!$L1537*10000+ROW())</f>
        <v/>
      </c>
      <c r="L1540" s="5" t="str">
        <f aca="false">IF($K1540="","",RANK($K1540,$K$6:$K$2005,1))</f>
        <v/>
      </c>
    </row>
    <row r="1541" customFormat="false" ht="15" hidden="false" customHeight="true" outlineLevel="0" collapsed="false">
      <c r="J1541" s="21" t="b">
        <f aca="false">IF(예약내역!$A1538="",FALSE(),AND(예약내역!$A1538=$B$3,예약내역!$J1538&lt;&gt;"취소"))</f>
        <v>0</v>
      </c>
      <c r="K1541" s="5" t="str">
        <f aca="false">IF($J1541=FALSE(),"",예약내역!$L1538*10000+ROW())</f>
        <v/>
      </c>
      <c r="L1541" s="5" t="str">
        <f aca="false">IF($K1541="","",RANK($K1541,$K$6:$K$2005,1))</f>
        <v/>
      </c>
    </row>
    <row r="1542" customFormat="false" ht="15" hidden="false" customHeight="true" outlineLevel="0" collapsed="false">
      <c r="J1542" s="21" t="b">
        <f aca="false">IF(예약내역!$A1539="",FALSE(),AND(예약내역!$A1539=$B$3,예약내역!$J1539&lt;&gt;"취소"))</f>
        <v>0</v>
      </c>
      <c r="K1542" s="5" t="str">
        <f aca="false">IF($J1542=FALSE(),"",예약내역!$L1539*10000+ROW())</f>
        <v/>
      </c>
      <c r="L1542" s="5" t="str">
        <f aca="false">IF($K1542="","",RANK($K1542,$K$6:$K$2005,1))</f>
        <v/>
      </c>
    </row>
    <row r="1543" customFormat="false" ht="15" hidden="false" customHeight="true" outlineLevel="0" collapsed="false">
      <c r="J1543" s="21" t="b">
        <f aca="false">IF(예약내역!$A1540="",FALSE(),AND(예약내역!$A1540=$B$3,예약내역!$J1540&lt;&gt;"취소"))</f>
        <v>0</v>
      </c>
      <c r="K1543" s="5" t="str">
        <f aca="false">IF($J1543=FALSE(),"",예약내역!$L1540*10000+ROW())</f>
        <v/>
      </c>
      <c r="L1543" s="5" t="str">
        <f aca="false">IF($K1543="","",RANK($K1543,$K$6:$K$2005,1))</f>
        <v/>
      </c>
    </row>
    <row r="1544" customFormat="false" ht="15" hidden="false" customHeight="true" outlineLevel="0" collapsed="false">
      <c r="J1544" s="21" t="b">
        <f aca="false">IF(예약내역!$A1541="",FALSE(),AND(예약내역!$A1541=$B$3,예약내역!$J1541&lt;&gt;"취소"))</f>
        <v>0</v>
      </c>
      <c r="K1544" s="5" t="str">
        <f aca="false">IF($J1544=FALSE(),"",예약내역!$L1541*10000+ROW())</f>
        <v/>
      </c>
      <c r="L1544" s="5" t="str">
        <f aca="false">IF($K1544="","",RANK($K1544,$K$6:$K$2005,1))</f>
        <v/>
      </c>
    </row>
    <row r="1545" customFormat="false" ht="15" hidden="false" customHeight="true" outlineLevel="0" collapsed="false">
      <c r="J1545" s="21" t="b">
        <f aca="false">IF(예약내역!$A1542="",FALSE(),AND(예약내역!$A1542=$B$3,예약내역!$J1542&lt;&gt;"취소"))</f>
        <v>0</v>
      </c>
      <c r="K1545" s="5" t="str">
        <f aca="false">IF($J1545=FALSE(),"",예약내역!$L1542*10000+ROW())</f>
        <v/>
      </c>
      <c r="L1545" s="5" t="str">
        <f aca="false">IF($K1545="","",RANK($K1545,$K$6:$K$2005,1))</f>
        <v/>
      </c>
    </row>
    <row r="1546" customFormat="false" ht="15" hidden="false" customHeight="true" outlineLevel="0" collapsed="false">
      <c r="J1546" s="21" t="b">
        <f aca="false">IF(예약내역!$A1543="",FALSE(),AND(예약내역!$A1543=$B$3,예약내역!$J1543&lt;&gt;"취소"))</f>
        <v>0</v>
      </c>
      <c r="K1546" s="5" t="str">
        <f aca="false">IF($J1546=FALSE(),"",예약내역!$L1543*10000+ROW())</f>
        <v/>
      </c>
      <c r="L1546" s="5" t="str">
        <f aca="false">IF($K1546="","",RANK($K1546,$K$6:$K$2005,1))</f>
        <v/>
      </c>
    </row>
    <row r="1547" customFormat="false" ht="15" hidden="false" customHeight="true" outlineLevel="0" collapsed="false">
      <c r="J1547" s="21" t="b">
        <f aca="false">IF(예약내역!$A1544="",FALSE(),AND(예약내역!$A1544=$B$3,예약내역!$J1544&lt;&gt;"취소"))</f>
        <v>0</v>
      </c>
      <c r="K1547" s="5" t="str">
        <f aca="false">IF($J1547=FALSE(),"",예약내역!$L1544*10000+ROW())</f>
        <v/>
      </c>
      <c r="L1547" s="5" t="str">
        <f aca="false">IF($K1547="","",RANK($K1547,$K$6:$K$2005,1))</f>
        <v/>
      </c>
    </row>
    <row r="1548" customFormat="false" ht="15" hidden="false" customHeight="true" outlineLevel="0" collapsed="false">
      <c r="J1548" s="21" t="b">
        <f aca="false">IF(예약내역!$A1545="",FALSE(),AND(예약내역!$A1545=$B$3,예약내역!$J1545&lt;&gt;"취소"))</f>
        <v>0</v>
      </c>
      <c r="K1548" s="5" t="str">
        <f aca="false">IF($J1548=FALSE(),"",예약내역!$L1545*10000+ROW())</f>
        <v/>
      </c>
      <c r="L1548" s="5" t="str">
        <f aca="false">IF($K1548="","",RANK($K1548,$K$6:$K$2005,1))</f>
        <v/>
      </c>
    </row>
    <row r="1549" customFormat="false" ht="15" hidden="false" customHeight="true" outlineLevel="0" collapsed="false">
      <c r="J1549" s="21" t="b">
        <f aca="false">IF(예약내역!$A1546="",FALSE(),AND(예약내역!$A1546=$B$3,예약내역!$J1546&lt;&gt;"취소"))</f>
        <v>0</v>
      </c>
      <c r="K1549" s="5" t="str">
        <f aca="false">IF($J1549=FALSE(),"",예약내역!$L1546*10000+ROW())</f>
        <v/>
      </c>
      <c r="L1549" s="5" t="str">
        <f aca="false">IF($K1549="","",RANK($K1549,$K$6:$K$2005,1))</f>
        <v/>
      </c>
    </row>
    <row r="1550" customFormat="false" ht="15" hidden="false" customHeight="true" outlineLevel="0" collapsed="false">
      <c r="J1550" s="21" t="b">
        <f aca="false">IF(예약내역!$A1547="",FALSE(),AND(예약내역!$A1547=$B$3,예약내역!$J1547&lt;&gt;"취소"))</f>
        <v>0</v>
      </c>
      <c r="K1550" s="5" t="str">
        <f aca="false">IF($J1550=FALSE(),"",예약내역!$L1547*10000+ROW())</f>
        <v/>
      </c>
      <c r="L1550" s="5" t="str">
        <f aca="false">IF($K1550="","",RANK($K1550,$K$6:$K$2005,1))</f>
        <v/>
      </c>
    </row>
    <row r="1551" customFormat="false" ht="15" hidden="false" customHeight="true" outlineLevel="0" collapsed="false">
      <c r="J1551" s="21" t="b">
        <f aca="false">IF(예약내역!$A1548="",FALSE(),AND(예약내역!$A1548=$B$3,예약내역!$J1548&lt;&gt;"취소"))</f>
        <v>0</v>
      </c>
      <c r="K1551" s="5" t="str">
        <f aca="false">IF($J1551=FALSE(),"",예약내역!$L1548*10000+ROW())</f>
        <v/>
      </c>
      <c r="L1551" s="5" t="str">
        <f aca="false">IF($K1551="","",RANK($K1551,$K$6:$K$2005,1))</f>
        <v/>
      </c>
    </row>
    <row r="1552" customFormat="false" ht="15" hidden="false" customHeight="true" outlineLevel="0" collapsed="false">
      <c r="J1552" s="21" t="b">
        <f aca="false">IF(예약내역!$A1549="",FALSE(),AND(예약내역!$A1549=$B$3,예약내역!$J1549&lt;&gt;"취소"))</f>
        <v>0</v>
      </c>
      <c r="K1552" s="5" t="str">
        <f aca="false">IF($J1552=FALSE(),"",예약내역!$L1549*10000+ROW())</f>
        <v/>
      </c>
      <c r="L1552" s="5" t="str">
        <f aca="false">IF($K1552="","",RANK($K1552,$K$6:$K$2005,1))</f>
        <v/>
      </c>
    </row>
    <row r="1553" customFormat="false" ht="15" hidden="false" customHeight="true" outlineLevel="0" collapsed="false">
      <c r="J1553" s="21" t="b">
        <f aca="false">IF(예약내역!$A1550="",FALSE(),AND(예약내역!$A1550=$B$3,예약내역!$J1550&lt;&gt;"취소"))</f>
        <v>0</v>
      </c>
      <c r="K1553" s="5" t="str">
        <f aca="false">IF($J1553=FALSE(),"",예약내역!$L1550*10000+ROW())</f>
        <v/>
      </c>
      <c r="L1553" s="5" t="str">
        <f aca="false">IF($K1553="","",RANK($K1553,$K$6:$K$2005,1))</f>
        <v/>
      </c>
    </row>
    <row r="1554" customFormat="false" ht="15" hidden="false" customHeight="true" outlineLevel="0" collapsed="false">
      <c r="J1554" s="21" t="b">
        <f aca="false">IF(예약내역!$A1551="",FALSE(),AND(예약내역!$A1551=$B$3,예약내역!$J1551&lt;&gt;"취소"))</f>
        <v>0</v>
      </c>
      <c r="K1554" s="5" t="str">
        <f aca="false">IF($J1554=FALSE(),"",예약내역!$L1551*10000+ROW())</f>
        <v/>
      </c>
      <c r="L1554" s="5" t="str">
        <f aca="false">IF($K1554="","",RANK($K1554,$K$6:$K$2005,1))</f>
        <v/>
      </c>
    </row>
    <row r="1555" customFormat="false" ht="15" hidden="false" customHeight="true" outlineLevel="0" collapsed="false">
      <c r="J1555" s="21" t="b">
        <f aca="false">IF(예약내역!$A1552="",FALSE(),AND(예약내역!$A1552=$B$3,예약내역!$J1552&lt;&gt;"취소"))</f>
        <v>0</v>
      </c>
      <c r="K1555" s="5" t="str">
        <f aca="false">IF($J1555=FALSE(),"",예약내역!$L1552*10000+ROW())</f>
        <v/>
      </c>
      <c r="L1555" s="5" t="str">
        <f aca="false">IF($K1555="","",RANK($K1555,$K$6:$K$2005,1))</f>
        <v/>
      </c>
    </row>
    <row r="1556" customFormat="false" ht="15" hidden="false" customHeight="true" outlineLevel="0" collapsed="false">
      <c r="J1556" s="21" t="b">
        <f aca="false">IF(예약내역!$A1553="",FALSE(),AND(예약내역!$A1553=$B$3,예약내역!$J1553&lt;&gt;"취소"))</f>
        <v>0</v>
      </c>
      <c r="K1556" s="5" t="str">
        <f aca="false">IF($J1556=FALSE(),"",예약내역!$L1553*10000+ROW())</f>
        <v/>
      </c>
      <c r="L1556" s="5" t="str">
        <f aca="false">IF($K1556="","",RANK($K1556,$K$6:$K$2005,1))</f>
        <v/>
      </c>
    </row>
    <row r="1557" customFormat="false" ht="15" hidden="false" customHeight="true" outlineLevel="0" collapsed="false">
      <c r="J1557" s="21" t="b">
        <f aca="false">IF(예약내역!$A1554="",FALSE(),AND(예약내역!$A1554=$B$3,예약내역!$J1554&lt;&gt;"취소"))</f>
        <v>0</v>
      </c>
      <c r="K1557" s="5" t="str">
        <f aca="false">IF($J1557=FALSE(),"",예약내역!$L1554*10000+ROW())</f>
        <v/>
      </c>
      <c r="L1557" s="5" t="str">
        <f aca="false">IF($K1557="","",RANK($K1557,$K$6:$K$2005,1))</f>
        <v/>
      </c>
    </row>
    <row r="1558" customFormat="false" ht="15" hidden="false" customHeight="true" outlineLevel="0" collapsed="false">
      <c r="J1558" s="21" t="b">
        <f aca="false">IF(예약내역!$A1555="",FALSE(),AND(예약내역!$A1555=$B$3,예약내역!$J1555&lt;&gt;"취소"))</f>
        <v>0</v>
      </c>
      <c r="K1558" s="5" t="str">
        <f aca="false">IF($J1558=FALSE(),"",예약내역!$L1555*10000+ROW())</f>
        <v/>
      </c>
      <c r="L1558" s="5" t="str">
        <f aca="false">IF($K1558="","",RANK($K1558,$K$6:$K$2005,1))</f>
        <v/>
      </c>
    </row>
    <row r="1559" customFormat="false" ht="15" hidden="false" customHeight="true" outlineLevel="0" collapsed="false">
      <c r="J1559" s="21" t="b">
        <f aca="false">IF(예약내역!$A1556="",FALSE(),AND(예약내역!$A1556=$B$3,예약내역!$J1556&lt;&gt;"취소"))</f>
        <v>0</v>
      </c>
      <c r="K1559" s="5" t="str">
        <f aca="false">IF($J1559=FALSE(),"",예약내역!$L1556*10000+ROW())</f>
        <v/>
      </c>
      <c r="L1559" s="5" t="str">
        <f aca="false">IF($K1559="","",RANK($K1559,$K$6:$K$2005,1))</f>
        <v/>
      </c>
    </row>
    <row r="1560" customFormat="false" ht="15" hidden="false" customHeight="true" outlineLevel="0" collapsed="false">
      <c r="J1560" s="21" t="b">
        <f aca="false">IF(예약내역!$A1557="",FALSE(),AND(예약내역!$A1557=$B$3,예약내역!$J1557&lt;&gt;"취소"))</f>
        <v>0</v>
      </c>
      <c r="K1560" s="5" t="str">
        <f aca="false">IF($J1560=FALSE(),"",예약내역!$L1557*10000+ROW())</f>
        <v/>
      </c>
      <c r="L1560" s="5" t="str">
        <f aca="false">IF($K1560="","",RANK($K1560,$K$6:$K$2005,1))</f>
        <v/>
      </c>
    </row>
    <row r="1561" customFormat="false" ht="15" hidden="false" customHeight="true" outlineLevel="0" collapsed="false">
      <c r="J1561" s="21" t="b">
        <f aca="false">IF(예약내역!$A1558="",FALSE(),AND(예약내역!$A1558=$B$3,예약내역!$J1558&lt;&gt;"취소"))</f>
        <v>0</v>
      </c>
      <c r="K1561" s="5" t="str">
        <f aca="false">IF($J1561=FALSE(),"",예약내역!$L1558*10000+ROW())</f>
        <v/>
      </c>
      <c r="L1561" s="5" t="str">
        <f aca="false">IF($K1561="","",RANK($K1561,$K$6:$K$2005,1))</f>
        <v/>
      </c>
    </row>
    <row r="1562" customFormat="false" ht="15" hidden="false" customHeight="true" outlineLevel="0" collapsed="false">
      <c r="J1562" s="21" t="b">
        <f aca="false">IF(예약내역!$A1559="",FALSE(),AND(예약내역!$A1559=$B$3,예약내역!$J1559&lt;&gt;"취소"))</f>
        <v>0</v>
      </c>
      <c r="K1562" s="5" t="str">
        <f aca="false">IF($J1562=FALSE(),"",예약내역!$L1559*10000+ROW())</f>
        <v/>
      </c>
      <c r="L1562" s="5" t="str">
        <f aca="false">IF($K1562="","",RANK($K1562,$K$6:$K$2005,1))</f>
        <v/>
      </c>
    </row>
    <row r="1563" customFormat="false" ht="15" hidden="false" customHeight="true" outlineLevel="0" collapsed="false">
      <c r="J1563" s="21" t="b">
        <f aca="false">IF(예약내역!$A1560="",FALSE(),AND(예약내역!$A1560=$B$3,예약내역!$J1560&lt;&gt;"취소"))</f>
        <v>0</v>
      </c>
      <c r="K1563" s="5" t="str">
        <f aca="false">IF($J1563=FALSE(),"",예약내역!$L1560*10000+ROW())</f>
        <v/>
      </c>
      <c r="L1563" s="5" t="str">
        <f aca="false">IF($K1563="","",RANK($K1563,$K$6:$K$2005,1))</f>
        <v/>
      </c>
    </row>
    <row r="1564" customFormat="false" ht="15" hidden="false" customHeight="true" outlineLevel="0" collapsed="false">
      <c r="J1564" s="21" t="b">
        <f aca="false">IF(예약내역!$A1561="",FALSE(),AND(예약내역!$A1561=$B$3,예약내역!$J1561&lt;&gt;"취소"))</f>
        <v>0</v>
      </c>
      <c r="K1564" s="5" t="str">
        <f aca="false">IF($J1564=FALSE(),"",예약내역!$L1561*10000+ROW())</f>
        <v/>
      </c>
      <c r="L1564" s="5" t="str">
        <f aca="false">IF($K1564="","",RANK($K1564,$K$6:$K$2005,1))</f>
        <v/>
      </c>
    </row>
    <row r="1565" customFormat="false" ht="15" hidden="false" customHeight="true" outlineLevel="0" collapsed="false">
      <c r="J1565" s="21" t="b">
        <f aca="false">IF(예약내역!$A1562="",FALSE(),AND(예약내역!$A1562=$B$3,예약내역!$J1562&lt;&gt;"취소"))</f>
        <v>0</v>
      </c>
      <c r="K1565" s="5" t="str">
        <f aca="false">IF($J1565=FALSE(),"",예약내역!$L1562*10000+ROW())</f>
        <v/>
      </c>
      <c r="L1565" s="5" t="str">
        <f aca="false">IF($K1565="","",RANK($K1565,$K$6:$K$2005,1))</f>
        <v/>
      </c>
    </row>
    <row r="1566" customFormat="false" ht="15" hidden="false" customHeight="true" outlineLevel="0" collapsed="false">
      <c r="J1566" s="21" t="b">
        <f aca="false">IF(예약내역!$A1563="",FALSE(),AND(예약내역!$A1563=$B$3,예약내역!$J1563&lt;&gt;"취소"))</f>
        <v>0</v>
      </c>
      <c r="K1566" s="5" t="str">
        <f aca="false">IF($J1566=FALSE(),"",예약내역!$L1563*10000+ROW())</f>
        <v/>
      </c>
      <c r="L1566" s="5" t="str">
        <f aca="false">IF($K1566="","",RANK($K1566,$K$6:$K$2005,1))</f>
        <v/>
      </c>
    </row>
    <row r="1567" customFormat="false" ht="15" hidden="false" customHeight="true" outlineLevel="0" collapsed="false">
      <c r="J1567" s="21" t="b">
        <f aca="false">IF(예약내역!$A1564="",FALSE(),AND(예약내역!$A1564=$B$3,예약내역!$J1564&lt;&gt;"취소"))</f>
        <v>0</v>
      </c>
      <c r="K1567" s="5" t="str">
        <f aca="false">IF($J1567=FALSE(),"",예약내역!$L1564*10000+ROW())</f>
        <v/>
      </c>
      <c r="L1567" s="5" t="str">
        <f aca="false">IF($K1567="","",RANK($K1567,$K$6:$K$2005,1))</f>
        <v/>
      </c>
    </row>
    <row r="1568" customFormat="false" ht="15" hidden="false" customHeight="true" outlineLevel="0" collapsed="false">
      <c r="J1568" s="21" t="b">
        <f aca="false">IF(예약내역!$A1565="",FALSE(),AND(예약내역!$A1565=$B$3,예약내역!$J1565&lt;&gt;"취소"))</f>
        <v>0</v>
      </c>
      <c r="K1568" s="5" t="str">
        <f aca="false">IF($J1568=FALSE(),"",예약내역!$L1565*10000+ROW())</f>
        <v/>
      </c>
      <c r="L1568" s="5" t="str">
        <f aca="false">IF($K1568="","",RANK($K1568,$K$6:$K$2005,1))</f>
        <v/>
      </c>
    </row>
    <row r="1569" customFormat="false" ht="15" hidden="false" customHeight="true" outlineLevel="0" collapsed="false">
      <c r="J1569" s="21" t="b">
        <f aca="false">IF(예약내역!$A1566="",FALSE(),AND(예약내역!$A1566=$B$3,예약내역!$J1566&lt;&gt;"취소"))</f>
        <v>0</v>
      </c>
      <c r="K1569" s="5" t="str">
        <f aca="false">IF($J1569=FALSE(),"",예약내역!$L1566*10000+ROW())</f>
        <v/>
      </c>
      <c r="L1569" s="5" t="str">
        <f aca="false">IF($K1569="","",RANK($K1569,$K$6:$K$2005,1))</f>
        <v/>
      </c>
    </row>
    <row r="1570" customFormat="false" ht="15" hidden="false" customHeight="true" outlineLevel="0" collapsed="false">
      <c r="J1570" s="21" t="b">
        <f aca="false">IF(예약내역!$A1567="",FALSE(),AND(예약내역!$A1567=$B$3,예약내역!$J1567&lt;&gt;"취소"))</f>
        <v>0</v>
      </c>
      <c r="K1570" s="5" t="str">
        <f aca="false">IF($J1570=FALSE(),"",예약내역!$L1567*10000+ROW())</f>
        <v/>
      </c>
      <c r="L1570" s="5" t="str">
        <f aca="false">IF($K1570="","",RANK($K1570,$K$6:$K$2005,1))</f>
        <v/>
      </c>
    </row>
    <row r="1571" customFormat="false" ht="15" hidden="false" customHeight="true" outlineLevel="0" collapsed="false">
      <c r="J1571" s="21" t="b">
        <f aca="false">IF(예약내역!$A1568="",FALSE(),AND(예약내역!$A1568=$B$3,예약내역!$J1568&lt;&gt;"취소"))</f>
        <v>0</v>
      </c>
      <c r="K1571" s="5" t="str">
        <f aca="false">IF($J1571=FALSE(),"",예약내역!$L1568*10000+ROW())</f>
        <v/>
      </c>
      <c r="L1571" s="5" t="str">
        <f aca="false">IF($K1571="","",RANK($K1571,$K$6:$K$2005,1))</f>
        <v/>
      </c>
    </row>
    <row r="1572" customFormat="false" ht="15" hidden="false" customHeight="true" outlineLevel="0" collapsed="false">
      <c r="J1572" s="21" t="b">
        <f aca="false">IF(예약내역!$A1569="",FALSE(),AND(예약내역!$A1569=$B$3,예약내역!$J1569&lt;&gt;"취소"))</f>
        <v>0</v>
      </c>
      <c r="K1572" s="5" t="str">
        <f aca="false">IF($J1572=FALSE(),"",예약내역!$L1569*10000+ROW())</f>
        <v/>
      </c>
      <c r="L1572" s="5" t="str">
        <f aca="false">IF($K1572="","",RANK($K1572,$K$6:$K$2005,1))</f>
        <v/>
      </c>
    </row>
    <row r="1573" customFormat="false" ht="15" hidden="false" customHeight="true" outlineLevel="0" collapsed="false">
      <c r="J1573" s="21" t="b">
        <f aca="false">IF(예약내역!$A1570="",FALSE(),AND(예약내역!$A1570=$B$3,예약내역!$J1570&lt;&gt;"취소"))</f>
        <v>0</v>
      </c>
      <c r="K1573" s="5" t="str">
        <f aca="false">IF($J1573=FALSE(),"",예약내역!$L1570*10000+ROW())</f>
        <v/>
      </c>
      <c r="L1573" s="5" t="str">
        <f aca="false">IF($K1573="","",RANK($K1573,$K$6:$K$2005,1))</f>
        <v/>
      </c>
    </row>
    <row r="1574" customFormat="false" ht="15" hidden="false" customHeight="true" outlineLevel="0" collapsed="false">
      <c r="J1574" s="21" t="b">
        <f aca="false">IF(예약내역!$A1571="",FALSE(),AND(예약내역!$A1571=$B$3,예약내역!$J1571&lt;&gt;"취소"))</f>
        <v>0</v>
      </c>
      <c r="K1574" s="5" t="str">
        <f aca="false">IF($J1574=FALSE(),"",예약내역!$L1571*10000+ROW())</f>
        <v/>
      </c>
      <c r="L1574" s="5" t="str">
        <f aca="false">IF($K1574="","",RANK($K1574,$K$6:$K$2005,1))</f>
        <v/>
      </c>
    </row>
    <row r="1575" customFormat="false" ht="15" hidden="false" customHeight="true" outlineLevel="0" collapsed="false">
      <c r="J1575" s="21" t="b">
        <f aca="false">IF(예약내역!$A1572="",FALSE(),AND(예약내역!$A1572=$B$3,예약내역!$J1572&lt;&gt;"취소"))</f>
        <v>0</v>
      </c>
      <c r="K1575" s="5" t="str">
        <f aca="false">IF($J1575=FALSE(),"",예약내역!$L1572*10000+ROW())</f>
        <v/>
      </c>
      <c r="L1575" s="5" t="str">
        <f aca="false">IF($K1575="","",RANK($K1575,$K$6:$K$2005,1))</f>
        <v/>
      </c>
    </row>
    <row r="1576" customFormat="false" ht="15" hidden="false" customHeight="true" outlineLevel="0" collapsed="false">
      <c r="J1576" s="21" t="b">
        <f aca="false">IF(예약내역!$A1573="",FALSE(),AND(예약내역!$A1573=$B$3,예약내역!$J1573&lt;&gt;"취소"))</f>
        <v>0</v>
      </c>
      <c r="K1576" s="5" t="str">
        <f aca="false">IF($J1576=FALSE(),"",예약내역!$L1573*10000+ROW())</f>
        <v/>
      </c>
      <c r="L1576" s="5" t="str">
        <f aca="false">IF($K1576="","",RANK($K1576,$K$6:$K$2005,1))</f>
        <v/>
      </c>
    </row>
    <row r="1577" customFormat="false" ht="15" hidden="false" customHeight="true" outlineLevel="0" collapsed="false">
      <c r="J1577" s="21" t="b">
        <f aca="false">IF(예약내역!$A1574="",FALSE(),AND(예약내역!$A1574=$B$3,예약내역!$J1574&lt;&gt;"취소"))</f>
        <v>0</v>
      </c>
      <c r="K1577" s="5" t="str">
        <f aca="false">IF($J1577=FALSE(),"",예약내역!$L1574*10000+ROW())</f>
        <v/>
      </c>
      <c r="L1577" s="5" t="str">
        <f aca="false">IF($K1577="","",RANK($K1577,$K$6:$K$2005,1))</f>
        <v/>
      </c>
    </row>
    <row r="1578" customFormat="false" ht="15" hidden="false" customHeight="true" outlineLevel="0" collapsed="false">
      <c r="J1578" s="21" t="b">
        <f aca="false">IF(예약내역!$A1575="",FALSE(),AND(예약내역!$A1575=$B$3,예약내역!$J1575&lt;&gt;"취소"))</f>
        <v>0</v>
      </c>
      <c r="K1578" s="5" t="str">
        <f aca="false">IF($J1578=FALSE(),"",예약내역!$L1575*10000+ROW())</f>
        <v/>
      </c>
      <c r="L1578" s="5" t="str">
        <f aca="false">IF($K1578="","",RANK($K1578,$K$6:$K$2005,1))</f>
        <v/>
      </c>
    </row>
    <row r="1579" customFormat="false" ht="15" hidden="false" customHeight="true" outlineLevel="0" collapsed="false">
      <c r="J1579" s="21" t="b">
        <f aca="false">IF(예약내역!$A1576="",FALSE(),AND(예약내역!$A1576=$B$3,예약내역!$J1576&lt;&gt;"취소"))</f>
        <v>0</v>
      </c>
      <c r="K1579" s="5" t="str">
        <f aca="false">IF($J1579=FALSE(),"",예약내역!$L1576*10000+ROW())</f>
        <v/>
      </c>
      <c r="L1579" s="5" t="str">
        <f aca="false">IF($K1579="","",RANK($K1579,$K$6:$K$2005,1))</f>
        <v/>
      </c>
    </row>
    <row r="1580" customFormat="false" ht="15" hidden="false" customHeight="true" outlineLevel="0" collapsed="false">
      <c r="J1580" s="21" t="b">
        <f aca="false">IF(예약내역!$A1577="",FALSE(),AND(예약내역!$A1577=$B$3,예약내역!$J1577&lt;&gt;"취소"))</f>
        <v>0</v>
      </c>
      <c r="K1580" s="5" t="str">
        <f aca="false">IF($J1580=FALSE(),"",예약내역!$L1577*10000+ROW())</f>
        <v/>
      </c>
      <c r="L1580" s="5" t="str">
        <f aca="false">IF($K1580="","",RANK($K1580,$K$6:$K$2005,1))</f>
        <v/>
      </c>
    </row>
    <row r="1581" customFormat="false" ht="15" hidden="false" customHeight="true" outlineLevel="0" collapsed="false">
      <c r="J1581" s="21" t="b">
        <f aca="false">IF(예약내역!$A1578="",FALSE(),AND(예약내역!$A1578=$B$3,예약내역!$J1578&lt;&gt;"취소"))</f>
        <v>0</v>
      </c>
      <c r="K1581" s="5" t="str">
        <f aca="false">IF($J1581=FALSE(),"",예약내역!$L1578*10000+ROW())</f>
        <v/>
      </c>
      <c r="L1581" s="5" t="str">
        <f aca="false">IF($K1581="","",RANK($K1581,$K$6:$K$2005,1))</f>
        <v/>
      </c>
    </row>
    <row r="1582" customFormat="false" ht="15" hidden="false" customHeight="true" outlineLevel="0" collapsed="false">
      <c r="J1582" s="21" t="b">
        <f aca="false">IF(예약내역!$A1579="",FALSE(),AND(예약내역!$A1579=$B$3,예약내역!$J1579&lt;&gt;"취소"))</f>
        <v>0</v>
      </c>
      <c r="K1582" s="5" t="str">
        <f aca="false">IF($J1582=FALSE(),"",예약내역!$L1579*10000+ROW())</f>
        <v/>
      </c>
      <c r="L1582" s="5" t="str">
        <f aca="false">IF($K1582="","",RANK($K1582,$K$6:$K$2005,1))</f>
        <v/>
      </c>
    </row>
    <row r="1583" customFormat="false" ht="15" hidden="false" customHeight="true" outlineLevel="0" collapsed="false">
      <c r="J1583" s="21" t="b">
        <f aca="false">IF(예약내역!$A1580="",FALSE(),AND(예약내역!$A1580=$B$3,예약내역!$J1580&lt;&gt;"취소"))</f>
        <v>0</v>
      </c>
      <c r="K1583" s="5" t="str">
        <f aca="false">IF($J1583=FALSE(),"",예약내역!$L1580*10000+ROW())</f>
        <v/>
      </c>
      <c r="L1583" s="5" t="str">
        <f aca="false">IF($K1583="","",RANK($K1583,$K$6:$K$2005,1))</f>
        <v/>
      </c>
    </row>
    <row r="1584" customFormat="false" ht="15" hidden="false" customHeight="true" outlineLevel="0" collapsed="false">
      <c r="J1584" s="21" t="b">
        <f aca="false">IF(예약내역!$A1581="",FALSE(),AND(예약내역!$A1581=$B$3,예약내역!$J1581&lt;&gt;"취소"))</f>
        <v>0</v>
      </c>
      <c r="K1584" s="5" t="str">
        <f aca="false">IF($J1584=FALSE(),"",예약내역!$L1581*10000+ROW())</f>
        <v/>
      </c>
      <c r="L1584" s="5" t="str">
        <f aca="false">IF($K1584="","",RANK($K1584,$K$6:$K$2005,1))</f>
        <v/>
      </c>
    </row>
    <row r="1585" customFormat="false" ht="15" hidden="false" customHeight="true" outlineLevel="0" collapsed="false">
      <c r="J1585" s="21" t="b">
        <f aca="false">IF(예약내역!$A1582="",FALSE(),AND(예약내역!$A1582=$B$3,예약내역!$J1582&lt;&gt;"취소"))</f>
        <v>0</v>
      </c>
      <c r="K1585" s="5" t="str">
        <f aca="false">IF($J1585=FALSE(),"",예약내역!$L1582*10000+ROW())</f>
        <v/>
      </c>
      <c r="L1585" s="5" t="str">
        <f aca="false">IF($K1585="","",RANK($K1585,$K$6:$K$2005,1))</f>
        <v/>
      </c>
    </row>
    <row r="1586" customFormat="false" ht="15" hidden="false" customHeight="true" outlineLevel="0" collapsed="false">
      <c r="J1586" s="21" t="b">
        <f aca="false">IF(예약내역!$A1583="",FALSE(),AND(예약내역!$A1583=$B$3,예약내역!$J1583&lt;&gt;"취소"))</f>
        <v>0</v>
      </c>
      <c r="K1586" s="5" t="str">
        <f aca="false">IF($J1586=FALSE(),"",예약내역!$L1583*10000+ROW())</f>
        <v/>
      </c>
      <c r="L1586" s="5" t="str">
        <f aca="false">IF($K1586="","",RANK($K1586,$K$6:$K$2005,1))</f>
        <v/>
      </c>
    </row>
    <row r="1587" customFormat="false" ht="15" hidden="false" customHeight="true" outlineLevel="0" collapsed="false">
      <c r="J1587" s="21" t="b">
        <f aca="false">IF(예약내역!$A1584="",FALSE(),AND(예약내역!$A1584=$B$3,예약내역!$J1584&lt;&gt;"취소"))</f>
        <v>0</v>
      </c>
      <c r="K1587" s="5" t="str">
        <f aca="false">IF($J1587=FALSE(),"",예약내역!$L1584*10000+ROW())</f>
        <v/>
      </c>
      <c r="L1587" s="5" t="str">
        <f aca="false">IF($K1587="","",RANK($K1587,$K$6:$K$2005,1))</f>
        <v/>
      </c>
    </row>
    <row r="1588" customFormat="false" ht="15" hidden="false" customHeight="true" outlineLevel="0" collapsed="false">
      <c r="J1588" s="21" t="b">
        <f aca="false">IF(예약내역!$A1585="",FALSE(),AND(예약내역!$A1585=$B$3,예약내역!$J1585&lt;&gt;"취소"))</f>
        <v>0</v>
      </c>
      <c r="K1588" s="5" t="str">
        <f aca="false">IF($J1588=FALSE(),"",예약내역!$L1585*10000+ROW())</f>
        <v/>
      </c>
      <c r="L1588" s="5" t="str">
        <f aca="false">IF($K1588="","",RANK($K1588,$K$6:$K$2005,1))</f>
        <v/>
      </c>
    </row>
    <row r="1589" customFormat="false" ht="15" hidden="false" customHeight="true" outlineLevel="0" collapsed="false">
      <c r="J1589" s="21" t="b">
        <f aca="false">IF(예약내역!$A1586="",FALSE(),AND(예약내역!$A1586=$B$3,예약내역!$J1586&lt;&gt;"취소"))</f>
        <v>0</v>
      </c>
      <c r="K1589" s="5" t="str">
        <f aca="false">IF($J1589=FALSE(),"",예약내역!$L1586*10000+ROW())</f>
        <v/>
      </c>
      <c r="L1589" s="5" t="str">
        <f aca="false">IF($K1589="","",RANK($K1589,$K$6:$K$2005,1))</f>
        <v/>
      </c>
    </row>
    <row r="1590" customFormat="false" ht="15" hidden="false" customHeight="true" outlineLevel="0" collapsed="false">
      <c r="J1590" s="21" t="b">
        <f aca="false">IF(예약내역!$A1587="",FALSE(),AND(예약내역!$A1587=$B$3,예약내역!$J1587&lt;&gt;"취소"))</f>
        <v>0</v>
      </c>
      <c r="K1590" s="5" t="str">
        <f aca="false">IF($J1590=FALSE(),"",예약내역!$L1587*10000+ROW())</f>
        <v/>
      </c>
      <c r="L1590" s="5" t="str">
        <f aca="false">IF($K1590="","",RANK($K1590,$K$6:$K$2005,1))</f>
        <v/>
      </c>
    </row>
    <row r="1591" customFormat="false" ht="15" hidden="false" customHeight="true" outlineLevel="0" collapsed="false">
      <c r="J1591" s="21" t="b">
        <f aca="false">IF(예약내역!$A1588="",FALSE(),AND(예약내역!$A1588=$B$3,예약내역!$J1588&lt;&gt;"취소"))</f>
        <v>0</v>
      </c>
      <c r="K1591" s="5" t="str">
        <f aca="false">IF($J1591=FALSE(),"",예약내역!$L1588*10000+ROW())</f>
        <v/>
      </c>
      <c r="L1591" s="5" t="str">
        <f aca="false">IF($K1591="","",RANK($K1591,$K$6:$K$2005,1))</f>
        <v/>
      </c>
    </row>
    <row r="1592" customFormat="false" ht="15" hidden="false" customHeight="true" outlineLevel="0" collapsed="false">
      <c r="J1592" s="21" t="b">
        <f aca="false">IF(예약내역!$A1589="",FALSE(),AND(예약내역!$A1589=$B$3,예약내역!$J1589&lt;&gt;"취소"))</f>
        <v>0</v>
      </c>
      <c r="K1592" s="5" t="str">
        <f aca="false">IF($J1592=FALSE(),"",예약내역!$L1589*10000+ROW())</f>
        <v/>
      </c>
      <c r="L1592" s="5" t="str">
        <f aca="false">IF($K1592="","",RANK($K1592,$K$6:$K$2005,1))</f>
        <v/>
      </c>
    </row>
    <row r="1593" customFormat="false" ht="15" hidden="false" customHeight="true" outlineLevel="0" collapsed="false">
      <c r="J1593" s="21" t="b">
        <f aca="false">IF(예약내역!$A1590="",FALSE(),AND(예약내역!$A1590=$B$3,예약내역!$J1590&lt;&gt;"취소"))</f>
        <v>0</v>
      </c>
      <c r="K1593" s="5" t="str">
        <f aca="false">IF($J1593=FALSE(),"",예약내역!$L1590*10000+ROW())</f>
        <v/>
      </c>
      <c r="L1593" s="5" t="str">
        <f aca="false">IF($K1593="","",RANK($K1593,$K$6:$K$2005,1))</f>
        <v/>
      </c>
    </row>
    <row r="1594" customFormat="false" ht="15" hidden="false" customHeight="true" outlineLevel="0" collapsed="false">
      <c r="J1594" s="21" t="b">
        <f aca="false">IF(예약내역!$A1591="",FALSE(),AND(예약내역!$A1591=$B$3,예약내역!$J1591&lt;&gt;"취소"))</f>
        <v>0</v>
      </c>
      <c r="K1594" s="5" t="str">
        <f aca="false">IF($J1594=FALSE(),"",예약내역!$L1591*10000+ROW())</f>
        <v/>
      </c>
      <c r="L1594" s="5" t="str">
        <f aca="false">IF($K1594="","",RANK($K1594,$K$6:$K$2005,1))</f>
        <v/>
      </c>
    </row>
    <row r="1595" customFormat="false" ht="15" hidden="false" customHeight="true" outlineLevel="0" collapsed="false">
      <c r="J1595" s="21" t="b">
        <f aca="false">IF(예약내역!$A1592="",FALSE(),AND(예약내역!$A1592=$B$3,예약내역!$J1592&lt;&gt;"취소"))</f>
        <v>0</v>
      </c>
      <c r="K1595" s="5" t="str">
        <f aca="false">IF($J1595=FALSE(),"",예약내역!$L1592*10000+ROW())</f>
        <v/>
      </c>
      <c r="L1595" s="5" t="str">
        <f aca="false">IF($K1595="","",RANK($K1595,$K$6:$K$2005,1))</f>
        <v/>
      </c>
    </row>
    <row r="1596" customFormat="false" ht="15" hidden="false" customHeight="true" outlineLevel="0" collapsed="false">
      <c r="J1596" s="21" t="b">
        <f aca="false">IF(예약내역!$A1593="",FALSE(),AND(예약내역!$A1593=$B$3,예약내역!$J1593&lt;&gt;"취소"))</f>
        <v>0</v>
      </c>
      <c r="K1596" s="5" t="str">
        <f aca="false">IF($J1596=FALSE(),"",예약내역!$L1593*10000+ROW())</f>
        <v/>
      </c>
      <c r="L1596" s="5" t="str">
        <f aca="false">IF($K1596="","",RANK($K1596,$K$6:$K$2005,1))</f>
        <v/>
      </c>
    </row>
    <row r="1597" customFormat="false" ht="15" hidden="false" customHeight="true" outlineLevel="0" collapsed="false">
      <c r="J1597" s="21" t="b">
        <f aca="false">IF(예약내역!$A1594="",FALSE(),AND(예약내역!$A1594=$B$3,예약내역!$J1594&lt;&gt;"취소"))</f>
        <v>0</v>
      </c>
      <c r="K1597" s="5" t="str">
        <f aca="false">IF($J1597=FALSE(),"",예약내역!$L1594*10000+ROW())</f>
        <v/>
      </c>
      <c r="L1597" s="5" t="str">
        <f aca="false">IF($K1597="","",RANK($K1597,$K$6:$K$2005,1))</f>
        <v/>
      </c>
    </row>
    <row r="1598" customFormat="false" ht="15" hidden="false" customHeight="true" outlineLevel="0" collapsed="false">
      <c r="J1598" s="21" t="b">
        <f aca="false">IF(예약내역!$A1595="",FALSE(),AND(예약내역!$A1595=$B$3,예약내역!$J1595&lt;&gt;"취소"))</f>
        <v>0</v>
      </c>
      <c r="K1598" s="5" t="str">
        <f aca="false">IF($J1598=FALSE(),"",예약내역!$L1595*10000+ROW())</f>
        <v/>
      </c>
      <c r="L1598" s="5" t="str">
        <f aca="false">IF($K1598="","",RANK($K1598,$K$6:$K$2005,1))</f>
        <v/>
      </c>
    </row>
    <row r="1599" customFormat="false" ht="15" hidden="false" customHeight="true" outlineLevel="0" collapsed="false">
      <c r="J1599" s="21" t="b">
        <f aca="false">IF(예약내역!$A1596="",FALSE(),AND(예약내역!$A1596=$B$3,예약내역!$J1596&lt;&gt;"취소"))</f>
        <v>0</v>
      </c>
      <c r="K1599" s="5" t="str">
        <f aca="false">IF($J1599=FALSE(),"",예약내역!$L1596*10000+ROW())</f>
        <v/>
      </c>
      <c r="L1599" s="5" t="str">
        <f aca="false">IF($K1599="","",RANK($K1599,$K$6:$K$2005,1))</f>
        <v/>
      </c>
    </row>
    <row r="1600" customFormat="false" ht="15" hidden="false" customHeight="true" outlineLevel="0" collapsed="false">
      <c r="J1600" s="21" t="b">
        <f aca="false">IF(예약내역!$A1597="",FALSE(),AND(예약내역!$A1597=$B$3,예약내역!$J1597&lt;&gt;"취소"))</f>
        <v>0</v>
      </c>
      <c r="K1600" s="5" t="str">
        <f aca="false">IF($J1600=FALSE(),"",예약내역!$L1597*10000+ROW())</f>
        <v/>
      </c>
      <c r="L1600" s="5" t="str">
        <f aca="false">IF($K1600="","",RANK($K1600,$K$6:$K$2005,1))</f>
        <v/>
      </c>
    </row>
    <row r="1601" customFormat="false" ht="15" hidden="false" customHeight="true" outlineLevel="0" collapsed="false">
      <c r="J1601" s="21" t="b">
        <f aca="false">IF(예약내역!$A1598="",FALSE(),AND(예약내역!$A1598=$B$3,예약내역!$J1598&lt;&gt;"취소"))</f>
        <v>0</v>
      </c>
      <c r="K1601" s="5" t="str">
        <f aca="false">IF($J1601=FALSE(),"",예약내역!$L1598*10000+ROW())</f>
        <v/>
      </c>
      <c r="L1601" s="5" t="str">
        <f aca="false">IF($K1601="","",RANK($K1601,$K$6:$K$2005,1))</f>
        <v/>
      </c>
    </row>
    <row r="1602" customFormat="false" ht="15" hidden="false" customHeight="true" outlineLevel="0" collapsed="false">
      <c r="J1602" s="21" t="b">
        <f aca="false">IF(예약내역!$A1599="",FALSE(),AND(예약내역!$A1599=$B$3,예약내역!$J1599&lt;&gt;"취소"))</f>
        <v>0</v>
      </c>
      <c r="K1602" s="5" t="str">
        <f aca="false">IF($J1602=FALSE(),"",예약내역!$L1599*10000+ROW())</f>
        <v/>
      </c>
      <c r="L1602" s="5" t="str">
        <f aca="false">IF($K1602="","",RANK($K1602,$K$6:$K$2005,1))</f>
        <v/>
      </c>
    </row>
    <row r="1603" customFormat="false" ht="15" hidden="false" customHeight="true" outlineLevel="0" collapsed="false">
      <c r="J1603" s="21" t="b">
        <f aca="false">IF(예약내역!$A1600="",FALSE(),AND(예약내역!$A1600=$B$3,예약내역!$J1600&lt;&gt;"취소"))</f>
        <v>0</v>
      </c>
      <c r="K1603" s="5" t="str">
        <f aca="false">IF($J1603=FALSE(),"",예약내역!$L1600*10000+ROW())</f>
        <v/>
      </c>
      <c r="L1603" s="5" t="str">
        <f aca="false">IF($K1603="","",RANK($K1603,$K$6:$K$2005,1))</f>
        <v/>
      </c>
    </row>
    <row r="1604" customFormat="false" ht="15" hidden="false" customHeight="true" outlineLevel="0" collapsed="false">
      <c r="J1604" s="21" t="b">
        <f aca="false">IF(예약내역!$A1601="",FALSE(),AND(예약내역!$A1601=$B$3,예약내역!$J1601&lt;&gt;"취소"))</f>
        <v>0</v>
      </c>
      <c r="K1604" s="5" t="str">
        <f aca="false">IF($J1604=FALSE(),"",예약내역!$L1601*10000+ROW())</f>
        <v/>
      </c>
      <c r="L1604" s="5" t="str">
        <f aca="false">IF($K1604="","",RANK($K1604,$K$6:$K$2005,1))</f>
        <v/>
      </c>
    </row>
    <row r="1605" customFormat="false" ht="15" hidden="false" customHeight="true" outlineLevel="0" collapsed="false">
      <c r="J1605" s="21" t="b">
        <f aca="false">IF(예약내역!$A1602="",FALSE(),AND(예약내역!$A1602=$B$3,예약내역!$J1602&lt;&gt;"취소"))</f>
        <v>0</v>
      </c>
      <c r="K1605" s="5" t="str">
        <f aca="false">IF($J1605=FALSE(),"",예약내역!$L1602*10000+ROW())</f>
        <v/>
      </c>
      <c r="L1605" s="5" t="str">
        <f aca="false">IF($K1605="","",RANK($K1605,$K$6:$K$2005,1))</f>
        <v/>
      </c>
    </row>
    <row r="1606" customFormat="false" ht="15" hidden="false" customHeight="true" outlineLevel="0" collapsed="false">
      <c r="J1606" s="21" t="b">
        <f aca="false">IF(예약내역!$A1603="",FALSE(),AND(예약내역!$A1603=$B$3,예약내역!$J1603&lt;&gt;"취소"))</f>
        <v>0</v>
      </c>
      <c r="K1606" s="5" t="str">
        <f aca="false">IF($J1606=FALSE(),"",예약내역!$L1603*10000+ROW())</f>
        <v/>
      </c>
      <c r="L1606" s="5" t="str">
        <f aca="false">IF($K1606="","",RANK($K1606,$K$6:$K$2005,1))</f>
        <v/>
      </c>
    </row>
    <row r="1607" customFormat="false" ht="15" hidden="false" customHeight="true" outlineLevel="0" collapsed="false">
      <c r="J1607" s="21" t="b">
        <f aca="false">IF(예약내역!$A1604="",FALSE(),AND(예약내역!$A1604=$B$3,예약내역!$J1604&lt;&gt;"취소"))</f>
        <v>0</v>
      </c>
      <c r="K1607" s="5" t="str">
        <f aca="false">IF($J1607=FALSE(),"",예약내역!$L1604*10000+ROW())</f>
        <v/>
      </c>
      <c r="L1607" s="5" t="str">
        <f aca="false">IF($K1607="","",RANK($K1607,$K$6:$K$2005,1))</f>
        <v/>
      </c>
    </row>
    <row r="1608" customFormat="false" ht="15" hidden="false" customHeight="true" outlineLevel="0" collapsed="false">
      <c r="J1608" s="21" t="b">
        <f aca="false">IF(예약내역!$A1605="",FALSE(),AND(예약내역!$A1605=$B$3,예약내역!$J1605&lt;&gt;"취소"))</f>
        <v>0</v>
      </c>
      <c r="K1608" s="5" t="str">
        <f aca="false">IF($J1608=FALSE(),"",예약내역!$L1605*10000+ROW())</f>
        <v/>
      </c>
      <c r="L1608" s="5" t="str">
        <f aca="false">IF($K1608="","",RANK($K1608,$K$6:$K$2005,1))</f>
        <v/>
      </c>
    </row>
    <row r="1609" customFormat="false" ht="15" hidden="false" customHeight="true" outlineLevel="0" collapsed="false">
      <c r="J1609" s="21" t="b">
        <f aca="false">IF(예약내역!$A1606="",FALSE(),AND(예약내역!$A1606=$B$3,예약내역!$J1606&lt;&gt;"취소"))</f>
        <v>0</v>
      </c>
      <c r="K1609" s="5" t="str">
        <f aca="false">IF($J1609=FALSE(),"",예약내역!$L1606*10000+ROW())</f>
        <v/>
      </c>
      <c r="L1609" s="5" t="str">
        <f aca="false">IF($K1609="","",RANK($K1609,$K$6:$K$2005,1))</f>
        <v/>
      </c>
    </row>
    <row r="1610" customFormat="false" ht="15" hidden="false" customHeight="true" outlineLevel="0" collapsed="false">
      <c r="J1610" s="21" t="b">
        <f aca="false">IF(예약내역!$A1607="",FALSE(),AND(예약내역!$A1607=$B$3,예약내역!$J1607&lt;&gt;"취소"))</f>
        <v>0</v>
      </c>
      <c r="K1610" s="5" t="str">
        <f aca="false">IF($J1610=FALSE(),"",예약내역!$L1607*10000+ROW())</f>
        <v/>
      </c>
      <c r="L1610" s="5" t="str">
        <f aca="false">IF($K1610="","",RANK($K1610,$K$6:$K$2005,1))</f>
        <v/>
      </c>
    </row>
    <row r="1611" customFormat="false" ht="15" hidden="false" customHeight="true" outlineLevel="0" collapsed="false">
      <c r="J1611" s="21" t="b">
        <f aca="false">IF(예약내역!$A1608="",FALSE(),AND(예약내역!$A1608=$B$3,예약내역!$J1608&lt;&gt;"취소"))</f>
        <v>0</v>
      </c>
      <c r="K1611" s="5" t="str">
        <f aca="false">IF($J1611=FALSE(),"",예약내역!$L1608*10000+ROW())</f>
        <v/>
      </c>
      <c r="L1611" s="5" t="str">
        <f aca="false">IF($K1611="","",RANK($K1611,$K$6:$K$2005,1))</f>
        <v/>
      </c>
    </row>
    <row r="1612" customFormat="false" ht="15" hidden="false" customHeight="true" outlineLevel="0" collapsed="false">
      <c r="J1612" s="21" t="b">
        <f aca="false">IF(예약내역!$A1609="",FALSE(),AND(예약내역!$A1609=$B$3,예약내역!$J1609&lt;&gt;"취소"))</f>
        <v>0</v>
      </c>
      <c r="K1612" s="5" t="str">
        <f aca="false">IF($J1612=FALSE(),"",예약내역!$L1609*10000+ROW())</f>
        <v/>
      </c>
      <c r="L1612" s="5" t="str">
        <f aca="false">IF($K1612="","",RANK($K1612,$K$6:$K$2005,1))</f>
        <v/>
      </c>
    </row>
    <row r="1613" customFormat="false" ht="15" hidden="false" customHeight="true" outlineLevel="0" collapsed="false">
      <c r="J1613" s="21" t="b">
        <f aca="false">IF(예약내역!$A1610="",FALSE(),AND(예약내역!$A1610=$B$3,예약내역!$J1610&lt;&gt;"취소"))</f>
        <v>0</v>
      </c>
      <c r="K1613" s="5" t="str">
        <f aca="false">IF($J1613=FALSE(),"",예약내역!$L1610*10000+ROW())</f>
        <v/>
      </c>
      <c r="L1613" s="5" t="str">
        <f aca="false">IF($K1613="","",RANK($K1613,$K$6:$K$2005,1))</f>
        <v/>
      </c>
    </row>
    <row r="1614" customFormat="false" ht="15" hidden="false" customHeight="true" outlineLevel="0" collapsed="false">
      <c r="J1614" s="21" t="b">
        <f aca="false">IF(예약내역!$A1611="",FALSE(),AND(예약내역!$A1611=$B$3,예약내역!$J1611&lt;&gt;"취소"))</f>
        <v>0</v>
      </c>
      <c r="K1614" s="5" t="str">
        <f aca="false">IF($J1614=FALSE(),"",예약내역!$L1611*10000+ROW())</f>
        <v/>
      </c>
      <c r="L1614" s="5" t="str">
        <f aca="false">IF($K1614="","",RANK($K1614,$K$6:$K$2005,1))</f>
        <v/>
      </c>
    </row>
    <row r="1615" customFormat="false" ht="15" hidden="false" customHeight="true" outlineLevel="0" collapsed="false">
      <c r="J1615" s="21" t="b">
        <f aca="false">IF(예약내역!$A1612="",FALSE(),AND(예약내역!$A1612=$B$3,예약내역!$J1612&lt;&gt;"취소"))</f>
        <v>0</v>
      </c>
      <c r="K1615" s="5" t="str">
        <f aca="false">IF($J1615=FALSE(),"",예약내역!$L1612*10000+ROW())</f>
        <v/>
      </c>
      <c r="L1615" s="5" t="str">
        <f aca="false">IF($K1615="","",RANK($K1615,$K$6:$K$2005,1))</f>
        <v/>
      </c>
    </row>
    <row r="1616" customFormat="false" ht="15" hidden="false" customHeight="true" outlineLevel="0" collapsed="false">
      <c r="J1616" s="21" t="b">
        <f aca="false">IF(예약내역!$A1613="",FALSE(),AND(예약내역!$A1613=$B$3,예약내역!$J1613&lt;&gt;"취소"))</f>
        <v>0</v>
      </c>
      <c r="K1616" s="5" t="str">
        <f aca="false">IF($J1616=FALSE(),"",예약내역!$L1613*10000+ROW())</f>
        <v/>
      </c>
      <c r="L1616" s="5" t="str">
        <f aca="false">IF($K1616="","",RANK($K1616,$K$6:$K$2005,1))</f>
        <v/>
      </c>
    </row>
    <row r="1617" customFormat="false" ht="15" hidden="false" customHeight="true" outlineLevel="0" collapsed="false">
      <c r="J1617" s="21" t="b">
        <f aca="false">IF(예약내역!$A1614="",FALSE(),AND(예약내역!$A1614=$B$3,예약내역!$J1614&lt;&gt;"취소"))</f>
        <v>0</v>
      </c>
      <c r="K1617" s="5" t="str">
        <f aca="false">IF($J1617=FALSE(),"",예약내역!$L1614*10000+ROW())</f>
        <v/>
      </c>
      <c r="L1617" s="5" t="str">
        <f aca="false">IF($K1617="","",RANK($K1617,$K$6:$K$2005,1))</f>
        <v/>
      </c>
    </row>
    <row r="1618" customFormat="false" ht="15" hidden="false" customHeight="true" outlineLevel="0" collapsed="false">
      <c r="J1618" s="21" t="b">
        <f aca="false">IF(예약내역!$A1615="",FALSE(),AND(예약내역!$A1615=$B$3,예약내역!$J1615&lt;&gt;"취소"))</f>
        <v>0</v>
      </c>
      <c r="K1618" s="5" t="str">
        <f aca="false">IF($J1618=FALSE(),"",예약내역!$L1615*10000+ROW())</f>
        <v/>
      </c>
      <c r="L1618" s="5" t="str">
        <f aca="false">IF($K1618="","",RANK($K1618,$K$6:$K$2005,1))</f>
        <v/>
      </c>
    </row>
    <row r="1619" customFormat="false" ht="15" hidden="false" customHeight="true" outlineLevel="0" collapsed="false">
      <c r="J1619" s="21" t="b">
        <f aca="false">IF(예약내역!$A1616="",FALSE(),AND(예약내역!$A1616=$B$3,예약내역!$J1616&lt;&gt;"취소"))</f>
        <v>0</v>
      </c>
      <c r="K1619" s="5" t="str">
        <f aca="false">IF($J1619=FALSE(),"",예약내역!$L1616*10000+ROW())</f>
        <v/>
      </c>
      <c r="L1619" s="5" t="str">
        <f aca="false">IF($K1619="","",RANK($K1619,$K$6:$K$2005,1))</f>
        <v/>
      </c>
    </row>
    <row r="1620" customFormat="false" ht="15" hidden="false" customHeight="true" outlineLevel="0" collapsed="false">
      <c r="J1620" s="21" t="b">
        <f aca="false">IF(예약내역!$A1617="",FALSE(),AND(예약내역!$A1617=$B$3,예약내역!$J1617&lt;&gt;"취소"))</f>
        <v>0</v>
      </c>
      <c r="K1620" s="5" t="str">
        <f aca="false">IF($J1620=FALSE(),"",예약내역!$L1617*10000+ROW())</f>
        <v/>
      </c>
      <c r="L1620" s="5" t="str">
        <f aca="false">IF($K1620="","",RANK($K1620,$K$6:$K$2005,1))</f>
        <v/>
      </c>
    </row>
    <row r="1621" customFormat="false" ht="15" hidden="false" customHeight="true" outlineLevel="0" collapsed="false">
      <c r="J1621" s="21" t="b">
        <f aca="false">IF(예약내역!$A1618="",FALSE(),AND(예약내역!$A1618=$B$3,예약내역!$J1618&lt;&gt;"취소"))</f>
        <v>0</v>
      </c>
      <c r="K1621" s="5" t="str">
        <f aca="false">IF($J1621=FALSE(),"",예약내역!$L1618*10000+ROW())</f>
        <v/>
      </c>
      <c r="L1621" s="5" t="str">
        <f aca="false">IF($K1621="","",RANK($K1621,$K$6:$K$2005,1))</f>
        <v/>
      </c>
    </row>
    <row r="1622" customFormat="false" ht="15" hidden="false" customHeight="true" outlineLevel="0" collapsed="false">
      <c r="J1622" s="21" t="b">
        <f aca="false">IF(예약내역!$A1619="",FALSE(),AND(예약내역!$A1619=$B$3,예약내역!$J1619&lt;&gt;"취소"))</f>
        <v>0</v>
      </c>
      <c r="K1622" s="5" t="str">
        <f aca="false">IF($J1622=FALSE(),"",예약내역!$L1619*10000+ROW())</f>
        <v/>
      </c>
      <c r="L1622" s="5" t="str">
        <f aca="false">IF($K1622="","",RANK($K1622,$K$6:$K$2005,1))</f>
        <v/>
      </c>
    </row>
    <row r="1623" customFormat="false" ht="15" hidden="false" customHeight="true" outlineLevel="0" collapsed="false">
      <c r="J1623" s="21" t="b">
        <f aca="false">IF(예약내역!$A1620="",FALSE(),AND(예약내역!$A1620=$B$3,예약내역!$J1620&lt;&gt;"취소"))</f>
        <v>0</v>
      </c>
      <c r="K1623" s="5" t="str">
        <f aca="false">IF($J1623=FALSE(),"",예약내역!$L1620*10000+ROW())</f>
        <v/>
      </c>
      <c r="L1623" s="5" t="str">
        <f aca="false">IF($K1623="","",RANK($K1623,$K$6:$K$2005,1))</f>
        <v/>
      </c>
    </row>
    <row r="1624" customFormat="false" ht="15" hidden="false" customHeight="true" outlineLevel="0" collapsed="false">
      <c r="J1624" s="21" t="b">
        <f aca="false">IF(예약내역!$A1621="",FALSE(),AND(예약내역!$A1621=$B$3,예약내역!$J1621&lt;&gt;"취소"))</f>
        <v>0</v>
      </c>
      <c r="K1624" s="5" t="str">
        <f aca="false">IF($J1624=FALSE(),"",예약내역!$L1621*10000+ROW())</f>
        <v/>
      </c>
      <c r="L1624" s="5" t="str">
        <f aca="false">IF($K1624="","",RANK($K1624,$K$6:$K$2005,1))</f>
        <v/>
      </c>
    </row>
    <row r="1625" customFormat="false" ht="15" hidden="false" customHeight="true" outlineLevel="0" collapsed="false">
      <c r="J1625" s="21" t="b">
        <f aca="false">IF(예약내역!$A1622="",FALSE(),AND(예약내역!$A1622=$B$3,예약내역!$J1622&lt;&gt;"취소"))</f>
        <v>0</v>
      </c>
      <c r="K1625" s="5" t="str">
        <f aca="false">IF($J1625=FALSE(),"",예약내역!$L1622*10000+ROW())</f>
        <v/>
      </c>
      <c r="L1625" s="5" t="str">
        <f aca="false">IF($K1625="","",RANK($K1625,$K$6:$K$2005,1))</f>
        <v/>
      </c>
    </row>
    <row r="1626" customFormat="false" ht="15" hidden="false" customHeight="true" outlineLevel="0" collapsed="false">
      <c r="J1626" s="21" t="b">
        <f aca="false">IF(예약내역!$A1623="",FALSE(),AND(예약내역!$A1623=$B$3,예약내역!$J1623&lt;&gt;"취소"))</f>
        <v>0</v>
      </c>
      <c r="K1626" s="5" t="str">
        <f aca="false">IF($J1626=FALSE(),"",예약내역!$L1623*10000+ROW())</f>
        <v/>
      </c>
      <c r="L1626" s="5" t="str">
        <f aca="false">IF($K1626="","",RANK($K1626,$K$6:$K$2005,1))</f>
        <v/>
      </c>
    </row>
    <row r="1627" customFormat="false" ht="15" hidden="false" customHeight="true" outlineLevel="0" collapsed="false">
      <c r="J1627" s="21" t="b">
        <f aca="false">IF(예약내역!$A1624="",FALSE(),AND(예약내역!$A1624=$B$3,예약내역!$J1624&lt;&gt;"취소"))</f>
        <v>0</v>
      </c>
      <c r="K1627" s="5" t="str">
        <f aca="false">IF($J1627=FALSE(),"",예약내역!$L1624*10000+ROW())</f>
        <v/>
      </c>
      <c r="L1627" s="5" t="str">
        <f aca="false">IF($K1627="","",RANK($K1627,$K$6:$K$2005,1))</f>
        <v/>
      </c>
    </row>
    <row r="1628" customFormat="false" ht="15" hidden="false" customHeight="true" outlineLevel="0" collapsed="false">
      <c r="J1628" s="21" t="b">
        <f aca="false">IF(예약내역!$A1625="",FALSE(),AND(예약내역!$A1625=$B$3,예약내역!$J1625&lt;&gt;"취소"))</f>
        <v>0</v>
      </c>
      <c r="K1628" s="5" t="str">
        <f aca="false">IF($J1628=FALSE(),"",예약내역!$L1625*10000+ROW())</f>
        <v/>
      </c>
      <c r="L1628" s="5" t="str">
        <f aca="false">IF($K1628="","",RANK($K1628,$K$6:$K$2005,1))</f>
        <v/>
      </c>
    </row>
    <row r="1629" customFormat="false" ht="15" hidden="false" customHeight="true" outlineLevel="0" collapsed="false">
      <c r="J1629" s="21" t="b">
        <f aca="false">IF(예약내역!$A1626="",FALSE(),AND(예약내역!$A1626=$B$3,예약내역!$J1626&lt;&gt;"취소"))</f>
        <v>0</v>
      </c>
      <c r="K1629" s="5" t="str">
        <f aca="false">IF($J1629=FALSE(),"",예약내역!$L1626*10000+ROW())</f>
        <v/>
      </c>
      <c r="L1629" s="5" t="str">
        <f aca="false">IF($K1629="","",RANK($K1629,$K$6:$K$2005,1))</f>
        <v/>
      </c>
    </row>
    <row r="1630" customFormat="false" ht="15" hidden="false" customHeight="true" outlineLevel="0" collapsed="false">
      <c r="J1630" s="21" t="b">
        <f aca="false">IF(예약내역!$A1627="",FALSE(),AND(예약내역!$A1627=$B$3,예약내역!$J1627&lt;&gt;"취소"))</f>
        <v>0</v>
      </c>
      <c r="K1630" s="5" t="str">
        <f aca="false">IF($J1630=FALSE(),"",예약내역!$L1627*10000+ROW())</f>
        <v/>
      </c>
      <c r="L1630" s="5" t="str">
        <f aca="false">IF($K1630="","",RANK($K1630,$K$6:$K$2005,1))</f>
        <v/>
      </c>
    </row>
    <row r="1631" customFormat="false" ht="15" hidden="false" customHeight="true" outlineLevel="0" collapsed="false">
      <c r="J1631" s="21" t="b">
        <f aca="false">IF(예약내역!$A1628="",FALSE(),AND(예약내역!$A1628=$B$3,예약내역!$J1628&lt;&gt;"취소"))</f>
        <v>0</v>
      </c>
      <c r="K1631" s="5" t="str">
        <f aca="false">IF($J1631=FALSE(),"",예약내역!$L1628*10000+ROW())</f>
        <v/>
      </c>
      <c r="L1631" s="5" t="str">
        <f aca="false">IF($K1631="","",RANK($K1631,$K$6:$K$2005,1))</f>
        <v/>
      </c>
    </row>
    <row r="1632" customFormat="false" ht="15" hidden="false" customHeight="true" outlineLevel="0" collapsed="false">
      <c r="J1632" s="21" t="b">
        <f aca="false">IF(예약내역!$A1629="",FALSE(),AND(예약내역!$A1629=$B$3,예약내역!$J1629&lt;&gt;"취소"))</f>
        <v>0</v>
      </c>
      <c r="K1632" s="5" t="str">
        <f aca="false">IF($J1632=FALSE(),"",예약내역!$L1629*10000+ROW())</f>
        <v/>
      </c>
      <c r="L1632" s="5" t="str">
        <f aca="false">IF($K1632="","",RANK($K1632,$K$6:$K$2005,1))</f>
        <v/>
      </c>
    </row>
    <row r="1633" customFormat="false" ht="15" hidden="false" customHeight="true" outlineLevel="0" collapsed="false">
      <c r="J1633" s="21" t="b">
        <f aca="false">IF(예약내역!$A1630="",FALSE(),AND(예약내역!$A1630=$B$3,예약내역!$J1630&lt;&gt;"취소"))</f>
        <v>0</v>
      </c>
      <c r="K1633" s="5" t="str">
        <f aca="false">IF($J1633=FALSE(),"",예약내역!$L1630*10000+ROW())</f>
        <v/>
      </c>
      <c r="L1633" s="5" t="str">
        <f aca="false">IF($K1633="","",RANK($K1633,$K$6:$K$2005,1))</f>
        <v/>
      </c>
    </row>
    <row r="1634" customFormat="false" ht="15" hidden="false" customHeight="true" outlineLevel="0" collapsed="false">
      <c r="J1634" s="21" t="b">
        <f aca="false">IF(예약내역!$A1631="",FALSE(),AND(예약내역!$A1631=$B$3,예약내역!$J1631&lt;&gt;"취소"))</f>
        <v>0</v>
      </c>
      <c r="K1634" s="5" t="str">
        <f aca="false">IF($J1634=FALSE(),"",예약내역!$L1631*10000+ROW())</f>
        <v/>
      </c>
      <c r="L1634" s="5" t="str">
        <f aca="false">IF($K1634="","",RANK($K1634,$K$6:$K$2005,1))</f>
        <v/>
      </c>
    </row>
    <row r="1635" customFormat="false" ht="15" hidden="false" customHeight="true" outlineLevel="0" collapsed="false">
      <c r="J1635" s="21" t="b">
        <f aca="false">IF(예약내역!$A1632="",FALSE(),AND(예약내역!$A1632=$B$3,예약내역!$J1632&lt;&gt;"취소"))</f>
        <v>0</v>
      </c>
      <c r="K1635" s="5" t="str">
        <f aca="false">IF($J1635=FALSE(),"",예약내역!$L1632*10000+ROW())</f>
        <v/>
      </c>
      <c r="L1635" s="5" t="str">
        <f aca="false">IF($K1635="","",RANK($K1635,$K$6:$K$2005,1))</f>
        <v/>
      </c>
    </row>
    <row r="1636" customFormat="false" ht="15" hidden="false" customHeight="true" outlineLevel="0" collapsed="false">
      <c r="J1636" s="21" t="b">
        <f aca="false">IF(예약내역!$A1633="",FALSE(),AND(예약내역!$A1633=$B$3,예약내역!$J1633&lt;&gt;"취소"))</f>
        <v>0</v>
      </c>
      <c r="K1636" s="5" t="str">
        <f aca="false">IF($J1636=FALSE(),"",예약내역!$L1633*10000+ROW())</f>
        <v/>
      </c>
      <c r="L1636" s="5" t="str">
        <f aca="false">IF($K1636="","",RANK($K1636,$K$6:$K$2005,1))</f>
        <v/>
      </c>
    </row>
    <row r="1637" customFormat="false" ht="15" hidden="false" customHeight="true" outlineLevel="0" collapsed="false">
      <c r="J1637" s="21" t="b">
        <f aca="false">IF(예약내역!$A1634="",FALSE(),AND(예약내역!$A1634=$B$3,예약내역!$J1634&lt;&gt;"취소"))</f>
        <v>0</v>
      </c>
      <c r="K1637" s="5" t="str">
        <f aca="false">IF($J1637=FALSE(),"",예약내역!$L1634*10000+ROW())</f>
        <v/>
      </c>
      <c r="L1637" s="5" t="str">
        <f aca="false">IF($K1637="","",RANK($K1637,$K$6:$K$2005,1))</f>
        <v/>
      </c>
    </row>
    <row r="1638" customFormat="false" ht="15" hidden="false" customHeight="true" outlineLevel="0" collapsed="false">
      <c r="J1638" s="21" t="b">
        <f aca="false">IF(예약내역!$A1635="",FALSE(),AND(예약내역!$A1635=$B$3,예약내역!$J1635&lt;&gt;"취소"))</f>
        <v>0</v>
      </c>
      <c r="K1638" s="5" t="str">
        <f aca="false">IF($J1638=FALSE(),"",예약내역!$L1635*10000+ROW())</f>
        <v/>
      </c>
      <c r="L1638" s="5" t="str">
        <f aca="false">IF($K1638="","",RANK($K1638,$K$6:$K$2005,1))</f>
        <v/>
      </c>
    </row>
    <row r="1639" customFormat="false" ht="15" hidden="false" customHeight="true" outlineLevel="0" collapsed="false">
      <c r="J1639" s="21" t="b">
        <f aca="false">IF(예약내역!$A1636="",FALSE(),AND(예약내역!$A1636=$B$3,예약내역!$J1636&lt;&gt;"취소"))</f>
        <v>0</v>
      </c>
      <c r="K1639" s="5" t="str">
        <f aca="false">IF($J1639=FALSE(),"",예약내역!$L1636*10000+ROW())</f>
        <v/>
      </c>
      <c r="L1639" s="5" t="str">
        <f aca="false">IF($K1639="","",RANK($K1639,$K$6:$K$2005,1))</f>
        <v/>
      </c>
    </row>
    <row r="1640" customFormat="false" ht="15" hidden="false" customHeight="true" outlineLevel="0" collapsed="false">
      <c r="J1640" s="21" t="b">
        <f aca="false">IF(예약내역!$A1637="",FALSE(),AND(예약내역!$A1637=$B$3,예약내역!$J1637&lt;&gt;"취소"))</f>
        <v>0</v>
      </c>
      <c r="K1640" s="5" t="str">
        <f aca="false">IF($J1640=FALSE(),"",예약내역!$L1637*10000+ROW())</f>
        <v/>
      </c>
      <c r="L1640" s="5" t="str">
        <f aca="false">IF($K1640="","",RANK($K1640,$K$6:$K$2005,1))</f>
        <v/>
      </c>
    </row>
    <row r="1641" customFormat="false" ht="15" hidden="false" customHeight="true" outlineLevel="0" collapsed="false">
      <c r="J1641" s="21" t="b">
        <f aca="false">IF(예약내역!$A1638="",FALSE(),AND(예약내역!$A1638=$B$3,예약내역!$J1638&lt;&gt;"취소"))</f>
        <v>0</v>
      </c>
      <c r="K1641" s="5" t="str">
        <f aca="false">IF($J1641=FALSE(),"",예약내역!$L1638*10000+ROW())</f>
        <v/>
      </c>
      <c r="L1641" s="5" t="str">
        <f aca="false">IF($K1641="","",RANK($K1641,$K$6:$K$2005,1))</f>
        <v/>
      </c>
    </row>
    <row r="1642" customFormat="false" ht="15" hidden="false" customHeight="true" outlineLevel="0" collapsed="false">
      <c r="J1642" s="21" t="b">
        <f aca="false">IF(예약내역!$A1639="",FALSE(),AND(예약내역!$A1639=$B$3,예약내역!$J1639&lt;&gt;"취소"))</f>
        <v>0</v>
      </c>
      <c r="K1642" s="5" t="str">
        <f aca="false">IF($J1642=FALSE(),"",예약내역!$L1639*10000+ROW())</f>
        <v/>
      </c>
      <c r="L1642" s="5" t="str">
        <f aca="false">IF($K1642="","",RANK($K1642,$K$6:$K$2005,1))</f>
        <v/>
      </c>
    </row>
    <row r="1643" customFormat="false" ht="15" hidden="false" customHeight="true" outlineLevel="0" collapsed="false">
      <c r="J1643" s="21" t="b">
        <f aca="false">IF(예약내역!$A1640="",FALSE(),AND(예약내역!$A1640=$B$3,예약내역!$J1640&lt;&gt;"취소"))</f>
        <v>0</v>
      </c>
      <c r="K1643" s="5" t="str">
        <f aca="false">IF($J1643=FALSE(),"",예약내역!$L1640*10000+ROW())</f>
        <v/>
      </c>
      <c r="L1643" s="5" t="str">
        <f aca="false">IF($K1643="","",RANK($K1643,$K$6:$K$2005,1))</f>
        <v/>
      </c>
    </row>
    <row r="1644" customFormat="false" ht="15" hidden="false" customHeight="true" outlineLevel="0" collapsed="false">
      <c r="J1644" s="21" t="b">
        <f aca="false">IF(예약내역!$A1641="",FALSE(),AND(예약내역!$A1641=$B$3,예약내역!$J1641&lt;&gt;"취소"))</f>
        <v>0</v>
      </c>
      <c r="K1644" s="5" t="str">
        <f aca="false">IF($J1644=FALSE(),"",예약내역!$L1641*10000+ROW())</f>
        <v/>
      </c>
      <c r="L1644" s="5" t="str">
        <f aca="false">IF($K1644="","",RANK($K1644,$K$6:$K$2005,1))</f>
        <v/>
      </c>
    </row>
    <row r="1645" customFormat="false" ht="15" hidden="false" customHeight="true" outlineLevel="0" collapsed="false">
      <c r="J1645" s="21" t="b">
        <f aca="false">IF(예약내역!$A1642="",FALSE(),AND(예약내역!$A1642=$B$3,예약내역!$J1642&lt;&gt;"취소"))</f>
        <v>0</v>
      </c>
      <c r="K1645" s="5" t="str">
        <f aca="false">IF($J1645=FALSE(),"",예약내역!$L1642*10000+ROW())</f>
        <v/>
      </c>
      <c r="L1645" s="5" t="str">
        <f aca="false">IF($K1645="","",RANK($K1645,$K$6:$K$2005,1))</f>
        <v/>
      </c>
    </row>
    <row r="1646" customFormat="false" ht="15" hidden="false" customHeight="true" outlineLevel="0" collapsed="false">
      <c r="J1646" s="21" t="b">
        <f aca="false">IF(예약내역!$A1643="",FALSE(),AND(예약내역!$A1643=$B$3,예약내역!$J1643&lt;&gt;"취소"))</f>
        <v>0</v>
      </c>
      <c r="K1646" s="5" t="str">
        <f aca="false">IF($J1646=FALSE(),"",예약내역!$L1643*10000+ROW())</f>
        <v/>
      </c>
      <c r="L1646" s="5" t="str">
        <f aca="false">IF($K1646="","",RANK($K1646,$K$6:$K$2005,1))</f>
        <v/>
      </c>
    </row>
    <row r="1647" customFormat="false" ht="15" hidden="false" customHeight="true" outlineLevel="0" collapsed="false">
      <c r="J1647" s="21" t="b">
        <f aca="false">IF(예약내역!$A1644="",FALSE(),AND(예약내역!$A1644=$B$3,예약내역!$J1644&lt;&gt;"취소"))</f>
        <v>0</v>
      </c>
      <c r="K1647" s="5" t="str">
        <f aca="false">IF($J1647=FALSE(),"",예약내역!$L1644*10000+ROW())</f>
        <v/>
      </c>
      <c r="L1647" s="5" t="str">
        <f aca="false">IF($K1647="","",RANK($K1647,$K$6:$K$2005,1))</f>
        <v/>
      </c>
    </row>
    <row r="1648" customFormat="false" ht="15" hidden="false" customHeight="true" outlineLevel="0" collapsed="false">
      <c r="J1648" s="21" t="b">
        <f aca="false">IF(예약내역!$A1645="",FALSE(),AND(예약내역!$A1645=$B$3,예약내역!$J1645&lt;&gt;"취소"))</f>
        <v>0</v>
      </c>
      <c r="K1648" s="5" t="str">
        <f aca="false">IF($J1648=FALSE(),"",예약내역!$L1645*10000+ROW())</f>
        <v/>
      </c>
      <c r="L1648" s="5" t="str">
        <f aca="false">IF($K1648="","",RANK($K1648,$K$6:$K$2005,1))</f>
        <v/>
      </c>
    </row>
    <row r="1649" customFormat="false" ht="15" hidden="false" customHeight="true" outlineLevel="0" collapsed="false">
      <c r="J1649" s="21" t="b">
        <f aca="false">IF(예약내역!$A1646="",FALSE(),AND(예약내역!$A1646=$B$3,예약내역!$J1646&lt;&gt;"취소"))</f>
        <v>0</v>
      </c>
      <c r="K1649" s="5" t="str">
        <f aca="false">IF($J1649=FALSE(),"",예약내역!$L1646*10000+ROW())</f>
        <v/>
      </c>
      <c r="L1649" s="5" t="str">
        <f aca="false">IF($K1649="","",RANK($K1649,$K$6:$K$2005,1))</f>
        <v/>
      </c>
    </row>
    <row r="1650" customFormat="false" ht="15" hidden="false" customHeight="true" outlineLevel="0" collapsed="false">
      <c r="J1650" s="21" t="b">
        <f aca="false">IF(예약내역!$A1647="",FALSE(),AND(예약내역!$A1647=$B$3,예약내역!$J1647&lt;&gt;"취소"))</f>
        <v>0</v>
      </c>
      <c r="K1650" s="5" t="str">
        <f aca="false">IF($J1650=FALSE(),"",예약내역!$L1647*10000+ROW())</f>
        <v/>
      </c>
      <c r="L1650" s="5" t="str">
        <f aca="false">IF($K1650="","",RANK($K1650,$K$6:$K$2005,1))</f>
        <v/>
      </c>
    </row>
    <row r="1651" customFormat="false" ht="15" hidden="false" customHeight="true" outlineLevel="0" collapsed="false">
      <c r="J1651" s="21" t="b">
        <f aca="false">IF(예약내역!$A1648="",FALSE(),AND(예약내역!$A1648=$B$3,예약내역!$J1648&lt;&gt;"취소"))</f>
        <v>0</v>
      </c>
      <c r="K1651" s="5" t="str">
        <f aca="false">IF($J1651=FALSE(),"",예약내역!$L1648*10000+ROW())</f>
        <v/>
      </c>
      <c r="L1651" s="5" t="str">
        <f aca="false">IF($K1651="","",RANK($K1651,$K$6:$K$2005,1))</f>
        <v/>
      </c>
    </row>
    <row r="1652" customFormat="false" ht="15" hidden="false" customHeight="true" outlineLevel="0" collapsed="false">
      <c r="J1652" s="21" t="b">
        <f aca="false">IF(예약내역!$A1649="",FALSE(),AND(예약내역!$A1649=$B$3,예약내역!$J1649&lt;&gt;"취소"))</f>
        <v>0</v>
      </c>
      <c r="K1652" s="5" t="str">
        <f aca="false">IF($J1652=FALSE(),"",예약내역!$L1649*10000+ROW())</f>
        <v/>
      </c>
      <c r="L1652" s="5" t="str">
        <f aca="false">IF($K1652="","",RANK($K1652,$K$6:$K$2005,1))</f>
        <v/>
      </c>
    </row>
    <row r="1653" customFormat="false" ht="15" hidden="false" customHeight="true" outlineLevel="0" collapsed="false">
      <c r="J1653" s="21" t="b">
        <f aca="false">IF(예약내역!$A1650="",FALSE(),AND(예약내역!$A1650=$B$3,예약내역!$J1650&lt;&gt;"취소"))</f>
        <v>0</v>
      </c>
      <c r="K1653" s="5" t="str">
        <f aca="false">IF($J1653=FALSE(),"",예약내역!$L1650*10000+ROW())</f>
        <v/>
      </c>
      <c r="L1653" s="5" t="str">
        <f aca="false">IF($K1653="","",RANK($K1653,$K$6:$K$2005,1))</f>
        <v/>
      </c>
    </row>
    <row r="1654" customFormat="false" ht="15" hidden="false" customHeight="true" outlineLevel="0" collapsed="false">
      <c r="J1654" s="21" t="b">
        <f aca="false">IF(예약내역!$A1651="",FALSE(),AND(예약내역!$A1651=$B$3,예약내역!$J1651&lt;&gt;"취소"))</f>
        <v>0</v>
      </c>
      <c r="K1654" s="5" t="str">
        <f aca="false">IF($J1654=FALSE(),"",예약내역!$L1651*10000+ROW())</f>
        <v/>
      </c>
      <c r="L1654" s="5" t="str">
        <f aca="false">IF($K1654="","",RANK($K1654,$K$6:$K$2005,1))</f>
        <v/>
      </c>
    </row>
    <row r="1655" customFormat="false" ht="15" hidden="false" customHeight="true" outlineLevel="0" collapsed="false">
      <c r="J1655" s="21" t="b">
        <f aca="false">IF(예약내역!$A1652="",FALSE(),AND(예약내역!$A1652=$B$3,예약내역!$J1652&lt;&gt;"취소"))</f>
        <v>0</v>
      </c>
      <c r="K1655" s="5" t="str">
        <f aca="false">IF($J1655=FALSE(),"",예약내역!$L1652*10000+ROW())</f>
        <v/>
      </c>
      <c r="L1655" s="5" t="str">
        <f aca="false">IF($K1655="","",RANK($K1655,$K$6:$K$2005,1))</f>
        <v/>
      </c>
    </row>
    <row r="1656" customFormat="false" ht="15" hidden="false" customHeight="true" outlineLevel="0" collapsed="false">
      <c r="J1656" s="21" t="b">
        <f aca="false">IF(예약내역!$A1653="",FALSE(),AND(예약내역!$A1653=$B$3,예약내역!$J1653&lt;&gt;"취소"))</f>
        <v>0</v>
      </c>
      <c r="K1656" s="5" t="str">
        <f aca="false">IF($J1656=FALSE(),"",예약내역!$L1653*10000+ROW())</f>
        <v/>
      </c>
      <c r="L1656" s="5" t="str">
        <f aca="false">IF($K1656="","",RANK($K1656,$K$6:$K$2005,1))</f>
        <v/>
      </c>
    </row>
    <row r="1657" customFormat="false" ht="15" hidden="false" customHeight="true" outlineLevel="0" collapsed="false">
      <c r="J1657" s="21" t="b">
        <f aca="false">IF(예약내역!$A1654="",FALSE(),AND(예약내역!$A1654=$B$3,예약내역!$J1654&lt;&gt;"취소"))</f>
        <v>0</v>
      </c>
      <c r="K1657" s="5" t="str">
        <f aca="false">IF($J1657=FALSE(),"",예약내역!$L1654*10000+ROW())</f>
        <v/>
      </c>
      <c r="L1657" s="5" t="str">
        <f aca="false">IF($K1657="","",RANK($K1657,$K$6:$K$2005,1))</f>
        <v/>
      </c>
    </row>
    <row r="1658" customFormat="false" ht="15" hidden="false" customHeight="true" outlineLevel="0" collapsed="false">
      <c r="J1658" s="21" t="b">
        <f aca="false">IF(예약내역!$A1655="",FALSE(),AND(예약내역!$A1655=$B$3,예약내역!$J1655&lt;&gt;"취소"))</f>
        <v>0</v>
      </c>
      <c r="K1658" s="5" t="str">
        <f aca="false">IF($J1658=FALSE(),"",예약내역!$L1655*10000+ROW())</f>
        <v/>
      </c>
      <c r="L1658" s="5" t="str">
        <f aca="false">IF($K1658="","",RANK($K1658,$K$6:$K$2005,1))</f>
        <v/>
      </c>
    </row>
    <row r="1659" customFormat="false" ht="15" hidden="false" customHeight="true" outlineLevel="0" collapsed="false">
      <c r="J1659" s="21" t="b">
        <f aca="false">IF(예약내역!$A1656="",FALSE(),AND(예약내역!$A1656=$B$3,예약내역!$J1656&lt;&gt;"취소"))</f>
        <v>0</v>
      </c>
      <c r="K1659" s="5" t="str">
        <f aca="false">IF($J1659=FALSE(),"",예약내역!$L1656*10000+ROW())</f>
        <v/>
      </c>
      <c r="L1659" s="5" t="str">
        <f aca="false">IF($K1659="","",RANK($K1659,$K$6:$K$2005,1))</f>
        <v/>
      </c>
    </row>
    <row r="1660" customFormat="false" ht="15" hidden="false" customHeight="true" outlineLevel="0" collapsed="false">
      <c r="J1660" s="21" t="b">
        <f aca="false">IF(예약내역!$A1657="",FALSE(),AND(예약내역!$A1657=$B$3,예약내역!$J1657&lt;&gt;"취소"))</f>
        <v>0</v>
      </c>
      <c r="K1660" s="5" t="str">
        <f aca="false">IF($J1660=FALSE(),"",예약내역!$L1657*10000+ROW())</f>
        <v/>
      </c>
      <c r="L1660" s="5" t="str">
        <f aca="false">IF($K1660="","",RANK($K1660,$K$6:$K$2005,1))</f>
        <v/>
      </c>
    </row>
    <row r="1661" customFormat="false" ht="15" hidden="false" customHeight="true" outlineLevel="0" collapsed="false">
      <c r="J1661" s="21" t="b">
        <f aca="false">IF(예약내역!$A1658="",FALSE(),AND(예약내역!$A1658=$B$3,예약내역!$J1658&lt;&gt;"취소"))</f>
        <v>0</v>
      </c>
      <c r="K1661" s="5" t="str">
        <f aca="false">IF($J1661=FALSE(),"",예약내역!$L1658*10000+ROW())</f>
        <v/>
      </c>
      <c r="L1661" s="5" t="str">
        <f aca="false">IF($K1661="","",RANK($K1661,$K$6:$K$2005,1))</f>
        <v/>
      </c>
    </row>
    <row r="1662" customFormat="false" ht="15" hidden="false" customHeight="true" outlineLevel="0" collapsed="false">
      <c r="J1662" s="21" t="b">
        <f aca="false">IF(예약내역!$A1659="",FALSE(),AND(예약내역!$A1659=$B$3,예약내역!$J1659&lt;&gt;"취소"))</f>
        <v>0</v>
      </c>
      <c r="K1662" s="5" t="str">
        <f aca="false">IF($J1662=FALSE(),"",예약내역!$L1659*10000+ROW())</f>
        <v/>
      </c>
      <c r="L1662" s="5" t="str">
        <f aca="false">IF($K1662="","",RANK($K1662,$K$6:$K$2005,1))</f>
        <v/>
      </c>
    </row>
    <row r="1663" customFormat="false" ht="15" hidden="false" customHeight="true" outlineLevel="0" collapsed="false">
      <c r="J1663" s="21" t="b">
        <f aca="false">IF(예약내역!$A1660="",FALSE(),AND(예약내역!$A1660=$B$3,예약내역!$J1660&lt;&gt;"취소"))</f>
        <v>0</v>
      </c>
      <c r="K1663" s="5" t="str">
        <f aca="false">IF($J1663=FALSE(),"",예약내역!$L1660*10000+ROW())</f>
        <v/>
      </c>
      <c r="L1663" s="5" t="str">
        <f aca="false">IF($K1663="","",RANK($K1663,$K$6:$K$2005,1))</f>
        <v/>
      </c>
    </row>
    <row r="1664" customFormat="false" ht="15" hidden="false" customHeight="true" outlineLevel="0" collapsed="false">
      <c r="J1664" s="21" t="b">
        <f aca="false">IF(예약내역!$A1661="",FALSE(),AND(예약내역!$A1661=$B$3,예약내역!$J1661&lt;&gt;"취소"))</f>
        <v>0</v>
      </c>
      <c r="K1664" s="5" t="str">
        <f aca="false">IF($J1664=FALSE(),"",예약내역!$L1661*10000+ROW())</f>
        <v/>
      </c>
      <c r="L1664" s="5" t="str">
        <f aca="false">IF($K1664="","",RANK($K1664,$K$6:$K$2005,1))</f>
        <v/>
      </c>
    </row>
    <row r="1665" customFormat="false" ht="15" hidden="false" customHeight="true" outlineLevel="0" collapsed="false">
      <c r="J1665" s="21" t="b">
        <f aca="false">IF(예약내역!$A1662="",FALSE(),AND(예약내역!$A1662=$B$3,예약내역!$J1662&lt;&gt;"취소"))</f>
        <v>0</v>
      </c>
      <c r="K1665" s="5" t="str">
        <f aca="false">IF($J1665=FALSE(),"",예약내역!$L1662*10000+ROW())</f>
        <v/>
      </c>
      <c r="L1665" s="5" t="str">
        <f aca="false">IF($K1665="","",RANK($K1665,$K$6:$K$2005,1))</f>
        <v/>
      </c>
    </row>
    <row r="1666" customFormat="false" ht="15" hidden="false" customHeight="true" outlineLevel="0" collapsed="false">
      <c r="J1666" s="21" t="b">
        <f aca="false">IF(예약내역!$A1663="",FALSE(),AND(예약내역!$A1663=$B$3,예약내역!$J1663&lt;&gt;"취소"))</f>
        <v>0</v>
      </c>
      <c r="K1666" s="5" t="str">
        <f aca="false">IF($J1666=FALSE(),"",예약내역!$L1663*10000+ROW())</f>
        <v/>
      </c>
      <c r="L1666" s="5" t="str">
        <f aca="false">IF($K1666="","",RANK($K1666,$K$6:$K$2005,1))</f>
        <v/>
      </c>
    </row>
    <row r="1667" customFormat="false" ht="15" hidden="false" customHeight="true" outlineLevel="0" collapsed="false">
      <c r="J1667" s="21" t="b">
        <f aca="false">IF(예약내역!$A1664="",FALSE(),AND(예약내역!$A1664=$B$3,예약내역!$J1664&lt;&gt;"취소"))</f>
        <v>0</v>
      </c>
      <c r="K1667" s="5" t="str">
        <f aca="false">IF($J1667=FALSE(),"",예약내역!$L1664*10000+ROW())</f>
        <v/>
      </c>
      <c r="L1667" s="5" t="str">
        <f aca="false">IF($K1667="","",RANK($K1667,$K$6:$K$2005,1))</f>
        <v/>
      </c>
    </row>
    <row r="1668" customFormat="false" ht="15" hidden="false" customHeight="true" outlineLevel="0" collapsed="false">
      <c r="J1668" s="21" t="b">
        <f aca="false">IF(예약내역!$A1665="",FALSE(),AND(예약내역!$A1665=$B$3,예약내역!$J1665&lt;&gt;"취소"))</f>
        <v>0</v>
      </c>
      <c r="K1668" s="5" t="str">
        <f aca="false">IF($J1668=FALSE(),"",예약내역!$L1665*10000+ROW())</f>
        <v/>
      </c>
      <c r="L1668" s="5" t="str">
        <f aca="false">IF($K1668="","",RANK($K1668,$K$6:$K$2005,1))</f>
        <v/>
      </c>
    </row>
    <row r="1669" customFormat="false" ht="15" hidden="false" customHeight="true" outlineLevel="0" collapsed="false">
      <c r="J1669" s="21" t="b">
        <f aca="false">IF(예약내역!$A1666="",FALSE(),AND(예약내역!$A1666=$B$3,예약내역!$J1666&lt;&gt;"취소"))</f>
        <v>0</v>
      </c>
      <c r="K1669" s="5" t="str">
        <f aca="false">IF($J1669=FALSE(),"",예약내역!$L1666*10000+ROW())</f>
        <v/>
      </c>
      <c r="L1669" s="5" t="str">
        <f aca="false">IF($K1669="","",RANK($K1669,$K$6:$K$2005,1))</f>
        <v/>
      </c>
    </row>
    <row r="1670" customFormat="false" ht="15" hidden="false" customHeight="true" outlineLevel="0" collapsed="false">
      <c r="J1670" s="21" t="b">
        <f aca="false">IF(예약내역!$A1667="",FALSE(),AND(예약내역!$A1667=$B$3,예약내역!$J1667&lt;&gt;"취소"))</f>
        <v>0</v>
      </c>
      <c r="K1670" s="5" t="str">
        <f aca="false">IF($J1670=FALSE(),"",예약내역!$L1667*10000+ROW())</f>
        <v/>
      </c>
      <c r="L1670" s="5" t="str">
        <f aca="false">IF($K1670="","",RANK($K1670,$K$6:$K$2005,1))</f>
        <v/>
      </c>
    </row>
    <row r="1671" customFormat="false" ht="15" hidden="false" customHeight="true" outlineLevel="0" collapsed="false">
      <c r="J1671" s="21" t="b">
        <f aca="false">IF(예약내역!$A1668="",FALSE(),AND(예약내역!$A1668=$B$3,예약내역!$J1668&lt;&gt;"취소"))</f>
        <v>0</v>
      </c>
      <c r="K1671" s="5" t="str">
        <f aca="false">IF($J1671=FALSE(),"",예약내역!$L1668*10000+ROW())</f>
        <v/>
      </c>
      <c r="L1671" s="5" t="str">
        <f aca="false">IF($K1671="","",RANK($K1671,$K$6:$K$2005,1))</f>
        <v/>
      </c>
    </row>
    <row r="1672" customFormat="false" ht="15" hidden="false" customHeight="true" outlineLevel="0" collapsed="false">
      <c r="J1672" s="21" t="b">
        <f aca="false">IF(예약내역!$A1669="",FALSE(),AND(예약내역!$A1669=$B$3,예약내역!$J1669&lt;&gt;"취소"))</f>
        <v>0</v>
      </c>
      <c r="K1672" s="5" t="str">
        <f aca="false">IF($J1672=FALSE(),"",예약내역!$L1669*10000+ROW())</f>
        <v/>
      </c>
      <c r="L1672" s="5" t="str">
        <f aca="false">IF($K1672="","",RANK($K1672,$K$6:$K$2005,1))</f>
        <v/>
      </c>
    </row>
    <row r="1673" customFormat="false" ht="15" hidden="false" customHeight="true" outlineLevel="0" collapsed="false">
      <c r="J1673" s="21" t="b">
        <f aca="false">IF(예약내역!$A1670="",FALSE(),AND(예약내역!$A1670=$B$3,예약내역!$J1670&lt;&gt;"취소"))</f>
        <v>0</v>
      </c>
      <c r="K1673" s="5" t="str">
        <f aca="false">IF($J1673=FALSE(),"",예약내역!$L1670*10000+ROW())</f>
        <v/>
      </c>
      <c r="L1673" s="5" t="str">
        <f aca="false">IF($K1673="","",RANK($K1673,$K$6:$K$2005,1))</f>
        <v/>
      </c>
    </row>
    <row r="1674" customFormat="false" ht="15" hidden="false" customHeight="true" outlineLevel="0" collapsed="false">
      <c r="J1674" s="21" t="b">
        <f aca="false">IF(예약내역!$A1671="",FALSE(),AND(예약내역!$A1671=$B$3,예약내역!$J1671&lt;&gt;"취소"))</f>
        <v>0</v>
      </c>
      <c r="K1674" s="5" t="str">
        <f aca="false">IF($J1674=FALSE(),"",예약내역!$L1671*10000+ROW())</f>
        <v/>
      </c>
      <c r="L1674" s="5" t="str">
        <f aca="false">IF($K1674="","",RANK($K1674,$K$6:$K$2005,1))</f>
        <v/>
      </c>
    </row>
    <row r="1675" customFormat="false" ht="15" hidden="false" customHeight="true" outlineLevel="0" collapsed="false">
      <c r="J1675" s="21" t="b">
        <f aca="false">IF(예약내역!$A1672="",FALSE(),AND(예약내역!$A1672=$B$3,예약내역!$J1672&lt;&gt;"취소"))</f>
        <v>0</v>
      </c>
      <c r="K1675" s="5" t="str">
        <f aca="false">IF($J1675=FALSE(),"",예약내역!$L1672*10000+ROW())</f>
        <v/>
      </c>
      <c r="L1675" s="5" t="str">
        <f aca="false">IF($K1675="","",RANK($K1675,$K$6:$K$2005,1))</f>
        <v/>
      </c>
    </row>
    <row r="1676" customFormat="false" ht="15" hidden="false" customHeight="true" outlineLevel="0" collapsed="false">
      <c r="J1676" s="21" t="b">
        <f aca="false">IF(예약내역!$A1673="",FALSE(),AND(예약내역!$A1673=$B$3,예약내역!$J1673&lt;&gt;"취소"))</f>
        <v>0</v>
      </c>
      <c r="K1676" s="5" t="str">
        <f aca="false">IF($J1676=FALSE(),"",예약내역!$L1673*10000+ROW())</f>
        <v/>
      </c>
      <c r="L1676" s="5" t="str">
        <f aca="false">IF($K1676="","",RANK($K1676,$K$6:$K$2005,1))</f>
        <v/>
      </c>
    </row>
    <row r="1677" customFormat="false" ht="15" hidden="false" customHeight="true" outlineLevel="0" collapsed="false">
      <c r="J1677" s="21" t="b">
        <f aca="false">IF(예약내역!$A1674="",FALSE(),AND(예약내역!$A1674=$B$3,예약내역!$J1674&lt;&gt;"취소"))</f>
        <v>0</v>
      </c>
      <c r="K1677" s="5" t="str">
        <f aca="false">IF($J1677=FALSE(),"",예약내역!$L1674*10000+ROW())</f>
        <v/>
      </c>
      <c r="L1677" s="5" t="str">
        <f aca="false">IF($K1677="","",RANK($K1677,$K$6:$K$2005,1))</f>
        <v/>
      </c>
    </row>
    <row r="1678" customFormat="false" ht="15" hidden="false" customHeight="true" outlineLevel="0" collapsed="false">
      <c r="J1678" s="21" t="b">
        <f aca="false">IF(예약내역!$A1675="",FALSE(),AND(예약내역!$A1675=$B$3,예약내역!$J1675&lt;&gt;"취소"))</f>
        <v>0</v>
      </c>
      <c r="K1678" s="5" t="str">
        <f aca="false">IF($J1678=FALSE(),"",예약내역!$L1675*10000+ROW())</f>
        <v/>
      </c>
      <c r="L1678" s="5" t="str">
        <f aca="false">IF($K1678="","",RANK($K1678,$K$6:$K$2005,1))</f>
        <v/>
      </c>
    </row>
    <row r="1679" customFormat="false" ht="15" hidden="false" customHeight="true" outlineLevel="0" collapsed="false">
      <c r="J1679" s="21" t="b">
        <f aca="false">IF(예약내역!$A1676="",FALSE(),AND(예약내역!$A1676=$B$3,예약내역!$J1676&lt;&gt;"취소"))</f>
        <v>0</v>
      </c>
      <c r="K1679" s="5" t="str">
        <f aca="false">IF($J1679=FALSE(),"",예약내역!$L1676*10000+ROW())</f>
        <v/>
      </c>
      <c r="L1679" s="5" t="str">
        <f aca="false">IF($K1679="","",RANK($K1679,$K$6:$K$2005,1))</f>
        <v/>
      </c>
    </row>
    <row r="1680" customFormat="false" ht="15" hidden="false" customHeight="true" outlineLevel="0" collapsed="false">
      <c r="J1680" s="21" t="b">
        <f aca="false">IF(예약내역!$A1677="",FALSE(),AND(예약내역!$A1677=$B$3,예약내역!$J1677&lt;&gt;"취소"))</f>
        <v>0</v>
      </c>
      <c r="K1680" s="5" t="str">
        <f aca="false">IF($J1680=FALSE(),"",예약내역!$L1677*10000+ROW())</f>
        <v/>
      </c>
      <c r="L1680" s="5" t="str">
        <f aca="false">IF($K1680="","",RANK($K1680,$K$6:$K$2005,1))</f>
        <v/>
      </c>
    </row>
    <row r="1681" customFormat="false" ht="15" hidden="false" customHeight="true" outlineLevel="0" collapsed="false">
      <c r="J1681" s="21" t="b">
        <f aca="false">IF(예약내역!$A1678="",FALSE(),AND(예약내역!$A1678=$B$3,예약내역!$J1678&lt;&gt;"취소"))</f>
        <v>0</v>
      </c>
      <c r="K1681" s="5" t="str">
        <f aca="false">IF($J1681=FALSE(),"",예약내역!$L1678*10000+ROW())</f>
        <v/>
      </c>
      <c r="L1681" s="5" t="str">
        <f aca="false">IF($K1681="","",RANK($K1681,$K$6:$K$2005,1))</f>
        <v/>
      </c>
    </row>
    <row r="1682" customFormat="false" ht="15" hidden="false" customHeight="true" outlineLevel="0" collapsed="false">
      <c r="J1682" s="21" t="b">
        <f aca="false">IF(예약내역!$A1679="",FALSE(),AND(예약내역!$A1679=$B$3,예약내역!$J1679&lt;&gt;"취소"))</f>
        <v>0</v>
      </c>
      <c r="K1682" s="5" t="str">
        <f aca="false">IF($J1682=FALSE(),"",예약내역!$L1679*10000+ROW())</f>
        <v/>
      </c>
      <c r="L1682" s="5" t="str">
        <f aca="false">IF($K1682="","",RANK($K1682,$K$6:$K$2005,1))</f>
        <v/>
      </c>
    </row>
    <row r="1683" customFormat="false" ht="15" hidden="false" customHeight="true" outlineLevel="0" collapsed="false">
      <c r="J1683" s="21" t="b">
        <f aca="false">IF(예약내역!$A1680="",FALSE(),AND(예약내역!$A1680=$B$3,예약내역!$J1680&lt;&gt;"취소"))</f>
        <v>0</v>
      </c>
      <c r="K1683" s="5" t="str">
        <f aca="false">IF($J1683=FALSE(),"",예약내역!$L1680*10000+ROW())</f>
        <v/>
      </c>
      <c r="L1683" s="5" t="str">
        <f aca="false">IF($K1683="","",RANK($K1683,$K$6:$K$2005,1))</f>
        <v/>
      </c>
    </row>
    <row r="1684" customFormat="false" ht="15" hidden="false" customHeight="true" outlineLevel="0" collapsed="false">
      <c r="J1684" s="21" t="b">
        <f aca="false">IF(예약내역!$A1681="",FALSE(),AND(예약내역!$A1681=$B$3,예약내역!$J1681&lt;&gt;"취소"))</f>
        <v>0</v>
      </c>
      <c r="K1684" s="5" t="str">
        <f aca="false">IF($J1684=FALSE(),"",예약내역!$L1681*10000+ROW())</f>
        <v/>
      </c>
      <c r="L1684" s="5" t="str">
        <f aca="false">IF($K1684="","",RANK($K1684,$K$6:$K$2005,1))</f>
        <v/>
      </c>
    </row>
    <row r="1685" customFormat="false" ht="15" hidden="false" customHeight="true" outlineLevel="0" collapsed="false">
      <c r="J1685" s="21" t="b">
        <f aca="false">IF(예약내역!$A1682="",FALSE(),AND(예약내역!$A1682=$B$3,예약내역!$J1682&lt;&gt;"취소"))</f>
        <v>0</v>
      </c>
      <c r="K1685" s="5" t="str">
        <f aca="false">IF($J1685=FALSE(),"",예약내역!$L1682*10000+ROW())</f>
        <v/>
      </c>
      <c r="L1685" s="5" t="str">
        <f aca="false">IF($K1685="","",RANK($K1685,$K$6:$K$2005,1))</f>
        <v/>
      </c>
    </row>
    <row r="1686" customFormat="false" ht="15" hidden="false" customHeight="true" outlineLevel="0" collapsed="false">
      <c r="J1686" s="21" t="b">
        <f aca="false">IF(예약내역!$A1683="",FALSE(),AND(예약내역!$A1683=$B$3,예약내역!$J1683&lt;&gt;"취소"))</f>
        <v>0</v>
      </c>
      <c r="K1686" s="5" t="str">
        <f aca="false">IF($J1686=FALSE(),"",예약내역!$L1683*10000+ROW())</f>
        <v/>
      </c>
      <c r="L1686" s="5" t="str">
        <f aca="false">IF($K1686="","",RANK($K1686,$K$6:$K$2005,1))</f>
        <v/>
      </c>
    </row>
    <row r="1687" customFormat="false" ht="15" hidden="false" customHeight="true" outlineLevel="0" collapsed="false">
      <c r="J1687" s="21" t="b">
        <f aca="false">IF(예약내역!$A1684="",FALSE(),AND(예약내역!$A1684=$B$3,예약내역!$J1684&lt;&gt;"취소"))</f>
        <v>0</v>
      </c>
      <c r="K1687" s="5" t="str">
        <f aca="false">IF($J1687=FALSE(),"",예약내역!$L1684*10000+ROW())</f>
        <v/>
      </c>
      <c r="L1687" s="5" t="str">
        <f aca="false">IF($K1687="","",RANK($K1687,$K$6:$K$2005,1))</f>
        <v/>
      </c>
    </row>
    <row r="1688" customFormat="false" ht="15" hidden="false" customHeight="true" outlineLevel="0" collapsed="false">
      <c r="J1688" s="21" t="b">
        <f aca="false">IF(예약내역!$A1685="",FALSE(),AND(예약내역!$A1685=$B$3,예약내역!$J1685&lt;&gt;"취소"))</f>
        <v>0</v>
      </c>
      <c r="K1688" s="5" t="str">
        <f aca="false">IF($J1688=FALSE(),"",예약내역!$L1685*10000+ROW())</f>
        <v/>
      </c>
      <c r="L1688" s="5" t="str">
        <f aca="false">IF($K1688="","",RANK($K1688,$K$6:$K$2005,1))</f>
        <v/>
      </c>
    </row>
    <row r="1689" customFormat="false" ht="15" hidden="false" customHeight="true" outlineLevel="0" collapsed="false">
      <c r="J1689" s="21" t="b">
        <f aca="false">IF(예약내역!$A1686="",FALSE(),AND(예약내역!$A1686=$B$3,예약내역!$J1686&lt;&gt;"취소"))</f>
        <v>0</v>
      </c>
      <c r="K1689" s="5" t="str">
        <f aca="false">IF($J1689=FALSE(),"",예약내역!$L1686*10000+ROW())</f>
        <v/>
      </c>
      <c r="L1689" s="5" t="str">
        <f aca="false">IF($K1689="","",RANK($K1689,$K$6:$K$2005,1))</f>
        <v/>
      </c>
    </row>
    <row r="1690" customFormat="false" ht="15" hidden="false" customHeight="true" outlineLevel="0" collapsed="false">
      <c r="J1690" s="21" t="b">
        <f aca="false">IF(예약내역!$A1687="",FALSE(),AND(예약내역!$A1687=$B$3,예약내역!$J1687&lt;&gt;"취소"))</f>
        <v>0</v>
      </c>
      <c r="K1690" s="5" t="str">
        <f aca="false">IF($J1690=FALSE(),"",예약내역!$L1687*10000+ROW())</f>
        <v/>
      </c>
      <c r="L1690" s="5" t="str">
        <f aca="false">IF($K1690="","",RANK($K1690,$K$6:$K$2005,1))</f>
        <v/>
      </c>
    </row>
    <row r="1691" customFormat="false" ht="15" hidden="false" customHeight="true" outlineLevel="0" collapsed="false">
      <c r="J1691" s="21" t="b">
        <f aca="false">IF(예약내역!$A1688="",FALSE(),AND(예약내역!$A1688=$B$3,예약내역!$J1688&lt;&gt;"취소"))</f>
        <v>0</v>
      </c>
      <c r="K1691" s="5" t="str">
        <f aca="false">IF($J1691=FALSE(),"",예약내역!$L1688*10000+ROW())</f>
        <v/>
      </c>
      <c r="L1691" s="5" t="str">
        <f aca="false">IF($K1691="","",RANK($K1691,$K$6:$K$2005,1))</f>
        <v/>
      </c>
    </row>
    <row r="1692" customFormat="false" ht="15" hidden="false" customHeight="true" outlineLevel="0" collapsed="false">
      <c r="J1692" s="21" t="b">
        <f aca="false">IF(예약내역!$A1689="",FALSE(),AND(예약내역!$A1689=$B$3,예약내역!$J1689&lt;&gt;"취소"))</f>
        <v>0</v>
      </c>
      <c r="K1692" s="5" t="str">
        <f aca="false">IF($J1692=FALSE(),"",예약내역!$L1689*10000+ROW())</f>
        <v/>
      </c>
      <c r="L1692" s="5" t="str">
        <f aca="false">IF($K1692="","",RANK($K1692,$K$6:$K$2005,1))</f>
        <v/>
      </c>
    </row>
    <row r="1693" customFormat="false" ht="15" hidden="false" customHeight="true" outlineLevel="0" collapsed="false">
      <c r="J1693" s="21" t="b">
        <f aca="false">IF(예약내역!$A1690="",FALSE(),AND(예약내역!$A1690=$B$3,예약내역!$J1690&lt;&gt;"취소"))</f>
        <v>0</v>
      </c>
      <c r="K1693" s="5" t="str">
        <f aca="false">IF($J1693=FALSE(),"",예약내역!$L1690*10000+ROW())</f>
        <v/>
      </c>
      <c r="L1693" s="5" t="str">
        <f aca="false">IF($K1693="","",RANK($K1693,$K$6:$K$2005,1))</f>
        <v/>
      </c>
    </row>
    <row r="1694" customFormat="false" ht="15" hidden="false" customHeight="true" outlineLevel="0" collapsed="false">
      <c r="J1694" s="21" t="b">
        <f aca="false">IF(예약내역!$A1691="",FALSE(),AND(예약내역!$A1691=$B$3,예약내역!$J1691&lt;&gt;"취소"))</f>
        <v>0</v>
      </c>
      <c r="K1694" s="5" t="str">
        <f aca="false">IF($J1694=FALSE(),"",예약내역!$L1691*10000+ROW())</f>
        <v/>
      </c>
      <c r="L1694" s="5" t="str">
        <f aca="false">IF($K1694="","",RANK($K1694,$K$6:$K$2005,1))</f>
        <v/>
      </c>
    </row>
    <row r="1695" customFormat="false" ht="15" hidden="false" customHeight="true" outlineLevel="0" collapsed="false">
      <c r="J1695" s="21" t="b">
        <f aca="false">IF(예약내역!$A1692="",FALSE(),AND(예약내역!$A1692=$B$3,예약내역!$J1692&lt;&gt;"취소"))</f>
        <v>0</v>
      </c>
      <c r="K1695" s="5" t="str">
        <f aca="false">IF($J1695=FALSE(),"",예약내역!$L1692*10000+ROW())</f>
        <v/>
      </c>
      <c r="L1695" s="5" t="str">
        <f aca="false">IF($K1695="","",RANK($K1695,$K$6:$K$2005,1))</f>
        <v/>
      </c>
    </row>
    <row r="1696" customFormat="false" ht="15" hidden="false" customHeight="true" outlineLevel="0" collapsed="false">
      <c r="J1696" s="21" t="b">
        <f aca="false">IF(예약내역!$A1693="",FALSE(),AND(예약내역!$A1693=$B$3,예약내역!$J1693&lt;&gt;"취소"))</f>
        <v>0</v>
      </c>
      <c r="K1696" s="5" t="str">
        <f aca="false">IF($J1696=FALSE(),"",예약내역!$L1693*10000+ROW())</f>
        <v/>
      </c>
      <c r="L1696" s="5" t="str">
        <f aca="false">IF($K1696="","",RANK($K1696,$K$6:$K$2005,1))</f>
        <v/>
      </c>
    </row>
    <row r="1697" customFormat="false" ht="15" hidden="false" customHeight="true" outlineLevel="0" collapsed="false">
      <c r="J1697" s="21" t="b">
        <f aca="false">IF(예약내역!$A1694="",FALSE(),AND(예약내역!$A1694=$B$3,예약내역!$J1694&lt;&gt;"취소"))</f>
        <v>0</v>
      </c>
      <c r="K1697" s="5" t="str">
        <f aca="false">IF($J1697=FALSE(),"",예약내역!$L1694*10000+ROW())</f>
        <v/>
      </c>
      <c r="L1697" s="5" t="str">
        <f aca="false">IF($K1697="","",RANK($K1697,$K$6:$K$2005,1))</f>
        <v/>
      </c>
    </row>
    <row r="1698" customFormat="false" ht="15" hidden="false" customHeight="true" outlineLevel="0" collapsed="false">
      <c r="J1698" s="21" t="b">
        <f aca="false">IF(예약내역!$A1695="",FALSE(),AND(예약내역!$A1695=$B$3,예약내역!$J1695&lt;&gt;"취소"))</f>
        <v>0</v>
      </c>
      <c r="K1698" s="5" t="str">
        <f aca="false">IF($J1698=FALSE(),"",예약내역!$L1695*10000+ROW())</f>
        <v/>
      </c>
      <c r="L1698" s="5" t="str">
        <f aca="false">IF($K1698="","",RANK($K1698,$K$6:$K$2005,1))</f>
        <v/>
      </c>
    </row>
    <row r="1699" customFormat="false" ht="15" hidden="false" customHeight="true" outlineLevel="0" collapsed="false">
      <c r="J1699" s="21" t="b">
        <f aca="false">IF(예약내역!$A1696="",FALSE(),AND(예약내역!$A1696=$B$3,예약내역!$J1696&lt;&gt;"취소"))</f>
        <v>0</v>
      </c>
      <c r="K1699" s="5" t="str">
        <f aca="false">IF($J1699=FALSE(),"",예약내역!$L1696*10000+ROW())</f>
        <v/>
      </c>
      <c r="L1699" s="5" t="str">
        <f aca="false">IF($K1699="","",RANK($K1699,$K$6:$K$2005,1))</f>
        <v/>
      </c>
    </row>
    <row r="1700" customFormat="false" ht="15" hidden="false" customHeight="true" outlineLevel="0" collapsed="false">
      <c r="J1700" s="21" t="b">
        <f aca="false">IF(예약내역!$A1697="",FALSE(),AND(예약내역!$A1697=$B$3,예약내역!$J1697&lt;&gt;"취소"))</f>
        <v>0</v>
      </c>
      <c r="K1700" s="5" t="str">
        <f aca="false">IF($J1700=FALSE(),"",예약내역!$L1697*10000+ROW())</f>
        <v/>
      </c>
      <c r="L1700" s="5" t="str">
        <f aca="false">IF($K1700="","",RANK($K1700,$K$6:$K$2005,1))</f>
        <v/>
      </c>
    </row>
    <row r="1701" customFormat="false" ht="15" hidden="false" customHeight="true" outlineLevel="0" collapsed="false">
      <c r="J1701" s="21" t="b">
        <f aca="false">IF(예약내역!$A1698="",FALSE(),AND(예약내역!$A1698=$B$3,예약내역!$J1698&lt;&gt;"취소"))</f>
        <v>0</v>
      </c>
      <c r="K1701" s="5" t="str">
        <f aca="false">IF($J1701=FALSE(),"",예약내역!$L1698*10000+ROW())</f>
        <v/>
      </c>
      <c r="L1701" s="5" t="str">
        <f aca="false">IF($K1701="","",RANK($K1701,$K$6:$K$2005,1))</f>
        <v/>
      </c>
    </row>
    <row r="1702" customFormat="false" ht="15" hidden="false" customHeight="true" outlineLevel="0" collapsed="false">
      <c r="J1702" s="21" t="b">
        <f aca="false">IF(예약내역!$A1699="",FALSE(),AND(예약내역!$A1699=$B$3,예약내역!$J1699&lt;&gt;"취소"))</f>
        <v>0</v>
      </c>
      <c r="K1702" s="5" t="str">
        <f aca="false">IF($J1702=FALSE(),"",예약내역!$L1699*10000+ROW())</f>
        <v/>
      </c>
      <c r="L1702" s="5" t="str">
        <f aca="false">IF($K1702="","",RANK($K1702,$K$6:$K$2005,1))</f>
        <v/>
      </c>
    </row>
    <row r="1703" customFormat="false" ht="15" hidden="false" customHeight="true" outlineLevel="0" collapsed="false">
      <c r="J1703" s="21" t="b">
        <f aca="false">IF(예약내역!$A1700="",FALSE(),AND(예약내역!$A1700=$B$3,예약내역!$J1700&lt;&gt;"취소"))</f>
        <v>0</v>
      </c>
      <c r="K1703" s="5" t="str">
        <f aca="false">IF($J1703=FALSE(),"",예약내역!$L1700*10000+ROW())</f>
        <v/>
      </c>
      <c r="L1703" s="5" t="str">
        <f aca="false">IF($K1703="","",RANK($K1703,$K$6:$K$2005,1))</f>
        <v/>
      </c>
    </row>
    <row r="1704" customFormat="false" ht="15" hidden="false" customHeight="true" outlineLevel="0" collapsed="false">
      <c r="J1704" s="21" t="b">
        <f aca="false">IF(예약내역!$A1701="",FALSE(),AND(예약내역!$A1701=$B$3,예약내역!$J1701&lt;&gt;"취소"))</f>
        <v>0</v>
      </c>
      <c r="K1704" s="5" t="str">
        <f aca="false">IF($J1704=FALSE(),"",예약내역!$L1701*10000+ROW())</f>
        <v/>
      </c>
      <c r="L1704" s="5" t="str">
        <f aca="false">IF($K1704="","",RANK($K1704,$K$6:$K$2005,1))</f>
        <v/>
      </c>
    </row>
    <row r="1705" customFormat="false" ht="15" hidden="false" customHeight="true" outlineLevel="0" collapsed="false">
      <c r="J1705" s="21" t="b">
        <f aca="false">IF(예약내역!$A1702="",FALSE(),AND(예약내역!$A1702=$B$3,예약내역!$J1702&lt;&gt;"취소"))</f>
        <v>0</v>
      </c>
      <c r="K1705" s="5" t="str">
        <f aca="false">IF($J1705=FALSE(),"",예약내역!$L1702*10000+ROW())</f>
        <v/>
      </c>
      <c r="L1705" s="5" t="str">
        <f aca="false">IF($K1705="","",RANK($K1705,$K$6:$K$2005,1))</f>
        <v/>
      </c>
    </row>
    <row r="1706" customFormat="false" ht="15" hidden="false" customHeight="true" outlineLevel="0" collapsed="false">
      <c r="J1706" s="21" t="b">
        <f aca="false">IF(예약내역!$A1703="",FALSE(),AND(예약내역!$A1703=$B$3,예약내역!$J1703&lt;&gt;"취소"))</f>
        <v>0</v>
      </c>
      <c r="K1706" s="5" t="str">
        <f aca="false">IF($J1706=FALSE(),"",예약내역!$L1703*10000+ROW())</f>
        <v/>
      </c>
      <c r="L1706" s="5" t="str">
        <f aca="false">IF($K1706="","",RANK($K1706,$K$6:$K$2005,1))</f>
        <v/>
      </c>
    </row>
    <row r="1707" customFormat="false" ht="15" hidden="false" customHeight="true" outlineLevel="0" collapsed="false">
      <c r="J1707" s="21" t="b">
        <f aca="false">IF(예약내역!$A1704="",FALSE(),AND(예약내역!$A1704=$B$3,예약내역!$J1704&lt;&gt;"취소"))</f>
        <v>0</v>
      </c>
      <c r="K1707" s="5" t="str">
        <f aca="false">IF($J1707=FALSE(),"",예약내역!$L1704*10000+ROW())</f>
        <v/>
      </c>
      <c r="L1707" s="5" t="str">
        <f aca="false">IF($K1707="","",RANK($K1707,$K$6:$K$2005,1))</f>
        <v/>
      </c>
    </row>
    <row r="1708" customFormat="false" ht="15" hidden="false" customHeight="true" outlineLevel="0" collapsed="false">
      <c r="J1708" s="21" t="b">
        <f aca="false">IF(예약내역!$A1705="",FALSE(),AND(예약내역!$A1705=$B$3,예약내역!$J1705&lt;&gt;"취소"))</f>
        <v>0</v>
      </c>
      <c r="K1708" s="5" t="str">
        <f aca="false">IF($J1708=FALSE(),"",예약내역!$L1705*10000+ROW())</f>
        <v/>
      </c>
      <c r="L1708" s="5" t="str">
        <f aca="false">IF($K1708="","",RANK($K1708,$K$6:$K$2005,1))</f>
        <v/>
      </c>
    </row>
    <row r="1709" customFormat="false" ht="15" hidden="false" customHeight="true" outlineLevel="0" collapsed="false">
      <c r="J1709" s="21" t="b">
        <f aca="false">IF(예약내역!$A1706="",FALSE(),AND(예약내역!$A1706=$B$3,예약내역!$J1706&lt;&gt;"취소"))</f>
        <v>0</v>
      </c>
      <c r="K1709" s="5" t="str">
        <f aca="false">IF($J1709=FALSE(),"",예약내역!$L1706*10000+ROW())</f>
        <v/>
      </c>
      <c r="L1709" s="5" t="str">
        <f aca="false">IF($K1709="","",RANK($K1709,$K$6:$K$2005,1))</f>
        <v/>
      </c>
    </row>
    <row r="1710" customFormat="false" ht="15" hidden="false" customHeight="true" outlineLevel="0" collapsed="false">
      <c r="J1710" s="21" t="b">
        <f aca="false">IF(예약내역!$A1707="",FALSE(),AND(예약내역!$A1707=$B$3,예약내역!$J1707&lt;&gt;"취소"))</f>
        <v>0</v>
      </c>
      <c r="K1710" s="5" t="str">
        <f aca="false">IF($J1710=FALSE(),"",예약내역!$L1707*10000+ROW())</f>
        <v/>
      </c>
      <c r="L1710" s="5" t="str">
        <f aca="false">IF($K1710="","",RANK($K1710,$K$6:$K$2005,1))</f>
        <v/>
      </c>
    </row>
    <row r="1711" customFormat="false" ht="15" hidden="false" customHeight="true" outlineLevel="0" collapsed="false">
      <c r="J1711" s="21" t="b">
        <f aca="false">IF(예약내역!$A1708="",FALSE(),AND(예약내역!$A1708=$B$3,예약내역!$J1708&lt;&gt;"취소"))</f>
        <v>0</v>
      </c>
      <c r="K1711" s="5" t="str">
        <f aca="false">IF($J1711=FALSE(),"",예약내역!$L1708*10000+ROW())</f>
        <v/>
      </c>
      <c r="L1711" s="5" t="str">
        <f aca="false">IF($K1711="","",RANK($K1711,$K$6:$K$2005,1))</f>
        <v/>
      </c>
    </row>
    <row r="1712" customFormat="false" ht="15" hidden="false" customHeight="true" outlineLevel="0" collapsed="false">
      <c r="J1712" s="21" t="b">
        <f aca="false">IF(예약내역!$A1709="",FALSE(),AND(예약내역!$A1709=$B$3,예약내역!$J1709&lt;&gt;"취소"))</f>
        <v>0</v>
      </c>
      <c r="K1712" s="5" t="str">
        <f aca="false">IF($J1712=FALSE(),"",예약내역!$L1709*10000+ROW())</f>
        <v/>
      </c>
      <c r="L1712" s="5" t="str">
        <f aca="false">IF($K1712="","",RANK($K1712,$K$6:$K$2005,1))</f>
        <v/>
      </c>
    </row>
    <row r="1713" customFormat="false" ht="15" hidden="false" customHeight="true" outlineLevel="0" collapsed="false">
      <c r="J1713" s="21" t="b">
        <f aca="false">IF(예약내역!$A1710="",FALSE(),AND(예약내역!$A1710=$B$3,예약내역!$J1710&lt;&gt;"취소"))</f>
        <v>0</v>
      </c>
      <c r="K1713" s="5" t="str">
        <f aca="false">IF($J1713=FALSE(),"",예약내역!$L1710*10000+ROW())</f>
        <v/>
      </c>
      <c r="L1713" s="5" t="str">
        <f aca="false">IF($K1713="","",RANK($K1713,$K$6:$K$2005,1))</f>
        <v/>
      </c>
    </row>
    <row r="1714" customFormat="false" ht="15" hidden="false" customHeight="true" outlineLevel="0" collapsed="false">
      <c r="J1714" s="21" t="b">
        <f aca="false">IF(예약내역!$A1711="",FALSE(),AND(예약내역!$A1711=$B$3,예약내역!$J1711&lt;&gt;"취소"))</f>
        <v>0</v>
      </c>
      <c r="K1714" s="5" t="str">
        <f aca="false">IF($J1714=FALSE(),"",예약내역!$L1711*10000+ROW())</f>
        <v/>
      </c>
      <c r="L1714" s="5" t="str">
        <f aca="false">IF($K1714="","",RANK($K1714,$K$6:$K$2005,1))</f>
        <v/>
      </c>
    </row>
    <row r="1715" customFormat="false" ht="15" hidden="false" customHeight="true" outlineLevel="0" collapsed="false">
      <c r="J1715" s="21" t="b">
        <f aca="false">IF(예약내역!$A1712="",FALSE(),AND(예약내역!$A1712=$B$3,예약내역!$J1712&lt;&gt;"취소"))</f>
        <v>0</v>
      </c>
      <c r="K1715" s="5" t="str">
        <f aca="false">IF($J1715=FALSE(),"",예약내역!$L1712*10000+ROW())</f>
        <v/>
      </c>
      <c r="L1715" s="5" t="str">
        <f aca="false">IF($K1715="","",RANK($K1715,$K$6:$K$2005,1))</f>
        <v/>
      </c>
    </row>
    <row r="1716" customFormat="false" ht="15" hidden="false" customHeight="true" outlineLevel="0" collapsed="false">
      <c r="J1716" s="21" t="b">
        <f aca="false">IF(예약내역!$A1713="",FALSE(),AND(예약내역!$A1713=$B$3,예약내역!$J1713&lt;&gt;"취소"))</f>
        <v>0</v>
      </c>
      <c r="K1716" s="5" t="str">
        <f aca="false">IF($J1716=FALSE(),"",예약내역!$L1713*10000+ROW())</f>
        <v/>
      </c>
      <c r="L1716" s="5" t="str">
        <f aca="false">IF($K1716="","",RANK($K1716,$K$6:$K$2005,1))</f>
        <v/>
      </c>
    </row>
    <row r="1717" customFormat="false" ht="15" hidden="false" customHeight="true" outlineLevel="0" collapsed="false">
      <c r="J1717" s="21" t="b">
        <f aca="false">IF(예약내역!$A1714="",FALSE(),AND(예약내역!$A1714=$B$3,예약내역!$J1714&lt;&gt;"취소"))</f>
        <v>0</v>
      </c>
      <c r="K1717" s="5" t="str">
        <f aca="false">IF($J1717=FALSE(),"",예약내역!$L1714*10000+ROW())</f>
        <v/>
      </c>
      <c r="L1717" s="5" t="str">
        <f aca="false">IF($K1717="","",RANK($K1717,$K$6:$K$2005,1))</f>
        <v/>
      </c>
    </row>
    <row r="1718" customFormat="false" ht="15" hidden="false" customHeight="true" outlineLevel="0" collapsed="false">
      <c r="J1718" s="21" t="b">
        <f aca="false">IF(예약내역!$A1715="",FALSE(),AND(예약내역!$A1715=$B$3,예약내역!$J1715&lt;&gt;"취소"))</f>
        <v>0</v>
      </c>
      <c r="K1718" s="5" t="str">
        <f aca="false">IF($J1718=FALSE(),"",예약내역!$L1715*10000+ROW())</f>
        <v/>
      </c>
      <c r="L1718" s="5" t="str">
        <f aca="false">IF($K1718="","",RANK($K1718,$K$6:$K$2005,1))</f>
        <v/>
      </c>
    </row>
    <row r="1719" customFormat="false" ht="15" hidden="false" customHeight="true" outlineLevel="0" collapsed="false">
      <c r="J1719" s="21" t="b">
        <f aca="false">IF(예약내역!$A1716="",FALSE(),AND(예약내역!$A1716=$B$3,예약내역!$J1716&lt;&gt;"취소"))</f>
        <v>0</v>
      </c>
      <c r="K1719" s="5" t="str">
        <f aca="false">IF($J1719=FALSE(),"",예약내역!$L1716*10000+ROW())</f>
        <v/>
      </c>
      <c r="L1719" s="5" t="str">
        <f aca="false">IF($K1719="","",RANK($K1719,$K$6:$K$2005,1))</f>
        <v/>
      </c>
    </row>
    <row r="1720" customFormat="false" ht="15" hidden="false" customHeight="true" outlineLevel="0" collapsed="false">
      <c r="J1720" s="21" t="b">
        <f aca="false">IF(예약내역!$A1717="",FALSE(),AND(예약내역!$A1717=$B$3,예약내역!$J1717&lt;&gt;"취소"))</f>
        <v>0</v>
      </c>
      <c r="K1720" s="5" t="str">
        <f aca="false">IF($J1720=FALSE(),"",예약내역!$L1717*10000+ROW())</f>
        <v/>
      </c>
      <c r="L1720" s="5" t="str">
        <f aca="false">IF($K1720="","",RANK($K1720,$K$6:$K$2005,1))</f>
        <v/>
      </c>
    </row>
    <row r="1721" customFormat="false" ht="15" hidden="false" customHeight="true" outlineLevel="0" collapsed="false">
      <c r="J1721" s="21" t="b">
        <f aca="false">IF(예약내역!$A1718="",FALSE(),AND(예약내역!$A1718=$B$3,예약내역!$J1718&lt;&gt;"취소"))</f>
        <v>0</v>
      </c>
      <c r="K1721" s="5" t="str">
        <f aca="false">IF($J1721=FALSE(),"",예약내역!$L1718*10000+ROW())</f>
        <v/>
      </c>
      <c r="L1721" s="5" t="str">
        <f aca="false">IF($K1721="","",RANK($K1721,$K$6:$K$2005,1))</f>
        <v/>
      </c>
    </row>
    <row r="1722" customFormat="false" ht="15" hidden="false" customHeight="true" outlineLevel="0" collapsed="false">
      <c r="J1722" s="21" t="b">
        <f aca="false">IF(예약내역!$A1719="",FALSE(),AND(예약내역!$A1719=$B$3,예약내역!$J1719&lt;&gt;"취소"))</f>
        <v>0</v>
      </c>
      <c r="K1722" s="5" t="str">
        <f aca="false">IF($J1722=FALSE(),"",예약내역!$L1719*10000+ROW())</f>
        <v/>
      </c>
      <c r="L1722" s="5" t="str">
        <f aca="false">IF($K1722="","",RANK($K1722,$K$6:$K$2005,1))</f>
        <v/>
      </c>
    </row>
    <row r="1723" customFormat="false" ht="15" hidden="false" customHeight="true" outlineLevel="0" collapsed="false">
      <c r="J1723" s="21" t="b">
        <f aca="false">IF(예약내역!$A1720="",FALSE(),AND(예약내역!$A1720=$B$3,예약내역!$J1720&lt;&gt;"취소"))</f>
        <v>0</v>
      </c>
      <c r="K1723" s="5" t="str">
        <f aca="false">IF($J1723=FALSE(),"",예약내역!$L1720*10000+ROW())</f>
        <v/>
      </c>
      <c r="L1723" s="5" t="str">
        <f aca="false">IF($K1723="","",RANK($K1723,$K$6:$K$2005,1))</f>
        <v/>
      </c>
    </row>
    <row r="1724" customFormat="false" ht="15" hidden="false" customHeight="true" outlineLevel="0" collapsed="false">
      <c r="J1724" s="21" t="b">
        <f aca="false">IF(예약내역!$A1721="",FALSE(),AND(예약내역!$A1721=$B$3,예약내역!$J1721&lt;&gt;"취소"))</f>
        <v>0</v>
      </c>
      <c r="K1724" s="5" t="str">
        <f aca="false">IF($J1724=FALSE(),"",예약내역!$L1721*10000+ROW())</f>
        <v/>
      </c>
      <c r="L1724" s="5" t="str">
        <f aca="false">IF($K1724="","",RANK($K1724,$K$6:$K$2005,1))</f>
        <v/>
      </c>
    </row>
    <row r="1725" customFormat="false" ht="15" hidden="false" customHeight="true" outlineLevel="0" collapsed="false">
      <c r="J1725" s="21" t="b">
        <f aca="false">IF(예약내역!$A1722="",FALSE(),AND(예약내역!$A1722=$B$3,예약내역!$J1722&lt;&gt;"취소"))</f>
        <v>0</v>
      </c>
      <c r="K1725" s="5" t="str">
        <f aca="false">IF($J1725=FALSE(),"",예약내역!$L1722*10000+ROW())</f>
        <v/>
      </c>
      <c r="L1725" s="5" t="str">
        <f aca="false">IF($K1725="","",RANK($K1725,$K$6:$K$2005,1))</f>
        <v/>
      </c>
    </row>
    <row r="1726" customFormat="false" ht="15" hidden="false" customHeight="true" outlineLevel="0" collapsed="false">
      <c r="J1726" s="21" t="b">
        <f aca="false">IF(예약내역!$A1723="",FALSE(),AND(예약내역!$A1723=$B$3,예약내역!$J1723&lt;&gt;"취소"))</f>
        <v>0</v>
      </c>
      <c r="K1726" s="5" t="str">
        <f aca="false">IF($J1726=FALSE(),"",예약내역!$L1723*10000+ROW())</f>
        <v/>
      </c>
      <c r="L1726" s="5" t="str">
        <f aca="false">IF($K1726="","",RANK($K1726,$K$6:$K$2005,1))</f>
        <v/>
      </c>
    </row>
    <row r="1727" customFormat="false" ht="15" hidden="false" customHeight="true" outlineLevel="0" collapsed="false">
      <c r="J1727" s="21" t="b">
        <f aca="false">IF(예약내역!$A1724="",FALSE(),AND(예약내역!$A1724=$B$3,예약내역!$J1724&lt;&gt;"취소"))</f>
        <v>0</v>
      </c>
      <c r="K1727" s="5" t="str">
        <f aca="false">IF($J1727=FALSE(),"",예약내역!$L1724*10000+ROW())</f>
        <v/>
      </c>
      <c r="L1727" s="5" t="str">
        <f aca="false">IF($K1727="","",RANK($K1727,$K$6:$K$2005,1))</f>
        <v/>
      </c>
    </row>
    <row r="1728" customFormat="false" ht="15" hidden="false" customHeight="true" outlineLevel="0" collapsed="false">
      <c r="J1728" s="21" t="b">
        <f aca="false">IF(예약내역!$A1725="",FALSE(),AND(예약내역!$A1725=$B$3,예약내역!$J1725&lt;&gt;"취소"))</f>
        <v>0</v>
      </c>
      <c r="K1728" s="5" t="str">
        <f aca="false">IF($J1728=FALSE(),"",예약내역!$L1725*10000+ROW())</f>
        <v/>
      </c>
      <c r="L1728" s="5" t="str">
        <f aca="false">IF($K1728="","",RANK($K1728,$K$6:$K$2005,1))</f>
        <v/>
      </c>
    </row>
    <row r="1729" customFormat="false" ht="15" hidden="false" customHeight="true" outlineLevel="0" collapsed="false">
      <c r="J1729" s="21" t="b">
        <f aca="false">IF(예약내역!$A1726="",FALSE(),AND(예약내역!$A1726=$B$3,예약내역!$J1726&lt;&gt;"취소"))</f>
        <v>0</v>
      </c>
      <c r="K1729" s="5" t="str">
        <f aca="false">IF($J1729=FALSE(),"",예약내역!$L1726*10000+ROW())</f>
        <v/>
      </c>
      <c r="L1729" s="5" t="str">
        <f aca="false">IF($K1729="","",RANK($K1729,$K$6:$K$2005,1))</f>
        <v/>
      </c>
    </row>
    <row r="1730" customFormat="false" ht="15" hidden="false" customHeight="true" outlineLevel="0" collapsed="false">
      <c r="J1730" s="21" t="b">
        <f aca="false">IF(예약내역!$A1727="",FALSE(),AND(예약내역!$A1727=$B$3,예약내역!$J1727&lt;&gt;"취소"))</f>
        <v>0</v>
      </c>
      <c r="K1730" s="5" t="str">
        <f aca="false">IF($J1730=FALSE(),"",예약내역!$L1727*10000+ROW())</f>
        <v/>
      </c>
      <c r="L1730" s="5" t="str">
        <f aca="false">IF($K1730="","",RANK($K1730,$K$6:$K$2005,1))</f>
        <v/>
      </c>
    </row>
    <row r="1731" customFormat="false" ht="15" hidden="false" customHeight="true" outlineLevel="0" collapsed="false">
      <c r="J1731" s="21" t="b">
        <f aca="false">IF(예약내역!$A1728="",FALSE(),AND(예약내역!$A1728=$B$3,예약내역!$J1728&lt;&gt;"취소"))</f>
        <v>0</v>
      </c>
      <c r="K1731" s="5" t="str">
        <f aca="false">IF($J1731=FALSE(),"",예약내역!$L1728*10000+ROW())</f>
        <v/>
      </c>
      <c r="L1731" s="5" t="str">
        <f aca="false">IF($K1731="","",RANK($K1731,$K$6:$K$2005,1))</f>
        <v/>
      </c>
    </row>
    <row r="1732" customFormat="false" ht="15" hidden="false" customHeight="true" outlineLevel="0" collapsed="false">
      <c r="J1732" s="21" t="b">
        <f aca="false">IF(예약내역!$A1729="",FALSE(),AND(예약내역!$A1729=$B$3,예약내역!$J1729&lt;&gt;"취소"))</f>
        <v>0</v>
      </c>
      <c r="K1732" s="5" t="str">
        <f aca="false">IF($J1732=FALSE(),"",예약내역!$L1729*10000+ROW())</f>
        <v/>
      </c>
      <c r="L1732" s="5" t="str">
        <f aca="false">IF($K1732="","",RANK($K1732,$K$6:$K$2005,1))</f>
        <v/>
      </c>
    </row>
    <row r="1733" customFormat="false" ht="15" hidden="false" customHeight="true" outlineLevel="0" collapsed="false">
      <c r="J1733" s="21" t="b">
        <f aca="false">IF(예약내역!$A1730="",FALSE(),AND(예약내역!$A1730=$B$3,예약내역!$J1730&lt;&gt;"취소"))</f>
        <v>0</v>
      </c>
      <c r="K1733" s="5" t="str">
        <f aca="false">IF($J1733=FALSE(),"",예약내역!$L1730*10000+ROW())</f>
        <v/>
      </c>
      <c r="L1733" s="5" t="str">
        <f aca="false">IF($K1733="","",RANK($K1733,$K$6:$K$2005,1))</f>
        <v/>
      </c>
    </row>
    <row r="1734" customFormat="false" ht="15" hidden="false" customHeight="true" outlineLevel="0" collapsed="false">
      <c r="J1734" s="21" t="b">
        <f aca="false">IF(예약내역!$A1731="",FALSE(),AND(예약내역!$A1731=$B$3,예약내역!$J1731&lt;&gt;"취소"))</f>
        <v>0</v>
      </c>
      <c r="K1734" s="5" t="str">
        <f aca="false">IF($J1734=FALSE(),"",예약내역!$L1731*10000+ROW())</f>
        <v/>
      </c>
      <c r="L1734" s="5" t="str">
        <f aca="false">IF($K1734="","",RANK($K1734,$K$6:$K$2005,1))</f>
        <v/>
      </c>
    </row>
    <row r="1735" customFormat="false" ht="15" hidden="false" customHeight="true" outlineLevel="0" collapsed="false">
      <c r="J1735" s="21" t="b">
        <f aca="false">IF(예약내역!$A1732="",FALSE(),AND(예약내역!$A1732=$B$3,예약내역!$J1732&lt;&gt;"취소"))</f>
        <v>0</v>
      </c>
      <c r="K1735" s="5" t="str">
        <f aca="false">IF($J1735=FALSE(),"",예약내역!$L1732*10000+ROW())</f>
        <v/>
      </c>
      <c r="L1735" s="5" t="str">
        <f aca="false">IF($K1735="","",RANK($K1735,$K$6:$K$2005,1))</f>
        <v/>
      </c>
    </row>
    <row r="1736" customFormat="false" ht="15" hidden="false" customHeight="true" outlineLevel="0" collapsed="false">
      <c r="J1736" s="21" t="b">
        <f aca="false">IF(예약내역!$A1733="",FALSE(),AND(예약내역!$A1733=$B$3,예약내역!$J1733&lt;&gt;"취소"))</f>
        <v>0</v>
      </c>
      <c r="K1736" s="5" t="str">
        <f aca="false">IF($J1736=FALSE(),"",예약내역!$L1733*10000+ROW())</f>
        <v/>
      </c>
      <c r="L1736" s="5" t="str">
        <f aca="false">IF($K1736="","",RANK($K1736,$K$6:$K$2005,1))</f>
        <v/>
      </c>
    </row>
    <row r="1737" customFormat="false" ht="15" hidden="false" customHeight="true" outlineLevel="0" collapsed="false">
      <c r="J1737" s="21" t="b">
        <f aca="false">IF(예약내역!$A1734="",FALSE(),AND(예약내역!$A1734=$B$3,예약내역!$J1734&lt;&gt;"취소"))</f>
        <v>0</v>
      </c>
      <c r="K1737" s="5" t="str">
        <f aca="false">IF($J1737=FALSE(),"",예약내역!$L1734*10000+ROW())</f>
        <v/>
      </c>
      <c r="L1737" s="5" t="str">
        <f aca="false">IF($K1737="","",RANK($K1737,$K$6:$K$2005,1))</f>
        <v/>
      </c>
    </row>
    <row r="1738" customFormat="false" ht="15" hidden="false" customHeight="true" outlineLevel="0" collapsed="false">
      <c r="J1738" s="21" t="b">
        <f aca="false">IF(예약내역!$A1735="",FALSE(),AND(예약내역!$A1735=$B$3,예약내역!$J1735&lt;&gt;"취소"))</f>
        <v>0</v>
      </c>
      <c r="K1738" s="5" t="str">
        <f aca="false">IF($J1738=FALSE(),"",예약내역!$L1735*10000+ROW())</f>
        <v/>
      </c>
      <c r="L1738" s="5" t="str">
        <f aca="false">IF($K1738="","",RANK($K1738,$K$6:$K$2005,1))</f>
        <v/>
      </c>
    </row>
    <row r="1739" customFormat="false" ht="15" hidden="false" customHeight="true" outlineLevel="0" collapsed="false">
      <c r="J1739" s="21" t="b">
        <f aca="false">IF(예약내역!$A1736="",FALSE(),AND(예약내역!$A1736=$B$3,예약내역!$J1736&lt;&gt;"취소"))</f>
        <v>0</v>
      </c>
      <c r="K1739" s="5" t="str">
        <f aca="false">IF($J1739=FALSE(),"",예약내역!$L1736*10000+ROW())</f>
        <v/>
      </c>
      <c r="L1739" s="5" t="str">
        <f aca="false">IF($K1739="","",RANK($K1739,$K$6:$K$2005,1))</f>
        <v/>
      </c>
    </row>
    <row r="1740" customFormat="false" ht="15" hidden="false" customHeight="true" outlineLevel="0" collapsed="false">
      <c r="J1740" s="21" t="b">
        <f aca="false">IF(예약내역!$A1737="",FALSE(),AND(예약내역!$A1737=$B$3,예약내역!$J1737&lt;&gt;"취소"))</f>
        <v>0</v>
      </c>
      <c r="K1740" s="5" t="str">
        <f aca="false">IF($J1740=FALSE(),"",예약내역!$L1737*10000+ROW())</f>
        <v/>
      </c>
      <c r="L1740" s="5" t="str">
        <f aca="false">IF($K1740="","",RANK($K1740,$K$6:$K$2005,1))</f>
        <v/>
      </c>
    </row>
    <row r="1741" customFormat="false" ht="15" hidden="false" customHeight="true" outlineLevel="0" collapsed="false">
      <c r="J1741" s="21" t="b">
        <f aca="false">IF(예약내역!$A1738="",FALSE(),AND(예약내역!$A1738=$B$3,예약내역!$J1738&lt;&gt;"취소"))</f>
        <v>0</v>
      </c>
      <c r="K1741" s="5" t="str">
        <f aca="false">IF($J1741=FALSE(),"",예약내역!$L1738*10000+ROW())</f>
        <v/>
      </c>
      <c r="L1741" s="5" t="str">
        <f aca="false">IF($K1741="","",RANK($K1741,$K$6:$K$2005,1))</f>
        <v/>
      </c>
    </row>
    <row r="1742" customFormat="false" ht="15" hidden="false" customHeight="true" outlineLevel="0" collapsed="false">
      <c r="J1742" s="21" t="b">
        <f aca="false">IF(예약내역!$A1739="",FALSE(),AND(예약내역!$A1739=$B$3,예약내역!$J1739&lt;&gt;"취소"))</f>
        <v>0</v>
      </c>
      <c r="K1742" s="5" t="str">
        <f aca="false">IF($J1742=FALSE(),"",예약내역!$L1739*10000+ROW())</f>
        <v/>
      </c>
      <c r="L1742" s="5" t="str">
        <f aca="false">IF($K1742="","",RANK($K1742,$K$6:$K$2005,1))</f>
        <v/>
      </c>
    </row>
    <row r="1743" customFormat="false" ht="15" hidden="false" customHeight="true" outlineLevel="0" collapsed="false">
      <c r="J1743" s="21" t="b">
        <f aca="false">IF(예약내역!$A1740="",FALSE(),AND(예약내역!$A1740=$B$3,예약내역!$J1740&lt;&gt;"취소"))</f>
        <v>0</v>
      </c>
      <c r="K1743" s="5" t="str">
        <f aca="false">IF($J1743=FALSE(),"",예약내역!$L1740*10000+ROW())</f>
        <v/>
      </c>
      <c r="L1743" s="5" t="str">
        <f aca="false">IF($K1743="","",RANK($K1743,$K$6:$K$2005,1))</f>
        <v/>
      </c>
    </row>
    <row r="1744" customFormat="false" ht="15" hidden="false" customHeight="true" outlineLevel="0" collapsed="false">
      <c r="J1744" s="21" t="b">
        <f aca="false">IF(예약내역!$A1741="",FALSE(),AND(예약내역!$A1741=$B$3,예약내역!$J1741&lt;&gt;"취소"))</f>
        <v>0</v>
      </c>
      <c r="K1744" s="5" t="str">
        <f aca="false">IF($J1744=FALSE(),"",예약내역!$L1741*10000+ROW())</f>
        <v/>
      </c>
      <c r="L1744" s="5" t="str">
        <f aca="false">IF($K1744="","",RANK($K1744,$K$6:$K$2005,1))</f>
        <v/>
      </c>
    </row>
    <row r="1745" customFormat="false" ht="15" hidden="false" customHeight="true" outlineLevel="0" collapsed="false">
      <c r="J1745" s="21" t="b">
        <f aca="false">IF(예약내역!$A1742="",FALSE(),AND(예약내역!$A1742=$B$3,예약내역!$J1742&lt;&gt;"취소"))</f>
        <v>0</v>
      </c>
      <c r="K1745" s="5" t="str">
        <f aca="false">IF($J1745=FALSE(),"",예약내역!$L1742*10000+ROW())</f>
        <v/>
      </c>
      <c r="L1745" s="5" t="str">
        <f aca="false">IF($K1745="","",RANK($K1745,$K$6:$K$2005,1))</f>
        <v/>
      </c>
    </row>
    <row r="1746" customFormat="false" ht="15" hidden="false" customHeight="true" outlineLevel="0" collapsed="false">
      <c r="J1746" s="21" t="b">
        <f aca="false">IF(예약내역!$A1743="",FALSE(),AND(예약내역!$A1743=$B$3,예약내역!$J1743&lt;&gt;"취소"))</f>
        <v>0</v>
      </c>
      <c r="K1746" s="5" t="str">
        <f aca="false">IF($J1746=FALSE(),"",예약내역!$L1743*10000+ROW())</f>
        <v/>
      </c>
      <c r="L1746" s="5" t="str">
        <f aca="false">IF($K1746="","",RANK($K1746,$K$6:$K$2005,1))</f>
        <v/>
      </c>
    </row>
    <row r="1747" customFormat="false" ht="15" hidden="false" customHeight="true" outlineLevel="0" collapsed="false">
      <c r="J1747" s="21" t="b">
        <f aca="false">IF(예약내역!$A1744="",FALSE(),AND(예약내역!$A1744=$B$3,예약내역!$J1744&lt;&gt;"취소"))</f>
        <v>0</v>
      </c>
      <c r="K1747" s="5" t="str">
        <f aca="false">IF($J1747=FALSE(),"",예약내역!$L1744*10000+ROW())</f>
        <v/>
      </c>
      <c r="L1747" s="5" t="str">
        <f aca="false">IF($K1747="","",RANK($K1747,$K$6:$K$2005,1))</f>
        <v/>
      </c>
    </row>
    <row r="1748" customFormat="false" ht="15" hidden="false" customHeight="true" outlineLevel="0" collapsed="false">
      <c r="J1748" s="21" t="b">
        <f aca="false">IF(예약내역!$A1745="",FALSE(),AND(예약내역!$A1745=$B$3,예약내역!$J1745&lt;&gt;"취소"))</f>
        <v>0</v>
      </c>
      <c r="K1748" s="5" t="str">
        <f aca="false">IF($J1748=FALSE(),"",예약내역!$L1745*10000+ROW())</f>
        <v/>
      </c>
      <c r="L1748" s="5" t="str">
        <f aca="false">IF($K1748="","",RANK($K1748,$K$6:$K$2005,1))</f>
        <v/>
      </c>
    </row>
    <row r="1749" customFormat="false" ht="15" hidden="false" customHeight="true" outlineLevel="0" collapsed="false">
      <c r="J1749" s="21" t="b">
        <f aca="false">IF(예약내역!$A1746="",FALSE(),AND(예약내역!$A1746=$B$3,예약내역!$J1746&lt;&gt;"취소"))</f>
        <v>0</v>
      </c>
      <c r="K1749" s="5" t="str">
        <f aca="false">IF($J1749=FALSE(),"",예약내역!$L1746*10000+ROW())</f>
        <v/>
      </c>
      <c r="L1749" s="5" t="str">
        <f aca="false">IF($K1749="","",RANK($K1749,$K$6:$K$2005,1))</f>
        <v/>
      </c>
    </row>
    <row r="1750" customFormat="false" ht="15" hidden="false" customHeight="true" outlineLevel="0" collapsed="false">
      <c r="J1750" s="21" t="b">
        <f aca="false">IF(예약내역!$A1747="",FALSE(),AND(예약내역!$A1747=$B$3,예약내역!$J1747&lt;&gt;"취소"))</f>
        <v>0</v>
      </c>
      <c r="K1750" s="5" t="str">
        <f aca="false">IF($J1750=FALSE(),"",예약내역!$L1747*10000+ROW())</f>
        <v/>
      </c>
      <c r="L1750" s="5" t="str">
        <f aca="false">IF($K1750="","",RANK($K1750,$K$6:$K$2005,1))</f>
        <v/>
      </c>
    </row>
    <row r="1751" customFormat="false" ht="15" hidden="false" customHeight="true" outlineLevel="0" collapsed="false">
      <c r="J1751" s="21" t="b">
        <f aca="false">IF(예약내역!$A1748="",FALSE(),AND(예약내역!$A1748=$B$3,예약내역!$J1748&lt;&gt;"취소"))</f>
        <v>0</v>
      </c>
      <c r="K1751" s="5" t="str">
        <f aca="false">IF($J1751=FALSE(),"",예약내역!$L1748*10000+ROW())</f>
        <v/>
      </c>
      <c r="L1751" s="5" t="str">
        <f aca="false">IF($K1751="","",RANK($K1751,$K$6:$K$2005,1))</f>
        <v/>
      </c>
    </row>
    <row r="1752" customFormat="false" ht="15" hidden="false" customHeight="true" outlineLevel="0" collapsed="false">
      <c r="J1752" s="21" t="b">
        <f aca="false">IF(예약내역!$A1749="",FALSE(),AND(예약내역!$A1749=$B$3,예약내역!$J1749&lt;&gt;"취소"))</f>
        <v>0</v>
      </c>
      <c r="K1752" s="5" t="str">
        <f aca="false">IF($J1752=FALSE(),"",예약내역!$L1749*10000+ROW())</f>
        <v/>
      </c>
      <c r="L1752" s="5" t="str">
        <f aca="false">IF($K1752="","",RANK($K1752,$K$6:$K$2005,1))</f>
        <v/>
      </c>
    </row>
    <row r="1753" customFormat="false" ht="15" hidden="false" customHeight="true" outlineLevel="0" collapsed="false">
      <c r="J1753" s="21" t="b">
        <f aca="false">IF(예약내역!$A1750="",FALSE(),AND(예약내역!$A1750=$B$3,예약내역!$J1750&lt;&gt;"취소"))</f>
        <v>0</v>
      </c>
      <c r="K1753" s="5" t="str">
        <f aca="false">IF($J1753=FALSE(),"",예약내역!$L1750*10000+ROW())</f>
        <v/>
      </c>
      <c r="L1753" s="5" t="str">
        <f aca="false">IF($K1753="","",RANK($K1753,$K$6:$K$2005,1))</f>
        <v/>
      </c>
    </row>
    <row r="1754" customFormat="false" ht="15" hidden="false" customHeight="true" outlineLevel="0" collapsed="false">
      <c r="J1754" s="21" t="b">
        <f aca="false">IF(예약내역!$A1751="",FALSE(),AND(예약내역!$A1751=$B$3,예약내역!$J1751&lt;&gt;"취소"))</f>
        <v>0</v>
      </c>
      <c r="K1754" s="5" t="str">
        <f aca="false">IF($J1754=FALSE(),"",예약내역!$L1751*10000+ROW())</f>
        <v/>
      </c>
      <c r="L1754" s="5" t="str">
        <f aca="false">IF($K1754="","",RANK($K1754,$K$6:$K$2005,1))</f>
        <v/>
      </c>
    </row>
    <row r="1755" customFormat="false" ht="15" hidden="false" customHeight="true" outlineLevel="0" collapsed="false">
      <c r="J1755" s="21" t="b">
        <f aca="false">IF(예약내역!$A1752="",FALSE(),AND(예약내역!$A1752=$B$3,예약내역!$J1752&lt;&gt;"취소"))</f>
        <v>0</v>
      </c>
      <c r="K1755" s="5" t="str">
        <f aca="false">IF($J1755=FALSE(),"",예약내역!$L1752*10000+ROW())</f>
        <v/>
      </c>
      <c r="L1755" s="5" t="str">
        <f aca="false">IF($K1755="","",RANK($K1755,$K$6:$K$2005,1))</f>
        <v/>
      </c>
    </row>
    <row r="1756" customFormat="false" ht="15" hidden="false" customHeight="true" outlineLevel="0" collapsed="false">
      <c r="J1756" s="21" t="b">
        <f aca="false">IF(예약내역!$A1753="",FALSE(),AND(예약내역!$A1753=$B$3,예약내역!$J1753&lt;&gt;"취소"))</f>
        <v>0</v>
      </c>
      <c r="K1756" s="5" t="str">
        <f aca="false">IF($J1756=FALSE(),"",예약내역!$L1753*10000+ROW())</f>
        <v/>
      </c>
      <c r="L1756" s="5" t="str">
        <f aca="false">IF($K1756="","",RANK($K1756,$K$6:$K$2005,1))</f>
        <v/>
      </c>
    </row>
    <row r="1757" customFormat="false" ht="15" hidden="false" customHeight="true" outlineLevel="0" collapsed="false">
      <c r="J1757" s="21" t="b">
        <f aca="false">IF(예약내역!$A1754="",FALSE(),AND(예약내역!$A1754=$B$3,예약내역!$J1754&lt;&gt;"취소"))</f>
        <v>0</v>
      </c>
      <c r="K1757" s="5" t="str">
        <f aca="false">IF($J1757=FALSE(),"",예약내역!$L1754*10000+ROW())</f>
        <v/>
      </c>
      <c r="L1757" s="5" t="str">
        <f aca="false">IF($K1757="","",RANK($K1757,$K$6:$K$2005,1))</f>
        <v/>
      </c>
    </row>
    <row r="1758" customFormat="false" ht="15" hidden="false" customHeight="true" outlineLevel="0" collapsed="false">
      <c r="J1758" s="21" t="b">
        <f aca="false">IF(예약내역!$A1755="",FALSE(),AND(예약내역!$A1755=$B$3,예약내역!$J1755&lt;&gt;"취소"))</f>
        <v>0</v>
      </c>
      <c r="K1758" s="5" t="str">
        <f aca="false">IF($J1758=FALSE(),"",예약내역!$L1755*10000+ROW())</f>
        <v/>
      </c>
      <c r="L1758" s="5" t="str">
        <f aca="false">IF($K1758="","",RANK($K1758,$K$6:$K$2005,1))</f>
        <v/>
      </c>
    </row>
    <row r="1759" customFormat="false" ht="15" hidden="false" customHeight="true" outlineLevel="0" collapsed="false">
      <c r="J1759" s="21" t="b">
        <f aca="false">IF(예약내역!$A1756="",FALSE(),AND(예약내역!$A1756=$B$3,예약내역!$J1756&lt;&gt;"취소"))</f>
        <v>0</v>
      </c>
      <c r="K1759" s="5" t="str">
        <f aca="false">IF($J1759=FALSE(),"",예약내역!$L1756*10000+ROW())</f>
        <v/>
      </c>
      <c r="L1759" s="5" t="str">
        <f aca="false">IF($K1759="","",RANK($K1759,$K$6:$K$2005,1))</f>
        <v/>
      </c>
    </row>
    <row r="1760" customFormat="false" ht="15" hidden="false" customHeight="true" outlineLevel="0" collapsed="false">
      <c r="J1760" s="21" t="b">
        <f aca="false">IF(예약내역!$A1757="",FALSE(),AND(예약내역!$A1757=$B$3,예약내역!$J1757&lt;&gt;"취소"))</f>
        <v>0</v>
      </c>
      <c r="K1760" s="5" t="str">
        <f aca="false">IF($J1760=FALSE(),"",예약내역!$L1757*10000+ROW())</f>
        <v/>
      </c>
      <c r="L1760" s="5" t="str">
        <f aca="false">IF($K1760="","",RANK($K1760,$K$6:$K$2005,1))</f>
        <v/>
      </c>
    </row>
    <row r="1761" customFormat="false" ht="15" hidden="false" customHeight="true" outlineLevel="0" collapsed="false">
      <c r="J1761" s="21" t="b">
        <f aca="false">IF(예약내역!$A1758="",FALSE(),AND(예약내역!$A1758=$B$3,예약내역!$J1758&lt;&gt;"취소"))</f>
        <v>0</v>
      </c>
      <c r="K1761" s="5" t="str">
        <f aca="false">IF($J1761=FALSE(),"",예약내역!$L1758*10000+ROW())</f>
        <v/>
      </c>
      <c r="L1761" s="5" t="str">
        <f aca="false">IF($K1761="","",RANK($K1761,$K$6:$K$2005,1))</f>
        <v/>
      </c>
    </row>
    <row r="1762" customFormat="false" ht="15" hidden="false" customHeight="true" outlineLevel="0" collapsed="false">
      <c r="J1762" s="21" t="b">
        <f aca="false">IF(예약내역!$A1759="",FALSE(),AND(예약내역!$A1759=$B$3,예약내역!$J1759&lt;&gt;"취소"))</f>
        <v>0</v>
      </c>
      <c r="K1762" s="5" t="str">
        <f aca="false">IF($J1762=FALSE(),"",예약내역!$L1759*10000+ROW())</f>
        <v/>
      </c>
      <c r="L1762" s="5" t="str">
        <f aca="false">IF($K1762="","",RANK($K1762,$K$6:$K$2005,1))</f>
        <v/>
      </c>
    </row>
    <row r="1763" customFormat="false" ht="15" hidden="false" customHeight="true" outlineLevel="0" collapsed="false">
      <c r="J1763" s="21" t="b">
        <f aca="false">IF(예약내역!$A1760="",FALSE(),AND(예약내역!$A1760=$B$3,예약내역!$J1760&lt;&gt;"취소"))</f>
        <v>0</v>
      </c>
      <c r="K1763" s="5" t="str">
        <f aca="false">IF($J1763=FALSE(),"",예약내역!$L1760*10000+ROW())</f>
        <v/>
      </c>
      <c r="L1763" s="5" t="str">
        <f aca="false">IF($K1763="","",RANK($K1763,$K$6:$K$2005,1))</f>
        <v/>
      </c>
    </row>
    <row r="1764" customFormat="false" ht="15" hidden="false" customHeight="true" outlineLevel="0" collapsed="false">
      <c r="J1764" s="21" t="b">
        <f aca="false">IF(예약내역!$A1761="",FALSE(),AND(예약내역!$A1761=$B$3,예약내역!$J1761&lt;&gt;"취소"))</f>
        <v>0</v>
      </c>
      <c r="K1764" s="5" t="str">
        <f aca="false">IF($J1764=FALSE(),"",예약내역!$L1761*10000+ROW())</f>
        <v/>
      </c>
      <c r="L1764" s="5" t="str">
        <f aca="false">IF($K1764="","",RANK($K1764,$K$6:$K$2005,1))</f>
        <v/>
      </c>
    </row>
    <row r="1765" customFormat="false" ht="15" hidden="false" customHeight="true" outlineLevel="0" collapsed="false">
      <c r="J1765" s="21" t="b">
        <f aca="false">IF(예약내역!$A1762="",FALSE(),AND(예약내역!$A1762=$B$3,예약내역!$J1762&lt;&gt;"취소"))</f>
        <v>0</v>
      </c>
      <c r="K1765" s="5" t="str">
        <f aca="false">IF($J1765=FALSE(),"",예약내역!$L1762*10000+ROW())</f>
        <v/>
      </c>
      <c r="L1765" s="5" t="str">
        <f aca="false">IF($K1765="","",RANK($K1765,$K$6:$K$2005,1))</f>
        <v/>
      </c>
    </row>
    <row r="1766" customFormat="false" ht="15" hidden="false" customHeight="true" outlineLevel="0" collapsed="false">
      <c r="J1766" s="21" t="b">
        <f aca="false">IF(예약내역!$A1763="",FALSE(),AND(예약내역!$A1763=$B$3,예약내역!$J1763&lt;&gt;"취소"))</f>
        <v>0</v>
      </c>
      <c r="K1766" s="5" t="str">
        <f aca="false">IF($J1766=FALSE(),"",예약내역!$L1763*10000+ROW())</f>
        <v/>
      </c>
      <c r="L1766" s="5" t="str">
        <f aca="false">IF($K1766="","",RANK($K1766,$K$6:$K$2005,1))</f>
        <v/>
      </c>
    </row>
    <row r="1767" customFormat="false" ht="15" hidden="false" customHeight="true" outlineLevel="0" collapsed="false">
      <c r="J1767" s="21" t="b">
        <f aca="false">IF(예약내역!$A1764="",FALSE(),AND(예약내역!$A1764=$B$3,예약내역!$J1764&lt;&gt;"취소"))</f>
        <v>0</v>
      </c>
      <c r="K1767" s="5" t="str">
        <f aca="false">IF($J1767=FALSE(),"",예약내역!$L1764*10000+ROW())</f>
        <v/>
      </c>
      <c r="L1767" s="5" t="str">
        <f aca="false">IF($K1767="","",RANK($K1767,$K$6:$K$2005,1))</f>
        <v/>
      </c>
    </row>
    <row r="1768" customFormat="false" ht="15" hidden="false" customHeight="true" outlineLevel="0" collapsed="false">
      <c r="J1768" s="21" t="b">
        <f aca="false">IF(예약내역!$A1765="",FALSE(),AND(예약내역!$A1765=$B$3,예약내역!$J1765&lt;&gt;"취소"))</f>
        <v>0</v>
      </c>
      <c r="K1768" s="5" t="str">
        <f aca="false">IF($J1768=FALSE(),"",예약내역!$L1765*10000+ROW())</f>
        <v/>
      </c>
      <c r="L1768" s="5" t="str">
        <f aca="false">IF($K1768="","",RANK($K1768,$K$6:$K$2005,1))</f>
        <v/>
      </c>
    </row>
    <row r="1769" customFormat="false" ht="15" hidden="false" customHeight="true" outlineLevel="0" collapsed="false">
      <c r="J1769" s="21" t="b">
        <f aca="false">IF(예약내역!$A1766="",FALSE(),AND(예약내역!$A1766=$B$3,예약내역!$J1766&lt;&gt;"취소"))</f>
        <v>0</v>
      </c>
      <c r="K1769" s="5" t="str">
        <f aca="false">IF($J1769=FALSE(),"",예약내역!$L1766*10000+ROW())</f>
        <v/>
      </c>
      <c r="L1769" s="5" t="str">
        <f aca="false">IF($K1769="","",RANK($K1769,$K$6:$K$2005,1))</f>
        <v/>
      </c>
    </row>
    <row r="1770" customFormat="false" ht="15" hidden="false" customHeight="true" outlineLevel="0" collapsed="false">
      <c r="J1770" s="21" t="b">
        <f aca="false">IF(예약내역!$A1767="",FALSE(),AND(예약내역!$A1767=$B$3,예약내역!$J1767&lt;&gt;"취소"))</f>
        <v>0</v>
      </c>
      <c r="K1770" s="5" t="str">
        <f aca="false">IF($J1770=FALSE(),"",예약내역!$L1767*10000+ROW())</f>
        <v/>
      </c>
      <c r="L1770" s="5" t="str">
        <f aca="false">IF($K1770="","",RANK($K1770,$K$6:$K$2005,1))</f>
        <v/>
      </c>
    </row>
    <row r="1771" customFormat="false" ht="15" hidden="false" customHeight="true" outlineLevel="0" collapsed="false">
      <c r="J1771" s="21" t="b">
        <f aca="false">IF(예약내역!$A1768="",FALSE(),AND(예약내역!$A1768=$B$3,예약내역!$J1768&lt;&gt;"취소"))</f>
        <v>0</v>
      </c>
      <c r="K1771" s="5" t="str">
        <f aca="false">IF($J1771=FALSE(),"",예약내역!$L1768*10000+ROW())</f>
        <v/>
      </c>
      <c r="L1771" s="5" t="str">
        <f aca="false">IF($K1771="","",RANK($K1771,$K$6:$K$2005,1))</f>
        <v/>
      </c>
    </row>
    <row r="1772" customFormat="false" ht="15" hidden="false" customHeight="true" outlineLevel="0" collapsed="false">
      <c r="J1772" s="21" t="b">
        <f aca="false">IF(예약내역!$A1769="",FALSE(),AND(예약내역!$A1769=$B$3,예약내역!$J1769&lt;&gt;"취소"))</f>
        <v>0</v>
      </c>
      <c r="K1772" s="5" t="str">
        <f aca="false">IF($J1772=FALSE(),"",예약내역!$L1769*10000+ROW())</f>
        <v/>
      </c>
      <c r="L1772" s="5" t="str">
        <f aca="false">IF($K1772="","",RANK($K1772,$K$6:$K$2005,1))</f>
        <v/>
      </c>
    </row>
    <row r="1773" customFormat="false" ht="15" hidden="false" customHeight="true" outlineLevel="0" collapsed="false">
      <c r="J1773" s="21" t="b">
        <f aca="false">IF(예약내역!$A1770="",FALSE(),AND(예약내역!$A1770=$B$3,예약내역!$J1770&lt;&gt;"취소"))</f>
        <v>0</v>
      </c>
      <c r="K1773" s="5" t="str">
        <f aca="false">IF($J1773=FALSE(),"",예약내역!$L1770*10000+ROW())</f>
        <v/>
      </c>
      <c r="L1773" s="5" t="str">
        <f aca="false">IF($K1773="","",RANK($K1773,$K$6:$K$2005,1))</f>
        <v/>
      </c>
    </row>
    <row r="1774" customFormat="false" ht="15" hidden="false" customHeight="true" outlineLevel="0" collapsed="false">
      <c r="J1774" s="21" t="b">
        <f aca="false">IF(예약내역!$A1771="",FALSE(),AND(예약내역!$A1771=$B$3,예약내역!$J1771&lt;&gt;"취소"))</f>
        <v>0</v>
      </c>
      <c r="K1774" s="5" t="str">
        <f aca="false">IF($J1774=FALSE(),"",예약내역!$L1771*10000+ROW())</f>
        <v/>
      </c>
      <c r="L1774" s="5" t="str">
        <f aca="false">IF($K1774="","",RANK($K1774,$K$6:$K$2005,1))</f>
        <v/>
      </c>
    </row>
    <row r="1775" customFormat="false" ht="15" hidden="false" customHeight="true" outlineLevel="0" collapsed="false">
      <c r="J1775" s="21" t="b">
        <f aca="false">IF(예약내역!$A1772="",FALSE(),AND(예약내역!$A1772=$B$3,예약내역!$J1772&lt;&gt;"취소"))</f>
        <v>0</v>
      </c>
      <c r="K1775" s="5" t="str">
        <f aca="false">IF($J1775=FALSE(),"",예약내역!$L1772*10000+ROW())</f>
        <v/>
      </c>
      <c r="L1775" s="5" t="str">
        <f aca="false">IF($K1775="","",RANK($K1775,$K$6:$K$2005,1))</f>
        <v/>
      </c>
    </row>
    <row r="1776" customFormat="false" ht="15" hidden="false" customHeight="true" outlineLevel="0" collapsed="false">
      <c r="J1776" s="21" t="b">
        <f aca="false">IF(예약내역!$A1773="",FALSE(),AND(예약내역!$A1773=$B$3,예약내역!$J1773&lt;&gt;"취소"))</f>
        <v>0</v>
      </c>
      <c r="K1776" s="5" t="str">
        <f aca="false">IF($J1776=FALSE(),"",예약내역!$L1773*10000+ROW())</f>
        <v/>
      </c>
      <c r="L1776" s="5" t="str">
        <f aca="false">IF($K1776="","",RANK($K1776,$K$6:$K$2005,1))</f>
        <v/>
      </c>
    </row>
    <row r="1777" customFormat="false" ht="15" hidden="false" customHeight="true" outlineLevel="0" collapsed="false">
      <c r="J1777" s="21" t="b">
        <f aca="false">IF(예약내역!$A1774="",FALSE(),AND(예약내역!$A1774=$B$3,예약내역!$J1774&lt;&gt;"취소"))</f>
        <v>0</v>
      </c>
      <c r="K1777" s="5" t="str">
        <f aca="false">IF($J1777=FALSE(),"",예약내역!$L1774*10000+ROW())</f>
        <v/>
      </c>
      <c r="L1777" s="5" t="str">
        <f aca="false">IF($K1777="","",RANK($K1777,$K$6:$K$2005,1))</f>
        <v/>
      </c>
    </row>
    <row r="1778" customFormat="false" ht="15" hidden="false" customHeight="true" outlineLevel="0" collapsed="false">
      <c r="J1778" s="21" t="b">
        <f aca="false">IF(예약내역!$A1775="",FALSE(),AND(예약내역!$A1775=$B$3,예약내역!$J1775&lt;&gt;"취소"))</f>
        <v>0</v>
      </c>
      <c r="K1778" s="5" t="str">
        <f aca="false">IF($J1778=FALSE(),"",예약내역!$L1775*10000+ROW())</f>
        <v/>
      </c>
      <c r="L1778" s="5" t="str">
        <f aca="false">IF($K1778="","",RANK($K1778,$K$6:$K$2005,1))</f>
        <v/>
      </c>
    </row>
    <row r="1779" customFormat="false" ht="15" hidden="false" customHeight="true" outlineLevel="0" collapsed="false">
      <c r="J1779" s="21" t="b">
        <f aca="false">IF(예약내역!$A1776="",FALSE(),AND(예약내역!$A1776=$B$3,예약내역!$J1776&lt;&gt;"취소"))</f>
        <v>0</v>
      </c>
      <c r="K1779" s="5" t="str">
        <f aca="false">IF($J1779=FALSE(),"",예약내역!$L1776*10000+ROW())</f>
        <v/>
      </c>
      <c r="L1779" s="5" t="str">
        <f aca="false">IF($K1779="","",RANK($K1779,$K$6:$K$2005,1))</f>
        <v/>
      </c>
    </row>
    <row r="1780" customFormat="false" ht="15" hidden="false" customHeight="true" outlineLevel="0" collapsed="false">
      <c r="J1780" s="21" t="b">
        <f aca="false">IF(예약내역!$A1777="",FALSE(),AND(예약내역!$A1777=$B$3,예약내역!$J1777&lt;&gt;"취소"))</f>
        <v>0</v>
      </c>
      <c r="K1780" s="5" t="str">
        <f aca="false">IF($J1780=FALSE(),"",예약내역!$L1777*10000+ROW())</f>
        <v/>
      </c>
      <c r="L1780" s="5" t="str">
        <f aca="false">IF($K1780="","",RANK($K1780,$K$6:$K$2005,1))</f>
        <v/>
      </c>
    </row>
    <row r="1781" customFormat="false" ht="15" hidden="false" customHeight="true" outlineLevel="0" collapsed="false">
      <c r="J1781" s="21" t="b">
        <f aca="false">IF(예약내역!$A1778="",FALSE(),AND(예약내역!$A1778=$B$3,예약내역!$J1778&lt;&gt;"취소"))</f>
        <v>0</v>
      </c>
      <c r="K1781" s="5" t="str">
        <f aca="false">IF($J1781=FALSE(),"",예약내역!$L1778*10000+ROW())</f>
        <v/>
      </c>
      <c r="L1781" s="5" t="str">
        <f aca="false">IF($K1781="","",RANK($K1781,$K$6:$K$2005,1))</f>
        <v/>
      </c>
    </row>
    <row r="1782" customFormat="false" ht="15" hidden="false" customHeight="true" outlineLevel="0" collapsed="false">
      <c r="J1782" s="21" t="b">
        <f aca="false">IF(예약내역!$A1779="",FALSE(),AND(예약내역!$A1779=$B$3,예약내역!$J1779&lt;&gt;"취소"))</f>
        <v>0</v>
      </c>
      <c r="K1782" s="5" t="str">
        <f aca="false">IF($J1782=FALSE(),"",예약내역!$L1779*10000+ROW())</f>
        <v/>
      </c>
      <c r="L1782" s="5" t="str">
        <f aca="false">IF($K1782="","",RANK($K1782,$K$6:$K$2005,1))</f>
        <v/>
      </c>
    </row>
    <row r="1783" customFormat="false" ht="15" hidden="false" customHeight="true" outlineLevel="0" collapsed="false">
      <c r="J1783" s="21" t="b">
        <f aca="false">IF(예약내역!$A1780="",FALSE(),AND(예약내역!$A1780=$B$3,예약내역!$J1780&lt;&gt;"취소"))</f>
        <v>0</v>
      </c>
      <c r="K1783" s="5" t="str">
        <f aca="false">IF($J1783=FALSE(),"",예약내역!$L1780*10000+ROW())</f>
        <v/>
      </c>
      <c r="L1783" s="5" t="str">
        <f aca="false">IF($K1783="","",RANK($K1783,$K$6:$K$2005,1))</f>
        <v/>
      </c>
    </row>
    <row r="1784" customFormat="false" ht="15" hidden="false" customHeight="true" outlineLevel="0" collapsed="false">
      <c r="J1784" s="21" t="b">
        <f aca="false">IF(예약내역!$A1781="",FALSE(),AND(예약내역!$A1781=$B$3,예약내역!$J1781&lt;&gt;"취소"))</f>
        <v>0</v>
      </c>
      <c r="K1784" s="5" t="str">
        <f aca="false">IF($J1784=FALSE(),"",예약내역!$L1781*10000+ROW())</f>
        <v/>
      </c>
      <c r="L1784" s="5" t="str">
        <f aca="false">IF($K1784="","",RANK($K1784,$K$6:$K$2005,1))</f>
        <v/>
      </c>
    </row>
    <row r="1785" customFormat="false" ht="15" hidden="false" customHeight="true" outlineLevel="0" collapsed="false">
      <c r="J1785" s="21" t="b">
        <f aca="false">IF(예약내역!$A1782="",FALSE(),AND(예약내역!$A1782=$B$3,예약내역!$J1782&lt;&gt;"취소"))</f>
        <v>0</v>
      </c>
      <c r="K1785" s="5" t="str">
        <f aca="false">IF($J1785=FALSE(),"",예약내역!$L1782*10000+ROW())</f>
        <v/>
      </c>
      <c r="L1785" s="5" t="str">
        <f aca="false">IF($K1785="","",RANK($K1785,$K$6:$K$2005,1))</f>
        <v/>
      </c>
    </row>
    <row r="1786" customFormat="false" ht="15" hidden="false" customHeight="true" outlineLevel="0" collapsed="false">
      <c r="J1786" s="21" t="b">
        <f aca="false">IF(예약내역!$A1783="",FALSE(),AND(예약내역!$A1783=$B$3,예약내역!$J1783&lt;&gt;"취소"))</f>
        <v>0</v>
      </c>
      <c r="K1786" s="5" t="str">
        <f aca="false">IF($J1786=FALSE(),"",예약내역!$L1783*10000+ROW())</f>
        <v/>
      </c>
      <c r="L1786" s="5" t="str">
        <f aca="false">IF($K1786="","",RANK($K1786,$K$6:$K$2005,1))</f>
        <v/>
      </c>
    </row>
    <row r="1787" customFormat="false" ht="15" hidden="false" customHeight="true" outlineLevel="0" collapsed="false">
      <c r="J1787" s="21" t="b">
        <f aca="false">IF(예약내역!$A1784="",FALSE(),AND(예약내역!$A1784=$B$3,예약내역!$J1784&lt;&gt;"취소"))</f>
        <v>0</v>
      </c>
      <c r="K1787" s="5" t="str">
        <f aca="false">IF($J1787=FALSE(),"",예약내역!$L1784*10000+ROW())</f>
        <v/>
      </c>
      <c r="L1787" s="5" t="str">
        <f aca="false">IF($K1787="","",RANK($K1787,$K$6:$K$2005,1))</f>
        <v/>
      </c>
    </row>
    <row r="1788" customFormat="false" ht="15" hidden="false" customHeight="true" outlineLevel="0" collapsed="false">
      <c r="J1788" s="21" t="b">
        <f aca="false">IF(예약내역!$A1785="",FALSE(),AND(예약내역!$A1785=$B$3,예약내역!$J1785&lt;&gt;"취소"))</f>
        <v>0</v>
      </c>
      <c r="K1788" s="5" t="str">
        <f aca="false">IF($J1788=FALSE(),"",예약내역!$L1785*10000+ROW())</f>
        <v/>
      </c>
      <c r="L1788" s="5" t="str">
        <f aca="false">IF($K1788="","",RANK($K1788,$K$6:$K$2005,1))</f>
        <v/>
      </c>
    </row>
    <row r="1789" customFormat="false" ht="15" hidden="false" customHeight="true" outlineLevel="0" collapsed="false">
      <c r="J1789" s="21" t="b">
        <f aca="false">IF(예약내역!$A1786="",FALSE(),AND(예약내역!$A1786=$B$3,예약내역!$J1786&lt;&gt;"취소"))</f>
        <v>0</v>
      </c>
      <c r="K1789" s="5" t="str">
        <f aca="false">IF($J1789=FALSE(),"",예약내역!$L1786*10000+ROW())</f>
        <v/>
      </c>
      <c r="L1789" s="5" t="str">
        <f aca="false">IF($K1789="","",RANK($K1789,$K$6:$K$2005,1))</f>
        <v/>
      </c>
    </row>
    <row r="1790" customFormat="false" ht="15" hidden="false" customHeight="true" outlineLevel="0" collapsed="false">
      <c r="J1790" s="21" t="b">
        <f aca="false">IF(예약내역!$A1787="",FALSE(),AND(예약내역!$A1787=$B$3,예약내역!$J1787&lt;&gt;"취소"))</f>
        <v>0</v>
      </c>
      <c r="K1790" s="5" t="str">
        <f aca="false">IF($J1790=FALSE(),"",예약내역!$L1787*10000+ROW())</f>
        <v/>
      </c>
      <c r="L1790" s="5" t="str">
        <f aca="false">IF($K1790="","",RANK($K1790,$K$6:$K$2005,1))</f>
        <v/>
      </c>
    </row>
    <row r="1791" customFormat="false" ht="15" hidden="false" customHeight="true" outlineLevel="0" collapsed="false">
      <c r="J1791" s="21" t="b">
        <f aca="false">IF(예약내역!$A1788="",FALSE(),AND(예약내역!$A1788=$B$3,예약내역!$J1788&lt;&gt;"취소"))</f>
        <v>0</v>
      </c>
      <c r="K1791" s="5" t="str">
        <f aca="false">IF($J1791=FALSE(),"",예약내역!$L1788*10000+ROW())</f>
        <v/>
      </c>
      <c r="L1791" s="5" t="str">
        <f aca="false">IF($K1791="","",RANK($K1791,$K$6:$K$2005,1))</f>
        <v/>
      </c>
    </row>
    <row r="1792" customFormat="false" ht="15" hidden="false" customHeight="true" outlineLevel="0" collapsed="false">
      <c r="J1792" s="21" t="b">
        <f aca="false">IF(예약내역!$A1789="",FALSE(),AND(예약내역!$A1789=$B$3,예약내역!$J1789&lt;&gt;"취소"))</f>
        <v>0</v>
      </c>
      <c r="K1792" s="5" t="str">
        <f aca="false">IF($J1792=FALSE(),"",예약내역!$L1789*10000+ROW())</f>
        <v/>
      </c>
      <c r="L1792" s="5" t="str">
        <f aca="false">IF($K1792="","",RANK($K1792,$K$6:$K$2005,1))</f>
        <v/>
      </c>
    </row>
    <row r="1793" customFormat="false" ht="15" hidden="false" customHeight="true" outlineLevel="0" collapsed="false">
      <c r="J1793" s="21" t="b">
        <f aca="false">IF(예약내역!$A1790="",FALSE(),AND(예약내역!$A1790=$B$3,예약내역!$J1790&lt;&gt;"취소"))</f>
        <v>0</v>
      </c>
      <c r="K1793" s="5" t="str">
        <f aca="false">IF($J1793=FALSE(),"",예약내역!$L1790*10000+ROW())</f>
        <v/>
      </c>
      <c r="L1793" s="5" t="str">
        <f aca="false">IF($K1793="","",RANK($K1793,$K$6:$K$2005,1))</f>
        <v/>
      </c>
    </row>
    <row r="1794" customFormat="false" ht="15" hidden="false" customHeight="true" outlineLevel="0" collapsed="false">
      <c r="J1794" s="21" t="b">
        <f aca="false">IF(예약내역!$A1791="",FALSE(),AND(예약내역!$A1791=$B$3,예약내역!$J1791&lt;&gt;"취소"))</f>
        <v>0</v>
      </c>
      <c r="K1794" s="5" t="str">
        <f aca="false">IF($J1794=FALSE(),"",예약내역!$L1791*10000+ROW())</f>
        <v/>
      </c>
      <c r="L1794" s="5" t="str">
        <f aca="false">IF($K1794="","",RANK($K1794,$K$6:$K$2005,1))</f>
        <v/>
      </c>
    </row>
    <row r="1795" customFormat="false" ht="15" hidden="false" customHeight="true" outlineLevel="0" collapsed="false">
      <c r="J1795" s="21" t="b">
        <f aca="false">IF(예약내역!$A1792="",FALSE(),AND(예약내역!$A1792=$B$3,예약내역!$J1792&lt;&gt;"취소"))</f>
        <v>0</v>
      </c>
      <c r="K1795" s="5" t="str">
        <f aca="false">IF($J1795=FALSE(),"",예약내역!$L1792*10000+ROW())</f>
        <v/>
      </c>
      <c r="L1795" s="5" t="str">
        <f aca="false">IF($K1795="","",RANK($K1795,$K$6:$K$2005,1))</f>
        <v/>
      </c>
    </row>
    <row r="1796" customFormat="false" ht="15" hidden="false" customHeight="true" outlineLevel="0" collapsed="false">
      <c r="J1796" s="21" t="b">
        <f aca="false">IF(예약내역!$A1793="",FALSE(),AND(예약내역!$A1793=$B$3,예약내역!$J1793&lt;&gt;"취소"))</f>
        <v>0</v>
      </c>
      <c r="K1796" s="5" t="str">
        <f aca="false">IF($J1796=FALSE(),"",예약내역!$L1793*10000+ROW())</f>
        <v/>
      </c>
      <c r="L1796" s="5" t="str">
        <f aca="false">IF($K1796="","",RANK($K1796,$K$6:$K$2005,1))</f>
        <v/>
      </c>
    </row>
    <row r="1797" customFormat="false" ht="15" hidden="false" customHeight="true" outlineLevel="0" collapsed="false">
      <c r="J1797" s="21" t="b">
        <f aca="false">IF(예약내역!$A1794="",FALSE(),AND(예약내역!$A1794=$B$3,예약내역!$J1794&lt;&gt;"취소"))</f>
        <v>0</v>
      </c>
      <c r="K1797" s="5" t="str">
        <f aca="false">IF($J1797=FALSE(),"",예약내역!$L1794*10000+ROW())</f>
        <v/>
      </c>
      <c r="L1797" s="5" t="str">
        <f aca="false">IF($K1797="","",RANK($K1797,$K$6:$K$2005,1))</f>
        <v/>
      </c>
    </row>
    <row r="1798" customFormat="false" ht="15" hidden="false" customHeight="true" outlineLevel="0" collapsed="false">
      <c r="J1798" s="21" t="b">
        <f aca="false">IF(예약내역!$A1795="",FALSE(),AND(예약내역!$A1795=$B$3,예약내역!$J1795&lt;&gt;"취소"))</f>
        <v>0</v>
      </c>
      <c r="K1798" s="5" t="str">
        <f aca="false">IF($J1798=FALSE(),"",예약내역!$L1795*10000+ROW())</f>
        <v/>
      </c>
      <c r="L1798" s="5" t="str">
        <f aca="false">IF($K1798="","",RANK($K1798,$K$6:$K$2005,1))</f>
        <v/>
      </c>
    </row>
    <row r="1799" customFormat="false" ht="15" hidden="false" customHeight="true" outlineLevel="0" collapsed="false">
      <c r="J1799" s="21" t="b">
        <f aca="false">IF(예약내역!$A1796="",FALSE(),AND(예약내역!$A1796=$B$3,예약내역!$J1796&lt;&gt;"취소"))</f>
        <v>0</v>
      </c>
      <c r="K1799" s="5" t="str">
        <f aca="false">IF($J1799=FALSE(),"",예약내역!$L1796*10000+ROW())</f>
        <v/>
      </c>
      <c r="L1799" s="5" t="str">
        <f aca="false">IF($K1799="","",RANK($K1799,$K$6:$K$2005,1))</f>
        <v/>
      </c>
    </row>
    <row r="1800" customFormat="false" ht="15" hidden="false" customHeight="true" outlineLevel="0" collapsed="false">
      <c r="J1800" s="21" t="b">
        <f aca="false">IF(예약내역!$A1797="",FALSE(),AND(예약내역!$A1797=$B$3,예약내역!$J1797&lt;&gt;"취소"))</f>
        <v>0</v>
      </c>
      <c r="K1800" s="5" t="str">
        <f aca="false">IF($J1800=FALSE(),"",예약내역!$L1797*10000+ROW())</f>
        <v/>
      </c>
      <c r="L1800" s="5" t="str">
        <f aca="false">IF($K1800="","",RANK($K1800,$K$6:$K$2005,1))</f>
        <v/>
      </c>
    </row>
    <row r="1801" customFormat="false" ht="15" hidden="false" customHeight="true" outlineLevel="0" collapsed="false">
      <c r="J1801" s="21" t="b">
        <f aca="false">IF(예약내역!$A1798="",FALSE(),AND(예약내역!$A1798=$B$3,예약내역!$J1798&lt;&gt;"취소"))</f>
        <v>0</v>
      </c>
      <c r="K1801" s="5" t="str">
        <f aca="false">IF($J1801=FALSE(),"",예약내역!$L1798*10000+ROW())</f>
        <v/>
      </c>
      <c r="L1801" s="5" t="str">
        <f aca="false">IF($K1801="","",RANK($K1801,$K$6:$K$2005,1))</f>
        <v/>
      </c>
    </row>
    <row r="1802" customFormat="false" ht="15" hidden="false" customHeight="true" outlineLevel="0" collapsed="false">
      <c r="J1802" s="21" t="b">
        <f aca="false">IF(예약내역!$A1799="",FALSE(),AND(예약내역!$A1799=$B$3,예약내역!$J1799&lt;&gt;"취소"))</f>
        <v>0</v>
      </c>
      <c r="K1802" s="5" t="str">
        <f aca="false">IF($J1802=FALSE(),"",예약내역!$L1799*10000+ROW())</f>
        <v/>
      </c>
      <c r="L1802" s="5" t="str">
        <f aca="false">IF($K1802="","",RANK($K1802,$K$6:$K$2005,1))</f>
        <v/>
      </c>
    </row>
    <row r="1803" customFormat="false" ht="15" hidden="false" customHeight="true" outlineLevel="0" collapsed="false">
      <c r="J1803" s="21" t="b">
        <f aca="false">IF(예약내역!$A1800="",FALSE(),AND(예약내역!$A1800=$B$3,예약내역!$J1800&lt;&gt;"취소"))</f>
        <v>0</v>
      </c>
      <c r="K1803" s="5" t="str">
        <f aca="false">IF($J1803=FALSE(),"",예약내역!$L1800*10000+ROW())</f>
        <v/>
      </c>
      <c r="L1803" s="5" t="str">
        <f aca="false">IF($K1803="","",RANK($K1803,$K$6:$K$2005,1))</f>
        <v/>
      </c>
    </row>
    <row r="1804" customFormat="false" ht="15" hidden="false" customHeight="true" outlineLevel="0" collapsed="false">
      <c r="J1804" s="21" t="b">
        <f aca="false">IF(예약내역!$A1801="",FALSE(),AND(예약내역!$A1801=$B$3,예약내역!$J1801&lt;&gt;"취소"))</f>
        <v>0</v>
      </c>
      <c r="K1804" s="5" t="str">
        <f aca="false">IF($J1804=FALSE(),"",예약내역!$L1801*10000+ROW())</f>
        <v/>
      </c>
      <c r="L1804" s="5" t="str">
        <f aca="false">IF($K1804="","",RANK($K1804,$K$6:$K$2005,1))</f>
        <v/>
      </c>
    </row>
    <row r="1805" customFormat="false" ht="15" hidden="false" customHeight="true" outlineLevel="0" collapsed="false">
      <c r="J1805" s="21" t="b">
        <f aca="false">IF(예약내역!$A1802="",FALSE(),AND(예약내역!$A1802=$B$3,예약내역!$J1802&lt;&gt;"취소"))</f>
        <v>0</v>
      </c>
      <c r="K1805" s="5" t="str">
        <f aca="false">IF($J1805=FALSE(),"",예약내역!$L1802*10000+ROW())</f>
        <v/>
      </c>
      <c r="L1805" s="5" t="str">
        <f aca="false">IF($K1805="","",RANK($K1805,$K$6:$K$2005,1))</f>
        <v/>
      </c>
    </row>
    <row r="1806" customFormat="false" ht="15" hidden="false" customHeight="true" outlineLevel="0" collapsed="false">
      <c r="J1806" s="21" t="b">
        <f aca="false">IF(예약내역!$A1803="",FALSE(),AND(예약내역!$A1803=$B$3,예약내역!$J1803&lt;&gt;"취소"))</f>
        <v>0</v>
      </c>
      <c r="K1806" s="5" t="str">
        <f aca="false">IF($J1806=FALSE(),"",예약내역!$L1803*10000+ROW())</f>
        <v/>
      </c>
      <c r="L1806" s="5" t="str">
        <f aca="false">IF($K1806="","",RANK($K1806,$K$6:$K$2005,1))</f>
        <v/>
      </c>
    </row>
    <row r="1807" customFormat="false" ht="15" hidden="false" customHeight="true" outlineLevel="0" collapsed="false">
      <c r="J1807" s="21" t="b">
        <f aca="false">IF(예약내역!$A1804="",FALSE(),AND(예약내역!$A1804=$B$3,예약내역!$J1804&lt;&gt;"취소"))</f>
        <v>0</v>
      </c>
      <c r="K1807" s="5" t="str">
        <f aca="false">IF($J1807=FALSE(),"",예약내역!$L1804*10000+ROW())</f>
        <v/>
      </c>
      <c r="L1807" s="5" t="str">
        <f aca="false">IF($K1807="","",RANK($K1807,$K$6:$K$2005,1))</f>
        <v/>
      </c>
    </row>
    <row r="1808" customFormat="false" ht="15" hidden="false" customHeight="true" outlineLevel="0" collapsed="false">
      <c r="J1808" s="21" t="b">
        <f aca="false">IF(예약내역!$A1805="",FALSE(),AND(예약내역!$A1805=$B$3,예약내역!$J1805&lt;&gt;"취소"))</f>
        <v>0</v>
      </c>
      <c r="K1808" s="5" t="str">
        <f aca="false">IF($J1808=FALSE(),"",예약내역!$L1805*10000+ROW())</f>
        <v/>
      </c>
      <c r="L1808" s="5" t="str">
        <f aca="false">IF($K1808="","",RANK($K1808,$K$6:$K$2005,1))</f>
        <v/>
      </c>
    </row>
    <row r="1809" customFormat="false" ht="15" hidden="false" customHeight="true" outlineLevel="0" collapsed="false">
      <c r="J1809" s="21" t="b">
        <f aca="false">IF(예약내역!$A1806="",FALSE(),AND(예약내역!$A1806=$B$3,예약내역!$J1806&lt;&gt;"취소"))</f>
        <v>0</v>
      </c>
      <c r="K1809" s="5" t="str">
        <f aca="false">IF($J1809=FALSE(),"",예약내역!$L1806*10000+ROW())</f>
        <v/>
      </c>
      <c r="L1809" s="5" t="str">
        <f aca="false">IF($K1809="","",RANK($K1809,$K$6:$K$2005,1))</f>
        <v/>
      </c>
    </row>
    <row r="1810" customFormat="false" ht="15" hidden="false" customHeight="true" outlineLevel="0" collapsed="false">
      <c r="J1810" s="21" t="b">
        <f aca="false">IF(예약내역!$A1807="",FALSE(),AND(예약내역!$A1807=$B$3,예약내역!$J1807&lt;&gt;"취소"))</f>
        <v>0</v>
      </c>
      <c r="K1810" s="5" t="str">
        <f aca="false">IF($J1810=FALSE(),"",예약내역!$L1807*10000+ROW())</f>
        <v/>
      </c>
      <c r="L1810" s="5" t="str">
        <f aca="false">IF($K1810="","",RANK($K1810,$K$6:$K$2005,1))</f>
        <v/>
      </c>
    </row>
    <row r="1811" customFormat="false" ht="15" hidden="false" customHeight="true" outlineLevel="0" collapsed="false">
      <c r="J1811" s="21" t="b">
        <f aca="false">IF(예약내역!$A1808="",FALSE(),AND(예약내역!$A1808=$B$3,예약내역!$J1808&lt;&gt;"취소"))</f>
        <v>0</v>
      </c>
      <c r="K1811" s="5" t="str">
        <f aca="false">IF($J1811=FALSE(),"",예약내역!$L1808*10000+ROW())</f>
        <v/>
      </c>
      <c r="L1811" s="5" t="str">
        <f aca="false">IF($K1811="","",RANK($K1811,$K$6:$K$2005,1))</f>
        <v/>
      </c>
    </row>
    <row r="1812" customFormat="false" ht="15" hidden="false" customHeight="true" outlineLevel="0" collapsed="false">
      <c r="J1812" s="21" t="b">
        <f aca="false">IF(예약내역!$A1809="",FALSE(),AND(예약내역!$A1809=$B$3,예약내역!$J1809&lt;&gt;"취소"))</f>
        <v>0</v>
      </c>
      <c r="K1812" s="5" t="str">
        <f aca="false">IF($J1812=FALSE(),"",예약내역!$L1809*10000+ROW())</f>
        <v/>
      </c>
      <c r="L1812" s="5" t="str">
        <f aca="false">IF($K1812="","",RANK($K1812,$K$6:$K$2005,1))</f>
        <v/>
      </c>
    </row>
    <row r="1813" customFormat="false" ht="15" hidden="false" customHeight="true" outlineLevel="0" collapsed="false">
      <c r="J1813" s="21" t="b">
        <f aca="false">IF(예약내역!$A1810="",FALSE(),AND(예약내역!$A1810=$B$3,예약내역!$J1810&lt;&gt;"취소"))</f>
        <v>0</v>
      </c>
      <c r="K1813" s="5" t="str">
        <f aca="false">IF($J1813=FALSE(),"",예약내역!$L1810*10000+ROW())</f>
        <v/>
      </c>
      <c r="L1813" s="5" t="str">
        <f aca="false">IF($K1813="","",RANK($K1813,$K$6:$K$2005,1))</f>
        <v/>
      </c>
    </row>
    <row r="1814" customFormat="false" ht="15" hidden="false" customHeight="true" outlineLevel="0" collapsed="false">
      <c r="J1814" s="21" t="b">
        <f aca="false">IF(예약내역!$A1811="",FALSE(),AND(예약내역!$A1811=$B$3,예약내역!$J1811&lt;&gt;"취소"))</f>
        <v>0</v>
      </c>
      <c r="K1814" s="5" t="str">
        <f aca="false">IF($J1814=FALSE(),"",예약내역!$L1811*10000+ROW())</f>
        <v/>
      </c>
      <c r="L1814" s="5" t="str">
        <f aca="false">IF($K1814="","",RANK($K1814,$K$6:$K$2005,1))</f>
        <v/>
      </c>
    </row>
    <row r="1815" customFormat="false" ht="15" hidden="false" customHeight="true" outlineLevel="0" collapsed="false">
      <c r="J1815" s="21" t="b">
        <f aca="false">IF(예약내역!$A1812="",FALSE(),AND(예약내역!$A1812=$B$3,예약내역!$J1812&lt;&gt;"취소"))</f>
        <v>0</v>
      </c>
      <c r="K1815" s="5" t="str">
        <f aca="false">IF($J1815=FALSE(),"",예약내역!$L1812*10000+ROW())</f>
        <v/>
      </c>
      <c r="L1815" s="5" t="str">
        <f aca="false">IF($K1815="","",RANK($K1815,$K$6:$K$2005,1))</f>
        <v/>
      </c>
    </row>
    <row r="1816" customFormat="false" ht="15" hidden="false" customHeight="true" outlineLevel="0" collapsed="false">
      <c r="J1816" s="21" t="b">
        <f aca="false">IF(예약내역!$A1813="",FALSE(),AND(예약내역!$A1813=$B$3,예약내역!$J1813&lt;&gt;"취소"))</f>
        <v>0</v>
      </c>
      <c r="K1816" s="5" t="str">
        <f aca="false">IF($J1816=FALSE(),"",예약내역!$L1813*10000+ROW())</f>
        <v/>
      </c>
      <c r="L1816" s="5" t="str">
        <f aca="false">IF($K1816="","",RANK($K1816,$K$6:$K$2005,1))</f>
        <v/>
      </c>
    </row>
    <row r="1817" customFormat="false" ht="15" hidden="false" customHeight="true" outlineLevel="0" collapsed="false">
      <c r="J1817" s="21" t="b">
        <f aca="false">IF(예약내역!$A1814="",FALSE(),AND(예약내역!$A1814=$B$3,예약내역!$J1814&lt;&gt;"취소"))</f>
        <v>0</v>
      </c>
      <c r="K1817" s="5" t="str">
        <f aca="false">IF($J1817=FALSE(),"",예약내역!$L1814*10000+ROW())</f>
        <v/>
      </c>
      <c r="L1817" s="5" t="str">
        <f aca="false">IF($K1817="","",RANK($K1817,$K$6:$K$2005,1))</f>
        <v/>
      </c>
    </row>
    <row r="1818" customFormat="false" ht="15" hidden="false" customHeight="true" outlineLevel="0" collapsed="false">
      <c r="J1818" s="21" t="b">
        <f aca="false">IF(예약내역!$A1815="",FALSE(),AND(예약내역!$A1815=$B$3,예약내역!$J1815&lt;&gt;"취소"))</f>
        <v>0</v>
      </c>
      <c r="K1818" s="5" t="str">
        <f aca="false">IF($J1818=FALSE(),"",예약내역!$L1815*10000+ROW())</f>
        <v/>
      </c>
      <c r="L1818" s="5" t="str">
        <f aca="false">IF($K1818="","",RANK($K1818,$K$6:$K$2005,1))</f>
        <v/>
      </c>
    </row>
    <row r="1819" customFormat="false" ht="15" hidden="false" customHeight="true" outlineLevel="0" collapsed="false">
      <c r="J1819" s="21" t="b">
        <f aca="false">IF(예약내역!$A1816="",FALSE(),AND(예약내역!$A1816=$B$3,예약내역!$J1816&lt;&gt;"취소"))</f>
        <v>0</v>
      </c>
      <c r="K1819" s="5" t="str">
        <f aca="false">IF($J1819=FALSE(),"",예약내역!$L1816*10000+ROW())</f>
        <v/>
      </c>
      <c r="L1819" s="5" t="str">
        <f aca="false">IF($K1819="","",RANK($K1819,$K$6:$K$2005,1))</f>
        <v/>
      </c>
    </row>
    <row r="1820" customFormat="false" ht="15" hidden="false" customHeight="true" outlineLevel="0" collapsed="false">
      <c r="J1820" s="21" t="b">
        <f aca="false">IF(예약내역!$A1817="",FALSE(),AND(예약내역!$A1817=$B$3,예약내역!$J1817&lt;&gt;"취소"))</f>
        <v>0</v>
      </c>
      <c r="K1820" s="5" t="str">
        <f aca="false">IF($J1820=FALSE(),"",예약내역!$L1817*10000+ROW())</f>
        <v/>
      </c>
      <c r="L1820" s="5" t="str">
        <f aca="false">IF($K1820="","",RANK($K1820,$K$6:$K$2005,1))</f>
        <v/>
      </c>
    </row>
    <row r="1821" customFormat="false" ht="15" hidden="false" customHeight="true" outlineLevel="0" collapsed="false">
      <c r="J1821" s="21" t="b">
        <f aca="false">IF(예약내역!$A1818="",FALSE(),AND(예약내역!$A1818=$B$3,예약내역!$J1818&lt;&gt;"취소"))</f>
        <v>0</v>
      </c>
      <c r="K1821" s="5" t="str">
        <f aca="false">IF($J1821=FALSE(),"",예약내역!$L1818*10000+ROW())</f>
        <v/>
      </c>
      <c r="L1821" s="5" t="str">
        <f aca="false">IF($K1821="","",RANK($K1821,$K$6:$K$2005,1))</f>
        <v/>
      </c>
    </row>
    <row r="1822" customFormat="false" ht="15" hidden="false" customHeight="true" outlineLevel="0" collapsed="false">
      <c r="J1822" s="21" t="b">
        <f aca="false">IF(예약내역!$A1819="",FALSE(),AND(예약내역!$A1819=$B$3,예약내역!$J1819&lt;&gt;"취소"))</f>
        <v>0</v>
      </c>
      <c r="K1822" s="5" t="str">
        <f aca="false">IF($J1822=FALSE(),"",예약내역!$L1819*10000+ROW())</f>
        <v/>
      </c>
      <c r="L1822" s="5" t="str">
        <f aca="false">IF($K1822="","",RANK($K1822,$K$6:$K$2005,1))</f>
        <v/>
      </c>
    </row>
    <row r="1823" customFormat="false" ht="15" hidden="false" customHeight="true" outlineLevel="0" collapsed="false">
      <c r="J1823" s="21" t="b">
        <f aca="false">IF(예약내역!$A1820="",FALSE(),AND(예약내역!$A1820=$B$3,예약내역!$J1820&lt;&gt;"취소"))</f>
        <v>0</v>
      </c>
      <c r="K1823" s="5" t="str">
        <f aca="false">IF($J1823=FALSE(),"",예약내역!$L1820*10000+ROW())</f>
        <v/>
      </c>
      <c r="L1823" s="5" t="str">
        <f aca="false">IF($K1823="","",RANK($K1823,$K$6:$K$2005,1))</f>
        <v/>
      </c>
    </row>
    <row r="1824" customFormat="false" ht="15" hidden="false" customHeight="true" outlineLevel="0" collapsed="false">
      <c r="J1824" s="21" t="b">
        <f aca="false">IF(예약내역!$A1821="",FALSE(),AND(예약내역!$A1821=$B$3,예약내역!$J1821&lt;&gt;"취소"))</f>
        <v>0</v>
      </c>
      <c r="K1824" s="5" t="str">
        <f aca="false">IF($J1824=FALSE(),"",예약내역!$L1821*10000+ROW())</f>
        <v/>
      </c>
      <c r="L1824" s="5" t="str">
        <f aca="false">IF($K1824="","",RANK($K1824,$K$6:$K$2005,1))</f>
        <v/>
      </c>
    </row>
    <row r="1825" customFormat="false" ht="15" hidden="false" customHeight="true" outlineLevel="0" collapsed="false">
      <c r="J1825" s="21" t="b">
        <f aca="false">IF(예약내역!$A1822="",FALSE(),AND(예약내역!$A1822=$B$3,예약내역!$J1822&lt;&gt;"취소"))</f>
        <v>0</v>
      </c>
      <c r="K1825" s="5" t="str">
        <f aca="false">IF($J1825=FALSE(),"",예약내역!$L1822*10000+ROW())</f>
        <v/>
      </c>
      <c r="L1825" s="5" t="str">
        <f aca="false">IF($K1825="","",RANK($K1825,$K$6:$K$2005,1))</f>
        <v/>
      </c>
    </row>
    <row r="1826" customFormat="false" ht="15" hidden="false" customHeight="true" outlineLevel="0" collapsed="false">
      <c r="J1826" s="21" t="b">
        <f aca="false">IF(예약내역!$A1823="",FALSE(),AND(예약내역!$A1823=$B$3,예약내역!$J1823&lt;&gt;"취소"))</f>
        <v>0</v>
      </c>
      <c r="K1826" s="5" t="str">
        <f aca="false">IF($J1826=FALSE(),"",예약내역!$L1823*10000+ROW())</f>
        <v/>
      </c>
      <c r="L1826" s="5" t="str">
        <f aca="false">IF($K1826="","",RANK($K1826,$K$6:$K$2005,1))</f>
        <v/>
      </c>
    </row>
    <row r="1827" customFormat="false" ht="15" hidden="false" customHeight="true" outlineLevel="0" collapsed="false">
      <c r="J1827" s="21" t="b">
        <f aca="false">IF(예약내역!$A1824="",FALSE(),AND(예약내역!$A1824=$B$3,예약내역!$J1824&lt;&gt;"취소"))</f>
        <v>0</v>
      </c>
      <c r="K1827" s="5" t="str">
        <f aca="false">IF($J1827=FALSE(),"",예약내역!$L1824*10000+ROW())</f>
        <v/>
      </c>
      <c r="L1827" s="5" t="str">
        <f aca="false">IF($K1827="","",RANK($K1827,$K$6:$K$2005,1))</f>
        <v/>
      </c>
    </row>
    <row r="1828" customFormat="false" ht="15" hidden="false" customHeight="true" outlineLevel="0" collapsed="false">
      <c r="J1828" s="21" t="b">
        <f aca="false">IF(예약내역!$A1825="",FALSE(),AND(예약내역!$A1825=$B$3,예약내역!$J1825&lt;&gt;"취소"))</f>
        <v>0</v>
      </c>
      <c r="K1828" s="5" t="str">
        <f aca="false">IF($J1828=FALSE(),"",예약내역!$L1825*10000+ROW())</f>
        <v/>
      </c>
      <c r="L1828" s="5" t="str">
        <f aca="false">IF($K1828="","",RANK($K1828,$K$6:$K$2005,1))</f>
        <v/>
      </c>
    </row>
    <row r="1829" customFormat="false" ht="15" hidden="false" customHeight="true" outlineLevel="0" collapsed="false">
      <c r="J1829" s="21" t="b">
        <f aca="false">IF(예약내역!$A1826="",FALSE(),AND(예약내역!$A1826=$B$3,예약내역!$J1826&lt;&gt;"취소"))</f>
        <v>0</v>
      </c>
      <c r="K1829" s="5" t="str">
        <f aca="false">IF($J1829=FALSE(),"",예약내역!$L1826*10000+ROW())</f>
        <v/>
      </c>
      <c r="L1829" s="5" t="str">
        <f aca="false">IF($K1829="","",RANK($K1829,$K$6:$K$2005,1))</f>
        <v/>
      </c>
    </row>
    <row r="1830" customFormat="false" ht="15" hidden="false" customHeight="true" outlineLevel="0" collapsed="false">
      <c r="J1830" s="21" t="b">
        <f aca="false">IF(예약내역!$A1827="",FALSE(),AND(예약내역!$A1827=$B$3,예약내역!$J1827&lt;&gt;"취소"))</f>
        <v>0</v>
      </c>
      <c r="K1830" s="5" t="str">
        <f aca="false">IF($J1830=FALSE(),"",예약내역!$L1827*10000+ROW())</f>
        <v/>
      </c>
      <c r="L1830" s="5" t="str">
        <f aca="false">IF($K1830="","",RANK($K1830,$K$6:$K$2005,1))</f>
        <v/>
      </c>
    </row>
    <row r="1831" customFormat="false" ht="15" hidden="false" customHeight="true" outlineLevel="0" collapsed="false">
      <c r="J1831" s="21" t="b">
        <f aca="false">IF(예약내역!$A1828="",FALSE(),AND(예약내역!$A1828=$B$3,예약내역!$J1828&lt;&gt;"취소"))</f>
        <v>0</v>
      </c>
      <c r="K1831" s="5" t="str">
        <f aca="false">IF($J1831=FALSE(),"",예약내역!$L1828*10000+ROW())</f>
        <v/>
      </c>
      <c r="L1831" s="5" t="str">
        <f aca="false">IF($K1831="","",RANK($K1831,$K$6:$K$2005,1))</f>
        <v/>
      </c>
    </row>
    <row r="1832" customFormat="false" ht="15" hidden="false" customHeight="true" outlineLevel="0" collapsed="false">
      <c r="J1832" s="21" t="b">
        <f aca="false">IF(예약내역!$A1829="",FALSE(),AND(예약내역!$A1829=$B$3,예약내역!$J1829&lt;&gt;"취소"))</f>
        <v>0</v>
      </c>
      <c r="K1832" s="5" t="str">
        <f aca="false">IF($J1832=FALSE(),"",예약내역!$L1829*10000+ROW())</f>
        <v/>
      </c>
      <c r="L1832" s="5" t="str">
        <f aca="false">IF($K1832="","",RANK($K1832,$K$6:$K$2005,1))</f>
        <v/>
      </c>
    </row>
    <row r="1833" customFormat="false" ht="15" hidden="false" customHeight="true" outlineLevel="0" collapsed="false">
      <c r="J1833" s="21" t="b">
        <f aca="false">IF(예약내역!$A1830="",FALSE(),AND(예약내역!$A1830=$B$3,예약내역!$J1830&lt;&gt;"취소"))</f>
        <v>0</v>
      </c>
      <c r="K1833" s="5" t="str">
        <f aca="false">IF($J1833=FALSE(),"",예약내역!$L1830*10000+ROW())</f>
        <v/>
      </c>
      <c r="L1833" s="5" t="str">
        <f aca="false">IF($K1833="","",RANK($K1833,$K$6:$K$2005,1))</f>
        <v/>
      </c>
    </row>
    <row r="1834" customFormat="false" ht="15" hidden="false" customHeight="true" outlineLevel="0" collapsed="false">
      <c r="J1834" s="21" t="b">
        <f aca="false">IF(예약내역!$A1831="",FALSE(),AND(예약내역!$A1831=$B$3,예약내역!$J1831&lt;&gt;"취소"))</f>
        <v>0</v>
      </c>
      <c r="K1834" s="5" t="str">
        <f aca="false">IF($J1834=FALSE(),"",예약내역!$L1831*10000+ROW())</f>
        <v/>
      </c>
      <c r="L1834" s="5" t="str">
        <f aca="false">IF($K1834="","",RANK($K1834,$K$6:$K$2005,1))</f>
        <v/>
      </c>
    </row>
    <row r="1835" customFormat="false" ht="15" hidden="false" customHeight="true" outlineLevel="0" collapsed="false">
      <c r="J1835" s="21" t="b">
        <f aca="false">IF(예약내역!$A1832="",FALSE(),AND(예약내역!$A1832=$B$3,예약내역!$J1832&lt;&gt;"취소"))</f>
        <v>0</v>
      </c>
      <c r="K1835" s="5" t="str">
        <f aca="false">IF($J1835=FALSE(),"",예약내역!$L1832*10000+ROW())</f>
        <v/>
      </c>
      <c r="L1835" s="5" t="str">
        <f aca="false">IF($K1835="","",RANK($K1835,$K$6:$K$2005,1))</f>
        <v/>
      </c>
    </row>
    <row r="1836" customFormat="false" ht="15" hidden="false" customHeight="true" outlineLevel="0" collapsed="false">
      <c r="J1836" s="21" t="b">
        <f aca="false">IF(예약내역!$A1833="",FALSE(),AND(예약내역!$A1833=$B$3,예약내역!$J1833&lt;&gt;"취소"))</f>
        <v>0</v>
      </c>
      <c r="K1836" s="5" t="str">
        <f aca="false">IF($J1836=FALSE(),"",예약내역!$L1833*10000+ROW())</f>
        <v/>
      </c>
      <c r="L1836" s="5" t="str">
        <f aca="false">IF($K1836="","",RANK($K1836,$K$6:$K$2005,1))</f>
        <v/>
      </c>
    </row>
    <row r="1837" customFormat="false" ht="15" hidden="false" customHeight="true" outlineLevel="0" collapsed="false">
      <c r="J1837" s="21" t="b">
        <f aca="false">IF(예약내역!$A1834="",FALSE(),AND(예약내역!$A1834=$B$3,예약내역!$J1834&lt;&gt;"취소"))</f>
        <v>0</v>
      </c>
      <c r="K1837" s="5" t="str">
        <f aca="false">IF($J1837=FALSE(),"",예약내역!$L1834*10000+ROW())</f>
        <v/>
      </c>
      <c r="L1837" s="5" t="str">
        <f aca="false">IF($K1837="","",RANK($K1837,$K$6:$K$2005,1))</f>
        <v/>
      </c>
    </row>
    <row r="1838" customFormat="false" ht="15" hidden="false" customHeight="true" outlineLevel="0" collapsed="false">
      <c r="J1838" s="21" t="b">
        <f aca="false">IF(예약내역!$A1835="",FALSE(),AND(예약내역!$A1835=$B$3,예약내역!$J1835&lt;&gt;"취소"))</f>
        <v>0</v>
      </c>
      <c r="K1838" s="5" t="str">
        <f aca="false">IF($J1838=FALSE(),"",예약내역!$L1835*10000+ROW())</f>
        <v/>
      </c>
      <c r="L1838" s="5" t="str">
        <f aca="false">IF($K1838="","",RANK($K1838,$K$6:$K$2005,1))</f>
        <v/>
      </c>
    </row>
    <row r="1839" customFormat="false" ht="15" hidden="false" customHeight="true" outlineLevel="0" collapsed="false">
      <c r="J1839" s="21" t="b">
        <f aca="false">IF(예약내역!$A1836="",FALSE(),AND(예약내역!$A1836=$B$3,예약내역!$J1836&lt;&gt;"취소"))</f>
        <v>0</v>
      </c>
      <c r="K1839" s="5" t="str">
        <f aca="false">IF($J1839=FALSE(),"",예약내역!$L1836*10000+ROW())</f>
        <v/>
      </c>
      <c r="L1839" s="5" t="str">
        <f aca="false">IF($K1839="","",RANK($K1839,$K$6:$K$2005,1))</f>
        <v/>
      </c>
    </row>
    <row r="1840" customFormat="false" ht="15" hidden="false" customHeight="true" outlineLevel="0" collapsed="false">
      <c r="J1840" s="21" t="b">
        <f aca="false">IF(예약내역!$A1837="",FALSE(),AND(예약내역!$A1837=$B$3,예약내역!$J1837&lt;&gt;"취소"))</f>
        <v>0</v>
      </c>
      <c r="K1840" s="5" t="str">
        <f aca="false">IF($J1840=FALSE(),"",예약내역!$L1837*10000+ROW())</f>
        <v/>
      </c>
      <c r="L1840" s="5" t="str">
        <f aca="false">IF($K1840="","",RANK($K1840,$K$6:$K$2005,1))</f>
        <v/>
      </c>
    </row>
    <row r="1841" customFormat="false" ht="15" hidden="false" customHeight="true" outlineLevel="0" collapsed="false">
      <c r="J1841" s="21" t="b">
        <f aca="false">IF(예약내역!$A1838="",FALSE(),AND(예약내역!$A1838=$B$3,예약내역!$J1838&lt;&gt;"취소"))</f>
        <v>0</v>
      </c>
      <c r="K1841" s="5" t="str">
        <f aca="false">IF($J1841=FALSE(),"",예약내역!$L1838*10000+ROW())</f>
        <v/>
      </c>
      <c r="L1841" s="5" t="str">
        <f aca="false">IF($K1841="","",RANK($K1841,$K$6:$K$2005,1))</f>
        <v/>
      </c>
    </row>
    <row r="1842" customFormat="false" ht="15" hidden="false" customHeight="true" outlineLevel="0" collapsed="false">
      <c r="J1842" s="21" t="b">
        <f aca="false">IF(예약내역!$A1839="",FALSE(),AND(예약내역!$A1839=$B$3,예약내역!$J1839&lt;&gt;"취소"))</f>
        <v>0</v>
      </c>
      <c r="K1842" s="5" t="str">
        <f aca="false">IF($J1842=FALSE(),"",예약내역!$L1839*10000+ROW())</f>
        <v/>
      </c>
      <c r="L1842" s="5" t="str">
        <f aca="false">IF($K1842="","",RANK($K1842,$K$6:$K$2005,1))</f>
        <v/>
      </c>
    </row>
    <row r="1843" customFormat="false" ht="15" hidden="false" customHeight="true" outlineLevel="0" collapsed="false">
      <c r="J1843" s="21" t="b">
        <f aca="false">IF(예약내역!$A1840="",FALSE(),AND(예약내역!$A1840=$B$3,예약내역!$J1840&lt;&gt;"취소"))</f>
        <v>0</v>
      </c>
      <c r="K1843" s="5" t="str">
        <f aca="false">IF($J1843=FALSE(),"",예약내역!$L1840*10000+ROW())</f>
        <v/>
      </c>
      <c r="L1843" s="5" t="str">
        <f aca="false">IF($K1843="","",RANK($K1843,$K$6:$K$2005,1))</f>
        <v/>
      </c>
    </row>
    <row r="1844" customFormat="false" ht="15" hidden="false" customHeight="true" outlineLevel="0" collapsed="false">
      <c r="J1844" s="21" t="b">
        <f aca="false">IF(예약내역!$A1841="",FALSE(),AND(예약내역!$A1841=$B$3,예약내역!$J1841&lt;&gt;"취소"))</f>
        <v>0</v>
      </c>
      <c r="K1844" s="5" t="str">
        <f aca="false">IF($J1844=FALSE(),"",예약내역!$L1841*10000+ROW())</f>
        <v/>
      </c>
      <c r="L1844" s="5" t="str">
        <f aca="false">IF($K1844="","",RANK($K1844,$K$6:$K$2005,1))</f>
        <v/>
      </c>
    </row>
    <row r="1845" customFormat="false" ht="15" hidden="false" customHeight="true" outlineLevel="0" collapsed="false">
      <c r="J1845" s="21" t="b">
        <f aca="false">IF(예약내역!$A1842="",FALSE(),AND(예약내역!$A1842=$B$3,예약내역!$J1842&lt;&gt;"취소"))</f>
        <v>0</v>
      </c>
      <c r="K1845" s="5" t="str">
        <f aca="false">IF($J1845=FALSE(),"",예약내역!$L1842*10000+ROW())</f>
        <v/>
      </c>
      <c r="L1845" s="5" t="str">
        <f aca="false">IF($K1845="","",RANK($K1845,$K$6:$K$2005,1))</f>
        <v/>
      </c>
    </row>
    <row r="1846" customFormat="false" ht="15" hidden="false" customHeight="true" outlineLevel="0" collapsed="false">
      <c r="J1846" s="21" t="b">
        <f aca="false">IF(예약내역!$A1843="",FALSE(),AND(예약내역!$A1843=$B$3,예약내역!$J1843&lt;&gt;"취소"))</f>
        <v>0</v>
      </c>
      <c r="K1846" s="5" t="str">
        <f aca="false">IF($J1846=FALSE(),"",예약내역!$L1843*10000+ROW())</f>
        <v/>
      </c>
      <c r="L1846" s="5" t="str">
        <f aca="false">IF($K1846="","",RANK($K1846,$K$6:$K$2005,1))</f>
        <v/>
      </c>
    </row>
    <row r="1847" customFormat="false" ht="15" hidden="false" customHeight="true" outlineLevel="0" collapsed="false">
      <c r="J1847" s="21" t="b">
        <f aca="false">IF(예약내역!$A1844="",FALSE(),AND(예약내역!$A1844=$B$3,예약내역!$J1844&lt;&gt;"취소"))</f>
        <v>0</v>
      </c>
      <c r="K1847" s="5" t="str">
        <f aca="false">IF($J1847=FALSE(),"",예약내역!$L1844*10000+ROW())</f>
        <v/>
      </c>
      <c r="L1847" s="5" t="str">
        <f aca="false">IF($K1847="","",RANK($K1847,$K$6:$K$2005,1))</f>
        <v/>
      </c>
    </row>
    <row r="1848" customFormat="false" ht="15" hidden="false" customHeight="true" outlineLevel="0" collapsed="false">
      <c r="J1848" s="21" t="b">
        <f aca="false">IF(예약내역!$A1845="",FALSE(),AND(예약내역!$A1845=$B$3,예약내역!$J1845&lt;&gt;"취소"))</f>
        <v>0</v>
      </c>
      <c r="K1848" s="5" t="str">
        <f aca="false">IF($J1848=FALSE(),"",예약내역!$L1845*10000+ROW())</f>
        <v/>
      </c>
      <c r="L1848" s="5" t="str">
        <f aca="false">IF($K1848="","",RANK($K1848,$K$6:$K$2005,1))</f>
        <v/>
      </c>
    </row>
    <row r="1849" customFormat="false" ht="15" hidden="false" customHeight="true" outlineLevel="0" collapsed="false">
      <c r="J1849" s="21" t="b">
        <f aca="false">IF(예약내역!$A1846="",FALSE(),AND(예약내역!$A1846=$B$3,예약내역!$J1846&lt;&gt;"취소"))</f>
        <v>0</v>
      </c>
      <c r="K1849" s="5" t="str">
        <f aca="false">IF($J1849=FALSE(),"",예약내역!$L1846*10000+ROW())</f>
        <v/>
      </c>
      <c r="L1849" s="5" t="str">
        <f aca="false">IF($K1849="","",RANK($K1849,$K$6:$K$2005,1))</f>
        <v/>
      </c>
    </row>
    <row r="1850" customFormat="false" ht="15" hidden="false" customHeight="true" outlineLevel="0" collapsed="false">
      <c r="J1850" s="21" t="b">
        <f aca="false">IF(예약내역!$A1847="",FALSE(),AND(예약내역!$A1847=$B$3,예약내역!$J1847&lt;&gt;"취소"))</f>
        <v>0</v>
      </c>
      <c r="K1850" s="5" t="str">
        <f aca="false">IF($J1850=FALSE(),"",예약내역!$L1847*10000+ROW())</f>
        <v/>
      </c>
      <c r="L1850" s="5" t="str">
        <f aca="false">IF($K1850="","",RANK($K1850,$K$6:$K$2005,1))</f>
        <v/>
      </c>
    </row>
    <row r="1851" customFormat="false" ht="15" hidden="false" customHeight="true" outlineLevel="0" collapsed="false">
      <c r="J1851" s="21" t="b">
        <f aca="false">IF(예약내역!$A1848="",FALSE(),AND(예약내역!$A1848=$B$3,예약내역!$J1848&lt;&gt;"취소"))</f>
        <v>0</v>
      </c>
      <c r="K1851" s="5" t="str">
        <f aca="false">IF($J1851=FALSE(),"",예약내역!$L1848*10000+ROW())</f>
        <v/>
      </c>
      <c r="L1851" s="5" t="str">
        <f aca="false">IF($K1851="","",RANK($K1851,$K$6:$K$2005,1))</f>
        <v/>
      </c>
    </row>
    <row r="1852" customFormat="false" ht="15" hidden="false" customHeight="true" outlineLevel="0" collapsed="false">
      <c r="J1852" s="21" t="b">
        <f aca="false">IF(예약내역!$A1849="",FALSE(),AND(예약내역!$A1849=$B$3,예약내역!$J1849&lt;&gt;"취소"))</f>
        <v>0</v>
      </c>
      <c r="K1852" s="5" t="str">
        <f aca="false">IF($J1852=FALSE(),"",예약내역!$L1849*10000+ROW())</f>
        <v/>
      </c>
      <c r="L1852" s="5" t="str">
        <f aca="false">IF($K1852="","",RANK($K1852,$K$6:$K$2005,1))</f>
        <v/>
      </c>
    </row>
    <row r="1853" customFormat="false" ht="15" hidden="false" customHeight="true" outlineLevel="0" collapsed="false">
      <c r="J1853" s="21" t="b">
        <f aca="false">IF(예약내역!$A1850="",FALSE(),AND(예약내역!$A1850=$B$3,예약내역!$J1850&lt;&gt;"취소"))</f>
        <v>0</v>
      </c>
      <c r="K1853" s="5" t="str">
        <f aca="false">IF($J1853=FALSE(),"",예약내역!$L1850*10000+ROW())</f>
        <v/>
      </c>
      <c r="L1853" s="5" t="str">
        <f aca="false">IF($K1853="","",RANK($K1853,$K$6:$K$2005,1))</f>
        <v/>
      </c>
    </row>
    <row r="1854" customFormat="false" ht="15" hidden="false" customHeight="true" outlineLevel="0" collapsed="false">
      <c r="J1854" s="21" t="b">
        <f aca="false">IF(예약내역!$A1851="",FALSE(),AND(예약내역!$A1851=$B$3,예약내역!$J1851&lt;&gt;"취소"))</f>
        <v>0</v>
      </c>
      <c r="K1854" s="5" t="str">
        <f aca="false">IF($J1854=FALSE(),"",예약내역!$L1851*10000+ROW())</f>
        <v/>
      </c>
      <c r="L1854" s="5" t="str">
        <f aca="false">IF($K1854="","",RANK($K1854,$K$6:$K$2005,1))</f>
        <v/>
      </c>
    </row>
    <row r="1855" customFormat="false" ht="15" hidden="false" customHeight="true" outlineLevel="0" collapsed="false">
      <c r="J1855" s="21" t="b">
        <f aca="false">IF(예약내역!$A1852="",FALSE(),AND(예약내역!$A1852=$B$3,예약내역!$J1852&lt;&gt;"취소"))</f>
        <v>0</v>
      </c>
      <c r="K1855" s="5" t="str">
        <f aca="false">IF($J1855=FALSE(),"",예약내역!$L1852*10000+ROW())</f>
        <v/>
      </c>
      <c r="L1855" s="5" t="str">
        <f aca="false">IF($K1855="","",RANK($K1855,$K$6:$K$2005,1))</f>
        <v/>
      </c>
    </row>
    <row r="1856" customFormat="false" ht="15" hidden="false" customHeight="true" outlineLevel="0" collapsed="false">
      <c r="J1856" s="21" t="b">
        <f aca="false">IF(예약내역!$A1853="",FALSE(),AND(예약내역!$A1853=$B$3,예약내역!$J1853&lt;&gt;"취소"))</f>
        <v>0</v>
      </c>
      <c r="K1856" s="5" t="str">
        <f aca="false">IF($J1856=FALSE(),"",예약내역!$L1853*10000+ROW())</f>
        <v/>
      </c>
      <c r="L1856" s="5" t="str">
        <f aca="false">IF($K1856="","",RANK($K1856,$K$6:$K$2005,1))</f>
        <v/>
      </c>
    </row>
    <row r="1857" customFormat="false" ht="15" hidden="false" customHeight="true" outlineLevel="0" collapsed="false">
      <c r="J1857" s="21" t="b">
        <f aca="false">IF(예약내역!$A1854="",FALSE(),AND(예약내역!$A1854=$B$3,예약내역!$J1854&lt;&gt;"취소"))</f>
        <v>0</v>
      </c>
      <c r="K1857" s="5" t="str">
        <f aca="false">IF($J1857=FALSE(),"",예약내역!$L1854*10000+ROW())</f>
        <v/>
      </c>
      <c r="L1857" s="5" t="str">
        <f aca="false">IF($K1857="","",RANK($K1857,$K$6:$K$2005,1))</f>
        <v/>
      </c>
    </row>
    <row r="1858" customFormat="false" ht="15" hidden="false" customHeight="true" outlineLevel="0" collapsed="false">
      <c r="J1858" s="21" t="b">
        <f aca="false">IF(예약내역!$A1855="",FALSE(),AND(예약내역!$A1855=$B$3,예약내역!$J1855&lt;&gt;"취소"))</f>
        <v>0</v>
      </c>
      <c r="K1858" s="5" t="str">
        <f aca="false">IF($J1858=FALSE(),"",예약내역!$L1855*10000+ROW())</f>
        <v/>
      </c>
      <c r="L1858" s="5" t="str">
        <f aca="false">IF($K1858="","",RANK($K1858,$K$6:$K$2005,1))</f>
        <v/>
      </c>
    </row>
    <row r="1859" customFormat="false" ht="15" hidden="false" customHeight="true" outlineLevel="0" collapsed="false">
      <c r="J1859" s="21" t="b">
        <f aca="false">IF(예약내역!$A1856="",FALSE(),AND(예약내역!$A1856=$B$3,예약내역!$J1856&lt;&gt;"취소"))</f>
        <v>0</v>
      </c>
      <c r="K1859" s="5" t="str">
        <f aca="false">IF($J1859=FALSE(),"",예약내역!$L1856*10000+ROW())</f>
        <v/>
      </c>
      <c r="L1859" s="5" t="str">
        <f aca="false">IF($K1859="","",RANK($K1859,$K$6:$K$2005,1))</f>
        <v/>
      </c>
    </row>
    <row r="1860" customFormat="false" ht="15" hidden="false" customHeight="true" outlineLevel="0" collapsed="false">
      <c r="J1860" s="21" t="b">
        <f aca="false">IF(예약내역!$A1857="",FALSE(),AND(예약내역!$A1857=$B$3,예약내역!$J1857&lt;&gt;"취소"))</f>
        <v>0</v>
      </c>
      <c r="K1860" s="5" t="str">
        <f aca="false">IF($J1860=FALSE(),"",예약내역!$L1857*10000+ROW())</f>
        <v/>
      </c>
      <c r="L1860" s="5" t="str">
        <f aca="false">IF($K1860="","",RANK($K1860,$K$6:$K$2005,1))</f>
        <v/>
      </c>
    </row>
    <row r="1861" customFormat="false" ht="15" hidden="false" customHeight="true" outlineLevel="0" collapsed="false">
      <c r="J1861" s="21" t="b">
        <f aca="false">IF(예약내역!$A1858="",FALSE(),AND(예약내역!$A1858=$B$3,예약내역!$J1858&lt;&gt;"취소"))</f>
        <v>0</v>
      </c>
      <c r="K1861" s="5" t="str">
        <f aca="false">IF($J1861=FALSE(),"",예약내역!$L1858*10000+ROW())</f>
        <v/>
      </c>
      <c r="L1861" s="5" t="str">
        <f aca="false">IF($K1861="","",RANK($K1861,$K$6:$K$2005,1))</f>
        <v/>
      </c>
    </row>
    <row r="1862" customFormat="false" ht="15" hidden="false" customHeight="true" outlineLevel="0" collapsed="false">
      <c r="J1862" s="21" t="b">
        <f aca="false">IF(예약내역!$A1859="",FALSE(),AND(예약내역!$A1859=$B$3,예약내역!$J1859&lt;&gt;"취소"))</f>
        <v>0</v>
      </c>
      <c r="K1862" s="5" t="str">
        <f aca="false">IF($J1862=FALSE(),"",예약내역!$L1859*10000+ROW())</f>
        <v/>
      </c>
      <c r="L1862" s="5" t="str">
        <f aca="false">IF($K1862="","",RANK($K1862,$K$6:$K$2005,1))</f>
        <v/>
      </c>
    </row>
    <row r="1863" customFormat="false" ht="15" hidden="false" customHeight="true" outlineLevel="0" collapsed="false">
      <c r="J1863" s="21" t="b">
        <f aca="false">IF(예약내역!$A1860="",FALSE(),AND(예약내역!$A1860=$B$3,예약내역!$J1860&lt;&gt;"취소"))</f>
        <v>0</v>
      </c>
      <c r="K1863" s="5" t="str">
        <f aca="false">IF($J1863=FALSE(),"",예약내역!$L1860*10000+ROW())</f>
        <v/>
      </c>
      <c r="L1863" s="5" t="str">
        <f aca="false">IF($K1863="","",RANK($K1863,$K$6:$K$2005,1))</f>
        <v/>
      </c>
    </row>
    <row r="1864" customFormat="false" ht="15" hidden="false" customHeight="true" outlineLevel="0" collapsed="false">
      <c r="J1864" s="21" t="b">
        <f aca="false">IF(예약내역!$A1861="",FALSE(),AND(예약내역!$A1861=$B$3,예약내역!$J1861&lt;&gt;"취소"))</f>
        <v>0</v>
      </c>
      <c r="K1864" s="5" t="str">
        <f aca="false">IF($J1864=FALSE(),"",예약내역!$L1861*10000+ROW())</f>
        <v/>
      </c>
      <c r="L1864" s="5" t="str">
        <f aca="false">IF($K1864="","",RANK($K1864,$K$6:$K$2005,1))</f>
        <v/>
      </c>
    </row>
    <row r="1865" customFormat="false" ht="15" hidden="false" customHeight="true" outlineLevel="0" collapsed="false">
      <c r="J1865" s="21" t="b">
        <f aca="false">IF(예약내역!$A1862="",FALSE(),AND(예약내역!$A1862=$B$3,예약내역!$J1862&lt;&gt;"취소"))</f>
        <v>0</v>
      </c>
      <c r="K1865" s="5" t="str">
        <f aca="false">IF($J1865=FALSE(),"",예약내역!$L1862*10000+ROW())</f>
        <v/>
      </c>
      <c r="L1865" s="5" t="str">
        <f aca="false">IF($K1865="","",RANK($K1865,$K$6:$K$2005,1))</f>
        <v/>
      </c>
    </row>
    <row r="1866" customFormat="false" ht="15" hidden="false" customHeight="true" outlineLevel="0" collapsed="false">
      <c r="J1866" s="21" t="b">
        <f aca="false">IF(예약내역!$A1863="",FALSE(),AND(예약내역!$A1863=$B$3,예약내역!$J1863&lt;&gt;"취소"))</f>
        <v>0</v>
      </c>
      <c r="K1866" s="5" t="str">
        <f aca="false">IF($J1866=FALSE(),"",예약내역!$L1863*10000+ROW())</f>
        <v/>
      </c>
      <c r="L1866" s="5" t="str">
        <f aca="false">IF($K1866="","",RANK($K1866,$K$6:$K$2005,1))</f>
        <v/>
      </c>
    </row>
    <row r="1867" customFormat="false" ht="15" hidden="false" customHeight="true" outlineLevel="0" collapsed="false">
      <c r="J1867" s="21" t="b">
        <f aca="false">IF(예약내역!$A1864="",FALSE(),AND(예약내역!$A1864=$B$3,예약내역!$J1864&lt;&gt;"취소"))</f>
        <v>0</v>
      </c>
      <c r="K1867" s="5" t="str">
        <f aca="false">IF($J1867=FALSE(),"",예약내역!$L1864*10000+ROW())</f>
        <v/>
      </c>
      <c r="L1867" s="5" t="str">
        <f aca="false">IF($K1867="","",RANK($K1867,$K$6:$K$2005,1))</f>
        <v/>
      </c>
    </row>
    <row r="1868" customFormat="false" ht="15" hidden="false" customHeight="true" outlineLevel="0" collapsed="false">
      <c r="J1868" s="21" t="b">
        <f aca="false">IF(예약내역!$A1865="",FALSE(),AND(예약내역!$A1865=$B$3,예약내역!$J1865&lt;&gt;"취소"))</f>
        <v>0</v>
      </c>
      <c r="K1868" s="5" t="str">
        <f aca="false">IF($J1868=FALSE(),"",예약내역!$L1865*10000+ROW())</f>
        <v/>
      </c>
      <c r="L1868" s="5" t="str">
        <f aca="false">IF($K1868="","",RANK($K1868,$K$6:$K$2005,1))</f>
        <v/>
      </c>
    </row>
    <row r="1869" customFormat="false" ht="15" hidden="false" customHeight="true" outlineLevel="0" collapsed="false">
      <c r="J1869" s="21" t="b">
        <f aca="false">IF(예약내역!$A1866="",FALSE(),AND(예약내역!$A1866=$B$3,예약내역!$J1866&lt;&gt;"취소"))</f>
        <v>0</v>
      </c>
      <c r="K1869" s="5" t="str">
        <f aca="false">IF($J1869=FALSE(),"",예약내역!$L1866*10000+ROW())</f>
        <v/>
      </c>
      <c r="L1869" s="5" t="str">
        <f aca="false">IF($K1869="","",RANK($K1869,$K$6:$K$2005,1))</f>
        <v/>
      </c>
    </row>
    <row r="1870" customFormat="false" ht="15" hidden="false" customHeight="true" outlineLevel="0" collapsed="false">
      <c r="J1870" s="21" t="b">
        <f aca="false">IF(예약내역!$A1867="",FALSE(),AND(예약내역!$A1867=$B$3,예약내역!$J1867&lt;&gt;"취소"))</f>
        <v>0</v>
      </c>
      <c r="K1870" s="5" t="str">
        <f aca="false">IF($J1870=FALSE(),"",예약내역!$L1867*10000+ROW())</f>
        <v/>
      </c>
      <c r="L1870" s="5" t="str">
        <f aca="false">IF($K1870="","",RANK($K1870,$K$6:$K$2005,1))</f>
        <v/>
      </c>
    </row>
    <row r="1871" customFormat="false" ht="15" hidden="false" customHeight="true" outlineLevel="0" collapsed="false">
      <c r="J1871" s="21" t="b">
        <f aca="false">IF(예약내역!$A1868="",FALSE(),AND(예약내역!$A1868=$B$3,예약내역!$J1868&lt;&gt;"취소"))</f>
        <v>0</v>
      </c>
      <c r="K1871" s="5" t="str">
        <f aca="false">IF($J1871=FALSE(),"",예약내역!$L1868*10000+ROW())</f>
        <v/>
      </c>
      <c r="L1871" s="5" t="str">
        <f aca="false">IF($K1871="","",RANK($K1871,$K$6:$K$2005,1))</f>
        <v/>
      </c>
    </row>
    <row r="1872" customFormat="false" ht="15" hidden="false" customHeight="true" outlineLevel="0" collapsed="false">
      <c r="J1872" s="21" t="b">
        <f aca="false">IF(예약내역!$A1869="",FALSE(),AND(예약내역!$A1869=$B$3,예약내역!$J1869&lt;&gt;"취소"))</f>
        <v>0</v>
      </c>
      <c r="K1872" s="5" t="str">
        <f aca="false">IF($J1872=FALSE(),"",예약내역!$L1869*10000+ROW())</f>
        <v/>
      </c>
      <c r="L1872" s="5" t="str">
        <f aca="false">IF($K1872="","",RANK($K1872,$K$6:$K$2005,1))</f>
        <v/>
      </c>
    </row>
    <row r="1873" customFormat="false" ht="15" hidden="false" customHeight="true" outlineLevel="0" collapsed="false">
      <c r="J1873" s="21" t="b">
        <f aca="false">IF(예약내역!$A1870="",FALSE(),AND(예약내역!$A1870=$B$3,예약내역!$J1870&lt;&gt;"취소"))</f>
        <v>0</v>
      </c>
      <c r="K1873" s="5" t="str">
        <f aca="false">IF($J1873=FALSE(),"",예약내역!$L1870*10000+ROW())</f>
        <v/>
      </c>
      <c r="L1873" s="5" t="str">
        <f aca="false">IF($K1873="","",RANK($K1873,$K$6:$K$2005,1))</f>
        <v/>
      </c>
    </row>
    <row r="1874" customFormat="false" ht="15" hidden="false" customHeight="true" outlineLevel="0" collapsed="false">
      <c r="J1874" s="21" t="b">
        <f aca="false">IF(예약내역!$A1871="",FALSE(),AND(예약내역!$A1871=$B$3,예약내역!$J1871&lt;&gt;"취소"))</f>
        <v>0</v>
      </c>
      <c r="K1874" s="5" t="str">
        <f aca="false">IF($J1874=FALSE(),"",예약내역!$L1871*10000+ROW())</f>
        <v/>
      </c>
      <c r="L1874" s="5" t="str">
        <f aca="false">IF($K1874="","",RANK($K1874,$K$6:$K$2005,1))</f>
        <v/>
      </c>
    </row>
    <row r="1875" customFormat="false" ht="15" hidden="false" customHeight="true" outlineLevel="0" collapsed="false">
      <c r="J1875" s="21" t="b">
        <f aca="false">IF(예약내역!$A1872="",FALSE(),AND(예약내역!$A1872=$B$3,예약내역!$J1872&lt;&gt;"취소"))</f>
        <v>0</v>
      </c>
      <c r="K1875" s="5" t="str">
        <f aca="false">IF($J1875=FALSE(),"",예약내역!$L1872*10000+ROW())</f>
        <v/>
      </c>
      <c r="L1875" s="5" t="str">
        <f aca="false">IF($K1875="","",RANK($K1875,$K$6:$K$2005,1))</f>
        <v/>
      </c>
    </row>
    <row r="1876" customFormat="false" ht="15" hidden="false" customHeight="true" outlineLevel="0" collapsed="false">
      <c r="J1876" s="21" t="b">
        <f aca="false">IF(예약내역!$A1873="",FALSE(),AND(예약내역!$A1873=$B$3,예약내역!$J1873&lt;&gt;"취소"))</f>
        <v>0</v>
      </c>
      <c r="K1876" s="5" t="str">
        <f aca="false">IF($J1876=FALSE(),"",예약내역!$L1873*10000+ROW())</f>
        <v/>
      </c>
      <c r="L1876" s="5" t="str">
        <f aca="false">IF($K1876="","",RANK($K1876,$K$6:$K$2005,1))</f>
        <v/>
      </c>
    </row>
    <row r="1877" customFormat="false" ht="15" hidden="false" customHeight="true" outlineLevel="0" collapsed="false">
      <c r="J1877" s="21" t="b">
        <f aca="false">IF(예약내역!$A1874="",FALSE(),AND(예약내역!$A1874=$B$3,예약내역!$J1874&lt;&gt;"취소"))</f>
        <v>0</v>
      </c>
      <c r="K1877" s="5" t="str">
        <f aca="false">IF($J1877=FALSE(),"",예약내역!$L1874*10000+ROW())</f>
        <v/>
      </c>
      <c r="L1877" s="5" t="str">
        <f aca="false">IF($K1877="","",RANK($K1877,$K$6:$K$2005,1))</f>
        <v/>
      </c>
    </row>
    <row r="1878" customFormat="false" ht="15" hidden="false" customHeight="true" outlineLevel="0" collapsed="false">
      <c r="J1878" s="21" t="b">
        <f aca="false">IF(예약내역!$A1875="",FALSE(),AND(예약내역!$A1875=$B$3,예약내역!$J1875&lt;&gt;"취소"))</f>
        <v>0</v>
      </c>
      <c r="K1878" s="5" t="str">
        <f aca="false">IF($J1878=FALSE(),"",예약내역!$L1875*10000+ROW())</f>
        <v/>
      </c>
      <c r="L1878" s="5" t="str">
        <f aca="false">IF($K1878="","",RANK($K1878,$K$6:$K$2005,1))</f>
        <v/>
      </c>
    </row>
    <row r="1879" customFormat="false" ht="15" hidden="false" customHeight="true" outlineLevel="0" collapsed="false">
      <c r="J1879" s="21" t="b">
        <f aca="false">IF(예약내역!$A1876="",FALSE(),AND(예약내역!$A1876=$B$3,예약내역!$J1876&lt;&gt;"취소"))</f>
        <v>0</v>
      </c>
      <c r="K1879" s="5" t="str">
        <f aca="false">IF($J1879=FALSE(),"",예약내역!$L1876*10000+ROW())</f>
        <v/>
      </c>
      <c r="L1879" s="5" t="str">
        <f aca="false">IF($K1879="","",RANK($K1879,$K$6:$K$2005,1))</f>
        <v/>
      </c>
    </row>
    <row r="1880" customFormat="false" ht="15" hidden="false" customHeight="true" outlineLevel="0" collapsed="false">
      <c r="J1880" s="21" t="b">
        <f aca="false">IF(예약내역!$A1877="",FALSE(),AND(예약내역!$A1877=$B$3,예약내역!$J1877&lt;&gt;"취소"))</f>
        <v>0</v>
      </c>
      <c r="K1880" s="5" t="str">
        <f aca="false">IF($J1880=FALSE(),"",예약내역!$L1877*10000+ROW())</f>
        <v/>
      </c>
      <c r="L1880" s="5" t="str">
        <f aca="false">IF($K1880="","",RANK($K1880,$K$6:$K$2005,1))</f>
        <v/>
      </c>
    </row>
    <row r="1881" customFormat="false" ht="15" hidden="false" customHeight="true" outlineLevel="0" collapsed="false">
      <c r="J1881" s="21" t="b">
        <f aca="false">IF(예약내역!$A1878="",FALSE(),AND(예약내역!$A1878=$B$3,예약내역!$J1878&lt;&gt;"취소"))</f>
        <v>0</v>
      </c>
      <c r="K1881" s="5" t="str">
        <f aca="false">IF($J1881=FALSE(),"",예약내역!$L1878*10000+ROW())</f>
        <v/>
      </c>
      <c r="L1881" s="5" t="str">
        <f aca="false">IF($K1881="","",RANK($K1881,$K$6:$K$2005,1))</f>
        <v/>
      </c>
    </row>
    <row r="1882" customFormat="false" ht="15" hidden="false" customHeight="true" outlineLevel="0" collapsed="false">
      <c r="J1882" s="21" t="b">
        <f aca="false">IF(예약내역!$A1879="",FALSE(),AND(예약내역!$A1879=$B$3,예약내역!$J1879&lt;&gt;"취소"))</f>
        <v>0</v>
      </c>
      <c r="K1882" s="5" t="str">
        <f aca="false">IF($J1882=FALSE(),"",예약내역!$L1879*10000+ROW())</f>
        <v/>
      </c>
      <c r="L1882" s="5" t="str">
        <f aca="false">IF($K1882="","",RANK($K1882,$K$6:$K$2005,1))</f>
        <v/>
      </c>
    </row>
    <row r="1883" customFormat="false" ht="15" hidden="false" customHeight="true" outlineLevel="0" collapsed="false">
      <c r="J1883" s="21" t="b">
        <f aca="false">IF(예약내역!$A1880="",FALSE(),AND(예약내역!$A1880=$B$3,예약내역!$J1880&lt;&gt;"취소"))</f>
        <v>0</v>
      </c>
      <c r="K1883" s="5" t="str">
        <f aca="false">IF($J1883=FALSE(),"",예약내역!$L1880*10000+ROW())</f>
        <v/>
      </c>
      <c r="L1883" s="5" t="str">
        <f aca="false">IF($K1883="","",RANK($K1883,$K$6:$K$2005,1))</f>
        <v/>
      </c>
    </row>
    <row r="1884" customFormat="false" ht="15" hidden="false" customHeight="true" outlineLevel="0" collapsed="false">
      <c r="J1884" s="21" t="b">
        <f aca="false">IF(예약내역!$A1881="",FALSE(),AND(예약내역!$A1881=$B$3,예약내역!$J1881&lt;&gt;"취소"))</f>
        <v>0</v>
      </c>
      <c r="K1884" s="5" t="str">
        <f aca="false">IF($J1884=FALSE(),"",예약내역!$L1881*10000+ROW())</f>
        <v/>
      </c>
      <c r="L1884" s="5" t="str">
        <f aca="false">IF($K1884="","",RANK($K1884,$K$6:$K$2005,1))</f>
        <v/>
      </c>
    </row>
    <row r="1885" customFormat="false" ht="15" hidden="false" customHeight="true" outlineLevel="0" collapsed="false">
      <c r="J1885" s="21" t="b">
        <f aca="false">IF(예약내역!$A1882="",FALSE(),AND(예약내역!$A1882=$B$3,예약내역!$J1882&lt;&gt;"취소"))</f>
        <v>0</v>
      </c>
      <c r="K1885" s="5" t="str">
        <f aca="false">IF($J1885=FALSE(),"",예약내역!$L1882*10000+ROW())</f>
        <v/>
      </c>
      <c r="L1885" s="5" t="str">
        <f aca="false">IF($K1885="","",RANK($K1885,$K$6:$K$2005,1))</f>
        <v/>
      </c>
    </row>
    <row r="1886" customFormat="false" ht="15" hidden="false" customHeight="true" outlineLevel="0" collapsed="false">
      <c r="J1886" s="21" t="b">
        <f aca="false">IF(예약내역!$A1883="",FALSE(),AND(예약내역!$A1883=$B$3,예약내역!$J1883&lt;&gt;"취소"))</f>
        <v>0</v>
      </c>
      <c r="K1886" s="5" t="str">
        <f aca="false">IF($J1886=FALSE(),"",예약내역!$L1883*10000+ROW())</f>
        <v/>
      </c>
      <c r="L1886" s="5" t="str">
        <f aca="false">IF($K1886="","",RANK($K1886,$K$6:$K$2005,1))</f>
        <v/>
      </c>
    </row>
    <row r="1887" customFormat="false" ht="15" hidden="false" customHeight="true" outlineLevel="0" collapsed="false">
      <c r="J1887" s="21" t="b">
        <f aca="false">IF(예약내역!$A1884="",FALSE(),AND(예약내역!$A1884=$B$3,예약내역!$J1884&lt;&gt;"취소"))</f>
        <v>0</v>
      </c>
      <c r="K1887" s="5" t="str">
        <f aca="false">IF($J1887=FALSE(),"",예약내역!$L1884*10000+ROW())</f>
        <v/>
      </c>
      <c r="L1887" s="5" t="str">
        <f aca="false">IF($K1887="","",RANK($K1887,$K$6:$K$2005,1))</f>
        <v/>
      </c>
    </row>
    <row r="1888" customFormat="false" ht="15" hidden="false" customHeight="true" outlineLevel="0" collapsed="false">
      <c r="J1888" s="21" t="b">
        <f aca="false">IF(예약내역!$A1885="",FALSE(),AND(예약내역!$A1885=$B$3,예약내역!$J1885&lt;&gt;"취소"))</f>
        <v>0</v>
      </c>
      <c r="K1888" s="5" t="str">
        <f aca="false">IF($J1888=FALSE(),"",예약내역!$L1885*10000+ROW())</f>
        <v/>
      </c>
      <c r="L1888" s="5" t="str">
        <f aca="false">IF($K1888="","",RANK($K1888,$K$6:$K$2005,1))</f>
        <v/>
      </c>
    </row>
    <row r="1889" customFormat="false" ht="15" hidden="false" customHeight="true" outlineLevel="0" collapsed="false">
      <c r="J1889" s="21" t="b">
        <f aca="false">IF(예약내역!$A1886="",FALSE(),AND(예약내역!$A1886=$B$3,예약내역!$J1886&lt;&gt;"취소"))</f>
        <v>0</v>
      </c>
      <c r="K1889" s="5" t="str">
        <f aca="false">IF($J1889=FALSE(),"",예약내역!$L1886*10000+ROW())</f>
        <v/>
      </c>
      <c r="L1889" s="5" t="str">
        <f aca="false">IF($K1889="","",RANK($K1889,$K$6:$K$2005,1))</f>
        <v/>
      </c>
    </row>
    <row r="1890" customFormat="false" ht="15" hidden="false" customHeight="true" outlineLevel="0" collapsed="false">
      <c r="J1890" s="21" t="b">
        <f aca="false">IF(예약내역!$A1887="",FALSE(),AND(예약내역!$A1887=$B$3,예약내역!$J1887&lt;&gt;"취소"))</f>
        <v>0</v>
      </c>
      <c r="K1890" s="5" t="str">
        <f aca="false">IF($J1890=FALSE(),"",예약내역!$L1887*10000+ROW())</f>
        <v/>
      </c>
      <c r="L1890" s="5" t="str">
        <f aca="false">IF($K1890="","",RANK($K1890,$K$6:$K$2005,1))</f>
        <v/>
      </c>
    </row>
    <row r="1891" customFormat="false" ht="15" hidden="false" customHeight="true" outlineLevel="0" collapsed="false">
      <c r="J1891" s="21" t="b">
        <f aca="false">IF(예약내역!$A1888="",FALSE(),AND(예약내역!$A1888=$B$3,예약내역!$J1888&lt;&gt;"취소"))</f>
        <v>0</v>
      </c>
      <c r="K1891" s="5" t="str">
        <f aca="false">IF($J1891=FALSE(),"",예약내역!$L1888*10000+ROW())</f>
        <v/>
      </c>
      <c r="L1891" s="5" t="str">
        <f aca="false">IF($K1891="","",RANK($K1891,$K$6:$K$2005,1))</f>
        <v/>
      </c>
    </row>
    <row r="1892" customFormat="false" ht="15" hidden="false" customHeight="true" outlineLevel="0" collapsed="false">
      <c r="J1892" s="21" t="b">
        <f aca="false">IF(예약내역!$A1889="",FALSE(),AND(예약내역!$A1889=$B$3,예약내역!$J1889&lt;&gt;"취소"))</f>
        <v>0</v>
      </c>
      <c r="K1892" s="5" t="str">
        <f aca="false">IF($J1892=FALSE(),"",예약내역!$L1889*10000+ROW())</f>
        <v/>
      </c>
      <c r="L1892" s="5" t="str">
        <f aca="false">IF($K1892="","",RANK($K1892,$K$6:$K$2005,1))</f>
        <v/>
      </c>
    </row>
    <row r="1893" customFormat="false" ht="15" hidden="false" customHeight="true" outlineLevel="0" collapsed="false">
      <c r="J1893" s="21" t="b">
        <f aca="false">IF(예약내역!$A1890="",FALSE(),AND(예약내역!$A1890=$B$3,예약내역!$J1890&lt;&gt;"취소"))</f>
        <v>0</v>
      </c>
      <c r="K1893" s="5" t="str">
        <f aca="false">IF($J1893=FALSE(),"",예약내역!$L1890*10000+ROW())</f>
        <v/>
      </c>
      <c r="L1893" s="5" t="str">
        <f aca="false">IF($K1893="","",RANK($K1893,$K$6:$K$2005,1))</f>
        <v/>
      </c>
    </row>
    <row r="1894" customFormat="false" ht="15" hidden="false" customHeight="true" outlineLevel="0" collapsed="false">
      <c r="J1894" s="21" t="b">
        <f aca="false">IF(예약내역!$A1891="",FALSE(),AND(예약내역!$A1891=$B$3,예약내역!$J1891&lt;&gt;"취소"))</f>
        <v>0</v>
      </c>
      <c r="K1894" s="5" t="str">
        <f aca="false">IF($J1894=FALSE(),"",예약내역!$L1891*10000+ROW())</f>
        <v/>
      </c>
      <c r="L1894" s="5" t="str">
        <f aca="false">IF($K1894="","",RANK($K1894,$K$6:$K$2005,1))</f>
        <v/>
      </c>
    </row>
    <row r="1895" customFormat="false" ht="15" hidden="false" customHeight="true" outlineLevel="0" collapsed="false">
      <c r="J1895" s="21" t="b">
        <f aca="false">IF(예약내역!$A1892="",FALSE(),AND(예약내역!$A1892=$B$3,예약내역!$J1892&lt;&gt;"취소"))</f>
        <v>0</v>
      </c>
      <c r="K1895" s="5" t="str">
        <f aca="false">IF($J1895=FALSE(),"",예약내역!$L1892*10000+ROW())</f>
        <v/>
      </c>
      <c r="L1895" s="5" t="str">
        <f aca="false">IF($K1895="","",RANK($K1895,$K$6:$K$2005,1))</f>
        <v/>
      </c>
    </row>
    <row r="1896" customFormat="false" ht="15" hidden="false" customHeight="true" outlineLevel="0" collapsed="false">
      <c r="J1896" s="21" t="b">
        <f aca="false">IF(예약내역!$A1893="",FALSE(),AND(예약내역!$A1893=$B$3,예약내역!$J1893&lt;&gt;"취소"))</f>
        <v>0</v>
      </c>
      <c r="K1896" s="5" t="str">
        <f aca="false">IF($J1896=FALSE(),"",예약내역!$L1893*10000+ROW())</f>
        <v/>
      </c>
      <c r="L1896" s="5" t="str">
        <f aca="false">IF($K1896="","",RANK($K1896,$K$6:$K$2005,1))</f>
        <v/>
      </c>
    </row>
    <row r="1897" customFormat="false" ht="15" hidden="false" customHeight="true" outlineLevel="0" collapsed="false">
      <c r="J1897" s="21" t="b">
        <f aca="false">IF(예약내역!$A1894="",FALSE(),AND(예약내역!$A1894=$B$3,예약내역!$J1894&lt;&gt;"취소"))</f>
        <v>0</v>
      </c>
      <c r="K1897" s="5" t="str">
        <f aca="false">IF($J1897=FALSE(),"",예약내역!$L1894*10000+ROW())</f>
        <v/>
      </c>
      <c r="L1897" s="5" t="str">
        <f aca="false">IF($K1897="","",RANK($K1897,$K$6:$K$2005,1))</f>
        <v/>
      </c>
    </row>
    <row r="1898" customFormat="false" ht="15" hidden="false" customHeight="true" outlineLevel="0" collapsed="false">
      <c r="J1898" s="21" t="b">
        <f aca="false">IF(예약내역!$A1895="",FALSE(),AND(예약내역!$A1895=$B$3,예약내역!$J1895&lt;&gt;"취소"))</f>
        <v>0</v>
      </c>
      <c r="K1898" s="5" t="str">
        <f aca="false">IF($J1898=FALSE(),"",예약내역!$L1895*10000+ROW())</f>
        <v/>
      </c>
      <c r="L1898" s="5" t="str">
        <f aca="false">IF($K1898="","",RANK($K1898,$K$6:$K$2005,1))</f>
        <v/>
      </c>
    </row>
    <row r="1899" customFormat="false" ht="15" hidden="false" customHeight="true" outlineLevel="0" collapsed="false">
      <c r="J1899" s="21" t="b">
        <f aca="false">IF(예약내역!$A1896="",FALSE(),AND(예약내역!$A1896=$B$3,예약내역!$J1896&lt;&gt;"취소"))</f>
        <v>0</v>
      </c>
      <c r="K1899" s="5" t="str">
        <f aca="false">IF($J1899=FALSE(),"",예약내역!$L1896*10000+ROW())</f>
        <v/>
      </c>
      <c r="L1899" s="5" t="str">
        <f aca="false">IF($K1899="","",RANK($K1899,$K$6:$K$2005,1))</f>
        <v/>
      </c>
    </row>
    <row r="1900" customFormat="false" ht="15" hidden="false" customHeight="true" outlineLevel="0" collapsed="false">
      <c r="J1900" s="21" t="b">
        <f aca="false">IF(예약내역!$A1897="",FALSE(),AND(예약내역!$A1897=$B$3,예약내역!$J1897&lt;&gt;"취소"))</f>
        <v>0</v>
      </c>
      <c r="K1900" s="5" t="str">
        <f aca="false">IF($J1900=FALSE(),"",예약내역!$L1897*10000+ROW())</f>
        <v/>
      </c>
      <c r="L1900" s="5" t="str">
        <f aca="false">IF($K1900="","",RANK($K1900,$K$6:$K$2005,1))</f>
        <v/>
      </c>
    </row>
    <row r="1901" customFormat="false" ht="15" hidden="false" customHeight="true" outlineLevel="0" collapsed="false">
      <c r="J1901" s="21" t="b">
        <f aca="false">IF(예약내역!$A1898="",FALSE(),AND(예약내역!$A1898=$B$3,예약내역!$J1898&lt;&gt;"취소"))</f>
        <v>0</v>
      </c>
      <c r="K1901" s="5" t="str">
        <f aca="false">IF($J1901=FALSE(),"",예약내역!$L1898*10000+ROW())</f>
        <v/>
      </c>
      <c r="L1901" s="5" t="str">
        <f aca="false">IF($K1901="","",RANK($K1901,$K$6:$K$2005,1))</f>
        <v/>
      </c>
    </row>
    <row r="1902" customFormat="false" ht="15" hidden="false" customHeight="true" outlineLevel="0" collapsed="false">
      <c r="J1902" s="21" t="b">
        <f aca="false">IF(예약내역!$A1899="",FALSE(),AND(예약내역!$A1899=$B$3,예약내역!$J1899&lt;&gt;"취소"))</f>
        <v>0</v>
      </c>
      <c r="K1902" s="5" t="str">
        <f aca="false">IF($J1902=FALSE(),"",예약내역!$L1899*10000+ROW())</f>
        <v/>
      </c>
      <c r="L1902" s="5" t="str">
        <f aca="false">IF($K1902="","",RANK($K1902,$K$6:$K$2005,1))</f>
        <v/>
      </c>
    </row>
    <row r="1903" customFormat="false" ht="15" hidden="false" customHeight="true" outlineLevel="0" collapsed="false">
      <c r="J1903" s="21" t="b">
        <f aca="false">IF(예약내역!$A1900="",FALSE(),AND(예약내역!$A1900=$B$3,예약내역!$J1900&lt;&gt;"취소"))</f>
        <v>0</v>
      </c>
      <c r="K1903" s="5" t="str">
        <f aca="false">IF($J1903=FALSE(),"",예약내역!$L1900*10000+ROW())</f>
        <v/>
      </c>
      <c r="L1903" s="5" t="str">
        <f aca="false">IF($K1903="","",RANK($K1903,$K$6:$K$2005,1))</f>
        <v/>
      </c>
    </row>
    <row r="1904" customFormat="false" ht="15" hidden="false" customHeight="true" outlineLevel="0" collapsed="false">
      <c r="J1904" s="21" t="b">
        <f aca="false">IF(예약내역!$A1901="",FALSE(),AND(예약내역!$A1901=$B$3,예약내역!$J1901&lt;&gt;"취소"))</f>
        <v>0</v>
      </c>
      <c r="K1904" s="5" t="str">
        <f aca="false">IF($J1904=FALSE(),"",예약내역!$L1901*10000+ROW())</f>
        <v/>
      </c>
      <c r="L1904" s="5" t="str">
        <f aca="false">IF($K1904="","",RANK($K1904,$K$6:$K$2005,1))</f>
        <v/>
      </c>
    </row>
    <row r="1905" customFormat="false" ht="15" hidden="false" customHeight="true" outlineLevel="0" collapsed="false">
      <c r="J1905" s="21" t="b">
        <f aca="false">IF(예약내역!$A1902="",FALSE(),AND(예약내역!$A1902=$B$3,예약내역!$J1902&lt;&gt;"취소"))</f>
        <v>0</v>
      </c>
      <c r="K1905" s="5" t="str">
        <f aca="false">IF($J1905=FALSE(),"",예약내역!$L1902*10000+ROW())</f>
        <v/>
      </c>
      <c r="L1905" s="5" t="str">
        <f aca="false">IF($K1905="","",RANK($K1905,$K$6:$K$2005,1))</f>
        <v/>
      </c>
    </row>
    <row r="1906" customFormat="false" ht="15" hidden="false" customHeight="true" outlineLevel="0" collapsed="false">
      <c r="J1906" s="21" t="b">
        <f aca="false">IF(예약내역!$A1903="",FALSE(),AND(예약내역!$A1903=$B$3,예약내역!$J1903&lt;&gt;"취소"))</f>
        <v>0</v>
      </c>
      <c r="K1906" s="5" t="str">
        <f aca="false">IF($J1906=FALSE(),"",예약내역!$L1903*10000+ROW())</f>
        <v/>
      </c>
      <c r="L1906" s="5" t="str">
        <f aca="false">IF($K1906="","",RANK($K1906,$K$6:$K$2005,1))</f>
        <v/>
      </c>
    </row>
    <row r="1907" customFormat="false" ht="15" hidden="false" customHeight="true" outlineLevel="0" collapsed="false">
      <c r="J1907" s="21" t="b">
        <f aca="false">IF(예약내역!$A1904="",FALSE(),AND(예약내역!$A1904=$B$3,예약내역!$J1904&lt;&gt;"취소"))</f>
        <v>0</v>
      </c>
      <c r="K1907" s="5" t="str">
        <f aca="false">IF($J1907=FALSE(),"",예약내역!$L1904*10000+ROW())</f>
        <v/>
      </c>
      <c r="L1907" s="5" t="str">
        <f aca="false">IF($K1907="","",RANK($K1907,$K$6:$K$2005,1))</f>
        <v/>
      </c>
    </row>
    <row r="1908" customFormat="false" ht="15" hidden="false" customHeight="true" outlineLevel="0" collapsed="false">
      <c r="J1908" s="21" t="b">
        <f aca="false">IF(예약내역!$A1905="",FALSE(),AND(예약내역!$A1905=$B$3,예약내역!$J1905&lt;&gt;"취소"))</f>
        <v>0</v>
      </c>
      <c r="K1908" s="5" t="str">
        <f aca="false">IF($J1908=FALSE(),"",예약내역!$L1905*10000+ROW())</f>
        <v/>
      </c>
      <c r="L1908" s="5" t="str">
        <f aca="false">IF($K1908="","",RANK($K1908,$K$6:$K$2005,1))</f>
        <v/>
      </c>
    </row>
    <row r="1909" customFormat="false" ht="15" hidden="false" customHeight="true" outlineLevel="0" collapsed="false">
      <c r="J1909" s="21" t="b">
        <f aca="false">IF(예약내역!$A1906="",FALSE(),AND(예약내역!$A1906=$B$3,예약내역!$J1906&lt;&gt;"취소"))</f>
        <v>0</v>
      </c>
      <c r="K1909" s="5" t="str">
        <f aca="false">IF($J1909=FALSE(),"",예약내역!$L1906*10000+ROW())</f>
        <v/>
      </c>
      <c r="L1909" s="5" t="str">
        <f aca="false">IF($K1909="","",RANK($K1909,$K$6:$K$2005,1))</f>
        <v/>
      </c>
    </row>
    <row r="1910" customFormat="false" ht="15" hidden="false" customHeight="true" outlineLevel="0" collapsed="false">
      <c r="J1910" s="21" t="b">
        <f aca="false">IF(예약내역!$A1907="",FALSE(),AND(예약내역!$A1907=$B$3,예약내역!$J1907&lt;&gt;"취소"))</f>
        <v>0</v>
      </c>
      <c r="K1910" s="5" t="str">
        <f aca="false">IF($J1910=FALSE(),"",예약내역!$L1907*10000+ROW())</f>
        <v/>
      </c>
      <c r="L1910" s="5" t="str">
        <f aca="false">IF($K1910="","",RANK($K1910,$K$6:$K$2005,1))</f>
        <v/>
      </c>
    </row>
    <row r="1911" customFormat="false" ht="15" hidden="false" customHeight="true" outlineLevel="0" collapsed="false">
      <c r="J1911" s="21" t="b">
        <f aca="false">IF(예약내역!$A1908="",FALSE(),AND(예약내역!$A1908=$B$3,예약내역!$J1908&lt;&gt;"취소"))</f>
        <v>0</v>
      </c>
      <c r="K1911" s="5" t="str">
        <f aca="false">IF($J1911=FALSE(),"",예약내역!$L1908*10000+ROW())</f>
        <v/>
      </c>
      <c r="L1911" s="5" t="str">
        <f aca="false">IF($K1911="","",RANK($K1911,$K$6:$K$2005,1))</f>
        <v/>
      </c>
    </row>
    <row r="1912" customFormat="false" ht="15" hidden="false" customHeight="true" outlineLevel="0" collapsed="false">
      <c r="J1912" s="21" t="b">
        <f aca="false">IF(예약내역!$A1909="",FALSE(),AND(예약내역!$A1909=$B$3,예약내역!$J1909&lt;&gt;"취소"))</f>
        <v>0</v>
      </c>
      <c r="K1912" s="5" t="str">
        <f aca="false">IF($J1912=FALSE(),"",예약내역!$L1909*10000+ROW())</f>
        <v/>
      </c>
      <c r="L1912" s="5" t="str">
        <f aca="false">IF($K1912="","",RANK($K1912,$K$6:$K$2005,1))</f>
        <v/>
      </c>
    </row>
    <row r="1913" customFormat="false" ht="15" hidden="false" customHeight="true" outlineLevel="0" collapsed="false">
      <c r="J1913" s="21" t="b">
        <f aca="false">IF(예약내역!$A1910="",FALSE(),AND(예약내역!$A1910=$B$3,예약내역!$J1910&lt;&gt;"취소"))</f>
        <v>0</v>
      </c>
      <c r="K1913" s="5" t="str">
        <f aca="false">IF($J1913=FALSE(),"",예약내역!$L1910*10000+ROW())</f>
        <v/>
      </c>
      <c r="L1913" s="5" t="str">
        <f aca="false">IF($K1913="","",RANK($K1913,$K$6:$K$2005,1))</f>
        <v/>
      </c>
    </row>
    <row r="1914" customFormat="false" ht="15" hidden="false" customHeight="true" outlineLevel="0" collapsed="false">
      <c r="J1914" s="21" t="b">
        <f aca="false">IF(예약내역!$A1911="",FALSE(),AND(예약내역!$A1911=$B$3,예약내역!$J1911&lt;&gt;"취소"))</f>
        <v>0</v>
      </c>
      <c r="K1914" s="5" t="str">
        <f aca="false">IF($J1914=FALSE(),"",예약내역!$L1911*10000+ROW())</f>
        <v/>
      </c>
      <c r="L1914" s="5" t="str">
        <f aca="false">IF($K1914="","",RANK($K1914,$K$6:$K$2005,1))</f>
        <v/>
      </c>
    </row>
    <row r="1915" customFormat="false" ht="15" hidden="false" customHeight="true" outlineLevel="0" collapsed="false">
      <c r="J1915" s="21" t="b">
        <f aca="false">IF(예약내역!$A1912="",FALSE(),AND(예약내역!$A1912=$B$3,예약내역!$J1912&lt;&gt;"취소"))</f>
        <v>0</v>
      </c>
      <c r="K1915" s="5" t="str">
        <f aca="false">IF($J1915=FALSE(),"",예약내역!$L1912*10000+ROW())</f>
        <v/>
      </c>
      <c r="L1915" s="5" t="str">
        <f aca="false">IF($K1915="","",RANK($K1915,$K$6:$K$2005,1))</f>
        <v/>
      </c>
    </row>
    <row r="1916" customFormat="false" ht="15" hidden="false" customHeight="true" outlineLevel="0" collapsed="false">
      <c r="J1916" s="21" t="b">
        <f aca="false">IF(예약내역!$A1913="",FALSE(),AND(예약내역!$A1913=$B$3,예약내역!$J1913&lt;&gt;"취소"))</f>
        <v>0</v>
      </c>
      <c r="K1916" s="5" t="str">
        <f aca="false">IF($J1916=FALSE(),"",예약내역!$L1913*10000+ROW())</f>
        <v/>
      </c>
      <c r="L1916" s="5" t="str">
        <f aca="false">IF($K1916="","",RANK($K1916,$K$6:$K$2005,1))</f>
        <v/>
      </c>
    </row>
    <row r="1917" customFormat="false" ht="15" hidden="false" customHeight="true" outlineLevel="0" collapsed="false">
      <c r="J1917" s="21" t="b">
        <f aca="false">IF(예약내역!$A1914="",FALSE(),AND(예약내역!$A1914=$B$3,예약내역!$J1914&lt;&gt;"취소"))</f>
        <v>0</v>
      </c>
      <c r="K1917" s="5" t="str">
        <f aca="false">IF($J1917=FALSE(),"",예약내역!$L1914*10000+ROW())</f>
        <v/>
      </c>
      <c r="L1917" s="5" t="str">
        <f aca="false">IF($K1917="","",RANK($K1917,$K$6:$K$2005,1))</f>
        <v/>
      </c>
    </row>
    <row r="1918" customFormat="false" ht="15" hidden="false" customHeight="true" outlineLevel="0" collapsed="false">
      <c r="J1918" s="21" t="b">
        <f aca="false">IF(예약내역!$A1915="",FALSE(),AND(예약내역!$A1915=$B$3,예약내역!$J1915&lt;&gt;"취소"))</f>
        <v>0</v>
      </c>
      <c r="K1918" s="5" t="str">
        <f aca="false">IF($J1918=FALSE(),"",예약내역!$L1915*10000+ROW())</f>
        <v/>
      </c>
      <c r="L1918" s="5" t="str">
        <f aca="false">IF($K1918="","",RANK($K1918,$K$6:$K$2005,1))</f>
        <v/>
      </c>
    </row>
    <row r="1919" customFormat="false" ht="15" hidden="false" customHeight="true" outlineLevel="0" collapsed="false">
      <c r="J1919" s="21" t="b">
        <f aca="false">IF(예약내역!$A1916="",FALSE(),AND(예약내역!$A1916=$B$3,예약내역!$J1916&lt;&gt;"취소"))</f>
        <v>0</v>
      </c>
      <c r="K1919" s="5" t="str">
        <f aca="false">IF($J1919=FALSE(),"",예약내역!$L1916*10000+ROW())</f>
        <v/>
      </c>
      <c r="L1919" s="5" t="str">
        <f aca="false">IF($K1919="","",RANK($K1919,$K$6:$K$2005,1))</f>
        <v/>
      </c>
    </row>
    <row r="1920" customFormat="false" ht="15" hidden="false" customHeight="true" outlineLevel="0" collapsed="false">
      <c r="J1920" s="21" t="b">
        <f aca="false">IF(예약내역!$A1917="",FALSE(),AND(예약내역!$A1917=$B$3,예약내역!$J1917&lt;&gt;"취소"))</f>
        <v>0</v>
      </c>
      <c r="K1920" s="5" t="str">
        <f aca="false">IF($J1920=FALSE(),"",예약내역!$L1917*10000+ROW())</f>
        <v/>
      </c>
      <c r="L1920" s="5" t="str">
        <f aca="false">IF($K1920="","",RANK($K1920,$K$6:$K$2005,1))</f>
        <v/>
      </c>
    </row>
    <row r="1921" customFormat="false" ht="15" hidden="false" customHeight="true" outlineLevel="0" collapsed="false">
      <c r="J1921" s="21" t="b">
        <f aca="false">IF(예약내역!$A1918="",FALSE(),AND(예약내역!$A1918=$B$3,예약내역!$J1918&lt;&gt;"취소"))</f>
        <v>0</v>
      </c>
      <c r="K1921" s="5" t="str">
        <f aca="false">IF($J1921=FALSE(),"",예약내역!$L1918*10000+ROW())</f>
        <v/>
      </c>
      <c r="L1921" s="5" t="str">
        <f aca="false">IF($K1921="","",RANK($K1921,$K$6:$K$2005,1))</f>
        <v/>
      </c>
    </row>
    <row r="1922" customFormat="false" ht="15" hidden="false" customHeight="true" outlineLevel="0" collapsed="false">
      <c r="J1922" s="21" t="b">
        <f aca="false">IF(예약내역!$A1919="",FALSE(),AND(예약내역!$A1919=$B$3,예약내역!$J1919&lt;&gt;"취소"))</f>
        <v>0</v>
      </c>
      <c r="K1922" s="5" t="str">
        <f aca="false">IF($J1922=FALSE(),"",예약내역!$L1919*10000+ROW())</f>
        <v/>
      </c>
      <c r="L1922" s="5" t="str">
        <f aca="false">IF($K1922="","",RANK($K1922,$K$6:$K$2005,1))</f>
        <v/>
      </c>
    </row>
    <row r="1923" customFormat="false" ht="15" hidden="false" customHeight="true" outlineLevel="0" collapsed="false">
      <c r="J1923" s="21" t="b">
        <f aca="false">IF(예약내역!$A1920="",FALSE(),AND(예약내역!$A1920=$B$3,예약내역!$J1920&lt;&gt;"취소"))</f>
        <v>0</v>
      </c>
      <c r="K1923" s="5" t="str">
        <f aca="false">IF($J1923=FALSE(),"",예약내역!$L1920*10000+ROW())</f>
        <v/>
      </c>
      <c r="L1923" s="5" t="str">
        <f aca="false">IF($K1923="","",RANK($K1923,$K$6:$K$2005,1))</f>
        <v/>
      </c>
    </row>
    <row r="1924" customFormat="false" ht="15" hidden="false" customHeight="true" outlineLevel="0" collapsed="false">
      <c r="J1924" s="21" t="b">
        <f aca="false">IF(예약내역!$A1921="",FALSE(),AND(예약내역!$A1921=$B$3,예약내역!$J1921&lt;&gt;"취소"))</f>
        <v>0</v>
      </c>
      <c r="K1924" s="5" t="str">
        <f aca="false">IF($J1924=FALSE(),"",예약내역!$L1921*10000+ROW())</f>
        <v/>
      </c>
      <c r="L1924" s="5" t="str">
        <f aca="false">IF($K1924="","",RANK($K1924,$K$6:$K$2005,1))</f>
        <v/>
      </c>
    </row>
    <row r="1925" customFormat="false" ht="15" hidden="false" customHeight="true" outlineLevel="0" collapsed="false">
      <c r="J1925" s="21" t="b">
        <f aca="false">IF(예약내역!$A1922="",FALSE(),AND(예약내역!$A1922=$B$3,예약내역!$J1922&lt;&gt;"취소"))</f>
        <v>0</v>
      </c>
      <c r="K1925" s="5" t="str">
        <f aca="false">IF($J1925=FALSE(),"",예약내역!$L1922*10000+ROW())</f>
        <v/>
      </c>
      <c r="L1925" s="5" t="str">
        <f aca="false">IF($K1925="","",RANK($K1925,$K$6:$K$2005,1))</f>
        <v/>
      </c>
    </row>
    <row r="1926" customFormat="false" ht="15" hidden="false" customHeight="true" outlineLevel="0" collapsed="false">
      <c r="J1926" s="21" t="b">
        <f aca="false">IF(예약내역!$A1923="",FALSE(),AND(예약내역!$A1923=$B$3,예약내역!$J1923&lt;&gt;"취소"))</f>
        <v>0</v>
      </c>
      <c r="K1926" s="5" t="str">
        <f aca="false">IF($J1926=FALSE(),"",예약내역!$L1923*10000+ROW())</f>
        <v/>
      </c>
      <c r="L1926" s="5" t="str">
        <f aca="false">IF($K1926="","",RANK($K1926,$K$6:$K$2005,1))</f>
        <v/>
      </c>
    </row>
    <row r="1927" customFormat="false" ht="15" hidden="false" customHeight="true" outlineLevel="0" collapsed="false">
      <c r="J1927" s="21" t="b">
        <f aca="false">IF(예약내역!$A1924="",FALSE(),AND(예약내역!$A1924=$B$3,예약내역!$J1924&lt;&gt;"취소"))</f>
        <v>0</v>
      </c>
      <c r="K1927" s="5" t="str">
        <f aca="false">IF($J1927=FALSE(),"",예약내역!$L1924*10000+ROW())</f>
        <v/>
      </c>
      <c r="L1927" s="5" t="str">
        <f aca="false">IF($K1927="","",RANK($K1927,$K$6:$K$2005,1))</f>
        <v/>
      </c>
    </row>
    <row r="1928" customFormat="false" ht="15" hidden="false" customHeight="true" outlineLevel="0" collapsed="false">
      <c r="J1928" s="21" t="b">
        <f aca="false">IF(예약내역!$A1925="",FALSE(),AND(예약내역!$A1925=$B$3,예약내역!$J1925&lt;&gt;"취소"))</f>
        <v>0</v>
      </c>
      <c r="K1928" s="5" t="str">
        <f aca="false">IF($J1928=FALSE(),"",예약내역!$L1925*10000+ROW())</f>
        <v/>
      </c>
      <c r="L1928" s="5" t="str">
        <f aca="false">IF($K1928="","",RANK($K1928,$K$6:$K$2005,1))</f>
        <v/>
      </c>
    </row>
    <row r="1929" customFormat="false" ht="15" hidden="false" customHeight="true" outlineLevel="0" collapsed="false">
      <c r="J1929" s="21" t="b">
        <f aca="false">IF(예약내역!$A1926="",FALSE(),AND(예약내역!$A1926=$B$3,예약내역!$J1926&lt;&gt;"취소"))</f>
        <v>0</v>
      </c>
      <c r="K1929" s="5" t="str">
        <f aca="false">IF($J1929=FALSE(),"",예약내역!$L1926*10000+ROW())</f>
        <v/>
      </c>
      <c r="L1929" s="5" t="str">
        <f aca="false">IF($K1929="","",RANK($K1929,$K$6:$K$2005,1))</f>
        <v/>
      </c>
    </row>
    <row r="1930" customFormat="false" ht="15" hidden="false" customHeight="true" outlineLevel="0" collapsed="false">
      <c r="J1930" s="21" t="b">
        <f aca="false">IF(예약내역!$A1927="",FALSE(),AND(예약내역!$A1927=$B$3,예약내역!$J1927&lt;&gt;"취소"))</f>
        <v>0</v>
      </c>
      <c r="K1930" s="5" t="str">
        <f aca="false">IF($J1930=FALSE(),"",예약내역!$L1927*10000+ROW())</f>
        <v/>
      </c>
      <c r="L1930" s="5" t="str">
        <f aca="false">IF($K1930="","",RANK($K1930,$K$6:$K$2005,1))</f>
        <v/>
      </c>
    </row>
    <row r="1931" customFormat="false" ht="15" hidden="false" customHeight="true" outlineLevel="0" collapsed="false">
      <c r="J1931" s="21" t="b">
        <f aca="false">IF(예약내역!$A1928="",FALSE(),AND(예약내역!$A1928=$B$3,예약내역!$J1928&lt;&gt;"취소"))</f>
        <v>0</v>
      </c>
      <c r="K1931" s="5" t="str">
        <f aca="false">IF($J1931=FALSE(),"",예약내역!$L1928*10000+ROW())</f>
        <v/>
      </c>
      <c r="L1931" s="5" t="str">
        <f aca="false">IF($K1931="","",RANK($K1931,$K$6:$K$2005,1))</f>
        <v/>
      </c>
    </row>
    <row r="1932" customFormat="false" ht="15" hidden="false" customHeight="true" outlineLevel="0" collapsed="false">
      <c r="J1932" s="21" t="b">
        <f aca="false">IF(예약내역!$A1929="",FALSE(),AND(예약내역!$A1929=$B$3,예약내역!$J1929&lt;&gt;"취소"))</f>
        <v>0</v>
      </c>
      <c r="K1932" s="5" t="str">
        <f aca="false">IF($J1932=FALSE(),"",예약내역!$L1929*10000+ROW())</f>
        <v/>
      </c>
      <c r="L1932" s="5" t="str">
        <f aca="false">IF($K1932="","",RANK($K1932,$K$6:$K$2005,1))</f>
        <v/>
      </c>
    </row>
    <row r="1933" customFormat="false" ht="15" hidden="false" customHeight="true" outlineLevel="0" collapsed="false">
      <c r="J1933" s="21" t="b">
        <f aca="false">IF(예약내역!$A1930="",FALSE(),AND(예약내역!$A1930=$B$3,예약내역!$J1930&lt;&gt;"취소"))</f>
        <v>0</v>
      </c>
      <c r="K1933" s="5" t="str">
        <f aca="false">IF($J1933=FALSE(),"",예약내역!$L1930*10000+ROW())</f>
        <v/>
      </c>
      <c r="L1933" s="5" t="str">
        <f aca="false">IF($K1933="","",RANK($K1933,$K$6:$K$2005,1))</f>
        <v/>
      </c>
    </row>
    <row r="1934" customFormat="false" ht="15" hidden="false" customHeight="true" outlineLevel="0" collapsed="false">
      <c r="J1934" s="21" t="b">
        <f aca="false">IF(예약내역!$A1931="",FALSE(),AND(예약내역!$A1931=$B$3,예약내역!$J1931&lt;&gt;"취소"))</f>
        <v>0</v>
      </c>
      <c r="K1934" s="5" t="str">
        <f aca="false">IF($J1934=FALSE(),"",예약내역!$L1931*10000+ROW())</f>
        <v/>
      </c>
      <c r="L1934" s="5" t="str">
        <f aca="false">IF($K1934="","",RANK($K1934,$K$6:$K$2005,1))</f>
        <v/>
      </c>
    </row>
    <row r="1935" customFormat="false" ht="15" hidden="false" customHeight="true" outlineLevel="0" collapsed="false">
      <c r="J1935" s="21" t="b">
        <f aca="false">IF(예약내역!$A1932="",FALSE(),AND(예약내역!$A1932=$B$3,예약내역!$J1932&lt;&gt;"취소"))</f>
        <v>0</v>
      </c>
      <c r="K1935" s="5" t="str">
        <f aca="false">IF($J1935=FALSE(),"",예약내역!$L1932*10000+ROW())</f>
        <v/>
      </c>
      <c r="L1935" s="5" t="str">
        <f aca="false">IF($K1935="","",RANK($K1935,$K$6:$K$2005,1))</f>
        <v/>
      </c>
    </row>
    <row r="1936" customFormat="false" ht="15" hidden="false" customHeight="true" outlineLevel="0" collapsed="false">
      <c r="J1936" s="21" t="b">
        <f aca="false">IF(예약내역!$A1933="",FALSE(),AND(예약내역!$A1933=$B$3,예약내역!$J1933&lt;&gt;"취소"))</f>
        <v>0</v>
      </c>
      <c r="K1936" s="5" t="str">
        <f aca="false">IF($J1936=FALSE(),"",예약내역!$L1933*10000+ROW())</f>
        <v/>
      </c>
      <c r="L1936" s="5" t="str">
        <f aca="false">IF($K1936="","",RANK($K1936,$K$6:$K$2005,1))</f>
        <v/>
      </c>
    </row>
    <row r="1937" customFormat="false" ht="15" hidden="false" customHeight="true" outlineLevel="0" collapsed="false">
      <c r="J1937" s="21" t="b">
        <f aca="false">IF(예약내역!$A1934="",FALSE(),AND(예약내역!$A1934=$B$3,예약내역!$J1934&lt;&gt;"취소"))</f>
        <v>0</v>
      </c>
      <c r="K1937" s="5" t="str">
        <f aca="false">IF($J1937=FALSE(),"",예약내역!$L1934*10000+ROW())</f>
        <v/>
      </c>
      <c r="L1937" s="5" t="str">
        <f aca="false">IF($K1937="","",RANK($K1937,$K$6:$K$2005,1))</f>
        <v/>
      </c>
    </row>
    <row r="1938" customFormat="false" ht="15" hidden="false" customHeight="true" outlineLevel="0" collapsed="false">
      <c r="J1938" s="21" t="b">
        <f aca="false">IF(예약내역!$A1935="",FALSE(),AND(예약내역!$A1935=$B$3,예약내역!$J1935&lt;&gt;"취소"))</f>
        <v>0</v>
      </c>
      <c r="K1938" s="5" t="str">
        <f aca="false">IF($J1938=FALSE(),"",예약내역!$L1935*10000+ROW())</f>
        <v/>
      </c>
      <c r="L1938" s="5" t="str">
        <f aca="false">IF($K1938="","",RANK($K1938,$K$6:$K$2005,1))</f>
        <v/>
      </c>
    </row>
    <row r="1939" customFormat="false" ht="15" hidden="false" customHeight="true" outlineLevel="0" collapsed="false">
      <c r="J1939" s="21" t="b">
        <f aca="false">IF(예약내역!$A1936="",FALSE(),AND(예약내역!$A1936=$B$3,예약내역!$J1936&lt;&gt;"취소"))</f>
        <v>0</v>
      </c>
      <c r="K1939" s="5" t="str">
        <f aca="false">IF($J1939=FALSE(),"",예약내역!$L1936*10000+ROW())</f>
        <v/>
      </c>
      <c r="L1939" s="5" t="str">
        <f aca="false">IF($K1939="","",RANK($K1939,$K$6:$K$2005,1))</f>
        <v/>
      </c>
    </row>
    <row r="1940" customFormat="false" ht="15" hidden="false" customHeight="true" outlineLevel="0" collapsed="false">
      <c r="J1940" s="21" t="b">
        <f aca="false">IF(예약내역!$A1937="",FALSE(),AND(예약내역!$A1937=$B$3,예약내역!$J1937&lt;&gt;"취소"))</f>
        <v>0</v>
      </c>
      <c r="K1940" s="5" t="str">
        <f aca="false">IF($J1940=FALSE(),"",예약내역!$L1937*10000+ROW())</f>
        <v/>
      </c>
      <c r="L1940" s="5" t="str">
        <f aca="false">IF($K1940="","",RANK($K1940,$K$6:$K$2005,1))</f>
        <v/>
      </c>
    </row>
    <row r="1941" customFormat="false" ht="15" hidden="false" customHeight="true" outlineLevel="0" collapsed="false">
      <c r="J1941" s="21" t="b">
        <f aca="false">IF(예약내역!$A1938="",FALSE(),AND(예약내역!$A1938=$B$3,예약내역!$J1938&lt;&gt;"취소"))</f>
        <v>0</v>
      </c>
      <c r="K1941" s="5" t="str">
        <f aca="false">IF($J1941=FALSE(),"",예약내역!$L1938*10000+ROW())</f>
        <v/>
      </c>
      <c r="L1941" s="5" t="str">
        <f aca="false">IF($K1941="","",RANK($K1941,$K$6:$K$2005,1))</f>
        <v/>
      </c>
    </row>
    <row r="1942" customFormat="false" ht="15" hidden="false" customHeight="true" outlineLevel="0" collapsed="false">
      <c r="J1942" s="21" t="b">
        <f aca="false">IF(예약내역!$A1939="",FALSE(),AND(예약내역!$A1939=$B$3,예약내역!$J1939&lt;&gt;"취소"))</f>
        <v>0</v>
      </c>
      <c r="K1942" s="5" t="str">
        <f aca="false">IF($J1942=FALSE(),"",예약내역!$L1939*10000+ROW())</f>
        <v/>
      </c>
      <c r="L1942" s="5" t="str">
        <f aca="false">IF($K1942="","",RANK($K1942,$K$6:$K$2005,1))</f>
        <v/>
      </c>
    </row>
    <row r="1943" customFormat="false" ht="15" hidden="false" customHeight="true" outlineLevel="0" collapsed="false">
      <c r="J1943" s="21" t="b">
        <f aca="false">IF(예약내역!$A1940="",FALSE(),AND(예약내역!$A1940=$B$3,예약내역!$J1940&lt;&gt;"취소"))</f>
        <v>0</v>
      </c>
      <c r="K1943" s="5" t="str">
        <f aca="false">IF($J1943=FALSE(),"",예약내역!$L1940*10000+ROW())</f>
        <v/>
      </c>
      <c r="L1943" s="5" t="str">
        <f aca="false">IF($K1943="","",RANK($K1943,$K$6:$K$2005,1))</f>
        <v/>
      </c>
    </row>
    <row r="1944" customFormat="false" ht="15" hidden="false" customHeight="true" outlineLevel="0" collapsed="false">
      <c r="J1944" s="21" t="b">
        <f aca="false">IF(예약내역!$A1941="",FALSE(),AND(예약내역!$A1941=$B$3,예약내역!$J1941&lt;&gt;"취소"))</f>
        <v>0</v>
      </c>
      <c r="K1944" s="5" t="str">
        <f aca="false">IF($J1944=FALSE(),"",예약내역!$L1941*10000+ROW())</f>
        <v/>
      </c>
      <c r="L1944" s="5" t="str">
        <f aca="false">IF($K1944="","",RANK($K1944,$K$6:$K$2005,1))</f>
        <v/>
      </c>
    </row>
    <row r="1945" customFormat="false" ht="15" hidden="false" customHeight="true" outlineLevel="0" collapsed="false">
      <c r="J1945" s="21" t="b">
        <f aca="false">IF(예약내역!$A1942="",FALSE(),AND(예약내역!$A1942=$B$3,예약내역!$J1942&lt;&gt;"취소"))</f>
        <v>0</v>
      </c>
      <c r="K1945" s="5" t="str">
        <f aca="false">IF($J1945=FALSE(),"",예약내역!$L1942*10000+ROW())</f>
        <v/>
      </c>
      <c r="L1945" s="5" t="str">
        <f aca="false">IF($K1945="","",RANK($K1945,$K$6:$K$2005,1))</f>
        <v/>
      </c>
    </row>
    <row r="1946" customFormat="false" ht="15" hidden="false" customHeight="true" outlineLevel="0" collapsed="false">
      <c r="J1946" s="21" t="b">
        <f aca="false">IF(예약내역!$A1943="",FALSE(),AND(예약내역!$A1943=$B$3,예약내역!$J1943&lt;&gt;"취소"))</f>
        <v>0</v>
      </c>
      <c r="K1946" s="5" t="str">
        <f aca="false">IF($J1946=FALSE(),"",예약내역!$L1943*10000+ROW())</f>
        <v/>
      </c>
      <c r="L1946" s="5" t="str">
        <f aca="false">IF($K1946="","",RANK($K1946,$K$6:$K$2005,1))</f>
        <v/>
      </c>
    </row>
    <row r="1947" customFormat="false" ht="15" hidden="false" customHeight="true" outlineLevel="0" collapsed="false">
      <c r="J1947" s="21" t="b">
        <f aca="false">IF(예약내역!$A1944="",FALSE(),AND(예약내역!$A1944=$B$3,예약내역!$J1944&lt;&gt;"취소"))</f>
        <v>0</v>
      </c>
      <c r="K1947" s="5" t="str">
        <f aca="false">IF($J1947=FALSE(),"",예약내역!$L1944*10000+ROW())</f>
        <v/>
      </c>
      <c r="L1947" s="5" t="str">
        <f aca="false">IF($K1947="","",RANK($K1947,$K$6:$K$2005,1))</f>
        <v/>
      </c>
    </row>
    <row r="1948" customFormat="false" ht="15" hidden="false" customHeight="true" outlineLevel="0" collapsed="false">
      <c r="J1948" s="21" t="b">
        <f aca="false">IF(예약내역!$A1945="",FALSE(),AND(예약내역!$A1945=$B$3,예약내역!$J1945&lt;&gt;"취소"))</f>
        <v>0</v>
      </c>
      <c r="K1948" s="5" t="str">
        <f aca="false">IF($J1948=FALSE(),"",예약내역!$L1945*10000+ROW())</f>
        <v/>
      </c>
      <c r="L1948" s="5" t="str">
        <f aca="false">IF($K1948="","",RANK($K1948,$K$6:$K$2005,1))</f>
        <v/>
      </c>
    </row>
    <row r="1949" customFormat="false" ht="15" hidden="false" customHeight="true" outlineLevel="0" collapsed="false">
      <c r="J1949" s="21" t="b">
        <f aca="false">IF(예약내역!$A1946="",FALSE(),AND(예약내역!$A1946=$B$3,예약내역!$J1946&lt;&gt;"취소"))</f>
        <v>0</v>
      </c>
      <c r="K1949" s="5" t="str">
        <f aca="false">IF($J1949=FALSE(),"",예약내역!$L1946*10000+ROW())</f>
        <v/>
      </c>
      <c r="L1949" s="5" t="str">
        <f aca="false">IF($K1949="","",RANK($K1949,$K$6:$K$2005,1))</f>
        <v/>
      </c>
    </row>
    <row r="1950" customFormat="false" ht="15" hidden="false" customHeight="true" outlineLevel="0" collapsed="false">
      <c r="J1950" s="21" t="b">
        <f aca="false">IF(예약내역!$A1947="",FALSE(),AND(예약내역!$A1947=$B$3,예약내역!$J1947&lt;&gt;"취소"))</f>
        <v>0</v>
      </c>
      <c r="K1950" s="5" t="str">
        <f aca="false">IF($J1950=FALSE(),"",예약내역!$L1947*10000+ROW())</f>
        <v/>
      </c>
      <c r="L1950" s="5" t="str">
        <f aca="false">IF($K1950="","",RANK($K1950,$K$6:$K$2005,1))</f>
        <v/>
      </c>
    </row>
    <row r="1951" customFormat="false" ht="15" hidden="false" customHeight="true" outlineLevel="0" collapsed="false">
      <c r="J1951" s="21" t="b">
        <f aca="false">IF(예약내역!$A1948="",FALSE(),AND(예약내역!$A1948=$B$3,예약내역!$J1948&lt;&gt;"취소"))</f>
        <v>0</v>
      </c>
      <c r="K1951" s="5" t="str">
        <f aca="false">IF($J1951=FALSE(),"",예약내역!$L1948*10000+ROW())</f>
        <v/>
      </c>
      <c r="L1951" s="5" t="str">
        <f aca="false">IF($K1951="","",RANK($K1951,$K$6:$K$2005,1))</f>
        <v/>
      </c>
    </row>
    <row r="1952" customFormat="false" ht="15" hidden="false" customHeight="true" outlineLevel="0" collapsed="false">
      <c r="J1952" s="21" t="b">
        <f aca="false">IF(예약내역!$A1949="",FALSE(),AND(예약내역!$A1949=$B$3,예약내역!$J1949&lt;&gt;"취소"))</f>
        <v>0</v>
      </c>
      <c r="K1952" s="5" t="str">
        <f aca="false">IF($J1952=FALSE(),"",예약내역!$L1949*10000+ROW())</f>
        <v/>
      </c>
      <c r="L1952" s="5" t="str">
        <f aca="false">IF($K1952="","",RANK($K1952,$K$6:$K$2005,1))</f>
        <v/>
      </c>
    </row>
    <row r="1953" customFormat="false" ht="15" hidden="false" customHeight="true" outlineLevel="0" collapsed="false">
      <c r="J1953" s="21" t="b">
        <f aca="false">IF(예약내역!$A1950="",FALSE(),AND(예약내역!$A1950=$B$3,예약내역!$J1950&lt;&gt;"취소"))</f>
        <v>0</v>
      </c>
      <c r="K1953" s="5" t="str">
        <f aca="false">IF($J1953=FALSE(),"",예약내역!$L1950*10000+ROW())</f>
        <v/>
      </c>
      <c r="L1953" s="5" t="str">
        <f aca="false">IF($K1953="","",RANK($K1953,$K$6:$K$2005,1))</f>
        <v/>
      </c>
    </row>
    <row r="1954" customFormat="false" ht="15" hidden="false" customHeight="true" outlineLevel="0" collapsed="false">
      <c r="J1954" s="21" t="b">
        <f aca="false">IF(예약내역!$A1951="",FALSE(),AND(예약내역!$A1951=$B$3,예약내역!$J1951&lt;&gt;"취소"))</f>
        <v>0</v>
      </c>
      <c r="K1954" s="5" t="str">
        <f aca="false">IF($J1954=FALSE(),"",예약내역!$L1951*10000+ROW())</f>
        <v/>
      </c>
      <c r="L1954" s="5" t="str">
        <f aca="false">IF($K1954="","",RANK($K1954,$K$6:$K$2005,1))</f>
        <v/>
      </c>
    </row>
    <row r="1955" customFormat="false" ht="15" hidden="false" customHeight="true" outlineLevel="0" collapsed="false">
      <c r="J1955" s="21" t="b">
        <f aca="false">IF(예약내역!$A1952="",FALSE(),AND(예약내역!$A1952=$B$3,예약내역!$J1952&lt;&gt;"취소"))</f>
        <v>0</v>
      </c>
      <c r="K1955" s="5" t="str">
        <f aca="false">IF($J1955=FALSE(),"",예약내역!$L1952*10000+ROW())</f>
        <v/>
      </c>
      <c r="L1955" s="5" t="str">
        <f aca="false">IF($K1955="","",RANK($K1955,$K$6:$K$2005,1))</f>
        <v/>
      </c>
    </row>
    <row r="1956" customFormat="false" ht="15" hidden="false" customHeight="true" outlineLevel="0" collapsed="false">
      <c r="J1956" s="21" t="b">
        <f aca="false">IF(예약내역!$A1953="",FALSE(),AND(예약내역!$A1953=$B$3,예약내역!$J1953&lt;&gt;"취소"))</f>
        <v>0</v>
      </c>
      <c r="K1956" s="5" t="str">
        <f aca="false">IF($J1956=FALSE(),"",예약내역!$L1953*10000+ROW())</f>
        <v/>
      </c>
      <c r="L1956" s="5" t="str">
        <f aca="false">IF($K1956="","",RANK($K1956,$K$6:$K$2005,1))</f>
        <v/>
      </c>
    </row>
    <row r="1957" customFormat="false" ht="15" hidden="false" customHeight="true" outlineLevel="0" collapsed="false">
      <c r="J1957" s="21" t="b">
        <f aca="false">IF(예약내역!$A1954="",FALSE(),AND(예약내역!$A1954=$B$3,예약내역!$J1954&lt;&gt;"취소"))</f>
        <v>0</v>
      </c>
      <c r="K1957" s="5" t="str">
        <f aca="false">IF($J1957=FALSE(),"",예약내역!$L1954*10000+ROW())</f>
        <v/>
      </c>
      <c r="L1957" s="5" t="str">
        <f aca="false">IF($K1957="","",RANK($K1957,$K$6:$K$2005,1))</f>
        <v/>
      </c>
    </row>
    <row r="1958" customFormat="false" ht="15" hidden="false" customHeight="true" outlineLevel="0" collapsed="false">
      <c r="J1958" s="21" t="b">
        <f aca="false">IF(예약내역!$A1955="",FALSE(),AND(예약내역!$A1955=$B$3,예약내역!$J1955&lt;&gt;"취소"))</f>
        <v>0</v>
      </c>
      <c r="K1958" s="5" t="str">
        <f aca="false">IF($J1958=FALSE(),"",예약내역!$L1955*10000+ROW())</f>
        <v/>
      </c>
      <c r="L1958" s="5" t="str">
        <f aca="false">IF($K1958="","",RANK($K1958,$K$6:$K$2005,1))</f>
        <v/>
      </c>
    </row>
    <row r="1959" customFormat="false" ht="15" hidden="false" customHeight="true" outlineLevel="0" collapsed="false">
      <c r="J1959" s="21" t="b">
        <f aca="false">IF(예약내역!$A1956="",FALSE(),AND(예약내역!$A1956=$B$3,예약내역!$J1956&lt;&gt;"취소"))</f>
        <v>0</v>
      </c>
      <c r="K1959" s="5" t="str">
        <f aca="false">IF($J1959=FALSE(),"",예약내역!$L1956*10000+ROW())</f>
        <v/>
      </c>
      <c r="L1959" s="5" t="str">
        <f aca="false">IF($K1959="","",RANK($K1959,$K$6:$K$2005,1))</f>
        <v/>
      </c>
    </row>
    <row r="1960" customFormat="false" ht="15" hidden="false" customHeight="true" outlineLevel="0" collapsed="false">
      <c r="J1960" s="21" t="b">
        <f aca="false">IF(예약내역!$A1957="",FALSE(),AND(예약내역!$A1957=$B$3,예약내역!$J1957&lt;&gt;"취소"))</f>
        <v>0</v>
      </c>
      <c r="K1960" s="5" t="str">
        <f aca="false">IF($J1960=FALSE(),"",예약내역!$L1957*10000+ROW())</f>
        <v/>
      </c>
      <c r="L1960" s="5" t="str">
        <f aca="false">IF($K1960="","",RANK($K1960,$K$6:$K$2005,1))</f>
        <v/>
      </c>
    </row>
    <row r="1961" customFormat="false" ht="15" hidden="false" customHeight="true" outlineLevel="0" collapsed="false">
      <c r="J1961" s="21" t="b">
        <f aca="false">IF(예약내역!$A1958="",FALSE(),AND(예약내역!$A1958=$B$3,예약내역!$J1958&lt;&gt;"취소"))</f>
        <v>0</v>
      </c>
      <c r="K1961" s="5" t="str">
        <f aca="false">IF($J1961=FALSE(),"",예약내역!$L1958*10000+ROW())</f>
        <v/>
      </c>
      <c r="L1961" s="5" t="str">
        <f aca="false">IF($K1961="","",RANK($K1961,$K$6:$K$2005,1))</f>
        <v/>
      </c>
    </row>
    <row r="1962" customFormat="false" ht="15" hidden="false" customHeight="true" outlineLevel="0" collapsed="false">
      <c r="J1962" s="21" t="b">
        <f aca="false">IF(예약내역!$A1959="",FALSE(),AND(예약내역!$A1959=$B$3,예약내역!$J1959&lt;&gt;"취소"))</f>
        <v>0</v>
      </c>
      <c r="K1962" s="5" t="str">
        <f aca="false">IF($J1962=FALSE(),"",예약내역!$L1959*10000+ROW())</f>
        <v/>
      </c>
      <c r="L1962" s="5" t="str">
        <f aca="false">IF($K1962="","",RANK($K1962,$K$6:$K$2005,1))</f>
        <v/>
      </c>
    </row>
    <row r="1963" customFormat="false" ht="15" hidden="false" customHeight="true" outlineLevel="0" collapsed="false">
      <c r="J1963" s="21" t="b">
        <f aca="false">IF(예약내역!$A1960="",FALSE(),AND(예약내역!$A1960=$B$3,예약내역!$J1960&lt;&gt;"취소"))</f>
        <v>0</v>
      </c>
      <c r="K1963" s="5" t="str">
        <f aca="false">IF($J1963=FALSE(),"",예약내역!$L1960*10000+ROW())</f>
        <v/>
      </c>
      <c r="L1963" s="5" t="str">
        <f aca="false">IF($K1963="","",RANK($K1963,$K$6:$K$2005,1))</f>
        <v/>
      </c>
    </row>
    <row r="1964" customFormat="false" ht="15" hidden="false" customHeight="true" outlineLevel="0" collapsed="false">
      <c r="J1964" s="21" t="b">
        <f aca="false">IF(예약내역!$A1961="",FALSE(),AND(예약내역!$A1961=$B$3,예약내역!$J1961&lt;&gt;"취소"))</f>
        <v>0</v>
      </c>
      <c r="K1964" s="5" t="str">
        <f aca="false">IF($J1964=FALSE(),"",예약내역!$L1961*10000+ROW())</f>
        <v/>
      </c>
      <c r="L1964" s="5" t="str">
        <f aca="false">IF($K1964="","",RANK($K1964,$K$6:$K$2005,1))</f>
        <v/>
      </c>
    </row>
    <row r="1965" customFormat="false" ht="15" hidden="false" customHeight="true" outlineLevel="0" collapsed="false">
      <c r="J1965" s="21" t="b">
        <f aca="false">IF(예약내역!$A1962="",FALSE(),AND(예약내역!$A1962=$B$3,예약내역!$J1962&lt;&gt;"취소"))</f>
        <v>0</v>
      </c>
      <c r="K1965" s="5" t="str">
        <f aca="false">IF($J1965=FALSE(),"",예약내역!$L1962*10000+ROW())</f>
        <v/>
      </c>
      <c r="L1965" s="5" t="str">
        <f aca="false">IF($K1965="","",RANK($K1965,$K$6:$K$2005,1))</f>
        <v/>
      </c>
    </row>
    <row r="1966" customFormat="false" ht="15" hidden="false" customHeight="true" outlineLevel="0" collapsed="false">
      <c r="J1966" s="21" t="b">
        <f aca="false">IF(예약내역!$A1963="",FALSE(),AND(예약내역!$A1963=$B$3,예약내역!$J1963&lt;&gt;"취소"))</f>
        <v>0</v>
      </c>
      <c r="K1966" s="5" t="str">
        <f aca="false">IF($J1966=FALSE(),"",예약내역!$L1963*10000+ROW())</f>
        <v/>
      </c>
      <c r="L1966" s="5" t="str">
        <f aca="false">IF($K1966="","",RANK($K1966,$K$6:$K$2005,1))</f>
        <v/>
      </c>
    </row>
    <row r="1967" customFormat="false" ht="15" hidden="false" customHeight="true" outlineLevel="0" collapsed="false">
      <c r="J1967" s="21" t="b">
        <f aca="false">IF(예약내역!$A1964="",FALSE(),AND(예약내역!$A1964=$B$3,예약내역!$J1964&lt;&gt;"취소"))</f>
        <v>0</v>
      </c>
      <c r="K1967" s="5" t="str">
        <f aca="false">IF($J1967=FALSE(),"",예약내역!$L1964*10000+ROW())</f>
        <v/>
      </c>
      <c r="L1967" s="5" t="str">
        <f aca="false">IF($K1967="","",RANK($K1967,$K$6:$K$2005,1))</f>
        <v/>
      </c>
    </row>
    <row r="1968" customFormat="false" ht="15" hidden="false" customHeight="true" outlineLevel="0" collapsed="false">
      <c r="J1968" s="21" t="b">
        <f aca="false">IF(예약내역!$A1965="",FALSE(),AND(예약내역!$A1965=$B$3,예약내역!$J1965&lt;&gt;"취소"))</f>
        <v>0</v>
      </c>
      <c r="K1968" s="5" t="str">
        <f aca="false">IF($J1968=FALSE(),"",예약내역!$L1965*10000+ROW())</f>
        <v/>
      </c>
      <c r="L1968" s="5" t="str">
        <f aca="false">IF($K1968="","",RANK($K1968,$K$6:$K$2005,1))</f>
        <v/>
      </c>
    </row>
    <row r="1969" customFormat="false" ht="15" hidden="false" customHeight="true" outlineLevel="0" collapsed="false">
      <c r="J1969" s="21" t="b">
        <f aca="false">IF(예약내역!$A1966="",FALSE(),AND(예약내역!$A1966=$B$3,예약내역!$J1966&lt;&gt;"취소"))</f>
        <v>0</v>
      </c>
      <c r="K1969" s="5" t="str">
        <f aca="false">IF($J1969=FALSE(),"",예약내역!$L1966*10000+ROW())</f>
        <v/>
      </c>
      <c r="L1969" s="5" t="str">
        <f aca="false">IF($K1969="","",RANK($K1969,$K$6:$K$2005,1))</f>
        <v/>
      </c>
    </row>
    <row r="1970" customFormat="false" ht="15" hidden="false" customHeight="true" outlineLevel="0" collapsed="false">
      <c r="J1970" s="21" t="b">
        <f aca="false">IF(예약내역!$A1967="",FALSE(),AND(예약내역!$A1967=$B$3,예약내역!$J1967&lt;&gt;"취소"))</f>
        <v>0</v>
      </c>
      <c r="K1970" s="5" t="str">
        <f aca="false">IF($J1970=FALSE(),"",예약내역!$L1967*10000+ROW())</f>
        <v/>
      </c>
      <c r="L1970" s="5" t="str">
        <f aca="false">IF($K1970="","",RANK($K1970,$K$6:$K$2005,1))</f>
        <v/>
      </c>
    </row>
    <row r="1971" customFormat="false" ht="15" hidden="false" customHeight="true" outlineLevel="0" collapsed="false">
      <c r="J1971" s="21" t="b">
        <f aca="false">IF(예약내역!$A1968="",FALSE(),AND(예약내역!$A1968=$B$3,예약내역!$J1968&lt;&gt;"취소"))</f>
        <v>0</v>
      </c>
      <c r="K1971" s="5" t="str">
        <f aca="false">IF($J1971=FALSE(),"",예약내역!$L1968*10000+ROW())</f>
        <v/>
      </c>
      <c r="L1971" s="5" t="str">
        <f aca="false">IF($K1971="","",RANK($K1971,$K$6:$K$2005,1))</f>
        <v/>
      </c>
    </row>
    <row r="1972" customFormat="false" ht="15" hidden="false" customHeight="true" outlineLevel="0" collapsed="false">
      <c r="J1972" s="21" t="b">
        <f aca="false">IF(예약내역!$A1969="",FALSE(),AND(예약내역!$A1969=$B$3,예약내역!$J1969&lt;&gt;"취소"))</f>
        <v>0</v>
      </c>
      <c r="K1972" s="5" t="str">
        <f aca="false">IF($J1972=FALSE(),"",예약내역!$L1969*10000+ROW())</f>
        <v/>
      </c>
      <c r="L1972" s="5" t="str">
        <f aca="false">IF($K1972="","",RANK($K1972,$K$6:$K$2005,1))</f>
        <v/>
      </c>
    </row>
    <row r="1973" customFormat="false" ht="15" hidden="false" customHeight="true" outlineLevel="0" collapsed="false">
      <c r="J1973" s="21" t="b">
        <f aca="false">IF(예약내역!$A1970="",FALSE(),AND(예약내역!$A1970=$B$3,예약내역!$J1970&lt;&gt;"취소"))</f>
        <v>0</v>
      </c>
      <c r="K1973" s="5" t="str">
        <f aca="false">IF($J1973=FALSE(),"",예약내역!$L1970*10000+ROW())</f>
        <v/>
      </c>
      <c r="L1973" s="5" t="str">
        <f aca="false">IF($K1973="","",RANK($K1973,$K$6:$K$2005,1))</f>
        <v/>
      </c>
    </row>
    <row r="1974" customFormat="false" ht="15" hidden="false" customHeight="true" outlineLevel="0" collapsed="false">
      <c r="J1974" s="21" t="b">
        <f aca="false">IF(예약내역!$A1971="",FALSE(),AND(예약내역!$A1971=$B$3,예약내역!$J1971&lt;&gt;"취소"))</f>
        <v>0</v>
      </c>
      <c r="K1974" s="5" t="str">
        <f aca="false">IF($J1974=FALSE(),"",예약내역!$L1971*10000+ROW())</f>
        <v/>
      </c>
      <c r="L1974" s="5" t="str">
        <f aca="false">IF($K1974="","",RANK($K1974,$K$6:$K$2005,1))</f>
        <v/>
      </c>
    </row>
    <row r="1975" customFormat="false" ht="15" hidden="false" customHeight="true" outlineLevel="0" collapsed="false">
      <c r="J1975" s="21" t="b">
        <f aca="false">IF(예약내역!$A1972="",FALSE(),AND(예약내역!$A1972=$B$3,예약내역!$J1972&lt;&gt;"취소"))</f>
        <v>0</v>
      </c>
      <c r="K1975" s="5" t="str">
        <f aca="false">IF($J1975=FALSE(),"",예약내역!$L1972*10000+ROW())</f>
        <v/>
      </c>
      <c r="L1975" s="5" t="str">
        <f aca="false">IF($K1975="","",RANK($K1975,$K$6:$K$2005,1))</f>
        <v/>
      </c>
    </row>
    <row r="1976" customFormat="false" ht="15" hidden="false" customHeight="true" outlineLevel="0" collapsed="false">
      <c r="J1976" s="21" t="b">
        <f aca="false">IF(예약내역!$A1973="",FALSE(),AND(예약내역!$A1973=$B$3,예약내역!$J1973&lt;&gt;"취소"))</f>
        <v>0</v>
      </c>
      <c r="K1976" s="5" t="str">
        <f aca="false">IF($J1976=FALSE(),"",예약내역!$L1973*10000+ROW())</f>
        <v/>
      </c>
      <c r="L1976" s="5" t="str">
        <f aca="false">IF($K1976="","",RANK($K1976,$K$6:$K$2005,1))</f>
        <v/>
      </c>
    </row>
    <row r="1977" customFormat="false" ht="15" hidden="false" customHeight="true" outlineLevel="0" collapsed="false">
      <c r="J1977" s="21" t="b">
        <f aca="false">IF(예약내역!$A1974="",FALSE(),AND(예약내역!$A1974=$B$3,예약내역!$J1974&lt;&gt;"취소"))</f>
        <v>0</v>
      </c>
      <c r="K1977" s="5" t="str">
        <f aca="false">IF($J1977=FALSE(),"",예약내역!$L1974*10000+ROW())</f>
        <v/>
      </c>
      <c r="L1977" s="5" t="str">
        <f aca="false">IF($K1977="","",RANK($K1977,$K$6:$K$2005,1))</f>
        <v/>
      </c>
    </row>
    <row r="1978" customFormat="false" ht="15" hidden="false" customHeight="true" outlineLevel="0" collapsed="false">
      <c r="J1978" s="21" t="b">
        <f aca="false">IF(예약내역!$A1975="",FALSE(),AND(예약내역!$A1975=$B$3,예약내역!$J1975&lt;&gt;"취소"))</f>
        <v>0</v>
      </c>
      <c r="K1978" s="5" t="str">
        <f aca="false">IF($J1978=FALSE(),"",예약내역!$L1975*10000+ROW())</f>
        <v/>
      </c>
      <c r="L1978" s="5" t="str">
        <f aca="false">IF($K1978="","",RANK($K1978,$K$6:$K$2005,1))</f>
        <v/>
      </c>
    </row>
    <row r="1979" customFormat="false" ht="15" hidden="false" customHeight="true" outlineLevel="0" collapsed="false">
      <c r="J1979" s="21" t="b">
        <f aca="false">IF(예약내역!$A1976="",FALSE(),AND(예약내역!$A1976=$B$3,예약내역!$J1976&lt;&gt;"취소"))</f>
        <v>0</v>
      </c>
      <c r="K1979" s="5" t="str">
        <f aca="false">IF($J1979=FALSE(),"",예약내역!$L1976*10000+ROW())</f>
        <v/>
      </c>
      <c r="L1979" s="5" t="str">
        <f aca="false">IF($K1979="","",RANK($K1979,$K$6:$K$2005,1))</f>
        <v/>
      </c>
    </row>
    <row r="1980" customFormat="false" ht="15" hidden="false" customHeight="true" outlineLevel="0" collapsed="false">
      <c r="J1980" s="21" t="b">
        <f aca="false">IF(예약내역!$A1977="",FALSE(),AND(예약내역!$A1977=$B$3,예약내역!$J1977&lt;&gt;"취소"))</f>
        <v>0</v>
      </c>
      <c r="K1980" s="5" t="str">
        <f aca="false">IF($J1980=FALSE(),"",예약내역!$L1977*10000+ROW())</f>
        <v/>
      </c>
      <c r="L1980" s="5" t="str">
        <f aca="false">IF($K1980="","",RANK($K1980,$K$6:$K$2005,1))</f>
        <v/>
      </c>
    </row>
    <row r="1981" customFormat="false" ht="15" hidden="false" customHeight="true" outlineLevel="0" collapsed="false">
      <c r="J1981" s="21" t="b">
        <f aca="false">IF(예약내역!$A1978="",FALSE(),AND(예약내역!$A1978=$B$3,예약내역!$J1978&lt;&gt;"취소"))</f>
        <v>0</v>
      </c>
      <c r="K1981" s="5" t="str">
        <f aca="false">IF($J1981=FALSE(),"",예약내역!$L1978*10000+ROW())</f>
        <v/>
      </c>
      <c r="L1981" s="5" t="str">
        <f aca="false">IF($K1981="","",RANK($K1981,$K$6:$K$2005,1))</f>
        <v/>
      </c>
    </row>
    <row r="1982" customFormat="false" ht="15" hidden="false" customHeight="true" outlineLevel="0" collapsed="false">
      <c r="J1982" s="21" t="b">
        <f aca="false">IF(예약내역!$A1979="",FALSE(),AND(예약내역!$A1979=$B$3,예약내역!$J1979&lt;&gt;"취소"))</f>
        <v>0</v>
      </c>
      <c r="K1982" s="5" t="str">
        <f aca="false">IF($J1982=FALSE(),"",예약내역!$L1979*10000+ROW())</f>
        <v/>
      </c>
      <c r="L1982" s="5" t="str">
        <f aca="false">IF($K1982="","",RANK($K1982,$K$6:$K$2005,1))</f>
        <v/>
      </c>
    </row>
    <row r="1983" customFormat="false" ht="15" hidden="false" customHeight="true" outlineLevel="0" collapsed="false">
      <c r="J1983" s="21" t="b">
        <f aca="false">IF(예약내역!$A1980="",FALSE(),AND(예약내역!$A1980=$B$3,예약내역!$J1980&lt;&gt;"취소"))</f>
        <v>0</v>
      </c>
      <c r="K1983" s="5" t="str">
        <f aca="false">IF($J1983=FALSE(),"",예약내역!$L1980*10000+ROW())</f>
        <v/>
      </c>
      <c r="L1983" s="5" t="str">
        <f aca="false">IF($K1983="","",RANK($K1983,$K$6:$K$2005,1))</f>
        <v/>
      </c>
    </row>
    <row r="1984" customFormat="false" ht="15" hidden="false" customHeight="true" outlineLevel="0" collapsed="false">
      <c r="J1984" s="21" t="b">
        <f aca="false">IF(예약내역!$A1981="",FALSE(),AND(예약내역!$A1981=$B$3,예약내역!$J1981&lt;&gt;"취소"))</f>
        <v>0</v>
      </c>
      <c r="K1984" s="5" t="str">
        <f aca="false">IF($J1984=FALSE(),"",예약내역!$L1981*10000+ROW())</f>
        <v/>
      </c>
      <c r="L1984" s="5" t="str">
        <f aca="false">IF($K1984="","",RANK($K1984,$K$6:$K$2005,1))</f>
        <v/>
      </c>
    </row>
    <row r="1985" customFormat="false" ht="15" hidden="false" customHeight="true" outlineLevel="0" collapsed="false">
      <c r="J1985" s="21" t="b">
        <f aca="false">IF(예약내역!$A1982="",FALSE(),AND(예약내역!$A1982=$B$3,예약내역!$J1982&lt;&gt;"취소"))</f>
        <v>0</v>
      </c>
      <c r="K1985" s="5" t="str">
        <f aca="false">IF($J1985=FALSE(),"",예약내역!$L1982*10000+ROW())</f>
        <v/>
      </c>
      <c r="L1985" s="5" t="str">
        <f aca="false">IF($K1985="","",RANK($K1985,$K$6:$K$2005,1))</f>
        <v/>
      </c>
    </row>
    <row r="1986" customFormat="false" ht="15" hidden="false" customHeight="true" outlineLevel="0" collapsed="false">
      <c r="J1986" s="21" t="b">
        <f aca="false">IF(예약내역!$A1983="",FALSE(),AND(예약내역!$A1983=$B$3,예약내역!$J1983&lt;&gt;"취소"))</f>
        <v>0</v>
      </c>
      <c r="K1986" s="5" t="str">
        <f aca="false">IF($J1986=FALSE(),"",예약내역!$L1983*10000+ROW())</f>
        <v/>
      </c>
      <c r="L1986" s="5" t="str">
        <f aca="false">IF($K1986="","",RANK($K1986,$K$6:$K$2005,1))</f>
        <v/>
      </c>
    </row>
    <row r="1987" customFormat="false" ht="15" hidden="false" customHeight="true" outlineLevel="0" collapsed="false">
      <c r="J1987" s="21" t="b">
        <f aca="false">IF(예약내역!$A1984="",FALSE(),AND(예약내역!$A1984=$B$3,예약내역!$J1984&lt;&gt;"취소"))</f>
        <v>0</v>
      </c>
      <c r="K1987" s="5" t="str">
        <f aca="false">IF($J1987=FALSE(),"",예약내역!$L1984*10000+ROW())</f>
        <v/>
      </c>
      <c r="L1987" s="5" t="str">
        <f aca="false">IF($K1987="","",RANK($K1987,$K$6:$K$2005,1))</f>
        <v/>
      </c>
    </row>
    <row r="1988" customFormat="false" ht="15" hidden="false" customHeight="true" outlineLevel="0" collapsed="false">
      <c r="J1988" s="21" t="b">
        <f aca="false">IF(예약내역!$A1985="",FALSE(),AND(예약내역!$A1985=$B$3,예약내역!$J1985&lt;&gt;"취소"))</f>
        <v>0</v>
      </c>
      <c r="K1988" s="5" t="str">
        <f aca="false">IF($J1988=FALSE(),"",예약내역!$L1985*10000+ROW())</f>
        <v/>
      </c>
      <c r="L1988" s="5" t="str">
        <f aca="false">IF($K1988="","",RANK($K1988,$K$6:$K$2005,1))</f>
        <v/>
      </c>
    </row>
    <row r="1989" customFormat="false" ht="15" hidden="false" customHeight="true" outlineLevel="0" collapsed="false">
      <c r="J1989" s="21" t="b">
        <f aca="false">IF(예약내역!$A1986="",FALSE(),AND(예약내역!$A1986=$B$3,예약내역!$J1986&lt;&gt;"취소"))</f>
        <v>0</v>
      </c>
      <c r="K1989" s="5" t="str">
        <f aca="false">IF($J1989=FALSE(),"",예약내역!$L1986*10000+ROW())</f>
        <v/>
      </c>
      <c r="L1989" s="5" t="str">
        <f aca="false">IF($K1989="","",RANK($K1989,$K$6:$K$2005,1))</f>
        <v/>
      </c>
    </row>
    <row r="1990" customFormat="false" ht="15" hidden="false" customHeight="true" outlineLevel="0" collapsed="false">
      <c r="J1990" s="21" t="b">
        <f aca="false">IF(예약내역!$A1987="",FALSE(),AND(예약내역!$A1987=$B$3,예약내역!$J1987&lt;&gt;"취소"))</f>
        <v>0</v>
      </c>
      <c r="K1990" s="5" t="str">
        <f aca="false">IF($J1990=FALSE(),"",예약내역!$L1987*10000+ROW())</f>
        <v/>
      </c>
      <c r="L1990" s="5" t="str">
        <f aca="false">IF($K1990="","",RANK($K1990,$K$6:$K$2005,1))</f>
        <v/>
      </c>
    </row>
    <row r="1991" customFormat="false" ht="15" hidden="false" customHeight="true" outlineLevel="0" collapsed="false">
      <c r="J1991" s="21" t="b">
        <f aca="false">IF(예약내역!$A1988="",FALSE(),AND(예약내역!$A1988=$B$3,예약내역!$J1988&lt;&gt;"취소"))</f>
        <v>0</v>
      </c>
      <c r="K1991" s="5" t="str">
        <f aca="false">IF($J1991=FALSE(),"",예약내역!$L1988*10000+ROW())</f>
        <v/>
      </c>
      <c r="L1991" s="5" t="str">
        <f aca="false">IF($K1991="","",RANK($K1991,$K$6:$K$2005,1))</f>
        <v/>
      </c>
    </row>
    <row r="1992" customFormat="false" ht="15" hidden="false" customHeight="true" outlineLevel="0" collapsed="false">
      <c r="J1992" s="21" t="b">
        <f aca="false">IF(예약내역!$A1989="",FALSE(),AND(예약내역!$A1989=$B$3,예약내역!$J1989&lt;&gt;"취소"))</f>
        <v>0</v>
      </c>
      <c r="K1992" s="5" t="str">
        <f aca="false">IF($J1992=FALSE(),"",예약내역!$L1989*10000+ROW())</f>
        <v/>
      </c>
      <c r="L1992" s="5" t="str">
        <f aca="false">IF($K1992="","",RANK($K1992,$K$6:$K$2005,1))</f>
        <v/>
      </c>
    </row>
    <row r="1993" customFormat="false" ht="15" hidden="false" customHeight="true" outlineLevel="0" collapsed="false">
      <c r="J1993" s="21" t="b">
        <f aca="false">IF(예약내역!$A1990="",FALSE(),AND(예약내역!$A1990=$B$3,예약내역!$J1990&lt;&gt;"취소"))</f>
        <v>0</v>
      </c>
      <c r="K1993" s="5" t="str">
        <f aca="false">IF($J1993=FALSE(),"",예약내역!$L1990*10000+ROW())</f>
        <v/>
      </c>
      <c r="L1993" s="5" t="str">
        <f aca="false">IF($K1993="","",RANK($K1993,$K$6:$K$2005,1))</f>
        <v/>
      </c>
    </row>
    <row r="1994" customFormat="false" ht="15" hidden="false" customHeight="true" outlineLevel="0" collapsed="false">
      <c r="J1994" s="21" t="b">
        <f aca="false">IF(예약내역!$A1991="",FALSE(),AND(예약내역!$A1991=$B$3,예약내역!$J1991&lt;&gt;"취소"))</f>
        <v>0</v>
      </c>
      <c r="K1994" s="5" t="str">
        <f aca="false">IF($J1994=FALSE(),"",예약내역!$L1991*10000+ROW())</f>
        <v/>
      </c>
      <c r="L1994" s="5" t="str">
        <f aca="false">IF($K1994="","",RANK($K1994,$K$6:$K$2005,1))</f>
        <v/>
      </c>
    </row>
    <row r="1995" customFormat="false" ht="15" hidden="false" customHeight="true" outlineLevel="0" collapsed="false">
      <c r="J1995" s="21" t="b">
        <f aca="false">IF(예약내역!$A1992="",FALSE(),AND(예약내역!$A1992=$B$3,예약내역!$J1992&lt;&gt;"취소"))</f>
        <v>0</v>
      </c>
      <c r="K1995" s="5" t="str">
        <f aca="false">IF($J1995=FALSE(),"",예약내역!$L1992*10000+ROW())</f>
        <v/>
      </c>
      <c r="L1995" s="5" t="str">
        <f aca="false">IF($K1995="","",RANK($K1995,$K$6:$K$2005,1))</f>
        <v/>
      </c>
    </row>
    <row r="1996" customFormat="false" ht="15" hidden="false" customHeight="true" outlineLevel="0" collapsed="false">
      <c r="J1996" s="21" t="b">
        <f aca="false">IF(예약내역!$A1993="",FALSE(),AND(예약내역!$A1993=$B$3,예약내역!$J1993&lt;&gt;"취소"))</f>
        <v>0</v>
      </c>
      <c r="K1996" s="5" t="str">
        <f aca="false">IF($J1996=FALSE(),"",예약내역!$L1993*10000+ROW())</f>
        <v/>
      </c>
      <c r="L1996" s="5" t="str">
        <f aca="false">IF($K1996="","",RANK($K1996,$K$6:$K$2005,1))</f>
        <v/>
      </c>
    </row>
    <row r="1997" customFormat="false" ht="15" hidden="false" customHeight="true" outlineLevel="0" collapsed="false">
      <c r="J1997" s="21" t="b">
        <f aca="false">IF(예약내역!$A1994="",FALSE(),AND(예약내역!$A1994=$B$3,예약내역!$J1994&lt;&gt;"취소"))</f>
        <v>0</v>
      </c>
      <c r="K1997" s="5" t="str">
        <f aca="false">IF($J1997=FALSE(),"",예약내역!$L1994*10000+ROW())</f>
        <v/>
      </c>
      <c r="L1997" s="5" t="str">
        <f aca="false">IF($K1997="","",RANK($K1997,$K$6:$K$2005,1))</f>
        <v/>
      </c>
    </row>
    <row r="1998" customFormat="false" ht="15" hidden="false" customHeight="true" outlineLevel="0" collapsed="false">
      <c r="J1998" s="21" t="b">
        <f aca="false">IF(예약내역!$A1995="",FALSE(),AND(예약내역!$A1995=$B$3,예약내역!$J1995&lt;&gt;"취소"))</f>
        <v>0</v>
      </c>
      <c r="K1998" s="5" t="str">
        <f aca="false">IF($J1998=FALSE(),"",예약내역!$L1995*10000+ROW())</f>
        <v/>
      </c>
      <c r="L1998" s="5" t="str">
        <f aca="false">IF($K1998="","",RANK($K1998,$K$6:$K$2005,1))</f>
        <v/>
      </c>
    </row>
    <row r="1999" customFormat="false" ht="15" hidden="false" customHeight="true" outlineLevel="0" collapsed="false">
      <c r="J1999" s="21" t="b">
        <f aca="false">IF(예약내역!$A1996="",FALSE(),AND(예약내역!$A1996=$B$3,예약내역!$J1996&lt;&gt;"취소"))</f>
        <v>0</v>
      </c>
      <c r="K1999" s="5" t="str">
        <f aca="false">IF($J1999=FALSE(),"",예약내역!$L1996*10000+ROW())</f>
        <v/>
      </c>
      <c r="L1999" s="5" t="str">
        <f aca="false">IF($K1999="","",RANK($K1999,$K$6:$K$2005,1))</f>
        <v/>
      </c>
    </row>
    <row r="2000" customFormat="false" ht="15" hidden="false" customHeight="true" outlineLevel="0" collapsed="false">
      <c r="J2000" s="21" t="b">
        <f aca="false">IF(예약내역!$A1997="",FALSE(),AND(예약내역!$A1997=$B$3,예약내역!$J1997&lt;&gt;"취소"))</f>
        <v>0</v>
      </c>
      <c r="K2000" s="5" t="str">
        <f aca="false">IF($J2000=FALSE(),"",예약내역!$L1997*10000+ROW())</f>
        <v/>
      </c>
      <c r="L2000" s="5" t="str">
        <f aca="false">IF($K2000="","",RANK($K2000,$K$6:$K$2005,1))</f>
        <v/>
      </c>
    </row>
    <row r="2001" customFormat="false" ht="15" hidden="false" customHeight="true" outlineLevel="0" collapsed="false">
      <c r="J2001" s="21" t="b">
        <f aca="false">IF(예약내역!$A1998="",FALSE(),AND(예약내역!$A1998=$B$3,예약내역!$J1998&lt;&gt;"취소"))</f>
        <v>0</v>
      </c>
      <c r="K2001" s="5" t="str">
        <f aca="false">IF($J2001=FALSE(),"",예약내역!$L1998*10000+ROW())</f>
        <v/>
      </c>
      <c r="L2001" s="5" t="str">
        <f aca="false">IF($K2001="","",RANK($K2001,$K$6:$K$2005,1))</f>
        <v/>
      </c>
    </row>
    <row r="2002" customFormat="false" ht="15" hidden="false" customHeight="true" outlineLevel="0" collapsed="false">
      <c r="J2002" s="21" t="b">
        <f aca="false">IF(예약내역!$A1999="",FALSE(),AND(예약내역!$A1999=$B$3,예약내역!$J1999&lt;&gt;"취소"))</f>
        <v>0</v>
      </c>
      <c r="K2002" s="5" t="str">
        <f aca="false">IF($J2002=FALSE(),"",예약내역!$L1999*10000+ROW())</f>
        <v/>
      </c>
      <c r="L2002" s="5" t="str">
        <f aca="false">IF($K2002="","",RANK($K2002,$K$6:$K$2005,1))</f>
        <v/>
      </c>
    </row>
    <row r="2003" customFormat="false" ht="15" hidden="false" customHeight="true" outlineLevel="0" collapsed="false">
      <c r="J2003" s="21" t="b">
        <f aca="false">IF(예약내역!$A2000="",FALSE(),AND(예약내역!$A2000=$B$3,예약내역!$J2000&lt;&gt;"취소"))</f>
        <v>0</v>
      </c>
      <c r="K2003" s="5" t="str">
        <f aca="false">IF($J2003=FALSE(),"",예약내역!$L2000*10000+ROW())</f>
        <v/>
      </c>
      <c r="L2003" s="5" t="str">
        <f aca="false">IF($K2003="","",RANK($K2003,$K$6:$K$2005,1))</f>
        <v/>
      </c>
    </row>
    <row r="2004" customFormat="false" ht="15" hidden="false" customHeight="true" outlineLevel="0" collapsed="false">
      <c r="J2004" s="21" t="b">
        <f aca="false">IF(예약내역!$A2001="",FALSE(),AND(예약내역!$A2001=$B$3,예약내역!$J2001&lt;&gt;"취소"))</f>
        <v>0</v>
      </c>
      <c r="K2004" s="5" t="str">
        <f aca="false">IF($J2004=FALSE(),"",예약내역!$L2001*10000+ROW())</f>
        <v/>
      </c>
      <c r="L2004" s="5" t="str">
        <f aca="false">IF($K2004="","",RANK($K2004,$K$6:$K$2005,1))</f>
        <v/>
      </c>
    </row>
    <row r="2005" customFormat="false" ht="15" hidden="false" customHeight="true" outlineLevel="0" collapsed="false">
      <c r="J2005" s="21" t="b">
        <f aca="false">IF(예약내역!$A2002="",FALSE(),AND(예약내역!$A2002=$B$3,예약내역!$J2002&lt;&gt;"취소"))</f>
        <v>0</v>
      </c>
      <c r="K2005" s="5" t="str">
        <f aca="false">IF($J2005=FALSE(),"",예약내역!$L2002*10000+ROW())</f>
        <v/>
      </c>
      <c r="L2005" s="5" t="str">
        <f aca="false">IF($K2005="","",RANK($K2005,$K$6:$K$2005,1))</f>
        <v/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7" min="5" style="1" width="11"/>
  </cols>
  <sheetData>
    <row r="1" customFormat="false" ht="25.5" hidden="false" customHeight="true" outlineLevel="0" collapsed="false">
      <c r="A1" s="2" t="s">
        <v>75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76</v>
      </c>
      <c r="B3" s="22" t="n">
        <v>2026</v>
      </c>
      <c r="C3" s="3" t="s">
        <v>77</v>
      </c>
      <c r="D3" s="22" t="n">
        <v>9</v>
      </c>
      <c r="E3" s="5" t="s">
        <v>78</v>
      </c>
    </row>
    <row r="5" customFormat="false" ht="15" hidden="false" customHeight="true" outlineLevel="0" collapsed="false">
      <c r="A5" s="6" t="s">
        <v>25</v>
      </c>
      <c r="B5" s="6" t="s">
        <v>26</v>
      </c>
      <c r="C5" s="6" t="s">
        <v>66</v>
      </c>
      <c r="D5" s="6" t="s">
        <v>79</v>
      </c>
      <c r="E5" s="6" t="s">
        <v>80</v>
      </c>
      <c r="F5" s="6" t="s">
        <v>81</v>
      </c>
      <c r="G5" s="6" t="s">
        <v>82</v>
      </c>
    </row>
    <row r="6" customFormat="false" ht="15" hidden="false" customHeight="true" outlineLevel="0" collapsed="false">
      <c r="A6" s="12" t="str">
        <f aca="false">IF(자원목록!$A3="","",자원목록!$A3)</f>
        <v>R01</v>
      </c>
      <c r="B6" s="12" t="str">
        <f aca="false">IF($A6="","",자원목록!$B3)</f>
        <v>1번 방</v>
      </c>
      <c r="C6" s="15" t="n">
        <f aca="false">IF($A6="","",COUNTIFS(예약내역!$B$3:$B$2002,$A6,예약내역!$J$3:$J$2002,"&lt;&gt;취소",예약내역!$A$3:$A$2002,"&gt;="&amp;DATE($B$3,$D$3,1),예약내역!$A$3:$A$2002,"&lt;="&amp;EOMONTH(DATE($B$3,$D$3,1),0)))</f>
        <v>3</v>
      </c>
      <c r="D6" s="14" t="n">
        <f aca="false">IF($A6="","",ROUND(SUMIFS(예약내역!$H$3:$H$2002,예약내역!$B$3:$B$2002,$A6,예약내역!$J$3:$J$2002,"&lt;&gt;취소",예약내역!$A$3:$A$2002,"&gt;="&amp;DATE($B$3,$D$3,1),예약내역!$A$3:$A$2002,"&lt;="&amp;EOMONTH(DATE($B$3,$D$3,1),0)),2))</f>
        <v>5.5</v>
      </c>
      <c r="E6" s="15" t="n">
        <f aca="false">IF($A6="","",COUNTIFS(예약내역!$B$3:$B$2002,$A6,예약내역!$J$3:$J$2002,"취소",예약내역!$A$3:$A$2002,"&gt;="&amp;DATE($B$3,$D$3,1),예약내역!$A$3:$A$2002,"&lt;="&amp;EOMONTH(DATE($B$3,$D$3,1),0)))</f>
        <v>0</v>
      </c>
      <c r="F6" s="15" t="n">
        <f aca="false">IF($A6="","",COUNTIFS(예약내역!$B$3:$B$2002,$A6,예약내역!$J$3:$J$2002,"노쇼",예약내역!$A$3:$A$2002,"&gt;="&amp;DATE($B$3,$D$3,1),예약내역!$A$3:$A$2002,"&lt;="&amp;EOMONTH(DATE($B$3,$D$3,1),0)))</f>
        <v>0</v>
      </c>
      <c r="G6" s="15" t="n">
        <f aca="false">IF($A6="","",COUNTIFS(예약내역!$B$3:$B$2002,$A6,예약내역!$N$3:$N$2002,"중복",예약내역!$A$3:$A$2002,"&gt;="&amp;DATE($B$3,$D$3,1),예약내역!$A$3:$A$2002,"&lt;="&amp;EOMONTH(DATE($B$3,$D$3,1),0)))</f>
        <v>2</v>
      </c>
    </row>
    <row r="7" customFormat="false" ht="15" hidden="false" customHeight="true" outlineLevel="0" collapsed="false">
      <c r="A7" s="12" t="str">
        <f aca="false">IF(자원목록!$A4="","",자원목록!$A4)</f>
        <v>R02</v>
      </c>
      <c r="B7" s="12" t="str">
        <f aca="false">IF($A7="","",자원목록!$B4)</f>
        <v>2번 방</v>
      </c>
      <c r="C7" s="15" t="n">
        <f aca="false">IF($A7="","",COUNTIFS(예약내역!$B$3:$B$2002,$A7,예약내역!$J$3:$J$2002,"&lt;&gt;취소",예약내역!$A$3:$A$2002,"&gt;="&amp;DATE($B$3,$D$3,1),예약내역!$A$3:$A$2002,"&lt;="&amp;EOMONTH(DATE($B$3,$D$3,1),0)))</f>
        <v>1</v>
      </c>
      <c r="D7" s="14" t="n">
        <f aca="false">IF($A7="","",ROUND(SUMIFS(예약내역!$H$3:$H$2002,예약내역!$B$3:$B$2002,$A7,예약내역!$J$3:$J$2002,"&lt;&gt;취소",예약내역!$A$3:$A$2002,"&gt;="&amp;DATE($B$3,$D$3,1),예약내역!$A$3:$A$2002,"&lt;="&amp;EOMONTH(DATE($B$3,$D$3,1),0)),2))</f>
        <v>2</v>
      </c>
      <c r="E7" s="15" t="n">
        <f aca="false">IF($A7="","",COUNTIFS(예약내역!$B$3:$B$2002,$A7,예약내역!$J$3:$J$2002,"취소",예약내역!$A$3:$A$2002,"&gt;="&amp;DATE($B$3,$D$3,1),예약내역!$A$3:$A$2002,"&lt;="&amp;EOMONTH(DATE($B$3,$D$3,1),0)))</f>
        <v>1</v>
      </c>
      <c r="F7" s="15" t="n">
        <f aca="false">IF($A7="","",COUNTIFS(예약내역!$B$3:$B$2002,$A7,예약내역!$J$3:$J$2002,"노쇼",예약내역!$A$3:$A$2002,"&gt;="&amp;DATE($B$3,$D$3,1),예약내역!$A$3:$A$2002,"&lt;="&amp;EOMONTH(DATE($B$3,$D$3,1),0)))</f>
        <v>0</v>
      </c>
      <c r="G7" s="15" t="n">
        <f aca="false">IF($A7="","",COUNTIFS(예약내역!$B$3:$B$2002,$A7,예약내역!$N$3:$N$2002,"중복",예약내역!$A$3:$A$2002,"&gt;="&amp;DATE($B$3,$D$3,1),예약내역!$A$3:$A$2002,"&lt;="&amp;EOMONTH(DATE($B$3,$D$3,1),0)))</f>
        <v>0</v>
      </c>
    </row>
    <row r="8" customFormat="false" ht="15" hidden="false" customHeight="true" outlineLevel="0" collapsed="false">
      <c r="A8" s="12" t="str">
        <f aca="false">IF(자원목록!$A5="","",자원목록!$A5)</f>
        <v>R03</v>
      </c>
      <c r="B8" s="12" t="str">
        <f aca="false">IF($A8="","",자원목록!$B5)</f>
        <v>세미나실</v>
      </c>
      <c r="C8" s="15" t="n">
        <f aca="false">IF($A8="","",COUNTIFS(예약내역!$B$3:$B$2002,$A8,예약내역!$J$3:$J$2002,"&lt;&gt;취소",예약내역!$A$3:$A$2002,"&gt;="&amp;DATE($B$3,$D$3,1),예약내역!$A$3:$A$2002,"&lt;="&amp;EOMONTH(DATE($B$3,$D$3,1),0)))</f>
        <v>2</v>
      </c>
      <c r="D8" s="14" t="n">
        <f aca="false">IF($A8="","",ROUND(SUMIFS(예약내역!$H$3:$H$2002,예약내역!$B$3:$B$2002,$A8,예약내역!$J$3:$J$2002,"&lt;&gt;취소",예약내역!$A$3:$A$2002,"&gt;="&amp;DATE($B$3,$D$3,1),예약내역!$A$3:$A$2002,"&lt;="&amp;EOMONTH(DATE($B$3,$D$3,1),0)),2))</f>
        <v>6</v>
      </c>
      <c r="E8" s="15" t="n">
        <f aca="false">IF($A8="","",COUNTIFS(예약내역!$B$3:$B$2002,$A8,예약내역!$J$3:$J$2002,"취소",예약내역!$A$3:$A$2002,"&gt;="&amp;DATE($B$3,$D$3,1),예약내역!$A$3:$A$2002,"&lt;="&amp;EOMONTH(DATE($B$3,$D$3,1),0)))</f>
        <v>0</v>
      </c>
      <c r="F8" s="15" t="n">
        <f aca="false">IF($A8="","",COUNTIFS(예약내역!$B$3:$B$2002,$A8,예약내역!$J$3:$J$2002,"노쇼",예약내역!$A$3:$A$2002,"&gt;="&amp;DATE($B$3,$D$3,1),예약내역!$A$3:$A$2002,"&lt;="&amp;EOMONTH(DATE($B$3,$D$3,1),0)))</f>
        <v>1</v>
      </c>
      <c r="G8" s="15" t="n">
        <f aca="false">IF($A8="","",COUNTIFS(예약내역!$B$3:$B$2002,$A8,예약내역!$N$3:$N$2002,"중복",예약내역!$A$3:$A$2002,"&gt;="&amp;DATE($B$3,$D$3,1),예약내역!$A$3:$A$2002,"&lt;="&amp;EOMONTH(DATE($B$3,$D$3,1),0)))</f>
        <v>0</v>
      </c>
    </row>
    <row r="9" customFormat="false" ht="15" hidden="false" customHeight="true" outlineLevel="0" collapsed="false">
      <c r="A9" s="12" t="str">
        <f aca="false">IF(자원목록!$A6="","",자원목록!$A6)</f>
        <v>E01</v>
      </c>
      <c r="B9" s="12" t="str">
        <f aca="false">IF($A9="","",자원목록!$B6)</f>
        <v>빔프로젝터</v>
      </c>
      <c r="C9" s="15" t="n">
        <f aca="false">IF($A9="","",COUNTIFS(예약내역!$B$3:$B$2002,$A9,예약내역!$J$3:$J$2002,"&lt;&gt;취소",예약내역!$A$3:$A$2002,"&gt;="&amp;DATE($B$3,$D$3,1),예약내역!$A$3:$A$2002,"&lt;="&amp;EOMONTH(DATE($B$3,$D$3,1),0)))</f>
        <v>1</v>
      </c>
      <c r="D9" s="14" t="n">
        <f aca="false">IF($A9="","",ROUND(SUMIFS(예약내역!$H$3:$H$2002,예약내역!$B$3:$B$2002,$A9,예약내역!$J$3:$J$2002,"&lt;&gt;취소",예약내역!$A$3:$A$2002,"&gt;="&amp;DATE($B$3,$D$3,1),예약내역!$A$3:$A$2002,"&lt;="&amp;EOMONTH(DATE($B$3,$D$3,1),0)),2))</f>
        <v>2</v>
      </c>
      <c r="E9" s="15" t="n">
        <f aca="false">IF($A9="","",COUNTIFS(예약내역!$B$3:$B$2002,$A9,예약내역!$J$3:$J$2002,"취소",예약내역!$A$3:$A$2002,"&gt;="&amp;DATE($B$3,$D$3,1),예약내역!$A$3:$A$2002,"&lt;="&amp;EOMONTH(DATE($B$3,$D$3,1),0)))</f>
        <v>0</v>
      </c>
      <c r="F9" s="15" t="n">
        <f aca="false">IF($A9="","",COUNTIFS(예약내역!$B$3:$B$2002,$A9,예약내역!$J$3:$J$2002,"노쇼",예약내역!$A$3:$A$2002,"&gt;="&amp;DATE($B$3,$D$3,1),예약내역!$A$3:$A$2002,"&lt;="&amp;EOMONTH(DATE($B$3,$D$3,1),0)))</f>
        <v>0</v>
      </c>
      <c r="G9" s="15" t="n">
        <f aca="false">IF($A9="","",COUNTIFS(예약내역!$B$3:$B$2002,$A9,예약내역!$N$3:$N$2002,"중복",예약내역!$A$3:$A$2002,"&gt;="&amp;DATE($B$3,$D$3,1),예약내역!$A$3:$A$2002,"&lt;="&amp;EOMONTH(DATE($B$3,$D$3,1),0)))</f>
        <v>0</v>
      </c>
    </row>
    <row r="10" customFormat="false" ht="15" hidden="false" customHeight="true" outlineLevel="0" collapsed="false">
      <c r="A10" s="12" t="str">
        <f aca="false">IF(자원목록!$A7="","",자원목록!$A7)</f>
        <v/>
      </c>
      <c r="B10" s="12" t="str">
        <f aca="false">IF($A10="","",자원목록!$B7)</f>
        <v/>
      </c>
      <c r="C10" s="15" t="str">
        <f aca="false">IF($A10="","",COUNTIFS(예약내역!$B$3:$B$2002,$A10,예약내역!$J$3:$J$2002,"&lt;&gt;취소",예약내역!$A$3:$A$2002,"&gt;="&amp;DATE($B$3,$D$3,1),예약내역!$A$3:$A$2002,"&lt;="&amp;EOMONTH(DATE($B$3,$D$3,1),0)))</f>
        <v/>
      </c>
      <c r="D10" s="14" t="str">
        <f aca="false">IF($A10="","",ROUND(SUMIFS(예약내역!$H$3:$H$2002,예약내역!$B$3:$B$2002,$A10,예약내역!$J$3:$J$2002,"&lt;&gt;취소",예약내역!$A$3:$A$2002,"&gt;="&amp;DATE($B$3,$D$3,1),예약내역!$A$3:$A$2002,"&lt;="&amp;EOMONTH(DATE($B$3,$D$3,1),0)),2))</f>
        <v/>
      </c>
      <c r="E10" s="15" t="str">
        <f aca="false">IF($A10="","",COUNTIFS(예약내역!$B$3:$B$2002,$A10,예약내역!$J$3:$J$2002,"취소",예약내역!$A$3:$A$2002,"&gt;="&amp;DATE($B$3,$D$3,1),예약내역!$A$3:$A$2002,"&lt;="&amp;EOMONTH(DATE($B$3,$D$3,1),0)))</f>
        <v/>
      </c>
      <c r="F10" s="15" t="str">
        <f aca="false">IF($A10="","",COUNTIFS(예약내역!$B$3:$B$2002,$A10,예약내역!$J$3:$J$2002,"노쇼",예약내역!$A$3:$A$2002,"&gt;="&amp;DATE($B$3,$D$3,1),예약내역!$A$3:$A$2002,"&lt;="&amp;EOMONTH(DATE($B$3,$D$3,1),0)))</f>
        <v/>
      </c>
      <c r="G10" s="15" t="str">
        <f aca="false">IF($A10="","",COUNTIFS(예약내역!$B$3:$B$2002,$A10,예약내역!$N$3:$N$2002,"중복",예약내역!$A$3:$A$2002,"&gt;="&amp;DATE($B$3,$D$3,1),예약내역!$A$3:$A$2002,"&lt;="&amp;EOMONTH(DATE($B$3,$D$3,1),0)))</f>
        <v/>
      </c>
    </row>
    <row r="11" customFormat="false" ht="15" hidden="false" customHeight="true" outlineLevel="0" collapsed="false">
      <c r="A11" s="12" t="str">
        <f aca="false">IF(자원목록!$A8="","",자원목록!$A8)</f>
        <v/>
      </c>
      <c r="B11" s="12" t="str">
        <f aca="false">IF($A11="","",자원목록!$B8)</f>
        <v/>
      </c>
      <c r="C11" s="15" t="str">
        <f aca="false">IF($A11="","",COUNTIFS(예약내역!$B$3:$B$2002,$A11,예약내역!$J$3:$J$2002,"&lt;&gt;취소",예약내역!$A$3:$A$2002,"&gt;="&amp;DATE($B$3,$D$3,1),예약내역!$A$3:$A$2002,"&lt;="&amp;EOMONTH(DATE($B$3,$D$3,1),0)))</f>
        <v/>
      </c>
      <c r="D11" s="14" t="str">
        <f aca="false">IF($A11="","",ROUND(SUMIFS(예약내역!$H$3:$H$2002,예약내역!$B$3:$B$2002,$A11,예약내역!$J$3:$J$2002,"&lt;&gt;취소",예약내역!$A$3:$A$2002,"&gt;="&amp;DATE($B$3,$D$3,1),예약내역!$A$3:$A$2002,"&lt;="&amp;EOMONTH(DATE($B$3,$D$3,1),0)),2))</f>
        <v/>
      </c>
      <c r="E11" s="15" t="str">
        <f aca="false">IF($A11="","",COUNTIFS(예약내역!$B$3:$B$2002,$A11,예약내역!$J$3:$J$2002,"취소",예약내역!$A$3:$A$2002,"&gt;="&amp;DATE($B$3,$D$3,1),예약내역!$A$3:$A$2002,"&lt;="&amp;EOMONTH(DATE($B$3,$D$3,1),0)))</f>
        <v/>
      </c>
      <c r="F11" s="15" t="str">
        <f aca="false">IF($A11="","",COUNTIFS(예약내역!$B$3:$B$2002,$A11,예약내역!$J$3:$J$2002,"노쇼",예약내역!$A$3:$A$2002,"&gt;="&amp;DATE($B$3,$D$3,1),예약내역!$A$3:$A$2002,"&lt;="&amp;EOMONTH(DATE($B$3,$D$3,1),0)))</f>
        <v/>
      </c>
      <c r="G11" s="15" t="str">
        <f aca="false">IF($A11="","",COUNTIFS(예약내역!$B$3:$B$2002,$A11,예약내역!$N$3:$N$2002,"중복",예약내역!$A$3:$A$2002,"&gt;="&amp;DATE($B$3,$D$3,1),예약내역!$A$3:$A$2002,"&lt;="&amp;EOMONTH(DATE($B$3,$D$3,1),0)))</f>
        <v/>
      </c>
    </row>
    <row r="12" customFormat="false" ht="15" hidden="false" customHeight="true" outlineLevel="0" collapsed="false">
      <c r="A12" s="12" t="str">
        <f aca="false">IF(자원목록!$A9="","",자원목록!$A9)</f>
        <v/>
      </c>
      <c r="B12" s="12" t="str">
        <f aca="false">IF($A12="","",자원목록!$B9)</f>
        <v/>
      </c>
      <c r="C12" s="15" t="str">
        <f aca="false">IF($A12="","",COUNTIFS(예약내역!$B$3:$B$2002,$A12,예약내역!$J$3:$J$2002,"&lt;&gt;취소",예약내역!$A$3:$A$2002,"&gt;="&amp;DATE($B$3,$D$3,1),예약내역!$A$3:$A$2002,"&lt;="&amp;EOMONTH(DATE($B$3,$D$3,1),0)))</f>
        <v/>
      </c>
      <c r="D12" s="14" t="str">
        <f aca="false">IF($A12="","",ROUND(SUMIFS(예약내역!$H$3:$H$2002,예약내역!$B$3:$B$2002,$A12,예약내역!$J$3:$J$2002,"&lt;&gt;취소",예약내역!$A$3:$A$2002,"&gt;="&amp;DATE($B$3,$D$3,1),예약내역!$A$3:$A$2002,"&lt;="&amp;EOMONTH(DATE($B$3,$D$3,1),0)),2))</f>
        <v/>
      </c>
      <c r="E12" s="15" t="str">
        <f aca="false">IF($A12="","",COUNTIFS(예약내역!$B$3:$B$2002,$A12,예약내역!$J$3:$J$2002,"취소",예약내역!$A$3:$A$2002,"&gt;="&amp;DATE($B$3,$D$3,1),예약내역!$A$3:$A$2002,"&lt;="&amp;EOMONTH(DATE($B$3,$D$3,1),0)))</f>
        <v/>
      </c>
      <c r="F12" s="15" t="str">
        <f aca="false">IF($A12="","",COUNTIFS(예약내역!$B$3:$B$2002,$A12,예약내역!$J$3:$J$2002,"노쇼",예약내역!$A$3:$A$2002,"&gt;="&amp;DATE($B$3,$D$3,1),예약내역!$A$3:$A$2002,"&lt;="&amp;EOMONTH(DATE($B$3,$D$3,1),0)))</f>
        <v/>
      </c>
      <c r="G12" s="15" t="str">
        <f aca="false">IF($A12="","",COUNTIFS(예약내역!$B$3:$B$2002,$A12,예약내역!$N$3:$N$2002,"중복",예약내역!$A$3:$A$2002,"&gt;="&amp;DATE($B$3,$D$3,1),예약내역!$A$3:$A$2002,"&lt;="&amp;EOMONTH(DATE($B$3,$D$3,1),0)))</f>
        <v/>
      </c>
    </row>
    <row r="13" customFormat="false" ht="15" hidden="false" customHeight="true" outlineLevel="0" collapsed="false">
      <c r="A13" s="12" t="str">
        <f aca="false">IF(자원목록!$A10="","",자원목록!$A10)</f>
        <v/>
      </c>
      <c r="B13" s="12" t="str">
        <f aca="false">IF($A13="","",자원목록!$B10)</f>
        <v/>
      </c>
      <c r="C13" s="15" t="str">
        <f aca="false">IF($A13="","",COUNTIFS(예약내역!$B$3:$B$2002,$A13,예약내역!$J$3:$J$2002,"&lt;&gt;취소",예약내역!$A$3:$A$2002,"&gt;="&amp;DATE($B$3,$D$3,1),예약내역!$A$3:$A$2002,"&lt;="&amp;EOMONTH(DATE($B$3,$D$3,1),0)))</f>
        <v/>
      </c>
      <c r="D13" s="14" t="str">
        <f aca="false">IF($A13="","",ROUND(SUMIFS(예약내역!$H$3:$H$2002,예약내역!$B$3:$B$2002,$A13,예약내역!$J$3:$J$2002,"&lt;&gt;취소",예약내역!$A$3:$A$2002,"&gt;="&amp;DATE($B$3,$D$3,1),예약내역!$A$3:$A$2002,"&lt;="&amp;EOMONTH(DATE($B$3,$D$3,1),0)),2))</f>
        <v/>
      </c>
      <c r="E13" s="15" t="str">
        <f aca="false">IF($A13="","",COUNTIFS(예약내역!$B$3:$B$2002,$A13,예약내역!$J$3:$J$2002,"취소",예약내역!$A$3:$A$2002,"&gt;="&amp;DATE($B$3,$D$3,1),예약내역!$A$3:$A$2002,"&lt;="&amp;EOMONTH(DATE($B$3,$D$3,1),0)))</f>
        <v/>
      </c>
      <c r="F13" s="15" t="str">
        <f aca="false">IF($A13="","",COUNTIFS(예약내역!$B$3:$B$2002,$A13,예약내역!$J$3:$J$2002,"노쇼",예약내역!$A$3:$A$2002,"&gt;="&amp;DATE($B$3,$D$3,1),예약내역!$A$3:$A$2002,"&lt;="&amp;EOMONTH(DATE($B$3,$D$3,1),0)))</f>
        <v/>
      </c>
      <c r="G13" s="15" t="str">
        <f aca="false">IF($A13="","",COUNTIFS(예약내역!$B$3:$B$2002,$A13,예약내역!$N$3:$N$2002,"중복",예약내역!$A$3:$A$2002,"&gt;="&amp;DATE($B$3,$D$3,1),예약내역!$A$3:$A$2002,"&lt;="&amp;EOMONTH(DATE($B$3,$D$3,1),0)))</f>
        <v/>
      </c>
    </row>
    <row r="14" customFormat="false" ht="15" hidden="false" customHeight="true" outlineLevel="0" collapsed="false">
      <c r="A14" s="12" t="str">
        <f aca="false">IF(자원목록!$A11="","",자원목록!$A11)</f>
        <v/>
      </c>
      <c r="B14" s="12" t="str">
        <f aca="false">IF($A14="","",자원목록!$B11)</f>
        <v/>
      </c>
      <c r="C14" s="15" t="str">
        <f aca="false">IF($A14="","",COUNTIFS(예약내역!$B$3:$B$2002,$A14,예약내역!$J$3:$J$2002,"&lt;&gt;취소",예약내역!$A$3:$A$2002,"&gt;="&amp;DATE($B$3,$D$3,1),예약내역!$A$3:$A$2002,"&lt;="&amp;EOMONTH(DATE($B$3,$D$3,1),0)))</f>
        <v/>
      </c>
      <c r="D14" s="14" t="str">
        <f aca="false">IF($A14="","",ROUND(SUMIFS(예약내역!$H$3:$H$2002,예약내역!$B$3:$B$2002,$A14,예약내역!$J$3:$J$2002,"&lt;&gt;취소",예약내역!$A$3:$A$2002,"&gt;="&amp;DATE($B$3,$D$3,1),예약내역!$A$3:$A$2002,"&lt;="&amp;EOMONTH(DATE($B$3,$D$3,1),0)),2))</f>
        <v/>
      </c>
      <c r="E14" s="15" t="str">
        <f aca="false">IF($A14="","",COUNTIFS(예약내역!$B$3:$B$2002,$A14,예약내역!$J$3:$J$2002,"취소",예약내역!$A$3:$A$2002,"&gt;="&amp;DATE($B$3,$D$3,1),예약내역!$A$3:$A$2002,"&lt;="&amp;EOMONTH(DATE($B$3,$D$3,1),0)))</f>
        <v/>
      </c>
      <c r="F14" s="15" t="str">
        <f aca="false">IF($A14="","",COUNTIFS(예약내역!$B$3:$B$2002,$A14,예약내역!$J$3:$J$2002,"노쇼",예약내역!$A$3:$A$2002,"&gt;="&amp;DATE($B$3,$D$3,1),예약내역!$A$3:$A$2002,"&lt;="&amp;EOMONTH(DATE($B$3,$D$3,1),0)))</f>
        <v/>
      </c>
      <c r="G14" s="15" t="str">
        <f aca="false">IF($A14="","",COUNTIFS(예약내역!$B$3:$B$2002,$A14,예약내역!$N$3:$N$2002,"중복",예약내역!$A$3:$A$2002,"&gt;="&amp;DATE($B$3,$D$3,1),예약내역!$A$3:$A$2002,"&lt;="&amp;EOMONTH(DATE($B$3,$D$3,1),0)))</f>
        <v/>
      </c>
    </row>
    <row r="15" customFormat="false" ht="15" hidden="false" customHeight="true" outlineLevel="0" collapsed="false">
      <c r="A15" s="12" t="str">
        <f aca="false">IF(자원목록!$A12="","",자원목록!$A12)</f>
        <v/>
      </c>
      <c r="B15" s="12" t="str">
        <f aca="false">IF($A15="","",자원목록!$B12)</f>
        <v/>
      </c>
      <c r="C15" s="15" t="str">
        <f aca="false">IF($A15="","",COUNTIFS(예약내역!$B$3:$B$2002,$A15,예약내역!$J$3:$J$2002,"&lt;&gt;취소",예약내역!$A$3:$A$2002,"&gt;="&amp;DATE($B$3,$D$3,1),예약내역!$A$3:$A$2002,"&lt;="&amp;EOMONTH(DATE($B$3,$D$3,1),0)))</f>
        <v/>
      </c>
      <c r="D15" s="14" t="str">
        <f aca="false">IF($A15="","",ROUND(SUMIFS(예약내역!$H$3:$H$2002,예약내역!$B$3:$B$2002,$A15,예약내역!$J$3:$J$2002,"&lt;&gt;취소",예약내역!$A$3:$A$2002,"&gt;="&amp;DATE($B$3,$D$3,1),예약내역!$A$3:$A$2002,"&lt;="&amp;EOMONTH(DATE($B$3,$D$3,1),0)),2))</f>
        <v/>
      </c>
      <c r="E15" s="15" t="str">
        <f aca="false">IF($A15="","",COUNTIFS(예약내역!$B$3:$B$2002,$A15,예약내역!$J$3:$J$2002,"취소",예약내역!$A$3:$A$2002,"&gt;="&amp;DATE($B$3,$D$3,1),예약내역!$A$3:$A$2002,"&lt;="&amp;EOMONTH(DATE($B$3,$D$3,1),0)))</f>
        <v/>
      </c>
      <c r="F15" s="15" t="str">
        <f aca="false">IF($A15="","",COUNTIFS(예약내역!$B$3:$B$2002,$A15,예약내역!$J$3:$J$2002,"노쇼",예약내역!$A$3:$A$2002,"&gt;="&amp;DATE($B$3,$D$3,1),예약내역!$A$3:$A$2002,"&lt;="&amp;EOMONTH(DATE($B$3,$D$3,1),0)))</f>
        <v/>
      </c>
      <c r="G15" s="15" t="str">
        <f aca="false">IF($A15="","",COUNTIFS(예약내역!$B$3:$B$2002,$A15,예약내역!$N$3:$N$2002,"중복",예약내역!$A$3:$A$2002,"&gt;="&amp;DATE($B$3,$D$3,1),예약내역!$A$3:$A$2002,"&lt;="&amp;EOMONTH(DATE($B$3,$D$3,1),0)))</f>
        <v/>
      </c>
    </row>
    <row r="16" customFormat="false" ht="15" hidden="false" customHeight="true" outlineLevel="0" collapsed="false">
      <c r="A16" s="12" t="str">
        <f aca="false">IF(자원목록!$A13="","",자원목록!$A13)</f>
        <v/>
      </c>
      <c r="B16" s="12" t="str">
        <f aca="false">IF($A16="","",자원목록!$B13)</f>
        <v/>
      </c>
      <c r="C16" s="15" t="str">
        <f aca="false">IF($A16="","",COUNTIFS(예약내역!$B$3:$B$2002,$A16,예약내역!$J$3:$J$2002,"&lt;&gt;취소",예약내역!$A$3:$A$2002,"&gt;="&amp;DATE($B$3,$D$3,1),예약내역!$A$3:$A$2002,"&lt;="&amp;EOMONTH(DATE($B$3,$D$3,1),0)))</f>
        <v/>
      </c>
      <c r="D16" s="14" t="str">
        <f aca="false">IF($A16="","",ROUND(SUMIFS(예약내역!$H$3:$H$2002,예약내역!$B$3:$B$2002,$A16,예약내역!$J$3:$J$2002,"&lt;&gt;취소",예약내역!$A$3:$A$2002,"&gt;="&amp;DATE($B$3,$D$3,1),예약내역!$A$3:$A$2002,"&lt;="&amp;EOMONTH(DATE($B$3,$D$3,1),0)),2))</f>
        <v/>
      </c>
      <c r="E16" s="15" t="str">
        <f aca="false">IF($A16="","",COUNTIFS(예약내역!$B$3:$B$2002,$A16,예약내역!$J$3:$J$2002,"취소",예약내역!$A$3:$A$2002,"&gt;="&amp;DATE($B$3,$D$3,1),예약내역!$A$3:$A$2002,"&lt;="&amp;EOMONTH(DATE($B$3,$D$3,1),0)))</f>
        <v/>
      </c>
      <c r="F16" s="15" t="str">
        <f aca="false">IF($A16="","",COUNTIFS(예약내역!$B$3:$B$2002,$A16,예약내역!$J$3:$J$2002,"노쇼",예약내역!$A$3:$A$2002,"&gt;="&amp;DATE($B$3,$D$3,1),예약내역!$A$3:$A$2002,"&lt;="&amp;EOMONTH(DATE($B$3,$D$3,1),0)))</f>
        <v/>
      </c>
      <c r="G16" s="15" t="str">
        <f aca="false">IF($A16="","",COUNTIFS(예약내역!$B$3:$B$2002,$A16,예약내역!$N$3:$N$2002,"중복",예약내역!$A$3:$A$2002,"&gt;="&amp;DATE($B$3,$D$3,1),예약내역!$A$3:$A$2002,"&lt;="&amp;EOMONTH(DATE($B$3,$D$3,1),0)))</f>
        <v/>
      </c>
    </row>
    <row r="17" customFormat="false" ht="15" hidden="false" customHeight="true" outlineLevel="0" collapsed="false">
      <c r="A17" s="12" t="str">
        <f aca="false">IF(자원목록!$A14="","",자원목록!$A14)</f>
        <v/>
      </c>
      <c r="B17" s="12" t="str">
        <f aca="false">IF($A17="","",자원목록!$B14)</f>
        <v/>
      </c>
      <c r="C17" s="15" t="str">
        <f aca="false">IF($A17="","",COUNTIFS(예약내역!$B$3:$B$2002,$A17,예약내역!$J$3:$J$2002,"&lt;&gt;취소",예약내역!$A$3:$A$2002,"&gt;="&amp;DATE($B$3,$D$3,1),예약내역!$A$3:$A$2002,"&lt;="&amp;EOMONTH(DATE($B$3,$D$3,1),0)))</f>
        <v/>
      </c>
      <c r="D17" s="14" t="str">
        <f aca="false">IF($A17="","",ROUND(SUMIFS(예약내역!$H$3:$H$2002,예약내역!$B$3:$B$2002,$A17,예약내역!$J$3:$J$2002,"&lt;&gt;취소",예약내역!$A$3:$A$2002,"&gt;="&amp;DATE($B$3,$D$3,1),예약내역!$A$3:$A$2002,"&lt;="&amp;EOMONTH(DATE($B$3,$D$3,1),0)),2))</f>
        <v/>
      </c>
      <c r="E17" s="15" t="str">
        <f aca="false">IF($A17="","",COUNTIFS(예약내역!$B$3:$B$2002,$A17,예약내역!$J$3:$J$2002,"취소",예약내역!$A$3:$A$2002,"&gt;="&amp;DATE($B$3,$D$3,1),예약내역!$A$3:$A$2002,"&lt;="&amp;EOMONTH(DATE($B$3,$D$3,1),0)))</f>
        <v/>
      </c>
      <c r="F17" s="15" t="str">
        <f aca="false">IF($A17="","",COUNTIFS(예약내역!$B$3:$B$2002,$A17,예약내역!$J$3:$J$2002,"노쇼",예약내역!$A$3:$A$2002,"&gt;="&amp;DATE($B$3,$D$3,1),예약내역!$A$3:$A$2002,"&lt;="&amp;EOMONTH(DATE($B$3,$D$3,1),0)))</f>
        <v/>
      </c>
      <c r="G17" s="15" t="str">
        <f aca="false">IF($A17="","",COUNTIFS(예약내역!$B$3:$B$2002,$A17,예약내역!$N$3:$N$2002,"중복",예약내역!$A$3:$A$2002,"&gt;="&amp;DATE($B$3,$D$3,1),예약내역!$A$3:$A$2002,"&lt;="&amp;EOMONTH(DATE($B$3,$D$3,1),0)))</f>
        <v/>
      </c>
    </row>
    <row r="18" customFormat="false" ht="15" hidden="false" customHeight="true" outlineLevel="0" collapsed="false">
      <c r="A18" s="12" t="str">
        <f aca="false">IF(자원목록!$A15="","",자원목록!$A15)</f>
        <v/>
      </c>
      <c r="B18" s="12" t="str">
        <f aca="false">IF($A18="","",자원목록!$B15)</f>
        <v/>
      </c>
      <c r="C18" s="15" t="str">
        <f aca="false">IF($A18="","",COUNTIFS(예약내역!$B$3:$B$2002,$A18,예약내역!$J$3:$J$2002,"&lt;&gt;취소",예약내역!$A$3:$A$2002,"&gt;="&amp;DATE($B$3,$D$3,1),예약내역!$A$3:$A$2002,"&lt;="&amp;EOMONTH(DATE($B$3,$D$3,1),0)))</f>
        <v/>
      </c>
      <c r="D18" s="14" t="str">
        <f aca="false">IF($A18="","",ROUND(SUMIFS(예약내역!$H$3:$H$2002,예약내역!$B$3:$B$2002,$A18,예약내역!$J$3:$J$2002,"&lt;&gt;취소",예약내역!$A$3:$A$2002,"&gt;="&amp;DATE($B$3,$D$3,1),예약내역!$A$3:$A$2002,"&lt;="&amp;EOMONTH(DATE($B$3,$D$3,1),0)),2))</f>
        <v/>
      </c>
      <c r="E18" s="15" t="str">
        <f aca="false">IF($A18="","",COUNTIFS(예약내역!$B$3:$B$2002,$A18,예약내역!$J$3:$J$2002,"취소",예약내역!$A$3:$A$2002,"&gt;="&amp;DATE($B$3,$D$3,1),예약내역!$A$3:$A$2002,"&lt;="&amp;EOMONTH(DATE($B$3,$D$3,1),0)))</f>
        <v/>
      </c>
      <c r="F18" s="15" t="str">
        <f aca="false">IF($A18="","",COUNTIFS(예약내역!$B$3:$B$2002,$A18,예약내역!$J$3:$J$2002,"노쇼",예약내역!$A$3:$A$2002,"&gt;="&amp;DATE($B$3,$D$3,1),예약내역!$A$3:$A$2002,"&lt;="&amp;EOMONTH(DATE($B$3,$D$3,1),0)))</f>
        <v/>
      </c>
      <c r="G18" s="15" t="str">
        <f aca="false">IF($A18="","",COUNTIFS(예약내역!$B$3:$B$2002,$A18,예약내역!$N$3:$N$2002,"중복",예약내역!$A$3:$A$2002,"&gt;="&amp;DATE($B$3,$D$3,1),예약내역!$A$3:$A$2002,"&lt;="&amp;EOMONTH(DATE($B$3,$D$3,1),0)))</f>
        <v/>
      </c>
    </row>
    <row r="19" customFormat="false" ht="15" hidden="false" customHeight="true" outlineLevel="0" collapsed="false">
      <c r="A19" s="12" t="str">
        <f aca="false">IF(자원목록!$A16="","",자원목록!$A16)</f>
        <v/>
      </c>
      <c r="B19" s="12" t="str">
        <f aca="false">IF($A19="","",자원목록!$B16)</f>
        <v/>
      </c>
      <c r="C19" s="15" t="str">
        <f aca="false">IF($A19="","",COUNTIFS(예약내역!$B$3:$B$2002,$A19,예약내역!$J$3:$J$2002,"&lt;&gt;취소",예약내역!$A$3:$A$2002,"&gt;="&amp;DATE($B$3,$D$3,1),예약내역!$A$3:$A$2002,"&lt;="&amp;EOMONTH(DATE($B$3,$D$3,1),0)))</f>
        <v/>
      </c>
      <c r="D19" s="14" t="str">
        <f aca="false">IF($A19="","",ROUND(SUMIFS(예약내역!$H$3:$H$2002,예약내역!$B$3:$B$2002,$A19,예약내역!$J$3:$J$2002,"&lt;&gt;취소",예약내역!$A$3:$A$2002,"&gt;="&amp;DATE($B$3,$D$3,1),예약내역!$A$3:$A$2002,"&lt;="&amp;EOMONTH(DATE($B$3,$D$3,1),0)),2))</f>
        <v/>
      </c>
      <c r="E19" s="15" t="str">
        <f aca="false">IF($A19="","",COUNTIFS(예약내역!$B$3:$B$2002,$A19,예약내역!$J$3:$J$2002,"취소",예약내역!$A$3:$A$2002,"&gt;="&amp;DATE($B$3,$D$3,1),예약내역!$A$3:$A$2002,"&lt;="&amp;EOMONTH(DATE($B$3,$D$3,1),0)))</f>
        <v/>
      </c>
      <c r="F19" s="15" t="str">
        <f aca="false">IF($A19="","",COUNTIFS(예약내역!$B$3:$B$2002,$A19,예약내역!$J$3:$J$2002,"노쇼",예약내역!$A$3:$A$2002,"&gt;="&amp;DATE($B$3,$D$3,1),예약내역!$A$3:$A$2002,"&lt;="&amp;EOMONTH(DATE($B$3,$D$3,1),0)))</f>
        <v/>
      </c>
      <c r="G19" s="15" t="str">
        <f aca="false">IF($A19="","",COUNTIFS(예약내역!$B$3:$B$2002,$A19,예약내역!$N$3:$N$2002,"중복",예약내역!$A$3:$A$2002,"&gt;="&amp;DATE($B$3,$D$3,1),예약내역!$A$3:$A$2002,"&lt;="&amp;EOMONTH(DATE($B$3,$D$3,1),0)))</f>
        <v/>
      </c>
    </row>
    <row r="20" customFormat="false" ht="15" hidden="false" customHeight="true" outlineLevel="0" collapsed="false">
      <c r="A20" s="12" t="str">
        <f aca="false">IF(자원목록!$A17="","",자원목록!$A17)</f>
        <v/>
      </c>
      <c r="B20" s="12" t="str">
        <f aca="false">IF($A20="","",자원목록!$B17)</f>
        <v/>
      </c>
      <c r="C20" s="15" t="str">
        <f aca="false">IF($A20="","",COUNTIFS(예약내역!$B$3:$B$2002,$A20,예약내역!$J$3:$J$2002,"&lt;&gt;취소",예약내역!$A$3:$A$2002,"&gt;="&amp;DATE($B$3,$D$3,1),예약내역!$A$3:$A$2002,"&lt;="&amp;EOMONTH(DATE($B$3,$D$3,1),0)))</f>
        <v/>
      </c>
      <c r="D20" s="14" t="str">
        <f aca="false">IF($A20="","",ROUND(SUMIFS(예약내역!$H$3:$H$2002,예약내역!$B$3:$B$2002,$A20,예약내역!$J$3:$J$2002,"&lt;&gt;취소",예약내역!$A$3:$A$2002,"&gt;="&amp;DATE($B$3,$D$3,1),예약내역!$A$3:$A$2002,"&lt;="&amp;EOMONTH(DATE($B$3,$D$3,1),0)),2))</f>
        <v/>
      </c>
      <c r="E20" s="15" t="str">
        <f aca="false">IF($A20="","",COUNTIFS(예약내역!$B$3:$B$2002,$A20,예약내역!$J$3:$J$2002,"취소",예약내역!$A$3:$A$2002,"&gt;="&amp;DATE($B$3,$D$3,1),예약내역!$A$3:$A$2002,"&lt;="&amp;EOMONTH(DATE($B$3,$D$3,1),0)))</f>
        <v/>
      </c>
      <c r="F20" s="15" t="str">
        <f aca="false">IF($A20="","",COUNTIFS(예약내역!$B$3:$B$2002,$A20,예약내역!$J$3:$J$2002,"노쇼",예약내역!$A$3:$A$2002,"&gt;="&amp;DATE($B$3,$D$3,1),예약내역!$A$3:$A$2002,"&lt;="&amp;EOMONTH(DATE($B$3,$D$3,1),0)))</f>
        <v/>
      </c>
      <c r="G20" s="15" t="str">
        <f aca="false">IF($A20="","",COUNTIFS(예약내역!$B$3:$B$2002,$A20,예약내역!$N$3:$N$2002,"중복",예약내역!$A$3:$A$2002,"&gt;="&amp;DATE($B$3,$D$3,1),예약내역!$A$3:$A$2002,"&lt;="&amp;EOMONTH(DATE($B$3,$D$3,1),0)))</f>
        <v/>
      </c>
    </row>
    <row r="21" customFormat="false" ht="15" hidden="false" customHeight="true" outlineLevel="0" collapsed="false">
      <c r="A21" s="12" t="str">
        <f aca="false">IF(자원목록!$A18="","",자원목록!$A18)</f>
        <v/>
      </c>
      <c r="B21" s="12" t="str">
        <f aca="false">IF($A21="","",자원목록!$B18)</f>
        <v/>
      </c>
      <c r="C21" s="15" t="str">
        <f aca="false">IF($A21="","",COUNTIFS(예약내역!$B$3:$B$2002,$A21,예약내역!$J$3:$J$2002,"&lt;&gt;취소",예약내역!$A$3:$A$2002,"&gt;="&amp;DATE($B$3,$D$3,1),예약내역!$A$3:$A$2002,"&lt;="&amp;EOMONTH(DATE($B$3,$D$3,1),0)))</f>
        <v/>
      </c>
      <c r="D21" s="14" t="str">
        <f aca="false">IF($A21="","",ROUND(SUMIFS(예약내역!$H$3:$H$2002,예약내역!$B$3:$B$2002,$A21,예약내역!$J$3:$J$2002,"&lt;&gt;취소",예약내역!$A$3:$A$2002,"&gt;="&amp;DATE($B$3,$D$3,1),예약내역!$A$3:$A$2002,"&lt;="&amp;EOMONTH(DATE($B$3,$D$3,1),0)),2))</f>
        <v/>
      </c>
      <c r="E21" s="15" t="str">
        <f aca="false">IF($A21="","",COUNTIFS(예약내역!$B$3:$B$2002,$A21,예약내역!$J$3:$J$2002,"취소",예약내역!$A$3:$A$2002,"&gt;="&amp;DATE($B$3,$D$3,1),예약내역!$A$3:$A$2002,"&lt;="&amp;EOMONTH(DATE($B$3,$D$3,1),0)))</f>
        <v/>
      </c>
      <c r="F21" s="15" t="str">
        <f aca="false">IF($A21="","",COUNTIFS(예약내역!$B$3:$B$2002,$A21,예약내역!$J$3:$J$2002,"노쇼",예약내역!$A$3:$A$2002,"&gt;="&amp;DATE($B$3,$D$3,1),예약내역!$A$3:$A$2002,"&lt;="&amp;EOMONTH(DATE($B$3,$D$3,1),0)))</f>
        <v/>
      </c>
      <c r="G21" s="15" t="str">
        <f aca="false">IF($A21="","",COUNTIFS(예약내역!$B$3:$B$2002,$A21,예약내역!$N$3:$N$2002,"중복",예약내역!$A$3:$A$2002,"&gt;="&amp;DATE($B$3,$D$3,1),예약내역!$A$3:$A$2002,"&lt;="&amp;EOMONTH(DATE($B$3,$D$3,1),0)))</f>
        <v/>
      </c>
    </row>
    <row r="22" customFormat="false" ht="15" hidden="false" customHeight="true" outlineLevel="0" collapsed="false">
      <c r="A22" s="12" t="str">
        <f aca="false">IF(자원목록!$A19="","",자원목록!$A19)</f>
        <v/>
      </c>
      <c r="B22" s="12" t="str">
        <f aca="false">IF($A22="","",자원목록!$B19)</f>
        <v/>
      </c>
      <c r="C22" s="15" t="str">
        <f aca="false">IF($A22="","",COUNTIFS(예약내역!$B$3:$B$2002,$A22,예약내역!$J$3:$J$2002,"&lt;&gt;취소",예약내역!$A$3:$A$2002,"&gt;="&amp;DATE($B$3,$D$3,1),예약내역!$A$3:$A$2002,"&lt;="&amp;EOMONTH(DATE($B$3,$D$3,1),0)))</f>
        <v/>
      </c>
      <c r="D22" s="14" t="str">
        <f aca="false">IF($A22="","",ROUND(SUMIFS(예약내역!$H$3:$H$2002,예약내역!$B$3:$B$2002,$A22,예약내역!$J$3:$J$2002,"&lt;&gt;취소",예약내역!$A$3:$A$2002,"&gt;="&amp;DATE($B$3,$D$3,1),예약내역!$A$3:$A$2002,"&lt;="&amp;EOMONTH(DATE($B$3,$D$3,1),0)),2))</f>
        <v/>
      </c>
      <c r="E22" s="15" t="str">
        <f aca="false">IF($A22="","",COUNTIFS(예약내역!$B$3:$B$2002,$A22,예약내역!$J$3:$J$2002,"취소",예약내역!$A$3:$A$2002,"&gt;="&amp;DATE($B$3,$D$3,1),예약내역!$A$3:$A$2002,"&lt;="&amp;EOMONTH(DATE($B$3,$D$3,1),0)))</f>
        <v/>
      </c>
      <c r="F22" s="15" t="str">
        <f aca="false">IF($A22="","",COUNTIFS(예약내역!$B$3:$B$2002,$A22,예약내역!$J$3:$J$2002,"노쇼",예약내역!$A$3:$A$2002,"&gt;="&amp;DATE($B$3,$D$3,1),예약내역!$A$3:$A$2002,"&lt;="&amp;EOMONTH(DATE($B$3,$D$3,1),0)))</f>
        <v/>
      </c>
      <c r="G22" s="15" t="str">
        <f aca="false">IF($A22="","",COUNTIFS(예약내역!$B$3:$B$2002,$A22,예약내역!$N$3:$N$2002,"중복",예약내역!$A$3:$A$2002,"&gt;="&amp;DATE($B$3,$D$3,1),예약내역!$A$3:$A$2002,"&lt;="&amp;EOMONTH(DATE($B$3,$D$3,1),0)))</f>
        <v/>
      </c>
    </row>
    <row r="23" customFormat="false" ht="15" hidden="false" customHeight="true" outlineLevel="0" collapsed="false">
      <c r="A23" s="12" t="str">
        <f aca="false">IF(자원목록!$A20="","",자원목록!$A20)</f>
        <v/>
      </c>
      <c r="B23" s="12" t="str">
        <f aca="false">IF($A23="","",자원목록!$B20)</f>
        <v/>
      </c>
      <c r="C23" s="15" t="str">
        <f aca="false">IF($A23="","",COUNTIFS(예약내역!$B$3:$B$2002,$A23,예약내역!$J$3:$J$2002,"&lt;&gt;취소",예약내역!$A$3:$A$2002,"&gt;="&amp;DATE($B$3,$D$3,1),예약내역!$A$3:$A$2002,"&lt;="&amp;EOMONTH(DATE($B$3,$D$3,1),0)))</f>
        <v/>
      </c>
      <c r="D23" s="14" t="str">
        <f aca="false">IF($A23="","",ROUND(SUMIFS(예약내역!$H$3:$H$2002,예약내역!$B$3:$B$2002,$A23,예약내역!$J$3:$J$2002,"&lt;&gt;취소",예약내역!$A$3:$A$2002,"&gt;="&amp;DATE($B$3,$D$3,1),예약내역!$A$3:$A$2002,"&lt;="&amp;EOMONTH(DATE($B$3,$D$3,1),0)),2))</f>
        <v/>
      </c>
      <c r="E23" s="15" t="str">
        <f aca="false">IF($A23="","",COUNTIFS(예약내역!$B$3:$B$2002,$A23,예약내역!$J$3:$J$2002,"취소",예약내역!$A$3:$A$2002,"&gt;="&amp;DATE($B$3,$D$3,1),예약내역!$A$3:$A$2002,"&lt;="&amp;EOMONTH(DATE($B$3,$D$3,1),0)))</f>
        <v/>
      </c>
      <c r="F23" s="15" t="str">
        <f aca="false">IF($A23="","",COUNTIFS(예약내역!$B$3:$B$2002,$A23,예약내역!$J$3:$J$2002,"노쇼",예약내역!$A$3:$A$2002,"&gt;="&amp;DATE($B$3,$D$3,1),예약내역!$A$3:$A$2002,"&lt;="&amp;EOMONTH(DATE($B$3,$D$3,1),0)))</f>
        <v/>
      </c>
      <c r="G23" s="15" t="str">
        <f aca="false">IF($A23="","",COUNTIFS(예약내역!$B$3:$B$2002,$A23,예약내역!$N$3:$N$2002,"중복",예약내역!$A$3:$A$2002,"&gt;="&amp;DATE($B$3,$D$3,1),예약내역!$A$3:$A$2002,"&lt;="&amp;EOMONTH(DATE($B$3,$D$3,1),0)))</f>
        <v/>
      </c>
    </row>
    <row r="24" customFormat="false" ht="15" hidden="false" customHeight="true" outlineLevel="0" collapsed="false">
      <c r="A24" s="12" t="str">
        <f aca="false">IF(자원목록!$A21="","",자원목록!$A21)</f>
        <v/>
      </c>
      <c r="B24" s="12" t="str">
        <f aca="false">IF($A24="","",자원목록!$B21)</f>
        <v/>
      </c>
      <c r="C24" s="15" t="str">
        <f aca="false">IF($A24="","",COUNTIFS(예약내역!$B$3:$B$2002,$A24,예약내역!$J$3:$J$2002,"&lt;&gt;취소",예약내역!$A$3:$A$2002,"&gt;="&amp;DATE($B$3,$D$3,1),예약내역!$A$3:$A$2002,"&lt;="&amp;EOMONTH(DATE($B$3,$D$3,1),0)))</f>
        <v/>
      </c>
      <c r="D24" s="14" t="str">
        <f aca="false">IF($A24="","",ROUND(SUMIFS(예약내역!$H$3:$H$2002,예약내역!$B$3:$B$2002,$A24,예약내역!$J$3:$J$2002,"&lt;&gt;취소",예약내역!$A$3:$A$2002,"&gt;="&amp;DATE($B$3,$D$3,1),예약내역!$A$3:$A$2002,"&lt;="&amp;EOMONTH(DATE($B$3,$D$3,1),0)),2))</f>
        <v/>
      </c>
      <c r="E24" s="15" t="str">
        <f aca="false">IF($A24="","",COUNTIFS(예약내역!$B$3:$B$2002,$A24,예약내역!$J$3:$J$2002,"취소",예약내역!$A$3:$A$2002,"&gt;="&amp;DATE($B$3,$D$3,1),예약내역!$A$3:$A$2002,"&lt;="&amp;EOMONTH(DATE($B$3,$D$3,1),0)))</f>
        <v/>
      </c>
      <c r="F24" s="15" t="str">
        <f aca="false">IF($A24="","",COUNTIFS(예약내역!$B$3:$B$2002,$A24,예약내역!$J$3:$J$2002,"노쇼",예약내역!$A$3:$A$2002,"&gt;="&amp;DATE($B$3,$D$3,1),예약내역!$A$3:$A$2002,"&lt;="&amp;EOMONTH(DATE($B$3,$D$3,1),0)))</f>
        <v/>
      </c>
      <c r="G24" s="15" t="str">
        <f aca="false">IF($A24="","",COUNTIFS(예약내역!$B$3:$B$2002,$A24,예약내역!$N$3:$N$2002,"중복",예약내역!$A$3:$A$2002,"&gt;="&amp;DATE($B$3,$D$3,1),예약내역!$A$3:$A$2002,"&lt;="&amp;EOMONTH(DATE($B$3,$D$3,1),0)))</f>
        <v/>
      </c>
    </row>
    <row r="25" customFormat="false" ht="15" hidden="false" customHeight="true" outlineLevel="0" collapsed="false">
      <c r="A25" s="12" t="str">
        <f aca="false">IF(자원목록!$A22="","",자원목록!$A22)</f>
        <v/>
      </c>
      <c r="B25" s="12" t="str">
        <f aca="false">IF($A25="","",자원목록!$B22)</f>
        <v/>
      </c>
      <c r="C25" s="15" t="str">
        <f aca="false">IF($A25="","",COUNTIFS(예약내역!$B$3:$B$2002,$A25,예약내역!$J$3:$J$2002,"&lt;&gt;취소",예약내역!$A$3:$A$2002,"&gt;="&amp;DATE($B$3,$D$3,1),예약내역!$A$3:$A$2002,"&lt;="&amp;EOMONTH(DATE($B$3,$D$3,1),0)))</f>
        <v/>
      </c>
      <c r="D25" s="14" t="str">
        <f aca="false">IF($A25="","",ROUND(SUMIFS(예약내역!$H$3:$H$2002,예약내역!$B$3:$B$2002,$A25,예약내역!$J$3:$J$2002,"&lt;&gt;취소",예약내역!$A$3:$A$2002,"&gt;="&amp;DATE($B$3,$D$3,1),예약내역!$A$3:$A$2002,"&lt;="&amp;EOMONTH(DATE($B$3,$D$3,1),0)),2))</f>
        <v/>
      </c>
      <c r="E25" s="15" t="str">
        <f aca="false">IF($A25="","",COUNTIFS(예약내역!$B$3:$B$2002,$A25,예약내역!$J$3:$J$2002,"취소",예약내역!$A$3:$A$2002,"&gt;="&amp;DATE($B$3,$D$3,1),예약내역!$A$3:$A$2002,"&lt;="&amp;EOMONTH(DATE($B$3,$D$3,1),0)))</f>
        <v/>
      </c>
      <c r="F25" s="15" t="str">
        <f aca="false">IF($A25="","",COUNTIFS(예약내역!$B$3:$B$2002,$A25,예약내역!$J$3:$J$2002,"노쇼",예약내역!$A$3:$A$2002,"&gt;="&amp;DATE($B$3,$D$3,1),예약내역!$A$3:$A$2002,"&lt;="&amp;EOMONTH(DATE($B$3,$D$3,1),0)))</f>
        <v/>
      </c>
      <c r="G25" s="15" t="str">
        <f aca="false">IF($A25="","",COUNTIFS(예약내역!$B$3:$B$2002,$A25,예약내역!$N$3:$N$2002,"중복",예약내역!$A$3:$A$2002,"&gt;="&amp;DATE($B$3,$D$3,1),예약내역!$A$3:$A$2002,"&lt;="&amp;EOMONTH(DATE($B$3,$D$3,1),0)))</f>
        <v/>
      </c>
    </row>
    <row r="26" customFormat="false" ht="15" hidden="false" customHeight="true" outlineLevel="0" collapsed="false">
      <c r="A26" s="12" t="str">
        <f aca="false">IF(자원목록!$A23="","",자원목록!$A23)</f>
        <v/>
      </c>
      <c r="B26" s="12" t="str">
        <f aca="false">IF($A26="","",자원목록!$B23)</f>
        <v/>
      </c>
      <c r="C26" s="15" t="str">
        <f aca="false">IF($A26="","",COUNTIFS(예약내역!$B$3:$B$2002,$A26,예약내역!$J$3:$J$2002,"&lt;&gt;취소",예약내역!$A$3:$A$2002,"&gt;="&amp;DATE($B$3,$D$3,1),예약내역!$A$3:$A$2002,"&lt;="&amp;EOMONTH(DATE($B$3,$D$3,1),0)))</f>
        <v/>
      </c>
      <c r="D26" s="14" t="str">
        <f aca="false">IF($A26="","",ROUND(SUMIFS(예약내역!$H$3:$H$2002,예약내역!$B$3:$B$2002,$A26,예약내역!$J$3:$J$2002,"&lt;&gt;취소",예약내역!$A$3:$A$2002,"&gt;="&amp;DATE($B$3,$D$3,1),예약내역!$A$3:$A$2002,"&lt;="&amp;EOMONTH(DATE($B$3,$D$3,1),0)),2))</f>
        <v/>
      </c>
      <c r="E26" s="15" t="str">
        <f aca="false">IF($A26="","",COUNTIFS(예약내역!$B$3:$B$2002,$A26,예약내역!$J$3:$J$2002,"취소",예약내역!$A$3:$A$2002,"&gt;="&amp;DATE($B$3,$D$3,1),예약내역!$A$3:$A$2002,"&lt;="&amp;EOMONTH(DATE($B$3,$D$3,1),0)))</f>
        <v/>
      </c>
      <c r="F26" s="15" t="str">
        <f aca="false">IF($A26="","",COUNTIFS(예약내역!$B$3:$B$2002,$A26,예약내역!$J$3:$J$2002,"노쇼",예약내역!$A$3:$A$2002,"&gt;="&amp;DATE($B$3,$D$3,1),예약내역!$A$3:$A$2002,"&lt;="&amp;EOMONTH(DATE($B$3,$D$3,1),0)))</f>
        <v/>
      </c>
      <c r="G26" s="15" t="str">
        <f aca="false">IF($A26="","",COUNTIFS(예약내역!$B$3:$B$2002,$A26,예약내역!$N$3:$N$2002,"중복",예약내역!$A$3:$A$2002,"&gt;="&amp;DATE($B$3,$D$3,1),예약내역!$A$3:$A$2002,"&lt;="&amp;EOMONTH(DATE($B$3,$D$3,1),0)))</f>
        <v/>
      </c>
    </row>
    <row r="27" customFormat="false" ht="15" hidden="false" customHeight="true" outlineLevel="0" collapsed="false">
      <c r="A27" s="12" t="str">
        <f aca="false">IF(자원목록!$A24="","",자원목록!$A24)</f>
        <v/>
      </c>
      <c r="B27" s="12" t="str">
        <f aca="false">IF($A27="","",자원목록!$B24)</f>
        <v/>
      </c>
      <c r="C27" s="15" t="str">
        <f aca="false">IF($A27="","",COUNTIFS(예약내역!$B$3:$B$2002,$A27,예약내역!$J$3:$J$2002,"&lt;&gt;취소",예약내역!$A$3:$A$2002,"&gt;="&amp;DATE($B$3,$D$3,1),예약내역!$A$3:$A$2002,"&lt;="&amp;EOMONTH(DATE($B$3,$D$3,1),0)))</f>
        <v/>
      </c>
      <c r="D27" s="14" t="str">
        <f aca="false">IF($A27="","",ROUND(SUMIFS(예약내역!$H$3:$H$2002,예약내역!$B$3:$B$2002,$A27,예약내역!$J$3:$J$2002,"&lt;&gt;취소",예약내역!$A$3:$A$2002,"&gt;="&amp;DATE($B$3,$D$3,1),예약내역!$A$3:$A$2002,"&lt;="&amp;EOMONTH(DATE($B$3,$D$3,1),0)),2))</f>
        <v/>
      </c>
      <c r="E27" s="15" t="str">
        <f aca="false">IF($A27="","",COUNTIFS(예약내역!$B$3:$B$2002,$A27,예약내역!$J$3:$J$2002,"취소",예약내역!$A$3:$A$2002,"&gt;="&amp;DATE($B$3,$D$3,1),예약내역!$A$3:$A$2002,"&lt;="&amp;EOMONTH(DATE($B$3,$D$3,1),0)))</f>
        <v/>
      </c>
      <c r="F27" s="15" t="str">
        <f aca="false">IF($A27="","",COUNTIFS(예약내역!$B$3:$B$2002,$A27,예약내역!$J$3:$J$2002,"노쇼",예약내역!$A$3:$A$2002,"&gt;="&amp;DATE($B$3,$D$3,1),예약내역!$A$3:$A$2002,"&lt;="&amp;EOMONTH(DATE($B$3,$D$3,1),0)))</f>
        <v/>
      </c>
      <c r="G27" s="15" t="str">
        <f aca="false">IF($A27="","",COUNTIFS(예약내역!$B$3:$B$2002,$A27,예약내역!$N$3:$N$2002,"중복",예약내역!$A$3:$A$2002,"&gt;="&amp;DATE($B$3,$D$3,1),예약내역!$A$3:$A$2002,"&lt;="&amp;EOMONTH(DATE($B$3,$D$3,1),0)))</f>
        <v/>
      </c>
    </row>
    <row r="28" customFormat="false" ht="15" hidden="false" customHeight="true" outlineLevel="0" collapsed="false">
      <c r="A28" s="12" t="str">
        <f aca="false">IF(자원목록!$A25="","",자원목록!$A25)</f>
        <v/>
      </c>
      <c r="B28" s="12" t="str">
        <f aca="false">IF($A28="","",자원목록!$B25)</f>
        <v/>
      </c>
      <c r="C28" s="15" t="str">
        <f aca="false">IF($A28="","",COUNTIFS(예약내역!$B$3:$B$2002,$A28,예약내역!$J$3:$J$2002,"&lt;&gt;취소",예약내역!$A$3:$A$2002,"&gt;="&amp;DATE($B$3,$D$3,1),예약내역!$A$3:$A$2002,"&lt;="&amp;EOMONTH(DATE($B$3,$D$3,1),0)))</f>
        <v/>
      </c>
      <c r="D28" s="14" t="str">
        <f aca="false">IF($A28="","",ROUND(SUMIFS(예약내역!$H$3:$H$2002,예약내역!$B$3:$B$2002,$A28,예약내역!$J$3:$J$2002,"&lt;&gt;취소",예약내역!$A$3:$A$2002,"&gt;="&amp;DATE($B$3,$D$3,1),예약내역!$A$3:$A$2002,"&lt;="&amp;EOMONTH(DATE($B$3,$D$3,1),0)),2))</f>
        <v/>
      </c>
      <c r="E28" s="15" t="str">
        <f aca="false">IF($A28="","",COUNTIFS(예약내역!$B$3:$B$2002,$A28,예약내역!$J$3:$J$2002,"취소",예약내역!$A$3:$A$2002,"&gt;="&amp;DATE($B$3,$D$3,1),예약내역!$A$3:$A$2002,"&lt;="&amp;EOMONTH(DATE($B$3,$D$3,1),0)))</f>
        <v/>
      </c>
      <c r="F28" s="15" t="str">
        <f aca="false">IF($A28="","",COUNTIFS(예약내역!$B$3:$B$2002,$A28,예약내역!$J$3:$J$2002,"노쇼",예약내역!$A$3:$A$2002,"&gt;="&amp;DATE($B$3,$D$3,1),예약내역!$A$3:$A$2002,"&lt;="&amp;EOMONTH(DATE($B$3,$D$3,1),0)))</f>
        <v/>
      </c>
      <c r="G28" s="15" t="str">
        <f aca="false">IF($A28="","",COUNTIFS(예약내역!$B$3:$B$2002,$A28,예약내역!$N$3:$N$2002,"중복",예약내역!$A$3:$A$2002,"&gt;="&amp;DATE($B$3,$D$3,1),예약내역!$A$3:$A$2002,"&lt;="&amp;EOMONTH(DATE($B$3,$D$3,1),0)))</f>
        <v/>
      </c>
    </row>
    <row r="29" customFormat="false" ht="15" hidden="false" customHeight="true" outlineLevel="0" collapsed="false">
      <c r="A29" s="12" t="str">
        <f aca="false">IF(자원목록!$A26="","",자원목록!$A26)</f>
        <v/>
      </c>
      <c r="B29" s="12" t="str">
        <f aca="false">IF($A29="","",자원목록!$B26)</f>
        <v/>
      </c>
      <c r="C29" s="15" t="str">
        <f aca="false">IF($A29="","",COUNTIFS(예약내역!$B$3:$B$2002,$A29,예약내역!$J$3:$J$2002,"&lt;&gt;취소",예약내역!$A$3:$A$2002,"&gt;="&amp;DATE($B$3,$D$3,1),예약내역!$A$3:$A$2002,"&lt;="&amp;EOMONTH(DATE($B$3,$D$3,1),0)))</f>
        <v/>
      </c>
      <c r="D29" s="14" t="str">
        <f aca="false">IF($A29="","",ROUND(SUMIFS(예약내역!$H$3:$H$2002,예약내역!$B$3:$B$2002,$A29,예약내역!$J$3:$J$2002,"&lt;&gt;취소",예약내역!$A$3:$A$2002,"&gt;="&amp;DATE($B$3,$D$3,1),예약내역!$A$3:$A$2002,"&lt;="&amp;EOMONTH(DATE($B$3,$D$3,1),0)),2))</f>
        <v/>
      </c>
      <c r="E29" s="15" t="str">
        <f aca="false">IF($A29="","",COUNTIFS(예약내역!$B$3:$B$2002,$A29,예약내역!$J$3:$J$2002,"취소",예약내역!$A$3:$A$2002,"&gt;="&amp;DATE($B$3,$D$3,1),예약내역!$A$3:$A$2002,"&lt;="&amp;EOMONTH(DATE($B$3,$D$3,1),0)))</f>
        <v/>
      </c>
      <c r="F29" s="15" t="str">
        <f aca="false">IF($A29="","",COUNTIFS(예약내역!$B$3:$B$2002,$A29,예약내역!$J$3:$J$2002,"노쇼",예약내역!$A$3:$A$2002,"&gt;="&amp;DATE($B$3,$D$3,1),예약내역!$A$3:$A$2002,"&lt;="&amp;EOMONTH(DATE($B$3,$D$3,1),0)))</f>
        <v/>
      </c>
      <c r="G29" s="15" t="str">
        <f aca="false">IF($A29="","",COUNTIFS(예약내역!$B$3:$B$2002,$A29,예약내역!$N$3:$N$2002,"중복",예약내역!$A$3:$A$2002,"&gt;="&amp;DATE($B$3,$D$3,1),예약내역!$A$3:$A$2002,"&lt;="&amp;EOMONTH(DATE($B$3,$D$3,1),0)))</f>
        <v/>
      </c>
    </row>
    <row r="30" customFormat="false" ht="15" hidden="false" customHeight="true" outlineLevel="0" collapsed="false">
      <c r="A30" s="12" t="str">
        <f aca="false">IF(자원목록!$A27="","",자원목록!$A27)</f>
        <v/>
      </c>
      <c r="B30" s="12" t="str">
        <f aca="false">IF($A30="","",자원목록!$B27)</f>
        <v/>
      </c>
      <c r="C30" s="15" t="str">
        <f aca="false">IF($A30="","",COUNTIFS(예약내역!$B$3:$B$2002,$A30,예약내역!$J$3:$J$2002,"&lt;&gt;취소",예약내역!$A$3:$A$2002,"&gt;="&amp;DATE($B$3,$D$3,1),예약내역!$A$3:$A$2002,"&lt;="&amp;EOMONTH(DATE($B$3,$D$3,1),0)))</f>
        <v/>
      </c>
      <c r="D30" s="14" t="str">
        <f aca="false">IF($A30="","",ROUND(SUMIFS(예약내역!$H$3:$H$2002,예약내역!$B$3:$B$2002,$A30,예약내역!$J$3:$J$2002,"&lt;&gt;취소",예약내역!$A$3:$A$2002,"&gt;="&amp;DATE($B$3,$D$3,1),예약내역!$A$3:$A$2002,"&lt;="&amp;EOMONTH(DATE($B$3,$D$3,1),0)),2))</f>
        <v/>
      </c>
      <c r="E30" s="15" t="str">
        <f aca="false">IF($A30="","",COUNTIFS(예약내역!$B$3:$B$2002,$A30,예약내역!$J$3:$J$2002,"취소",예약내역!$A$3:$A$2002,"&gt;="&amp;DATE($B$3,$D$3,1),예약내역!$A$3:$A$2002,"&lt;="&amp;EOMONTH(DATE($B$3,$D$3,1),0)))</f>
        <v/>
      </c>
      <c r="F30" s="15" t="str">
        <f aca="false">IF($A30="","",COUNTIFS(예약내역!$B$3:$B$2002,$A30,예약내역!$J$3:$J$2002,"노쇼",예약내역!$A$3:$A$2002,"&gt;="&amp;DATE($B$3,$D$3,1),예약내역!$A$3:$A$2002,"&lt;="&amp;EOMONTH(DATE($B$3,$D$3,1),0)))</f>
        <v/>
      </c>
      <c r="G30" s="15" t="str">
        <f aca="false">IF($A30="","",COUNTIFS(예약내역!$B$3:$B$2002,$A30,예약내역!$N$3:$N$2002,"중복",예약내역!$A$3:$A$2002,"&gt;="&amp;DATE($B$3,$D$3,1),예약내역!$A$3:$A$2002,"&lt;="&amp;EOMONTH(DATE($B$3,$D$3,1),0)))</f>
        <v/>
      </c>
    </row>
    <row r="31" customFormat="false" ht="15" hidden="false" customHeight="true" outlineLevel="0" collapsed="false">
      <c r="A31" s="12" t="str">
        <f aca="false">IF(자원목록!$A28="","",자원목록!$A28)</f>
        <v/>
      </c>
      <c r="B31" s="12" t="str">
        <f aca="false">IF($A31="","",자원목록!$B28)</f>
        <v/>
      </c>
      <c r="C31" s="15" t="str">
        <f aca="false">IF($A31="","",COUNTIFS(예약내역!$B$3:$B$2002,$A31,예약내역!$J$3:$J$2002,"&lt;&gt;취소",예약내역!$A$3:$A$2002,"&gt;="&amp;DATE($B$3,$D$3,1),예약내역!$A$3:$A$2002,"&lt;="&amp;EOMONTH(DATE($B$3,$D$3,1),0)))</f>
        <v/>
      </c>
      <c r="D31" s="14" t="str">
        <f aca="false">IF($A31="","",ROUND(SUMIFS(예약내역!$H$3:$H$2002,예약내역!$B$3:$B$2002,$A31,예약내역!$J$3:$J$2002,"&lt;&gt;취소",예약내역!$A$3:$A$2002,"&gt;="&amp;DATE($B$3,$D$3,1),예약내역!$A$3:$A$2002,"&lt;="&amp;EOMONTH(DATE($B$3,$D$3,1),0)),2))</f>
        <v/>
      </c>
      <c r="E31" s="15" t="str">
        <f aca="false">IF($A31="","",COUNTIFS(예약내역!$B$3:$B$2002,$A31,예약내역!$J$3:$J$2002,"취소",예약내역!$A$3:$A$2002,"&gt;="&amp;DATE($B$3,$D$3,1),예약내역!$A$3:$A$2002,"&lt;="&amp;EOMONTH(DATE($B$3,$D$3,1),0)))</f>
        <v/>
      </c>
      <c r="F31" s="15" t="str">
        <f aca="false">IF($A31="","",COUNTIFS(예약내역!$B$3:$B$2002,$A31,예약내역!$J$3:$J$2002,"노쇼",예약내역!$A$3:$A$2002,"&gt;="&amp;DATE($B$3,$D$3,1),예약내역!$A$3:$A$2002,"&lt;="&amp;EOMONTH(DATE($B$3,$D$3,1),0)))</f>
        <v/>
      </c>
      <c r="G31" s="15" t="str">
        <f aca="false">IF($A31="","",COUNTIFS(예약내역!$B$3:$B$2002,$A31,예약내역!$N$3:$N$2002,"중복",예약내역!$A$3:$A$2002,"&gt;="&amp;DATE($B$3,$D$3,1),예약내역!$A$3:$A$2002,"&lt;="&amp;EOMONTH(DATE($B$3,$D$3,1),0)))</f>
        <v/>
      </c>
    </row>
    <row r="32" customFormat="false" ht="15" hidden="false" customHeight="true" outlineLevel="0" collapsed="false">
      <c r="A32" s="12" t="str">
        <f aca="false">IF(자원목록!$A29="","",자원목록!$A29)</f>
        <v/>
      </c>
      <c r="B32" s="12" t="str">
        <f aca="false">IF($A32="","",자원목록!$B29)</f>
        <v/>
      </c>
      <c r="C32" s="15" t="str">
        <f aca="false">IF($A32="","",COUNTIFS(예약내역!$B$3:$B$2002,$A32,예약내역!$J$3:$J$2002,"&lt;&gt;취소",예약내역!$A$3:$A$2002,"&gt;="&amp;DATE($B$3,$D$3,1),예약내역!$A$3:$A$2002,"&lt;="&amp;EOMONTH(DATE($B$3,$D$3,1),0)))</f>
        <v/>
      </c>
      <c r="D32" s="14" t="str">
        <f aca="false">IF($A32="","",ROUND(SUMIFS(예약내역!$H$3:$H$2002,예약내역!$B$3:$B$2002,$A32,예약내역!$J$3:$J$2002,"&lt;&gt;취소",예약내역!$A$3:$A$2002,"&gt;="&amp;DATE($B$3,$D$3,1),예약내역!$A$3:$A$2002,"&lt;="&amp;EOMONTH(DATE($B$3,$D$3,1),0)),2))</f>
        <v/>
      </c>
      <c r="E32" s="15" t="str">
        <f aca="false">IF($A32="","",COUNTIFS(예약내역!$B$3:$B$2002,$A32,예약내역!$J$3:$J$2002,"취소",예약내역!$A$3:$A$2002,"&gt;="&amp;DATE($B$3,$D$3,1),예약내역!$A$3:$A$2002,"&lt;="&amp;EOMONTH(DATE($B$3,$D$3,1),0)))</f>
        <v/>
      </c>
      <c r="F32" s="15" t="str">
        <f aca="false">IF($A32="","",COUNTIFS(예약내역!$B$3:$B$2002,$A32,예약내역!$J$3:$J$2002,"노쇼",예약내역!$A$3:$A$2002,"&gt;="&amp;DATE($B$3,$D$3,1),예약내역!$A$3:$A$2002,"&lt;="&amp;EOMONTH(DATE($B$3,$D$3,1),0)))</f>
        <v/>
      </c>
      <c r="G32" s="15" t="str">
        <f aca="false">IF($A32="","",COUNTIFS(예약내역!$B$3:$B$2002,$A32,예약내역!$N$3:$N$2002,"중복",예약내역!$A$3:$A$2002,"&gt;="&amp;DATE($B$3,$D$3,1),예약내역!$A$3:$A$2002,"&lt;="&amp;EOMONTH(DATE($B$3,$D$3,1),0)))</f>
        <v/>
      </c>
    </row>
    <row r="33" customFormat="false" ht="15" hidden="false" customHeight="true" outlineLevel="0" collapsed="false">
      <c r="A33" s="12" t="str">
        <f aca="false">IF(자원목록!$A30="","",자원목록!$A30)</f>
        <v/>
      </c>
      <c r="B33" s="12" t="str">
        <f aca="false">IF($A33="","",자원목록!$B30)</f>
        <v/>
      </c>
      <c r="C33" s="15" t="str">
        <f aca="false">IF($A33="","",COUNTIFS(예약내역!$B$3:$B$2002,$A33,예약내역!$J$3:$J$2002,"&lt;&gt;취소",예약내역!$A$3:$A$2002,"&gt;="&amp;DATE($B$3,$D$3,1),예약내역!$A$3:$A$2002,"&lt;="&amp;EOMONTH(DATE($B$3,$D$3,1),0)))</f>
        <v/>
      </c>
      <c r="D33" s="14" t="str">
        <f aca="false">IF($A33="","",ROUND(SUMIFS(예약내역!$H$3:$H$2002,예약내역!$B$3:$B$2002,$A33,예약내역!$J$3:$J$2002,"&lt;&gt;취소",예약내역!$A$3:$A$2002,"&gt;="&amp;DATE($B$3,$D$3,1),예약내역!$A$3:$A$2002,"&lt;="&amp;EOMONTH(DATE($B$3,$D$3,1),0)),2))</f>
        <v/>
      </c>
      <c r="E33" s="15" t="str">
        <f aca="false">IF($A33="","",COUNTIFS(예약내역!$B$3:$B$2002,$A33,예약내역!$J$3:$J$2002,"취소",예약내역!$A$3:$A$2002,"&gt;="&amp;DATE($B$3,$D$3,1),예약내역!$A$3:$A$2002,"&lt;="&amp;EOMONTH(DATE($B$3,$D$3,1),0)))</f>
        <v/>
      </c>
      <c r="F33" s="15" t="str">
        <f aca="false">IF($A33="","",COUNTIFS(예약내역!$B$3:$B$2002,$A33,예약내역!$J$3:$J$2002,"노쇼",예약내역!$A$3:$A$2002,"&gt;="&amp;DATE($B$3,$D$3,1),예약내역!$A$3:$A$2002,"&lt;="&amp;EOMONTH(DATE($B$3,$D$3,1),0)))</f>
        <v/>
      </c>
      <c r="G33" s="15" t="str">
        <f aca="false">IF($A33="","",COUNTIFS(예약내역!$B$3:$B$2002,$A33,예약내역!$N$3:$N$2002,"중복",예약내역!$A$3:$A$2002,"&gt;="&amp;DATE($B$3,$D$3,1),예약내역!$A$3:$A$2002,"&lt;="&amp;EOMONTH(DATE($B$3,$D$3,1),0)))</f>
        <v/>
      </c>
    </row>
    <row r="34" customFormat="false" ht="15" hidden="false" customHeight="true" outlineLevel="0" collapsed="false">
      <c r="A34" s="12" t="str">
        <f aca="false">IF(자원목록!$A31="","",자원목록!$A31)</f>
        <v/>
      </c>
      <c r="B34" s="12" t="str">
        <f aca="false">IF($A34="","",자원목록!$B31)</f>
        <v/>
      </c>
      <c r="C34" s="15" t="str">
        <f aca="false">IF($A34="","",COUNTIFS(예약내역!$B$3:$B$2002,$A34,예약내역!$J$3:$J$2002,"&lt;&gt;취소",예약내역!$A$3:$A$2002,"&gt;="&amp;DATE($B$3,$D$3,1),예약내역!$A$3:$A$2002,"&lt;="&amp;EOMONTH(DATE($B$3,$D$3,1),0)))</f>
        <v/>
      </c>
      <c r="D34" s="14" t="str">
        <f aca="false">IF($A34="","",ROUND(SUMIFS(예약내역!$H$3:$H$2002,예약내역!$B$3:$B$2002,$A34,예약내역!$J$3:$J$2002,"&lt;&gt;취소",예약내역!$A$3:$A$2002,"&gt;="&amp;DATE($B$3,$D$3,1),예약내역!$A$3:$A$2002,"&lt;="&amp;EOMONTH(DATE($B$3,$D$3,1),0)),2))</f>
        <v/>
      </c>
      <c r="E34" s="15" t="str">
        <f aca="false">IF($A34="","",COUNTIFS(예약내역!$B$3:$B$2002,$A34,예약내역!$J$3:$J$2002,"취소",예약내역!$A$3:$A$2002,"&gt;="&amp;DATE($B$3,$D$3,1),예약내역!$A$3:$A$2002,"&lt;="&amp;EOMONTH(DATE($B$3,$D$3,1),0)))</f>
        <v/>
      </c>
      <c r="F34" s="15" t="str">
        <f aca="false">IF($A34="","",COUNTIFS(예약내역!$B$3:$B$2002,$A34,예약내역!$J$3:$J$2002,"노쇼",예약내역!$A$3:$A$2002,"&gt;="&amp;DATE($B$3,$D$3,1),예약내역!$A$3:$A$2002,"&lt;="&amp;EOMONTH(DATE($B$3,$D$3,1),0)))</f>
        <v/>
      </c>
      <c r="G34" s="15" t="str">
        <f aca="false">IF($A34="","",COUNTIFS(예약내역!$B$3:$B$2002,$A34,예약내역!$N$3:$N$2002,"중복",예약내역!$A$3:$A$2002,"&gt;="&amp;DATE($B$3,$D$3,1),예약내역!$A$3:$A$2002,"&lt;="&amp;EOMONTH(DATE($B$3,$D$3,1),0)))</f>
        <v/>
      </c>
    </row>
    <row r="35" customFormat="false" ht="15" hidden="false" customHeight="true" outlineLevel="0" collapsed="false">
      <c r="A35" s="12" t="str">
        <f aca="false">IF(자원목록!$A32="","",자원목록!$A32)</f>
        <v/>
      </c>
      <c r="B35" s="12" t="str">
        <f aca="false">IF($A35="","",자원목록!$B32)</f>
        <v/>
      </c>
      <c r="C35" s="15" t="str">
        <f aca="false">IF($A35="","",COUNTIFS(예약내역!$B$3:$B$2002,$A35,예약내역!$J$3:$J$2002,"&lt;&gt;취소",예약내역!$A$3:$A$2002,"&gt;="&amp;DATE($B$3,$D$3,1),예약내역!$A$3:$A$2002,"&lt;="&amp;EOMONTH(DATE($B$3,$D$3,1),0)))</f>
        <v/>
      </c>
      <c r="D35" s="14" t="str">
        <f aca="false">IF($A35="","",ROUND(SUMIFS(예약내역!$H$3:$H$2002,예약내역!$B$3:$B$2002,$A35,예약내역!$J$3:$J$2002,"&lt;&gt;취소",예약내역!$A$3:$A$2002,"&gt;="&amp;DATE($B$3,$D$3,1),예약내역!$A$3:$A$2002,"&lt;="&amp;EOMONTH(DATE($B$3,$D$3,1),0)),2))</f>
        <v/>
      </c>
      <c r="E35" s="15" t="str">
        <f aca="false">IF($A35="","",COUNTIFS(예약내역!$B$3:$B$2002,$A35,예약내역!$J$3:$J$2002,"취소",예약내역!$A$3:$A$2002,"&gt;="&amp;DATE($B$3,$D$3,1),예약내역!$A$3:$A$2002,"&lt;="&amp;EOMONTH(DATE($B$3,$D$3,1),0)))</f>
        <v/>
      </c>
      <c r="F35" s="15" t="str">
        <f aca="false">IF($A35="","",COUNTIFS(예약내역!$B$3:$B$2002,$A35,예약내역!$J$3:$J$2002,"노쇼",예약내역!$A$3:$A$2002,"&gt;="&amp;DATE($B$3,$D$3,1),예약내역!$A$3:$A$2002,"&lt;="&amp;EOMONTH(DATE($B$3,$D$3,1),0)))</f>
        <v/>
      </c>
      <c r="G35" s="15" t="str">
        <f aca="false">IF($A35="","",COUNTIFS(예약내역!$B$3:$B$2002,$A35,예약내역!$N$3:$N$2002,"중복",예약내역!$A$3:$A$2002,"&gt;="&amp;DATE($B$3,$D$3,1),예약내역!$A$3:$A$2002,"&lt;="&amp;EOMONTH(DATE($B$3,$D$3,1),0)))</f>
        <v/>
      </c>
    </row>
    <row r="36" customFormat="false" ht="15" hidden="false" customHeight="true" outlineLevel="0" collapsed="false">
      <c r="A36" s="12" t="str">
        <f aca="false">IF(자원목록!$A33="","",자원목록!$A33)</f>
        <v/>
      </c>
      <c r="B36" s="12" t="str">
        <f aca="false">IF($A36="","",자원목록!$B33)</f>
        <v/>
      </c>
      <c r="C36" s="15" t="str">
        <f aca="false">IF($A36="","",COUNTIFS(예약내역!$B$3:$B$2002,$A36,예약내역!$J$3:$J$2002,"&lt;&gt;취소",예약내역!$A$3:$A$2002,"&gt;="&amp;DATE($B$3,$D$3,1),예약내역!$A$3:$A$2002,"&lt;="&amp;EOMONTH(DATE($B$3,$D$3,1),0)))</f>
        <v/>
      </c>
      <c r="D36" s="14" t="str">
        <f aca="false">IF($A36="","",ROUND(SUMIFS(예약내역!$H$3:$H$2002,예약내역!$B$3:$B$2002,$A36,예약내역!$J$3:$J$2002,"&lt;&gt;취소",예약내역!$A$3:$A$2002,"&gt;="&amp;DATE($B$3,$D$3,1),예약내역!$A$3:$A$2002,"&lt;="&amp;EOMONTH(DATE($B$3,$D$3,1),0)),2))</f>
        <v/>
      </c>
      <c r="E36" s="15" t="str">
        <f aca="false">IF($A36="","",COUNTIFS(예약내역!$B$3:$B$2002,$A36,예약내역!$J$3:$J$2002,"취소",예약내역!$A$3:$A$2002,"&gt;="&amp;DATE($B$3,$D$3,1),예약내역!$A$3:$A$2002,"&lt;="&amp;EOMONTH(DATE($B$3,$D$3,1),0)))</f>
        <v/>
      </c>
      <c r="F36" s="15" t="str">
        <f aca="false">IF($A36="","",COUNTIFS(예약내역!$B$3:$B$2002,$A36,예약내역!$J$3:$J$2002,"노쇼",예약내역!$A$3:$A$2002,"&gt;="&amp;DATE($B$3,$D$3,1),예약내역!$A$3:$A$2002,"&lt;="&amp;EOMONTH(DATE($B$3,$D$3,1),0)))</f>
        <v/>
      </c>
      <c r="G36" s="15" t="str">
        <f aca="false">IF($A36="","",COUNTIFS(예약내역!$B$3:$B$2002,$A36,예약내역!$N$3:$N$2002,"중복",예약내역!$A$3:$A$2002,"&gt;="&amp;DATE($B$3,$D$3,1),예약내역!$A$3:$A$2002,"&lt;="&amp;EOMONTH(DATE($B$3,$D$3,1),0)))</f>
        <v/>
      </c>
    </row>
    <row r="37" customFormat="false" ht="15" hidden="false" customHeight="true" outlineLevel="0" collapsed="false">
      <c r="A37" s="12" t="str">
        <f aca="false">IF(자원목록!$A34="","",자원목록!$A34)</f>
        <v/>
      </c>
      <c r="B37" s="12" t="str">
        <f aca="false">IF($A37="","",자원목록!$B34)</f>
        <v/>
      </c>
      <c r="C37" s="15" t="str">
        <f aca="false">IF($A37="","",COUNTIFS(예약내역!$B$3:$B$2002,$A37,예약내역!$J$3:$J$2002,"&lt;&gt;취소",예약내역!$A$3:$A$2002,"&gt;="&amp;DATE($B$3,$D$3,1),예약내역!$A$3:$A$2002,"&lt;="&amp;EOMONTH(DATE($B$3,$D$3,1),0)))</f>
        <v/>
      </c>
      <c r="D37" s="14" t="str">
        <f aca="false">IF($A37="","",ROUND(SUMIFS(예약내역!$H$3:$H$2002,예약내역!$B$3:$B$2002,$A37,예약내역!$J$3:$J$2002,"&lt;&gt;취소",예약내역!$A$3:$A$2002,"&gt;="&amp;DATE($B$3,$D$3,1),예약내역!$A$3:$A$2002,"&lt;="&amp;EOMONTH(DATE($B$3,$D$3,1),0)),2))</f>
        <v/>
      </c>
      <c r="E37" s="15" t="str">
        <f aca="false">IF($A37="","",COUNTIFS(예약내역!$B$3:$B$2002,$A37,예약내역!$J$3:$J$2002,"취소",예약내역!$A$3:$A$2002,"&gt;="&amp;DATE($B$3,$D$3,1),예약내역!$A$3:$A$2002,"&lt;="&amp;EOMONTH(DATE($B$3,$D$3,1),0)))</f>
        <v/>
      </c>
      <c r="F37" s="15" t="str">
        <f aca="false">IF($A37="","",COUNTIFS(예약내역!$B$3:$B$2002,$A37,예약내역!$J$3:$J$2002,"노쇼",예약내역!$A$3:$A$2002,"&gt;="&amp;DATE($B$3,$D$3,1),예약내역!$A$3:$A$2002,"&lt;="&amp;EOMONTH(DATE($B$3,$D$3,1),0)))</f>
        <v/>
      </c>
      <c r="G37" s="15" t="str">
        <f aca="false">IF($A37="","",COUNTIFS(예약내역!$B$3:$B$2002,$A37,예약내역!$N$3:$N$2002,"중복",예약내역!$A$3:$A$2002,"&gt;="&amp;DATE($B$3,$D$3,1),예약내역!$A$3:$A$2002,"&lt;="&amp;EOMONTH(DATE($B$3,$D$3,1),0)))</f>
        <v/>
      </c>
    </row>
    <row r="38" customFormat="false" ht="15" hidden="false" customHeight="true" outlineLevel="0" collapsed="false">
      <c r="A38" s="12" t="str">
        <f aca="false">IF(자원목록!$A35="","",자원목록!$A35)</f>
        <v/>
      </c>
      <c r="B38" s="12" t="str">
        <f aca="false">IF($A38="","",자원목록!$B35)</f>
        <v/>
      </c>
      <c r="C38" s="15" t="str">
        <f aca="false">IF($A38="","",COUNTIFS(예약내역!$B$3:$B$2002,$A38,예약내역!$J$3:$J$2002,"&lt;&gt;취소",예약내역!$A$3:$A$2002,"&gt;="&amp;DATE($B$3,$D$3,1),예약내역!$A$3:$A$2002,"&lt;="&amp;EOMONTH(DATE($B$3,$D$3,1),0)))</f>
        <v/>
      </c>
      <c r="D38" s="14" t="str">
        <f aca="false">IF($A38="","",ROUND(SUMIFS(예약내역!$H$3:$H$2002,예약내역!$B$3:$B$2002,$A38,예약내역!$J$3:$J$2002,"&lt;&gt;취소",예약내역!$A$3:$A$2002,"&gt;="&amp;DATE($B$3,$D$3,1),예약내역!$A$3:$A$2002,"&lt;="&amp;EOMONTH(DATE($B$3,$D$3,1),0)),2))</f>
        <v/>
      </c>
      <c r="E38" s="15" t="str">
        <f aca="false">IF($A38="","",COUNTIFS(예약내역!$B$3:$B$2002,$A38,예약내역!$J$3:$J$2002,"취소",예약내역!$A$3:$A$2002,"&gt;="&amp;DATE($B$3,$D$3,1),예약내역!$A$3:$A$2002,"&lt;="&amp;EOMONTH(DATE($B$3,$D$3,1),0)))</f>
        <v/>
      </c>
      <c r="F38" s="15" t="str">
        <f aca="false">IF($A38="","",COUNTIFS(예약내역!$B$3:$B$2002,$A38,예약내역!$J$3:$J$2002,"노쇼",예약내역!$A$3:$A$2002,"&gt;="&amp;DATE($B$3,$D$3,1),예약내역!$A$3:$A$2002,"&lt;="&amp;EOMONTH(DATE($B$3,$D$3,1),0)))</f>
        <v/>
      </c>
      <c r="G38" s="15" t="str">
        <f aca="false">IF($A38="","",COUNTIFS(예약내역!$B$3:$B$2002,$A38,예약내역!$N$3:$N$2002,"중복",예약내역!$A$3:$A$2002,"&gt;="&amp;DATE($B$3,$D$3,1),예약내역!$A$3:$A$2002,"&lt;="&amp;EOMONTH(DATE($B$3,$D$3,1),0)))</f>
        <v/>
      </c>
    </row>
    <row r="39" customFormat="false" ht="15" hidden="false" customHeight="true" outlineLevel="0" collapsed="false">
      <c r="A39" s="12" t="str">
        <f aca="false">IF(자원목록!$A36="","",자원목록!$A36)</f>
        <v/>
      </c>
      <c r="B39" s="12" t="str">
        <f aca="false">IF($A39="","",자원목록!$B36)</f>
        <v/>
      </c>
      <c r="C39" s="15" t="str">
        <f aca="false">IF($A39="","",COUNTIFS(예약내역!$B$3:$B$2002,$A39,예약내역!$J$3:$J$2002,"&lt;&gt;취소",예약내역!$A$3:$A$2002,"&gt;="&amp;DATE($B$3,$D$3,1),예약내역!$A$3:$A$2002,"&lt;="&amp;EOMONTH(DATE($B$3,$D$3,1),0)))</f>
        <v/>
      </c>
      <c r="D39" s="14" t="str">
        <f aca="false">IF($A39="","",ROUND(SUMIFS(예약내역!$H$3:$H$2002,예약내역!$B$3:$B$2002,$A39,예약내역!$J$3:$J$2002,"&lt;&gt;취소",예약내역!$A$3:$A$2002,"&gt;="&amp;DATE($B$3,$D$3,1),예약내역!$A$3:$A$2002,"&lt;="&amp;EOMONTH(DATE($B$3,$D$3,1),0)),2))</f>
        <v/>
      </c>
      <c r="E39" s="15" t="str">
        <f aca="false">IF($A39="","",COUNTIFS(예약내역!$B$3:$B$2002,$A39,예약내역!$J$3:$J$2002,"취소",예약내역!$A$3:$A$2002,"&gt;="&amp;DATE($B$3,$D$3,1),예약내역!$A$3:$A$2002,"&lt;="&amp;EOMONTH(DATE($B$3,$D$3,1),0)))</f>
        <v/>
      </c>
      <c r="F39" s="15" t="str">
        <f aca="false">IF($A39="","",COUNTIFS(예약내역!$B$3:$B$2002,$A39,예약내역!$J$3:$J$2002,"노쇼",예약내역!$A$3:$A$2002,"&gt;="&amp;DATE($B$3,$D$3,1),예약내역!$A$3:$A$2002,"&lt;="&amp;EOMONTH(DATE($B$3,$D$3,1),0)))</f>
        <v/>
      </c>
      <c r="G39" s="15" t="str">
        <f aca="false">IF($A39="","",COUNTIFS(예약내역!$B$3:$B$2002,$A39,예약내역!$N$3:$N$2002,"중복",예약내역!$A$3:$A$2002,"&gt;="&amp;DATE($B$3,$D$3,1),예약내역!$A$3:$A$2002,"&lt;="&amp;EOMONTH(DATE($B$3,$D$3,1),0)))</f>
        <v/>
      </c>
    </row>
    <row r="40" customFormat="false" ht="15" hidden="false" customHeight="true" outlineLevel="0" collapsed="false">
      <c r="A40" s="12" t="str">
        <f aca="false">IF(자원목록!$A37="","",자원목록!$A37)</f>
        <v/>
      </c>
      <c r="B40" s="12" t="str">
        <f aca="false">IF($A40="","",자원목록!$B37)</f>
        <v/>
      </c>
      <c r="C40" s="15" t="str">
        <f aca="false">IF($A40="","",COUNTIFS(예약내역!$B$3:$B$2002,$A40,예약내역!$J$3:$J$2002,"&lt;&gt;취소",예약내역!$A$3:$A$2002,"&gt;="&amp;DATE($B$3,$D$3,1),예약내역!$A$3:$A$2002,"&lt;="&amp;EOMONTH(DATE($B$3,$D$3,1),0)))</f>
        <v/>
      </c>
      <c r="D40" s="14" t="str">
        <f aca="false">IF($A40="","",ROUND(SUMIFS(예약내역!$H$3:$H$2002,예약내역!$B$3:$B$2002,$A40,예약내역!$J$3:$J$2002,"&lt;&gt;취소",예약내역!$A$3:$A$2002,"&gt;="&amp;DATE($B$3,$D$3,1),예약내역!$A$3:$A$2002,"&lt;="&amp;EOMONTH(DATE($B$3,$D$3,1),0)),2))</f>
        <v/>
      </c>
      <c r="E40" s="15" t="str">
        <f aca="false">IF($A40="","",COUNTIFS(예약내역!$B$3:$B$2002,$A40,예약내역!$J$3:$J$2002,"취소",예약내역!$A$3:$A$2002,"&gt;="&amp;DATE($B$3,$D$3,1),예약내역!$A$3:$A$2002,"&lt;="&amp;EOMONTH(DATE($B$3,$D$3,1),0)))</f>
        <v/>
      </c>
      <c r="F40" s="15" t="str">
        <f aca="false">IF($A40="","",COUNTIFS(예약내역!$B$3:$B$2002,$A40,예약내역!$J$3:$J$2002,"노쇼",예약내역!$A$3:$A$2002,"&gt;="&amp;DATE($B$3,$D$3,1),예약내역!$A$3:$A$2002,"&lt;="&amp;EOMONTH(DATE($B$3,$D$3,1),0)))</f>
        <v/>
      </c>
      <c r="G40" s="15" t="str">
        <f aca="false">IF($A40="","",COUNTIFS(예약내역!$B$3:$B$2002,$A40,예약내역!$N$3:$N$2002,"중복",예약내역!$A$3:$A$2002,"&gt;="&amp;DATE($B$3,$D$3,1),예약내역!$A$3:$A$2002,"&lt;="&amp;EOMONTH(DATE($B$3,$D$3,1),0)))</f>
        <v/>
      </c>
    </row>
    <row r="41" customFormat="false" ht="15" hidden="false" customHeight="true" outlineLevel="0" collapsed="false">
      <c r="A41" s="12" t="str">
        <f aca="false">IF(자원목록!$A38="","",자원목록!$A38)</f>
        <v/>
      </c>
      <c r="B41" s="12" t="str">
        <f aca="false">IF($A41="","",자원목록!$B38)</f>
        <v/>
      </c>
      <c r="C41" s="15" t="str">
        <f aca="false">IF($A41="","",COUNTIFS(예약내역!$B$3:$B$2002,$A41,예약내역!$J$3:$J$2002,"&lt;&gt;취소",예약내역!$A$3:$A$2002,"&gt;="&amp;DATE($B$3,$D$3,1),예약내역!$A$3:$A$2002,"&lt;="&amp;EOMONTH(DATE($B$3,$D$3,1),0)))</f>
        <v/>
      </c>
      <c r="D41" s="14" t="str">
        <f aca="false">IF($A41="","",ROUND(SUMIFS(예약내역!$H$3:$H$2002,예약내역!$B$3:$B$2002,$A41,예약내역!$J$3:$J$2002,"&lt;&gt;취소",예약내역!$A$3:$A$2002,"&gt;="&amp;DATE($B$3,$D$3,1),예약내역!$A$3:$A$2002,"&lt;="&amp;EOMONTH(DATE($B$3,$D$3,1),0)),2))</f>
        <v/>
      </c>
      <c r="E41" s="15" t="str">
        <f aca="false">IF($A41="","",COUNTIFS(예약내역!$B$3:$B$2002,$A41,예약내역!$J$3:$J$2002,"취소",예약내역!$A$3:$A$2002,"&gt;="&amp;DATE($B$3,$D$3,1),예약내역!$A$3:$A$2002,"&lt;="&amp;EOMONTH(DATE($B$3,$D$3,1),0)))</f>
        <v/>
      </c>
      <c r="F41" s="15" t="str">
        <f aca="false">IF($A41="","",COUNTIFS(예약내역!$B$3:$B$2002,$A41,예약내역!$J$3:$J$2002,"노쇼",예약내역!$A$3:$A$2002,"&gt;="&amp;DATE($B$3,$D$3,1),예약내역!$A$3:$A$2002,"&lt;="&amp;EOMONTH(DATE($B$3,$D$3,1),0)))</f>
        <v/>
      </c>
      <c r="G41" s="15" t="str">
        <f aca="false">IF($A41="","",COUNTIFS(예약내역!$B$3:$B$2002,$A41,예약내역!$N$3:$N$2002,"중복",예약내역!$A$3:$A$2002,"&gt;="&amp;DATE($B$3,$D$3,1),예약내역!$A$3:$A$2002,"&lt;="&amp;EOMONTH(DATE($B$3,$D$3,1),0)))</f>
        <v/>
      </c>
    </row>
    <row r="42" customFormat="false" ht="15" hidden="false" customHeight="true" outlineLevel="0" collapsed="false">
      <c r="A42" s="12" t="str">
        <f aca="false">IF(자원목록!$A39="","",자원목록!$A39)</f>
        <v/>
      </c>
      <c r="B42" s="12" t="str">
        <f aca="false">IF($A42="","",자원목록!$B39)</f>
        <v/>
      </c>
      <c r="C42" s="15" t="str">
        <f aca="false">IF($A42="","",COUNTIFS(예약내역!$B$3:$B$2002,$A42,예약내역!$J$3:$J$2002,"&lt;&gt;취소",예약내역!$A$3:$A$2002,"&gt;="&amp;DATE($B$3,$D$3,1),예약내역!$A$3:$A$2002,"&lt;="&amp;EOMONTH(DATE($B$3,$D$3,1),0)))</f>
        <v/>
      </c>
      <c r="D42" s="14" t="str">
        <f aca="false">IF($A42="","",ROUND(SUMIFS(예약내역!$H$3:$H$2002,예약내역!$B$3:$B$2002,$A42,예약내역!$J$3:$J$2002,"&lt;&gt;취소",예약내역!$A$3:$A$2002,"&gt;="&amp;DATE($B$3,$D$3,1),예약내역!$A$3:$A$2002,"&lt;="&amp;EOMONTH(DATE($B$3,$D$3,1),0)),2))</f>
        <v/>
      </c>
      <c r="E42" s="15" t="str">
        <f aca="false">IF($A42="","",COUNTIFS(예약내역!$B$3:$B$2002,$A42,예약내역!$J$3:$J$2002,"취소",예약내역!$A$3:$A$2002,"&gt;="&amp;DATE($B$3,$D$3,1),예약내역!$A$3:$A$2002,"&lt;="&amp;EOMONTH(DATE($B$3,$D$3,1),0)))</f>
        <v/>
      </c>
      <c r="F42" s="15" t="str">
        <f aca="false">IF($A42="","",COUNTIFS(예약내역!$B$3:$B$2002,$A42,예약내역!$J$3:$J$2002,"노쇼",예약내역!$A$3:$A$2002,"&gt;="&amp;DATE($B$3,$D$3,1),예약내역!$A$3:$A$2002,"&lt;="&amp;EOMONTH(DATE($B$3,$D$3,1),0)))</f>
        <v/>
      </c>
      <c r="G42" s="15" t="str">
        <f aca="false">IF($A42="","",COUNTIFS(예약내역!$B$3:$B$2002,$A42,예약내역!$N$3:$N$2002,"중복",예약내역!$A$3:$A$2002,"&gt;="&amp;DATE($B$3,$D$3,1),예약내역!$A$3:$A$2002,"&lt;="&amp;EOMONTH(DATE($B$3,$D$3,1),0)))</f>
        <v/>
      </c>
    </row>
    <row r="43" customFormat="false" ht="15" hidden="false" customHeight="true" outlineLevel="0" collapsed="false">
      <c r="A43" s="12" t="str">
        <f aca="false">IF(자원목록!$A40="","",자원목록!$A40)</f>
        <v/>
      </c>
      <c r="B43" s="12" t="str">
        <f aca="false">IF($A43="","",자원목록!$B40)</f>
        <v/>
      </c>
      <c r="C43" s="15" t="str">
        <f aca="false">IF($A43="","",COUNTIFS(예약내역!$B$3:$B$2002,$A43,예약내역!$J$3:$J$2002,"&lt;&gt;취소",예약내역!$A$3:$A$2002,"&gt;="&amp;DATE($B$3,$D$3,1),예약내역!$A$3:$A$2002,"&lt;="&amp;EOMONTH(DATE($B$3,$D$3,1),0)))</f>
        <v/>
      </c>
      <c r="D43" s="14" t="str">
        <f aca="false">IF($A43="","",ROUND(SUMIFS(예약내역!$H$3:$H$2002,예약내역!$B$3:$B$2002,$A43,예약내역!$J$3:$J$2002,"&lt;&gt;취소",예약내역!$A$3:$A$2002,"&gt;="&amp;DATE($B$3,$D$3,1),예약내역!$A$3:$A$2002,"&lt;="&amp;EOMONTH(DATE($B$3,$D$3,1),0)),2))</f>
        <v/>
      </c>
      <c r="E43" s="15" t="str">
        <f aca="false">IF($A43="","",COUNTIFS(예약내역!$B$3:$B$2002,$A43,예약내역!$J$3:$J$2002,"취소",예약내역!$A$3:$A$2002,"&gt;="&amp;DATE($B$3,$D$3,1),예약내역!$A$3:$A$2002,"&lt;="&amp;EOMONTH(DATE($B$3,$D$3,1),0)))</f>
        <v/>
      </c>
      <c r="F43" s="15" t="str">
        <f aca="false">IF($A43="","",COUNTIFS(예약내역!$B$3:$B$2002,$A43,예약내역!$J$3:$J$2002,"노쇼",예약내역!$A$3:$A$2002,"&gt;="&amp;DATE($B$3,$D$3,1),예약내역!$A$3:$A$2002,"&lt;="&amp;EOMONTH(DATE($B$3,$D$3,1),0)))</f>
        <v/>
      </c>
      <c r="G43" s="15" t="str">
        <f aca="false">IF($A43="","",COUNTIFS(예약내역!$B$3:$B$2002,$A43,예약내역!$N$3:$N$2002,"중복",예약내역!$A$3:$A$2002,"&gt;="&amp;DATE($B$3,$D$3,1),예약내역!$A$3:$A$2002,"&lt;="&amp;EOMONTH(DATE($B$3,$D$3,1),0)))</f>
        <v/>
      </c>
    </row>
    <row r="44" customFormat="false" ht="15" hidden="false" customHeight="true" outlineLevel="0" collapsed="false">
      <c r="A44" s="12" t="str">
        <f aca="false">IF(자원목록!$A41="","",자원목록!$A41)</f>
        <v/>
      </c>
      <c r="B44" s="12" t="str">
        <f aca="false">IF($A44="","",자원목록!$B41)</f>
        <v/>
      </c>
      <c r="C44" s="15" t="str">
        <f aca="false">IF($A44="","",COUNTIFS(예약내역!$B$3:$B$2002,$A44,예약내역!$J$3:$J$2002,"&lt;&gt;취소",예약내역!$A$3:$A$2002,"&gt;="&amp;DATE($B$3,$D$3,1),예약내역!$A$3:$A$2002,"&lt;="&amp;EOMONTH(DATE($B$3,$D$3,1),0)))</f>
        <v/>
      </c>
      <c r="D44" s="14" t="str">
        <f aca="false">IF($A44="","",ROUND(SUMIFS(예약내역!$H$3:$H$2002,예약내역!$B$3:$B$2002,$A44,예약내역!$J$3:$J$2002,"&lt;&gt;취소",예약내역!$A$3:$A$2002,"&gt;="&amp;DATE($B$3,$D$3,1),예약내역!$A$3:$A$2002,"&lt;="&amp;EOMONTH(DATE($B$3,$D$3,1),0)),2))</f>
        <v/>
      </c>
      <c r="E44" s="15" t="str">
        <f aca="false">IF($A44="","",COUNTIFS(예약내역!$B$3:$B$2002,$A44,예약내역!$J$3:$J$2002,"취소",예약내역!$A$3:$A$2002,"&gt;="&amp;DATE($B$3,$D$3,1),예약내역!$A$3:$A$2002,"&lt;="&amp;EOMONTH(DATE($B$3,$D$3,1),0)))</f>
        <v/>
      </c>
      <c r="F44" s="15" t="str">
        <f aca="false">IF($A44="","",COUNTIFS(예약내역!$B$3:$B$2002,$A44,예약내역!$J$3:$J$2002,"노쇼",예약내역!$A$3:$A$2002,"&gt;="&amp;DATE($B$3,$D$3,1),예약내역!$A$3:$A$2002,"&lt;="&amp;EOMONTH(DATE($B$3,$D$3,1),0)))</f>
        <v/>
      </c>
      <c r="G44" s="15" t="str">
        <f aca="false">IF($A44="","",COUNTIFS(예약내역!$B$3:$B$2002,$A44,예약내역!$N$3:$N$2002,"중복",예약내역!$A$3:$A$2002,"&gt;="&amp;DATE($B$3,$D$3,1),예약내역!$A$3:$A$2002,"&lt;="&amp;EOMONTH(DATE($B$3,$D$3,1),0)))</f>
        <v/>
      </c>
    </row>
    <row r="45" customFormat="false" ht="15" hidden="false" customHeight="true" outlineLevel="0" collapsed="false">
      <c r="A45" s="12" t="str">
        <f aca="false">IF(자원목록!$A42="","",자원목록!$A42)</f>
        <v/>
      </c>
      <c r="B45" s="12" t="str">
        <f aca="false">IF($A45="","",자원목록!$B42)</f>
        <v/>
      </c>
      <c r="C45" s="15" t="str">
        <f aca="false">IF($A45="","",COUNTIFS(예약내역!$B$3:$B$2002,$A45,예약내역!$J$3:$J$2002,"&lt;&gt;취소",예약내역!$A$3:$A$2002,"&gt;="&amp;DATE($B$3,$D$3,1),예약내역!$A$3:$A$2002,"&lt;="&amp;EOMONTH(DATE($B$3,$D$3,1),0)))</f>
        <v/>
      </c>
      <c r="D45" s="14" t="str">
        <f aca="false">IF($A45="","",ROUND(SUMIFS(예약내역!$H$3:$H$2002,예약내역!$B$3:$B$2002,$A45,예약내역!$J$3:$J$2002,"&lt;&gt;취소",예약내역!$A$3:$A$2002,"&gt;="&amp;DATE($B$3,$D$3,1),예약내역!$A$3:$A$2002,"&lt;="&amp;EOMONTH(DATE($B$3,$D$3,1),0)),2))</f>
        <v/>
      </c>
      <c r="E45" s="15" t="str">
        <f aca="false">IF($A45="","",COUNTIFS(예약내역!$B$3:$B$2002,$A45,예약내역!$J$3:$J$2002,"취소",예약내역!$A$3:$A$2002,"&gt;="&amp;DATE($B$3,$D$3,1),예약내역!$A$3:$A$2002,"&lt;="&amp;EOMONTH(DATE($B$3,$D$3,1),0)))</f>
        <v/>
      </c>
      <c r="F45" s="15" t="str">
        <f aca="false">IF($A45="","",COUNTIFS(예약내역!$B$3:$B$2002,$A45,예약내역!$J$3:$J$2002,"노쇼",예약내역!$A$3:$A$2002,"&gt;="&amp;DATE($B$3,$D$3,1),예약내역!$A$3:$A$2002,"&lt;="&amp;EOMONTH(DATE($B$3,$D$3,1),0)))</f>
        <v/>
      </c>
      <c r="G45" s="15" t="str">
        <f aca="false">IF($A45="","",COUNTIFS(예약내역!$B$3:$B$2002,$A45,예약내역!$N$3:$N$2002,"중복",예약내역!$A$3:$A$2002,"&gt;="&amp;DATE($B$3,$D$3,1),예약내역!$A$3:$A$2002,"&lt;="&amp;EOMONTH(DATE($B$3,$D$3,1),0)))</f>
        <v/>
      </c>
    </row>
    <row r="46" customFormat="false" ht="15" hidden="false" customHeight="true" outlineLevel="0" collapsed="false">
      <c r="A46" s="12" t="str">
        <f aca="false">IF(자원목록!$A43="","",자원목록!$A43)</f>
        <v/>
      </c>
      <c r="B46" s="12" t="str">
        <f aca="false">IF($A46="","",자원목록!$B43)</f>
        <v/>
      </c>
      <c r="C46" s="15" t="str">
        <f aca="false">IF($A46="","",COUNTIFS(예약내역!$B$3:$B$2002,$A46,예약내역!$J$3:$J$2002,"&lt;&gt;취소",예약내역!$A$3:$A$2002,"&gt;="&amp;DATE($B$3,$D$3,1),예약내역!$A$3:$A$2002,"&lt;="&amp;EOMONTH(DATE($B$3,$D$3,1),0)))</f>
        <v/>
      </c>
      <c r="D46" s="14" t="str">
        <f aca="false">IF($A46="","",ROUND(SUMIFS(예약내역!$H$3:$H$2002,예약내역!$B$3:$B$2002,$A46,예약내역!$J$3:$J$2002,"&lt;&gt;취소",예약내역!$A$3:$A$2002,"&gt;="&amp;DATE($B$3,$D$3,1),예약내역!$A$3:$A$2002,"&lt;="&amp;EOMONTH(DATE($B$3,$D$3,1),0)),2))</f>
        <v/>
      </c>
      <c r="E46" s="15" t="str">
        <f aca="false">IF($A46="","",COUNTIFS(예약내역!$B$3:$B$2002,$A46,예약내역!$J$3:$J$2002,"취소",예약내역!$A$3:$A$2002,"&gt;="&amp;DATE($B$3,$D$3,1),예약내역!$A$3:$A$2002,"&lt;="&amp;EOMONTH(DATE($B$3,$D$3,1),0)))</f>
        <v/>
      </c>
      <c r="F46" s="15" t="str">
        <f aca="false">IF($A46="","",COUNTIFS(예약내역!$B$3:$B$2002,$A46,예약내역!$J$3:$J$2002,"노쇼",예약내역!$A$3:$A$2002,"&gt;="&amp;DATE($B$3,$D$3,1),예약내역!$A$3:$A$2002,"&lt;="&amp;EOMONTH(DATE($B$3,$D$3,1),0)))</f>
        <v/>
      </c>
      <c r="G46" s="15" t="str">
        <f aca="false">IF($A46="","",COUNTIFS(예약내역!$B$3:$B$2002,$A46,예약내역!$N$3:$N$2002,"중복",예약내역!$A$3:$A$2002,"&gt;="&amp;DATE($B$3,$D$3,1),예약내역!$A$3:$A$2002,"&lt;="&amp;EOMONTH(DATE($B$3,$D$3,1),0)))</f>
        <v/>
      </c>
    </row>
    <row r="47" customFormat="false" ht="15" hidden="false" customHeight="true" outlineLevel="0" collapsed="false">
      <c r="A47" s="12" t="str">
        <f aca="false">IF(자원목록!$A44="","",자원목록!$A44)</f>
        <v/>
      </c>
      <c r="B47" s="12" t="str">
        <f aca="false">IF($A47="","",자원목록!$B44)</f>
        <v/>
      </c>
      <c r="C47" s="15" t="str">
        <f aca="false">IF($A47="","",COUNTIFS(예약내역!$B$3:$B$2002,$A47,예약내역!$J$3:$J$2002,"&lt;&gt;취소",예약내역!$A$3:$A$2002,"&gt;="&amp;DATE($B$3,$D$3,1),예약내역!$A$3:$A$2002,"&lt;="&amp;EOMONTH(DATE($B$3,$D$3,1),0)))</f>
        <v/>
      </c>
      <c r="D47" s="14" t="str">
        <f aca="false">IF($A47="","",ROUND(SUMIFS(예약내역!$H$3:$H$2002,예약내역!$B$3:$B$2002,$A47,예약내역!$J$3:$J$2002,"&lt;&gt;취소",예약내역!$A$3:$A$2002,"&gt;="&amp;DATE($B$3,$D$3,1),예약내역!$A$3:$A$2002,"&lt;="&amp;EOMONTH(DATE($B$3,$D$3,1),0)),2))</f>
        <v/>
      </c>
      <c r="E47" s="15" t="str">
        <f aca="false">IF($A47="","",COUNTIFS(예약내역!$B$3:$B$2002,$A47,예약내역!$J$3:$J$2002,"취소",예약내역!$A$3:$A$2002,"&gt;="&amp;DATE($B$3,$D$3,1),예약내역!$A$3:$A$2002,"&lt;="&amp;EOMONTH(DATE($B$3,$D$3,1),0)))</f>
        <v/>
      </c>
      <c r="F47" s="15" t="str">
        <f aca="false">IF($A47="","",COUNTIFS(예약내역!$B$3:$B$2002,$A47,예약내역!$J$3:$J$2002,"노쇼",예약내역!$A$3:$A$2002,"&gt;="&amp;DATE($B$3,$D$3,1),예약내역!$A$3:$A$2002,"&lt;="&amp;EOMONTH(DATE($B$3,$D$3,1),0)))</f>
        <v/>
      </c>
      <c r="G47" s="15" t="str">
        <f aca="false">IF($A47="","",COUNTIFS(예약내역!$B$3:$B$2002,$A47,예약내역!$N$3:$N$2002,"중복",예약내역!$A$3:$A$2002,"&gt;="&amp;DATE($B$3,$D$3,1),예약내역!$A$3:$A$2002,"&lt;="&amp;EOMONTH(DATE($B$3,$D$3,1),0)))</f>
        <v/>
      </c>
    </row>
    <row r="48" customFormat="false" ht="15" hidden="false" customHeight="true" outlineLevel="0" collapsed="false">
      <c r="A48" s="12" t="str">
        <f aca="false">IF(자원목록!$A45="","",자원목록!$A45)</f>
        <v/>
      </c>
      <c r="B48" s="12" t="str">
        <f aca="false">IF($A48="","",자원목록!$B45)</f>
        <v/>
      </c>
      <c r="C48" s="15" t="str">
        <f aca="false">IF($A48="","",COUNTIFS(예약내역!$B$3:$B$2002,$A48,예약내역!$J$3:$J$2002,"&lt;&gt;취소",예약내역!$A$3:$A$2002,"&gt;="&amp;DATE($B$3,$D$3,1),예약내역!$A$3:$A$2002,"&lt;="&amp;EOMONTH(DATE($B$3,$D$3,1),0)))</f>
        <v/>
      </c>
      <c r="D48" s="14" t="str">
        <f aca="false">IF($A48="","",ROUND(SUMIFS(예약내역!$H$3:$H$2002,예약내역!$B$3:$B$2002,$A48,예약내역!$J$3:$J$2002,"&lt;&gt;취소",예약내역!$A$3:$A$2002,"&gt;="&amp;DATE($B$3,$D$3,1),예약내역!$A$3:$A$2002,"&lt;="&amp;EOMONTH(DATE($B$3,$D$3,1),0)),2))</f>
        <v/>
      </c>
      <c r="E48" s="15" t="str">
        <f aca="false">IF($A48="","",COUNTIFS(예약내역!$B$3:$B$2002,$A48,예약내역!$J$3:$J$2002,"취소",예약내역!$A$3:$A$2002,"&gt;="&amp;DATE($B$3,$D$3,1),예약내역!$A$3:$A$2002,"&lt;="&amp;EOMONTH(DATE($B$3,$D$3,1),0)))</f>
        <v/>
      </c>
      <c r="F48" s="15" t="str">
        <f aca="false">IF($A48="","",COUNTIFS(예약내역!$B$3:$B$2002,$A48,예약내역!$J$3:$J$2002,"노쇼",예약내역!$A$3:$A$2002,"&gt;="&amp;DATE($B$3,$D$3,1),예약내역!$A$3:$A$2002,"&lt;="&amp;EOMONTH(DATE($B$3,$D$3,1),0)))</f>
        <v/>
      </c>
      <c r="G48" s="15" t="str">
        <f aca="false">IF($A48="","",COUNTIFS(예약내역!$B$3:$B$2002,$A48,예약내역!$N$3:$N$2002,"중복",예약내역!$A$3:$A$2002,"&gt;="&amp;DATE($B$3,$D$3,1),예약내역!$A$3:$A$2002,"&lt;="&amp;EOMONTH(DATE($B$3,$D$3,1),0)))</f>
        <v/>
      </c>
    </row>
    <row r="49" customFormat="false" ht="15" hidden="false" customHeight="true" outlineLevel="0" collapsed="false">
      <c r="A49" s="12" t="str">
        <f aca="false">IF(자원목록!$A46="","",자원목록!$A46)</f>
        <v/>
      </c>
      <c r="B49" s="12" t="str">
        <f aca="false">IF($A49="","",자원목록!$B46)</f>
        <v/>
      </c>
      <c r="C49" s="15" t="str">
        <f aca="false">IF($A49="","",COUNTIFS(예약내역!$B$3:$B$2002,$A49,예약내역!$J$3:$J$2002,"&lt;&gt;취소",예약내역!$A$3:$A$2002,"&gt;="&amp;DATE($B$3,$D$3,1),예약내역!$A$3:$A$2002,"&lt;="&amp;EOMONTH(DATE($B$3,$D$3,1),0)))</f>
        <v/>
      </c>
      <c r="D49" s="14" t="str">
        <f aca="false">IF($A49="","",ROUND(SUMIFS(예약내역!$H$3:$H$2002,예약내역!$B$3:$B$2002,$A49,예약내역!$J$3:$J$2002,"&lt;&gt;취소",예약내역!$A$3:$A$2002,"&gt;="&amp;DATE($B$3,$D$3,1),예약내역!$A$3:$A$2002,"&lt;="&amp;EOMONTH(DATE($B$3,$D$3,1),0)),2))</f>
        <v/>
      </c>
      <c r="E49" s="15" t="str">
        <f aca="false">IF($A49="","",COUNTIFS(예약내역!$B$3:$B$2002,$A49,예약내역!$J$3:$J$2002,"취소",예약내역!$A$3:$A$2002,"&gt;="&amp;DATE($B$3,$D$3,1),예약내역!$A$3:$A$2002,"&lt;="&amp;EOMONTH(DATE($B$3,$D$3,1),0)))</f>
        <v/>
      </c>
      <c r="F49" s="15" t="str">
        <f aca="false">IF($A49="","",COUNTIFS(예약내역!$B$3:$B$2002,$A49,예약내역!$J$3:$J$2002,"노쇼",예약내역!$A$3:$A$2002,"&gt;="&amp;DATE($B$3,$D$3,1),예약내역!$A$3:$A$2002,"&lt;="&amp;EOMONTH(DATE($B$3,$D$3,1),0)))</f>
        <v/>
      </c>
      <c r="G49" s="15" t="str">
        <f aca="false">IF($A49="","",COUNTIFS(예약내역!$B$3:$B$2002,$A49,예약내역!$N$3:$N$2002,"중복",예약내역!$A$3:$A$2002,"&gt;="&amp;DATE($B$3,$D$3,1),예약내역!$A$3:$A$2002,"&lt;="&amp;EOMONTH(DATE($B$3,$D$3,1),0)))</f>
        <v/>
      </c>
    </row>
    <row r="50" customFormat="false" ht="15" hidden="false" customHeight="true" outlineLevel="0" collapsed="false">
      <c r="A50" s="12" t="str">
        <f aca="false">IF(자원목록!$A47="","",자원목록!$A47)</f>
        <v/>
      </c>
      <c r="B50" s="12" t="str">
        <f aca="false">IF($A50="","",자원목록!$B47)</f>
        <v/>
      </c>
      <c r="C50" s="15" t="str">
        <f aca="false">IF($A50="","",COUNTIFS(예약내역!$B$3:$B$2002,$A50,예약내역!$J$3:$J$2002,"&lt;&gt;취소",예약내역!$A$3:$A$2002,"&gt;="&amp;DATE($B$3,$D$3,1),예약내역!$A$3:$A$2002,"&lt;="&amp;EOMONTH(DATE($B$3,$D$3,1),0)))</f>
        <v/>
      </c>
      <c r="D50" s="14" t="str">
        <f aca="false">IF($A50="","",ROUND(SUMIFS(예약내역!$H$3:$H$2002,예약내역!$B$3:$B$2002,$A50,예약내역!$J$3:$J$2002,"&lt;&gt;취소",예약내역!$A$3:$A$2002,"&gt;="&amp;DATE($B$3,$D$3,1),예약내역!$A$3:$A$2002,"&lt;="&amp;EOMONTH(DATE($B$3,$D$3,1),0)),2))</f>
        <v/>
      </c>
      <c r="E50" s="15" t="str">
        <f aca="false">IF($A50="","",COUNTIFS(예약내역!$B$3:$B$2002,$A50,예약내역!$J$3:$J$2002,"취소",예약내역!$A$3:$A$2002,"&gt;="&amp;DATE($B$3,$D$3,1),예약내역!$A$3:$A$2002,"&lt;="&amp;EOMONTH(DATE($B$3,$D$3,1),0)))</f>
        <v/>
      </c>
      <c r="F50" s="15" t="str">
        <f aca="false">IF($A50="","",COUNTIFS(예약내역!$B$3:$B$2002,$A50,예약내역!$J$3:$J$2002,"노쇼",예약내역!$A$3:$A$2002,"&gt;="&amp;DATE($B$3,$D$3,1),예약내역!$A$3:$A$2002,"&lt;="&amp;EOMONTH(DATE($B$3,$D$3,1),0)))</f>
        <v/>
      </c>
      <c r="G50" s="15" t="str">
        <f aca="false">IF($A50="","",COUNTIFS(예약내역!$B$3:$B$2002,$A50,예약내역!$N$3:$N$2002,"중복",예약내역!$A$3:$A$2002,"&gt;="&amp;DATE($B$3,$D$3,1),예약내역!$A$3:$A$2002,"&lt;="&amp;EOMONTH(DATE($B$3,$D$3,1),0)))</f>
        <v/>
      </c>
    </row>
    <row r="51" customFormat="false" ht="15" hidden="false" customHeight="true" outlineLevel="0" collapsed="false">
      <c r="A51" s="12" t="str">
        <f aca="false">IF(자원목록!$A48="","",자원목록!$A48)</f>
        <v/>
      </c>
      <c r="B51" s="12" t="str">
        <f aca="false">IF($A51="","",자원목록!$B48)</f>
        <v/>
      </c>
      <c r="C51" s="15" t="str">
        <f aca="false">IF($A51="","",COUNTIFS(예약내역!$B$3:$B$2002,$A51,예약내역!$J$3:$J$2002,"&lt;&gt;취소",예약내역!$A$3:$A$2002,"&gt;="&amp;DATE($B$3,$D$3,1),예약내역!$A$3:$A$2002,"&lt;="&amp;EOMONTH(DATE($B$3,$D$3,1),0)))</f>
        <v/>
      </c>
      <c r="D51" s="14" t="str">
        <f aca="false">IF($A51="","",ROUND(SUMIFS(예약내역!$H$3:$H$2002,예약내역!$B$3:$B$2002,$A51,예약내역!$J$3:$J$2002,"&lt;&gt;취소",예약내역!$A$3:$A$2002,"&gt;="&amp;DATE($B$3,$D$3,1),예약내역!$A$3:$A$2002,"&lt;="&amp;EOMONTH(DATE($B$3,$D$3,1),0)),2))</f>
        <v/>
      </c>
      <c r="E51" s="15" t="str">
        <f aca="false">IF($A51="","",COUNTIFS(예약내역!$B$3:$B$2002,$A51,예약내역!$J$3:$J$2002,"취소",예약내역!$A$3:$A$2002,"&gt;="&amp;DATE($B$3,$D$3,1),예약내역!$A$3:$A$2002,"&lt;="&amp;EOMONTH(DATE($B$3,$D$3,1),0)))</f>
        <v/>
      </c>
      <c r="F51" s="15" t="str">
        <f aca="false">IF($A51="","",COUNTIFS(예약내역!$B$3:$B$2002,$A51,예약내역!$J$3:$J$2002,"노쇼",예약내역!$A$3:$A$2002,"&gt;="&amp;DATE($B$3,$D$3,1),예약내역!$A$3:$A$2002,"&lt;="&amp;EOMONTH(DATE($B$3,$D$3,1),0)))</f>
        <v/>
      </c>
      <c r="G51" s="15" t="str">
        <f aca="false">IF($A51="","",COUNTIFS(예약내역!$B$3:$B$2002,$A51,예약내역!$N$3:$N$2002,"중복",예약내역!$A$3:$A$2002,"&gt;="&amp;DATE($B$3,$D$3,1),예약내역!$A$3:$A$2002,"&lt;="&amp;EOMONTH(DATE($B$3,$D$3,1),0)))</f>
        <v/>
      </c>
    </row>
    <row r="52" customFormat="false" ht="15" hidden="false" customHeight="true" outlineLevel="0" collapsed="false">
      <c r="A52" s="12" t="str">
        <f aca="false">IF(자원목록!$A49="","",자원목록!$A49)</f>
        <v/>
      </c>
      <c r="B52" s="12" t="str">
        <f aca="false">IF($A52="","",자원목록!$B49)</f>
        <v/>
      </c>
      <c r="C52" s="15" t="str">
        <f aca="false">IF($A52="","",COUNTIFS(예약내역!$B$3:$B$2002,$A52,예약내역!$J$3:$J$2002,"&lt;&gt;취소",예약내역!$A$3:$A$2002,"&gt;="&amp;DATE($B$3,$D$3,1),예약내역!$A$3:$A$2002,"&lt;="&amp;EOMONTH(DATE($B$3,$D$3,1),0)))</f>
        <v/>
      </c>
      <c r="D52" s="14" t="str">
        <f aca="false">IF($A52="","",ROUND(SUMIFS(예약내역!$H$3:$H$2002,예약내역!$B$3:$B$2002,$A52,예약내역!$J$3:$J$2002,"&lt;&gt;취소",예약내역!$A$3:$A$2002,"&gt;="&amp;DATE($B$3,$D$3,1),예약내역!$A$3:$A$2002,"&lt;="&amp;EOMONTH(DATE($B$3,$D$3,1),0)),2))</f>
        <v/>
      </c>
      <c r="E52" s="15" t="str">
        <f aca="false">IF($A52="","",COUNTIFS(예약내역!$B$3:$B$2002,$A52,예약내역!$J$3:$J$2002,"취소",예약내역!$A$3:$A$2002,"&gt;="&amp;DATE($B$3,$D$3,1),예약내역!$A$3:$A$2002,"&lt;="&amp;EOMONTH(DATE($B$3,$D$3,1),0)))</f>
        <v/>
      </c>
      <c r="F52" s="15" t="str">
        <f aca="false">IF($A52="","",COUNTIFS(예약내역!$B$3:$B$2002,$A52,예약내역!$J$3:$J$2002,"노쇼",예약내역!$A$3:$A$2002,"&gt;="&amp;DATE($B$3,$D$3,1),예약내역!$A$3:$A$2002,"&lt;="&amp;EOMONTH(DATE($B$3,$D$3,1),0)))</f>
        <v/>
      </c>
      <c r="G52" s="15" t="str">
        <f aca="false">IF($A52="","",COUNTIFS(예약내역!$B$3:$B$2002,$A52,예약내역!$N$3:$N$2002,"중복",예약내역!$A$3:$A$2002,"&gt;="&amp;DATE($B$3,$D$3,1),예약내역!$A$3:$A$2002,"&lt;="&amp;EOMONTH(DATE($B$3,$D$3,1),0)))</f>
        <v/>
      </c>
    </row>
    <row r="53" customFormat="false" ht="15" hidden="false" customHeight="true" outlineLevel="0" collapsed="false">
      <c r="A53" s="12" t="str">
        <f aca="false">IF(자원목록!$A50="","",자원목록!$A50)</f>
        <v/>
      </c>
      <c r="B53" s="12" t="str">
        <f aca="false">IF($A53="","",자원목록!$B50)</f>
        <v/>
      </c>
      <c r="C53" s="15" t="str">
        <f aca="false">IF($A53="","",COUNTIFS(예약내역!$B$3:$B$2002,$A53,예약내역!$J$3:$J$2002,"&lt;&gt;취소",예약내역!$A$3:$A$2002,"&gt;="&amp;DATE($B$3,$D$3,1),예약내역!$A$3:$A$2002,"&lt;="&amp;EOMONTH(DATE($B$3,$D$3,1),0)))</f>
        <v/>
      </c>
      <c r="D53" s="14" t="str">
        <f aca="false">IF($A53="","",ROUND(SUMIFS(예약내역!$H$3:$H$2002,예약내역!$B$3:$B$2002,$A53,예약내역!$J$3:$J$2002,"&lt;&gt;취소",예약내역!$A$3:$A$2002,"&gt;="&amp;DATE($B$3,$D$3,1),예약내역!$A$3:$A$2002,"&lt;="&amp;EOMONTH(DATE($B$3,$D$3,1),0)),2))</f>
        <v/>
      </c>
      <c r="E53" s="15" t="str">
        <f aca="false">IF($A53="","",COUNTIFS(예약내역!$B$3:$B$2002,$A53,예약내역!$J$3:$J$2002,"취소",예약내역!$A$3:$A$2002,"&gt;="&amp;DATE($B$3,$D$3,1),예약내역!$A$3:$A$2002,"&lt;="&amp;EOMONTH(DATE($B$3,$D$3,1),0)))</f>
        <v/>
      </c>
      <c r="F53" s="15" t="str">
        <f aca="false">IF($A53="","",COUNTIFS(예약내역!$B$3:$B$2002,$A53,예약내역!$J$3:$J$2002,"노쇼",예약내역!$A$3:$A$2002,"&gt;="&amp;DATE($B$3,$D$3,1),예약내역!$A$3:$A$2002,"&lt;="&amp;EOMONTH(DATE($B$3,$D$3,1),0)))</f>
        <v/>
      </c>
      <c r="G53" s="15" t="str">
        <f aca="false">IF($A53="","",COUNTIFS(예약내역!$B$3:$B$2002,$A53,예약내역!$N$3:$N$2002,"중복",예약내역!$A$3:$A$2002,"&gt;="&amp;DATE($B$3,$D$3,1),예약내역!$A$3:$A$2002,"&lt;="&amp;EOMONTH(DATE($B$3,$D$3,1),0)))</f>
        <v/>
      </c>
    </row>
    <row r="54" customFormat="false" ht="15" hidden="false" customHeight="true" outlineLevel="0" collapsed="false">
      <c r="A54" s="12" t="str">
        <f aca="false">IF(자원목록!$A51="","",자원목록!$A51)</f>
        <v/>
      </c>
      <c r="B54" s="12" t="str">
        <f aca="false">IF($A54="","",자원목록!$B51)</f>
        <v/>
      </c>
      <c r="C54" s="15" t="str">
        <f aca="false">IF($A54="","",COUNTIFS(예약내역!$B$3:$B$2002,$A54,예약내역!$J$3:$J$2002,"&lt;&gt;취소",예약내역!$A$3:$A$2002,"&gt;="&amp;DATE($B$3,$D$3,1),예약내역!$A$3:$A$2002,"&lt;="&amp;EOMONTH(DATE($B$3,$D$3,1),0)))</f>
        <v/>
      </c>
      <c r="D54" s="14" t="str">
        <f aca="false">IF($A54="","",ROUND(SUMIFS(예약내역!$H$3:$H$2002,예약내역!$B$3:$B$2002,$A54,예약내역!$J$3:$J$2002,"&lt;&gt;취소",예약내역!$A$3:$A$2002,"&gt;="&amp;DATE($B$3,$D$3,1),예약내역!$A$3:$A$2002,"&lt;="&amp;EOMONTH(DATE($B$3,$D$3,1),0)),2))</f>
        <v/>
      </c>
      <c r="E54" s="15" t="str">
        <f aca="false">IF($A54="","",COUNTIFS(예약내역!$B$3:$B$2002,$A54,예약내역!$J$3:$J$2002,"취소",예약내역!$A$3:$A$2002,"&gt;="&amp;DATE($B$3,$D$3,1),예약내역!$A$3:$A$2002,"&lt;="&amp;EOMONTH(DATE($B$3,$D$3,1),0)))</f>
        <v/>
      </c>
      <c r="F54" s="15" t="str">
        <f aca="false">IF($A54="","",COUNTIFS(예약내역!$B$3:$B$2002,$A54,예약내역!$J$3:$J$2002,"노쇼",예약내역!$A$3:$A$2002,"&gt;="&amp;DATE($B$3,$D$3,1),예약내역!$A$3:$A$2002,"&lt;="&amp;EOMONTH(DATE($B$3,$D$3,1),0)))</f>
        <v/>
      </c>
      <c r="G54" s="15" t="str">
        <f aca="false">IF($A54="","",COUNTIFS(예약내역!$B$3:$B$2002,$A54,예약내역!$N$3:$N$2002,"중복",예약내역!$A$3:$A$2002,"&gt;="&amp;DATE($B$3,$D$3,1),예약내역!$A$3:$A$2002,"&lt;="&amp;EOMONTH(DATE($B$3,$D$3,1),0)))</f>
        <v/>
      </c>
    </row>
    <row r="55" customFormat="false" ht="15" hidden="false" customHeight="true" outlineLevel="0" collapsed="false">
      <c r="A55" s="12" t="str">
        <f aca="false">IF(자원목록!$A52="","",자원목록!$A52)</f>
        <v/>
      </c>
      <c r="B55" s="12" t="str">
        <f aca="false">IF($A55="","",자원목록!$B52)</f>
        <v/>
      </c>
      <c r="C55" s="15" t="str">
        <f aca="false">IF($A55="","",COUNTIFS(예약내역!$B$3:$B$2002,$A55,예약내역!$J$3:$J$2002,"&lt;&gt;취소",예약내역!$A$3:$A$2002,"&gt;="&amp;DATE($B$3,$D$3,1),예약내역!$A$3:$A$2002,"&lt;="&amp;EOMONTH(DATE($B$3,$D$3,1),0)))</f>
        <v/>
      </c>
      <c r="D55" s="14" t="str">
        <f aca="false">IF($A55="","",ROUND(SUMIFS(예약내역!$H$3:$H$2002,예약내역!$B$3:$B$2002,$A55,예약내역!$J$3:$J$2002,"&lt;&gt;취소",예약내역!$A$3:$A$2002,"&gt;="&amp;DATE($B$3,$D$3,1),예약내역!$A$3:$A$2002,"&lt;="&amp;EOMONTH(DATE($B$3,$D$3,1),0)),2))</f>
        <v/>
      </c>
      <c r="E55" s="15" t="str">
        <f aca="false">IF($A55="","",COUNTIFS(예약내역!$B$3:$B$2002,$A55,예약내역!$J$3:$J$2002,"취소",예약내역!$A$3:$A$2002,"&gt;="&amp;DATE($B$3,$D$3,1),예약내역!$A$3:$A$2002,"&lt;="&amp;EOMONTH(DATE($B$3,$D$3,1),0)))</f>
        <v/>
      </c>
      <c r="F55" s="15" t="str">
        <f aca="false">IF($A55="","",COUNTIFS(예약내역!$B$3:$B$2002,$A55,예약내역!$J$3:$J$2002,"노쇼",예약내역!$A$3:$A$2002,"&gt;="&amp;DATE($B$3,$D$3,1),예약내역!$A$3:$A$2002,"&lt;="&amp;EOMONTH(DATE($B$3,$D$3,1),0)))</f>
        <v/>
      </c>
      <c r="G55" s="15" t="str">
        <f aca="false">IF($A55="","",COUNTIFS(예약내역!$B$3:$B$2002,$A55,예약내역!$N$3:$N$2002,"중복",예약내역!$A$3:$A$2002,"&gt;="&amp;DATE($B$3,$D$3,1),예약내역!$A$3:$A$2002,"&lt;="&amp;EOMONTH(DATE($B$3,$D$3,1),0)))</f>
        <v/>
      </c>
    </row>
    <row r="56" customFormat="false" ht="15" hidden="false" customHeight="true" outlineLevel="0" collapsed="false">
      <c r="A56" s="12" t="str">
        <f aca="false">IF(자원목록!$A53="","",자원목록!$A53)</f>
        <v/>
      </c>
      <c r="B56" s="12" t="str">
        <f aca="false">IF($A56="","",자원목록!$B53)</f>
        <v/>
      </c>
      <c r="C56" s="15" t="str">
        <f aca="false">IF($A56="","",COUNTIFS(예약내역!$B$3:$B$2002,$A56,예약내역!$J$3:$J$2002,"&lt;&gt;취소",예약내역!$A$3:$A$2002,"&gt;="&amp;DATE($B$3,$D$3,1),예약내역!$A$3:$A$2002,"&lt;="&amp;EOMONTH(DATE($B$3,$D$3,1),0)))</f>
        <v/>
      </c>
      <c r="D56" s="14" t="str">
        <f aca="false">IF($A56="","",ROUND(SUMIFS(예약내역!$H$3:$H$2002,예약내역!$B$3:$B$2002,$A56,예약내역!$J$3:$J$2002,"&lt;&gt;취소",예약내역!$A$3:$A$2002,"&gt;="&amp;DATE($B$3,$D$3,1),예약내역!$A$3:$A$2002,"&lt;="&amp;EOMONTH(DATE($B$3,$D$3,1),0)),2))</f>
        <v/>
      </c>
      <c r="E56" s="15" t="str">
        <f aca="false">IF($A56="","",COUNTIFS(예약내역!$B$3:$B$2002,$A56,예약내역!$J$3:$J$2002,"취소",예약내역!$A$3:$A$2002,"&gt;="&amp;DATE($B$3,$D$3,1),예약내역!$A$3:$A$2002,"&lt;="&amp;EOMONTH(DATE($B$3,$D$3,1),0)))</f>
        <v/>
      </c>
      <c r="F56" s="15" t="str">
        <f aca="false">IF($A56="","",COUNTIFS(예약내역!$B$3:$B$2002,$A56,예약내역!$J$3:$J$2002,"노쇼",예약내역!$A$3:$A$2002,"&gt;="&amp;DATE($B$3,$D$3,1),예약내역!$A$3:$A$2002,"&lt;="&amp;EOMONTH(DATE($B$3,$D$3,1),0)))</f>
        <v/>
      </c>
      <c r="G56" s="15" t="str">
        <f aca="false">IF($A56="","",COUNTIFS(예약내역!$B$3:$B$2002,$A56,예약내역!$N$3:$N$2002,"중복",예약내역!$A$3:$A$2002,"&gt;="&amp;DATE($B$3,$D$3,1),예약내역!$A$3:$A$2002,"&lt;="&amp;EOMONTH(DATE($B$3,$D$3,1),0)))</f>
        <v/>
      </c>
    </row>
    <row r="57" customFormat="false" ht="15" hidden="false" customHeight="true" outlineLevel="0" collapsed="false">
      <c r="A57" s="12" t="str">
        <f aca="false">IF(자원목록!$A54="","",자원목록!$A54)</f>
        <v/>
      </c>
      <c r="B57" s="12" t="str">
        <f aca="false">IF($A57="","",자원목록!$B54)</f>
        <v/>
      </c>
      <c r="C57" s="15" t="str">
        <f aca="false">IF($A57="","",COUNTIFS(예약내역!$B$3:$B$2002,$A57,예약내역!$J$3:$J$2002,"&lt;&gt;취소",예약내역!$A$3:$A$2002,"&gt;="&amp;DATE($B$3,$D$3,1),예약내역!$A$3:$A$2002,"&lt;="&amp;EOMONTH(DATE($B$3,$D$3,1),0)))</f>
        <v/>
      </c>
      <c r="D57" s="14" t="str">
        <f aca="false">IF($A57="","",ROUND(SUMIFS(예약내역!$H$3:$H$2002,예약내역!$B$3:$B$2002,$A57,예약내역!$J$3:$J$2002,"&lt;&gt;취소",예약내역!$A$3:$A$2002,"&gt;="&amp;DATE($B$3,$D$3,1),예약내역!$A$3:$A$2002,"&lt;="&amp;EOMONTH(DATE($B$3,$D$3,1),0)),2))</f>
        <v/>
      </c>
      <c r="E57" s="15" t="str">
        <f aca="false">IF($A57="","",COUNTIFS(예약내역!$B$3:$B$2002,$A57,예약내역!$J$3:$J$2002,"취소",예약내역!$A$3:$A$2002,"&gt;="&amp;DATE($B$3,$D$3,1),예약내역!$A$3:$A$2002,"&lt;="&amp;EOMONTH(DATE($B$3,$D$3,1),0)))</f>
        <v/>
      </c>
      <c r="F57" s="15" t="str">
        <f aca="false">IF($A57="","",COUNTIFS(예약내역!$B$3:$B$2002,$A57,예약내역!$J$3:$J$2002,"노쇼",예약내역!$A$3:$A$2002,"&gt;="&amp;DATE($B$3,$D$3,1),예약내역!$A$3:$A$2002,"&lt;="&amp;EOMONTH(DATE($B$3,$D$3,1),0)))</f>
        <v/>
      </c>
      <c r="G57" s="15" t="str">
        <f aca="false">IF($A57="","",COUNTIFS(예약내역!$B$3:$B$2002,$A57,예약내역!$N$3:$N$2002,"중복",예약내역!$A$3:$A$2002,"&gt;="&amp;DATE($B$3,$D$3,1),예약내역!$A$3:$A$2002,"&lt;="&amp;EOMONTH(DATE($B$3,$D$3,1),0)))</f>
        <v/>
      </c>
    </row>
    <row r="58" customFormat="false" ht="15" hidden="false" customHeight="true" outlineLevel="0" collapsed="false">
      <c r="A58" s="12" t="str">
        <f aca="false">IF(자원목록!$A55="","",자원목록!$A55)</f>
        <v/>
      </c>
      <c r="B58" s="12" t="str">
        <f aca="false">IF($A58="","",자원목록!$B55)</f>
        <v/>
      </c>
      <c r="C58" s="15" t="str">
        <f aca="false">IF($A58="","",COUNTIFS(예약내역!$B$3:$B$2002,$A58,예약내역!$J$3:$J$2002,"&lt;&gt;취소",예약내역!$A$3:$A$2002,"&gt;="&amp;DATE($B$3,$D$3,1),예약내역!$A$3:$A$2002,"&lt;="&amp;EOMONTH(DATE($B$3,$D$3,1),0)))</f>
        <v/>
      </c>
      <c r="D58" s="14" t="str">
        <f aca="false">IF($A58="","",ROUND(SUMIFS(예약내역!$H$3:$H$2002,예약내역!$B$3:$B$2002,$A58,예약내역!$J$3:$J$2002,"&lt;&gt;취소",예약내역!$A$3:$A$2002,"&gt;="&amp;DATE($B$3,$D$3,1),예약내역!$A$3:$A$2002,"&lt;="&amp;EOMONTH(DATE($B$3,$D$3,1),0)),2))</f>
        <v/>
      </c>
      <c r="E58" s="15" t="str">
        <f aca="false">IF($A58="","",COUNTIFS(예약내역!$B$3:$B$2002,$A58,예약내역!$J$3:$J$2002,"취소",예약내역!$A$3:$A$2002,"&gt;="&amp;DATE($B$3,$D$3,1),예약내역!$A$3:$A$2002,"&lt;="&amp;EOMONTH(DATE($B$3,$D$3,1),0)))</f>
        <v/>
      </c>
      <c r="F58" s="15" t="str">
        <f aca="false">IF($A58="","",COUNTIFS(예약내역!$B$3:$B$2002,$A58,예약내역!$J$3:$J$2002,"노쇼",예약내역!$A$3:$A$2002,"&gt;="&amp;DATE($B$3,$D$3,1),예약내역!$A$3:$A$2002,"&lt;="&amp;EOMONTH(DATE($B$3,$D$3,1),0)))</f>
        <v/>
      </c>
      <c r="G58" s="15" t="str">
        <f aca="false">IF($A58="","",COUNTIFS(예약내역!$B$3:$B$2002,$A58,예약내역!$N$3:$N$2002,"중복",예약내역!$A$3:$A$2002,"&gt;="&amp;DATE($B$3,$D$3,1),예약내역!$A$3:$A$2002,"&lt;="&amp;EOMONTH(DATE($B$3,$D$3,1),0)))</f>
        <v/>
      </c>
    </row>
    <row r="59" customFormat="false" ht="15" hidden="false" customHeight="true" outlineLevel="0" collapsed="false">
      <c r="A59" s="12" t="str">
        <f aca="false">IF(자원목록!$A56="","",자원목록!$A56)</f>
        <v/>
      </c>
      <c r="B59" s="12" t="str">
        <f aca="false">IF($A59="","",자원목록!$B56)</f>
        <v/>
      </c>
      <c r="C59" s="15" t="str">
        <f aca="false">IF($A59="","",COUNTIFS(예약내역!$B$3:$B$2002,$A59,예약내역!$J$3:$J$2002,"&lt;&gt;취소",예약내역!$A$3:$A$2002,"&gt;="&amp;DATE($B$3,$D$3,1),예약내역!$A$3:$A$2002,"&lt;="&amp;EOMONTH(DATE($B$3,$D$3,1),0)))</f>
        <v/>
      </c>
      <c r="D59" s="14" t="str">
        <f aca="false">IF($A59="","",ROUND(SUMIFS(예약내역!$H$3:$H$2002,예약내역!$B$3:$B$2002,$A59,예약내역!$J$3:$J$2002,"&lt;&gt;취소",예약내역!$A$3:$A$2002,"&gt;="&amp;DATE($B$3,$D$3,1),예약내역!$A$3:$A$2002,"&lt;="&amp;EOMONTH(DATE($B$3,$D$3,1),0)),2))</f>
        <v/>
      </c>
      <c r="E59" s="15" t="str">
        <f aca="false">IF($A59="","",COUNTIFS(예약내역!$B$3:$B$2002,$A59,예약내역!$J$3:$J$2002,"취소",예약내역!$A$3:$A$2002,"&gt;="&amp;DATE($B$3,$D$3,1),예약내역!$A$3:$A$2002,"&lt;="&amp;EOMONTH(DATE($B$3,$D$3,1),0)))</f>
        <v/>
      </c>
      <c r="F59" s="15" t="str">
        <f aca="false">IF($A59="","",COUNTIFS(예약내역!$B$3:$B$2002,$A59,예약내역!$J$3:$J$2002,"노쇼",예약내역!$A$3:$A$2002,"&gt;="&amp;DATE($B$3,$D$3,1),예약내역!$A$3:$A$2002,"&lt;="&amp;EOMONTH(DATE($B$3,$D$3,1),0)))</f>
        <v/>
      </c>
      <c r="G59" s="15" t="str">
        <f aca="false">IF($A59="","",COUNTIFS(예약내역!$B$3:$B$2002,$A59,예약내역!$N$3:$N$2002,"중복",예약내역!$A$3:$A$2002,"&gt;="&amp;DATE($B$3,$D$3,1),예약내역!$A$3:$A$2002,"&lt;="&amp;EOMONTH(DATE($B$3,$D$3,1),0)))</f>
        <v/>
      </c>
    </row>
    <row r="60" customFormat="false" ht="15" hidden="false" customHeight="true" outlineLevel="0" collapsed="false">
      <c r="A60" s="12" t="str">
        <f aca="false">IF(자원목록!$A57="","",자원목록!$A57)</f>
        <v/>
      </c>
      <c r="B60" s="12" t="str">
        <f aca="false">IF($A60="","",자원목록!$B57)</f>
        <v/>
      </c>
      <c r="C60" s="15" t="str">
        <f aca="false">IF($A60="","",COUNTIFS(예약내역!$B$3:$B$2002,$A60,예약내역!$J$3:$J$2002,"&lt;&gt;취소",예약내역!$A$3:$A$2002,"&gt;="&amp;DATE($B$3,$D$3,1),예약내역!$A$3:$A$2002,"&lt;="&amp;EOMONTH(DATE($B$3,$D$3,1),0)))</f>
        <v/>
      </c>
      <c r="D60" s="14" t="str">
        <f aca="false">IF($A60="","",ROUND(SUMIFS(예약내역!$H$3:$H$2002,예약내역!$B$3:$B$2002,$A60,예약내역!$J$3:$J$2002,"&lt;&gt;취소",예약내역!$A$3:$A$2002,"&gt;="&amp;DATE($B$3,$D$3,1),예약내역!$A$3:$A$2002,"&lt;="&amp;EOMONTH(DATE($B$3,$D$3,1),0)),2))</f>
        <v/>
      </c>
      <c r="E60" s="15" t="str">
        <f aca="false">IF($A60="","",COUNTIFS(예약내역!$B$3:$B$2002,$A60,예약내역!$J$3:$J$2002,"취소",예약내역!$A$3:$A$2002,"&gt;="&amp;DATE($B$3,$D$3,1),예약내역!$A$3:$A$2002,"&lt;="&amp;EOMONTH(DATE($B$3,$D$3,1),0)))</f>
        <v/>
      </c>
      <c r="F60" s="15" t="str">
        <f aca="false">IF($A60="","",COUNTIFS(예약내역!$B$3:$B$2002,$A60,예약내역!$J$3:$J$2002,"노쇼",예약내역!$A$3:$A$2002,"&gt;="&amp;DATE($B$3,$D$3,1),예약내역!$A$3:$A$2002,"&lt;="&amp;EOMONTH(DATE($B$3,$D$3,1),0)))</f>
        <v/>
      </c>
      <c r="G60" s="15" t="str">
        <f aca="false">IF($A60="","",COUNTIFS(예약내역!$B$3:$B$2002,$A60,예약내역!$N$3:$N$2002,"중복",예약내역!$A$3:$A$2002,"&gt;="&amp;DATE($B$3,$D$3,1),예약내역!$A$3:$A$2002,"&lt;="&amp;EOMONTH(DATE($B$3,$D$3,1),0)))</f>
        <v/>
      </c>
    </row>
    <row r="61" customFormat="false" ht="15" hidden="false" customHeight="true" outlineLevel="0" collapsed="false">
      <c r="A61" s="12" t="str">
        <f aca="false">IF(자원목록!$A58="","",자원목록!$A58)</f>
        <v/>
      </c>
      <c r="B61" s="12" t="str">
        <f aca="false">IF($A61="","",자원목록!$B58)</f>
        <v/>
      </c>
      <c r="C61" s="15" t="str">
        <f aca="false">IF($A61="","",COUNTIFS(예약내역!$B$3:$B$2002,$A61,예약내역!$J$3:$J$2002,"&lt;&gt;취소",예약내역!$A$3:$A$2002,"&gt;="&amp;DATE($B$3,$D$3,1),예약내역!$A$3:$A$2002,"&lt;="&amp;EOMONTH(DATE($B$3,$D$3,1),0)))</f>
        <v/>
      </c>
      <c r="D61" s="14" t="str">
        <f aca="false">IF($A61="","",ROUND(SUMIFS(예약내역!$H$3:$H$2002,예약내역!$B$3:$B$2002,$A61,예약내역!$J$3:$J$2002,"&lt;&gt;취소",예약내역!$A$3:$A$2002,"&gt;="&amp;DATE($B$3,$D$3,1),예약내역!$A$3:$A$2002,"&lt;="&amp;EOMONTH(DATE($B$3,$D$3,1),0)),2))</f>
        <v/>
      </c>
      <c r="E61" s="15" t="str">
        <f aca="false">IF($A61="","",COUNTIFS(예약내역!$B$3:$B$2002,$A61,예약내역!$J$3:$J$2002,"취소",예약내역!$A$3:$A$2002,"&gt;="&amp;DATE($B$3,$D$3,1),예약내역!$A$3:$A$2002,"&lt;="&amp;EOMONTH(DATE($B$3,$D$3,1),0)))</f>
        <v/>
      </c>
      <c r="F61" s="15" t="str">
        <f aca="false">IF($A61="","",COUNTIFS(예약내역!$B$3:$B$2002,$A61,예약내역!$J$3:$J$2002,"노쇼",예약내역!$A$3:$A$2002,"&gt;="&amp;DATE($B$3,$D$3,1),예약내역!$A$3:$A$2002,"&lt;="&amp;EOMONTH(DATE($B$3,$D$3,1),0)))</f>
        <v/>
      </c>
      <c r="G61" s="15" t="str">
        <f aca="false">IF($A61="","",COUNTIFS(예약내역!$B$3:$B$2002,$A61,예약내역!$N$3:$N$2002,"중복",예약내역!$A$3:$A$2002,"&gt;="&amp;DATE($B$3,$D$3,1),예약내역!$A$3:$A$2002,"&lt;="&amp;EOMONTH(DATE($B$3,$D$3,1),0)))</f>
        <v/>
      </c>
    </row>
    <row r="62" customFormat="false" ht="15" hidden="false" customHeight="true" outlineLevel="0" collapsed="false">
      <c r="A62" s="12" t="str">
        <f aca="false">IF(자원목록!$A59="","",자원목록!$A59)</f>
        <v/>
      </c>
      <c r="B62" s="12" t="str">
        <f aca="false">IF($A62="","",자원목록!$B59)</f>
        <v/>
      </c>
      <c r="C62" s="15" t="str">
        <f aca="false">IF($A62="","",COUNTIFS(예약내역!$B$3:$B$2002,$A62,예약내역!$J$3:$J$2002,"&lt;&gt;취소",예약내역!$A$3:$A$2002,"&gt;="&amp;DATE($B$3,$D$3,1),예약내역!$A$3:$A$2002,"&lt;="&amp;EOMONTH(DATE($B$3,$D$3,1),0)))</f>
        <v/>
      </c>
      <c r="D62" s="14" t="str">
        <f aca="false">IF($A62="","",ROUND(SUMIFS(예약내역!$H$3:$H$2002,예약내역!$B$3:$B$2002,$A62,예약내역!$J$3:$J$2002,"&lt;&gt;취소",예약내역!$A$3:$A$2002,"&gt;="&amp;DATE($B$3,$D$3,1),예약내역!$A$3:$A$2002,"&lt;="&amp;EOMONTH(DATE($B$3,$D$3,1),0)),2))</f>
        <v/>
      </c>
      <c r="E62" s="15" t="str">
        <f aca="false">IF($A62="","",COUNTIFS(예약내역!$B$3:$B$2002,$A62,예약내역!$J$3:$J$2002,"취소",예약내역!$A$3:$A$2002,"&gt;="&amp;DATE($B$3,$D$3,1),예약내역!$A$3:$A$2002,"&lt;="&amp;EOMONTH(DATE($B$3,$D$3,1),0)))</f>
        <v/>
      </c>
      <c r="F62" s="15" t="str">
        <f aca="false">IF($A62="","",COUNTIFS(예약내역!$B$3:$B$2002,$A62,예약내역!$J$3:$J$2002,"노쇼",예약내역!$A$3:$A$2002,"&gt;="&amp;DATE($B$3,$D$3,1),예약내역!$A$3:$A$2002,"&lt;="&amp;EOMONTH(DATE($B$3,$D$3,1),0)))</f>
        <v/>
      </c>
      <c r="G62" s="15" t="str">
        <f aca="false">IF($A62="","",COUNTIFS(예약내역!$B$3:$B$2002,$A62,예약내역!$N$3:$N$2002,"중복",예약내역!$A$3:$A$2002,"&gt;="&amp;DATE($B$3,$D$3,1),예약내역!$A$3:$A$2002,"&lt;="&amp;EOMONTH(DATE($B$3,$D$3,1),0)))</f>
        <v/>
      </c>
    </row>
    <row r="63" customFormat="false" ht="15" hidden="false" customHeight="true" outlineLevel="0" collapsed="false">
      <c r="A63" s="12" t="str">
        <f aca="false">IF(자원목록!$A60="","",자원목록!$A60)</f>
        <v/>
      </c>
      <c r="B63" s="12" t="str">
        <f aca="false">IF($A63="","",자원목록!$B60)</f>
        <v/>
      </c>
      <c r="C63" s="15" t="str">
        <f aca="false">IF($A63="","",COUNTIFS(예약내역!$B$3:$B$2002,$A63,예약내역!$J$3:$J$2002,"&lt;&gt;취소",예약내역!$A$3:$A$2002,"&gt;="&amp;DATE($B$3,$D$3,1),예약내역!$A$3:$A$2002,"&lt;="&amp;EOMONTH(DATE($B$3,$D$3,1),0)))</f>
        <v/>
      </c>
      <c r="D63" s="14" t="str">
        <f aca="false">IF($A63="","",ROUND(SUMIFS(예약내역!$H$3:$H$2002,예약내역!$B$3:$B$2002,$A63,예약내역!$J$3:$J$2002,"&lt;&gt;취소",예약내역!$A$3:$A$2002,"&gt;="&amp;DATE($B$3,$D$3,1),예약내역!$A$3:$A$2002,"&lt;="&amp;EOMONTH(DATE($B$3,$D$3,1),0)),2))</f>
        <v/>
      </c>
      <c r="E63" s="15" t="str">
        <f aca="false">IF($A63="","",COUNTIFS(예약내역!$B$3:$B$2002,$A63,예약내역!$J$3:$J$2002,"취소",예약내역!$A$3:$A$2002,"&gt;="&amp;DATE($B$3,$D$3,1),예약내역!$A$3:$A$2002,"&lt;="&amp;EOMONTH(DATE($B$3,$D$3,1),0)))</f>
        <v/>
      </c>
      <c r="F63" s="15" t="str">
        <f aca="false">IF($A63="","",COUNTIFS(예약내역!$B$3:$B$2002,$A63,예약내역!$J$3:$J$2002,"노쇼",예약내역!$A$3:$A$2002,"&gt;="&amp;DATE($B$3,$D$3,1),예약내역!$A$3:$A$2002,"&lt;="&amp;EOMONTH(DATE($B$3,$D$3,1),0)))</f>
        <v/>
      </c>
      <c r="G63" s="15" t="str">
        <f aca="false">IF($A63="","",COUNTIFS(예약내역!$B$3:$B$2002,$A63,예약내역!$N$3:$N$2002,"중복",예약내역!$A$3:$A$2002,"&gt;="&amp;DATE($B$3,$D$3,1),예약내역!$A$3:$A$2002,"&lt;="&amp;EOMONTH(DATE($B$3,$D$3,1),0)))</f>
        <v/>
      </c>
    </row>
    <row r="64" customFormat="false" ht="15" hidden="false" customHeight="true" outlineLevel="0" collapsed="false">
      <c r="A64" s="12" t="str">
        <f aca="false">IF(자원목록!$A61="","",자원목록!$A61)</f>
        <v/>
      </c>
      <c r="B64" s="12" t="str">
        <f aca="false">IF($A64="","",자원목록!$B61)</f>
        <v/>
      </c>
      <c r="C64" s="15" t="str">
        <f aca="false">IF($A64="","",COUNTIFS(예약내역!$B$3:$B$2002,$A64,예약내역!$J$3:$J$2002,"&lt;&gt;취소",예약내역!$A$3:$A$2002,"&gt;="&amp;DATE($B$3,$D$3,1),예약내역!$A$3:$A$2002,"&lt;="&amp;EOMONTH(DATE($B$3,$D$3,1),0)))</f>
        <v/>
      </c>
      <c r="D64" s="14" t="str">
        <f aca="false">IF($A64="","",ROUND(SUMIFS(예약내역!$H$3:$H$2002,예약내역!$B$3:$B$2002,$A64,예약내역!$J$3:$J$2002,"&lt;&gt;취소",예약내역!$A$3:$A$2002,"&gt;="&amp;DATE($B$3,$D$3,1),예약내역!$A$3:$A$2002,"&lt;="&amp;EOMONTH(DATE($B$3,$D$3,1),0)),2))</f>
        <v/>
      </c>
      <c r="E64" s="15" t="str">
        <f aca="false">IF($A64="","",COUNTIFS(예약내역!$B$3:$B$2002,$A64,예약내역!$J$3:$J$2002,"취소",예약내역!$A$3:$A$2002,"&gt;="&amp;DATE($B$3,$D$3,1),예약내역!$A$3:$A$2002,"&lt;="&amp;EOMONTH(DATE($B$3,$D$3,1),0)))</f>
        <v/>
      </c>
      <c r="F64" s="15" t="str">
        <f aca="false">IF($A64="","",COUNTIFS(예약내역!$B$3:$B$2002,$A64,예약내역!$J$3:$J$2002,"노쇼",예약내역!$A$3:$A$2002,"&gt;="&amp;DATE($B$3,$D$3,1),예약내역!$A$3:$A$2002,"&lt;="&amp;EOMONTH(DATE($B$3,$D$3,1),0)))</f>
        <v/>
      </c>
      <c r="G64" s="15" t="str">
        <f aca="false">IF($A64="","",COUNTIFS(예약내역!$B$3:$B$2002,$A64,예약내역!$N$3:$N$2002,"중복",예약내역!$A$3:$A$2002,"&gt;="&amp;DATE($B$3,$D$3,1),예약내역!$A$3:$A$2002,"&lt;="&amp;EOMONTH(DATE($B$3,$D$3,1),0)))</f>
        <v/>
      </c>
    </row>
    <row r="65" customFormat="false" ht="15" hidden="false" customHeight="true" outlineLevel="0" collapsed="false">
      <c r="A65" s="12" t="str">
        <f aca="false">IF(자원목록!$A62="","",자원목록!$A62)</f>
        <v/>
      </c>
      <c r="B65" s="12" t="str">
        <f aca="false">IF($A65="","",자원목록!$B62)</f>
        <v/>
      </c>
      <c r="C65" s="15" t="str">
        <f aca="false">IF($A65="","",COUNTIFS(예약내역!$B$3:$B$2002,$A65,예약내역!$J$3:$J$2002,"&lt;&gt;취소",예약내역!$A$3:$A$2002,"&gt;="&amp;DATE($B$3,$D$3,1),예약내역!$A$3:$A$2002,"&lt;="&amp;EOMONTH(DATE($B$3,$D$3,1),0)))</f>
        <v/>
      </c>
      <c r="D65" s="14" t="str">
        <f aca="false">IF($A65="","",ROUND(SUMIFS(예약내역!$H$3:$H$2002,예약내역!$B$3:$B$2002,$A65,예약내역!$J$3:$J$2002,"&lt;&gt;취소",예약내역!$A$3:$A$2002,"&gt;="&amp;DATE($B$3,$D$3,1),예약내역!$A$3:$A$2002,"&lt;="&amp;EOMONTH(DATE($B$3,$D$3,1),0)),2))</f>
        <v/>
      </c>
      <c r="E65" s="15" t="str">
        <f aca="false">IF($A65="","",COUNTIFS(예약내역!$B$3:$B$2002,$A65,예약내역!$J$3:$J$2002,"취소",예약내역!$A$3:$A$2002,"&gt;="&amp;DATE($B$3,$D$3,1),예약내역!$A$3:$A$2002,"&lt;="&amp;EOMONTH(DATE($B$3,$D$3,1),0)))</f>
        <v/>
      </c>
      <c r="F65" s="15" t="str">
        <f aca="false">IF($A65="","",COUNTIFS(예약내역!$B$3:$B$2002,$A65,예약내역!$J$3:$J$2002,"노쇼",예약내역!$A$3:$A$2002,"&gt;="&amp;DATE($B$3,$D$3,1),예약내역!$A$3:$A$2002,"&lt;="&amp;EOMONTH(DATE($B$3,$D$3,1),0)))</f>
        <v/>
      </c>
      <c r="G65" s="15" t="str">
        <f aca="false">IF($A65="","",COUNTIFS(예약내역!$B$3:$B$2002,$A65,예약내역!$N$3:$N$2002,"중복",예약내역!$A$3:$A$2002,"&gt;="&amp;DATE($B$3,$D$3,1),예약내역!$A$3:$A$2002,"&lt;="&amp;EOMONTH(DATE($B$3,$D$3,1),0)))</f>
        <v/>
      </c>
    </row>
    <row r="66" customFormat="false" ht="15" hidden="false" customHeight="true" outlineLevel="0" collapsed="false">
      <c r="A66" s="12" t="str">
        <f aca="false">IF(자원목록!$A63="","",자원목록!$A63)</f>
        <v/>
      </c>
      <c r="B66" s="12" t="str">
        <f aca="false">IF($A66="","",자원목록!$B63)</f>
        <v/>
      </c>
      <c r="C66" s="15" t="str">
        <f aca="false">IF($A66="","",COUNTIFS(예약내역!$B$3:$B$2002,$A66,예약내역!$J$3:$J$2002,"&lt;&gt;취소",예약내역!$A$3:$A$2002,"&gt;="&amp;DATE($B$3,$D$3,1),예약내역!$A$3:$A$2002,"&lt;="&amp;EOMONTH(DATE($B$3,$D$3,1),0)))</f>
        <v/>
      </c>
      <c r="D66" s="14" t="str">
        <f aca="false">IF($A66="","",ROUND(SUMIFS(예약내역!$H$3:$H$2002,예약내역!$B$3:$B$2002,$A66,예약내역!$J$3:$J$2002,"&lt;&gt;취소",예약내역!$A$3:$A$2002,"&gt;="&amp;DATE($B$3,$D$3,1),예약내역!$A$3:$A$2002,"&lt;="&amp;EOMONTH(DATE($B$3,$D$3,1),0)),2))</f>
        <v/>
      </c>
      <c r="E66" s="15" t="str">
        <f aca="false">IF($A66="","",COUNTIFS(예약내역!$B$3:$B$2002,$A66,예약내역!$J$3:$J$2002,"취소",예약내역!$A$3:$A$2002,"&gt;="&amp;DATE($B$3,$D$3,1),예약내역!$A$3:$A$2002,"&lt;="&amp;EOMONTH(DATE($B$3,$D$3,1),0)))</f>
        <v/>
      </c>
      <c r="F66" s="15" t="str">
        <f aca="false">IF($A66="","",COUNTIFS(예약내역!$B$3:$B$2002,$A66,예약내역!$J$3:$J$2002,"노쇼",예약내역!$A$3:$A$2002,"&gt;="&amp;DATE($B$3,$D$3,1),예약내역!$A$3:$A$2002,"&lt;="&amp;EOMONTH(DATE($B$3,$D$3,1),0)))</f>
        <v/>
      </c>
      <c r="G66" s="15" t="str">
        <f aca="false">IF($A66="","",COUNTIFS(예약내역!$B$3:$B$2002,$A66,예약내역!$N$3:$N$2002,"중복",예약내역!$A$3:$A$2002,"&gt;="&amp;DATE($B$3,$D$3,1),예약내역!$A$3:$A$2002,"&lt;="&amp;EOMONTH(DATE($B$3,$D$3,1),0)))</f>
        <v/>
      </c>
    </row>
    <row r="67" customFormat="false" ht="15" hidden="false" customHeight="true" outlineLevel="0" collapsed="false">
      <c r="A67" s="12" t="str">
        <f aca="false">IF(자원목록!$A64="","",자원목록!$A64)</f>
        <v/>
      </c>
      <c r="B67" s="12" t="str">
        <f aca="false">IF($A67="","",자원목록!$B64)</f>
        <v/>
      </c>
      <c r="C67" s="15" t="str">
        <f aca="false">IF($A67="","",COUNTIFS(예약내역!$B$3:$B$2002,$A67,예약내역!$J$3:$J$2002,"&lt;&gt;취소",예약내역!$A$3:$A$2002,"&gt;="&amp;DATE($B$3,$D$3,1),예약내역!$A$3:$A$2002,"&lt;="&amp;EOMONTH(DATE($B$3,$D$3,1),0)))</f>
        <v/>
      </c>
      <c r="D67" s="14" t="str">
        <f aca="false">IF($A67="","",ROUND(SUMIFS(예약내역!$H$3:$H$2002,예약내역!$B$3:$B$2002,$A67,예약내역!$J$3:$J$2002,"&lt;&gt;취소",예약내역!$A$3:$A$2002,"&gt;="&amp;DATE($B$3,$D$3,1),예약내역!$A$3:$A$2002,"&lt;="&amp;EOMONTH(DATE($B$3,$D$3,1),0)),2))</f>
        <v/>
      </c>
      <c r="E67" s="15" t="str">
        <f aca="false">IF($A67="","",COUNTIFS(예약내역!$B$3:$B$2002,$A67,예약내역!$J$3:$J$2002,"취소",예약내역!$A$3:$A$2002,"&gt;="&amp;DATE($B$3,$D$3,1),예약내역!$A$3:$A$2002,"&lt;="&amp;EOMONTH(DATE($B$3,$D$3,1),0)))</f>
        <v/>
      </c>
      <c r="F67" s="15" t="str">
        <f aca="false">IF($A67="","",COUNTIFS(예약내역!$B$3:$B$2002,$A67,예약내역!$J$3:$J$2002,"노쇼",예약내역!$A$3:$A$2002,"&gt;="&amp;DATE($B$3,$D$3,1),예약내역!$A$3:$A$2002,"&lt;="&amp;EOMONTH(DATE($B$3,$D$3,1),0)))</f>
        <v/>
      </c>
      <c r="G67" s="15" t="str">
        <f aca="false">IF($A67="","",COUNTIFS(예약내역!$B$3:$B$2002,$A67,예약내역!$N$3:$N$2002,"중복",예약내역!$A$3:$A$2002,"&gt;="&amp;DATE($B$3,$D$3,1),예약내역!$A$3:$A$2002,"&lt;="&amp;EOMONTH(DATE($B$3,$D$3,1),0)))</f>
        <v/>
      </c>
    </row>
    <row r="68" customFormat="false" ht="15" hidden="false" customHeight="true" outlineLevel="0" collapsed="false">
      <c r="A68" s="12" t="str">
        <f aca="false">IF(자원목록!$A65="","",자원목록!$A65)</f>
        <v/>
      </c>
      <c r="B68" s="12" t="str">
        <f aca="false">IF($A68="","",자원목록!$B65)</f>
        <v/>
      </c>
      <c r="C68" s="15" t="str">
        <f aca="false">IF($A68="","",COUNTIFS(예약내역!$B$3:$B$2002,$A68,예약내역!$J$3:$J$2002,"&lt;&gt;취소",예약내역!$A$3:$A$2002,"&gt;="&amp;DATE($B$3,$D$3,1),예약내역!$A$3:$A$2002,"&lt;="&amp;EOMONTH(DATE($B$3,$D$3,1),0)))</f>
        <v/>
      </c>
      <c r="D68" s="14" t="str">
        <f aca="false">IF($A68="","",ROUND(SUMIFS(예약내역!$H$3:$H$2002,예약내역!$B$3:$B$2002,$A68,예약내역!$J$3:$J$2002,"&lt;&gt;취소",예약내역!$A$3:$A$2002,"&gt;="&amp;DATE($B$3,$D$3,1),예약내역!$A$3:$A$2002,"&lt;="&amp;EOMONTH(DATE($B$3,$D$3,1),0)),2))</f>
        <v/>
      </c>
      <c r="E68" s="15" t="str">
        <f aca="false">IF($A68="","",COUNTIFS(예약내역!$B$3:$B$2002,$A68,예약내역!$J$3:$J$2002,"취소",예약내역!$A$3:$A$2002,"&gt;="&amp;DATE($B$3,$D$3,1),예약내역!$A$3:$A$2002,"&lt;="&amp;EOMONTH(DATE($B$3,$D$3,1),0)))</f>
        <v/>
      </c>
      <c r="F68" s="15" t="str">
        <f aca="false">IF($A68="","",COUNTIFS(예약내역!$B$3:$B$2002,$A68,예약내역!$J$3:$J$2002,"노쇼",예약내역!$A$3:$A$2002,"&gt;="&amp;DATE($B$3,$D$3,1),예약내역!$A$3:$A$2002,"&lt;="&amp;EOMONTH(DATE($B$3,$D$3,1),0)))</f>
        <v/>
      </c>
      <c r="G68" s="15" t="str">
        <f aca="false">IF($A68="","",COUNTIFS(예약내역!$B$3:$B$2002,$A68,예약내역!$N$3:$N$2002,"중복",예약내역!$A$3:$A$2002,"&gt;="&amp;DATE($B$3,$D$3,1),예약내역!$A$3:$A$2002,"&lt;="&amp;EOMONTH(DATE($B$3,$D$3,1),0)))</f>
        <v/>
      </c>
    </row>
    <row r="69" customFormat="false" ht="15" hidden="false" customHeight="true" outlineLevel="0" collapsed="false">
      <c r="A69" s="12" t="str">
        <f aca="false">IF(자원목록!$A66="","",자원목록!$A66)</f>
        <v/>
      </c>
      <c r="B69" s="12" t="str">
        <f aca="false">IF($A69="","",자원목록!$B66)</f>
        <v/>
      </c>
      <c r="C69" s="15" t="str">
        <f aca="false">IF($A69="","",COUNTIFS(예약내역!$B$3:$B$2002,$A69,예약내역!$J$3:$J$2002,"&lt;&gt;취소",예약내역!$A$3:$A$2002,"&gt;="&amp;DATE($B$3,$D$3,1),예약내역!$A$3:$A$2002,"&lt;="&amp;EOMONTH(DATE($B$3,$D$3,1),0)))</f>
        <v/>
      </c>
      <c r="D69" s="14" t="str">
        <f aca="false">IF($A69="","",ROUND(SUMIFS(예약내역!$H$3:$H$2002,예약내역!$B$3:$B$2002,$A69,예약내역!$J$3:$J$2002,"&lt;&gt;취소",예약내역!$A$3:$A$2002,"&gt;="&amp;DATE($B$3,$D$3,1),예약내역!$A$3:$A$2002,"&lt;="&amp;EOMONTH(DATE($B$3,$D$3,1),0)),2))</f>
        <v/>
      </c>
      <c r="E69" s="15" t="str">
        <f aca="false">IF($A69="","",COUNTIFS(예약내역!$B$3:$B$2002,$A69,예약내역!$J$3:$J$2002,"취소",예약내역!$A$3:$A$2002,"&gt;="&amp;DATE($B$3,$D$3,1),예약내역!$A$3:$A$2002,"&lt;="&amp;EOMONTH(DATE($B$3,$D$3,1),0)))</f>
        <v/>
      </c>
      <c r="F69" s="15" t="str">
        <f aca="false">IF($A69="","",COUNTIFS(예약내역!$B$3:$B$2002,$A69,예약내역!$J$3:$J$2002,"노쇼",예약내역!$A$3:$A$2002,"&gt;="&amp;DATE($B$3,$D$3,1),예약내역!$A$3:$A$2002,"&lt;="&amp;EOMONTH(DATE($B$3,$D$3,1),0)))</f>
        <v/>
      </c>
      <c r="G69" s="15" t="str">
        <f aca="false">IF($A69="","",COUNTIFS(예약내역!$B$3:$B$2002,$A69,예약내역!$N$3:$N$2002,"중복",예약내역!$A$3:$A$2002,"&gt;="&amp;DATE($B$3,$D$3,1),예약내역!$A$3:$A$2002,"&lt;="&amp;EOMONTH(DATE($B$3,$D$3,1),0)))</f>
        <v/>
      </c>
    </row>
    <row r="70" customFormat="false" ht="15" hidden="false" customHeight="true" outlineLevel="0" collapsed="false">
      <c r="A70" s="12" t="str">
        <f aca="false">IF(자원목록!$A67="","",자원목록!$A67)</f>
        <v/>
      </c>
      <c r="B70" s="12" t="str">
        <f aca="false">IF($A70="","",자원목록!$B67)</f>
        <v/>
      </c>
      <c r="C70" s="15" t="str">
        <f aca="false">IF($A70="","",COUNTIFS(예약내역!$B$3:$B$2002,$A70,예약내역!$J$3:$J$2002,"&lt;&gt;취소",예약내역!$A$3:$A$2002,"&gt;="&amp;DATE($B$3,$D$3,1),예약내역!$A$3:$A$2002,"&lt;="&amp;EOMONTH(DATE($B$3,$D$3,1),0)))</f>
        <v/>
      </c>
      <c r="D70" s="14" t="str">
        <f aca="false">IF($A70="","",ROUND(SUMIFS(예약내역!$H$3:$H$2002,예약내역!$B$3:$B$2002,$A70,예약내역!$J$3:$J$2002,"&lt;&gt;취소",예약내역!$A$3:$A$2002,"&gt;="&amp;DATE($B$3,$D$3,1),예약내역!$A$3:$A$2002,"&lt;="&amp;EOMONTH(DATE($B$3,$D$3,1),0)),2))</f>
        <v/>
      </c>
      <c r="E70" s="15" t="str">
        <f aca="false">IF($A70="","",COUNTIFS(예약내역!$B$3:$B$2002,$A70,예약내역!$J$3:$J$2002,"취소",예약내역!$A$3:$A$2002,"&gt;="&amp;DATE($B$3,$D$3,1),예약내역!$A$3:$A$2002,"&lt;="&amp;EOMONTH(DATE($B$3,$D$3,1),0)))</f>
        <v/>
      </c>
      <c r="F70" s="15" t="str">
        <f aca="false">IF($A70="","",COUNTIFS(예약내역!$B$3:$B$2002,$A70,예약내역!$J$3:$J$2002,"노쇼",예약내역!$A$3:$A$2002,"&gt;="&amp;DATE($B$3,$D$3,1),예약내역!$A$3:$A$2002,"&lt;="&amp;EOMONTH(DATE($B$3,$D$3,1),0)))</f>
        <v/>
      </c>
      <c r="G70" s="15" t="str">
        <f aca="false">IF($A70="","",COUNTIFS(예약내역!$B$3:$B$2002,$A70,예약내역!$N$3:$N$2002,"중복",예약내역!$A$3:$A$2002,"&gt;="&amp;DATE($B$3,$D$3,1),예약내역!$A$3:$A$2002,"&lt;="&amp;EOMONTH(DATE($B$3,$D$3,1),0)))</f>
        <v/>
      </c>
    </row>
    <row r="71" customFormat="false" ht="15" hidden="false" customHeight="true" outlineLevel="0" collapsed="false">
      <c r="A71" s="12" t="str">
        <f aca="false">IF(자원목록!$A68="","",자원목록!$A68)</f>
        <v/>
      </c>
      <c r="B71" s="12" t="str">
        <f aca="false">IF($A71="","",자원목록!$B68)</f>
        <v/>
      </c>
      <c r="C71" s="15" t="str">
        <f aca="false">IF($A71="","",COUNTIFS(예약내역!$B$3:$B$2002,$A71,예약내역!$J$3:$J$2002,"&lt;&gt;취소",예약내역!$A$3:$A$2002,"&gt;="&amp;DATE($B$3,$D$3,1),예약내역!$A$3:$A$2002,"&lt;="&amp;EOMONTH(DATE($B$3,$D$3,1),0)))</f>
        <v/>
      </c>
      <c r="D71" s="14" t="str">
        <f aca="false">IF($A71="","",ROUND(SUMIFS(예약내역!$H$3:$H$2002,예약내역!$B$3:$B$2002,$A71,예약내역!$J$3:$J$2002,"&lt;&gt;취소",예약내역!$A$3:$A$2002,"&gt;="&amp;DATE($B$3,$D$3,1),예약내역!$A$3:$A$2002,"&lt;="&amp;EOMONTH(DATE($B$3,$D$3,1),0)),2))</f>
        <v/>
      </c>
      <c r="E71" s="15" t="str">
        <f aca="false">IF($A71="","",COUNTIFS(예약내역!$B$3:$B$2002,$A71,예약내역!$J$3:$J$2002,"취소",예약내역!$A$3:$A$2002,"&gt;="&amp;DATE($B$3,$D$3,1),예약내역!$A$3:$A$2002,"&lt;="&amp;EOMONTH(DATE($B$3,$D$3,1),0)))</f>
        <v/>
      </c>
      <c r="F71" s="15" t="str">
        <f aca="false">IF($A71="","",COUNTIFS(예약내역!$B$3:$B$2002,$A71,예약내역!$J$3:$J$2002,"노쇼",예약내역!$A$3:$A$2002,"&gt;="&amp;DATE($B$3,$D$3,1),예약내역!$A$3:$A$2002,"&lt;="&amp;EOMONTH(DATE($B$3,$D$3,1),0)))</f>
        <v/>
      </c>
      <c r="G71" s="15" t="str">
        <f aca="false">IF($A71="","",COUNTIFS(예약내역!$B$3:$B$2002,$A71,예약내역!$N$3:$N$2002,"중복",예약내역!$A$3:$A$2002,"&gt;="&amp;DATE($B$3,$D$3,1),예약내역!$A$3:$A$2002,"&lt;="&amp;EOMONTH(DATE($B$3,$D$3,1),0)))</f>
        <v/>
      </c>
    </row>
    <row r="72" customFormat="false" ht="15" hidden="false" customHeight="true" outlineLevel="0" collapsed="false">
      <c r="A72" s="12" t="str">
        <f aca="false">IF(자원목록!$A69="","",자원목록!$A69)</f>
        <v/>
      </c>
      <c r="B72" s="12" t="str">
        <f aca="false">IF($A72="","",자원목록!$B69)</f>
        <v/>
      </c>
      <c r="C72" s="15" t="str">
        <f aca="false">IF($A72="","",COUNTIFS(예약내역!$B$3:$B$2002,$A72,예약내역!$J$3:$J$2002,"&lt;&gt;취소",예약내역!$A$3:$A$2002,"&gt;="&amp;DATE($B$3,$D$3,1),예약내역!$A$3:$A$2002,"&lt;="&amp;EOMONTH(DATE($B$3,$D$3,1),0)))</f>
        <v/>
      </c>
      <c r="D72" s="14" t="str">
        <f aca="false">IF($A72="","",ROUND(SUMIFS(예약내역!$H$3:$H$2002,예약내역!$B$3:$B$2002,$A72,예약내역!$J$3:$J$2002,"&lt;&gt;취소",예약내역!$A$3:$A$2002,"&gt;="&amp;DATE($B$3,$D$3,1),예약내역!$A$3:$A$2002,"&lt;="&amp;EOMONTH(DATE($B$3,$D$3,1),0)),2))</f>
        <v/>
      </c>
      <c r="E72" s="15" t="str">
        <f aca="false">IF($A72="","",COUNTIFS(예약내역!$B$3:$B$2002,$A72,예약내역!$J$3:$J$2002,"취소",예약내역!$A$3:$A$2002,"&gt;="&amp;DATE($B$3,$D$3,1),예약내역!$A$3:$A$2002,"&lt;="&amp;EOMONTH(DATE($B$3,$D$3,1),0)))</f>
        <v/>
      </c>
      <c r="F72" s="15" t="str">
        <f aca="false">IF($A72="","",COUNTIFS(예약내역!$B$3:$B$2002,$A72,예약내역!$J$3:$J$2002,"노쇼",예약내역!$A$3:$A$2002,"&gt;="&amp;DATE($B$3,$D$3,1),예약내역!$A$3:$A$2002,"&lt;="&amp;EOMONTH(DATE($B$3,$D$3,1),0)))</f>
        <v/>
      </c>
      <c r="G72" s="15" t="str">
        <f aca="false">IF($A72="","",COUNTIFS(예약내역!$B$3:$B$2002,$A72,예약내역!$N$3:$N$2002,"중복",예약내역!$A$3:$A$2002,"&gt;="&amp;DATE($B$3,$D$3,1),예약내역!$A$3:$A$2002,"&lt;="&amp;EOMONTH(DATE($B$3,$D$3,1),0)))</f>
        <v/>
      </c>
    </row>
    <row r="73" customFormat="false" ht="15" hidden="false" customHeight="true" outlineLevel="0" collapsed="false">
      <c r="A73" s="12" t="str">
        <f aca="false">IF(자원목록!$A70="","",자원목록!$A70)</f>
        <v/>
      </c>
      <c r="B73" s="12" t="str">
        <f aca="false">IF($A73="","",자원목록!$B70)</f>
        <v/>
      </c>
      <c r="C73" s="15" t="str">
        <f aca="false">IF($A73="","",COUNTIFS(예약내역!$B$3:$B$2002,$A73,예약내역!$J$3:$J$2002,"&lt;&gt;취소",예약내역!$A$3:$A$2002,"&gt;="&amp;DATE($B$3,$D$3,1),예약내역!$A$3:$A$2002,"&lt;="&amp;EOMONTH(DATE($B$3,$D$3,1),0)))</f>
        <v/>
      </c>
      <c r="D73" s="14" t="str">
        <f aca="false">IF($A73="","",ROUND(SUMIFS(예약내역!$H$3:$H$2002,예약내역!$B$3:$B$2002,$A73,예약내역!$J$3:$J$2002,"&lt;&gt;취소",예약내역!$A$3:$A$2002,"&gt;="&amp;DATE($B$3,$D$3,1),예약내역!$A$3:$A$2002,"&lt;="&amp;EOMONTH(DATE($B$3,$D$3,1),0)),2))</f>
        <v/>
      </c>
      <c r="E73" s="15" t="str">
        <f aca="false">IF($A73="","",COUNTIFS(예약내역!$B$3:$B$2002,$A73,예약내역!$J$3:$J$2002,"취소",예약내역!$A$3:$A$2002,"&gt;="&amp;DATE($B$3,$D$3,1),예약내역!$A$3:$A$2002,"&lt;="&amp;EOMONTH(DATE($B$3,$D$3,1),0)))</f>
        <v/>
      </c>
      <c r="F73" s="15" t="str">
        <f aca="false">IF($A73="","",COUNTIFS(예약내역!$B$3:$B$2002,$A73,예약내역!$J$3:$J$2002,"노쇼",예약내역!$A$3:$A$2002,"&gt;="&amp;DATE($B$3,$D$3,1),예약내역!$A$3:$A$2002,"&lt;="&amp;EOMONTH(DATE($B$3,$D$3,1),0)))</f>
        <v/>
      </c>
      <c r="G73" s="15" t="str">
        <f aca="false">IF($A73="","",COUNTIFS(예약내역!$B$3:$B$2002,$A73,예약내역!$N$3:$N$2002,"중복",예약내역!$A$3:$A$2002,"&gt;="&amp;DATE($B$3,$D$3,1),예약내역!$A$3:$A$2002,"&lt;="&amp;EOMONTH(DATE($B$3,$D$3,1),0)))</f>
        <v/>
      </c>
    </row>
    <row r="74" customFormat="false" ht="15" hidden="false" customHeight="true" outlineLevel="0" collapsed="false">
      <c r="A74" s="12" t="str">
        <f aca="false">IF(자원목록!$A71="","",자원목록!$A71)</f>
        <v/>
      </c>
      <c r="B74" s="12" t="str">
        <f aca="false">IF($A74="","",자원목록!$B71)</f>
        <v/>
      </c>
      <c r="C74" s="15" t="str">
        <f aca="false">IF($A74="","",COUNTIFS(예약내역!$B$3:$B$2002,$A74,예약내역!$J$3:$J$2002,"&lt;&gt;취소",예약내역!$A$3:$A$2002,"&gt;="&amp;DATE($B$3,$D$3,1),예약내역!$A$3:$A$2002,"&lt;="&amp;EOMONTH(DATE($B$3,$D$3,1),0)))</f>
        <v/>
      </c>
      <c r="D74" s="14" t="str">
        <f aca="false">IF($A74="","",ROUND(SUMIFS(예약내역!$H$3:$H$2002,예약내역!$B$3:$B$2002,$A74,예약내역!$J$3:$J$2002,"&lt;&gt;취소",예약내역!$A$3:$A$2002,"&gt;="&amp;DATE($B$3,$D$3,1),예약내역!$A$3:$A$2002,"&lt;="&amp;EOMONTH(DATE($B$3,$D$3,1),0)),2))</f>
        <v/>
      </c>
      <c r="E74" s="15" t="str">
        <f aca="false">IF($A74="","",COUNTIFS(예약내역!$B$3:$B$2002,$A74,예약내역!$J$3:$J$2002,"취소",예약내역!$A$3:$A$2002,"&gt;="&amp;DATE($B$3,$D$3,1),예약내역!$A$3:$A$2002,"&lt;="&amp;EOMONTH(DATE($B$3,$D$3,1),0)))</f>
        <v/>
      </c>
      <c r="F74" s="15" t="str">
        <f aca="false">IF($A74="","",COUNTIFS(예약내역!$B$3:$B$2002,$A74,예약내역!$J$3:$J$2002,"노쇼",예약내역!$A$3:$A$2002,"&gt;="&amp;DATE($B$3,$D$3,1),예약내역!$A$3:$A$2002,"&lt;="&amp;EOMONTH(DATE($B$3,$D$3,1),0)))</f>
        <v/>
      </c>
      <c r="G74" s="15" t="str">
        <f aca="false">IF($A74="","",COUNTIFS(예약내역!$B$3:$B$2002,$A74,예약내역!$N$3:$N$2002,"중복",예약내역!$A$3:$A$2002,"&gt;="&amp;DATE($B$3,$D$3,1),예약내역!$A$3:$A$2002,"&lt;="&amp;EOMONTH(DATE($B$3,$D$3,1),0)))</f>
        <v/>
      </c>
    </row>
    <row r="75" customFormat="false" ht="15" hidden="false" customHeight="true" outlineLevel="0" collapsed="false">
      <c r="A75" s="12" t="str">
        <f aca="false">IF(자원목록!$A72="","",자원목록!$A72)</f>
        <v/>
      </c>
      <c r="B75" s="12" t="str">
        <f aca="false">IF($A75="","",자원목록!$B72)</f>
        <v/>
      </c>
      <c r="C75" s="15" t="str">
        <f aca="false">IF($A75="","",COUNTIFS(예약내역!$B$3:$B$2002,$A75,예약내역!$J$3:$J$2002,"&lt;&gt;취소",예약내역!$A$3:$A$2002,"&gt;="&amp;DATE($B$3,$D$3,1),예약내역!$A$3:$A$2002,"&lt;="&amp;EOMONTH(DATE($B$3,$D$3,1),0)))</f>
        <v/>
      </c>
      <c r="D75" s="14" t="str">
        <f aca="false">IF($A75="","",ROUND(SUMIFS(예약내역!$H$3:$H$2002,예약내역!$B$3:$B$2002,$A75,예약내역!$J$3:$J$2002,"&lt;&gt;취소",예약내역!$A$3:$A$2002,"&gt;="&amp;DATE($B$3,$D$3,1),예약내역!$A$3:$A$2002,"&lt;="&amp;EOMONTH(DATE($B$3,$D$3,1),0)),2))</f>
        <v/>
      </c>
      <c r="E75" s="15" t="str">
        <f aca="false">IF($A75="","",COUNTIFS(예약내역!$B$3:$B$2002,$A75,예약내역!$J$3:$J$2002,"취소",예약내역!$A$3:$A$2002,"&gt;="&amp;DATE($B$3,$D$3,1),예약내역!$A$3:$A$2002,"&lt;="&amp;EOMONTH(DATE($B$3,$D$3,1),0)))</f>
        <v/>
      </c>
      <c r="F75" s="15" t="str">
        <f aca="false">IF($A75="","",COUNTIFS(예약내역!$B$3:$B$2002,$A75,예약내역!$J$3:$J$2002,"노쇼",예약내역!$A$3:$A$2002,"&gt;="&amp;DATE($B$3,$D$3,1),예약내역!$A$3:$A$2002,"&lt;="&amp;EOMONTH(DATE($B$3,$D$3,1),0)))</f>
        <v/>
      </c>
      <c r="G75" s="15" t="str">
        <f aca="false">IF($A75="","",COUNTIFS(예약내역!$B$3:$B$2002,$A75,예약내역!$N$3:$N$2002,"중복",예약내역!$A$3:$A$2002,"&gt;="&amp;DATE($B$3,$D$3,1),예약내역!$A$3:$A$2002,"&lt;="&amp;EOMONTH(DATE($B$3,$D$3,1),0)))</f>
        <v/>
      </c>
    </row>
    <row r="76" customFormat="false" ht="15" hidden="false" customHeight="true" outlineLevel="0" collapsed="false">
      <c r="A76" s="12" t="str">
        <f aca="false">IF(자원목록!$A73="","",자원목록!$A73)</f>
        <v/>
      </c>
      <c r="B76" s="12" t="str">
        <f aca="false">IF($A76="","",자원목록!$B73)</f>
        <v/>
      </c>
      <c r="C76" s="15" t="str">
        <f aca="false">IF($A76="","",COUNTIFS(예약내역!$B$3:$B$2002,$A76,예약내역!$J$3:$J$2002,"&lt;&gt;취소",예약내역!$A$3:$A$2002,"&gt;="&amp;DATE($B$3,$D$3,1),예약내역!$A$3:$A$2002,"&lt;="&amp;EOMONTH(DATE($B$3,$D$3,1),0)))</f>
        <v/>
      </c>
      <c r="D76" s="14" t="str">
        <f aca="false">IF($A76="","",ROUND(SUMIFS(예약내역!$H$3:$H$2002,예약내역!$B$3:$B$2002,$A76,예약내역!$J$3:$J$2002,"&lt;&gt;취소",예약내역!$A$3:$A$2002,"&gt;="&amp;DATE($B$3,$D$3,1),예약내역!$A$3:$A$2002,"&lt;="&amp;EOMONTH(DATE($B$3,$D$3,1),0)),2))</f>
        <v/>
      </c>
      <c r="E76" s="15" t="str">
        <f aca="false">IF($A76="","",COUNTIFS(예약내역!$B$3:$B$2002,$A76,예약내역!$J$3:$J$2002,"취소",예약내역!$A$3:$A$2002,"&gt;="&amp;DATE($B$3,$D$3,1),예약내역!$A$3:$A$2002,"&lt;="&amp;EOMONTH(DATE($B$3,$D$3,1),0)))</f>
        <v/>
      </c>
      <c r="F76" s="15" t="str">
        <f aca="false">IF($A76="","",COUNTIFS(예약내역!$B$3:$B$2002,$A76,예약내역!$J$3:$J$2002,"노쇼",예약내역!$A$3:$A$2002,"&gt;="&amp;DATE($B$3,$D$3,1),예약내역!$A$3:$A$2002,"&lt;="&amp;EOMONTH(DATE($B$3,$D$3,1),0)))</f>
        <v/>
      </c>
      <c r="G76" s="15" t="str">
        <f aca="false">IF($A76="","",COUNTIFS(예약내역!$B$3:$B$2002,$A76,예약내역!$N$3:$N$2002,"중복",예약내역!$A$3:$A$2002,"&gt;="&amp;DATE($B$3,$D$3,1),예약내역!$A$3:$A$2002,"&lt;="&amp;EOMONTH(DATE($B$3,$D$3,1),0)))</f>
        <v/>
      </c>
    </row>
    <row r="77" customFormat="false" ht="15" hidden="false" customHeight="true" outlineLevel="0" collapsed="false">
      <c r="A77" s="12" t="str">
        <f aca="false">IF(자원목록!$A74="","",자원목록!$A74)</f>
        <v/>
      </c>
      <c r="B77" s="12" t="str">
        <f aca="false">IF($A77="","",자원목록!$B74)</f>
        <v/>
      </c>
      <c r="C77" s="15" t="str">
        <f aca="false">IF($A77="","",COUNTIFS(예약내역!$B$3:$B$2002,$A77,예약내역!$J$3:$J$2002,"&lt;&gt;취소",예약내역!$A$3:$A$2002,"&gt;="&amp;DATE($B$3,$D$3,1),예약내역!$A$3:$A$2002,"&lt;="&amp;EOMONTH(DATE($B$3,$D$3,1),0)))</f>
        <v/>
      </c>
      <c r="D77" s="14" t="str">
        <f aca="false">IF($A77="","",ROUND(SUMIFS(예약내역!$H$3:$H$2002,예약내역!$B$3:$B$2002,$A77,예약내역!$J$3:$J$2002,"&lt;&gt;취소",예약내역!$A$3:$A$2002,"&gt;="&amp;DATE($B$3,$D$3,1),예약내역!$A$3:$A$2002,"&lt;="&amp;EOMONTH(DATE($B$3,$D$3,1),0)),2))</f>
        <v/>
      </c>
      <c r="E77" s="15" t="str">
        <f aca="false">IF($A77="","",COUNTIFS(예약내역!$B$3:$B$2002,$A77,예약내역!$J$3:$J$2002,"취소",예약내역!$A$3:$A$2002,"&gt;="&amp;DATE($B$3,$D$3,1),예약내역!$A$3:$A$2002,"&lt;="&amp;EOMONTH(DATE($B$3,$D$3,1),0)))</f>
        <v/>
      </c>
      <c r="F77" s="15" t="str">
        <f aca="false">IF($A77="","",COUNTIFS(예약내역!$B$3:$B$2002,$A77,예약내역!$J$3:$J$2002,"노쇼",예약내역!$A$3:$A$2002,"&gt;="&amp;DATE($B$3,$D$3,1),예약내역!$A$3:$A$2002,"&lt;="&amp;EOMONTH(DATE($B$3,$D$3,1),0)))</f>
        <v/>
      </c>
      <c r="G77" s="15" t="str">
        <f aca="false">IF($A77="","",COUNTIFS(예약내역!$B$3:$B$2002,$A77,예약내역!$N$3:$N$2002,"중복",예약내역!$A$3:$A$2002,"&gt;="&amp;DATE($B$3,$D$3,1),예약내역!$A$3:$A$2002,"&lt;="&amp;EOMONTH(DATE($B$3,$D$3,1),0)))</f>
        <v/>
      </c>
    </row>
    <row r="78" customFormat="false" ht="15" hidden="false" customHeight="true" outlineLevel="0" collapsed="false">
      <c r="A78" s="12" t="str">
        <f aca="false">IF(자원목록!$A75="","",자원목록!$A75)</f>
        <v/>
      </c>
      <c r="B78" s="12" t="str">
        <f aca="false">IF($A78="","",자원목록!$B75)</f>
        <v/>
      </c>
      <c r="C78" s="15" t="str">
        <f aca="false">IF($A78="","",COUNTIFS(예약내역!$B$3:$B$2002,$A78,예약내역!$J$3:$J$2002,"&lt;&gt;취소",예약내역!$A$3:$A$2002,"&gt;="&amp;DATE($B$3,$D$3,1),예약내역!$A$3:$A$2002,"&lt;="&amp;EOMONTH(DATE($B$3,$D$3,1),0)))</f>
        <v/>
      </c>
      <c r="D78" s="14" t="str">
        <f aca="false">IF($A78="","",ROUND(SUMIFS(예약내역!$H$3:$H$2002,예약내역!$B$3:$B$2002,$A78,예약내역!$J$3:$J$2002,"&lt;&gt;취소",예약내역!$A$3:$A$2002,"&gt;="&amp;DATE($B$3,$D$3,1),예약내역!$A$3:$A$2002,"&lt;="&amp;EOMONTH(DATE($B$3,$D$3,1),0)),2))</f>
        <v/>
      </c>
      <c r="E78" s="15" t="str">
        <f aca="false">IF($A78="","",COUNTIFS(예약내역!$B$3:$B$2002,$A78,예약내역!$J$3:$J$2002,"취소",예약내역!$A$3:$A$2002,"&gt;="&amp;DATE($B$3,$D$3,1),예약내역!$A$3:$A$2002,"&lt;="&amp;EOMONTH(DATE($B$3,$D$3,1),0)))</f>
        <v/>
      </c>
      <c r="F78" s="15" t="str">
        <f aca="false">IF($A78="","",COUNTIFS(예약내역!$B$3:$B$2002,$A78,예약내역!$J$3:$J$2002,"노쇼",예약내역!$A$3:$A$2002,"&gt;="&amp;DATE($B$3,$D$3,1),예약내역!$A$3:$A$2002,"&lt;="&amp;EOMONTH(DATE($B$3,$D$3,1),0)))</f>
        <v/>
      </c>
      <c r="G78" s="15" t="str">
        <f aca="false">IF($A78="","",COUNTIFS(예약내역!$B$3:$B$2002,$A78,예약내역!$N$3:$N$2002,"중복",예약내역!$A$3:$A$2002,"&gt;="&amp;DATE($B$3,$D$3,1),예약내역!$A$3:$A$2002,"&lt;="&amp;EOMONTH(DATE($B$3,$D$3,1),0)))</f>
        <v/>
      </c>
    </row>
    <row r="79" customFormat="false" ht="15" hidden="false" customHeight="true" outlineLevel="0" collapsed="false">
      <c r="A79" s="12" t="str">
        <f aca="false">IF(자원목록!$A76="","",자원목록!$A76)</f>
        <v/>
      </c>
      <c r="B79" s="12" t="str">
        <f aca="false">IF($A79="","",자원목록!$B76)</f>
        <v/>
      </c>
      <c r="C79" s="15" t="str">
        <f aca="false">IF($A79="","",COUNTIFS(예약내역!$B$3:$B$2002,$A79,예약내역!$J$3:$J$2002,"&lt;&gt;취소",예약내역!$A$3:$A$2002,"&gt;="&amp;DATE($B$3,$D$3,1),예약내역!$A$3:$A$2002,"&lt;="&amp;EOMONTH(DATE($B$3,$D$3,1),0)))</f>
        <v/>
      </c>
      <c r="D79" s="14" t="str">
        <f aca="false">IF($A79="","",ROUND(SUMIFS(예약내역!$H$3:$H$2002,예약내역!$B$3:$B$2002,$A79,예약내역!$J$3:$J$2002,"&lt;&gt;취소",예약내역!$A$3:$A$2002,"&gt;="&amp;DATE($B$3,$D$3,1),예약내역!$A$3:$A$2002,"&lt;="&amp;EOMONTH(DATE($B$3,$D$3,1),0)),2))</f>
        <v/>
      </c>
      <c r="E79" s="15" t="str">
        <f aca="false">IF($A79="","",COUNTIFS(예약내역!$B$3:$B$2002,$A79,예약내역!$J$3:$J$2002,"취소",예약내역!$A$3:$A$2002,"&gt;="&amp;DATE($B$3,$D$3,1),예약내역!$A$3:$A$2002,"&lt;="&amp;EOMONTH(DATE($B$3,$D$3,1),0)))</f>
        <v/>
      </c>
      <c r="F79" s="15" t="str">
        <f aca="false">IF($A79="","",COUNTIFS(예약내역!$B$3:$B$2002,$A79,예약내역!$J$3:$J$2002,"노쇼",예약내역!$A$3:$A$2002,"&gt;="&amp;DATE($B$3,$D$3,1),예약내역!$A$3:$A$2002,"&lt;="&amp;EOMONTH(DATE($B$3,$D$3,1),0)))</f>
        <v/>
      </c>
      <c r="G79" s="15" t="str">
        <f aca="false">IF($A79="","",COUNTIFS(예약내역!$B$3:$B$2002,$A79,예약내역!$N$3:$N$2002,"중복",예약내역!$A$3:$A$2002,"&gt;="&amp;DATE($B$3,$D$3,1),예약내역!$A$3:$A$2002,"&lt;="&amp;EOMONTH(DATE($B$3,$D$3,1),0)))</f>
        <v/>
      </c>
    </row>
    <row r="80" customFormat="false" ht="15" hidden="false" customHeight="true" outlineLevel="0" collapsed="false">
      <c r="A80" s="12" t="str">
        <f aca="false">IF(자원목록!$A77="","",자원목록!$A77)</f>
        <v/>
      </c>
      <c r="B80" s="12" t="str">
        <f aca="false">IF($A80="","",자원목록!$B77)</f>
        <v/>
      </c>
      <c r="C80" s="15" t="str">
        <f aca="false">IF($A80="","",COUNTIFS(예약내역!$B$3:$B$2002,$A80,예약내역!$J$3:$J$2002,"&lt;&gt;취소",예약내역!$A$3:$A$2002,"&gt;="&amp;DATE($B$3,$D$3,1),예약내역!$A$3:$A$2002,"&lt;="&amp;EOMONTH(DATE($B$3,$D$3,1),0)))</f>
        <v/>
      </c>
      <c r="D80" s="14" t="str">
        <f aca="false">IF($A80="","",ROUND(SUMIFS(예약내역!$H$3:$H$2002,예약내역!$B$3:$B$2002,$A80,예약내역!$J$3:$J$2002,"&lt;&gt;취소",예약내역!$A$3:$A$2002,"&gt;="&amp;DATE($B$3,$D$3,1),예약내역!$A$3:$A$2002,"&lt;="&amp;EOMONTH(DATE($B$3,$D$3,1),0)),2))</f>
        <v/>
      </c>
      <c r="E80" s="15" t="str">
        <f aca="false">IF($A80="","",COUNTIFS(예약내역!$B$3:$B$2002,$A80,예약내역!$J$3:$J$2002,"취소",예약내역!$A$3:$A$2002,"&gt;="&amp;DATE($B$3,$D$3,1),예약내역!$A$3:$A$2002,"&lt;="&amp;EOMONTH(DATE($B$3,$D$3,1),0)))</f>
        <v/>
      </c>
      <c r="F80" s="15" t="str">
        <f aca="false">IF($A80="","",COUNTIFS(예약내역!$B$3:$B$2002,$A80,예약내역!$J$3:$J$2002,"노쇼",예약내역!$A$3:$A$2002,"&gt;="&amp;DATE($B$3,$D$3,1),예약내역!$A$3:$A$2002,"&lt;="&amp;EOMONTH(DATE($B$3,$D$3,1),0)))</f>
        <v/>
      </c>
      <c r="G80" s="15" t="str">
        <f aca="false">IF($A80="","",COUNTIFS(예약내역!$B$3:$B$2002,$A80,예약내역!$N$3:$N$2002,"중복",예약내역!$A$3:$A$2002,"&gt;="&amp;DATE($B$3,$D$3,1),예약내역!$A$3:$A$2002,"&lt;="&amp;EOMONTH(DATE($B$3,$D$3,1),0)))</f>
        <v/>
      </c>
    </row>
    <row r="81" customFormat="false" ht="15" hidden="false" customHeight="true" outlineLevel="0" collapsed="false">
      <c r="A81" s="12" t="str">
        <f aca="false">IF(자원목록!$A78="","",자원목록!$A78)</f>
        <v/>
      </c>
      <c r="B81" s="12" t="str">
        <f aca="false">IF($A81="","",자원목록!$B78)</f>
        <v/>
      </c>
      <c r="C81" s="15" t="str">
        <f aca="false">IF($A81="","",COUNTIFS(예약내역!$B$3:$B$2002,$A81,예약내역!$J$3:$J$2002,"&lt;&gt;취소",예약내역!$A$3:$A$2002,"&gt;="&amp;DATE($B$3,$D$3,1),예약내역!$A$3:$A$2002,"&lt;="&amp;EOMONTH(DATE($B$3,$D$3,1),0)))</f>
        <v/>
      </c>
      <c r="D81" s="14" t="str">
        <f aca="false">IF($A81="","",ROUND(SUMIFS(예약내역!$H$3:$H$2002,예약내역!$B$3:$B$2002,$A81,예약내역!$J$3:$J$2002,"&lt;&gt;취소",예약내역!$A$3:$A$2002,"&gt;="&amp;DATE($B$3,$D$3,1),예약내역!$A$3:$A$2002,"&lt;="&amp;EOMONTH(DATE($B$3,$D$3,1),0)),2))</f>
        <v/>
      </c>
      <c r="E81" s="15" t="str">
        <f aca="false">IF($A81="","",COUNTIFS(예약내역!$B$3:$B$2002,$A81,예약내역!$J$3:$J$2002,"취소",예약내역!$A$3:$A$2002,"&gt;="&amp;DATE($B$3,$D$3,1),예약내역!$A$3:$A$2002,"&lt;="&amp;EOMONTH(DATE($B$3,$D$3,1),0)))</f>
        <v/>
      </c>
      <c r="F81" s="15" t="str">
        <f aca="false">IF($A81="","",COUNTIFS(예약내역!$B$3:$B$2002,$A81,예약내역!$J$3:$J$2002,"노쇼",예약내역!$A$3:$A$2002,"&gt;="&amp;DATE($B$3,$D$3,1),예약내역!$A$3:$A$2002,"&lt;="&amp;EOMONTH(DATE($B$3,$D$3,1),0)))</f>
        <v/>
      </c>
      <c r="G81" s="15" t="str">
        <f aca="false">IF($A81="","",COUNTIFS(예약내역!$B$3:$B$2002,$A81,예약내역!$N$3:$N$2002,"중복",예약내역!$A$3:$A$2002,"&gt;="&amp;DATE($B$3,$D$3,1),예약내역!$A$3:$A$2002,"&lt;="&amp;EOMONTH(DATE($B$3,$D$3,1),0)))</f>
        <v/>
      </c>
    </row>
    <row r="82" customFormat="false" ht="15" hidden="false" customHeight="true" outlineLevel="0" collapsed="false">
      <c r="A82" s="12" t="str">
        <f aca="false">IF(자원목록!$A79="","",자원목록!$A79)</f>
        <v/>
      </c>
      <c r="B82" s="12" t="str">
        <f aca="false">IF($A82="","",자원목록!$B79)</f>
        <v/>
      </c>
      <c r="C82" s="15" t="str">
        <f aca="false">IF($A82="","",COUNTIFS(예약내역!$B$3:$B$2002,$A82,예약내역!$J$3:$J$2002,"&lt;&gt;취소",예약내역!$A$3:$A$2002,"&gt;="&amp;DATE($B$3,$D$3,1),예약내역!$A$3:$A$2002,"&lt;="&amp;EOMONTH(DATE($B$3,$D$3,1),0)))</f>
        <v/>
      </c>
      <c r="D82" s="14" t="str">
        <f aca="false">IF($A82="","",ROUND(SUMIFS(예약내역!$H$3:$H$2002,예약내역!$B$3:$B$2002,$A82,예약내역!$J$3:$J$2002,"&lt;&gt;취소",예약내역!$A$3:$A$2002,"&gt;="&amp;DATE($B$3,$D$3,1),예약내역!$A$3:$A$2002,"&lt;="&amp;EOMONTH(DATE($B$3,$D$3,1),0)),2))</f>
        <v/>
      </c>
      <c r="E82" s="15" t="str">
        <f aca="false">IF($A82="","",COUNTIFS(예약내역!$B$3:$B$2002,$A82,예약내역!$J$3:$J$2002,"취소",예약내역!$A$3:$A$2002,"&gt;="&amp;DATE($B$3,$D$3,1),예약내역!$A$3:$A$2002,"&lt;="&amp;EOMONTH(DATE($B$3,$D$3,1),0)))</f>
        <v/>
      </c>
      <c r="F82" s="15" t="str">
        <f aca="false">IF($A82="","",COUNTIFS(예약내역!$B$3:$B$2002,$A82,예약내역!$J$3:$J$2002,"노쇼",예약내역!$A$3:$A$2002,"&gt;="&amp;DATE($B$3,$D$3,1),예약내역!$A$3:$A$2002,"&lt;="&amp;EOMONTH(DATE($B$3,$D$3,1),0)))</f>
        <v/>
      </c>
      <c r="G82" s="15" t="str">
        <f aca="false">IF($A82="","",COUNTIFS(예약내역!$B$3:$B$2002,$A82,예약내역!$N$3:$N$2002,"중복",예약내역!$A$3:$A$2002,"&gt;="&amp;DATE($B$3,$D$3,1),예약내역!$A$3:$A$2002,"&lt;="&amp;EOMONTH(DATE($B$3,$D$3,1),0)))</f>
        <v/>
      </c>
    </row>
    <row r="83" customFormat="false" ht="15" hidden="false" customHeight="true" outlineLevel="0" collapsed="false">
      <c r="A83" s="12" t="str">
        <f aca="false">IF(자원목록!$A80="","",자원목록!$A80)</f>
        <v/>
      </c>
      <c r="B83" s="12" t="str">
        <f aca="false">IF($A83="","",자원목록!$B80)</f>
        <v/>
      </c>
      <c r="C83" s="15" t="str">
        <f aca="false">IF($A83="","",COUNTIFS(예약내역!$B$3:$B$2002,$A83,예약내역!$J$3:$J$2002,"&lt;&gt;취소",예약내역!$A$3:$A$2002,"&gt;="&amp;DATE($B$3,$D$3,1),예약내역!$A$3:$A$2002,"&lt;="&amp;EOMONTH(DATE($B$3,$D$3,1),0)))</f>
        <v/>
      </c>
      <c r="D83" s="14" t="str">
        <f aca="false">IF($A83="","",ROUND(SUMIFS(예약내역!$H$3:$H$2002,예약내역!$B$3:$B$2002,$A83,예약내역!$J$3:$J$2002,"&lt;&gt;취소",예약내역!$A$3:$A$2002,"&gt;="&amp;DATE($B$3,$D$3,1),예약내역!$A$3:$A$2002,"&lt;="&amp;EOMONTH(DATE($B$3,$D$3,1),0)),2))</f>
        <v/>
      </c>
      <c r="E83" s="15" t="str">
        <f aca="false">IF($A83="","",COUNTIFS(예약내역!$B$3:$B$2002,$A83,예약내역!$J$3:$J$2002,"취소",예약내역!$A$3:$A$2002,"&gt;="&amp;DATE($B$3,$D$3,1),예약내역!$A$3:$A$2002,"&lt;="&amp;EOMONTH(DATE($B$3,$D$3,1),0)))</f>
        <v/>
      </c>
      <c r="F83" s="15" t="str">
        <f aca="false">IF($A83="","",COUNTIFS(예약내역!$B$3:$B$2002,$A83,예약내역!$J$3:$J$2002,"노쇼",예약내역!$A$3:$A$2002,"&gt;="&amp;DATE($B$3,$D$3,1),예약내역!$A$3:$A$2002,"&lt;="&amp;EOMONTH(DATE($B$3,$D$3,1),0)))</f>
        <v/>
      </c>
      <c r="G83" s="15" t="str">
        <f aca="false">IF($A83="","",COUNTIFS(예약내역!$B$3:$B$2002,$A83,예약내역!$N$3:$N$2002,"중복",예약내역!$A$3:$A$2002,"&gt;="&amp;DATE($B$3,$D$3,1),예약내역!$A$3:$A$2002,"&lt;="&amp;EOMONTH(DATE($B$3,$D$3,1),0)))</f>
        <v/>
      </c>
    </row>
    <row r="84" customFormat="false" ht="15" hidden="false" customHeight="true" outlineLevel="0" collapsed="false">
      <c r="A84" s="12" t="str">
        <f aca="false">IF(자원목록!$A81="","",자원목록!$A81)</f>
        <v/>
      </c>
      <c r="B84" s="12" t="str">
        <f aca="false">IF($A84="","",자원목록!$B81)</f>
        <v/>
      </c>
      <c r="C84" s="15" t="str">
        <f aca="false">IF($A84="","",COUNTIFS(예약내역!$B$3:$B$2002,$A84,예약내역!$J$3:$J$2002,"&lt;&gt;취소",예약내역!$A$3:$A$2002,"&gt;="&amp;DATE($B$3,$D$3,1),예약내역!$A$3:$A$2002,"&lt;="&amp;EOMONTH(DATE($B$3,$D$3,1),0)))</f>
        <v/>
      </c>
      <c r="D84" s="14" t="str">
        <f aca="false">IF($A84="","",ROUND(SUMIFS(예약내역!$H$3:$H$2002,예약내역!$B$3:$B$2002,$A84,예약내역!$J$3:$J$2002,"&lt;&gt;취소",예약내역!$A$3:$A$2002,"&gt;="&amp;DATE($B$3,$D$3,1),예약내역!$A$3:$A$2002,"&lt;="&amp;EOMONTH(DATE($B$3,$D$3,1),0)),2))</f>
        <v/>
      </c>
      <c r="E84" s="15" t="str">
        <f aca="false">IF($A84="","",COUNTIFS(예약내역!$B$3:$B$2002,$A84,예약내역!$J$3:$J$2002,"취소",예약내역!$A$3:$A$2002,"&gt;="&amp;DATE($B$3,$D$3,1),예약내역!$A$3:$A$2002,"&lt;="&amp;EOMONTH(DATE($B$3,$D$3,1),0)))</f>
        <v/>
      </c>
      <c r="F84" s="15" t="str">
        <f aca="false">IF($A84="","",COUNTIFS(예약내역!$B$3:$B$2002,$A84,예약내역!$J$3:$J$2002,"노쇼",예약내역!$A$3:$A$2002,"&gt;="&amp;DATE($B$3,$D$3,1),예약내역!$A$3:$A$2002,"&lt;="&amp;EOMONTH(DATE($B$3,$D$3,1),0)))</f>
        <v/>
      </c>
      <c r="G84" s="15" t="str">
        <f aca="false">IF($A84="","",COUNTIFS(예약내역!$B$3:$B$2002,$A84,예약내역!$N$3:$N$2002,"중복",예약내역!$A$3:$A$2002,"&gt;="&amp;DATE($B$3,$D$3,1),예약내역!$A$3:$A$2002,"&lt;="&amp;EOMONTH(DATE($B$3,$D$3,1),0)))</f>
        <v/>
      </c>
    </row>
    <row r="85" customFormat="false" ht="15" hidden="false" customHeight="true" outlineLevel="0" collapsed="false">
      <c r="A85" s="12" t="str">
        <f aca="false">IF(자원목록!$A82="","",자원목록!$A82)</f>
        <v/>
      </c>
      <c r="B85" s="12" t="str">
        <f aca="false">IF($A85="","",자원목록!$B82)</f>
        <v/>
      </c>
      <c r="C85" s="15" t="str">
        <f aca="false">IF($A85="","",COUNTIFS(예약내역!$B$3:$B$2002,$A85,예약내역!$J$3:$J$2002,"&lt;&gt;취소",예약내역!$A$3:$A$2002,"&gt;="&amp;DATE($B$3,$D$3,1),예약내역!$A$3:$A$2002,"&lt;="&amp;EOMONTH(DATE($B$3,$D$3,1),0)))</f>
        <v/>
      </c>
      <c r="D85" s="14" t="str">
        <f aca="false">IF($A85="","",ROUND(SUMIFS(예약내역!$H$3:$H$2002,예약내역!$B$3:$B$2002,$A85,예약내역!$J$3:$J$2002,"&lt;&gt;취소",예약내역!$A$3:$A$2002,"&gt;="&amp;DATE($B$3,$D$3,1),예약내역!$A$3:$A$2002,"&lt;="&amp;EOMONTH(DATE($B$3,$D$3,1),0)),2))</f>
        <v/>
      </c>
      <c r="E85" s="15" t="str">
        <f aca="false">IF($A85="","",COUNTIFS(예약내역!$B$3:$B$2002,$A85,예약내역!$J$3:$J$2002,"취소",예약내역!$A$3:$A$2002,"&gt;="&amp;DATE($B$3,$D$3,1),예약내역!$A$3:$A$2002,"&lt;="&amp;EOMONTH(DATE($B$3,$D$3,1),0)))</f>
        <v/>
      </c>
      <c r="F85" s="15" t="str">
        <f aca="false">IF($A85="","",COUNTIFS(예약내역!$B$3:$B$2002,$A85,예약내역!$J$3:$J$2002,"노쇼",예약내역!$A$3:$A$2002,"&gt;="&amp;DATE($B$3,$D$3,1),예약내역!$A$3:$A$2002,"&lt;="&amp;EOMONTH(DATE($B$3,$D$3,1),0)))</f>
        <v/>
      </c>
      <c r="G85" s="15" t="str">
        <f aca="false">IF($A85="","",COUNTIFS(예약내역!$B$3:$B$2002,$A85,예약내역!$N$3:$N$2002,"중복",예약내역!$A$3:$A$2002,"&gt;="&amp;DATE($B$3,$D$3,1),예약내역!$A$3:$A$2002,"&lt;="&amp;EOMONTH(DATE($B$3,$D$3,1),0)))</f>
        <v/>
      </c>
    </row>
    <row r="86" customFormat="false" ht="15" hidden="false" customHeight="true" outlineLevel="0" collapsed="false">
      <c r="A86" s="12" t="str">
        <f aca="false">IF(자원목록!$A83="","",자원목록!$A83)</f>
        <v/>
      </c>
      <c r="B86" s="12" t="str">
        <f aca="false">IF($A86="","",자원목록!$B83)</f>
        <v/>
      </c>
      <c r="C86" s="15" t="str">
        <f aca="false">IF($A86="","",COUNTIFS(예약내역!$B$3:$B$2002,$A86,예약내역!$J$3:$J$2002,"&lt;&gt;취소",예약내역!$A$3:$A$2002,"&gt;="&amp;DATE($B$3,$D$3,1),예약내역!$A$3:$A$2002,"&lt;="&amp;EOMONTH(DATE($B$3,$D$3,1),0)))</f>
        <v/>
      </c>
      <c r="D86" s="14" t="str">
        <f aca="false">IF($A86="","",ROUND(SUMIFS(예약내역!$H$3:$H$2002,예약내역!$B$3:$B$2002,$A86,예약내역!$J$3:$J$2002,"&lt;&gt;취소",예약내역!$A$3:$A$2002,"&gt;="&amp;DATE($B$3,$D$3,1),예약내역!$A$3:$A$2002,"&lt;="&amp;EOMONTH(DATE($B$3,$D$3,1),0)),2))</f>
        <v/>
      </c>
      <c r="E86" s="15" t="str">
        <f aca="false">IF($A86="","",COUNTIFS(예약내역!$B$3:$B$2002,$A86,예약내역!$J$3:$J$2002,"취소",예약내역!$A$3:$A$2002,"&gt;="&amp;DATE($B$3,$D$3,1),예약내역!$A$3:$A$2002,"&lt;="&amp;EOMONTH(DATE($B$3,$D$3,1),0)))</f>
        <v/>
      </c>
      <c r="F86" s="15" t="str">
        <f aca="false">IF($A86="","",COUNTIFS(예약내역!$B$3:$B$2002,$A86,예약내역!$J$3:$J$2002,"노쇼",예약내역!$A$3:$A$2002,"&gt;="&amp;DATE($B$3,$D$3,1),예약내역!$A$3:$A$2002,"&lt;="&amp;EOMONTH(DATE($B$3,$D$3,1),0)))</f>
        <v/>
      </c>
      <c r="G86" s="15" t="str">
        <f aca="false">IF($A86="","",COUNTIFS(예약내역!$B$3:$B$2002,$A86,예약내역!$N$3:$N$2002,"중복",예약내역!$A$3:$A$2002,"&gt;="&amp;DATE($B$3,$D$3,1),예약내역!$A$3:$A$2002,"&lt;="&amp;EOMONTH(DATE($B$3,$D$3,1),0)))</f>
        <v/>
      </c>
    </row>
    <row r="87" customFormat="false" ht="15" hidden="false" customHeight="true" outlineLevel="0" collapsed="false">
      <c r="A87" s="12" t="str">
        <f aca="false">IF(자원목록!$A84="","",자원목록!$A84)</f>
        <v/>
      </c>
      <c r="B87" s="12" t="str">
        <f aca="false">IF($A87="","",자원목록!$B84)</f>
        <v/>
      </c>
      <c r="C87" s="15" t="str">
        <f aca="false">IF($A87="","",COUNTIFS(예약내역!$B$3:$B$2002,$A87,예약내역!$J$3:$J$2002,"&lt;&gt;취소",예약내역!$A$3:$A$2002,"&gt;="&amp;DATE($B$3,$D$3,1),예약내역!$A$3:$A$2002,"&lt;="&amp;EOMONTH(DATE($B$3,$D$3,1),0)))</f>
        <v/>
      </c>
      <c r="D87" s="14" t="str">
        <f aca="false">IF($A87="","",ROUND(SUMIFS(예약내역!$H$3:$H$2002,예약내역!$B$3:$B$2002,$A87,예약내역!$J$3:$J$2002,"&lt;&gt;취소",예약내역!$A$3:$A$2002,"&gt;="&amp;DATE($B$3,$D$3,1),예약내역!$A$3:$A$2002,"&lt;="&amp;EOMONTH(DATE($B$3,$D$3,1),0)),2))</f>
        <v/>
      </c>
      <c r="E87" s="15" t="str">
        <f aca="false">IF($A87="","",COUNTIFS(예약내역!$B$3:$B$2002,$A87,예약내역!$J$3:$J$2002,"취소",예약내역!$A$3:$A$2002,"&gt;="&amp;DATE($B$3,$D$3,1),예약내역!$A$3:$A$2002,"&lt;="&amp;EOMONTH(DATE($B$3,$D$3,1),0)))</f>
        <v/>
      </c>
      <c r="F87" s="15" t="str">
        <f aca="false">IF($A87="","",COUNTIFS(예약내역!$B$3:$B$2002,$A87,예약내역!$J$3:$J$2002,"노쇼",예약내역!$A$3:$A$2002,"&gt;="&amp;DATE($B$3,$D$3,1),예약내역!$A$3:$A$2002,"&lt;="&amp;EOMONTH(DATE($B$3,$D$3,1),0)))</f>
        <v/>
      </c>
      <c r="G87" s="15" t="str">
        <f aca="false">IF($A87="","",COUNTIFS(예약내역!$B$3:$B$2002,$A87,예약내역!$N$3:$N$2002,"중복",예약내역!$A$3:$A$2002,"&gt;="&amp;DATE($B$3,$D$3,1),예약내역!$A$3:$A$2002,"&lt;="&amp;EOMONTH(DATE($B$3,$D$3,1),0)))</f>
        <v/>
      </c>
    </row>
    <row r="88" customFormat="false" ht="15" hidden="false" customHeight="true" outlineLevel="0" collapsed="false">
      <c r="A88" s="12" t="str">
        <f aca="false">IF(자원목록!$A85="","",자원목록!$A85)</f>
        <v/>
      </c>
      <c r="B88" s="12" t="str">
        <f aca="false">IF($A88="","",자원목록!$B85)</f>
        <v/>
      </c>
      <c r="C88" s="15" t="str">
        <f aca="false">IF($A88="","",COUNTIFS(예약내역!$B$3:$B$2002,$A88,예약내역!$J$3:$J$2002,"&lt;&gt;취소",예약내역!$A$3:$A$2002,"&gt;="&amp;DATE($B$3,$D$3,1),예약내역!$A$3:$A$2002,"&lt;="&amp;EOMONTH(DATE($B$3,$D$3,1),0)))</f>
        <v/>
      </c>
      <c r="D88" s="14" t="str">
        <f aca="false">IF($A88="","",ROUND(SUMIFS(예약내역!$H$3:$H$2002,예약내역!$B$3:$B$2002,$A88,예약내역!$J$3:$J$2002,"&lt;&gt;취소",예약내역!$A$3:$A$2002,"&gt;="&amp;DATE($B$3,$D$3,1),예약내역!$A$3:$A$2002,"&lt;="&amp;EOMONTH(DATE($B$3,$D$3,1),0)),2))</f>
        <v/>
      </c>
      <c r="E88" s="15" t="str">
        <f aca="false">IF($A88="","",COUNTIFS(예약내역!$B$3:$B$2002,$A88,예약내역!$J$3:$J$2002,"취소",예약내역!$A$3:$A$2002,"&gt;="&amp;DATE($B$3,$D$3,1),예약내역!$A$3:$A$2002,"&lt;="&amp;EOMONTH(DATE($B$3,$D$3,1),0)))</f>
        <v/>
      </c>
      <c r="F88" s="15" t="str">
        <f aca="false">IF($A88="","",COUNTIFS(예약내역!$B$3:$B$2002,$A88,예약내역!$J$3:$J$2002,"노쇼",예약내역!$A$3:$A$2002,"&gt;="&amp;DATE($B$3,$D$3,1),예약내역!$A$3:$A$2002,"&lt;="&amp;EOMONTH(DATE($B$3,$D$3,1),0)))</f>
        <v/>
      </c>
      <c r="G88" s="15" t="str">
        <f aca="false">IF($A88="","",COUNTIFS(예약내역!$B$3:$B$2002,$A88,예약내역!$N$3:$N$2002,"중복",예약내역!$A$3:$A$2002,"&gt;="&amp;DATE($B$3,$D$3,1),예약내역!$A$3:$A$2002,"&lt;="&amp;EOMONTH(DATE($B$3,$D$3,1),0)))</f>
        <v/>
      </c>
    </row>
    <row r="89" customFormat="false" ht="15" hidden="false" customHeight="true" outlineLevel="0" collapsed="false">
      <c r="A89" s="12" t="str">
        <f aca="false">IF(자원목록!$A86="","",자원목록!$A86)</f>
        <v/>
      </c>
      <c r="B89" s="12" t="str">
        <f aca="false">IF($A89="","",자원목록!$B86)</f>
        <v/>
      </c>
      <c r="C89" s="15" t="str">
        <f aca="false">IF($A89="","",COUNTIFS(예약내역!$B$3:$B$2002,$A89,예약내역!$J$3:$J$2002,"&lt;&gt;취소",예약내역!$A$3:$A$2002,"&gt;="&amp;DATE($B$3,$D$3,1),예약내역!$A$3:$A$2002,"&lt;="&amp;EOMONTH(DATE($B$3,$D$3,1),0)))</f>
        <v/>
      </c>
      <c r="D89" s="14" t="str">
        <f aca="false">IF($A89="","",ROUND(SUMIFS(예약내역!$H$3:$H$2002,예약내역!$B$3:$B$2002,$A89,예약내역!$J$3:$J$2002,"&lt;&gt;취소",예약내역!$A$3:$A$2002,"&gt;="&amp;DATE($B$3,$D$3,1),예약내역!$A$3:$A$2002,"&lt;="&amp;EOMONTH(DATE($B$3,$D$3,1),0)),2))</f>
        <v/>
      </c>
      <c r="E89" s="15" t="str">
        <f aca="false">IF($A89="","",COUNTIFS(예약내역!$B$3:$B$2002,$A89,예약내역!$J$3:$J$2002,"취소",예약내역!$A$3:$A$2002,"&gt;="&amp;DATE($B$3,$D$3,1),예약내역!$A$3:$A$2002,"&lt;="&amp;EOMONTH(DATE($B$3,$D$3,1),0)))</f>
        <v/>
      </c>
      <c r="F89" s="15" t="str">
        <f aca="false">IF($A89="","",COUNTIFS(예약내역!$B$3:$B$2002,$A89,예약내역!$J$3:$J$2002,"노쇼",예약내역!$A$3:$A$2002,"&gt;="&amp;DATE($B$3,$D$3,1),예약내역!$A$3:$A$2002,"&lt;="&amp;EOMONTH(DATE($B$3,$D$3,1),0)))</f>
        <v/>
      </c>
      <c r="G89" s="15" t="str">
        <f aca="false">IF($A89="","",COUNTIFS(예약내역!$B$3:$B$2002,$A89,예약내역!$N$3:$N$2002,"중복",예약내역!$A$3:$A$2002,"&gt;="&amp;DATE($B$3,$D$3,1),예약내역!$A$3:$A$2002,"&lt;="&amp;EOMONTH(DATE($B$3,$D$3,1),0)))</f>
        <v/>
      </c>
    </row>
    <row r="90" customFormat="false" ht="15" hidden="false" customHeight="true" outlineLevel="0" collapsed="false">
      <c r="A90" s="12" t="str">
        <f aca="false">IF(자원목록!$A87="","",자원목록!$A87)</f>
        <v/>
      </c>
      <c r="B90" s="12" t="str">
        <f aca="false">IF($A90="","",자원목록!$B87)</f>
        <v/>
      </c>
      <c r="C90" s="15" t="str">
        <f aca="false">IF($A90="","",COUNTIFS(예약내역!$B$3:$B$2002,$A90,예약내역!$J$3:$J$2002,"&lt;&gt;취소",예약내역!$A$3:$A$2002,"&gt;="&amp;DATE($B$3,$D$3,1),예약내역!$A$3:$A$2002,"&lt;="&amp;EOMONTH(DATE($B$3,$D$3,1),0)))</f>
        <v/>
      </c>
      <c r="D90" s="14" t="str">
        <f aca="false">IF($A90="","",ROUND(SUMIFS(예약내역!$H$3:$H$2002,예약내역!$B$3:$B$2002,$A90,예약내역!$J$3:$J$2002,"&lt;&gt;취소",예약내역!$A$3:$A$2002,"&gt;="&amp;DATE($B$3,$D$3,1),예약내역!$A$3:$A$2002,"&lt;="&amp;EOMONTH(DATE($B$3,$D$3,1),0)),2))</f>
        <v/>
      </c>
      <c r="E90" s="15" t="str">
        <f aca="false">IF($A90="","",COUNTIFS(예약내역!$B$3:$B$2002,$A90,예약내역!$J$3:$J$2002,"취소",예약내역!$A$3:$A$2002,"&gt;="&amp;DATE($B$3,$D$3,1),예약내역!$A$3:$A$2002,"&lt;="&amp;EOMONTH(DATE($B$3,$D$3,1),0)))</f>
        <v/>
      </c>
      <c r="F90" s="15" t="str">
        <f aca="false">IF($A90="","",COUNTIFS(예약내역!$B$3:$B$2002,$A90,예약내역!$J$3:$J$2002,"노쇼",예약내역!$A$3:$A$2002,"&gt;="&amp;DATE($B$3,$D$3,1),예약내역!$A$3:$A$2002,"&lt;="&amp;EOMONTH(DATE($B$3,$D$3,1),0)))</f>
        <v/>
      </c>
      <c r="G90" s="15" t="str">
        <f aca="false">IF($A90="","",COUNTIFS(예약내역!$B$3:$B$2002,$A90,예약내역!$N$3:$N$2002,"중복",예약내역!$A$3:$A$2002,"&gt;="&amp;DATE($B$3,$D$3,1),예약내역!$A$3:$A$2002,"&lt;="&amp;EOMONTH(DATE($B$3,$D$3,1),0)))</f>
        <v/>
      </c>
    </row>
    <row r="91" customFormat="false" ht="15" hidden="false" customHeight="true" outlineLevel="0" collapsed="false">
      <c r="A91" s="12" t="str">
        <f aca="false">IF(자원목록!$A88="","",자원목록!$A88)</f>
        <v/>
      </c>
      <c r="B91" s="12" t="str">
        <f aca="false">IF($A91="","",자원목록!$B88)</f>
        <v/>
      </c>
      <c r="C91" s="15" t="str">
        <f aca="false">IF($A91="","",COUNTIFS(예약내역!$B$3:$B$2002,$A91,예약내역!$J$3:$J$2002,"&lt;&gt;취소",예약내역!$A$3:$A$2002,"&gt;="&amp;DATE($B$3,$D$3,1),예약내역!$A$3:$A$2002,"&lt;="&amp;EOMONTH(DATE($B$3,$D$3,1),0)))</f>
        <v/>
      </c>
      <c r="D91" s="14" t="str">
        <f aca="false">IF($A91="","",ROUND(SUMIFS(예약내역!$H$3:$H$2002,예약내역!$B$3:$B$2002,$A91,예약내역!$J$3:$J$2002,"&lt;&gt;취소",예약내역!$A$3:$A$2002,"&gt;="&amp;DATE($B$3,$D$3,1),예약내역!$A$3:$A$2002,"&lt;="&amp;EOMONTH(DATE($B$3,$D$3,1),0)),2))</f>
        <v/>
      </c>
      <c r="E91" s="15" t="str">
        <f aca="false">IF($A91="","",COUNTIFS(예약내역!$B$3:$B$2002,$A91,예약내역!$J$3:$J$2002,"취소",예약내역!$A$3:$A$2002,"&gt;="&amp;DATE($B$3,$D$3,1),예약내역!$A$3:$A$2002,"&lt;="&amp;EOMONTH(DATE($B$3,$D$3,1),0)))</f>
        <v/>
      </c>
      <c r="F91" s="15" t="str">
        <f aca="false">IF($A91="","",COUNTIFS(예약내역!$B$3:$B$2002,$A91,예약내역!$J$3:$J$2002,"노쇼",예약내역!$A$3:$A$2002,"&gt;="&amp;DATE($B$3,$D$3,1),예약내역!$A$3:$A$2002,"&lt;="&amp;EOMONTH(DATE($B$3,$D$3,1),0)))</f>
        <v/>
      </c>
      <c r="G91" s="15" t="str">
        <f aca="false">IF($A91="","",COUNTIFS(예약내역!$B$3:$B$2002,$A91,예약내역!$N$3:$N$2002,"중복",예약내역!$A$3:$A$2002,"&gt;="&amp;DATE($B$3,$D$3,1),예약내역!$A$3:$A$2002,"&lt;="&amp;EOMONTH(DATE($B$3,$D$3,1),0)))</f>
        <v/>
      </c>
    </row>
    <row r="92" customFormat="false" ht="15" hidden="false" customHeight="true" outlineLevel="0" collapsed="false">
      <c r="A92" s="12" t="str">
        <f aca="false">IF(자원목록!$A89="","",자원목록!$A89)</f>
        <v/>
      </c>
      <c r="B92" s="12" t="str">
        <f aca="false">IF($A92="","",자원목록!$B89)</f>
        <v/>
      </c>
      <c r="C92" s="15" t="str">
        <f aca="false">IF($A92="","",COUNTIFS(예약내역!$B$3:$B$2002,$A92,예약내역!$J$3:$J$2002,"&lt;&gt;취소",예약내역!$A$3:$A$2002,"&gt;="&amp;DATE($B$3,$D$3,1),예약내역!$A$3:$A$2002,"&lt;="&amp;EOMONTH(DATE($B$3,$D$3,1),0)))</f>
        <v/>
      </c>
      <c r="D92" s="14" t="str">
        <f aca="false">IF($A92="","",ROUND(SUMIFS(예약내역!$H$3:$H$2002,예약내역!$B$3:$B$2002,$A92,예약내역!$J$3:$J$2002,"&lt;&gt;취소",예약내역!$A$3:$A$2002,"&gt;="&amp;DATE($B$3,$D$3,1),예약내역!$A$3:$A$2002,"&lt;="&amp;EOMONTH(DATE($B$3,$D$3,1),0)),2))</f>
        <v/>
      </c>
      <c r="E92" s="15" t="str">
        <f aca="false">IF($A92="","",COUNTIFS(예약내역!$B$3:$B$2002,$A92,예약내역!$J$3:$J$2002,"취소",예약내역!$A$3:$A$2002,"&gt;="&amp;DATE($B$3,$D$3,1),예약내역!$A$3:$A$2002,"&lt;="&amp;EOMONTH(DATE($B$3,$D$3,1),0)))</f>
        <v/>
      </c>
      <c r="F92" s="15" t="str">
        <f aca="false">IF($A92="","",COUNTIFS(예약내역!$B$3:$B$2002,$A92,예약내역!$J$3:$J$2002,"노쇼",예약내역!$A$3:$A$2002,"&gt;="&amp;DATE($B$3,$D$3,1),예약내역!$A$3:$A$2002,"&lt;="&amp;EOMONTH(DATE($B$3,$D$3,1),0)))</f>
        <v/>
      </c>
      <c r="G92" s="15" t="str">
        <f aca="false">IF($A92="","",COUNTIFS(예약내역!$B$3:$B$2002,$A92,예약내역!$N$3:$N$2002,"중복",예약내역!$A$3:$A$2002,"&gt;="&amp;DATE($B$3,$D$3,1),예약내역!$A$3:$A$2002,"&lt;="&amp;EOMONTH(DATE($B$3,$D$3,1),0)))</f>
        <v/>
      </c>
    </row>
    <row r="93" customFormat="false" ht="15" hidden="false" customHeight="true" outlineLevel="0" collapsed="false">
      <c r="A93" s="12" t="str">
        <f aca="false">IF(자원목록!$A90="","",자원목록!$A90)</f>
        <v/>
      </c>
      <c r="B93" s="12" t="str">
        <f aca="false">IF($A93="","",자원목록!$B90)</f>
        <v/>
      </c>
      <c r="C93" s="15" t="str">
        <f aca="false">IF($A93="","",COUNTIFS(예약내역!$B$3:$B$2002,$A93,예약내역!$J$3:$J$2002,"&lt;&gt;취소",예약내역!$A$3:$A$2002,"&gt;="&amp;DATE($B$3,$D$3,1),예약내역!$A$3:$A$2002,"&lt;="&amp;EOMONTH(DATE($B$3,$D$3,1),0)))</f>
        <v/>
      </c>
      <c r="D93" s="14" t="str">
        <f aca="false">IF($A93="","",ROUND(SUMIFS(예약내역!$H$3:$H$2002,예약내역!$B$3:$B$2002,$A93,예약내역!$J$3:$J$2002,"&lt;&gt;취소",예약내역!$A$3:$A$2002,"&gt;="&amp;DATE($B$3,$D$3,1),예약내역!$A$3:$A$2002,"&lt;="&amp;EOMONTH(DATE($B$3,$D$3,1),0)),2))</f>
        <v/>
      </c>
      <c r="E93" s="15" t="str">
        <f aca="false">IF($A93="","",COUNTIFS(예약내역!$B$3:$B$2002,$A93,예약내역!$J$3:$J$2002,"취소",예약내역!$A$3:$A$2002,"&gt;="&amp;DATE($B$3,$D$3,1),예약내역!$A$3:$A$2002,"&lt;="&amp;EOMONTH(DATE($B$3,$D$3,1),0)))</f>
        <v/>
      </c>
      <c r="F93" s="15" t="str">
        <f aca="false">IF($A93="","",COUNTIFS(예약내역!$B$3:$B$2002,$A93,예약내역!$J$3:$J$2002,"노쇼",예약내역!$A$3:$A$2002,"&gt;="&amp;DATE($B$3,$D$3,1),예약내역!$A$3:$A$2002,"&lt;="&amp;EOMONTH(DATE($B$3,$D$3,1),0)))</f>
        <v/>
      </c>
      <c r="G93" s="15" t="str">
        <f aca="false">IF($A93="","",COUNTIFS(예약내역!$B$3:$B$2002,$A93,예약내역!$N$3:$N$2002,"중복",예약내역!$A$3:$A$2002,"&gt;="&amp;DATE($B$3,$D$3,1),예약내역!$A$3:$A$2002,"&lt;="&amp;EOMONTH(DATE($B$3,$D$3,1),0)))</f>
        <v/>
      </c>
    </row>
    <row r="94" customFormat="false" ht="15" hidden="false" customHeight="true" outlineLevel="0" collapsed="false">
      <c r="A94" s="12" t="str">
        <f aca="false">IF(자원목록!$A91="","",자원목록!$A91)</f>
        <v/>
      </c>
      <c r="B94" s="12" t="str">
        <f aca="false">IF($A94="","",자원목록!$B91)</f>
        <v/>
      </c>
      <c r="C94" s="15" t="str">
        <f aca="false">IF($A94="","",COUNTIFS(예약내역!$B$3:$B$2002,$A94,예약내역!$J$3:$J$2002,"&lt;&gt;취소",예약내역!$A$3:$A$2002,"&gt;="&amp;DATE($B$3,$D$3,1),예약내역!$A$3:$A$2002,"&lt;="&amp;EOMONTH(DATE($B$3,$D$3,1),0)))</f>
        <v/>
      </c>
      <c r="D94" s="14" t="str">
        <f aca="false">IF($A94="","",ROUND(SUMIFS(예약내역!$H$3:$H$2002,예약내역!$B$3:$B$2002,$A94,예약내역!$J$3:$J$2002,"&lt;&gt;취소",예약내역!$A$3:$A$2002,"&gt;="&amp;DATE($B$3,$D$3,1),예약내역!$A$3:$A$2002,"&lt;="&amp;EOMONTH(DATE($B$3,$D$3,1),0)),2))</f>
        <v/>
      </c>
      <c r="E94" s="15" t="str">
        <f aca="false">IF($A94="","",COUNTIFS(예약내역!$B$3:$B$2002,$A94,예약내역!$J$3:$J$2002,"취소",예약내역!$A$3:$A$2002,"&gt;="&amp;DATE($B$3,$D$3,1),예약내역!$A$3:$A$2002,"&lt;="&amp;EOMONTH(DATE($B$3,$D$3,1),0)))</f>
        <v/>
      </c>
      <c r="F94" s="15" t="str">
        <f aca="false">IF($A94="","",COUNTIFS(예약내역!$B$3:$B$2002,$A94,예약내역!$J$3:$J$2002,"노쇼",예약내역!$A$3:$A$2002,"&gt;="&amp;DATE($B$3,$D$3,1),예약내역!$A$3:$A$2002,"&lt;="&amp;EOMONTH(DATE($B$3,$D$3,1),0)))</f>
        <v/>
      </c>
      <c r="G94" s="15" t="str">
        <f aca="false">IF($A94="","",COUNTIFS(예약내역!$B$3:$B$2002,$A94,예약내역!$N$3:$N$2002,"중복",예약내역!$A$3:$A$2002,"&gt;="&amp;DATE($B$3,$D$3,1),예약내역!$A$3:$A$2002,"&lt;="&amp;EOMONTH(DATE($B$3,$D$3,1),0)))</f>
        <v/>
      </c>
    </row>
    <row r="95" customFormat="false" ht="15" hidden="false" customHeight="true" outlineLevel="0" collapsed="false">
      <c r="A95" s="12" t="str">
        <f aca="false">IF(자원목록!$A92="","",자원목록!$A92)</f>
        <v/>
      </c>
      <c r="B95" s="12" t="str">
        <f aca="false">IF($A95="","",자원목록!$B92)</f>
        <v/>
      </c>
      <c r="C95" s="15" t="str">
        <f aca="false">IF($A95="","",COUNTIFS(예약내역!$B$3:$B$2002,$A95,예약내역!$J$3:$J$2002,"&lt;&gt;취소",예약내역!$A$3:$A$2002,"&gt;="&amp;DATE($B$3,$D$3,1),예약내역!$A$3:$A$2002,"&lt;="&amp;EOMONTH(DATE($B$3,$D$3,1),0)))</f>
        <v/>
      </c>
      <c r="D95" s="14" t="str">
        <f aca="false">IF($A95="","",ROUND(SUMIFS(예약내역!$H$3:$H$2002,예약내역!$B$3:$B$2002,$A95,예약내역!$J$3:$J$2002,"&lt;&gt;취소",예약내역!$A$3:$A$2002,"&gt;="&amp;DATE($B$3,$D$3,1),예약내역!$A$3:$A$2002,"&lt;="&amp;EOMONTH(DATE($B$3,$D$3,1),0)),2))</f>
        <v/>
      </c>
      <c r="E95" s="15" t="str">
        <f aca="false">IF($A95="","",COUNTIFS(예약내역!$B$3:$B$2002,$A95,예약내역!$J$3:$J$2002,"취소",예약내역!$A$3:$A$2002,"&gt;="&amp;DATE($B$3,$D$3,1),예약내역!$A$3:$A$2002,"&lt;="&amp;EOMONTH(DATE($B$3,$D$3,1),0)))</f>
        <v/>
      </c>
      <c r="F95" s="15" t="str">
        <f aca="false">IF($A95="","",COUNTIFS(예약내역!$B$3:$B$2002,$A95,예약내역!$J$3:$J$2002,"노쇼",예약내역!$A$3:$A$2002,"&gt;="&amp;DATE($B$3,$D$3,1),예약내역!$A$3:$A$2002,"&lt;="&amp;EOMONTH(DATE($B$3,$D$3,1),0)))</f>
        <v/>
      </c>
      <c r="G95" s="15" t="str">
        <f aca="false">IF($A95="","",COUNTIFS(예약내역!$B$3:$B$2002,$A95,예약내역!$N$3:$N$2002,"중복",예약내역!$A$3:$A$2002,"&gt;="&amp;DATE($B$3,$D$3,1),예약내역!$A$3:$A$2002,"&lt;="&amp;EOMONTH(DATE($B$3,$D$3,1),0)))</f>
        <v/>
      </c>
    </row>
    <row r="96" customFormat="false" ht="15" hidden="false" customHeight="true" outlineLevel="0" collapsed="false">
      <c r="A96" s="12" t="str">
        <f aca="false">IF(자원목록!$A93="","",자원목록!$A93)</f>
        <v/>
      </c>
      <c r="B96" s="12" t="str">
        <f aca="false">IF($A96="","",자원목록!$B93)</f>
        <v/>
      </c>
      <c r="C96" s="15" t="str">
        <f aca="false">IF($A96="","",COUNTIFS(예약내역!$B$3:$B$2002,$A96,예약내역!$J$3:$J$2002,"&lt;&gt;취소",예약내역!$A$3:$A$2002,"&gt;="&amp;DATE($B$3,$D$3,1),예약내역!$A$3:$A$2002,"&lt;="&amp;EOMONTH(DATE($B$3,$D$3,1),0)))</f>
        <v/>
      </c>
      <c r="D96" s="14" t="str">
        <f aca="false">IF($A96="","",ROUND(SUMIFS(예약내역!$H$3:$H$2002,예약내역!$B$3:$B$2002,$A96,예약내역!$J$3:$J$2002,"&lt;&gt;취소",예약내역!$A$3:$A$2002,"&gt;="&amp;DATE($B$3,$D$3,1),예약내역!$A$3:$A$2002,"&lt;="&amp;EOMONTH(DATE($B$3,$D$3,1),0)),2))</f>
        <v/>
      </c>
      <c r="E96" s="15" t="str">
        <f aca="false">IF($A96="","",COUNTIFS(예약내역!$B$3:$B$2002,$A96,예약내역!$J$3:$J$2002,"취소",예약내역!$A$3:$A$2002,"&gt;="&amp;DATE($B$3,$D$3,1),예약내역!$A$3:$A$2002,"&lt;="&amp;EOMONTH(DATE($B$3,$D$3,1),0)))</f>
        <v/>
      </c>
      <c r="F96" s="15" t="str">
        <f aca="false">IF($A96="","",COUNTIFS(예약내역!$B$3:$B$2002,$A96,예약내역!$J$3:$J$2002,"노쇼",예약내역!$A$3:$A$2002,"&gt;="&amp;DATE($B$3,$D$3,1),예약내역!$A$3:$A$2002,"&lt;="&amp;EOMONTH(DATE($B$3,$D$3,1),0)))</f>
        <v/>
      </c>
      <c r="G96" s="15" t="str">
        <f aca="false">IF($A96="","",COUNTIFS(예약내역!$B$3:$B$2002,$A96,예약내역!$N$3:$N$2002,"중복",예약내역!$A$3:$A$2002,"&gt;="&amp;DATE($B$3,$D$3,1),예약내역!$A$3:$A$2002,"&lt;="&amp;EOMONTH(DATE($B$3,$D$3,1),0)))</f>
        <v/>
      </c>
    </row>
    <row r="97" customFormat="false" ht="15" hidden="false" customHeight="true" outlineLevel="0" collapsed="false">
      <c r="A97" s="12" t="str">
        <f aca="false">IF(자원목록!$A94="","",자원목록!$A94)</f>
        <v/>
      </c>
      <c r="B97" s="12" t="str">
        <f aca="false">IF($A97="","",자원목록!$B94)</f>
        <v/>
      </c>
      <c r="C97" s="15" t="str">
        <f aca="false">IF($A97="","",COUNTIFS(예약내역!$B$3:$B$2002,$A97,예약내역!$J$3:$J$2002,"&lt;&gt;취소",예약내역!$A$3:$A$2002,"&gt;="&amp;DATE($B$3,$D$3,1),예약내역!$A$3:$A$2002,"&lt;="&amp;EOMONTH(DATE($B$3,$D$3,1),0)))</f>
        <v/>
      </c>
      <c r="D97" s="14" t="str">
        <f aca="false">IF($A97="","",ROUND(SUMIFS(예약내역!$H$3:$H$2002,예약내역!$B$3:$B$2002,$A97,예약내역!$J$3:$J$2002,"&lt;&gt;취소",예약내역!$A$3:$A$2002,"&gt;="&amp;DATE($B$3,$D$3,1),예약내역!$A$3:$A$2002,"&lt;="&amp;EOMONTH(DATE($B$3,$D$3,1),0)),2))</f>
        <v/>
      </c>
      <c r="E97" s="15" t="str">
        <f aca="false">IF($A97="","",COUNTIFS(예약내역!$B$3:$B$2002,$A97,예약내역!$J$3:$J$2002,"취소",예약내역!$A$3:$A$2002,"&gt;="&amp;DATE($B$3,$D$3,1),예약내역!$A$3:$A$2002,"&lt;="&amp;EOMONTH(DATE($B$3,$D$3,1),0)))</f>
        <v/>
      </c>
      <c r="F97" s="15" t="str">
        <f aca="false">IF($A97="","",COUNTIFS(예약내역!$B$3:$B$2002,$A97,예약내역!$J$3:$J$2002,"노쇼",예약내역!$A$3:$A$2002,"&gt;="&amp;DATE($B$3,$D$3,1),예약내역!$A$3:$A$2002,"&lt;="&amp;EOMONTH(DATE($B$3,$D$3,1),0)))</f>
        <v/>
      </c>
      <c r="G97" s="15" t="str">
        <f aca="false">IF($A97="","",COUNTIFS(예약내역!$B$3:$B$2002,$A97,예약내역!$N$3:$N$2002,"중복",예약내역!$A$3:$A$2002,"&gt;="&amp;DATE($B$3,$D$3,1),예약내역!$A$3:$A$2002,"&lt;="&amp;EOMONTH(DATE($B$3,$D$3,1),0)))</f>
        <v/>
      </c>
    </row>
    <row r="98" customFormat="false" ht="15" hidden="false" customHeight="true" outlineLevel="0" collapsed="false">
      <c r="A98" s="12" t="str">
        <f aca="false">IF(자원목록!$A95="","",자원목록!$A95)</f>
        <v/>
      </c>
      <c r="B98" s="12" t="str">
        <f aca="false">IF($A98="","",자원목록!$B95)</f>
        <v/>
      </c>
      <c r="C98" s="15" t="str">
        <f aca="false">IF($A98="","",COUNTIFS(예약내역!$B$3:$B$2002,$A98,예약내역!$J$3:$J$2002,"&lt;&gt;취소",예약내역!$A$3:$A$2002,"&gt;="&amp;DATE($B$3,$D$3,1),예약내역!$A$3:$A$2002,"&lt;="&amp;EOMONTH(DATE($B$3,$D$3,1),0)))</f>
        <v/>
      </c>
      <c r="D98" s="14" t="str">
        <f aca="false">IF($A98="","",ROUND(SUMIFS(예약내역!$H$3:$H$2002,예약내역!$B$3:$B$2002,$A98,예약내역!$J$3:$J$2002,"&lt;&gt;취소",예약내역!$A$3:$A$2002,"&gt;="&amp;DATE($B$3,$D$3,1),예약내역!$A$3:$A$2002,"&lt;="&amp;EOMONTH(DATE($B$3,$D$3,1),0)),2))</f>
        <v/>
      </c>
      <c r="E98" s="15" t="str">
        <f aca="false">IF($A98="","",COUNTIFS(예약내역!$B$3:$B$2002,$A98,예약내역!$J$3:$J$2002,"취소",예약내역!$A$3:$A$2002,"&gt;="&amp;DATE($B$3,$D$3,1),예약내역!$A$3:$A$2002,"&lt;="&amp;EOMONTH(DATE($B$3,$D$3,1),0)))</f>
        <v/>
      </c>
      <c r="F98" s="15" t="str">
        <f aca="false">IF($A98="","",COUNTIFS(예약내역!$B$3:$B$2002,$A98,예약내역!$J$3:$J$2002,"노쇼",예약내역!$A$3:$A$2002,"&gt;="&amp;DATE($B$3,$D$3,1),예약내역!$A$3:$A$2002,"&lt;="&amp;EOMONTH(DATE($B$3,$D$3,1),0)))</f>
        <v/>
      </c>
      <c r="G98" s="15" t="str">
        <f aca="false">IF($A98="","",COUNTIFS(예약내역!$B$3:$B$2002,$A98,예약내역!$N$3:$N$2002,"중복",예약내역!$A$3:$A$2002,"&gt;="&amp;DATE($B$3,$D$3,1),예약내역!$A$3:$A$2002,"&lt;="&amp;EOMONTH(DATE($B$3,$D$3,1),0)))</f>
        <v/>
      </c>
    </row>
    <row r="99" customFormat="false" ht="15" hidden="false" customHeight="true" outlineLevel="0" collapsed="false">
      <c r="A99" s="12" t="str">
        <f aca="false">IF(자원목록!$A96="","",자원목록!$A96)</f>
        <v/>
      </c>
      <c r="B99" s="12" t="str">
        <f aca="false">IF($A99="","",자원목록!$B96)</f>
        <v/>
      </c>
      <c r="C99" s="15" t="str">
        <f aca="false">IF($A99="","",COUNTIFS(예약내역!$B$3:$B$2002,$A99,예약내역!$J$3:$J$2002,"&lt;&gt;취소",예약내역!$A$3:$A$2002,"&gt;="&amp;DATE($B$3,$D$3,1),예약내역!$A$3:$A$2002,"&lt;="&amp;EOMONTH(DATE($B$3,$D$3,1),0)))</f>
        <v/>
      </c>
      <c r="D99" s="14" t="str">
        <f aca="false">IF($A99="","",ROUND(SUMIFS(예약내역!$H$3:$H$2002,예약내역!$B$3:$B$2002,$A99,예약내역!$J$3:$J$2002,"&lt;&gt;취소",예약내역!$A$3:$A$2002,"&gt;="&amp;DATE($B$3,$D$3,1),예약내역!$A$3:$A$2002,"&lt;="&amp;EOMONTH(DATE($B$3,$D$3,1),0)),2))</f>
        <v/>
      </c>
      <c r="E99" s="15" t="str">
        <f aca="false">IF($A99="","",COUNTIFS(예약내역!$B$3:$B$2002,$A99,예약내역!$J$3:$J$2002,"취소",예약내역!$A$3:$A$2002,"&gt;="&amp;DATE($B$3,$D$3,1),예약내역!$A$3:$A$2002,"&lt;="&amp;EOMONTH(DATE($B$3,$D$3,1),0)))</f>
        <v/>
      </c>
      <c r="F99" s="15" t="str">
        <f aca="false">IF($A99="","",COUNTIFS(예약내역!$B$3:$B$2002,$A99,예약내역!$J$3:$J$2002,"노쇼",예약내역!$A$3:$A$2002,"&gt;="&amp;DATE($B$3,$D$3,1),예약내역!$A$3:$A$2002,"&lt;="&amp;EOMONTH(DATE($B$3,$D$3,1),0)))</f>
        <v/>
      </c>
      <c r="G99" s="15" t="str">
        <f aca="false">IF($A99="","",COUNTIFS(예약내역!$B$3:$B$2002,$A99,예약내역!$N$3:$N$2002,"중복",예약내역!$A$3:$A$2002,"&gt;="&amp;DATE($B$3,$D$3,1),예약내역!$A$3:$A$2002,"&lt;="&amp;EOMONTH(DATE($B$3,$D$3,1),0)))</f>
        <v/>
      </c>
    </row>
    <row r="100" customFormat="false" ht="15" hidden="false" customHeight="true" outlineLevel="0" collapsed="false">
      <c r="A100" s="12" t="str">
        <f aca="false">IF(자원목록!$A97="","",자원목록!$A97)</f>
        <v/>
      </c>
      <c r="B100" s="12" t="str">
        <f aca="false">IF($A100="","",자원목록!$B97)</f>
        <v/>
      </c>
      <c r="C100" s="15" t="str">
        <f aca="false">IF($A100="","",COUNTIFS(예약내역!$B$3:$B$2002,$A100,예약내역!$J$3:$J$2002,"&lt;&gt;취소",예약내역!$A$3:$A$2002,"&gt;="&amp;DATE($B$3,$D$3,1),예약내역!$A$3:$A$2002,"&lt;="&amp;EOMONTH(DATE($B$3,$D$3,1),0)))</f>
        <v/>
      </c>
      <c r="D100" s="14" t="str">
        <f aca="false">IF($A100="","",ROUND(SUMIFS(예약내역!$H$3:$H$2002,예약내역!$B$3:$B$2002,$A100,예약내역!$J$3:$J$2002,"&lt;&gt;취소",예약내역!$A$3:$A$2002,"&gt;="&amp;DATE($B$3,$D$3,1),예약내역!$A$3:$A$2002,"&lt;="&amp;EOMONTH(DATE($B$3,$D$3,1),0)),2))</f>
        <v/>
      </c>
      <c r="E100" s="15" t="str">
        <f aca="false">IF($A100="","",COUNTIFS(예약내역!$B$3:$B$2002,$A100,예약내역!$J$3:$J$2002,"취소",예약내역!$A$3:$A$2002,"&gt;="&amp;DATE($B$3,$D$3,1),예약내역!$A$3:$A$2002,"&lt;="&amp;EOMONTH(DATE($B$3,$D$3,1),0)))</f>
        <v/>
      </c>
      <c r="F100" s="15" t="str">
        <f aca="false">IF($A100="","",COUNTIFS(예약내역!$B$3:$B$2002,$A100,예약내역!$J$3:$J$2002,"노쇼",예약내역!$A$3:$A$2002,"&gt;="&amp;DATE($B$3,$D$3,1),예약내역!$A$3:$A$2002,"&lt;="&amp;EOMONTH(DATE($B$3,$D$3,1),0)))</f>
        <v/>
      </c>
      <c r="G100" s="15" t="str">
        <f aca="false">IF($A100="","",COUNTIFS(예약내역!$B$3:$B$2002,$A100,예약내역!$N$3:$N$2002,"중복",예약내역!$A$3:$A$2002,"&gt;="&amp;DATE($B$3,$D$3,1),예약내역!$A$3:$A$2002,"&lt;="&amp;EOMONTH(DATE($B$3,$D$3,1),0)))</f>
        <v/>
      </c>
    </row>
    <row r="101" customFormat="false" ht="15" hidden="false" customHeight="true" outlineLevel="0" collapsed="false">
      <c r="A101" s="12" t="str">
        <f aca="false">IF(자원목록!$A98="","",자원목록!$A98)</f>
        <v/>
      </c>
      <c r="B101" s="12" t="str">
        <f aca="false">IF($A101="","",자원목록!$B98)</f>
        <v/>
      </c>
      <c r="C101" s="15" t="str">
        <f aca="false">IF($A101="","",COUNTIFS(예약내역!$B$3:$B$2002,$A101,예약내역!$J$3:$J$2002,"&lt;&gt;취소",예약내역!$A$3:$A$2002,"&gt;="&amp;DATE($B$3,$D$3,1),예약내역!$A$3:$A$2002,"&lt;="&amp;EOMONTH(DATE($B$3,$D$3,1),0)))</f>
        <v/>
      </c>
      <c r="D101" s="14" t="str">
        <f aca="false">IF($A101="","",ROUND(SUMIFS(예약내역!$H$3:$H$2002,예약내역!$B$3:$B$2002,$A101,예약내역!$J$3:$J$2002,"&lt;&gt;취소",예약내역!$A$3:$A$2002,"&gt;="&amp;DATE($B$3,$D$3,1),예약내역!$A$3:$A$2002,"&lt;="&amp;EOMONTH(DATE($B$3,$D$3,1),0)),2))</f>
        <v/>
      </c>
      <c r="E101" s="15" t="str">
        <f aca="false">IF($A101="","",COUNTIFS(예약내역!$B$3:$B$2002,$A101,예약내역!$J$3:$J$2002,"취소",예약내역!$A$3:$A$2002,"&gt;="&amp;DATE($B$3,$D$3,1),예약내역!$A$3:$A$2002,"&lt;="&amp;EOMONTH(DATE($B$3,$D$3,1),0)))</f>
        <v/>
      </c>
      <c r="F101" s="15" t="str">
        <f aca="false">IF($A101="","",COUNTIFS(예약내역!$B$3:$B$2002,$A101,예약내역!$J$3:$J$2002,"노쇼",예약내역!$A$3:$A$2002,"&gt;="&amp;DATE($B$3,$D$3,1),예약내역!$A$3:$A$2002,"&lt;="&amp;EOMONTH(DATE($B$3,$D$3,1),0)))</f>
        <v/>
      </c>
      <c r="G101" s="15" t="str">
        <f aca="false">IF($A101="","",COUNTIFS(예약내역!$B$3:$B$2002,$A101,예약내역!$N$3:$N$2002,"중복",예약내역!$A$3:$A$2002,"&gt;="&amp;DATE($B$3,$D$3,1),예약내역!$A$3:$A$2002,"&lt;="&amp;EOMONTH(DATE($B$3,$D$3,1),0)))</f>
        <v/>
      </c>
    </row>
    <row r="102" customFormat="false" ht="15" hidden="false" customHeight="true" outlineLevel="0" collapsed="false">
      <c r="A102" s="12" t="str">
        <f aca="false">IF(자원목록!$A99="","",자원목록!$A99)</f>
        <v/>
      </c>
      <c r="B102" s="12" t="str">
        <f aca="false">IF($A102="","",자원목록!$B99)</f>
        <v/>
      </c>
      <c r="C102" s="15" t="str">
        <f aca="false">IF($A102="","",COUNTIFS(예약내역!$B$3:$B$2002,$A102,예약내역!$J$3:$J$2002,"&lt;&gt;취소",예약내역!$A$3:$A$2002,"&gt;="&amp;DATE($B$3,$D$3,1),예약내역!$A$3:$A$2002,"&lt;="&amp;EOMONTH(DATE($B$3,$D$3,1),0)))</f>
        <v/>
      </c>
      <c r="D102" s="14" t="str">
        <f aca="false">IF($A102="","",ROUND(SUMIFS(예약내역!$H$3:$H$2002,예약내역!$B$3:$B$2002,$A102,예약내역!$J$3:$J$2002,"&lt;&gt;취소",예약내역!$A$3:$A$2002,"&gt;="&amp;DATE($B$3,$D$3,1),예약내역!$A$3:$A$2002,"&lt;="&amp;EOMONTH(DATE($B$3,$D$3,1),0)),2))</f>
        <v/>
      </c>
      <c r="E102" s="15" t="str">
        <f aca="false">IF($A102="","",COUNTIFS(예약내역!$B$3:$B$2002,$A102,예약내역!$J$3:$J$2002,"취소",예약내역!$A$3:$A$2002,"&gt;="&amp;DATE($B$3,$D$3,1),예약내역!$A$3:$A$2002,"&lt;="&amp;EOMONTH(DATE($B$3,$D$3,1),0)))</f>
        <v/>
      </c>
      <c r="F102" s="15" t="str">
        <f aca="false">IF($A102="","",COUNTIFS(예약내역!$B$3:$B$2002,$A102,예약내역!$J$3:$J$2002,"노쇼",예약내역!$A$3:$A$2002,"&gt;="&amp;DATE($B$3,$D$3,1),예약내역!$A$3:$A$2002,"&lt;="&amp;EOMONTH(DATE($B$3,$D$3,1),0)))</f>
        <v/>
      </c>
      <c r="G102" s="15" t="str">
        <f aca="false">IF($A102="","",COUNTIFS(예약내역!$B$3:$B$2002,$A102,예약내역!$N$3:$N$2002,"중복",예약내역!$A$3:$A$2002,"&gt;="&amp;DATE($B$3,$D$3,1),예약내역!$A$3:$A$2002,"&lt;="&amp;EOMONTH(DATE($B$3,$D$3,1),0)))</f>
        <v/>
      </c>
    </row>
    <row r="103" customFormat="false" ht="15" hidden="false" customHeight="true" outlineLevel="0" collapsed="false">
      <c r="A103" s="12" t="str">
        <f aca="false">IF(자원목록!$A100="","",자원목록!$A100)</f>
        <v/>
      </c>
      <c r="B103" s="12" t="str">
        <f aca="false">IF($A103="","",자원목록!$B100)</f>
        <v/>
      </c>
      <c r="C103" s="15" t="str">
        <f aca="false">IF($A103="","",COUNTIFS(예약내역!$B$3:$B$2002,$A103,예약내역!$J$3:$J$2002,"&lt;&gt;취소",예약내역!$A$3:$A$2002,"&gt;="&amp;DATE($B$3,$D$3,1),예약내역!$A$3:$A$2002,"&lt;="&amp;EOMONTH(DATE($B$3,$D$3,1),0)))</f>
        <v/>
      </c>
      <c r="D103" s="14" t="str">
        <f aca="false">IF($A103="","",ROUND(SUMIFS(예약내역!$H$3:$H$2002,예약내역!$B$3:$B$2002,$A103,예약내역!$J$3:$J$2002,"&lt;&gt;취소",예약내역!$A$3:$A$2002,"&gt;="&amp;DATE($B$3,$D$3,1),예약내역!$A$3:$A$2002,"&lt;="&amp;EOMONTH(DATE($B$3,$D$3,1),0)),2))</f>
        <v/>
      </c>
      <c r="E103" s="15" t="str">
        <f aca="false">IF($A103="","",COUNTIFS(예약내역!$B$3:$B$2002,$A103,예약내역!$J$3:$J$2002,"취소",예약내역!$A$3:$A$2002,"&gt;="&amp;DATE($B$3,$D$3,1),예약내역!$A$3:$A$2002,"&lt;="&amp;EOMONTH(DATE($B$3,$D$3,1),0)))</f>
        <v/>
      </c>
      <c r="F103" s="15" t="str">
        <f aca="false">IF($A103="","",COUNTIFS(예약내역!$B$3:$B$2002,$A103,예약내역!$J$3:$J$2002,"노쇼",예약내역!$A$3:$A$2002,"&gt;="&amp;DATE($B$3,$D$3,1),예약내역!$A$3:$A$2002,"&lt;="&amp;EOMONTH(DATE($B$3,$D$3,1),0)))</f>
        <v/>
      </c>
      <c r="G103" s="15" t="str">
        <f aca="false">IF($A103="","",COUNTIFS(예약내역!$B$3:$B$2002,$A103,예약내역!$N$3:$N$2002,"중복",예약내역!$A$3:$A$2002,"&gt;="&amp;DATE($B$3,$D$3,1),예약내역!$A$3:$A$2002,"&lt;="&amp;EOMONTH(DATE($B$3,$D$3,1),0)))</f>
        <v/>
      </c>
    </row>
    <row r="104" customFormat="false" ht="15" hidden="false" customHeight="true" outlineLevel="0" collapsed="false">
      <c r="A104" s="12" t="str">
        <f aca="false">IF(자원목록!$A101="","",자원목록!$A101)</f>
        <v/>
      </c>
      <c r="B104" s="12" t="str">
        <f aca="false">IF($A104="","",자원목록!$B101)</f>
        <v/>
      </c>
      <c r="C104" s="15" t="str">
        <f aca="false">IF($A104="","",COUNTIFS(예약내역!$B$3:$B$2002,$A104,예약내역!$J$3:$J$2002,"&lt;&gt;취소",예약내역!$A$3:$A$2002,"&gt;="&amp;DATE($B$3,$D$3,1),예약내역!$A$3:$A$2002,"&lt;="&amp;EOMONTH(DATE($B$3,$D$3,1),0)))</f>
        <v/>
      </c>
      <c r="D104" s="14" t="str">
        <f aca="false">IF($A104="","",ROUND(SUMIFS(예약내역!$H$3:$H$2002,예약내역!$B$3:$B$2002,$A104,예약내역!$J$3:$J$2002,"&lt;&gt;취소",예약내역!$A$3:$A$2002,"&gt;="&amp;DATE($B$3,$D$3,1),예약내역!$A$3:$A$2002,"&lt;="&amp;EOMONTH(DATE($B$3,$D$3,1),0)),2))</f>
        <v/>
      </c>
      <c r="E104" s="15" t="str">
        <f aca="false">IF($A104="","",COUNTIFS(예약내역!$B$3:$B$2002,$A104,예약내역!$J$3:$J$2002,"취소",예약내역!$A$3:$A$2002,"&gt;="&amp;DATE($B$3,$D$3,1),예약내역!$A$3:$A$2002,"&lt;="&amp;EOMONTH(DATE($B$3,$D$3,1),0)))</f>
        <v/>
      </c>
      <c r="F104" s="15" t="str">
        <f aca="false">IF($A104="","",COUNTIFS(예약내역!$B$3:$B$2002,$A104,예약내역!$J$3:$J$2002,"노쇼",예약내역!$A$3:$A$2002,"&gt;="&amp;DATE($B$3,$D$3,1),예약내역!$A$3:$A$2002,"&lt;="&amp;EOMONTH(DATE($B$3,$D$3,1),0)))</f>
        <v/>
      </c>
      <c r="G104" s="15" t="str">
        <f aca="false">IF($A104="","",COUNTIFS(예약내역!$B$3:$B$2002,$A104,예약내역!$N$3:$N$2002,"중복",예약내역!$A$3:$A$2002,"&gt;="&amp;DATE($B$3,$D$3,1),예약내역!$A$3:$A$2002,"&lt;="&amp;EOMONTH(DATE($B$3,$D$3,1),0)))</f>
        <v/>
      </c>
    </row>
    <row r="105" customFormat="false" ht="15" hidden="false" customHeight="true" outlineLevel="0" collapsed="false">
      <c r="A105" s="12" t="str">
        <f aca="false">IF(자원목록!$A102="","",자원목록!$A102)</f>
        <v/>
      </c>
      <c r="B105" s="12" t="str">
        <f aca="false">IF($A105="","",자원목록!$B102)</f>
        <v/>
      </c>
      <c r="C105" s="15" t="str">
        <f aca="false">IF($A105="","",COUNTIFS(예약내역!$B$3:$B$2002,$A105,예약내역!$J$3:$J$2002,"&lt;&gt;취소",예약내역!$A$3:$A$2002,"&gt;="&amp;DATE($B$3,$D$3,1),예약내역!$A$3:$A$2002,"&lt;="&amp;EOMONTH(DATE($B$3,$D$3,1),0)))</f>
        <v/>
      </c>
      <c r="D105" s="14" t="str">
        <f aca="false">IF($A105="","",ROUND(SUMIFS(예약내역!$H$3:$H$2002,예약내역!$B$3:$B$2002,$A105,예약내역!$J$3:$J$2002,"&lt;&gt;취소",예약내역!$A$3:$A$2002,"&gt;="&amp;DATE($B$3,$D$3,1),예약내역!$A$3:$A$2002,"&lt;="&amp;EOMONTH(DATE($B$3,$D$3,1),0)),2))</f>
        <v/>
      </c>
      <c r="E105" s="15" t="str">
        <f aca="false">IF($A105="","",COUNTIFS(예약내역!$B$3:$B$2002,$A105,예약내역!$J$3:$J$2002,"취소",예약내역!$A$3:$A$2002,"&gt;="&amp;DATE($B$3,$D$3,1),예약내역!$A$3:$A$2002,"&lt;="&amp;EOMONTH(DATE($B$3,$D$3,1),0)))</f>
        <v/>
      </c>
      <c r="F105" s="15" t="str">
        <f aca="false">IF($A105="","",COUNTIFS(예약내역!$B$3:$B$2002,$A105,예약내역!$J$3:$J$2002,"노쇼",예약내역!$A$3:$A$2002,"&gt;="&amp;DATE($B$3,$D$3,1),예약내역!$A$3:$A$2002,"&lt;="&amp;EOMONTH(DATE($B$3,$D$3,1),0)))</f>
        <v/>
      </c>
      <c r="G105" s="15" t="str">
        <f aca="false">IF($A105="","",COUNTIFS(예약내역!$B$3:$B$2002,$A105,예약내역!$N$3:$N$2002,"중복",예약내역!$A$3:$A$2002,"&gt;="&amp;DATE($B$3,$D$3,1),예약내역!$A$3:$A$2002,"&lt;="&amp;EOMONTH(DATE($B$3,$D$3,1),0)))</f>
        <v/>
      </c>
    </row>
    <row r="107" customFormat="false" ht="15" hidden="false" customHeight="true" outlineLevel="0" collapsed="false">
      <c r="B107" s="23" t="s">
        <v>83</v>
      </c>
      <c r="C107" s="24" t="n">
        <f aca="false">SUM(C6:C105)</f>
        <v>7</v>
      </c>
      <c r="D107" s="25" t="n">
        <f aca="false">SUM(D6:D105)</f>
        <v>15.5</v>
      </c>
      <c r="E107" s="24" t="n">
        <f aca="false">SUM(E6:E105)</f>
        <v>1</v>
      </c>
      <c r="F107" s="24" t="n">
        <f aca="false">SUM(F6:F105)</f>
        <v>1</v>
      </c>
      <c r="G107" s="24" t="n">
        <f aca="false">SUM(G6:G105)</f>
        <v>2</v>
      </c>
    </row>
  </sheetData>
  <mergeCells count="1">
    <mergeCell ref="A1:G1"/>
  </mergeCells>
  <conditionalFormatting sqref="A6:G105">
    <cfRule type="expression" priority="2" aboveAverage="0" equalAverage="0" bottom="0" percent="0" rank="0" text="" dxfId="0">
      <formula>AND($A6&lt;&gt;"",$G6&gt;0)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5" min="2" style="1" width="12"/>
    <col collapsed="false" customWidth="true" hidden="false" outlineLevel="0" max="6" min="6" style="1" width="15"/>
    <col collapsed="false" customWidth="true" hidden="false" outlineLevel="0" max="7" min="7" style="1" width="12"/>
  </cols>
  <sheetData>
    <row r="1" customFormat="false" ht="25.5" hidden="false" customHeight="true" outlineLevel="0" collapsed="false">
      <c r="A1" s="2" t="s">
        <v>84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76</v>
      </c>
      <c r="B3" s="22" t="n">
        <v>2026</v>
      </c>
    </row>
    <row r="5" customFormat="false" ht="15" hidden="false" customHeight="true" outlineLevel="0" collapsed="false">
      <c r="A5" s="6" t="s">
        <v>85</v>
      </c>
      <c r="B5" s="6" t="s">
        <v>86</v>
      </c>
      <c r="C5" s="6" t="s">
        <v>87</v>
      </c>
      <c r="D5" s="6" t="s">
        <v>80</v>
      </c>
      <c r="E5" s="6" t="s">
        <v>81</v>
      </c>
      <c r="F5" s="6" t="s">
        <v>79</v>
      </c>
      <c r="G5" s="6" t="s">
        <v>88</v>
      </c>
    </row>
    <row r="6" customFormat="false" ht="15" hidden="false" customHeight="true" outlineLevel="0" collapsed="false">
      <c r="A6" s="15" t="n">
        <v>1</v>
      </c>
      <c r="B6" s="15" t="n">
        <f aca="false">COUNTIFS(예약내역!$A$3:$A$2002,"&gt;="&amp;DATE($B$3,1,1),예약내역!$A$3:$A$2002,"&lt;="&amp;EOMONTH(DATE($B$3,1,1),0))</f>
        <v>0</v>
      </c>
      <c r="C6" s="15" t="n">
        <f aca="false">COUNTIFS(예약내역!$J$3:$J$2002,"완료",예약내역!$A$3:$A$2002,"&gt;="&amp;DATE($B$3,1,1),예약내역!$A$3:$A$2002,"&lt;="&amp;EOMONTH(DATE($B$3,1,1),0))</f>
        <v>0</v>
      </c>
      <c r="D6" s="15" t="n">
        <f aca="false">COUNTIFS(예약내역!$J$3:$J$2002,"취소",예약내역!$A$3:$A$2002,"&gt;="&amp;DATE($B$3,1,1),예약내역!$A$3:$A$2002,"&lt;="&amp;EOMONTH(DATE($B$3,1,1),0))</f>
        <v>0</v>
      </c>
      <c r="E6" s="15" t="n">
        <f aca="false">COUNTIFS(예약내역!$J$3:$J$2002,"노쇼",예약내역!$A$3:$A$2002,"&gt;="&amp;DATE($B$3,1,1),예약내역!$A$3:$A$2002,"&lt;="&amp;EOMONTH(DATE($B$3,1,1),0))</f>
        <v>0</v>
      </c>
      <c r="F6" s="14" t="n">
        <f aca="false">ROUND(SUMIFS(예약내역!$H$3:$H$2002,예약내역!$J$3:$J$2002,"&lt;&gt;취소",예약내역!$A$3:$A$2002,"&gt;="&amp;DATE($B$3,1,1),예약내역!$A$3:$A$2002,"&lt;="&amp;EOMONTH(DATE($B$3,1,1),0)),2)</f>
        <v>0</v>
      </c>
      <c r="G6" s="26" t="str">
        <f aca="false">IF($B6=0,"",$E6/$B6)</f>
        <v/>
      </c>
    </row>
    <row r="7" customFormat="false" ht="15" hidden="false" customHeight="true" outlineLevel="0" collapsed="false">
      <c r="A7" s="15" t="n">
        <v>2</v>
      </c>
      <c r="B7" s="15" t="n">
        <f aca="false">COUNTIFS(예약내역!$A$3:$A$2002,"&gt;="&amp;DATE($B$3,2,1),예약내역!$A$3:$A$2002,"&lt;="&amp;EOMONTH(DATE($B$3,2,1),0))</f>
        <v>0</v>
      </c>
      <c r="C7" s="15" t="n">
        <f aca="false">COUNTIFS(예약내역!$J$3:$J$2002,"완료",예약내역!$A$3:$A$2002,"&gt;="&amp;DATE($B$3,2,1),예약내역!$A$3:$A$2002,"&lt;="&amp;EOMONTH(DATE($B$3,2,1),0))</f>
        <v>0</v>
      </c>
      <c r="D7" s="15" t="n">
        <f aca="false">COUNTIFS(예약내역!$J$3:$J$2002,"취소",예약내역!$A$3:$A$2002,"&gt;="&amp;DATE($B$3,2,1),예약내역!$A$3:$A$2002,"&lt;="&amp;EOMONTH(DATE($B$3,2,1),0))</f>
        <v>0</v>
      </c>
      <c r="E7" s="15" t="n">
        <f aca="false">COUNTIFS(예약내역!$J$3:$J$2002,"노쇼",예약내역!$A$3:$A$2002,"&gt;="&amp;DATE($B$3,2,1),예약내역!$A$3:$A$2002,"&lt;="&amp;EOMONTH(DATE($B$3,2,1),0))</f>
        <v>0</v>
      </c>
      <c r="F7" s="14" t="n">
        <f aca="false">ROUND(SUMIFS(예약내역!$H$3:$H$2002,예약내역!$J$3:$J$2002,"&lt;&gt;취소",예약내역!$A$3:$A$2002,"&gt;="&amp;DATE($B$3,2,1),예약내역!$A$3:$A$2002,"&lt;="&amp;EOMONTH(DATE($B$3,2,1),0)),2)</f>
        <v>0</v>
      </c>
      <c r="G7" s="26" t="str">
        <f aca="false">IF($B7=0,"",$E7/$B7)</f>
        <v/>
      </c>
    </row>
    <row r="8" customFormat="false" ht="15" hidden="false" customHeight="true" outlineLevel="0" collapsed="false">
      <c r="A8" s="15" t="n">
        <v>3</v>
      </c>
      <c r="B8" s="15" t="n">
        <f aca="false">COUNTIFS(예약내역!$A$3:$A$2002,"&gt;="&amp;DATE($B$3,3,1),예약내역!$A$3:$A$2002,"&lt;="&amp;EOMONTH(DATE($B$3,3,1),0))</f>
        <v>0</v>
      </c>
      <c r="C8" s="15" t="n">
        <f aca="false">COUNTIFS(예약내역!$J$3:$J$2002,"완료",예약내역!$A$3:$A$2002,"&gt;="&amp;DATE($B$3,3,1),예약내역!$A$3:$A$2002,"&lt;="&amp;EOMONTH(DATE($B$3,3,1),0))</f>
        <v>0</v>
      </c>
      <c r="D8" s="15" t="n">
        <f aca="false">COUNTIFS(예약내역!$J$3:$J$2002,"취소",예약내역!$A$3:$A$2002,"&gt;="&amp;DATE($B$3,3,1),예약내역!$A$3:$A$2002,"&lt;="&amp;EOMONTH(DATE($B$3,3,1),0))</f>
        <v>0</v>
      </c>
      <c r="E8" s="15" t="n">
        <f aca="false">COUNTIFS(예약내역!$J$3:$J$2002,"노쇼",예약내역!$A$3:$A$2002,"&gt;="&amp;DATE($B$3,3,1),예약내역!$A$3:$A$2002,"&lt;="&amp;EOMONTH(DATE($B$3,3,1),0))</f>
        <v>0</v>
      </c>
      <c r="F8" s="14" t="n">
        <f aca="false">ROUND(SUMIFS(예약내역!$H$3:$H$2002,예약내역!$J$3:$J$2002,"&lt;&gt;취소",예약내역!$A$3:$A$2002,"&gt;="&amp;DATE($B$3,3,1),예약내역!$A$3:$A$2002,"&lt;="&amp;EOMONTH(DATE($B$3,3,1),0)),2)</f>
        <v>0</v>
      </c>
      <c r="G8" s="26" t="str">
        <f aca="false">IF($B8=0,"",$E8/$B8)</f>
        <v/>
      </c>
    </row>
    <row r="9" customFormat="false" ht="15" hidden="false" customHeight="true" outlineLevel="0" collapsed="false">
      <c r="A9" s="15" t="n">
        <v>4</v>
      </c>
      <c r="B9" s="15" t="n">
        <f aca="false">COUNTIFS(예약내역!$A$3:$A$2002,"&gt;="&amp;DATE($B$3,4,1),예약내역!$A$3:$A$2002,"&lt;="&amp;EOMONTH(DATE($B$3,4,1),0))</f>
        <v>0</v>
      </c>
      <c r="C9" s="15" t="n">
        <f aca="false">COUNTIFS(예약내역!$J$3:$J$2002,"완료",예약내역!$A$3:$A$2002,"&gt;="&amp;DATE($B$3,4,1),예약내역!$A$3:$A$2002,"&lt;="&amp;EOMONTH(DATE($B$3,4,1),0))</f>
        <v>0</v>
      </c>
      <c r="D9" s="15" t="n">
        <f aca="false">COUNTIFS(예약내역!$J$3:$J$2002,"취소",예약내역!$A$3:$A$2002,"&gt;="&amp;DATE($B$3,4,1),예약내역!$A$3:$A$2002,"&lt;="&amp;EOMONTH(DATE($B$3,4,1),0))</f>
        <v>0</v>
      </c>
      <c r="E9" s="15" t="n">
        <f aca="false">COUNTIFS(예약내역!$J$3:$J$2002,"노쇼",예약내역!$A$3:$A$2002,"&gt;="&amp;DATE($B$3,4,1),예약내역!$A$3:$A$2002,"&lt;="&amp;EOMONTH(DATE($B$3,4,1),0))</f>
        <v>0</v>
      </c>
      <c r="F9" s="14" t="n">
        <f aca="false">ROUND(SUMIFS(예약내역!$H$3:$H$2002,예약내역!$J$3:$J$2002,"&lt;&gt;취소",예약내역!$A$3:$A$2002,"&gt;="&amp;DATE($B$3,4,1),예약내역!$A$3:$A$2002,"&lt;="&amp;EOMONTH(DATE($B$3,4,1),0)),2)</f>
        <v>0</v>
      </c>
      <c r="G9" s="26" t="str">
        <f aca="false">IF($B9=0,"",$E9/$B9)</f>
        <v/>
      </c>
    </row>
    <row r="10" customFormat="false" ht="15" hidden="false" customHeight="true" outlineLevel="0" collapsed="false">
      <c r="A10" s="15" t="n">
        <v>5</v>
      </c>
      <c r="B10" s="15" t="n">
        <f aca="false">COUNTIFS(예약내역!$A$3:$A$2002,"&gt;="&amp;DATE($B$3,5,1),예약내역!$A$3:$A$2002,"&lt;="&amp;EOMONTH(DATE($B$3,5,1),0))</f>
        <v>0</v>
      </c>
      <c r="C10" s="15" t="n">
        <f aca="false">COUNTIFS(예약내역!$J$3:$J$2002,"완료",예약내역!$A$3:$A$2002,"&gt;="&amp;DATE($B$3,5,1),예약내역!$A$3:$A$2002,"&lt;="&amp;EOMONTH(DATE($B$3,5,1),0))</f>
        <v>0</v>
      </c>
      <c r="D10" s="15" t="n">
        <f aca="false">COUNTIFS(예약내역!$J$3:$J$2002,"취소",예약내역!$A$3:$A$2002,"&gt;="&amp;DATE($B$3,5,1),예약내역!$A$3:$A$2002,"&lt;="&amp;EOMONTH(DATE($B$3,5,1),0))</f>
        <v>0</v>
      </c>
      <c r="E10" s="15" t="n">
        <f aca="false">COUNTIFS(예약내역!$J$3:$J$2002,"노쇼",예약내역!$A$3:$A$2002,"&gt;="&amp;DATE($B$3,5,1),예약내역!$A$3:$A$2002,"&lt;="&amp;EOMONTH(DATE($B$3,5,1),0))</f>
        <v>0</v>
      </c>
      <c r="F10" s="14" t="n">
        <f aca="false">ROUND(SUMIFS(예약내역!$H$3:$H$2002,예약내역!$J$3:$J$2002,"&lt;&gt;취소",예약내역!$A$3:$A$2002,"&gt;="&amp;DATE($B$3,5,1),예약내역!$A$3:$A$2002,"&lt;="&amp;EOMONTH(DATE($B$3,5,1),0)),2)</f>
        <v>0</v>
      </c>
      <c r="G10" s="26" t="str">
        <f aca="false">IF($B10=0,"",$E10/$B10)</f>
        <v/>
      </c>
    </row>
    <row r="11" customFormat="false" ht="15" hidden="false" customHeight="true" outlineLevel="0" collapsed="false">
      <c r="A11" s="15" t="n">
        <v>6</v>
      </c>
      <c r="B11" s="15" t="n">
        <f aca="false">COUNTIFS(예약내역!$A$3:$A$2002,"&gt;="&amp;DATE($B$3,6,1),예약내역!$A$3:$A$2002,"&lt;="&amp;EOMONTH(DATE($B$3,6,1),0))</f>
        <v>0</v>
      </c>
      <c r="C11" s="15" t="n">
        <f aca="false">COUNTIFS(예약내역!$J$3:$J$2002,"완료",예약내역!$A$3:$A$2002,"&gt;="&amp;DATE($B$3,6,1),예약내역!$A$3:$A$2002,"&lt;="&amp;EOMONTH(DATE($B$3,6,1),0))</f>
        <v>0</v>
      </c>
      <c r="D11" s="15" t="n">
        <f aca="false">COUNTIFS(예약내역!$J$3:$J$2002,"취소",예약내역!$A$3:$A$2002,"&gt;="&amp;DATE($B$3,6,1),예약내역!$A$3:$A$2002,"&lt;="&amp;EOMONTH(DATE($B$3,6,1),0))</f>
        <v>0</v>
      </c>
      <c r="E11" s="15" t="n">
        <f aca="false">COUNTIFS(예약내역!$J$3:$J$2002,"노쇼",예약내역!$A$3:$A$2002,"&gt;="&amp;DATE($B$3,6,1),예약내역!$A$3:$A$2002,"&lt;="&amp;EOMONTH(DATE($B$3,6,1),0))</f>
        <v>0</v>
      </c>
      <c r="F11" s="14" t="n">
        <f aca="false">ROUND(SUMIFS(예약내역!$H$3:$H$2002,예약내역!$J$3:$J$2002,"&lt;&gt;취소",예약내역!$A$3:$A$2002,"&gt;="&amp;DATE($B$3,6,1),예약내역!$A$3:$A$2002,"&lt;="&amp;EOMONTH(DATE($B$3,6,1),0)),2)</f>
        <v>0</v>
      </c>
      <c r="G11" s="26" t="str">
        <f aca="false">IF($B11=0,"",$E11/$B11)</f>
        <v/>
      </c>
    </row>
    <row r="12" customFormat="false" ht="15" hidden="false" customHeight="true" outlineLevel="0" collapsed="false">
      <c r="A12" s="15" t="n">
        <v>7</v>
      </c>
      <c r="B12" s="15" t="n">
        <f aca="false">COUNTIFS(예약내역!$A$3:$A$2002,"&gt;="&amp;DATE($B$3,7,1),예약내역!$A$3:$A$2002,"&lt;="&amp;EOMONTH(DATE($B$3,7,1),0))</f>
        <v>0</v>
      </c>
      <c r="C12" s="15" t="n">
        <f aca="false">COUNTIFS(예약내역!$J$3:$J$2002,"완료",예약내역!$A$3:$A$2002,"&gt;="&amp;DATE($B$3,7,1),예약내역!$A$3:$A$2002,"&lt;="&amp;EOMONTH(DATE($B$3,7,1),0))</f>
        <v>0</v>
      </c>
      <c r="D12" s="15" t="n">
        <f aca="false">COUNTIFS(예약내역!$J$3:$J$2002,"취소",예약내역!$A$3:$A$2002,"&gt;="&amp;DATE($B$3,7,1),예약내역!$A$3:$A$2002,"&lt;="&amp;EOMONTH(DATE($B$3,7,1),0))</f>
        <v>0</v>
      </c>
      <c r="E12" s="15" t="n">
        <f aca="false">COUNTIFS(예약내역!$J$3:$J$2002,"노쇼",예약내역!$A$3:$A$2002,"&gt;="&amp;DATE($B$3,7,1),예약내역!$A$3:$A$2002,"&lt;="&amp;EOMONTH(DATE($B$3,7,1),0))</f>
        <v>0</v>
      </c>
      <c r="F12" s="14" t="n">
        <f aca="false">ROUND(SUMIFS(예약내역!$H$3:$H$2002,예약내역!$J$3:$J$2002,"&lt;&gt;취소",예약내역!$A$3:$A$2002,"&gt;="&amp;DATE($B$3,7,1),예약내역!$A$3:$A$2002,"&lt;="&amp;EOMONTH(DATE($B$3,7,1),0)),2)</f>
        <v>0</v>
      </c>
      <c r="G12" s="26" t="str">
        <f aca="false">IF($B12=0,"",$E12/$B12)</f>
        <v/>
      </c>
    </row>
    <row r="13" customFormat="false" ht="15" hidden="false" customHeight="true" outlineLevel="0" collapsed="false">
      <c r="A13" s="15" t="n">
        <v>8</v>
      </c>
      <c r="B13" s="15" t="n">
        <f aca="false">COUNTIFS(예약내역!$A$3:$A$2002,"&gt;="&amp;DATE($B$3,8,1),예약내역!$A$3:$A$2002,"&lt;="&amp;EOMONTH(DATE($B$3,8,1),0))</f>
        <v>0</v>
      </c>
      <c r="C13" s="15" t="n">
        <f aca="false">COUNTIFS(예약내역!$J$3:$J$2002,"완료",예약내역!$A$3:$A$2002,"&gt;="&amp;DATE($B$3,8,1),예약내역!$A$3:$A$2002,"&lt;="&amp;EOMONTH(DATE($B$3,8,1),0))</f>
        <v>0</v>
      </c>
      <c r="D13" s="15" t="n">
        <f aca="false">COUNTIFS(예약내역!$J$3:$J$2002,"취소",예약내역!$A$3:$A$2002,"&gt;="&amp;DATE($B$3,8,1),예약내역!$A$3:$A$2002,"&lt;="&amp;EOMONTH(DATE($B$3,8,1),0))</f>
        <v>0</v>
      </c>
      <c r="E13" s="15" t="n">
        <f aca="false">COUNTIFS(예약내역!$J$3:$J$2002,"노쇼",예약내역!$A$3:$A$2002,"&gt;="&amp;DATE($B$3,8,1),예약내역!$A$3:$A$2002,"&lt;="&amp;EOMONTH(DATE($B$3,8,1),0))</f>
        <v>0</v>
      </c>
      <c r="F13" s="14" t="n">
        <f aca="false">ROUND(SUMIFS(예약내역!$H$3:$H$2002,예약내역!$J$3:$J$2002,"&lt;&gt;취소",예약내역!$A$3:$A$2002,"&gt;="&amp;DATE($B$3,8,1),예약내역!$A$3:$A$2002,"&lt;="&amp;EOMONTH(DATE($B$3,8,1),0)),2)</f>
        <v>0</v>
      </c>
      <c r="G13" s="26" t="str">
        <f aca="false">IF($B13=0,"",$E13/$B13)</f>
        <v/>
      </c>
    </row>
    <row r="14" customFormat="false" ht="15" hidden="false" customHeight="true" outlineLevel="0" collapsed="false">
      <c r="A14" s="15" t="n">
        <v>9</v>
      </c>
      <c r="B14" s="15" t="n">
        <f aca="false">COUNTIFS(예약내역!$A$3:$A$2002,"&gt;="&amp;DATE($B$3,9,1),예약내역!$A$3:$A$2002,"&lt;="&amp;EOMONTH(DATE($B$3,9,1),0))</f>
        <v>8</v>
      </c>
      <c r="C14" s="15" t="n">
        <f aca="false">COUNTIFS(예약내역!$J$3:$J$2002,"완료",예약내역!$A$3:$A$2002,"&gt;="&amp;DATE($B$3,9,1),예약내역!$A$3:$A$2002,"&lt;="&amp;EOMONTH(DATE($B$3,9,1),0))</f>
        <v>1</v>
      </c>
      <c r="D14" s="15" t="n">
        <f aca="false">COUNTIFS(예약내역!$J$3:$J$2002,"취소",예약내역!$A$3:$A$2002,"&gt;="&amp;DATE($B$3,9,1),예약내역!$A$3:$A$2002,"&lt;="&amp;EOMONTH(DATE($B$3,9,1),0))</f>
        <v>1</v>
      </c>
      <c r="E14" s="15" t="n">
        <f aca="false">COUNTIFS(예약내역!$J$3:$J$2002,"노쇼",예약내역!$A$3:$A$2002,"&gt;="&amp;DATE($B$3,9,1),예약내역!$A$3:$A$2002,"&lt;="&amp;EOMONTH(DATE($B$3,9,1),0))</f>
        <v>1</v>
      </c>
      <c r="F14" s="14" t="n">
        <f aca="false">ROUND(SUMIFS(예약내역!$H$3:$H$2002,예약내역!$J$3:$J$2002,"&lt;&gt;취소",예약내역!$A$3:$A$2002,"&gt;="&amp;DATE($B$3,9,1),예약내역!$A$3:$A$2002,"&lt;="&amp;EOMONTH(DATE($B$3,9,1),0)),2)</f>
        <v>15.5</v>
      </c>
      <c r="G14" s="26" t="n">
        <f aca="false">IF($B14=0,"",$E14/$B14)</f>
        <v>0.125</v>
      </c>
    </row>
    <row r="15" customFormat="false" ht="15" hidden="false" customHeight="true" outlineLevel="0" collapsed="false">
      <c r="A15" s="15" t="n">
        <v>10</v>
      </c>
      <c r="B15" s="15" t="n">
        <f aca="false">COUNTIFS(예약내역!$A$3:$A$2002,"&gt;="&amp;DATE($B$3,10,1),예약내역!$A$3:$A$2002,"&lt;="&amp;EOMONTH(DATE($B$3,10,1),0))</f>
        <v>0</v>
      </c>
      <c r="C15" s="15" t="n">
        <f aca="false">COUNTIFS(예약내역!$J$3:$J$2002,"완료",예약내역!$A$3:$A$2002,"&gt;="&amp;DATE($B$3,10,1),예약내역!$A$3:$A$2002,"&lt;="&amp;EOMONTH(DATE($B$3,10,1),0))</f>
        <v>0</v>
      </c>
      <c r="D15" s="15" t="n">
        <f aca="false">COUNTIFS(예약내역!$J$3:$J$2002,"취소",예약내역!$A$3:$A$2002,"&gt;="&amp;DATE($B$3,10,1),예약내역!$A$3:$A$2002,"&lt;="&amp;EOMONTH(DATE($B$3,10,1),0))</f>
        <v>0</v>
      </c>
      <c r="E15" s="15" t="n">
        <f aca="false">COUNTIFS(예약내역!$J$3:$J$2002,"노쇼",예약내역!$A$3:$A$2002,"&gt;="&amp;DATE($B$3,10,1),예약내역!$A$3:$A$2002,"&lt;="&amp;EOMONTH(DATE($B$3,10,1),0))</f>
        <v>0</v>
      </c>
      <c r="F15" s="14" t="n">
        <f aca="false">ROUND(SUMIFS(예약내역!$H$3:$H$2002,예약내역!$J$3:$J$2002,"&lt;&gt;취소",예약내역!$A$3:$A$2002,"&gt;="&amp;DATE($B$3,10,1),예약내역!$A$3:$A$2002,"&lt;="&amp;EOMONTH(DATE($B$3,10,1),0)),2)</f>
        <v>0</v>
      </c>
      <c r="G15" s="26" t="str">
        <f aca="false">IF($B15=0,"",$E15/$B15)</f>
        <v/>
      </c>
    </row>
    <row r="16" customFormat="false" ht="15" hidden="false" customHeight="true" outlineLevel="0" collapsed="false">
      <c r="A16" s="15" t="n">
        <v>11</v>
      </c>
      <c r="B16" s="15" t="n">
        <f aca="false">COUNTIFS(예약내역!$A$3:$A$2002,"&gt;="&amp;DATE($B$3,11,1),예약내역!$A$3:$A$2002,"&lt;="&amp;EOMONTH(DATE($B$3,11,1),0))</f>
        <v>0</v>
      </c>
      <c r="C16" s="15" t="n">
        <f aca="false">COUNTIFS(예약내역!$J$3:$J$2002,"완료",예약내역!$A$3:$A$2002,"&gt;="&amp;DATE($B$3,11,1),예약내역!$A$3:$A$2002,"&lt;="&amp;EOMONTH(DATE($B$3,11,1),0))</f>
        <v>0</v>
      </c>
      <c r="D16" s="15" t="n">
        <f aca="false">COUNTIFS(예약내역!$J$3:$J$2002,"취소",예약내역!$A$3:$A$2002,"&gt;="&amp;DATE($B$3,11,1),예약내역!$A$3:$A$2002,"&lt;="&amp;EOMONTH(DATE($B$3,11,1),0))</f>
        <v>0</v>
      </c>
      <c r="E16" s="15" t="n">
        <f aca="false">COUNTIFS(예약내역!$J$3:$J$2002,"노쇼",예약내역!$A$3:$A$2002,"&gt;="&amp;DATE($B$3,11,1),예약내역!$A$3:$A$2002,"&lt;="&amp;EOMONTH(DATE($B$3,11,1),0))</f>
        <v>0</v>
      </c>
      <c r="F16" s="14" t="n">
        <f aca="false">ROUND(SUMIFS(예약내역!$H$3:$H$2002,예약내역!$J$3:$J$2002,"&lt;&gt;취소",예약내역!$A$3:$A$2002,"&gt;="&amp;DATE($B$3,11,1),예약내역!$A$3:$A$2002,"&lt;="&amp;EOMONTH(DATE($B$3,11,1),0)),2)</f>
        <v>0</v>
      </c>
      <c r="G16" s="26" t="str">
        <f aca="false">IF($B16=0,"",$E16/$B16)</f>
        <v/>
      </c>
    </row>
    <row r="17" customFormat="false" ht="15" hidden="false" customHeight="true" outlineLevel="0" collapsed="false">
      <c r="A17" s="15" t="n">
        <v>12</v>
      </c>
      <c r="B17" s="15" t="n">
        <f aca="false">COUNTIFS(예약내역!$A$3:$A$2002,"&gt;="&amp;DATE($B$3,12,1),예약내역!$A$3:$A$2002,"&lt;="&amp;EOMONTH(DATE($B$3,12,1),0))</f>
        <v>0</v>
      </c>
      <c r="C17" s="15" t="n">
        <f aca="false">COUNTIFS(예약내역!$J$3:$J$2002,"완료",예약내역!$A$3:$A$2002,"&gt;="&amp;DATE($B$3,12,1),예약내역!$A$3:$A$2002,"&lt;="&amp;EOMONTH(DATE($B$3,12,1),0))</f>
        <v>0</v>
      </c>
      <c r="D17" s="15" t="n">
        <f aca="false">COUNTIFS(예약내역!$J$3:$J$2002,"취소",예약내역!$A$3:$A$2002,"&gt;="&amp;DATE($B$3,12,1),예약내역!$A$3:$A$2002,"&lt;="&amp;EOMONTH(DATE($B$3,12,1),0))</f>
        <v>0</v>
      </c>
      <c r="E17" s="15" t="n">
        <f aca="false">COUNTIFS(예약내역!$J$3:$J$2002,"노쇼",예약내역!$A$3:$A$2002,"&gt;="&amp;DATE($B$3,12,1),예약내역!$A$3:$A$2002,"&lt;="&amp;EOMONTH(DATE($B$3,12,1),0))</f>
        <v>0</v>
      </c>
      <c r="F17" s="14" t="n">
        <f aca="false">ROUND(SUMIFS(예약내역!$H$3:$H$2002,예약내역!$J$3:$J$2002,"&lt;&gt;취소",예약내역!$A$3:$A$2002,"&gt;="&amp;DATE($B$3,12,1),예약내역!$A$3:$A$2002,"&lt;="&amp;EOMONTH(DATE($B$3,12,1),0)),2)</f>
        <v>0</v>
      </c>
      <c r="G17" s="26" t="str">
        <f aca="false">IF($B17=0,"",$E17/$B17)</f>
        <v/>
      </c>
    </row>
    <row r="18" customFormat="false" ht="15" hidden="false" customHeight="true" outlineLevel="0" collapsed="false">
      <c r="A18" s="27" t="s">
        <v>83</v>
      </c>
      <c r="B18" s="24" t="n">
        <f aca="false">SUM(B6:B17)</f>
        <v>8</v>
      </c>
      <c r="C18" s="24" t="n">
        <f aca="false">SUM(C6:C17)</f>
        <v>1</v>
      </c>
      <c r="D18" s="24" t="n">
        <f aca="false">SUM(D6:D17)</f>
        <v>1</v>
      </c>
      <c r="E18" s="24" t="n">
        <f aca="false">SUM(E6:E17)</f>
        <v>1</v>
      </c>
      <c r="F18" s="25" t="n">
        <f aca="false">SUM(F6:F17)</f>
        <v>15.5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2026-09-14T08:49:56Z</dcterms:created>
  <dc:creator>openpyxl</dc:creator>
  <dc:description/>
  <dc:language>en-US</dc:language>
  <cp:lastModifiedBy/>
  <dcterms:modified xsi:type="dcterms:W3CDTF">2026-09-14T08:58:22Z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