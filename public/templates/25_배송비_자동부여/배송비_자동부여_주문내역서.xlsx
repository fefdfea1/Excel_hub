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배송비규정" sheetId="2" state="visible" r:id="rId4"/>
    <sheet name="지역추가비" sheetId="3" state="visible" r:id="rId5"/>
    <sheet name="주문내역" sheetId="4" state="visible" r:id="rId6"/>
    <sheet name="주문내역서" sheetId="5" state="visible" r:id="rId7"/>
    <sheet name="일별집계" sheetId="6" state="visible" r:id="rId8"/>
    <sheet name="지역별집계" sheetId="7" state="visible" r:id="rId9"/>
  </sheets>
  <definedNames>
    <definedName function="false" hidden="false" localSheetId="4" name="_xlnm.Print_Area" vbProcedure="false">주문내역서!$A$1:$F$26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<sst xmlns="http://schemas.openxmlformats.org/spreadsheetml/2006/main" count="111" uniqueCount="83">
  <si>
    <r>
      <rPr>
        <b val="true"/>
        <sz val="14"/>
        <color rgb="FFFFFFFF"/>
        <rFont val="Noto Sans CJK SC"/>
        <family val="2"/>
        <charset val="1"/>
      </rPr>
      <t xml:space="preserve">배송비 자동부여 </t>
    </r>
    <r>
      <rPr>
        <b val="true"/>
        <sz val="14"/>
        <color rgb="FFFFFFFF"/>
        <rFont val="맑은 고딕"/>
        <family val="0"/>
        <charset val="1"/>
      </rPr>
      <t xml:space="preserve">· </t>
    </r>
    <r>
      <rPr>
        <b val="true"/>
        <sz val="14"/>
        <color rgb="FFFFFFFF"/>
        <rFont val="Noto Sans CJK SC"/>
        <family val="2"/>
        <charset val="1"/>
      </rPr>
      <t xml:space="preserve">주문내역서</t>
    </r>
  </si>
  <si>
    <t xml:space="preserve">핵심</t>
  </si>
  <si>
    <r>
      <rPr>
        <sz val="10"/>
        <rFont val="Noto Sans CJK SC"/>
        <family val="2"/>
        <charset val="1"/>
      </rPr>
      <t xml:space="preserve">주문 금액과 지역만 넣으면 배송비가 규정대로 자동으로 붙습니다</t>
    </r>
    <r>
      <rPr>
        <sz val="10"/>
        <rFont val="맑은 고딕"/>
        <family val="0"/>
        <charset val="1"/>
      </rPr>
      <t xml:space="preserve">.</t>
    </r>
  </si>
  <si>
    <t xml:space="preserve">입력 규칙</t>
  </si>
  <si>
    <r>
      <rPr>
        <sz val="10"/>
        <rFont val="Noto Sans CJK SC"/>
        <family val="2"/>
        <charset val="1"/>
      </rPr>
      <t xml:space="preserve">파란색 글씨 칸만 입력하세요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검은색은 자동 계산입니다</t>
    </r>
    <r>
      <rPr>
        <sz val="10"/>
        <rFont val="맑은 고딕"/>
        <family val="0"/>
        <charset val="1"/>
      </rPr>
      <t xml:space="preserve">.</t>
    </r>
  </si>
  <si>
    <t xml:space="preserve">① 배송비규정</t>
  </si>
  <si>
    <r>
      <rPr>
        <sz val="10"/>
        <rFont val="Noto Sans CJK SC"/>
        <family val="2"/>
        <charset val="1"/>
      </rPr>
      <t xml:space="preserve">금액 구간별 배송비를 등록합니다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여기 값이 계산의 기준입니다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</si>
  <si>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예</t>
    </r>
    <r>
      <rPr>
        <sz val="10"/>
        <rFont val="맑은 고딕"/>
        <family val="0"/>
        <charset val="1"/>
      </rPr>
      <t xml:space="preserve">: 0</t>
    </r>
    <r>
      <rPr>
        <sz val="10"/>
        <rFont val="Noto Sans CJK SC"/>
        <family val="2"/>
        <charset val="1"/>
      </rPr>
      <t xml:space="preserve">원 이상 </t>
    </r>
    <r>
      <rPr>
        <sz val="10"/>
        <rFont val="맑은 고딕"/>
        <family val="0"/>
        <charset val="1"/>
      </rPr>
      <t xml:space="preserve">3,000</t>
    </r>
    <r>
      <rPr>
        <sz val="10"/>
        <rFont val="Noto Sans CJK SC"/>
        <family val="2"/>
        <charset val="1"/>
      </rPr>
      <t xml:space="preserve">원 </t>
    </r>
    <r>
      <rPr>
        <sz val="10"/>
        <rFont val="맑은 고딕"/>
        <family val="0"/>
        <charset val="1"/>
      </rPr>
      <t xml:space="preserve">/ 30,000</t>
    </r>
    <r>
      <rPr>
        <sz val="10"/>
        <rFont val="Noto Sans CJK SC"/>
        <family val="2"/>
        <charset val="1"/>
      </rPr>
      <t xml:space="preserve">원 이상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  <charset val="1"/>
      </rPr>
      <t xml:space="preserve">원</t>
    </r>
  </si>
  <si>
    <t xml:space="preserve">② 지역추가비</t>
  </si>
  <si>
    <r>
      <rPr>
        <sz val="10"/>
        <rFont val="Noto Sans CJK SC"/>
        <family val="2"/>
        <charset val="1"/>
      </rPr>
      <t xml:space="preserve">제주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  <charset val="1"/>
      </rPr>
      <t xml:space="preserve">도서산간 등 추가로 받을 지역과 금액을 등록합니다</t>
    </r>
    <r>
      <rPr>
        <sz val="10"/>
        <rFont val="맑은 고딕"/>
        <family val="0"/>
        <charset val="1"/>
      </rPr>
      <t xml:space="preserve">.</t>
    </r>
  </si>
  <si>
    <t xml:space="preserve">③ 주문내역</t>
  </si>
  <si>
    <r>
      <rPr>
        <sz val="10"/>
        <rFont val="Noto Sans CJK SC"/>
        <family val="2"/>
        <charset val="1"/>
      </rPr>
      <t xml:space="preserve">주문마다 한 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주문금액과 지역만 넣으면 배송비가 자동으로 나옵니다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</si>
  <si>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같은 주문번호를 쓰면 여러 상품이 한 건으로 묶여 배송비가 한 번만 붙습니다</t>
    </r>
    <r>
      <rPr>
        <sz val="10"/>
        <rFont val="맑은 고딕"/>
        <family val="0"/>
        <charset val="1"/>
      </rPr>
      <t xml:space="preserve">.</t>
    </r>
  </si>
  <si>
    <t xml:space="preserve">④ 주문내역서</t>
  </si>
  <si>
    <r>
      <rPr>
        <sz val="10"/>
        <rFont val="Noto Sans CJK SC"/>
        <family val="2"/>
        <charset val="1"/>
      </rPr>
      <t xml:space="preserve">주문번호를 고르면 그 주문의 명세가 한 장에 인쇄됩니다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</si>
  <si>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  <charset val="1"/>
      </rPr>
      <t xml:space="preserve">⑤ 일별집계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Noto Sans CJK SC"/>
        <family val="2"/>
        <charset val="1"/>
      </rPr>
      <t xml:space="preserve">지역별집계</t>
    </r>
  </si>
  <si>
    <r>
      <rPr>
        <sz val="10"/>
        <rFont val="Noto Sans CJK SC"/>
        <family val="2"/>
        <charset val="1"/>
      </rPr>
      <t xml:space="preserve">자동 집계표입니다</t>
    </r>
    <r>
      <rPr>
        <sz val="10"/>
        <rFont val="맑은 고딕"/>
        <family val="0"/>
        <charset val="1"/>
      </rPr>
      <t xml:space="preserve">.</t>
    </r>
  </si>
  <si>
    <t xml:space="preserve">배송비 계산</t>
  </si>
  <si>
    <r>
      <rPr>
        <sz val="10"/>
        <rFont val="Noto Sans CJK SC"/>
        <family val="2"/>
        <charset val="1"/>
      </rPr>
      <t xml:space="preserve">구간표에서 주문금액 이하의 가장 큰 기준을 찾아 그 배송비를 적용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지역추가비를 더합니다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</si>
  <si>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808080"/>
        <rFont val="Noto Sans CJK SC"/>
        <family val="2"/>
        <charset val="1"/>
      </rPr>
      <t xml:space="preserve">※ 배송비 구간과 지역 추가비는 사업자가 정하는 값입니다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Noto Sans CJK SC"/>
        <family val="2"/>
        <charset val="1"/>
      </rPr>
      <t xml:space="preserve">직접 넣으세요</t>
    </r>
    <r>
      <rPr>
        <sz val="9"/>
        <color rgb="FF808080"/>
        <rFont val="맑은 고딕"/>
        <family val="0"/>
        <charset val="1"/>
      </rPr>
      <t xml:space="preserve">.</t>
    </r>
  </si>
  <si>
    <r>
      <rPr>
        <b val="true"/>
        <sz val="14"/>
        <color rgb="FFFFFFFF"/>
        <rFont val="Noto Sans CJK SC"/>
        <family val="2"/>
        <charset val="1"/>
      </rPr>
      <t xml:space="preserve">배송비규정  </t>
    </r>
    <r>
      <rPr>
        <b val="true"/>
        <sz val="14"/>
        <color rgb="FFFFFFFF"/>
        <rFont val="맑은 고딕"/>
        <family val="0"/>
        <charset val="1"/>
      </rPr>
      <t xml:space="preserve">(</t>
    </r>
    <r>
      <rPr>
        <b val="true"/>
        <sz val="14"/>
        <color rgb="FFFFFFFF"/>
        <rFont val="Noto Sans CJK SC"/>
        <family val="2"/>
        <charset val="1"/>
      </rPr>
      <t xml:space="preserve">금액 구간별 </t>
    </r>
    <r>
      <rPr>
        <b val="true"/>
        <sz val="14"/>
        <color rgb="FFFFFFFF"/>
        <rFont val="맑은 고딕"/>
        <family val="0"/>
        <charset val="1"/>
      </rPr>
      <t xml:space="preserve">· </t>
    </r>
    <r>
      <rPr>
        <b val="true"/>
        <sz val="14"/>
        <color rgb="FFFFFFFF"/>
        <rFont val="Noto Sans CJK SC"/>
        <family val="2"/>
        <charset val="1"/>
      </rPr>
      <t xml:space="preserve">오름차순으로 넣으세요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</si>
  <si>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t xml:space="preserve">기준금액 이상</t>
  </si>
  <si>
    <t xml:space="preserve">배송비</t>
  </si>
  <si>
    <t xml:space="preserve">비고</t>
  </si>
  <si>
    <t xml:space="preserve">기본</t>
  </si>
  <si>
    <r>
      <rPr>
        <sz val="10"/>
        <color rgb="FF0000FF"/>
        <rFont val="맑은 고딕"/>
        <family val="0"/>
        <charset val="1"/>
      </rPr>
      <t xml:space="preserve">3</t>
    </r>
    <r>
      <rPr>
        <sz val="10"/>
        <color rgb="FF0000FF"/>
        <rFont val="Noto Sans CJK SC"/>
        <family val="2"/>
        <charset val="1"/>
      </rPr>
      <t xml:space="preserve">만원 이상 무료</t>
    </r>
  </si>
  <si>
    <r>
      <rPr>
        <sz val="9"/>
        <color rgb="FF808080"/>
        <rFont val="Noto Sans CJK SC"/>
        <family val="2"/>
        <charset val="1"/>
      </rPr>
      <t xml:space="preserve">※ 반드시 기준금액을 작은 값부터 큰 값 순서로 넣으세요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Noto Sans CJK SC"/>
        <family val="2"/>
        <charset val="1"/>
      </rPr>
      <t xml:space="preserve">순서가 섞이면 계산이 틀립니다</t>
    </r>
    <r>
      <rPr>
        <sz val="9"/>
        <color rgb="FF808080"/>
        <rFont val="맑은 고딕"/>
        <family val="0"/>
        <charset val="1"/>
      </rPr>
      <t xml:space="preserve">.</t>
    </r>
  </si>
  <si>
    <t xml:space="preserve">지역추가비</t>
  </si>
  <si>
    <t xml:space="preserve">지역</t>
  </si>
  <si>
    <t xml:space="preserve">추가비</t>
  </si>
  <si>
    <t xml:space="preserve">일반</t>
  </si>
  <si>
    <t xml:space="preserve">제주</t>
  </si>
  <si>
    <t xml:space="preserve">도서산간</t>
  </si>
  <si>
    <r>
      <rPr>
        <b val="true"/>
        <sz val="14"/>
        <color rgb="FFFFFFFF"/>
        <rFont val="Noto Sans CJK SC"/>
        <family val="2"/>
        <charset val="1"/>
      </rPr>
      <t xml:space="preserve">주문내역  </t>
    </r>
    <r>
      <rPr>
        <b val="true"/>
        <sz val="14"/>
        <color rgb="FFFFFFFF"/>
        <rFont val="맑은 고딕"/>
        <family val="0"/>
        <charset val="1"/>
      </rPr>
      <t xml:space="preserve">(</t>
    </r>
    <r>
      <rPr>
        <b val="true"/>
        <sz val="14"/>
        <color rgb="FFFFFFFF"/>
        <rFont val="Noto Sans CJK SC"/>
        <family val="2"/>
        <charset val="1"/>
      </rPr>
      <t xml:space="preserve">주문금액</t>
    </r>
    <r>
      <rPr>
        <b val="true"/>
        <sz val="14"/>
        <color rgb="FFFFFFFF"/>
        <rFont val="맑은 고딕"/>
        <family val="0"/>
        <charset val="1"/>
      </rPr>
      <t xml:space="preserve">·</t>
    </r>
    <r>
      <rPr>
        <b val="true"/>
        <sz val="14"/>
        <color rgb="FFFFFFFF"/>
        <rFont val="Noto Sans CJK SC"/>
        <family val="2"/>
        <charset val="1"/>
      </rPr>
      <t xml:space="preserve">지역만 넣으면 배송비 자동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</si>
  <si>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t xml:space="preserve">주문일</t>
  </si>
  <si>
    <t xml:space="preserve">주문번호</t>
  </si>
  <si>
    <t xml:space="preserve">고객명</t>
  </si>
  <si>
    <t xml:space="preserve">연락처</t>
  </si>
  <si>
    <t xml:space="preserve">주소</t>
  </si>
  <si>
    <t xml:space="preserve">상품명</t>
  </si>
  <si>
    <t xml:space="preserve">수량</t>
  </si>
  <si>
    <t xml:space="preserve">단가</t>
  </si>
  <si>
    <r>
      <rPr>
        <b val="true"/>
        <sz val="10"/>
        <color rgb="FFFFFFFF"/>
        <rFont val="Noto Sans CJK SC"/>
        <family val="2"/>
        <charset val="1"/>
      </rPr>
      <t xml:space="preserve">상품금액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</si>
  <si>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주문합계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</si>
  <si>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배송비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</si>
  <si>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청구액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</si>
  <si>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주문내순번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</si>
  <si>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조회키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</si>
  <si>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O-1001</t>
  </si>
  <si>
    <t xml:space="preserve">김고객</t>
  </si>
  <si>
    <t xml:space="preserve">010-0000-0001</t>
  </si>
  <si>
    <t xml:space="preserve">서울시 강남구</t>
  </si>
  <si>
    <r>
      <rPr>
        <sz val="10"/>
        <color rgb="FF0000FF"/>
        <rFont val="Noto Sans CJK SC"/>
        <family val="2"/>
        <charset val="1"/>
      </rPr>
      <t xml:space="preserve">사과 </t>
    </r>
    <r>
      <rPr>
        <sz val="10"/>
        <color rgb="FF0000FF"/>
        <rFont val="맑은 고딕"/>
        <family val="0"/>
        <charset val="1"/>
      </rPr>
      <t xml:space="preserve">5kg</t>
    </r>
  </si>
  <si>
    <t xml:space="preserve">O-1002</t>
  </si>
  <si>
    <t xml:space="preserve">이고객</t>
  </si>
  <si>
    <t xml:space="preserve">010-0000-0002</t>
  </si>
  <si>
    <t xml:space="preserve">제주시</t>
  </si>
  <si>
    <t xml:space="preserve">O-1003</t>
  </si>
  <si>
    <t xml:space="preserve">박고객</t>
  </si>
  <si>
    <t xml:space="preserve">010-0000-0003</t>
  </si>
  <si>
    <t xml:space="preserve">부산시</t>
  </si>
  <si>
    <t xml:space="preserve">O-1004</t>
  </si>
  <si>
    <t xml:space="preserve">최고객</t>
  </si>
  <si>
    <t xml:space="preserve">010-0000-0004</t>
  </si>
  <si>
    <t xml:space="preserve">대구시</t>
  </si>
  <si>
    <r>
      <rPr>
        <sz val="10"/>
        <color rgb="FF0000FF"/>
        <rFont val="Noto Sans CJK SC"/>
        <family val="2"/>
        <charset val="1"/>
      </rPr>
      <t xml:space="preserve">배 </t>
    </r>
    <r>
      <rPr>
        <sz val="10"/>
        <color rgb="FF0000FF"/>
        <rFont val="맑은 고딕"/>
        <family val="0"/>
        <charset val="1"/>
      </rPr>
      <t xml:space="preserve">7.5kg</t>
    </r>
  </si>
  <si>
    <r>
      <rPr>
        <sz val="9"/>
        <color rgb="FF808080"/>
        <rFont val="Noto Sans CJK SC"/>
        <family val="2"/>
        <charset val="1"/>
      </rPr>
      <t xml:space="preserve">※ 같은 주문번호의 두 번째 줄부터는 회색이며 배송비가 </t>
    </r>
    <r>
      <rPr>
        <sz val="9"/>
        <color rgb="FF808080"/>
        <rFont val="맑은 고딕"/>
        <family val="0"/>
        <charset val="1"/>
      </rPr>
      <t xml:space="preserve">0</t>
    </r>
    <r>
      <rPr>
        <sz val="9"/>
        <color rgb="FF808080"/>
        <rFont val="Noto Sans CJK SC"/>
        <family val="2"/>
        <charset val="1"/>
      </rPr>
      <t xml:space="preserve">입니다</t>
    </r>
    <r>
      <rPr>
        <sz val="9"/>
        <color rgb="FF808080"/>
        <rFont val="맑은 고딕"/>
        <family val="0"/>
        <charset val="1"/>
      </rPr>
      <t xml:space="preserve">.</t>
    </r>
  </si>
  <si>
    <r>
      <rPr>
        <sz val="9"/>
        <color rgb="FF808080"/>
        <rFont val="Noto Sans CJK SC"/>
        <family val="2"/>
        <charset val="1"/>
      </rPr>
      <t xml:space="preserve">※ 청구액은 그 주문의 첫 줄에만 표시됩니다</t>
    </r>
    <r>
      <rPr>
        <sz val="9"/>
        <color rgb="FF808080"/>
        <rFont val="맑은 고딕"/>
        <family val="0"/>
        <charset val="1"/>
      </rPr>
      <t xml:space="preserve">.</t>
    </r>
  </si>
  <si>
    <t xml:space="preserve">주 문 내 역 서</t>
  </si>
  <si>
    <t xml:space="preserve">← 이 칸만 바꾸세요</t>
  </si>
  <si>
    <t xml:space="preserve">금액</t>
  </si>
  <si>
    <t xml:space="preserve">상품 합계</t>
  </si>
  <si>
    <t xml:space="preserve">배 송 비</t>
  </si>
  <si>
    <t xml:space="preserve">총 청 구 액</t>
  </si>
  <si>
    <t xml:space="preserve">일별집계</t>
  </si>
  <si>
    <t xml:space="preserve">시작일</t>
  </si>
  <si>
    <t xml:space="preserve">날짜</t>
  </si>
  <si>
    <t xml:space="preserve">주문 건수</t>
  </si>
  <si>
    <t xml:space="preserve">상품 금액</t>
  </si>
  <si>
    <t xml:space="preserve">청구 합계</t>
  </si>
  <si>
    <t xml:space="preserve">평균 객단가</t>
  </si>
  <si>
    <t xml:space="preserve">지역별집계</t>
  </si>
  <si>
    <t xml:space="preserve">배송비 합계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</si>
</sst>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yyyy\-mm\-dd"/>
    <numFmt numFmtId="167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4"/>
      <color rgb="FFFFFFFF"/>
      <name val="맑은 고딕"/>
      <family val="0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sz val="9"/>
      <color rgb="FF808080"/>
      <name val="Noto Sans CJK SC"/>
      <family val="2"/>
      <charset val="1"/>
    </font>
    <font>
      <sz val="9"/>
      <color rgb="FF808080"/>
      <name val="맑은 고딕"/>
      <family val="0"/>
      <charset val="1"/>
    </font>
    <font>
      <b val="true"/>
      <sz val="10"/>
      <color rgb="FFFFFFFF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b val="true"/>
      <sz val="10"/>
      <color rgb="FFFFFFFF"/>
      <name val="맑은 고딕"/>
      <family val="0"/>
      <charset val="1"/>
    </font>
    <font>
      <b val="true"/>
      <sz val="20"/>
      <name val="Noto Sans CJK SC"/>
      <family val="2"/>
      <charset val="1"/>
    </font>
    <font>
      <b val="true"/>
      <sz val="11"/>
      <name val="Noto Sans CJK SC"/>
      <family val="2"/>
      <charset val="1"/>
    </font>
    <font>
      <b val="true"/>
      <sz val="11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B9A"/>
        <bgColor rgb="FF0066CC"/>
      </patternFill>
    </fill>
    <fill>
      <patternFill patternType="solid">
        <fgColor rgb="FF6B7A8F"/>
        <bgColor rgb="FF8080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</row>
    <row r="6" customFormat="false" ht="15" hidden="false" customHeight="false" outlineLevel="0" collapsed="false">
      <c r="B6" s="3" t="s">
        <v>5</v>
      </c>
      <c r="C6" s="4" t="s">
        <v>6</v>
      </c>
    </row>
    <row r="7" customFormat="false" ht="15" hidden="false" customHeight="false" outlineLevel="0" collapsed="false">
      <c r="B7" s="3"/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/>
      <c r="C10" s="4" t="s">
        <v>12</v>
      </c>
    </row>
    <row r="11" customFormat="false" ht="15" hidden="false" customHeight="false" outlineLevel="0" collapsed="false">
      <c r="B11" s="3" t="s">
        <v>13</v>
      </c>
      <c r="C11" s="4" t="s">
        <v>14</v>
      </c>
    </row>
    <row r="12" customFormat="false" ht="15" hidden="false" customHeight="false" outlineLevel="0" collapsed="false">
      <c r="B12" s="3" t="s">
        <v>15</v>
      </c>
      <c r="C12" s="4" t="s">
        <v>16</v>
      </c>
    </row>
    <row r="13" customFormat="false" ht="15" hidden="false" customHeight="false" outlineLevel="0" collapsed="false">
      <c r="B13" s="3" t="s">
        <v>17</v>
      </c>
      <c r="C13" s="4" t="s">
        <v>18</v>
      </c>
    </row>
    <row r="15" customFormat="false" ht="15" hidden="false" customHeight="false" outlineLevel="0" collapsed="false">
      <c r="B15" s="5" t="s">
        <v>19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30"/>
  </cols>
  <sheetData>
    <row r="1" customFormat="false" ht="25.5" hidden="false" customHeight="true" outlineLevel="0" collapsed="false">
      <c r="A1" s="2" t="s">
        <v>20</v>
      </c>
      <c r="B1" s="2"/>
      <c r="C1" s="2"/>
    </row>
    <row r="2" customFormat="false" ht="15" hidden="false" customHeight="false" outlineLevel="0" collapsed="false">
      <c r="A2" s="6" t="s">
        <v>21</v>
      </c>
      <c r="B2" s="6" t="s">
        <v>22</v>
      </c>
      <c r="C2" s="6" t="s">
        <v>23</v>
      </c>
    </row>
    <row r="3" customFormat="false" ht="15" hidden="false" customHeight="false" outlineLevel="0" collapsed="false">
      <c r="A3" s="7" t="n">
        <v>0</v>
      </c>
      <c r="B3" s="7" t="n">
        <v>3000</v>
      </c>
      <c r="C3" s="8" t="s">
        <v>24</v>
      </c>
    </row>
    <row r="4" customFormat="false" ht="15" hidden="false" customHeight="false" outlineLevel="0" collapsed="false">
      <c r="A4" s="7" t="n">
        <v>30000</v>
      </c>
      <c r="B4" s="7" t="n">
        <v>0</v>
      </c>
      <c r="C4" s="9" t="s">
        <v>25</v>
      </c>
    </row>
    <row r="5" customFormat="false" ht="15" hidden="false" customHeight="false" outlineLevel="0" collapsed="false">
      <c r="A5" s="7"/>
      <c r="B5" s="7"/>
      <c r="C5" s="9"/>
    </row>
    <row r="6" customFormat="false" ht="15" hidden="false" customHeight="false" outlineLevel="0" collapsed="false">
      <c r="A6" s="7"/>
      <c r="B6" s="7"/>
      <c r="C6" s="9"/>
    </row>
    <row r="7" customFormat="false" ht="15" hidden="false" customHeight="false" outlineLevel="0" collapsed="false">
      <c r="A7" s="7"/>
      <c r="B7" s="7"/>
      <c r="C7" s="9"/>
    </row>
    <row r="8" customFormat="false" ht="15" hidden="false" customHeight="false" outlineLevel="0" collapsed="false">
      <c r="A8" s="7"/>
      <c r="B8" s="7"/>
      <c r="C8" s="9"/>
    </row>
    <row r="9" customFormat="false" ht="15" hidden="false" customHeight="false" outlineLevel="0" collapsed="false">
      <c r="A9" s="7"/>
      <c r="B9" s="7"/>
      <c r="C9" s="9"/>
    </row>
    <row r="10" customFormat="false" ht="15" hidden="false" customHeight="false" outlineLevel="0" collapsed="false">
      <c r="A10" s="7"/>
      <c r="B10" s="7"/>
      <c r="C10" s="9"/>
    </row>
    <row r="11" customFormat="false" ht="15" hidden="false" customHeight="false" outlineLevel="0" collapsed="false">
      <c r="A11" s="7"/>
      <c r="B11" s="7"/>
      <c r="C11" s="9"/>
    </row>
    <row r="12" customFormat="false" ht="15" hidden="false" customHeight="false" outlineLevel="0" collapsed="false">
      <c r="A12" s="7"/>
      <c r="B12" s="7"/>
      <c r="C12" s="9"/>
    </row>
    <row r="13" customFormat="false" ht="15" hidden="false" customHeight="false" outlineLevel="0" collapsed="false">
      <c r="A13" s="7"/>
      <c r="B13" s="7"/>
      <c r="C13" s="9"/>
    </row>
    <row r="14" customFormat="false" ht="15" hidden="false" customHeight="false" outlineLevel="0" collapsed="false">
      <c r="A14" s="7"/>
      <c r="B14" s="7"/>
      <c r="C14" s="9"/>
    </row>
    <row r="15" customFormat="false" ht="15" hidden="false" customHeight="false" outlineLevel="0" collapsed="false">
      <c r="A15" s="7"/>
      <c r="B15" s="7"/>
      <c r="C15" s="9"/>
    </row>
    <row r="16" customFormat="false" ht="15" hidden="false" customHeight="false" outlineLevel="0" collapsed="false">
      <c r="A16" s="7"/>
      <c r="B16" s="7"/>
      <c r="C16" s="9"/>
    </row>
    <row r="17" customFormat="false" ht="15" hidden="false" customHeight="false" outlineLevel="0" collapsed="false">
      <c r="A17" s="7"/>
      <c r="B17" s="7"/>
      <c r="C17" s="9"/>
    </row>
    <row r="18" customFormat="false" ht="15" hidden="false" customHeight="false" outlineLevel="0" collapsed="false">
      <c r="A18" s="7"/>
      <c r="B18" s="7"/>
      <c r="C18" s="9"/>
    </row>
    <row r="19" customFormat="false" ht="15" hidden="false" customHeight="false" outlineLevel="0" collapsed="false">
      <c r="A19" s="7"/>
      <c r="B19" s="7"/>
      <c r="C19" s="9"/>
    </row>
    <row r="20" customFormat="false" ht="15" hidden="false" customHeight="false" outlineLevel="0" collapsed="false">
      <c r="A20" s="7"/>
      <c r="B20" s="7"/>
      <c r="C20" s="9"/>
    </row>
    <row r="21" customFormat="false" ht="15" hidden="false" customHeight="false" outlineLevel="0" collapsed="false">
      <c r="A21" s="7"/>
      <c r="B21" s="7"/>
      <c r="C21" s="9"/>
    </row>
    <row r="22" customFormat="false" ht="15" hidden="false" customHeight="false" outlineLevel="0" collapsed="false">
      <c r="A22" s="7"/>
      <c r="B22" s="7"/>
      <c r="C22" s="9"/>
    </row>
    <row r="23" customFormat="false" ht="15" hidden="false" customHeight="false" outlineLevel="0" collapsed="false">
      <c r="A23" s="7"/>
      <c r="B23" s="7"/>
      <c r="C23" s="9"/>
    </row>
    <row r="24" customFormat="false" ht="15" hidden="false" customHeight="false" outlineLevel="0" collapsed="false">
      <c r="A24" s="7"/>
      <c r="B24" s="7"/>
      <c r="C24" s="9"/>
    </row>
    <row r="25" customFormat="false" ht="15" hidden="false" customHeight="false" outlineLevel="0" collapsed="false">
      <c r="A25" s="7"/>
      <c r="B25" s="7"/>
      <c r="C25" s="9"/>
    </row>
    <row r="26" customFormat="false" ht="15" hidden="false" customHeight="false" outlineLevel="0" collapsed="false">
      <c r="A26" s="7"/>
      <c r="B26" s="7"/>
      <c r="C26" s="9"/>
    </row>
    <row r="27" customFormat="false" ht="15" hidden="false" customHeight="false" outlineLevel="0" collapsed="false">
      <c r="A27" s="7"/>
      <c r="B27" s="7"/>
      <c r="C27" s="9"/>
    </row>
    <row r="28" customFormat="false" ht="15" hidden="false" customHeight="false" outlineLevel="0" collapsed="false">
      <c r="A28" s="7"/>
      <c r="B28" s="7"/>
      <c r="C28" s="9"/>
    </row>
    <row r="29" customFormat="false" ht="15" hidden="false" customHeight="false" outlineLevel="0" collapsed="false">
      <c r="A29" s="7"/>
      <c r="B29" s="7"/>
      <c r="C29" s="9"/>
    </row>
    <row r="30" customFormat="false" ht="15" hidden="false" customHeight="false" outlineLevel="0" collapsed="false">
      <c r="A30" s="7"/>
      <c r="B30" s="7"/>
      <c r="C30" s="9"/>
    </row>
    <row r="31" customFormat="false" ht="15" hidden="false" customHeight="false" outlineLevel="0" collapsed="false">
      <c r="A31" s="7"/>
      <c r="B31" s="7"/>
      <c r="C31" s="9"/>
    </row>
    <row r="32" customFormat="false" ht="15" hidden="false" customHeight="false" outlineLevel="0" collapsed="false">
      <c r="A32" s="7"/>
      <c r="B32" s="7"/>
      <c r="C32" s="9"/>
    </row>
    <row r="34" customFormat="false" ht="15" hidden="false" customHeight="false" outlineLevel="0" collapsed="false">
      <c r="A34" s="5" t="s">
        <v>26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30"/>
  </cols>
  <sheetData>
    <row r="1" customFormat="false" ht="25.5" hidden="false" customHeight="true" outlineLevel="0" collapsed="false">
      <c r="A1" s="2" t="s">
        <v>27</v>
      </c>
      <c r="B1" s="2"/>
      <c r="C1" s="2"/>
    </row>
    <row r="2" customFormat="false" ht="15" hidden="false" customHeight="false" outlineLevel="0" collapsed="false">
      <c r="A2" s="6" t="s">
        <v>28</v>
      </c>
      <c r="B2" s="6" t="s">
        <v>29</v>
      </c>
      <c r="C2" s="6" t="s">
        <v>23</v>
      </c>
    </row>
    <row r="3" customFormat="false" ht="15" hidden="false" customHeight="false" outlineLevel="0" collapsed="false">
      <c r="A3" s="8" t="s">
        <v>30</v>
      </c>
      <c r="B3" s="7" t="n">
        <v>0</v>
      </c>
      <c r="C3" s="9"/>
    </row>
    <row r="4" customFormat="false" ht="15" hidden="false" customHeight="false" outlineLevel="0" collapsed="false">
      <c r="A4" s="8" t="s">
        <v>31</v>
      </c>
      <c r="B4" s="7" t="n">
        <v>3000</v>
      </c>
      <c r="C4" s="9"/>
    </row>
    <row r="5" customFormat="false" ht="15" hidden="false" customHeight="false" outlineLevel="0" collapsed="false">
      <c r="A5" s="8" t="s">
        <v>32</v>
      </c>
      <c r="B5" s="7" t="n">
        <v>5000</v>
      </c>
      <c r="C5" s="9"/>
    </row>
    <row r="6" customFormat="false" ht="15" hidden="false" customHeight="false" outlineLevel="0" collapsed="false">
      <c r="A6" s="9"/>
      <c r="B6" s="7"/>
      <c r="C6" s="9"/>
    </row>
    <row r="7" customFormat="false" ht="15" hidden="false" customHeight="false" outlineLevel="0" collapsed="false">
      <c r="A7" s="9"/>
      <c r="B7" s="7"/>
      <c r="C7" s="9"/>
    </row>
    <row r="8" customFormat="false" ht="15" hidden="false" customHeight="false" outlineLevel="0" collapsed="false">
      <c r="A8" s="9"/>
      <c r="B8" s="7"/>
      <c r="C8" s="9"/>
    </row>
    <row r="9" customFormat="false" ht="15" hidden="false" customHeight="false" outlineLevel="0" collapsed="false">
      <c r="A9" s="9"/>
      <c r="B9" s="7"/>
      <c r="C9" s="9"/>
    </row>
    <row r="10" customFormat="false" ht="15" hidden="false" customHeight="false" outlineLevel="0" collapsed="false">
      <c r="A10" s="9"/>
      <c r="B10" s="7"/>
      <c r="C10" s="9"/>
    </row>
    <row r="11" customFormat="false" ht="15" hidden="false" customHeight="false" outlineLevel="0" collapsed="false">
      <c r="A11" s="9"/>
      <c r="B11" s="7"/>
      <c r="C11" s="9"/>
    </row>
    <row r="12" customFormat="false" ht="15" hidden="false" customHeight="false" outlineLevel="0" collapsed="false">
      <c r="A12" s="9"/>
      <c r="B12" s="7"/>
      <c r="C12" s="9"/>
    </row>
    <row r="13" customFormat="false" ht="15" hidden="false" customHeight="false" outlineLevel="0" collapsed="false">
      <c r="A13" s="9"/>
      <c r="B13" s="7"/>
      <c r="C13" s="9"/>
    </row>
    <row r="14" customFormat="false" ht="15" hidden="false" customHeight="false" outlineLevel="0" collapsed="false">
      <c r="A14" s="9"/>
      <c r="B14" s="7"/>
      <c r="C14" s="9"/>
    </row>
    <row r="15" customFormat="false" ht="15" hidden="false" customHeight="false" outlineLevel="0" collapsed="false">
      <c r="A15" s="9"/>
      <c r="B15" s="7"/>
      <c r="C15" s="9"/>
    </row>
    <row r="16" customFormat="false" ht="15" hidden="false" customHeight="false" outlineLevel="0" collapsed="false">
      <c r="A16" s="9"/>
      <c r="B16" s="7"/>
      <c r="C16" s="9"/>
    </row>
    <row r="17" customFormat="false" ht="15" hidden="false" customHeight="false" outlineLevel="0" collapsed="false">
      <c r="A17" s="9"/>
      <c r="B17" s="7"/>
      <c r="C17" s="9"/>
    </row>
    <row r="18" customFormat="false" ht="15" hidden="false" customHeight="false" outlineLevel="0" collapsed="false">
      <c r="A18" s="9"/>
      <c r="B18" s="7"/>
      <c r="C18" s="9"/>
    </row>
    <row r="19" customFormat="false" ht="15" hidden="false" customHeight="false" outlineLevel="0" collapsed="false">
      <c r="A19" s="9"/>
      <c r="B19" s="7"/>
      <c r="C19" s="9"/>
    </row>
    <row r="20" customFormat="false" ht="15" hidden="false" customHeight="false" outlineLevel="0" collapsed="false">
      <c r="A20" s="9"/>
      <c r="B20" s="7"/>
      <c r="C20" s="9"/>
    </row>
    <row r="21" customFormat="false" ht="15" hidden="false" customHeight="false" outlineLevel="0" collapsed="false">
      <c r="A21" s="9"/>
      <c r="B21" s="7"/>
      <c r="C21" s="9"/>
    </row>
    <row r="22" customFormat="false" ht="15" hidden="false" customHeight="false" outlineLevel="0" collapsed="false">
      <c r="A22" s="9"/>
      <c r="B22" s="7"/>
      <c r="C22" s="9"/>
    </row>
    <row r="23" customFormat="false" ht="15" hidden="false" customHeight="false" outlineLevel="0" collapsed="false">
      <c r="A23" s="9"/>
      <c r="B23" s="7"/>
      <c r="C23" s="9"/>
    </row>
    <row r="24" customFormat="false" ht="15" hidden="false" customHeight="false" outlineLevel="0" collapsed="false">
      <c r="A24" s="9"/>
      <c r="B24" s="7"/>
      <c r="C24" s="9"/>
    </row>
    <row r="25" customFormat="false" ht="15" hidden="false" customHeight="false" outlineLevel="0" collapsed="false">
      <c r="A25" s="9"/>
      <c r="B25" s="7"/>
      <c r="C25" s="9"/>
    </row>
    <row r="26" customFormat="false" ht="15" hidden="false" customHeight="false" outlineLevel="0" collapsed="false">
      <c r="A26" s="9"/>
      <c r="B26" s="7"/>
      <c r="C26" s="9"/>
    </row>
    <row r="27" customFormat="false" ht="15" hidden="false" customHeight="false" outlineLevel="0" collapsed="false">
      <c r="A27" s="9"/>
      <c r="B27" s="7"/>
      <c r="C27" s="9"/>
    </row>
    <row r="28" customFormat="false" ht="15" hidden="false" customHeight="false" outlineLevel="0" collapsed="false">
      <c r="A28" s="9"/>
      <c r="B28" s="7"/>
      <c r="C28" s="9"/>
    </row>
    <row r="29" customFormat="false" ht="15" hidden="false" customHeight="false" outlineLevel="0" collapsed="false">
      <c r="A29" s="9"/>
      <c r="B29" s="7"/>
      <c r="C29" s="9"/>
    </row>
    <row r="30" customFormat="false" ht="15" hidden="false" customHeight="false" outlineLevel="0" collapsed="false">
      <c r="A30" s="9"/>
      <c r="B30" s="7"/>
      <c r="C30" s="9"/>
    </row>
    <row r="31" customFormat="false" ht="15" hidden="false" customHeight="false" outlineLevel="0" collapsed="false">
      <c r="A31" s="9"/>
      <c r="B31" s="7"/>
      <c r="C31" s="9"/>
    </row>
    <row r="32" customFormat="false" ht="15" hidden="false" customHeight="false" outlineLevel="0" collapsed="false">
      <c r="A32" s="9"/>
      <c r="B32" s="7"/>
      <c r="C32" s="9"/>
    </row>
    <row r="33" customFormat="false" ht="15" hidden="false" customHeight="false" outlineLevel="0" collapsed="false">
      <c r="A33" s="9"/>
      <c r="B33" s="7"/>
      <c r="C33" s="9"/>
    </row>
    <row r="34" customFormat="false" ht="15" hidden="false" customHeight="false" outlineLevel="0" collapsed="false">
      <c r="A34" s="9"/>
      <c r="B34" s="7"/>
      <c r="C34" s="9"/>
    </row>
    <row r="35" customFormat="false" ht="15" hidden="false" customHeight="false" outlineLevel="0" collapsed="false">
      <c r="A35" s="9"/>
      <c r="B35" s="7"/>
      <c r="C35" s="9"/>
    </row>
    <row r="36" customFormat="false" ht="15" hidden="false" customHeight="false" outlineLevel="0" collapsed="false">
      <c r="A36" s="9"/>
      <c r="B36" s="7"/>
      <c r="C36" s="9"/>
    </row>
    <row r="37" customFormat="false" ht="15" hidden="false" customHeight="false" outlineLevel="0" collapsed="false">
      <c r="A37" s="9"/>
      <c r="B37" s="7"/>
      <c r="C37" s="9"/>
    </row>
    <row r="38" customFormat="false" ht="15" hidden="false" customHeight="false" outlineLevel="0" collapsed="false">
      <c r="A38" s="9"/>
      <c r="B38" s="7"/>
      <c r="C38" s="9"/>
    </row>
    <row r="39" customFormat="false" ht="15" hidden="false" customHeight="false" outlineLevel="0" collapsed="false">
      <c r="A39" s="9"/>
      <c r="B39" s="7"/>
      <c r="C39" s="9"/>
    </row>
    <row r="40" customFormat="false" ht="15" hidden="false" customHeight="false" outlineLevel="0" collapsed="false">
      <c r="A40" s="9"/>
      <c r="B40" s="7"/>
      <c r="C40" s="9"/>
    </row>
    <row r="41" customFormat="false" ht="15" hidden="false" customHeight="false" outlineLevel="0" collapsed="false">
      <c r="A41" s="9"/>
      <c r="B41" s="7"/>
      <c r="C41" s="9"/>
    </row>
    <row r="42" customFormat="false" ht="15" hidden="false" customHeight="false" outlineLevel="0" collapsed="false">
      <c r="A42" s="9"/>
      <c r="B42" s="7"/>
      <c r="C42" s="9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7"/>
    <col collapsed="false" customWidth="true" hidden="false" outlineLevel="0" max="3" min="3" style="1" width="16"/>
    <col collapsed="false" customWidth="true" hidden="false" outlineLevel="0" max="4" min="4" style="1" width="17"/>
    <col collapsed="false" customWidth="true" hidden="false" outlineLevel="0" max="5" min="5" style="1" width="34"/>
    <col collapsed="false" customWidth="true" hidden="false" outlineLevel="0" max="6" min="6" style="1" width="28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4" min="14" style="1" width="18"/>
    <col collapsed="false" customWidth="true" hidden="false" outlineLevel="0" max="15" min="15" style="1" width="20"/>
  </cols>
  <sheetData>
    <row r="1" customFormat="false" ht="25.5" hidden="false" customHeight="true" outlineLevel="0" collapsed="false">
      <c r="A1" s="2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6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  <c r="I2" s="10" t="s">
        <v>42</v>
      </c>
      <c r="J2" s="6" t="s">
        <v>28</v>
      </c>
      <c r="K2" s="10" t="s">
        <v>43</v>
      </c>
      <c r="L2" s="10" t="s">
        <v>44</v>
      </c>
      <c r="M2" s="10" t="s">
        <v>45</v>
      </c>
      <c r="N2" s="11" t="s">
        <v>46</v>
      </c>
      <c r="O2" s="11" t="s">
        <v>47</v>
      </c>
    </row>
    <row r="3" customFormat="false" ht="15" hidden="false" customHeight="false" outlineLevel="0" collapsed="false">
      <c r="A3" s="12" t="n">
        <v>46275</v>
      </c>
      <c r="B3" s="9" t="s">
        <v>48</v>
      </c>
      <c r="C3" s="8" t="s">
        <v>49</v>
      </c>
      <c r="D3" s="9" t="s">
        <v>50</v>
      </c>
      <c r="E3" s="8" t="s">
        <v>51</v>
      </c>
      <c r="F3" s="8" t="s">
        <v>52</v>
      </c>
      <c r="G3" s="9" t="n">
        <v>1</v>
      </c>
      <c r="H3" s="7" t="n">
        <v>29000</v>
      </c>
      <c r="I3" s="13" t="n">
        <f aca="false">IF(OR($G3="",$H3=""),"",ROUND($G3*$H3,0))</f>
        <v>29000</v>
      </c>
      <c r="J3" s="8" t="s">
        <v>30</v>
      </c>
      <c r="K3" s="13" t="n">
        <f aca="false">IF($B3="","",SUMIFS($I$3:$I$2002,$B$3:$B$2002,$B3))</f>
        <v>29000</v>
      </c>
      <c r="L3" s="13" t="n">
        <f aca="false">IF($B3="","",IF(COUNTIFS($B$3:$B3,$B3)&gt;1,0,IFERROR(LOOKUP($K3,배송비규정!$A$3:$A$32,배송비규정!$B$3:$B$32),0)+IFERROR(INDEX(지역추가비!$B$3:$B$42,MATCH($J3,지역추가비!$A$3:$A$42,0)),0)))</f>
        <v>3000</v>
      </c>
      <c r="M3" s="13" t="n">
        <f aca="false">IF($B3="","",IF(COUNTIFS($B$3:$B3,$B3)&gt;1,"",$K3+$L3))</f>
        <v>32000</v>
      </c>
      <c r="N3" s="14" t="n">
        <f aca="false">IF($B3="","",COUNTIFS($B$3:$B3,$B3))</f>
        <v>1</v>
      </c>
      <c r="O3" s="14" t="str">
        <f aca="false">IF($B3="","",$B3&amp;"|"&amp;$N3)</f>
        <v>O-1001|1</v>
      </c>
    </row>
    <row r="4" customFormat="false" ht="15" hidden="false" customHeight="false" outlineLevel="0" collapsed="false">
      <c r="A4" s="12" t="n">
        <v>46275</v>
      </c>
      <c r="B4" s="9" t="s">
        <v>53</v>
      </c>
      <c r="C4" s="8" t="s">
        <v>54</v>
      </c>
      <c r="D4" s="9" t="s">
        <v>55</v>
      </c>
      <c r="E4" s="8" t="s">
        <v>56</v>
      </c>
      <c r="F4" s="8" t="s">
        <v>52</v>
      </c>
      <c r="G4" s="9" t="n">
        <v>1</v>
      </c>
      <c r="H4" s="7" t="n">
        <v>29000</v>
      </c>
      <c r="I4" s="13" t="n">
        <f aca="false">IF(OR($G4="",$H4=""),"",ROUND($G4*$H4,0))</f>
        <v>29000</v>
      </c>
      <c r="J4" s="8" t="s">
        <v>31</v>
      </c>
      <c r="K4" s="13" t="n">
        <f aca="false">IF($B4="","",SUMIFS($I$3:$I$2002,$B$3:$B$2002,$B4))</f>
        <v>29000</v>
      </c>
      <c r="L4" s="13" t="n">
        <f aca="false">IF($B4="","",IF(COUNTIFS($B$3:$B4,$B4)&gt;1,0,IFERROR(LOOKUP($K4,배송비규정!$A$3:$A$32,배송비규정!$B$3:$B$32),0)+IFERROR(INDEX(지역추가비!$B$3:$B$42,MATCH($J4,지역추가비!$A$3:$A$42,0)),0)))</f>
        <v>6000</v>
      </c>
      <c r="M4" s="13" t="n">
        <f aca="false">IF($B4="","",IF(COUNTIFS($B$3:$B4,$B4)&gt;1,"",$K4+$L4))</f>
        <v>35000</v>
      </c>
      <c r="N4" s="14" t="n">
        <f aca="false">IF($B4="","",COUNTIFS($B$3:$B4,$B4))</f>
        <v>1</v>
      </c>
      <c r="O4" s="14" t="str">
        <f aca="false">IF($B4="","",$B4&amp;"|"&amp;$N4)</f>
        <v>O-1002|1</v>
      </c>
    </row>
    <row r="5" customFormat="false" ht="15" hidden="false" customHeight="false" outlineLevel="0" collapsed="false">
      <c r="A5" s="12" t="n">
        <v>46276</v>
      </c>
      <c r="B5" s="9" t="s">
        <v>57</v>
      </c>
      <c r="C5" s="8" t="s">
        <v>58</v>
      </c>
      <c r="D5" s="9" t="s">
        <v>59</v>
      </c>
      <c r="E5" s="8" t="s">
        <v>60</v>
      </c>
      <c r="F5" s="8" t="s">
        <v>52</v>
      </c>
      <c r="G5" s="9" t="n">
        <v>1</v>
      </c>
      <c r="H5" s="7" t="n">
        <v>31000</v>
      </c>
      <c r="I5" s="13" t="n">
        <f aca="false">IF(OR($G5="",$H5=""),"",ROUND($G5*$H5,0))</f>
        <v>31000</v>
      </c>
      <c r="J5" s="8" t="s">
        <v>30</v>
      </c>
      <c r="K5" s="13" t="n">
        <f aca="false">IF($B5="","",SUMIFS($I$3:$I$2002,$B$3:$B$2002,$B5))</f>
        <v>31000</v>
      </c>
      <c r="L5" s="13" t="n">
        <f aca="false">IF($B5="","",IF(COUNTIFS($B$3:$B5,$B5)&gt;1,0,IFERROR(LOOKUP($K5,배송비규정!$A$3:$A$32,배송비규정!$B$3:$B$32),0)+IFERROR(INDEX(지역추가비!$B$3:$B$42,MATCH($J5,지역추가비!$A$3:$A$42,0)),0)))</f>
        <v>0</v>
      </c>
      <c r="M5" s="13" t="n">
        <f aca="false">IF($B5="","",IF(COUNTIFS($B$3:$B5,$B5)&gt;1,"",$K5+$L5))</f>
        <v>31000</v>
      </c>
      <c r="N5" s="14" t="n">
        <f aca="false">IF($B5="","",COUNTIFS($B$3:$B5,$B5))</f>
        <v>1</v>
      </c>
      <c r="O5" s="14" t="str">
        <f aca="false">IF($B5="","",$B5&amp;"|"&amp;$N5)</f>
        <v>O-1003|1</v>
      </c>
    </row>
    <row r="6" customFormat="false" ht="15" hidden="false" customHeight="false" outlineLevel="0" collapsed="false">
      <c r="A6" s="12" t="n">
        <v>46276</v>
      </c>
      <c r="B6" s="9" t="s">
        <v>61</v>
      </c>
      <c r="C6" s="8" t="s">
        <v>62</v>
      </c>
      <c r="D6" s="9" t="s">
        <v>63</v>
      </c>
      <c r="E6" s="8" t="s">
        <v>64</v>
      </c>
      <c r="F6" s="8" t="s">
        <v>52</v>
      </c>
      <c r="G6" s="9" t="n">
        <v>1</v>
      </c>
      <c r="H6" s="7" t="n">
        <v>15000</v>
      </c>
      <c r="I6" s="13" t="n">
        <f aca="false">IF(OR($G6="",$H6=""),"",ROUND($G6*$H6,0))</f>
        <v>15000</v>
      </c>
      <c r="J6" s="8" t="s">
        <v>30</v>
      </c>
      <c r="K6" s="13" t="n">
        <f aca="false">IF($B6="","",SUMIFS($I$3:$I$2002,$B$3:$B$2002,$B6))</f>
        <v>35000</v>
      </c>
      <c r="L6" s="13" t="n">
        <f aca="false">IF($B6="","",IF(COUNTIFS($B$3:$B6,$B6)&gt;1,0,IFERROR(LOOKUP($K6,배송비규정!$A$3:$A$32,배송비규정!$B$3:$B$32),0)+IFERROR(INDEX(지역추가비!$B$3:$B$42,MATCH($J6,지역추가비!$A$3:$A$42,0)),0)))</f>
        <v>0</v>
      </c>
      <c r="M6" s="13" t="n">
        <f aca="false">IF($B6="","",IF(COUNTIFS($B$3:$B6,$B6)&gt;1,"",$K6+$L6))</f>
        <v>35000</v>
      </c>
      <c r="N6" s="14" t="n">
        <f aca="false">IF($B6="","",COUNTIFS($B$3:$B6,$B6))</f>
        <v>1</v>
      </c>
      <c r="O6" s="14" t="str">
        <f aca="false">IF($B6="","",$B6&amp;"|"&amp;$N6)</f>
        <v>O-1004|1</v>
      </c>
    </row>
    <row r="7" customFormat="false" ht="15" hidden="false" customHeight="false" outlineLevel="0" collapsed="false">
      <c r="A7" s="12" t="n">
        <v>46276</v>
      </c>
      <c r="B7" s="9" t="s">
        <v>61</v>
      </c>
      <c r="C7" s="8" t="s">
        <v>62</v>
      </c>
      <c r="D7" s="9" t="s">
        <v>63</v>
      </c>
      <c r="E7" s="8" t="s">
        <v>64</v>
      </c>
      <c r="F7" s="8" t="s">
        <v>65</v>
      </c>
      <c r="G7" s="9" t="n">
        <v>1</v>
      </c>
      <c r="H7" s="7" t="n">
        <v>20000</v>
      </c>
      <c r="I7" s="13" t="n">
        <f aca="false">IF(OR($G7="",$H7=""),"",ROUND($G7*$H7,0))</f>
        <v>20000</v>
      </c>
      <c r="J7" s="8" t="s">
        <v>30</v>
      </c>
      <c r="K7" s="13" t="n">
        <f aca="false">IF($B7="","",SUMIFS($I$3:$I$2002,$B$3:$B$2002,$B7))</f>
        <v>35000</v>
      </c>
      <c r="L7" s="13" t="n">
        <f aca="false">IF($B7="","",IF(COUNTIFS($B$3:$B7,$B7)&gt;1,0,IFERROR(LOOKUP($K7,배송비규정!$A$3:$A$32,배송비규정!$B$3:$B$32),0)+IFERROR(INDEX(지역추가비!$B$3:$B$42,MATCH($J7,지역추가비!$A$3:$A$42,0)),0)))</f>
        <v>0</v>
      </c>
      <c r="M7" s="13" t="str">
        <f aca="false">IF($B7="","",IF(COUNTIFS($B$3:$B7,$B7)&gt;1,"",$K7+$L7))</f>
        <v/>
      </c>
      <c r="N7" s="14" t="n">
        <f aca="false">IF($B7="","",COUNTIFS($B$3:$B7,$B7))</f>
        <v>2</v>
      </c>
      <c r="O7" s="14" t="str">
        <f aca="false">IF($B7="","",$B7&amp;"|"&amp;$N7)</f>
        <v>O-1004|2</v>
      </c>
    </row>
    <row r="8" customFormat="false" ht="15" hidden="false" customHeight="false" outlineLevel="0" collapsed="false">
      <c r="A8" s="12"/>
      <c r="B8" s="9"/>
      <c r="C8" s="9"/>
      <c r="D8" s="9"/>
      <c r="E8" s="9"/>
      <c r="F8" s="9"/>
      <c r="G8" s="9"/>
      <c r="H8" s="7"/>
      <c r="I8" s="13" t="str">
        <f aca="false">IF(OR($G8="",$H8=""),"",ROUND($G8*$H8,0))</f>
        <v/>
      </c>
      <c r="J8" s="8"/>
      <c r="K8" s="13" t="str">
        <f aca="false">IF($B8="","",SUMIFS($I$3:$I$2002,$B$3:$B$2002,$B8))</f>
        <v/>
      </c>
      <c r="L8" s="13" t="str">
        <f aca="false">IF($B8="","",IF(COUNTIFS($B$3:$B8,$B8)&gt;1,0,IFERROR(LOOKUP($K8,배송비규정!$A$3:$A$32,배송비규정!$B$3:$B$32),0)+IFERROR(INDEX(지역추가비!$B$3:$B$42,MATCH($J8,지역추가비!$A$3:$A$42,0)),0)))</f>
        <v/>
      </c>
      <c r="M8" s="13" t="str">
        <f aca="false">IF($B8="","",IF(COUNTIFS($B$3:$B8,$B8)&gt;1,"",$K8+$L8))</f>
        <v/>
      </c>
      <c r="N8" s="14" t="str">
        <f aca="false">IF($B8="","",COUNTIFS($B$3:$B8,$B8))</f>
        <v/>
      </c>
      <c r="O8" s="14" t="str">
        <f aca="false">IF($B8="","",$B8&amp;"|"&amp;$N8)</f>
        <v/>
      </c>
    </row>
    <row r="9" customFormat="false" ht="15" hidden="false" customHeight="false" outlineLevel="0" collapsed="false">
      <c r="A9" s="12"/>
      <c r="B9" s="9"/>
      <c r="C9" s="9"/>
      <c r="D9" s="9"/>
      <c r="E9" s="9"/>
      <c r="F9" s="9"/>
      <c r="G9" s="9"/>
      <c r="H9" s="7"/>
      <c r="I9" s="13" t="str">
        <f aca="false">IF(OR($G9="",$H9=""),"",ROUND($G9*$H9,0))</f>
        <v/>
      </c>
      <c r="J9" s="8"/>
      <c r="K9" s="13" t="str">
        <f aca="false">IF($B9="","",SUMIFS($I$3:$I$2002,$B$3:$B$2002,$B9))</f>
        <v/>
      </c>
      <c r="L9" s="13" t="str">
        <f aca="false">IF($B9="","",IF(COUNTIFS($B$3:$B9,$B9)&gt;1,0,IFERROR(LOOKUP($K9,배송비규정!$A$3:$A$32,배송비규정!$B$3:$B$32),0)+IFERROR(INDEX(지역추가비!$B$3:$B$42,MATCH($J9,지역추가비!$A$3:$A$42,0)),0)))</f>
        <v/>
      </c>
      <c r="M9" s="13" t="str">
        <f aca="false">IF($B9="","",IF(COUNTIFS($B$3:$B9,$B9)&gt;1,"",$K9+$L9))</f>
        <v/>
      </c>
      <c r="N9" s="14" t="str">
        <f aca="false">IF($B9="","",COUNTIFS($B$3:$B9,$B9))</f>
        <v/>
      </c>
      <c r="O9" s="14" t="str">
        <f aca="false">IF($B9="","",$B9&amp;"|"&amp;$N9)</f>
        <v/>
      </c>
    </row>
    <row r="10" customFormat="false" ht="15" hidden="false" customHeight="false" outlineLevel="0" collapsed="false">
      <c r="A10" s="12"/>
      <c r="B10" s="9"/>
      <c r="C10" s="9"/>
      <c r="D10" s="9"/>
      <c r="E10" s="9"/>
      <c r="F10" s="9"/>
      <c r="G10" s="9"/>
      <c r="H10" s="7"/>
      <c r="I10" s="13" t="str">
        <f aca="false">IF(OR($G10="",$H10=""),"",ROUND($G10*$H10,0))</f>
        <v/>
      </c>
      <c r="J10" s="8"/>
      <c r="K10" s="13" t="str">
        <f aca="false">IF($B10="","",SUMIFS($I$3:$I$2002,$B$3:$B$2002,$B10))</f>
        <v/>
      </c>
      <c r="L10" s="13" t="str">
        <f aca="false">IF($B10="","",IF(COUNTIFS($B$3:$B10,$B10)&gt;1,0,IFERROR(LOOKUP($K10,배송비규정!$A$3:$A$32,배송비규정!$B$3:$B$32),0)+IFERROR(INDEX(지역추가비!$B$3:$B$42,MATCH($J10,지역추가비!$A$3:$A$42,0)),0)))</f>
        <v/>
      </c>
      <c r="M10" s="13" t="str">
        <f aca="false">IF($B10="","",IF(COUNTIFS($B$3:$B10,$B10)&gt;1,"",$K10+$L10))</f>
        <v/>
      </c>
      <c r="N10" s="14" t="str">
        <f aca="false">IF($B10="","",COUNTIFS($B$3:$B10,$B10))</f>
        <v/>
      </c>
      <c r="O10" s="14" t="str">
        <f aca="false">IF($B10="","",$B10&amp;"|"&amp;$N10)</f>
        <v/>
      </c>
    </row>
    <row r="11" customFormat="false" ht="15" hidden="false" customHeight="false" outlineLevel="0" collapsed="false">
      <c r="A11" s="12"/>
      <c r="B11" s="9"/>
      <c r="C11" s="9"/>
      <c r="D11" s="9"/>
      <c r="E11" s="9"/>
      <c r="F11" s="9"/>
      <c r="G11" s="9"/>
      <c r="H11" s="7"/>
      <c r="I11" s="13" t="str">
        <f aca="false">IF(OR($G11="",$H11=""),"",ROUND($G11*$H11,0))</f>
        <v/>
      </c>
      <c r="J11" s="8"/>
      <c r="K11" s="13" t="str">
        <f aca="false">IF($B11="","",SUMIFS($I$3:$I$2002,$B$3:$B$2002,$B11))</f>
        <v/>
      </c>
      <c r="L11" s="13" t="str">
        <f aca="false">IF($B11="","",IF(COUNTIFS($B$3:$B11,$B11)&gt;1,0,IFERROR(LOOKUP($K11,배송비규정!$A$3:$A$32,배송비규정!$B$3:$B$32),0)+IFERROR(INDEX(지역추가비!$B$3:$B$42,MATCH($J11,지역추가비!$A$3:$A$42,0)),0)))</f>
        <v/>
      </c>
      <c r="M11" s="13" t="str">
        <f aca="false">IF($B11="","",IF(COUNTIFS($B$3:$B11,$B11)&gt;1,"",$K11+$L11))</f>
        <v/>
      </c>
      <c r="N11" s="14" t="str">
        <f aca="false">IF($B11="","",COUNTIFS($B$3:$B11,$B11))</f>
        <v/>
      </c>
      <c r="O11" s="14" t="str">
        <f aca="false">IF($B11="","",$B11&amp;"|"&amp;$N11)</f>
        <v/>
      </c>
    </row>
    <row r="12" customFormat="false" ht="15" hidden="false" customHeight="false" outlineLevel="0" collapsed="false">
      <c r="A12" s="12"/>
      <c r="B12" s="9"/>
      <c r="C12" s="9"/>
      <c r="D12" s="9"/>
      <c r="E12" s="9"/>
      <c r="F12" s="9"/>
      <c r="G12" s="9"/>
      <c r="H12" s="7"/>
      <c r="I12" s="13" t="str">
        <f aca="false">IF(OR($G12="",$H12=""),"",ROUND($G12*$H12,0))</f>
        <v/>
      </c>
      <c r="J12" s="8"/>
      <c r="K12" s="13" t="str">
        <f aca="false">IF($B12="","",SUMIFS($I$3:$I$2002,$B$3:$B$2002,$B12))</f>
        <v/>
      </c>
      <c r="L12" s="13" t="str">
        <f aca="false">IF($B12="","",IF(COUNTIFS($B$3:$B12,$B12)&gt;1,0,IFERROR(LOOKUP($K12,배송비규정!$A$3:$A$32,배송비규정!$B$3:$B$32),0)+IFERROR(INDEX(지역추가비!$B$3:$B$42,MATCH($J12,지역추가비!$A$3:$A$42,0)),0)))</f>
        <v/>
      </c>
      <c r="M12" s="13" t="str">
        <f aca="false">IF($B12="","",IF(COUNTIFS($B$3:$B12,$B12)&gt;1,"",$K12+$L12))</f>
        <v/>
      </c>
      <c r="N12" s="14" t="str">
        <f aca="false">IF($B12="","",COUNTIFS($B$3:$B12,$B12))</f>
        <v/>
      </c>
      <c r="O12" s="14" t="str">
        <f aca="false">IF($B12="","",$B12&amp;"|"&amp;$N12)</f>
        <v/>
      </c>
    </row>
    <row r="13" customFormat="false" ht="15" hidden="false" customHeight="false" outlineLevel="0" collapsed="false">
      <c r="A13" s="12"/>
      <c r="B13" s="9"/>
      <c r="C13" s="9"/>
      <c r="D13" s="9"/>
      <c r="E13" s="9"/>
      <c r="F13" s="9"/>
      <c r="G13" s="9"/>
      <c r="H13" s="7"/>
      <c r="I13" s="13" t="str">
        <f aca="false">IF(OR($G13="",$H13=""),"",ROUND($G13*$H13,0))</f>
        <v/>
      </c>
      <c r="J13" s="8"/>
      <c r="K13" s="13" t="str">
        <f aca="false">IF($B13="","",SUMIFS($I$3:$I$2002,$B$3:$B$2002,$B13))</f>
        <v/>
      </c>
      <c r="L13" s="13" t="str">
        <f aca="false">IF($B13="","",IF(COUNTIFS($B$3:$B13,$B13)&gt;1,0,IFERROR(LOOKUP($K13,배송비규정!$A$3:$A$32,배송비규정!$B$3:$B$32),0)+IFERROR(INDEX(지역추가비!$B$3:$B$42,MATCH($J13,지역추가비!$A$3:$A$42,0)),0)))</f>
        <v/>
      </c>
      <c r="M13" s="13" t="str">
        <f aca="false">IF($B13="","",IF(COUNTIFS($B$3:$B13,$B13)&gt;1,"",$K13+$L13))</f>
        <v/>
      </c>
      <c r="N13" s="14" t="str">
        <f aca="false">IF($B13="","",COUNTIFS($B$3:$B13,$B13))</f>
        <v/>
      </c>
      <c r="O13" s="14" t="str">
        <f aca="false">IF($B13="","",$B13&amp;"|"&amp;$N13)</f>
        <v/>
      </c>
    </row>
    <row r="14" customFormat="false" ht="15" hidden="false" customHeight="false" outlineLevel="0" collapsed="false">
      <c r="A14" s="12"/>
      <c r="B14" s="9"/>
      <c r="C14" s="9"/>
      <c r="D14" s="9"/>
      <c r="E14" s="9"/>
      <c r="F14" s="9"/>
      <c r="G14" s="9"/>
      <c r="H14" s="7"/>
      <c r="I14" s="13" t="str">
        <f aca="false">IF(OR($G14="",$H14=""),"",ROUND($G14*$H14,0))</f>
        <v/>
      </c>
      <c r="J14" s="8"/>
      <c r="K14" s="13" t="str">
        <f aca="false">IF($B14="","",SUMIFS($I$3:$I$2002,$B$3:$B$2002,$B14))</f>
        <v/>
      </c>
      <c r="L14" s="13" t="str">
        <f aca="false">IF($B14="","",IF(COUNTIFS($B$3:$B14,$B14)&gt;1,0,IFERROR(LOOKUP($K14,배송비규정!$A$3:$A$32,배송비규정!$B$3:$B$32),0)+IFERROR(INDEX(지역추가비!$B$3:$B$42,MATCH($J14,지역추가비!$A$3:$A$42,0)),0)))</f>
        <v/>
      </c>
      <c r="M14" s="13" t="str">
        <f aca="false">IF($B14="","",IF(COUNTIFS($B$3:$B14,$B14)&gt;1,"",$K14+$L14))</f>
        <v/>
      </c>
      <c r="N14" s="14" t="str">
        <f aca="false">IF($B14="","",COUNTIFS($B$3:$B14,$B14))</f>
        <v/>
      </c>
      <c r="O14" s="14" t="str">
        <f aca="false">IF($B14="","",$B14&amp;"|"&amp;$N14)</f>
        <v/>
      </c>
    </row>
    <row r="15" customFormat="false" ht="15" hidden="false" customHeight="false" outlineLevel="0" collapsed="false">
      <c r="A15" s="12"/>
      <c r="B15" s="9"/>
      <c r="C15" s="9"/>
      <c r="D15" s="9"/>
      <c r="E15" s="9"/>
      <c r="F15" s="9"/>
      <c r="G15" s="9"/>
      <c r="H15" s="7"/>
      <c r="I15" s="13" t="str">
        <f aca="false">IF(OR($G15="",$H15=""),"",ROUND($G15*$H15,0))</f>
        <v/>
      </c>
      <c r="J15" s="8"/>
      <c r="K15" s="13" t="str">
        <f aca="false">IF($B15="","",SUMIFS($I$3:$I$2002,$B$3:$B$2002,$B15))</f>
        <v/>
      </c>
      <c r="L15" s="13" t="str">
        <f aca="false">IF($B15="","",IF(COUNTIFS($B$3:$B15,$B15)&gt;1,0,IFERROR(LOOKUP($K15,배송비규정!$A$3:$A$32,배송비규정!$B$3:$B$32),0)+IFERROR(INDEX(지역추가비!$B$3:$B$42,MATCH($J15,지역추가비!$A$3:$A$42,0)),0)))</f>
        <v/>
      </c>
      <c r="M15" s="13" t="str">
        <f aca="false">IF($B15="","",IF(COUNTIFS($B$3:$B15,$B15)&gt;1,"",$K15+$L15))</f>
        <v/>
      </c>
      <c r="N15" s="14" t="str">
        <f aca="false">IF($B15="","",COUNTIFS($B$3:$B15,$B15))</f>
        <v/>
      </c>
      <c r="O15" s="14" t="str">
        <f aca="false">IF($B15="","",$B15&amp;"|"&amp;$N15)</f>
        <v/>
      </c>
    </row>
    <row r="16" customFormat="false" ht="15" hidden="false" customHeight="false" outlineLevel="0" collapsed="false">
      <c r="A16" s="12"/>
      <c r="B16" s="9"/>
      <c r="C16" s="9"/>
      <c r="D16" s="9"/>
      <c r="E16" s="9"/>
      <c r="F16" s="9"/>
      <c r="G16" s="9"/>
      <c r="H16" s="7"/>
      <c r="I16" s="13" t="str">
        <f aca="false">IF(OR($G16="",$H16=""),"",ROUND($G16*$H16,0))</f>
        <v/>
      </c>
      <c r="J16" s="8"/>
      <c r="K16" s="13" t="str">
        <f aca="false">IF($B16="","",SUMIFS($I$3:$I$2002,$B$3:$B$2002,$B16))</f>
        <v/>
      </c>
      <c r="L16" s="13" t="str">
        <f aca="false">IF($B16="","",IF(COUNTIFS($B$3:$B16,$B16)&gt;1,0,IFERROR(LOOKUP($K16,배송비규정!$A$3:$A$32,배송비규정!$B$3:$B$32),0)+IFERROR(INDEX(지역추가비!$B$3:$B$42,MATCH($J16,지역추가비!$A$3:$A$42,0)),0)))</f>
        <v/>
      </c>
      <c r="M16" s="13" t="str">
        <f aca="false">IF($B16="","",IF(COUNTIFS($B$3:$B16,$B16)&gt;1,"",$K16+$L16))</f>
        <v/>
      </c>
      <c r="N16" s="14" t="str">
        <f aca="false">IF($B16="","",COUNTIFS($B$3:$B16,$B16))</f>
        <v/>
      </c>
      <c r="O16" s="14" t="str">
        <f aca="false">IF($B16="","",$B16&amp;"|"&amp;$N16)</f>
        <v/>
      </c>
    </row>
    <row r="17" customFormat="false" ht="15" hidden="false" customHeight="false" outlineLevel="0" collapsed="false">
      <c r="A17" s="12"/>
      <c r="B17" s="9"/>
      <c r="C17" s="9"/>
      <c r="D17" s="9"/>
      <c r="E17" s="9"/>
      <c r="F17" s="9"/>
      <c r="G17" s="9"/>
      <c r="H17" s="7"/>
      <c r="I17" s="13" t="str">
        <f aca="false">IF(OR($G17="",$H17=""),"",ROUND($G17*$H17,0))</f>
        <v/>
      </c>
      <c r="J17" s="8"/>
      <c r="K17" s="13" t="str">
        <f aca="false">IF($B17="","",SUMIFS($I$3:$I$2002,$B$3:$B$2002,$B17))</f>
        <v/>
      </c>
      <c r="L17" s="13" t="str">
        <f aca="false">IF($B17="","",IF(COUNTIFS($B$3:$B17,$B17)&gt;1,0,IFERROR(LOOKUP($K17,배송비규정!$A$3:$A$32,배송비규정!$B$3:$B$32),0)+IFERROR(INDEX(지역추가비!$B$3:$B$42,MATCH($J17,지역추가비!$A$3:$A$42,0)),0)))</f>
        <v/>
      </c>
      <c r="M17" s="13" t="str">
        <f aca="false">IF($B17="","",IF(COUNTIFS($B$3:$B17,$B17)&gt;1,"",$K17+$L17))</f>
        <v/>
      </c>
      <c r="N17" s="14" t="str">
        <f aca="false">IF($B17="","",COUNTIFS($B$3:$B17,$B17))</f>
        <v/>
      </c>
      <c r="O17" s="14" t="str">
        <f aca="false">IF($B17="","",$B17&amp;"|"&amp;$N17)</f>
        <v/>
      </c>
    </row>
    <row r="18" customFormat="false" ht="15" hidden="false" customHeight="false" outlineLevel="0" collapsed="false">
      <c r="A18" s="12"/>
      <c r="B18" s="9"/>
      <c r="C18" s="9"/>
      <c r="D18" s="9"/>
      <c r="E18" s="9"/>
      <c r="F18" s="9"/>
      <c r="G18" s="9"/>
      <c r="H18" s="7"/>
      <c r="I18" s="13" t="str">
        <f aca="false">IF(OR($G18="",$H18=""),"",ROUND($G18*$H18,0))</f>
        <v/>
      </c>
      <c r="J18" s="8"/>
      <c r="K18" s="13" t="str">
        <f aca="false">IF($B18="","",SUMIFS($I$3:$I$2002,$B$3:$B$2002,$B18))</f>
        <v/>
      </c>
      <c r="L18" s="13" t="str">
        <f aca="false">IF($B18="","",IF(COUNTIFS($B$3:$B18,$B18)&gt;1,0,IFERROR(LOOKUP($K18,배송비규정!$A$3:$A$32,배송비규정!$B$3:$B$32),0)+IFERROR(INDEX(지역추가비!$B$3:$B$42,MATCH($J18,지역추가비!$A$3:$A$42,0)),0)))</f>
        <v/>
      </c>
      <c r="M18" s="13" t="str">
        <f aca="false">IF($B18="","",IF(COUNTIFS($B$3:$B18,$B18)&gt;1,"",$K18+$L18))</f>
        <v/>
      </c>
      <c r="N18" s="14" t="str">
        <f aca="false">IF($B18="","",COUNTIFS($B$3:$B18,$B18))</f>
        <v/>
      </c>
      <c r="O18" s="14" t="str">
        <f aca="false">IF($B18="","",$B18&amp;"|"&amp;$N18)</f>
        <v/>
      </c>
    </row>
    <row r="19" customFormat="false" ht="15" hidden="false" customHeight="false" outlineLevel="0" collapsed="false">
      <c r="A19" s="12"/>
      <c r="B19" s="9"/>
      <c r="C19" s="9"/>
      <c r="D19" s="9"/>
      <c r="E19" s="9"/>
      <c r="F19" s="9"/>
      <c r="G19" s="9"/>
      <c r="H19" s="7"/>
      <c r="I19" s="13" t="str">
        <f aca="false">IF(OR($G19="",$H19=""),"",ROUND($G19*$H19,0))</f>
        <v/>
      </c>
      <c r="J19" s="8"/>
      <c r="K19" s="13" t="str">
        <f aca="false">IF($B19="","",SUMIFS($I$3:$I$2002,$B$3:$B$2002,$B19))</f>
        <v/>
      </c>
      <c r="L19" s="13" t="str">
        <f aca="false">IF($B19="","",IF(COUNTIFS($B$3:$B19,$B19)&gt;1,0,IFERROR(LOOKUP($K19,배송비규정!$A$3:$A$32,배송비규정!$B$3:$B$32),0)+IFERROR(INDEX(지역추가비!$B$3:$B$42,MATCH($J19,지역추가비!$A$3:$A$42,0)),0)))</f>
        <v/>
      </c>
      <c r="M19" s="13" t="str">
        <f aca="false">IF($B19="","",IF(COUNTIFS($B$3:$B19,$B19)&gt;1,"",$K19+$L19))</f>
        <v/>
      </c>
      <c r="N19" s="14" t="str">
        <f aca="false">IF($B19="","",COUNTIFS($B$3:$B19,$B19))</f>
        <v/>
      </c>
      <c r="O19" s="14" t="str">
        <f aca="false">IF($B19="","",$B19&amp;"|"&amp;$N19)</f>
        <v/>
      </c>
    </row>
    <row r="20" customFormat="false" ht="15" hidden="false" customHeight="false" outlineLevel="0" collapsed="false">
      <c r="A20" s="12"/>
      <c r="B20" s="9"/>
      <c r="C20" s="9"/>
      <c r="D20" s="9"/>
      <c r="E20" s="9"/>
      <c r="F20" s="9"/>
      <c r="G20" s="9"/>
      <c r="H20" s="7"/>
      <c r="I20" s="13" t="str">
        <f aca="false">IF(OR($G20="",$H20=""),"",ROUND($G20*$H20,0))</f>
        <v/>
      </c>
      <c r="J20" s="8"/>
      <c r="K20" s="13" t="str">
        <f aca="false">IF($B20="","",SUMIFS($I$3:$I$2002,$B$3:$B$2002,$B20))</f>
        <v/>
      </c>
      <c r="L20" s="13" t="str">
        <f aca="false">IF($B20="","",IF(COUNTIFS($B$3:$B20,$B20)&gt;1,0,IFERROR(LOOKUP($K20,배송비규정!$A$3:$A$32,배송비규정!$B$3:$B$32),0)+IFERROR(INDEX(지역추가비!$B$3:$B$42,MATCH($J20,지역추가비!$A$3:$A$42,0)),0)))</f>
        <v/>
      </c>
      <c r="M20" s="13" t="str">
        <f aca="false">IF($B20="","",IF(COUNTIFS($B$3:$B20,$B20)&gt;1,"",$K20+$L20))</f>
        <v/>
      </c>
      <c r="N20" s="14" t="str">
        <f aca="false">IF($B20="","",COUNTIFS($B$3:$B20,$B20))</f>
        <v/>
      </c>
      <c r="O20" s="14" t="str">
        <f aca="false">IF($B20="","",$B20&amp;"|"&amp;$N20)</f>
        <v/>
      </c>
    </row>
    <row r="21" customFormat="false" ht="15" hidden="false" customHeight="false" outlineLevel="0" collapsed="false">
      <c r="A21" s="12"/>
      <c r="B21" s="9"/>
      <c r="C21" s="9"/>
      <c r="D21" s="9"/>
      <c r="E21" s="9"/>
      <c r="F21" s="9"/>
      <c r="G21" s="9"/>
      <c r="H21" s="7"/>
      <c r="I21" s="13" t="str">
        <f aca="false">IF(OR($G21="",$H21=""),"",ROUND($G21*$H21,0))</f>
        <v/>
      </c>
      <c r="J21" s="8"/>
      <c r="K21" s="13" t="str">
        <f aca="false">IF($B21="","",SUMIFS($I$3:$I$2002,$B$3:$B$2002,$B21))</f>
        <v/>
      </c>
      <c r="L21" s="13" t="str">
        <f aca="false">IF($B21="","",IF(COUNTIFS($B$3:$B21,$B21)&gt;1,0,IFERROR(LOOKUP($K21,배송비규정!$A$3:$A$32,배송비규정!$B$3:$B$32),0)+IFERROR(INDEX(지역추가비!$B$3:$B$42,MATCH($J21,지역추가비!$A$3:$A$42,0)),0)))</f>
        <v/>
      </c>
      <c r="M21" s="13" t="str">
        <f aca="false">IF($B21="","",IF(COUNTIFS($B$3:$B21,$B21)&gt;1,"",$K21+$L21))</f>
        <v/>
      </c>
      <c r="N21" s="14" t="str">
        <f aca="false">IF($B21="","",COUNTIFS($B$3:$B21,$B21))</f>
        <v/>
      </c>
      <c r="O21" s="14" t="str">
        <f aca="false">IF($B21="","",$B21&amp;"|"&amp;$N21)</f>
        <v/>
      </c>
    </row>
    <row r="22" customFormat="false" ht="15" hidden="false" customHeight="false" outlineLevel="0" collapsed="false">
      <c r="A22" s="12"/>
      <c r="B22" s="9"/>
      <c r="C22" s="9"/>
      <c r="D22" s="9"/>
      <c r="E22" s="9"/>
      <c r="F22" s="9"/>
      <c r="G22" s="9"/>
      <c r="H22" s="7"/>
      <c r="I22" s="13" t="str">
        <f aca="false">IF(OR($G22="",$H22=""),"",ROUND($G22*$H22,0))</f>
        <v/>
      </c>
      <c r="J22" s="8"/>
      <c r="K22" s="13" t="str">
        <f aca="false">IF($B22="","",SUMIFS($I$3:$I$2002,$B$3:$B$2002,$B22))</f>
        <v/>
      </c>
      <c r="L22" s="13" t="str">
        <f aca="false">IF($B22="","",IF(COUNTIFS($B$3:$B22,$B22)&gt;1,0,IFERROR(LOOKUP($K22,배송비규정!$A$3:$A$32,배송비규정!$B$3:$B$32),0)+IFERROR(INDEX(지역추가비!$B$3:$B$42,MATCH($J22,지역추가비!$A$3:$A$42,0)),0)))</f>
        <v/>
      </c>
      <c r="M22" s="13" t="str">
        <f aca="false">IF($B22="","",IF(COUNTIFS($B$3:$B22,$B22)&gt;1,"",$K22+$L22))</f>
        <v/>
      </c>
      <c r="N22" s="14" t="str">
        <f aca="false">IF($B22="","",COUNTIFS($B$3:$B22,$B22))</f>
        <v/>
      </c>
      <c r="O22" s="14" t="str">
        <f aca="false">IF($B22="","",$B22&amp;"|"&amp;$N22)</f>
        <v/>
      </c>
    </row>
    <row r="23" customFormat="false" ht="15" hidden="false" customHeight="false" outlineLevel="0" collapsed="false">
      <c r="A23" s="12"/>
      <c r="B23" s="9"/>
      <c r="C23" s="9"/>
      <c r="D23" s="9"/>
      <c r="E23" s="9"/>
      <c r="F23" s="9"/>
      <c r="G23" s="9"/>
      <c r="H23" s="7"/>
      <c r="I23" s="13" t="str">
        <f aca="false">IF(OR($G23="",$H23=""),"",ROUND($G23*$H23,0))</f>
        <v/>
      </c>
      <c r="J23" s="8"/>
      <c r="K23" s="13" t="str">
        <f aca="false">IF($B23="","",SUMIFS($I$3:$I$2002,$B$3:$B$2002,$B23))</f>
        <v/>
      </c>
      <c r="L23" s="13" t="str">
        <f aca="false">IF($B23="","",IF(COUNTIFS($B$3:$B23,$B23)&gt;1,0,IFERROR(LOOKUP($K23,배송비규정!$A$3:$A$32,배송비규정!$B$3:$B$32),0)+IFERROR(INDEX(지역추가비!$B$3:$B$42,MATCH($J23,지역추가비!$A$3:$A$42,0)),0)))</f>
        <v/>
      </c>
      <c r="M23" s="13" t="str">
        <f aca="false">IF($B23="","",IF(COUNTIFS($B$3:$B23,$B23)&gt;1,"",$K23+$L23))</f>
        <v/>
      </c>
      <c r="N23" s="14" t="str">
        <f aca="false">IF($B23="","",COUNTIFS($B$3:$B23,$B23))</f>
        <v/>
      </c>
      <c r="O23" s="14" t="str">
        <f aca="false">IF($B23="","",$B23&amp;"|"&amp;$N23)</f>
        <v/>
      </c>
    </row>
    <row r="24" customFormat="false" ht="15" hidden="false" customHeight="false" outlineLevel="0" collapsed="false">
      <c r="A24" s="12"/>
      <c r="B24" s="9"/>
      <c r="C24" s="9"/>
      <c r="D24" s="9"/>
      <c r="E24" s="9"/>
      <c r="F24" s="9"/>
      <c r="G24" s="9"/>
      <c r="H24" s="7"/>
      <c r="I24" s="13" t="str">
        <f aca="false">IF(OR($G24="",$H24=""),"",ROUND($G24*$H24,0))</f>
        <v/>
      </c>
      <c r="J24" s="8"/>
      <c r="K24" s="13" t="str">
        <f aca="false">IF($B24="","",SUMIFS($I$3:$I$2002,$B$3:$B$2002,$B24))</f>
        <v/>
      </c>
      <c r="L24" s="13" t="str">
        <f aca="false">IF($B24="","",IF(COUNTIFS($B$3:$B24,$B24)&gt;1,0,IFERROR(LOOKUP($K24,배송비규정!$A$3:$A$32,배송비규정!$B$3:$B$32),0)+IFERROR(INDEX(지역추가비!$B$3:$B$42,MATCH($J24,지역추가비!$A$3:$A$42,0)),0)))</f>
        <v/>
      </c>
      <c r="M24" s="13" t="str">
        <f aca="false">IF($B24="","",IF(COUNTIFS($B$3:$B24,$B24)&gt;1,"",$K24+$L24))</f>
        <v/>
      </c>
      <c r="N24" s="14" t="str">
        <f aca="false">IF($B24="","",COUNTIFS($B$3:$B24,$B24))</f>
        <v/>
      </c>
      <c r="O24" s="14" t="str">
        <f aca="false">IF($B24="","",$B24&amp;"|"&amp;$N24)</f>
        <v/>
      </c>
    </row>
    <row r="25" customFormat="false" ht="15" hidden="false" customHeight="false" outlineLevel="0" collapsed="false">
      <c r="A25" s="12"/>
      <c r="B25" s="9"/>
      <c r="C25" s="9"/>
      <c r="D25" s="9"/>
      <c r="E25" s="9"/>
      <c r="F25" s="9"/>
      <c r="G25" s="9"/>
      <c r="H25" s="7"/>
      <c r="I25" s="13" t="str">
        <f aca="false">IF(OR($G25="",$H25=""),"",ROUND($G25*$H25,0))</f>
        <v/>
      </c>
      <c r="J25" s="8"/>
      <c r="K25" s="13" t="str">
        <f aca="false">IF($B25="","",SUMIFS($I$3:$I$2002,$B$3:$B$2002,$B25))</f>
        <v/>
      </c>
      <c r="L25" s="13" t="str">
        <f aca="false">IF($B25="","",IF(COUNTIFS($B$3:$B25,$B25)&gt;1,0,IFERROR(LOOKUP($K25,배송비규정!$A$3:$A$32,배송비규정!$B$3:$B$32),0)+IFERROR(INDEX(지역추가비!$B$3:$B$42,MATCH($J25,지역추가비!$A$3:$A$42,0)),0)))</f>
        <v/>
      </c>
      <c r="M25" s="13" t="str">
        <f aca="false">IF($B25="","",IF(COUNTIFS($B$3:$B25,$B25)&gt;1,"",$K25+$L25))</f>
        <v/>
      </c>
      <c r="N25" s="14" t="str">
        <f aca="false">IF($B25="","",COUNTIFS($B$3:$B25,$B25))</f>
        <v/>
      </c>
      <c r="O25" s="14" t="str">
        <f aca="false">IF($B25="","",$B25&amp;"|"&amp;$N25)</f>
        <v/>
      </c>
    </row>
    <row r="26" customFormat="false" ht="15" hidden="false" customHeight="false" outlineLevel="0" collapsed="false">
      <c r="A26" s="12"/>
      <c r="B26" s="9"/>
      <c r="C26" s="9"/>
      <c r="D26" s="9"/>
      <c r="E26" s="9"/>
      <c r="F26" s="9"/>
      <c r="G26" s="9"/>
      <c r="H26" s="7"/>
      <c r="I26" s="13" t="str">
        <f aca="false">IF(OR($G26="",$H26=""),"",ROUND($G26*$H26,0))</f>
        <v/>
      </c>
      <c r="J26" s="8"/>
      <c r="K26" s="13" t="str">
        <f aca="false">IF($B26="","",SUMIFS($I$3:$I$2002,$B$3:$B$2002,$B26))</f>
        <v/>
      </c>
      <c r="L26" s="13" t="str">
        <f aca="false">IF($B26="","",IF(COUNTIFS($B$3:$B26,$B26)&gt;1,0,IFERROR(LOOKUP($K26,배송비규정!$A$3:$A$32,배송비규정!$B$3:$B$32),0)+IFERROR(INDEX(지역추가비!$B$3:$B$42,MATCH($J26,지역추가비!$A$3:$A$42,0)),0)))</f>
        <v/>
      </c>
      <c r="M26" s="13" t="str">
        <f aca="false">IF($B26="","",IF(COUNTIFS($B$3:$B26,$B26)&gt;1,"",$K26+$L26))</f>
        <v/>
      </c>
      <c r="N26" s="14" t="str">
        <f aca="false">IF($B26="","",COUNTIFS($B$3:$B26,$B26))</f>
        <v/>
      </c>
      <c r="O26" s="14" t="str">
        <f aca="false">IF($B26="","",$B26&amp;"|"&amp;$N26)</f>
        <v/>
      </c>
    </row>
    <row r="27" customFormat="false" ht="15" hidden="false" customHeight="false" outlineLevel="0" collapsed="false">
      <c r="A27" s="12"/>
      <c r="B27" s="9"/>
      <c r="C27" s="9"/>
      <c r="D27" s="9"/>
      <c r="E27" s="9"/>
      <c r="F27" s="9"/>
      <c r="G27" s="9"/>
      <c r="H27" s="7"/>
      <c r="I27" s="13" t="str">
        <f aca="false">IF(OR($G27="",$H27=""),"",ROUND($G27*$H27,0))</f>
        <v/>
      </c>
      <c r="J27" s="8"/>
      <c r="K27" s="13" t="str">
        <f aca="false">IF($B27="","",SUMIFS($I$3:$I$2002,$B$3:$B$2002,$B27))</f>
        <v/>
      </c>
      <c r="L27" s="13" t="str">
        <f aca="false">IF($B27="","",IF(COUNTIFS($B$3:$B27,$B27)&gt;1,0,IFERROR(LOOKUP($K27,배송비규정!$A$3:$A$32,배송비규정!$B$3:$B$32),0)+IFERROR(INDEX(지역추가비!$B$3:$B$42,MATCH($J27,지역추가비!$A$3:$A$42,0)),0)))</f>
        <v/>
      </c>
      <c r="M27" s="13" t="str">
        <f aca="false">IF($B27="","",IF(COUNTIFS($B$3:$B27,$B27)&gt;1,"",$K27+$L27))</f>
        <v/>
      </c>
      <c r="N27" s="14" t="str">
        <f aca="false">IF($B27="","",COUNTIFS($B$3:$B27,$B27))</f>
        <v/>
      </c>
      <c r="O27" s="14" t="str">
        <f aca="false">IF($B27="","",$B27&amp;"|"&amp;$N27)</f>
        <v/>
      </c>
    </row>
    <row r="28" customFormat="false" ht="15" hidden="false" customHeight="false" outlineLevel="0" collapsed="false">
      <c r="A28" s="12"/>
      <c r="B28" s="9"/>
      <c r="C28" s="9"/>
      <c r="D28" s="9"/>
      <c r="E28" s="9"/>
      <c r="F28" s="9"/>
      <c r="G28" s="9"/>
      <c r="H28" s="7"/>
      <c r="I28" s="13" t="str">
        <f aca="false">IF(OR($G28="",$H28=""),"",ROUND($G28*$H28,0))</f>
        <v/>
      </c>
      <c r="J28" s="8"/>
      <c r="K28" s="13" t="str">
        <f aca="false">IF($B28="","",SUMIFS($I$3:$I$2002,$B$3:$B$2002,$B28))</f>
        <v/>
      </c>
      <c r="L28" s="13" t="str">
        <f aca="false">IF($B28="","",IF(COUNTIFS($B$3:$B28,$B28)&gt;1,0,IFERROR(LOOKUP($K28,배송비규정!$A$3:$A$32,배송비규정!$B$3:$B$32),0)+IFERROR(INDEX(지역추가비!$B$3:$B$42,MATCH($J28,지역추가비!$A$3:$A$42,0)),0)))</f>
        <v/>
      </c>
      <c r="M28" s="13" t="str">
        <f aca="false">IF($B28="","",IF(COUNTIFS($B$3:$B28,$B28)&gt;1,"",$K28+$L28))</f>
        <v/>
      </c>
      <c r="N28" s="14" t="str">
        <f aca="false">IF($B28="","",COUNTIFS($B$3:$B28,$B28))</f>
        <v/>
      </c>
      <c r="O28" s="14" t="str">
        <f aca="false">IF($B28="","",$B28&amp;"|"&amp;$N28)</f>
        <v/>
      </c>
    </row>
    <row r="29" customFormat="false" ht="15" hidden="false" customHeight="false" outlineLevel="0" collapsed="false">
      <c r="A29" s="12"/>
      <c r="B29" s="9"/>
      <c r="C29" s="9"/>
      <c r="D29" s="9"/>
      <c r="E29" s="9"/>
      <c r="F29" s="9"/>
      <c r="G29" s="9"/>
      <c r="H29" s="7"/>
      <c r="I29" s="13" t="str">
        <f aca="false">IF(OR($G29="",$H29=""),"",ROUND($G29*$H29,0))</f>
        <v/>
      </c>
      <c r="J29" s="8"/>
      <c r="K29" s="13" t="str">
        <f aca="false">IF($B29="","",SUMIFS($I$3:$I$2002,$B$3:$B$2002,$B29))</f>
        <v/>
      </c>
      <c r="L29" s="13" t="str">
        <f aca="false">IF($B29="","",IF(COUNTIFS($B$3:$B29,$B29)&gt;1,0,IFERROR(LOOKUP($K29,배송비규정!$A$3:$A$32,배송비규정!$B$3:$B$32),0)+IFERROR(INDEX(지역추가비!$B$3:$B$42,MATCH($J29,지역추가비!$A$3:$A$42,0)),0)))</f>
        <v/>
      </c>
      <c r="M29" s="13" t="str">
        <f aca="false">IF($B29="","",IF(COUNTIFS($B$3:$B29,$B29)&gt;1,"",$K29+$L29))</f>
        <v/>
      </c>
      <c r="N29" s="14" t="str">
        <f aca="false">IF($B29="","",COUNTIFS($B$3:$B29,$B29))</f>
        <v/>
      </c>
      <c r="O29" s="14" t="str">
        <f aca="false">IF($B29="","",$B29&amp;"|"&amp;$N29)</f>
        <v/>
      </c>
    </row>
    <row r="30" customFormat="false" ht="15" hidden="false" customHeight="false" outlineLevel="0" collapsed="false">
      <c r="A30" s="12"/>
      <c r="B30" s="9"/>
      <c r="C30" s="9"/>
      <c r="D30" s="9"/>
      <c r="E30" s="9"/>
      <c r="F30" s="9"/>
      <c r="G30" s="9"/>
      <c r="H30" s="7"/>
      <c r="I30" s="13" t="str">
        <f aca="false">IF(OR($G30="",$H30=""),"",ROUND($G30*$H30,0))</f>
        <v/>
      </c>
      <c r="J30" s="8"/>
      <c r="K30" s="13" t="str">
        <f aca="false">IF($B30="","",SUMIFS($I$3:$I$2002,$B$3:$B$2002,$B30))</f>
        <v/>
      </c>
      <c r="L30" s="13" t="str">
        <f aca="false">IF($B30="","",IF(COUNTIFS($B$3:$B30,$B30)&gt;1,0,IFERROR(LOOKUP($K30,배송비규정!$A$3:$A$32,배송비규정!$B$3:$B$32),0)+IFERROR(INDEX(지역추가비!$B$3:$B$42,MATCH($J30,지역추가비!$A$3:$A$42,0)),0)))</f>
        <v/>
      </c>
      <c r="M30" s="13" t="str">
        <f aca="false">IF($B30="","",IF(COUNTIFS($B$3:$B30,$B30)&gt;1,"",$K30+$L30))</f>
        <v/>
      </c>
      <c r="N30" s="14" t="str">
        <f aca="false">IF($B30="","",COUNTIFS($B$3:$B30,$B30))</f>
        <v/>
      </c>
      <c r="O30" s="14" t="str">
        <f aca="false">IF($B30="","",$B30&amp;"|"&amp;$N30)</f>
        <v/>
      </c>
    </row>
    <row r="31" customFormat="false" ht="15" hidden="false" customHeight="false" outlineLevel="0" collapsed="false">
      <c r="A31" s="12"/>
      <c r="B31" s="9"/>
      <c r="C31" s="9"/>
      <c r="D31" s="9"/>
      <c r="E31" s="9"/>
      <c r="F31" s="9"/>
      <c r="G31" s="9"/>
      <c r="H31" s="7"/>
      <c r="I31" s="13" t="str">
        <f aca="false">IF(OR($G31="",$H31=""),"",ROUND($G31*$H31,0))</f>
        <v/>
      </c>
      <c r="J31" s="8"/>
      <c r="K31" s="13" t="str">
        <f aca="false">IF($B31="","",SUMIFS($I$3:$I$2002,$B$3:$B$2002,$B31))</f>
        <v/>
      </c>
      <c r="L31" s="13" t="str">
        <f aca="false">IF($B31="","",IF(COUNTIFS($B$3:$B31,$B31)&gt;1,0,IFERROR(LOOKUP($K31,배송비규정!$A$3:$A$32,배송비규정!$B$3:$B$32),0)+IFERROR(INDEX(지역추가비!$B$3:$B$42,MATCH($J31,지역추가비!$A$3:$A$42,0)),0)))</f>
        <v/>
      </c>
      <c r="M31" s="13" t="str">
        <f aca="false">IF($B31="","",IF(COUNTIFS($B$3:$B31,$B31)&gt;1,"",$K31+$L31))</f>
        <v/>
      </c>
      <c r="N31" s="14" t="str">
        <f aca="false">IF($B31="","",COUNTIFS($B$3:$B31,$B31))</f>
        <v/>
      </c>
      <c r="O31" s="14" t="str">
        <f aca="false">IF($B31="","",$B31&amp;"|"&amp;$N31)</f>
        <v/>
      </c>
    </row>
    <row r="32" customFormat="false" ht="15" hidden="false" customHeight="false" outlineLevel="0" collapsed="false">
      <c r="A32" s="12"/>
      <c r="B32" s="9"/>
      <c r="C32" s="9"/>
      <c r="D32" s="9"/>
      <c r="E32" s="9"/>
      <c r="F32" s="9"/>
      <c r="G32" s="9"/>
      <c r="H32" s="7"/>
      <c r="I32" s="13" t="str">
        <f aca="false">IF(OR($G32="",$H32=""),"",ROUND($G32*$H32,0))</f>
        <v/>
      </c>
      <c r="J32" s="8"/>
      <c r="K32" s="13" t="str">
        <f aca="false">IF($B32="","",SUMIFS($I$3:$I$2002,$B$3:$B$2002,$B32))</f>
        <v/>
      </c>
      <c r="L32" s="13" t="str">
        <f aca="false">IF($B32="","",IF(COUNTIFS($B$3:$B32,$B32)&gt;1,0,IFERROR(LOOKUP($K32,배송비규정!$A$3:$A$32,배송비규정!$B$3:$B$32),0)+IFERROR(INDEX(지역추가비!$B$3:$B$42,MATCH($J32,지역추가비!$A$3:$A$42,0)),0)))</f>
        <v/>
      </c>
      <c r="M32" s="13" t="str">
        <f aca="false">IF($B32="","",IF(COUNTIFS($B$3:$B32,$B32)&gt;1,"",$K32+$L32))</f>
        <v/>
      </c>
      <c r="N32" s="14" t="str">
        <f aca="false">IF($B32="","",COUNTIFS($B$3:$B32,$B32))</f>
        <v/>
      </c>
      <c r="O32" s="14" t="str">
        <f aca="false">IF($B32="","",$B32&amp;"|"&amp;$N32)</f>
        <v/>
      </c>
    </row>
    <row r="33" customFormat="false" ht="15" hidden="false" customHeight="false" outlineLevel="0" collapsed="false">
      <c r="A33" s="12"/>
      <c r="B33" s="9"/>
      <c r="C33" s="9"/>
      <c r="D33" s="9"/>
      <c r="E33" s="9"/>
      <c r="F33" s="9"/>
      <c r="G33" s="9"/>
      <c r="H33" s="7"/>
      <c r="I33" s="13" t="str">
        <f aca="false">IF(OR($G33="",$H33=""),"",ROUND($G33*$H33,0))</f>
        <v/>
      </c>
      <c r="J33" s="8"/>
      <c r="K33" s="13" t="str">
        <f aca="false">IF($B33="","",SUMIFS($I$3:$I$2002,$B$3:$B$2002,$B33))</f>
        <v/>
      </c>
      <c r="L33" s="13" t="str">
        <f aca="false">IF($B33="","",IF(COUNTIFS($B$3:$B33,$B33)&gt;1,0,IFERROR(LOOKUP($K33,배송비규정!$A$3:$A$32,배송비규정!$B$3:$B$32),0)+IFERROR(INDEX(지역추가비!$B$3:$B$42,MATCH($J33,지역추가비!$A$3:$A$42,0)),0)))</f>
        <v/>
      </c>
      <c r="M33" s="13" t="str">
        <f aca="false">IF($B33="","",IF(COUNTIFS($B$3:$B33,$B33)&gt;1,"",$K33+$L33))</f>
        <v/>
      </c>
      <c r="N33" s="14" t="str">
        <f aca="false">IF($B33="","",COUNTIFS($B$3:$B33,$B33))</f>
        <v/>
      </c>
      <c r="O33" s="14" t="str">
        <f aca="false">IF($B33="","",$B33&amp;"|"&amp;$N33)</f>
        <v/>
      </c>
    </row>
    <row r="34" customFormat="false" ht="15" hidden="false" customHeight="false" outlineLevel="0" collapsed="false">
      <c r="A34" s="12"/>
      <c r="B34" s="9"/>
      <c r="C34" s="9"/>
      <c r="D34" s="9"/>
      <c r="E34" s="9"/>
      <c r="F34" s="9"/>
      <c r="G34" s="9"/>
      <c r="H34" s="7"/>
      <c r="I34" s="13" t="str">
        <f aca="false">IF(OR($G34="",$H34=""),"",ROUND($G34*$H34,0))</f>
        <v/>
      </c>
      <c r="J34" s="8"/>
      <c r="K34" s="13" t="str">
        <f aca="false">IF($B34="","",SUMIFS($I$3:$I$2002,$B$3:$B$2002,$B34))</f>
        <v/>
      </c>
      <c r="L34" s="13" t="str">
        <f aca="false">IF($B34="","",IF(COUNTIFS($B$3:$B34,$B34)&gt;1,0,IFERROR(LOOKUP($K34,배송비규정!$A$3:$A$32,배송비규정!$B$3:$B$32),0)+IFERROR(INDEX(지역추가비!$B$3:$B$42,MATCH($J34,지역추가비!$A$3:$A$42,0)),0)))</f>
        <v/>
      </c>
      <c r="M34" s="13" t="str">
        <f aca="false">IF($B34="","",IF(COUNTIFS($B$3:$B34,$B34)&gt;1,"",$K34+$L34))</f>
        <v/>
      </c>
      <c r="N34" s="14" t="str">
        <f aca="false">IF($B34="","",COUNTIFS($B$3:$B34,$B34))</f>
        <v/>
      </c>
      <c r="O34" s="14" t="str">
        <f aca="false">IF($B34="","",$B34&amp;"|"&amp;$N34)</f>
        <v/>
      </c>
    </row>
    <row r="35" customFormat="false" ht="15" hidden="false" customHeight="false" outlineLevel="0" collapsed="false">
      <c r="A35" s="12"/>
      <c r="B35" s="9"/>
      <c r="C35" s="9"/>
      <c r="D35" s="9"/>
      <c r="E35" s="9"/>
      <c r="F35" s="9"/>
      <c r="G35" s="9"/>
      <c r="H35" s="7"/>
      <c r="I35" s="13" t="str">
        <f aca="false">IF(OR($G35="",$H35=""),"",ROUND($G35*$H35,0))</f>
        <v/>
      </c>
      <c r="J35" s="8"/>
      <c r="K35" s="13" t="str">
        <f aca="false">IF($B35="","",SUMIFS($I$3:$I$2002,$B$3:$B$2002,$B35))</f>
        <v/>
      </c>
      <c r="L35" s="13" t="str">
        <f aca="false">IF($B35="","",IF(COUNTIFS($B$3:$B35,$B35)&gt;1,0,IFERROR(LOOKUP($K35,배송비규정!$A$3:$A$32,배송비규정!$B$3:$B$32),0)+IFERROR(INDEX(지역추가비!$B$3:$B$42,MATCH($J35,지역추가비!$A$3:$A$42,0)),0)))</f>
        <v/>
      </c>
      <c r="M35" s="13" t="str">
        <f aca="false">IF($B35="","",IF(COUNTIFS($B$3:$B35,$B35)&gt;1,"",$K35+$L35))</f>
        <v/>
      </c>
      <c r="N35" s="14" t="str">
        <f aca="false">IF($B35="","",COUNTIFS($B$3:$B35,$B35))</f>
        <v/>
      </c>
      <c r="O35" s="14" t="str">
        <f aca="false">IF($B35="","",$B35&amp;"|"&amp;$N35)</f>
        <v/>
      </c>
    </row>
    <row r="36" customFormat="false" ht="15" hidden="false" customHeight="false" outlineLevel="0" collapsed="false">
      <c r="A36" s="12"/>
      <c r="B36" s="9"/>
      <c r="C36" s="9"/>
      <c r="D36" s="9"/>
      <c r="E36" s="9"/>
      <c r="F36" s="9"/>
      <c r="G36" s="9"/>
      <c r="H36" s="7"/>
      <c r="I36" s="13" t="str">
        <f aca="false">IF(OR($G36="",$H36=""),"",ROUND($G36*$H36,0))</f>
        <v/>
      </c>
      <c r="J36" s="8"/>
      <c r="K36" s="13" t="str">
        <f aca="false">IF($B36="","",SUMIFS($I$3:$I$2002,$B$3:$B$2002,$B36))</f>
        <v/>
      </c>
      <c r="L36" s="13" t="str">
        <f aca="false">IF($B36="","",IF(COUNTIFS($B$3:$B36,$B36)&gt;1,0,IFERROR(LOOKUP($K36,배송비규정!$A$3:$A$32,배송비규정!$B$3:$B$32),0)+IFERROR(INDEX(지역추가비!$B$3:$B$42,MATCH($J36,지역추가비!$A$3:$A$42,0)),0)))</f>
        <v/>
      </c>
      <c r="M36" s="13" t="str">
        <f aca="false">IF($B36="","",IF(COUNTIFS($B$3:$B36,$B36)&gt;1,"",$K36+$L36))</f>
        <v/>
      </c>
      <c r="N36" s="14" t="str">
        <f aca="false">IF($B36="","",COUNTIFS($B$3:$B36,$B36))</f>
        <v/>
      </c>
      <c r="O36" s="14" t="str">
        <f aca="false">IF($B36="","",$B36&amp;"|"&amp;$N36)</f>
        <v/>
      </c>
    </row>
    <row r="37" customFormat="false" ht="15" hidden="false" customHeight="false" outlineLevel="0" collapsed="false">
      <c r="A37" s="12"/>
      <c r="B37" s="9"/>
      <c r="C37" s="9"/>
      <c r="D37" s="9"/>
      <c r="E37" s="9"/>
      <c r="F37" s="9"/>
      <c r="G37" s="9"/>
      <c r="H37" s="7"/>
      <c r="I37" s="13" t="str">
        <f aca="false">IF(OR($G37="",$H37=""),"",ROUND($G37*$H37,0))</f>
        <v/>
      </c>
      <c r="J37" s="8"/>
      <c r="K37" s="13" t="str">
        <f aca="false">IF($B37="","",SUMIFS($I$3:$I$2002,$B$3:$B$2002,$B37))</f>
        <v/>
      </c>
      <c r="L37" s="13" t="str">
        <f aca="false">IF($B37="","",IF(COUNTIFS($B$3:$B37,$B37)&gt;1,0,IFERROR(LOOKUP($K37,배송비규정!$A$3:$A$32,배송비규정!$B$3:$B$32),0)+IFERROR(INDEX(지역추가비!$B$3:$B$42,MATCH($J37,지역추가비!$A$3:$A$42,0)),0)))</f>
        <v/>
      </c>
      <c r="M37" s="13" t="str">
        <f aca="false">IF($B37="","",IF(COUNTIFS($B$3:$B37,$B37)&gt;1,"",$K37+$L37))</f>
        <v/>
      </c>
      <c r="N37" s="14" t="str">
        <f aca="false">IF($B37="","",COUNTIFS($B$3:$B37,$B37))</f>
        <v/>
      </c>
      <c r="O37" s="14" t="str">
        <f aca="false">IF($B37="","",$B37&amp;"|"&amp;$N37)</f>
        <v/>
      </c>
    </row>
    <row r="38" customFormat="false" ht="15" hidden="false" customHeight="false" outlineLevel="0" collapsed="false">
      <c r="A38" s="12"/>
      <c r="B38" s="9"/>
      <c r="C38" s="9"/>
      <c r="D38" s="9"/>
      <c r="E38" s="9"/>
      <c r="F38" s="9"/>
      <c r="G38" s="9"/>
      <c r="H38" s="7"/>
      <c r="I38" s="13" t="str">
        <f aca="false">IF(OR($G38="",$H38=""),"",ROUND($G38*$H38,0))</f>
        <v/>
      </c>
      <c r="J38" s="8"/>
      <c r="K38" s="13" t="str">
        <f aca="false">IF($B38="","",SUMIFS($I$3:$I$2002,$B$3:$B$2002,$B38))</f>
        <v/>
      </c>
      <c r="L38" s="13" t="str">
        <f aca="false">IF($B38="","",IF(COUNTIFS($B$3:$B38,$B38)&gt;1,0,IFERROR(LOOKUP($K38,배송비규정!$A$3:$A$32,배송비규정!$B$3:$B$32),0)+IFERROR(INDEX(지역추가비!$B$3:$B$42,MATCH($J38,지역추가비!$A$3:$A$42,0)),0)))</f>
        <v/>
      </c>
      <c r="M38" s="13" t="str">
        <f aca="false">IF($B38="","",IF(COUNTIFS($B$3:$B38,$B38)&gt;1,"",$K38+$L38))</f>
        <v/>
      </c>
      <c r="N38" s="14" t="str">
        <f aca="false">IF($B38="","",COUNTIFS($B$3:$B38,$B38))</f>
        <v/>
      </c>
      <c r="O38" s="14" t="str">
        <f aca="false">IF($B38="","",$B38&amp;"|"&amp;$N38)</f>
        <v/>
      </c>
    </row>
    <row r="39" customFormat="false" ht="15" hidden="false" customHeight="false" outlineLevel="0" collapsed="false">
      <c r="A39" s="12"/>
      <c r="B39" s="9"/>
      <c r="C39" s="9"/>
      <c r="D39" s="9"/>
      <c r="E39" s="9"/>
      <c r="F39" s="9"/>
      <c r="G39" s="9"/>
      <c r="H39" s="7"/>
      <c r="I39" s="13" t="str">
        <f aca="false">IF(OR($G39="",$H39=""),"",ROUND($G39*$H39,0))</f>
        <v/>
      </c>
      <c r="J39" s="8"/>
      <c r="K39" s="13" t="str">
        <f aca="false">IF($B39="","",SUMIFS($I$3:$I$2002,$B$3:$B$2002,$B39))</f>
        <v/>
      </c>
      <c r="L39" s="13" t="str">
        <f aca="false">IF($B39="","",IF(COUNTIFS($B$3:$B39,$B39)&gt;1,0,IFERROR(LOOKUP($K39,배송비규정!$A$3:$A$32,배송비규정!$B$3:$B$32),0)+IFERROR(INDEX(지역추가비!$B$3:$B$42,MATCH($J39,지역추가비!$A$3:$A$42,0)),0)))</f>
        <v/>
      </c>
      <c r="M39" s="13" t="str">
        <f aca="false">IF($B39="","",IF(COUNTIFS($B$3:$B39,$B39)&gt;1,"",$K39+$L39))</f>
        <v/>
      </c>
      <c r="N39" s="14" t="str">
        <f aca="false">IF($B39="","",COUNTIFS($B$3:$B39,$B39))</f>
        <v/>
      </c>
      <c r="O39" s="14" t="str">
        <f aca="false">IF($B39="","",$B39&amp;"|"&amp;$N39)</f>
        <v/>
      </c>
    </row>
    <row r="40" customFormat="false" ht="15" hidden="false" customHeight="false" outlineLevel="0" collapsed="false">
      <c r="A40" s="12"/>
      <c r="B40" s="9"/>
      <c r="C40" s="9"/>
      <c r="D40" s="9"/>
      <c r="E40" s="9"/>
      <c r="F40" s="9"/>
      <c r="G40" s="9"/>
      <c r="H40" s="7"/>
      <c r="I40" s="13" t="str">
        <f aca="false">IF(OR($G40="",$H40=""),"",ROUND($G40*$H40,0))</f>
        <v/>
      </c>
      <c r="J40" s="8"/>
      <c r="K40" s="13" t="str">
        <f aca="false">IF($B40="","",SUMIFS($I$3:$I$2002,$B$3:$B$2002,$B40))</f>
        <v/>
      </c>
      <c r="L40" s="13" t="str">
        <f aca="false">IF($B40="","",IF(COUNTIFS($B$3:$B40,$B40)&gt;1,0,IFERROR(LOOKUP($K40,배송비규정!$A$3:$A$32,배송비규정!$B$3:$B$32),0)+IFERROR(INDEX(지역추가비!$B$3:$B$42,MATCH($J40,지역추가비!$A$3:$A$42,0)),0)))</f>
        <v/>
      </c>
      <c r="M40" s="13" t="str">
        <f aca="false">IF($B40="","",IF(COUNTIFS($B$3:$B40,$B40)&gt;1,"",$K40+$L40))</f>
        <v/>
      </c>
      <c r="N40" s="14" t="str">
        <f aca="false">IF($B40="","",COUNTIFS($B$3:$B40,$B40))</f>
        <v/>
      </c>
      <c r="O40" s="14" t="str">
        <f aca="false">IF($B40="","",$B40&amp;"|"&amp;$N40)</f>
        <v/>
      </c>
    </row>
    <row r="41" customFormat="false" ht="15" hidden="false" customHeight="false" outlineLevel="0" collapsed="false">
      <c r="A41" s="12"/>
      <c r="B41" s="9"/>
      <c r="C41" s="9"/>
      <c r="D41" s="9"/>
      <c r="E41" s="9"/>
      <c r="F41" s="9"/>
      <c r="G41" s="9"/>
      <c r="H41" s="7"/>
      <c r="I41" s="13" t="str">
        <f aca="false">IF(OR($G41="",$H41=""),"",ROUND($G41*$H41,0))</f>
        <v/>
      </c>
      <c r="J41" s="8"/>
      <c r="K41" s="13" t="str">
        <f aca="false">IF($B41="","",SUMIFS($I$3:$I$2002,$B$3:$B$2002,$B41))</f>
        <v/>
      </c>
      <c r="L41" s="13" t="str">
        <f aca="false">IF($B41="","",IF(COUNTIFS($B$3:$B41,$B41)&gt;1,0,IFERROR(LOOKUP($K41,배송비규정!$A$3:$A$32,배송비규정!$B$3:$B$32),0)+IFERROR(INDEX(지역추가비!$B$3:$B$42,MATCH($J41,지역추가비!$A$3:$A$42,0)),0)))</f>
        <v/>
      </c>
      <c r="M41" s="13" t="str">
        <f aca="false">IF($B41="","",IF(COUNTIFS($B$3:$B41,$B41)&gt;1,"",$K41+$L41))</f>
        <v/>
      </c>
      <c r="N41" s="14" t="str">
        <f aca="false">IF($B41="","",COUNTIFS($B$3:$B41,$B41))</f>
        <v/>
      </c>
      <c r="O41" s="14" t="str">
        <f aca="false">IF($B41="","",$B41&amp;"|"&amp;$N41)</f>
        <v/>
      </c>
    </row>
    <row r="42" customFormat="false" ht="15" hidden="false" customHeight="false" outlineLevel="0" collapsed="false">
      <c r="A42" s="12"/>
      <c r="B42" s="9"/>
      <c r="C42" s="9"/>
      <c r="D42" s="9"/>
      <c r="E42" s="9"/>
      <c r="F42" s="9"/>
      <c r="G42" s="9"/>
      <c r="H42" s="7"/>
      <c r="I42" s="13" t="str">
        <f aca="false">IF(OR($G42="",$H42=""),"",ROUND($G42*$H42,0))</f>
        <v/>
      </c>
      <c r="J42" s="8"/>
      <c r="K42" s="13" t="str">
        <f aca="false">IF($B42="","",SUMIFS($I$3:$I$2002,$B$3:$B$2002,$B42))</f>
        <v/>
      </c>
      <c r="L42" s="13" t="str">
        <f aca="false">IF($B42="","",IF(COUNTIFS($B$3:$B42,$B42)&gt;1,0,IFERROR(LOOKUP($K42,배송비규정!$A$3:$A$32,배송비규정!$B$3:$B$32),0)+IFERROR(INDEX(지역추가비!$B$3:$B$42,MATCH($J42,지역추가비!$A$3:$A$42,0)),0)))</f>
        <v/>
      </c>
      <c r="M42" s="13" t="str">
        <f aca="false">IF($B42="","",IF(COUNTIFS($B$3:$B42,$B42)&gt;1,"",$K42+$L42))</f>
        <v/>
      </c>
      <c r="N42" s="14" t="str">
        <f aca="false">IF($B42="","",COUNTIFS($B$3:$B42,$B42))</f>
        <v/>
      </c>
      <c r="O42" s="14" t="str">
        <f aca="false">IF($B42="","",$B42&amp;"|"&amp;$N42)</f>
        <v/>
      </c>
    </row>
    <row r="43" customFormat="false" ht="15" hidden="false" customHeight="false" outlineLevel="0" collapsed="false">
      <c r="A43" s="12"/>
      <c r="B43" s="9"/>
      <c r="C43" s="9"/>
      <c r="D43" s="9"/>
      <c r="E43" s="9"/>
      <c r="F43" s="9"/>
      <c r="G43" s="9"/>
      <c r="H43" s="7"/>
      <c r="I43" s="13" t="str">
        <f aca="false">IF(OR($G43="",$H43=""),"",ROUND($G43*$H43,0))</f>
        <v/>
      </c>
      <c r="J43" s="8"/>
      <c r="K43" s="13" t="str">
        <f aca="false">IF($B43="","",SUMIFS($I$3:$I$2002,$B$3:$B$2002,$B43))</f>
        <v/>
      </c>
      <c r="L43" s="13" t="str">
        <f aca="false">IF($B43="","",IF(COUNTIFS($B$3:$B43,$B43)&gt;1,0,IFERROR(LOOKUP($K43,배송비규정!$A$3:$A$32,배송비규정!$B$3:$B$32),0)+IFERROR(INDEX(지역추가비!$B$3:$B$42,MATCH($J43,지역추가비!$A$3:$A$42,0)),0)))</f>
        <v/>
      </c>
      <c r="M43" s="13" t="str">
        <f aca="false">IF($B43="","",IF(COUNTIFS($B$3:$B43,$B43)&gt;1,"",$K43+$L43))</f>
        <v/>
      </c>
      <c r="N43" s="14" t="str">
        <f aca="false">IF($B43="","",COUNTIFS($B$3:$B43,$B43))</f>
        <v/>
      </c>
      <c r="O43" s="14" t="str">
        <f aca="false">IF($B43="","",$B43&amp;"|"&amp;$N43)</f>
        <v/>
      </c>
    </row>
    <row r="44" customFormat="false" ht="15" hidden="false" customHeight="false" outlineLevel="0" collapsed="false">
      <c r="A44" s="12"/>
      <c r="B44" s="9"/>
      <c r="C44" s="9"/>
      <c r="D44" s="9"/>
      <c r="E44" s="9"/>
      <c r="F44" s="9"/>
      <c r="G44" s="9"/>
      <c r="H44" s="7"/>
      <c r="I44" s="13" t="str">
        <f aca="false">IF(OR($G44="",$H44=""),"",ROUND($G44*$H44,0))</f>
        <v/>
      </c>
      <c r="J44" s="8"/>
      <c r="K44" s="13" t="str">
        <f aca="false">IF($B44="","",SUMIFS($I$3:$I$2002,$B$3:$B$2002,$B44))</f>
        <v/>
      </c>
      <c r="L44" s="13" t="str">
        <f aca="false">IF($B44="","",IF(COUNTIFS($B$3:$B44,$B44)&gt;1,0,IFERROR(LOOKUP($K44,배송비규정!$A$3:$A$32,배송비규정!$B$3:$B$32),0)+IFERROR(INDEX(지역추가비!$B$3:$B$42,MATCH($J44,지역추가비!$A$3:$A$42,0)),0)))</f>
        <v/>
      </c>
      <c r="M44" s="13" t="str">
        <f aca="false">IF($B44="","",IF(COUNTIFS($B$3:$B44,$B44)&gt;1,"",$K44+$L44))</f>
        <v/>
      </c>
      <c r="N44" s="14" t="str">
        <f aca="false">IF($B44="","",COUNTIFS($B$3:$B44,$B44))</f>
        <v/>
      </c>
      <c r="O44" s="14" t="str">
        <f aca="false">IF($B44="","",$B44&amp;"|"&amp;$N44)</f>
        <v/>
      </c>
    </row>
    <row r="45" customFormat="false" ht="15" hidden="false" customHeight="false" outlineLevel="0" collapsed="false">
      <c r="A45" s="12"/>
      <c r="B45" s="9"/>
      <c r="C45" s="9"/>
      <c r="D45" s="9"/>
      <c r="E45" s="9"/>
      <c r="F45" s="9"/>
      <c r="G45" s="9"/>
      <c r="H45" s="7"/>
      <c r="I45" s="13" t="str">
        <f aca="false">IF(OR($G45="",$H45=""),"",ROUND($G45*$H45,0))</f>
        <v/>
      </c>
      <c r="J45" s="8"/>
      <c r="K45" s="13" t="str">
        <f aca="false">IF($B45="","",SUMIFS($I$3:$I$2002,$B$3:$B$2002,$B45))</f>
        <v/>
      </c>
      <c r="L45" s="13" t="str">
        <f aca="false">IF($B45="","",IF(COUNTIFS($B$3:$B45,$B45)&gt;1,0,IFERROR(LOOKUP($K45,배송비규정!$A$3:$A$32,배송비규정!$B$3:$B$32),0)+IFERROR(INDEX(지역추가비!$B$3:$B$42,MATCH($J45,지역추가비!$A$3:$A$42,0)),0)))</f>
        <v/>
      </c>
      <c r="M45" s="13" t="str">
        <f aca="false">IF($B45="","",IF(COUNTIFS($B$3:$B45,$B45)&gt;1,"",$K45+$L45))</f>
        <v/>
      </c>
      <c r="N45" s="14" t="str">
        <f aca="false">IF($B45="","",COUNTIFS($B$3:$B45,$B45))</f>
        <v/>
      </c>
      <c r="O45" s="14" t="str">
        <f aca="false">IF($B45="","",$B45&amp;"|"&amp;$N45)</f>
        <v/>
      </c>
    </row>
    <row r="46" customFormat="false" ht="15" hidden="false" customHeight="false" outlineLevel="0" collapsed="false">
      <c r="A46" s="12"/>
      <c r="B46" s="9"/>
      <c r="C46" s="9"/>
      <c r="D46" s="9"/>
      <c r="E46" s="9"/>
      <c r="F46" s="9"/>
      <c r="G46" s="9"/>
      <c r="H46" s="7"/>
      <c r="I46" s="13" t="str">
        <f aca="false">IF(OR($G46="",$H46=""),"",ROUND($G46*$H46,0))</f>
        <v/>
      </c>
      <c r="J46" s="8"/>
      <c r="K46" s="13" t="str">
        <f aca="false">IF($B46="","",SUMIFS($I$3:$I$2002,$B$3:$B$2002,$B46))</f>
        <v/>
      </c>
      <c r="L46" s="13" t="str">
        <f aca="false">IF($B46="","",IF(COUNTIFS($B$3:$B46,$B46)&gt;1,0,IFERROR(LOOKUP($K46,배송비규정!$A$3:$A$32,배송비규정!$B$3:$B$32),0)+IFERROR(INDEX(지역추가비!$B$3:$B$42,MATCH($J46,지역추가비!$A$3:$A$42,0)),0)))</f>
        <v/>
      </c>
      <c r="M46" s="13" t="str">
        <f aca="false">IF($B46="","",IF(COUNTIFS($B$3:$B46,$B46)&gt;1,"",$K46+$L46))</f>
        <v/>
      </c>
      <c r="N46" s="14" t="str">
        <f aca="false">IF($B46="","",COUNTIFS($B$3:$B46,$B46))</f>
        <v/>
      </c>
      <c r="O46" s="14" t="str">
        <f aca="false">IF($B46="","",$B46&amp;"|"&amp;$N46)</f>
        <v/>
      </c>
    </row>
    <row r="47" customFormat="false" ht="15" hidden="false" customHeight="false" outlineLevel="0" collapsed="false">
      <c r="A47" s="12"/>
      <c r="B47" s="9"/>
      <c r="C47" s="9"/>
      <c r="D47" s="9"/>
      <c r="E47" s="9"/>
      <c r="F47" s="9"/>
      <c r="G47" s="9"/>
      <c r="H47" s="7"/>
      <c r="I47" s="13" t="str">
        <f aca="false">IF(OR($G47="",$H47=""),"",ROUND($G47*$H47,0))</f>
        <v/>
      </c>
      <c r="J47" s="8"/>
      <c r="K47" s="13" t="str">
        <f aca="false">IF($B47="","",SUMIFS($I$3:$I$2002,$B$3:$B$2002,$B47))</f>
        <v/>
      </c>
      <c r="L47" s="13" t="str">
        <f aca="false">IF($B47="","",IF(COUNTIFS($B$3:$B47,$B47)&gt;1,0,IFERROR(LOOKUP($K47,배송비규정!$A$3:$A$32,배송비규정!$B$3:$B$32),0)+IFERROR(INDEX(지역추가비!$B$3:$B$42,MATCH($J47,지역추가비!$A$3:$A$42,0)),0)))</f>
        <v/>
      </c>
      <c r="M47" s="13" t="str">
        <f aca="false">IF($B47="","",IF(COUNTIFS($B$3:$B47,$B47)&gt;1,"",$K47+$L47))</f>
        <v/>
      </c>
      <c r="N47" s="14" t="str">
        <f aca="false">IF($B47="","",COUNTIFS($B$3:$B47,$B47))</f>
        <v/>
      </c>
      <c r="O47" s="14" t="str">
        <f aca="false">IF($B47="","",$B47&amp;"|"&amp;$N47)</f>
        <v/>
      </c>
    </row>
    <row r="48" customFormat="false" ht="15" hidden="false" customHeight="false" outlineLevel="0" collapsed="false">
      <c r="A48" s="12"/>
      <c r="B48" s="9"/>
      <c r="C48" s="9"/>
      <c r="D48" s="9"/>
      <c r="E48" s="9"/>
      <c r="F48" s="9"/>
      <c r="G48" s="9"/>
      <c r="H48" s="7"/>
      <c r="I48" s="13" t="str">
        <f aca="false">IF(OR($G48="",$H48=""),"",ROUND($G48*$H48,0))</f>
        <v/>
      </c>
      <c r="J48" s="8"/>
      <c r="K48" s="13" t="str">
        <f aca="false">IF($B48="","",SUMIFS($I$3:$I$2002,$B$3:$B$2002,$B48))</f>
        <v/>
      </c>
      <c r="L48" s="13" t="str">
        <f aca="false">IF($B48="","",IF(COUNTIFS($B$3:$B48,$B48)&gt;1,0,IFERROR(LOOKUP($K48,배송비규정!$A$3:$A$32,배송비규정!$B$3:$B$32),0)+IFERROR(INDEX(지역추가비!$B$3:$B$42,MATCH($J48,지역추가비!$A$3:$A$42,0)),0)))</f>
        <v/>
      </c>
      <c r="M48" s="13" t="str">
        <f aca="false">IF($B48="","",IF(COUNTIFS($B$3:$B48,$B48)&gt;1,"",$K48+$L48))</f>
        <v/>
      </c>
      <c r="N48" s="14" t="str">
        <f aca="false">IF($B48="","",COUNTIFS($B$3:$B48,$B48))</f>
        <v/>
      </c>
      <c r="O48" s="14" t="str">
        <f aca="false">IF($B48="","",$B48&amp;"|"&amp;$N48)</f>
        <v/>
      </c>
    </row>
    <row r="49" customFormat="false" ht="15" hidden="false" customHeight="false" outlineLevel="0" collapsed="false">
      <c r="A49" s="12"/>
      <c r="B49" s="9"/>
      <c r="C49" s="9"/>
      <c r="D49" s="9"/>
      <c r="E49" s="9"/>
      <c r="F49" s="9"/>
      <c r="G49" s="9"/>
      <c r="H49" s="7"/>
      <c r="I49" s="13" t="str">
        <f aca="false">IF(OR($G49="",$H49=""),"",ROUND($G49*$H49,0))</f>
        <v/>
      </c>
      <c r="J49" s="8"/>
      <c r="K49" s="13" t="str">
        <f aca="false">IF($B49="","",SUMIFS($I$3:$I$2002,$B$3:$B$2002,$B49))</f>
        <v/>
      </c>
      <c r="L49" s="13" t="str">
        <f aca="false">IF($B49="","",IF(COUNTIFS($B$3:$B49,$B49)&gt;1,0,IFERROR(LOOKUP($K49,배송비규정!$A$3:$A$32,배송비규정!$B$3:$B$32),0)+IFERROR(INDEX(지역추가비!$B$3:$B$42,MATCH($J49,지역추가비!$A$3:$A$42,0)),0)))</f>
        <v/>
      </c>
      <c r="M49" s="13" t="str">
        <f aca="false">IF($B49="","",IF(COUNTIFS($B$3:$B49,$B49)&gt;1,"",$K49+$L49))</f>
        <v/>
      </c>
      <c r="N49" s="14" t="str">
        <f aca="false">IF($B49="","",COUNTIFS($B$3:$B49,$B49))</f>
        <v/>
      </c>
      <c r="O49" s="14" t="str">
        <f aca="false">IF($B49="","",$B49&amp;"|"&amp;$N49)</f>
        <v/>
      </c>
    </row>
    <row r="50" customFormat="false" ht="15" hidden="false" customHeight="false" outlineLevel="0" collapsed="false">
      <c r="A50" s="12"/>
      <c r="B50" s="9"/>
      <c r="C50" s="9"/>
      <c r="D50" s="9"/>
      <c r="E50" s="9"/>
      <c r="F50" s="9"/>
      <c r="G50" s="9"/>
      <c r="H50" s="7"/>
      <c r="I50" s="13" t="str">
        <f aca="false">IF(OR($G50="",$H50=""),"",ROUND($G50*$H50,0))</f>
        <v/>
      </c>
      <c r="J50" s="8"/>
      <c r="K50" s="13" t="str">
        <f aca="false">IF($B50="","",SUMIFS($I$3:$I$2002,$B$3:$B$2002,$B50))</f>
        <v/>
      </c>
      <c r="L50" s="13" t="str">
        <f aca="false">IF($B50="","",IF(COUNTIFS($B$3:$B50,$B50)&gt;1,0,IFERROR(LOOKUP($K50,배송비규정!$A$3:$A$32,배송비규정!$B$3:$B$32),0)+IFERROR(INDEX(지역추가비!$B$3:$B$42,MATCH($J50,지역추가비!$A$3:$A$42,0)),0)))</f>
        <v/>
      </c>
      <c r="M50" s="13" t="str">
        <f aca="false">IF($B50="","",IF(COUNTIFS($B$3:$B50,$B50)&gt;1,"",$K50+$L50))</f>
        <v/>
      </c>
      <c r="N50" s="14" t="str">
        <f aca="false">IF($B50="","",COUNTIFS($B$3:$B50,$B50))</f>
        <v/>
      </c>
      <c r="O50" s="14" t="str">
        <f aca="false">IF($B50="","",$B50&amp;"|"&amp;$N50)</f>
        <v/>
      </c>
    </row>
    <row r="51" customFormat="false" ht="15" hidden="false" customHeight="false" outlineLevel="0" collapsed="false">
      <c r="A51" s="12"/>
      <c r="B51" s="9"/>
      <c r="C51" s="9"/>
      <c r="D51" s="9"/>
      <c r="E51" s="9"/>
      <c r="F51" s="9"/>
      <c r="G51" s="9"/>
      <c r="H51" s="7"/>
      <c r="I51" s="13" t="str">
        <f aca="false">IF(OR($G51="",$H51=""),"",ROUND($G51*$H51,0))</f>
        <v/>
      </c>
      <c r="J51" s="8"/>
      <c r="K51" s="13" t="str">
        <f aca="false">IF($B51="","",SUMIFS($I$3:$I$2002,$B$3:$B$2002,$B51))</f>
        <v/>
      </c>
      <c r="L51" s="13" t="str">
        <f aca="false">IF($B51="","",IF(COUNTIFS($B$3:$B51,$B51)&gt;1,0,IFERROR(LOOKUP($K51,배송비규정!$A$3:$A$32,배송비규정!$B$3:$B$32),0)+IFERROR(INDEX(지역추가비!$B$3:$B$42,MATCH($J51,지역추가비!$A$3:$A$42,0)),0)))</f>
        <v/>
      </c>
      <c r="M51" s="13" t="str">
        <f aca="false">IF($B51="","",IF(COUNTIFS($B$3:$B51,$B51)&gt;1,"",$K51+$L51))</f>
        <v/>
      </c>
      <c r="N51" s="14" t="str">
        <f aca="false">IF($B51="","",COUNTIFS($B$3:$B51,$B51))</f>
        <v/>
      </c>
      <c r="O51" s="14" t="str">
        <f aca="false">IF($B51="","",$B51&amp;"|"&amp;$N51)</f>
        <v/>
      </c>
    </row>
    <row r="52" customFormat="false" ht="15" hidden="false" customHeight="false" outlineLevel="0" collapsed="false">
      <c r="A52" s="12"/>
      <c r="B52" s="9"/>
      <c r="C52" s="9"/>
      <c r="D52" s="9"/>
      <c r="E52" s="9"/>
      <c r="F52" s="9"/>
      <c r="G52" s="9"/>
      <c r="H52" s="7"/>
      <c r="I52" s="13" t="str">
        <f aca="false">IF(OR($G52="",$H52=""),"",ROUND($G52*$H52,0))</f>
        <v/>
      </c>
      <c r="J52" s="8"/>
      <c r="K52" s="13" t="str">
        <f aca="false">IF($B52="","",SUMIFS($I$3:$I$2002,$B$3:$B$2002,$B52))</f>
        <v/>
      </c>
      <c r="L52" s="13" t="str">
        <f aca="false">IF($B52="","",IF(COUNTIFS($B$3:$B52,$B52)&gt;1,0,IFERROR(LOOKUP($K52,배송비규정!$A$3:$A$32,배송비규정!$B$3:$B$32),0)+IFERROR(INDEX(지역추가비!$B$3:$B$42,MATCH($J52,지역추가비!$A$3:$A$42,0)),0)))</f>
        <v/>
      </c>
      <c r="M52" s="13" t="str">
        <f aca="false">IF($B52="","",IF(COUNTIFS($B$3:$B52,$B52)&gt;1,"",$K52+$L52))</f>
        <v/>
      </c>
      <c r="N52" s="14" t="str">
        <f aca="false">IF($B52="","",COUNTIFS($B$3:$B52,$B52))</f>
        <v/>
      </c>
      <c r="O52" s="14" t="str">
        <f aca="false">IF($B52="","",$B52&amp;"|"&amp;$N52)</f>
        <v/>
      </c>
    </row>
    <row r="53" customFormat="false" ht="15" hidden="false" customHeight="false" outlineLevel="0" collapsed="false">
      <c r="A53" s="12"/>
      <c r="B53" s="9"/>
      <c r="C53" s="9"/>
      <c r="D53" s="9"/>
      <c r="E53" s="9"/>
      <c r="F53" s="9"/>
      <c r="G53" s="9"/>
      <c r="H53" s="7"/>
      <c r="I53" s="13" t="str">
        <f aca="false">IF(OR($G53="",$H53=""),"",ROUND($G53*$H53,0))</f>
        <v/>
      </c>
      <c r="J53" s="8"/>
      <c r="K53" s="13" t="str">
        <f aca="false">IF($B53="","",SUMIFS($I$3:$I$2002,$B$3:$B$2002,$B53))</f>
        <v/>
      </c>
      <c r="L53" s="13" t="str">
        <f aca="false">IF($B53="","",IF(COUNTIFS($B$3:$B53,$B53)&gt;1,0,IFERROR(LOOKUP($K53,배송비규정!$A$3:$A$32,배송비규정!$B$3:$B$32),0)+IFERROR(INDEX(지역추가비!$B$3:$B$42,MATCH($J53,지역추가비!$A$3:$A$42,0)),0)))</f>
        <v/>
      </c>
      <c r="M53" s="13" t="str">
        <f aca="false">IF($B53="","",IF(COUNTIFS($B$3:$B53,$B53)&gt;1,"",$K53+$L53))</f>
        <v/>
      </c>
      <c r="N53" s="14" t="str">
        <f aca="false">IF($B53="","",COUNTIFS($B$3:$B53,$B53))</f>
        <v/>
      </c>
      <c r="O53" s="14" t="str">
        <f aca="false">IF($B53="","",$B53&amp;"|"&amp;$N53)</f>
        <v/>
      </c>
    </row>
    <row r="54" customFormat="false" ht="15" hidden="false" customHeight="false" outlineLevel="0" collapsed="false">
      <c r="A54" s="12"/>
      <c r="B54" s="9"/>
      <c r="C54" s="9"/>
      <c r="D54" s="9"/>
      <c r="E54" s="9"/>
      <c r="F54" s="9"/>
      <c r="G54" s="9"/>
      <c r="H54" s="7"/>
      <c r="I54" s="13" t="str">
        <f aca="false">IF(OR($G54="",$H54=""),"",ROUND($G54*$H54,0))</f>
        <v/>
      </c>
      <c r="J54" s="8"/>
      <c r="K54" s="13" t="str">
        <f aca="false">IF($B54="","",SUMIFS($I$3:$I$2002,$B$3:$B$2002,$B54))</f>
        <v/>
      </c>
      <c r="L54" s="13" t="str">
        <f aca="false">IF($B54="","",IF(COUNTIFS($B$3:$B54,$B54)&gt;1,0,IFERROR(LOOKUP($K54,배송비규정!$A$3:$A$32,배송비규정!$B$3:$B$32),0)+IFERROR(INDEX(지역추가비!$B$3:$B$42,MATCH($J54,지역추가비!$A$3:$A$42,0)),0)))</f>
        <v/>
      </c>
      <c r="M54" s="13" t="str">
        <f aca="false">IF($B54="","",IF(COUNTIFS($B$3:$B54,$B54)&gt;1,"",$K54+$L54))</f>
        <v/>
      </c>
      <c r="N54" s="14" t="str">
        <f aca="false">IF($B54="","",COUNTIFS($B$3:$B54,$B54))</f>
        <v/>
      </c>
      <c r="O54" s="14" t="str">
        <f aca="false">IF($B54="","",$B54&amp;"|"&amp;$N54)</f>
        <v/>
      </c>
    </row>
    <row r="55" customFormat="false" ht="15" hidden="false" customHeight="false" outlineLevel="0" collapsed="false">
      <c r="A55" s="12"/>
      <c r="B55" s="9"/>
      <c r="C55" s="9"/>
      <c r="D55" s="9"/>
      <c r="E55" s="9"/>
      <c r="F55" s="9"/>
      <c r="G55" s="9"/>
      <c r="H55" s="7"/>
      <c r="I55" s="13" t="str">
        <f aca="false">IF(OR($G55="",$H55=""),"",ROUND($G55*$H55,0))</f>
        <v/>
      </c>
      <c r="J55" s="8"/>
      <c r="K55" s="13" t="str">
        <f aca="false">IF($B55="","",SUMIFS($I$3:$I$2002,$B$3:$B$2002,$B55))</f>
        <v/>
      </c>
      <c r="L55" s="13" t="str">
        <f aca="false">IF($B55="","",IF(COUNTIFS($B$3:$B55,$B55)&gt;1,0,IFERROR(LOOKUP($K55,배송비규정!$A$3:$A$32,배송비규정!$B$3:$B$32),0)+IFERROR(INDEX(지역추가비!$B$3:$B$42,MATCH($J55,지역추가비!$A$3:$A$42,0)),0)))</f>
        <v/>
      </c>
      <c r="M55" s="13" t="str">
        <f aca="false">IF($B55="","",IF(COUNTIFS($B$3:$B55,$B55)&gt;1,"",$K55+$L55))</f>
        <v/>
      </c>
      <c r="N55" s="14" t="str">
        <f aca="false">IF($B55="","",COUNTIFS($B$3:$B55,$B55))</f>
        <v/>
      </c>
      <c r="O55" s="14" t="str">
        <f aca="false">IF($B55="","",$B55&amp;"|"&amp;$N55)</f>
        <v/>
      </c>
    </row>
    <row r="56" customFormat="false" ht="15" hidden="false" customHeight="false" outlineLevel="0" collapsed="false">
      <c r="A56" s="12"/>
      <c r="B56" s="9"/>
      <c r="C56" s="9"/>
      <c r="D56" s="9"/>
      <c r="E56" s="9"/>
      <c r="F56" s="9"/>
      <c r="G56" s="9"/>
      <c r="H56" s="7"/>
      <c r="I56" s="13" t="str">
        <f aca="false">IF(OR($G56="",$H56=""),"",ROUND($G56*$H56,0))</f>
        <v/>
      </c>
      <c r="J56" s="8"/>
      <c r="K56" s="13" t="str">
        <f aca="false">IF($B56="","",SUMIFS($I$3:$I$2002,$B$3:$B$2002,$B56))</f>
        <v/>
      </c>
      <c r="L56" s="13" t="str">
        <f aca="false">IF($B56="","",IF(COUNTIFS($B$3:$B56,$B56)&gt;1,0,IFERROR(LOOKUP($K56,배송비규정!$A$3:$A$32,배송비규정!$B$3:$B$32),0)+IFERROR(INDEX(지역추가비!$B$3:$B$42,MATCH($J56,지역추가비!$A$3:$A$42,0)),0)))</f>
        <v/>
      </c>
      <c r="M56" s="13" t="str">
        <f aca="false">IF($B56="","",IF(COUNTIFS($B$3:$B56,$B56)&gt;1,"",$K56+$L56))</f>
        <v/>
      </c>
      <c r="N56" s="14" t="str">
        <f aca="false">IF($B56="","",COUNTIFS($B$3:$B56,$B56))</f>
        <v/>
      </c>
      <c r="O56" s="14" t="str">
        <f aca="false">IF($B56="","",$B56&amp;"|"&amp;$N56)</f>
        <v/>
      </c>
    </row>
    <row r="57" customFormat="false" ht="15" hidden="false" customHeight="false" outlineLevel="0" collapsed="false">
      <c r="A57" s="12"/>
      <c r="B57" s="9"/>
      <c r="C57" s="9"/>
      <c r="D57" s="9"/>
      <c r="E57" s="9"/>
      <c r="F57" s="9"/>
      <c r="G57" s="9"/>
      <c r="H57" s="7"/>
      <c r="I57" s="13" t="str">
        <f aca="false">IF(OR($G57="",$H57=""),"",ROUND($G57*$H57,0))</f>
        <v/>
      </c>
      <c r="J57" s="8"/>
      <c r="K57" s="13" t="str">
        <f aca="false">IF($B57="","",SUMIFS($I$3:$I$2002,$B$3:$B$2002,$B57))</f>
        <v/>
      </c>
      <c r="L57" s="13" t="str">
        <f aca="false">IF($B57="","",IF(COUNTIFS($B$3:$B57,$B57)&gt;1,0,IFERROR(LOOKUP($K57,배송비규정!$A$3:$A$32,배송비규정!$B$3:$B$32),0)+IFERROR(INDEX(지역추가비!$B$3:$B$42,MATCH($J57,지역추가비!$A$3:$A$42,0)),0)))</f>
        <v/>
      </c>
      <c r="M57" s="13" t="str">
        <f aca="false">IF($B57="","",IF(COUNTIFS($B$3:$B57,$B57)&gt;1,"",$K57+$L57))</f>
        <v/>
      </c>
      <c r="N57" s="14" t="str">
        <f aca="false">IF($B57="","",COUNTIFS($B$3:$B57,$B57))</f>
        <v/>
      </c>
      <c r="O57" s="14" t="str">
        <f aca="false">IF($B57="","",$B57&amp;"|"&amp;$N57)</f>
        <v/>
      </c>
    </row>
    <row r="58" customFormat="false" ht="15" hidden="false" customHeight="false" outlineLevel="0" collapsed="false">
      <c r="A58" s="12"/>
      <c r="B58" s="9"/>
      <c r="C58" s="9"/>
      <c r="D58" s="9"/>
      <c r="E58" s="9"/>
      <c r="F58" s="9"/>
      <c r="G58" s="9"/>
      <c r="H58" s="7"/>
      <c r="I58" s="13" t="str">
        <f aca="false">IF(OR($G58="",$H58=""),"",ROUND($G58*$H58,0))</f>
        <v/>
      </c>
      <c r="J58" s="8"/>
      <c r="K58" s="13" t="str">
        <f aca="false">IF($B58="","",SUMIFS($I$3:$I$2002,$B$3:$B$2002,$B58))</f>
        <v/>
      </c>
      <c r="L58" s="13" t="str">
        <f aca="false">IF($B58="","",IF(COUNTIFS($B$3:$B58,$B58)&gt;1,0,IFERROR(LOOKUP($K58,배송비규정!$A$3:$A$32,배송비규정!$B$3:$B$32),0)+IFERROR(INDEX(지역추가비!$B$3:$B$42,MATCH($J58,지역추가비!$A$3:$A$42,0)),0)))</f>
        <v/>
      </c>
      <c r="M58" s="13" t="str">
        <f aca="false">IF($B58="","",IF(COUNTIFS($B$3:$B58,$B58)&gt;1,"",$K58+$L58))</f>
        <v/>
      </c>
      <c r="N58" s="14" t="str">
        <f aca="false">IF($B58="","",COUNTIFS($B$3:$B58,$B58))</f>
        <v/>
      </c>
      <c r="O58" s="14" t="str">
        <f aca="false">IF($B58="","",$B58&amp;"|"&amp;$N58)</f>
        <v/>
      </c>
    </row>
    <row r="59" customFormat="false" ht="15" hidden="false" customHeight="false" outlineLevel="0" collapsed="false">
      <c r="A59" s="12"/>
      <c r="B59" s="9"/>
      <c r="C59" s="9"/>
      <c r="D59" s="9"/>
      <c r="E59" s="9"/>
      <c r="F59" s="9"/>
      <c r="G59" s="9"/>
      <c r="H59" s="7"/>
      <c r="I59" s="13" t="str">
        <f aca="false">IF(OR($G59="",$H59=""),"",ROUND($G59*$H59,0))</f>
        <v/>
      </c>
      <c r="J59" s="8"/>
      <c r="K59" s="13" t="str">
        <f aca="false">IF($B59="","",SUMIFS($I$3:$I$2002,$B$3:$B$2002,$B59))</f>
        <v/>
      </c>
      <c r="L59" s="13" t="str">
        <f aca="false">IF($B59="","",IF(COUNTIFS($B$3:$B59,$B59)&gt;1,0,IFERROR(LOOKUP($K59,배송비규정!$A$3:$A$32,배송비규정!$B$3:$B$32),0)+IFERROR(INDEX(지역추가비!$B$3:$B$42,MATCH($J59,지역추가비!$A$3:$A$42,0)),0)))</f>
        <v/>
      </c>
      <c r="M59" s="13" t="str">
        <f aca="false">IF($B59="","",IF(COUNTIFS($B$3:$B59,$B59)&gt;1,"",$K59+$L59))</f>
        <v/>
      </c>
      <c r="N59" s="14" t="str">
        <f aca="false">IF($B59="","",COUNTIFS($B$3:$B59,$B59))</f>
        <v/>
      </c>
      <c r="O59" s="14" t="str">
        <f aca="false">IF($B59="","",$B59&amp;"|"&amp;$N59)</f>
        <v/>
      </c>
    </row>
    <row r="60" customFormat="false" ht="15" hidden="false" customHeight="false" outlineLevel="0" collapsed="false">
      <c r="A60" s="12"/>
      <c r="B60" s="9"/>
      <c r="C60" s="9"/>
      <c r="D60" s="9"/>
      <c r="E60" s="9"/>
      <c r="F60" s="9"/>
      <c r="G60" s="9"/>
      <c r="H60" s="7"/>
      <c r="I60" s="13" t="str">
        <f aca="false">IF(OR($G60="",$H60=""),"",ROUND($G60*$H60,0))</f>
        <v/>
      </c>
      <c r="J60" s="8"/>
      <c r="K60" s="13" t="str">
        <f aca="false">IF($B60="","",SUMIFS($I$3:$I$2002,$B$3:$B$2002,$B60))</f>
        <v/>
      </c>
      <c r="L60" s="13" t="str">
        <f aca="false">IF($B60="","",IF(COUNTIFS($B$3:$B60,$B60)&gt;1,0,IFERROR(LOOKUP($K60,배송비규정!$A$3:$A$32,배송비규정!$B$3:$B$32),0)+IFERROR(INDEX(지역추가비!$B$3:$B$42,MATCH($J60,지역추가비!$A$3:$A$42,0)),0)))</f>
        <v/>
      </c>
      <c r="M60" s="13" t="str">
        <f aca="false">IF($B60="","",IF(COUNTIFS($B$3:$B60,$B60)&gt;1,"",$K60+$L60))</f>
        <v/>
      </c>
      <c r="N60" s="14" t="str">
        <f aca="false">IF($B60="","",COUNTIFS($B$3:$B60,$B60))</f>
        <v/>
      </c>
      <c r="O60" s="14" t="str">
        <f aca="false">IF($B60="","",$B60&amp;"|"&amp;$N60)</f>
        <v/>
      </c>
    </row>
    <row r="61" customFormat="false" ht="15" hidden="false" customHeight="false" outlineLevel="0" collapsed="false">
      <c r="A61" s="12"/>
      <c r="B61" s="9"/>
      <c r="C61" s="9"/>
      <c r="D61" s="9"/>
      <c r="E61" s="9"/>
      <c r="F61" s="9"/>
      <c r="G61" s="9"/>
      <c r="H61" s="7"/>
      <c r="I61" s="13" t="str">
        <f aca="false">IF(OR($G61="",$H61=""),"",ROUND($G61*$H61,0))</f>
        <v/>
      </c>
      <c r="J61" s="8"/>
      <c r="K61" s="13" t="str">
        <f aca="false">IF($B61="","",SUMIFS($I$3:$I$2002,$B$3:$B$2002,$B61))</f>
        <v/>
      </c>
      <c r="L61" s="13" t="str">
        <f aca="false">IF($B61="","",IF(COUNTIFS($B$3:$B61,$B61)&gt;1,0,IFERROR(LOOKUP($K61,배송비규정!$A$3:$A$32,배송비규정!$B$3:$B$32),0)+IFERROR(INDEX(지역추가비!$B$3:$B$42,MATCH($J61,지역추가비!$A$3:$A$42,0)),0)))</f>
        <v/>
      </c>
      <c r="M61" s="13" t="str">
        <f aca="false">IF($B61="","",IF(COUNTIFS($B$3:$B61,$B61)&gt;1,"",$K61+$L61))</f>
        <v/>
      </c>
      <c r="N61" s="14" t="str">
        <f aca="false">IF($B61="","",COUNTIFS($B$3:$B61,$B61))</f>
        <v/>
      </c>
      <c r="O61" s="14" t="str">
        <f aca="false">IF($B61="","",$B61&amp;"|"&amp;$N61)</f>
        <v/>
      </c>
    </row>
    <row r="62" customFormat="false" ht="15" hidden="false" customHeight="false" outlineLevel="0" collapsed="false">
      <c r="A62" s="12"/>
      <c r="B62" s="9"/>
      <c r="C62" s="9"/>
      <c r="D62" s="9"/>
      <c r="E62" s="9"/>
      <c r="F62" s="9"/>
      <c r="G62" s="9"/>
      <c r="H62" s="7"/>
      <c r="I62" s="13" t="str">
        <f aca="false">IF(OR($G62="",$H62=""),"",ROUND($G62*$H62,0))</f>
        <v/>
      </c>
      <c r="J62" s="8"/>
      <c r="K62" s="13" t="str">
        <f aca="false">IF($B62="","",SUMIFS($I$3:$I$2002,$B$3:$B$2002,$B62))</f>
        <v/>
      </c>
      <c r="L62" s="13" t="str">
        <f aca="false">IF($B62="","",IF(COUNTIFS($B$3:$B62,$B62)&gt;1,0,IFERROR(LOOKUP($K62,배송비규정!$A$3:$A$32,배송비규정!$B$3:$B$32),0)+IFERROR(INDEX(지역추가비!$B$3:$B$42,MATCH($J62,지역추가비!$A$3:$A$42,0)),0)))</f>
        <v/>
      </c>
      <c r="M62" s="13" t="str">
        <f aca="false">IF($B62="","",IF(COUNTIFS($B$3:$B62,$B62)&gt;1,"",$K62+$L62))</f>
        <v/>
      </c>
      <c r="N62" s="14" t="str">
        <f aca="false">IF($B62="","",COUNTIFS($B$3:$B62,$B62))</f>
        <v/>
      </c>
      <c r="O62" s="14" t="str">
        <f aca="false">IF($B62="","",$B62&amp;"|"&amp;$N62)</f>
        <v/>
      </c>
    </row>
    <row r="63" customFormat="false" ht="15" hidden="false" customHeight="false" outlineLevel="0" collapsed="false">
      <c r="A63" s="12"/>
      <c r="B63" s="9"/>
      <c r="C63" s="9"/>
      <c r="D63" s="9"/>
      <c r="E63" s="9"/>
      <c r="F63" s="9"/>
      <c r="G63" s="9"/>
      <c r="H63" s="7"/>
      <c r="I63" s="13" t="str">
        <f aca="false">IF(OR($G63="",$H63=""),"",ROUND($G63*$H63,0))</f>
        <v/>
      </c>
      <c r="J63" s="8"/>
      <c r="K63" s="13" t="str">
        <f aca="false">IF($B63="","",SUMIFS($I$3:$I$2002,$B$3:$B$2002,$B63))</f>
        <v/>
      </c>
      <c r="L63" s="13" t="str">
        <f aca="false">IF($B63="","",IF(COUNTIFS($B$3:$B63,$B63)&gt;1,0,IFERROR(LOOKUP($K63,배송비규정!$A$3:$A$32,배송비규정!$B$3:$B$32),0)+IFERROR(INDEX(지역추가비!$B$3:$B$42,MATCH($J63,지역추가비!$A$3:$A$42,0)),0)))</f>
        <v/>
      </c>
      <c r="M63" s="13" t="str">
        <f aca="false">IF($B63="","",IF(COUNTIFS($B$3:$B63,$B63)&gt;1,"",$K63+$L63))</f>
        <v/>
      </c>
      <c r="N63" s="14" t="str">
        <f aca="false">IF($B63="","",COUNTIFS($B$3:$B63,$B63))</f>
        <v/>
      </c>
      <c r="O63" s="14" t="str">
        <f aca="false">IF($B63="","",$B63&amp;"|"&amp;$N63)</f>
        <v/>
      </c>
    </row>
    <row r="64" customFormat="false" ht="15" hidden="false" customHeight="false" outlineLevel="0" collapsed="false">
      <c r="A64" s="12"/>
      <c r="B64" s="9"/>
      <c r="C64" s="9"/>
      <c r="D64" s="9"/>
      <c r="E64" s="9"/>
      <c r="F64" s="9"/>
      <c r="G64" s="9"/>
      <c r="H64" s="7"/>
      <c r="I64" s="13" t="str">
        <f aca="false">IF(OR($G64="",$H64=""),"",ROUND($G64*$H64,0))</f>
        <v/>
      </c>
      <c r="J64" s="8"/>
      <c r="K64" s="13" t="str">
        <f aca="false">IF($B64="","",SUMIFS($I$3:$I$2002,$B$3:$B$2002,$B64))</f>
        <v/>
      </c>
      <c r="L64" s="13" t="str">
        <f aca="false">IF($B64="","",IF(COUNTIFS($B$3:$B64,$B64)&gt;1,0,IFERROR(LOOKUP($K64,배송비규정!$A$3:$A$32,배송비규정!$B$3:$B$32),0)+IFERROR(INDEX(지역추가비!$B$3:$B$42,MATCH($J64,지역추가비!$A$3:$A$42,0)),0)))</f>
        <v/>
      </c>
      <c r="M64" s="13" t="str">
        <f aca="false">IF($B64="","",IF(COUNTIFS($B$3:$B64,$B64)&gt;1,"",$K64+$L64))</f>
        <v/>
      </c>
      <c r="N64" s="14" t="str">
        <f aca="false">IF($B64="","",COUNTIFS($B$3:$B64,$B64))</f>
        <v/>
      </c>
      <c r="O64" s="14" t="str">
        <f aca="false">IF($B64="","",$B64&amp;"|"&amp;$N64)</f>
        <v/>
      </c>
    </row>
    <row r="65" customFormat="false" ht="15" hidden="false" customHeight="false" outlineLevel="0" collapsed="false">
      <c r="A65" s="12"/>
      <c r="B65" s="9"/>
      <c r="C65" s="9"/>
      <c r="D65" s="9"/>
      <c r="E65" s="9"/>
      <c r="F65" s="9"/>
      <c r="G65" s="9"/>
      <c r="H65" s="7"/>
      <c r="I65" s="13" t="str">
        <f aca="false">IF(OR($G65="",$H65=""),"",ROUND($G65*$H65,0))</f>
        <v/>
      </c>
      <c r="J65" s="8"/>
      <c r="K65" s="13" t="str">
        <f aca="false">IF($B65="","",SUMIFS($I$3:$I$2002,$B$3:$B$2002,$B65))</f>
        <v/>
      </c>
      <c r="L65" s="13" t="str">
        <f aca="false">IF($B65="","",IF(COUNTIFS($B$3:$B65,$B65)&gt;1,0,IFERROR(LOOKUP($K65,배송비규정!$A$3:$A$32,배송비규정!$B$3:$B$32),0)+IFERROR(INDEX(지역추가비!$B$3:$B$42,MATCH($J65,지역추가비!$A$3:$A$42,0)),0)))</f>
        <v/>
      </c>
      <c r="M65" s="13" t="str">
        <f aca="false">IF($B65="","",IF(COUNTIFS($B$3:$B65,$B65)&gt;1,"",$K65+$L65))</f>
        <v/>
      </c>
      <c r="N65" s="14" t="str">
        <f aca="false">IF($B65="","",COUNTIFS($B$3:$B65,$B65))</f>
        <v/>
      </c>
      <c r="O65" s="14" t="str">
        <f aca="false">IF($B65="","",$B65&amp;"|"&amp;$N65)</f>
        <v/>
      </c>
    </row>
    <row r="66" customFormat="false" ht="15" hidden="false" customHeight="false" outlineLevel="0" collapsed="false">
      <c r="A66" s="12"/>
      <c r="B66" s="9"/>
      <c r="C66" s="9"/>
      <c r="D66" s="9"/>
      <c r="E66" s="9"/>
      <c r="F66" s="9"/>
      <c r="G66" s="9"/>
      <c r="H66" s="7"/>
      <c r="I66" s="13" t="str">
        <f aca="false">IF(OR($G66="",$H66=""),"",ROUND($G66*$H66,0))</f>
        <v/>
      </c>
      <c r="J66" s="8"/>
      <c r="K66" s="13" t="str">
        <f aca="false">IF($B66="","",SUMIFS($I$3:$I$2002,$B$3:$B$2002,$B66))</f>
        <v/>
      </c>
      <c r="L66" s="13" t="str">
        <f aca="false">IF($B66="","",IF(COUNTIFS($B$3:$B66,$B66)&gt;1,0,IFERROR(LOOKUP($K66,배송비규정!$A$3:$A$32,배송비규정!$B$3:$B$32),0)+IFERROR(INDEX(지역추가비!$B$3:$B$42,MATCH($J66,지역추가비!$A$3:$A$42,0)),0)))</f>
        <v/>
      </c>
      <c r="M66" s="13" t="str">
        <f aca="false">IF($B66="","",IF(COUNTIFS($B$3:$B66,$B66)&gt;1,"",$K66+$L66))</f>
        <v/>
      </c>
      <c r="N66" s="14" t="str">
        <f aca="false">IF($B66="","",COUNTIFS($B$3:$B66,$B66))</f>
        <v/>
      </c>
      <c r="O66" s="14" t="str">
        <f aca="false">IF($B66="","",$B66&amp;"|"&amp;$N66)</f>
        <v/>
      </c>
    </row>
    <row r="67" customFormat="false" ht="15" hidden="false" customHeight="false" outlineLevel="0" collapsed="false">
      <c r="A67" s="12"/>
      <c r="B67" s="9"/>
      <c r="C67" s="9"/>
      <c r="D67" s="9"/>
      <c r="E67" s="9"/>
      <c r="F67" s="9"/>
      <c r="G67" s="9"/>
      <c r="H67" s="7"/>
      <c r="I67" s="13" t="str">
        <f aca="false">IF(OR($G67="",$H67=""),"",ROUND($G67*$H67,0))</f>
        <v/>
      </c>
      <c r="J67" s="8"/>
      <c r="K67" s="13" t="str">
        <f aca="false">IF($B67="","",SUMIFS($I$3:$I$2002,$B$3:$B$2002,$B67))</f>
        <v/>
      </c>
      <c r="L67" s="13" t="str">
        <f aca="false">IF($B67="","",IF(COUNTIFS($B$3:$B67,$B67)&gt;1,0,IFERROR(LOOKUP($K67,배송비규정!$A$3:$A$32,배송비규정!$B$3:$B$32),0)+IFERROR(INDEX(지역추가비!$B$3:$B$42,MATCH($J67,지역추가비!$A$3:$A$42,0)),0)))</f>
        <v/>
      </c>
      <c r="M67" s="13" t="str">
        <f aca="false">IF($B67="","",IF(COUNTIFS($B$3:$B67,$B67)&gt;1,"",$K67+$L67))</f>
        <v/>
      </c>
      <c r="N67" s="14" t="str">
        <f aca="false">IF($B67="","",COUNTIFS($B$3:$B67,$B67))</f>
        <v/>
      </c>
      <c r="O67" s="14" t="str">
        <f aca="false">IF($B67="","",$B67&amp;"|"&amp;$N67)</f>
        <v/>
      </c>
    </row>
    <row r="68" customFormat="false" ht="15" hidden="false" customHeight="false" outlineLevel="0" collapsed="false">
      <c r="A68" s="12"/>
      <c r="B68" s="9"/>
      <c r="C68" s="9"/>
      <c r="D68" s="9"/>
      <c r="E68" s="9"/>
      <c r="F68" s="9"/>
      <c r="G68" s="9"/>
      <c r="H68" s="7"/>
      <c r="I68" s="13" t="str">
        <f aca="false">IF(OR($G68="",$H68=""),"",ROUND($G68*$H68,0))</f>
        <v/>
      </c>
      <c r="J68" s="8"/>
      <c r="K68" s="13" t="str">
        <f aca="false">IF($B68="","",SUMIFS($I$3:$I$2002,$B$3:$B$2002,$B68))</f>
        <v/>
      </c>
      <c r="L68" s="13" t="str">
        <f aca="false">IF($B68="","",IF(COUNTIFS($B$3:$B68,$B68)&gt;1,0,IFERROR(LOOKUP($K68,배송비규정!$A$3:$A$32,배송비규정!$B$3:$B$32),0)+IFERROR(INDEX(지역추가비!$B$3:$B$42,MATCH($J68,지역추가비!$A$3:$A$42,0)),0)))</f>
        <v/>
      </c>
      <c r="M68" s="13" t="str">
        <f aca="false">IF($B68="","",IF(COUNTIFS($B$3:$B68,$B68)&gt;1,"",$K68+$L68))</f>
        <v/>
      </c>
      <c r="N68" s="14" t="str">
        <f aca="false">IF($B68="","",COUNTIFS($B$3:$B68,$B68))</f>
        <v/>
      </c>
      <c r="O68" s="14" t="str">
        <f aca="false">IF($B68="","",$B68&amp;"|"&amp;$N68)</f>
        <v/>
      </c>
    </row>
    <row r="69" customFormat="false" ht="15" hidden="false" customHeight="false" outlineLevel="0" collapsed="false">
      <c r="A69" s="12"/>
      <c r="B69" s="9"/>
      <c r="C69" s="9"/>
      <c r="D69" s="9"/>
      <c r="E69" s="9"/>
      <c r="F69" s="9"/>
      <c r="G69" s="9"/>
      <c r="H69" s="7"/>
      <c r="I69" s="13" t="str">
        <f aca="false">IF(OR($G69="",$H69=""),"",ROUND($G69*$H69,0))</f>
        <v/>
      </c>
      <c r="J69" s="8"/>
      <c r="K69" s="13" t="str">
        <f aca="false">IF($B69="","",SUMIFS($I$3:$I$2002,$B$3:$B$2002,$B69))</f>
        <v/>
      </c>
      <c r="L69" s="13" t="str">
        <f aca="false">IF($B69="","",IF(COUNTIFS($B$3:$B69,$B69)&gt;1,0,IFERROR(LOOKUP($K69,배송비규정!$A$3:$A$32,배송비규정!$B$3:$B$32),0)+IFERROR(INDEX(지역추가비!$B$3:$B$42,MATCH($J69,지역추가비!$A$3:$A$42,0)),0)))</f>
        <v/>
      </c>
      <c r="M69" s="13" t="str">
        <f aca="false">IF($B69="","",IF(COUNTIFS($B$3:$B69,$B69)&gt;1,"",$K69+$L69))</f>
        <v/>
      </c>
      <c r="N69" s="14" t="str">
        <f aca="false">IF($B69="","",COUNTIFS($B$3:$B69,$B69))</f>
        <v/>
      </c>
      <c r="O69" s="14" t="str">
        <f aca="false">IF($B69="","",$B69&amp;"|"&amp;$N69)</f>
        <v/>
      </c>
    </row>
    <row r="70" customFormat="false" ht="15" hidden="false" customHeight="false" outlineLevel="0" collapsed="false">
      <c r="A70" s="12"/>
      <c r="B70" s="9"/>
      <c r="C70" s="9"/>
      <c r="D70" s="9"/>
      <c r="E70" s="9"/>
      <c r="F70" s="9"/>
      <c r="G70" s="9"/>
      <c r="H70" s="7"/>
      <c r="I70" s="13" t="str">
        <f aca="false">IF(OR($G70="",$H70=""),"",ROUND($G70*$H70,0))</f>
        <v/>
      </c>
      <c r="J70" s="8"/>
      <c r="K70" s="13" t="str">
        <f aca="false">IF($B70="","",SUMIFS($I$3:$I$2002,$B$3:$B$2002,$B70))</f>
        <v/>
      </c>
      <c r="L70" s="13" t="str">
        <f aca="false">IF($B70="","",IF(COUNTIFS($B$3:$B70,$B70)&gt;1,0,IFERROR(LOOKUP($K70,배송비규정!$A$3:$A$32,배송비규정!$B$3:$B$32),0)+IFERROR(INDEX(지역추가비!$B$3:$B$42,MATCH($J70,지역추가비!$A$3:$A$42,0)),0)))</f>
        <v/>
      </c>
      <c r="M70" s="13" t="str">
        <f aca="false">IF($B70="","",IF(COUNTIFS($B$3:$B70,$B70)&gt;1,"",$K70+$L70))</f>
        <v/>
      </c>
      <c r="N70" s="14" t="str">
        <f aca="false">IF($B70="","",COUNTIFS($B$3:$B70,$B70))</f>
        <v/>
      </c>
      <c r="O70" s="14" t="str">
        <f aca="false">IF($B70="","",$B70&amp;"|"&amp;$N70)</f>
        <v/>
      </c>
    </row>
    <row r="71" customFormat="false" ht="15" hidden="false" customHeight="false" outlineLevel="0" collapsed="false">
      <c r="A71" s="12"/>
      <c r="B71" s="9"/>
      <c r="C71" s="9"/>
      <c r="D71" s="9"/>
      <c r="E71" s="9"/>
      <c r="F71" s="9"/>
      <c r="G71" s="9"/>
      <c r="H71" s="7"/>
      <c r="I71" s="13" t="str">
        <f aca="false">IF(OR($G71="",$H71=""),"",ROUND($G71*$H71,0))</f>
        <v/>
      </c>
      <c r="J71" s="8"/>
      <c r="K71" s="13" t="str">
        <f aca="false">IF($B71="","",SUMIFS($I$3:$I$2002,$B$3:$B$2002,$B71))</f>
        <v/>
      </c>
      <c r="L71" s="13" t="str">
        <f aca="false">IF($B71="","",IF(COUNTIFS($B$3:$B71,$B71)&gt;1,0,IFERROR(LOOKUP($K71,배송비규정!$A$3:$A$32,배송비규정!$B$3:$B$32),0)+IFERROR(INDEX(지역추가비!$B$3:$B$42,MATCH($J71,지역추가비!$A$3:$A$42,0)),0)))</f>
        <v/>
      </c>
      <c r="M71" s="13" t="str">
        <f aca="false">IF($B71="","",IF(COUNTIFS($B$3:$B71,$B71)&gt;1,"",$K71+$L71))</f>
        <v/>
      </c>
      <c r="N71" s="14" t="str">
        <f aca="false">IF($B71="","",COUNTIFS($B$3:$B71,$B71))</f>
        <v/>
      </c>
      <c r="O71" s="14" t="str">
        <f aca="false">IF($B71="","",$B71&amp;"|"&amp;$N71)</f>
        <v/>
      </c>
    </row>
    <row r="72" customFormat="false" ht="15" hidden="false" customHeight="false" outlineLevel="0" collapsed="false">
      <c r="A72" s="12"/>
      <c r="B72" s="9"/>
      <c r="C72" s="9"/>
      <c r="D72" s="9"/>
      <c r="E72" s="9"/>
      <c r="F72" s="9"/>
      <c r="G72" s="9"/>
      <c r="H72" s="7"/>
      <c r="I72" s="13" t="str">
        <f aca="false">IF(OR($G72="",$H72=""),"",ROUND($G72*$H72,0))</f>
        <v/>
      </c>
      <c r="J72" s="8"/>
      <c r="K72" s="13" t="str">
        <f aca="false">IF($B72="","",SUMIFS($I$3:$I$2002,$B$3:$B$2002,$B72))</f>
        <v/>
      </c>
      <c r="L72" s="13" t="str">
        <f aca="false">IF($B72="","",IF(COUNTIFS($B$3:$B72,$B72)&gt;1,0,IFERROR(LOOKUP($K72,배송비규정!$A$3:$A$32,배송비규정!$B$3:$B$32),0)+IFERROR(INDEX(지역추가비!$B$3:$B$42,MATCH($J72,지역추가비!$A$3:$A$42,0)),0)))</f>
        <v/>
      </c>
      <c r="M72" s="13" t="str">
        <f aca="false">IF($B72="","",IF(COUNTIFS($B$3:$B72,$B72)&gt;1,"",$K72+$L72))</f>
        <v/>
      </c>
      <c r="N72" s="14" t="str">
        <f aca="false">IF($B72="","",COUNTIFS($B$3:$B72,$B72))</f>
        <v/>
      </c>
      <c r="O72" s="14" t="str">
        <f aca="false">IF($B72="","",$B72&amp;"|"&amp;$N72)</f>
        <v/>
      </c>
    </row>
    <row r="73" customFormat="false" ht="15" hidden="false" customHeight="false" outlineLevel="0" collapsed="false">
      <c r="A73" s="12"/>
      <c r="B73" s="9"/>
      <c r="C73" s="9"/>
      <c r="D73" s="9"/>
      <c r="E73" s="9"/>
      <c r="F73" s="9"/>
      <c r="G73" s="9"/>
      <c r="H73" s="7"/>
      <c r="I73" s="13" t="str">
        <f aca="false">IF(OR($G73="",$H73=""),"",ROUND($G73*$H73,0))</f>
        <v/>
      </c>
      <c r="J73" s="8"/>
      <c r="K73" s="13" t="str">
        <f aca="false">IF($B73="","",SUMIFS($I$3:$I$2002,$B$3:$B$2002,$B73))</f>
        <v/>
      </c>
      <c r="L73" s="13" t="str">
        <f aca="false">IF($B73="","",IF(COUNTIFS($B$3:$B73,$B73)&gt;1,0,IFERROR(LOOKUP($K73,배송비규정!$A$3:$A$32,배송비규정!$B$3:$B$32),0)+IFERROR(INDEX(지역추가비!$B$3:$B$42,MATCH($J73,지역추가비!$A$3:$A$42,0)),0)))</f>
        <v/>
      </c>
      <c r="M73" s="13" t="str">
        <f aca="false">IF($B73="","",IF(COUNTIFS($B$3:$B73,$B73)&gt;1,"",$K73+$L73))</f>
        <v/>
      </c>
      <c r="N73" s="14" t="str">
        <f aca="false">IF($B73="","",COUNTIFS($B$3:$B73,$B73))</f>
        <v/>
      </c>
      <c r="O73" s="14" t="str">
        <f aca="false">IF($B73="","",$B73&amp;"|"&amp;$N73)</f>
        <v/>
      </c>
    </row>
    <row r="74" customFormat="false" ht="15" hidden="false" customHeight="false" outlineLevel="0" collapsed="false">
      <c r="A74" s="12"/>
      <c r="B74" s="9"/>
      <c r="C74" s="9"/>
      <c r="D74" s="9"/>
      <c r="E74" s="9"/>
      <c r="F74" s="9"/>
      <c r="G74" s="9"/>
      <c r="H74" s="7"/>
      <c r="I74" s="13" t="str">
        <f aca="false">IF(OR($G74="",$H74=""),"",ROUND($G74*$H74,0))</f>
        <v/>
      </c>
      <c r="J74" s="8"/>
      <c r="K74" s="13" t="str">
        <f aca="false">IF($B74="","",SUMIFS($I$3:$I$2002,$B$3:$B$2002,$B74))</f>
        <v/>
      </c>
      <c r="L74" s="13" t="str">
        <f aca="false">IF($B74="","",IF(COUNTIFS($B$3:$B74,$B74)&gt;1,0,IFERROR(LOOKUP($K74,배송비규정!$A$3:$A$32,배송비규정!$B$3:$B$32),0)+IFERROR(INDEX(지역추가비!$B$3:$B$42,MATCH($J74,지역추가비!$A$3:$A$42,0)),0)))</f>
        <v/>
      </c>
      <c r="M74" s="13" t="str">
        <f aca="false">IF($B74="","",IF(COUNTIFS($B$3:$B74,$B74)&gt;1,"",$K74+$L74))</f>
        <v/>
      </c>
      <c r="N74" s="14" t="str">
        <f aca="false">IF($B74="","",COUNTIFS($B$3:$B74,$B74))</f>
        <v/>
      </c>
      <c r="O74" s="14" t="str">
        <f aca="false">IF($B74="","",$B74&amp;"|"&amp;$N74)</f>
        <v/>
      </c>
    </row>
    <row r="75" customFormat="false" ht="15" hidden="false" customHeight="false" outlineLevel="0" collapsed="false">
      <c r="A75" s="12"/>
      <c r="B75" s="9"/>
      <c r="C75" s="9"/>
      <c r="D75" s="9"/>
      <c r="E75" s="9"/>
      <c r="F75" s="9"/>
      <c r="G75" s="9"/>
      <c r="H75" s="7"/>
      <c r="I75" s="13" t="str">
        <f aca="false">IF(OR($G75="",$H75=""),"",ROUND($G75*$H75,0))</f>
        <v/>
      </c>
      <c r="J75" s="8"/>
      <c r="K75" s="13" t="str">
        <f aca="false">IF($B75="","",SUMIFS($I$3:$I$2002,$B$3:$B$2002,$B75))</f>
        <v/>
      </c>
      <c r="L75" s="13" t="str">
        <f aca="false">IF($B75="","",IF(COUNTIFS($B$3:$B75,$B75)&gt;1,0,IFERROR(LOOKUP($K75,배송비규정!$A$3:$A$32,배송비규정!$B$3:$B$32),0)+IFERROR(INDEX(지역추가비!$B$3:$B$42,MATCH($J75,지역추가비!$A$3:$A$42,0)),0)))</f>
        <v/>
      </c>
      <c r="M75" s="13" t="str">
        <f aca="false">IF($B75="","",IF(COUNTIFS($B$3:$B75,$B75)&gt;1,"",$K75+$L75))</f>
        <v/>
      </c>
      <c r="N75" s="14" t="str">
        <f aca="false">IF($B75="","",COUNTIFS($B$3:$B75,$B75))</f>
        <v/>
      </c>
      <c r="O75" s="14" t="str">
        <f aca="false">IF($B75="","",$B75&amp;"|"&amp;$N75)</f>
        <v/>
      </c>
    </row>
    <row r="76" customFormat="false" ht="15" hidden="false" customHeight="false" outlineLevel="0" collapsed="false">
      <c r="A76" s="12"/>
      <c r="B76" s="9"/>
      <c r="C76" s="9"/>
      <c r="D76" s="9"/>
      <c r="E76" s="9"/>
      <c r="F76" s="9"/>
      <c r="G76" s="9"/>
      <c r="H76" s="7"/>
      <c r="I76" s="13" t="str">
        <f aca="false">IF(OR($G76="",$H76=""),"",ROUND($G76*$H76,0))</f>
        <v/>
      </c>
      <c r="J76" s="8"/>
      <c r="K76" s="13" t="str">
        <f aca="false">IF($B76="","",SUMIFS($I$3:$I$2002,$B$3:$B$2002,$B76))</f>
        <v/>
      </c>
      <c r="L76" s="13" t="str">
        <f aca="false">IF($B76="","",IF(COUNTIFS($B$3:$B76,$B76)&gt;1,0,IFERROR(LOOKUP($K76,배송비규정!$A$3:$A$32,배송비규정!$B$3:$B$32),0)+IFERROR(INDEX(지역추가비!$B$3:$B$42,MATCH($J76,지역추가비!$A$3:$A$42,0)),0)))</f>
        <v/>
      </c>
      <c r="M76" s="13" t="str">
        <f aca="false">IF($B76="","",IF(COUNTIFS($B$3:$B76,$B76)&gt;1,"",$K76+$L76))</f>
        <v/>
      </c>
      <c r="N76" s="14" t="str">
        <f aca="false">IF($B76="","",COUNTIFS($B$3:$B76,$B76))</f>
        <v/>
      </c>
      <c r="O76" s="14" t="str">
        <f aca="false">IF($B76="","",$B76&amp;"|"&amp;$N76)</f>
        <v/>
      </c>
    </row>
    <row r="77" customFormat="false" ht="15" hidden="false" customHeight="false" outlineLevel="0" collapsed="false">
      <c r="A77" s="12"/>
      <c r="B77" s="9"/>
      <c r="C77" s="9"/>
      <c r="D77" s="9"/>
      <c r="E77" s="9"/>
      <c r="F77" s="9"/>
      <c r="G77" s="9"/>
      <c r="H77" s="7"/>
      <c r="I77" s="13" t="str">
        <f aca="false">IF(OR($G77="",$H77=""),"",ROUND($G77*$H77,0))</f>
        <v/>
      </c>
      <c r="J77" s="8"/>
      <c r="K77" s="13" t="str">
        <f aca="false">IF($B77="","",SUMIFS($I$3:$I$2002,$B$3:$B$2002,$B77))</f>
        <v/>
      </c>
      <c r="L77" s="13" t="str">
        <f aca="false">IF($B77="","",IF(COUNTIFS($B$3:$B77,$B77)&gt;1,0,IFERROR(LOOKUP($K77,배송비규정!$A$3:$A$32,배송비규정!$B$3:$B$32),0)+IFERROR(INDEX(지역추가비!$B$3:$B$42,MATCH($J77,지역추가비!$A$3:$A$42,0)),0)))</f>
        <v/>
      </c>
      <c r="M77" s="13" t="str">
        <f aca="false">IF($B77="","",IF(COUNTIFS($B$3:$B77,$B77)&gt;1,"",$K77+$L77))</f>
        <v/>
      </c>
      <c r="N77" s="14" t="str">
        <f aca="false">IF($B77="","",COUNTIFS($B$3:$B77,$B77))</f>
        <v/>
      </c>
      <c r="O77" s="14" t="str">
        <f aca="false">IF($B77="","",$B77&amp;"|"&amp;$N77)</f>
        <v/>
      </c>
    </row>
    <row r="78" customFormat="false" ht="15" hidden="false" customHeight="false" outlineLevel="0" collapsed="false">
      <c r="A78" s="12"/>
      <c r="B78" s="9"/>
      <c r="C78" s="9"/>
      <c r="D78" s="9"/>
      <c r="E78" s="9"/>
      <c r="F78" s="9"/>
      <c r="G78" s="9"/>
      <c r="H78" s="7"/>
      <c r="I78" s="13" t="str">
        <f aca="false">IF(OR($G78="",$H78=""),"",ROUND($G78*$H78,0))</f>
        <v/>
      </c>
      <c r="J78" s="8"/>
      <c r="K78" s="13" t="str">
        <f aca="false">IF($B78="","",SUMIFS($I$3:$I$2002,$B$3:$B$2002,$B78))</f>
        <v/>
      </c>
      <c r="L78" s="13" t="str">
        <f aca="false">IF($B78="","",IF(COUNTIFS($B$3:$B78,$B78)&gt;1,0,IFERROR(LOOKUP($K78,배송비규정!$A$3:$A$32,배송비규정!$B$3:$B$32),0)+IFERROR(INDEX(지역추가비!$B$3:$B$42,MATCH($J78,지역추가비!$A$3:$A$42,0)),0)))</f>
        <v/>
      </c>
      <c r="M78" s="13" t="str">
        <f aca="false">IF($B78="","",IF(COUNTIFS($B$3:$B78,$B78)&gt;1,"",$K78+$L78))</f>
        <v/>
      </c>
      <c r="N78" s="14" t="str">
        <f aca="false">IF($B78="","",COUNTIFS($B$3:$B78,$B78))</f>
        <v/>
      </c>
      <c r="O78" s="14" t="str">
        <f aca="false">IF($B78="","",$B78&amp;"|"&amp;$N78)</f>
        <v/>
      </c>
    </row>
    <row r="79" customFormat="false" ht="15" hidden="false" customHeight="false" outlineLevel="0" collapsed="false">
      <c r="A79" s="12"/>
      <c r="B79" s="9"/>
      <c r="C79" s="9"/>
      <c r="D79" s="9"/>
      <c r="E79" s="9"/>
      <c r="F79" s="9"/>
      <c r="G79" s="9"/>
      <c r="H79" s="7"/>
      <c r="I79" s="13" t="str">
        <f aca="false">IF(OR($G79="",$H79=""),"",ROUND($G79*$H79,0))</f>
        <v/>
      </c>
      <c r="J79" s="8"/>
      <c r="K79" s="13" t="str">
        <f aca="false">IF($B79="","",SUMIFS($I$3:$I$2002,$B$3:$B$2002,$B79))</f>
        <v/>
      </c>
      <c r="L79" s="13" t="str">
        <f aca="false">IF($B79="","",IF(COUNTIFS($B$3:$B79,$B79)&gt;1,0,IFERROR(LOOKUP($K79,배송비규정!$A$3:$A$32,배송비규정!$B$3:$B$32),0)+IFERROR(INDEX(지역추가비!$B$3:$B$42,MATCH($J79,지역추가비!$A$3:$A$42,0)),0)))</f>
        <v/>
      </c>
      <c r="M79" s="13" t="str">
        <f aca="false">IF($B79="","",IF(COUNTIFS($B$3:$B79,$B79)&gt;1,"",$K79+$L79))</f>
        <v/>
      </c>
      <c r="N79" s="14" t="str">
        <f aca="false">IF($B79="","",COUNTIFS($B$3:$B79,$B79))</f>
        <v/>
      </c>
      <c r="O79" s="14" t="str">
        <f aca="false">IF($B79="","",$B79&amp;"|"&amp;$N79)</f>
        <v/>
      </c>
    </row>
    <row r="80" customFormat="false" ht="15" hidden="false" customHeight="false" outlineLevel="0" collapsed="false">
      <c r="A80" s="12"/>
      <c r="B80" s="9"/>
      <c r="C80" s="9"/>
      <c r="D80" s="9"/>
      <c r="E80" s="9"/>
      <c r="F80" s="9"/>
      <c r="G80" s="9"/>
      <c r="H80" s="7"/>
      <c r="I80" s="13" t="str">
        <f aca="false">IF(OR($G80="",$H80=""),"",ROUND($G80*$H80,0))</f>
        <v/>
      </c>
      <c r="J80" s="8"/>
      <c r="K80" s="13" t="str">
        <f aca="false">IF($B80="","",SUMIFS($I$3:$I$2002,$B$3:$B$2002,$B80))</f>
        <v/>
      </c>
      <c r="L80" s="13" t="str">
        <f aca="false">IF($B80="","",IF(COUNTIFS($B$3:$B80,$B80)&gt;1,0,IFERROR(LOOKUP($K80,배송비규정!$A$3:$A$32,배송비규정!$B$3:$B$32),0)+IFERROR(INDEX(지역추가비!$B$3:$B$42,MATCH($J80,지역추가비!$A$3:$A$42,0)),0)))</f>
        <v/>
      </c>
      <c r="M80" s="13" t="str">
        <f aca="false">IF($B80="","",IF(COUNTIFS($B$3:$B80,$B80)&gt;1,"",$K80+$L80))</f>
        <v/>
      </c>
      <c r="N80" s="14" t="str">
        <f aca="false">IF($B80="","",COUNTIFS($B$3:$B80,$B80))</f>
        <v/>
      </c>
      <c r="O80" s="14" t="str">
        <f aca="false">IF($B80="","",$B80&amp;"|"&amp;$N80)</f>
        <v/>
      </c>
    </row>
    <row r="81" customFormat="false" ht="15" hidden="false" customHeight="false" outlineLevel="0" collapsed="false">
      <c r="A81" s="12"/>
      <c r="B81" s="9"/>
      <c r="C81" s="9"/>
      <c r="D81" s="9"/>
      <c r="E81" s="9"/>
      <c r="F81" s="9"/>
      <c r="G81" s="9"/>
      <c r="H81" s="7"/>
      <c r="I81" s="13" t="str">
        <f aca="false">IF(OR($G81="",$H81=""),"",ROUND($G81*$H81,0))</f>
        <v/>
      </c>
      <c r="J81" s="8"/>
      <c r="K81" s="13" t="str">
        <f aca="false">IF($B81="","",SUMIFS($I$3:$I$2002,$B$3:$B$2002,$B81))</f>
        <v/>
      </c>
      <c r="L81" s="13" t="str">
        <f aca="false">IF($B81="","",IF(COUNTIFS($B$3:$B81,$B81)&gt;1,0,IFERROR(LOOKUP($K81,배송비규정!$A$3:$A$32,배송비규정!$B$3:$B$32),0)+IFERROR(INDEX(지역추가비!$B$3:$B$42,MATCH($J81,지역추가비!$A$3:$A$42,0)),0)))</f>
        <v/>
      </c>
      <c r="M81" s="13" t="str">
        <f aca="false">IF($B81="","",IF(COUNTIFS($B$3:$B81,$B81)&gt;1,"",$K81+$L81))</f>
        <v/>
      </c>
      <c r="N81" s="14" t="str">
        <f aca="false">IF($B81="","",COUNTIFS($B$3:$B81,$B81))</f>
        <v/>
      </c>
      <c r="O81" s="14" t="str">
        <f aca="false">IF($B81="","",$B81&amp;"|"&amp;$N81)</f>
        <v/>
      </c>
    </row>
    <row r="82" customFormat="false" ht="15" hidden="false" customHeight="false" outlineLevel="0" collapsed="false">
      <c r="A82" s="12"/>
      <c r="B82" s="9"/>
      <c r="C82" s="9"/>
      <c r="D82" s="9"/>
      <c r="E82" s="9"/>
      <c r="F82" s="9"/>
      <c r="G82" s="9"/>
      <c r="H82" s="7"/>
      <c r="I82" s="13" t="str">
        <f aca="false">IF(OR($G82="",$H82=""),"",ROUND($G82*$H82,0))</f>
        <v/>
      </c>
      <c r="J82" s="8"/>
      <c r="K82" s="13" t="str">
        <f aca="false">IF($B82="","",SUMIFS($I$3:$I$2002,$B$3:$B$2002,$B82))</f>
        <v/>
      </c>
      <c r="L82" s="13" t="str">
        <f aca="false">IF($B82="","",IF(COUNTIFS($B$3:$B82,$B82)&gt;1,0,IFERROR(LOOKUP($K82,배송비규정!$A$3:$A$32,배송비규정!$B$3:$B$32),0)+IFERROR(INDEX(지역추가비!$B$3:$B$42,MATCH($J82,지역추가비!$A$3:$A$42,0)),0)))</f>
        <v/>
      </c>
      <c r="M82" s="13" t="str">
        <f aca="false">IF($B82="","",IF(COUNTIFS($B$3:$B82,$B82)&gt;1,"",$K82+$L82))</f>
        <v/>
      </c>
      <c r="N82" s="14" t="str">
        <f aca="false">IF($B82="","",COUNTIFS($B$3:$B82,$B82))</f>
        <v/>
      </c>
      <c r="O82" s="14" t="str">
        <f aca="false">IF($B82="","",$B82&amp;"|"&amp;$N82)</f>
        <v/>
      </c>
    </row>
    <row r="83" customFormat="false" ht="15" hidden="false" customHeight="false" outlineLevel="0" collapsed="false">
      <c r="A83" s="12"/>
      <c r="B83" s="9"/>
      <c r="C83" s="9"/>
      <c r="D83" s="9"/>
      <c r="E83" s="9"/>
      <c r="F83" s="9"/>
      <c r="G83" s="9"/>
      <c r="H83" s="7"/>
      <c r="I83" s="13" t="str">
        <f aca="false">IF(OR($G83="",$H83=""),"",ROUND($G83*$H83,0))</f>
        <v/>
      </c>
      <c r="J83" s="8"/>
      <c r="K83" s="13" t="str">
        <f aca="false">IF($B83="","",SUMIFS($I$3:$I$2002,$B$3:$B$2002,$B83))</f>
        <v/>
      </c>
      <c r="L83" s="13" t="str">
        <f aca="false">IF($B83="","",IF(COUNTIFS($B$3:$B83,$B83)&gt;1,0,IFERROR(LOOKUP($K83,배송비규정!$A$3:$A$32,배송비규정!$B$3:$B$32),0)+IFERROR(INDEX(지역추가비!$B$3:$B$42,MATCH($J83,지역추가비!$A$3:$A$42,0)),0)))</f>
        <v/>
      </c>
      <c r="M83" s="13" t="str">
        <f aca="false">IF($B83="","",IF(COUNTIFS($B$3:$B83,$B83)&gt;1,"",$K83+$L83))</f>
        <v/>
      </c>
      <c r="N83" s="14" t="str">
        <f aca="false">IF($B83="","",COUNTIFS($B$3:$B83,$B83))</f>
        <v/>
      </c>
      <c r="O83" s="14" t="str">
        <f aca="false">IF($B83="","",$B83&amp;"|"&amp;$N83)</f>
        <v/>
      </c>
    </row>
    <row r="84" customFormat="false" ht="15" hidden="false" customHeight="false" outlineLevel="0" collapsed="false">
      <c r="A84" s="12"/>
      <c r="B84" s="9"/>
      <c r="C84" s="9"/>
      <c r="D84" s="9"/>
      <c r="E84" s="9"/>
      <c r="F84" s="9"/>
      <c r="G84" s="9"/>
      <c r="H84" s="7"/>
      <c r="I84" s="13" t="str">
        <f aca="false">IF(OR($G84="",$H84=""),"",ROUND($G84*$H84,0))</f>
        <v/>
      </c>
      <c r="J84" s="8"/>
      <c r="K84" s="13" t="str">
        <f aca="false">IF($B84="","",SUMIFS($I$3:$I$2002,$B$3:$B$2002,$B84))</f>
        <v/>
      </c>
      <c r="L84" s="13" t="str">
        <f aca="false">IF($B84="","",IF(COUNTIFS($B$3:$B84,$B84)&gt;1,0,IFERROR(LOOKUP($K84,배송비규정!$A$3:$A$32,배송비규정!$B$3:$B$32),0)+IFERROR(INDEX(지역추가비!$B$3:$B$42,MATCH($J84,지역추가비!$A$3:$A$42,0)),0)))</f>
        <v/>
      </c>
      <c r="M84" s="13" t="str">
        <f aca="false">IF($B84="","",IF(COUNTIFS($B$3:$B84,$B84)&gt;1,"",$K84+$L84))</f>
        <v/>
      </c>
      <c r="N84" s="14" t="str">
        <f aca="false">IF($B84="","",COUNTIFS($B$3:$B84,$B84))</f>
        <v/>
      </c>
      <c r="O84" s="14" t="str">
        <f aca="false">IF($B84="","",$B84&amp;"|"&amp;$N84)</f>
        <v/>
      </c>
    </row>
    <row r="85" customFormat="false" ht="15" hidden="false" customHeight="false" outlineLevel="0" collapsed="false">
      <c r="A85" s="12"/>
      <c r="B85" s="9"/>
      <c r="C85" s="9"/>
      <c r="D85" s="9"/>
      <c r="E85" s="9"/>
      <c r="F85" s="9"/>
      <c r="G85" s="9"/>
      <c r="H85" s="7"/>
      <c r="I85" s="13" t="str">
        <f aca="false">IF(OR($G85="",$H85=""),"",ROUND($G85*$H85,0))</f>
        <v/>
      </c>
      <c r="J85" s="8"/>
      <c r="K85" s="13" t="str">
        <f aca="false">IF($B85="","",SUMIFS($I$3:$I$2002,$B$3:$B$2002,$B85))</f>
        <v/>
      </c>
      <c r="L85" s="13" t="str">
        <f aca="false">IF($B85="","",IF(COUNTIFS($B$3:$B85,$B85)&gt;1,0,IFERROR(LOOKUP($K85,배송비규정!$A$3:$A$32,배송비규정!$B$3:$B$32),0)+IFERROR(INDEX(지역추가비!$B$3:$B$42,MATCH($J85,지역추가비!$A$3:$A$42,0)),0)))</f>
        <v/>
      </c>
      <c r="M85" s="13" t="str">
        <f aca="false">IF($B85="","",IF(COUNTIFS($B$3:$B85,$B85)&gt;1,"",$K85+$L85))</f>
        <v/>
      </c>
      <c r="N85" s="14" t="str">
        <f aca="false">IF($B85="","",COUNTIFS($B$3:$B85,$B85))</f>
        <v/>
      </c>
      <c r="O85" s="14" t="str">
        <f aca="false">IF($B85="","",$B85&amp;"|"&amp;$N85)</f>
        <v/>
      </c>
    </row>
    <row r="86" customFormat="false" ht="15" hidden="false" customHeight="false" outlineLevel="0" collapsed="false">
      <c r="A86" s="12"/>
      <c r="B86" s="9"/>
      <c r="C86" s="9"/>
      <c r="D86" s="9"/>
      <c r="E86" s="9"/>
      <c r="F86" s="9"/>
      <c r="G86" s="9"/>
      <c r="H86" s="7"/>
      <c r="I86" s="13" t="str">
        <f aca="false">IF(OR($G86="",$H86=""),"",ROUND($G86*$H86,0))</f>
        <v/>
      </c>
      <c r="J86" s="8"/>
      <c r="K86" s="13" t="str">
        <f aca="false">IF($B86="","",SUMIFS($I$3:$I$2002,$B$3:$B$2002,$B86))</f>
        <v/>
      </c>
      <c r="L86" s="13" t="str">
        <f aca="false">IF($B86="","",IF(COUNTIFS($B$3:$B86,$B86)&gt;1,0,IFERROR(LOOKUP($K86,배송비규정!$A$3:$A$32,배송비규정!$B$3:$B$32),0)+IFERROR(INDEX(지역추가비!$B$3:$B$42,MATCH($J86,지역추가비!$A$3:$A$42,0)),0)))</f>
        <v/>
      </c>
      <c r="M86" s="13" t="str">
        <f aca="false">IF($B86="","",IF(COUNTIFS($B$3:$B86,$B86)&gt;1,"",$K86+$L86))</f>
        <v/>
      </c>
      <c r="N86" s="14" t="str">
        <f aca="false">IF($B86="","",COUNTIFS($B$3:$B86,$B86))</f>
        <v/>
      </c>
      <c r="O86" s="14" t="str">
        <f aca="false">IF($B86="","",$B86&amp;"|"&amp;$N86)</f>
        <v/>
      </c>
    </row>
    <row r="87" customFormat="false" ht="15" hidden="false" customHeight="false" outlineLevel="0" collapsed="false">
      <c r="A87" s="12"/>
      <c r="B87" s="9"/>
      <c r="C87" s="9"/>
      <c r="D87" s="9"/>
      <c r="E87" s="9"/>
      <c r="F87" s="9"/>
      <c r="G87" s="9"/>
      <c r="H87" s="7"/>
      <c r="I87" s="13" t="str">
        <f aca="false">IF(OR($G87="",$H87=""),"",ROUND($G87*$H87,0))</f>
        <v/>
      </c>
      <c r="J87" s="8"/>
      <c r="K87" s="13" t="str">
        <f aca="false">IF($B87="","",SUMIFS($I$3:$I$2002,$B$3:$B$2002,$B87))</f>
        <v/>
      </c>
      <c r="L87" s="13" t="str">
        <f aca="false">IF($B87="","",IF(COUNTIFS($B$3:$B87,$B87)&gt;1,0,IFERROR(LOOKUP($K87,배송비규정!$A$3:$A$32,배송비규정!$B$3:$B$32),0)+IFERROR(INDEX(지역추가비!$B$3:$B$42,MATCH($J87,지역추가비!$A$3:$A$42,0)),0)))</f>
        <v/>
      </c>
      <c r="M87" s="13" t="str">
        <f aca="false">IF($B87="","",IF(COUNTIFS($B$3:$B87,$B87)&gt;1,"",$K87+$L87))</f>
        <v/>
      </c>
      <c r="N87" s="14" t="str">
        <f aca="false">IF($B87="","",COUNTIFS($B$3:$B87,$B87))</f>
        <v/>
      </c>
      <c r="O87" s="14" t="str">
        <f aca="false">IF($B87="","",$B87&amp;"|"&amp;$N87)</f>
        <v/>
      </c>
    </row>
    <row r="88" customFormat="false" ht="15" hidden="false" customHeight="false" outlineLevel="0" collapsed="false">
      <c r="A88" s="12"/>
      <c r="B88" s="9"/>
      <c r="C88" s="9"/>
      <c r="D88" s="9"/>
      <c r="E88" s="9"/>
      <c r="F88" s="9"/>
      <c r="G88" s="9"/>
      <c r="H88" s="7"/>
      <c r="I88" s="13" t="str">
        <f aca="false">IF(OR($G88="",$H88=""),"",ROUND($G88*$H88,0))</f>
        <v/>
      </c>
      <c r="J88" s="8"/>
      <c r="K88" s="13" t="str">
        <f aca="false">IF($B88="","",SUMIFS($I$3:$I$2002,$B$3:$B$2002,$B88))</f>
        <v/>
      </c>
      <c r="L88" s="13" t="str">
        <f aca="false">IF($B88="","",IF(COUNTIFS($B$3:$B88,$B88)&gt;1,0,IFERROR(LOOKUP($K88,배송비규정!$A$3:$A$32,배송비규정!$B$3:$B$32),0)+IFERROR(INDEX(지역추가비!$B$3:$B$42,MATCH($J88,지역추가비!$A$3:$A$42,0)),0)))</f>
        <v/>
      </c>
      <c r="M88" s="13" t="str">
        <f aca="false">IF($B88="","",IF(COUNTIFS($B$3:$B88,$B88)&gt;1,"",$K88+$L88))</f>
        <v/>
      </c>
      <c r="N88" s="14" t="str">
        <f aca="false">IF($B88="","",COUNTIFS($B$3:$B88,$B88))</f>
        <v/>
      </c>
      <c r="O88" s="14" t="str">
        <f aca="false">IF($B88="","",$B88&amp;"|"&amp;$N88)</f>
        <v/>
      </c>
    </row>
    <row r="89" customFormat="false" ht="15" hidden="false" customHeight="false" outlineLevel="0" collapsed="false">
      <c r="A89" s="12"/>
      <c r="B89" s="9"/>
      <c r="C89" s="9"/>
      <c r="D89" s="9"/>
      <c r="E89" s="9"/>
      <c r="F89" s="9"/>
      <c r="G89" s="9"/>
      <c r="H89" s="7"/>
      <c r="I89" s="13" t="str">
        <f aca="false">IF(OR($G89="",$H89=""),"",ROUND($G89*$H89,0))</f>
        <v/>
      </c>
      <c r="J89" s="8"/>
      <c r="K89" s="13" t="str">
        <f aca="false">IF($B89="","",SUMIFS($I$3:$I$2002,$B$3:$B$2002,$B89))</f>
        <v/>
      </c>
      <c r="L89" s="13" t="str">
        <f aca="false">IF($B89="","",IF(COUNTIFS($B$3:$B89,$B89)&gt;1,0,IFERROR(LOOKUP($K89,배송비규정!$A$3:$A$32,배송비규정!$B$3:$B$32),0)+IFERROR(INDEX(지역추가비!$B$3:$B$42,MATCH($J89,지역추가비!$A$3:$A$42,0)),0)))</f>
        <v/>
      </c>
      <c r="M89" s="13" t="str">
        <f aca="false">IF($B89="","",IF(COUNTIFS($B$3:$B89,$B89)&gt;1,"",$K89+$L89))</f>
        <v/>
      </c>
      <c r="N89" s="14" t="str">
        <f aca="false">IF($B89="","",COUNTIFS($B$3:$B89,$B89))</f>
        <v/>
      </c>
      <c r="O89" s="14" t="str">
        <f aca="false">IF($B89="","",$B89&amp;"|"&amp;$N89)</f>
        <v/>
      </c>
    </row>
    <row r="90" customFormat="false" ht="15" hidden="false" customHeight="false" outlineLevel="0" collapsed="false">
      <c r="A90" s="12"/>
      <c r="B90" s="9"/>
      <c r="C90" s="9"/>
      <c r="D90" s="9"/>
      <c r="E90" s="9"/>
      <c r="F90" s="9"/>
      <c r="G90" s="9"/>
      <c r="H90" s="7"/>
      <c r="I90" s="13" t="str">
        <f aca="false">IF(OR($G90="",$H90=""),"",ROUND($G90*$H90,0))</f>
        <v/>
      </c>
      <c r="J90" s="8"/>
      <c r="K90" s="13" t="str">
        <f aca="false">IF($B90="","",SUMIFS($I$3:$I$2002,$B$3:$B$2002,$B90))</f>
        <v/>
      </c>
      <c r="L90" s="13" t="str">
        <f aca="false">IF($B90="","",IF(COUNTIFS($B$3:$B90,$B90)&gt;1,0,IFERROR(LOOKUP($K90,배송비규정!$A$3:$A$32,배송비규정!$B$3:$B$32),0)+IFERROR(INDEX(지역추가비!$B$3:$B$42,MATCH($J90,지역추가비!$A$3:$A$42,0)),0)))</f>
        <v/>
      </c>
      <c r="M90" s="13" t="str">
        <f aca="false">IF($B90="","",IF(COUNTIFS($B$3:$B90,$B90)&gt;1,"",$K90+$L90))</f>
        <v/>
      </c>
      <c r="N90" s="14" t="str">
        <f aca="false">IF($B90="","",COUNTIFS($B$3:$B90,$B90))</f>
        <v/>
      </c>
      <c r="O90" s="14" t="str">
        <f aca="false">IF($B90="","",$B90&amp;"|"&amp;$N90)</f>
        <v/>
      </c>
    </row>
    <row r="91" customFormat="false" ht="15" hidden="false" customHeight="false" outlineLevel="0" collapsed="false">
      <c r="A91" s="12"/>
      <c r="B91" s="9"/>
      <c r="C91" s="9"/>
      <c r="D91" s="9"/>
      <c r="E91" s="9"/>
      <c r="F91" s="9"/>
      <c r="G91" s="9"/>
      <c r="H91" s="7"/>
      <c r="I91" s="13" t="str">
        <f aca="false">IF(OR($G91="",$H91=""),"",ROUND($G91*$H91,0))</f>
        <v/>
      </c>
      <c r="J91" s="8"/>
      <c r="K91" s="13" t="str">
        <f aca="false">IF($B91="","",SUMIFS($I$3:$I$2002,$B$3:$B$2002,$B91))</f>
        <v/>
      </c>
      <c r="L91" s="13" t="str">
        <f aca="false">IF($B91="","",IF(COUNTIFS($B$3:$B91,$B91)&gt;1,0,IFERROR(LOOKUP($K91,배송비규정!$A$3:$A$32,배송비규정!$B$3:$B$32),0)+IFERROR(INDEX(지역추가비!$B$3:$B$42,MATCH($J91,지역추가비!$A$3:$A$42,0)),0)))</f>
        <v/>
      </c>
      <c r="M91" s="13" t="str">
        <f aca="false">IF($B91="","",IF(COUNTIFS($B$3:$B91,$B91)&gt;1,"",$K91+$L91))</f>
        <v/>
      </c>
      <c r="N91" s="14" t="str">
        <f aca="false">IF($B91="","",COUNTIFS($B$3:$B91,$B91))</f>
        <v/>
      </c>
      <c r="O91" s="14" t="str">
        <f aca="false">IF($B91="","",$B91&amp;"|"&amp;$N91)</f>
        <v/>
      </c>
    </row>
    <row r="92" customFormat="false" ht="15" hidden="false" customHeight="false" outlineLevel="0" collapsed="false">
      <c r="A92" s="12"/>
      <c r="B92" s="9"/>
      <c r="C92" s="9"/>
      <c r="D92" s="9"/>
      <c r="E92" s="9"/>
      <c r="F92" s="9"/>
      <c r="G92" s="9"/>
      <c r="H92" s="7"/>
      <c r="I92" s="13" t="str">
        <f aca="false">IF(OR($G92="",$H92=""),"",ROUND($G92*$H92,0))</f>
        <v/>
      </c>
      <c r="J92" s="8"/>
      <c r="K92" s="13" t="str">
        <f aca="false">IF($B92="","",SUMIFS($I$3:$I$2002,$B$3:$B$2002,$B92))</f>
        <v/>
      </c>
      <c r="L92" s="13" t="str">
        <f aca="false">IF($B92="","",IF(COUNTIFS($B$3:$B92,$B92)&gt;1,0,IFERROR(LOOKUP($K92,배송비규정!$A$3:$A$32,배송비규정!$B$3:$B$32),0)+IFERROR(INDEX(지역추가비!$B$3:$B$42,MATCH($J92,지역추가비!$A$3:$A$42,0)),0)))</f>
        <v/>
      </c>
      <c r="M92" s="13" t="str">
        <f aca="false">IF($B92="","",IF(COUNTIFS($B$3:$B92,$B92)&gt;1,"",$K92+$L92))</f>
        <v/>
      </c>
      <c r="N92" s="14" t="str">
        <f aca="false">IF($B92="","",COUNTIFS($B$3:$B92,$B92))</f>
        <v/>
      </c>
      <c r="O92" s="14" t="str">
        <f aca="false">IF($B92="","",$B92&amp;"|"&amp;$N92)</f>
        <v/>
      </c>
    </row>
    <row r="93" customFormat="false" ht="15" hidden="false" customHeight="false" outlineLevel="0" collapsed="false">
      <c r="A93" s="12"/>
      <c r="B93" s="9"/>
      <c r="C93" s="9"/>
      <c r="D93" s="9"/>
      <c r="E93" s="9"/>
      <c r="F93" s="9"/>
      <c r="G93" s="9"/>
      <c r="H93" s="7"/>
      <c r="I93" s="13" t="str">
        <f aca="false">IF(OR($G93="",$H93=""),"",ROUND($G93*$H93,0))</f>
        <v/>
      </c>
      <c r="J93" s="8"/>
      <c r="K93" s="13" t="str">
        <f aca="false">IF($B93="","",SUMIFS($I$3:$I$2002,$B$3:$B$2002,$B93))</f>
        <v/>
      </c>
      <c r="L93" s="13" t="str">
        <f aca="false">IF($B93="","",IF(COUNTIFS($B$3:$B93,$B93)&gt;1,0,IFERROR(LOOKUP($K93,배송비규정!$A$3:$A$32,배송비규정!$B$3:$B$32),0)+IFERROR(INDEX(지역추가비!$B$3:$B$42,MATCH($J93,지역추가비!$A$3:$A$42,0)),0)))</f>
        <v/>
      </c>
      <c r="M93" s="13" t="str">
        <f aca="false">IF($B93="","",IF(COUNTIFS($B$3:$B93,$B93)&gt;1,"",$K93+$L93))</f>
        <v/>
      </c>
      <c r="N93" s="14" t="str">
        <f aca="false">IF($B93="","",COUNTIFS($B$3:$B93,$B93))</f>
        <v/>
      </c>
      <c r="O93" s="14" t="str">
        <f aca="false">IF($B93="","",$B93&amp;"|"&amp;$N93)</f>
        <v/>
      </c>
    </row>
    <row r="94" customFormat="false" ht="15" hidden="false" customHeight="false" outlineLevel="0" collapsed="false">
      <c r="A94" s="12"/>
      <c r="B94" s="9"/>
      <c r="C94" s="9"/>
      <c r="D94" s="9"/>
      <c r="E94" s="9"/>
      <c r="F94" s="9"/>
      <c r="G94" s="9"/>
      <c r="H94" s="7"/>
      <c r="I94" s="13" t="str">
        <f aca="false">IF(OR($G94="",$H94=""),"",ROUND($G94*$H94,0))</f>
        <v/>
      </c>
      <c r="J94" s="8"/>
      <c r="K94" s="13" t="str">
        <f aca="false">IF($B94="","",SUMIFS($I$3:$I$2002,$B$3:$B$2002,$B94))</f>
        <v/>
      </c>
      <c r="L94" s="13" t="str">
        <f aca="false">IF($B94="","",IF(COUNTIFS($B$3:$B94,$B94)&gt;1,0,IFERROR(LOOKUP($K94,배송비규정!$A$3:$A$32,배송비규정!$B$3:$B$32),0)+IFERROR(INDEX(지역추가비!$B$3:$B$42,MATCH($J94,지역추가비!$A$3:$A$42,0)),0)))</f>
        <v/>
      </c>
      <c r="M94" s="13" t="str">
        <f aca="false">IF($B94="","",IF(COUNTIFS($B$3:$B94,$B94)&gt;1,"",$K94+$L94))</f>
        <v/>
      </c>
      <c r="N94" s="14" t="str">
        <f aca="false">IF($B94="","",COUNTIFS($B$3:$B94,$B94))</f>
        <v/>
      </c>
      <c r="O94" s="14" t="str">
        <f aca="false">IF($B94="","",$B94&amp;"|"&amp;$N94)</f>
        <v/>
      </c>
    </row>
    <row r="95" customFormat="false" ht="15" hidden="false" customHeight="false" outlineLevel="0" collapsed="false">
      <c r="A95" s="12"/>
      <c r="B95" s="9"/>
      <c r="C95" s="9"/>
      <c r="D95" s="9"/>
      <c r="E95" s="9"/>
      <c r="F95" s="9"/>
      <c r="G95" s="9"/>
      <c r="H95" s="7"/>
      <c r="I95" s="13" t="str">
        <f aca="false">IF(OR($G95="",$H95=""),"",ROUND($G95*$H95,0))</f>
        <v/>
      </c>
      <c r="J95" s="8"/>
      <c r="K95" s="13" t="str">
        <f aca="false">IF($B95="","",SUMIFS($I$3:$I$2002,$B$3:$B$2002,$B95))</f>
        <v/>
      </c>
      <c r="L95" s="13" t="str">
        <f aca="false">IF($B95="","",IF(COUNTIFS($B$3:$B95,$B95)&gt;1,0,IFERROR(LOOKUP($K95,배송비규정!$A$3:$A$32,배송비규정!$B$3:$B$32),0)+IFERROR(INDEX(지역추가비!$B$3:$B$42,MATCH($J95,지역추가비!$A$3:$A$42,0)),0)))</f>
        <v/>
      </c>
      <c r="M95" s="13" t="str">
        <f aca="false">IF($B95="","",IF(COUNTIFS($B$3:$B95,$B95)&gt;1,"",$K95+$L95))</f>
        <v/>
      </c>
      <c r="N95" s="14" t="str">
        <f aca="false">IF($B95="","",COUNTIFS($B$3:$B95,$B95))</f>
        <v/>
      </c>
      <c r="O95" s="14" t="str">
        <f aca="false">IF($B95="","",$B95&amp;"|"&amp;$N95)</f>
        <v/>
      </c>
    </row>
    <row r="96" customFormat="false" ht="15" hidden="false" customHeight="false" outlineLevel="0" collapsed="false">
      <c r="A96" s="12"/>
      <c r="B96" s="9"/>
      <c r="C96" s="9"/>
      <c r="D96" s="9"/>
      <c r="E96" s="9"/>
      <c r="F96" s="9"/>
      <c r="G96" s="9"/>
      <c r="H96" s="7"/>
      <c r="I96" s="13" t="str">
        <f aca="false">IF(OR($G96="",$H96=""),"",ROUND($G96*$H96,0))</f>
        <v/>
      </c>
      <c r="J96" s="8"/>
      <c r="K96" s="13" t="str">
        <f aca="false">IF($B96="","",SUMIFS($I$3:$I$2002,$B$3:$B$2002,$B96))</f>
        <v/>
      </c>
      <c r="L96" s="13" t="str">
        <f aca="false">IF($B96="","",IF(COUNTIFS($B$3:$B96,$B96)&gt;1,0,IFERROR(LOOKUP($K96,배송비규정!$A$3:$A$32,배송비규정!$B$3:$B$32),0)+IFERROR(INDEX(지역추가비!$B$3:$B$42,MATCH($J96,지역추가비!$A$3:$A$42,0)),0)))</f>
        <v/>
      </c>
      <c r="M96" s="13" t="str">
        <f aca="false">IF($B96="","",IF(COUNTIFS($B$3:$B96,$B96)&gt;1,"",$K96+$L96))</f>
        <v/>
      </c>
      <c r="N96" s="14" t="str">
        <f aca="false">IF($B96="","",COUNTIFS($B$3:$B96,$B96))</f>
        <v/>
      </c>
      <c r="O96" s="14" t="str">
        <f aca="false">IF($B96="","",$B96&amp;"|"&amp;$N96)</f>
        <v/>
      </c>
    </row>
    <row r="97" customFormat="false" ht="15" hidden="false" customHeight="false" outlineLevel="0" collapsed="false">
      <c r="A97" s="12"/>
      <c r="B97" s="9"/>
      <c r="C97" s="9"/>
      <c r="D97" s="9"/>
      <c r="E97" s="9"/>
      <c r="F97" s="9"/>
      <c r="G97" s="9"/>
      <c r="H97" s="7"/>
      <c r="I97" s="13" t="str">
        <f aca="false">IF(OR($G97="",$H97=""),"",ROUND($G97*$H97,0))</f>
        <v/>
      </c>
      <c r="J97" s="8"/>
      <c r="K97" s="13" t="str">
        <f aca="false">IF($B97="","",SUMIFS($I$3:$I$2002,$B$3:$B$2002,$B97))</f>
        <v/>
      </c>
      <c r="L97" s="13" t="str">
        <f aca="false">IF($B97="","",IF(COUNTIFS($B$3:$B97,$B97)&gt;1,0,IFERROR(LOOKUP($K97,배송비규정!$A$3:$A$32,배송비규정!$B$3:$B$32),0)+IFERROR(INDEX(지역추가비!$B$3:$B$42,MATCH($J97,지역추가비!$A$3:$A$42,0)),0)))</f>
        <v/>
      </c>
      <c r="M97" s="13" t="str">
        <f aca="false">IF($B97="","",IF(COUNTIFS($B$3:$B97,$B97)&gt;1,"",$K97+$L97))</f>
        <v/>
      </c>
      <c r="N97" s="14" t="str">
        <f aca="false">IF($B97="","",COUNTIFS($B$3:$B97,$B97))</f>
        <v/>
      </c>
      <c r="O97" s="14" t="str">
        <f aca="false">IF($B97="","",$B97&amp;"|"&amp;$N97)</f>
        <v/>
      </c>
    </row>
    <row r="98" customFormat="false" ht="15" hidden="false" customHeight="false" outlineLevel="0" collapsed="false">
      <c r="A98" s="12"/>
      <c r="B98" s="9"/>
      <c r="C98" s="9"/>
      <c r="D98" s="9"/>
      <c r="E98" s="9"/>
      <c r="F98" s="9"/>
      <c r="G98" s="9"/>
      <c r="H98" s="7"/>
      <c r="I98" s="13" t="str">
        <f aca="false">IF(OR($G98="",$H98=""),"",ROUND($G98*$H98,0))</f>
        <v/>
      </c>
      <c r="J98" s="8"/>
      <c r="K98" s="13" t="str">
        <f aca="false">IF($B98="","",SUMIFS($I$3:$I$2002,$B$3:$B$2002,$B98))</f>
        <v/>
      </c>
      <c r="L98" s="13" t="str">
        <f aca="false">IF($B98="","",IF(COUNTIFS($B$3:$B98,$B98)&gt;1,0,IFERROR(LOOKUP($K98,배송비규정!$A$3:$A$32,배송비규정!$B$3:$B$32),0)+IFERROR(INDEX(지역추가비!$B$3:$B$42,MATCH($J98,지역추가비!$A$3:$A$42,0)),0)))</f>
        <v/>
      </c>
      <c r="M98" s="13" t="str">
        <f aca="false">IF($B98="","",IF(COUNTIFS($B$3:$B98,$B98)&gt;1,"",$K98+$L98))</f>
        <v/>
      </c>
      <c r="N98" s="14" t="str">
        <f aca="false">IF($B98="","",COUNTIFS($B$3:$B98,$B98))</f>
        <v/>
      </c>
      <c r="O98" s="14" t="str">
        <f aca="false">IF($B98="","",$B98&amp;"|"&amp;$N98)</f>
        <v/>
      </c>
    </row>
    <row r="99" customFormat="false" ht="15" hidden="false" customHeight="false" outlineLevel="0" collapsed="false">
      <c r="A99" s="12"/>
      <c r="B99" s="9"/>
      <c r="C99" s="9"/>
      <c r="D99" s="9"/>
      <c r="E99" s="9"/>
      <c r="F99" s="9"/>
      <c r="G99" s="9"/>
      <c r="H99" s="7"/>
      <c r="I99" s="13" t="str">
        <f aca="false">IF(OR($G99="",$H99=""),"",ROUND($G99*$H99,0))</f>
        <v/>
      </c>
      <c r="J99" s="8"/>
      <c r="K99" s="13" t="str">
        <f aca="false">IF($B99="","",SUMIFS($I$3:$I$2002,$B$3:$B$2002,$B99))</f>
        <v/>
      </c>
      <c r="L99" s="13" t="str">
        <f aca="false">IF($B99="","",IF(COUNTIFS($B$3:$B99,$B99)&gt;1,0,IFERROR(LOOKUP($K99,배송비규정!$A$3:$A$32,배송비규정!$B$3:$B$32),0)+IFERROR(INDEX(지역추가비!$B$3:$B$42,MATCH($J99,지역추가비!$A$3:$A$42,0)),0)))</f>
        <v/>
      </c>
      <c r="M99" s="13" t="str">
        <f aca="false">IF($B99="","",IF(COUNTIFS($B$3:$B99,$B99)&gt;1,"",$K99+$L99))</f>
        <v/>
      </c>
      <c r="N99" s="14" t="str">
        <f aca="false">IF($B99="","",COUNTIFS($B$3:$B99,$B99))</f>
        <v/>
      </c>
      <c r="O99" s="14" t="str">
        <f aca="false">IF($B99="","",$B99&amp;"|"&amp;$N99)</f>
        <v/>
      </c>
    </row>
    <row r="100" customFormat="false" ht="15" hidden="false" customHeight="false" outlineLevel="0" collapsed="false">
      <c r="A100" s="12"/>
      <c r="B100" s="9"/>
      <c r="C100" s="9"/>
      <c r="D100" s="9"/>
      <c r="E100" s="9"/>
      <c r="F100" s="9"/>
      <c r="G100" s="9"/>
      <c r="H100" s="7"/>
      <c r="I100" s="13" t="str">
        <f aca="false">IF(OR($G100="",$H100=""),"",ROUND($G100*$H100,0))</f>
        <v/>
      </c>
      <c r="J100" s="8"/>
      <c r="K100" s="13" t="str">
        <f aca="false">IF($B100="","",SUMIFS($I$3:$I$2002,$B$3:$B$2002,$B100))</f>
        <v/>
      </c>
      <c r="L100" s="13" t="str">
        <f aca="false">IF($B100="","",IF(COUNTIFS($B$3:$B100,$B100)&gt;1,0,IFERROR(LOOKUP($K100,배송비규정!$A$3:$A$32,배송비규정!$B$3:$B$32),0)+IFERROR(INDEX(지역추가비!$B$3:$B$42,MATCH($J100,지역추가비!$A$3:$A$42,0)),0)))</f>
        <v/>
      </c>
      <c r="M100" s="13" t="str">
        <f aca="false">IF($B100="","",IF(COUNTIFS($B$3:$B100,$B100)&gt;1,"",$K100+$L100))</f>
        <v/>
      </c>
      <c r="N100" s="14" t="str">
        <f aca="false">IF($B100="","",COUNTIFS($B$3:$B100,$B100))</f>
        <v/>
      </c>
      <c r="O100" s="14" t="str">
        <f aca="false">IF($B100="","",$B100&amp;"|"&amp;$N100)</f>
        <v/>
      </c>
    </row>
    <row r="101" customFormat="false" ht="15" hidden="false" customHeight="false" outlineLevel="0" collapsed="false">
      <c r="A101" s="12"/>
      <c r="B101" s="9"/>
      <c r="C101" s="9"/>
      <c r="D101" s="9"/>
      <c r="E101" s="9"/>
      <c r="F101" s="9"/>
      <c r="G101" s="9"/>
      <c r="H101" s="7"/>
      <c r="I101" s="13" t="str">
        <f aca="false">IF(OR($G101="",$H101=""),"",ROUND($G101*$H101,0))</f>
        <v/>
      </c>
      <c r="J101" s="8"/>
      <c r="K101" s="13" t="str">
        <f aca="false">IF($B101="","",SUMIFS($I$3:$I$2002,$B$3:$B$2002,$B101))</f>
        <v/>
      </c>
      <c r="L101" s="13" t="str">
        <f aca="false">IF($B101="","",IF(COUNTIFS($B$3:$B101,$B101)&gt;1,0,IFERROR(LOOKUP($K101,배송비규정!$A$3:$A$32,배송비규정!$B$3:$B$32),0)+IFERROR(INDEX(지역추가비!$B$3:$B$42,MATCH($J101,지역추가비!$A$3:$A$42,0)),0)))</f>
        <v/>
      </c>
      <c r="M101" s="13" t="str">
        <f aca="false">IF($B101="","",IF(COUNTIFS($B$3:$B101,$B101)&gt;1,"",$K101+$L101))</f>
        <v/>
      </c>
      <c r="N101" s="14" t="str">
        <f aca="false">IF($B101="","",COUNTIFS($B$3:$B101,$B101))</f>
        <v/>
      </c>
      <c r="O101" s="14" t="str">
        <f aca="false">IF($B101="","",$B101&amp;"|"&amp;$N101)</f>
        <v/>
      </c>
    </row>
    <row r="102" customFormat="false" ht="15" hidden="false" customHeight="false" outlineLevel="0" collapsed="false">
      <c r="A102" s="12"/>
      <c r="B102" s="9"/>
      <c r="C102" s="9"/>
      <c r="D102" s="9"/>
      <c r="E102" s="9"/>
      <c r="F102" s="9"/>
      <c r="G102" s="9"/>
      <c r="H102" s="7"/>
      <c r="I102" s="13" t="str">
        <f aca="false">IF(OR($G102="",$H102=""),"",ROUND($G102*$H102,0))</f>
        <v/>
      </c>
      <c r="J102" s="8"/>
      <c r="K102" s="13" t="str">
        <f aca="false">IF($B102="","",SUMIFS($I$3:$I$2002,$B$3:$B$2002,$B102))</f>
        <v/>
      </c>
      <c r="L102" s="13" t="str">
        <f aca="false">IF($B102="","",IF(COUNTIFS($B$3:$B102,$B102)&gt;1,0,IFERROR(LOOKUP($K102,배송비규정!$A$3:$A$32,배송비규정!$B$3:$B$32),0)+IFERROR(INDEX(지역추가비!$B$3:$B$42,MATCH($J102,지역추가비!$A$3:$A$42,0)),0)))</f>
        <v/>
      </c>
      <c r="M102" s="13" t="str">
        <f aca="false">IF($B102="","",IF(COUNTIFS($B$3:$B102,$B102)&gt;1,"",$K102+$L102))</f>
        <v/>
      </c>
      <c r="N102" s="14" t="str">
        <f aca="false">IF($B102="","",COUNTIFS($B$3:$B102,$B102))</f>
        <v/>
      </c>
      <c r="O102" s="14" t="str">
        <f aca="false">IF($B102="","",$B102&amp;"|"&amp;$N102)</f>
        <v/>
      </c>
    </row>
    <row r="103" customFormat="false" ht="15" hidden="false" customHeight="false" outlineLevel="0" collapsed="false">
      <c r="A103" s="12"/>
      <c r="B103" s="9"/>
      <c r="C103" s="9"/>
      <c r="D103" s="9"/>
      <c r="E103" s="9"/>
      <c r="F103" s="9"/>
      <c r="G103" s="9"/>
      <c r="H103" s="7"/>
      <c r="I103" s="13" t="str">
        <f aca="false">IF(OR($G103="",$H103=""),"",ROUND($G103*$H103,0))</f>
        <v/>
      </c>
      <c r="J103" s="8"/>
      <c r="K103" s="13" t="str">
        <f aca="false">IF($B103="","",SUMIFS($I$3:$I$2002,$B$3:$B$2002,$B103))</f>
        <v/>
      </c>
      <c r="L103" s="13" t="str">
        <f aca="false">IF($B103="","",IF(COUNTIFS($B$3:$B103,$B103)&gt;1,0,IFERROR(LOOKUP($K103,배송비규정!$A$3:$A$32,배송비규정!$B$3:$B$32),0)+IFERROR(INDEX(지역추가비!$B$3:$B$42,MATCH($J103,지역추가비!$A$3:$A$42,0)),0)))</f>
        <v/>
      </c>
      <c r="M103" s="13" t="str">
        <f aca="false">IF($B103="","",IF(COUNTIFS($B$3:$B103,$B103)&gt;1,"",$K103+$L103))</f>
        <v/>
      </c>
      <c r="N103" s="14" t="str">
        <f aca="false">IF($B103="","",COUNTIFS($B$3:$B103,$B103))</f>
        <v/>
      </c>
      <c r="O103" s="14" t="str">
        <f aca="false">IF($B103="","",$B103&amp;"|"&amp;$N103)</f>
        <v/>
      </c>
    </row>
    <row r="104" customFormat="false" ht="15" hidden="false" customHeight="false" outlineLevel="0" collapsed="false">
      <c r="A104" s="12"/>
      <c r="B104" s="9"/>
      <c r="C104" s="9"/>
      <c r="D104" s="9"/>
      <c r="E104" s="9"/>
      <c r="F104" s="9"/>
      <c r="G104" s="9"/>
      <c r="H104" s="7"/>
      <c r="I104" s="13" t="str">
        <f aca="false">IF(OR($G104="",$H104=""),"",ROUND($G104*$H104,0))</f>
        <v/>
      </c>
      <c r="J104" s="8"/>
      <c r="K104" s="13" t="str">
        <f aca="false">IF($B104="","",SUMIFS($I$3:$I$2002,$B$3:$B$2002,$B104))</f>
        <v/>
      </c>
      <c r="L104" s="13" t="str">
        <f aca="false">IF($B104="","",IF(COUNTIFS($B$3:$B104,$B104)&gt;1,0,IFERROR(LOOKUP($K104,배송비규정!$A$3:$A$32,배송비규정!$B$3:$B$32),0)+IFERROR(INDEX(지역추가비!$B$3:$B$42,MATCH($J104,지역추가비!$A$3:$A$42,0)),0)))</f>
        <v/>
      </c>
      <c r="M104" s="13" t="str">
        <f aca="false">IF($B104="","",IF(COUNTIFS($B$3:$B104,$B104)&gt;1,"",$K104+$L104))</f>
        <v/>
      </c>
      <c r="N104" s="14" t="str">
        <f aca="false">IF($B104="","",COUNTIFS($B$3:$B104,$B104))</f>
        <v/>
      </c>
      <c r="O104" s="14" t="str">
        <f aca="false">IF($B104="","",$B104&amp;"|"&amp;$N104)</f>
        <v/>
      </c>
    </row>
    <row r="105" customFormat="false" ht="15" hidden="false" customHeight="false" outlineLevel="0" collapsed="false">
      <c r="A105" s="12"/>
      <c r="B105" s="9"/>
      <c r="C105" s="9"/>
      <c r="D105" s="9"/>
      <c r="E105" s="9"/>
      <c r="F105" s="9"/>
      <c r="G105" s="9"/>
      <c r="H105" s="7"/>
      <c r="I105" s="13" t="str">
        <f aca="false">IF(OR($G105="",$H105=""),"",ROUND($G105*$H105,0))</f>
        <v/>
      </c>
      <c r="J105" s="8"/>
      <c r="K105" s="13" t="str">
        <f aca="false">IF($B105="","",SUMIFS($I$3:$I$2002,$B$3:$B$2002,$B105))</f>
        <v/>
      </c>
      <c r="L105" s="13" t="str">
        <f aca="false">IF($B105="","",IF(COUNTIFS($B$3:$B105,$B105)&gt;1,0,IFERROR(LOOKUP($K105,배송비규정!$A$3:$A$32,배송비규정!$B$3:$B$32),0)+IFERROR(INDEX(지역추가비!$B$3:$B$42,MATCH($J105,지역추가비!$A$3:$A$42,0)),0)))</f>
        <v/>
      </c>
      <c r="M105" s="13" t="str">
        <f aca="false">IF($B105="","",IF(COUNTIFS($B$3:$B105,$B105)&gt;1,"",$K105+$L105))</f>
        <v/>
      </c>
      <c r="N105" s="14" t="str">
        <f aca="false">IF($B105="","",COUNTIFS($B$3:$B105,$B105))</f>
        <v/>
      </c>
      <c r="O105" s="14" t="str">
        <f aca="false">IF($B105="","",$B105&amp;"|"&amp;$N105)</f>
        <v/>
      </c>
    </row>
    <row r="106" customFormat="false" ht="15" hidden="false" customHeight="false" outlineLevel="0" collapsed="false">
      <c r="A106" s="12"/>
      <c r="B106" s="9"/>
      <c r="C106" s="9"/>
      <c r="D106" s="9"/>
      <c r="E106" s="9"/>
      <c r="F106" s="9"/>
      <c r="G106" s="9"/>
      <c r="H106" s="7"/>
      <c r="I106" s="13" t="str">
        <f aca="false">IF(OR($G106="",$H106=""),"",ROUND($G106*$H106,0))</f>
        <v/>
      </c>
      <c r="J106" s="8"/>
      <c r="K106" s="13" t="str">
        <f aca="false">IF($B106="","",SUMIFS($I$3:$I$2002,$B$3:$B$2002,$B106))</f>
        <v/>
      </c>
      <c r="L106" s="13" t="str">
        <f aca="false">IF($B106="","",IF(COUNTIFS($B$3:$B106,$B106)&gt;1,0,IFERROR(LOOKUP($K106,배송비규정!$A$3:$A$32,배송비규정!$B$3:$B$32),0)+IFERROR(INDEX(지역추가비!$B$3:$B$42,MATCH($J106,지역추가비!$A$3:$A$42,0)),0)))</f>
        <v/>
      </c>
      <c r="M106" s="13" t="str">
        <f aca="false">IF($B106="","",IF(COUNTIFS($B$3:$B106,$B106)&gt;1,"",$K106+$L106))</f>
        <v/>
      </c>
      <c r="N106" s="14" t="str">
        <f aca="false">IF($B106="","",COUNTIFS($B$3:$B106,$B106))</f>
        <v/>
      </c>
      <c r="O106" s="14" t="str">
        <f aca="false">IF($B106="","",$B106&amp;"|"&amp;$N106)</f>
        <v/>
      </c>
    </row>
    <row r="107" customFormat="false" ht="15" hidden="false" customHeight="false" outlineLevel="0" collapsed="false">
      <c r="A107" s="12"/>
      <c r="B107" s="9"/>
      <c r="C107" s="9"/>
      <c r="D107" s="9"/>
      <c r="E107" s="9"/>
      <c r="F107" s="9"/>
      <c r="G107" s="9"/>
      <c r="H107" s="7"/>
      <c r="I107" s="13" t="str">
        <f aca="false">IF(OR($G107="",$H107=""),"",ROUND($G107*$H107,0))</f>
        <v/>
      </c>
      <c r="J107" s="8"/>
      <c r="K107" s="13" t="str">
        <f aca="false">IF($B107="","",SUMIFS($I$3:$I$2002,$B$3:$B$2002,$B107))</f>
        <v/>
      </c>
      <c r="L107" s="13" t="str">
        <f aca="false">IF($B107="","",IF(COUNTIFS($B$3:$B107,$B107)&gt;1,0,IFERROR(LOOKUP($K107,배송비규정!$A$3:$A$32,배송비규정!$B$3:$B$32),0)+IFERROR(INDEX(지역추가비!$B$3:$B$42,MATCH($J107,지역추가비!$A$3:$A$42,0)),0)))</f>
        <v/>
      </c>
      <c r="M107" s="13" t="str">
        <f aca="false">IF($B107="","",IF(COUNTIFS($B$3:$B107,$B107)&gt;1,"",$K107+$L107))</f>
        <v/>
      </c>
      <c r="N107" s="14" t="str">
        <f aca="false">IF($B107="","",COUNTIFS($B$3:$B107,$B107))</f>
        <v/>
      </c>
      <c r="O107" s="14" t="str">
        <f aca="false">IF($B107="","",$B107&amp;"|"&amp;$N107)</f>
        <v/>
      </c>
    </row>
    <row r="108" customFormat="false" ht="15" hidden="false" customHeight="false" outlineLevel="0" collapsed="false">
      <c r="A108" s="12"/>
      <c r="B108" s="9"/>
      <c r="C108" s="9"/>
      <c r="D108" s="9"/>
      <c r="E108" s="9"/>
      <c r="F108" s="9"/>
      <c r="G108" s="9"/>
      <c r="H108" s="7"/>
      <c r="I108" s="13" t="str">
        <f aca="false">IF(OR($G108="",$H108=""),"",ROUND($G108*$H108,0))</f>
        <v/>
      </c>
      <c r="J108" s="8"/>
      <c r="K108" s="13" t="str">
        <f aca="false">IF($B108="","",SUMIFS($I$3:$I$2002,$B$3:$B$2002,$B108))</f>
        <v/>
      </c>
      <c r="L108" s="13" t="str">
        <f aca="false">IF($B108="","",IF(COUNTIFS($B$3:$B108,$B108)&gt;1,0,IFERROR(LOOKUP($K108,배송비규정!$A$3:$A$32,배송비규정!$B$3:$B$32),0)+IFERROR(INDEX(지역추가비!$B$3:$B$42,MATCH($J108,지역추가비!$A$3:$A$42,0)),0)))</f>
        <v/>
      </c>
      <c r="M108" s="13" t="str">
        <f aca="false">IF($B108="","",IF(COUNTIFS($B$3:$B108,$B108)&gt;1,"",$K108+$L108))</f>
        <v/>
      </c>
      <c r="N108" s="14" t="str">
        <f aca="false">IF($B108="","",COUNTIFS($B$3:$B108,$B108))</f>
        <v/>
      </c>
      <c r="O108" s="14" t="str">
        <f aca="false">IF($B108="","",$B108&amp;"|"&amp;$N108)</f>
        <v/>
      </c>
    </row>
    <row r="109" customFormat="false" ht="15" hidden="false" customHeight="false" outlineLevel="0" collapsed="false">
      <c r="A109" s="12"/>
      <c r="B109" s="9"/>
      <c r="C109" s="9"/>
      <c r="D109" s="9"/>
      <c r="E109" s="9"/>
      <c r="F109" s="9"/>
      <c r="G109" s="9"/>
      <c r="H109" s="7"/>
      <c r="I109" s="13" t="str">
        <f aca="false">IF(OR($G109="",$H109=""),"",ROUND($G109*$H109,0))</f>
        <v/>
      </c>
      <c r="J109" s="8"/>
      <c r="K109" s="13" t="str">
        <f aca="false">IF($B109="","",SUMIFS($I$3:$I$2002,$B$3:$B$2002,$B109))</f>
        <v/>
      </c>
      <c r="L109" s="13" t="str">
        <f aca="false">IF($B109="","",IF(COUNTIFS($B$3:$B109,$B109)&gt;1,0,IFERROR(LOOKUP($K109,배송비규정!$A$3:$A$32,배송비규정!$B$3:$B$32),0)+IFERROR(INDEX(지역추가비!$B$3:$B$42,MATCH($J109,지역추가비!$A$3:$A$42,0)),0)))</f>
        <v/>
      </c>
      <c r="M109" s="13" t="str">
        <f aca="false">IF($B109="","",IF(COUNTIFS($B$3:$B109,$B109)&gt;1,"",$K109+$L109))</f>
        <v/>
      </c>
      <c r="N109" s="14" t="str">
        <f aca="false">IF($B109="","",COUNTIFS($B$3:$B109,$B109))</f>
        <v/>
      </c>
      <c r="O109" s="14" t="str">
        <f aca="false">IF($B109="","",$B109&amp;"|"&amp;$N109)</f>
        <v/>
      </c>
    </row>
    <row r="110" customFormat="false" ht="15" hidden="false" customHeight="false" outlineLevel="0" collapsed="false">
      <c r="A110" s="12"/>
      <c r="B110" s="9"/>
      <c r="C110" s="9"/>
      <c r="D110" s="9"/>
      <c r="E110" s="9"/>
      <c r="F110" s="9"/>
      <c r="G110" s="9"/>
      <c r="H110" s="7"/>
      <c r="I110" s="13" t="str">
        <f aca="false">IF(OR($G110="",$H110=""),"",ROUND($G110*$H110,0))</f>
        <v/>
      </c>
      <c r="J110" s="8"/>
      <c r="K110" s="13" t="str">
        <f aca="false">IF($B110="","",SUMIFS($I$3:$I$2002,$B$3:$B$2002,$B110))</f>
        <v/>
      </c>
      <c r="L110" s="13" t="str">
        <f aca="false">IF($B110="","",IF(COUNTIFS($B$3:$B110,$B110)&gt;1,0,IFERROR(LOOKUP($K110,배송비규정!$A$3:$A$32,배송비규정!$B$3:$B$32),0)+IFERROR(INDEX(지역추가비!$B$3:$B$42,MATCH($J110,지역추가비!$A$3:$A$42,0)),0)))</f>
        <v/>
      </c>
      <c r="M110" s="13" t="str">
        <f aca="false">IF($B110="","",IF(COUNTIFS($B$3:$B110,$B110)&gt;1,"",$K110+$L110))</f>
        <v/>
      </c>
      <c r="N110" s="14" t="str">
        <f aca="false">IF($B110="","",COUNTIFS($B$3:$B110,$B110))</f>
        <v/>
      </c>
      <c r="O110" s="14" t="str">
        <f aca="false">IF($B110="","",$B110&amp;"|"&amp;$N110)</f>
        <v/>
      </c>
    </row>
    <row r="111" customFormat="false" ht="15" hidden="false" customHeight="false" outlineLevel="0" collapsed="false">
      <c r="A111" s="12"/>
      <c r="B111" s="9"/>
      <c r="C111" s="9"/>
      <c r="D111" s="9"/>
      <c r="E111" s="9"/>
      <c r="F111" s="9"/>
      <c r="G111" s="9"/>
      <c r="H111" s="7"/>
      <c r="I111" s="13" t="str">
        <f aca="false">IF(OR($G111="",$H111=""),"",ROUND($G111*$H111,0))</f>
        <v/>
      </c>
      <c r="J111" s="8"/>
      <c r="K111" s="13" t="str">
        <f aca="false">IF($B111="","",SUMIFS($I$3:$I$2002,$B$3:$B$2002,$B111))</f>
        <v/>
      </c>
      <c r="L111" s="13" t="str">
        <f aca="false">IF($B111="","",IF(COUNTIFS($B$3:$B111,$B111)&gt;1,0,IFERROR(LOOKUP($K111,배송비규정!$A$3:$A$32,배송비규정!$B$3:$B$32),0)+IFERROR(INDEX(지역추가비!$B$3:$B$42,MATCH($J111,지역추가비!$A$3:$A$42,0)),0)))</f>
        <v/>
      </c>
      <c r="M111" s="13" t="str">
        <f aca="false">IF($B111="","",IF(COUNTIFS($B$3:$B111,$B111)&gt;1,"",$K111+$L111))</f>
        <v/>
      </c>
      <c r="N111" s="14" t="str">
        <f aca="false">IF($B111="","",COUNTIFS($B$3:$B111,$B111))</f>
        <v/>
      </c>
      <c r="O111" s="14" t="str">
        <f aca="false">IF($B111="","",$B111&amp;"|"&amp;$N111)</f>
        <v/>
      </c>
    </row>
    <row r="112" customFormat="false" ht="15" hidden="false" customHeight="false" outlineLevel="0" collapsed="false">
      <c r="A112" s="12"/>
      <c r="B112" s="9"/>
      <c r="C112" s="9"/>
      <c r="D112" s="9"/>
      <c r="E112" s="9"/>
      <c r="F112" s="9"/>
      <c r="G112" s="9"/>
      <c r="H112" s="7"/>
      <c r="I112" s="13" t="str">
        <f aca="false">IF(OR($G112="",$H112=""),"",ROUND($G112*$H112,0))</f>
        <v/>
      </c>
      <c r="J112" s="8"/>
      <c r="K112" s="13" t="str">
        <f aca="false">IF($B112="","",SUMIFS($I$3:$I$2002,$B$3:$B$2002,$B112))</f>
        <v/>
      </c>
      <c r="L112" s="13" t="str">
        <f aca="false">IF($B112="","",IF(COUNTIFS($B$3:$B112,$B112)&gt;1,0,IFERROR(LOOKUP($K112,배송비규정!$A$3:$A$32,배송비규정!$B$3:$B$32),0)+IFERROR(INDEX(지역추가비!$B$3:$B$42,MATCH($J112,지역추가비!$A$3:$A$42,0)),0)))</f>
        <v/>
      </c>
      <c r="M112" s="13" t="str">
        <f aca="false">IF($B112="","",IF(COUNTIFS($B$3:$B112,$B112)&gt;1,"",$K112+$L112))</f>
        <v/>
      </c>
      <c r="N112" s="14" t="str">
        <f aca="false">IF($B112="","",COUNTIFS($B$3:$B112,$B112))</f>
        <v/>
      </c>
      <c r="O112" s="14" t="str">
        <f aca="false">IF($B112="","",$B112&amp;"|"&amp;$N112)</f>
        <v/>
      </c>
    </row>
    <row r="113" customFormat="false" ht="15" hidden="false" customHeight="false" outlineLevel="0" collapsed="false">
      <c r="A113" s="12"/>
      <c r="B113" s="9"/>
      <c r="C113" s="9"/>
      <c r="D113" s="9"/>
      <c r="E113" s="9"/>
      <c r="F113" s="9"/>
      <c r="G113" s="9"/>
      <c r="H113" s="7"/>
      <c r="I113" s="13" t="str">
        <f aca="false">IF(OR($G113="",$H113=""),"",ROUND($G113*$H113,0))</f>
        <v/>
      </c>
      <c r="J113" s="8"/>
      <c r="K113" s="13" t="str">
        <f aca="false">IF($B113="","",SUMIFS($I$3:$I$2002,$B$3:$B$2002,$B113))</f>
        <v/>
      </c>
      <c r="L113" s="13" t="str">
        <f aca="false">IF($B113="","",IF(COUNTIFS($B$3:$B113,$B113)&gt;1,0,IFERROR(LOOKUP($K113,배송비규정!$A$3:$A$32,배송비규정!$B$3:$B$32),0)+IFERROR(INDEX(지역추가비!$B$3:$B$42,MATCH($J113,지역추가비!$A$3:$A$42,0)),0)))</f>
        <v/>
      </c>
      <c r="M113" s="13" t="str">
        <f aca="false">IF($B113="","",IF(COUNTIFS($B$3:$B113,$B113)&gt;1,"",$K113+$L113))</f>
        <v/>
      </c>
      <c r="N113" s="14" t="str">
        <f aca="false">IF($B113="","",COUNTIFS($B$3:$B113,$B113))</f>
        <v/>
      </c>
      <c r="O113" s="14" t="str">
        <f aca="false">IF($B113="","",$B113&amp;"|"&amp;$N113)</f>
        <v/>
      </c>
    </row>
    <row r="114" customFormat="false" ht="15" hidden="false" customHeight="false" outlineLevel="0" collapsed="false">
      <c r="A114" s="12"/>
      <c r="B114" s="9"/>
      <c r="C114" s="9"/>
      <c r="D114" s="9"/>
      <c r="E114" s="9"/>
      <c r="F114" s="9"/>
      <c r="G114" s="9"/>
      <c r="H114" s="7"/>
      <c r="I114" s="13" t="str">
        <f aca="false">IF(OR($G114="",$H114=""),"",ROUND($G114*$H114,0))</f>
        <v/>
      </c>
      <c r="J114" s="8"/>
      <c r="K114" s="13" t="str">
        <f aca="false">IF($B114="","",SUMIFS($I$3:$I$2002,$B$3:$B$2002,$B114))</f>
        <v/>
      </c>
      <c r="L114" s="13" t="str">
        <f aca="false">IF($B114="","",IF(COUNTIFS($B$3:$B114,$B114)&gt;1,0,IFERROR(LOOKUP($K114,배송비규정!$A$3:$A$32,배송비규정!$B$3:$B$32),0)+IFERROR(INDEX(지역추가비!$B$3:$B$42,MATCH($J114,지역추가비!$A$3:$A$42,0)),0)))</f>
        <v/>
      </c>
      <c r="M114" s="13" t="str">
        <f aca="false">IF($B114="","",IF(COUNTIFS($B$3:$B114,$B114)&gt;1,"",$K114+$L114))</f>
        <v/>
      </c>
      <c r="N114" s="14" t="str">
        <f aca="false">IF($B114="","",COUNTIFS($B$3:$B114,$B114))</f>
        <v/>
      </c>
      <c r="O114" s="14" t="str">
        <f aca="false">IF($B114="","",$B114&amp;"|"&amp;$N114)</f>
        <v/>
      </c>
    </row>
    <row r="115" customFormat="false" ht="15" hidden="false" customHeight="false" outlineLevel="0" collapsed="false">
      <c r="A115" s="12"/>
      <c r="B115" s="9"/>
      <c r="C115" s="9"/>
      <c r="D115" s="9"/>
      <c r="E115" s="9"/>
      <c r="F115" s="9"/>
      <c r="G115" s="9"/>
      <c r="H115" s="7"/>
      <c r="I115" s="13" t="str">
        <f aca="false">IF(OR($G115="",$H115=""),"",ROUND($G115*$H115,0))</f>
        <v/>
      </c>
      <c r="J115" s="8"/>
      <c r="K115" s="13" t="str">
        <f aca="false">IF($B115="","",SUMIFS($I$3:$I$2002,$B$3:$B$2002,$B115))</f>
        <v/>
      </c>
      <c r="L115" s="13" t="str">
        <f aca="false">IF($B115="","",IF(COUNTIFS($B$3:$B115,$B115)&gt;1,0,IFERROR(LOOKUP($K115,배송비규정!$A$3:$A$32,배송비규정!$B$3:$B$32),0)+IFERROR(INDEX(지역추가비!$B$3:$B$42,MATCH($J115,지역추가비!$A$3:$A$42,0)),0)))</f>
        <v/>
      </c>
      <c r="M115" s="13" t="str">
        <f aca="false">IF($B115="","",IF(COUNTIFS($B$3:$B115,$B115)&gt;1,"",$K115+$L115))</f>
        <v/>
      </c>
      <c r="N115" s="14" t="str">
        <f aca="false">IF($B115="","",COUNTIFS($B$3:$B115,$B115))</f>
        <v/>
      </c>
      <c r="O115" s="14" t="str">
        <f aca="false">IF($B115="","",$B115&amp;"|"&amp;$N115)</f>
        <v/>
      </c>
    </row>
    <row r="116" customFormat="false" ht="15" hidden="false" customHeight="false" outlineLevel="0" collapsed="false">
      <c r="A116" s="12"/>
      <c r="B116" s="9"/>
      <c r="C116" s="9"/>
      <c r="D116" s="9"/>
      <c r="E116" s="9"/>
      <c r="F116" s="9"/>
      <c r="G116" s="9"/>
      <c r="H116" s="7"/>
      <c r="I116" s="13" t="str">
        <f aca="false">IF(OR($G116="",$H116=""),"",ROUND($G116*$H116,0))</f>
        <v/>
      </c>
      <c r="J116" s="8"/>
      <c r="K116" s="13" t="str">
        <f aca="false">IF($B116="","",SUMIFS($I$3:$I$2002,$B$3:$B$2002,$B116))</f>
        <v/>
      </c>
      <c r="L116" s="13" t="str">
        <f aca="false">IF($B116="","",IF(COUNTIFS($B$3:$B116,$B116)&gt;1,0,IFERROR(LOOKUP($K116,배송비규정!$A$3:$A$32,배송비규정!$B$3:$B$32),0)+IFERROR(INDEX(지역추가비!$B$3:$B$42,MATCH($J116,지역추가비!$A$3:$A$42,0)),0)))</f>
        <v/>
      </c>
      <c r="M116" s="13" t="str">
        <f aca="false">IF($B116="","",IF(COUNTIFS($B$3:$B116,$B116)&gt;1,"",$K116+$L116))</f>
        <v/>
      </c>
      <c r="N116" s="14" t="str">
        <f aca="false">IF($B116="","",COUNTIFS($B$3:$B116,$B116))</f>
        <v/>
      </c>
      <c r="O116" s="14" t="str">
        <f aca="false">IF($B116="","",$B116&amp;"|"&amp;$N116)</f>
        <v/>
      </c>
    </row>
    <row r="117" customFormat="false" ht="15" hidden="false" customHeight="false" outlineLevel="0" collapsed="false">
      <c r="A117" s="12"/>
      <c r="B117" s="9"/>
      <c r="C117" s="9"/>
      <c r="D117" s="9"/>
      <c r="E117" s="9"/>
      <c r="F117" s="9"/>
      <c r="G117" s="9"/>
      <c r="H117" s="7"/>
      <c r="I117" s="13" t="str">
        <f aca="false">IF(OR($G117="",$H117=""),"",ROUND($G117*$H117,0))</f>
        <v/>
      </c>
      <c r="J117" s="8"/>
      <c r="K117" s="13" t="str">
        <f aca="false">IF($B117="","",SUMIFS($I$3:$I$2002,$B$3:$B$2002,$B117))</f>
        <v/>
      </c>
      <c r="L117" s="13" t="str">
        <f aca="false">IF($B117="","",IF(COUNTIFS($B$3:$B117,$B117)&gt;1,0,IFERROR(LOOKUP($K117,배송비규정!$A$3:$A$32,배송비규정!$B$3:$B$32),0)+IFERROR(INDEX(지역추가비!$B$3:$B$42,MATCH($J117,지역추가비!$A$3:$A$42,0)),0)))</f>
        <v/>
      </c>
      <c r="M117" s="13" t="str">
        <f aca="false">IF($B117="","",IF(COUNTIFS($B$3:$B117,$B117)&gt;1,"",$K117+$L117))</f>
        <v/>
      </c>
      <c r="N117" s="14" t="str">
        <f aca="false">IF($B117="","",COUNTIFS($B$3:$B117,$B117))</f>
        <v/>
      </c>
      <c r="O117" s="14" t="str">
        <f aca="false">IF($B117="","",$B117&amp;"|"&amp;$N117)</f>
        <v/>
      </c>
    </row>
    <row r="118" customFormat="false" ht="15" hidden="false" customHeight="false" outlineLevel="0" collapsed="false">
      <c r="A118" s="12"/>
      <c r="B118" s="9"/>
      <c r="C118" s="9"/>
      <c r="D118" s="9"/>
      <c r="E118" s="9"/>
      <c r="F118" s="9"/>
      <c r="G118" s="9"/>
      <c r="H118" s="7"/>
      <c r="I118" s="13" t="str">
        <f aca="false">IF(OR($G118="",$H118=""),"",ROUND($G118*$H118,0))</f>
        <v/>
      </c>
      <c r="J118" s="8"/>
      <c r="K118" s="13" t="str">
        <f aca="false">IF($B118="","",SUMIFS($I$3:$I$2002,$B$3:$B$2002,$B118))</f>
        <v/>
      </c>
      <c r="L118" s="13" t="str">
        <f aca="false">IF($B118="","",IF(COUNTIFS($B$3:$B118,$B118)&gt;1,0,IFERROR(LOOKUP($K118,배송비규정!$A$3:$A$32,배송비규정!$B$3:$B$32),0)+IFERROR(INDEX(지역추가비!$B$3:$B$42,MATCH($J118,지역추가비!$A$3:$A$42,0)),0)))</f>
        <v/>
      </c>
      <c r="M118" s="13" t="str">
        <f aca="false">IF($B118="","",IF(COUNTIFS($B$3:$B118,$B118)&gt;1,"",$K118+$L118))</f>
        <v/>
      </c>
      <c r="N118" s="14" t="str">
        <f aca="false">IF($B118="","",COUNTIFS($B$3:$B118,$B118))</f>
        <v/>
      </c>
      <c r="O118" s="14" t="str">
        <f aca="false">IF($B118="","",$B118&amp;"|"&amp;$N118)</f>
        <v/>
      </c>
    </row>
    <row r="119" customFormat="false" ht="15" hidden="false" customHeight="false" outlineLevel="0" collapsed="false">
      <c r="A119" s="12"/>
      <c r="B119" s="9"/>
      <c r="C119" s="9"/>
      <c r="D119" s="9"/>
      <c r="E119" s="9"/>
      <c r="F119" s="9"/>
      <c r="G119" s="9"/>
      <c r="H119" s="7"/>
      <c r="I119" s="13" t="str">
        <f aca="false">IF(OR($G119="",$H119=""),"",ROUND($G119*$H119,0))</f>
        <v/>
      </c>
      <c r="J119" s="8"/>
      <c r="K119" s="13" t="str">
        <f aca="false">IF($B119="","",SUMIFS($I$3:$I$2002,$B$3:$B$2002,$B119))</f>
        <v/>
      </c>
      <c r="L119" s="13" t="str">
        <f aca="false">IF($B119="","",IF(COUNTIFS($B$3:$B119,$B119)&gt;1,0,IFERROR(LOOKUP($K119,배송비규정!$A$3:$A$32,배송비규정!$B$3:$B$32),0)+IFERROR(INDEX(지역추가비!$B$3:$B$42,MATCH($J119,지역추가비!$A$3:$A$42,0)),0)))</f>
        <v/>
      </c>
      <c r="M119" s="13" t="str">
        <f aca="false">IF($B119="","",IF(COUNTIFS($B$3:$B119,$B119)&gt;1,"",$K119+$L119))</f>
        <v/>
      </c>
      <c r="N119" s="14" t="str">
        <f aca="false">IF($B119="","",COUNTIFS($B$3:$B119,$B119))</f>
        <v/>
      </c>
      <c r="O119" s="14" t="str">
        <f aca="false">IF($B119="","",$B119&amp;"|"&amp;$N119)</f>
        <v/>
      </c>
    </row>
    <row r="120" customFormat="false" ht="15" hidden="false" customHeight="false" outlineLevel="0" collapsed="false">
      <c r="A120" s="12"/>
      <c r="B120" s="9"/>
      <c r="C120" s="9"/>
      <c r="D120" s="9"/>
      <c r="E120" s="9"/>
      <c r="F120" s="9"/>
      <c r="G120" s="9"/>
      <c r="H120" s="7"/>
      <c r="I120" s="13" t="str">
        <f aca="false">IF(OR($G120="",$H120=""),"",ROUND($G120*$H120,0))</f>
        <v/>
      </c>
      <c r="J120" s="8"/>
      <c r="K120" s="13" t="str">
        <f aca="false">IF($B120="","",SUMIFS($I$3:$I$2002,$B$3:$B$2002,$B120))</f>
        <v/>
      </c>
      <c r="L120" s="13" t="str">
        <f aca="false">IF($B120="","",IF(COUNTIFS($B$3:$B120,$B120)&gt;1,0,IFERROR(LOOKUP($K120,배송비규정!$A$3:$A$32,배송비규정!$B$3:$B$32),0)+IFERROR(INDEX(지역추가비!$B$3:$B$42,MATCH($J120,지역추가비!$A$3:$A$42,0)),0)))</f>
        <v/>
      </c>
      <c r="M120" s="13" t="str">
        <f aca="false">IF($B120="","",IF(COUNTIFS($B$3:$B120,$B120)&gt;1,"",$K120+$L120))</f>
        <v/>
      </c>
      <c r="N120" s="14" t="str">
        <f aca="false">IF($B120="","",COUNTIFS($B$3:$B120,$B120))</f>
        <v/>
      </c>
      <c r="O120" s="14" t="str">
        <f aca="false">IF($B120="","",$B120&amp;"|"&amp;$N120)</f>
        <v/>
      </c>
    </row>
    <row r="121" customFormat="false" ht="15" hidden="false" customHeight="false" outlineLevel="0" collapsed="false">
      <c r="A121" s="12"/>
      <c r="B121" s="9"/>
      <c r="C121" s="9"/>
      <c r="D121" s="9"/>
      <c r="E121" s="9"/>
      <c r="F121" s="9"/>
      <c r="G121" s="9"/>
      <c r="H121" s="7"/>
      <c r="I121" s="13" t="str">
        <f aca="false">IF(OR($G121="",$H121=""),"",ROUND($G121*$H121,0))</f>
        <v/>
      </c>
      <c r="J121" s="8"/>
      <c r="K121" s="13" t="str">
        <f aca="false">IF($B121="","",SUMIFS($I$3:$I$2002,$B$3:$B$2002,$B121))</f>
        <v/>
      </c>
      <c r="L121" s="13" t="str">
        <f aca="false">IF($B121="","",IF(COUNTIFS($B$3:$B121,$B121)&gt;1,0,IFERROR(LOOKUP($K121,배송비규정!$A$3:$A$32,배송비규정!$B$3:$B$32),0)+IFERROR(INDEX(지역추가비!$B$3:$B$42,MATCH($J121,지역추가비!$A$3:$A$42,0)),0)))</f>
        <v/>
      </c>
      <c r="M121" s="13" t="str">
        <f aca="false">IF($B121="","",IF(COUNTIFS($B$3:$B121,$B121)&gt;1,"",$K121+$L121))</f>
        <v/>
      </c>
      <c r="N121" s="14" t="str">
        <f aca="false">IF($B121="","",COUNTIFS($B$3:$B121,$B121))</f>
        <v/>
      </c>
      <c r="O121" s="14" t="str">
        <f aca="false">IF($B121="","",$B121&amp;"|"&amp;$N121)</f>
        <v/>
      </c>
    </row>
    <row r="122" customFormat="false" ht="15" hidden="false" customHeight="false" outlineLevel="0" collapsed="false">
      <c r="A122" s="12"/>
      <c r="B122" s="9"/>
      <c r="C122" s="9"/>
      <c r="D122" s="9"/>
      <c r="E122" s="9"/>
      <c r="F122" s="9"/>
      <c r="G122" s="9"/>
      <c r="H122" s="7"/>
      <c r="I122" s="13" t="str">
        <f aca="false">IF(OR($G122="",$H122=""),"",ROUND($G122*$H122,0))</f>
        <v/>
      </c>
      <c r="J122" s="8"/>
      <c r="K122" s="13" t="str">
        <f aca="false">IF($B122="","",SUMIFS($I$3:$I$2002,$B$3:$B$2002,$B122))</f>
        <v/>
      </c>
      <c r="L122" s="13" t="str">
        <f aca="false">IF($B122="","",IF(COUNTIFS($B$3:$B122,$B122)&gt;1,0,IFERROR(LOOKUP($K122,배송비규정!$A$3:$A$32,배송비규정!$B$3:$B$32),0)+IFERROR(INDEX(지역추가비!$B$3:$B$42,MATCH($J122,지역추가비!$A$3:$A$42,0)),0)))</f>
        <v/>
      </c>
      <c r="M122" s="13" t="str">
        <f aca="false">IF($B122="","",IF(COUNTIFS($B$3:$B122,$B122)&gt;1,"",$K122+$L122))</f>
        <v/>
      </c>
      <c r="N122" s="14" t="str">
        <f aca="false">IF($B122="","",COUNTIFS($B$3:$B122,$B122))</f>
        <v/>
      </c>
      <c r="O122" s="14" t="str">
        <f aca="false">IF($B122="","",$B122&amp;"|"&amp;$N122)</f>
        <v/>
      </c>
    </row>
    <row r="123" customFormat="false" ht="15" hidden="false" customHeight="false" outlineLevel="0" collapsed="false">
      <c r="A123" s="12"/>
      <c r="B123" s="9"/>
      <c r="C123" s="9"/>
      <c r="D123" s="9"/>
      <c r="E123" s="9"/>
      <c r="F123" s="9"/>
      <c r="G123" s="9"/>
      <c r="H123" s="7"/>
      <c r="I123" s="13" t="str">
        <f aca="false">IF(OR($G123="",$H123=""),"",ROUND($G123*$H123,0))</f>
        <v/>
      </c>
      <c r="J123" s="8"/>
      <c r="K123" s="13" t="str">
        <f aca="false">IF($B123="","",SUMIFS($I$3:$I$2002,$B$3:$B$2002,$B123))</f>
        <v/>
      </c>
      <c r="L123" s="13" t="str">
        <f aca="false">IF($B123="","",IF(COUNTIFS($B$3:$B123,$B123)&gt;1,0,IFERROR(LOOKUP($K123,배송비규정!$A$3:$A$32,배송비규정!$B$3:$B$32),0)+IFERROR(INDEX(지역추가비!$B$3:$B$42,MATCH($J123,지역추가비!$A$3:$A$42,0)),0)))</f>
        <v/>
      </c>
      <c r="M123" s="13" t="str">
        <f aca="false">IF($B123="","",IF(COUNTIFS($B$3:$B123,$B123)&gt;1,"",$K123+$L123))</f>
        <v/>
      </c>
      <c r="N123" s="14" t="str">
        <f aca="false">IF($B123="","",COUNTIFS($B$3:$B123,$B123))</f>
        <v/>
      </c>
      <c r="O123" s="14" t="str">
        <f aca="false">IF($B123="","",$B123&amp;"|"&amp;$N123)</f>
        <v/>
      </c>
    </row>
    <row r="124" customFormat="false" ht="15" hidden="false" customHeight="false" outlineLevel="0" collapsed="false">
      <c r="A124" s="12"/>
      <c r="B124" s="9"/>
      <c r="C124" s="9"/>
      <c r="D124" s="9"/>
      <c r="E124" s="9"/>
      <c r="F124" s="9"/>
      <c r="G124" s="9"/>
      <c r="H124" s="7"/>
      <c r="I124" s="13" t="str">
        <f aca="false">IF(OR($G124="",$H124=""),"",ROUND($G124*$H124,0))</f>
        <v/>
      </c>
      <c r="J124" s="8"/>
      <c r="K124" s="13" t="str">
        <f aca="false">IF($B124="","",SUMIFS($I$3:$I$2002,$B$3:$B$2002,$B124))</f>
        <v/>
      </c>
      <c r="L124" s="13" t="str">
        <f aca="false">IF($B124="","",IF(COUNTIFS($B$3:$B124,$B124)&gt;1,0,IFERROR(LOOKUP($K124,배송비규정!$A$3:$A$32,배송비규정!$B$3:$B$32),0)+IFERROR(INDEX(지역추가비!$B$3:$B$42,MATCH($J124,지역추가비!$A$3:$A$42,0)),0)))</f>
        <v/>
      </c>
      <c r="M124" s="13" t="str">
        <f aca="false">IF($B124="","",IF(COUNTIFS($B$3:$B124,$B124)&gt;1,"",$K124+$L124))</f>
        <v/>
      </c>
      <c r="N124" s="14" t="str">
        <f aca="false">IF($B124="","",COUNTIFS($B$3:$B124,$B124))</f>
        <v/>
      </c>
      <c r="O124" s="14" t="str">
        <f aca="false">IF($B124="","",$B124&amp;"|"&amp;$N124)</f>
        <v/>
      </c>
    </row>
    <row r="125" customFormat="false" ht="15" hidden="false" customHeight="false" outlineLevel="0" collapsed="false">
      <c r="A125" s="12"/>
      <c r="B125" s="9"/>
      <c r="C125" s="9"/>
      <c r="D125" s="9"/>
      <c r="E125" s="9"/>
      <c r="F125" s="9"/>
      <c r="G125" s="9"/>
      <c r="H125" s="7"/>
      <c r="I125" s="13" t="str">
        <f aca="false">IF(OR($G125="",$H125=""),"",ROUND($G125*$H125,0))</f>
        <v/>
      </c>
      <c r="J125" s="8"/>
      <c r="K125" s="13" t="str">
        <f aca="false">IF($B125="","",SUMIFS($I$3:$I$2002,$B$3:$B$2002,$B125))</f>
        <v/>
      </c>
      <c r="L125" s="13" t="str">
        <f aca="false">IF($B125="","",IF(COUNTIFS($B$3:$B125,$B125)&gt;1,0,IFERROR(LOOKUP($K125,배송비규정!$A$3:$A$32,배송비규정!$B$3:$B$32),0)+IFERROR(INDEX(지역추가비!$B$3:$B$42,MATCH($J125,지역추가비!$A$3:$A$42,0)),0)))</f>
        <v/>
      </c>
      <c r="M125" s="13" t="str">
        <f aca="false">IF($B125="","",IF(COUNTIFS($B$3:$B125,$B125)&gt;1,"",$K125+$L125))</f>
        <v/>
      </c>
      <c r="N125" s="14" t="str">
        <f aca="false">IF($B125="","",COUNTIFS($B$3:$B125,$B125))</f>
        <v/>
      </c>
      <c r="O125" s="14" t="str">
        <f aca="false">IF($B125="","",$B125&amp;"|"&amp;$N125)</f>
        <v/>
      </c>
    </row>
    <row r="126" customFormat="false" ht="15" hidden="false" customHeight="false" outlineLevel="0" collapsed="false">
      <c r="A126" s="12"/>
      <c r="B126" s="9"/>
      <c r="C126" s="9"/>
      <c r="D126" s="9"/>
      <c r="E126" s="9"/>
      <c r="F126" s="9"/>
      <c r="G126" s="9"/>
      <c r="H126" s="7"/>
      <c r="I126" s="13" t="str">
        <f aca="false">IF(OR($G126="",$H126=""),"",ROUND($G126*$H126,0))</f>
        <v/>
      </c>
      <c r="J126" s="8"/>
      <c r="K126" s="13" t="str">
        <f aca="false">IF($B126="","",SUMIFS($I$3:$I$2002,$B$3:$B$2002,$B126))</f>
        <v/>
      </c>
      <c r="L126" s="13" t="str">
        <f aca="false">IF($B126="","",IF(COUNTIFS($B$3:$B126,$B126)&gt;1,0,IFERROR(LOOKUP($K126,배송비규정!$A$3:$A$32,배송비규정!$B$3:$B$32),0)+IFERROR(INDEX(지역추가비!$B$3:$B$42,MATCH($J126,지역추가비!$A$3:$A$42,0)),0)))</f>
        <v/>
      </c>
      <c r="M126" s="13" t="str">
        <f aca="false">IF($B126="","",IF(COUNTIFS($B$3:$B126,$B126)&gt;1,"",$K126+$L126))</f>
        <v/>
      </c>
      <c r="N126" s="14" t="str">
        <f aca="false">IF($B126="","",COUNTIFS($B$3:$B126,$B126))</f>
        <v/>
      </c>
      <c r="O126" s="14" t="str">
        <f aca="false">IF($B126="","",$B126&amp;"|"&amp;$N126)</f>
        <v/>
      </c>
    </row>
    <row r="127" customFormat="false" ht="15" hidden="false" customHeight="false" outlineLevel="0" collapsed="false">
      <c r="A127" s="12"/>
      <c r="B127" s="9"/>
      <c r="C127" s="9"/>
      <c r="D127" s="9"/>
      <c r="E127" s="9"/>
      <c r="F127" s="9"/>
      <c r="G127" s="9"/>
      <c r="H127" s="7"/>
      <c r="I127" s="13" t="str">
        <f aca="false">IF(OR($G127="",$H127=""),"",ROUND($G127*$H127,0))</f>
        <v/>
      </c>
      <c r="J127" s="8"/>
      <c r="K127" s="13" t="str">
        <f aca="false">IF($B127="","",SUMIFS($I$3:$I$2002,$B$3:$B$2002,$B127))</f>
        <v/>
      </c>
      <c r="L127" s="13" t="str">
        <f aca="false">IF($B127="","",IF(COUNTIFS($B$3:$B127,$B127)&gt;1,0,IFERROR(LOOKUP($K127,배송비규정!$A$3:$A$32,배송비규정!$B$3:$B$32),0)+IFERROR(INDEX(지역추가비!$B$3:$B$42,MATCH($J127,지역추가비!$A$3:$A$42,0)),0)))</f>
        <v/>
      </c>
      <c r="M127" s="13" t="str">
        <f aca="false">IF($B127="","",IF(COUNTIFS($B$3:$B127,$B127)&gt;1,"",$K127+$L127))</f>
        <v/>
      </c>
      <c r="N127" s="14" t="str">
        <f aca="false">IF($B127="","",COUNTIFS($B$3:$B127,$B127))</f>
        <v/>
      </c>
      <c r="O127" s="14" t="str">
        <f aca="false">IF($B127="","",$B127&amp;"|"&amp;$N127)</f>
        <v/>
      </c>
    </row>
    <row r="128" customFormat="false" ht="15" hidden="false" customHeight="false" outlineLevel="0" collapsed="false">
      <c r="A128" s="12"/>
      <c r="B128" s="9"/>
      <c r="C128" s="9"/>
      <c r="D128" s="9"/>
      <c r="E128" s="9"/>
      <c r="F128" s="9"/>
      <c r="G128" s="9"/>
      <c r="H128" s="7"/>
      <c r="I128" s="13" t="str">
        <f aca="false">IF(OR($G128="",$H128=""),"",ROUND($G128*$H128,0))</f>
        <v/>
      </c>
      <c r="J128" s="8"/>
      <c r="K128" s="13" t="str">
        <f aca="false">IF($B128="","",SUMIFS($I$3:$I$2002,$B$3:$B$2002,$B128))</f>
        <v/>
      </c>
      <c r="L128" s="13" t="str">
        <f aca="false">IF($B128="","",IF(COUNTIFS($B$3:$B128,$B128)&gt;1,0,IFERROR(LOOKUP($K128,배송비규정!$A$3:$A$32,배송비규정!$B$3:$B$32),0)+IFERROR(INDEX(지역추가비!$B$3:$B$42,MATCH($J128,지역추가비!$A$3:$A$42,0)),0)))</f>
        <v/>
      </c>
      <c r="M128" s="13" t="str">
        <f aca="false">IF($B128="","",IF(COUNTIFS($B$3:$B128,$B128)&gt;1,"",$K128+$L128))</f>
        <v/>
      </c>
      <c r="N128" s="14" t="str">
        <f aca="false">IF($B128="","",COUNTIFS($B$3:$B128,$B128))</f>
        <v/>
      </c>
      <c r="O128" s="14" t="str">
        <f aca="false">IF($B128="","",$B128&amp;"|"&amp;$N128)</f>
        <v/>
      </c>
    </row>
    <row r="129" customFormat="false" ht="15" hidden="false" customHeight="false" outlineLevel="0" collapsed="false">
      <c r="A129" s="12"/>
      <c r="B129" s="9"/>
      <c r="C129" s="9"/>
      <c r="D129" s="9"/>
      <c r="E129" s="9"/>
      <c r="F129" s="9"/>
      <c r="G129" s="9"/>
      <c r="H129" s="7"/>
      <c r="I129" s="13" t="str">
        <f aca="false">IF(OR($G129="",$H129=""),"",ROUND($G129*$H129,0))</f>
        <v/>
      </c>
      <c r="J129" s="8"/>
      <c r="K129" s="13" t="str">
        <f aca="false">IF($B129="","",SUMIFS($I$3:$I$2002,$B$3:$B$2002,$B129))</f>
        <v/>
      </c>
      <c r="L129" s="13" t="str">
        <f aca="false">IF($B129="","",IF(COUNTIFS($B$3:$B129,$B129)&gt;1,0,IFERROR(LOOKUP($K129,배송비규정!$A$3:$A$32,배송비규정!$B$3:$B$32),0)+IFERROR(INDEX(지역추가비!$B$3:$B$42,MATCH($J129,지역추가비!$A$3:$A$42,0)),0)))</f>
        <v/>
      </c>
      <c r="M129" s="13" t="str">
        <f aca="false">IF($B129="","",IF(COUNTIFS($B$3:$B129,$B129)&gt;1,"",$K129+$L129))</f>
        <v/>
      </c>
      <c r="N129" s="14" t="str">
        <f aca="false">IF($B129="","",COUNTIFS($B$3:$B129,$B129))</f>
        <v/>
      </c>
      <c r="O129" s="14" t="str">
        <f aca="false">IF($B129="","",$B129&amp;"|"&amp;$N129)</f>
        <v/>
      </c>
    </row>
    <row r="130" customFormat="false" ht="15" hidden="false" customHeight="false" outlineLevel="0" collapsed="false">
      <c r="A130" s="12"/>
      <c r="B130" s="9"/>
      <c r="C130" s="9"/>
      <c r="D130" s="9"/>
      <c r="E130" s="9"/>
      <c r="F130" s="9"/>
      <c r="G130" s="9"/>
      <c r="H130" s="7"/>
      <c r="I130" s="13" t="str">
        <f aca="false">IF(OR($G130="",$H130=""),"",ROUND($G130*$H130,0))</f>
        <v/>
      </c>
      <c r="J130" s="8"/>
      <c r="K130" s="13" t="str">
        <f aca="false">IF($B130="","",SUMIFS($I$3:$I$2002,$B$3:$B$2002,$B130))</f>
        <v/>
      </c>
      <c r="L130" s="13" t="str">
        <f aca="false">IF($B130="","",IF(COUNTIFS($B$3:$B130,$B130)&gt;1,0,IFERROR(LOOKUP($K130,배송비규정!$A$3:$A$32,배송비규정!$B$3:$B$32),0)+IFERROR(INDEX(지역추가비!$B$3:$B$42,MATCH($J130,지역추가비!$A$3:$A$42,0)),0)))</f>
        <v/>
      </c>
      <c r="M130" s="13" t="str">
        <f aca="false">IF($B130="","",IF(COUNTIFS($B$3:$B130,$B130)&gt;1,"",$K130+$L130))</f>
        <v/>
      </c>
      <c r="N130" s="14" t="str">
        <f aca="false">IF($B130="","",COUNTIFS($B$3:$B130,$B130))</f>
        <v/>
      </c>
      <c r="O130" s="14" t="str">
        <f aca="false">IF($B130="","",$B130&amp;"|"&amp;$N130)</f>
        <v/>
      </c>
    </row>
    <row r="131" customFormat="false" ht="15" hidden="false" customHeight="false" outlineLevel="0" collapsed="false">
      <c r="A131" s="12"/>
      <c r="B131" s="9"/>
      <c r="C131" s="9"/>
      <c r="D131" s="9"/>
      <c r="E131" s="9"/>
      <c r="F131" s="9"/>
      <c r="G131" s="9"/>
      <c r="H131" s="7"/>
      <c r="I131" s="13" t="str">
        <f aca="false">IF(OR($G131="",$H131=""),"",ROUND($G131*$H131,0))</f>
        <v/>
      </c>
      <c r="J131" s="8"/>
      <c r="K131" s="13" t="str">
        <f aca="false">IF($B131="","",SUMIFS($I$3:$I$2002,$B$3:$B$2002,$B131))</f>
        <v/>
      </c>
      <c r="L131" s="13" t="str">
        <f aca="false">IF($B131="","",IF(COUNTIFS($B$3:$B131,$B131)&gt;1,0,IFERROR(LOOKUP($K131,배송비규정!$A$3:$A$32,배송비규정!$B$3:$B$32),0)+IFERROR(INDEX(지역추가비!$B$3:$B$42,MATCH($J131,지역추가비!$A$3:$A$42,0)),0)))</f>
        <v/>
      </c>
      <c r="M131" s="13" t="str">
        <f aca="false">IF($B131="","",IF(COUNTIFS($B$3:$B131,$B131)&gt;1,"",$K131+$L131))</f>
        <v/>
      </c>
      <c r="N131" s="14" t="str">
        <f aca="false">IF($B131="","",COUNTIFS($B$3:$B131,$B131))</f>
        <v/>
      </c>
      <c r="O131" s="14" t="str">
        <f aca="false">IF($B131="","",$B131&amp;"|"&amp;$N131)</f>
        <v/>
      </c>
    </row>
    <row r="132" customFormat="false" ht="15" hidden="false" customHeight="false" outlineLevel="0" collapsed="false">
      <c r="A132" s="12"/>
      <c r="B132" s="9"/>
      <c r="C132" s="9"/>
      <c r="D132" s="9"/>
      <c r="E132" s="9"/>
      <c r="F132" s="9"/>
      <c r="G132" s="9"/>
      <c r="H132" s="7"/>
      <c r="I132" s="13" t="str">
        <f aca="false">IF(OR($G132="",$H132=""),"",ROUND($G132*$H132,0))</f>
        <v/>
      </c>
      <c r="J132" s="8"/>
      <c r="K132" s="13" t="str">
        <f aca="false">IF($B132="","",SUMIFS($I$3:$I$2002,$B$3:$B$2002,$B132))</f>
        <v/>
      </c>
      <c r="L132" s="13" t="str">
        <f aca="false">IF($B132="","",IF(COUNTIFS($B$3:$B132,$B132)&gt;1,0,IFERROR(LOOKUP($K132,배송비규정!$A$3:$A$32,배송비규정!$B$3:$B$32),0)+IFERROR(INDEX(지역추가비!$B$3:$B$42,MATCH($J132,지역추가비!$A$3:$A$42,0)),0)))</f>
        <v/>
      </c>
      <c r="M132" s="13" t="str">
        <f aca="false">IF($B132="","",IF(COUNTIFS($B$3:$B132,$B132)&gt;1,"",$K132+$L132))</f>
        <v/>
      </c>
      <c r="N132" s="14" t="str">
        <f aca="false">IF($B132="","",COUNTIFS($B$3:$B132,$B132))</f>
        <v/>
      </c>
      <c r="O132" s="14" t="str">
        <f aca="false">IF($B132="","",$B132&amp;"|"&amp;$N132)</f>
        <v/>
      </c>
    </row>
    <row r="133" customFormat="false" ht="15" hidden="false" customHeight="false" outlineLevel="0" collapsed="false">
      <c r="A133" s="12"/>
      <c r="B133" s="9"/>
      <c r="C133" s="9"/>
      <c r="D133" s="9"/>
      <c r="E133" s="9"/>
      <c r="F133" s="9"/>
      <c r="G133" s="9"/>
      <c r="H133" s="7"/>
      <c r="I133" s="13" t="str">
        <f aca="false">IF(OR($G133="",$H133=""),"",ROUND($G133*$H133,0))</f>
        <v/>
      </c>
      <c r="J133" s="8"/>
      <c r="K133" s="13" t="str">
        <f aca="false">IF($B133="","",SUMIFS($I$3:$I$2002,$B$3:$B$2002,$B133))</f>
        <v/>
      </c>
      <c r="L133" s="13" t="str">
        <f aca="false">IF($B133="","",IF(COUNTIFS($B$3:$B133,$B133)&gt;1,0,IFERROR(LOOKUP($K133,배송비규정!$A$3:$A$32,배송비규정!$B$3:$B$32),0)+IFERROR(INDEX(지역추가비!$B$3:$B$42,MATCH($J133,지역추가비!$A$3:$A$42,0)),0)))</f>
        <v/>
      </c>
      <c r="M133" s="13" t="str">
        <f aca="false">IF($B133="","",IF(COUNTIFS($B$3:$B133,$B133)&gt;1,"",$K133+$L133))</f>
        <v/>
      </c>
      <c r="N133" s="14" t="str">
        <f aca="false">IF($B133="","",COUNTIFS($B$3:$B133,$B133))</f>
        <v/>
      </c>
      <c r="O133" s="14" t="str">
        <f aca="false">IF($B133="","",$B133&amp;"|"&amp;$N133)</f>
        <v/>
      </c>
    </row>
    <row r="134" customFormat="false" ht="15" hidden="false" customHeight="false" outlineLevel="0" collapsed="false">
      <c r="A134" s="12"/>
      <c r="B134" s="9"/>
      <c r="C134" s="9"/>
      <c r="D134" s="9"/>
      <c r="E134" s="9"/>
      <c r="F134" s="9"/>
      <c r="G134" s="9"/>
      <c r="H134" s="7"/>
      <c r="I134" s="13" t="str">
        <f aca="false">IF(OR($G134="",$H134=""),"",ROUND($G134*$H134,0))</f>
        <v/>
      </c>
      <c r="J134" s="8"/>
      <c r="K134" s="13" t="str">
        <f aca="false">IF($B134="","",SUMIFS($I$3:$I$2002,$B$3:$B$2002,$B134))</f>
        <v/>
      </c>
      <c r="L134" s="13" t="str">
        <f aca="false">IF($B134="","",IF(COUNTIFS($B$3:$B134,$B134)&gt;1,0,IFERROR(LOOKUP($K134,배송비규정!$A$3:$A$32,배송비규정!$B$3:$B$32),0)+IFERROR(INDEX(지역추가비!$B$3:$B$42,MATCH($J134,지역추가비!$A$3:$A$42,0)),0)))</f>
        <v/>
      </c>
      <c r="M134" s="13" t="str">
        <f aca="false">IF($B134="","",IF(COUNTIFS($B$3:$B134,$B134)&gt;1,"",$K134+$L134))</f>
        <v/>
      </c>
      <c r="N134" s="14" t="str">
        <f aca="false">IF($B134="","",COUNTIFS($B$3:$B134,$B134))</f>
        <v/>
      </c>
      <c r="O134" s="14" t="str">
        <f aca="false">IF($B134="","",$B134&amp;"|"&amp;$N134)</f>
        <v/>
      </c>
    </row>
    <row r="135" customFormat="false" ht="15" hidden="false" customHeight="false" outlineLevel="0" collapsed="false">
      <c r="A135" s="12"/>
      <c r="B135" s="9"/>
      <c r="C135" s="9"/>
      <c r="D135" s="9"/>
      <c r="E135" s="9"/>
      <c r="F135" s="9"/>
      <c r="G135" s="9"/>
      <c r="H135" s="7"/>
      <c r="I135" s="13" t="str">
        <f aca="false">IF(OR($G135="",$H135=""),"",ROUND($G135*$H135,0))</f>
        <v/>
      </c>
      <c r="J135" s="8"/>
      <c r="K135" s="13" t="str">
        <f aca="false">IF($B135="","",SUMIFS($I$3:$I$2002,$B$3:$B$2002,$B135))</f>
        <v/>
      </c>
      <c r="L135" s="13" t="str">
        <f aca="false">IF($B135="","",IF(COUNTIFS($B$3:$B135,$B135)&gt;1,0,IFERROR(LOOKUP($K135,배송비규정!$A$3:$A$32,배송비규정!$B$3:$B$32),0)+IFERROR(INDEX(지역추가비!$B$3:$B$42,MATCH($J135,지역추가비!$A$3:$A$42,0)),0)))</f>
        <v/>
      </c>
      <c r="M135" s="13" t="str">
        <f aca="false">IF($B135="","",IF(COUNTIFS($B$3:$B135,$B135)&gt;1,"",$K135+$L135))</f>
        <v/>
      </c>
      <c r="N135" s="14" t="str">
        <f aca="false">IF($B135="","",COUNTIFS($B$3:$B135,$B135))</f>
        <v/>
      </c>
      <c r="O135" s="14" t="str">
        <f aca="false">IF($B135="","",$B135&amp;"|"&amp;$N135)</f>
        <v/>
      </c>
    </row>
    <row r="136" customFormat="false" ht="15" hidden="false" customHeight="false" outlineLevel="0" collapsed="false">
      <c r="A136" s="12"/>
      <c r="B136" s="9"/>
      <c r="C136" s="9"/>
      <c r="D136" s="9"/>
      <c r="E136" s="9"/>
      <c r="F136" s="9"/>
      <c r="G136" s="9"/>
      <c r="H136" s="7"/>
      <c r="I136" s="13" t="str">
        <f aca="false">IF(OR($G136="",$H136=""),"",ROUND($G136*$H136,0))</f>
        <v/>
      </c>
      <c r="J136" s="8"/>
      <c r="K136" s="13" t="str">
        <f aca="false">IF($B136="","",SUMIFS($I$3:$I$2002,$B$3:$B$2002,$B136))</f>
        <v/>
      </c>
      <c r="L136" s="13" t="str">
        <f aca="false">IF($B136="","",IF(COUNTIFS($B$3:$B136,$B136)&gt;1,0,IFERROR(LOOKUP($K136,배송비규정!$A$3:$A$32,배송비규정!$B$3:$B$32),0)+IFERROR(INDEX(지역추가비!$B$3:$B$42,MATCH($J136,지역추가비!$A$3:$A$42,0)),0)))</f>
        <v/>
      </c>
      <c r="M136" s="13" t="str">
        <f aca="false">IF($B136="","",IF(COUNTIFS($B$3:$B136,$B136)&gt;1,"",$K136+$L136))</f>
        <v/>
      </c>
      <c r="N136" s="14" t="str">
        <f aca="false">IF($B136="","",COUNTIFS($B$3:$B136,$B136))</f>
        <v/>
      </c>
      <c r="O136" s="14" t="str">
        <f aca="false">IF($B136="","",$B136&amp;"|"&amp;$N136)</f>
        <v/>
      </c>
    </row>
    <row r="137" customFormat="false" ht="15" hidden="false" customHeight="false" outlineLevel="0" collapsed="false">
      <c r="A137" s="12"/>
      <c r="B137" s="9"/>
      <c r="C137" s="9"/>
      <c r="D137" s="9"/>
      <c r="E137" s="9"/>
      <c r="F137" s="9"/>
      <c r="G137" s="9"/>
      <c r="H137" s="7"/>
      <c r="I137" s="13" t="str">
        <f aca="false">IF(OR($G137="",$H137=""),"",ROUND($G137*$H137,0))</f>
        <v/>
      </c>
      <c r="J137" s="8"/>
      <c r="K137" s="13" t="str">
        <f aca="false">IF($B137="","",SUMIFS($I$3:$I$2002,$B$3:$B$2002,$B137))</f>
        <v/>
      </c>
      <c r="L137" s="13" t="str">
        <f aca="false">IF($B137="","",IF(COUNTIFS($B$3:$B137,$B137)&gt;1,0,IFERROR(LOOKUP($K137,배송비규정!$A$3:$A$32,배송비규정!$B$3:$B$32),0)+IFERROR(INDEX(지역추가비!$B$3:$B$42,MATCH($J137,지역추가비!$A$3:$A$42,0)),0)))</f>
        <v/>
      </c>
      <c r="M137" s="13" t="str">
        <f aca="false">IF($B137="","",IF(COUNTIFS($B$3:$B137,$B137)&gt;1,"",$K137+$L137))</f>
        <v/>
      </c>
      <c r="N137" s="14" t="str">
        <f aca="false">IF($B137="","",COUNTIFS($B$3:$B137,$B137))</f>
        <v/>
      </c>
      <c r="O137" s="14" t="str">
        <f aca="false">IF($B137="","",$B137&amp;"|"&amp;$N137)</f>
        <v/>
      </c>
    </row>
    <row r="138" customFormat="false" ht="15" hidden="false" customHeight="false" outlineLevel="0" collapsed="false">
      <c r="A138" s="12"/>
      <c r="B138" s="9"/>
      <c r="C138" s="9"/>
      <c r="D138" s="9"/>
      <c r="E138" s="9"/>
      <c r="F138" s="9"/>
      <c r="G138" s="9"/>
      <c r="H138" s="7"/>
      <c r="I138" s="13" t="str">
        <f aca="false">IF(OR($G138="",$H138=""),"",ROUND($G138*$H138,0))</f>
        <v/>
      </c>
      <c r="J138" s="8"/>
      <c r="K138" s="13" t="str">
        <f aca="false">IF($B138="","",SUMIFS($I$3:$I$2002,$B$3:$B$2002,$B138))</f>
        <v/>
      </c>
      <c r="L138" s="13" t="str">
        <f aca="false">IF($B138="","",IF(COUNTIFS($B$3:$B138,$B138)&gt;1,0,IFERROR(LOOKUP($K138,배송비규정!$A$3:$A$32,배송비규정!$B$3:$B$32),0)+IFERROR(INDEX(지역추가비!$B$3:$B$42,MATCH($J138,지역추가비!$A$3:$A$42,0)),0)))</f>
        <v/>
      </c>
      <c r="M138" s="13" t="str">
        <f aca="false">IF($B138="","",IF(COUNTIFS($B$3:$B138,$B138)&gt;1,"",$K138+$L138))</f>
        <v/>
      </c>
      <c r="N138" s="14" t="str">
        <f aca="false">IF($B138="","",COUNTIFS($B$3:$B138,$B138))</f>
        <v/>
      </c>
      <c r="O138" s="14" t="str">
        <f aca="false">IF($B138="","",$B138&amp;"|"&amp;$N138)</f>
        <v/>
      </c>
    </row>
    <row r="139" customFormat="false" ht="15" hidden="false" customHeight="false" outlineLevel="0" collapsed="false">
      <c r="A139" s="12"/>
      <c r="B139" s="9"/>
      <c r="C139" s="9"/>
      <c r="D139" s="9"/>
      <c r="E139" s="9"/>
      <c r="F139" s="9"/>
      <c r="G139" s="9"/>
      <c r="H139" s="7"/>
      <c r="I139" s="13" t="str">
        <f aca="false">IF(OR($G139="",$H139=""),"",ROUND($G139*$H139,0))</f>
        <v/>
      </c>
      <c r="J139" s="8"/>
      <c r="K139" s="13" t="str">
        <f aca="false">IF($B139="","",SUMIFS($I$3:$I$2002,$B$3:$B$2002,$B139))</f>
        <v/>
      </c>
      <c r="L139" s="13" t="str">
        <f aca="false">IF($B139="","",IF(COUNTIFS($B$3:$B139,$B139)&gt;1,0,IFERROR(LOOKUP($K139,배송비규정!$A$3:$A$32,배송비규정!$B$3:$B$32),0)+IFERROR(INDEX(지역추가비!$B$3:$B$42,MATCH($J139,지역추가비!$A$3:$A$42,0)),0)))</f>
        <v/>
      </c>
      <c r="M139" s="13" t="str">
        <f aca="false">IF($B139="","",IF(COUNTIFS($B$3:$B139,$B139)&gt;1,"",$K139+$L139))</f>
        <v/>
      </c>
      <c r="N139" s="14" t="str">
        <f aca="false">IF($B139="","",COUNTIFS($B$3:$B139,$B139))</f>
        <v/>
      </c>
      <c r="O139" s="14" t="str">
        <f aca="false">IF($B139="","",$B139&amp;"|"&amp;$N139)</f>
        <v/>
      </c>
    </row>
    <row r="140" customFormat="false" ht="15" hidden="false" customHeight="false" outlineLevel="0" collapsed="false">
      <c r="A140" s="12"/>
      <c r="B140" s="9"/>
      <c r="C140" s="9"/>
      <c r="D140" s="9"/>
      <c r="E140" s="9"/>
      <c r="F140" s="9"/>
      <c r="G140" s="9"/>
      <c r="H140" s="7"/>
      <c r="I140" s="13" t="str">
        <f aca="false">IF(OR($G140="",$H140=""),"",ROUND($G140*$H140,0))</f>
        <v/>
      </c>
      <c r="J140" s="8"/>
      <c r="K140" s="13" t="str">
        <f aca="false">IF($B140="","",SUMIFS($I$3:$I$2002,$B$3:$B$2002,$B140))</f>
        <v/>
      </c>
      <c r="L140" s="13" t="str">
        <f aca="false">IF($B140="","",IF(COUNTIFS($B$3:$B140,$B140)&gt;1,0,IFERROR(LOOKUP($K140,배송비규정!$A$3:$A$32,배송비규정!$B$3:$B$32),0)+IFERROR(INDEX(지역추가비!$B$3:$B$42,MATCH($J140,지역추가비!$A$3:$A$42,0)),0)))</f>
        <v/>
      </c>
      <c r="M140" s="13" t="str">
        <f aca="false">IF($B140="","",IF(COUNTIFS($B$3:$B140,$B140)&gt;1,"",$K140+$L140))</f>
        <v/>
      </c>
      <c r="N140" s="14" t="str">
        <f aca="false">IF($B140="","",COUNTIFS($B$3:$B140,$B140))</f>
        <v/>
      </c>
      <c r="O140" s="14" t="str">
        <f aca="false">IF($B140="","",$B140&amp;"|"&amp;$N140)</f>
        <v/>
      </c>
    </row>
    <row r="141" customFormat="false" ht="15" hidden="false" customHeight="false" outlineLevel="0" collapsed="false">
      <c r="A141" s="12"/>
      <c r="B141" s="9"/>
      <c r="C141" s="9"/>
      <c r="D141" s="9"/>
      <c r="E141" s="9"/>
      <c r="F141" s="9"/>
      <c r="G141" s="9"/>
      <c r="H141" s="7"/>
      <c r="I141" s="13" t="str">
        <f aca="false">IF(OR($G141="",$H141=""),"",ROUND($G141*$H141,0))</f>
        <v/>
      </c>
      <c r="J141" s="8"/>
      <c r="K141" s="13" t="str">
        <f aca="false">IF($B141="","",SUMIFS($I$3:$I$2002,$B$3:$B$2002,$B141))</f>
        <v/>
      </c>
      <c r="L141" s="13" t="str">
        <f aca="false">IF($B141="","",IF(COUNTIFS($B$3:$B141,$B141)&gt;1,0,IFERROR(LOOKUP($K141,배송비규정!$A$3:$A$32,배송비규정!$B$3:$B$32),0)+IFERROR(INDEX(지역추가비!$B$3:$B$42,MATCH($J141,지역추가비!$A$3:$A$42,0)),0)))</f>
        <v/>
      </c>
      <c r="M141" s="13" t="str">
        <f aca="false">IF($B141="","",IF(COUNTIFS($B$3:$B141,$B141)&gt;1,"",$K141+$L141))</f>
        <v/>
      </c>
      <c r="N141" s="14" t="str">
        <f aca="false">IF($B141="","",COUNTIFS($B$3:$B141,$B141))</f>
        <v/>
      </c>
      <c r="O141" s="14" t="str">
        <f aca="false">IF($B141="","",$B141&amp;"|"&amp;$N141)</f>
        <v/>
      </c>
    </row>
    <row r="142" customFormat="false" ht="15" hidden="false" customHeight="false" outlineLevel="0" collapsed="false">
      <c r="A142" s="12"/>
      <c r="B142" s="9"/>
      <c r="C142" s="9"/>
      <c r="D142" s="9"/>
      <c r="E142" s="9"/>
      <c r="F142" s="9"/>
      <c r="G142" s="9"/>
      <c r="H142" s="7"/>
      <c r="I142" s="13" t="str">
        <f aca="false">IF(OR($G142="",$H142=""),"",ROUND($G142*$H142,0))</f>
        <v/>
      </c>
      <c r="J142" s="8"/>
      <c r="K142" s="13" t="str">
        <f aca="false">IF($B142="","",SUMIFS($I$3:$I$2002,$B$3:$B$2002,$B142))</f>
        <v/>
      </c>
      <c r="L142" s="13" t="str">
        <f aca="false">IF($B142="","",IF(COUNTIFS($B$3:$B142,$B142)&gt;1,0,IFERROR(LOOKUP($K142,배송비규정!$A$3:$A$32,배송비규정!$B$3:$B$32),0)+IFERROR(INDEX(지역추가비!$B$3:$B$42,MATCH($J142,지역추가비!$A$3:$A$42,0)),0)))</f>
        <v/>
      </c>
      <c r="M142" s="13" t="str">
        <f aca="false">IF($B142="","",IF(COUNTIFS($B$3:$B142,$B142)&gt;1,"",$K142+$L142))</f>
        <v/>
      </c>
      <c r="N142" s="14" t="str">
        <f aca="false">IF($B142="","",COUNTIFS($B$3:$B142,$B142))</f>
        <v/>
      </c>
      <c r="O142" s="14" t="str">
        <f aca="false">IF($B142="","",$B142&amp;"|"&amp;$N142)</f>
        <v/>
      </c>
    </row>
    <row r="143" customFormat="false" ht="15" hidden="false" customHeight="false" outlineLevel="0" collapsed="false">
      <c r="A143" s="12"/>
      <c r="B143" s="9"/>
      <c r="C143" s="9"/>
      <c r="D143" s="9"/>
      <c r="E143" s="9"/>
      <c r="F143" s="9"/>
      <c r="G143" s="9"/>
      <c r="H143" s="7"/>
      <c r="I143" s="13" t="str">
        <f aca="false">IF(OR($G143="",$H143=""),"",ROUND($G143*$H143,0))</f>
        <v/>
      </c>
      <c r="J143" s="8"/>
      <c r="K143" s="13" t="str">
        <f aca="false">IF($B143="","",SUMIFS($I$3:$I$2002,$B$3:$B$2002,$B143))</f>
        <v/>
      </c>
      <c r="L143" s="13" t="str">
        <f aca="false">IF($B143="","",IF(COUNTIFS($B$3:$B143,$B143)&gt;1,0,IFERROR(LOOKUP($K143,배송비규정!$A$3:$A$32,배송비규정!$B$3:$B$32),0)+IFERROR(INDEX(지역추가비!$B$3:$B$42,MATCH($J143,지역추가비!$A$3:$A$42,0)),0)))</f>
        <v/>
      </c>
      <c r="M143" s="13" t="str">
        <f aca="false">IF($B143="","",IF(COUNTIFS($B$3:$B143,$B143)&gt;1,"",$K143+$L143))</f>
        <v/>
      </c>
      <c r="N143" s="14" t="str">
        <f aca="false">IF($B143="","",COUNTIFS($B$3:$B143,$B143))</f>
        <v/>
      </c>
      <c r="O143" s="14" t="str">
        <f aca="false">IF($B143="","",$B143&amp;"|"&amp;$N143)</f>
        <v/>
      </c>
    </row>
    <row r="144" customFormat="false" ht="15" hidden="false" customHeight="false" outlineLevel="0" collapsed="false">
      <c r="A144" s="12"/>
      <c r="B144" s="9"/>
      <c r="C144" s="9"/>
      <c r="D144" s="9"/>
      <c r="E144" s="9"/>
      <c r="F144" s="9"/>
      <c r="G144" s="9"/>
      <c r="H144" s="7"/>
      <c r="I144" s="13" t="str">
        <f aca="false">IF(OR($G144="",$H144=""),"",ROUND($G144*$H144,0))</f>
        <v/>
      </c>
      <c r="J144" s="8"/>
      <c r="K144" s="13" t="str">
        <f aca="false">IF($B144="","",SUMIFS($I$3:$I$2002,$B$3:$B$2002,$B144))</f>
        <v/>
      </c>
      <c r="L144" s="13" t="str">
        <f aca="false">IF($B144="","",IF(COUNTIFS($B$3:$B144,$B144)&gt;1,0,IFERROR(LOOKUP($K144,배송비규정!$A$3:$A$32,배송비규정!$B$3:$B$32),0)+IFERROR(INDEX(지역추가비!$B$3:$B$42,MATCH($J144,지역추가비!$A$3:$A$42,0)),0)))</f>
        <v/>
      </c>
      <c r="M144" s="13" t="str">
        <f aca="false">IF($B144="","",IF(COUNTIFS($B$3:$B144,$B144)&gt;1,"",$K144+$L144))</f>
        <v/>
      </c>
      <c r="N144" s="14" t="str">
        <f aca="false">IF($B144="","",COUNTIFS($B$3:$B144,$B144))</f>
        <v/>
      </c>
      <c r="O144" s="14" t="str">
        <f aca="false">IF($B144="","",$B144&amp;"|"&amp;$N144)</f>
        <v/>
      </c>
    </row>
    <row r="145" customFormat="false" ht="15" hidden="false" customHeight="false" outlineLevel="0" collapsed="false">
      <c r="A145" s="12"/>
      <c r="B145" s="9"/>
      <c r="C145" s="9"/>
      <c r="D145" s="9"/>
      <c r="E145" s="9"/>
      <c r="F145" s="9"/>
      <c r="G145" s="9"/>
      <c r="H145" s="7"/>
      <c r="I145" s="13" t="str">
        <f aca="false">IF(OR($G145="",$H145=""),"",ROUND($G145*$H145,0))</f>
        <v/>
      </c>
      <c r="J145" s="8"/>
      <c r="K145" s="13" t="str">
        <f aca="false">IF($B145="","",SUMIFS($I$3:$I$2002,$B$3:$B$2002,$B145))</f>
        <v/>
      </c>
      <c r="L145" s="13" t="str">
        <f aca="false">IF($B145="","",IF(COUNTIFS($B$3:$B145,$B145)&gt;1,0,IFERROR(LOOKUP($K145,배송비규정!$A$3:$A$32,배송비규정!$B$3:$B$32),0)+IFERROR(INDEX(지역추가비!$B$3:$B$42,MATCH($J145,지역추가비!$A$3:$A$42,0)),0)))</f>
        <v/>
      </c>
      <c r="M145" s="13" t="str">
        <f aca="false">IF($B145="","",IF(COUNTIFS($B$3:$B145,$B145)&gt;1,"",$K145+$L145))</f>
        <v/>
      </c>
      <c r="N145" s="14" t="str">
        <f aca="false">IF($B145="","",COUNTIFS($B$3:$B145,$B145))</f>
        <v/>
      </c>
      <c r="O145" s="14" t="str">
        <f aca="false">IF($B145="","",$B145&amp;"|"&amp;$N145)</f>
        <v/>
      </c>
    </row>
    <row r="146" customFormat="false" ht="15" hidden="false" customHeight="false" outlineLevel="0" collapsed="false">
      <c r="A146" s="12"/>
      <c r="B146" s="9"/>
      <c r="C146" s="9"/>
      <c r="D146" s="9"/>
      <c r="E146" s="9"/>
      <c r="F146" s="9"/>
      <c r="G146" s="9"/>
      <c r="H146" s="7"/>
      <c r="I146" s="13" t="str">
        <f aca="false">IF(OR($G146="",$H146=""),"",ROUND($G146*$H146,0))</f>
        <v/>
      </c>
      <c r="J146" s="8"/>
      <c r="K146" s="13" t="str">
        <f aca="false">IF($B146="","",SUMIFS($I$3:$I$2002,$B$3:$B$2002,$B146))</f>
        <v/>
      </c>
      <c r="L146" s="13" t="str">
        <f aca="false">IF($B146="","",IF(COUNTIFS($B$3:$B146,$B146)&gt;1,0,IFERROR(LOOKUP($K146,배송비규정!$A$3:$A$32,배송비규정!$B$3:$B$32),0)+IFERROR(INDEX(지역추가비!$B$3:$B$42,MATCH($J146,지역추가비!$A$3:$A$42,0)),0)))</f>
        <v/>
      </c>
      <c r="M146" s="13" t="str">
        <f aca="false">IF($B146="","",IF(COUNTIFS($B$3:$B146,$B146)&gt;1,"",$K146+$L146))</f>
        <v/>
      </c>
      <c r="N146" s="14" t="str">
        <f aca="false">IF($B146="","",COUNTIFS($B$3:$B146,$B146))</f>
        <v/>
      </c>
      <c r="O146" s="14" t="str">
        <f aca="false">IF($B146="","",$B146&amp;"|"&amp;$N146)</f>
        <v/>
      </c>
    </row>
    <row r="147" customFormat="false" ht="15" hidden="false" customHeight="false" outlineLevel="0" collapsed="false">
      <c r="A147" s="12"/>
      <c r="B147" s="9"/>
      <c r="C147" s="9"/>
      <c r="D147" s="9"/>
      <c r="E147" s="9"/>
      <c r="F147" s="9"/>
      <c r="G147" s="9"/>
      <c r="H147" s="7"/>
      <c r="I147" s="13" t="str">
        <f aca="false">IF(OR($G147="",$H147=""),"",ROUND($G147*$H147,0))</f>
        <v/>
      </c>
      <c r="J147" s="8"/>
      <c r="K147" s="13" t="str">
        <f aca="false">IF($B147="","",SUMIFS($I$3:$I$2002,$B$3:$B$2002,$B147))</f>
        <v/>
      </c>
      <c r="L147" s="13" t="str">
        <f aca="false">IF($B147="","",IF(COUNTIFS($B$3:$B147,$B147)&gt;1,0,IFERROR(LOOKUP($K147,배송비규정!$A$3:$A$32,배송비규정!$B$3:$B$32),0)+IFERROR(INDEX(지역추가비!$B$3:$B$42,MATCH($J147,지역추가비!$A$3:$A$42,0)),0)))</f>
        <v/>
      </c>
      <c r="M147" s="13" t="str">
        <f aca="false">IF($B147="","",IF(COUNTIFS($B$3:$B147,$B147)&gt;1,"",$K147+$L147))</f>
        <v/>
      </c>
      <c r="N147" s="14" t="str">
        <f aca="false">IF($B147="","",COUNTIFS($B$3:$B147,$B147))</f>
        <v/>
      </c>
      <c r="O147" s="14" t="str">
        <f aca="false">IF($B147="","",$B147&amp;"|"&amp;$N147)</f>
        <v/>
      </c>
    </row>
    <row r="148" customFormat="false" ht="15" hidden="false" customHeight="false" outlineLevel="0" collapsed="false">
      <c r="A148" s="12"/>
      <c r="B148" s="9"/>
      <c r="C148" s="9"/>
      <c r="D148" s="9"/>
      <c r="E148" s="9"/>
      <c r="F148" s="9"/>
      <c r="G148" s="9"/>
      <c r="H148" s="7"/>
      <c r="I148" s="13" t="str">
        <f aca="false">IF(OR($G148="",$H148=""),"",ROUND($G148*$H148,0))</f>
        <v/>
      </c>
      <c r="J148" s="8"/>
      <c r="K148" s="13" t="str">
        <f aca="false">IF($B148="","",SUMIFS($I$3:$I$2002,$B$3:$B$2002,$B148))</f>
        <v/>
      </c>
      <c r="L148" s="13" t="str">
        <f aca="false">IF($B148="","",IF(COUNTIFS($B$3:$B148,$B148)&gt;1,0,IFERROR(LOOKUP($K148,배송비규정!$A$3:$A$32,배송비규정!$B$3:$B$32),0)+IFERROR(INDEX(지역추가비!$B$3:$B$42,MATCH($J148,지역추가비!$A$3:$A$42,0)),0)))</f>
        <v/>
      </c>
      <c r="M148" s="13" t="str">
        <f aca="false">IF($B148="","",IF(COUNTIFS($B$3:$B148,$B148)&gt;1,"",$K148+$L148))</f>
        <v/>
      </c>
      <c r="N148" s="14" t="str">
        <f aca="false">IF($B148="","",COUNTIFS($B$3:$B148,$B148))</f>
        <v/>
      </c>
      <c r="O148" s="14" t="str">
        <f aca="false">IF($B148="","",$B148&amp;"|"&amp;$N148)</f>
        <v/>
      </c>
    </row>
    <row r="149" customFormat="false" ht="15" hidden="false" customHeight="false" outlineLevel="0" collapsed="false">
      <c r="A149" s="12"/>
      <c r="B149" s="9"/>
      <c r="C149" s="9"/>
      <c r="D149" s="9"/>
      <c r="E149" s="9"/>
      <c r="F149" s="9"/>
      <c r="G149" s="9"/>
      <c r="H149" s="7"/>
      <c r="I149" s="13" t="str">
        <f aca="false">IF(OR($G149="",$H149=""),"",ROUND($G149*$H149,0))</f>
        <v/>
      </c>
      <c r="J149" s="8"/>
      <c r="K149" s="13" t="str">
        <f aca="false">IF($B149="","",SUMIFS($I$3:$I$2002,$B$3:$B$2002,$B149))</f>
        <v/>
      </c>
      <c r="L149" s="13" t="str">
        <f aca="false">IF($B149="","",IF(COUNTIFS($B$3:$B149,$B149)&gt;1,0,IFERROR(LOOKUP($K149,배송비규정!$A$3:$A$32,배송비규정!$B$3:$B$32),0)+IFERROR(INDEX(지역추가비!$B$3:$B$42,MATCH($J149,지역추가비!$A$3:$A$42,0)),0)))</f>
        <v/>
      </c>
      <c r="M149" s="13" t="str">
        <f aca="false">IF($B149="","",IF(COUNTIFS($B$3:$B149,$B149)&gt;1,"",$K149+$L149))</f>
        <v/>
      </c>
      <c r="N149" s="14" t="str">
        <f aca="false">IF($B149="","",COUNTIFS($B$3:$B149,$B149))</f>
        <v/>
      </c>
      <c r="O149" s="14" t="str">
        <f aca="false">IF($B149="","",$B149&amp;"|"&amp;$N149)</f>
        <v/>
      </c>
    </row>
    <row r="150" customFormat="false" ht="15" hidden="false" customHeight="false" outlineLevel="0" collapsed="false">
      <c r="A150" s="12"/>
      <c r="B150" s="9"/>
      <c r="C150" s="9"/>
      <c r="D150" s="9"/>
      <c r="E150" s="9"/>
      <c r="F150" s="9"/>
      <c r="G150" s="9"/>
      <c r="H150" s="7"/>
      <c r="I150" s="13" t="str">
        <f aca="false">IF(OR($G150="",$H150=""),"",ROUND($G150*$H150,0))</f>
        <v/>
      </c>
      <c r="J150" s="8"/>
      <c r="K150" s="13" t="str">
        <f aca="false">IF($B150="","",SUMIFS($I$3:$I$2002,$B$3:$B$2002,$B150))</f>
        <v/>
      </c>
      <c r="L150" s="13" t="str">
        <f aca="false">IF($B150="","",IF(COUNTIFS($B$3:$B150,$B150)&gt;1,0,IFERROR(LOOKUP($K150,배송비규정!$A$3:$A$32,배송비규정!$B$3:$B$32),0)+IFERROR(INDEX(지역추가비!$B$3:$B$42,MATCH($J150,지역추가비!$A$3:$A$42,0)),0)))</f>
        <v/>
      </c>
      <c r="M150" s="13" t="str">
        <f aca="false">IF($B150="","",IF(COUNTIFS($B$3:$B150,$B150)&gt;1,"",$K150+$L150))</f>
        <v/>
      </c>
      <c r="N150" s="14" t="str">
        <f aca="false">IF($B150="","",COUNTIFS($B$3:$B150,$B150))</f>
        <v/>
      </c>
      <c r="O150" s="14" t="str">
        <f aca="false">IF($B150="","",$B150&amp;"|"&amp;$N150)</f>
        <v/>
      </c>
    </row>
    <row r="151" customFormat="false" ht="15" hidden="false" customHeight="false" outlineLevel="0" collapsed="false">
      <c r="A151" s="12"/>
      <c r="B151" s="9"/>
      <c r="C151" s="9"/>
      <c r="D151" s="9"/>
      <c r="E151" s="9"/>
      <c r="F151" s="9"/>
      <c r="G151" s="9"/>
      <c r="H151" s="7"/>
      <c r="I151" s="13" t="str">
        <f aca="false">IF(OR($G151="",$H151=""),"",ROUND($G151*$H151,0))</f>
        <v/>
      </c>
      <c r="J151" s="8"/>
      <c r="K151" s="13" t="str">
        <f aca="false">IF($B151="","",SUMIFS($I$3:$I$2002,$B$3:$B$2002,$B151))</f>
        <v/>
      </c>
      <c r="L151" s="13" t="str">
        <f aca="false">IF($B151="","",IF(COUNTIFS($B$3:$B151,$B151)&gt;1,0,IFERROR(LOOKUP($K151,배송비규정!$A$3:$A$32,배송비규정!$B$3:$B$32),0)+IFERROR(INDEX(지역추가비!$B$3:$B$42,MATCH($J151,지역추가비!$A$3:$A$42,0)),0)))</f>
        <v/>
      </c>
      <c r="M151" s="13" t="str">
        <f aca="false">IF($B151="","",IF(COUNTIFS($B$3:$B151,$B151)&gt;1,"",$K151+$L151))</f>
        <v/>
      </c>
      <c r="N151" s="14" t="str">
        <f aca="false">IF($B151="","",COUNTIFS($B$3:$B151,$B151))</f>
        <v/>
      </c>
      <c r="O151" s="14" t="str">
        <f aca="false">IF($B151="","",$B151&amp;"|"&amp;$N151)</f>
        <v/>
      </c>
    </row>
    <row r="152" customFormat="false" ht="15" hidden="false" customHeight="false" outlineLevel="0" collapsed="false">
      <c r="A152" s="12"/>
      <c r="B152" s="9"/>
      <c r="C152" s="9"/>
      <c r="D152" s="9"/>
      <c r="E152" s="9"/>
      <c r="F152" s="9"/>
      <c r="G152" s="9"/>
      <c r="H152" s="7"/>
      <c r="I152" s="13" t="str">
        <f aca="false">IF(OR($G152="",$H152=""),"",ROUND($G152*$H152,0))</f>
        <v/>
      </c>
      <c r="J152" s="8"/>
      <c r="K152" s="13" t="str">
        <f aca="false">IF($B152="","",SUMIFS($I$3:$I$2002,$B$3:$B$2002,$B152))</f>
        <v/>
      </c>
      <c r="L152" s="13" t="str">
        <f aca="false">IF($B152="","",IF(COUNTIFS($B$3:$B152,$B152)&gt;1,0,IFERROR(LOOKUP($K152,배송비규정!$A$3:$A$32,배송비규정!$B$3:$B$32),0)+IFERROR(INDEX(지역추가비!$B$3:$B$42,MATCH($J152,지역추가비!$A$3:$A$42,0)),0)))</f>
        <v/>
      </c>
      <c r="M152" s="13" t="str">
        <f aca="false">IF($B152="","",IF(COUNTIFS($B$3:$B152,$B152)&gt;1,"",$K152+$L152))</f>
        <v/>
      </c>
      <c r="N152" s="14" t="str">
        <f aca="false">IF($B152="","",COUNTIFS($B$3:$B152,$B152))</f>
        <v/>
      </c>
      <c r="O152" s="14" t="str">
        <f aca="false">IF($B152="","",$B152&amp;"|"&amp;$N152)</f>
        <v/>
      </c>
    </row>
    <row r="153" customFormat="false" ht="15" hidden="false" customHeight="false" outlineLevel="0" collapsed="false">
      <c r="A153" s="12"/>
      <c r="B153" s="9"/>
      <c r="C153" s="9"/>
      <c r="D153" s="9"/>
      <c r="E153" s="9"/>
      <c r="F153" s="9"/>
      <c r="G153" s="9"/>
      <c r="H153" s="7"/>
      <c r="I153" s="13" t="str">
        <f aca="false">IF(OR($G153="",$H153=""),"",ROUND($G153*$H153,0))</f>
        <v/>
      </c>
      <c r="J153" s="8"/>
      <c r="K153" s="13" t="str">
        <f aca="false">IF($B153="","",SUMIFS($I$3:$I$2002,$B$3:$B$2002,$B153))</f>
        <v/>
      </c>
      <c r="L153" s="13" t="str">
        <f aca="false">IF($B153="","",IF(COUNTIFS($B$3:$B153,$B153)&gt;1,0,IFERROR(LOOKUP($K153,배송비규정!$A$3:$A$32,배송비규정!$B$3:$B$32),0)+IFERROR(INDEX(지역추가비!$B$3:$B$42,MATCH($J153,지역추가비!$A$3:$A$42,0)),0)))</f>
        <v/>
      </c>
      <c r="M153" s="13" t="str">
        <f aca="false">IF($B153="","",IF(COUNTIFS($B$3:$B153,$B153)&gt;1,"",$K153+$L153))</f>
        <v/>
      </c>
      <c r="N153" s="14" t="str">
        <f aca="false">IF($B153="","",COUNTIFS($B$3:$B153,$B153))</f>
        <v/>
      </c>
      <c r="O153" s="14" t="str">
        <f aca="false">IF($B153="","",$B153&amp;"|"&amp;$N153)</f>
        <v/>
      </c>
    </row>
    <row r="154" customFormat="false" ht="15" hidden="false" customHeight="false" outlineLevel="0" collapsed="false">
      <c r="A154" s="12"/>
      <c r="B154" s="9"/>
      <c r="C154" s="9"/>
      <c r="D154" s="9"/>
      <c r="E154" s="9"/>
      <c r="F154" s="9"/>
      <c r="G154" s="9"/>
      <c r="H154" s="7"/>
      <c r="I154" s="13" t="str">
        <f aca="false">IF(OR($G154="",$H154=""),"",ROUND($G154*$H154,0))</f>
        <v/>
      </c>
      <c r="J154" s="8"/>
      <c r="K154" s="13" t="str">
        <f aca="false">IF($B154="","",SUMIFS($I$3:$I$2002,$B$3:$B$2002,$B154))</f>
        <v/>
      </c>
      <c r="L154" s="13" t="str">
        <f aca="false">IF($B154="","",IF(COUNTIFS($B$3:$B154,$B154)&gt;1,0,IFERROR(LOOKUP($K154,배송비규정!$A$3:$A$32,배송비규정!$B$3:$B$32),0)+IFERROR(INDEX(지역추가비!$B$3:$B$42,MATCH($J154,지역추가비!$A$3:$A$42,0)),0)))</f>
        <v/>
      </c>
      <c r="M154" s="13" t="str">
        <f aca="false">IF($B154="","",IF(COUNTIFS($B$3:$B154,$B154)&gt;1,"",$K154+$L154))</f>
        <v/>
      </c>
      <c r="N154" s="14" t="str">
        <f aca="false">IF($B154="","",COUNTIFS($B$3:$B154,$B154))</f>
        <v/>
      </c>
      <c r="O154" s="14" t="str">
        <f aca="false">IF($B154="","",$B154&amp;"|"&amp;$N154)</f>
        <v/>
      </c>
    </row>
    <row r="155" customFormat="false" ht="15" hidden="false" customHeight="false" outlineLevel="0" collapsed="false">
      <c r="A155" s="12"/>
      <c r="B155" s="9"/>
      <c r="C155" s="9"/>
      <c r="D155" s="9"/>
      <c r="E155" s="9"/>
      <c r="F155" s="9"/>
      <c r="G155" s="9"/>
      <c r="H155" s="7"/>
      <c r="I155" s="13" t="str">
        <f aca="false">IF(OR($G155="",$H155=""),"",ROUND($G155*$H155,0))</f>
        <v/>
      </c>
      <c r="J155" s="8"/>
      <c r="K155" s="13" t="str">
        <f aca="false">IF($B155="","",SUMIFS($I$3:$I$2002,$B$3:$B$2002,$B155))</f>
        <v/>
      </c>
      <c r="L155" s="13" t="str">
        <f aca="false">IF($B155="","",IF(COUNTIFS($B$3:$B155,$B155)&gt;1,0,IFERROR(LOOKUP($K155,배송비규정!$A$3:$A$32,배송비규정!$B$3:$B$32),0)+IFERROR(INDEX(지역추가비!$B$3:$B$42,MATCH($J155,지역추가비!$A$3:$A$42,0)),0)))</f>
        <v/>
      </c>
      <c r="M155" s="13" t="str">
        <f aca="false">IF($B155="","",IF(COUNTIFS($B$3:$B155,$B155)&gt;1,"",$K155+$L155))</f>
        <v/>
      </c>
      <c r="N155" s="14" t="str">
        <f aca="false">IF($B155="","",COUNTIFS($B$3:$B155,$B155))</f>
        <v/>
      </c>
      <c r="O155" s="14" t="str">
        <f aca="false">IF($B155="","",$B155&amp;"|"&amp;$N155)</f>
        <v/>
      </c>
    </row>
    <row r="156" customFormat="false" ht="15" hidden="false" customHeight="false" outlineLevel="0" collapsed="false">
      <c r="A156" s="12"/>
      <c r="B156" s="9"/>
      <c r="C156" s="9"/>
      <c r="D156" s="9"/>
      <c r="E156" s="9"/>
      <c r="F156" s="9"/>
      <c r="G156" s="9"/>
      <c r="H156" s="7"/>
      <c r="I156" s="13" t="str">
        <f aca="false">IF(OR($G156="",$H156=""),"",ROUND($G156*$H156,0))</f>
        <v/>
      </c>
      <c r="J156" s="8"/>
      <c r="K156" s="13" t="str">
        <f aca="false">IF($B156="","",SUMIFS($I$3:$I$2002,$B$3:$B$2002,$B156))</f>
        <v/>
      </c>
      <c r="L156" s="13" t="str">
        <f aca="false">IF($B156="","",IF(COUNTIFS($B$3:$B156,$B156)&gt;1,0,IFERROR(LOOKUP($K156,배송비규정!$A$3:$A$32,배송비규정!$B$3:$B$32),0)+IFERROR(INDEX(지역추가비!$B$3:$B$42,MATCH($J156,지역추가비!$A$3:$A$42,0)),0)))</f>
        <v/>
      </c>
      <c r="M156" s="13" t="str">
        <f aca="false">IF($B156="","",IF(COUNTIFS($B$3:$B156,$B156)&gt;1,"",$K156+$L156))</f>
        <v/>
      </c>
      <c r="N156" s="14" t="str">
        <f aca="false">IF($B156="","",COUNTIFS($B$3:$B156,$B156))</f>
        <v/>
      </c>
      <c r="O156" s="14" t="str">
        <f aca="false">IF($B156="","",$B156&amp;"|"&amp;$N156)</f>
        <v/>
      </c>
    </row>
    <row r="157" customFormat="false" ht="15" hidden="false" customHeight="false" outlineLevel="0" collapsed="false">
      <c r="A157" s="12"/>
      <c r="B157" s="9"/>
      <c r="C157" s="9"/>
      <c r="D157" s="9"/>
      <c r="E157" s="9"/>
      <c r="F157" s="9"/>
      <c r="G157" s="9"/>
      <c r="H157" s="7"/>
      <c r="I157" s="13" t="str">
        <f aca="false">IF(OR($G157="",$H157=""),"",ROUND($G157*$H157,0))</f>
        <v/>
      </c>
      <c r="J157" s="8"/>
      <c r="K157" s="13" t="str">
        <f aca="false">IF($B157="","",SUMIFS($I$3:$I$2002,$B$3:$B$2002,$B157))</f>
        <v/>
      </c>
      <c r="L157" s="13" t="str">
        <f aca="false">IF($B157="","",IF(COUNTIFS($B$3:$B157,$B157)&gt;1,0,IFERROR(LOOKUP($K157,배송비규정!$A$3:$A$32,배송비규정!$B$3:$B$32),0)+IFERROR(INDEX(지역추가비!$B$3:$B$42,MATCH($J157,지역추가비!$A$3:$A$42,0)),0)))</f>
        <v/>
      </c>
      <c r="M157" s="13" t="str">
        <f aca="false">IF($B157="","",IF(COUNTIFS($B$3:$B157,$B157)&gt;1,"",$K157+$L157))</f>
        <v/>
      </c>
      <c r="N157" s="14" t="str">
        <f aca="false">IF($B157="","",COUNTIFS($B$3:$B157,$B157))</f>
        <v/>
      </c>
      <c r="O157" s="14" t="str">
        <f aca="false">IF($B157="","",$B157&amp;"|"&amp;$N157)</f>
        <v/>
      </c>
    </row>
    <row r="158" customFormat="false" ht="15" hidden="false" customHeight="false" outlineLevel="0" collapsed="false">
      <c r="A158" s="12"/>
      <c r="B158" s="9"/>
      <c r="C158" s="9"/>
      <c r="D158" s="9"/>
      <c r="E158" s="9"/>
      <c r="F158" s="9"/>
      <c r="G158" s="9"/>
      <c r="H158" s="7"/>
      <c r="I158" s="13" t="str">
        <f aca="false">IF(OR($G158="",$H158=""),"",ROUND($G158*$H158,0))</f>
        <v/>
      </c>
      <c r="J158" s="8"/>
      <c r="K158" s="13" t="str">
        <f aca="false">IF($B158="","",SUMIFS($I$3:$I$2002,$B$3:$B$2002,$B158))</f>
        <v/>
      </c>
      <c r="L158" s="13" t="str">
        <f aca="false">IF($B158="","",IF(COUNTIFS($B$3:$B158,$B158)&gt;1,0,IFERROR(LOOKUP($K158,배송비규정!$A$3:$A$32,배송비규정!$B$3:$B$32),0)+IFERROR(INDEX(지역추가비!$B$3:$B$42,MATCH($J158,지역추가비!$A$3:$A$42,0)),0)))</f>
        <v/>
      </c>
      <c r="M158" s="13" t="str">
        <f aca="false">IF($B158="","",IF(COUNTIFS($B$3:$B158,$B158)&gt;1,"",$K158+$L158))</f>
        <v/>
      </c>
      <c r="N158" s="14" t="str">
        <f aca="false">IF($B158="","",COUNTIFS($B$3:$B158,$B158))</f>
        <v/>
      </c>
      <c r="O158" s="14" t="str">
        <f aca="false">IF($B158="","",$B158&amp;"|"&amp;$N158)</f>
        <v/>
      </c>
    </row>
    <row r="159" customFormat="false" ht="15" hidden="false" customHeight="false" outlineLevel="0" collapsed="false">
      <c r="A159" s="12"/>
      <c r="B159" s="9"/>
      <c r="C159" s="9"/>
      <c r="D159" s="9"/>
      <c r="E159" s="9"/>
      <c r="F159" s="9"/>
      <c r="G159" s="9"/>
      <c r="H159" s="7"/>
      <c r="I159" s="13" t="str">
        <f aca="false">IF(OR($G159="",$H159=""),"",ROUND($G159*$H159,0))</f>
        <v/>
      </c>
      <c r="J159" s="8"/>
      <c r="K159" s="13" t="str">
        <f aca="false">IF($B159="","",SUMIFS($I$3:$I$2002,$B$3:$B$2002,$B159))</f>
        <v/>
      </c>
      <c r="L159" s="13" t="str">
        <f aca="false">IF($B159="","",IF(COUNTIFS($B$3:$B159,$B159)&gt;1,0,IFERROR(LOOKUP($K159,배송비규정!$A$3:$A$32,배송비규정!$B$3:$B$32),0)+IFERROR(INDEX(지역추가비!$B$3:$B$42,MATCH($J159,지역추가비!$A$3:$A$42,0)),0)))</f>
        <v/>
      </c>
      <c r="M159" s="13" t="str">
        <f aca="false">IF($B159="","",IF(COUNTIFS($B$3:$B159,$B159)&gt;1,"",$K159+$L159))</f>
        <v/>
      </c>
      <c r="N159" s="14" t="str">
        <f aca="false">IF($B159="","",COUNTIFS($B$3:$B159,$B159))</f>
        <v/>
      </c>
      <c r="O159" s="14" t="str">
        <f aca="false">IF($B159="","",$B159&amp;"|"&amp;$N159)</f>
        <v/>
      </c>
    </row>
    <row r="160" customFormat="false" ht="15" hidden="false" customHeight="false" outlineLevel="0" collapsed="false">
      <c r="A160" s="12"/>
      <c r="B160" s="9"/>
      <c r="C160" s="9"/>
      <c r="D160" s="9"/>
      <c r="E160" s="9"/>
      <c r="F160" s="9"/>
      <c r="G160" s="9"/>
      <c r="H160" s="7"/>
      <c r="I160" s="13" t="str">
        <f aca="false">IF(OR($G160="",$H160=""),"",ROUND($G160*$H160,0))</f>
        <v/>
      </c>
      <c r="J160" s="8"/>
      <c r="K160" s="13" t="str">
        <f aca="false">IF($B160="","",SUMIFS($I$3:$I$2002,$B$3:$B$2002,$B160))</f>
        <v/>
      </c>
      <c r="L160" s="13" t="str">
        <f aca="false">IF($B160="","",IF(COUNTIFS($B$3:$B160,$B160)&gt;1,0,IFERROR(LOOKUP($K160,배송비규정!$A$3:$A$32,배송비규정!$B$3:$B$32),0)+IFERROR(INDEX(지역추가비!$B$3:$B$42,MATCH($J160,지역추가비!$A$3:$A$42,0)),0)))</f>
        <v/>
      </c>
      <c r="M160" s="13" t="str">
        <f aca="false">IF($B160="","",IF(COUNTIFS($B$3:$B160,$B160)&gt;1,"",$K160+$L160))</f>
        <v/>
      </c>
      <c r="N160" s="14" t="str">
        <f aca="false">IF($B160="","",COUNTIFS($B$3:$B160,$B160))</f>
        <v/>
      </c>
      <c r="O160" s="14" t="str">
        <f aca="false">IF($B160="","",$B160&amp;"|"&amp;$N160)</f>
        <v/>
      </c>
    </row>
    <row r="161" customFormat="false" ht="15" hidden="false" customHeight="false" outlineLevel="0" collapsed="false">
      <c r="A161" s="12"/>
      <c r="B161" s="9"/>
      <c r="C161" s="9"/>
      <c r="D161" s="9"/>
      <c r="E161" s="9"/>
      <c r="F161" s="9"/>
      <c r="G161" s="9"/>
      <c r="H161" s="7"/>
      <c r="I161" s="13" t="str">
        <f aca="false">IF(OR($G161="",$H161=""),"",ROUND($G161*$H161,0))</f>
        <v/>
      </c>
      <c r="J161" s="8"/>
      <c r="K161" s="13" t="str">
        <f aca="false">IF($B161="","",SUMIFS($I$3:$I$2002,$B$3:$B$2002,$B161))</f>
        <v/>
      </c>
      <c r="L161" s="13" t="str">
        <f aca="false">IF($B161="","",IF(COUNTIFS($B$3:$B161,$B161)&gt;1,0,IFERROR(LOOKUP($K161,배송비규정!$A$3:$A$32,배송비규정!$B$3:$B$32),0)+IFERROR(INDEX(지역추가비!$B$3:$B$42,MATCH($J161,지역추가비!$A$3:$A$42,0)),0)))</f>
        <v/>
      </c>
      <c r="M161" s="13" t="str">
        <f aca="false">IF($B161="","",IF(COUNTIFS($B$3:$B161,$B161)&gt;1,"",$K161+$L161))</f>
        <v/>
      </c>
      <c r="N161" s="14" t="str">
        <f aca="false">IF($B161="","",COUNTIFS($B$3:$B161,$B161))</f>
        <v/>
      </c>
      <c r="O161" s="14" t="str">
        <f aca="false">IF($B161="","",$B161&amp;"|"&amp;$N161)</f>
        <v/>
      </c>
    </row>
    <row r="162" customFormat="false" ht="15" hidden="false" customHeight="false" outlineLevel="0" collapsed="false">
      <c r="A162" s="12"/>
      <c r="B162" s="9"/>
      <c r="C162" s="9"/>
      <c r="D162" s="9"/>
      <c r="E162" s="9"/>
      <c r="F162" s="9"/>
      <c r="G162" s="9"/>
      <c r="H162" s="7"/>
      <c r="I162" s="13" t="str">
        <f aca="false">IF(OR($G162="",$H162=""),"",ROUND($G162*$H162,0))</f>
        <v/>
      </c>
      <c r="J162" s="8"/>
      <c r="K162" s="13" t="str">
        <f aca="false">IF($B162="","",SUMIFS($I$3:$I$2002,$B$3:$B$2002,$B162))</f>
        <v/>
      </c>
      <c r="L162" s="13" t="str">
        <f aca="false">IF($B162="","",IF(COUNTIFS($B$3:$B162,$B162)&gt;1,0,IFERROR(LOOKUP($K162,배송비규정!$A$3:$A$32,배송비규정!$B$3:$B$32),0)+IFERROR(INDEX(지역추가비!$B$3:$B$42,MATCH($J162,지역추가비!$A$3:$A$42,0)),0)))</f>
        <v/>
      </c>
      <c r="M162" s="13" t="str">
        <f aca="false">IF($B162="","",IF(COUNTIFS($B$3:$B162,$B162)&gt;1,"",$K162+$L162))</f>
        <v/>
      </c>
      <c r="N162" s="14" t="str">
        <f aca="false">IF($B162="","",COUNTIFS($B$3:$B162,$B162))</f>
        <v/>
      </c>
      <c r="O162" s="14" t="str">
        <f aca="false">IF($B162="","",$B162&amp;"|"&amp;$N162)</f>
        <v/>
      </c>
    </row>
    <row r="163" customFormat="false" ht="15" hidden="false" customHeight="false" outlineLevel="0" collapsed="false">
      <c r="A163" s="12"/>
      <c r="B163" s="9"/>
      <c r="C163" s="9"/>
      <c r="D163" s="9"/>
      <c r="E163" s="9"/>
      <c r="F163" s="9"/>
      <c r="G163" s="9"/>
      <c r="H163" s="7"/>
      <c r="I163" s="13" t="str">
        <f aca="false">IF(OR($G163="",$H163=""),"",ROUND($G163*$H163,0))</f>
        <v/>
      </c>
      <c r="J163" s="8"/>
      <c r="K163" s="13" t="str">
        <f aca="false">IF($B163="","",SUMIFS($I$3:$I$2002,$B$3:$B$2002,$B163))</f>
        <v/>
      </c>
      <c r="L163" s="13" t="str">
        <f aca="false">IF($B163="","",IF(COUNTIFS($B$3:$B163,$B163)&gt;1,0,IFERROR(LOOKUP($K163,배송비규정!$A$3:$A$32,배송비규정!$B$3:$B$32),0)+IFERROR(INDEX(지역추가비!$B$3:$B$42,MATCH($J163,지역추가비!$A$3:$A$42,0)),0)))</f>
        <v/>
      </c>
      <c r="M163" s="13" t="str">
        <f aca="false">IF($B163="","",IF(COUNTIFS($B$3:$B163,$B163)&gt;1,"",$K163+$L163))</f>
        <v/>
      </c>
      <c r="N163" s="14" t="str">
        <f aca="false">IF($B163="","",COUNTIFS($B$3:$B163,$B163))</f>
        <v/>
      </c>
      <c r="O163" s="14" t="str">
        <f aca="false">IF($B163="","",$B163&amp;"|"&amp;$N163)</f>
        <v/>
      </c>
    </row>
    <row r="164" customFormat="false" ht="15" hidden="false" customHeight="false" outlineLevel="0" collapsed="false">
      <c r="A164" s="12"/>
      <c r="B164" s="9"/>
      <c r="C164" s="9"/>
      <c r="D164" s="9"/>
      <c r="E164" s="9"/>
      <c r="F164" s="9"/>
      <c r="G164" s="9"/>
      <c r="H164" s="7"/>
      <c r="I164" s="13" t="str">
        <f aca="false">IF(OR($G164="",$H164=""),"",ROUND($G164*$H164,0))</f>
        <v/>
      </c>
      <c r="J164" s="8"/>
      <c r="K164" s="13" t="str">
        <f aca="false">IF($B164="","",SUMIFS($I$3:$I$2002,$B$3:$B$2002,$B164))</f>
        <v/>
      </c>
      <c r="L164" s="13" t="str">
        <f aca="false">IF($B164="","",IF(COUNTIFS($B$3:$B164,$B164)&gt;1,0,IFERROR(LOOKUP($K164,배송비규정!$A$3:$A$32,배송비규정!$B$3:$B$32),0)+IFERROR(INDEX(지역추가비!$B$3:$B$42,MATCH($J164,지역추가비!$A$3:$A$42,0)),0)))</f>
        <v/>
      </c>
      <c r="M164" s="13" t="str">
        <f aca="false">IF($B164="","",IF(COUNTIFS($B$3:$B164,$B164)&gt;1,"",$K164+$L164))</f>
        <v/>
      </c>
      <c r="N164" s="14" t="str">
        <f aca="false">IF($B164="","",COUNTIFS($B$3:$B164,$B164))</f>
        <v/>
      </c>
      <c r="O164" s="14" t="str">
        <f aca="false">IF($B164="","",$B164&amp;"|"&amp;$N164)</f>
        <v/>
      </c>
    </row>
    <row r="165" customFormat="false" ht="15" hidden="false" customHeight="false" outlineLevel="0" collapsed="false">
      <c r="A165" s="12"/>
      <c r="B165" s="9"/>
      <c r="C165" s="9"/>
      <c r="D165" s="9"/>
      <c r="E165" s="9"/>
      <c r="F165" s="9"/>
      <c r="G165" s="9"/>
      <c r="H165" s="7"/>
      <c r="I165" s="13" t="str">
        <f aca="false">IF(OR($G165="",$H165=""),"",ROUND($G165*$H165,0))</f>
        <v/>
      </c>
      <c r="J165" s="8"/>
      <c r="K165" s="13" t="str">
        <f aca="false">IF($B165="","",SUMIFS($I$3:$I$2002,$B$3:$B$2002,$B165))</f>
        <v/>
      </c>
      <c r="L165" s="13" t="str">
        <f aca="false">IF($B165="","",IF(COUNTIFS($B$3:$B165,$B165)&gt;1,0,IFERROR(LOOKUP($K165,배송비규정!$A$3:$A$32,배송비규정!$B$3:$B$32),0)+IFERROR(INDEX(지역추가비!$B$3:$B$42,MATCH($J165,지역추가비!$A$3:$A$42,0)),0)))</f>
        <v/>
      </c>
      <c r="M165" s="13" t="str">
        <f aca="false">IF($B165="","",IF(COUNTIFS($B$3:$B165,$B165)&gt;1,"",$K165+$L165))</f>
        <v/>
      </c>
      <c r="N165" s="14" t="str">
        <f aca="false">IF($B165="","",COUNTIFS($B$3:$B165,$B165))</f>
        <v/>
      </c>
      <c r="O165" s="14" t="str">
        <f aca="false">IF($B165="","",$B165&amp;"|"&amp;$N165)</f>
        <v/>
      </c>
    </row>
    <row r="166" customFormat="false" ht="15" hidden="false" customHeight="false" outlineLevel="0" collapsed="false">
      <c r="A166" s="12"/>
      <c r="B166" s="9"/>
      <c r="C166" s="9"/>
      <c r="D166" s="9"/>
      <c r="E166" s="9"/>
      <c r="F166" s="9"/>
      <c r="G166" s="9"/>
      <c r="H166" s="7"/>
      <c r="I166" s="13" t="str">
        <f aca="false">IF(OR($G166="",$H166=""),"",ROUND($G166*$H166,0))</f>
        <v/>
      </c>
      <c r="J166" s="8"/>
      <c r="K166" s="13" t="str">
        <f aca="false">IF($B166="","",SUMIFS($I$3:$I$2002,$B$3:$B$2002,$B166))</f>
        <v/>
      </c>
      <c r="L166" s="13" t="str">
        <f aca="false">IF($B166="","",IF(COUNTIFS($B$3:$B166,$B166)&gt;1,0,IFERROR(LOOKUP($K166,배송비규정!$A$3:$A$32,배송비규정!$B$3:$B$32),0)+IFERROR(INDEX(지역추가비!$B$3:$B$42,MATCH($J166,지역추가비!$A$3:$A$42,0)),0)))</f>
        <v/>
      </c>
      <c r="M166" s="13" t="str">
        <f aca="false">IF($B166="","",IF(COUNTIFS($B$3:$B166,$B166)&gt;1,"",$K166+$L166))</f>
        <v/>
      </c>
      <c r="N166" s="14" t="str">
        <f aca="false">IF($B166="","",COUNTIFS($B$3:$B166,$B166))</f>
        <v/>
      </c>
      <c r="O166" s="14" t="str">
        <f aca="false">IF($B166="","",$B166&amp;"|"&amp;$N166)</f>
        <v/>
      </c>
    </row>
    <row r="167" customFormat="false" ht="15" hidden="false" customHeight="false" outlineLevel="0" collapsed="false">
      <c r="A167" s="12"/>
      <c r="B167" s="9"/>
      <c r="C167" s="9"/>
      <c r="D167" s="9"/>
      <c r="E167" s="9"/>
      <c r="F167" s="9"/>
      <c r="G167" s="9"/>
      <c r="H167" s="7"/>
      <c r="I167" s="13" t="str">
        <f aca="false">IF(OR($G167="",$H167=""),"",ROUND($G167*$H167,0))</f>
        <v/>
      </c>
      <c r="J167" s="8"/>
      <c r="K167" s="13" t="str">
        <f aca="false">IF($B167="","",SUMIFS($I$3:$I$2002,$B$3:$B$2002,$B167))</f>
        <v/>
      </c>
      <c r="L167" s="13" t="str">
        <f aca="false">IF($B167="","",IF(COUNTIFS($B$3:$B167,$B167)&gt;1,0,IFERROR(LOOKUP($K167,배송비규정!$A$3:$A$32,배송비규정!$B$3:$B$32),0)+IFERROR(INDEX(지역추가비!$B$3:$B$42,MATCH($J167,지역추가비!$A$3:$A$42,0)),0)))</f>
        <v/>
      </c>
      <c r="M167" s="13" t="str">
        <f aca="false">IF($B167="","",IF(COUNTIFS($B$3:$B167,$B167)&gt;1,"",$K167+$L167))</f>
        <v/>
      </c>
      <c r="N167" s="14" t="str">
        <f aca="false">IF($B167="","",COUNTIFS($B$3:$B167,$B167))</f>
        <v/>
      </c>
      <c r="O167" s="14" t="str">
        <f aca="false">IF($B167="","",$B167&amp;"|"&amp;$N167)</f>
        <v/>
      </c>
    </row>
    <row r="168" customFormat="false" ht="15" hidden="false" customHeight="false" outlineLevel="0" collapsed="false">
      <c r="A168" s="12"/>
      <c r="B168" s="9"/>
      <c r="C168" s="9"/>
      <c r="D168" s="9"/>
      <c r="E168" s="9"/>
      <c r="F168" s="9"/>
      <c r="G168" s="9"/>
      <c r="H168" s="7"/>
      <c r="I168" s="13" t="str">
        <f aca="false">IF(OR($G168="",$H168=""),"",ROUND($G168*$H168,0))</f>
        <v/>
      </c>
      <c r="J168" s="8"/>
      <c r="K168" s="13" t="str">
        <f aca="false">IF($B168="","",SUMIFS($I$3:$I$2002,$B$3:$B$2002,$B168))</f>
        <v/>
      </c>
      <c r="L168" s="13" t="str">
        <f aca="false">IF($B168="","",IF(COUNTIFS($B$3:$B168,$B168)&gt;1,0,IFERROR(LOOKUP($K168,배송비규정!$A$3:$A$32,배송비규정!$B$3:$B$32),0)+IFERROR(INDEX(지역추가비!$B$3:$B$42,MATCH($J168,지역추가비!$A$3:$A$42,0)),0)))</f>
        <v/>
      </c>
      <c r="M168" s="13" t="str">
        <f aca="false">IF($B168="","",IF(COUNTIFS($B$3:$B168,$B168)&gt;1,"",$K168+$L168))</f>
        <v/>
      </c>
      <c r="N168" s="14" t="str">
        <f aca="false">IF($B168="","",COUNTIFS($B$3:$B168,$B168))</f>
        <v/>
      </c>
      <c r="O168" s="14" t="str">
        <f aca="false">IF($B168="","",$B168&amp;"|"&amp;$N168)</f>
        <v/>
      </c>
    </row>
    <row r="169" customFormat="false" ht="15" hidden="false" customHeight="false" outlineLevel="0" collapsed="false">
      <c r="A169" s="12"/>
      <c r="B169" s="9"/>
      <c r="C169" s="9"/>
      <c r="D169" s="9"/>
      <c r="E169" s="9"/>
      <c r="F169" s="9"/>
      <c r="G169" s="9"/>
      <c r="H169" s="7"/>
      <c r="I169" s="13" t="str">
        <f aca="false">IF(OR($G169="",$H169=""),"",ROUND($G169*$H169,0))</f>
        <v/>
      </c>
      <c r="J169" s="8"/>
      <c r="K169" s="13" t="str">
        <f aca="false">IF($B169="","",SUMIFS($I$3:$I$2002,$B$3:$B$2002,$B169))</f>
        <v/>
      </c>
      <c r="L169" s="13" t="str">
        <f aca="false">IF($B169="","",IF(COUNTIFS($B$3:$B169,$B169)&gt;1,0,IFERROR(LOOKUP($K169,배송비규정!$A$3:$A$32,배송비규정!$B$3:$B$32),0)+IFERROR(INDEX(지역추가비!$B$3:$B$42,MATCH($J169,지역추가비!$A$3:$A$42,0)),0)))</f>
        <v/>
      </c>
      <c r="M169" s="13" t="str">
        <f aca="false">IF($B169="","",IF(COUNTIFS($B$3:$B169,$B169)&gt;1,"",$K169+$L169))</f>
        <v/>
      </c>
      <c r="N169" s="14" t="str">
        <f aca="false">IF($B169="","",COUNTIFS($B$3:$B169,$B169))</f>
        <v/>
      </c>
      <c r="O169" s="14" t="str">
        <f aca="false">IF($B169="","",$B169&amp;"|"&amp;$N169)</f>
        <v/>
      </c>
    </row>
    <row r="170" customFormat="false" ht="15" hidden="false" customHeight="false" outlineLevel="0" collapsed="false">
      <c r="A170" s="12"/>
      <c r="B170" s="9"/>
      <c r="C170" s="9"/>
      <c r="D170" s="9"/>
      <c r="E170" s="9"/>
      <c r="F170" s="9"/>
      <c r="G170" s="9"/>
      <c r="H170" s="7"/>
      <c r="I170" s="13" t="str">
        <f aca="false">IF(OR($G170="",$H170=""),"",ROUND($G170*$H170,0))</f>
        <v/>
      </c>
      <c r="J170" s="8"/>
      <c r="K170" s="13" t="str">
        <f aca="false">IF($B170="","",SUMIFS($I$3:$I$2002,$B$3:$B$2002,$B170))</f>
        <v/>
      </c>
      <c r="L170" s="13" t="str">
        <f aca="false">IF($B170="","",IF(COUNTIFS($B$3:$B170,$B170)&gt;1,0,IFERROR(LOOKUP($K170,배송비규정!$A$3:$A$32,배송비규정!$B$3:$B$32),0)+IFERROR(INDEX(지역추가비!$B$3:$B$42,MATCH($J170,지역추가비!$A$3:$A$42,0)),0)))</f>
        <v/>
      </c>
      <c r="M170" s="13" t="str">
        <f aca="false">IF($B170="","",IF(COUNTIFS($B$3:$B170,$B170)&gt;1,"",$K170+$L170))</f>
        <v/>
      </c>
      <c r="N170" s="14" t="str">
        <f aca="false">IF($B170="","",COUNTIFS($B$3:$B170,$B170))</f>
        <v/>
      </c>
      <c r="O170" s="14" t="str">
        <f aca="false">IF($B170="","",$B170&amp;"|"&amp;$N170)</f>
        <v/>
      </c>
    </row>
    <row r="171" customFormat="false" ht="15" hidden="false" customHeight="false" outlineLevel="0" collapsed="false">
      <c r="A171" s="12"/>
      <c r="B171" s="9"/>
      <c r="C171" s="9"/>
      <c r="D171" s="9"/>
      <c r="E171" s="9"/>
      <c r="F171" s="9"/>
      <c r="G171" s="9"/>
      <c r="H171" s="7"/>
      <c r="I171" s="13" t="str">
        <f aca="false">IF(OR($G171="",$H171=""),"",ROUND($G171*$H171,0))</f>
        <v/>
      </c>
      <c r="J171" s="8"/>
      <c r="K171" s="13" t="str">
        <f aca="false">IF($B171="","",SUMIFS($I$3:$I$2002,$B$3:$B$2002,$B171))</f>
        <v/>
      </c>
      <c r="L171" s="13" t="str">
        <f aca="false">IF($B171="","",IF(COUNTIFS($B$3:$B171,$B171)&gt;1,0,IFERROR(LOOKUP($K171,배송비규정!$A$3:$A$32,배송비규정!$B$3:$B$32),0)+IFERROR(INDEX(지역추가비!$B$3:$B$42,MATCH($J171,지역추가비!$A$3:$A$42,0)),0)))</f>
        <v/>
      </c>
      <c r="M171" s="13" t="str">
        <f aca="false">IF($B171="","",IF(COUNTIFS($B$3:$B171,$B171)&gt;1,"",$K171+$L171))</f>
        <v/>
      </c>
      <c r="N171" s="14" t="str">
        <f aca="false">IF($B171="","",COUNTIFS($B$3:$B171,$B171))</f>
        <v/>
      </c>
      <c r="O171" s="14" t="str">
        <f aca="false">IF($B171="","",$B171&amp;"|"&amp;$N171)</f>
        <v/>
      </c>
    </row>
    <row r="172" customFormat="false" ht="15" hidden="false" customHeight="false" outlineLevel="0" collapsed="false">
      <c r="A172" s="12"/>
      <c r="B172" s="9"/>
      <c r="C172" s="9"/>
      <c r="D172" s="9"/>
      <c r="E172" s="9"/>
      <c r="F172" s="9"/>
      <c r="G172" s="9"/>
      <c r="H172" s="7"/>
      <c r="I172" s="13" t="str">
        <f aca="false">IF(OR($G172="",$H172=""),"",ROUND($G172*$H172,0))</f>
        <v/>
      </c>
      <c r="J172" s="8"/>
      <c r="K172" s="13" t="str">
        <f aca="false">IF($B172="","",SUMIFS($I$3:$I$2002,$B$3:$B$2002,$B172))</f>
        <v/>
      </c>
      <c r="L172" s="13" t="str">
        <f aca="false">IF($B172="","",IF(COUNTIFS($B$3:$B172,$B172)&gt;1,0,IFERROR(LOOKUP($K172,배송비규정!$A$3:$A$32,배송비규정!$B$3:$B$32),0)+IFERROR(INDEX(지역추가비!$B$3:$B$42,MATCH($J172,지역추가비!$A$3:$A$42,0)),0)))</f>
        <v/>
      </c>
      <c r="M172" s="13" t="str">
        <f aca="false">IF($B172="","",IF(COUNTIFS($B$3:$B172,$B172)&gt;1,"",$K172+$L172))</f>
        <v/>
      </c>
      <c r="N172" s="14" t="str">
        <f aca="false">IF($B172="","",COUNTIFS($B$3:$B172,$B172))</f>
        <v/>
      </c>
      <c r="O172" s="14" t="str">
        <f aca="false">IF($B172="","",$B172&amp;"|"&amp;$N172)</f>
        <v/>
      </c>
    </row>
    <row r="173" customFormat="false" ht="15" hidden="false" customHeight="false" outlineLevel="0" collapsed="false">
      <c r="A173" s="12"/>
      <c r="B173" s="9"/>
      <c r="C173" s="9"/>
      <c r="D173" s="9"/>
      <c r="E173" s="9"/>
      <c r="F173" s="9"/>
      <c r="G173" s="9"/>
      <c r="H173" s="7"/>
      <c r="I173" s="13" t="str">
        <f aca="false">IF(OR($G173="",$H173=""),"",ROUND($G173*$H173,0))</f>
        <v/>
      </c>
      <c r="J173" s="8"/>
      <c r="K173" s="13" t="str">
        <f aca="false">IF($B173="","",SUMIFS($I$3:$I$2002,$B$3:$B$2002,$B173))</f>
        <v/>
      </c>
      <c r="L173" s="13" t="str">
        <f aca="false">IF($B173="","",IF(COUNTIFS($B$3:$B173,$B173)&gt;1,0,IFERROR(LOOKUP($K173,배송비규정!$A$3:$A$32,배송비규정!$B$3:$B$32),0)+IFERROR(INDEX(지역추가비!$B$3:$B$42,MATCH($J173,지역추가비!$A$3:$A$42,0)),0)))</f>
        <v/>
      </c>
      <c r="M173" s="13" t="str">
        <f aca="false">IF($B173="","",IF(COUNTIFS($B$3:$B173,$B173)&gt;1,"",$K173+$L173))</f>
        <v/>
      </c>
      <c r="N173" s="14" t="str">
        <f aca="false">IF($B173="","",COUNTIFS($B$3:$B173,$B173))</f>
        <v/>
      </c>
      <c r="O173" s="14" t="str">
        <f aca="false">IF($B173="","",$B173&amp;"|"&amp;$N173)</f>
        <v/>
      </c>
    </row>
    <row r="174" customFormat="false" ht="15" hidden="false" customHeight="false" outlineLevel="0" collapsed="false">
      <c r="A174" s="12"/>
      <c r="B174" s="9"/>
      <c r="C174" s="9"/>
      <c r="D174" s="9"/>
      <c r="E174" s="9"/>
      <c r="F174" s="9"/>
      <c r="G174" s="9"/>
      <c r="H174" s="7"/>
      <c r="I174" s="13" t="str">
        <f aca="false">IF(OR($G174="",$H174=""),"",ROUND($G174*$H174,0))</f>
        <v/>
      </c>
      <c r="J174" s="8"/>
      <c r="K174" s="13" t="str">
        <f aca="false">IF($B174="","",SUMIFS($I$3:$I$2002,$B$3:$B$2002,$B174))</f>
        <v/>
      </c>
      <c r="L174" s="13" t="str">
        <f aca="false">IF($B174="","",IF(COUNTIFS($B$3:$B174,$B174)&gt;1,0,IFERROR(LOOKUP($K174,배송비규정!$A$3:$A$32,배송비규정!$B$3:$B$32),0)+IFERROR(INDEX(지역추가비!$B$3:$B$42,MATCH($J174,지역추가비!$A$3:$A$42,0)),0)))</f>
        <v/>
      </c>
      <c r="M174" s="13" t="str">
        <f aca="false">IF($B174="","",IF(COUNTIFS($B$3:$B174,$B174)&gt;1,"",$K174+$L174))</f>
        <v/>
      </c>
      <c r="N174" s="14" t="str">
        <f aca="false">IF($B174="","",COUNTIFS($B$3:$B174,$B174))</f>
        <v/>
      </c>
      <c r="O174" s="14" t="str">
        <f aca="false">IF($B174="","",$B174&amp;"|"&amp;$N174)</f>
        <v/>
      </c>
    </row>
    <row r="175" customFormat="false" ht="15" hidden="false" customHeight="false" outlineLevel="0" collapsed="false">
      <c r="A175" s="12"/>
      <c r="B175" s="9"/>
      <c r="C175" s="9"/>
      <c r="D175" s="9"/>
      <c r="E175" s="9"/>
      <c r="F175" s="9"/>
      <c r="G175" s="9"/>
      <c r="H175" s="7"/>
      <c r="I175" s="13" t="str">
        <f aca="false">IF(OR($G175="",$H175=""),"",ROUND($G175*$H175,0))</f>
        <v/>
      </c>
      <c r="J175" s="8"/>
      <c r="K175" s="13" t="str">
        <f aca="false">IF($B175="","",SUMIFS($I$3:$I$2002,$B$3:$B$2002,$B175))</f>
        <v/>
      </c>
      <c r="L175" s="13" t="str">
        <f aca="false">IF($B175="","",IF(COUNTIFS($B$3:$B175,$B175)&gt;1,0,IFERROR(LOOKUP($K175,배송비규정!$A$3:$A$32,배송비규정!$B$3:$B$32),0)+IFERROR(INDEX(지역추가비!$B$3:$B$42,MATCH($J175,지역추가비!$A$3:$A$42,0)),0)))</f>
        <v/>
      </c>
      <c r="M175" s="13" t="str">
        <f aca="false">IF($B175="","",IF(COUNTIFS($B$3:$B175,$B175)&gt;1,"",$K175+$L175))</f>
        <v/>
      </c>
      <c r="N175" s="14" t="str">
        <f aca="false">IF($B175="","",COUNTIFS($B$3:$B175,$B175))</f>
        <v/>
      </c>
      <c r="O175" s="14" t="str">
        <f aca="false">IF($B175="","",$B175&amp;"|"&amp;$N175)</f>
        <v/>
      </c>
    </row>
    <row r="176" customFormat="false" ht="15" hidden="false" customHeight="false" outlineLevel="0" collapsed="false">
      <c r="A176" s="12"/>
      <c r="B176" s="9"/>
      <c r="C176" s="9"/>
      <c r="D176" s="9"/>
      <c r="E176" s="9"/>
      <c r="F176" s="9"/>
      <c r="G176" s="9"/>
      <c r="H176" s="7"/>
      <c r="I176" s="13" t="str">
        <f aca="false">IF(OR($G176="",$H176=""),"",ROUND($G176*$H176,0))</f>
        <v/>
      </c>
      <c r="J176" s="8"/>
      <c r="K176" s="13" t="str">
        <f aca="false">IF($B176="","",SUMIFS($I$3:$I$2002,$B$3:$B$2002,$B176))</f>
        <v/>
      </c>
      <c r="L176" s="13" t="str">
        <f aca="false">IF($B176="","",IF(COUNTIFS($B$3:$B176,$B176)&gt;1,0,IFERROR(LOOKUP($K176,배송비규정!$A$3:$A$32,배송비규정!$B$3:$B$32),0)+IFERROR(INDEX(지역추가비!$B$3:$B$42,MATCH($J176,지역추가비!$A$3:$A$42,0)),0)))</f>
        <v/>
      </c>
      <c r="M176" s="13" t="str">
        <f aca="false">IF($B176="","",IF(COUNTIFS($B$3:$B176,$B176)&gt;1,"",$K176+$L176))</f>
        <v/>
      </c>
      <c r="N176" s="14" t="str">
        <f aca="false">IF($B176="","",COUNTIFS($B$3:$B176,$B176))</f>
        <v/>
      </c>
      <c r="O176" s="14" t="str">
        <f aca="false">IF($B176="","",$B176&amp;"|"&amp;$N176)</f>
        <v/>
      </c>
    </row>
    <row r="177" customFormat="false" ht="15" hidden="false" customHeight="false" outlineLevel="0" collapsed="false">
      <c r="A177" s="12"/>
      <c r="B177" s="9"/>
      <c r="C177" s="9"/>
      <c r="D177" s="9"/>
      <c r="E177" s="9"/>
      <c r="F177" s="9"/>
      <c r="G177" s="9"/>
      <c r="H177" s="7"/>
      <c r="I177" s="13" t="str">
        <f aca="false">IF(OR($G177="",$H177=""),"",ROUND($G177*$H177,0))</f>
        <v/>
      </c>
      <c r="J177" s="8"/>
      <c r="K177" s="13" t="str">
        <f aca="false">IF($B177="","",SUMIFS($I$3:$I$2002,$B$3:$B$2002,$B177))</f>
        <v/>
      </c>
      <c r="L177" s="13" t="str">
        <f aca="false">IF($B177="","",IF(COUNTIFS($B$3:$B177,$B177)&gt;1,0,IFERROR(LOOKUP($K177,배송비규정!$A$3:$A$32,배송비규정!$B$3:$B$32),0)+IFERROR(INDEX(지역추가비!$B$3:$B$42,MATCH($J177,지역추가비!$A$3:$A$42,0)),0)))</f>
        <v/>
      </c>
      <c r="M177" s="13" t="str">
        <f aca="false">IF($B177="","",IF(COUNTIFS($B$3:$B177,$B177)&gt;1,"",$K177+$L177))</f>
        <v/>
      </c>
      <c r="N177" s="14" t="str">
        <f aca="false">IF($B177="","",COUNTIFS($B$3:$B177,$B177))</f>
        <v/>
      </c>
      <c r="O177" s="14" t="str">
        <f aca="false">IF($B177="","",$B177&amp;"|"&amp;$N177)</f>
        <v/>
      </c>
    </row>
    <row r="178" customFormat="false" ht="15" hidden="false" customHeight="false" outlineLevel="0" collapsed="false">
      <c r="A178" s="12"/>
      <c r="B178" s="9"/>
      <c r="C178" s="9"/>
      <c r="D178" s="9"/>
      <c r="E178" s="9"/>
      <c r="F178" s="9"/>
      <c r="G178" s="9"/>
      <c r="H178" s="7"/>
      <c r="I178" s="13" t="str">
        <f aca="false">IF(OR($G178="",$H178=""),"",ROUND($G178*$H178,0))</f>
        <v/>
      </c>
      <c r="J178" s="8"/>
      <c r="K178" s="13" t="str">
        <f aca="false">IF($B178="","",SUMIFS($I$3:$I$2002,$B$3:$B$2002,$B178))</f>
        <v/>
      </c>
      <c r="L178" s="13" t="str">
        <f aca="false">IF($B178="","",IF(COUNTIFS($B$3:$B178,$B178)&gt;1,0,IFERROR(LOOKUP($K178,배송비규정!$A$3:$A$32,배송비규정!$B$3:$B$32),0)+IFERROR(INDEX(지역추가비!$B$3:$B$42,MATCH($J178,지역추가비!$A$3:$A$42,0)),0)))</f>
        <v/>
      </c>
      <c r="M178" s="13" t="str">
        <f aca="false">IF($B178="","",IF(COUNTIFS($B$3:$B178,$B178)&gt;1,"",$K178+$L178))</f>
        <v/>
      </c>
      <c r="N178" s="14" t="str">
        <f aca="false">IF($B178="","",COUNTIFS($B$3:$B178,$B178))</f>
        <v/>
      </c>
      <c r="O178" s="14" t="str">
        <f aca="false">IF($B178="","",$B178&amp;"|"&amp;$N178)</f>
        <v/>
      </c>
    </row>
    <row r="179" customFormat="false" ht="15" hidden="false" customHeight="false" outlineLevel="0" collapsed="false">
      <c r="A179" s="12"/>
      <c r="B179" s="9"/>
      <c r="C179" s="9"/>
      <c r="D179" s="9"/>
      <c r="E179" s="9"/>
      <c r="F179" s="9"/>
      <c r="G179" s="9"/>
      <c r="H179" s="7"/>
      <c r="I179" s="13" t="str">
        <f aca="false">IF(OR($G179="",$H179=""),"",ROUND($G179*$H179,0))</f>
        <v/>
      </c>
      <c r="J179" s="8"/>
      <c r="K179" s="13" t="str">
        <f aca="false">IF($B179="","",SUMIFS($I$3:$I$2002,$B$3:$B$2002,$B179))</f>
        <v/>
      </c>
      <c r="L179" s="13" t="str">
        <f aca="false">IF($B179="","",IF(COUNTIFS($B$3:$B179,$B179)&gt;1,0,IFERROR(LOOKUP($K179,배송비규정!$A$3:$A$32,배송비규정!$B$3:$B$32),0)+IFERROR(INDEX(지역추가비!$B$3:$B$42,MATCH($J179,지역추가비!$A$3:$A$42,0)),0)))</f>
        <v/>
      </c>
      <c r="M179" s="13" t="str">
        <f aca="false">IF($B179="","",IF(COUNTIFS($B$3:$B179,$B179)&gt;1,"",$K179+$L179))</f>
        <v/>
      </c>
      <c r="N179" s="14" t="str">
        <f aca="false">IF($B179="","",COUNTIFS($B$3:$B179,$B179))</f>
        <v/>
      </c>
      <c r="O179" s="14" t="str">
        <f aca="false">IF($B179="","",$B179&amp;"|"&amp;$N179)</f>
        <v/>
      </c>
    </row>
    <row r="180" customFormat="false" ht="15" hidden="false" customHeight="false" outlineLevel="0" collapsed="false">
      <c r="A180" s="12"/>
      <c r="B180" s="9"/>
      <c r="C180" s="9"/>
      <c r="D180" s="9"/>
      <c r="E180" s="9"/>
      <c r="F180" s="9"/>
      <c r="G180" s="9"/>
      <c r="H180" s="7"/>
      <c r="I180" s="13" t="str">
        <f aca="false">IF(OR($G180="",$H180=""),"",ROUND($G180*$H180,0))</f>
        <v/>
      </c>
      <c r="J180" s="8"/>
      <c r="K180" s="13" t="str">
        <f aca="false">IF($B180="","",SUMIFS($I$3:$I$2002,$B$3:$B$2002,$B180))</f>
        <v/>
      </c>
      <c r="L180" s="13" t="str">
        <f aca="false">IF($B180="","",IF(COUNTIFS($B$3:$B180,$B180)&gt;1,0,IFERROR(LOOKUP($K180,배송비규정!$A$3:$A$32,배송비규정!$B$3:$B$32),0)+IFERROR(INDEX(지역추가비!$B$3:$B$42,MATCH($J180,지역추가비!$A$3:$A$42,0)),0)))</f>
        <v/>
      </c>
      <c r="M180" s="13" t="str">
        <f aca="false">IF($B180="","",IF(COUNTIFS($B$3:$B180,$B180)&gt;1,"",$K180+$L180))</f>
        <v/>
      </c>
      <c r="N180" s="14" t="str">
        <f aca="false">IF($B180="","",COUNTIFS($B$3:$B180,$B180))</f>
        <v/>
      </c>
      <c r="O180" s="14" t="str">
        <f aca="false">IF($B180="","",$B180&amp;"|"&amp;$N180)</f>
        <v/>
      </c>
    </row>
    <row r="181" customFormat="false" ht="15" hidden="false" customHeight="false" outlineLevel="0" collapsed="false">
      <c r="A181" s="12"/>
      <c r="B181" s="9"/>
      <c r="C181" s="9"/>
      <c r="D181" s="9"/>
      <c r="E181" s="9"/>
      <c r="F181" s="9"/>
      <c r="G181" s="9"/>
      <c r="H181" s="7"/>
      <c r="I181" s="13" t="str">
        <f aca="false">IF(OR($G181="",$H181=""),"",ROUND($G181*$H181,0))</f>
        <v/>
      </c>
      <c r="J181" s="8"/>
      <c r="K181" s="13" t="str">
        <f aca="false">IF($B181="","",SUMIFS($I$3:$I$2002,$B$3:$B$2002,$B181))</f>
        <v/>
      </c>
      <c r="L181" s="13" t="str">
        <f aca="false">IF($B181="","",IF(COUNTIFS($B$3:$B181,$B181)&gt;1,0,IFERROR(LOOKUP($K181,배송비규정!$A$3:$A$32,배송비규정!$B$3:$B$32),0)+IFERROR(INDEX(지역추가비!$B$3:$B$42,MATCH($J181,지역추가비!$A$3:$A$42,0)),0)))</f>
        <v/>
      </c>
      <c r="M181" s="13" t="str">
        <f aca="false">IF($B181="","",IF(COUNTIFS($B$3:$B181,$B181)&gt;1,"",$K181+$L181))</f>
        <v/>
      </c>
      <c r="N181" s="14" t="str">
        <f aca="false">IF($B181="","",COUNTIFS($B$3:$B181,$B181))</f>
        <v/>
      </c>
      <c r="O181" s="14" t="str">
        <f aca="false">IF($B181="","",$B181&amp;"|"&amp;$N181)</f>
        <v/>
      </c>
    </row>
    <row r="182" customFormat="false" ht="15" hidden="false" customHeight="false" outlineLevel="0" collapsed="false">
      <c r="A182" s="12"/>
      <c r="B182" s="9"/>
      <c r="C182" s="9"/>
      <c r="D182" s="9"/>
      <c r="E182" s="9"/>
      <c r="F182" s="9"/>
      <c r="G182" s="9"/>
      <c r="H182" s="7"/>
      <c r="I182" s="13" t="str">
        <f aca="false">IF(OR($G182="",$H182=""),"",ROUND($G182*$H182,0))</f>
        <v/>
      </c>
      <c r="J182" s="8"/>
      <c r="K182" s="13" t="str">
        <f aca="false">IF($B182="","",SUMIFS($I$3:$I$2002,$B$3:$B$2002,$B182))</f>
        <v/>
      </c>
      <c r="L182" s="13" t="str">
        <f aca="false">IF($B182="","",IF(COUNTIFS($B$3:$B182,$B182)&gt;1,0,IFERROR(LOOKUP($K182,배송비규정!$A$3:$A$32,배송비규정!$B$3:$B$32),0)+IFERROR(INDEX(지역추가비!$B$3:$B$42,MATCH($J182,지역추가비!$A$3:$A$42,0)),0)))</f>
        <v/>
      </c>
      <c r="M182" s="13" t="str">
        <f aca="false">IF($B182="","",IF(COUNTIFS($B$3:$B182,$B182)&gt;1,"",$K182+$L182))</f>
        <v/>
      </c>
      <c r="N182" s="14" t="str">
        <f aca="false">IF($B182="","",COUNTIFS($B$3:$B182,$B182))</f>
        <v/>
      </c>
      <c r="O182" s="14" t="str">
        <f aca="false">IF($B182="","",$B182&amp;"|"&amp;$N182)</f>
        <v/>
      </c>
    </row>
    <row r="183" customFormat="false" ht="15" hidden="false" customHeight="false" outlineLevel="0" collapsed="false">
      <c r="A183" s="12"/>
      <c r="B183" s="9"/>
      <c r="C183" s="9"/>
      <c r="D183" s="9"/>
      <c r="E183" s="9"/>
      <c r="F183" s="9"/>
      <c r="G183" s="9"/>
      <c r="H183" s="7"/>
      <c r="I183" s="13" t="str">
        <f aca="false">IF(OR($G183="",$H183=""),"",ROUND($G183*$H183,0))</f>
        <v/>
      </c>
      <c r="J183" s="8"/>
      <c r="K183" s="13" t="str">
        <f aca="false">IF($B183="","",SUMIFS($I$3:$I$2002,$B$3:$B$2002,$B183))</f>
        <v/>
      </c>
      <c r="L183" s="13" t="str">
        <f aca="false">IF($B183="","",IF(COUNTIFS($B$3:$B183,$B183)&gt;1,0,IFERROR(LOOKUP($K183,배송비규정!$A$3:$A$32,배송비규정!$B$3:$B$32),0)+IFERROR(INDEX(지역추가비!$B$3:$B$42,MATCH($J183,지역추가비!$A$3:$A$42,0)),0)))</f>
        <v/>
      </c>
      <c r="M183" s="13" t="str">
        <f aca="false">IF($B183="","",IF(COUNTIFS($B$3:$B183,$B183)&gt;1,"",$K183+$L183))</f>
        <v/>
      </c>
      <c r="N183" s="14" t="str">
        <f aca="false">IF($B183="","",COUNTIFS($B$3:$B183,$B183))</f>
        <v/>
      </c>
      <c r="O183" s="14" t="str">
        <f aca="false">IF($B183="","",$B183&amp;"|"&amp;$N183)</f>
        <v/>
      </c>
    </row>
    <row r="184" customFormat="false" ht="15" hidden="false" customHeight="false" outlineLevel="0" collapsed="false">
      <c r="A184" s="12"/>
      <c r="B184" s="9"/>
      <c r="C184" s="9"/>
      <c r="D184" s="9"/>
      <c r="E184" s="9"/>
      <c r="F184" s="9"/>
      <c r="G184" s="9"/>
      <c r="H184" s="7"/>
      <c r="I184" s="13" t="str">
        <f aca="false">IF(OR($G184="",$H184=""),"",ROUND($G184*$H184,0))</f>
        <v/>
      </c>
      <c r="J184" s="8"/>
      <c r="K184" s="13" t="str">
        <f aca="false">IF($B184="","",SUMIFS($I$3:$I$2002,$B$3:$B$2002,$B184))</f>
        <v/>
      </c>
      <c r="L184" s="13" t="str">
        <f aca="false">IF($B184="","",IF(COUNTIFS($B$3:$B184,$B184)&gt;1,0,IFERROR(LOOKUP($K184,배송비규정!$A$3:$A$32,배송비규정!$B$3:$B$32),0)+IFERROR(INDEX(지역추가비!$B$3:$B$42,MATCH($J184,지역추가비!$A$3:$A$42,0)),0)))</f>
        <v/>
      </c>
      <c r="M184" s="13" t="str">
        <f aca="false">IF($B184="","",IF(COUNTIFS($B$3:$B184,$B184)&gt;1,"",$K184+$L184))</f>
        <v/>
      </c>
      <c r="N184" s="14" t="str">
        <f aca="false">IF($B184="","",COUNTIFS($B$3:$B184,$B184))</f>
        <v/>
      </c>
      <c r="O184" s="14" t="str">
        <f aca="false">IF($B184="","",$B184&amp;"|"&amp;$N184)</f>
        <v/>
      </c>
    </row>
    <row r="185" customFormat="false" ht="15" hidden="false" customHeight="false" outlineLevel="0" collapsed="false">
      <c r="A185" s="12"/>
      <c r="B185" s="9"/>
      <c r="C185" s="9"/>
      <c r="D185" s="9"/>
      <c r="E185" s="9"/>
      <c r="F185" s="9"/>
      <c r="G185" s="9"/>
      <c r="H185" s="7"/>
      <c r="I185" s="13" t="str">
        <f aca="false">IF(OR($G185="",$H185=""),"",ROUND($G185*$H185,0))</f>
        <v/>
      </c>
      <c r="J185" s="8"/>
      <c r="K185" s="13" t="str">
        <f aca="false">IF($B185="","",SUMIFS($I$3:$I$2002,$B$3:$B$2002,$B185))</f>
        <v/>
      </c>
      <c r="L185" s="13" t="str">
        <f aca="false">IF($B185="","",IF(COUNTIFS($B$3:$B185,$B185)&gt;1,0,IFERROR(LOOKUP($K185,배송비규정!$A$3:$A$32,배송비규정!$B$3:$B$32),0)+IFERROR(INDEX(지역추가비!$B$3:$B$42,MATCH($J185,지역추가비!$A$3:$A$42,0)),0)))</f>
        <v/>
      </c>
      <c r="M185" s="13" t="str">
        <f aca="false">IF($B185="","",IF(COUNTIFS($B$3:$B185,$B185)&gt;1,"",$K185+$L185))</f>
        <v/>
      </c>
      <c r="N185" s="14" t="str">
        <f aca="false">IF($B185="","",COUNTIFS($B$3:$B185,$B185))</f>
        <v/>
      </c>
      <c r="O185" s="14" t="str">
        <f aca="false">IF($B185="","",$B185&amp;"|"&amp;$N185)</f>
        <v/>
      </c>
    </row>
    <row r="186" customFormat="false" ht="15" hidden="false" customHeight="false" outlineLevel="0" collapsed="false">
      <c r="A186" s="12"/>
      <c r="B186" s="9"/>
      <c r="C186" s="9"/>
      <c r="D186" s="9"/>
      <c r="E186" s="9"/>
      <c r="F186" s="9"/>
      <c r="G186" s="9"/>
      <c r="H186" s="7"/>
      <c r="I186" s="13" t="str">
        <f aca="false">IF(OR($G186="",$H186=""),"",ROUND($G186*$H186,0))</f>
        <v/>
      </c>
      <c r="J186" s="8"/>
      <c r="K186" s="13" t="str">
        <f aca="false">IF($B186="","",SUMIFS($I$3:$I$2002,$B$3:$B$2002,$B186))</f>
        <v/>
      </c>
      <c r="L186" s="13" t="str">
        <f aca="false">IF($B186="","",IF(COUNTIFS($B$3:$B186,$B186)&gt;1,0,IFERROR(LOOKUP($K186,배송비규정!$A$3:$A$32,배송비규정!$B$3:$B$32),0)+IFERROR(INDEX(지역추가비!$B$3:$B$42,MATCH($J186,지역추가비!$A$3:$A$42,0)),0)))</f>
        <v/>
      </c>
      <c r="M186" s="13" t="str">
        <f aca="false">IF($B186="","",IF(COUNTIFS($B$3:$B186,$B186)&gt;1,"",$K186+$L186))</f>
        <v/>
      </c>
      <c r="N186" s="14" t="str">
        <f aca="false">IF($B186="","",COUNTIFS($B$3:$B186,$B186))</f>
        <v/>
      </c>
      <c r="O186" s="14" t="str">
        <f aca="false">IF($B186="","",$B186&amp;"|"&amp;$N186)</f>
        <v/>
      </c>
    </row>
    <row r="187" customFormat="false" ht="15" hidden="false" customHeight="false" outlineLevel="0" collapsed="false">
      <c r="A187" s="12"/>
      <c r="B187" s="9"/>
      <c r="C187" s="9"/>
      <c r="D187" s="9"/>
      <c r="E187" s="9"/>
      <c r="F187" s="9"/>
      <c r="G187" s="9"/>
      <c r="H187" s="7"/>
      <c r="I187" s="13" t="str">
        <f aca="false">IF(OR($G187="",$H187=""),"",ROUND($G187*$H187,0))</f>
        <v/>
      </c>
      <c r="J187" s="8"/>
      <c r="K187" s="13" t="str">
        <f aca="false">IF($B187="","",SUMIFS($I$3:$I$2002,$B$3:$B$2002,$B187))</f>
        <v/>
      </c>
      <c r="L187" s="13" t="str">
        <f aca="false">IF($B187="","",IF(COUNTIFS($B$3:$B187,$B187)&gt;1,0,IFERROR(LOOKUP($K187,배송비규정!$A$3:$A$32,배송비규정!$B$3:$B$32),0)+IFERROR(INDEX(지역추가비!$B$3:$B$42,MATCH($J187,지역추가비!$A$3:$A$42,0)),0)))</f>
        <v/>
      </c>
      <c r="M187" s="13" t="str">
        <f aca="false">IF($B187="","",IF(COUNTIFS($B$3:$B187,$B187)&gt;1,"",$K187+$L187))</f>
        <v/>
      </c>
      <c r="N187" s="14" t="str">
        <f aca="false">IF($B187="","",COUNTIFS($B$3:$B187,$B187))</f>
        <v/>
      </c>
      <c r="O187" s="14" t="str">
        <f aca="false">IF($B187="","",$B187&amp;"|"&amp;$N187)</f>
        <v/>
      </c>
    </row>
    <row r="188" customFormat="false" ht="15" hidden="false" customHeight="false" outlineLevel="0" collapsed="false">
      <c r="A188" s="12"/>
      <c r="B188" s="9"/>
      <c r="C188" s="9"/>
      <c r="D188" s="9"/>
      <c r="E188" s="9"/>
      <c r="F188" s="9"/>
      <c r="G188" s="9"/>
      <c r="H188" s="7"/>
      <c r="I188" s="13" t="str">
        <f aca="false">IF(OR($G188="",$H188=""),"",ROUND($G188*$H188,0))</f>
        <v/>
      </c>
      <c r="J188" s="8"/>
      <c r="K188" s="13" t="str">
        <f aca="false">IF($B188="","",SUMIFS($I$3:$I$2002,$B$3:$B$2002,$B188))</f>
        <v/>
      </c>
      <c r="L188" s="13" t="str">
        <f aca="false">IF($B188="","",IF(COUNTIFS($B$3:$B188,$B188)&gt;1,0,IFERROR(LOOKUP($K188,배송비규정!$A$3:$A$32,배송비규정!$B$3:$B$32),0)+IFERROR(INDEX(지역추가비!$B$3:$B$42,MATCH($J188,지역추가비!$A$3:$A$42,0)),0)))</f>
        <v/>
      </c>
      <c r="M188" s="13" t="str">
        <f aca="false">IF($B188="","",IF(COUNTIFS($B$3:$B188,$B188)&gt;1,"",$K188+$L188))</f>
        <v/>
      </c>
      <c r="N188" s="14" t="str">
        <f aca="false">IF($B188="","",COUNTIFS($B$3:$B188,$B188))</f>
        <v/>
      </c>
      <c r="O188" s="14" t="str">
        <f aca="false">IF($B188="","",$B188&amp;"|"&amp;$N188)</f>
        <v/>
      </c>
    </row>
    <row r="189" customFormat="false" ht="15" hidden="false" customHeight="false" outlineLevel="0" collapsed="false">
      <c r="A189" s="12"/>
      <c r="B189" s="9"/>
      <c r="C189" s="9"/>
      <c r="D189" s="9"/>
      <c r="E189" s="9"/>
      <c r="F189" s="9"/>
      <c r="G189" s="9"/>
      <c r="H189" s="7"/>
      <c r="I189" s="13" t="str">
        <f aca="false">IF(OR($G189="",$H189=""),"",ROUND($G189*$H189,0))</f>
        <v/>
      </c>
      <c r="J189" s="8"/>
      <c r="K189" s="13" t="str">
        <f aca="false">IF($B189="","",SUMIFS($I$3:$I$2002,$B$3:$B$2002,$B189))</f>
        <v/>
      </c>
      <c r="L189" s="13" t="str">
        <f aca="false">IF($B189="","",IF(COUNTIFS($B$3:$B189,$B189)&gt;1,0,IFERROR(LOOKUP($K189,배송비규정!$A$3:$A$32,배송비규정!$B$3:$B$32),0)+IFERROR(INDEX(지역추가비!$B$3:$B$42,MATCH($J189,지역추가비!$A$3:$A$42,0)),0)))</f>
        <v/>
      </c>
      <c r="M189" s="13" t="str">
        <f aca="false">IF($B189="","",IF(COUNTIFS($B$3:$B189,$B189)&gt;1,"",$K189+$L189))</f>
        <v/>
      </c>
      <c r="N189" s="14" t="str">
        <f aca="false">IF($B189="","",COUNTIFS($B$3:$B189,$B189))</f>
        <v/>
      </c>
      <c r="O189" s="14" t="str">
        <f aca="false">IF($B189="","",$B189&amp;"|"&amp;$N189)</f>
        <v/>
      </c>
    </row>
    <row r="190" customFormat="false" ht="15" hidden="false" customHeight="false" outlineLevel="0" collapsed="false">
      <c r="A190" s="12"/>
      <c r="B190" s="9"/>
      <c r="C190" s="9"/>
      <c r="D190" s="9"/>
      <c r="E190" s="9"/>
      <c r="F190" s="9"/>
      <c r="G190" s="9"/>
      <c r="H190" s="7"/>
      <c r="I190" s="13" t="str">
        <f aca="false">IF(OR($G190="",$H190=""),"",ROUND($G190*$H190,0))</f>
        <v/>
      </c>
      <c r="J190" s="8"/>
      <c r="K190" s="13" t="str">
        <f aca="false">IF($B190="","",SUMIFS($I$3:$I$2002,$B$3:$B$2002,$B190))</f>
        <v/>
      </c>
      <c r="L190" s="13" t="str">
        <f aca="false">IF($B190="","",IF(COUNTIFS($B$3:$B190,$B190)&gt;1,0,IFERROR(LOOKUP($K190,배송비규정!$A$3:$A$32,배송비규정!$B$3:$B$32),0)+IFERROR(INDEX(지역추가비!$B$3:$B$42,MATCH($J190,지역추가비!$A$3:$A$42,0)),0)))</f>
        <v/>
      </c>
      <c r="M190" s="13" t="str">
        <f aca="false">IF($B190="","",IF(COUNTIFS($B$3:$B190,$B190)&gt;1,"",$K190+$L190))</f>
        <v/>
      </c>
      <c r="N190" s="14" t="str">
        <f aca="false">IF($B190="","",COUNTIFS($B$3:$B190,$B190))</f>
        <v/>
      </c>
      <c r="O190" s="14" t="str">
        <f aca="false">IF($B190="","",$B190&amp;"|"&amp;$N190)</f>
        <v/>
      </c>
    </row>
    <row r="191" customFormat="false" ht="15" hidden="false" customHeight="false" outlineLevel="0" collapsed="false">
      <c r="A191" s="12"/>
      <c r="B191" s="9"/>
      <c r="C191" s="9"/>
      <c r="D191" s="9"/>
      <c r="E191" s="9"/>
      <c r="F191" s="9"/>
      <c r="G191" s="9"/>
      <c r="H191" s="7"/>
      <c r="I191" s="13" t="str">
        <f aca="false">IF(OR($G191="",$H191=""),"",ROUND($G191*$H191,0))</f>
        <v/>
      </c>
      <c r="J191" s="8"/>
      <c r="K191" s="13" t="str">
        <f aca="false">IF($B191="","",SUMIFS($I$3:$I$2002,$B$3:$B$2002,$B191))</f>
        <v/>
      </c>
      <c r="L191" s="13" t="str">
        <f aca="false">IF($B191="","",IF(COUNTIFS($B$3:$B191,$B191)&gt;1,0,IFERROR(LOOKUP($K191,배송비규정!$A$3:$A$32,배송비규정!$B$3:$B$32),0)+IFERROR(INDEX(지역추가비!$B$3:$B$42,MATCH($J191,지역추가비!$A$3:$A$42,0)),0)))</f>
        <v/>
      </c>
      <c r="M191" s="13" t="str">
        <f aca="false">IF($B191="","",IF(COUNTIFS($B$3:$B191,$B191)&gt;1,"",$K191+$L191))</f>
        <v/>
      </c>
      <c r="N191" s="14" t="str">
        <f aca="false">IF($B191="","",COUNTIFS($B$3:$B191,$B191))</f>
        <v/>
      </c>
      <c r="O191" s="14" t="str">
        <f aca="false">IF($B191="","",$B191&amp;"|"&amp;$N191)</f>
        <v/>
      </c>
    </row>
    <row r="192" customFormat="false" ht="15" hidden="false" customHeight="false" outlineLevel="0" collapsed="false">
      <c r="A192" s="12"/>
      <c r="B192" s="9"/>
      <c r="C192" s="9"/>
      <c r="D192" s="9"/>
      <c r="E192" s="9"/>
      <c r="F192" s="9"/>
      <c r="G192" s="9"/>
      <c r="H192" s="7"/>
      <c r="I192" s="13" t="str">
        <f aca="false">IF(OR($G192="",$H192=""),"",ROUND($G192*$H192,0))</f>
        <v/>
      </c>
      <c r="J192" s="8"/>
      <c r="K192" s="13" t="str">
        <f aca="false">IF($B192="","",SUMIFS($I$3:$I$2002,$B$3:$B$2002,$B192))</f>
        <v/>
      </c>
      <c r="L192" s="13" t="str">
        <f aca="false">IF($B192="","",IF(COUNTIFS($B$3:$B192,$B192)&gt;1,0,IFERROR(LOOKUP($K192,배송비규정!$A$3:$A$32,배송비규정!$B$3:$B$32),0)+IFERROR(INDEX(지역추가비!$B$3:$B$42,MATCH($J192,지역추가비!$A$3:$A$42,0)),0)))</f>
        <v/>
      </c>
      <c r="M192" s="13" t="str">
        <f aca="false">IF($B192="","",IF(COUNTIFS($B$3:$B192,$B192)&gt;1,"",$K192+$L192))</f>
        <v/>
      </c>
      <c r="N192" s="14" t="str">
        <f aca="false">IF($B192="","",COUNTIFS($B$3:$B192,$B192))</f>
        <v/>
      </c>
      <c r="O192" s="14" t="str">
        <f aca="false">IF($B192="","",$B192&amp;"|"&amp;$N192)</f>
        <v/>
      </c>
    </row>
    <row r="193" customFormat="false" ht="15" hidden="false" customHeight="false" outlineLevel="0" collapsed="false">
      <c r="A193" s="12"/>
      <c r="B193" s="9"/>
      <c r="C193" s="9"/>
      <c r="D193" s="9"/>
      <c r="E193" s="9"/>
      <c r="F193" s="9"/>
      <c r="G193" s="9"/>
      <c r="H193" s="7"/>
      <c r="I193" s="13" t="str">
        <f aca="false">IF(OR($G193="",$H193=""),"",ROUND($G193*$H193,0))</f>
        <v/>
      </c>
      <c r="J193" s="8"/>
      <c r="K193" s="13" t="str">
        <f aca="false">IF($B193="","",SUMIFS($I$3:$I$2002,$B$3:$B$2002,$B193))</f>
        <v/>
      </c>
      <c r="L193" s="13" t="str">
        <f aca="false">IF($B193="","",IF(COUNTIFS($B$3:$B193,$B193)&gt;1,0,IFERROR(LOOKUP($K193,배송비규정!$A$3:$A$32,배송비규정!$B$3:$B$32),0)+IFERROR(INDEX(지역추가비!$B$3:$B$42,MATCH($J193,지역추가비!$A$3:$A$42,0)),0)))</f>
        <v/>
      </c>
      <c r="M193" s="13" t="str">
        <f aca="false">IF($B193="","",IF(COUNTIFS($B$3:$B193,$B193)&gt;1,"",$K193+$L193))</f>
        <v/>
      </c>
      <c r="N193" s="14" t="str">
        <f aca="false">IF($B193="","",COUNTIFS($B$3:$B193,$B193))</f>
        <v/>
      </c>
      <c r="O193" s="14" t="str">
        <f aca="false">IF($B193="","",$B193&amp;"|"&amp;$N193)</f>
        <v/>
      </c>
    </row>
    <row r="194" customFormat="false" ht="15" hidden="false" customHeight="false" outlineLevel="0" collapsed="false">
      <c r="A194" s="12"/>
      <c r="B194" s="9"/>
      <c r="C194" s="9"/>
      <c r="D194" s="9"/>
      <c r="E194" s="9"/>
      <c r="F194" s="9"/>
      <c r="G194" s="9"/>
      <c r="H194" s="7"/>
      <c r="I194" s="13" t="str">
        <f aca="false">IF(OR($G194="",$H194=""),"",ROUND($G194*$H194,0))</f>
        <v/>
      </c>
      <c r="J194" s="8"/>
      <c r="K194" s="13" t="str">
        <f aca="false">IF($B194="","",SUMIFS($I$3:$I$2002,$B$3:$B$2002,$B194))</f>
        <v/>
      </c>
      <c r="L194" s="13" t="str">
        <f aca="false">IF($B194="","",IF(COUNTIFS($B$3:$B194,$B194)&gt;1,0,IFERROR(LOOKUP($K194,배송비규정!$A$3:$A$32,배송비규정!$B$3:$B$32),0)+IFERROR(INDEX(지역추가비!$B$3:$B$42,MATCH($J194,지역추가비!$A$3:$A$42,0)),0)))</f>
        <v/>
      </c>
      <c r="M194" s="13" t="str">
        <f aca="false">IF($B194="","",IF(COUNTIFS($B$3:$B194,$B194)&gt;1,"",$K194+$L194))</f>
        <v/>
      </c>
      <c r="N194" s="14" t="str">
        <f aca="false">IF($B194="","",COUNTIFS($B$3:$B194,$B194))</f>
        <v/>
      </c>
      <c r="O194" s="14" t="str">
        <f aca="false">IF($B194="","",$B194&amp;"|"&amp;$N194)</f>
        <v/>
      </c>
    </row>
    <row r="195" customFormat="false" ht="15" hidden="false" customHeight="false" outlineLevel="0" collapsed="false">
      <c r="A195" s="12"/>
      <c r="B195" s="9"/>
      <c r="C195" s="9"/>
      <c r="D195" s="9"/>
      <c r="E195" s="9"/>
      <c r="F195" s="9"/>
      <c r="G195" s="9"/>
      <c r="H195" s="7"/>
      <c r="I195" s="13" t="str">
        <f aca="false">IF(OR($G195="",$H195=""),"",ROUND($G195*$H195,0))</f>
        <v/>
      </c>
      <c r="J195" s="8"/>
      <c r="K195" s="13" t="str">
        <f aca="false">IF($B195="","",SUMIFS($I$3:$I$2002,$B$3:$B$2002,$B195))</f>
        <v/>
      </c>
      <c r="L195" s="13" t="str">
        <f aca="false">IF($B195="","",IF(COUNTIFS($B$3:$B195,$B195)&gt;1,0,IFERROR(LOOKUP($K195,배송비규정!$A$3:$A$32,배송비규정!$B$3:$B$32),0)+IFERROR(INDEX(지역추가비!$B$3:$B$42,MATCH($J195,지역추가비!$A$3:$A$42,0)),0)))</f>
        <v/>
      </c>
      <c r="M195" s="13" t="str">
        <f aca="false">IF($B195="","",IF(COUNTIFS($B$3:$B195,$B195)&gt;1,"",$K195+$L195))</f>
        <v/>
      </c>
      <c r="N195" s="14" t="str">
        <f aca="false">IF($B195="","",COUNTIFS($B$3:$B195,$B195))</f>
        <v/>
      </c>
      <c r="O195" s="14" t="str">
        <f aca="false">IF($B195="","",$B195&amp;"|"&amp;$N195)</f>
        <v/>
      </c>
    </row>
    <row r="196" customFormat="false" ht="15" hidden="false" customHeight="false" outlineLevel="0" collapsed="false">
      <c r="A196" s="12"/>
      <c r="B196" s="9"/>
      <c r="C196" s="9"/>
      <c r="D196" s="9"/>
      <c r="E196" s="9"/>
      <c r="F196" s="9"/>
      <c r="G196" s="9"/>
      <c r="H196" s="7"/>
      <c r="I196" s="13" t="str">
        <f aca="false">IF(OR($G196="",$H196=""),"",ROUND($G196*$H196,0))</f>
        <v/>
      </c>
      <c r="J196" s="8"/>
      <c r="K196" s="13" t="str">
        <f aca="false">IF($B196="","",SUMIFS($I$3:$I$2002,$B$3:$B$2002,$B196))</f>
        <v/>
      </c>
      <c r="L196" s="13" t="str">
        <f aca="false">IF($B196="","",IF(COUNTIFS($B$3:$B196,$B196)&gt;1,0,IFERROR(LOOKUP($K196,배송비규정!$A$3:$A$32,배송비규정!$B$3:$B$32),0)+IFERROR(INDEX(지역추가비!$B$3:$B$42,MATCH($J196,지역추가비!$A$3:$A$42,0)),0)))</f>
        <v/>
      </c>
      <c r="M196" s="13" t="str">
        <f aca="false">IF($B196="","",IF(COUNTIFS($B$3:$B196,$B196)&gt;1,"",$K196+$L196))</f>
        <v/>
      </c>
      <c r="N196" s="14" t="str">
        <f aca="false">IF($B196="","",COUNTIFS($B$3:$B196,$B196))</f>
        <v/>
      </c>
      <c r="O196" s="14" t="str">
        <f aca="false">IF($B196="","",$B196&amp;"|"&amp;$N196)</f>
        <v/>
      </c>
    </row>
    <row r="197" customFormat="false" ht="15" hidden="false" customHeight="false" outlineLevel="0" collapsed="false">
      <c r="A197" s="12"/>
      <c r="B197" s="9"/>
      <c r="C197" s="9"/>
      <c r="D197" s="9"/>
      <c r="E197" s="9"/>
      <c r="F197" s="9"/>
      <c r="G197" s="9"/>
      <c r="H197" s="7"/>
      <c r="I197" s="13" t="str">
        <f aca="false">IF(OR($G197="",$H197=""),"",ROUND($G197*$H197,0))</f>
        <v/>
      </c>
      <c r="J197" s="8"/>
      <c r="K197" s="13" t="str">
        <f aca="false">IF($B197="","",SUMIFS($I$3:$I$2002,$B$3:$B$2002,$B197))</f>
        <v/>
      </c>
      <c r="L197" s="13" t="str">
        <f aca="false">IF($B197="","",IF(COUNTIFS($B$3:$B197,$B197)&gt;1,0,IFERROR(LOOKUP($K197,배송비규정!$A$3:$A$32,배송비규정!$B$3:$B$32),0)+IFERROR(INDEX(지역추가비!$B$3:$B$42,MATCH($J197,지역추가비!$A$3:$A$42,0)),0)))</f>
        <v/>
      </c>
      <c r="M197" s="13" t="str">
        <f aca="false">IF($B197="","",IF(COUNTIFS($B$3:$B197,$B197)&gt;1,"",$K197+$L197))</f>
        <v/>
      </c>
      <c r="N197" s="14" t="str">
        <f aca="false">IF($B197="","",COUNTIFS($B$3:$B197,$B197))</f>
        <v/>
      </c>
      <c r="O197" s="14" t="str">
        <f aca="false">IF($B197="","",$B197&amp;"|"&amp;$N197)</f>
        <v/>
      </c>
    </row>
    <row r="198" customFormat="false" ht="15" hidden="false" customHeight="false" outlineLevel="0" collapsed="false">
      <c r="A198" s="12"/>
      <c r="B198" s="9"/>
      <c r="C198" s="9"/>
      <c r="D198" s="9"/>
      <c r="E198" s="9"/>
      <c r="F198" s="9"/>
      <c r="G198" s="9"/>
      <c r="H198" s="7"/>
      <c r="I198" s="13" t="str">
        <f aca="false">IF(OR($G198="",$H198=""),"",ROUND($G198*$H198,0))</f>
        <v/>
      </c>
      <c r="J198" s="8"/>
      <c r="K198" s="13" t="str">
        <f aca="false">IF($B198="","",SUMIFS($I$3:$I$2002,$B$3:$B$2002,$B198))</f>
        <v/>
      </c>
      <c r="L198" s="13" t="str">
        <f aca="false">IF($B198="","",IF(COUNTIFS($B$3:$B198,$B198)&gt;1,0,IFERROR(LOOKUP($K198,배송비규정!$A$3:$A$32,배송비규정!$B$3:$B$32),0)+IFERROR(INDEX(지역추가비!$B$3:$B$42,MATCH($J198,지역추가비!$A$3:$A$42,0)),0)))</f>
        <v/>
      </c>
      <c r="M198" s="13" t="str">
        <f aca="false">IF($B198="","",IF(COUNTIFS($B$3:$B198,$B198)&gt;1,"",$K198+$L198))</f>
        <v/>
      </c>
      <c r="N198" s="14" t="str">
        <f aca="false">IF($B198="","",COUNTIFS($B$3:$B198,$B198))</f>
        <v/>
      </c>
      <c r="O198" s="14" t="str">
        <f aca="false">IF($B198="","",$B198&amp;"|"&amp;$N198)</f>
        <v/>
      </c>
    </row>
    <row r="199" customFormat="false" ht="15" hidden="false" customHeight="false" outlineLevel="0" collapsed="false">
      <c r="A199" s="12"/>
      <c r="B199" s="9"/>
      <c r="C199" s="9"/>
      <c r="D199" s="9"/>
      <c r="E199" s="9"/>
      <c r="F199" s="9"/>
      <c r="G199" s="9"/>
      <c r="H199" s="7"/>
      <c r="I199" s="13" t="str">
        <f aca="false">IF(OR($G199="",$H199=""),"",ROUND($G199*$H199,0))</f>
        <v/>
      </c>
      <c r="J199" s="8"/>
      <c r="K199" s="13" t="str">
        <f aca="false">IF($B199="","",SUMIFS($I$3:$I$2002,$B$3:$B$2002,$B199))</f>
        <v/>
      </c>
      <c r="L199" s="13" t="str">
        <f aca="false">IF($B199="","",IF(COUNTIFS($B$3:$B199,$B199)&gt;1,0,IFERROR(LOOKUP($K199,배송비규정!$A$3:$A$32,배송비규정!$B$3:$B$32),0)+IFERROR(INDEX(지역추가비!$B$3:$B$42,MATCH($J199,지역추가비!$A$3:$A$42,0)),0)))</f>
        <v/>
      </c>
      <c r="M199" s="13" t="str">
        <f aca="false">IF($B199="","",IF(COUNTIFS($B$3:$B199,$B199)&gt;1,"",$K199+$L199))</f>
        <v/>
      </c>
      <c r="N199" s="14" t="str">
        <f aca="false">IF($B199="","",COUNTIFS($B$3:$B199,$B199))</f>
        <v/>
      </c>
      <c r="O199" s="14" t="str">
        <f aca="false">IF($B199="","",$B199&amp;"|"&amp;$N199)</f>
        <v/>
      </c>
    </row>
    <row r="200" customFormat="false" ht="15" hidden="false" customHeight="false" outlineLevel="0" collapsed="false">
      <c r="A200" s="12"/>
      <c r="B200" s="9"/>
      <c r="C200" s="9"/>
      <c r="D200" s="9"/>
      <c r="E200" s="9"/>
      <c r="F200" s="9"/>
      <c r="G200" s="9"/>
      <c r="H200" s="7"/>
      <c r="I200" s="13" t="str">
        <f aca="false">IF(OR($G200="",$H200=""),"",ROUND($G200*$H200,0))</f>
        <v/>
      </c>
      <c r="J200" s="8"/>
      <c r="K200" s="13" t="str">
        <f aca="false">IF($B200="","",SUMIFS($I$3:$I$2002,$B$3:$B$2002,$B200))</f>
        <v/>
      </c>
      <c r="L200" s="13" t="str">
        <f aca="false">IF($B200="","",IF(COUNTIFS($B$3:$B200,$B200)&gt;1,0,IFERROR(LOOKUP($K200,배송비규정!$A$3:$A$32,배송비규정!$B$3:$B$32),0)+IFERROR(INDEX(지역추가비!$B$3:$B$42,MATCH($J200,지역추가비!$A$3:$A$42,0)),0)))</f>
        <v/>
      </c>
      <c r="M200" s="13" t="str">
        <f aca="false">IF($B200="","",IF(COUNTIFS($B$3:$B200,$B200)&gt;1,"",$K200+$L200))</f>
        <v/>
      </c>
      <c r="N200" s="14" t="str">
        <f aca="false">IF($B200="","",COUNTIFS($B$3:$B200,$B200))</f>
        <v/>
      </c>
      <c r="O200" s="14" t="str">
        <f aca="false">IF($B200="","",$B200&amp;"|"&amp;$N200)</f>
        <v/>
      </c>
    </row>
    <row r="201" customFormat="false" ht="15" hidden="false" customHeight="false" outlineLevel="0" collapsed="false">
      <c r="A201" s="12"/>
      <c r="B201" s="9"/>
      <c r="C201" s="9"/>
      <c r="D201" s="9"/>
      <c r="E201" s="9"/>
      <c r="F201" s="9"/>
      <c r="G201" s="9"/>
      <c r="H201" s="7"/>
      <c r="I201" s="13" t="str">
        <f aca="false">IF(OR($G201="",$H201=""),"",ROUND($G201*$H201,0))</f>
        <v/>
      </c>
      <c r="J201" s="8"/>
      <c r="K201" s="13" t="str">
        <f aca="false">IF($B201="","",SUMIFS($I$3:$I$2002,$B$3:$B$2002,$B201))</f>
        <v/>
      </c>
      <c r="L201" s="13" t="str">
        <f aca="false">IF($B201="","",IF(COUNTIFS($B$3:$B201,$B201)&gt;1,0,IFERROR(LOOKUP($K201,배송비규정!$A$3:$A$32,배송비규정!$B$3:$B$32),0)+IFERROR(INDEX(지역추가비!$B$3:$B$42,MATCH($J201,지역추가비!$A$3:$A$42,0)),0)))</f>
        <v/>
      </c>
      <c r="M201" s="13" t="str">
        <f aca="false">IF($B201="","",IF(COUNTIFS($B$3:$B201,$B201)&gt;1,"",$K201+$L201))</f>
        <v/>
      </c>
      <c r="N201" s="14" t="str">
        <f aca="false">IF($B201="","",COUNTIFS($B$3:$B201,$B201))</f>
        <v/>
      </c>
      <c r="O201" s="14" t="str">
        <f aca="false">IF($B201="","",$B201&amp;"|"&amp;$N201)</f>
        <v/>
      </c>
    </row>
    <row r="202" customFormat="false" ht="15" hidden="false" customHeight="false" outlineLevel="0" collapsed="false">
      <c r="A202" s="12"/>
      <c r="B202" s="9"/>
      <c r="C202" s="9"/>
      <c r="D202" s="9"/>
      <c r="E202" s="9"/>
      <c r="F202" s="9"/>
      <c r="G202" s="9"/>
      <c r="H202" s="7"/>
      <c r="I202" s="13" t="str">
        <f aca="false">IF(OR($G202="",$H202=""),"",ROUND($G202*$H202,0))</f>
        <v/>
      </c>
      <c r="J202" s="8"/>
      <c r="K202" s="13" t="str">
        <f aca="false">IF($B202="","",SUMIFS($I$3:$I$2002,$B$3:$B$2002,$B202))</f>
        <v/>
      </c>
      <c r="L202" s="13" t="str">
        <f aca="false">IF($B202="","",IF(COUNTIFS($B$3:$B202,$B202)&gt;1,0,IFERROR(LOOKUP($K202,배송비규정!$A$3:$A$32,배송비규정!$B$3:$B$32),0)+IFERROR(INDEX(지역추가비!$B$3:$B$42,MATCH($J202,지역추가비!$A$3:$A$42,0)),0)))</f>
        <v/>
      </c>
      <c r="M202" s="13" t="str">
        <f aca="false">IF($B202="","",IF(COUNTIFS($B$3:$B202,$B202)&gt;1,"",$K202+$L202))</f>
        <v/>
      </c>
      <c r="N202" s="14" t="str">
        <f aca="false">IF($B202="","",COUNTIFS($B$3:$B202,$B202))</f>
        <v/>
      </c>
      <c r="O202" s="14" t="str">
        <f aca="false">IF($B202="","",$B202&amp;"|"&amp;$N202)</f>
        <v/>
      </c>
    </row>
    <row r="203" customFormat="false" ht="15" hidden="false" customHeight="false" outlineLevel="0" collapsed="false">
      <c r="A203" s="12"/>
      <c r="B203" s="9"/>
      <c r="C203" s="9"/>
      <c r="D203" s="9"/>
      <c r="E203" s="9"/>
      <c r="F203" s="9"/>
      <c r="G203" s="9"/>
      <c r="H203" s="7"/>
      <c r="I203" s="13" t="str">
        <f aca="false">IF(OR($G203="",$H203=""),"",ROUND($G203*$H203,0))</f>
        <v/>
      </c>
      <c r="J203" s="8"/>
      <c r="K203" s="13" t="str">
        <f aca="false">IF($B203="","",SUMIFS($I$3:$I$2002,$B$3:$B$2002,$B203))</f>
        <v/>
      </c>
      <c r="L203" s="13" t="str">
        <f aca="false">IF($B203="","",IF(COUNTIFS($B$3:$B203,$B203)&gt;1,0,IFERROR(LOOKUP($K203,배송비규정!$A$3:$A$32,배송비규정!$B$3:$B$32),0)+IFERROR(INDEX(지역추가비!$B$3:$B$42,MATCH($J203,지역추가비!$A$3:$A$42,0)),0)))</f>
        <v/>
      </c>
      <c r="M203" s="13" t="str">
        <f aca="false">IF($B203="","",IF(COUNTIFS($B$3:$B203,$B203)&gt;1,"",$K203+$L203))</f>
        <v/>
      </c>
      <c r="N203" s="14" t="str">
        <f aca="false">IF($B203="","",COUNTIFS($B$3:$B203,$B203))</f>
        <v/>
      </c>
      <c r="O203" s="14" t="str">
        <f aca="false">IF($B203="","",$B203&amp;"|"&amp;$N203)</f>
        <v/>
      </c>
    </row>
    <row r="204" customFormat="false" ht="15" hidden="false" customHeight="false" outlineLevel="0" collapsed="false">
      <c r="A204" s="12"/>
      <c r="B204" s="9"/>
      <c r="C204" s="9"/>
      <c r="D204" s="9"/>
      <c r="E204" s="9"/>
      <c r="F204" s="9"/>
      <c r="G204" s="9"/>
      <c r="H204" s="7"/>
      <c r="I204" s="13" t="str">
        <f aca="false">IF(OR($G204="",$H204=""),"",ROUND($G204*$H204,0))</f>
        <v/>
      </c>
      <c r="J204" s="8"/>
      <c r="K204" s="13" t="str">
        <f aca="false">IF($B204="","",SUMIFS($I$3:$I$2002,$B$3:$B$2002,$B204))</f>
        <v/>
      </c>
      <c r="L204" s="13" t="str">
        <f aca="false">IF($B204="","",IF(COUNTIFS($B$3:$B204,$B204)&gt;1,0,IFERROR(LOOKUP($K204,배송비규정!$A$3:$A$32,배송비규정!$B$3:$B$32),0)+IFERROR(INDEX(지역추가비!$B$3:$B$42,MATCH($J204,지역추가비!$A$3:$A$42,0)),0)))</f>
        <v/>
      </c>
      <c r="M204" s="13" t="str">
        <f aca="false">IF($B204="","",IF(COUNTIFS($B$3:$B204,$B204)&gt;1,"",$K204+$L204))</f>
        <v/>
      </c>
      <c r="N204" s="14" t="str">
        <f aca="false">IF($B204="","",COUNTIFS($B$3:$B204,$B204))</f>
        <v/>
      </c>
      <c r="O204" s="14" t="str">
        <f aca="false">IF($B204="","",$B204&amp;"|"&amp;$N204)</f>
        <v/>
      </c>
    </row>
    <row r="205" customFormat="false" ht="15" hidden="false" customHeight="false" outlineLevel="0" collapsed="false">
      <c r="A205" s="12"/>
      <c r="B205" s="9"/>
      <c r="C205" s="9"/>
      <c r="D205" s="9"/>
      <c r="E205" s="9"/>
      <c r="F205" s="9"/>
      <c r="G205" s="9"/>
      <c r="H205" s="7"/>
      <c r="I205" s="13" t="str">
        <f aca="false">IF(OR($G205="",$H205=""),"",ROUND($G205*$H205,0))</f>
        <v/>
      </c>
      <c r="J205" s="8"/>
      <c r="K205" s="13" t="str">
        <f aca="false">IF($B205="","",SUMIFS($I$3:$I$2002,$B$3:$B$2002,$B205))</f>
        <v/>
      </c>
      <c r="L205" s="13" t="str">
        <f aca="false">IF($B205="","",IF(COUNTIFS($B$3:$B205,$B205)&gt;1,0,IFERROR(LOOKUP($K205,배송비규정!$A$3:$A$32,배송비규정!$B$3:$B$32),0)+IFERROR(INDEX(지역추가비!$B$3:$B$42,MATCH($J205,지역추가비!$A$3:$A$42,0)),0)))</f>
        <v/>
      </c>
      <c r="M205" s="13" t="str">
        <f aca="false">IF($B205="","",IF(COUNTIFS($B$3:$B205,$B205)&gt;1,"",$K205+$L205))</f>
        <v/>
      </c>
      <c r="N205" s="14" t="str">
        <f aca="false">IF($B205="","",COUNTIFS($B$3:$B205,$B205))</f>
        <v/>
      </c>
      <c r="O205" s="14" t="str">
        <f aca="false">IF($B205="","",$B205&amp;"|"&amp;$N205)</f>
        <v/>
      </c>
    </row>
    <row r="206" customFormat="false" ht="15" hidden="false" customHeight="false" outlineLevel="0" collapsed="false">
      <c r="A206" s="12"/>
      <c r="B206" s="9"/>
      <c r="C206" s="9"/>
      <c r="D206" s="9"/>
      <c r="E206" s="9"/>
      <c r="F206" s="9"/>
      <c r="G206" s="9"/>
      <c r="H206" s="7"/>
      <c r="I206" s="13" t="str">
        <f aca="false">IF(OR($G206="",$H206=""),"",ROUND($G206*$H206,0))</f>
        <v/>
      </c>
      <c r="J206" s="8"/>
      <c r="K206" s="13" t="str">
        <f aca="false">IF($B206="","",SUMIFS($I$3:$I$2002,$B$3:$B$2002,$B206))</f>
        <v/>
      </c>
      <c r="L206" s="13" t="str">
        <f aca="false">IF($B206="","",IF(COUNTIFS($B$3:$B206,$B206)&gt;1,0,IFERROR(LOOKUP($K206,배송비규정!$A$3:$A$32,배송비규정!$B$3:$B$32),0)+IFERROR(INDEX(지역추가비!$B$3:$B$42,MATCH($J206,지역추가비!$A$3:$A$42,0)),0)))</f>
        <v/>
      </c>
      <c r="M206" s="13" t="str">
        <f aca="false">IF($B206="","",IF(COUNTIFS($B$3:$B206,$B206)&gt;1,"",$K206+$L206))</f>
        <v/>
      </c>
      <c r="N206" s="14" t="str">
        <f aca="false">IF($B206="","",COUNTIFS($B$3:$B206,$B206))</f>
        <v/>
      </c>
      <c r="O206" s="14" t="str">
        <f aca="false">IF($B206="","",$B206&amp;"|"&amp;$N206)</f>
        <v/>
      </c>
    </row>
    <row r="207" customFormat="false" ht="15" hidden="false" customHeight="false" outlineLevel="0" collapsed="false">
      <c r="A207" s="12"/>
      <c r="B207" s="9"/>
      <c r="C207" s="9"/>
      <c r="D207" s="9"/>
      <c r="E207" s="9"/>
      <c r="F207" s="9"/>
      <c r="G207" s="9"/>
      <c r="H207" s="7"/>
      <c r="I207" s="13" t="str">
        <f aca="false">IF(OR($G207="",$H207=""),"",ROUND($G207*$H207,0))</f>
        <v/>
      </c>
      <c r="J207" s="8"/>
      <c r="K207" s="13" t="str">
        <f aca="false">IF($B207="","",SUMIFS($I$3:$I$2002,$B$3:$B$2002,$B207))</f>
        <v/>
      </c>
      <c r="L207" s="13" t="str">
        <f aca="false">IF($B207="","",IF(COUNTIFS($B$3:$B207,$B207)&gt;1,0,IFERROR(LOOKUP($K207,배송비규정!$A$3:$A$32,배송비규정!$B$3:$B$32),0)+IFERROR(INDEX(지역추가비!$B$3:$B$42,MATCH($J207,지역추가비!$A$3:$A$42,0)),0)))</f>
        <v/>
      </c>
      <c r="M207" s="13" t="str">
        <f aca="false">IF($B207="","",IF(COUNTIFS($B$3:$B207,$B207)&gt;1,"",$K207+$L207))</f>
        <v/>
      </c>
      <c r="N207" s="14" t="str">
        <f aca="false">IF($B207="","",COUNTIFS($B$3:$B207,$B207))</f>
        <v/>
      </c>
      <c r="O207" s="14" t="str">
        <f aca="false">IF($B207="","",$B207&amp;"|"&amp;$N207)</f>
        <v/>
      </c>
    </row>
    <row r="208" customFormat="false" ht="15" hidden="false" customHeight="false" outlineLevel="0" collapsed="false">
      <c r="A208" s="12"/>
      <c r="B208" s="9"/>
      <c r="C208" s="9"/>
      <c r="D208" s="9"/>
      <c r="E208" s="9"/>
      <c r="F208" s="9"/>
      <c r="G208" s="9"/>
      <c r="H208" s="7"/>
      <c r="I208" s="13" t="str">
        <f aca="false">IF(OR($G208="",$H208=""),"",ROUND($G208*$H208,0))</f>
        <v/>
      </c>
      <c r="J208" s="8"/>
      <c r="K208" s="13" t="str">
        <f aca="false">IF($B208="","",SUMIFS($I$3:$I$2002,$B$3:$B$2002,$B208))</f>
        <v/>
      </c>
      <c r="L208" s="13" t="str">
        <f aca="false">IF($B208="","",IF(COUNTIFS($B$3:$B208,$B208)&gt;1,0,IFERROR(LOOKUP($K208,배송비규정!$A$3:$A$32,배송비규정!$B$3:$B$32),0)+IFERROR(INDEX(지역추가비!$B$3:$B$42,MATCH($J208,지역추가비!$A$3:$A$42,0)),0)))</f>
        <v/>
      </c>
      <c r="M208" s="13" t="str">
        <f aca="false">IF($B208="","",IF(COUNTIFS($B$3:$B208,$B208)&gt;1,"",$K208+$L208))</f>
        <v/>
      </c>
      <c r="N208" s="14" t="str">
        <f aca="false">IF($B208="","",COUNTIFS($B$3:$B208,$B208))</f>
        <v/>
      </c>
      <c r="O208" s="14" t="str">
        <f aca="false">IF($B208="","",$B208&amp;"|"&amp;$N208)</f>
        <v/>
      </c>
    </row>
    <row r="209" customFormat="false" ht="15" hidden="false" customHeight="false" outlineLevel="0" collapsed="false">
      <c r="A209" s="12"/>
      <c r="B209" s="9"/>
      <c r="C209" s="9"/>
      <c r="D209" s="9"/>
      <c r="E209" s="9"/>
      <c r="F209" s="9"/>
      <c r="G209" s="9"/>
      <c r="H209" s="7"/>
      <c r="I209" s="13" t="str">
        <f aca="false">IF(OR($G209="",$H209=""),"",ROUND($G209*$H209,0))</f>
        <v/>
      </c>
      <c r="J209" s="8"/>
      <c r="K209" s="13" t="str">
        <f aca="false">IF($B209="","",SUMIFS($I$3:$I$2002,$B$3:$B$2002,$B209))</f>
        <v/>
      </c>
      <c r="L209" s="13" t="str">
        <f aca="false">IF($B209="","",IF(COUNTIFS($B$3:$B209,$B209)&gt;1,0,IFERROR(LOOKUP($K209,배송비규정!$A$3:$A$32,배송비규정!$B$3:$B$32),0)+IFERROR(INDEX(지역추가비!$B$3:$B$42,MATCH($J209,지역추가비!$A$3:$A$42,0)),0)))</f>
        <v/>
      </c>
      <c r="M209" s="13" t="str">
        <f aca="false">IF($B209="","",IF(COUNTIFS($B$3:$B209,$B209)&gt;1,"",$K209+$L209))</f>
        <v/>
      </c>
      <c r="N209" s="14" t="str">
        <f aca="false">IF($B209="","",COUNTIFS($B$3:$B209,$B209))</f>
        <v/>
      </c>
      <c r="O209" s="14" t="str">
        <f aca="false">IF($B209="","",$B209&amp;"|"&amp;$N209)</f>
        <v/>
      </c>
    </row>
    <row r="210" customFormat="false" ht="15" hidden="false" customHeight="false" outlineLevel="0" collapsed="false">
      <c r="A210" s="12"/>
      <c r="B210" s="9"/>
      <c r="C210" s="9"/>
      <c r="D210" s="9"/>
      <c r="E210" s="9"/>
      <c r="F210" s="9"/>
      <c r="G210" s="9"/>
      <c r="H210" s="7"/>
      <c r="I210" s="13" t="str">
        <f aca="false">IF(OR($G210="",$H210=""),"",ROUND($G210*$H210,0))</f>
        <v/>
      </c>
      <c r="J210" s="8"/>
      <c r="K210" s="13" t="str">
        <f aca="false">IF($B210="","",SUMIFS($I$3:$I$2002,$B$3:$B$2002,$B210))</f>
        <v/>
      </c>
      <c r="L210" s="13" t="str">
        <f aca="false">IF($B210="","",IF(COUNTIFS($B$3:$B210,$B210)&gt;1,0,IFERROR(LOOKUP($K210,배송비규정!$A$3:$A$32,배송비규정!$B$3:$B$32),0)+IFERROR(INDEX(지역추가비!$B$3:$B$42,MATCH($J210,지역추가비!$A$3:$A$42,0)),0)))</f>
        <v/>
      </c>
      <c r="M210" s="13" t="str">
        <f aca="false">IF($B210="","",IF(COUNTIFS($B$3:$B210,$B210)&gt;1,"",$K210+$L210))</f>
        <v/>
      </c>
      <c r="N210" s="14" t="str">
        <f aca="false">IF($B210="","",COUNTIFS($B$3:$B210,$B210))</f>
        <v/>
      </c>
      <c r="O210" s="14" t="str">
        <f aca="false">IF($B210="","",$B210&amp;"|"&amp;$N210)</f>
        <v/>
      </c>
    </row>
    <row r="211" customFormat="false" ht="15" hidden="false" customHeight="false" outlineLevel="0" collapsed="false">
      <c r="A211" s="12"/>
      <c r="B211" s="9"/>
      <c r="C211" s="9"/>
      <c r="D211" s="9"/>
      <c r="E211" s="9"/>
      <c r="F211" s="9"/>
      <c r="G211" s="9"/>
      <c r="H211" s="7"/>
      <c r="I211" s="13" t="str">
        <f aca="false">IF(OR($G211="",$H211=""),"",ROUND($G211*$H211,0))</f>
        <v/>
      </c>
      <c r="J211" s="8"/>
      <c r="K211" s="13" t="str">
        <f aca="false">IF($B211="","",SUMIFS($I$3:$I$2002,$B$3:$B$2002,$B211))</f>
        <v/>
      </c>
      <c r="L211" s="13" t="str">
        <f aca="false">IF($B211="","",IF(COUNTIFS($B$3:$B211,$B211)&gt;1,0,IFERROR(LOOKUP($K211,배송비규정!$A$3:$A$32,배송비규정!$B$3:$B$32),0)+IFERROR(INDEX(지역추가비!$B$3:$B$42,MATCH($J211,지역추가비!$A$3:$A$42,0)),0)))</f>
        <v/>
      </c>
      <c r="M211" s="13" t="str">
        <f aca="false">IF($B211="","",IF(COUNTIFS($B$3:$B211,$B211)&gt;1,"",$K211+$L211))</f>
        <v/>
      </c>
      <c r="N211" s="14" t="str">
        <f aca="false">IF($B211="","",COUNTIFS($B$3:$B211,$B211))</f>
        <v/>
      </c>
      <c r="O211" s="14" t="str">
        <f aca="false">IF($B211="","",$B211&amp;"|"&amp;$N211)</f>
        <v/>
      </c>
    </row>
    <row r="212" customFormat="false" ht="15" hidden="false" customHeight="false" outlineLevel="0" collapsed="false">
      <c r="A212" s="12"/>
      <c r="B212" s="9"/>
      <c r="C212" s="9"/>
      <c r="D212" s="9"/>
      <c r="E212" s="9"/>
      <c r="F212" s="9"/>
      <c r="G212" s="9"/>
      <c r="H212" s="7"/>
      <c r="I212" s="13" t="str">
        <f aca="false">IF(OR($G212="",$H212=""),"",ROUND($G212*$H212,0))</f>
        <v/>
      </c>
      <c r="J212" s="8"/>
      <c r="K212" s="13" t="str">
        <f aca="false">IF($B212="","",SUMIFS($I$3:$I$2002,$B$3:$B$2002,$B212))</f>
        <v/>
      </c>
      <c r="L212" s="13" t="str">
        <f aca="false">IF($B212="","",IF(COUNTIFS($B$3:$B212,$B212)&gt;1,0,IFERROR(LOOKUP($K212,배송비규정!$A$3:$A$32,배송비규정!$B$3:$B$32),0)+IFERROR(INDEX(지역추가비!$B$3:$B$42,MATCH($J212,지역추가비!$A$3:$A$42,0)),0)))</f>
        <v/>
      </c>
      <c r="M212" s="13" t="str">
        <f aca="false">IF($B212="","",IF(COUNTIFS($B$3:$B212,$B212)&gt;1,"",$K212+$L212))</f>
        <v/>
      </c>
      <c r="N212" s="14" t="str">
        <f aca="false">IF($B212="","",COUNTIFS($B$3:$B212,$B212))</f>
        <v/>
      </c>
      <c r="O212" s="14" t="str">
        <f aca="false">IF($B212="","",$B212&amp;"|"&amp;$N212)</f>
        <v/>
      </c>
    </row>
    <row r="213" customFormat="false" ht="15" hidden="false" customHeight="false" outlineLevel="0" collapsed="false">
      <c r="A213" s="12"/>
      <c r="B213" s="9"/>
      <c r="C213" s="9"/>
      <c r="D213" s="9"/>
      <c r="E213" s="9"/>
      <c r="F213" s="9"/>
      <c r="G213" s="9"/>
      <c r="H213" s="7"/>
      <c r="I213" s="13" t="str">
        <f aca="false">IF(OR($G213="",$H213=""),"",ROUND($G213*$H213,0))</f>
        <v/>
      </c>
      <c r="J213" s="8"/>
      <c r="K213" s="13" t="str">
        <f aca="false">IF($B213="","",SUMIFS($I$3:$I$2002,$B$3:$B$2002,$B213))</f>
        <v/>
      </c>
      <c r="L213" s="13" t="str">
        <f aca="false">IF($B213="","",IF(COUNTIFS($B$3:$B213,$B213)&gt;1,0,IFERROR(LOOKUP($K213,배송비규정!$A$3:$A$32,배송비규정!$B$3:$B$32),0)+IFERROR(INDEX(지역추가비!$B$3:$B$42,MATCH($J213,지역추가비!$A$3:$A$42,0)),0)))</f>
        <v/>
      </c>
      <c r="M213" s="13" t="str">
        <f aca="false">IF($B213="","",IF(COUNTIFS($B$3:$B213,$B213)&gt;1,"",$K213+$L213))</f>
        <v/>
      </c>
      <c r="N213" s="14" t="str">
        <f aca="false">IF($B213="","",COUNTIFS($B$3:$B213,$B213))</f>
        <v/>
      </c>
      <c r="O213" s="14" t="str">
        <f aca="false">IF($B213="","",$B213&amp;"|"&amp;$N213)</f>
        <v/>
      </c>
    </row>
    <row r="214" customFormat="false" ht="15" hidden="false" customHeight="false" outlineLevel="0" collapsed="false">
      <c r="A214" s="12"/>
      <c r="B214" s="9"/>
      <c r="C214" s="9"/>
      <c r="D214" s="9"/>
      <c r="E214" s="9"/>
      <c r="F214" s="9"/>
      <c r="G214" s="9"/>
      <c r="H214" s="7"/>
      <c r="I214" s="13" t="str">
        <f aca="false">IF(OR($G214="",$H214=""),"",ROUND($G214*$H214,0))</f>
        <v/>
      </c>
      <c r="J214" s="8"/>
      <c r="K214" s="13" t="str">
        <f aca="false">IF($B214="","",SUMIFS($I$3:$I$2002,$B$3:$B$2002,$B214))</f>
        <v/>
      </c>
      <c r="L214" s="13" t="str">
        <f aca="false">IF($B214="","",IF(COUNTIFS($B$3:$B214,$B214)&gt;1,0,IFERROR(LOOKUP($K214,배송비규정!$A$3:$A$32,배송비규정!$B$3:$B$32),0)+IFERROR(INDEX(지역추가비!$B$3:$B$42,MATCH($J214,지역추가비!$A$3:$A$42,0)),0)))</f>
        <v/>
      </c>
      <c r="M214" s="13" t="str">
        <f aca="false">IF($B214="","",IF(COUNTIFS($B$3:$B214,$B214)&gt;1,"",$K214+$L214))</f>
        <v/>
      </c>
      <c r="N214" s="14" t="str">
        <f aca="false">IF($B214="","",COUNTIFS($B$3:$B214,$B214))</f>
        <v/>
      </c>
      <c r="O214" s="14" t="str">
        <f aca="false">IF($B214="","",$B214&amp;"|"&amp;$N214)</f>
        <v/>
      </c>
    </row>
    <row r="215" customFormat="false" ht="15" hidden="false" customHeight="false" outlineLevel="0" collapsed="false">
      <c r="A215" s="12"/>
      <c r="B215" s="9"/>
      <c r="C215" s="9"/>
      <c r="D215" s="9"/>
      <c r="E215" s="9"/>
      <c r="F215" s="9"/>
      <c r="G215" s="9"/>
      <c r="H215" s="7"/>
      <c r="I215" s="13" t="str">
        <f aca="false">IF(OR($G215="",$H215=""),"",ROUND($G215*$H215,0))</f>
        <v/>
      </c>
      <c r="J215" s="8"/>
      <c r="K215" s="13" t="str">
        <f aca="false">IF($B215="","",SUMIFS($I$3:$I$2002,$B$3:$B$2002,$B215))</f>
        <v/>
      </c>
      <c r="L215" s="13" t="str">
        <f aca="false">IF($B215="","",IF(COUNTIFS($B$3:$B215,$B215)&gt;1,0,IFERROR(LOOKUP($K215,배송비규정!$A$3:$A$32,배송비규정!$B$3:$B$32),0)+IFERROR(INDEX(지역추가비!$B$3:$B$42,MATCH($J215,지역추가비!$A$3:$A$42,0)),0)))</f>
        <v/>
      </c>
      <c r="M215" s="13" t="str">
        <f aca="false">IF($B215="","",IF(COUNTIFS($B$3:$B215,$B215)&gt;1,"",$K215+$L215))</f>
        <v/>
      </c>
      <c r="N215" s="14" t="str">
        <f aca="false">IF($B215="","",COUNTIFS($B$3:$B215,$B215))</f>
        <v/>
      </c>
      <c r="O215" s="14" t="str">
        <f aca="false">IF($B215="","",$B215&amp;"|"&amp;$N215)</f>
        <v/>
      </c>
    </row>
    <row r="216" customFormat="false" ht="15" hidden="false" customHeight="false" outlineLevel="0" collapsed="false">
      <c r="A216" s="12"/>
      <c r="B216" s="9"/>
      <c r="C216" s="9"/>
      <c r="D216" s="9"/>
      <c r="E216" s="9"/>
      <c r="F216" s="9"/>
      <c r="G216" s="9"/>
      <c r="H216" s="7"/>
      <c r="I216" s="13" t="str">
        <f aca="false">IF(OR($G216="",$H216=""),"",ROUND($G216*$H216,0))</f>
        <v/>
      </c>
      <c r="J216" s="8"/>
      <c r="K216" s="13" t="str">
        <f aca="false">IF($B216="","",SUMIFS($I$3:$I$2002,$B$3:$B$2002,$B216))</f>
        <v/>
      </c>
      <c r="L216" s="13" t="str">
        <f aca="false">IF($B216="","",IF(COUNTIFS($B$3:$B216,$B216)&gt;1,0,IFERROR(LOOKUP($K216,배송비규정!$A$3:$A$32,배송비규정!$B$3:$B$32),0)+IFERROR(INDEX(지역추가비!$B$3:$B$42,MATCH($J216,지역추가비!$A$3:$A$42,0)),0)))</f>
        <v/>
      </c>
      <c r="M216" s="13" t="str">
        <f aca="false">IF($B216="","",IF(COUNTIFS($B$3:$B216,$B216)&gt;1,"",$K216+$L216))</f>
        <v/>
      </c>
      <c r="N216" s="14" t="str">
        <f aca="false">IF($B216="","",COUNTIFS($B$3:$B216,$B216))</f>
        <v/>
      </c>
      <c r="O216" s="14" t="str">
        <f aca="false">IF($B216="","",$B216&amp;"|"&amp;$N216)</f>
        <v/>
      </c>
    </row>
    <row r="217" customFormat="false" ht="15" hidden="false" customHeight="false" outlineLevel="0" collapsed="false">
      <c r="A217" s="12"/>
      <c r="B217" s="9"/>
      <c r="C217" s="9"/>
      <c r="D217" s="9"/>
      <c r="E217" s="9"/>
      <c r="F217" s="9"/>
      <c r="G217" s="9"/>
      <c r="H217" s="7"/>
      <c r="I217" s="13" t="str">
        <f aca="false">IF(OR($G217="",$H217=""),"",ROUND($G217*$H217,0))</f>
        <v/>
      </c>
      <c r="J217" s="8"/>
      <c r="K217" s="13" t="str">
        <f aca="false">IF($B217="","",SUMIFS($I$3:$I$2002,$B$3:$B$2002,$B217))</f>
        <v/>
      </c>
      <c r="L217" s="13" t="str">
        <f aca="false">IF($B217="","",IF(COUNTIFS($B$3:$B217,$B217)&gt;1,0,IFERROR(LOOKUP($K217,배송비규정!$A$3:$A$32,배송비규정!$B$3:$B$32),0)+IFERROR(INDEX(지역추가비!$B$3:$B$42,MATCH($J217,지역추가비!$A$3:$A$42,0)),0)))</f>
        <v/>
      </c>
      <c r="M217" s="13" t="str">
        <f aca="false">IF($B217="","",IF(COUNTIFS($B$3:$B217,$B217)&gt;1,"",$K217+$L217))</f>
        <v/>
      </c>
      <c r="N217" s="14" t="str">
        <f aca="false">IF($B217="","",COUNTIFS($B$3:$B217,$B217))</f>
        <v/>
      </c>
      <c r="O217" s="14" t="str">
        <f aca="false">IF($B217="","",$B217&amp;"|"&amp;$N217)</f>
        <v/>
      </c>
    </row>
    <row r="218" customFormat="false" ht="15" hidden="false" customHeight="false" outlineLevel="0" collapsed="false">
      <c r="A218" s="12"/>
      <c r="B218" s="9"/>
      <c r="C218" s="9"/>
      <c r="D218" s="9"/>
      <c r="E218" s="9"/>
      <c r="F218" s="9"/>
      <c r="G218" s="9"/>
      <c r="H218" s="7"/>
      <c r="I218" s="13" t="str">
        <f aca="false">IF(OR($G218="",$H218=""),"",ROUND($G218*$H218,0))</f>
        <v/>
      </c>
      <c r="J218" s="8"/>
      <c r="K218" s="13" t="str">
        <f aca="false">IF($B218="","",SUMIFS($I$3:$I$2002,$B$3:$B$2002,$B218))</f>
        <v/>
      </c>
      <c r="L218" s="13" t="str">
        <f aca="false">IF($B218="","",IF(COUNTIFS($B$3:$B218,$B218)&gt;1,0,IFERROR(LOOKUP($K218,배송비규정!$A$3:$A$32,배송비규정!$B$3:$B$32),0)+IFERROR(INDEX(지역추가비!$B$3:$B$42,MATCH($J218,지역추가비!$A$3:$A$42,0)),0)))</f>
        <v/>
      </c>
      <c r="M218" s="13" t="str">
        <f aca="false">IF($B218="","",IF(COUNTIFS($B$3:$B218,$B218)&gt;1,"",$K218+$L218))</f>
        <v/>
      </c>
      <c r="N218" s="14" t="str">
        <f aca="false">IF($B218="","",COUNTIFS($B$3:$B218,$B218))</f>
        <v/>
      </c>
      <c r="O218" s="14" t="str">
        <f aca="false">IF($B218="","",$B218&amp;"|"&amp;$N218)</f>
        <v/>
      </c>
    </row>
    <row r="219" customFormat="false" ht="15" hidden="false" customHeight="false" outlineLevel="0" collapsed="false">
      <c r="A219" s="12"/>
      <c r="B219" s="9"/>
      <c r="C219" s="9"/>
      <c r="D219" s="9"/>
      <c r="E219" s="9"/>
      <c r="F219" s="9"/>
      <c r="G219" s="9"/>
      <c r="H219" s="7"/>
      <c r="I219" s="13" t="str">
        <f aca="false">IF(OR($G219="",$H219=""),"",ROUND($G219*$H219,0))</f>
        <v/>
      </c>
      <c r="J219" s="8"/>
      <c r="K219" s="13" t="str">
        <f aca="false">IF($B219="","",SUMIFS($I$3:$I$2002,$B$3:$B$2002,$B219))</f>
        <v/>
      </c>
      <c r="L219" s="13" t="str">
        <f aca="false">IF($B219="","",IF(COUNTIFS($B$3:$B219,$B219)&gt;1,0,IFERROR(LOOKUP($K219,배송비규정!$A$3:$A$32,배송비규정!$B$3:$B$32),0)+IFERROR(INDEX(지역추가비!$B$3:$B$42,MATCH($J219,지역추가비!$A$3:$A$42,0)),0)))</f>
        <v/>
      </c>
      <c r="M219" s="13" t="str">
        <f aca="false">IF($B219="","",IF(COUNTIFS($B$3:$B219,$B219)&gt;1,"",$K219+$L219))</f>
        <v/>
      </c>
      <c r="N219" s="14" t="str">
        <f aca="false">IF($B219="","",COUNTIFS($B$3:$B219,$B219))</f>
        <v/>
      </c>
      <c r="O219" s="14" t="str">
        <f aca="false">IF($B219="","",$B219&amp;"|"&amp;$N219)</f>
        <v/>
      </c>
    </row>
    <row r="220" customFormat="false" ht="15" hidden="false" customHeight="false" outlineLevel="0" collapsed="false">
      <c r="A220" s="12"/>
      <c r="B220" s="9"/>
      <c r="C220" s="9"/>
      <c r="D220" s="9"/>
      <c r="E220" s="9"/>
      <c r="F220" s="9"/>
      <c r="G220" s="9"/>
      <c r="H220" s="7"/>
      <c r="I220" s="13" t="str">
        <f aca="false">IF(OR($G220="",$H220=""),"",ROUND($G220*$H220,0))</f>
        <v/>
      </c>
      <c r="J220" s="8"/>
      <c r="K220" s="13" t="str">
        <f aca="false">IF($B220="","",SUMIFS($I$3:$I$2002,$B$3:$B$2002,$B220))</f>
        <v/>
      </c>
      <c r="L220" s="13" t="str">
        <f aca="false">IF($B220="","",IF(COUNTIFS($B$3:$B220,$B220)&gt;1,0,IFERROR(LOOKUP($K220,배송비규정!$A$3:$A$32,배송비규정!$B$3:$B$32),0)+IFERROR(INDEX(지역추가비!$B$3:$B$42,MATCH($J220,지역추가비!$A$3:$A$42,0)),0)))</f>
        <v/>
      </c>
      <c r="M220" s="13" t="str">
        <f aca="false">IF($B220="","",IF(COUNTIFS($B$3:$B220,$B220)&gt;1,"",$K220+$L220))</f>
        <v/>
      </c>
      <c r="N220" s="14" t="str">
        <f aca="false">IF($B220="","",COUNTIFS($B$3:$B220,$B220))</f>
        <v/>
      </c>
      <c r="O220" s="14" t="str">
        <f aca="false">IF($B220="","",$B220&amp;"|"&amp;$N220)</f>
        <v/>
      </c>
    </row>
    <row r="221" customFormat="false" ht="15" hidden="false" customHeight="false" outlineLevel="0" collapsed="false">
      <c r="A221" s="12"/>
      <c r="B221" s="9"/>
      <c r="C221" s="9"/>
      <c r="D221" s="9"/>
      <c r="E221" s="9"/>
      <c r="F221" s="9"/>
      <c r="G221" s="9"/>
      <c r="H221" s="7"/>
      <c r="I221" s="13" t="str">
        <f aca="false">IF(OR($G221="",$H221=""),"",ROUND($G221*$H221,0))</f>
        <v/>
      </c>
      <c r="J221" s="8"/>
      <c r="K221" s="13" t="str">
        <f aca="false">IF($B221="","",SUMIFS($I$3:$I$2002,$B$3:$B$2002,$B221))</f>
        <v/>
      </c>
      <c r="L221" s="13" t="str">
        <f aca="false">IF($B221="","",IF(COUNTIFS($B$3:$B221,$B221)&gt;1,0,IFERROR(LOOKUP($K221,배송비규정!$A$3:$A$32,배송비규정!$B$3:$B$32),0)+IFERROR(INDEX(지역추가비!$B$3:$B$42,MATCH($J221,지역추가비!$A$3:$A$42,0)),0)))</f>
        <v/>
      </c>
      <c r="M221" s="13" t="str">
        <f aca="false">IF($B221="","",IF(COUNTIFS($B$3:$B221,$B221)&gt;1,"",$K221+$L221))</f>
        <v/>
      </c>
      <c r="N221" s="14" t="str">
        <f aca="false">IF($B221="","",COUNTIFS($B$3:$B221,$B221))</f>
        <v/>
      </c>
      <c r="O221" s="14" t="str">
        <f aca="false">IF($B221="","",$B221&amp;"|"&amp;$N221)</f>
        <v/>
      </c>
    </row>
    <row r="222" customFormat="false" ht="15" hidden="false" customHeight="false" outlineLevel="0" collapsed="false">
      <c r="A222" s="12"/>
      <c r="B222" s="9"/>
      <c r="C222" s="9"/>
      <c r="D222" s="9"/>
      <c r="E222" s="9"/>
      <c r="F222" s="9"/>
      <c r="G222" s="9"/>
      <c r="H222" s="7"/>
      <c r="I222" s="13" t="str">
        <f aca="false">IF(OR($G222="",$H222=""),"",ROUND($G222*$H222,0))</f>
        <v/>
      </c>
      <c r="J222" s="8"/>
      <c r="K222" s="13" t="str">
        <f aca="false">IF($B222="","",SUMIFS($I$3:$I$2002,$B$3:$B$2002,$B222))</f>
        <v/>
      </c>
      <c r="L222" s="13" t="str">
        <f aca="false">IF($B222="","",IF(COUNTIFS($B$3:$B222,$B222)&gt;1,0,IFERROR(LOOKUP($K222,배송비규정!$A$3:$A$32,배송비규정!$B$3:$B$32),0)+IFERROR(INDEX(지역추가비!$B$3:$B$42,MATCH($J222,지역추가비!$A$3:$A$42,0)),0)))</f>
        <v/>
      </c>
      <c r="M222" s="13" t="str">
        <f aca="false">IF($B222="","",IF(COUNTIFS($B$3:$B222,$B222)&gt;1,"",$K222+$L222))</f>
        <v/>
      </c>
      <c r="N222" s="14" t="str">
        <f aca="false">IF($B222="","",COUNTIFS($B$3:$B222,$B222))</f>
        <v/>
      </c>
      <c r="O222" s="14" t="str">
        <f aca="false">IF($B222="","",$B222&amp;"|"&amp;$N222)</f>
        <v/>
      </c>
    </row>
    <row r="223" customFormat="false" ht="15" hidden="false" customHeight="false" outlineLevel="0" collapsed="false">
      <c r="A223" s="12"/>
      <c r="B223" s="9"/>
      <c r="C223" s="9"/>
      <c r="D223" s="9"/>
      <c r="E223" s="9"/>
      <c r="F223" s="9"/>
      <c r="G223" s="9"/>
      <c r="H223" s="7"/>
      <c r="I223" s="13" t="str">
        <f aca="false">IF(OR($G223="",$H223=""),"",ROUND($G223*$H223,0))</f>
        <v/>
      </c>
      <c r="J223" s="8"/>
      <c r="K223" s="13" t="str">
        <f aca="false">IF($B223="","",SUMIFS($I$3:$I$2002,$B$3:$B$2002,$B223))</f>
        <v/>
      </c>
      <c r="L223" s="13" t="str">
        <f aca="false">IF($B223="","",IF(COUNTIFS($B$3:$B223,$B223)&gt;1,0,IFERROR(LOOKUP($K223,배송비규정!$A$3:$A$32,배송비규정!$B$3:$B$32),0)+IFERROR(INDEX(지역추가비!$B$3:$B$42,MATCH($J223,지역추가비!$A$3:$A$42,0)),0)))</f>
        <v/>
      </c>
      <c r="M223" s="13" t="str">
        <f aca="false">IF($B223="","",IF(COUNTIFS($B$3:$B223,$B223)&gt;1,"",$K223+$L223))</f>
        <v/>
      </c>
      <c r="N223" s="14" t="str">
        <f aca="false">IF($B223="","",COUNTIFS($B$3:$B223,$B223))</f>
        <v/>
      </c>
      <c r="O223" s="14" t="str">
        <f aca="false">IF($B223="","",$B223&amp;"|"&amp;$N223)</f>
        <v/>
      </c>
    </row>
    <row r="224" customFormat="false" ht="15" hidden="false" customHeight="false" outlineLevel="0" collapsed="false">
      <c r="A224" s="12"/>
      <c r="B224" s="9"/>
      <c r="C224" s="9"/>
      <c r="D224" s="9"/>
      <c r="E224" s="9"/>
      <c r="F224" s="9"/>
      <c r="G224" s="9"/>
      <c r="H224" s="7"/>
      <c r="I224" s="13" t="str">
        <f aca="false">IF(OR($G224="",$H224=""),"",ROUND($G224*$H224,0))</f>
        <v/>
      </c>
      <c r="J224" s="8"/>
      <c r="K224" s="13" t="str">
        <f aca="false">IF($B224="","",SUMIFS($I$3:$I$2002,$B$3:$B$2002,$B224))</f>
        <v/>
      </c>
      <c r="L224" s="13" t="str">
        <f aca="false">IF($B224="","",IF(COUNTIFS($B$3:$B224,$B224)&gt;1,0,IFERROR(LOOKUP($K224,배송비규정!$A$3:$A$32,배송비규정!$B$3:$B$32),0)+IFERROR(INDEX(지역추가비!$B$3:$B$42,MATCH($J224,지역추가비!$A$3:$A$42,0)),0)))</f>
        <v/>
      </c>
      <c r="M224" s="13" t="str">
        <f aca="false">IF($B224="","",IF(COUNTIFS($B$3:$B224,$B224)&gt;1,"",$K224+$L224))</f>
        <v/>
      </c>
      <c r="N224" s="14" t="str">
        <f aca="false">IF($B224="","",COUNTIFS($B$3:$B224,$B224))</f>
        <v/>
      </c>
      <c r="O224" s="14" t="str">
        <f aca="false">IF($B224="","",$B224&amp;"|"&amp;$N224)</f>
        <v/>
      </c>
    </row>
    <row r="225" customFormat="false" ht="15" hidden="false" customHeight="false" outlineLevel="0" collapsed="false">
      <c r="A225" s="12"/>
      <c r="B225" s="9"/>
      <c r="C225" s="9"/>
      <c r="D225" s="9"/>
      <c r="E225" s="9"/>
      <c r="F225" s="9"/>
      <c r="G225" s="9"/>
      <c r="H225" s="7"/>
      <c r="I225" s="13" t="str">
        <f aca="false">IF(OR($G225="",$H225=""),"",ROUND($G225*$H225,0))</f>
        <v/>
      </c>
      <c r="J225" s="8"/>
      <c r="K225" s="13" t="str">
        <f aca="false">IF($B225="","",SUMIFS($I$3:$I$2002,$B$3:$B$2002,$B225))</f>
        <v/>
      </c>
      <c r="L225" s="13" t="str">
        <f aca="false">IF($B225="","",IF(COUNTIFS($B$3:$B225,$B225)&gt;1,0,IFERROR(LOOKUP($K225,배송비규정!$A$3:$A$32,배송비규정!$B$3:$B$32),0)+IFERROR(INDEX(지역추가비!$B$3:$B$42,MATCH($J225,지역추가비!$A$3:$A$42,0)),0)))</f>
        <v/>
      </c>
      <c r="M225" s="13" t="str">
        <f aca="false">IF($B225="","",IF(COUNTIFS($B$3:$B225,$B225)&gt;1,"",$K225+$L225))</f>
        <v/>
      </c>
      <c r="N225" s="14" t="str">
        <f aca="false">IF($B225="","",COUNTIFS($B$3:$B225,$B225))</f>
        <v/>
      </c>
      <c r="O225" s="14" t="str">
        <f aca="false">IF($B225="","",$B225&amp;"|"&amp;$N225)</f>
        <v/>
      </c>
    </row>
    <row r="226" customFormat="false" ht="15" hidden="false" customHeight="false" outlineLevel="0" collapsed="false">
      <c r="A226" s="12"/>
      <c r="B226" s="9"/>
      <c r="C226" s="9"/>
      <c r="D226" s="9"/>
      <c r="E226" s="9"/>
      <c r="F226" s="9"/>
      <c r="G226" s="9"/>
      <c r="H226" s="7"/>
      <c r="I226" s="13" t="str">
        <f aca="false">IF(OR($G226="",$H226=""),"",ROUND($G226*$H226,0))</f>
        <v/>
      </c>
      <c r="J226" s="8"/>
      <c r="K226" s="13" t="str">
        <f aca="false">IF($B226="","",SUMIFS($I$3:$I$2002,$B$3:$B$2002,$B226))</f>
        <v/>
      </c>
      <c r="L226" s="13" t="str">
        <f aca="false">IF($B226="","",IF(COUNTIFS($B$3:$B226,$B226)&gt;1,0,IFERROR(LOOKUP($K226,배송비규정!$A$3:$A$32,배송비규정!$B$3:$B$32),0)+IFERROR(INDEX(지역추가비!$B$3:$B$42,MATCH($J226,지역추가비!$A$3:$A$42,0)),0)))</f>
        <v/>
      </c>
      <c r="M226" s="13" t="str">
        <f aca="false">IF($B226="","",IF(COUNTIFS($B$3:$B226,$B226)&gt;1,"",$K226+$L226))</f>
        <v/>
      </c>
      <c r="N226" s="14" t="str">
        <f aca="false">IF($B226="","",COUNTIFS($B$3:$B226,$B226))</f>
        <v/>
      </c>
      <c r="O226" s="14" t="str">
        <f aca="false">IF($B226="","",$B226&amp;"|"&amp;$N226)</f>
        <v/>
      </c>
    </row>
    <row r="227" customFormat="false" ht="15" hidden="false" customHeight="false" outlineLevel="0" collapsed="false">
      <c r="A227" s="12"/>
      <c r="B227" s="9"/>
      <c r="C227" s="9"/>
      <c r="D227" s="9"/>
      <c r="E227" s="9"/>
      <c r="F227" s="9"/>
      <c r="G227" s="9"/>
      <c r="H227" s="7"/>
      <c r="I227" s="13" t="str">
        <f aca="false">IF(OR($G227="",$H227=""),"",ROUND($G227*$H227,0))</f>
        <v/>
      </c>
      <c r="J227" s="8"/>
      <c r="K227" s="13" t="str">
        <f aca="false">IF($B227="","",SUMIFS($I$3:$I$2002,$B$3:$B$2002,$B227))</f>
        <v/>
      </c>
      <c r="L227" s="13" t="str">
        <f aca="false">IF($B227="","",IF(COUNTIFS($B$3:$B227,$B227)&gt;1,0,IFERROR(LOOKUP($K227,배송비규정!$A$3:$A$32,배송비규정!$B$3:$B$32),0)+IFERROR(INDEX(지역추가비!$B$3:$B$42,MATCH($J227,지역추가비!$A$3:$A$42,0)),0)))</f>
        <v/>
      </c>
      <c r="M227" s="13" t="str">
        <f aca="false">IF($B227="","",IF(COUNTIFS($B$3:$B227,$B227)&gt;1,"",$K227+$L227))</f>
        <v/>
      </c>
      <c r="N227" s="14" t="str">
        <f aca="false">IF($B227="","",COUNTIFS($B$3:$B227,$B227))</f>
        <v/>
      </c>
      <c r="O227" s="14" t="str">
        <f aca="false">IF($B227="","",$B227&amp;"|"&amp;$N227)</f>
        <v/>
      </c>
    </row>
    <row r="228" customFormat="false" ht="15" hidden="false" customHeight="false" outlineLevel="0" collapsed="false">
      <c r="A228" s="12"/>
      <c r="B228" s="9"/>
      <c r="C228" s="9"/>
      <c r="D228" s="9"/>
      <c r="E228" s="9"/>
      <c r="F228" s="9"/>
      <c r="G228" s="9"/>
      <c r="H228" s="7"/>
      <c r="I228" s="13" t="str">
        <f aca="false">IF(OR($G228="",$H228=""),"",ROUND($G228*$H228,0))</f>
        <v/>
      </c>
      <c r="J228" s="8"/>
      <c r="K228" s="13" t="str">
        <f aca="false">IF($B228="","",SUMIFS($I$3:$I$2002,$B$3:$B$2002,$B228))</f>
        <v/>
      </c>
      <c r="L228" s="13" t="str">
        <f aca="false">IF($B228="","",IF(COUNTIFS($B$3:$B228,$B228)&gt;1,0,IFERROR(LOOKUP($K228,배송비규정!$A$3:$A$32,배송비규정!$B$3:$B$32),0)+IFERROR(INDEX(지역추가비!$B$3:$B$42,MATCH($J228,지역추가비!$A$3:$A$42,0)),0)))</f>
        <v/>
      </c>
      <c r="M228" s="13" t="str">
        <f aca="false">IF($B228="","",IF(COUNTIFS($B$3:$B228,$B228)&gt;1,"",$K228+$L228))</f>
        <v/>
      </c>
      <c r="N228" s="14" t="str">
        <f aca="false">IF($B228="","",COUNTIFS($B$3:$B228,$B228))</f>
        <v/>
      </c>
      <c r="O228" s="14" t="str">
        <f aca="false">IF($B228="","",$B228&amp;"|"&amp;$N228)</f>
        <v/>
      </c>
    </row>
    <row r="229" customFormat="false" ht="15" hidden="false" customHeight="false" outlineLevel="0" collapsed="false">
      <c r="A229" s="12"/>
      <c r="B229" s="9"/>
      <c r="C229" s="9"/>
      <c r="D229" s="9"/>
      <c r="E229" s="9"/>
      <c r="F229" s="9"/>
      <c r="G229" s="9"/>
      <c r="H229" s="7"/>
      <c r="I229" s="13" t="str">
        <f aca="false">IF(OR($G229="",$H229=""),"",ROUND($G229*$H229,0))</f>
        <v/>
      </c>
      <c r="J229" s="8"/>
      <c r="K229" s="13" t="str">
        <f aca="false">IF($B229="","",SUMIFS($I$3:$I$2002,$B$3:$B$2002,$B229))</f>
        <v/>
      </c>
      <c r="L229" s="13" t="str">
        <f aca="false">IF($B229="","",IF(COUNTIFS($B$3:$B229,$B229)&gt;1,0,IFERROR(LOOKUP($K229,배송비규정!$A$3:$A$32,배송비규정!$B$3:$B$32),0)+IFERROR(INDEX(지역추가비!$B$3:$B$42,MATCH($J229,지역추가비!$A$3:$A$42,0)),0)))</f>
        <v/>
      </c>
      <c r="M229" s="13" t="str">
        <f aca="false">IF($B229="","",IF(COUNTIFS($B$3:$B229,$B229)&gt;1,"",$K229+$L229))</f>
        <v/>
      </c>
      <c r="N229" s="14" t="str">
        <f aca="false">IF($B229="","",COUNTIFS($B$3:$B229,$B229))</f>
        <v/>
      </c>
      <c r="O229" s="14" t="str">
        <f aca="false">IF($B229="","",$B229&amp;"|"&amp;$N229)</f>
        <v/>
      </c>
    </row>
    <row r="230" customFormat="false" ht="15" hidden="false" customHeight="false" outlineLevel="0" collapsed="false">
      <c r="A230" s="12"/>
      <c r="B230" s="9"/>
      <c r="C230" s="9"/>
      <c r="D230" s="9"/>
      <c r="E230" s="9"/>
      <c r="F230" s="9"/>
      <c r="G230" s="9"/>
      <c r="H230" s="7"/>
      <c r="I230" s="13" t="str">
        <f aca="false">IF(OR($G230="",$H230=""),"",ROUND($G230*$H230,0))</f>
        <v/>
      </c>
      <c r="J230" s="8"/>
      <c r="K230" s="13" t="str">
        <f aca="false">IF($B230="","",SUMIFS($I$3:$I$2002,$B$3:$B$2002,$B230))</f>
        <v/>
      </c>
      <c r="L230" s="13" t="str">
        <f aca="false">IF($B230="","",IF(COUNTIFS($B$3:$B230,$B230)&gt;1,0,IFERROR(LOOKUP($K230,배송비규정!$A$3:$A$32,배송비규정!$B$3:$B$32),0)+IFERROR(INDEX(지역추가비!$B$3:$B$42,MATCH($J230,지역추가비!$A$3:$A$42,0)),0)))</f>
        <v/>
      </c>
      <c r="M230" s="13" t="str">
        <f aca="false">IF($B230="","",IF(COUNTIFS($B$3:$B230,$B230)&gt;1,"",$K230+$L230))</f>
        <v/>
      </c>
      <c r="N230" s="14" t="str">
        <f aca="false">IF($B230="","",COUNTIFS($B$3:$B230,$B230))</f>
        <v/>
      </c>
      <c r="O230" s="14" t="str">
        <f aca="false">IF($B230="","",$B230&amp;"|"&amp;$N230)</f>
        <v/>
      </c>
    </row>
    <row r="231" customFormat="false" ht="15" hidden="false" customHeight="false" outlineLevel="0" collapsed="false">
      <c r="A231" s="12"/>
      <c r="B231" s="9"/>
      <c r="C231" s="9"/>
      <c r="D231" s="9"/>
      <c r="E231" s="9"/>
      <c r="F231" s="9"/>
      <c r="G231" s="9"/>
      <c r="H231" s="7"/>
      <c r="I231" s="13" t="str">
        <f aca="false">IF(OR($G231="",$H231=""),"",ROUND($G231*$H231,0))</f>
        <v/>
      </c>
      <c r="J231" s="8"/>
      <c r="K231" s="13" t="str">
        <f aca="false">IF($B231="","",SUMIFS($I$3:$I$2002,$B$3:$B$2002,$B231))</f>
        <v/>
      </c>
      <c r="L231" s="13" t="str">
        <f aca="false">IF($B231="","",IF(COUNTIFS($B$3:$B231,$B231)&gt;1,0,IFERROR(LOOKUP($K231,배송비규정!$A$3:$A$32,배송비규정!$B$3:$B$32),0)+IFERROR(INDEX(지역추가비!$B$3:$B$42,MATCH($J231,지역추가비!$A$3:$A$42,0)),0)))</f>
        <v/>
      </c>
      <c r="M231" s="13" t="str">
        <f aca="false">IF($B231="","",IF(COUNTIFS($B$3:$B231,$B231)&gt;1,"",$K231+$L231))</f>
        <v/>
      </c>
      <c r="N231" s="14" t="str">
        <f aca="false">IF($B231="","",COUNTIFS($B$3:$B231,$B231))</f>
        <v/>
      </c>
      <c r="O231" s="14" t="str">
        <f aca="false">IF($B231="","",$B231&amp;"|"&amp;$N231)</f>
        <v/>
      </c>
    </row>
    <row r="232" customFormat="false" ht="15" hidden="false" customHeight="false" outlineLevel="0" collapsed="false">
      <c r="A232" s="12"/>
      <c r="B232" s="9"/>
      <c r="C232" s="9"/>
      <c r="D232" s="9"/>
      <c r="E232" s="9"/>
      <c r="F232" s="9"/>
      <c r="G232" s="9"/>
      <c r="H232" s="7"/>
      <c r="I232" s="13" t="str">
        <f aca="false">IF(OR($G232="",$H232=""),"",ROUND($G232*$H232,0))</f>
        <v/>
      </c>
      <c r="J232" s="8"/>
      <c r="K232" s="13" t="str">
        <f aca="false">IF($B232="","",SUMIFS($I$3:$I$2002,$B$3:$B$2002,$B232))</f>
        <v/>
      </c>
      <c r="L232" s="13" t="str">
        <f aca="false">IF($B232="","",IF(COUNTIFS($B$3:$B232,$B232)&gt;1,0,IFERROR(LOOKUP($K232,배송비규정!$A$3:$A$32,배송비규정!$B$3:$B$32),0)+IFERROR(INDEX(지역추가비!$B$3:$B$42,MATCH($J232,지역추가비!$A$3:$A$42,0)),0)))</f>
        <v/>
      </c>
      <c r="M232" s="13" t="str">
        <f aca="false">IF($B232="","",IF(COUNTIFS($B$3:$B232,$B232)&gt;1,"",$K232+$L232))</f>
        <v/>
      </c>
      <c r="N232" s="14" t="str">
        <f aca="false">IF($B232="","",COUNTIFS($B$3:$B232,$B232))</f>
        <v/>
      </c>
      <c r="O232" s="14" t="str">
        <f aca="false">IF($B232="","",$B232&amp;"|"&amp;$N232)</f>
        <v/>
      </c>
    </row>
    <row r="233" customFormat="false" ht="15" hidden="false" customHeight="false" outlineLevel="0" collapsed="false">
      <c r="A233" s="12"/>
      <c r="B233" s="9"/>
      <c r="C233" s="9"/>
      <c r="D233" s="9"/>
      <c r="E233" s="9"/>
      <c r="F233" s="9"/>
      <c r="G233" s="9"/>
      <c r="H233" s="7"/>
      <c r="I233" s="13" t="str">
        <f aca="false">IF(OR($G233="",$H233=""),"",ROUND($G233*$H233,0))</f>
        <v/>
      </c>
      <c r="J233" s="8"/>
      <c r="K233" s="13" t="str">
        <f aca="false">IF($B233="","",SUMIFS($I$3:$I$2002,$B$3:$B$2002,$B233))</f>
        <v/>
      </c>
      <c r="L233" s="13" t="str">
        <f aca="false">IF($B233="","",IF(COUNTIFS($B$3:$B233,$B233)&gt;1,0,IFERROR(LOOKUP($K233,배송비규정!$A$3:$A$32,배송비규정!$B$3:$B$32),0)+IFERROR(INDEX(지역추가비!$B$3:$B$42,MATCH($J233,지역추가비!$A$3:$A$42,0)),0)))</f>
        <v/>
      </c>
      <c r="M233" s="13" t="str">
        <f aca="false">IF($B233="","",IF(COUNTIFS($B$3:$B233,$B233)&gt;1,"",$K233+$L233))</f>
        <v/>
      </c>
      <c r="N233" s="14" t="str">
        <f aca="false">IF($B233="","",COUNTIFS($B$3:$B233,$B233))</f>
        <v/>
      </c>
      <c r="O233" s="14" t="str">
        <f aca="false">IF($B233="","",$B233&amp;"|"&amp;$N233)</f>
        <v/>
      </c>
    </row>
    <row r="234" customFormat="false" ht="15" hidden="false" customHeight="false" outlineLevel="0" collapsed="false">
      <c r="A234" s="12"/>
      <c r="B234" s="9"/>
      <c r="C234" s="9"/>
      <c r="D234" s="9"/>
      <c r="E234" s="9"/>
      <c r="F234" s="9"/>
      <c r="G234" s="9"/>
      <c r="H234" s="7"/>
      <c r="I234" s="13" t="str">
        <f aca="false">IF(OR($G234="",$H234=""),"",ROUND($G234*$H234,0))</f>
        <v/>
      </c>
      <c r="J234" s="8"/>
      <c r="K234" s="13" t="str">
        <f aca="false">IF($B234="","",SUMIFS($I$3:$I$2002,$B$3:$B$2002,$B234))</f>
        <v/>
      </c>
      <c r="L234" s="13" t="str">
        <f aca="false">IF($B234="","",IF(COUNTIFS($B$3:$B234,$B234)&gt;1,0,IFERROR(LOOKUP($K234,배송비규정!$A$3:$A$32,배송비규정!$B$3:$B$32),0)+IFERROR(INDEX(지역추가비!$B$3:$B$42,MATCH($J234,지역추가비!$A$3:$A$42,0)),0)))</f>
        <v/>
      </c>
      <c r="M234" s="13" t="str">
        <f aca="false">IF($B234="","",IF(COUNTIFS($B$3:$B234,$B234)&gt;1,"",$K234+$L234))</f>
        <v/>
      </c>
      <c r="N234" s="14" t="str">
        <f aca="false">IF($B234="","",COUNTIFS($B$3:$B234,$B234))</f>
        <v/>
      </c>
      <c r="O234" s="14" t="str">
        <f aca="false">IF($B234="","",$B234&amp;"|"&amp;$N234)</f>
        <v/>
      </c>
    </row>
    <row r="235" customFormat="false" ht="15" hidden="false" customHeight="false" outlineLevel="0" collapsed="false">
      <c r="A235" s="12"/>
      <c r="B235" s="9"/>
      <c r="C235" s="9"/>
      <c r="D235" s="9"/>
      <c r="E235" s="9"/>
      <c r="F235" s="9"/>
      <c r="G235" s="9"/>
      <c r="H235" s="7"/>
      <c r="I235" s="13" t="str">
        <f aca="false">IF(OR($G235="",$H235=""),"",ROUND($G235*$H235,0))</f>
        <v/>
      </c>
      <c r="J235" s="8"/>
      <c r="K235" s="13" t="str">
        <f aca="false">IF($B235="","",SUMIFS($I$3:$I$2002,$B$3:$B$2002,$B235))</f>
        <v/>
      </c>
      <c r="L235" s="13" t="str">
        <f aca="false">IF($B235="","",IF(COUNTIFS($B$3:$B235,$B235)&gt;1,0,IFERROR(LOOKUP($K235,배송비규정!$A$3:$A$32,배송비규정!$B$3:$B$32),0)+IFERROR(INDEX(지역추가비!$B$3:$B$42,MATCH($J235,지역추가비!$A$3:$A$42,0)),0)))</f>
        <v/>
      </c>
      <c r="M235" s="13" t="str">
        <f aca="false">IF($B235="","",IF(COUNTIFS($B$3:$B235,$B235)&gt;1,"",$K235+$L235))</f>
        <v/>
      </c>
      <c r="N235" s="14" t="str">
        <f aca="false">IF($B235="","",COUNTIFS($B$3:$B235,$B235))</f>
        <v/>
      </c>
      <c r="O235" s="14" t="str">
        <f aca="false">IF($B235="","",$B235&amp;"|"&amp;$N235)</f>
        <v/>
      </c>
    </row>
    <row r="236" customFormat="false" ht="15" hidden="false" customHeight="false" outlineLevel="0" collapsed="false">
      <c r="A236" s="12"/>
      <c r="B236" s="9"/>
      <c r="C236" s="9"/>
      <c r="D236" s="9"/>
      <c r="E236" s="9"/>
      <c r="F236" s="9"/>
      <c r="G236" s="9"/>
      <c r="H236" s="7"/>
      <c r="I236" s="13" t="str">
        <f aca="false">IF(OR($G236="",$H236=""),"",ROUND($G236*$H236,0))</f>
        <v/>
      </c>
      <c r="J236" s="8"/>
      <c r="K236" s="13" t="str">
        <f aca="false">IF($B236="","",SUMIFS($I$3:$I$2002,$B$3:$B$2002,$B236))</f>
        <v/>
      </c>
      <c r="L236" s="13" t="str">
        <f aca="false">IF($B236="","",IF(COUNTIFS($B$3:$B236,$B236)&gt;1,0,IFERROR(LOOKUP($K236,배송비규정!$A$3:$A$32,배송비규정!$B$3:$B$32),0)+IFERROR(INDEX(지역추가비!$B$3:$B$42,MATCH($J236,지역추가비!$A$3:$A$42,0)),0)))</f>
        <v/>
      </c>
      <c r="M236" s="13" t="str">
        <f aca="false">IF($B236="","",IF(COUNTIFS($B$3:$B236,$B236)&gt;1,"",$K236+$L236))</f>
        <v/>
      </c>
      <c r="N236" s="14" t="str">
        <f aca="false">IF($B236="","",COUNTIFS($B$3:$B236,$B236))</f>
        <v/>
      </c>
      <c r="O236" s="14" t="str">
        <f aca="false">IF($B236="","",$B236&amp;"|"&amp;$N236)</f>
        <v/>
      </c>
    </row>
    <row r="237" customFormat="false" ht="15" hidden="false" customHeight="false" outlineLevel="0" collapsed="false">
      <c r="A237" s="12"/>
      <c r="B237" s="9"/>
      <c r="C237" s="9"/>
      <c r="D237" s="9"/>
      <c r="E237" s="9"/>
      <c r="F237" s="9"/>
      <c r="G237" s="9"/>
      <c r="H237" s="7"/>
      <c r="I237" s="13" t="str">
        <f aca="false">IF(OR($G237="",$H237=""),"",ROUND($G237*$H237,0))</f>
        <v/>
      </c>
      <c r="J237" s="8"/>
      <c r="K237" s="13" t="str">
        <f aca="false">IF($B237="","",SUMIFS($I$3:$I$2002,$B$3:$B$2002,$B237))</f>
        <v/>
      </c>
      <c r="L237" s="13" t="str">
        <f aca="false">IF($B237="","",IF(COUNTIFS($B$3:$B237,$B237)&gt;1,0,IFERROR(LOOKUP($K237,배송비규정!$A$3:$A$32,배송비규정!$B$3:$B$32),0)+IFERROR(INDEX(지역추가비!$B$3:$B$42,MATCH($J237,지역추가비!$A$3:$A$42,0)),0)))</f>
        <v/>
      </c>
      <c r="M237" s="13" t="str">
        <f aca="false">IF($B237="","",IF(COUNTIFS($B$3:$B237,$B237)&gt;1,"",$K237+$L237))</f>
        <v/>
      </c>
      <c r="N237" s="14" t="str">
        <f aca="false">IF($B237="","",COUNTIFS($B$3:$B237,$B237))</f>
        <v/>
      </c>
      <c r="O237" s="14" t="str">
        <f aca="false">IF($B237="","",$B237&amp;"|"&amp;$N237)</f>
        <v/>
      </c>
    </row>
    <row r="238" customFormat="false" ht="15" hidden="false" customHeight="false" outlineLevel="0" collapsed="false">
      <c r="A238" s="12"/>
      <c r="B238" s="9"/>
      <c r="C238" s="9"/>
      <c r="D238" s="9"/>
      <c r="E238" s="9"/>
      <c r="F238" s="9"/>
      <c r="G238" s="9"/>
      <c r="H238" s="7"/>
      <c r="I238" s="13" t="str">
        <f aca="false">IF(OR($G238="",$H238=""),"",ROUND($G238*$H238,0))</f>
        <v/>
      </c>
      <c r="J238" s="8"/>
      <c r="K238" s="13" t="str">
        <f aca="false">IF($B238="","",SUMIFS($I$3:$I$2002,$B$3:$B$2002,$B238))</f>
        <v/>
      </c>
      <c r="L238" s="13" t="str">
        <f aca="false">IF($B238="","",IF(COUNTIFS($B$3:$B238,$B238)&gt;1,0,IFERROR(LOOKUP($K238,배송비규정!$A$3:$A$32,배송비규정!$B$3:$B$32),0)+IFERROR(INDEX(지역추가비!$B$3:$B$42,MATCH($J238,지역추가비!$A$3:$A$42,0)),0)))</f>
        <v/>
      </c>
      <c r="M238" s="13" t="str">
        <f aca="false">IF($B238="","",IF(COUNTIFS($B$3:$B238,$B238)&gt;1,"",$K238+$L238))</f>
        <v/>
      </c>
      <c r="N238" s="14" t="str">
        <f aca="false">IF($B238="","",COUNTIFS($B$3:$B238,$B238))</f>
        <v/>
      </c>
      <c r="O238" s="14" t="str">
        <f aca="false">IF($B238="","",$B238&amp;"|"&amp;$N238)</f>
        <v/>
      </c>
    </row>
    <row r="239" customFormat="false" ht="15" hidden="false" customHeight="false" outlineLevel="0" collapsed="false">
      <c r="A239" s="12"/>
      <c r="B239" s="9"/>
      <c r="C239" s="9"/>
      <c r="D239" s="9"/>
      <c r="E239" s="9"/>
      <c r="F239" s="9"/>
      <c r="G239" s="9"/>
      <c r="H239" s="7"/>
      <c r="I239" s="13" t="str">
        <f aca="false">IF(OR($G239="",$H239=""),"",ROUND($G239*$H239,0))</f>
        <v/>
      </c>
      <c r="J239" s="8"/>
      <c r="K239" s="13" t="str">
        <f aca="false">IF($B239="","",SUMIFS($I$3:$I$2002,$B$3:$B$2002,$B239))</f>
        <v/>
      </c>
      <c r="L239" s="13" t="str">
        <f aca="false">IF($B239="","",IF(COUNTIFS($B$3:$B239,$B239)&gt;1,0,IFERROR(LOOKUP($K239,배송비규정!$A$3:$A$32,배송비규정!$B$3:$B$32),0)+IFERROR(INDEX(지역추가비!$B$3:$B$42,MATCH($J239,지역추가비!$A$3:$A$42,0)),0)))</f>
        <v/>
      </c>
      <c r="M239" s="13" t="str">
        <f aca="false">IF($B239="","",IF(COUNTIFS($B$3:$B239,$B239)&gt;1,"",$K239+$L239))</f>
        <v/>
      </c>
      <c r="N239" s="14" t="str">
        <f aca="false">IF($B239="","",COUNTIFS($B$3:$B239,$B239))</f>
        <v/>
      </c>
      <c r="O239" s="14" t="str">
        <f aca="false">IF($B239="","",$B239&amp;"|"&amp;$N239)</f>
        <v/>
      </c>
    </row>
    <row r="240" customFormat="false" ht="15" hidden="false" customHeight="false" outlineLevel="0" collapsed="false">
      <c r="A240" s="12"/>
      <c r="B240" s="9"/>
      <c r="C240" s="9"/>
      <c r="D240" s="9"/>
      <c r="E240" s="9"/>
      <c r="F240" s="9"/>
      <c r="G240" s="9"/>
      <c r="H240" s="7"/>
      <c r="I240" s="13" t="str">
        <f aca="false">IF(OR($G240="",$H240=""),"",ROUND($G240*$H240,0))</f>
        <v/>
      </c>
      <c r="J240" s="8"/>
      <c r="K240" s="13" t="str">
        <f aca="false">IF($B240="","",SUMIFS($I$3:$I$2002,$B$3:$B$2002,$B240))</f>
        <v/>
      </c>
      <c r="L240" s="13" t="str">
        <f aca="false">IF($B240="","",IF(COUNTIFS($B$3:$B240,$B240)&gt;1,0,IFERROR(LOOKUP($K240,배송비규정!$A$3:$A$32,배송비규정!$B$3:$B$32),0)+IFERROR(INDEX(지역추가비!$B$3:$B$42,MATCH($J240,지역추가비!$A$3:$A$42,0)),0)))</f>
        <v/>
      </c>
      <c r="M240" s="13" t="str">
        <f aca="false">IF($B240="","",IF(COUNTIFS($B$3:$B240,$B240)&gt;1,"",$K240+$L240))</f>
        <v/>
      </c>
      <c r="N240" s="14" t="str">
        <f aca="false">IF($B240="","",COUNTIFS($B$3:$B240,$B240))</f>
        <v/>
      </c>
      <c r="O240" s="14" t="str">
        <f aca="false">IF($B240="","",$B240&amp;"|"&amp;$N240)</f>
        <v/>
      </c>
    </row>
    <row r="241" customFormat="false" ht="15" hidden="false" customHeight="false" outlineLevel="0" collapsed="false">
      <c r="A241" s="12"/>
      <c r="B241" s="9"/>
      <c r="C241" s="9"/>
      <c r="D241" s="9"/>
      <c r="E241" s="9"/>
      <c r="F241" s="9"/>
      <c r="G241" s="9"/>
      <c r="H241" s="7"/>
      <c r="I241" s="13" t="str">
        <f aca="false">IF(OR($G241="",$H241=""),"",ROUND($G241*$H241,0))</f>
        <v/>
      </c>
      <c r="J241" s="8"/>
      <c r="K241" s="13" t="str">
        <f aca="false">IF($B241="","",SUMIFS($I$3:$I$2002,$B$3:$B$2002,$B241))</f>
        <v/>
      </c>
      <c r="L241" s="13" t="str">
        <f aca="false">IF($B241="","",IF(COUNTIFS($B$3:$B241,$B241)&gt;1,0,IFERROR(LOOKUP($K241,배송비규정!$A$3:$A$32,배송비규정!$B$3:$B$32),0)+IFERROR(INDEX(지역추가비!$B$3:$B$42,MATCH($J241,지역추가비!$A$3:$A$42,0)),0)))</f>
        <v/>
      </c>
      <c r="M241" s="13" t="str">
        <f aca="false">IF($B241="","",IF(COUNTIFS($B$3:$B241,$B241)&gt;1,"",$K241+$L241))</f>
        <v/>
      </c>
      <c r="N241" s="14" t="str">
        <f aca="false">IF($B241="","",COUNTIFS($B$3:$B241,$B241))</f>
        <v/>
      </c>
      <c r="O241" s="14" t="str">
        <f aca="false">IF($B241="","",$B241&amp;"|"&amp;$N241)</f>
        <v/>
      </c>
    </row>
    <row r="242" customFormat="false" ht="15" hidden="false" customHeight="false" outlineLevel="0" collapsed="false">
      <c r="A242" s="12"/>
      <c r="B242" s="9"/>
      <c r="C242" s="9"/>
      <c r="D242" s="9"/>
      <c r="E242" s="9"/>
      <c r="F242" s="9"/>
      <c r="G242" s="9"/>
      <c r="H242" s="7"/>
      <c r="I242" s="13" t="str">
        <f aca="false">IF(OR($G242="",$H242=""),"",ROUND($G242*$H242,0))</f>
        <v/>
      </c>
      <c r="J242" s="8"/>
      <c r="K242" s="13" t="str">
        <f aca="false">IF($B242="","",SUMIFS($I$3:$I$2002,$B$3:$B$2002,$B242))</f>
        <v/>
      </c>
      <c r="L242" s="13" t="str">
        <f aca="false">IF($B242="","",IF(COUNTIFS($B$3:$B242,$B242)&gt;1,0,IFERROR(LOOKUP($K242,배송비규정!$A$3:$A$32,배송비규정!$B$3:$B$32),0)+IFERROR(INDEX(지역추가비!$B$3:$B$42,MATCH($J242,지역추가비!$A$3:$A$42,0)),0)))</f>
        <v/>
      </c>
      <c r="M242" s="13" t="str">
        <f aca="false">IF($B242="","",IF(COUNTIFS($B$3:$B242,$B242)&gt;1,"",$K242+$L242))</f>
        <v/>
      </c>
      <c r="N242" s="14" t="str">
        <f aca="false">IF($B242="","",COUNTIFS($B$3:$B242,$B242))</f>
        <v/>
      </c>
      <c r="O242" s="14" t="str">
        <f aca="false">IF($B242="","",$B242&amp;"|"&amp;$N242)</f>
        <v/>
      </c>
    </row>
    <row r="243" customFormat="false" ht="15" hidden="false" customHeight="false" outlineLevel="0" collapsed="false">
      <c r="A243" s="12"/>
      <c r="B243" s="9"/>
      <c r="C243" s="9"/>
      <c r="D243" s="9"/>
      <c r="E243" s="9"/>
      <c r="F243" s="9"/>
      <c r="G243" s="9"/>
      <c r="H243" s="7"/>
      <c r="I243" s="13" t="str">
        <f aca="false">IF(OR($G243="",$H243=""),"",ROUND($G243*$H243,0))</f>
        <v/>
      </c>
      <c r="J243" s="8"/>
      <c r="K243" s="13" t="str">
        <f aca="false">IF($B243="","",SUMIFS($I$3:$I$2002,$B$3:$B$2002,$B243))</f>
        <v/>
      </c>
      <c r="L243" s="13" t="str">
        <f aca="false">IF($B243="","",IF(COUNTIFS($B$3:$B243,$B243)&gt;1,0,IFERROR(LOOKUP($K243,배송비규정!$A$3:$A$32,배송비규정!$B$3:$B$32),0)+IFERROR(INDEX(지역추가비!$B$3:$B$42,MATCH($J243,지역추가비!$A$3:$A$42,0)),0)))</f>
        <v/>
      </c>
      <c r="M243" s="13" t="str">
        <f aca="false">IF($B243="","",IF(COUNTIFS($B$3:$B243,$B243)&gt;1,"",$K243+$L243))</f>
        <v/>
      </c>
      <c r="N243" s="14" t="str">
        <f aca="false">IF($B243="","",COUNTIFS($B$3:$B243,$B243))</f>
        <v/>
      </c>
      <c r="O243" s="14" t="str">
        <f aca="false">IF($B243="","",$B243&amp;"|"&amp;$N243)</f>
        <v/>
      </c>
    </row>
    <row r="244" customFormat="false" ht="15" hidden="false" customHeight="false" outlineLevel="0" collapsed="false">
      <c r="A244" s="12"/>
      <c r="B244" s="9"/>
      <c r="C244" s="9"/>
      <c r="D244" s="9"/>
      <c r="E244" s="9"/>
      <c r="F244" s="9"/>
      <c r="G244" s="9"/>
      <c r="H244" s="7"/>
      <c r="I244" s="13" t="str">
        <f aca="false">IF(OR($G244="",$H244=""),"",ROUND($G244*$H244,0))</f>
        <v/>
      </c>
      <c r="J244" s="8"/>
      <c r="K244" s="13" t="str">
        <f aca="false">IF($B244="","",SUMIFS($I$3:$I$2002,$B$3:$B$2002,$B244))</f>
        <v/>
      </c>
      <c r="L244" s="13" t="str">
        <f aca="false">IF($B244="","",IF(COUNTIFS($B$3:$B244,$B244)&gt;1,0,IFERROR(LOOKUP($K244,배송비규정!$A$3:$A$32,배송비규정!$B$3:$B$32),0)+IFERROR(INDEX(지역추가비!$B$3:$B$42,MATCH($J244,지역추가비!$A$3:$A$42,0)),0)))</f>
        <v/>
      </c>
      <c r="M244" s="13" t="str">
        <f aca="false">IF($B244="","",IF(COUNTIFS($B$3:$B244,$B244)&gt;1,"",$K244+$L244))</f>
        <v/>
      </c>
      <c r="N244" s="14" t="str">
        <f aca="false">IF($B244="","",COUNTIFS($B$3:$B244,$B244))</f>
        <v/>
      </c>
      <c r="O244" s="14" t="str">
        <f aca="false">IF($B244="","",$B244&amp;"|"&amp;$N244)</f>
        <v/>
      </c>
    </row>
    <row r="245" customFormat="false" ht="15" hidden="false" customHeight="false" outlineLevel="0" collapsed="false">
      <c r="A245" s="12"/>
      <c r="B245" s="9"/>
      <c r="C245" s="9"/>
      <c r="D245" s="9"/>
      <c r="E245" s="9"/>
      <c r="F245" s="9"/>
      <c r="G245" s="9"/>
      <c r="H245" s="7"/>
      <c r="I245" s="13" t="str">
        <f aca="false">IF(OR($G245="",$H245=""),"",ROUND($G245*$H245,0))</f>
        <v/>
      </c>
      <c r="J245" s="8"/>
      <c r="K245" s="13" t="str">
        <f aca="false">IF($B245="","",SUMIFS($I$3:$I$2002,$B$3:$B$2002,$B245))</f>
        <v/>
      </c>
      <c r="L245" s="13" t="str">
        <f aca="false">IF($B245="","",IF(COUNTIFS($B$3:$B245,$B245)&gt;1,0,IFERROR(LOOKUP($K245,배송비규정!$A$3:$A$32,배송비규정!$B$3:$B$32),0)+IFERROR(INDEX(지역추가비!$B$3:$B$42,MATCH($J245,지역추가비!$A$3:$A$42,0)),0)))</f>
        <v/>
      </c>
      <c r="M245" s="13" t="str">
        <f aca="false">IF($B245="","",IF(COUNTIFS($B$3:$B245,$B245)&gt;1,"",$K245+$L245))</f>
        <v/>
      </c>
      <c r="N245" s="14" t="str">
        <f aca="false">IF($B245="","",COUNTIFS($B$3:$B245,$B245))</f>
        <v/>
      </c>
      <c r="O245" s="14" t="str">
        <f aca="false">IF($B245="","",$B245&amp;"|"&amp;$N245)</f>
        <v/>
      </c>
    </row>
    <row r="246" customFormat="false" ht="15" hidden="false" customHeight="false" outlineLevel="0" collapsed="false">
      <c r="A246" s="12"/>
      <c r="B246" s="9"/>
      <c r="C246" s="9"/>
      <c r="D246" s="9"/>
      <c r="E246" s="9"/>
      <c r="F246" s="9"/>
      <c r="G246" s="9"/>
      <c r="H246" s="7"/>
      <c r="I246" s="13" t="str">
        <f aca="false">IF(OR($G246="",$H246=""),"",ROUND($G246*$H246,0))</f>
        <v/>
      </c>
      <c r="J246" s="8"/>
      <c r="K246" s="13" t="str">
        <f aca="false">IF($B246="","",SUMIFS($I$3:$I$2002,$B$3:$B$2002,$B246))</f>
        <v/>
      </c>
      <c r="L246" s="13" t="str">
        <f aca="false">IF($B246="","",IF(COUNTIFS($B$3:$B246,$B246)&gt;1,0,IFERROR(LOOKUP($K246,배송비규정!$A$3:$A$32,배송비규정!$B$3:$B$32),0)+IFERROR(INDEX(지역추가비!$B$3:$B$42,MATCH($J246,지역추가비!$A$3:$A$42,0)),0)))</f>
        <v/>
      </c>
      <c r="M246" s="13" t="str">
        <f aca="false">IF($B246="","",IF(COUNTIFS($B$3:$B246,$B246)&gt;1,"",$K246+$L246))</f>
        <v/>
      </c>
      <c r="N246" s="14" t="str">
        <f aca="false">IF($B246="","",COUNTIFS($B$3:$B246,$B246))</f>
        <v/>
      </c>
      <c r="O246" s="14" t="str">
        <f aca="false">IF($B246="","",$B246&amp;"|"&amp;$N246)</f>
        <v/>
      </c>
    </row>
    <row r="247" customFormat="false" ht="15" hidden="false" customHeight="false" outlineLevel="0" collapsed="false">
      <c r="A247" s="12"/>
      <c r="B247" s="9"/>
      <c r="C247" s="9"/>
      <c r="D247" s="9"/>
      <c r="E247" s="9"/>
      <c r="F247" s="9"/>
      <c r="G247" s="9"/>
      <c r="H247" s="7"/>
      <c r="I247" s="13" t="str">
        <f aca="false">IF(OR($G247="",$H247=""),"",ROUND($G247*$H247,0))</f>
        <v/>
      </c>
      <c r="J247" s="8"/>
      <c r="K247" s="13" t="str">
        <f aca="false">IF($B247="","",SUMIFS($I$3:$I$2002,$B$3:$B$2002,$B247))</f>
        <v/>
      </c>
      <c r="L247" s="13" t="str">
        <f aca="false">IF($B247="","",IF(COUNTIFS($B$3:$B247,$B247)&gt;1,0,IFERROR(LOOKUP($K247,배송비규정!$A$3:$A$32,배송비규정!$B$3:$B$32),0)+IFERROR(INDEX(지역추가비!$B$3:$B$42,MATCH($J247,지역추가비!$A$3:$A$42,0)),0)))</f>
        <v/>
      </c>
      <c r="M247" s="13" t="str">
        <f aca="false">IF($B247="","",IF(COUNTIFS($B$3:$B247,$B247)&gt;1,"",$K247+$L247))</f>
        <v/>
      </c>
      <c r="N247" s="14" t="str">
        <f aca="false">IF($B247="","",COUNTIFS($B$3:$B247,$B247))</f>
        <v/>
      </c>
      <c r="O247" s="14" t="str">
        <f aca="false">IF($B247="","",$B247&amp;"|"&amp;$N247)</f>
        <v/>
      </c>
    </row>
    <row r="248" customFormat="false" ht="15" hidden="false" customHeight="false" outlineLevel="0" collapsed="false">
      <c r="A248" s="12"/>
      <c r="B248" s="9"/>
      <c r="C248" s="9"/>
      <c r="D248" s="9"/>
      <c r="E248" s="9"/>
      <c r="F248" s="9"/>
      <c r="G248" s="9"/>
      <c r="H248" s="7"/>
      <c r="I248" s="13" t="str">
        <f aca="false">IF(OR($G248="",$H248=""),"",ROUND($G248*$H248,0))</f>
        <v/>
      </c>
      <c r="J248" s="8"/>
      <c r="K248" s="13" t="str">
        <f aca="false">IF($B248="","",SUMIFS($I$3:$I$2002,$B$3:$B$2002,$B248))</f>
        <v/>
      </c>
      <c r="L248" s="13" t="str">
        <f aca="false">IF($B248="","",IF(COUNTIFS($B$3:$B248,$B248)&gt;1,0,IFERROR(LOOKUP($K248,배송비규정!$A$3:$A$32,배송비규정!$B$3:$B$32),0)+IFERROR(INDEX(지역추가비!$B$3:$B$42,MATCH($J248,지역추가비!$A$3:$A$42,0)),0)))</f>
        <v/>
      </c>
      <c r="M248" s="13" t="str">
        <f aca="false">IF($B248="","",IF(COUNTIFS($B$3:$B248,$B248)&gt;1,"",$K248+$L248))</f>
        <v/>
      </c>
      <c r="N248" s="14" t="str">
        <f aca="false">IF($B248="","",COUNTIFS($B$3:$B248,$B248))</f>
        <v/>
      </c>
      <c r="O248" s="14" t="str">
        <f aca="false">IF($B248="","",$B248&amp;"|"&amp;$N248)</f>
        <v/>
      </c>
    </row>
    <row r="249" customFormat="false" ht="15" hidden="false" customHeight="false" outlineLevel="0" collapsed="false">
      <c r="A249" s="12"/>
      <c r="B249" s="9"/>
      <c r="C249" s="9"/>
      <c r="D249" s="9"/>
      <c r="E249" s="9"/>
      <c r="F249" s="9"/>
      <c r="G249" s="9"/>
      <c r="H249" s="7"/>
      <c r="I249" s="13" t="str">
        <f aca="false">IF(OR($G249="",$H249=""),"",ROUND($G249*$H249,0))</f>
        <v/>
      </c>
      <c r="J249" s="8"/>
      <c r="K249" s="13" t="str">
        <f aca="false">IF($B249="","",SUMIFS($I$3:$I$2002,$B$3:$B$2002,$B249))</f>
        <v/>
      </c>
      <c r="L249" s="13" t="str">
        <f aca="false">IF($B249="","",IF(COUNTIFS($B$3:$B249,$B249)&gt;1,0,IFERROR(LOOKUP($K249,배송비규정!$A$3:$A$32,배송비규정!$B$3:$B$32),0)+IFERROR(INDEX(지역추가비!$B$3:$B$42,MATCH($J249,지역추가비!$A$3:$A$42,0)),0)))</f>
        <v/>
      </c>
      <c r="M249" s="13" t="str">
        <f aca="false">IF($B249="","",IF(COUNTIFS($B$3:$B249,$B249)&gt;1,"",$K249+$L249))</f>
        <v/>
      </c>
      <c r="N249" s="14" t="str">
        <f aca="false">IF($B249="","",COUNTIFS($B$3:$B249,$B249))</f>
        <v/>
      </c>
      <c r="O249" s="14" t="str">
        <f aca="false">IF($B249="","",$B249&amp;"|"&amp;$N249)</f>
        <v/>
      </c>
    </row>
    <row r="250" customFormat="false" ht="15" hidden="false" customHeight="false" outlineLevel="0" collapsed="false">
      <c r="A250" s="12"/>
      <c r="B250" s="9"/>
      <c r="C250" s="9"/>
      <c r="D250" s="9"/>
      <c r="E250" s="9"/>
      <c r="F250" s="9"/>
      <c r="G250" s="9"/>
      <c r="H250" s="7"/>
      <c r="I250" s="13" t="str">
        <f aca="false">IF(OR($G250="",$H250=""),"",ROUND($G250*$H250,0))</f>
        <v/>
      </c>
      <c r="J250" s="8"/>
      <c r="K250" s="13" t="str">
        <f aca="false">IF($B250="","",SUMIFS($I$3:$I$2002,$B$3:$B$2002,$B250))</f>
        <v/>
      </c>
      <c r="L250" s="13" t="str">
        <f aca="false">IF($B250="","",IF(COUNTIFS($B$3:$B250,$B250)&gt;1,0,IFERROR(LOOKUP($K250,배송비규정!$A$3:$A$32,배송비규정!$B$3:$B$32),0)+IFERROR(INDEX(지역추가비!$B$3:$B$42,MATCH($J250,지역추가비!$A$3:$A$42,0)),0)))</f>
        <v/>
      </c>
      <c r="M250" s="13" t="str">
        <f aca="false">IF($B250="","",IF(COUNTIFS($B$3:$B250,$B250)&gt;1,"",$K250+$L250))</f>
        <v/>
      </c>
      <c r="N250" s="14" t="str">
        <f aca="false">IF($B250="","",COUNTIFS($B$3:$B250,$B250))</f>
        <v/>
      </c>
      <c r="O250" s="14" t="str">
        <f aca="false">IF($B250="","",$B250&amp;"|"&amp;$N250)</f>
        <v/>
      </c>
    </row>
    <row r="251" customFormat="false" ht="15" hidden="false" customHeight="false" outlineLevel="0" collapsed="false">
      <c r="A251" s="12"/>
      <c r="B251" s="9"/>
      <c r="C251" s="9"/>
      <c r="D251" s="9"/>
      <c r="E251" s="9"/>
      <c r="F251" s="9"/>
      <c r="G251" s="9"/>
      <c r="H251" s="7"/>
      <c r="I251" s="13" t="str">
        <f aca="false">IF(OR($G251="",$H251=""),"",ROUND($G251*$H251,0))</f>
        <v/>
      </c>
      <c r="J251" s="8"/>
      <c r="K251" s="13" t="str">
        <f aca="false">IF($B251="","",SUMIFS($I$3:$I$2002,$B$3:$B$2002,$B251))</f>
        <v/>
      </c>
      <c r="L251" s="13" t="str">
        <f aca="false">IF($B251="","",IF(COUNTIFS($B$3:$B251,$B251)&gt;1,0,IFERROR(LOOKUP($K251,배송비규정!$A$3:$A$32,배송비규정!$B$3:$B$32),0)+IFERROR(INDEX(지역추가비!$B$3:$B$42,MATCH($J251,지역추가비!$A$3:$A$42,0)),0)))</f>
        <v/>
      </c>
      <c r="M251" s="13" t="str">
        <f aca="false">IF($B251="","",IF(COUNTIFS($B$3:$B251,$B251)&gt;1,"",$K251+$L251))</f>
        <v/>
      </c>
      <c r="N251" s="14" t="str">
        <f aca="false">IF($B251="","",COUNTIFS($B$3:$B251,$B251))</f>
        <v/>
      </c>
      <c r="O251" s="14" t="str">
        <f aca="false">IF($B251="","",$B251&amp;"|"&amp;$N251)</f>
        <v/>
      </c>
    </row>
    <row r="252" customFormat="false" ht="15" hidden="false" customHeight="false" outlineLevel="0" collapsed="false">
      <c r="A252" s="12"/>
      <c r="B252" s="9"/>
      <c r="C252" s="9"/>
      <c r="D252" s="9"/>
      <c r="E252" s="9"/>
      <c r="F252" s="9"/>
      <c r="G252" s="9"/>
      <c r="H252" s="7"/>
      <c r="I252" s="13" t="str">
        <f aca="false">IF(OR($G252="",$H252=""),"",ROUND($G252*$H252,0))</f>
        <v/>
      </c>
      <c r="J252" s="8"/>
      <c r="K252" s="13" t="str">
        <f aca="false">IF($B252="","",SUMIFS($I$3:$I$2002,$B$3:$B$2002,$B252))</f>
        <v/>
      </c>
      <c r="L252" s="13" t="str">
        <f aca="false">IF($B252="","",IF(COUNTIFS($B$3:$B252,$B252)&gt;1,0,IFERROR(LOOKUP($K252,배송비규정!$A$3:$A$32,배송비규정!$B$3:$B$32),0)+IFERROR(INDEX(지역추가비!$B$3:$B$42,MATCH($J252,지역추가비!$A$3:$A$42,0)),0)))</f>
        <v/>
      </c>
      <c r="M252" s="13" t="str">
        <f aca="false">IF($B252="","",IF(COUNTIFS($B$3:$B252,$B252)&gt;1,"",$K252+$L252))</f>
        <v/>
      </c>
      <c r="N252" s="14" t="str">
        <f aca="false">IF($B252="","",COUNTIFS($B$3:$B252,$B252))</f>
        <v/>
      </c>
      <c r="O252" s="14" t="str">
        <f aca="false">IF($B252="","",$B252&amp;"|"&amp;$N252)</f>
        <v/>
      </c>
    </row>
    <row r="253" customFormat="false" ht="15" hidden="false" customHeight="false" outlineLevel="0" collapsed="false">
      <c r="A253" s="12"/>
      <c r="B253" s="9"/>
      <c r="C253" s="9"/>
      <c r="D253" s="9"/>
      <c r="E253" s="9"/>
      <c r="F253" s="9"/>
      <c r="G253" s="9"/>
      <c r="H253" s="7"/>
      <c r="I253" s="13" t="str">
        <f aca="false">IF(OR($G253="",$H253=""),"",ROUND($G253*$H253,0))</f>
        <v/>
      </c>
      <c r="J253" s="8"/>
      <c r="K253" s="13" t="str">
        <f aca="false">IF($B253="","",SUMIFS($I$3:$I$2002,$B$3:$B$2002,$B253))</f>
        <v/>
      </c>
      <c r="L253" s="13" t="str">
        <f aca="false">IF($B253="","",IF(COUNTIFS($B$3:$B253,$B253)&gt;1,0,IFERROR(LOOKUP($K253,배송비규정!$A$3:$A$32,배송비규정!$B$3:$B$32),0)+IFERROR(INDEX(지역추가비!$B$3:$B$42,MATCH($J253,지역추가비!$A$3:$A$42,0)),0)))</f>
        <v/>
      </c>
      <c r="M253" s="13" t="str">
        <f aca="false">IF($B253="","",IF(COUNTIFS($B$3:$B253,$B253)&gt;1,"",$K253+$L253))</f>
        <v/>
      </c>
      <c r="N253" s="14" t="str">
        <f aca="false">IF($B253="","",COUNTIFS($B$3:$B253,$B253))</f>
        <v/>
      </c>
      <c r="O253" s="14" t="str">
        <f aca="false">IF($B253="","",$B253&amp;"|"&amp;$N253)</f>
        <v/>
      </c>
    </row>
    <row r="254" customFormat="false" ht="15" hidden="false" customHeight="false" outlineLevel="0" collapsed="false">
      <c r="A254" s="12"/>
      <c r="B254" s="9"/>
      <c r="C254" s="9"/>
      <c r="D254" s="9"/>
      <c r="E254" s="9"/>
      <c r="F254" s="9"/>
      <c r="G254" s="9"/>
      <c r="H254" s="7"/>
      <c r="I254" s="13" t="str">
        <f aca="false">IF(OR($G254="",$H254=""),"",ROUND($G254*$H254,0))</f>
        <v/>
      </c>
      <c r="J254" s="8"/>
      <c r="K254" s="13" t="str">
        <f aca="false">IF($B254="","",SUMIFS($I$3:$I$2002,$B$3:$B$2002,$B254))</f>
        <v/>
      </c>
      <c r="L254" s="13" t="str">
        <f aca="false">IF($B254="","",IF(COUNTIFS($B$3:$B254,$B254)&gt;1,0,IFERROR(LOOKUP($K254,배송비규정!$A$3:$A$32,배송비규정!$B$3:$B$32),0)+IFERROR(INDEX(지역추가비!$B$3:$B$42,MATCH($J254,지역추가비!$A$3:$A$42,0)),0)))</f>
        <v/>
      </c>
      <c r="M254" s="13" t="str">
        <f aca="false">IF($B254="","",IF(COUNTIFS($B$3:$B254,$B254)&gt;1,"",$K254+$L254))</f>
        <v/>
      </c>
      <c r="N254" s="14" t="str">
        <f aca="false">IF($B254="","",COUNTIFS($B$3:$B254,$B254))</f>
        <v/>
      </c>
      <c r="O254" s="14" t="str">
        <f aca="false">IF($B254="","",$B254&amp;"|"&amp;$N254)</f>
        <v/>
      </c>
    </row>
    <row r="255" customFormat="false" ht="15" hidden="false" customHeight="false" outlineLevel="0" collapsed="false">
      <c r="A255" s="12"/>
      <c r="B255" s="9"/>
      <c r="C255" s="9"/>
      <c r="D255" s="9"/>
      <c r="E255" s="9"/>
      <c r="F255" s="9"/>
      <c r="G255" s="9"/>
      <c r="H255" s="7"/>
      <c r="I255" s="13" t="str">
        <f aca="false">IF(OR($G255="",$H255=""),"",ROUND($G255*$H255,0))</f>
        <v/>
      </c>
      <c r="J255" s="8"/>
      <c r="K255" s="13" t="str">
        <f aca="false">IF($B255="","",SUMIFS($I$3:$I$2002,$B$3:$B$2002,$B255))</f>
        <v/>
      </c>
      <c r="L255" s="13" t="str">
        <f aca="false">IF($B255="","",IF(COUNTIFS($B$3:$B255,$B255)&gt;1,0,IFERROR(LOOKUP($K255,배송비규정!$A$3:$A$32,배송비규정!$B$3:$B$32),0)+IFERROR(INDEX(지역추가비!$B$3:$B$42,MATCH($J255,지역추가비!$A$3:$A$42,0)),0)))</f>
        <v/>
      </c>
      <c r="M255" s="13" t="str">
        <f aca="false">IF($B255="","",IF(COUNTIFS($B$3:$B255,$B255)&gt;1,"",$K255+$L255))</f>
        <v/>
      </c>
      <c r="N255" s="14" t="str">
        <f aca="false">IF($B255="","",COUNTIFS($B$3:$B255,$B255))</f>
        <v/>
      </c>
      <c r="O255" s="14" t="str">
        <f aca="false">IF($B255="","",$B255&amp;"|"&amp;$N255)</f>
        <v/>
      </c>
    </row>
    <row r="256" customFormat="false" ht="15" hidden="false" customHeight="false" outlineLevel="0" collapsed="false">
      <c r="A256" s="12"/>
      <c r="B256" s="9"/>
      <c r="C256" s="9"/>
      <c r="D256" s="9"/>
      <c r="E256" s="9"/>
      <c r="F256" s="9"/>
      <c r="G256" s="9"/>
      <c r="H256" s="7"/>
      <c r="I256" s="13" t="str">
        <f aca="false">IF(OR($G256="",$H256=""),"",ROUND($G256*$H256,0))</f>
        <v/>
      </c>
      <c r="J256" s="8"/>
      <c r="K256" s="13" t="str">
        <f aca="false">IF($B256="","",SUMIFS($I$3:$I$2002,$B$3:$B$2002,$B256))</f>
        <v/>
      </c>
      <c r="L256" s="13" t="str">
        <f aca="false">IF($B256="","",IF(COUNTIFS($B$3:$B256,$B256)&gt;1,0,IFERROR(LOOKUP($K256,배송비규정!$A$3:$A$32,배송비규정!$B$3:$B$32),0)+IFERROR(INDEX(지역추가비!$B$3:$B$42,MATCH($J256,지역추가비!$A$3:$A$42,0)),0)))</f>
        <v/>
      </c>
      <c r="M256" s="13" t="str">
        <f aca="false">IF($B256="","",IF(COUNTIFS($B$3:$B256,$B256)&gt;1,"",$K256+$L256))</f>
        <v/>
      </c>
      <c r="N256" s="14" t="str">
        <f aca="false">IF($B256="","",COUNTIFS($B$3:$B256,$B256))</f>
        <v/>
      </c>
      <c r="O256" s="14" t="str">
        <f aca="false">IF($B256="","",$B256&amp;"|"&amp;$N256)</f>
        <v/>
      </c>
    </row>
    <row r="257" customFormat="false" ht="15" hidden="false" customHeight="false" outlineLevel="0" collapsed="false">
      <c r="A257" s="12"/>
      <c r="B257" s="9"/>
      <c r="C257" s="9"/>
      <c r="D257" s="9"/>
      <c r="E257" s="9"/>
      <c r="F257" s="9"/>
      <c r="G257" s="9"/>
      <c r="H257" s="7"/>
      <c r="I257" s="13" t="str">
        <f aca="false">IF(OR($G257="",$H257=""),"",ROUND($G257*$H257,0))</f>
        <v/>
      </c>
      <c r="J257" s="8"/>
      <c r="K257" s="13" t="str">
        <f aca="false">IF($B257="","",SUMIFS($I$3:$I$2002,$B$3:$B$2002,$B257))</f>
        <v/>
      </c>
      <c r="L257" s="13" t="str">
        <f aca="false">IF($B257="","",IF(COUNTIFS($B$3:$B257,$B257)&gt;1,0,IFERROR(LOOKUP($K257,배송비규정!$A$3:$A$32,배송비규정!$B$3:$B$32),0)+IFERROR(INDEX(지역추가비!$B$3:$B$42,MATCH($J257,지역추가비!$A$3:$A$42,0)),0)))</f>
        <v/>
      </c>
      <c r="M257" s="13" t="str">
        <f aca="false">IF($B257="","",IF(COUNTIFS($B$3:$B257,$B257)&gt;1,"",$K257+$L257))</f>
        <v/>
      </c>
      <c r="N257" s="14" t="str">
        <f aca="false">IF($B257="","",COUNTIFS($B$3:$B257,$B257))</f>
        <v/>
      </c>
      <c r="O257" s="14" t="str">
        <f aca="false">IF($B257="","",$B257&amp;"|"&amp;$N257)</f>
        <v/>
      </c>
    </row>
    <row r="258" customFormat="false" ht="15" hidden="false" customHeight="false" outlineLevel="0" collapsed="false">
      <c r="A258" s="12"/>
      <c r="B258" s="9"/>
      <c r="C258" s="9"/>
      <c r="D258" s="9"/>
      <c r="E258" s="9"/>
      <c r="F258" s="9"/>
      <c r="G258" s="9"/>
      <c r="H258" s="7"/>
      <c r="I258" s="13" t="str">
        <f aca="false">IF(OR($G258="",$H258=""),"",ROUND($G258*$H258,0))</f>
        <v/>
      </c>
      <c r="J258" s="8"/>
      <c r="K258" s="13" t="str">
        <f aca="false">IF($B258="","",SUMIFS($I$3:$I$2002,$B$3:$B$2002,$B258))</f>
        <v/>
      </c>
      <c r="L258" s="13" t="str">
        <f aca="false">IF($B258="","",IF(COUNTIFS($B$3:$B258,$B258)&gt;1,0,IFERROR(LOOKUP($K258,배송비규정!$A$3:$A$32,배송비규정!$B$3:$B$32),0)+IFERROR(INDEX(지역추가비!$B$3:$B$42,MATCH($J258,지역추가비!$A$3:$A$42,0)),0)))</f>
        <v/>
      </c>
      <c r="M258" s="13" t="str">
        <f aca="false">IF($B258="","",IF(COUNTIFS($B$3:$B258,$B258)&gt;1,"",$K258+$L258))</f>
        <v/>
      </c>
      <c r="N258" s="14" t="str">
        <f aca="false">IF($B258="","",COUNTIFS($B$3:$B258,$B258))</f>
        <v/>
      </c>
      <c r="O258" s="14" t="str">
        <f aca="false">IF($B258="","",$B258&amp;"|"&amp;$N258)</f>
        <v/>
      </c>
    </row>
    <row r="259" customFormat="false" ht="15" hidden="false" customHeight="false" outlineLevel="0" collapsed="false">
      <c r="A259" s="12"/>
      <c r="B259" s="9"/>
      <c r="C259" s="9"/>
      <c r="D259" s="9"/>
      <c r="E259" s="9"/>
      <c r="F259" s="9"/>
      <c r="G259" s="9"/>
      <c r="H259" s="7"/>
      <c r="I259" s="13" t="str">
        <f aca="false">IF(OR($G259="",$H259=""),"",ROUND($G259*$H259,0))</f>
        <v/>
      </c>
      <c r="J259" s="8"/>
      <c r="K259" s="13" t="str">
        <f aca="false">IF($B259="","",SUMIFS($I$3:$I$2002,$B$3:$B$2002,$B259))</f>
        <v/>
      </c>
      <c r="L259" s="13" t="str">
        <f aca="false">IF($B259="","",IF(COUNTIFS($B$3:$B259,$B259)&gt;1,0,IFERROR(LOOKUP($K259,배송비규정!$A$3:$A$32,배송비규정!$B$3:$B$32),0)+IFERROR(INDEX(지역추가비!$B$3:$B$42,MATCH($J259,지역추가비!$A$3:$A$42,0)),0)))</f>
        <v/>
      </c>
      <c r="M259" s="13" t="str">
        <f aca="false">IF($B259="","",IF(COUNTIFS($B$3:$B259,$B259)&gt;1,"",$K259+$L259))</f>
        <v/>
      </c>
      <c r="N259" s="14" t="str">
        <f aca="false">IF($B259="","",COUNTIFS($B$3:$B259,$B259))</f>
        <v/>
      </c>
      <c r="O259" s="14" t="str">
        <f aca="false">IF($B259="","",$B259&amp;"|"&amp;$N259)</f>
        <v/>
      </c>
    </row>
    <row r="260" customFormat="false" ht="15" hidden="false" customHeight="false" outlineLevel="0" collapsed="false">
      <c r="A260" s="12"/>
      <c r="B260" s="9"/>
      <c r="C260" s="9"/>
      <c r="D260" s="9"/>
      <c r="E260" s="9"/>
      <c r="F260" s="9"/>
      <c r="G260" s="9"/>
      <c r="H260" s="7"/>
      <c r="I260" s="13" t="str">
        <f aca="false">IF(OR($G260="",$H260=""),"",ROUND($G260*$H260,0))</f>
        <v/>
      </c>
      <c r="J260" s="8"/>
      <c r="K260" s="13" t="str">
        <f aca="false">IF($B260="","",SUMIFS($I$3:$I$2002,$B$3:$B$2002,$B260))</f>
        <v/>
      </c>
      <c r="L260" s="13" t="str">
        <f aca="false">IF($B260="","",IF(COUNTIFS($B$3:$B260,$B260)&gt;1,0,IFERROR(LOOKUP($K260,배송비규정!$A$3:$A$32,배송비규정!$B$3:$B$32),0)+IFERROR(INDEX(지역추가비!$B$3:$B$42,MATCH($J260,지역추가비!$A$3:$A$42,0)),0)))</f>
        <v/>
      </c>
      <c r="M260" s="13" t="str">
        <f aca="false">IF($B260="","",IF(COUNTIFS($B$3:$B260,$B260)&gt;1,"",$K260+$L260))</f>
        <v/>
      </c>
      <c r="N260" s="14" t="str">
        <f aca="false">IF($B260="","",COUNTIFS($B$3:$B260,$B260))</f>
        <v/>
      </c>
      <c r="O260" s="14" t="str">
        <f aca="false">IF($B260="","",$B260&amp;"|"&amp;$N260)</f>
        <v/>
      </c>
    </row>
    <row r="261" customFormat="false" ht="15" hidden="false" customHeight="false" outlineLevel="0" collapsed="false">
      <c r="A261" s="12"/>
      <c r="B261" s="9"/>
      <c r="C261" s="9"/>
      <c r="D261" s="9"/>
      <c r="E261" s="9"/>
      <c r="F261" s="9"/>
      <c r="G261" s="9"/>
      <c r="H261" s="7"/>
      <c r="I261" s="13" t="str">
        <f aca="false">IF(OR($G261="",$H261=""),"",ROUND($G261*$H261,0))</f>
        <v/>
      </c>
      <c r="J261" s="8"/>
      <c r="K261" s="13" t="str">
        <f aca="false">IF($B261="","",SUMIFS($I$3:$I$2002,$B$3:$B$2002,$B261))</f>
        <v/>
      </c>
      <c r="L261" s="13" t="str">
        <f aca="false">IF($B261="","",IF(COUNTIFS($B$3:$B261,$B261)&gt;1,0,IFERROR(LOOKUP($K261,배송비규정!$A$3:$A$32,배송비규정!$B$3:$B$32),0)+IFERROR(INDEX(지역추가비!$B$3:$B$42,MATCH($J261,지역추가비!$A$3:$A$42,0)),0)))</f>
        <v/>
      </c>
      <c r="M261" s="13" t="str">
        <f aca="false">IF($B261="","",IF(COUNTIFS($B$3:$B261,$B261)&gt;1,"",$K261+$L261))</f>
        <v/>
      </c>
      <c r="N261" s="14" t="str">
        <f aca="false">IF($B261="","",COUNTIFS($B$3:$B261,$B261))</f>
        <v/>
      </c>
      <c r="O261" s="14" t="str">
        <f aca="false">IF($B261="","",$B261&amp;"|"&amp;$N261)</f>
        <v/>
      </c>
    </row>
    <row r="262" customFormat="false" ht="15" hidden="false" customHeight="false" outlineLevel="0" collapsed="false">
      <c r="A262" s="12"/>
      <c r="B262" s="9"/>
      <c r="C262" s="9"/>
      <c r="D262" s="9"/>
      <c r="E262" s="9"/>
      <c r="F262" s="9"/>
      <c r="G262" s="9"/>
      <c r="H262" s="7"/>
      <c r="I262" s="13" t="str">
        <f aca="false">IF(OR($G262="",$H262=""),"",ROUND($G262*$H262,0))</f>
        <v/>
      </c>
      <c r="J262" s="8"/>
      <c r="K262" s="13" t="str">
        <f aca="false">IF($B262="","",SUMIFS($I$3:$I$2002,$B$3:$B$2002,$B262))</f>
        <v/>
      </c>
      <c r="L262" s="13" t="str">
        <f aca="false">IF($B262="","",IF(COUNTIFS($B$3:$B262,$B262)&gt;1,0,IFERROR(LOOKUP($K262,배송비규정!$A$3:$A$32,배송비규정!$B$3:$B$32),0)+IFERROR(INDEX(지역추가비!$B$3:$B$42,MATCH($J262,지역추가비!$A$3:$A$42,0)),0)))</f>
        <v/>
      </c>
      <c r="M262" s="13" t="str">
        <f aca="false">IF($B262="","",IF(COUNTIFS($B$3:$B262,$B262)&gt;1,"",$K262+$L262))</f>
        <v/>
      </c>
      <c r="N262" s="14" t="str">
        <f aca="false">IF($B262="","",COUNTIFS($B$3:$B262,$B262))</f>
        <v/>
      </c>
      <c r="O262" s="14" t="str">
        <f aca="false">IF($B262="","",$B262&amp;"|"&amp;$N262)</f>
        <v/>
      </c>
    </row>
    <row r="263" customFormat="false" ht="15" hidden="false" customHeight="false" outlineLevel="0" collapsed="false">
      <c r="A263" s="12"/>
      <c r="B263" s="9"/>
      <c r="C263" s="9"/>
      <c r="D263" s="9"/>
      <c r="E263" s="9"/>
      <c r="F263" s="9"/>
      <c r="G263" s="9"/>
      <c r="H263" s="7"/>
      <c r="I263" s="13" t="str">
        <f aca="false">IF(OR($G263="",$H263=""),"",ROUND($G263*$H263,0))</f>
        <v/>
      </c>
      <c r="J263" s="8"/>
      <c r="K263" s="13" t="str">
        <f aca="false">IF($B263="","",SUMIFS($I$3:$I$2002,$B$3:$B$2002,$B263))</f>
        <v/>
      </c>
      <c r="L263" s="13" t="str">
        <f aca="false">IF($B263="","",IF(COUNTIFS($B$3:$B263,$B263)&gt;1,0,IFERROR(LOOKUP($K263,배송비규정!$A$3:$A$32,배송비규정!$B$3:$B$32),0)+IFERROR(INDEX(지역추가비!$B$3:$B$42,MATCH($J263,지역추가비!$A$3:$A$42,0)),0)))</f>
        <v/>
      </c>
      <c r="M263" s="13" t="str">
        <f aca="false">IF($B263="","",IF(COUNTIFS($B$3:$B263,$B263)&gt;1,"",$K263+$L263))</f>
        <v/>
      </c>
      <c r="N263" s="14" t="str">
        <f aca="false">IF($B263="","",COUNTIFS($B$3:$B263,$B263))</f>
        <v/>
      </c>
      <c r="O263" s="14" t="str">
        <f aca="false">IF($B263="","",$B263&amp;"|"&amp;$N263)</f>
        <v/>
      </c>
    </row>
    <row r="264" customFormat="false" ht="15" hidden="false" customHeight="false" outlineLevel="0" collapsed="false">
      <c r="A264" s="12"/>
      <c r="B264" s="9"/>
      <c r="C264" s="9"/>
      <c r="D264" s="9"/>
      <c r="E264" s="9"/>
      <c r="F264" s="9"/>
      <c r="G264" s="9"/>
      <c r="H264" s="7"/>
      <c r="I264" s="13" t="str">
        <f aca="false">IF(OR($G264="",$H264=""),"",ROUND($G264*$H264,0))</f>
        <v/>
      </c>
      <c r="J264" s="8"/>
      <c r="K264" s="13" t="str">
        <f aca="false">IF($B264="","",SUMIFS($I$3:$I$2002,$B$3:$B$2002,$B264))</f>
        <v/>
      </c>
      <c r="L264" s="13" t="str">
        <f aca="false">IF($B264="","",IF(COUNTIFS($B$3:$B264,$B264)&gt;1,0,IFERROR(LOOKUP($K264,배송비규정!$A$3:$A$32,배송비규정!$B$3:$B$32),0)+IFERROR(INDEX(지역추가비!$B$3:$B$42,MATCH($J264,지역추가비!$A$3:$A$42,0)),0)))</f>
        <v/>
      </c>
      <c r="M264" s="13" t="str">
        <f aca="false">IF($B264="","",IF(COUNTIFS($B$3:$B264,$B264)&gt;1,"",$K264+$L264))</f>
        <v/>
      </c>
      <c r="N264" s="14" t="str">
        <f aca="false">IF($B264="","",COUNTIFS($B$3:$B264,$B264))</f>
        <v/>
      </c>
      <c r="O264" s="14" t="str">
        <f aca="false">IF($B264="","",$B264&amp;"|"&amp;$N264)</f>
        <v/>
      </c>
    </row>
    <row r="265" customFormat="false" ht="15" hidden="false" customHeight="false" outlineLevel="0" collapsed="false">
      <c r="A265" s="12"/>
      <c r="B265" s="9"/>
      <c r="C265" s="9"/>
      <c r="D265" s="9"/>
      <c r="E265" s="9"/>
      <c r="F265" s="9"/>
      <c r="G265" s="9"/>
      <c r="H265" s="7"/>
      <c r="I265" s="13" t="str">
        <f aca="false">IF(OR($G265="",$H265=""),"",ROUND($G265*$H265,0))</f>
        <v/>
      </c>
      <c r="J265" s="8"/>
      <c r="K265" s="13" t="str">
        <f aca="false">IF($B265="","",SUMIFS($I$3:$I$2002,$B$3:$B$2002,$B265))</f>
        <v/>
      </c>
      <c r="L265" s="13" t="str">
        <f aca="false">IF($B265="","",IF(COUNTIFS($B$3:$B265,$B265)&gt;1,0,IFERROR(LOOKUP($K265,배송비규정!$A$3:$A$32,배송비규정!$B$3:$B$32),0)+IFERROR(INDEX(지역추가비!$B$3:$B$42,MATCH($J265,지역추가비!$A$3:$A$42,0)),0)))</f>
        <v/>
      </c>
      <c r="M265" s="13" t="str">
        <f aca="false">IF($B265="","",IF(COUNTIFS($B$3:$B265,$B265)&gt;1,"",$K265+$L265))</f>
        <v/>
      </c>
      <c r="N265" s="14" t="str">
        <f aca="false">IF($B265="","",COUNTIFS($B$3:$B265,$B265))</f>
        <v/>
      </c>
      <c r="O265" s="14" t="str">
        <f aca="false">IF($B265="","",$B265&amp;"|"&amp;$N265)</f>
        <v/>
      </c>
    </row>
    <row r="266" customFormat="false" ht="15" hidden="false" customHeight="false" outlineLevel="0" collapsed="false">
      <c r="A266" s="12"/>
      <c r="B266" s="9"/>
      <c r="C266" s="9"/>
      <c r="D266" s="9"/>
      <c r="E266" s="9"/>
      <c r="F266" s="9"/>
      <c r="G266" s="9"/>
      <c r="H266" s="7"/>
      <c r="I266" s="13" t="str">
        <f aca="false">IF(OR($G266="",$H266=""),"",ROUND($G266*$H266,0))</f>
        <v/>
      </c>
      <c r="J266" s="8"/>
      <c r="K266" s="13" t="str">
        <f aca="false">IF($B266="","",SUMIFS($I$3:$I$2002,$B$3:$B$2002,$B266))</f>
        <v/>
      </c>
      <c r="L266" s="13" t="str">
        <f aca="false">IF($B266="","",IF(COUNTIFS($B$3:$B266,$B266)&gt;1,0,IFERROR(LOOKUP($K266,배송비규정!$A$3:$A$32,배송비규정!$B$3:$B$32),0)+IFERROR(INDEX(지역추가비!$B$3:$B$42,MATCH($J266,지역추가비!$A$3:$A$42,0)),0)))</f>
        <v/>
      </c>
      <c r="M266" s="13" t="str">
        <f aca="false">IF($B266="","",IF(COUNTIFS($B$3:$B266,$B266)&gt;1,"",$K266+$L266))</f>
        <v/>
      </c>
      <c r="N266" s="14" t="str">
        <f aca="false">IF($B266="","",COUNTIFS($B$3:$B266,$B266))</f>
        <v/>
      </c>
      <c r="O266" s="14" t="str">
        <f aca="false">IF($B266="","",$B266&amp;"|"&amp;$N266)</f>
        <v/>
      </c>
    </row>
    <row r="267" customFormat="false" ht="15" hidden="false" customHeight="false" outlineLevel="0" collapsed="false">
      <c r="A267" s="12"/>
      <c r="B267" s="9"/>
      <c r="C267" s="9"/>
      <c r="D267" s="9"/>
      <c r="E267" s="9"/>
      <c r="F267" s="9"/>
      <c r="G267" s="9"/>
      <c r="H267" s="7"/>
      <c r="I267" s="13" t="str">
        <f aca="false">IF(OR($G267="",$H267=""),"",ROUND($G267*$H267,0))</f>
        <v/>
      </c>
      <c r="J267" s="8"/>
      <c r="K267" s="13" t="str">
        <f aca="false">IF($B267="","",SUMIFS($I$3:$I$2002,$B$3:$B$2002,$B267))</f>
        <v/>
      </c>
      <c r="L267" s="13" t="str">
        <f aca="false">IF($B267="","",IF(COUNTIFS($B$3:$B267,$B267)&gt;1,0,IFERROR(LOOKUP($K267,배송비규정!$A$3:$A$32,배송비규정!$B$3:$B$32),0)+IFERROR(INDEX(지역추가비!$B$3:$B$42,MATCH($J267,지역추가비!$A$3:$A$42,0)),0)))</f>
        <v/>
      </c>
      <c r="M267" s="13" t="str">
        <f aca="false">IF($B267="","",IF(COUNTIFS($B$3:$B267,$B267)&gt;1,"",$K267+$L267))</f>
        <v/>
      </c>
      <c r="N267" s="14" t="str">
        <f aca="false">IF($B267="","",COUNTIFS($B$3:$B267,$B267))</f>
        <v/>
      </c>
      <c r="O267" s="14" t="str">
        <f aca="false">IF($B267="","",$B267&amp;"|"&amp;$N267)</f>
        <v/>
      </c>
    </row>
    <row r="268" customFormat="false" ht="15" hidden="false" customHeight="false" outlineLevel="0" collapsed="false">
      <c r="A268" s="12"/>
      <c r="B268" s="9"/>
      <c r="C268" s="9"/>
      <c r="D268" s="9"/>
      <c r="E268" s="9"/>
      <c r="F268" s="9"/>
      <c r="G268" s="9"/>
      <c r="H268" s="7"/>
      <c r="I268" s="13" t="str">
        <f aca="false">IF(OR($G268="",$H268=""),"",ROUND($G268*$H268,0))</f>
        <v/>
      </c>
      <c r="J268" s="8"/>
      <c r="K268" s="13" t="str">
        <f aca="false">IF($B268="","",SUMIFS($I$3:$I$2002,$B$3:$B$2002,$B268))</f>
        <v/>
      </c>
      <c r="L268" s="13" t="str">
        <f aca="false">IF($B268="","",IF(COUNTIFS($B$3:$B268,$B268)&gt;1,0,IFERROR(LOOKUP($K268,배송비규정!$A$3:$A$32,배송비규정!$B$3:$B$32),0)+IFERROR(INDEX(지역추가비!$B$3:$B$42,MATCH($J268,지역추가비!$A$3:$A$42,0)),0)))</f>
        <v/>
      </c>
      <c r="M268" s="13" t="str">
        <f aca="false">IF($B268="","",IF(COUNTIFS($B$3:$B268,$B268)&gt;1,"",$K268+$L268))</f>
        <v/>
      </c>
      <c r="N268" s="14" t="str">
        <f aca="false">IF($B268="","",COUNTIFS($B$3:$B268,$B268))</f>
        <v/>
      </c>
      <c r="O268" s="14" t="str">
        <f aca="false">IF($B268="","",$B268&amp;"|"&amp;$N268)</f>
        <v/>
      </c>
    </row>
    <row r="269" customFormat="false" ht="15" hidden="false" customHeight="false" outlineLevel="0" collapsed="false">
      <c r="A269" s="12"/>
      <c r="B269" s="9"/>
      <c r="C269" s="9"/>
      <c r="D269" s="9"/>
      <c r="E269" s="9"/>
      <c r="F269" s="9"/>
      <c r="G269" s="9"/>
      <c r="H269" s="7"/>
      <c r="I269" s="13" t="str">
        <f aca="false">IF(OR($G269="",$H269=""),"",ROUND($G269*$H269,0))</f>
        <v/>
      </c>
      <c r="J269" s="8"/>
      <c r="K269" s="13" t="str">
        <f aca="false">IF($B269="","",SUMIFS($I$3:$I$2002,$B$3:$B$2002,$B269))</f>
        <v/>
      </c>
      <c r="L269" s="13" t="str">
        <f aca="false">IF($B269="","",IF(COUNTIFS($B$3:$B269,$B269)&gt;1,0,IFERROR(LOOKUP($K269,배송비규정!$A$3:$A$32,배송비규정!$B$3:$B$32),0)+IFERROR(INDEX(지역추가비!$B$3:$B$42,MATCH($J269,지역추가비!$A$3:$A$42,0)),0)))</f>
        <v/>
      </c>
      <c r="M269" s="13" t="str">
        <f aca="false">IF($B269="","",IF(COUNTIFS($B$3:$B269,$B269)&gt;1,"",$K269+$L269))</f>
        <v/>
      </c>
      <c r="N269" s="14" t="str">
        <f aca="false">IF($B269="","",COUNTIFS($B$3:$B269,$B269))</f>
        <v/>
      </c>
      <c r="O269" s="14" t="str">
        <f aca="false">IF($B269="","",$B269&amp;"|"&amp;$N269)</f>
        <v/>
      </c>
    </row>
    <row r="270" customFormat="false" ht="15" hidden="false" customHeight="false" outlineLevel="0" collapsed="false">
      <c r="A270" s="12"/>
      <c r="B270" s="9"/>
      <c r="C270" s="9"/>
      <c r="D270" s="9"/>
      <c r="E270" s="9"/>
      <c r="F270" s="9"/>
      <c r="G270" s="9"/>
      <c r="H270" s="7"/>
      <c r="I270" s="13" t="str">
        <f aca="false">IF(OR($G270="",$H270=""),"",ROUND($G270*$H270,0))</f>
        <v/>
      </c>
      <c r="J270" s="8"/>
      <c r="K270" s="13" t="str">
        <f aca="false">IF($B270="","",SUMIFS($I$3:$I$2002,$B$3:$B$2002,$B270))</f>
        <v/>
      </c>
      <c r="L270" s="13" t="str">
        <f aca="false">IF($B270="","",IF(COUNTIFS($B$3:$B270,$B270)&gt;1,0,IFERROR(LOOKUP($K270,배송비규정!$A$3:$A$32,배송비규정!$B$3:$B$32),0)+IFERROR(INDEX(지역추가비!$B$3:$B$42,MATCH($J270,지역추가비!$A$3:$A$42,0)),0)))</f>
        <v/>
      </c>
      <c r="M270" s="13" t="str">
        <f aca="false">IF($B270="","",IF(COUNTIFS($B$3:$B270,$B270)&gt;1,"",$K270+$L270))</f>
        <v/>
      </c>
      <c r="N270" s="14" t="str">
        <f aca="false">IF($B270="","",COUNTIFS($B$3:$B270,$B270))</f>
        <v/>
      </c>
      <c r="O270" s="14" t="str">
        <f aca="false">IF($B270="","",$B270&amp;"|"&amp;$N270)</f>
        <v/>
      </c>
    </row>
    <row r="271" customFormat="false" ht="15" hidden="false" customHeight="false" outlineLevel="0" collapsed="false">
      <c r="A271" s="12"/>
      <c r="B271" s="9"/>
      <c r="C271" s="9"/>
      <c r="D271" s="9"/>
      <c r="E271" s="9"/>
      <c r="F271" s="9"/>
      <c r="G271" s="9"/>
      <c r="H271" s="7"/>
      <c r="I271" s="13" t="str">
        <f aca="false">IF(OR($G271="",$H271=""),"",ROUND($G271*$H271,0))</f>
        <v/>
      </c>
      <c r="J271" s="8"/>
      <c r="K271" s="13" t="str">
        <f aca="false">IF($B271="","",SUMIFS($I$3:$I$2002,$B$3:$B$2002,$B271))</f>
        <v/>
      </c>
      <c r="L271" s="13" t="str">
        <f aca="false">IF($B271="","",IF(COUNTIFS($B$3:$B271,$B271)&gt;1,0,IFERROR(LOOKUP($K271,배송비규정!$A$3:$A$32,배송비규정!$B$3:$B$32),0)+IFERROR(INDEX(지역추가비!$B$3:$B$42,MATCH($J271,지역추가비!$A$3:$A$42,0)),0)))</f>
        <v/>
      </c>
      <c r="M271" s="13" t="str">
        <f aca="false">IF($B271="","",IF(COUNTIFS($B$3:$B271,$B271)&gt;1,"",$K271+$L271))</f>
        <v/>
      </c>
      <c r="N271" s="14" t="str">
        <f aca="false">IF($B271="","",COUNTIFS($B$3:$B271,$B271))</f>
        <v/>
      </c>
      <c r="O271" s="14" t="str">
        <f aca="false">IF($B271="","",$B271&amp;"|"&amp;$N271)</f>
        <v/>
      </c>
    </row>
    <row r="272" customFormat="false" ht="15" hidden="false" customHeight="false" outlineLevel="0" collapsed="false">
      <c r="A272" s="12"/>
      <c r="B272" s="9"/>
      <c r="C272" s="9"/>
      <c r="D272" s="9"/>
      <c r="E272" s="9"/>
      <c r="F272" s="9"/>
      <c r="G272" s="9"/>
      <c r="H272" s="7"/>
      <c r="I272" s="13" t="str">
        <f aca="false">IF(OR($G272="",$H272=""),"",ROUND($G272*$H272,0))</f>
        <v/>
      </c>
      <c r="J272" s="8"/>
      <c r="K272" s="13" t="str">
        <f aca="false">IF($B272="","",SUMIFS($I$3:$I$2002,$B$3:$B$2002,$B272))</f>
        <v/>
      </c>
      <c r="L272" s="13" t="str">
        <f aca="false">IF($B272="","",IF(COUNTIFS($B$3:$B272,$B272)&gt;1,0,IFERROR(LOOKUP($K272,배송비규정!$A$3:$A$32,배송비규정!$B$3:$B$32),0)+IFERROR(INDEX(지역추가비!$B$3:$B$42,MATCH($J272,지역추가비!$A$3:$A$42,0)),0)))</f>
        <v/>
      </c>
      <c r="M272" s="13" t="str">
        <f aca="false">IF($B272="","",IF(COUNTIFS($B$3:$B272,$B272)&gt;1,"",$K272+$L272))</f>
        <v/>
      </c>
      <c r="N272" s="14" t="str">
        <f aca="false">IF($B272="","",COUNTIFS($B$3:$B272,$B272))</f>
        <v/>
      </c>
      <c r="O272" s="14" t="str">
        <f aca="false">IF($B272="","",$B272&amp;"|"&amp;$N272)</f>
        <v/>
      </c>
    </row>
    <row r="273" customFormat="false" ht="15" hidden="false" customHeight="false" outlineLevel="0" collapsed="false">
      <c r="A273" s="12"/>
      <c r="B273" s="9"/>
      <c r="C273" s="9"/>
      <c r="D273" s="9"/>
      <c r="E273" s="9"/>
      <c r="F273" s="9"/>
      <c r="G273" s="9"/>
      <c r="H273" s="7"/>
      <c r="I273" s="13" t="str">
        <f aca="false">IF(OR($G273="",$H273=""),"",ROUND($G273*$H273,0))</f>
        <v/>
      </c>
      <c r="J273" s="8"/>
      <c r="K273" s="13" t="str">
        <f aca="false">IF($B273="","",SUMIFS($I$3:$I$2002,$B$3:$B$2002,$B273))</f>
        <v/>
      </c>
      <c r="L273" s="13" t="str">
        <f aca="false">IF($B273="","",IF(COUNTIFS($B$3:$B273,$B273)&gt;1,0,IFERROR(LOOKUP($K273,배송비규정!$A$3:$A$32,배송비규정!$B$3:$B$32),0)+IFERROR(INDEX(지역추가비!$B$3:$B$42,MATCH($J273,지역추가비!$A$3:$A$42,0)),0)))</f>
        <v/>
      </c>
      <c r="M273" s="13" t="str">
        <f aca="false">IF($B273="","",IF(COUNTIFS($B$3:$B273,$B273)&gt;1,"",$K273+$L273))</f>
        <v/>
      </c>
      <c r="N273" s="14" t="str">
        <f aca="false">IF($B273="","",COUNTIFS($B$3:$B273,$B273))</f>
        <v/>
      </c>
      <c r="O273" s="14" t="str">
        <f aca="false">IF($B273="","",$B273&amp;"|"&amp;$N273)</f>
        <v/>
      </c>
    </row>
    <row r="274" customFormat="false" ht="15" hidden="false" customHeight="false" outlineLevel="0" collapsed="false">
      <c r="A274" s="12"/>
      <c r="B274" s="9"/>
      <c r="C274" s="9"/>
      <c r="D274" s="9"/>
      <c r="E274" s="9"/>
      <c r="F274" s="9"/>
      <c r="G274" s="9"/>
      <c r="H274" s="7"/>
      <c r="I274" s="13" t="str">
        <f aca="false">IF(OR($G274="",$H274=""),"",ROUND($G274*$H274,0))</f>
        <v/>
      </c>
      <c r="J274" s="8"/>
      <c r="K274" s="13" t="str">
        <f aca="false">IF($B274="","",SUMIFS($I$3:$I$2002,$B$3:$B$2002,$B274))</f>
        <v/>
      </c>
      <c r="L274" s="13" t="str">
        <f aca="false">IF($B274="","",IF(COUNTIFS($B$3:$B274,$B274)&gt;1,0,IFERROR(LOOKUP($K274,배송비규정!$A$3:$A$32,배송비규정!$B$3:$B$32),0)+IFERROR(INDEX(지역추가비!$B$3:$B$42,MATCH($J274,지역추가비!$A$3:$A$42,0)),0)))</f>
        <v/>
      </c>
      <c r="M274" s="13" t="str">
        <f aca="false">IF($B274="","",IF(COUNTIFS($B$3:$B274,$B274)&gt;1,"",$K274+$L274))</f>
        <v/>
      </c>
      <c r="N274" s="14" t="str">
        <f aca="false">IF($B274="","",COUNTIFS($B$3:$B274,$B274))</f>
        <v/>
      </c>
      <c r="O274" s="14" t="str">
        <f aca="false">IF($B274="","",$B274&amp;"|"&amp;$N274)</f>
        <v/>
      </c>
    </row>
    <row r="275" customFormat="false" ht="15" hidden="false" customHeight="false" outlineLevel="0" collapsed="false">
      <c r="A275" s="12"/>
      <c r="B275" s="9"/>
      <c r="C275" s="9"/>
      <c r="D275" s="9"/>
      <c r="E275" s="9"/>
      <c r="F275" s="9"/>
      <c r="G275" s="9"/>
      <c r="H275" s="7"/>
      <c r="I275" s="13" t="str">
        <f aca="false">IF(OR($G275="",$H275=""),"",ROUND($G275*$H275,0))</f>
        <v/>
      </c>
      <c r="J275" s="8"/>
      <c r="K275" s="13" t="str">
        <f aca="false">IF($B275="","",SUMIFS($I$3:$I$2002,$B$3:$B$2002,$B275))</f>
        <v/>
      </c>
      <c r="L275" s="13" t="str">
        <f aca="false">IF($B275="","",IF(COUNTIFS($B$3:$B275,$B275)&gt;1,0,IFERROR(LOOKUP($K275,배송비규정!$A$3:$A$32,배송비규정!$B$3:$B$32),0)+IFERROR(INDEX(지역추가비!$B$3:$B$42,MATCH($J275,지역추가비!$A$3:$A$42,0)),0)))</f>
        <v/>
      </c>
      <c r="M275" s="13" t="str">
        <f aca="false">IF($B275="","",IF(COUNTIFS($B$3:$B275,$B275)&gt;1,"",$K275+$L275))</f>
        <v/>
      </c>
      <c r="N275" s="14" t="str">
        <f aca="false">IF($B275="","",COUNTIFS($B$3:$B275,$B275))</f>
        <v/>
      </c>
      <c r="O275" s="14" t="str">
        <f aca="false">IF($B275="","",$B275&amp;"|"&amp;$N275)</f>
        <v/>
      </c>
    </row>
    <row r="276" customFormat="false" ht="15" hidden="false" customHeight="false" outlineLevel="0" collapsed="false">
      <c r="A276" s="12"/>
      <c r="B276" s="9"/>
      <c r="C276" s="9"/>
      <c r="D276" s="9"/>
      <c r="E276" s="9"/>
      <c r="F276" s="9"/>
      <c r="G276" s="9"/>
      <c r="H276" s="7"/>
      <c r="I276" s="13" t="str">
        <f aca="false">IF(OR($G276="",$H276=""),"",ROUND($G276*$H276,0))</f>
        <v/>
      </c>
      <c r="J276" s="8"/>
      <c r="K276" s="13" t="str">
        <f aca="false">IF($B276="","",SUMIFS($I$3:$I$2002,$B$3:$B$2002,$B276))</f>
        <v/>
      </c>
      <c r="L276" s="13" t="str">
        <f aca="false">IF($B276="","",IF(COUNTIFS($B$3:$B276,$B276)&gt;1,0,IFERROR(LOOKUP($K276,배송비규정!$A$3:$A$32,배송비규정!$B$3:$B$32),0)+IFERROR(INDEX(지역추가비!$B$3:$B$42,MATCH($J276,지역추가비!$A$3:$A$42,0)),0)))</f>
        <v/>
      </c>
      <c r="M276" s="13" t="str">
        <f aca="false">IF($B276="","",IF(COUNTIFS($B$3:$B276,$B276)&gt;1,"",$K276+$L276))</f>
        <v/>
      </c>
      <c r="N276" s="14" t="str">
        <f aca="false">IF($B276="","",COUNTIFS($B$3:$B276,$B276))</f>
        <v/>
      </c>
      <c r="O276" s="14" t="str">
        <f aca="false">IF($B276="","",$B276&amp;"|"&amp;$N276)</f>
        <v/>
      </c>
    </row>
    <row r="277" customFormat="false" ht="15" hidden="false" customHeight="false" outlineLevel="0" collapsed="false">
      <c r="A277" s="12"/>
      <c r="B277" s="9"/>
      <c r="C277" s="9"/>
      <c r="D277" s="9"/>
      <c r="E277" s="9"/>
      <c r="F277" s="9"/>
      <c r="G277" s="9"/>
      <c r="H277" s="7"/>
      <c r="I277" s="13" t="str">
        <f aca="false">IF(OR($G277="",$H277=""),"",ROUND($G277*$H277,0))</f>
        <v/>
      </c>
      <c r="J277" s="8"/>
      <c r="K277" s="13" t="str">
        <f aca="false">IF($B277="","",SUMIFS($I$3:$I$2002,$B$3:$B$2002,$B277))</f>
        <v/>
      </c>
      <c r="L277" s="13" t="str">
        <f aca="false">IF($B277="","",IF(COUNTIFS($B$3:$B277,$B277)&gt;1,0,IFERROR(LOOKUP($K277,배송비규정!$A$3:$A$32,배송비규정!$B$3:$B$32),0)+IFERROR(INDEX(지역추가비!$B$3:$B$42,MATCH($J277,지역추가비!$A$3:$A$42,0)),0)))</f>
        <v/>
      </c>
      <c r="M277" s="13" t="str">
        <f aca="false">IF($B277="","",IF(COUNTIFS($B$3:$B277,$B277)&gt;1,"",$K277+$L277))</f>
        <v/>
      </c>
      <c r="N277" s="14" t="str">
        <f aca="false">IF($B277="","",COUNTIFS($B$3:$B277,$B277))</f>
        <v/>
      </c>
      <c r="O277" s="14" t="str">
        <f aca="false">IF($B277="","",$B277&amp;"|"&amp;$N277)</f>
        <v/>
      </c>
    </row>
    <row r="278" customFormat="false" ht="15" hidden="false" customHeight="false" outlineLevel="0" collapsed="false">
      <c r="A278" s="12"/>
      <c r="B278" s="9"/>
      <c r="C278" s="9"/>
      <c r="D278" s="9"/>
      <c r="E278" s="9"/>
      <c r="F278" s="9"/>
      <c r="G278" s="9"/>
      <c r="H278" s="7"/>
      <c r="I278" s="13" t="str">
        <f aca="false">IF(OR($G278="",$H278=""),"",ROUND($G278*$H278,0))</f>
        <v/>
      </c>
      <c r="J278" s="8"/>
      <c r="K278" s="13" t="str">
        <f aca="false">IF($B278="","",SUMIFS($I$3:$I$2002,$B$3:$B$2002,$B278))</f>
        <v/>
      </c>
      <c r="L278" s="13" t="str">
        <f aca="false">IF($B278="","",IF(COUNTIFS($B$3:$B278,$B278)&gt;1,0,IFERROR(LOOKUP($K278,배송비규정!$A$3:$A$32,배송비규정!$B$3:$B$32),0)+IFERROR(INDEX(지역추가비!$B$3:$B$42,MATCH($J278,지역추가비!$A$3:$A$42,0)),0)))</f>
        <v/>
      </c>
      <c r="M278" s="13" t="str">
        <f aca="false">IF($B278="","",IF(COUNTIFS($B$3:$B278,$B278)&gt;1,"",$K278+$L278))</f>
        <v/>
      </c>
      <c r="N278" s="14" t="str">
        <f aca="false">IF($B278="","",COUNTIFS($B$3:$B278,$B278))</f>
        <v/>
      </c>
      <c r="O278" s="14" t="str">
        <f aca="false">IF($B278="","",$B278&amp;"|"&amp;$N278)</f>
        <v/>
      </c>
    </row>
    <row r="279" customFormat="false" ht="15" hidden="false" customHeight="false" outlineLevel="0" collapsed="false">
      <c r="A279" s="12"/>
      <c r="B279" s="9"/>
      <c r="C279" s="9"/>
      <c r="D279" s="9"/>
      <c r="E279" s="9"/>
      <c r="F279" s="9"/>
      <c r="G279" s="9"/>
      <c r="H279" s="7"/>
      <c r="I279" s="13" t="str">
        <f aca="false">IF(OR($G279="",$H279=""),"",ROUND($G279*$H279,0))</f>
        <v/>
      </c>
      <c r="J279" s="8"/>
      <c r="K279" s="13" t="str">
        <f aca="false">IF($B279="","",SUMIFS($I$3:$I$2002,$B$3:$B$2002,$B279))</f>
        <v/>
      </c>
      <c r="L279" s="13" t="str">
        <f aca="false">IF($B279="","",IF(COUNTIFS($B$3:$B279,$B279)&gt;1,0,IFERROR(LOOKUP($K279,배송비규정!$A$3:$A$32,배송비규정!$B$3:$B$32),0)+IFERROR(INDEX(지역추가비!$B$3:$B$42,MATCH($J279,지역추가비!$A$3:$A$42,0)),0)))</f>
        <v/>
      </c>
      <c r="M279" s="13" t="str">
        <f aca="false">IF($B279="","",IF(COUNTIFS($B$3:$B279,$B279)&gt;1,"",$K279+$L279))</f>
        <v/>
      </c>
      <c r="N279" s="14" t="str">
        <f aca="false">IF($B279="","",COUNTIFS($B$3:$B279,$B279))</f>
        <v/>
      </c>
      <c r="O279" s="14" t="str">
        <f aca="false">IF($B279="","",$B279&amp;"|"&amp;$N279)</f>
        <v/>
      </c>
    </row>
    <row r="280" customFormat="false" ht="15" hidden="false" customHeight="false" outlineLevel="0" collapsed="false">
      <c r="A280" s="12"/>
      <c r="B280" s="9"/>
      <c r="C280" s="9"/>
      <c r="D280" s="9"/>
      <c r="E280" s="9"/>
      <c r="F280" s="9"/>
      <c r="G280" s="9"/>
      <c r="H280" s="7"/>
      <c r="I280" s="13" t="str">
        <f aca="false">IF(OR($G280="",$H280=""),"",ROUND($G280*$H280,0))</f>
        <v/>
      </c>
      <c r="J280" s="8"/>
      <c r="K280" s="13" t="str">
        <f aca="false">IF($B280="","",SUMIFS($I$3:$I$2002,$B$3:$B$2002,$B280))</f>
        <v/>
      </c>
      <c r="L280" s="13" t="str">
        <f aca="false">IF($B280="","",IF(COUNTIFS($B$3:$B280,$B280)&gt;1,0,IFERROR(LOOKUP($K280,배송비규정!$A$3:$A$32,배송비규정!$B$3:$B$32),0)+IFERROR(INDEX(지역추가비!$B$3:$B$42,MATCH($J280,지역추가비!$A$3:$A$42,0)),0)))</f>
        <v/>
      </c>
      <c r="M280" s="13" t="str">
        <f aca="false">IF($B280="","",IF(COUNTIFS($B$3:$B280,$B280)&gt;1,"",$K280+$L280))</f>
        <v/>
      </c>
      <c r="N280" s="14" t="str">
        <f aca="false">IF($B280="","",COUNTIFS($B$3:$B280,$B280))</f>
        <v/>
      </c>
      <c r="O280" s="14" t="str">
        <f aca="false">IF($B280="","",$B280&amp;"|"&amp;$N280)</f>
        <v/>
      </c>
    </row>
    <row r="281" customFormat="false" ht="15" hidden="false" customHeight="false" outlineLevel="0" collapsed="false">
      <c r="A281" s="12"/>
      <c r="B281" s="9"/>
      <c r="C281" s="9"/>
      <c r="D281" s="9"/>
      <c r="E281" s="9"/>
      <c r="F281" s="9"/>
      <c r="G281" s="9"/>
      <c r="H281" s="7"/>
      <c r="I281" s="13" t="str">
        <f aca="false">IF(OR($G281="",$H281=""),"",ROUND($G281*$H281,0))</f>
        <v/>
      </c>
      <c r="J281" s="8"/>
      <c r="K281" s="13" t="str">
        <f aca="false">IF($B281="","",SUMIFS($I$3:$I$2002,$B$3:$B$2002,$B281))</f>
        <v/>
      </c>
      <c r="L281" s="13" t="str">
        <f aca="false">IF($B281="","",IF(COUNTIFS($B$3:$B281,$B281)&gt;1,0,IFERROR(LOOKUP($K281,배송비규정!$A$3:$A$32,배송비규정!$B$3:$B$32),0)+IFERROR(INDEX(지역추가비!$B$3:$B$42,MATCH($J281,지역추가비!$A$3:$A$42,0)),0)))</f>
        <v/>
      </c>
      <c r="M281" s="13" t="str">
        <f aca="false">IF($B281="","",IF(COUNTIFS($B$3:$B281,$B281)&gt;1,"",$K281+$L281))</f>
        <v/>
      </c>
      <c r="N281" s="14" t="str">
        <f aca="false">IF($B281="","",COUNTIFS($B$3:$B281,$B281))</f>
        <v/>
      </c>
      <c r="O281" s="14" t="str">
        <f aca="false">IF($B281="","",$B281&amp;"|"&amp;$N281)</f>
        <v/>
      </c>
    </row>
    <row r="282" customFormat="false" ht="15" hidden="false" customHeight="false" outlineLevel="0" collapsed="false">
      <c r="A282" s="12"/>
      <c r="B282" s="9"/>
      <c r="C282" s="9"/>
      <c r="D282" s="9"/>
      <c r="E282" s="9"/>
      <c r="F282" s="9"/>
      <c r="G282" s="9"/>
      <c r="H282" s="7"/>
      <c r="I282" s="13" t="str">
        <f aca="false">IF(OR($G282="",$H282=""),"",ROUND($G282*$H282,0))</f>
        <v/>
      </c>
      <c r="J282" s="8"/>
      <c r="K282" s="13" t="str">
        <f aca="false">IF($B282="","",SUMIFS($I$3:$I$2002,$B$3:$B$2002,$B282))</f>
        <v/>
      </c>
      <c r="L282" s="13" t="str">
        <f aca="false">IF($B282="","",IF(COUNTIFS($B$3:$B282,$B282)&gt;1,0,IFERROR(LOOKUP($K282,배송비규정!$A$3:$A$32,배송비규정!$B$3:$B$32),0)+IFERROR(INDEX(지역추가비!$B$3:$B$42,MATCH($J282,지역추가비!$A$3:$A$42,0)),0)))</f>
        <v/>
      </c>
      <c r="M282" s="13" t="str">
        <f aca="false">IF($B282="","",IF(COUNTIFS($B$3:$B282,$B282)&gt;1,"",$K282+$L282))</f>
        <v/>
      </c>
      <c r="N282" s="14" t="str">
        <f aca="false">IF($B282="","",COUNTIFS($B$3:$B282,$B282))</f>
        <v/>
      </c>
      <c r="O282" s="14" t="str">
        <f aca="false">IF($B282="","",$B282&amp;"|"&amp;$N282)</f>
        <v/>
      </c>
    </row>
    <row r="283" customFormat="false" ht="15" hidden="false" customHeight="false" outlineLevel="0" collapsed="false">
      <c r="A283" s="12"/>
      <c r="B283" s="9"/>
      <c r="C283" s="9"/>
      <c r="D283" s="9"/>
      <c r="E283" s="9"/>
      <c r="F283" s="9"/>
      <c r="G283" s="9"/>
      <c r="H283" s="7"/>
      <c r="I283" s="13" t="str">
        <f aca="false">IF(OR($G283="",$H283=""),"",ROUND($G283*$H283,0))</f>
        <v/>
      </c>
      <c r="J283" s="8"/>
      <c r="K283" s="13" t="str">
        <f aca="false">IF($B283="","",SUMIFS($I$3:$I$2002,$B$3:$B$2002,$B283))</f>
        <v/>
      </c>
      <c r="L283" s="13" t="str">
        <f aca="false">IF($B283="","",IF(COUNTIFS($B$3:$B283,$B283)&gt;1,0,IFERROR(LOOKUP($K283,배송비규정!$A$3:$A$32,배송비규정!$B$3:$B$32),0)+IFERROR(INDEX(지역추가비!$B$3:$B$42,MATCH($J283,지역추가비!$A$3:$A$42,0)),0)))</f>
        <v/>
      </c>
      <c r="M283" s="13" t="str">
        <f aca="false">IF($B283="","",IF(COUNTIFS($B$3:$B283,$B283)&gt;1,"",$K283+$L283))</f>
        <v/>
      </c>
      <c r="N283" s="14" t="str">
        <f aca="false">IF($B283="","",COUNTIFS($B$3:$B283,$B283))</f>
        <v/>
      </c>
      <c r="O283" s="14" t="str">
        <f aca="false">IF($B283="","",$B283&amp;"|"&amp;$N283)</f>
        <v/>
      </c>
    </row>
    <row r="284" customFormat="false" ht="15" hidden="false" customHeight="false" outlineLevel="0" collapsed="false">
      <c r="A284" s="12"/>
      <c r="B284" s="9"/>
      <c r="C284" s="9"/>
      <c r="D284" s="9"/>
      <c r="E284" s="9"/>
      <c r="F284" s="9"/>
      <c r="G284" s="9"/>
      <c r="H284" s="7"/>
      <c r="I284" s="13" t="str">
        <f aca="false">IF(OR($G284="",$H284=""),"",ROUND($G284*$H284,0))</f>
        <v/>
      </c>
      <c r="J284" s="8"/>
      <c r="K284" s="13" t="str">
        <f aca="false">IF($B284="","",SUMIFS($I$3:$I$2002,$B$3:$B$2002,$B284))</f>
        <v/>
      </c>
      <c r="L284" s="13" t="str">
        <f aca="false">IF($B284="","",IF(COUNTIFS($B$3:$B284,$B284)&gt;1,0,IFERROR(LOOKUP($K284,배송비규정!$A$3:$A$32,배송비규정!$B$3:$B$32),0)+IFERROR(INDEX(지역추가비!$B$3:$B$42,MATCH($J284,지역추가비!$A$3:$A$42,0)),0)))</f>
        <v/>
      </c>
      <c r="M284" s="13" t="str">
        <f aca="false">IF($B284="","",IF(COUNTIFS($B$3:$B284,$B284)&gt;1,"",$K284+$L284))</f>
        <v/>
      </c>
      <c r="N284" s="14" t="str">
        <f aca="false">IF($B284="","",COUNTIFS($B$3:$B284,$B284))</f>
        <v/>
      </c>
      <c r="O284" s="14" t="str">
        <f aca="false">IF($B284="","",$B284&amp;"|"&amp;$N284)</f>
        <v/>
      </c>
    </row>
    <row r="285" customFormat="false" ht="15" hidden="false" customHeight="false" outlineLevel="0" collapsed="false">
      <c r="A285" s="12"/>
      <c r="B285" s="9"/>
      <c r="C285" s="9"/>
      <c r="D285" s="9"/>
      <c r="E285" s="9"/>
      <c r="F285" s="9"/>
      <c r="G285" s="9"/>
      <c r="H285" s="7"/>
      <c r="I285" s="13" t="str">
        <f aca="false">IF(OR($G285="",$H285=""),"",ROUND($G285*$H285,0))</f>
        <v/>
      </c>
      <c r="J285" s="8"/>
      <c r="K285" s="13" t="str">
        <f aca="false">IF($B285="","",SUMIFS($I$3:$I$2002,$B$3:$B$2002,$B285))</f>
        <v/>
      </c>
      <c r="L285" s="13" t="str">
        <f aca="false">IF($B285="","",IF(COUNTIFS($B$3:$B285,$B285)&gt;1,0,IFERROR(LOOKUP($K285,배송비규정!$A$3:$A$32,배송비규정!$B$3:$B$32),0)+IFERROR(INDEX(지역추가비!$B$3:$B$42,MATCH($J285,지역추가비!$A$3:$A$42,0)),0)))</f>
        <v/>
      </c>
      <c r="M285" s="13" t="str">
        <f aca="false">IF($B285="","",IF(COUNTIFS($B$3:$B285,$B285)&gt;1,"",$K285+$L285))</f>
        <v/>
      </c>
      <c r="N285" s="14" t="str">
        <f aca="false">IF($B285="","",COUNTIFS($B$3:$B285,$B285))</f>
        <v/>
      </c>
      <c r="O285" s="14" t="str">
        <f aca="false">IF($B285="","",$B285&amp;"|"&amp;$N285)</f>
        <v/>
      </c>
    </row>
    <row r="286" customFormat="false" ht="15" hidden="false" customHeight="false" outlineLevel="0" collapsed="false">
      <c r="A286" s="12"/>
      <c r="B286" s="9"/>
      <c r="C286" s="9"/>
      <c r="D286" s="9"/>
      <c r="E286" s="9"/>
      <c r="F286" s="9"/>
      <c r="G286" s="9"/>
      <c r="H286" s="7"/>
      <c r="I286" s="13" t="str">
        <f aca="false">IF(OR($G286="",$H286=""),"",ROUND($G286*$H286,0))</f>
        <v/>
      </c>
      <c r="J286" s="8"/>
      <c r="K286" s="13" t="str">
        <f aca="false">IF($B286="","",SUMIFS($I$3:$I$2002,$B$3:$B$2002,$B286))</f>
        <v/>
      </c>
      <c r="L286" s="13" t="str">
        <f aca="false">IF($B286="","",IF(COUNTIFS($B$3:$B286,$B286)&gt;1,0,IFERROR(LOOKUP($K286,배송비규정!$A$3:$A$32,배송비규정!$B$3:$B$32),0)+IFERROR(INDEX(지역추가비!$B$3:$B$42,MATCH($J286,지역추가비!$A$3:$A$42,0)),0)))</f>
        <v/>
      </c>
      <c r="M286" s="13" t="str">
        <f aca="false">IF($B286="","",IF(COUNTIFS($B$3:$B286,$B286)&gt;1,"",$K286+$L286))</f>
        <v/>
      </c>
      <c r="N286" s="14" t="str">
        <f aca="false">IF($B286="","",COUNTIFS($B$3:$B286,$B286))</f>
        <v/>
      </c>
      <c r="O286" s="14" t="str">
        <f aca="false">IF($B286="","",$B286&amp;"|"&amp;$N286)</f>
        <v/>
      </c>
    </row>
    <row r="287" customFormat="false" ht="15" hidden="false" customHeight="false" outlineLevel="0" collapsed="false">
      <c r="A287" s="12"/>
      <c r="B287" s="9"/>
      <c r="C287" s="9"/>
      <c r="D287" s="9"/>
      <c r="E287" s="9"/>
      <c r="F287" s="9"/>
      <c r="G287" s="9"/>
      <c r="H287" s="7"/>
      <c r="I287" s="13" t="str">
        <f aca="false">IF(OR($G287="",$H287=""),"",ROUND($G287*$H287,0))</f>
        <v/>
      </c>
      <c r="J287" s="8"/>
      <c r="K287" s="13" t="str">
        <f aca="false">IF($B287="","",SUMIFS($I$3:$I$2002,$B$3:$B$2002,$B287))</f>
        <v/>
      </c>
      <c r="L287" s="13" t="str">
        <f aca="false">IF($B287="","",IF(COUNTIFS($B$3:$B287,$B287)&gt;1,0,IFERROR(LOOKUP($K287,배송비규정!$A$3:$A$32,배송비규정!$B$3:$B$32),0)+IFERROR(INDEX(지역추가비!$B$3:$B$42,MATCH($J287,지역추가비!$A$3:$A$42,0)),0)))</f>
        <v/>
      </c>
      <c r="M287" s="13" t="str">
        <f aca="false">IF($B287="","",IF(COUNTIFS($B$3:$B287,$B287)&gt;1,"",$K287+$L287))</f>
        <v/>
      </c>
      <c r="N287" s="14" t="str">
        <f aca="false">IF($B287="","",COUNTIFS($B$3:$B287,$B287))</f>
        <v/>
      </c>
      <c r="O287" s="14" t="str">
        <f aca="false">IF($B287="","",$B287&amp;"|"&amp;$N287)</f>
        <v/>
      </c>
    </row>
    <row r="288" customFormat="false" ht="15" hidden="false" customHeight="false" outlineLevel="0" collapsed="false">
      <c r="A288" s="12"/>
      <c r="B288" s="9"/>
      <c r="C288" s="9"/>
      <c r="D288" s="9"/>
      <c r="E288" s="9"/>
      <c r="F288" s="9"/>
      <c r="G288" s="9"/>
      <c r="H288" s="7"/>
      <c r="I288" s="13" t="str">
        <f aca="false">IF(OR($G288="",$H288=""),"",ROUND($G288*$H288,0))</f>
        <v/>
      </c>
      <c r="J288" s="8"/>
      <c r="K288" s="13" t="str">
        <f aca="false">IF($B288="","",SUMIFS($I$3:$I$2002,$B$3:$B$2002,$B288))</f>
        <v/>
      </c>
      <c r="L288" s="13" t="str">
        <f aca="false">IF($B288="","",IF(COUNTIFS($B$3:$B288,$B288)&gt;1,0,IFERROR(LOOKUP($K288,배송비규정!$A$3:$A$32,배송비규정!$B$3:$B$32),0)+IFERROR(INDEX(지역추가비!$B$3:$B$42,MATCH($J288,지역추가비!$A$3:$A$42,0)),0)))</f>
        <v/>
      </c>
      <c r="M288" s="13" t="str">
        <f aca="false">IF($B288="","",IF(COUNTIFS($B$3:$B288,$B288)&gt;1,"",$K288+$L288))</f>
        <v/>
      </c>
      <c r="N288" s="14" t="str">
        <f aca="false">IF($B288="","",COUNTIFS($B$3:$B288,$B288))</f>
        <v/>
      </c>
      <c r="O288" s="14" t="str">
        <f aca="false">IF($B288="","",$B288&amp;"|"&amp;$N288)</f>
        <v/>
      </c>
    </row>
    <row r="289" customFormat="false" ht="15" hidden="false" customHeight="false" outlineLevel="0" collapsed="false">
      <c r="A289" s="12"/>
      <c r="B289" s="9"/>
      <c r="C289" s="9"/>
      <c r="D289" s="9"/>
      <c r="E289" s="9"/>
      <c r="F289" s="9"/>
      <c r="G289" s="9"/>
      <c r="H289" s="7"/>
      <c r="I289" s="13" t="str">
        <f aca="false">IF(OR($G289="",$H289=""),"",ROUND($G289*$H289,0))</f>
        <v/>
      </c>
      <c r="J289" s="8"/>
      <c r="K289" s="13" t="str">
        <f aca="false">IF($B289="","",SUMIFS($I$3:$I$2002,$B$3:$B$2002,$B289))</f>
        <v/>
      </c>
      <c r="L289" s="13" t="str">
        <f aca="false">IF($B289="","",IF(COUNTIFS($B$3:$B289,$B289)&gt;1,0,IFERROR(LOOKUP($K289,배송비규정!$A$3:$A$32,배송비규정!$B$3:$B$32),0)+IFERROR(INDEX(지역추가비!$B$3:$B$42,MATCH($J289,지역추가비!$A$3:$A$42,0)),0)))</f>
        <v/>
      </c>
      <c r="M289" s="13" t="str">
        <f aca="false">IF($B289="","",IF(COUNTIFS($B$3:$B289,$B289)&gt;1,"",$K289+$L289))</f>
        <v/>
      </c>
      <c r="N289" s="14" t="str">
        <f aca="false">IF($B289="","",COUNTIFS($B$3:$B289,$B289))</f>
        <v/>
      </c>
      <c r="O289" s="14" t="str">
        <f aca="false">IF($B289="","",$B289&amp;"|"&amp;$N289)</f>
        <v/>
      </c>
    </row>
    <row r="290" customFormat="false" ht="15" hidden="false" customHeight="false" outlineLevel="0" collapsed="false">
      <c r="A290" s="12"/>
      <c r="B290" s="9"/>
      <c r="C290" s="9"/>
      <c r="D290" s="9"/>
      <c r="E290" s="9"/>
      <c r="F290" s="9"/>
      <c r="G290" s="9"/>
      <c r="H290" s="7"/>
      <c r="I290" s="13" t="str">
        <f aca="false">IF(OR($G290="",$H290=""),"",ROUND($G290*$H290,0))</f>
        <v/>
      </c>
      <c r="J290" s="8"/>
      <c r="K290" s="13" t="str">
        <f aca="false">IF($B290="","",SUMIFS($I$3:$I$2002,$B$3:$B$2002,$B290))</f>
        <v/>
      </c>
      <c r="L290" s="13" t="str">
        <f aca="false">IF($B290="","",IF(COUNTIFS($B$3:$B290,$B290)&gt;1,0,IFERROR(LOOKUP($K290,배송비규정!$A$3:$A$32,배송비규정!$B$3:$B$32),0)+IFERROR(INDEX(지역추가비!$B$3:$B$42,MATCH($J290,지역추가비!$A$3:$A$42,0)),0)))</f>
        <v/>
      </c>
      <c r="M290" s="13" t="str">
        <f aca="false">IF($B290="","",IF(COUNTIFS($B$3:$B290,$B290)&gt;1,"",$K290+$L290))</f>
        <v/>
      </c>
      <c r="N290" s="14" t="str">
        <f aca="false">IF($B290="","",COUNTIFS($B$3:$B290,$B290))</f>
        <v/>
      </c>
      <c r="O290" s="14" t="str">
        <f aca="false">IF($B290="","",$B290&amp;"|"&amp;$N290)</f>
        <v/>
      </c>
    </row>
    <row r="291" customFormat="false" ht="15" hidden="false" customHeight="false" outlineLevel="0" collapsed="false">
      <c r="A291" s="12"/>
      <c r="B291" s="9"/>
      <c r="C291" s="9"/>
      <c r="D291" s="9"/>
      <c r="E291" s="9"/>
      <c r="F291" s="9"/>
      <c r="G291" s="9"/>
      <c r="H291" s="7"/>
      <c r="I291" s="13" t="str">
        <f aca="false">IF(OR($G291="",$H291=""),"",ROUND($G291*$H291,0))</f>
        <v/>
      </c>
      <c r="J291" s="8"/>
      <c r="K291" s="13" t="str">
        <f aca="false">IF($B291="","",SUMIFS($I$3:$I$2002,$B$3:$B$2002,$B291))</f>
        <v/>
      </c>
      <c r="L291" s="13" t="str">
        <f aca="false">IF($B291="","",IF(COUNTIFS($B$3:$B291,$B291)&gt;1,0,IFERROR(LOOKUP($K291,배송비규정!$A$3:$A$32,배송비규정!$B$3:$B$32),0)+IFERROR(INDEX(지역추가비!$B$3:$B$42,MATCH($J291,지역추가비!$A$3:$A$42,0)),0)))</f>
        <v/>
      </c>
      <c r="M291" s="13" t="str">
        <f aca="false">IF($B291="","",IF(COUNTIFS($B$3:$B291,$B291)&gt;1,"",$K291+$L291))</f>
        <v/>
      </c>
      <c r="N291" s="14" t="str">
        <f aca="false">IF($B291="","",COUNTIFS($B$3:$B291,$B291))</f>
        <v/>
      </c>
      <c r="O291" s="14" t="str">
        <f aca="false">IF($B291="","",$B291&amp;"|"&amp;$N291)</f>
        <v/>
      </c>
    </row>
    <row r="292" customFormat="false" ht="15" hidden="false" customHeight="false" outlineLevel="0" collapsed="false">
      <c r="A292" s="12"/>
      <c r="B292" s="9"/>
      <c r="C292" s="9"/>
      <c r="D292" s="9"/>
      <c r="E292" s="9"/>
      <c r="F292" s="9"/>
      <c r="G292" s="9"/>
      <c r="H292" s="7"/>
      <c r="I292" s="13" t="str">
        <f aca="false">IF(OR($G292="",$H292=""),"",ROUND($G292*$H292,0))</f>
        <v/>
      </c>
      <c r="J292" s="8"/>
      <c r="K292" s="13" t="str">
        <f aca="false">IF($B292="","",SUMIFS($I$3:$I$2002,$B$3:$B$2002,$B292))</f>
        <v/>
      </c>
      <c r="L292" s="13" t="str">
        <f aca="false">IF($B292="","",IF(COUNTIFS($B$3:$B292,$B292)&gt;1,0,IFERROR(LOOKUP($K292,배송비규정!$A$3:$A$32,배송비규정!$B$3:$B$32),0)+IFERROR(INDEX(지역추가비!$B$3:$B$42,MATCH($J292,지역추가비!$A$3:$A$42,0)),0)))</f>
        <v/>
      </c>
      <c r="M292" s="13" t="str">
        <f aca="false">IF($B292="","",IF(COUNTIFS($B$3:$B292,$B292)&gt;1,"",$K292+$L292))</f>
        <v/>
      </c>
      <c r="N292" s="14" t="str">
        <f aca="false">IF($B292="","",COUNTIFS($B$3:$B292,$B292))</f>
        <v/>
      </c>
      <c r="O292" s="14" t="str">
        <f aca="false">IF($B292="","",$B292&amp;"|"&amp;$N292)</f>
        <v/>
      </c>
    </row>
    <row r="293" customFormat="false" ht="15" hidden="false" customHeight="false" outlineLevel="0" collapsed="false">
      <c r="A293" s="12"/>
      <c r="B293" s="9"/>
      <c r="C293" s="9"/>
      <c r="D293" s="9"/>
      <c r="E293" s="9"/>
      <c r="F293" s="9"/>
      <c r="G293" s="9"/>
      <c r="H293" s="7"/>
      <c r="I293" s="13" t="str">
        <f aca="false">IF(OR($G293="",$H293=""),"",ROUND($G293*$H293,0))</f>
        <v/>
      </c>
      <c r="J293" s="8"/>
      <c r="K293" s="13" t="str">
        <f aca="false">IF($B293="","",SUMIFS($I$3:$I$2002,$B$3:$B$2002,$B293))</f>
        <v/>
      </c>
      <c r="L293" s="13" t="str">
        <f aca="false">IF($B293="","",IF(COUNTIFS($B$3:$B293,$B293)&gt;1,0,IFERROR(LOOKUP($K293,배송비규정!$A$3:$A$32,배송비규정!$B$3:$B$32),0)+IFERROR(INDEX(지역추가비!$B$3:$B$42,MATCH($J293,지역추가비!$A$3:$A$42,0)),0)))</f>
        <v/>
      </c>
      <c r="M293" s="13" t="str">
        <f aca="false">IF($B293="","",IF(COUNTIFS($B$3:$B293,$B293)&gt;1,"",$K293+$L293))</f>
        <v/>
      </c>
      <c r="N293" s="14" t="str">
        <f aca="false">IF($B293="","",COUNTIFS($B$3:$B293,$B293))</f>
        <v/>
      </c>
      <c r="O293" s="14" t="str">
        <f aca="false">IF($B293="","",$B293&amp;"|"&amp;$N293)</f>
        <v/>
      </c>
    </row>
    <row r="294" customFormat="false" ht="15" hidden="false" customHeight="false" outlineLevel="0" collapsed="false">
      <c r="A294" s="12"/>
      <c r="B294" s="9"/>
      <c r="C294" s="9"/>
      <c r="D294" s="9"/>
      <c r="E294" s="9"/>
      <c r="F294" s="9"/>
      <c r="G294" s="9"/>
      <c r="H294" s="7"/>
      <c r="I294" s="13" t="str">
        <f aca="false">IF(OR($G294="",$H294=""),"",ROUND($G294*$H294,0))</f>
        <v/>
      </c>
      <c r="J294" s="8"/>
      <c r="K294" s="13" t="str">
        <f aca="false">IF($B294="","",SUMIFS($I$3:$I$2002,$B$3:$B$2002,$B294))</f>
        <v/>
      </c>
      <c r="L294" s="13" t="str">
        <f aca="false">IF($B294="","",IF(COUNTIFS($B$3:$B294,$B294)&gt;1,0,IFERROR(LOOKUP($K294,배송비규정!$A$3:$A$32,배송비규정!$B$3:$B$32),0)+IFERROR(INDEX(지역추가비!$B$3:$B$42,MATCH($J294,지역추가비!$A$3:$A$42,0)),0)))</f>
        <v/>
      </c>
      <c r="M294" s="13" t="str">
        <f aca="false">IF($B294="","",IF(COUNTIFS($B$3:$B294,$B294)&gt;1,"",$K294+$L294))</f>
        <v/>
      </c>
      <c r="N294" s="14" t="str">
        <f aca="false">IF($B294="","",COUNTIFS($B$3:$B294,$B294))</f>
        <v/>
      </c>
      <c r="O294" s="14" t="str">
        <f aca="false">IF($B294="","",$B294&amp;"|"&amp;$N294)</f>
        <v/>
      </c>
    </row>
    <row r="295" customFormat="false" ht="15" hidden="false" customHeight="false" outlineLevel="0" collapsed="false">
      <c r="A295" s="12"/>
      <c r="B295" s="9"/>
      <c r="C295" s="9"/>
      <c r="D295" s="9"/>
      <c r="E295" s="9"/>
      <c r="F295" s="9"/>
      <c r="G295" s="9"/>
      <c r="H295" s="7"/>
      <c r="I295" s="13" t="str">
        <f aca="false">IF(OR($G295="",$H295=""),"",ROUND($G295*$H295,0))</f>
        <v/>
      </c>
      <c r="J295" s="8"/>
      <c r="K295" s="13" t="str">
        <f aca="false">IF($B295="","",SUMIFS($I$3:$I$2002,$B$3:$B$2002,$B295))</f>
        <v/>
      </c>
      <c r="L295" s="13" t="str">
        <f aca="false">IF($B295="","",IF(COUNTIFS($B$3:$B295,$B295)&gt;1,0,IFERROR(LOOKUP($K295,배송비규정!$A$3:$A$32,배송비규정!$B$3:$B$32),0)+IFERROR(INDEX(지역추가비!$B$3:$B$42,MATCH($J295,지역추가비!$A$3:$A$42,0)),0)))</f>
        <v/>
      </c>
      <c r="M295" s="13" t="str">
        <f aca="false">IF($B295="","",IF(COUNTIFS($B$3:$B295,$B295)&gt;1,"",$K295+$L295))</f>
        <v/>
      </c>
      <c r="N295" s="14" t="str">
        <f aca="false">IF($B295="","",COUNTIFS($B$3:$B295,$B295))</f>
        <v/>
      </c>
      <c r="O295" s="14" t="str">
        <f aca="false">IF($B295="","",$B295&amp;"|"&amp;$N295)</f>
        <v/>
      </c>
    </row>
    <row r="296" customFormat="false" ht="15" hidden="false" customHeight="false" outlineLevel="0" collapsed="false">
      <c r="A296" s="12"/>
      <c r="B296" s="9"/>
      <c r="C296" s="9"/>
      <c r="D296" s="9"/>
      <c r="E296" s="9"/>
      <c r="F296" s="9"/>
      <c r="G296" s="9"/>
      <c r="H296" s="7"/>
      <c r="I296" s="13" t="str">
        <f aca="false">IF(OR($G296="",$H296=""),"",ROUND($G296*$H296,0))</f>
        <v/>
      </c>
      <c r="J296" s="8"/>
      <c r="K296" s="13" t="str">
        <f aca="false">IF($B296="","",SUMIFS($I$3:$I$2002,$B$3:$B$2002,$B296))</f>
        <v/>
      </c>
      <c r="L296" s="13" t="str">
        <f aca="false">IF($B296="","",IF(COUNTIFS($B$3:$B296,$B296)&gt;1,0,IFERROR(LOOKUP($K296,배송비규정!$A$3:$A$32,배송비규정!$B$3:$B$32),0)+IFERROR(INDEX(지역추가비!$B$3:$B$42,MATCH($J296,지역추가비!$A$3:$A$42,0)),0)))</f>
        <v/>
      </c>
      <c r="M296" s="13" t="str">
        <f aca="false">IF($B296="","",IF(COUNTIFS($B$3:$B296,$B296)&gt;1,"",$K296+$L296))</f>
        <v/>
      </c>
      <c r="N296" s="14" t="str">
        <f aca="false">IF($B296="","",COUNTIFS($B$3:$B296,$B296))</f>
        <v/>
      </c>
      <c r="O296" s="14" t="str">
        <f aca="false">IF($B296="","",$B296&amp;"|"&amp;$N296)</f>
        <v/>
      </c>
    </row>
    <row r="297" customFormat="false" ht="15" hidden="false" customHeight="false" outlineLevel="0" collapsed="false">
      <c r="A297" s="12"/>
      <c r="B297" s="9"/>
      <c r="C297" s="9"/>
      <c r="D297" s="9"/>
      <c r="E297" s="9"/>
      <c r="F297" s="9"/>
      <c r="G297" s="9"/>
      <c r="H297" s="7"/>
      <c r="I297" s="13" t="str">
        <f aca="false">IF(OR($G297="",$H297=""),"",ROUND($G297*$H297,0))</f>
        <v/>
      </c>
      <c r="J297" s="8"/>
      <c r="K297" s="13" t="str">
        <f aca="false">IF($B297="","",SUMIFS($I$3:$I$2002,$B$3:$B$2002,$B297))</f>
        <v/>
      </c>
      <c r="L297" s="13" t="str">
        <f aca="false">IF($B297="","",IF(COUNTIFS($B$3:$B297,$B297)&gt;1,0,IFERROR(LOOKUP($K297,배송비규정!$A$3:$A$32,배송비규정!$B$3:$B$32),0)+IFERROR(INDEX(지역추가비!$B$3:$B$42,MATCH($J297,지역추가비!$A$3:$A$42,0)),0)))</f>
        <v/>
      </c>
      <c r="M297" s="13" t="str">
        <f aca="false">IF($B297="","",IF(COUNTIFS($B$3:$B297,$B297)&gt;1,"",$K297+$L297))</f>
        <v/>
      </c>
      <c r="N297" s="14" t="str">
        <f aca="false">IF($B297="","",COUNTIFS($B$3:$B297,$B297))</f>
        <v/>
      </c>
      <c r="O297" s="14" t="str">
        <f aca="false">IF($B297="","",$B297&amp;"|"&amp;$N297)</f>
        <v/>
      </c>
    </row>
    <row r="298" customFormat="false" ht="15" hidden="false" customHeight="false" outlineLevel="0" collapsed="false">
      <c r="A298" s="12"/>
      <c r="B298" s="9"/>
      <c r="C298" s="9"/>
      <c r="D298" s="9"/>
      <c r="E298" s="9"/>
      <c r="F298" s="9"/>
      <c r="G298" s="9"/>
      <c r="H298" s="7"/>
      <c r="I298" s="13" t="str">
        <f aca="false">IF(OR($G298="",$H298=""),"",ROUND($G298*$H298,0))</f>
        <v/>
      </c>
      <c r="J298" s="8"/>
      <c r="K298" s="13" t="str">
        <f aca="false">IF($B298="","",SUMIFS($I$3:$I$2002,$B$3:$B$2002,$B298))</f>
        <v/>
      </c>
      <c r="L298" s="13" t="str">
        <f aca="false">IF($B298="","",IF(COUNTIFS($B$3:$B298,$B298)&gt;1,0,IFERROR(LOOKUP($K298,배송비규정!$A$3:$A$32,배송비규정!$B$3:$B$32),0)+IFERROR(INDEX(지역추가비!$B$3:$B$42,MATCH($J298,지역추가비!$A$3:$A$42,0)),0)))</f>
        <v/>
      </c>
      <c r="M298" s="13" t="str">
        <f aca="false">IF($B298="","",IF(COUNTIFS($B$3:$B298,$B298)&gt;1,"",$K298+$L298))</f>
        <v/>
      </c>
      <c r="N298" s="14" t="str">
        <f aca="false">IF($B298="","",COUNTIFS($B$3:$B298,$B298))</f>
        <v/>
      </c>
      <c r="O298" s="14" t="str">
        <f aca="false">IF($B298="","",$B298&amp;"|"&amp;$N298)</f>
        <v/>
      </c>
    </row>
    <row r="299" customFormat="false" ht="15" hidden="false" customHeight="false" outlineLevel="0" collapsed="false">
      <c r="A299" s="12"/>
      <c r="B299" s="9"/>
      <c r="C299" s="9"/>
      <c r="D299" s="9"/>
      <c r="E299" s="9"/>
      <c r="F299" s="9"/>
      <c r="G299" s="9"/>
      <c r="H299" s="7"/>
      <c r="I299" s="13" t="str">
        <f aca="false">IF(OR($G299="",$H299=""),"",ROUND($G299*$H299,0))</f>
        <v/>
      </c>
      <c r="J299" s="8"/>
      <c r="K299" s="13" t="str">
        <f aca="false">IF($B299="","",SUMIFS($I$3:$I$2002,$B$3:$B$2002,$B299))</f>
        <v/>
      </c>
      <c r="L299" s="13" t="str">
        <f aca="false">IF($B299="","",IF(COUNTIFS($B$3:$B299,$B299)&gt;1,0,IFERROR(LOOKUP($K299,배송비규정!$A$3:$A$32,배송비규정!$B$3:$B$32),0)+IFERROR(INDEX(지역추가비!$B$3:$B$42,MATCH($J299,지역추가비!$A$3:$A$42,0)),0)))</f>
        <v/>
      </c>
      <c r="M299" s="13" t="str">
        <f aca="false">IF($B299="","",IF(COUNTIFS($B$3:$B299,$B299)&gt;1,"",$K299+$L299))</f>
        <v/>
      </c>
      <c r="N299" s="14" t="str">
        <f aca="false">IF($B299="","",COUNTIFS($B$3:$B299,$B299))</f>
        <v/>
      </c>
      <c r="O299" s="14" t="str">
        <f aca="false">IF($B299="","",$B299&amp;"|"&amp;$N299)</f>
        <v/>
      </c>
    </row>
    <row r="300" customFormat="false" ht="15" hidden="false" customHeight="false" outlineLevel="0" collapsed="false">
      <c r="A300" s="12"/>
      <c r="B300" s="9"/>
      <c r="C300" s="9"/>
      <c r="D300" s="9"/>
      <c r="E300" s="9"/>
      <c r="F300" s="9"/>
      <c r="G300" s="9"/>
      <c r="H300" s="7"/>
      <c r="I300" s="13" t="str">
        <f aca="false">IF(OR($G300="",$H300=""),"",ROUND($G300*$H300,0))</f>
        <v/>
      </c>
      <c r="J300" s="8"/>
      <c r="K300" s="13" t="str">
        <f aca="false">IF($B300="","",SUMIFS($I$3:$I$2002,$B$3:$B$2002,$B300))</f>
        <v/>
      </c>
      <c r="L300" s="13" t="str">
        <f aca="false">IF($B300="","",IF(COUNTIFS($B$3:$B300,$B300)&gt;1,0,IFERROR(LOOKUP($K300,배송비규정!$A$3:$A$32,배송비규정!$B$3:$B$32),0)+IFERROR(INDEX(지역추가비!$B$3:$B$42,MATCH($J300,지역추가비!$A$3:$A$42,0)),0)))</f>
        <v/>
      </c>
      <c r="M300" s="13" t="str">
        <f aca="false">IF($B300="","",IF(COUNTIFS($B$3:$B300,$B300)&gt;1,"",$K300+$L300))</f>
        <v/>
      </c>
      <c r="N300" s="14" t="str">
        <f aca="false">IF($B300="","",COUNTIFS($B$3:$B300,$B300))</f>
        <v/>
      </c>
      <c r="O300" s="14" t="str">
        <f aca="false">IF($B300="","",$B300&amp;"|"&amp;$N300)</f>
        <v/>
      </c>
    </row>
    <row r="301" customFormat="false" ht="15" hidden="false" customHeight="false" outlineLevel="0" collapsed="false">
      <c r="A301" s="12"/>
      <c r="B301" s="9"/>
      <c r="C301" s="9"/>
      <c r="D301" s="9"/>
      <c r="E301" s="9"/>
      <c r="F301" s="9"/>
      <c r="G301" s="9"/>
      <c r="H301" s="7"/>
      <c r="I301" s="13" t="str">
        <f aca="false">IF(OR($G301="",$H301=""),"",ROUND($G301*$H301,0))</f>
        <v/>
      </c>
      <c r="J301" s="8"/>
      <c r="K301" s="13" t="str">
        <f aca="false">IF($B301="","",SUMIFS($I$3:$I$2002,$B$3:$B$2002,$B301))</f>
        <v/>
      </c>
      <c r="L301" s="13" t="str">
        <f aca="false">IF($B301="","",IF(COUNTIFS($B$3:$B301,$B301)&gt;1,0,IFERROR(LOOKUP($K301,배송비규정!$A$3:$A$32,배송비규정!$B$3:$B$32),0)+IFERROR(INDEX(지역추가비!$B$3:$B$42,MATCH($J301,지역추가비!$A$3:$A$42,0)),0)))</f>
        <v/>
      </c>
      <c r="M301" s="13" t="str">
        <f aca="false">IF($B301="","",IF(COUNTIFS($B$3:$B301,$B301)&gt;1,"",$K301+$L301))</f>
        <v/>
      </c>
      <c r="N301" s="14" t="str">
        <f aca="false">IF($B301="","",COUNTIFS($B$3:$B301,$B301))</f>
        <v/>
      </c>
      <c r="O301" s="14" t="str">
        <f aca="false">IF($B301="","",$B301&amp;"|"&amp;$N301)</f>
        <v/>
      </c>
    </row>
    <row r="302" customFormat="false" ht="15" hidden="false" customHeight="false" outlineLevel="0" collapsed="false">
      <c r="A302" s="12"/>
      <c r="B302" s="9"/>
      <c r="C302" s="9"/>
      <c r="D302" s="9"/>
      <c r="E302" s="9"/>
      <c r="F302" s="9"/>
      <c r="G302" s="9"/>
      <c r="H302" s="7"/>
      <c r="I302" s="13" t="str">
        <f aca="false">IF(OR($G302="",$H302=""),"",ROUND($G302*$H302,0))</f>
        <v/>
      </c>
      <c r="J302" s="8"/>
      <c r="K302" s="13" t="str">
        <f aca="false">IF($B302="","",SUMIFS($I$3:$I$2002,$B$3:$B$2002,$B302))</f>
        <v/>
      </c>
      <c r="L302" s="13" t="str">
        <f aca="false">IF($B302="","",IF(COUNTIFS($B$3:$B302,$B302)&gt;1,0,IFERROR(LOOKUP($K302,배송비규정!$A$3:$A$32,배송비규정!$B$3:$B$32),0)+IFERROR(INDEX(지역추가비!$B$3:$B$42,MATCH($J302,지역추가비!$A$3:$A$42,0)),0)))</f>
        <v/>
      </c>
      <c r="M302" s="13" t="str">
        <f aca="false">IF($B302="","",IF(COUNTIFS($B$3:$B302,$B302)&gt;1,"",$K302+$L302))</f>
        <v/>
      </c>
      <c r="N302" s="14" t="str">
        <f aca="false">IF($B302="","",COUNTIFS($B$3:$B302,$B302))</f>
        <v/>
      </c>
      <c r="O302" s="14" t="str">
        <f aca="false">IF($B302="","",$B302&amp;"|"&amp;$N302)</f>
        <v/>
      </c>
    </row>
    <row r="303" customFormat="false" ht="15" hidden="false" customHeight="false" outlineLevel="0" collapsed="false">
      <c r="A303" s="12"/>
      <c r="B303" s="9"/>
      <c r="C303" s="9"/>
      <c r="D303" s="9"/>
      <c r="E303" s="9"/>
      <c r="F303" s="9"/>
      <c r="G303" s="9"/>
      <c r="H303" s="7"/>
      <c r="I303" s="13" t="str">
        <f aca="false">IF(OR($G303="",$H303=""),"",ROUND($G303*$H303,0))</f>
        <v/>
      </c>
      <c r="J303" s="8"/>
      <c r="K303" s="13" t="str">
        <f aca="false">IF($B303="","",SUMIFS($I$3:$I$2002,$B$3:$B$2002,$B303))</f>
        <v/>
      </c>
      <c r="L303" s="13" t="str">
        <f aca="false">IF($B303="","",IF(COUNTIFS($B$3:$B303,$B303)&gt;1,0,IFERROR(LOOKUP($K303,배송비규정!$A$3:$A$32,배송비규정!$B$3:$B$32),0)+IFERROR(INDEX(지역추가비!$B$3:$B$42,MATCH($J303,지역추가비!$A$3:$A$42,0)),0)))</f>
        <v/>
      </c>
      <c r="M303" s="13" t="str">
        <f aca="false">IF($B303="","",IF(COUNTIFS($B$3:$B303,$B303)&gt;1,"",$K303+$L303))</f>
        <v/>
      </c>
      <c r="N303" s="14" t="str">
        <f aca="false">IF($B303="","",COUNTIFS($B$3:$B303,$B303))</f>
        <v/>
      </c>
      <c r="O303" s="14" t="str">
        <f aca="false">IF($B303="","",$B303&amp;"|"&amp;$N303)</f>
        <v/>
      </c>
    </row>
    <row r="304" customFormat="false" ht="15" hidden="false" customHeight="false" outlineLevel="0" collapsed="false">
      <c r="A304" s="12"/>
      <c r="B304" s="9"/>
      <c r="C304" s="9"/>
      <c r="D304" s="9"/>
      <c r="E304" s="9"/>
      <c r="F304" s="9"/>
      <c r="G304" s="9"/>
      <c r="H304" s="7"/>
      <c r="I304" s="13" t="str">
        <f aca="false">IF(OR($G304="",$H304=""),"",ROUND($G304*$H304,0))</f>
        <v/>
      </c>
      <c r="J304" s="8"/>
      <c r="K304" s="13" t="str">
        <f aca="false">IF($B304="","",SUMIFS($I$3:$I$2002,$B$3:$B$2002,$B304))</f>
        <v/>
      </c>
      <c r="L304" s="13" t="str">
        <f aca="false">IF($B304="","",IF(COUNTIFS($B$3:$B304,$B304)&gt;1,0,IFERROR(LOOKUP($K304,배송비규정!$A$3:$A$32,배송비규정!$B$3:$B$32),0)+IFERROR(INDEX(지역추가비!$B$3:$B$42,MATCH($J304,지역추가비!$A$3:$A$42,0)),0)))</f>
        <v/>
      </c>
      <c r="M304" s="13" t="str">
        <f aca="false">IF($B304="","",IF(COUNTIFS($B$3:$B304,$B304)&gt;1,"",$K304+$L304))</f>
        <v/>
      </c>
      <c r="N304" s="14" t="str">
        <f aca="false">IF($B304="","",COUNTIFS($B$3:$B304,$B304))</f>
        <v/>
      </c>
      <c r="O304" s="14" t="str">
        <f aca="false">IF($B304="","",$B304&amp;"|"&amp;$N304)</f>
        <v/>
      </c>
    </row>
    <row r="305" customFormat="false" ht="15" hidden="false" customHeight="false" outlineLevel="0" collapsed="false">
      <c r="A305" s="12"/>
      <c r="B305" s="9"/>
      <c r="C305" s="9"/>
      <c r="D305" s="9"/>
      <c r="E305" s="9"/>
      <c r="F305" s="9"/>
      <c r="G305" s="9"/>
      <c r="H305" s="7"/>
      <c r="I305" s="13" t="str">
        <f aca="false">IF(OR($G305="",$H305=""),"",ROUND($G305*$H305,0))</f>
        <v/>
      </c>
      <c r="J305" s="8"/>
      <c r="K305" s="13" t="str">
        <f aca="false">IF($B305="","",SUMIFS($I$3:$I$2002,$B$3:$B$2002,$B305))</f>
        <v/>
      </c>
      <c r="L305" s="13" t="str">
        <f aca="false">IF($B305="","",IF(COUNTIFS($B$3:$B305,$B305)&gt;1,0,IFERROR(LOOKUP($K305,배송비규정!$A$3:$A$32,배송비규정!$B$3:$B$32),0)+IFERROR(INDEX(지역추가비!$B$3:$B$42,MATCH($J305,지역추가비!$A$3:$A$42,0)),0)))</f>
        <v/>
      </c>
      <c r="M305" s="13" t="str">
        <f aca="false">IF($B305="","",IF(COUNTIFS($B$3:$B305,$B305)&gt;1,"",$K305+$L305))</f>
        <v/>
      </c>
      <c r="N305" s="14" t="str">
        <f aca="false">IF($B305="","",COUNTIFS($B$3:$B305,$B305))</f>
        <v/>
      </c>
      <c r="O305" s="14" t="str">
        <f aca="false">IF($B305="","",$B305&amp;"|"&amp;$N305)</f>
        <v/>
      </c>
    </row>
    <row r="306" customFormat="false" ht="15" hidden="false" customHeight="false" outlineLevel="0" collapsed="false">
      <c r="A306" s="12"/>
      <c r="B306" s="9"/>
      <c r="C306" s="9"/>
      <c r="D306" s="9"/>
      <c r="E306" s="9"/>
      <c r="F306" s="9"/>
      <c r="G306" s="9"/>
      <c r="H306" s="7"/>
      <c r="I306" s="13" t="str">
        <f aca="false">IF(OR($G306="",$H306=""),"",ROUND($G306*$H306,0))</f>
        <v/>
      </c>
      <c r="J306" s="8"/>
      <c r="K306" s="13" t="str">
        <f aca="false">IF($B306="","",SUMIFS($I$3:$I$2002,$B$3:$B$2002,$B306))</f>
        <v/>
      </c>
      <c r="L306" s="13" t="str">
        <f aca="false">IF($B306="","",IF(COUNTIFS($B$3:$B306,$B306)&gt;1,0,IFERROR(LOOKUP($K306,배송비규정!$A$3:$A$32,배송비규정!$B$3:$B$32),0)+IFERROR(INDEX(지역추가비!$B$3:$B$42,MATCH($J306,지역추가비!$A$3:$A$42,0)),0)))</f>
        <v/>
      </c>
      <c r="M306" s="13" t="str">
        <f aca="false">IF($B306="","",IF(COUNTIFS($B$3:$B306,$B306)&gt;1,"",$K306+$L306))</f>
        <v/>
      </c>
      <c r="N306" s="14" t="str">
        <f aca="false">IF($B306="","",COUNTIFS($B$3:$B306,$B306))</f>
        <v/>
      </c>
      <c r="O306" s="14" t="str">
        <f aca="false">IF($B306="","",$B306&amp;"|"&amp;$N306)</f>
        <v/>
      </c>
    </row>
    <row r="307" customFormat="false" ht="15" hidden="false" customHeight="false" outlineLevel="0" collapsed="false">
      <c r="A307" s="12"/>
      <c r="B307" s="9"/>
      <c r="C307" s="9"/>
      <c r="D307" s="9"/>
      <c r="E307" s="9"/>
      <c r="F307" s="9"/>
      <c r="G307" s="9"/>
      <c r="H307" s="7"/>
      <c r="I307" s="13" t="str">
        <f aca="false">IF(OR($G307="",$H307=""),"",ROUND($G307*$H307,0))</f>
        <v/>
      </c>
      <c r="J307" s="8"/>
      <c r="K307" s="13" t="str">
        <f aca="false">IF($B307="","",SUMIFS($I$3:$I$2002,$B$3:$B$2002,$B307))</f>
        <v/>
      </c>
      <c r="L307" s="13" t="str">
        <f aca="false">IF($B307="","",IF(COUNTIFS($B$3:$B307,$B307)&gt;1,0,IFERROR(LOOKUP($K307,배송비규정!$A$3:$A$32,배송비규정!$B$3:$B$32),0)+IFERROR(INDEX(지역추가비!$B$3:$B$42,MATCH($J307,지역추가비!$A$3:$A$42,0)),0)))</f>
        <v/>
      </c>
      <c r="M307" s="13" t="str">
        <f aca="false">IF($B307="","",IF(COUNTIFS($B$3:$B307,$B307)&gt;1,"",$K307+$L307))</f>
        <v/>
      </c>
      <c r="N307" s="14" t="str">
        <f aca="false">IF($B307="","",COUNTIFS($B$3:$B307,$B307))</f>
        <v/>
      </c>
      <c r="O307" s="14" t="str">
        <f aca="false">IF($B307="","",$B307&amp;"|"&amp;$N307)</f>
        <v/>
      </c>
    </row>
    <row r="308" customFormat="false" ht="15" hidden="false" customHeight="false" outlineLevel="0" collapsed="false">
      <c r="A308" s="12"/>
      <c r="B308" s="9"/>
      <c r="C308" s="9"/>
      <c r="D308" s="9"/>
      <c r="E308" s="9"/>
      <c r="F308" s="9"/>
      <c r="G308" s="9"/>
      <c r="H308" s="7"/>
      <c r="I308" s="13" t="str">
        <f aca="false">IF(OR($G308="",$H308=""),"",ROUND($G308*$H308,0))</f>
        <v/>
      </c>
      <c r="J308" s="8"/>
      <c r="K308" s="13" t="str">
        <f aca="false">IF($B308="","",SUMIFS($I$3:$I$2002,$B$3:$B$2002,$B308))</f>
        <v/>
      </c>
      <c r="L308" s="13" t="str">
        <f aca="false">IF($B308="","",IF(COUNTIFS($B$3:$B308,$B308)&gt;1,0,IFERROR(LOOKUP($K308,배송비규정!$A$3:$A$32,배송비규정!$B$3:$B$32),0)+IFERROR(INDEX(지역추가비!$B$3:$B$42,MATCH($J308,지역추가비!$A$3:$A$42,0)),0)))</f>
        <v/>
      </c>
      <c r="M308" s="13" t="str">
        <f aca="false">IF($B308="","",IF(COUNTIFS($B$3:$B308,$B308)&gt;1,"",$K308+$L308))</f>
        <v/>
      </c>
      <c r="N308" s="14" t="str">
        <f aca="false">IF($B308="","",COUNTIFS($B$3:$B308,$B308))</f>
        <v/>
      </c>
      <c r="O308" s="14" t="str">
        <f aca="false">IF($B308="","",$B308&amp;"|"&amp;$N308)</f>
        <v/>
      </c>
    </row>
    <row r="309" customFormat="false" ht="15" hidden="false" customHeight="false" outlineLevel="0" collapsed="false">
      <c r="A309" s="12"/>
      <c r="B309" s="9"/>
      <c r="C309" s="9"/>
      <c r="D309" s="9"/>
      <c r="E309" s="9"/>
      <c r="F309" s="9"/>
      <c r="G309" s="9"/>
      <c r="H309" s="7"/>
      <c r="I309" s="13" t="str">
        <f aca="false">IF(OR($G309="",$H309=""),"",ROUND($G309*$H309,0))</f>
        <v/>
      </c>
      <c r="J309" s="8"/>
      <c r="K309" s="13" t="str">
        <f aca="false">IF($B309="","",SUMIFS($I$3:$I$2002,$B$3:$B$2002,$B309))</f>
        <v/>
      </c>
      <c r="L309" s="13" t="str">
        <f aca="false">IF($B309="","",IF(COUNTIFS($B$3:$B309,$B309)&gt;1,0,IFERROR(LOOKUP($K309,배송비규정!$A$3:$A$32,배송비규정!$B$3:$B$32),0)+IFERROR(INDEX(지역추가비!$B$3:$B$42,MATCH($J309,지역추가비!$A$3:$A$42,0)),0)))</f>
        <v/>
      </c>
      <c r="M309" s="13" t="str">
        <f aca="false">IF($B309="","",IF(COUNTIFS($B$3:$B309,$B309)&gt;1,"",$K309+$L309))</f>
        <v/>
      </c>
      <c r="N309" s="14" t="str">
        <f aca="false">IF($B309="","",COUNTIFS($B$3:$B309,$B309))</f>
        <v/>
      </c>
      <c r="O309" s="14" t="str">
        <f aca="false">IF($B309="","",$B309&amp;"|"&amp;$N309)</f>
        <v/>
      </c>
    </row>
    <row r="310" customFormat="false" ht="15" hidden="false" customHeight="false" outlineLevel="0" collapsed="false">
      <c r="A310" s="12"/>
      <c r="B310" s="9"/>
      <c r="C310" s="9"/>
      <c r="D310" s="9"/>
      <c r="E310" s="9"/>
      <c r="F310" s="9"/>
      <c r="G310" s="9"/>
      <c r="H310" s="7"/>
      <c r="I310" s="13" t="str">
        <f aca="false">IF(OR($G310="",$H310=""),"",ROUND($G310*$H310,0))</f>
        <v/>
      </c>
      <c r="J310" s="8"/>
      <c r="K310" s="13" t="str">
        <f aca="false">IF($B310="","",SUMIFS($I$3:$I$2002,$B$3:$B$2002,$B310))</f>
        <v/>
      </c>
      <c r="L310" s="13" t="str">
        <f aca="false">IF($B310="","",IF(COUNTIFS($B$3:$B310,$B310)&gt;1,0,IFERROR(LOOKUP($K310,배송비규정!$A$3:$A$32,배송비규정!$B$3:$B$32),0)+IFERROR(INDEX(지역추가비!$B$3:$B$42,MATCH($J310,지역추가비!$A$3:$A$42,0)),0)))</f>
        <v/>
      </c>
      <c r="M310" s="13" t="str">
        <f aca="false">IF($B310="","",IF(COUNTIFS($B$3:$B310,$B310)&gt;1,"",$K310+$L310))</f>
        <v/>
      </c>
      <c r="N310" s="14" t="str">
        <f aca="false">IF($B310="","",COUNTIFS($B$3:$B310,$B310))</f>
        <v/>
      </c>
      <c r="O310" s="14" t="str">
        <f aca="false">IF($B310="","",$B310&amp;"|"&amp;$N310)</f>
        <v/>
      </c>
    </row>
    <row r="311" customFormat="false" ht="15" hidden="false" customHeight="false" outlineLevel="0" collapsed="false">
      <c r="A311" s="12"/>
      <c r="B311" s="9"/>
      <c r="C311" s="9"/>
      <c r="D311" s="9"/>
      <c r="E311" s="9"/>
      <c r="F311" s="9"/>
      <c r="G311" s="9"/>
      <c r="H311" s="7"/>
      <c r="I311" s="13" t="str">
        <f aca="false">IF(OR($G311="",$H311=""),"",ROUND($G311*$H311,0))</f>
        <v/>
      </c>
      <c r="J311" s="8"/>
      <c r="K311" s="13" t="str">
        <f aca="false">IF($B311="","",SUMIFS($I$3:$I$2002,$B$3:$B$2002,$B311))</f>
        <v/>
      </c>
      <c r="L311" s="13" t="str">
        <f aca="false">IF($B311="","",IF(COUNTIFS($B$3:$B311,$B311)&gt;1,0,IFERROR(LOOKUP($K311,배송비규정!$A$3:$A$32,배송비규정!$B$3:$B$32),0)+IFERROR(INDEX(지역추가비!$B$3:$B$42,MATCH($J311,지역추가비!$A$3:$A$42,0)),0)))</f>
        <v/>
      </c>
      <c r="M311" s="13" t="str">
        <f aca="false">IF($B311="","",IF(COUNTIFS($B$3:$B311,$B311)&gt;1,"",$K311+$L311))</f>
        <v/>
      </c>
      <c r="N311" s="14" t="str">
        <f aca="false">IF($B311="","",COUNTIFS($B$3:$B311,$B311))</f>
        <v/>
      </c>
      <c r="O311" s="14" t="str">
        <f aca="false">IF($B311="","",$B311&amp;"|"&amp;$N311)</f>
        <v/>
      </c>
    </row>
    <row r="312" customFormat="false" ht="15" hidden="false" customHeight="false" outlineLevel="0" collapsed="false">
      <c r="A312" s="12"/>
      <c r="B312" s="9"/>
      <c r="C312" s="9"/>
      <c r="D312" s="9"/>
      <c r="E312" s="9"/>
      <c r="F312" s="9"/>
      <c r="G312" s="9"/>
      <c r="H312" s="7"/>
      <c r="I312" s="13" t="str">
        <f aca="false">IF(OR($G312="",$H312=""),"",ROUND($G312*$H312,0))</f>
        <v/>
      </c>
      <c r="J312" s="8"/>
      <c r="K312" s="13" t="str">
        <f aca="false">IF($B312="","",SUMIFS($I$3:$I$2002,$B$3:$B$2002,$B312))</f>
        <v/>
      </c>
      <c r="L312" s="13" t="str">
        <f aca="false">IF($B312="","",IF(COUNTIFS($B$3:$B312,$B312)&gt;1,0,IFERROR(LOOKUP($K312,배송비규정!$A$3:$A$32,배송비규정!$B$3:$B$32),0)+IFERROR(INDEX(지역추가비!$B$3:$B$42,MATCH($J312,지역추가비!$A$3:$A$42,0)),0)))</f>
        <v/>
      </c>
      <c r="M312" s="13" t="str">
        <f aca="false">IF($B312="","",IF(COUNTIFS($B$3:$B312,$B312)&gt;1,"",$K312+$L312))</f>
        <v/>
      </c>
      <c r="N312" s="14" t="str">
        <f aca="false">IF($B312="","",COUNTIFS($B$3:$B312,$B312))</f>
        <v/>
      </c>
      <c r="O312" s="14" t="str">
        <f aca="false">IF($B312="","",$B312&amp;"|"&amp;$N312)</f>
        <v/>
      </c>
    </row>
    <row r="313" customFormat="false" ht="15" hidden="false" customHeight="false" outlineLevel="0" collapsed="false">
      <c r="A313" s="12"/>
      <c r="B313" s="9"/>
      <c r="C313" s="9"/>
      <c r="D313" s="9"/>
      <c r="E313" s="9"/>
      <c r="F313" s="9"/>
      <c r="G313" s="9"/>
      <c r="H313" s="7"/>
      <c r="I313" s="13" t="str">
        <f aca="false">IF(OR($G313="",$H313=""),"",ROUND($G313*$H313,0))</f>
        <v/>
      </c>
      <c r="J313" s="8"/>
      <c r="K313" s="13" t="str">
        <f aca="false">IF($B313="","",SUMIFS($I$3:$I$2002,$B$3:$B$2002,$B313))</f>
        <v/>
      </c>
      <c r="L313" s="13" t="str">
        <f aca="false">IF($B313="","",IF(COUNTIFS($B$3:$B313,$B313)&gt;1,0,IFERROR(LOOKUP($K313,배송비규정!$A$3:$A$32,배송비규정!$B$3:$B$32),0)+IFERROR(INDEX(지역추가비!$B$3:$B$42,MATCH($J313,지역추가비!$A$3:$A$42,0)),0)))</f>
        <v/>
      </c>
      <c r="M313" s="13" t="str">
        <f aca="false">IF($B313="","",IF(COUNTIFS($B$3:$B313,$B313)&gt;1,"",$K313+$L313))</f>
        <v/>
      </c>
      <c r="N313" s="14" t="str">
        <f aca="false">IF($B313="","",COUNTIFS($B$3:$B313,$B313))</f>
        <v/>
      </c>
      <c r="O313" s="14" t="str">
        <f aca="false">IF($B313="","",$B313&amp;"|"&amp;$N313)</f>
        <v/>
      </c>
    </row>
    <row r="314" customFormat="false" ht="15" hidden="false" customHeight="false" outlineLevel="0" collapsed="false">
      <c r="A314" s="12"/>
      <c r="B314" s="9"/>
      <c r="C314" s="9"/>
      <c r="D314" s="9"/>
      <c r="E314" s="9"/>
      <c r="F314" s="9"/>
      <c r="G314" s="9"/>
      <c r="H314" s="7"/>
      <c r="I314" s="13" t="str">
        <f aca="false">IF(OR($G314="",$H314=""),"",ROUND($G314*$H314,0))</f>
        <v/>
      </c>
      <c r="J314" s="8"/>
      <c r="K314" s="13" t="str">
        <f aca="false">IF($B314="","",SUMIFS($I$3:$I$2002,$B$3:$B$2002,$B314))</f>
        <v/>
      </c>
      <c r="L314" s="13" t="str">
        <f aca="false">IF($B314="","",IF(COUNTIFS($B$3:$B314,$B314)&gt;1,0,IFERROR(LOOKUP($K314,배송비규정!$A$3:$A$32,배송비규정!$B$3:$B$32),0)+IFERROR(INDEX(지역추가비!$B$3:$B$42,MATCH($J314,지역추가비!$A$3:$A$42,0)),0)))</f>
        <v/>
      </c>
      <c r="M314" s="13" t="str">
        <f aca="false">IF($B314="","",IF(COUNTIFS($B$3:$B314,$B314)&gt;1,"",$K314+$L314))</f>
        <v/>
      </c>
      <c r="N314" s="14" t="str">
        <f aca="false">IF($B314="","",COUNTIFS($B$3:$B314,$B314))</f>
        <v/>
      </c>
      <c r="O314" s="14" t="str">
        <f aca="false">IF($B314="","",$B314&amp;"|"&amp;$N314)</f>
        <v/>
      </c>
    </row>
    <row r="315" customFormat="false" ht="15" hidden="false" customHeight="false" outlineLevel="0" collapsed="false">
      <c r="A315" s="12"/>
      <c r="B315" s="9"/>
      <c r="C315" s="9"/>
      <c r="D315" s="9"/>
      <c r="E315" s="9"/>
      <c r="F315" s="9"/>
      <c r="G315" s="9"/>
      <c r="H315" s="7"/>
      <c r="I315" s="13" t="str">
        <f aca="false">IF(OR($G315="",$H315=""),"",ROUND($G315*$H315,0))</f>
        <v/>
      </c>
      <c r="J315" s="8"/>
      <c r="K315" s="13" t="str">
        <f aca="false">IF($B315="","",SUMIFS($I$3:$I$2002,$B$3:$B$2002,$B315))</f>
        <v/>
      </c>
      <c r="L315" s="13" t="str">
        <f aca="false">IF($B315="","",IF(COUNTIFS($B$3:$B315,$B315)&gt;1,0,IFERROR(LOOKUP($K315,배송비규정!$A$3:$A$32,배송비규정!$B$3:$B$32),0)+IFERROR(INDEX(지역추가비!$B$3:$B$42,MATCH($J315,지역추가비!$A$3:$A$42,0)),0)))</f>
        <v/>
      </c>
      <c r="M315" s="13" t="str">
        <f aca="false">IF($B315="","",IF(COUNTIFS($B$3:$B315,$B315)&gt;1,"",$K315+$L315))</f>
        <v/>
      </c>
      <c r="N315" s="14" t="str">
        <f aca="false">IF($B315="","",COUNTIFS($B$3:$B315,$B315))</f>
        <v/>
      </c>
      <c r="O315" s="14" t="str">
        <f aca="false">IF($B315="","",$B315&amp;"|"&amp;$N315)</f>
        <v/>
      </c>
    </row>
    <row r="316" customFormat="false" ht="15" hidden="false" customHeight="false" outlineLevel="0" collapsed="false">
      <c r="A316" s="12"/>
      <c r="B316" s="9"/>
      <c r="C316" s="9"/>
      <c r="D316" s="9"/>
      <c r="E316" s="9"/>
      <c r="F316" s="9"/>
      <c r="G316" s="9"/>
      <c r="H316" s="7"/>
      <c r="I316" s="13" t="str">
        <f aca="false">IF(OR($G316="",$H316=""),"",ROUND($G316*$H316,0))</f>
        <v/>
      </c>
      <c r="J316" s="8"/>
      <c r="K316" s="13" t="str">
        <f aca="false">IF($B316="","",SUMIFS($I$3:$I$2002,$B$3:$B$2002,$B316))</f>
        <v/>
      </c>
      <c r="L316" s="13" t="str">
        <f aca="false">IF($B316="","",IF(COUNTIFS($B$3:$B316,$B316)&gt;1,0,IFERROR(LOOKUP($K316,배송비규정!$A$3:$A$32,배송비규정!$B$3:$B$32),0)+IFERROR(INDEX(지역추가비!$B$3:$B$42,MATCH($J316,지역추가비!$A$3:$A$42,0)),0)))</f>
        <v/>
      </c>
      <c r="M316" s="13" t="str">
        <f aca="false">IF($B316="","",IF(COUNTIFS($B$3:$B316,$B316)&gt;1,"",$K316+$L316))</f>
        <v/>
      </c>
      <c r="N316" s="14" t="str">
        <f aca="false">IF($B316="","",COUNTIFS($B$3:$B316,$B316))</f>
        <v/>
      </c>
      <c r="O316" s="14" t="str">
        <f aca="false">IF($B316="","",$B316&amp;"|"&amp;$N316)</f>
        <v/>
      </c>
    </row>
    <row r="317" customFormat="false" ht="15" hidden="false" customHeight="false" outlineLevel="0" collapsed="false">
      <c r="A317" s="12"/>
      <c r="B317" s="9"/>
      <c r="C317" s="9"/>
      <c r="D317" s="9"/>
      <c r="E317" s="9"/>
      <c r="F317" s="9"/>
      <c r="G317" s="9"/>
      <c r="H317" s="7"/>
      <c r="I317" s="13" t="str">
        <f aca="false">IF(OR($G317="",$H317=""),"",ROUND($G317*$H317,0))</f>
        <v/>
      </c>
      <c r="J317" s="8"/>
      <c r="K317" s="13" t="str">
        <f aca="false">IF($B317="","",SUMIFS($I$3:$I$2002,$B$3:$B$2002,$B317))</f>
        <v/>
      </c>
      <c r="L317" s="13" t="str">
        <f aca="false">IF($B317="","",IF(COUNTIFS($B$3:$B317,$B317)&gt;1,0,IFERROR(LOOKUP($K317,배송비규정!$A$3:$A$32,배송비규정!$B$3:$B$32),0)+IFERROR(INDEX(지역추가비!$B$3:$B$42,MATCH($J317,지역추가비!$A$3:$A$42,0)),0)))</f>
        <v/>
      </c>
      <c r="M317" s="13" t="str">
        <f aca="false">IF($B317="","",IF(COUNTIFS($B$3:$B317,$B317)&gt;1,"",$K317+$L317))</f>
        <v/>
      </c>
      <c r="N317" s="14" t="str">
        <f aca="false">IF($B317="","",COUNTIFS($B$3:$B317,$B317))</f>
        <v/>
      </c>
      <c r="O317" s="14" t="str">
        <f aca="false">IF($B317="","",$B317&amp;"|"&amp;$N317)</f>
        <v/>
      </c>
    </row>
    <row r="318" customFormat="false" ht="15" hidden="false" customHeight="false" outlineLevel="0" collapsed="false">
      <c r="A318" s="12"/>
      <c r="B318" s="9"/>
      <c r="C318" s="9"/>
      <c r="D318" s="9"/>
      <c r="E318" s="9"/>
      <c r="F318" s="9"/>
      <c r="G318" s="9"/>
      <c r="H318" s="7"/>
      <c r="I318" s="13" t="str">
        <f aca="false">IF(OR($G318="",$H318=""),"",ROUND($G318*$H318,0))</f>
        <v/>
      </c>
      <c r="J318" s="8"/>
      <c r="K318" s="13" t="str">
        <f aca="false">IF($B318="","",SUMIFS($I$3:$I$2002,$B$3:$B$2002,$B318))</f>
        <v/>
      </c>
      <c r="L318" s="13" t="str">
        <f aca="false">IF($B318="","",IF(COUNTIFS($B$3:$B318,$B318)&gt;1,0,IFERROR(LOOKUP($K318,배송비규정!$A$3:$A$32,배송비규정!$B$3:$B$32),0)+IFERROR(INDEX(지역추가비!$B$3:$B$42,MATCH($J318,지역추가비!$A$3:$A$42,0)),0)))</f>
        <v/>
      </c>
      <c r="M318" s="13" t="str">
        <f aca="false">IF($B318="","",IF(COUNTIFS($B$3:$B318,$B318)&gt;1,"",$K318+$L318))</f>
        <v/>
      </c>
      <c r="N318" s="14" t="str">
        <f aca="false">IF($B318="","",COUNTIFS($B$3:$B318,$B318))</f>
        <v/>
      </c>
      <c r="O318" s="14" t="str">
        <f aca="false">IF($B318="","",$B318&amp;"|"&amp;$N318)</f>
        <v/>
      </c>
    </row>
    <row r="319" customFormat="false" ht="15" hidden="false" customHeight="false" outlineLevel="0" collapsed="false">
      <c r="A319" s="12"/>
      <c r="B319" s="9"/>
      <c r="C319" s="9"/>
      <c r="D319" s="9"/>
      <c r="E319" s="9"/>
      <c r="F319" s="9"/>
      <c r="G319" s="9"/>
      <c r="H319" s="7"/>
      <c r="I319" s="13" t="str">
        <f aca="false">IF(OR($G319="",$H319=""),"",ROUND($G319*$H319,0))</f>
        <v/>
      </c>
      <c r="J319" s="8"/>
      <c r="K319" s="13" t="str">
        <f aca="false">IF($B319="","",SUMIFS($I$3:$I$2002,$B$3:$B$2002,$B319))</f>
        <v/>
      </c>
      <c r="L319" s="13" t="str">
        <f aca="false">IF($B319="","",IF(COUNTIFS($B$3:$B319,$B319)&gt;1,0,IFERROR(LOOKUP($K319,배송비규정!$A$3:$A$32,배송비규정!$B$3:$B$32),0)+IFERROR(INDEX(지역추가비!$B$3:$B$42,MATCH($J319,지역추가비!$A$3:$A$42,0)),0)))</f>
        <v/>
      </c>
      <c r="M319" s="13" t="str">
        <f aca="false">IF($B319="","",IF(COUNTIFS($B$3:$B319,$B319)&gt;1,"",$K319+$L319))</f>
        <v/>
      </c>
      <c r="N319" s="14" t="str">
        <f aca="false">IF($B319="","",COUNTIFS($B$3:$B319,$B319))</f>
        <v/>
      </c>
      <c r="O319" s="14" t="str">
        <f aca="false">IF($B319="","",$B319&amp;"|"&amp;$N319)</f>
        <v/>
      </c>
    </row>
    <row r="320" customFormat="false" ht="15" hidden="false" customHeight="false" outlineLevel="0" collapsed="false">
      <c r="A320" s="12"/>
      <c r="B320" s="9"/>
      <c r="C320" s="9"/>
      <c r="D320" s="9"/>
      <c r="E320" s="9"/>
      <c r="F320" s="9"/>
      <c r="G320" s="9"/>
      <c r="H320" s="7"/>
      <c r="I320" s="13" t="str">
        <f aca="false">IF(OR($G320="",$H320=""),"",ROUND($G320*$H320,0))</f>
        <v/>
      </c>
      <c r="J320" s="8"/>
      <c r="K320" s="13" t="str">
        <f aca="false">IF($B320="","",SUMIFS($I$3:$I$2002,$B$3:$B$2002,$B320))</f>
        <v/>
      </c>
      <c r="L320" s="13" t="str">
        <f aca="false">IF($B320="","",IF(COUNTIFS($B$3:$B320,$B320)&gt;1,0,IFERROR(LOOKUP($K320,배송비규정!$A$3:$A$32,배송비규정!$B$3:$B$32),0)+IFERROR(INDEX(지역추가비!$B$3:$B$42,MATCH($J320,지역추가비!$A$3:$A$42,0)),0)))</f>
        <v/>
      </c>
      <c r="M320" s="13" t="str">
        <f aca="false">IF($B320="","",IF(COUNTIFS($B$3:$B320,$B320)&gt;1,"",$K320+$L320))</f>
        <v/>
      </c>
      <c r="N320" s="14" t="str">
        <f aca="false">IF($B320="","",COUNTIFS($B$3:$B320,$B320))</f>
        <v/>
      </c>
      <c r="O320" s="14" t="str">
        <f aca="false">IF($B320="","",$B320&amp;"|"&amp;$N320)</f>
        <v/>
      </c>
    </row>
    <row r="321" customFormat="false" ht="15" hidden="false" customHeight="false" outlineLevel="0" collapsed="false">
      <c r="A321" s="12"/>
      <c r="B321" s="9"/>
      <c r="C321" s="9"/>
      <c r="D321" s="9"/>
      <c r="E321" s="9"/>
      <c r="F321" s="9"/>
      <c r="G321" s="9"/>
      <c r="H321" s="7"/>
      <c r="I321" s="13" t="str">
        <f aca="false">IF(OR($G321="",$H321=""),"",ROUND($G321*$H321,0))</f>
        <v/>
      </c>
      <c r="J321" s="8"/>
      <c r="K321" s="13" t="str">
        <f aca="false">IF($B321="","",SUMIFS($I$3:$I$2002,$B$3:$B$2002,$B321))</f>
        <v/>
      </c>
      <c r="L321" s="13" t="str">
        <f aca="false">IF($B321="","",IF(COUNTIFS($B$3:$B321,$B321)&gt;1,0,IFERROR(LOOKUP($K321,배송비규정!$A$3:$A$32,배송비규정!$B$3:$B$32),0)+IFERROR(INDEX(지역추가비!$B$3:$B$42,MATCH($J321,지역추가비!$A$3:$A$42,0)),0)))</f>
        <v/>
      </c>
      <c r="M321" s="13" t="str">
        <f aca="false">IF($B321="","",IF(COUNTIFS($B$3:$B321,$B321)&gt;1,"",$K321+$L321))</f>
        <v/>
      </c>
      <c r="N321" s="14" t="str">
        <f aca="false">IF($B321="","",COUNTIFS($B$3:$B321,$B321))</f>
        <v/>
      </c>
      <c r="O321" s="14" t="str">
        <f aca="false">IF($B321="","",$B321&amp;"|"&amp;$N321)</f>
        <v/>
      </c>
    </row>
    <row r="322" customFormat="false" ht="15" hidden="false" customHeight="false" outlineLevel="0" collapsed="false">
      <c r="A322" s="12"/>
      <c r="B322" s="9"/>
      <c r="C322" s="9"/>
      <c r="D322" s="9"/>
      <c r="E322" s="9"/>
      <c r="F322" s="9"/>
      <c r="G322" s="9"/>
      <c r="H322" s="7"/>
      <c r="I322" s="13" t="str">
        <f aca="false">IF(OR($G322="",$H322=""),"",ROUND($G322*$H322,0))</f>
        <v/>
      </c>
      <c r="J322" s="8"/>
      <c r="K322" s="13" t="str">
        <f aca="false">IF($B322="","",SUMIFS($I$3:$I$2002,$B$3:$B$2002,$B322))</f>
        <v/>
      </c>
      <c r="L322" s="13" t="str">
        <f aca="false">IF($B322="","",IF(COUNTIFS($B$3:$B322,$B322)&gt;1,0,IFERROR(LOOKUP($K322,배송비규정!$A$3:$A$32,배송비규정!$B$3:$B$32),0)+IFERROR(INDEX(지역추가비!$B$3:$B$42,MATCH($J322,지역추가비!$A$3:$A$42,0)),0)))</f>
        <v/>
      </c>
      <c r="M322" s="13" t="str">
        <f aca="false">IF($B322="","",IF(COUNTIFS($B$3:$B322,$B322)&gt;1,"",$K322+$L322))</f>
        <v/>
      </c>
      <c r="N322" s="14" t="str">
        <f aca="false">IF($B322="","",COUNTIFS($B$3:$B322,$B322))</f>
        <v/>
      </c>
      <c r="O322" s="14" t="str">
        <f aca="false">IF($B322="","",$B322&amp;"|"&amp;$N322)</f>
        <v/>
      </c>
    </row>
    <row r="323" customFormat="false" ht="15" hidden="false" customHeight="false" outlineLevel="0" collapsed="false">
      <c r="A323" s="12"/>
      <c r="B323" s="9"/>
      <c r="C323" s="9"/>
      <c r="D323" s="9"/>
      <c r="E323" s="9"/>
      <c r="F323" s="9"/>
      <c r="G323" s="9"/>
      <c r="H323" s="7"/>
      <c r="I323" s="13" t="str">
        <f aca="false">IF(OR($G323="",$H323=""),"",ROUND($G323*$H323,0))</f>
        <v/>
      </c>
      <c r="J323" s="8"/>
      <c r="K323" s="13" t="str">
        <f aca="false">IF($B323="","",SUMIFS($I$3:$I$2002,$B$3:$B$2002,$B323))</f>
        <v/>
      </c>
      <c r="L323" s="13" t="str">
        <f aca="false">IF($B323="","",IF(COUNTIFS($B$3:$B323,$B323)&gt;1,0,IFERROR(LOOKUP($K323,배송비규정!$A$3:$A$32,배송비규정!$B$3:$B$32),0)+IFERROR(INDEX(지역추가비!$B$3:$B$42,MATCH($J323,지역추가비!$A$3:$A$42,0)),0)))</f>
        <v/>
      </c>
      <c r="M323" s="13" t="str">
        <f aca="false">IF($B323="","",IF(COUNTIFS($B$3:$B323,$B323)&gt;1,"",$K323+$L323))</f>
        <v/>
      </c>
      <c r="N323" s="14" t="str">
        <f aca="false">IF($B323="","",COUNTIFS($B$3:$B323,$B323))</f>
        <v/>
      </c>
      <c r="O323" s="14" t="str">
        <f aca="false">IF($B323="","",$B323&amp;"|"&amp;$N323)</f>
        <v/>
      </c>
    </row>
    <row r="324" customFormat="false" ht="15" hidden="false" customHeight="false" outlineLevel="0" collapsed="false">
      <c r="A324" s="12"/>
      <c r="B324" s="9"/>
      <c r="C324" s="9"/>
      <c r="D324" s="9"/>
      <c r="E324" s="9"/>
      <c r="F324" s="9"/>
      <c r="G324" s="9"/>
      <c r="H324" s="7"/>
      <c r="I324" s="13" t="str">
        <f aca="false">IF(OR($G324="",$H324=""),"",ROUND($G324*$H324,0))</f>
        <v/>
      </c>
      <c r="J324" s="8"/>
      <c r="K324" s="13" t="str">
        <f aca="false">IF($B324="","",SUMIFS($I$3:$I$2002,$B$3:$B$2002,$B324))</f>
        <v/>
      </c>
      <c r="L324" s="13" t="str">
        <f aca="false">IF($B324="","",IF(COUNTIFS($B$3:$B324,$B324)&gt;1,0,IFERROR(LOOKUP($K324,배송비규정!$A$3:$A$32,배송비규정!$B$3:$B$32),0)+IFERROR(INDEX(지역추가비!$B$3:$B$42,MATCH($J324,지역추가비!$A$3:$A$42,0)),0)))</f>
        <v/>
      </c>
      <c r="M324" s="13" t="str">
        <f aca="false">IF($B324="","",IF(COUNTIFS($B$3:$B324,$B324)&gt;1,"",$K324+$L324))</f>
        <v/>
      </c>
      <c r="N324" s="14" t="str">
        <f aca="false">IF($B324="","",COUNTIFS($B$3:$B324,$B324))</f>
        <v/>
      </c>
      <c r="O324" s="14" t="str">
        <f aca="false">IF($B324="","",$B324&amp;"|"&amp;$N324)</f>
        <v/>
      </c>
    </row>
    <row r="325" customFormat="false" ht="15" hidden="false" customHeight="false" outlineLevel="0" collapsed="false">
      <c r="A325" s="12"/>
      <c r="B325" s="9"/>
      <c r="C325" s="9"/>
      <c r="D325" s="9"/>
      <c r="E325" s="9"/>
      <c r="F325" s="9"/>
      <c r="G325" s="9"/>
      <c r="H325" s="7"/>
      <c r="I325" s="13" t="str">
        <f aca="false">IF(OR($G325="",$H325=""),"",ROUND($G325*$H325,0))</f>
        <v/>
      </c>
      <c r="J325" s="8"/>
      <c r="K325" s="13" t="str">
        <f aca="false">IF($B325="","",SUMIFS($I$3:$I$2002,$B$3:$B$2002,$B325))</f>
        <v/>
      </c>
      <c r="L325" s="13" t="str">
        <f aca="false">IF($B325="","",IF(COUNTIFS($B$3:$B325,$B325)&gt;1,0,IFERROR(LOOKUP($K325,배송비규정!$A$3:$A$32,배송비규정!$B$3:$B$32),0)+IFERROR(INDEX(지역추가비!$B$3:$B$42,MATCH($J325,지역추가비!$A$3:$A$42,0)),0)))</f>
        <v/>
      </c>
      <c r="M325" s="13" t="str">
        <f aca="false">IF($B325="","",IF(COUNTIFS($B$3:$B325,$B325)&gt;1,"",$K325+$L325))</f>
        <v/>
      </c>
      <c r="N325" s="14" t="str">
        <f aca="false">IF($B325="","",COUNTIFS($B$3:$B325,$B325))</f>
        <v/>
      </c>
      <c r="O325" s="14" t="str">
        <f aca="false">IF($B325="","",$B325&amp;"|"&amp;$N325)</f>
        <v/>
      </c>
    </row>
    <row r="326" customFormat="false" ht="15" hidden="false" customHeight="false" outlineLevel="0" collapsed="false">
      <c r="A326" s="12"/>
      <c r="B326" s="9"/>
      <c r="C326" s="9"/>
      <c r="D326" s="9"/>
      <c r="E326" s="9"/>
      <c r="F326" s="9"/>
      <c r="G326" s="9"/>
      <c r="H326" s="7"/>
      <c r="I326" s="13" t="str">
        <f aca="false">IF(OR($G326="",$H326=""),"",ROUND($G326*$H326,0))</f>
        <v/>
      </c>
      <c r="J326" s="8"/>
      <c r="K326" s="13" t="str">
        <f aca="false">IF($B326="","",SUMIFS($I$3:$I$2002,$B$3:$B$2002,$B326))</f>
        <v/>
      </c>
      <c r="L326" s="13" t="str">
        <f aca="false">IF($B326="","",IF(COUNTIFS($B$3:$B326,$B326)&gt;1,0,IFERROR(LOOKUP($K326,배송비규정!$A$3:$A$32,배송비규정!$B$3:$B$32),0)+IFERROR(INDEX(지역추가비!$B$3:$B$42,MATCH($J326,지역추가비!$A$3:$A$42,0)),0)))</f>
        <v/>
      </c>
      <c r="M326" s="13" t="str">
        <f aca="false">IF($B326="","",IF(COUNTIFS($B$3:$B326,$B326)&gt;1,"",$K326+$L326))</f>
        <v/>
      </c>
      <c r="N326" s="14" t="str">
        <f aca="false">IF($B326="","",COUNTIFS($B$3:$B326,$B326))</f>
        <v/>
      </c>
      <c r="O326" s="14" t="str">
        <f aca="false">IF($B326="","",$B326&amp;"|"&amp;$N326)</f>
        <v/>
      </c>
    </row>
    <row r="327" customFormat="false" ht="15" hidden="false" customHeight="false" outlineLevel="0" collapsed="false">
      <c r="A327" s="12"/>
      <c r="B327" s="9"/>
      <c r="C327" s="9"/>
      <c r="D327" s="9"/>
      <c r="E327" s="9"/>
      <c r="F327" s="9"/>
      <c r="G327" s="9"/>
      <c r="H327" s="7"/>
      <c r="I327" s="13" t="str">
        <f aca="false">IF(OR($G327="",$H327=""),"",ROUND($G327*$H327,0))</f>
        <v/>
      </c>
      <c r="J327" s="8"/>
      <c r="K327" s="13" t="str">
        <f aca="false">IF($B327="","",SUMIFS($I$3:$I$2002,$B$3:$B$2002,$B327))</f>
        <v/>
      </c>
      <c r="L327" s="13" t="str">
        <f aca="false">IF($B327="","",IF(COUNTIFS($B$3:$B327,$B327)&gt;1,0,IFERROR(LOOKUP($K327,배송비규정!$A$3:$A$32,배송비규정!$B$3:$B$32),0)+IFERROR(INDEX(지역추가비!$B$3:$B$42,MATCH($J327,지역추가비!$A$3:$A$42,0)),0)))</f>
        <v/>
      </c>
      <c r="M327" s="13" t="str">
        <f aca="false">IF($B327="","",IF(COUNTIFS($B$3:$B327,$B327)&gt;1,"",$K327+$L327))</f>
        <v/>
      </c>
      <c r="N327" s="14" t="str">
        <f aca="false">IF($B327="","",COUNTIFS($B$3:$B327,$B327))</f>
        <v/>
      </c>
      <c r="O327" s="14" t="str">
        <f aca="false">IF($B327="","",$B327&amp;"|"&amp;$N327)</f>
        <v/>
      </c>
    </row>
    <row r="328" customFormat="false" ht="15" hidden="false" customHeight="false" outlineLevel="0" collapsed="false">
      <c r="A328" s="12"/>
      <c r="B328" s="9"/>
      <c r="C328" s="9"/>
      <c r="D328" s="9"/>
      <c r="E328" s="9"/>
      <c r="F328" s="9"/>
      <c r="G328" s="9"/>
      <c r="H328" s="7"/>
      <c r="I328" s="13" t="str">
        <f aca="false">IF(OR($G328="",$H328=""),"",ROUND($G328*$H328,0))</f>
        <v/>
      </c>
      <c r="J328" s="8"/>
      <c r="K328" s="13" t="str">
        <f aca="false">IF($B328="","",SUMIFS($I$3:$I$2002,$B$3:$B$2002,$B328))</f>
        <v/>
      </c>
      <c r="L328" s="13" t="str">
        <f aca="false">IF($B328="","",IF(COUNTIFS($B$3:$B328,$B328)&gt;1,0,IFERROR(LOOKUP($K328,배송비규정!$A$3:$A$32,배송비규정!$B$3:$B$32),0)+IFERROR(INDEX(지역추가비!$B$3:$B$42,MATCH($J328,지역추가비!$A$3:$A$42,0)),0)))</f>
        <v/>
      </c>
      <c r="M328" s="13" t="str">
        <f aca="false">IF($B328="","",IF(COUNTIFS($B$3:$B328,$B328)&gt;1,"",$K328+$L328))</f>
        <v/>
      </c>
      <c r="N328" s="14" t="str">
        <f aca="false">IF($B328="","",COUNTIFS($B$3:$B328,$B328))</f>
        <v/>
      </c>
      <c r="O328" s="14" t="str">
        <f aca="false">IF($B328="","",$B328&amp;"|"&amp;$N328)</f>
        <v/>
      </c>
    </row>
    <row r="329" customFormat="false" ht="15" hidden="false" customHeight="false" outlineLevel="0" collapsed="false">
      <c r="A329" s="12"/>
      <c r="B329" s="9"/>
      <c r="C329" s="9"/>
      <c r="D329" s="9"/>
      <c r="E329" s="9"/>
      <c r="F329" s="9"/>
      <c r="G329" s="9"/>
      <c r="H329" s="7"/>
      <c r="I329" s="13" t="str">
        <f aca="false">IF(OR($G329="",$H329=""),"",ROUND($G329*$H329,0))</f>
        <v/>
      </c>
      <c r="J329" s="8"/>
      <c r="K329" s="13" t="str">
        <f aca="false">IF($B329="","",SUMIFS($I$3:$I$2002,$B$3:$B$2002,$B329))</f>
        <v/>
      </c>
      <c r="L329" s="13" t="str">
        <f aca="false">IF($B329="","",IF(COUNTIFS($B$3:$B329,$B329)&gt;1,0,IFERROR(LOOKUP($K329,배송비규정!$A$3:$A$32,배송비규정!$B$3:$B$32),0)+IFERROR(INDEX(지역추가비!$B$3:$B$42,MATCH($J329,지역추가비!$A$3:$A$42,0)),0)))</f>
        <v/>
      </c>
      <c r="M329" s="13" t="str">
        <f aca="false">IF($B329="","",IF(COUNTIFS($B$3:$B329,$B329)&gt;1,"",$K329+$L329))</f>
        <v/>
      </c>
      <c r="N329" s="14" t="str">
        <f aca="false">IF($B329="","",COUNTIFS($B$3:$B329,$B329))</f>
        <v/>
      </c>
      <c r="O329" s="14" t="str">
        <f aca="false">IF($B329="","",$B329&amp;"|"&amp;$N329)</f>
        <v/>
      </c>
    </row>
    <row r="330" customFormat="false" ht="15" hidden="false" customHeight="false" outlineLevel="0" collapsed="false">
      <c r="A330" s="12"/>
      <c r="B330" s="9"/>
      <c r="C330" s="9"/>
      <c r="D330" s="9"/>
      <c r="E330" s="9"/>
      <c r="F330" s="9"/>
      <c r="G330" s="9"/>
      <c r="H330" s="7"/>
      <c r="I330" s="13" t="str">
        <f aca="false">IF(OR($G330="",$H330=""),"",ROUND($G330*$H330,0))</f>
        <v/>
      </c>
      <c r="J330" s="8"/>
      <c r="K330" s="13" t="str">
        <f aca="false">IF($B330="","",SUMIFS($I$3:$I$2002,$B$3:$B$2002,$B330))</f>
        <v/>
      </c>
      <c r="L330" s="13" t="str">
        <f aca="false">IF($B330="","",IF(COUNTIFS($B$3:$B330,$B330)&gt;1,0,IFERROR(LOOKUP($K330,배송비규정!$A$3:$A$32,배송비규정!$B$3:$B$32),0)+IFERROR(INDEX(지역추가비!$B$3:$B$42,MATCH($J330,지역추가비!$A$3:$A$42,0)),0)))</f>
        <v/>
      </c>
      <c r="M330" s="13" t="str">
        <f aca="false">IF($B330="","",IF(COUNTIFS($B$3:$B330,$B330)&gt;1,"",$K330+$L330))</f>
        <v/>
      </c>
      <c r="N330" s="14" t="str">
        <f aca="false">IF($B330="","",COUNTIFS($B$3:$B330,$B330))</f>
        <v/>
      </c>
      <c r="O330" s="14" t="str">
        <f aca="false">IF($B330="","",$B330&amp;"|"&amp;$N330)</f>
        <v/>
      </c>
    </row>
    <row r="331" customFormat="false" ht="15" hidden="false" customHeight="false" outlineLevel="0" collapsed="false">
      <c r="A331" s="12"/>
      <c r="B331" s="9"/>
      <c r="C331" s="9"/>
      <c r="D331" s="9"/>
      <c r="E331" s="9"/>
      <c r="F331" s="9"/>
      <c r="G331" s="9"/>
      <c r="H331" s="7"/>
      <c r="I331" s="13" t="str">
        <f aca="false">IF(OR($G331="",$H331=""),"",ROUND($G331*$H331,0))</f>
        <v/>
      </c>
      <c r="J331" s="8"/>
      <c r="K331" s="13" t="str">
        <f aca="false">IF($B331="","",SUMIFS($I$3:$I$2002,$B$3:$B$2002,$B331))</f>
        <v/>
      </c>
      <c r="L331" s="13" t="str">
        <f aca="false">IF($B331="","",IF(COUNTIFS($B$3:$B331,$B331)&gt;1,0,IFERROR(LOOKUP($K331,배송비규정!$A$3:$A$32,배송비규정!$B$3:$B$32),0)+IFERROR(INDEX(지역추가비!$B$3:$B$42,MATCH($J331,지역추가비!$A$3:$A$42,0)),0)))</f>
        <v/>
      </c>
      <c r="M331" s="13" t="str">
        <f aca="false">IF($B331="","",IF(COUNTIFS($B$3:$B331,$B331)&gt;1,"",$K331+$L331))</f>
        <v/>
      </c>
      <c r="N331" s="14" t="str">
        <f aca="false">IF($B331="","",COUNTIFS($B$3:$B331,$B331))</f>
        <v/>
      </c>
      <c r="O331" s="14" t="str">
        <f aca="false">IF($B331="","",$B331&amp;"|"&amp;$N331)</f>
        <v/>
      </c>
    </row>
    <row r="332" customFormat="false" ht="15" hidden="false" customHeight="false" outlineLevel="0" collapsed="false">
      <c r="A332" s="12"/>
      <c r="B332" s="9"/>
      <c r="C332" s="9"/>
      <c r="D332" s="9"/>
      <c r="E332" s="9"/>
      <c r="F332" s="9"/>
      <c r="G332" s="9"/>
      <c r="H332" s="7"/>
      <c r="I332" s="13" t="str">
        <f aca="false">IF(OR($G332="",$H332=""),"",ROUND($G332*$H332,0))</f>
        <v/>
      </c>
      <c r="J332" s="8"/>
      <c r="K332" s="13" t="str">
        <f aca="false">IF($B332="","",SUMIFS($I$3:$I$2002,$B$3:$B$2002,$B332))</f>
        <v/>
      </c>
      <c r="L332" s="13" t="str">
        <f aca="false">IF($B332="","",IF(COUNTIFS($B$3:$B332,$B332)&gt;1,0,IFERROR(LOOKUP($K332,배송비규정!$A$3:$A$32,배송비규정!$B$3:$B$32),0)+IFERROR(INDEX(지역추가비!$B$3:$B$42,MATCH($J332,지역추가비!$A$3:$A$42,0)),0)))</f>
        <v/>
      </c>
      <c r="M332" s="13" t="str">
        <f aca="false">IF($B332="","",IF(COUNTIFS($B$3:$B332,$B332)&gt;1,"",$K332+$L332))</f>
        <v/>
      </c>
      <c r="N332" s="14" t="str">
        <f aca="false">IF($B332="","",COUNTIFS($B$3:$B332,$B332))</f>
        <v/>
      </c>
      <c r="O332" s="14" t="str">
        <f aca="false">IF($B332="","",$B332&amp;"|"&amp;$N332)</f>
        <v/>
      </c>
    </row>
    <row r="333" customFormat="false" ht="15" hidden="false" customHeight="false" outlineLevel="0" collapsed="false">
      <c r="A333" s="12"/>
      <c r="B333" s="9"/>
      <c r="C333" s="9"/>
      <c r="D333" s="9"/>
      <c r="E333" s="9"/>
      <c r="F333" s="9"/>
      <c r="G333" s="9"/>
      <c r="H333" s="7"/>
      <c r="I333" s="13" t="str">
        <f aca="false">IF(OR($G333="",$H333=""),"",ROUND($G333*$H333,0))</f>
        <v/>
      </c>
      <c r="J333" s="8"/>
      <c r="K333" s="13" t="str">
        <f aca="false">IF($B333="","",SUMIFS($I$3:$I$2002,$B$3:$B$2002,$B333))</f>
        <v/>
      </c>
      <c r="L333" s="13" t="str">
        <f aca="false">IF($B333="","",IF(COUNTIFS($B$3:$B333,$B333)&gt;1,0,IFERROR(LOOKUP($K333,배송비규정!$A$3:$A$32,배송비규정!$B$3:$B$32),0)+IFERROR(INDEX(지역추가비!$B$3:$B$42,MATCH($J333,지역추가비!$A$3:$A$42,0)),0)))</f>
        <v/>
      </c>
      <c r="M333" s="13" t="str">
        <f aca="false">IF($B333="","",IF(COUNTIFS($B$3:$B333,$B333)&gt;1,"",$K333+$L333))</f>
        <v/>
      </c>
      <c r="N333" s="14" t="str">
        <f aca="false">IF($B333="","",COUNTIFS($B$3:$B333,$B333))</f>
        <v/>
      </c>
      <c r="O333" s="14" t="str">
        <f aca="false">IF($B333="","",$B333&amp;"|"&amp;$N333)</f>
        <v/>
      </c>
    </row>
    <row r="334" customFormat="false" ht="15" hidden="false" customHeight="false" outlineLevel="0" collapsed="false">
      <c r="A334" s="12"/>
      <c r="B334" s="9"/>
      <c r="C334" s="9"/>
      <c r="D334" s="9"/>
      <c r="E334" s="9"/>
      <c r="F334" s="9"/>
      <c r="G334" s="9"/>
      <c r="H334" s="7"/>
      <c r="I334" s="13" t="str">
        <f aca="false">IF(OR($G334="",$H334=""),"",ROUND($G334*$H334,0))</f>
        <v/>
      </c>
      <c r="J334" s="8"/>
      <c r="K334" s="13" t="str">
        <f aca="false">IF($B334="","",SUMIFS($I$3:$I$2002,$B$3:$B$2002,$B334))</f>
        <v/>
      </c>
      <c r="L334" s="13" t="str">
        <f aca="false">IF($B334="","",IF(COUNTIFS($B$3:$B334,$B334)&gt;1,0,IFERROR(LOOKUP($K334,배송비규정!$A$3:$A$32,배송비규정!$B$3:$B$32),0)+IFERROR(INDEX(지역추가비!$B$3:$B$42,MATCH($J334,지역추가비!$A$3:$A$42,0)),0)))</f>
        <v/>
      </c>
      <c r="M334" s="13" t="str">
        <f aca="false">IF($B334="","",IF(COUNTIFS($B$3:$B334,$B334)&gt;1,"",$K334+$L334))</f>
        <v/>
      </c>
      <c r="N334" s="14" t="str">
        <f aca="false">IF($B334="","",COUNTIFS($B$3:$B334,$B334))</f>
        <v/>
      </c>
      <c r="O334" s="14" t="str">
        <f aca="false">IF($B334="","",$B334&amp;"|"&amp;$N334)</f>
        <v/>
      </c>
    </row>
    <row r="335" customFormat="false" ht="15" hidden="false" customHeight="false" outlineLevel="0" collapsed="false">
      <c r="A335" s="12"/>
      <c r="B335" s="9"/>
      <c r="C335" s="9"/>
      <c r="D335" s="9"/>
      <c r="E335" s="9"/>
      <c r="F335" s="9"/>
      <c r="G335" s="9"/>
      <c r="H335" s="7"/>
      <c r="I335" s="13" t="str">
        <f aca="false">IF(OR($G335="",$H335=""),"",ROUND($G335*$H335,0))</f>
        <v/>
      </c>
      <c r="J335" s="8"/>
      <c r="K335" s="13" t="str">
        <f aca="false">IF($B335="","",SUMIFS($I$3:$I$2002,$B$3:$B$2002,$B335))</f>
        <v/>
      </c>
      <c r="L335" s="13" t="str">
        <f aca="false">IF($B335="","",IF(COUNTIFS($B$3:$B335,$B335)&gt;1,0,IFERROR(LOOKUP($K335,배송비규정!$A$3:$A$32,배송비규정!$B$3:$B$32),0)+IFERROR(INDEX(지역추가비!$B$3:$B$42,MATCH($J335,지역추가비!$A$3:$A$42,0)),0)))</f>
        <v/>
      </c>
      <c r="M335" s="13" t="str">
        <f aca="false">IF($B335="","",IF(COUNTIFS($B$3:$B335,$B335)&gt;1,"",$K335+$L335))</f>
        <v/>
      </c>
      <c r="N335" s="14" t="str">
        <f aca="false">IF($B335="","",COUNTIFS($B$3:$B335,$B335))</f>
        <v/>
      </c>
      <c r="O335" s="14" t="str">
        <f aca="false">IF($B335="","",$B335&amp;"|"&amp;$N335)</f>
        <v/>
      </c>
    </row>
    <row r="336" customFormat="false" ht="15" hidden="false" customHeight="false" outlineLevel="0" collapsed="false">
      <c r="A336" s="12"/>
      <c r="B336" s="9"/>
      <c r="C336" s="9"/>
      <c r="D336" s="9"/>
      <c r="E336" s="9"/>
      <c r="F336" s="9"/>
      <c r="G336" s="9"/>
      <c r="H336" s="7"/>
      <c r="I336" s="13" t="str">
        <f aca="false">IF(OR($G336="",$H336=""),"",ROUND($G336*$H336,0))</f>
        <v/>
      </c>
      <c r="J336" s="8"/>
      <c r="K336" s="13" t="str">
        <f aca="false">IF($B336="","",SUMIFS($I$3:$I$2002,$B$3:$B$2002,$B336))</f>
        <v/>
      </c>
      <c r="L336" s="13" t="str">
        <f aca="false">IF($B336="","",IF(COUNTIFS($B$3:$B336,$B336)&gt;1,0,IFERROR(LOOKUP($K336,배송비규정!$A$3:$A$32,배송비규정!$B$3:$B$32),0)+IFERROR(INDEX(지역추가비!$B$3:$B$42,MATCH($J336,지역추가비!$A$3:$A$42,0)),0)))</f>
        <v/>
      </c>
      <c r="M336" s="13" t="str">
        <f aca="false">IF($B336="","",IF(COUNTIFS($B$3:$B336,$B336)&gt;1,"",$K336+$L336))</f>
        <v/>
      </c>
      <c r="N336" s="14" t="str">
        <f aca="false">IF($B336="","",COUNTIFS($B$3:$B336,$B336))</f>
        <v/>
      </c>
      <c r="O336" s="14" t="str">
        <f aca="false">IF($B336="","",$B336&amp;"|"&amp;$N336)</f>
        <v/>
      </c>
    </row>
    <row r="337" customFormat="false" ht="15" hidden="false" customHeight="false" outlineLevel="0" collapsed="false">
      <c r="A337" s="12"/>
      <c r="B337" s="9"/>
      <c r="C337" s="9"/>
      <c r="D337" s="9"/>
      <c r="E337" s="9"/>
      <c r="F337" s="9"/>
      <c r="G337" s="9"/>
      <c r="H337" s="7"/>
      <c r="I337" s="13" t="str">
        <f aca="false">IF(OR($G337="",$H337=""),"",ROUND($G337*$H337,0))</f>
        <v/>
      </c>
      <c r="J337" s="8"/>
      <c r="K337" s="13" t="str">
        <f aca="false">IF($B337="","",SUMIFS($I$3:$I$2002,$B$3:$B$2002,$B337))</f>
        <v/>
      </c>
      <c r="L337" s="13" t="str">
        <f aca="false">IF($B337="","",IF(COUNTIFS($B$3:$B337,$B337)&gt;1,0,IFERROR(LOOKUP($K337,배송비규정!$A$3:$A$32,배송비규정!$B$3:$B$32),0)+IFERROR(INDEX(지역추가비!$B$3:$B$42,MATCH($J337,지역추가비!$A$3:$A$42,0)),0)))</f>
        <v/>
      </c>
      <c r="M337" s="13" t="str">
        <f aca="false">IF($B337="","",IF(COUNTIFS($B$3:$B337,$B337)&gt;1,"",$K337+$L337))</f>
        <v/>
      </c>
      <c r="N337" s="14" t="str">
        <f aca="false">IF($B337="","",COUNTIFS($B$3:$B337,$B337))</f>
        <v/>
      </c>
      <c r="O337" s="14" t="str">
        <f aca="false">IF($B337="","",$B337&amp;"|"&amp;$N337)</f>
        <v/>
      </c>
    </row>
    <row r="338" customFormat="false" ht="15" hidden="false" customHeight="false" outlineLevel="0" collapsed="false">
      <c r="A338" s="12"/>
      <c r="B338" s="9"/>
      <c r="C338" s="9"/>
      <c r="D338" s="9"/>
      <c r="E338" s="9"/>
      <c r="F338" s="9"/>
      <c r="G338" s="9"/>
      <c r="H338" s="7"/>
      <c r="I338" s="13" t="str">
        <f aca="false">IF(OR($G338="",$H338=""),"",ROUND($G338*$H338,0))</f>
        <v/>
      </c>
      <c r="J338" s="8"/>
      <c r="K338" s="13" t="str">
        <f aca="false">IF($B338="","",SUMIFS($I$3:$I$2002,$B$3:$B$2002,$B338))</f>
        <v/>
      </c>
      <c r="L338" s="13" t="str">
        <f aca="false">IF($B338="","",IF(COUNTIFS($B$3:$B338,$B338)&gt;1,0,IFERROR(LOOKUP($K338,배송비규정!$A$3:$A$32,배송비규정!$B$3:$B$32),0)+IFERROR(INDEX(지역추가비!$B$3:$B$42,MATCH($J338,지역추가비!$A$3:$A$42,0)),0)))</f>
        <v/>
      </c>
      <c r="M338" s="13" t="str">
        <f aca="false">IF($B338="","",IF(COUNTIFS($B$3:$B338,$B338)&gt;1,"",$K338+$L338))</f>
        <v/>
      </c>
      <c r="N338" s="14" t="str">
        <f aca="false">IF($B338="","",COUNTIFS($B$3:$B338,$B338))</f>
        <v/>
      </c>
      <c r="O338" s="14" t="str">
        <f aca="false">IF($B338="","",$B338&amp;"|"&amp;$N338)</f>
        <v/>
      </c>
    </row>
    <row r="339" customFormat="false" ht="15" hidden="false" customHeight="false" outlineLevel="0" collapsed="false">
      <c r="A339" s="12"/>
      <c r="B339" s="9"/>
      <c r="C339" s="9"/>
      <c r="D339" s="9"/>
      <c r="E339" s="9"/>
      <c r="F339" s="9"/>
      <c r="G339" s="9"/>
      <c r="H339" s="7"/>
      <c r="I339" s="13" t="str">
        <f aca="false">IF(OR($G339="",$H339=""),"",ROUND($G339*$H339,0))</f>
        <v/>
      </c>
      <c r="J339" s="8"/>
      <c r="K339" s="13" t="str">
        <f aca="false">IF($B339="","",SUMIFS($I$3:$I$2002,$B$3:$B$2002,$B339))</f>
        <v/>
      </c>
      <c r="L339" s="13" t="str">
        <f aca="false">IF($B339="","",IF(COUNTIFS($B$3:$B339,$B339)&gt;1,0,IFERROR(LOOKUP($K339,배송비규정!$A$3:$A$32,배송비규정!$B$3:$B$32),0)+IFERROR(INDEX(지역추가비!$B$3:$B$42,MATCH($J339,지역추가비!$A$3:$A$42,0)),0)))</f>
        <v/>
      </c>
      <c r="M339" s="13" t="str">
        <f aca="false">IF($B339="","",IF(COUNTIFS($B$3:$B339,$B339)&gt;1,"",$K339+$L339))</f>
        <v/>
      </c>
      <c r="N339" s="14" t="str">
        <f aca="false">IF($B339="","",COUNTIFS($B$3:$B339,$B339))</f>
        <v/>
      </c>
      <c r="O339" s="14" t="str">
        <f aca="false">IF($B339="","",$B339&amp;"|"&amp;$N339)</f>
        <v/>
      </c>
    </row>
    <row r="340" customFormat="false" ht="15" hidden="false" customHeight="false" outlineLevel="0" collapsed="false">
      <c r="A340" s="12"/>
      <c r="B340" s="9"/>
      <c r="C340" s="9"/>
      <c r="D340" s="9"/>
      <c r="E340" s="9"/>
      <c r="F340" s="9"/>
      <c r="G340" s="9"/>
      <c r="H340" s="7"/>
      <c r="I340" s="13" t="str">
        <f aca="false">IF(OR($G340="",$H340=""),"",ROUND($G340*$H340,0))</f>
        <v/>
      </c>
      <c r="J340" s="8"/>
      <c r="K340" s="13" t="str">
        <f aca="false">IF($B340="","",SUMIFS($I$3:$I$2002,$B$3:$B$2002,$B340))</f>
        <v/>
      </c>
      <c r="L340" s="13" t="str">
        <f aca="false">IF($B340="","",IF(COUNTIFS($B$3:$B340,$B340)&gt;1,0,IFERROR(LOOKUP($K340,배송비규정!$A$3:$A$32,배송비규정!$B$3:$B$32),0)+IFERROR(INDEX(지역추가비!$B$3:$B$42,MATCH($J340,지역추가비!$A$3:$A$42,0)),0)))</f>
        <v/>
      </c>
      <c r="M340" s="13" t="str">
        <f aca="false">IF($B340="","",IF(COUNTIFS($B$3:$B340,$B340)&gt;1,"",$K340+$L340))</f>
        <v/>
      </c>
      <c r="N340" s="14" t="str">
        <f aca="false">IF($B340="","",COUNTIFS($B$3:$B340,$B340))</f>
        <v/>
      </c>
      <c r="O340" s="14" t="str">
        <f aca="false">IF($B340="","",$B340&amp;"|"&amp;$N340)</f>
        <v/>
      </c>
    </row>
    <row r="341" customFormat="false" ht="15" hidden="false" customHeight="false" outlineLevel="0" collapsed="false">
      <c r="A341" s="12"/>
      <c r="B341" s="9"/>
      <c r="C341" s="9"/>
      <c r="D341" s="9"/>
      <c r="E341" s="9"/>
      <c r="F341" s="9"/>
      <c r="G341" s="9"/>
      <c r="H341" s="7"/>
      <c r="I341" s="13" t="str">
        <f aca="false">IF(OR($G341="",$H341=""),"",ROUND($G341*$H341,0))</f>
        <v/>
      </c>
      <c r="J341" s="8"/>
      <c r="K341" s="13" t="str">
        <f aca="false">IF($B341="","",SUMIFS($I$3:$I$2002,$B$3:$B$2002,$B341))</f>
        <v/>
      </c>
      <c r="L341" s="13" t="str">
        <f aca="false">IF($B341="","",IF(COUNTIFS($B$3:$B341,$B341)&gt;1,0,IFERROR(LOOKUP($K341,배송비규정!$A$3:$A$32,배송비규정!$B$3:$B$32),0)+IFERROR(INDEX(지역추가비!$B$3:$B$42,MATCH($J341,지역추가비!$A$3:$A$42,0)),0)))</f>
        <v/>
      </c>
      <c r="M341" s="13" t="str">
        <f aca="false">IF($B341="","",IF(COUNTIFS($B$3:$B341,$B341)&gt;1,"",$K341+$L341))</f>
        <v/>
      </c>
      <c r="N341" s="14" t="str">
        <f aca="false">IF($B341="","",COUNTIFS($B$3:$B341,$B341))</f>
        <v/>
      </c>
      <c r="O341" s="14" t="str">
        <f aca="false">IF($B341="","",$B341&amp;"|"&amp;$N341)</f>
        <v/>
      </c>
    </row>
    <row r="342" customFormat="false" ht="15" hidden="false" customHeight="false" outlineLevel="0" collapsed="false">
      <c r="A342" s="12"/>
      <c r="B342" s="9"/>
      <c r="C342" s="9"/>
      <c r="D342" s="9"/>
      <c r="E342" s="9"/>
      <c r="F342" s="9"/>
      <c r="G342" s="9"/>
      <c r="H342" s="7"/>
      <c r="I342" s="13" t="str">
        <f aca="false">IF(OR($G342="",$H342=""),"",ROUND($G342*$H342,0))</f>
        <v/>
      </c>
      <c r="J342" s="8"/>
      <c r="K342" s="13" t="str">
        <f aca="false">IF($B342="","",SUMIFS($I$3:$I$2002,$B$3:$B$2002,$B342))</f>
        <v/>
      </c>
      <c r="L342" s="13" t="str">
        <f aca="false">IF($B342="","",IF(COUNTIFS($B$3:$B342,$B342)&gt;1,0,IFERROR(LOOKUP($K342,배송비규정!$A$3:$A$32,배송비규정!$B$3:$B$32),0)+IFERROR(INDEX(지역추가비!$B$3:$B$42,MATCH($J342,지역추가비!$A$3:$A$42,0)),0)))</f>
        <v/>
      </c>
      <c r="M342" s="13" t="str">
        <f aca="false">IF($B342="","",IF(COUNTIFS($B$3:$B342,$B342)&gt;1,"",$K342+$L342))</f>
        <v/>
      </c>
      <c r="N342" s="14" t="str">
        <f aca="false">IF($B342="","",COUNTIFS($B$3:$B342,$B342))</f>
        <v/>
      </c>
      <c r="O342" s="14" t="str">
        <f aca="false">IF($B342="","",$B342&amp;"|"&amp;$N342)</f>
        <v/>
      </c>
    </row>
    <row r="343" customFormat="false" ht="15" hidden="false" customHeight="false" outlineLevel="0" collapsed="false">
      <c r="A343" s="12"/>
      <c r="B343" s="9"/>
      <c r="C343" s="9"/>
      <c r="D343" s="9"/>
      <c r="E343" s="9"/>
      <c r="F343" s="9"/>
      <c r="G343" s="9"/>
      <c r="H343" s="7"/>
      <c r="I343" s="13" t="str">
        <f aca="false">IF(OR($G343="",$H343=""),"",ROUND($G343*$H343,0))</f>
        <v/>
      </c>
      <c r="J343" s="8"/>
      <c r="K343" s="13" t="str">
        <f aca="false">IF($B343="","",SUMIFS($I$3:$I$2002,$B$3:$B$2002,$B343))</f>
        <v/>
      </c>
      <c r="L343" s="13" t="str">
        <f aca="false">IF($B343="","",IF(COUNTIFS($B$3:$B343,$B343)&gt;1,0,IFERROR(LOOKUP($K343,배송비규정!$A$3:$A$32,배송비규정!$B$3:$B$32),0)+IFERROR(INDEX(지역추가비!$B$3:$B$42,MATCH($J343,지역추가비!$A$3:$A$42,0)),0)))</f>
        <v/>
      </c>
      <c r="M343" s="13" t="str">
        <f aca="false">IF($B343="","",IF(COUNTIFS($B$3:$B343,$B343)&gt;1,"",$K343+$L343))</f>
        <v/>
      </c>
      <c r="N343" s="14" t="str">
        <f aca="false">IF($B343="","",COUNTIFS($B$3:$B343,$B343))</f>
        <v/>
      </c>
      <c r="O343" s="14" t="str">
        <f aca="false">IF($B343="","",$B343&amp;"|"&amp;$N343)</f>
        <v/>
      </c>
    </row>
    <row r="344" customFormat="false" ht="15" hidden="false" customHeight="false" outlineLevel="0" collapsed="false">
      <c r="A344" s="12"/>
      <c r="B344" s="9"/>
      <c r="C344" s="9"/>
      <c r="D344" s="9"/>
      <c r="E344" s="9"/>
      <c r="F344" s="9"/>
      <c r="G344" s="9"/>
      <c r="H344" s="7"/>
      <c r="I344" s="13" t="str">
        <f aca="false">IF(OR($G344="",$H344=""),"",ROUND($G344*$H344,0))</f>
        <v/>
      </c>
      <c r="J344" s="8"/>
      <c r="K344" s="13" t="str">
        <f aca="false">IF($B344="","",SUMIFS($I$3:$I$2002,$B$3:$B$2002,$B344))</f>
        <v/>
      </c>
      <c r="L344" s="13" t="str">
        <f aca="false">IF($B344="","",IF(COUNTIFS($B$3:$B344,$B344)&gt;1,0,IFERROR(LOOKUP($K344,배송비규정!$A$3:$A$32,배송비규정!$B$3:$B$32),0)+IFERROR(INDEX(지역추가비!$B$3:$B$42,MATCH($J344,지역추가비!$A$3:$A$42,0)),0)))</f>
        <v/>
      </c>
      <c r="M344" s="13" t="str">
        <f aca="false">IF($B344="","",IF(COUNTIFS($B$3:$B344,$B344)&gt;1,"",$K344+$L344))</f>
        <v/>
      </c>
      <c r="N344" s="14" t="str">
        <f aca="false">IF($B344="","",COUNTIFS($B$3:$B344,$B344))</f>
        <v/>
      </c>
      <c r="O344" s="14" t="str">
        <f aca="false">IF($B344="","",$B344&amp;"|"&amp;$N344)</f>
        <v/>
      </c>
    </row>
    <row r="345" customFormat="false" ht="15" hidden="false" customHeight="false" outlineLevel="0" collapsed="false">
      <c r="A345" s="12"/>
      <c r="B345" s="9"/>
      <c r="C345" s="9"/>
      <c r="D345" s="9"/>
      <c r="E345" s="9"/>
      <c r="F345" s="9"/>
      <c r="G345" s="9"/>
      <c r="H345" s="7"/>
      <c r="I345" s="13" t="str">
        <f aca="false">IF(OR($G345="",$H345=""),"",ROUND($G345*$H345,0))</f>
        <v/>
      </c>
      <c r="J345" s="8"/>
      <c r="K345" s="13" t="str">
        <f aca="false">IF($B345="","",SUMIFS($I$3:$I$2002,$B$3:$B$2002,$B345))</f>
        <v/>
      </c>
      <c r="L345" s="13" t="str">
        <f aca="false">IF($B345="","",IF(COUNTIFS($B$3:$B345,$B345)&gt;1,0,IFERROR(LOOKUP($K345,배송비규정!$A$3:$A$32,배송비규정!$B$3:$B$32),0)+IFERROR(INDEX(지역추가비!$B$3:$B$42,MATCH($J345,지역추가비!$A$3:$A$42,0)),0)))</f>
        <v/>
      </c>
      <c r="M345" s="13" t="str">
        <f aca="false">IF($B345="","",IF(COUNTIFS($B$3:$B345,$B345)&gt;1,"",$K345+$L345))</f>
        <v/>
      </c>
      <c r="N345" s="14" t="str">
        <f aca="false">IF($B345="","",COUNTIFS($B$3:$B345,$B345))</f>
        <v/>
      </c>
      <c r="O345" s="14" t="str">
        <f aca="false">IF($B345="","",$B345&amp;"|"&amp;$N345)</f>
        <v/>
      </c>
    </row>
    <row r="346" customFormat="false" ht="15" hidden="false" customHeight="false" outlineLevel="0" collapsed="false">
      <c r="A346" s="12"/>
      <c r="B346" s="9"/>
      <c r="C346" s="9"/>
      <c r="D346" s="9"/>
      <c r="E346" s="9"/>
      <c r="F346" s="9"/>
      <c r="G346" s="9"/>
      <c r="H346" s="7"/>
      <c r="I346" s="13" t="str">
        <f aca="false">IF(OR($G346="",$H346=""),"",ROUND($G346*$H346,0))</f>
        <v/>
      </c>
      <c r="J346" s="8"/>
      <c r="K346" s="13" t="str">
        <f aca="false">IF($B346="","",SUMIFS($I$3:$I$2002,$B$3:$B$2002,$B346))</f>
        <v/>
      </c>
      <c r="L346" s="13" t="str">
        <f aca="false">IF($B346="","",IF(COUNTIFS($B$3:$B346,$B346)&gt;1,0,IFERROR(LOOKUP($K346,배송비규정!$A$3:$A$32,배송비규정!$B$3:$B$32),0)+IFERROR(INDEX(지역추가비!$B$3:$B$42,MATCH($J346,지역추가비!$A$3:$A$42,0)),0)))</f>
        <v/>
      </c>
      <c r="M346" s="13" t="str">
        <f aca="false">IF($B346="","",IF(COUNTIFS($B$3:$B346,$B346)&gt;1,"",$K346+$L346))</f>
        <v/>
      </c>
      <c r="N346" s="14" t="str">
        <f aca="false">IF($B346="","",COUNTIFS($B$3:$B346,$B346))</f>
        <v/>
      </c>
      <c r="O346" s="14" t="str">
        <f aca="false">IF($B346="","",$B346&amp;"|"&amp;$N346)</f>
        <v/>
      </c>
    </row>
    <row r="347" customFormat="false" ht="15" hidden="false" customHeight="false" outlineLevel="0" collapsed="false">
      <c r="A347" s="12"/>
      <c r="B347" s="9"/>
      <c r="C347" s="9"/>
      <c r="D347" s="9"/>
      <c r="E347" s="9"/>
      <c r="F347" s="9"/>
      <c r="G347" s="9"/>
      <c r="H347" s="7"/>
      <c r="I347" s="13" t="str">
        <f aca="false">IF(OR($G347="",$H347=""),"",ROUND($G347*$H347,0))</f>
        <v/>
      </c>
      <c r="J347" s="8"/>
      <c r="K347" s="13" t="str">
        <f aca="false">IF($B347="","",SUMIFS($I$3:$I$2002,$B$3:$B$2002,$B347))</f>
        <v/>
      </c>
      <c r="L347" s="13" t="str">
        <f aca="false">IF($B347="","",IF(COUNTIFS($B$3:$B347,$B347)&gt;1,0,IFERROR(LOOKUP($K347,배송비규정!$A$3:$A$32,배송비규정!$B$3:$B$32),0)+IFERROR(INDEX(지역추가비!$B$3:$B$42,MATCH($J347,지역추가비!$A$3:$A$42,0)),0)))</f>
        <v/>
      </c>
      <c r="M347" s="13" t="str">
        <f aca="false">IF($B347="","",IF(COUNTIFS($B$3:$B347,$B347)&gt;1,"",$K347+$L347))</f>
        <v/>
      </c>
      <c r="N347" s="14" t="str">
        <f aca="false">IF($B347="","",COUNTIFS($B$3:$B347,$B347))</f>
        <v/>
      </c>
      <c r="O347" s="14" t="str">
        <f aca="false">IF($B347="","",$B347&amp;"|"&amp;$N347)</f>
        <v/>
      </c>
    </row>
    <row r="348" customFormat="false" ht="15" hidden="false" customHeight="false" outlineLevel="0" collapsed="false">
      <c r="A348" s="12"/>
      <c r="B348" s="9"/>
      <c r="C348" s="9"/>
      <c r="D348" s="9"/>
      <c r="E348" s="9"/>
      <c r="F348" s="9"/>
      <c r="G348" s="9"/>
      <c r="H348" s="7"/>
      <c r="I348" s="13" t="str">
        <f aca="false">IF(OR($G348="",$H348=""),"",ROUND($G348*$H348,0))</f>
        <v/>
      </c>
      <c r="J348" s="8"/>
      <c r="K348" s="13" t="str">
        <f aca="false">IF($B348="","",SUMIFS($I$3:$I$2002,$B$3:$B$2002,$B348))</f>
        <v/>
      </c>
      <c r="L348" s="13" t="str">
        <f aca="false">IF($B348="","",IF(COUNTIFS($B$3:$B348,$B348)&gt;1,0,IFERROR(LOOKUP($K348,배송비규정!$A$3:$A$32,배송비규정!$B$3:$B$32),0)+IFERROR(INDEX(지역추가비!$B$3:$B$42,MATCH($J348,지역추가비!$A$3:$A$42,0)),0)))</f>
        <v/>
      </c>
      <c r="M348" s="13" t="str">
        <f aca="false">IF($B348="","",IF(COUNTIFS($B$3:$B348,$B348)&gt;1,"",$K348+$L348))</f>
        <v/>
      </c>
      <c r="N348" s="14" t="str">
        <f aca="false">IF($B348="","",COUNTIFS($B$3:$B348,$B348))</f>
        <v/>
      </c>
      <c r="O348" s="14" t="str">
        <f aca="false">IF($B348="","",$B348&amp;"|"&amp;$N348)</f>
        <v/>
      </c>
    </row>
    <row r="349" customFormat="false" ht="15" hidden="false" customHeight="false" outlineLevel="0" collapsed="false">
      <c r="A349" s="12"/>
      <c r="B349" s="9"/>
      <c r="C349" s="9"/>
      <c r="D349" s="9"/>
      <c r="E349" s="9"/>
      <c r="F349" s="9"/>
      <c r="G349" s="9"/>
      <c r="H349" s="7"/>
      <c r="I349" s="13" t="str">
        <f aca="false">IF(OR($G349="",$H349=""),"",ROUND($G349*$H349,0))</f>
        <v/>
      </c>
      <c r="J349" s="8"/>
      <c r="K349" s="13" t="str">
        <f aca="false">IF($B349="","",SUMIFS($I$3:$I$2002,$B$3:$B$2002,$B349))</f>
        <v/>
      </c>
      <c r="L349" s="13" t="str">
        <f aca="false">IF($B349="","",IF(COUNTIFS($B$3:$B349,$B349)&gt;1,0,IFERROR(LOOKUP($K349,배송비규정!$A$3:$A$32,배송비규정!$B$3:$B$32),0)+IFERROR(INDEX(지역추가비!$B$3:$B$42,MATCH($J349,지역추가비!$A$3:$A$42,0)),0)))</f>
        <v/>
      </c>
      <c r="M349" s="13" t="str">
        <f aca="false">IF($B349="","",IF(COUNTIFS($B$3:$B349,$B349)&gt;1,"",$K349+$L349))</f>
        <v/>
      </c>
      <c r="N349" s="14" t="str">
        <f aca="false">IF($B349="","",COUNTIFS($B$3:$B349,$B349))</f>
        <v/>
      </c>
      <c r="O349" s="14" t="str">
        <f aca="false">IF($B349="","",$B349&amp;"|"&amp;$N349)</f>
        <v/>
      </c>
    </row>
    <row r="350" customFormat="false" ht="15" hidden="false" customHeight="false" outlineLevel="0" collapsed="false">
      <c r="A350" s="12"/>
      <c r="B350" s="9"/>
      <c r="C350" s="9"/>
      <c r="D350" s="9"/>
      <c r="E350" s="9"/>
      <c r="F350" s="9"/>
      <c r="G350" s="9"/>
      <c r="H350" s="7"/>
      <c r="I350" s="13" t="str">
        <f aca="false">IF(OR($G350="",$H350=""),"",ROUND($G350*$H350,0))</f>
        <v/>
      </c>
      <c r="J350" s="8"/>
      <c r="K350" s="13" t="str">
        <f aca="false">IF($B350="","",SUMIFS($I$3:$I$2002,$B$3:$B$2002,$B350))</f>
        <v/>
      </c>
      <c r="L350" s="13" t="str">
        <f aca="false">IF($B350="","",IF(COUNTIFS($B$3:$B350,$B350)&gt;1,0,IFERROR(LOOKUP($K350,배송비규정!$A$3:$A$32,배송비규정!$B$3:$B$32),0)+IFERROR(INDEX(지역추가비!$B$3:$B$42,MATCH($J350,지역추가비!$A$3:$A$42,0)),0)))</f>
        <v/>
      </c>
      <c r="M350" s="13" t="str">
        <f aca="false">IF($B350="","",IF(COUNTIFS($B$3:$B350,$B350)&gt;1,"",$K350+$L350))</f>
        <v/>
      </c>
      <c r="N350" s="14" t="str">
        <f aca="false">IF($B350="","",COUNTIFS($B$3:$B350,$B350))</f>
        <v/>
      </c>
      <c r="O350" s="14" t="str">
        <f aca="false">IF($B350="","",$B350&amp;"|"&amp;$N350)</f>
        <v/>
      </c>
    </row>
    <row r="351" customFormat="false" ht="15" hidden="false" customHeight="false" outlineLevel="0" collapsed="false">
      <c r="A351" s="12"/>
      <c r="B351" s="9"/>
      <c r="C351" s="9"/>
      <c r="D351" s="9"/>
      <c r="E351" s="9"/>
      <c r="F351" s="9"/>
      <c r="G351" s="9"/>
      <c r="H351" s="7"/>
      <c r="I351" s="13" t="str">
        <f aca="false">IF(OR($G351="",$H351=""),"",ROUND($G351*$H351,0))</f>
        <v/>
      </c>
      <c r="J351" s="8"/>
      <c r="K351" s="13" t="str">
        <f aca="false">IF($B351="","",SUMIFS($I$3:$I$2002,$B$3:$B$2002,$B351))</f>
        <v/>
      </c>
      <c r="L351" s="13" t="str">
        <f aca="false">IF($B351="","",IF(COUNTIFS($B$3:$B351,$B351)&gt;1,0,IFERROR(LOOKUP($K351,배송비규정!$A$3:$A$32,배송비규정!$B$3:$B$32),0)+IFERROR(INDEX(지역추가비!$B$3:$B$42,MATCH($J351,지역추가비!$A$3:$A$42,0)),0)))</f>
        <v/>
      </c>
      <c r="M351" s="13" t="str">
        <f aca="false">IF($B351="","",IF(COUNTIFS($B$3:$B351,$B351)&gt;1,"",$K351+$L351))</f>
        <v/>
      </c>
      <c r="N351" s="14" t="str">
        <f aca="false">IF($B351="","",COUNTIFS($B$3:$B351,$B351))</f>
        <v/>
      </c>
      <c r="O351" s="14" t="str">
        <f aca="false">IF($B351="","",$B351&amp;"|"&amp;$N351)</f>
        <v/>
      </c>
    </row>
    <row r="352" customFormat="false" ht="15" hidden="false" customHeight="false" outlineLevel="0" collapsed="false">
      <c r="A352" s="12"/>
      <c r="B352" s="9"/>
      <c r="C352" s="9"/>
      <c r="D352" s="9"/>
      <c r="E352" s="9"/>
      <c r="F352" s="9"/>
      <c r="G352" s="9"/>
      <c r="H352" s="7"/>
      <c r="I352" s="13" t="str">
        <f aca="false">IF(OR($G352="",$H352=""),"",ROUND($G352*$H352,0))</f>
        <v/>
      </c>
      <c r="J352" s="8"/>
      <c r="K352" s="13" t="str">
        <f aca="false">IF($B352="","",SUMIFS($I$3:$I$2002,$B$3:$B$2002,$B352))</f>
        <v/>
      </c>
      <c r="L352" s="13" t="str">
        <f aca="false">IF($B352="","",IF(COUNTIFS($B$3:$B352,$B352)&gt;1,0,IFERROR(LOOKUP($K352,배송비규정!$A$3:$A$32,배송비규정!$B$3:$B$32),0)+IFERROR(INDEX(지역추가비!$B$3:$B$42,MATCH($J352,지역추가비!$A$3:$A$42,0)),0)))</f>
        <v/>
      </c>
      <c r="M352" s="13" t="str">
        <f aca="false">IF($B352="","",IF(COUNTIFS($B$3:$B352,$B352)&gt;1,"",$K352+$L352))</f>
        <v/>
      </c>
      <c r="N352" s="14" t="str">
        <f aca="false">IF($B352="","",COUNTIFS($B$3:$B352,$B352))</f>
        <v/>
      </c>
      <c r="O352" s="14" t="str">
        <f aca="false">IF($B352="","",$B352&amp;"|"&amp;$N352)</f>
        <v/>
      </c>
    </row>
    <row r="353" customFormat="false" ht="15" hidden="false" customHeight="false" outlineLevel="0" collapsed="false">
      <c r="A353" s="12"/>
      <c r="B353" s="9"/>
      <c r="C353" s="9"/>
      <c r="D353" s="9"/>
      <c r="E353" s="9"/>
      <c r="F353" s="9"/>
      <c r="G353" s="9"/>
      <c r="H353" s="7"/>
      <c r="I353" s="13" t="str">
        <f aca="false">IF(OR($G353="",$H353=""),"",ROUND($G353*$H353,0))</f>
        <v/>
      </c>
      <c r="J353" s="8"/>
      <c r="K353" s="13" t="str">
        <f aca="false">IF($B353="","",SUMIFS($I$3:$I$2002,$B$3:$B$2002,$B353))</f>
        <v/>
      </c>
      <c r="L353" s="13" t="str">
        <f aca="false">IF($B353="","",IF(COUNTIFS($B$3:$B353,$B353)&gt;1,0,IFERROR(LOOKUP($K353,배송비규정!$A$3:$A$32,배송비규정!$B$3:$B$32),0)+IFERROR(INDEX(지역추가비!$B$3:$B$42,MATCH($J353,지역추가비!$A$3:$A$42,0)),0)))</f>
        <v/>
      </c>
      <c r="M353" s="13" t="str">
        <f aca="false">IF($B353="","",IF(COUNTIFS($B$3:$B353,$B353)&gt;1,"",$K353+$L353))</f>
        <v/>
      </c>
      <c r="N353" s="14" t="str">
        <f aca="false">IF($B353="","",COUNTIFS($B$3:$B353,$B353))</f>
        <v/>
      </c>
      <c r="O353" s="14" t="str">
        <f aca="false">IF($B353="","",$B353&amp;"|"&amp;$N353)</f>
        <v/>
      </c>
    </row>
    <row r="354" customFormat="false" ht="15" hidden="false" customHeight="false" outlineLevel="0" collapsed="false">
      <c r="A354" s="12"/>
      <c r="B354" s="9"/>
      <c r="C354" s="9"/>
      <c r="D354" s="9"/>
      <c r="E354" s="9"/>
      <c r="F354" s="9"/>
      <c r="G354" s="9"/>
      <c r="H354" s="7"/>
      <c r="I354" s="13" t="str">
        <f aca="false">IF(OR($G354="",$H354=""),"",ROUND($G354*$H354,0))</f>
        <v/>
      </c>
      <c r="J354" s="8"/>
      <c r="K354" s="13" t="str">
        <f aca="false">IF($B354="","",SUMIFS($I$3:$I$2002,$B$3:$B$2002,$B354))</f>
        <v/>
      </c>
      <c r="L354" s="13" t="str">
        <f aca="false">IF($B354="","",IF(COUNTIFS($B$3:$B354,$B354)&gt;1,0,IFERROR(LOOKUP($K354,배송비규정!$A$3:$A$32,배송비규정!$B$3:$B$32),0)+IFERROR(INDEX(지역추가비!$B$3:$B$42,MATCH($J354,지역추가비!$A$3:$A$42,0)),0)))</f>
        <v/>
      </c>
      <c r="M354" s="13" t="str">
        <f aca="false">IF($B354="","",IF(COUNTIFS($B$3:$B354,$B354)&gt;1,"",$K354+$L354))</f>
        <v/>
      </c>
      <c r="N354" s="14" t="str">
        <f aca="false">IF($B354="","",COUNTIFS($B$3:$B354,$B354))</f>
        <v/>
      </c>
      <c r="O354" s="14" t="str">
        <f aca="false">IF($B354="","",$B354&amp;"|"&amp;$N354)</f>
        <v/>
      </c>
    </row>
    <row r="355" customFormat="false" ht="15" hidden="false" customHeight="false" outlineLevel="0" collapsed="false">
      <c r="A355" s="12"/>
      <c r="B355" s="9"/>
      <c r="C355" s="9"/>
      <c r="D355" s="9"/>
      <c r="E355" s="9"/>
      <c r="F355" s="9"/>
      <c r="G355" s="9"/>
      <c r="H355" s="7"/>
      <c r="I355" s="13" t="str">
        <f aca="false">IF(OR($G355="",$H355=""),"",ROUND($G355*$H355,0))</f>
        <v/>
      </c>
      <c r="J355" s="8"/>
      <c r="K355" s="13" t="str">
        <f aca="false">IF($B355="","",SUMIFS($I$3:$I$2002,$B$3:$B$2002,$B355))</f>
        <v/>
      </c>
      <c r="L355" s="13" t="str">
        <f aca="false">IF($B355="","",IF(COUNTIFS($B$3:$B355,$B355)&gt;1,0,IFERROR(LOOKUP($K355,배송비규정!$A$3:$A$32,배송비규정!$B$3:$B$32),0)+IFERROR(INDEX(지역추가비!$B$3:$B$42,MATCH($J355,지역추가비!$A$3:$A$42,0)),0)))</f>
        <v/>
      </c>
      <c r="M355" s="13" t="str">
        <f aca="false">IF($B355="","",IF(COUNTIFS($B$3:$B355,$B355)&gt;1,"",$K355+$L355))</f>
        <v/>
      </c>
      <c r="N355" s="14" t="str">
        <f aca="false">IF($B355="","",COUNTIFS($B$3:$B355,$B355))</f>
        <v/>
      </c>
      <c r="O355" s="14" t="str">
        <f aca="false">IF($B355="","",$B355&amp;"|"&amp;$N355)</f>
        <v/>
      </c>
    </row>
    <row r="356" customFormat="false" ht="15" hidden="false" customHeight="false" outlineLevel="0" collapsed="false">
      <c r="A356" s="12"/>
      <c r="B356" s="9"/>
      <c r="C356" s="9"/>
      <c r="D356" s="9"/>
      <c r="E356" s="9"/>
      <c r="F356" s="9"/>
      <c r="G356" s="9"/>
      <c r="H356" s="7"/>
      <c r="I356" s="13" t="str">
        <f aca="false">IF(OR($G356="",$H356=""),"",ROUND($G356*$H356,0))</f>
        <v/>
      </c>
      <c r="J356" s="8"/>
      <c r="K356" s="13" t="str">
        <f aca="false">IF($B356="","",SUMIFS($I$3:$I$2002,$B$3:$B$2002,$B356))</f>
        <v/>
      </c>
      <c r="L356" s="13" t="str">
        <f aca="false">IF($B356="","",IF(COUNTIFS($B$3:$B356,$B356)&gt;1,0,IFERROR(LOOKUP($K356,배송비규정!$A$3:$A$32,배송비규정!$B$3:$B$32),0)+IFERROR(INDEX(지역추가비!$B$3:$B$42,MATCH($J356,지역추가비!$A$3:$A$42,0)),0)))</f>
        <v/>
      </c>
      <c r="M356" s="13" t="str">
        <f aca="false">IF($B356="","",IF(COUNTIFS($B$3:$B356,$B356)&gt;1,"",$K356+$L356))</f>
        <v/>
      </c>
      <c r="N356" s="14" t="str">
        <f aca="false">IF($B356="","",COUNTIFS($B$3:$B356,$B356))</f>
        <v/>
      </c>
      <c r="O356" s="14" t="str">
        <f aca="false">IF($B356="","",$B356&amp;"|"&amp;$N356)</f>
        <v/>
      </c>
    </row>
    <row r="357" customFormat="false" ht="15" hidden="false" customHeight="false" outlineLevel="0" collapsed="false">
      <c r="A357" s="12"/>
      <c r="B357" s="9"/>
      <c r="C357" s="9"/>
      <c r="D357" s="9"/>
      <c r="E357" s="9"/>
      <c r="F357" s="9"/>
      <c r="G357" s="9"/>
      <c r="H357" s="7"/>
      <c r="I357" s="13" t="str">
        <f aca="false">IF(OR($G357="",$H357=""),"",ROUND($G357*$H357,0))</f>
        <v/>
      </c>
      <c r="J357" s="8"/>
      <c r="K357" s="13" t="str">
        <f aca="false">IF($B357="","",SUMIFS($I$3:$I$2002,$B$3:$B$2002,$B357))</f>
        <v/>
      </c>
      <c r="L357" s="13" t="str">
        <f aca="false">IF($B357="","",IF(COUNTIFS($B$3:$B357,$B357)&gt;1,0,IFERROR(LOOKUP($K357,배송비규정!$A$3:$A$32,배송비규정!$B$3:$B$32),0)+IFERROR(INDEX(지역추가비!$B$3:$B$42,MATCH($J357,지역추가비!$A$3:$A$42,0)),0)))</f>
        <v/>
      </c>
      <c r="M357" s="13" t="str">
        <f aca="false">IF($B357="","",IF(COUNTIFS($B$3:$B357,$B357)&gt;1,"",$K357+$L357))</f>
        <v/>
      </c>
      <c r="N357" s="14" t="str">
        <f aca="false">IF($B357="","",COUNTIFS($B$3:$B357,$B357))</f>
        <v/>
      </c>
      <c r="O357" s="14" t="str">
        <f aca="false">IF($B357="","",$B357&amp;"|"&amp;$N357)</f>
        <v/>
      </c>
    </row>
    <row r="358" customFormat="false" ht="15" hidden="false" customHeight="false" outlineLevel="0" collapsed="false">
      <c r="A358" s="12"/>
      <c r="B358" s="9"/>
      <c r="C358" s="9"/>
      <c r="D358" s="9"/>
      <c r="E358" s="9"/>
      <c r="F358" s="9"/>
      <c r="G358" s="9"/>
      <c r="H358" s="7"/>
      <c r="I358" s="13" t="str">
        <f aca="false">IF(OR($G358="",$H358=""),"",ROUND($G358*$H358,0))</f>
        <v/>
      </c>
      <c r="J358" s="8"/>
      <c r="K358" s="13" t="str">
        <f aca="false">IF($B358="","",SUMIFS($I$3:$I$2002,$B$3:$B$2002,$B358))</f>
        <v/>
      </c>
      <c r="L358" s="13" t="str">
        <f aca="false">IF($B358="","",IF(COUNTIFS($B$3:$B358,$B358)&gt;1,0,IFERROR(LOOKUP($K358,배송비규정!$A$3:$A$32,배송비규정!$B$3:$B$32),0)+IFERROR(INDEX(지역추가비!$B$3:$B$42,MATCH($J358,지역추가비!$A$3:$A$42,0)),0)))</f>
        <v/>
      </c>
      <c r="M358" s="13" t="str">
        <f aca="false">IF($B358="","",IF(COUNTIFS($B$3:$B358,$B358)&gt;1,"",$K358+$L358))</f>
        <v/>
      </c>
      <c r="N358" s="14" t="str">
        <f aca="false">IF($B358="","",COUNTIFS($B$3:$B358,$B358))</f>
        <v/>
      </c>
      <c r="O358" s="14" t="str">
        <f aca="false">IF($B358="","",$B358&amp;"|"&amp;$N358)</f>
        <v/>
      </c>
    </row>
    <row r="359" customFormat="false" ht="15" hidden="false" customHeight="false" outlineLevel="0" collapsed="false">
      <c r="A359" s="12"/>
      <c r="B359" s="9"/>
      <c r="C359" s="9"/>
      <c r="D359" s="9"/>
      <c r="E359" s="9"/>
      <c r="F359" s="9"/>
      <c r="G359" s="9"/>
      <c r="H359" s="7"/>
      <c r="I359" s="13" t="str">
        <f aca="false">IF(OR($G359="",$H359=""),"",ROUND($G359*$H359,0))</f>
        <v/>
      </c>
      <c r="J359" s="8"/>
      <c r="K359" s="13" t="str">
        <f aca="false">IF($B359="","",SUMIFS($I$3:$I$2002,$B$3:$B$2002,$B359))</f>
        <v/>
      </c>
      <c r="L359" s="13" t="str">
        <f aca="false">IF($B359="","",IF(COUNTIFS($B$3:$B359,$B359)&gt;1,0,IFERROR(LOOKUP($K359,배송비규정!$A$3:$A$32,배송비규정!$B$3:$B$32),0)+IFERROR(INDEX(지역추가비!$B$3:$B$42,MATCH($J359,지역추가비!$A$3:$A$42,0)),0)))</f>
        <v/>
      </c>
      <c r="M359" s="13" t="str">
        <f aca="false">IF($B359="","",IF(COUNTIFS($B$3:$B359,$B359)&gt;1,"",$K359+$L359))</f>
        <v/>
      </c>
      <c r="N359" s="14" t="str">
        <f aca="false">IF($B359="","",COUNTIFS($B$3:$B359,$B359))</f>
        <v/>
      </c>
      <c r="O359" s="14" t="str">
        <f aca="false">IF($B359="","",$B359&amp;"|"&amp;$N359)</f>
        <v/>
      </c>
    </row>
    <row r="360" customFormat="false" ht="15" hidden="false" customHeight="false" outlineLevel="0" collapsed="false">
      <c r="A360" s="12"/>
      <c r="B360" s="9"/>
      <c r="C360" s="9"/>
      <c r="D360" s="9"/>
      <c r="E360" s="9"/>
      <c r="F360" s="9"/>
      <c r="G360" s="9"/>
      <c r="H360" s="7"/>
      <c r="I360" s="13" t="str">
        <f aca="false">IF(OR($G360="",$H360=""),"",ROUND($G360*$H360,0))</f>
        <v/>
      </c>
      <c r="J360" s="8"/>
      <c r="K360" s="13" t="str">
        <f aca="false">IF($B360="","",SUMIFS($I$3:$I$2002,$B$3:$B$2002,$B360))</f>
        <v/>
      </c>
      <c r="L360" s="13" t="str">
        <f aca="false">IF($B360="","",IF(COUNTIFS($B$3:$B360,$B360)&gt;1,0,IFERROR(LOOKUP($K360,배송비규정!$A$3:$A$32,배송비규정!$B$3:$B$32),0)+IFERROR(INDEX(지역추가비!$B$3:$B$42,MATCH($J360,지역추가비!$A$3:$A$42,0)),0)))</f>
        <v/>
      </c>
      <c r="M360" s="13" t="str">
        <f aca="false">IF($B360="","",IF(COUNTIFS($B$3:$B360,$B360)&gt;1,"",$K360+$L360))</f>
        <v/>
      </c>
      <c r="N360" s="14" t="str">
        <f aca="false">IF($B360="","",COUNTIFS($B$3:$B360,$B360))</f>
        <v/>
      </c>
      <c r="O360" s="14" t="str">
        <f aca="false">IF($B360="","",$B360&amp;"|"&amp;$N360)</f>
        <v/>
      </c>
    </row>
    <row r="361" customFormat="false" ht="15" hidden="false" customHeight="false" outlineLevel="0" collapsed="false">
      <c r="A361" s="12"/>
      <c r="B361" s="9"/>
      <c r="C361" s="9"/>
      <c r="D361" s="9"/>
      <c r="E361" s="9"/>
      <c r="F361" s="9"/>
      <c r="G361" s="9"/>
      <c r="H361" s="7"/>
      <c r="I361" s="13" t="str">
        <f aca="false">IF(OR($G361="",$H361=""),"",ROUND($G361*$H361,0))</f>
        <v/>
      </c>
      <c r="J361" s="8"/>
      <c r="K361" s="13" t="str">
        <f aca="false">IF($B361="","",SUMIFS($I$3:$I$2002,$B$3:$B$2002,$B361))</f>
        <v/>
      </c>
      <c r="L361" s="13" t="str">
        <f aca="false">IF($B361="","",IF(COUNTIFS($B$3:$B361,$B361)&gt;1,0,IFERROR(LOOKUP($K361,배송비규정!$A$3:$A$32,배송비규정!$B$3:$B$32),0)+IFERROR(INDEX(지역추가비!$B$3:$B$42,MATCH($J361,지역추가비!$A$3:$A$42,0)),0)))</f>
        <v/>
      </c>
      <c r="M361" s="13" t="str">
        <f aca="false">IF($B361="","",IF(COUNTIFS($B$3:$B361,$B361)&gt;1,"",$K361+$L361))</f>
        <v/>
      </c>
      <c r="N361" s="14" t="str">
        <f aca="false">IF($B361="","",COUNTIFS($B$3:$B361,$B361))</f>
        <v/>
      </c>
      <c r="O361" s="14" t="str">
        <f aca="false">IF($B361="","",$B361&amp;"|"&amp;$N361)</f>
        <v/>
      </c>
    </row>
    <row r="362" customFormat="false" ht="15" hidden="false" customHeight="false" outlineLevel="0" collapsed="false">
      <c r="A362" s="12"/>
      <c r="B362" s="9"/>
      <c r="C362" s="9"/>
      <c r="D362" s="9"/>
      <c r="E362" s="9"/>
      <c r="F362" s="9"/>
      <c r="G362" s="9"/>
      <c r="H362" s="7"/>
      <c r="I362" s="13" t="str">
        <f aca="false">IF(OR($G362="",$H362=""),"",ROUND($G362*$H362,0))</f>
        <v/>
      </c>
      <c r="J362" s="8"/>
      <c r="K362" s="13" t="str">
        <f aca="false">IF($B362="","",SUMIFS($I$3:$I$2002,$B$3:$B$2002,$B362))</f>
        <v/>
      </c>
      <c r="L362" s="13" t="str">
        <f aca="false">IF($B362="","",IF(COUNTIFS($B$3:$B362,$B362)&gt;1,0,IFERROR(LOOKUP($K362,배송비규정!$A$3:$A$32,배송비규정!$B$3:$B$32),0)+IFERROR(INDEX(지역추가비!$B$3:$B$42,MATCH($J362,지역추가비!$A$3:$A$42,0)),0)))</f>
        <v/>
      </c>
      <c r="M362" s="13" t="str">
        <f aca="false">IF($B362="","",IF(COUNTIFS($B$3:$B362,$B362)&gt;1,"",$K362+$L362))</f>
        <v/>
      </c>
      <c r="N362" s="14" t="str">
        <f aca="false">IF($B362="","",COUNTIFS($B$3:$B362,$B362))</f>
        <v/>
      </c>
      <c r="O362" s="14" t="str">
        <f aca="false">IF($B362="","",$B362&amp;"|"&amp;$N362)</f>
        <v/>
      </c>
    </row>
    <row r="363" customFormat="false" ht="15" hidden="false" customHeight="false" outlineLevel="0" collapsed="false">
      <c r="A363" s="12"/>
      <c r="B363" s="9"/>
      <c r="C363" s="9"/>
      <c r="D363" s="9"/>
      <c r="E363" s="9"/>
      <c r="F363" s="9"/>
      <c r="G363" s="9"/>
      <c r="H363" s="7"/>
      <c r="I363" s="13" t="str">
        <f aca="false">IF(OR($G363="",$H363=""),"",ROUND($G363*$H363,0))</f>
        <v/>
      </c>
      <c r="J363" s="8"/>
      <c r="K363" s="13" t="str">
        <f aca="false">IF($B363="","",SUMIFS($I$3:$I$2002,$B$3:$B$2002,$B363))</f>
        <v/>
      </c>
      <c r="L363" s="13" t="str">
        <f aca="false">IF($B363="","",IF(COUNTIFS($B$3:$B363,$B363)&gt;1,0,IFERROR(LOOKUP($K363,배송비규정!$A$3:$A$32,배송비규정!$B$3:$B$32),0)+IFERROR(INDEX(지역추가비!$B$3:$B$42,MATCH($J363,지역추가비!$A$3:$A$42,0)),0)))</f>
        <v/>
      </c>
      <c r="M363" s="13" t="str">
        <f aca="false">IF($B363="","",IF(COUNTIFS($B$3:$B363,$B363)&gt;1,"",$K363+$L363))</f>
        <v/>
      </c>
      <c r="N363" s="14" t="str">
        <f aca="false">IF($B363="","",COUNTIFS($B$3:$B363,$B363))</f>
        <v/>
      </c>
      <c r="O363" s="14" t="str">
        <f aca="false">IF($B363="","",$B363&amp;"|"&amp;$N363)</f>
        <v/>
      </c>
    </row>
    <row r="364" customFormat="false" ht="15" hidden="false" customHeight="false" outlineLevel="0" collapsed="false">
      <c r="A364" s="12"/>
      <c r="B364" s="9"/>
      <c r="C364" s="9"/>
      <c r="D364" s="9"/>
      <c r="E364" s="9"/>
      <c r="F364" s="9"/>
      <c r="G364" s="9"/>
      <c r="H364" s="7"/>
      <c r="I364" s="13" t="str">
        <f aca="false">IF(OR($G364="",$H364=""),"",ROUND($G364*$H364,0))</f>
        <v/>
      </c>
      <c r="J364" s="8"/>
      <c r="K364" s="13" t="str">
        <f aca="false">IF($B364="","",SUMIFS($I$3:$I$2002,$B$3:$B$2002,$B364))</f>
        <v/>
      </c>
      <c r="L364" s="13" t="str">
        <f aca="false">IF($B364="","",IF(COUNTIFS($B$3:$B364,$B364)&gt;1,0,IFERROR(LOOKUP($K364,배송비규정!$A$3:$A$32,배송비규정!$B$3:$B$32),0)+IFERROR(INDEX(지역추가비!$B$3:$B$42,MATCH($J364,지역추가비!$A$3:$A$42,0)),0)))</f>
        <v/>
      </c>
      <c r="M364" s="13" t="str">
        <f aca="false">IF($B364="","",IF(COUNTIFS($B$3:$B364,$B364)&gt;1,"",$K364+$L364))</f>
        <v/>
      </c>
      <c r="N364" s="14" t="str">
        <f aca="false">IF($B364="","",COUNTIFS($B$3:$B364,$B364))</f>
        <v/>
      </c>
      <c r="O364" s="14" t="str">
        <f aca="false">IF($B364="","",$B364&amp;"|"&amp;$N364)</f>
        <v/>
      </c>
    </row>
    <row r="365" customFormat="false" ht="15" hidden="false" customHeight="false" outlineLevel="0" collapsed="false">
      <c r="A365" s="12"/>
      <c r="B365" s="9"/>
      <c r="C365" s="9"/>
      <c r="D365" s="9"/>
      <c r="E365" s="9"/>
      <c r="F365" s="9"/>
      <c r="G365" s="9"/>
      <c r="H365" s="7"/>
      <c r="I365" s="13" t="str">
        <f aca="false">IF(OR($G365="",$H365=""),"",ROUND($G365*$H365,0))</f>
        <v/>
      </c>
      <c r="J365" s="8"/>
      <c r="K365" s="13" t="str">
        <f aca="false">IF($B365="","",SUMIFS($I$3:$I$2002,$B$3:$B$2002,$B365))</f>
        <v/>
      </c>
      <c r="L365" s="13" t="str">
        <f aca="false">IF($B365="","",IF(COUNTIFS($B$3:$B365,$B365)&gt;1,0,IFERROR(LOOKUP($K365,배송비규정!$A$3:$A$32,배송비규정!$B$3:$B$32),0)+IFERROR(INDEX(지역추가비!$B$3:$B$42,MATCH($J365,지역추가비!$A$3:$A$42,0)),0)))</f>
        <v/>
      </c>
      <c r="M365" s="13" t="str">
        <f aca="false">IF($B365="","",IF(COUNTIFS($B$3:$B365,$B365)&gt;1,"",$K365+$L365))</f>
        <v/>
      </c>
      <c r="N365" s="14" t="str">
        <f aca="false">IF($B365="","",COUNTIFS($B$3:$B365,$B365))</f>
        <v/>
      </c>
      <c r="O365" s="14" t="str">
        <f aca="false">IF($B365="","",$B365&amp;"|"&amp;$N365)</f>
        <v/>
      </c>
    </row>
    <row r="366" customFormat="false" ht="15" hidden="false" customHeight="false" outlineLevel="0" collapsed="false">
      <c r="A366" s="12"/>
      <c r="B366" s="9"/>
      <c r="C366" s="9"/>
      <c r="D366" s="9"/>
      <c r="E366" s="9"/>
      <c r="F366" s="9"/>
      <c r="G366" s="9"/>
      <c r="H366" s="7"/>
      <c r="I366" s="13" t="str">
        <f aca="false">IF(OR($G366="",$H366=""),"",ROUND($G366*$H366,0))</f>
        <v/>
      </c>
      <c r="J366" s="8"/>
      <c r="K366" s="13" t="str">
        <f aca="false">IF($B366="","",SUMIFS($I$3:$I$2002,$B$3:$B$2002,$B366))</f>
        <v/>
      </c>
      <c r="L366" s="13" t="str">
        <f aca="false">IF($B366="","",IF(COUNTIFS($B$3:$B366,$B366)&gt;1,0,IFERROR(LOOKUP($K366,배송비규정!$A$3:$A$32,배송비규정!$B$3:$B$32),0)+IFERROR(INDEX(지역추가비!$B$3:$B$42,MATCH($J366,지역추가비!$A$3:$A$42,0)),0)))</f>
        <v/>
      </c>
      <c r="M366" s="13" t="str">
        <f aca="false">IF($B366="","",IF(COUNTIFS($B$3:$B366,$B366)&gt;1,"",$K366+$L366))</f>
        <v/>
      </c>
      <c r="N366" s="14" t="str">
        <f aca="false">IF($B366="","",COUNTIFS($B$3:$B366,$B366))</f>
        <v/>
      </c>
      <c r="O366" s="14" t="str">
        <f aca="false">IF($B366="","",$B366&amp;"|"&amp;$N366)</f>
        <v/>
      </c>
    </row>
    <row r="367" customFormat="false" ht="15" hidden="false" customHeight="false" outlineLevel="0" collapsed="false">
      <c r="A367" s="12"/>
      <c r="B367" s="9"/>
      <c r="C367" s="9"/>
      <c r="D367" s="9"/>
      <c r="E367" s="9"/>
      <c r="F367" s="9"/>
      <c r="G367" s="9"/>
      <c r="H367" s="7"/>
      <c r="I367" s="13" t="str">
        <f aca="false">IF(OR($G367="",$H367=""),"",ROUND($G367*$H367,0))</f>
        <v/>
      </c>
      <c r="J367" s="8"/>
      <c r="K367" s="13" t="str">
        <f aca="false">IF($B367="","",SUMIFS($I$3:$I$2002,$B$3:$B$2002,$B367))</f>
        <v/>
      </c>
      <c r="L367" s="13" t="str">
        <f aca="false">IF($B367="","",IF(COUNTIFS($B$3:$B367,$B367)&gt;1,0,IFERROR(LOOKUP($K367,배송비규정!$A$3:$A$32,배송비규정!$B$3:$B$32),0)+IFERROR(INDEX(지역추가비!$B$3:$B$42,MATCH($J367,지역추가비!$A$3:$A$42,0)),0)))</f>
        <v/>
      </c>
      <c r="M367" s="13" t="str">
        <f aca="false">IF($B367="","",IF(COUNTIFS($B$3:$B367,$B367)&gt;1,"",$K367+$L367))</f>
        <v/>
      </c>
      <c r="N367" s="14" t="str">
        <f aca="false">IF($B367="","",COUNTIFS($B$3:$B367,$B367))</f>
        <v/>
      </c>
      <c r="O367" s="14" t="str">
        <f aca="false">IF($B367="","",$B367&amp;"|"&amp;$N367)</f>
        <v/>
      </c>
    </row>
    <row r="368" customFormat="false" ht="15" hidden="false" customHeight="false" outlineLevel="0" collapsed="false">
      <c r="A368" s="12"/>
      <c r="B368" s="9"/>
      <c r="C368" s="9"/>
      <c r="D368" s="9"/>
      <c r="E368" s="9"/>
      <c r="F368" s="9"/>
      <c r="G368" s="9"/>
      <c r="H368" s="7"/>
      <c r="I368" s="13" t="str">
        <f aca="false">IF(OR($G368="",$H368=""),"",ROUND($G368*$H368,0))</f>
        <v/>
      </c>
      <c r="J368" s="8"/>
      <c r="K368" s="13" t="str">
        <f aca="false">IF($B368="","",SUMIFS($I$3:$I$2002,$B$3:$B$2002,$B368))</f>
        <v/>
      </c>
      <c r="L368" s="13" t="str">
        <f aca="false">IF($B368="","",IF(COUNTIFS($B$3:$B368,$B368)&gt;1,0,IFERROR(LOOKUP($K368,배송비규정!$A$3:$A$32,배송비규정!$B$3:$B$32),0)+IFERROR(INDEX(지역추가비!$B$3:$B$42,MATCH($J368,지역추가비!$A$3:$A$42,0)),0)))</f>
        <v/>
      </c>
      <c r="M368" s="13" t="str">
        <f aca="false">IF($B368="","",IF(COUNTIFS($B$3:$B368,$B368)&gt;1,"",$K368+$L368))</f>
        <v/>
      </c>
      <c r="N368" s="14" t="str">
        <f aca="false">IF($B368="","",COUNTIFS($B$3:$B368,$B368))</f>
        <v/>
      </c>
      <c r="O368" s="14" t="str">
        <f aca="false">IF($B368="","",$B368&amp;"|"&amp;$N368)</f>
        <v/>
      </c>
    </row>
    <row r="369" customFormat="false" ht="15" hidden="false" customHeight="false" outlineLevel="0" collapsed="false">
      <c r="A369" s="12"/>
      <c r="B369" s="9"/>
      <c r="C369" s="9"/>
      <c r="D369" s="9"/>
      <c r="E369" s="9"/>
      <c r="F369" s="9"/>
      <c r="G369" s="9"/>
      <c r="H369" s="7"/>
      <c r="I369" s="13" t="str">
        <f aca="false">IF(OR($G369="",$H369=""),"",ROUND($G369*$H369,0))</f>
        <v/>
      </c>
      <c r="J369" s="8"/>
      <c r="K369" s="13" t="str">
        <f aca="false">IF($B369="","",SUMIFS($I$3:$I$2002,$B$3:$B$2002,$B369))</f>
        <v/>
      </c>
      <c r="L369" s="13" t="str">
        <f aca="false">IF($B369="","",IF(COUNTIFS($B$3:$B369,$B369)&gt;1,0,IFERROR(LOOKUP($K369,배송비규정!$A$3:$A$32,배송비규정!$B$3:$B$32),0)+IFERROR(INDEX(지역추가비!$B$3:$B$42,MATCH($J369,지역추가비!$A$3:$A$42,0)),0)))</f>
        <v/>
      </c>
      <c r="M369" s="13" t="str">
        <f aca="false">IF($B369="","",IF(COUNTIFS($B$3:$B369,$B369)&gt;1,"",$K369+$L369))</f>
        <v/>
      </c>
      <c r="N369" s="14" t="str">
        <f aca="false">IF($B369="","",COUNTIFS($B$3:$B369,$B369))</f>
        <v/>
      </c>
      <c r="O369" s="14" t="str">
        <f aca="false">IF($B369="","",$B369&amp;"|"&amp;$N369)</f>
        <v/>
      </c>
    </row>
    <row r="370" customFormat="false" ht="15" hidden="false" customHeight="false" outlineLevel="0" collapsed="false">
      <c r="A370" s="12"/>
      <c r="B370" s="9"/>
      <c r="C370" s="9"/>
      <c r="D370" s="9"/>
      <c r="E370" s="9"/>
      <c r="F370" s="9"/>
      <c r="G370" s="9"/>
      <c r="H370" s="7"/>
      <c r="I370" s="13" t="str">
        <f aca="false">IF(OR($G370="",$H370=""),"",ROUND($G370*$H370,0))</f>
        <v/>
      </c>
      <c r="J370" s="8"/>
      <c r="K370" s="13" t="str">
        <f aca="false">IF($B370="","",SUMIFS($I$3:$I$2002,$B$3:$B$2002,$B370))</f>
        <v/>
      </c>
      <c r="L370" s="13" t="str">
        <f aca="false">IF($B370="","",IF(COUNTIFS($B$3:$B370,$B370)&gt;1,0,IFERROR(LOOKUP($K370,배송비규정!$A$3:$A$32,배송비규정!$B$3:$B$32),0)+IFERROR(INDEX(지역추가비!$B$3:$B$42,MATCH($J370,지역추가비!$A$3:$A$42,0)),0)))</f>
        <v/>
      </c>
      <c r="M370" s="13" t="str">
        <f aca="false">IF($B370="","",IF(COUNTIFS($B$3:$B370,$B370)&gt;1,"",$K370+$L370))</f>
        <v/>
      </c>
      <c r="N370" s="14" t="str">
        <f aca="false">IF($B370="","",COUNTIFS($B$3:$B370,$B370))</f>
        <v/>
      </c>
      <c r="O370" s="14" t="str">
        <f aca="false">IF($B370="","",$B370&amp;"|"&amp;$N370)</f>
        <v/>
      </c>
    </row>
    <row r="371" customFormat="false" ht="15" hidden="false" customHeight="false" outlineLevel="0" collapsed="false">
      <c r="A371" s="12"/>
      <c r="B371" s="9"/>
      <c r="C371" s="9"/>
      <c r="D371" s="9"/>
      <c r="E371" s="9"/>
      <c r="F371" s="9"/>
      <c r="G371" s="9"/>
      <c r="H371" s="7"/>
      <c r="I371" s="13" t="str">
        <f aca="false">IF(OR($G371="",$H371=""),"",ROUND($G371*$H371,0))</f>
        <v/>
      </c>
      <c r="J371" s="8"/>
      <c r="K371" s="13" t="str">
        <f aca="false">IF($B371="","",SUMIFS($I$3:$I$2002,$B$3:$B$2002,$B371))</f>
        <v/>
      </c>
      <c r="L371" s="13" t="str">
        <f aca="false">IF($B371="","",IF(COUNTIFS($B$3:$B371,$B371)&gt;1,0,IFERROR(LOOKUP($K371,배송비규정!$A$3:$A$32,배송비규정!$B$3:$B$32),0)+IFERROR(INDEX(지역추가비!$B$3:$B$42,MATCH($J371,지역추가비!$A$3:$A$42,0)),0)))</f>
        <v/>
      </c>
      <c r="M371" s="13" t="str">
        <f aca="false">IF($B371="","",IF(COUNTIFS($B$3:$B371,$B371)&gt;1,"",$K371+$L371))</f>
        <v/>
      </c>
      <c r="N371" s="14" t="str">
        <f aca="false">IF($B371="","",COUNTIFS($B$3:$B371,$B371))</f>
        <v/>
      </c>
      <c r="O371" s="14" t="str">
        <f aca="false">IF($B371="","",$B371&amp;"|"&amp;$N371)</f>
        <v/>
      </c>
    </row>
    <row r="372" customFormat="false" ht="15" hidden="false" customHeight="false" outlineLevel="0" collapsed="false">
      <c r="A372" s="12"/>
      <c r="B372" s="9"/>
      <c r="C372" s="9"/>
      <c r="D372" s="9"/>
      <c r="E372" s="9"/>
      <c r="F372" s="9"/>
      <c r="G372" s="9"/>
      <c r="H372" s="7"/>
      <c r="I372" s="13" t="str">
        <f aca="false">IF(OR($G372="",$H372=""),"",ROUND($G372*$H372,0))</f>
        <v/>
      </c>
      <c r="J372" s="8"/>
      <c r="K372" s="13" t="str">
        <f aca="false">IF($B372="","",SUMIFS($I$3:$I$2002,$B$3:$B$2002,$B372))</f>
        <v/>
      </c>
      <c r="L372" s="13" t="str">
        <f aca="false">IF($B372="","",IF(COUNTIFS($B$3:$B372,$B372)&gt;1,0,IFERROR(LOOKUP($K372,배송비규정!$A$3:$A$32,배송비규정!$B$3:$B$32),0)+IFERROR(INDEX(지역추가비!$B$3:$B$42,MATCH($J372,지역추가비!$A$3:$A$42,0)),0)))</f>
        <v/>
      </c>
      <c r="M372" s="13" t="str">
        <f aca="false">IF($B372="","",IF(COUNTIFS($B$3:$B372,$B372)&gt;1,"",$K372+$L372))</f>
        <v/>
      </c>
      <c r="N372" s="14" t="str">
        <f aca="false">IF($B372="","",COUNTIFS($B$3:$B372,$B372))</f>
        <v/>
      </c>
      <c r="O372" s="14" t="str">
        <f aca="false">IF($B372="","",$B372&amp;"|"&amp;$N372)</f>
        <v/>
      </c>
    </row>
    <row r="373" customFormat="false" ht="15" hidden="false" customHeight="false" outlineLevel="0" collapsed="false">
      <c r="A373" s="12"/>
      <c r="B373" s="9"/>
      <c r="C373" s="9"/>
      <c r="D373" s="9"/>
      <c r="E373" s="9"/>
      <c r="F373" s="9"/>
      <c r="G373" s="9"/>
      <c r="H373" s="7"/>
      <c r="I373" s="13" t="str">
        <f aca="false">IF(OR($G373="",$H373=""),"",ROUND($G373*$H373,0))</f>
        <v/>
      </c>
      <c r="J373" s="8"/>
      <c r="K373" s="13" t="str">
        <f aca="false">IF($B373="","",SUMIFS($I$3:$I$2002,$B$3:$B$2002,$B373))</f>
        <v/>
      </c>
      <c r="L373" s="13" t="str">
        <f aca="false">IF($B373="","",IF(COUNTIFS($B$3:$B373,$B373)&gt;1,0,IFERROR(LOOKUP($K373,배송비규정!$A$3:$A$32,배송비규정!$B$3:$B$32),0)+IFERROR(INDEX(지역추가비!$B$3:$B$42,MATCH($J373,지역추가비!$A$3:$A$42,0)),0)))</f>
        <v/>
      </c>
      <c r="M373" s="13" t="str">
        <f aca="false">IF($B373="","",IF(COUNTIFS($B$3:$B373,$B373)&gt;1,"",$K373+$L373))</f>
        <v/>
      </c>
      <c r="N373" s="14" t="str">
        <f aca="false">IF($B373="","",COUNTIFS($B$3:$B373,$B373))</f>
        <v/>
      </c>
      <c r="O373" s="14" t="str">
        <f aca="false">IF($B373="","",$B373&amp;"|"&amp;$N373)</f>
        <v/>
      </c>
    </row>
    <row r="374" customFormat="false" ht="15" hidden="false" customHeight="false" outlineLevel="0" collapsed="false">
      <c r="A374" s="12"/>
      <c r="B374" s="9"/>
      <c r="C374" s="9"/>
      <c r="D374" s="9"/>
      <c r="E374" s="9"/>
      <c r="F374" s="9"/>
      <c r="G374" s="9"/>
      <c r="H374" s="7"/>
      <c r="I374" s="13" t="str">
        <f aca="false">IF(OR($G374="",$H374=""),"",ROUND($G374*$H374,0))</f>
        <v/>
      </c>
      <c r="J374" s="8"/>
      <c r="K374" s="13" t="str">
        <f aca="false">IF($B374="","",SUMIFS($I$3:$I$2002,$B$3:$B$2002,$B374))</f>
        <v/>
      </c>
      <c r="L374" s="13" t="str">
        <f aca="false">IF($B374="","",IF(COUNTIFS($B$3:$B374,$B374)&gt;1,0,IFERROR(LOOKUP($K374,배송비규정!$A$3:$A$32,배송비규정!$B$3:$B$32),0)+IFERROR(INDEX(지역추가비!$B$3:$B$42,MATCH($J374,지역추가비!$A$3:$A$42,0)),0)))</f>
        <v/>
      </c>
      <c r="M374" s="13" t="str">
        <f aca="false">IF($B374="","",IF(COUNTIFS($B$3:$B374,$B374)&gt;1,"",$K374+$L374))</f>
        <v/>
      </c>
      <c r="N374" s="14" t="str">
        <f aca="false">IF($B374="","",COUNTIFS($B$3:$B374,$B374))</f>
        <v/>
      </c>
      <c r="O374" s="14" t="str">
        <f aca="false">IF($B374="","",$B374&amp;"|"&amp;$N374)</f>
        <v/>
      </c>
    </row>
    <row r="375" customFormat="false" ht="15" hidden="false" customHeight="false" outlineLevel="0" collapsed="false">
      <c r="A375" s="12"/>
      <c r="B375" s="9"/>
      <c r="C375" s="9"/>
      <c r="D375" s="9"/>
      <c r="E375" s="9"/>
      <c r="F375" s="9"/>
      <c r="G375" s="9"/>
      <c r="H375" s="7"/>
      <c r="I375" s="13" t="str">
        <f aca="false">IF(OR($G375="",$H375=""),"",ROUND($G375*$H375,0))</f>
        <v/>
      </c>
      <c r="J375" s="8"/>
      <c r="K375" s="13" t="str">
        <f aca="false">IF($B375="","",SUMIFS($I$3:$I$2002,$B$3:$B$2002,$B375))</f>
        <v/>
      </c>
      <c r="L375" s="13" t="str">
        <f aca="false">IF($B375="","",IF(COUNTIFS($B$3:$B375,$B375)&gt;1,0,IFERROR(LOOKUP($K375,배송비규정!$A$3:$A$32,배송비규정!$B$3:$B$32),0)+IFERROR(INDEX(지역추가비!$B$3:$B$42,MATCH($J375,지역추가비!$A$3:$A$42,0)),0)))</f>
        <v/>
      </c>
      <c r="M375" s="13" t="str">
        <f aca="false">IF($B375="","",IF(COUNTIFS($B$3:$B375,$B375)&gt;1,"",$K375+$L375))</f>
        <v/>
      </c>
      <c r="N375" s="14" t="str">
        <f aca="false">IF($B375="","",COUNTIFS($B$3:$B375,$B375))</f>
        <v/>
      </c>
      <c r="O375" s="14" t="str">
        <f aca="false">IF($B375="","",$B375&amp;"|"&amp;$N375)</f>
        <v/>
      </c>
    </row>
    <row r="376" customFormat="false" ht="15" hidden="false" customHeight="false" outlineLevel="0" collapsed="false">
      <c r="A376" s="12"/>
      <c r="B376" s="9"/>
      <c r="C376" s="9"/>
      <c r="D376" s="9"/>
      <c r="E376" s="9"/>
      <c r="F376" s="9"/>
      <c r="G376" s="9"/>
      <c r="H376" s="7"/>
      <c r="I376" s="13" t="str">
        <f aca="false">IF(OR($G376="",$H376=""),"",ROUND($G376*$H376,0))</f>
        <v/>
      </c>
      <c r="J376" s="8"/>
      <c r="K376" s="13" t="str">
        <f aca="false">IF($B376="","",SUMIFS($I$3:$I$2002,$B$3:$B$2002,$B376))</f>
        <v/>
      </c>
      <c r="L376" s="13" t="str">
        <f aca="false">IF($B376="","",IF(COUNTIFS($B$3:$B376,$B376)&gt;1,0,IFERROR(LOOKUP($K376,배송비규정!$A$3:$A$32,배송비규정!$B$3:$B$32),0)+IFERROR(INDEX(지역추가비!$B$3:$B$42,MATCH($J376,지역추가비!$A$3:$A$42,0)),0)))</f>
        <v/>
      </c>
      <c r="M376" s="13" t="str">
        <f aca="false">IF($B376="","",IF(COUNTIFS($B$3:$B376,$B376)&gt;1,"",$K376+$L376))</f>
        <v/>
      </c>
      <c r="N376" s="14" t="str">
        <f aca="false">IF($B376="","",COUNTIFS($B$3:$B376,$B376))</f>
        <v/>
      </c>
      <c r="O376" s="14" t="str">
        <f aca="false">IF($B376="","",$B376&amp;"|"&amp;$N376)</f>
        <v/>
      </c>
    </row>
    <row r="377" customFormat="false" ht="15" hidden="false" customHeight="false" outlineLevel="0" collapsed="false">
      <c r="A377" s="12"/>
      <c r="B377" s="9"/>
      <c r="C377" s="9"/>
      <c r="D377" s="9"/>
      <c r="E377" s="9"/>
      <c r="F377" s="9"/>
      <c r="G377" s="9"/>
      <c r="H377" s="7"/>
      <c r="I377" s="13" t="str">
        <f aca="false">IF(OR($G377="",$H377=""),"",ROUND($G377*$H377,0))</f>
        <v/>
      </c>
      <c r="J377" s="8"/>
      <c r="K377" s="13" t="str">
        <f aca="false">IF($B377="","",SUMIFS($I$3:$I$2002,$B$3:$B$2002,$B377))</f>
        <v/>
      </c>
      <c r="L377" s="13" t="str">
        <f aca="false">IF($B377="","",IF(COUNTIFS($B$3:$B377,$B377)&gt;1,0,IFERROR(LOOKUP($K377,배송비규정!$A$3:$A$32,배송비규정!$B$3:$B$32),0)+IFERROR(INDEX(지역추가비!$B$3:$B$42,MATCH($J377,지역추가비!$A$3:$A$42,0)),0)))</f>
        <v/>
      </c>
      <c r="M377" s="13" t="str">
        <f aca="false">IF($B377="","",IF(COUNTIFS($B$3:$B377,$B377)&gt;1,"",$K377+$L377))</f>
        <v/>
      </c>
      <c r="N377" s="14" t="str">
        <f aca="false">IF($B377="","",COUNTIFS($B$3:$B377,$B377))</f>
        <v/>
      </c>
      <c r="O377" s="14" t="str">
        <f aca="false">IF($B377="","",$B377&amp;"|"&amp;$N377)</f>
        <v/>
      </c>
    </row>
    <row r="378" customFormat="false" ht="15" hidden="false" customHeight="false" outlineLevel="0" collapsed="false">
      <c r="A378" s="12"/>
      <c r="B378" s="9"/>
      <c r="C378" s="9"/>
      <c r="D378" s="9"/>
      <c r="E378" s="9"/>
      <c r="F378" s="9"/>
      <c r="G378" s="9"/>
      <c r="H378" s="7"/>
      <c r="I378" s="13" t="str">
        <f aca="false">IF(OR($G378="",$H378=""),"",ROUND($G378*$H378,0))</f>
        <v/>
      </c>
      <c r="J378" s="8"/>
      <c r="K378" s="13" t="str">
        <f aca="false">IF($B378="","",SUMIFS($I$3:$I$2002,$B$3:$B$2002,$B378))</f>
        <v/>
      </c>
      <c r="L378" s="13" t="str">
        <f aca="false">IF($B378="","",IF(COUNTIFS($B$3:$B378,$B378)&gt;1,0,IFERROR(LOOKUP($K378,배송비규정!$A$3:$A$32,배송비규정!$B$3:$B$32),0)+IFERROR(INDEX(지역추가비!$B$3:$B$42,MATCH($J378,지역추가비!$A$3:$A$42,0)),0)))</f>
        <v/>
      </c>
      <c r="M378" s="13" t="str">
        <f aca="false">IF($B378="","",IF(COUNTIFS($B$3:$B378,$B378)&gt;1,"",$K378+$L378))</f>
        <v/>
      </c>
      <c r="N378" s="14" t="str">
        <f aca="false">IF($B378="","",COUNTIFS($B$3:$B378,$B378))</f>
        <v/>
      </c>
      <c r="O378" s="14" t="str">
        <f aca="false">IF($B378="","",$B378&amp;"|"&amp;$N378)</f>
        <v/>
      </c>
    </row>
    <row r="379" customFormat="false" ht="15" hidden="false" customHeight="false" outlineLevel="0" collapsed="false">
      <c r="A379" s="12"/>
      <c r="B379" s="9"/>
      <c r="C379" s="9"/>
      <c r="D379" s="9"/>
      <c r="E379" s="9"/>
      <c r="F379" s="9"/>
      <c r="G379" s="9"/>
      <c r="H379" s="7"/>
      <c r="I379" s="13" t="str">
        <f aca="false">IF(OR($G379="",$H379=""),"",ROUND($G379*$H379,0))</f>
        <v/>
      </c>
      <c r="J379" s="8"/>
      <c r="K379" s="13" t="str">
        <f aca="false">IF($B379="","",SUMIFS($I$3:$I$2002,$B$3:$B$2002,$B379))</f>
        <v/>
      </c>
      <c r="L379" s="13" t="str">
        <f aca="false">IF($B379="","",IF(COUNTIFS($B$3:$B379,$B379)&gt;1,0,IFERROR(LOOKUP($K379,배송비규정!$A$3:$A$32,배송비규정!$B$3:$B$32),0)+IFERROR(INDEX(지역추가비!$B$3:$B$42,MATCH($J379,지역추가비!$A$3:$A$42,0)),0)))</f>
        <v/>
      </c>
      <c r="M379" s="13" t="str">
        <f aca="false">IF($B379="","",IF(COUNTIFS($B$3:$B379,$B379)&gt;1,"",$K379+$L379))</f>
        <v/>
      </c>
      <c r="N379" s="14" t="str">
        <f aca="false">IF($B379="","",COUNTIFS($B$3:$B379,$B379))</f>
        <v/>
      </c>
      <c r="O379" s="14" t="str">
        <f aca="false">IF($B379="","",$B379&amp;"|"&amp;$N379)</f>
        <v/>
      </c>
    </row>
    <row r="380" customFormat="false" ht="15" hidden="false" customHeight="false" outlineLevel="0" collapsed="false">
      <c r="A380" s="12"/>
      <c r="B380" s="9"/>
      <c r="C380" s="9"/>
      <c r="D380" s="9"/>
      <c r="E380" s="9"/>
      <c r="F380" s="9"/>
      <c r="G380" s="9"/>
      <c r="H380" s="7"/>
      <c r="I380" s="13" t="str">
        <f aca="false">IF(OR($G380="",$H380=""),"",ROUND($G380*$H380,0))</f>
        <v/>
      </c>
      <c r="J380" s="8"/>
      <c r="K380" s="13" t="str">
        <f aca="false">IF($B380="","",SUMIFS($I$3:$I$2002,$B$3:$B$2002,$B380))</f>
        <v/>
      </c>
      <c r="L380" s="13" t="str">
        <f aca="false">IF($B380="","",IF(COUNTIFS($B$3:$B380,$B380)&gt;1,0,IFERROR(LOOKUP($K380,배송비규정!$A$3:$A$32,배송비규정!$B$3:$B$32),0)+IFERROR(INDEX(지역추가비!$B$3:$B$42,MATCH($J380,지역추가비!$A$3:$A$42,0)),0)))</f>
        <v/>
      </c>
      <c r="M380" s="13" t="str">
        <f aca="false">IF($B380="","",IF(COUNTIFS($B$3:$B380,$B380)&gt;1,"",$K380+$L380))</f>
        <v/>
      </c>
      <c r="N380" s="14" t="str">
        <f aca="false">IF($B380="","",COUNTIFS($B$3:$B380,$B380))</f>
        <v/>
      </c>
      <c r="O380" s="14" t="str">
        <f aca="false">IF($B380="","",$B380&amp;"|"&amp;$N380)</f>
        <v/>
      </c>
    </row>
    <row r="381" customFormat="false" ht="15" hidden="false" customHeight="false" outlineLevel="0" collapsed="false">
      <c r="A381" s="12"/>
      <c r="B381" s="9"/>
      <c r="C381" s="9"/>
      <c r="D381" s="9"/>
      <c r="E381" s="9"/>
      <c r="F381" s="9"/>
      <c r="G381" s="9"/>
      <c r="H381" s="7"/>
      <c r="I381" s="13" t="str">
        <f aca="false">IF(OR($G381="",$H381=""),"",ROUND($G381*$H381,0))</f>
        <v/>
      </c>
      <c r="J381" s="8"/>
      <c r="K381" s="13" t="str">
        <f aca="false">IF($B381="","",SUMIFS($I$3:$I$2002,$B$3:$B$2002,$B381))</f>
        <v/>
      </c>
      <c r="L381" s="13" t="str">
        <f aca="false">IF($B381="","",IF(COUNTIFS($B$3:$B381,$B381)&gt;1,0,IFERROR(LOOKUP($K381,배송비규정!$A$3:$A$32,배송비규정!$B$3:$B$32),0)+IFERROR(INDEX(지역추가비!$B$3:$B$42,MATCH($J381,지역추가비!$A$3:$A$42,0)),0)))</f>
        <v/>
      </c>
      <c r="M381" s="13" t="str">
        <f aca="false">IF($B381="","",IF(COUNTIFS($B$3:$B381,$B381)&gt;1,"",$K381+$L381))</f>
        <v/>
      </c>
      <c r="N381" s="14" t="str">
        <f aca="false">IF($B381="","",COUNTIFS($B$3:$B381,$B381))</f>
        <v/>
      </c>
      <c r="O381" s="14" t="str">
        <f aca="false">IF($B381="","",$B381&amp;"|"&amp;$N381)</f>
        <v/>
      </c>
    </row>
    <row r="382" customFormat="false" ht="15" hidden="false" customHeight="false" outlineLevel="0" collapsed="false">
      <c r="A382" s="12"/>
      <c r="B382" s="9"/>
      <c r="C382" s="9"/>
      <c r="D382" s="9"/>
      <c r="E382" s="9"/>
      <c r="F382" s="9"/>
      <c r="G382" s="9"/>
      <c r="H382" s="7"/>
      <c r="I382" s="13" t="str">
        <f aca="false">IF(OR($G382="",$H382=""),"",ROUND($G382*$H382,0))</f>
        <v/>
      </c>
      <c r="J382" s="8"/>
      <c r="K382" s="13" t="str">
        <f aca="false">IF($B382="","",SUMIFS($I$3:$I$2002,$B$3:$B$2002,$B382))</f>
        <v/>
      </c>
      <c r="L382" s="13" t="str">
        <f aca="false">IF($B382="","",IF(COUNTIFS($B$3:$B382,$B382)&gt;1,0,IFERROR(LOOKUP($K382,배송비규정!$A$3:$A$32,배송비규정!$B$3:$B$32),0)+IFERROR(INDEX(지역추가비!$B$3:$B$42,MATCH($J382,지역추가비!$A$3:$A$42,0)),0)))</f>
        <v/>
      </c>
      <c r="M382" s="13" t="str">
        <f aca="false">IF($B382="","",IF(COUNTIFS($B$3:$B382,$B382)&gt;1,"",$K382+$L382))</f>
        <v/>
      </c>
      <c r="N382" s="14" t="str">
        <f aca="false">IF($B382="","",COUNTIFS($B$3:$B382,$B382))</f>
        <v/>
      </c>
      <c r="O382" s="14" t="str">
        <f aca="false">IF($B382="","",$B382&amp;"|"&amp;$N382)</f>
        <v/>
      </c>
    </row>
    <row r="383" customFormat="false" ht="15" hidden="false" customHeight="false" outlineLevel="0" collapsed="false">
      <c r="A383" s="12"/>
      <c r="B383" s="9"/>
      <c r="C383" s="9"/>
      <c r="D383" s="9"/>
      <c r="E383" s="9"/>
      <c r="F383" s="9"/>
      <c r="G383" s="9"/>
      <c r="H383" s="7"/>
      <c r="I383" s="13" t="str">
        <f aca="false">IF(OR($G383="",$H383=""),"",ROUND($G383*$H383,0))</f>
        <v/>
      </c>
      <c r="J383" s="8"/>
      <c r="K383" s="13" t="str">
        <f aca="false">IF($B383="","",SUMIFS($I$3:$I$2002,$B$3:$B$2002,$B383))</f>
        <v/>
      </c>
      <c r="L383" s="13" t="str">
        <f aca="false">IF($B383="","",IF(COUNTIFS($B$3:$B383,$B383)&gt;1,0,IFERROR(LOOKUP($K383,배송비규정!$A$3:$A$32,배송비규정!$B$3:$B$32),0)+IFERROR(INDEX(지역추가비!$B$3:$B$42,MATCH($J383,지역추가비!$A$3:$A$42,0)),0)))</f>
        <v/>
      </c>
      <c r="M383" s="13" t="str">
        <f aca="false">IF($B383="","",IF(COUNTIFS($B$3:$B383,$B383)&gt;1,"",$K383+$L383))</f>
        <v/>
      </c>
      <c r="N383" s="14" t="str">
        <f aca="false">IF($B383="","",COUNTIFS($B$3:$B383,$B383))</f>
        <v/>
      </c>
      <c r="O383" s="14" t="str">
        <f aca="false">IF($B383="","",$B383&amp;"|"&amp;$N383)</f>
        <v/>
      </c>
    </row>
    <row r="384" customFormat="false" ht="15" hidden="false" customHeight="false" outlineLevel="0" collapsed="false">
      <c r="A384" s="12"/>
      <c r="B384" s="9"/>
      <c r="C384" s="9"/>
      <c r="D384" s="9"/>
      <c r="E384" s="9"/>
      <c r="F384" s="9"/>
      <c r="G384" s="9"/>
      <c r="H384" s="7"/>
      <c r="I384" s="13" t="str">
        <f aca="false">IF(OR($G384="",$H384=""),"",ROUND($G384*$H384,0))</f>
        <v/>
      </c>
      <c r="J384" s="8"/>
      <c r="K384" s="13" t="str">
        <f aca="false">IF($B384="","",SUMIFS($I$3:$I$2002,$B$3:$B$2002,$B384))</f>
        <v/>
      </c>
      <c r="L384" s="13" t="str">
        <f aca="false">IF($B384="","",IF(COUNTIFS($B$3:$B384,$B384)&gt;1,0,IFERROR(LOOKUP($K384,배송비규정!$A$3:$A$32,배송비규정!$B$3:$B$32),0)+IFERROR(INDEX(지역추가비!$B$3:$B$42,MATCH($J384,지역추가비!$A$3:$A$42,0)),0)))</f>
        <v/>
      </c>
      <c r="M384" s="13" t="str">
        <f aca="false">IF($B384="","",IF(COUNTIFS($B$3:$B384,$B384)&gt;1,"",$K384+$L384))</f>
        <v/>
      </c>
      <c r="N384" s="14" t="str">
        <f aca="false">IF($B384="","",COUNTIFS($B$3:$B384,$B384))</f>
        <v/>
      </c>
      <c r="O384" s="14" t="str">
        <f aca="false">IF($B384="","",$B384&amp;"|"&amp;$N384)</f>
        <v/>
      </c>
    </row>
    <row r="385" customFormat="false" ht="15" hidden="false" customHeight="false" outlineLevel="0" collapsed="false">
      <c r="A385" s="12"/>
      <c r="B385" s="9"/>
      <c r="C385" s="9"/>
      <c r="D385" s="9"/>
      <c r="E385" s="9"/>
      <c r="F385" s="9"/>
      <c r="G385" s="9"/>
      <c r="H385" s="7"/>
      <c r="I385" s="13" t="str">
        <f aca="false">IF(OR($G385="",$H385=""),"",ROUND($G385*$H385,0))</f>
        <v/>
      </c>
      <c r="J385" s="8"/>
      <c r="K385" s="13" t="str">
        <f aca="false">IF($B385="","",SUMIFS($I$3:$I$2002,$B$3:$B$2002,$B385))</f>
        <v/>
      </c>
      <c r="L385" s="13" t="str">
        <f aca="false">IF($B385="","",IF(COUNTIFS($B$3:$B385,$B385)&gt;1,0,IFERROR(LOOKUP($K385,배송비규정!$A$3:$A$32,배송비규정!$B$3:$B$32),0)+IFERROR(INDEX(지역추가비!$B$3:$B$42,MATCH($J385,지역추가비!$A$3:$A$42,0)),0)))</f>
        <v/>
      </c>
      <c r="M385" s="13" t="str">
        <f aca="false">IF($B385="","",IF(COUNTIFS($B$3:$B385,$B385)&gt;1,"",$K385+$L385))</f>
        <v/>
      </c>
      <c r="N385" s="14" t="str">
        <f aca="false">IF($B385="","",COUNTIFS($B$3:$B385,$B385))</f>
        <v/>
      </c>
      <c r="O385" s="14" t="str">
        <f aca="false">IF($B385="","",$B385&amp;"|"&amp;$N385)</f>
        <v/>
      </c>
    </row>
    <row r="386" customFormat="false" ht="15" hidden="false" customHeight="false" outlineLevel="0" collapsed="false">
      <c r="A386" s="12"/>
      <c r="B386" s="9"/>
      <c r="C386" s="9"/>
      <c r="D386" s="9"/>
      <c r="E386" s="9"/>
      <c r="F386" s="9"/>
      <c r="G386" s="9"/>
      <c r="H386" s="7"/>
      <c r="I386" s="13" t="str">
        <f aca="false">IF(OR($G386="",$H386=""),"",ROUND($G386*$H386,0))</f>
        <v/>
      </c>
      <c r="J386" s="8"/>
      <c r="K386" s="13" t="str">
        <f aca="false">IF($B386="","",SUMIFS($I$3:$I$2002,$B$3:$B$2002,$B386))</f>
        <v/>
      </c>
      <c r="L386" s="13" t="str">
        <f aca="false">IF($B386="","",IF(COUNTIFS($B$3:$B386,$B386)&gt;1,0,IFERROR(LOOKUP($K386,배송비규정!$A$3:$A$32,배송비규정!$B$3:$B$32),0)+IFERROR(INDEX(지역추가비!$B$3:$B$42,MATCH($J386,지역추가비!$A$3:$A$42,0)),0)))</f>
        <v/>
      </c>
      <c r="M386" s="13" t="str">
        <f aca="false">IF($B386="","",IF(COUNTIFS($B$3:$B386,$B386)&gt;1,"",$K386+$L386))</f>
        <v/>
      </c>
      <c r="N386" s="14" t="str">
        <f aca="false">IF($B386="","",COUNTIFS($B$3:$B386,$B386))</f>
        <v/>
      </c>
      <c r="O386" s="14" t="str">
        <f aca="false">IF($B386="","",$B386&amp;"|"&amp;$N386)</f>
        <v/>
      </c>
    </row>
    <row r="387" customFormat="false" ht="15" hidden="false" customHeight="false" outlineLevel="0" collapsed="false">
      <c r="A387" s="12"/>
      <c r="B387" s="9"/>
      <c r="C387" s="9"/>
      <c r="D387" s="9"/>
      <c r="E387" s="9"/>
      <c r="F387" s="9"/>
      <c r="G387" s="9"/>
      <c r="H387" s="7"/>
      <c r="I387" s="13" t="str">
        <f aca="false">IF(OR($G387="",$H387=""),"",ROUND($G387*$H387,0))</f>
        <v/>
      </c>
      <c r="J387" s="8"/>
      <c r="K387" s="13" t="str">
        <f aca="false">IF($B387="","",SUMIFS($I$3:$I$2002,$B$3:$B$2002,$B387))</f>
        <v/>
      </c>
      <c r="L387" s="13" t="str">
        <f aca="false">IF($B387="","",IF(COUNTIFS($B$3:$B387,$B387)&gt;1,0,IFERROR(LOOKUP($K387,배송비규정!$A$3:$A$32,배송비규정!$B$3:$B$32),0)+IFERROR(INDEX(지역추가비!$B$3:$B$42,MATCH($J387,지역추가비!$A$3:$A$42,0)),0)))</f>
        <v/>
      </c>
      <c r="M387" s="13" t="str">
        <f aca="false">IF($B387="","",IF(COUNTIFS($B$3:$B387,$B387)&gt;1,"",$K387+$L387))</f>
        <v/>
      </c>
      <c r="N387" s="14" t="str">
        <f aca="false">IF($B387="","",COUNTIFS($B$3:$B387,$B387))</f>
        <v/>
      </c>
      <c r="O387" s="14" t="str">
        <f aca="false">IF($B387="","",$B387&amp;"|"&amp;$N387)</f>
        <v/>
      </c>
    </row>
    <row r="388" customFormat="false" ht="15" hidden="false" customHeight="false" outlineLevel="0" collapsed="false">
      <c r="A388" s="12"/>
      <c r="B388" s="9"/>
      <c r="C388" s="9"/>
      <c r="D388" s="9"/>
      <c r="E388" s="9"/>
      <c r="F388" s="9"/>
      <c r="G388" s="9"/>
      <c r="H388" s="7"/>
      <c r="I388" s="13" t="str">
        <f aca="false">IF(OR($G388="",$H388=""),"",ROUND($G388*$H388,0))</f>
        <v/>
      </c>
      <c r="J388" s="8"/>
      <c r="K388" s="13" t="str">
        <f aca="false">IF($B388="","",SUMIFS($I$3:$I$2002,$B$3:$B$2002,$B388))</f>
        <v/>
      </c>
      <c r="L388" s="13" t="str">
        <f aca="false">IF($B388="","",IF(COUNTIFS($B$3:$B388,$B388)&gt;1,0,IFERROR(LOOKUP($K388,배송비규정!$A$3:$A$32,배송비규정!$B$3:$B$32),0)+IFERROR(INDEX(지역추가비!$B$3:$B$42,MATCH($J388,지역추가비!$A$3:$A$42,0)),0)))</f>
        <v/>
      </c>
      <c r="M388" s="13" t="str">
        <f aca="false">IF($B388="","",IF(COUNTIFS($B$3:$B388,$B388)&gt;1,"",$K388+$L388))</f>
        <v/>
      </c>
      <c r="N388" s="14" t="str">
        <f aca="false">IF($B388="","",COUNTIFS($B$3:$B388,$B388))</f>
        <v/>
      </c>
      <c r="O388" s="14" t="str">
        <f aca="false">IF($B388="","",$B388&amp;"|"&amp;$N388)</f>
        <v/>
      </c>
    </row>
    <row r="389" customFormat="false" ht="15" hidden="false" customHeight="false" outlineLevel="0" collapsed="false">
      <c r="A389" s="12"/>
      <c r="B389" s="9"/>
      <c r="C389" s="9"/>
      <c r="D389" s="9"/>
      <c r="E389" s="9"/>
      <c r="F389" s="9"/>
      <c r="G389" s="9"/>
      <c r="H389" s="7"/>
      <c r="I389" s="13" t="str">
        <f aca="false">IF(OR($G389="",$H389=""),"",ROUND($G389*$H389,0))</f>
        <v/>
      </c>
      <c r="J389" s="8"/>
      <c r="K389" s="13" t="str">
        <f aca="false">IF($B389="","",SUMIFS($I$3:$I$2002,$B$3:$B$2002,$B389))</f>
        <v/>
      </c>
      <c r="L389" s="13" t="str">
        <f aca="false">IF($B389="","",IF(COUNTIFS($B$3:$B389,$B389)&gt;1,0,IFERROR(LOOKUP($K389,배송비규정!$A$3:$A$32,배송비규정!$B$3:$B$32),0)+IFERROR(INDEX(지역추가비!$B$3:$B$42,MATCH($J389,지역추가비!$A$3:$A$42,0)),0)))</f>
        <v/>
      </c>
      <c r="M389" s="13" t="str">
        <f aca="false">IF($B389="","",IF(COUNTIFS($B$3:$B389,$B389)&gt;1,"",$K389+$L389))</f>
        <v/>
      </c>
      <c r="N389" s="14" t="str">
        <f aca="false">IF($B389="","",COUNTIFS($B$3:$B389,$B389))</f>
        <v/>
      </c>
      <c r="O389" s="14" t="str">
        <f aca="false">IF($B389="","",$B389&amp;"|"&amp;$N389)</f>
        <v/>
      </c>
    </row>
    <row r="390" customFormat="false" ht="15" hidden="false" customHeight="false" outlineLevel="0" collapsed="false">
      <c r="A390" s="12"/>
      <c r="B390" s="9"/>
      <c r="C390" s="9"/>
      <c r="D390" s="9"/>
      <c r="E390" s="9"/>
      <c r="F390" s="9"/>
      <c r="G390" s="9"/>
      <c r="H390" s="7"/>
      <c r="I390" s="13" t="str">
        <f aca="false">IF(OR($G390="",$H390=""),"",ROUND($G390*$H390,0))</f>
        <v/>
      </c>
      <c r="J390" s="8"/>
      <c r="K390" s="13" t="str">
        <f aca="false">IF($B390="","",SUMIFS($I$3:$I$2002,$B$3:$B$2002,$B390))</f>
        <v/>
      </c>
      <c r="L390" s="13" t="str">
        <f aca="false">IF($B390="","",IF(COUNTIFS($B$3:$B390,$B390)&gt;1,0,IFERROR(LOOKUP($K390,배송비규정!$A$3:$A$32,배송비규정!$B$3:$B$32),0)+IFERROR(INDEX(지역추가비!$B$3:$B$42,MATCH($J390,지역추가비!$A$3:$A$42,0)),0)))</f>
        <v/>
      </c>
      <c r="M390" s="13" t="str">
        <f aca="false">IF($B390="","",IF(COUNTIFS($B$3:$B390,$B390)&gt;1,"",$K390+$L390))</f>
        <v/>
      </c>
      <c r="N390" s="14" t="str">
        <f aca="false">IF($B390="","",COUNTIFS($B$3:$B390,$B390))</f>
        <v/>
      </c>
      <c r="O390" s="14" t="str">
        <f aca="false">IF($B390="","",$B390&amp;"|"&amp;$N390)</f>
        <v/>
      </c>
    </row>
    <row r="391" customFormat="false" ht="15" hidden="false" customHeight="false" outlineLevel="0" collapsed="false">
      <c r="A391" s="12"/>
      <c r="B391" s="9"/>
      <c r="C391" s="9"/>
      <c r="D391" s="9"/>
      <c r="E391" s="9"/>
      <c r="F391" s="9"/>
      <c r="G391" s="9"/>
      <c r="H391" s="7"/>
      <c r="I391" s="13" t="str">
        <f aca="false">IF(OR($G391="",$H391=""),"",ROUND($G391*$H391,0))</f>
        <v/>
      </c>
      <c r="J391" s="8"/>
      <c r="K391" s="13" t="str">
        <f aca="false">IF($B391="","",SUMIFS($I$3:$I$2002,$B$3:$B$2002,$B391))</f>
        <v/>
      </c>
      <c r="L391" s="13" t="str">
        <f aca="false">IF($B391="","",IF(COUNTIFS($B$3:$B391,$B391)&gt;1,0,IFERROR(LOOKUP($K391,배송비규정!$A$3:$A$32,배송비규정!$B$3:$B$32),0)+IFERROR(INDEX(지역추가비!$B$3:$B$42,MATCH($J391,지역추가비!$A$3:$A$42,0)),0)))</f>
        <v/>
      </c>
      <c r="M391" s="13" t="str">
        <f aca="false">IF($B391="","",IF(COUNTIFS($B$3:$B391,$B391)&gt;1,"",$K391+$L391))</f>
        <v/>
      </c>
      <c r="N391" s="14" t="str">
        <f aca="false">IF($B391="","",COUNTIFS($B$3:$B391,$B391))</f>
        <v/>
      </c>
      <c r="O391" s="14" t="str">
        <f aca="false">IF($B391="","",$B391&amp;"|"&amp;$N391)</f>
        <v/>
      </c>
    </row>
    <row r="392" customFormat="false" ht="15" hidden="false" customHeight="false" outlineLevel="0" collapsed="false">
      <c r="A392" s="12"/>
      <c r="B392" s="9"/>
      <c r="C392" s="9"/>
      <c r="D392" s="9"/>
      <c r="E392" s="9"/>
      <c r="F392" s="9"/>
      <c r="G392" s="9"/>
      <c r="H392" s="7"/>
      <c r="I392" s="13" t="str">
        <f aca="false">IF(OR($G392="",$H392=""),"",ROUND($G392*$H392,0))</f>
        <v/>
      </c>
      <c r="J392" s="8"/>
      <c r="K392" s="13" t="str">
        <f aca="false">IF($B392="","",SUMIFS($I$3:$I$2002,$B$3:$B$2002,$B392))</f>
        <v/>
      </c>
      <c r="L392" s="13" t="str">
        <f aca="false">IF($B392="","",IF(COUNTIFS($B$3:$B392,$B392)&gt;1,0,IFERROR(LOOKUP($K392,배송비규정!$A$3:$A$32,배송비규정!$B$3:$B$32),0)+IFERROR(INDEX(지역추가비!$B$3:$B$42,MATCH($J392,지역추가비!$A$3:$A$42,0)),0)))</f>
        <v/>
      </c>
      <c r="M392" s="13" t="str">
        <f aca="false">IF($B392="","",IF(COUNTIFS($B$3:$B392,$B392)&gt;1,"",$K392+$L392))</f>
        <v/>
      </c>
      <c r="N392" s="14" t="str">
        <f aca="false">IF($B392="","",COUNTIFS($B$3:$B392,$B392))</f>
        <v/>
      </c>
      <c r="O392" s="14" t="str">
        <f aca="false">IF($B392="","",$B392&amp;"|"&amp;$N392)</f>
        <v/>
      </c>
    </row>
    <row r="393" customFormat="false" ht="15" hidden="false" customHeight="false" outlineLevel="0" collapsed="false">
      <c r="A393" s="12"/>
      <c r="B393" s="9"/>
      <c r="C393" s="9"/>
      <c r="D393" s="9"/>
      <c r="E393" s="9"/>
      <c r="F393" s="9"/>
      <c r="G393" s="9"/>
      <c r="H393" s="7"/>
      <c r="I393" s="13" t="str">
        <f aca="false">IF(OR($G393="",$H393=""),"",ROUND($G393*$H393,0))</f>
        <v/>
      </c>
      <c r="J393" s="8"/>
      <c r="K393" s="13" t="str">
        <f aca="false">IF($B393="","",SUMIFS($I$3:$I$2002,$B$3:$B$2002,$B393))</f>
        <v/>
      </c>
      <c r="L393" s="13" t="str">
        <f aca="false">IF($B393="","",IF(COUNTIFS($B$3:$B393,$B393)&gt;1,0,IFERROR(LOOKUP($K393,배송비규정!$A$3:$A$32,배송비규정!$B$3:$B$32),0)+IFERROR(INDEX(지역추가비!$B$3:$B$42,MATCH($J393,지역추가비!$A$3:$A$42,0)),0)))</f>
        <v/>
      </c>
      <c r="M393" s="13" t="str">
        <f aca="false">IF($B393="","",IF(COUNTIFS($B$3:$B393,$B393)&gt;1,"",$K393+$L393))</f>
        <v/>
      </c>
      <c r="N393" s="14" t="str">
        <f aca="false">IF($B393="","",COUNTIFS($B$3:$B393,$B393))</f>
        <v/>
      </c>
      <c r="O393" s="14" t="str">
        <f aca="false">IF($B393="","",$B393&amp;"|"&amp;$N393)</f>
        <v/>
      </c>
    </row>
    <row r="394" customFormat="false" ht="15" hidden="false" customHeight="false" outlineLevel="0" collapsed="false">
      <c r="A394" s="12"/>
      <c r="B394" s="9"/>
      <c r="C394" s="9"/>
      <c r="D394" s="9"/>
      <c r="E394" s="9"/>
      <c r="F394" s="9"/>
      <c r="G394" s="9"/>
      <c r="H394" s="7"/>
      <c r="I394" s="13" t="str">
        <f aca="false">IF(OR($G394="",$H394=""),"",ROUND($G394*$H394,0))</f>
        <v/>
      </c>
      <c r="J394" s="8"/>
      <c r="K394" s="13" t="str">
        <f aca="false">IF($B394="","",SUMIFS($I$3:$I$2002,$B$3:$B$2002,$B394))</f>
        <v/>
      </c>
      <c r="L394" s="13" t="str">
        <f aca="false">IF($B394="","",IF(COUNTIFS($B$3:$B394,$B394)&gt;1,0,IFERROR(LOOKUP($K394,배송비규정!$A$3:$A$32,배송비규정!$B$3:$B$32),0)+IFERROR(INDEX(지역추가비!$B$3:$B$42,MATCH($J394,지역추가비!$A$3:$A$42,0)),0)))</f>
        <v/>
      </c>
      <c r="M394" s="13" t="str">
        <f aca="false">IF($B394="","",IF(COUNTIFS($B$3:$B394,$B394)&gt;1,"",$K394+$L394))</f>
        <v/>
      </c>
      <c r="N394" s="14" t="str">
        <f aca="false">IF($B394="","",COUNTIFS($B$3:$B394,$B394))</f>
        <v/>
      </c>
      <c r="O394" s="14" t="str">
        <f aca="false">IF($B394="","",$B394&amp;"|"&amp;$N394)</f>
        <v/>
      </c>
    </row>
    <row r="395" customFormat="false" ht="15" hidden="false" customHeight="false" outlineLevel="0" collapsed="false">
      <c r="A395" s="12"/>
      <c r="B395" s="9"/>
      <c r="C395" s="9"/>
      <c r="D395" s="9"/>
      <c r="E395" s="9"/>
      <c r="F395" s="9"/>
      <c r="G395" s="9"/>
      <c r="H395" s="7"/>
      <c r="I395" s="13" t="str">
        <f aca="false">IF(OR($G395="",$H395=""),"",ROUND($G395*$H395,0))</f>
        <v/>
      </c>
      <c r="J395" s="8"/>
      <c r="K395" s="13" t="str">
        <f aca="false">IF($B395="","",SUMIFS($I$3:$I$2002,$B$3:$B$2002,$B395))</f>
        <v/>
      </c>
      <c r="L395" s="13" t="str">
        <f aca="false">IF($B395="","",IF(COUNTIFS($B$3:$B395,$B395)&gt;1,0,IFERROR(LOOKUP($K395,배송비규정!$A$3:$A$32,배송비규정!$B$3:$B$32),0)+IFERROR(INDEX(지역추가비!$B$3:$B$42,MATCH($J395,지역추가비!$A$3:$A$42,0)),0)))</f>
        <v/>
      </c>
      <c r="M395" s="13" t="str">
        <f aca="false">IF($B395="","",IF(COUNTIFS($B$3:$B395,$B395)&gt;1,"",$K395+$L395))</f>
        <v/>
      </c>
      <c r="N395" s="14" t="str">
        <f aca="false">IF($B395="","",COUNTIFS($B$3:$B395,$B395))</f>
        <v/>
      </c>
      <c r="O395" s="14" t="str">
        <f aca="false">IF($B395="","",$B395&amp;"|"&amp;$N395)</f>
        <v/>
      </c>
    </row>
    <row r="396" customFormat="false" ht="15" hidden="false" customHeight="false" outlineLevel="0" collapsed="false">
      <c r="A396" s="12"/>
      <c r="B396" s="9"/>
      <c r="C396" s="9"/>
      <c r="D396" s="9"/>
      <c r="E396" s="9"/>
      <c r="F396" s="9"/>
      <c r="G396" s="9"/>
      <c r="H396" s="7"/>
      <c r="I396" s="13" t="str">
        <f aca="false">IF(OR($G396="",$H396=""),"",ROUND($G396*$H396,0))</f>
        <v/>
      </c>
      <c r="J396" s="8"/>
      <c r="K396" s="13" t="str">
        <f aca="false">IF($B396="","",SUMIFS($I$3:$I$2002,$B$3:$B$2002,$B396))</f>
        <v/>
      </c>
      <c r="L396" s="13" t="str">
        <f aca="false">IF($B396="","",IF(COUNTIFS($B$3:$B396,$B396)&gt;1,0,IFERROR(LOOKUP($K396,배송비규정!$A$3:$A$32,배송비규정!$B$3:$B$32),0)+IFERROR(INDEX(지역추가비!$B$3:$B$42,MATCH($J396,지역추가비!$A$3:$A$42,0)),0)))</f>
        <v/>
      </c>
      <c r="M396" s="13" t="str">
        <f aca="false">IF($B396="","",IF(COUNTIFS($B$3:$B396,$B396)&gt;1,"",$K396+$L396))</f>
        <v/>
      </c>
      <c r="N396" s="14" t="str">
        <f aca="false">IF($B396="","",COUNTIFS($B$3:$B396,$B396))</f>
        <v/>
      </c>
      <c r="O396" s="14" t="str">
        <f aca="false">IF($B396="","",$B396&amp;"|"&amp;$N396)</f>
        <v/>
      </c>
    </row>
    <row r="397" customFormat="false" ht="15" hidden="false" customHeight="false" outlineLevel="0" collapsed="false">
      <c r="A397" s="12"/>
      <c r="B397" s="9"/>
      <c r="C397" s="9"/>
      <c r="D397" s="9"/>
      <c r="E397" s="9"/>
      <c r="F397" s="9"/>
      <c r="G397" s="9"/>
      <c r="H397" s="7"/>
      <c r="I397" s="13" t="str">
        <f aca="false">IF(OR($G397="",$H397=""),"",ROUND($G397*$H397,0))</f>
        <v/>
      </c>
      <c r="J397" s="8"/>
      <c r="K397" s="13" t="str">
        <f aca="false">IF($B397="","",SUMIFS($I$3:$I$2002,$B$3:$B$2002,$B397))</f>
        <v/>
      </c>
      <c r="L397" s="13" t="str">
        <f aca="false">IF($B397="","",IF(COUNTIFS($B$3:$B397,$B397)&gt;1,0,IFERROR(LOOKUP($K397,배송비규정!$A$3:$A$32,배송비규정!$B$3:$B$32),0)+IFERROR(INDEX(지역추가비!$B$3:$B$42,MATCH($J397,지역추가비!$A$3:$A$42,0)),0)))</f>
        <v/>
      </c>
      <c r="M397" s="13" t="str">
        <f aca="false">IF($B397="","",IF(COUNTIFS($B$3:$B397,$B397)&gt;1,"",$K397+$L397))</f>
        <v/>
      </c>
      <c r="N397" s="14" t="str">
        <f aca="false">IF($B397="","",COUNTIFS($B$3:$B397,$B397))</f>
        <v/>
      </c>
      <c r="O397" s="14" t="str">
        <f aca="false">IF($B397="","",$B397&amp;"|"&amp;$N397)</f>
        <v/>
      </c>
    </row>
    <row r="398" customFormat="false" ht="15" hidden="false" customHeight="false" outlineLevel="0" collapsed="false">
      <c r="A398" s="12"/>
      <c r="B398" s="9"/>
      <c r="C398" s="9"/>
      <c r="D398" s="9"/>
      <c r="E398" s="9"/>
      <c r="F398" s="9"/>
      <c r="G398" s="9"/>
      <c r="H398" s="7"/>
      <c r="I398" s="13" t="str">
        <f aca="false">IF(OR($G398="",$H398=""),"",ROUND($G398*$H398,0))</f>
        <v/>
      </c>
      <c r="J398" s="8"/>
      <c r="K398" s="13" t="str">
        <f aca="false">IF($B398="","",SUMIFS($I$3:$I$2002,$B$3:$B$2002,$B398))</f>
        <v/>
      </c>
      <c r="L398" s="13" t="str">
        <f aca="false">IF($B398="","",IF(COUNTIFS($B$3:$B398,$B398)&gt;1,0,IFERROR(LOOKUP($K398,배송비규정!$A$3:$A$32,배송비규정!$B$3:$B$32),0)+IFERROR(INDEX(지역추가비!$B$3:$B$42,MATCH($J398,지역추가비!$A$3:$A$42,0)),0)))</f>
        <v/>
      </c>
      <c r="M398" s="13" t="str">
        <f aca="false">IF($B398="","",IF(COUNTIFS($B$3:$B398,$B398)&gt;1,"",$K398+$L398))</f>
        <v/>
      </c>
      <c r="N398" s="14" t="str">
        <f aca="false">IF($B398="","",COUNTIFS($B$3:$B398,$B398))</f>
        <v/>
      </c>
      <c r="O398" s="14" t="str">
        <f aca="false">IF($B398="","",$B398&amp;"|"&amp;$N398)</f>
        <v/>
      </c>
    </row>
    <row r="399" customFormat="false" ht="15" hidden="false" customHeight="false" outlineLevel="0" collapsed="false">
      <c r="A399" s="12"/>
      <c r="B399" s="9"/>
      <c r="C399" s="9"/>
      <c r="D399" s="9"/>
      <c r="E399" s="9"/>
      <c r="F399" s="9"/>
      <c r="G399" s="9"/>
      <c r="H399" s="7"/>
      <c r="I399" s="13" t="str">
        <f aca="false">IF(OR($G399="",$H399=""),"",ROUND($G399*$H399,0))</f>
        <v/>
      </c>
      <c r="J399" s="8"/>
      <c r="K399" s="13" t="str">
        <f aca="false">IF($B399="","",SUMIFS($I$3:$I$2002,$B$3:$B$2002,$B399))</f>
        <v/>
      </c>
      <c r="L399" s="13" t="str">
        <f aca="false">IF($B399="","",IF(COUNTIFS($B$3:$B399,$B399)&gt;1,0,IFERROR(LOOKUP($K399,배송비규정!$A$3:$A$32,배송비규정!$B$3:$B$32),0)+IFERROR(INDEX(지역추가비!$B$3:$B$42,MATCH($J399,지역추가비!$A$3:$A$42,0)),0)))</f>
        <v/>
      </c>
      <c r="M399" s="13" t="str">
        <f aca="false">IF($B399="","",IF(COUNTIFS($B$3:$B399,$B399)&gt;1,"",$K399+$L399))</f>
        <v/>
      </c>
      <c r="N399" s="14" t="str">
        <f aca="false">IF($B399="","",COUNTIFS($B$3:$B399,$B399))</f>
        <v/>
      </c>
      <c r="O399" s="14" t="str">
        <f aca="false">IF($B399="","",$B399&amp;"|"&amp;$N399)</f>
        <v/>
      </c>
    </row>
    <row r="400" customFormat="false" ht="15" hidden="false" customHeight="false" outlineLevel="0" collapsed="false">
      <c r="A400" s="12"/>
      <c r="B400" s="9"/>
      <c r="C400" s="9"/>
      <c r="D400" s="9"/>
      <c r="E400" s="9"/>
      <c r="F400" s="9"/>
      <c r="G400" s="9"/>
      <c r="H400" s="7"/>
      <c r="I400" s="13" t="str">
        <f aca="false">IF(OR($G400="",$H400=""),"",ROUND($G400*$H400,0))</f>
        <v/>
      </c>
      <c r="J400" s="8"/>
      <c r="K400" s="13" t="str">
        <f aca="false">IF($B400="","",SUMIFS($I$3:$I$2002,$B$3:$B$2002,$B400))</f>
        <v/>
      </c>
      <c r="L400" s="13" t="str">
        <f aca="false">IF($B400="","",IF(COUNTIFS($B$3:$B400,$B400)&gt;1,0,IFERROR(LOOKUP($K400,배송비규정!$A$3:$A$32,배송비규정!$B$3:$B$32),0)+IFERROR(INDEX(지역추가비!$B$3:$B$42,MATCH($J400,지역추가비!$A$3:$A$42,0)),0)))</f>
        <v/>
      </c>
      <c r="M400" s="13" t="str">
        <f aca="false">IF($B400="","",IF(COUNTIFS($B$3:$B400,$B400)&gt;1,"",$K400+$L400))</f>
        <v/>
      </c>
      <c r="N400" s="14" t="str">
        <f aca="false">IF($B400="","",COUNTIFS($B$3:$B400,$B400))</f>
        <v/>
      </c>
      <c r="O400" s="14" t="str">
        <f aca="false">IF($B400="","",$B400&amp;"|"&amp;$N400)</f>
        <v/>
      </c>
    </row>
    <row r="401" customFormat="false" ht="15" hidden="false" customHeight="false" outlineLevel="0" collapsed="false">
      <c r="A401" s="12"/>
      <c r="B401" s="9"/>
      <c r="C401" s="9"/>
      <c r="D401" s="9"/>
      <c r="E401" s="9"/>
      <c r="F401" s="9"/>
      <c r="G401" s="9"/>
      <c r="H401" s="7"/>
      <c r="I401" s="13" t="str">
        <f aca="false">IF(OR($G401="",$H401=""),"",ROUND($G401*$H401,0))</f>
        <v/>
      </c>
      <c r="J401" s="8"/>
      <c r="K401" s="13" t="str">
        <f aca="false">IF($B401="","",SUMIFS($I$3:$I$2002,$B$3:$B$2002,$B401))</f>
        <v/>
      </c>
      <c r="L401" s="13" t="str">
        <f aca="false">IF($B401="","",IF(COUNTIFS($B$3:$B401,$B401)&gt;1,0,IFERROR(LOOKUP($K401,배송비규정!$A$3:$A$32,배송비규정!$B$3:$B$32),0)+IFERROR(INDEX(지역추가비!$B$3:$B$42,MATCH($J401,지역추가비!$A$3:$A$42,0)),0)))</f>
        <v/>
      </c>
      <c r="M401" s="13" t="str">
        <f aca="false">IF($B401="","",IF(COUNTIFS($B$3:$B401,$B401)&gt;1,"",$K401+$L401))</f>
        <v/>
      </c>
      <c r="N401" s="14" t="str">
        <f aca="false">IF($B401="","",COUNTIFS($B$3:$B401,$B401))</f>
        <v/>
      </c>
      <c r="O401" s="14" t="str">
        <f aca="false">IF($B401="","",$B401&amp;"|"&amp;$N401)</f>
        <v/>
      </c>
    </row>
    <row r="402" customFormat="false" ht="15" hidden="false" customHeight="false" outlineLevel="0" collapsed="false">
      <c r="A402" s="12"/>
      <c r="B402" s="9"/>
      <c r="C402" s="9"/>
      <c r="D402" s="9"/>
      <c r="E402" s="9"/>
      <c r="F402" s="9"/>
      <c r="G402" s="9"/>
      <c r="H402" s="7"/>
      <c r="I402" s="13" t="str">
        <f aca="false">IF(OR($G402="",$H402=""),"",ROUND($G402*$H402,0))</f>
        <v/>
      </c>
      <c r="J402" s="8"/>
      <c r="K402" s="13" t="str">
        <f aca="false">IF($B402="","",SUMIFS($I$3:$I$2002,$B$3:$B$2002,$B402))</f>
        <v/>
      </c>
      <c r="L402" s="13" t="str">
        <f aca="false">IF($B402="","",IF(COUNTIFS($B$3:$B402,$B402)&gt;1,0,IFERROR(LOOKUP($K402,배송비규정!$A$3:$A$32,배송비규정!$B$3:$B$32),0)+IFERROR(INDEX(지역추가비!$B$3:$B$42,MATCH($J402,지역추가비!$A$3:$A$42,0)),0)))</f>
        <v/>
      </c>
      <c r="M402" s="13" t="str">
        <f aca="false">IF($B402="","",IF(COUNTIFS($B$3:$B402,$B402)&gt;1,"",$K402+$L402))</f>
        <v/>
      </c>
      <c r="N402" s="14" t="str">
        <f aca="false">IF($B402="","",COUNTIFS($B$3:$B402,$B402))</f>
        <v/>
      </c>
      <c r="O402" s="14" t="str">
        <f aca="false">IF($B402="","",$B402&amp;"|"&amp;$N402)</f>
        <v/>
      </c>
    </row>
    <row r="403" customFormat="false" ht="15" hidden="false" customHeight="false" outlineLevel="0" collapsed="false">
      <c r="A403" s="12"/>
      <c r="B403" s="9"/>
      <c r="C403" s="9"/>
      <c r="D403" s="9"/>
      <c r="E403" s="9"/>
      <c r="F403" s="9"/>
      <c r="G403" s="9"/>
      <c r="H403" s="7"/>
      <c r="I403" s="13" t="str">
        <f aca="false">IF(OR($G403="",$H403=""),"",ROUND($G403*$H403,0))</f>
        <v/>
      </c>
      <c r="J403" s="8"/>
      <c r="K403" s="13" t="str">
        <f aca="false">IF($B403="","",SUMIFS($I$3:$I$2002,$B$3:$B$2002,$B403))</f>
        <v/>
      </c>
      <c r="L403" s="13" t="str">
        <f aca="false">IF($B403="","",IF(COUNTIFS($B$3:$B403,$B403)&gt;1,0,IFERROR(LOOKUP($K403,배송비규정!$A$3:$A$32,배송비규정!$B$3:$B$32),0)+IFERROR(INDEX(지역추가비!$B$3:$B$42,MATCH($J403,지역추가비!$A$3:$A$42,0)),0)))</f>
        <v/>
      </c>
      <c r="M403" s="13" t="str">
        <f aca="false">IF($B403="","",IF(COUNTIFS($B$3:$B403,$B403)&gt;1,"",$K403+$L403))</f>
        <v/>
      </c>
      <c r="N403" s="14" t="str">
        <f aca="false">IF($B403="","",COUNTIFS($B$3:$B403,$B403))</f>
        <v/>
      </c>
      <c r="O403" s="14" t="str">
        <f aca="false">IF($B403="","",$B403&amp;"|"&amp;$N403)</f>
        <v/>
      </c>
    </row>
    <row r="404" customFormat="false" ht="15" hidden="false" customHeight="false" outlineLevel="0" collapsed="false">
      <c r="A404" s="12"/>
      <c r="B404" s="9"/>
      <c r="C404" s="9"/>
      <c r="D404" s="9"/>
      <c r="E404" s="9"/>
      <c r="F404" s="9"/>
      <c r="G404" s="9"/>
      <c r="H404" s="7"/>
      <c r="I404" s="13" t="str">
        <f aca="false">IF(OR($G404="",$H404=""),"",ROUND($G404*$H404,0))</f>
        <v/>
      </c>
      <c r="J404" s="8"/>
      <c r="K404" s="13" t="str">
        <f aca="false">IF($B404="","",SUMIFS($I$3:$I$2002,$B$3:$B$2002,$B404))</f>
        <v/>
      </c>
      <c r="L404" s="13" t="str">
        <f aca="false">IF($B404="","",IF(COUNTIFS($B$3:$B404,$B404)&gt;1,0,IFERROR(LOOKUP($K404,배송비규정!$A$3:$A$32,배송비규정!$B$3:$B$32),0)+IFERROR(INDEX(지역추가비!$B$3:$B$42,MATCH($J404,지역추가비!$A$3:$A$42,0)),0)))</f>
        <v/>
      </c>
      <c r="M404" s="13" t="str">
        <f aca="false">IF($B404="","",IF(COUNTIFS($B$3:$B404,$B404)&gt;1,"",$K404+$L404))</f>
        <v/>
      </c>
      <c r="N404" s="14" t="str">
        <f aca="false">IF($B404="","",COUNTIFS($B$3:$B404,$B404))</f>
        <v/>
      </c>
      <c r="O404" s="14" t="str">
        <f aca="false">IF($B404="","",$B404&amp;"|"&amp;$N404)</f>
        <v/>
      </c>
    </row>
    <row r="405" customFormat="false" ht="15" hidden="false" customHeight="false" outlineLevel="0" collapsed="false">
      <c r="A405" s="12"/>
      <c r="B405" s="9"/>
      <c r="C405" s="9"/>
      <c r="D405" s="9"/>
      <c r="E405" s="9"/>
      <c r="F405" s="9"/>
      <c r="G405" s="9"/>
      <c r="H405" s="7"/>
      <c r="I405" s="13" t="str">
        <f aca="false">IF(OR($G405="",$H405=""),"",ROUND($G405*$H405,0))</f>
        <v/>
      </c>
      <c r="J405" s="8"/>
      <c r="K405" s="13" t="str">
        <f aca="false">IF($B405="","",SUMIFS($I$3:$I$2002,$B$3:$B$2002,$B405))</f>
        <v/>
      </c>
      <c r="L405" s="13" t="str">
        <f aca="false">IF($B405="","",IF(COUNTIFS($B$3:$B405,$B405)&gt;1,0,IFERROR(LOOKUP($K405,배송비규정!$A$3:$A$32,배송비규정!$B$3:$B$32),0)+IFERROR(INDEX(지역추가비!$B$3:$B$42,MATCH($J405,지역추가비!$A$3:$A$42,0)),0)))</f>
        <v/>
      </c>
      <c r="M405" s="13" t="str">
        <f aca="false">IF($B405="","",IF(COUNTIFS($B$3:$B405,$B405)&gt;1,"",$K405+$L405))</f>
        <v/>
      </c>
      <c r="N405" s="14" t="str">
        <f aca="false">IF($B405="","",COUNTIFS($B$3:$B405,$B405))</f>
        <v/>
      </c>
      <c r="O405" s="14" t="str">
        <f aca="false">IF($B405="","",$B405&amp;"|"&amp;$N405)</f>
        <v/>
      </c>
    </row>
    <row r="406" customFormat="false" ht="15" hidden="false" customHeight="false" outlineLevel="0" collapsed="false">
      <c r="A406" s="12"/>
      <c r="B406" s="9"/>
      <c r="C406" s="9"/>
      <c r="D406" s="9"/>
      <c r="E406" s="9"/>
      <c r="F406" s="9"/>
      <c r="G406" s="9"/>
      <c r="H406" s="7"/>
      <c r="I406" s="13" t="str">
        <f aca="false">IF(OR($G406="",$H406=""),"",ROUND($G406*$H406,0))</f>
        <v/>
      </c>
      <c r="J406" s="8"/>
      <c r="K406" s="13" t="str">
        <f aca="false">IF($B406="","",SUMIFS($I$3:$I$2002,$B$3:$B$2002,$B406))</f>
        <v/>
      </c>
      <c r="L406" s="13" t="str">
        <f aca="false">IF($B406="","",IF(COUNTIFS($B$3:$B406,$B406)&gt;1,0,IFERROR(LOOKUP($K406,배송비규정!$A$3:$A$32,배송비규정!$B$3:$B$32),0)+IFERROR(INDEX(지역추가비!$B$3:$B$42,MATCH($J406,지역추가비!$A$3:$A$42,0)),0)))</f>
        <v/>
      </c>
      <c r="M406" s="13" t="str">
        <f aca="false">IF($B406="","",IF(COUNTIFS($B$3:$B406,$B406)&gt;1,"",$K406+$L406))</f>
        <v/>
      </c>
      <c r="N406" s="14" t="str">
        <f aca="false">IF($B406="","",COUNTIFS($B$3:$B406,$B406))</f>
        <v/>
      </c>
      <c r="O406" s="14" t="str">
        <f aca="false">IF($B406="","",$B406&amp;"|"&amp;$N406)</f>
        <v/>
      </c>
    </row>
    <row r="407" customFormat="false" ht="15" hidden="false" customHeight="false" outlineLevel="0" collapsed="false">
      <c r="A407" s="12"/>
      <c r="B407" s="9"/>
      <c r="C407" s="9"/>
      <c r="D407" s="9"/>
      <c r="E407" s="9"/>
      <c r="F407" s="9"/>
      <c r="G407" s="9"/>
      <c r="H407" s="7"/>
      <c r="I407" s="13" t="str">
        <f aca="false">IF(OR($G407="",$H407=""),"",ROUND($G407*$H407,0))</f>
        <v/>
      </c>
      <c r="J407" s="8"/>
      <c r="K407" s="13" t="str">
        <f aca="false">IF($B407="","",SUMIFS($I$3:$I$2002,$B$3:$B$2002,$B407))</f>
        <v/>
      </c>
      <c r="L407" s="13" t="str">
        <f aca="false">IF($B407="","",IF(COUNTIFS($B$3:$B407,$B407)&gt;1,0,IFERROR(LOOKUP($K407,배송비규정!$A$3:$A$32,배송비규정!$B$3:$B$32),0)+IFERROR(INDEX(지역추가비!$B$3:$B$42,MATCH($J407,지역추가비!$A$3:$A$42,0)),0)))</f>
        <v/>
      </c>
      <c r="M407" s="13" t="str">
        <f aca="false">IF($B407="","",IF(COUNTIFS($B$3:$B407,$B407)&gt;1,"",$K407+$L407))</f>
        <v/>
      </c>
      <c r="N407" s="14" t="str">
        <f aca="false">IF($B407="","",COUNTIFS($B$3:$B407,$B407))</f>
        <v/>
      </c>
      <c r="O407" s="14" t="str">
        <f aca="false">IF($B407="","",$B407&amp;"|"&amp;$N407)</f>
        <v/>
      </c>
    </row>
    <row r="408" customFormat="false" ht="15" hidden="false" customHeight="false" outlineLevel="0" collapsed="false">
      <c r="A408" s="12"/>
      <c r="B408" s="9"/>
      <c r="C408" s="9"/>
      <c r="D408" s="9"/>
      <c r="E408" s="9"/>
      <c r="F408" s="9"/>
      <c r="G408" s="9"/>
      <c r="H408" s="7"/>
      <c r="I408" s="13" t="str">
        <f aca="false">IF(OR($G408="",$H408=""),"",ROUND($G408*$H408,0))</f>
        <v/>
      </c>
      <c r="J408" s="8"/>
      <c r="K408" s="13" t="str">
        <f aca="false">IF($B408="","",SUMIFS($I$3:$I$2002,$B$3:$B$2002,$B408))</f>
        <v/>
      </c>
      <c r="L408" s="13" t="str">
        <f aca="false">IF($B408="","",IF(COUNTIFS($B$3:$B408,$B408)&gt;1,0,IFERROR(LOOKUP($K408,배송비규정!$A$3:$A$32,배송비규정!$B$3:$B$32),0)+IFERROR(INDEX(지역추가비!$B$3:$B$42,MATCH($J408,지역추가비!$A$3:$A$42,0)),0)))</f>
        <v/>
      </c>
      <c r="M408" s="13" t="str">
        <f aca="false">IF($B408="","",IF(COUNTIFS($B$3:$B408,$B408)&gt;1,"",$K408+$L408))</f>
        <v/>
      </c>
      <c r="N408" s="14" t="str">
        <f aca="false">IF($B408="","",COUNTIFS($B$3:$B408,$B408))</f>
        <v/>
      </c>
      <c r="O408" s="14" t="str">
        <f aca="false">IF($B408="","",$B408&amp;"|"&amp;$N408)</f>
        <v/>
      </c>
    </row>
    <row r="409" customFormat="false" ht="15" hidden="false" customHeight="false" outlineLevel="0" collapsed="false">
      <c r="A409" s="12"/>
      <c r="B409" s="9"/>
      <c r="C409" s="9"/>
      <c r="D409" s="9"/>
      <c r="E409" s="9"/>
      <c r="F409" s="9"/>
      <c r="G409" s="9"/>
      <c r="H409" s="7"/>
      <c r="I409" s="13" t="str">
        <f aca="false">IF(OR($G409="",$H409=""),"",ROUND($G409*$H409,0))</f>
        <v/>
      </c>
      <c r="J409" s="8"/>
      <c r="K409" s="13" t="str">
        <f aca="false">IF($B409="","",SUMIFS($I$3:$I$2002,$B$3:$B$2002,$B409))</f>
        <v/>
      </c>
      <c r="L409" s="13" t="str">
        <f aca="false">IF($B409="","",IF(COUNTIFS($B$3:$B409,$B409)&gt;1,0,IFERROR(LOOKUP($K409,배송비규정!$A$3:$A$32,배송비규정!$B$3:$B$32),0)+IFERROR(INDEX(지역추가비!$B$3:$B$42,MATCH($J409,지역추가비!$A$3:$A$42,0)),0)))</f>
        <v/>
      </c>
      <c r="M409" s="13" t="str">
        <f aca="false">IF($B409="","",IF(COUNTIFS($B$3:$B409,$B409)&gt;1,"",$K409+$L409))</f>
        <v/>
      </c>
      <c r="N409" s="14" t="str">
        <f aca="false">IF($B409="","",COUNTIFS($B$3:$B409,$B409))</f>
        <v/>
      </c>
      <c r="O409" s="14" t="str">
        <f aca="false">IF($B409="","",$B409&amp;"|"&amp;$N409)</f>
        <v/>
      </c>
    </row>
    <row r="410" customFormat="false" ht="15" hidden="false" customHeight="false" outlineLevel="0" collapsed="false">
      <c r="A410" s="12"/>
      <c r="B410" s="9"/>
      <c r="C410" s="9"/>
      <c r="D410" s="9"/>
      <c r="E410" s="9"/>
      <c r="F410" s="9"/>
      <c r="G410" s="9"/>
      <c r="H410" s="7"/>
      <c r="I410" s="13" t="str">
        <f aca="false">IF(OR($G410="",$H410=""),"",ROUND($G410*$H410,0))</f>
        <v/>
      </c>
      <c r="J410" s="8"/>
      <c r="K410" s="13" t="str">
        <f aca="false">IF($B410="","",SUMIFS($I$3:$I$2002,$B$3:$B$2002,$B410))</f>
        <v/>
      </c>
      <c r="L410" s="13" t="str">
        <f aca="false">IF($B410="","",IF(COUNTIFS($B$3:$B410,$B410)&gt;1,0,IFERROR(LOOKUP($K410,배송비규정!$A$3:$A$32,배송비규정!$B$3:$B$32),0)+IFERROR(INDEX(지역추가비!$B$3:$B$42,MATCH($J410,지역추가비!$A$3:$A$42,0)),0)))</f>
        <v/>
      </c>
      <c r="M410" s="13" t="str">
        <f aca="false">IF($B410="","",IF(COUNTIFS($B$3:$B410,$B410)&gt;1,"",$K410+$L410))</f>
        <v/>
      </c>
      <c r="N410" s="14" t="str">
        <f aca="false">IF($B410="","",COUNTIFS($B$3:$B410,$B410))</f>
        <v/>
      </c>
      <c r="O410" s="14" t="str">
        <f aca="false">IF($B410="","",$B410&amp;"|"&amp;$N410)</f>
        <v/>
      </c>
    </row>
    <row r="411" customFormat="false" ht="15" hidden="false" customHeight="false" outlineLevel="0" collapsed="false">
      <c r="A411" s="12"/>
      <c r="B411" s="9"/>
      <c r="C411" s="9"/>
      <c r="D411" s="9"/>
      <c r="E411" s="9"/>
      <c r="F411" s="9"/>
      <c r="G411" s="9"/>
      <c r="H411" s="7"/>
      <c r="I411" s="13" t="str">
        <f aca="false">IF(OR($G411="",$H411=""),"",ROUND($G411*$H411,0))</f>
        <v/>
      </c>
      <c r="J411" s="8"/>
      <c r="K411" s="13" t="str">
        <f aca="false">IF($B411="","",SUMIFS($I$3:$I$2002,$B$3:$B$2002,$B411))</f>
        <v/>
      </c>
      <c r="L411" s="13" t="str">
        <f aca="false">IF($B411="","",IF(COUNTIFS($B$3:$B411,$B411)&gt;1,0,IFERROR(LOOKUP($K411,배송비규정!$A$3:$A$32,배송비규정!$B$3:$B$32),0)+IFERROR(INDEX(지역추가비!$B$3:$B$42,MATCH($J411,지역추가비!$A$3:$A$42,0)),0)))</f>
        <v/>
      </c>
      <c r="M411" s="13" t="str">
        <f aca="false">IF($B411="","",IF(COUNTIFS($B$3:$B411,$B411)&gt;1,"",$K411+$L411))</f>
        <v/>
      </c>
      <c r="N411" s="14" t="str">
        <f aca="false">IF($B411="","",COUNTIFS($B$3:$B411,$B411))</f>
        <v/>
      </c>
      <c r="O411" s="14" t="str">
        <f aca="false">IF($B411="","",$B411&amp;"|"&amp;$N411)</f>
        <v/>
      </c>
    </row>
    <row r="412" customFormat="false" ht="15" hidden="false" customHeight="false" outlineLevel="0" collapsed="false">
      <c r="A412" s="12"/>
      <c r="B412" s="9"/>
      <c r="C412" s="9"/>
      <c r="D412" s="9"/>
      <c r="E412" s="9"/>
      <c r="F412" s="9"/>
      <c r="G412" s="9"/>
      <c r="H412" s="7"/>
      <c r="I412" s="13" t="str">
        <f aca="false">IF(OR($G412="",$H412=""),"",ROUND($G412*$H412,0))</f>
        <v/>
      </c>
      <c r="J412" s="8"/>
      <c r="K412" s="13" t="str">
        <f aca="false">IF($B412="","",SUMIFS($I$3:$I$2002,$B$3:$B$2002,$B412))</f>
        <v/>
      </c>
      <c r="L412" s="13" t="str">
        <f aca="false">IF($B412="","",IF(COUNTIFS($B$3:$B412,$B412)&gt;1,0,IFERROR(LOOKUP($K412,배송비규정!$A$3:$A$32,배송비규정!$B$3:$B$32),0)+IFERROR(INDEX(지역추가비!$B$3:$B$42,MATCH($J412,지역추가비!$A$3:$A$42,0)),0)))</f>
        <v/>
      </c>
      <c r="M412" s="13" t="str">
        <f aca="false">IF($B412="","",IF(COUNTIFS($B$3:$B412,$B412)&gt;1,"",$K412+$L412))</f>
        <v/>
      </c>
      <c r="N412" s="14" t="str">
        <f aca="false">IF($B412="","",COUNTIFS($B$3:$B412,$B412))</f>
        <v/>
      </c>
      <c r="O412" s="14" t="str">
        <f aca="false">IF($B412="","",$B412&amp;"|"&amp;$N412)</f>
        <v/>
      </c>
    </row>
    <row r="413" customFormat="false" ht="15" hidden="false" customHeight="false" outlineLevel="0" collapsed="false">
      <c r="A413" s="12"/>
      <c r="B413" s="9"/>
      <c r="C413" s="9"/>
      <c r="D413" s="9"/>
      <c r="E413" s="9"/>
      <c r="F413" s="9"/>
      <c r="G413" s="9"/>
      <c r="H413" s="7"/>
      <c r="I413" s="13" t="str">
        <f aca="false">IF(OR($G413="",$H413=""),"",ROUND($G413*$H413,0))</f>
        <v/>
      </c>
      <c r="J413" s="8"/>
      <c r="K413" s="13" t="str">
        <f aca="false">IF($B413="","",SUMIFS($I$3:$I$2002,$B$3:$B$2002,$B413))</f>
        <v/>
      </c>
      <c r="L413" s="13" t="str">
        <f aca="false">IF($B413="","",IF(COUNTIFS($B$3:$B413,$B413)&gt;1,0,IFERROR(LOOKUP($K413,배송비규정!$A$3:$A$32,배송비규정!$B$3:$B$32),0)+IFERROR(INDEX(지역추가비!$B$3:$B$42,MATCH($J413,지역추가비!$A$3:$A$42,0)),0)))</f>
        <v/>
      </c>
      <c r="M413" s="13" t="str">
        <f aca="false">IF($B413="","",IF(COUNTIFS($B$3:$B413,$B413)&gt;1,"",$K413+$L413))</f>
        <v/>
      </c>
      <c r="N413" s="14" t="str">
        <f aca="false">IF($B413="","",COUNTIFS($B$3:$B413,$B413))</f>
        <v/>
      </c>
      <c r="O413" s="14" t="str">
        <f aca="false">IF($B413="","",$B413&amp;"|"&amp;$N413)</f>
        <v/>
      </c>
    </row>
    <row r="414" customFormat="false" ht="15" hidden="false" customHeight="false" outlineLevel="0" collapsed="false">
      <c r="A414" s="12"/>
      <c r="B414" s="9"/>
      <c r="C414" s="9"/>
      <c r="D414" s="9"/>
      <c r="E414" s="9"/>
      <c r="F414" s="9"/>
      <c r="G414" s="9"/>
      <c r="H414" s="7"/>
      <c r="I414" s="13" t="str">
        <f aca="false">IF(OR($G414="",$H414=""),"",ROUND($G414*$H414,0))</f>
        <v/>
      </c>
      <c r="J414" s="8"/>
      <c r="K414" s="13" t="str">
        <f aca="false">IF($B414="","",SUMIFS($I$3:$I$2002,$B$3:$B$2002,$B414))</f>
        <v/>
      </c>
      <c r="L414" s="13" t="str">
        <f aca="false">IF($B414="","",IF(COUNTIFS($B$3:$B414,$B414)&gt;1,0,IFERROR(LOOKUP($K414,배송비규정!$A$3:$A$32,배송비규정!$B$3:$B$32),0)+IFERROR(INDEX(지역추가비!$B$3:$B$42,MATCH($J414,지역추가비!$A$3:$A$42,0)),0)))</f>
        <v/>
      </c>
      <c r="M414" s="13" t="str">
        <f aca="false">IF($B414="","",IF(COUNTIFS($B$3:$B414,$B414)&gt;1,"",$K414+$L414))</f>
        <v/>
      </c>
      <c r="N414" s="14" t="str">
        <f aca="false">IF($B414="","",COUNTIFS($B$3:$B414,$B414))</f>
        <v/>
      </c>
      <c r="O414" s="14" t="str">
        <f aca="false">IF($B414="","",$B414&amp;"|"&amp;$N414)</f>
        <v/>
      </c>
    </row>
    <row r="415" customFormat="false" ht="15" hidden="false" customHeight="false" outlineLevel="0" collapsed="false">
      <c r="A415" s="12"/>
      <c r="B415" s="9"/>
      <c r="C415" s="9"/>
      <c r="D415" s="9"/>
      <c r="E415" s="9"/>
      <c r="F415" s="9"/>
      <c r="G415" s="9"/>
      <c r="H415" s="7"/>
      <c r="I415" s="13" t="str">
        <f aca="false">IF(OR($G415="",$H415=""),"",ROUND($G415*$H415,0))</f>
        <v/>
      </c>
      <c r="J415" s="8"/>
      <c r="K415" s="13" t="str">
        <f aca="false">IF($B415="","",SUMIFS($I$3:$I$2002,$B$3:$B$2002,$B415))</f>
        <v/>
      </c>
      <c r="L415" s="13" t="str">
        <f aca="false">IF($B415="","",IF(COUNTIFS($B$3:$B415,$B415)&gt;1,0,IFERROR(LOOKUP($K415,배송비규정!$A$3:$A$32,배송비규정!$B$3:$B$32),0)+IFERROR(INDEX(지역추가비!$B$3:$B$42,MATCH($J415,지역추가비!$A$3:$A$42,0)),0)))</f>
        <v/>
      </c>
      <c r="M415" s="13" t="str">
        <f aca="false">IF($B415="","",IF(COUNTIFS($B$3:$B415,$B415)&gt;1,"",$K415+$L415))</f>
        <v/>
      </c>
      <c r="N415" s="14" t="str">
        <f aca="false">IF($B415="","",COUNTIFS($B$3:$B415,$B415))</f>
        <v/>
      </c>
      <c r="O415" s="14" t="str">
        <f aca="false">IF($B415="","",$B415&amp;"|"&amp;$N415)</f>
        <v/>
      </c>
    </row>
    <row r="416" customFormat="false" ht="15" hidden="false" customHeight="false" outlineLevel="0" collapsed="false">
      <c r="A416" s="12"/>
      <c r="B416" s="9"/>
      <c r="C416" s="9"/>
      <c r="D416" s="9"/>
      <c r="E416" s="9"/>
      <c r="F416" s="9"/>
      <c r="G416" s="9"/>
      <c r="H416" s="7"/>
      <c r="I416" s="13" t="str">
        <f aca="false">IF(OR($G416="",$H416=""),"",ROUND($G416*$H416,0))</f>
        <v/>
      </c>
      <c r="J416" s="8"/>
      <c r="K416" s="13" t="str">
        <f aca="false">IF($B416="","",SUMIFS($I$3:$I$2002,$B$3:$B$2002,$B416))</f>
        <v/>
      </c>
      <c r="L416" s="13" t="str">
        <f aca="false">IF($B416="","",IF(COUNTIFS($B$3:$B416,$B416)&gt;1,0,IFERROR(LOOKUP($K416,배송비규정!$A$3:$A$32,배송비규정!$B$3:$B$32),0)+IFERROR(INDEX(지역추가비!$B$3:$B$42,MATCH($J416,지역추가비!$A$3:$A$42,0)),0)))</f>
        <v/>
      </c>
      <c r="M416" s="13" t="str">
        <f aca="false">IF($B416="","",IF(COUNTIFS($B$3:$B416,$B416)&gt;1,"",$K416+$L416))</f>
        <v/>
      </c>
      <c r="N416" s="14" t="str">
        <f aca="false">IF($B416="","",COUNTIFS($B$3:$B416,$B416))</f>
        <v/>
      </c>
      <c r="O416" s="14" t="str">
        <f aca="false">IF($B416="","",$B416&amp;"|"&amp;$N416)</f>
        <v/>
      </c>
    </row>
    <row r="417" customFormat="false" ht="15" hidden="false" customHeight="false" outlineLevel="0" collapsed="false">
      <c r="A417" s="12"/>
      <c r="B417" s="9"/>
      <c r="C417" s="9"/>
      <c r="D417" s="9"/>
      <c r="E417" s="9"/>
      <c r="F417" s="9"/>
      <c r="G417" s="9"/>
      <c r="H417" s="7"/>
      <c r="I417" s="13" t="str">
        <f aca="false">IF(OR($G417="",$H417=""),"",ROUND($G417*$H417,0))</f>
        <v/>
      </c>
      <c r="J417" s="8"/>
      <c r="K417" s="13" t="str">
        <f aca="false">IF($B417="","",SUMIFS($I$3:$I$2002,$B$3:$B$2002,$B417))</f>
        <v/>
      </c>
      <c r="L417" s="13" t="str">
        <f aca="false">IF($B417="","",IF(COUNTIFS($B$3:$B417,$B417)&gt;1,0,IFERROR(LOOKUP($K417,배송비규정!$A$3:$A$32,배송비규정!$B$3:$B$32),0)+IFERROR(INDEX(지역추가비!$B$3:$B$42,MATCH($J417,지역추가비!$A$3:$A$42,0)),0)))</f>
        <v/>
      </c>
      <c r="M417" s="13" t="str">
        <f aca="false">IF($B417="","",IF(COUNTIFS($B$3:$B417,$B417)&gt;1,"",$K417+$L417))</f>
        <v/>
      </c>
      <c r="N417" s="14" t="str">
        <f aca="false">IF($B417="","",COUNTIFS($B$3:$B417,$B417))</f>
        <v/>
      </c>
      <c r="O417" s="14" t="str">
        <f aca="false">IF($B417="","",$B417&amp;"|"&amp;$N417)</f>
        <v/>
      </c>
    </row>
    <row r="418" customFormat="false" ht="15" hidden="false" customHeight="false" outlineLevel="0" collapsed="false">
      <c r="A418" s="12"/>
      <c r="B418" s="9"/>
      <c r="C418" s="9"/>
      <c r="D418" s="9"/>
      <c r="E418" s="9"/>
      <c r="F418" s="9"/>
      <c r="G418" s="9"/>
      <c r="H418" s="7"/>
      <c r="I418" s="13" t="str">
        <f aca="false">IF(OR($G418="",$H418=""),"",ROUND($G418*$H418,0))</f>
        <v/>
      </c>
      <c r="J418" s="8"/>
      <c r="K418" s="13" t="str">
        <f aca="false">IF($B418="","",SUMIFS($I$3:$I$2002,$B$3:$B$2002,$B418))</f>
        <v/>
      </c>
      <c r="L418" s="13" t="str">
        <f aca="false">IF($B418="","",IF(COUNTIFS($B$3:$B418,$B418)&gt;1,0,IFERROR(LOOKUP($K418,배송비규정!$A$3:$A$32,배송비규정!$B$3:$B$32),0)+IFERROR(INDEX(지역추가비!$B$3:$B$42,MATCH($J418,지역추가비!$A$3:$A$42,0)),0)))</f>
        <v/>
      </c>
      <c r="M418" s="13" t="str">
        <f aca="false">IF($B418="","",IF(COUNTIFS($B$3:$B418,$B418)&gt;1,"",$K418+$L418))</f>
        <v/>
      </c>
      <c r="N418" s="14" t="str">
        <f aca="false">IF($B418="","",COUNTIFS($B$3:$B418,$B418))</f>
        <v/>
      </c>
      <c r="O418" s="14" t="str">
        <f aca="false">IF($B418="","",$B418&amp;"|"&amp;$N418)</f>
        <v/>
      </c>
    </row>
    <row r="419" customFormat="false" ht="15" hidden="false" customHeight="false" outlineLevel="0" collapsed="false">
      <c r="A419" s="12"/>
      <c r="B419" s="9"/>
      <c r="C419" s="9"/>
      <c r="D419" s="9"/>
      <c r="E419" s="9"/>
      <c r="F419" s="9"/>
      <c r="G419" s="9"/>
      <c r="H419" s="7"/>
      <c r="I419" s="13" t="str">
        <f aca="false">IF(OR($G419="",$H419=""),"",ROUND($G419*$H419,0))</f>
        <v/>
      </c>
      <c r="J419" s="8"/>
      <c r="K419" s="13" t="str">
        <f aca="false">IF($B419="","",SUMIFS($I$3:$I$2002,$B$3:$B$2002,$B419))</f>
        <v/>
      </c>
      <c r="L419" s="13" t="str">
        <f aca="false">IF($B419="","",IF(COUNTIFS($B$3:$B419,$B419)&gt;1,0,IFERROR(LOOKUP($K419,배송비규정!$A$3:$A$32,배송비규정!$B$3:$B$32),0)+IFERROR(INDEX(지역추가비!$B$3:$B$42,MATCH($J419,지역추가비!$A$3:$A$42,0)),0)))</f>
        <v/>
      </c>
      <c r="M419" s="13" t="str">
        <f aca="false">IF($B419="","",IF(COUNTIFS($B$3:$B419,$B419)&gt;1,"",$K419+$L419))</f>
        <v/>
      </c>
      <c r="N419" s="14" t="str">
        <f aca="false">IF($B419="","",COUNTIFS($B$3:$B419,$B419))</f>
        <v/>
      </c>
      <c r="O419" s="14" t="str">
        <f aca="false">IF($B419="","",$B419&amp;"|"&amp;$N419)</f>
        <v/>
      </c>
    </row>
    <row r="420" customFormat="false" ht="15" hidden="false" customHeight="false" outlineLevel="0" collapsed="false">
      <c r="A420" s="12"/>
      <c r="B420" s="9"/>
      <c r="C420" s="9"/>
      <c r="D420" s="9"/>
      <c r="E420" s="9"/>
      <c r="F420" s="9"/>
      <c r="G420" s="9"/>
      <c r="H420" s="7"/>
      <c r="I420" s="13" t="str">
        <f aca="false">IF(OR($G420="",$H420=""),"",ROUND($G420*$H420,0))</f>
        <v/>
      </c>
      <c r="J420" s="8"/>
      <c r="K420" s="13" t="str">
        <f aca="false">IF($B420="","",SUMIFS($I$3:$I$2002,$B$3:$B$2002,$B420))</f>
        <v/>
      </c>
      <c r="L420" s="13" t="str">
        <f aca="false">IF($B420="","",IF(COUNTIFS($B$3:$B420,$B420)&gt;1,0,IFERROR(LOOKUP($K420,배송비규정!$A$3:$A$32,배송비규정!$B$3:$B$32),0)+IFERROR(INDEX(지역추가비!$B$3:$B$42,MATCH($J420,지역추가비!$A$3:$A$42,0)),0)))</f>
        <v/>
      </c>
      <c r="M420" s="13" t="str">
        <f aca="false">IF($B420="","",IF(COUNTIFS($B$3:$B420,$B420)&gt;1,"",$K420+$L420))</f>
        <v/>
      </c>
      <c r="N420" s="14" t="str">
        <f aca="false">IF($B420="","",COUNTIFS($B$3:$B420,$B420))</f>
        <v/>
      </c>
      <c r="O420" s="14" t="str">
        <f aca="false">IF($B420="","",$B420&amp;"|"&amp;$N420)</f>
        <v/>
      </c>
    </row>
    <row r="421" customFormat="false" ht="15" hidden="false" customHeight="false" outlineLevel="0" collapsed="false">
      <c r="A421" s="12"/>
      <c r="B421" s="9"/>
      <c r="C421" s="9"/>
      <c r="D421" s="9"/>
      <c r="E421" s="9"/>
      <c r="F421" s="9"/>
      <c r="G421" s="9"/>
      <c r="H421" s="7"/>
      <c r="I421" s="13" t="str">
        <f aca="false">IF(OR($G421="",$H421=""),"",ROUND($G421*$H421,0))</f>
        <v/>
      </c>
      <c r="J421" s="8"/>
      <c r="K421" s="13" t="str">
        <f aca="false">IF($B421="","",SUMIFS($I$3:$I$2002,$B$3:$B$2002,$B421))</f>
        <v/>
      </c>
      <c r="L421" s="13" t="str">
        <f aca="false">IF($B421="","",IF(COUNTIFS($B$3:$B421,$B421)&gt;1,0,IFERROR(LOOKUP($K421,배송비규정!$A$3:$A$32,배송비규정!$B$3:$B$32),0)+IFERROR(INDEX(지역추가비!$B$3:$B$42,MATCH($J421,지역추가비!$A$3:$A$42,0)),0)))</f>
        <v/>
      </c>
      <c r="M421" s="13" t="str">
        <f aca="false">IF($B421="","",IF(COUNTIFS($B$3:$B421,$B421)&gt;1,"",$K421+$L421))</f>
        <v/>
      </c>
      <c r="N421" s="14" t="str">
        <f aca="false">IF($B421="","",COUNTIFS($B$3:$B421,$B421))</f>
        <v/>
      </c>
      <c r="O421" s="14" t="str">
        <f aca="false">IF($B421="","",$B421&amp;"|"&amp;$N421)</f>
        <v/>
      </c>
    </row>
    <row r="422" customFormat="false" ht="15" hidden="false" customHeight="false" outlineLevel="0" collapsed="false">
      <c r="A422" s="12"/>
      <c r="B422" s="9"/>
      <c r="C422" s="9"/>
      <c r="D422" s="9"/>
      <c r="E422" s="9"/>
      <c r="F422" s="9"/>
      <c r="G422" s="9"/>
      <c r="H422" s="7"/>
      <c r="I422" s="13" t="str">
        <f aca="false">IF(OR($G422="",$H422=""),"",ROUND($G422*$H422,0))</f>
        <v/>
      </c>
      <c r="J422" s="8"/>
      <c r="K422" s="13" t="str">
        <f aca="false">IF($B422="","",SUMIFS($I$3:$I$2002,$B$3:$B$2002,$B422))</f>
        <v/>
      </c>
      <c r="L422" s="13" t="str">
        <f aca="false">IF($B422="","",IF(COUNTIFS($B$3:$B422,$B422)&gt;1,0,IFERROR(LOOKUP($K422,배송비규정!$A$3:$A$32,배송비규정!$B$3:$B$32),0)+IFERROR(INDEX(지역추가비!$B$3:$B$42,MATCH($J422,지역추가비!$A$3:$A$42,0)),0)))</f>
        <v/>
      </c>
      <c r="M422" s="13" t="str">
        <f aca="false">IF($B422="","",IF(COUNTIFS($B$3:$B422,$B422)&gt;1,"",$K422+$L422))</f>
        <v/>
      </c>
      <c r="N422" s="14" t="str">
        <f aca="false">IF($B422="","",COUNTIFS($B$3:$B422,$B422))</f>
        <v/>
      </c>
      <c r="O422" s="14" t="str">
        <f aca="false">IF($B422="","",$B422&amp;"|"&amp;$N422)</f>
        <v/>
      </c>
    </row>
    <row r="423" customFormat="false" ht="15" hidden="false" customHeight="false" outlineLevel="0" collapsed="false">
      <c r="A423" s="12"/>
      <c r="B423" s="9"/>
      <c r="C423" s="9"/>
      <c r="D423" s="9"/>
      <c r="E423" s="9"/>
      <c r="F423" s="9"/>
      <c r="G423" s="9"/>
      <c r="H423" s="7"/>
      <c r="I423" s="13" t="str">
        <f aca="false">IF(OR($G423="",$H423=""),"",ROUND($G423*$H423,0))</f>
        <v/>
      </c>
      <c r="J423" s="8"/>
      <c r="K423" s="13" t="str">
        <f aca="false">IF($B423="","",SUMIFS($I$3:$I$2002,$B$3:$B$2002,$B423))</f>
        <v/>
      </c>
      <c r="L423" s="13" t="str">
        <f aca="false">IF($B423="","",IF(COUNTIFS($B$3:$B423,$B423)&gt;1,0,IFERROR(LOOKUP($K423,배송비규정!$A$3:$A$32,배송비규정!$B$3:$B$32),0)+IFERROR(INDEX(지역추가비!$B$3:$B$42,MATCH($J423,지역추가비!$A$3:$A$42,0)),0)))</f>
        <v/>
      </c>
      <c r="M423" s="13" t="str">
        <f aca="false">IF($B423="","",IF(COUNTIFS($B$3:$B423,$B423)&gt;1,"",$K423+$L423))</f>
        <v/>
      </c>
      <c r="N423" s="14" t="str">
        <f aca="false">IF($B423="","",COUNTIFS($B$3:$B423,$B423))</f>
        <v/>
      </c>
      <c r="O423" s="14" t="str">
        <f aca="false">IF($B423="","",$B423&amp;"|"&amp;$N423)</f>
        <v/>
      </c>
    </row>
    <row r="424" customFormat="false" ht="15" hidden="false" customHeight="false" outlineLevel="0" collapsed="false">
      <c r="A424" s="12"/>
      <c r="B424" s="9"/>
      <c r="C424" s="9"/>
      <c r="D424" s="9"/>
      <c r="E424" s="9"/>
      <c r="F424" s="9"/>
      <c r="G424" s="9"/>
      <c r="H424" s="7"/>
      <c r="I424" s="13" t="str">
        <f aca="false">IF(OR($G424="",$H424=""),"",ROUND($G424*$H424,0))</f>
        <v/>
      </c>
      <c r="J424" s="8"/>
      <c r="K424" s="13" t="str">
        <f aca="false">IF($B424="","",SUMIFS($I$3:$I$2002,$B$3:$B$2002,$B424))</f>
        <v/>
      </c>
      <c r="L424" s="13" t="str">
        <f aca="false">IF($B424="","",IF(COUNTIFS($B$3:$B424,$B424)&gt;1,0,IFERROR(LOOKUP($K424,배송비규정!$A$3:$A$32,배송비규정!$B$3:$B$32),0)+IFERROR(INDEX(지역추가비!$B$3:$B$42,MATCH($J424,지역추가비!$A$3:$A$42,0)),0)))</f>
        <v/>
      </c>
      <c r="M424" s="13" t="str">
        <f aca="false">IF($B424="","",IF(COUNTIFS($B$3:$B424,$B424)&gt;1,"",$K424+$L424))</f>
        <v/>
      </c>
      <c r="N424" s="14" t="str">
        <f aca="false">IF($B424="","",COUNTIFS($B$3:$B424,$B424))</f>
        <v/>
      </c>
      <c r="O424" s="14" t="str">
        <f aca="false">IF($B424="","",$B424&amp;"|"&amp;$N424)</f>
        <v/>
      </c>
    </row>
    <row r="425" customFormat="false" ht="15" hidden="false" customHeight="false" outlineLevel="0" collapsed="false">
      <c r="A425" s="12"/>
      <c r="B425" s="9"/>
      <c r="C425" s="9"/>
      <c r="D425" s="9"/>
      <c r="E425" s="9"/>
      <c r="F425" s="9"/>
      <c r="G425" s="9"/>
      <c r="H425" s="7"/>
      <c r="I425" s="13" t="str">
        <f aca="false">IF(OR($G425="",$H425=""),"",ROUND($G425*$H425,0))</f>
        <v/>
      </c>
      <c r="J425" s="8"/>
      <c r="K425" s="13" t="str">
        <f aca="false">IF($B425="","",SUMIFS($I$3:$I$2002,$B$3:$B$2002,$B425))</f>
        <v/>
      </c>
      <c r="L425" s="13" t="str">
        <f aca="false">IF($B425="","",IF(COUNTIFS($B$3:$B425,$B425)&gt;1,0,IFERROR(LOOKUP($K425,배송비규정!$A$3:$A$32,배송비규정!$B$3:$B$32),0)+IFERROR(INDEX(지역추가비!$B$3:$B$42,MATCH($J425,지역추가비!$A$3:$A$42,0)),0)))</f>
        <v/>
      </c>
      <c r="M425" s="13" t="str">
        <f aca="false">IF($B425="","",IF(COUNTIFS($B$3:$B425,$B425)&gt;1,"",$K425+$L425))</f>
        <v/>
      </c>
      <c r="N425" s="14" t="str">
        <f aca="false">IF($B425="","",COUNTIFS($B$3:$B425,$B425))</f>
        <v/>
      </c>
      <c r="O425" s="14" t="str">
        <f aca="false">IF($B425="","",$B425&amp;"|"&amp;$N425)</f>
        <v/>
      </c>
    </row>
    <row r="426" customFormat="false" ht="15" hidden="false" customHeight="false" outlineLevel="0" collapsed="false">
      <c r="A426" s="12"/>
      <c r="B426" s="9"/>
      <c r="C426" s="9"/>
      <c r="D426" s="9"/>
      <c r="E426" s="9"/>
      <c r="F426" s="9"/>
      <c r="G426" s="9"/>
      <c r="H426" s="7"/>
      <c r="I426" s="13" t="str">
        <f aca="false">IF(OR($G426="",$H426=""),"",ROUND($G426*$H426,0))</f>
        <v/>
      </c>
      <c r="J426" s="8"/>
      <c r="K426" s="13" t="str">
        <f aca="false">IF($B426="","",SUMIFS($I$3:$I$2002,$B$3:$B$2002,$B426))</f>
        <v/>
      </c>
      <c r="L426" s="13" t="str">
        <f aca="false">IF($B426="","",IF(COUNTIFS($B$3:$B426,$B426)&gt;1,0,IFERROR(LOOKUP($K426,배송비규정!$A$3:$A$32,배송비규정!$B$3:$B$32),0)+IFERROR(INDEX(지역추가비!$B$3:$B$42,MATCH($J426,지역추가비!$A$3:$A$42,0)),0)))</f>
        <v/>
      </c>
      <c r="M426" s="13" t="str">
        <f aca="false">IF($B426="","",IF(COUNTIFS($B$3:$B426,$B426)&gt;1,"",$K426+$L426))</f>
        <v/>
      </c>
      <c r="N426" s="14" t="str">
        <f aca="false">IF($B426="","",COUNTIFS($B$3:$B426,$B426))</f>
        <v/>
      </c>
      <c r="O426" s="14" t="str">
        <f aca="false">IF($B426="","",$B426&amp;"|"&amp;$N426)</f>
        <v/>
      </c>
    </row>
    <row r="427" customFormat="false" ht="15" hidden="false" customHeight="false" outlineLevel="0" collapsed="false">
      <c r="A427" s="12"/>
      <c r="B427" s="9"/>
      <c r="C427" s="9"/>
      <c r="D427" s="9"/>
      <c r="E427" s="9"/>
      <c r="F427" s="9"/>
      <c r="G427" s="9"/>
      <c r="H427" s="7"/>
      <c r="I427" s="13" t="str">
        <f aca="false">IF(OR($G427="",$H427=""),"",ROUND($G427*$H427,0))</f>
        <v/>
      </c>
      <c r="J427" s="8"/>
      <c r="K427" s="13" t="str">
        <f aca="false">IF($B427="","",SUMIFS($I$3:$I$2002,$B$3:$B$2002,$B427))</f>
        <v/>
      </c>
      <c r="L427" s="13" t="str">
        <f aca="false">IF($B427="","",IF(COUNTIFS($B$3:$B427,$B427)&gt;1,0,IFERROR(LOOKUP($K427,배송비규정!$A$3:$A$32,배송비규정!$B$3:$B$32),0)+IFERROR(INDEX(지역추가비!$B$3:$B$42,MATCH($J427,지역추가비!$A$3:$A$42,0)),0)))</f>
        <v/>
      </c>
      <c r="M427" s="13" t="str">
        <f aca="false">IF($B427="","",IF(COUNTIFS($B$3:$B427,$B427)&gt;1,"",$K427+$L427))</f>
        <v/>
      </c>
      <c r="N427" s="14" t="str">
        <f aca="false">IF($B427="","",COUNTIFS($B$3:$B427,$B427))</f>
        <v/>
      </c>
      <c r="O427" s="14" t="str">
        <f aca="false">IF($B427="","",$B427&amp;"|"&amp;$N427)</f>
        <v/>
      </c>
    </row>
    <row r="428" customFormat="false" ht="15" hidden="false" customHeight="false" outlineLevel="0" collapsed="false">
      <c r="A428" s="12"/>
      <c r="B428" s="9"/>
      <c r="C428" s="9"/>
      <c r="D428" s="9"/>
      <c r="E428" s="9"/>
      <c r="F428" s="9"/>
      <c r="G428" s="9"/>
      <c r="H428" s="7"/>
      <c r="I428" s="13" t="str">
        <f aca="false">IF(OR($G428="",$H428=""),"",ROUND($G428*$H428,0))</f>
        <v/>
      </c>
      <c r="J428" s="8"/>
      <c r="K428" s="13" t="str">
        <f aca="false">IF($B428="","",SUMIFS($I$3:$I$2002,$B$3:$B$2002,$B428))</f>
        <v/>
      </c>
      <c r="L428" s="13" t="str">
        <f aca="false">IF($B428="","",IF(COUNTIFS($B$3:$B428,$B428)&gt;1,0,IFERROR(LOOKUP($K428,배송비규정!$A$3:$A$32,배송비규정!$B$3:$B$32),0)+IFERROR(INDEX(지역추가비!$B$3:$B$42,MATCH($J428,지역추가비!$A$3:$A$42,0)),0)))</f>
        <v/>
      </c>
      <c r="M428" s="13" t="str">
        <f aca="false">IF($B428="","",IF(COUNTIFS($B$3:$B428,$B428)&gt;1,"",$K428+$L428))</f>
        <v/>
      </c>
      <c r="N428" s="14" t="str">
        <f aca="false">IF($B428="","",COUNTIFS($B$3:$B428,$B428))</f>
        <v/>
      </c>
      <c r="O428" s="14" t="str">
        <f aca="false">IF($B428="","",$B428&amp;"|"&amp;$N428)</f>
        <v/>
      </c>
    </row>
    <row r="429" customFormat="false" ht="15" hidden="false" customHeight="false" outlineLevel="0" collapsed="false">
      <c r="A429" s="12"/>
      <c r="B429" s="9"/>
      <c r="C429" s="9"/>
      <c r="D429" s="9"/>
      <c r="E429" s="9"/>
      <c r="F429" s="9"/>
      <c r="G429" s="9"/>
      <c r="H429" s="7"/>
      <c r="I429" s="13" t="str">
        <f aca="false">IF(OR($G429="",$H429=""),"",ROUND($G429*$H429,0))</f>
        <v/>
      </c>
      <c r="J429" s="8"/>
      <c r="K429" s="13" t="str">
        <f aca="false">IF($B429="","",SUMIFS($I$3:$I$2002,$B$3:$B$2002,$B429))</f>
        <v/>
      </c>
      <c r="L429" s="13" t="str">
        <f aca="false">IF($B429="","",IF(COUNTIFS($B$3:$B429,$B429)&gt;1,0,IFERROR(LOOKUP($K429,배송비규정!$A$3:$A$32,배송비규정!$B$3:$B$32),0)+IFERROR(INDEX(지역추가비!$B$3:$B$42,MATCH($J429,지역추가비!$A$3:$A$42,0)),0)))</f>
        <v/>
      </c>
      <c r="M429" s="13" t="str">
        <f aca="false">IF($B429="","",IF(COUNTIFS($B$3:$B429,$B429)&gt;1,"",$K429+$L429))</f>
        <v/>
      </c>
      <c r="N429" s="14" t="str">
        <f aca="false">IF($B429="","",COUNTIFS($B$3:$B429,$B429))</f>
        <v/>
      </c>
      <c r="O429" s="14" t="str">
        <f aca="false">IF($B429="","",$B429&amp;"|"&amp;$N429)</f>
        <v/>
      </c>
    </row>
    <row r="430" customFormat="false" ht="15" hidden="false" customHeight="false" outlineLevel="0" collapsed="false">
      <c r="A430" s="12"/>
      <c r="B430" s="9"/>
      <c r="C430" s="9"/>
      <c r="D430" s="9"/>
      <c r="E430" s="9"/>
      <c r="F430" s="9"/>
      <c r="G430" s="9"/>
      <c r="H430" s="7"/>
      <c r="I430" s="13" t="str">
        <f aca="false">IF(OR($G430="",$H430=""),"",ROUND($G430*$H430,0))</f>
        <v/>
      </c>
      <c r="J430" s="8"/>
      <c r="K430" s="13" t="str">
        <f aca="false">IF($B430="","",SUMIFS($I$3:$I$2002,$B$3:$B$2002,$B430))</f>
        <v/>
      </c>
      <c r="L430" s="13" t="str">
        <f aca="false">IF($B430="","",IF(COUNTIFS($B$3:$B430,$B430)&gt;1,0,IFERROR(LOOKUP($K430,배송비규정!$A$3:$A$32,배송비규정!$B$3:$B$32),0)+IFERROR(INDEX(지역추가비!$B$3:$B$42,MATCH($J430,지역추가비!$A$3:$A$42,0)),0)))</f>
        <v/>
      </c>
      <c r="M430" s="13" t="str">
        <f aca="false">IF($B430="","",IF(COUNTIFS($B$3:$B430,$B430)&gt;1,"",$K430+$L430))</f>
        <v/>
      </c>
      <c r="N430" s="14" t="str">
        <f aca="false">IF($B430="","",COUNTIFS($B$3:$B430,$B430))</f>
        <v/>
      </c>
      <c r="O430" s="14" t="str">
        <f aca="false">IF($B430="","",$B430&amp;"|"&amp;$N430)</f>
        <v/>
      </c>
    </row>
    <row r="431" customFormat="false" ht="15" hidden="false" customHeight="false" outlineLevel="0" collapsed="false">
      <c r="A431" s="12"/>
      <c r="B431" s="9"/>
      <c r="C431" s="9"/>
      <c r="D431" s="9"/>
      <c r="E431" s="9"/>
      <c r="F431" s="9"/>
      <c r="G431" s="9"/>
      <c r="H431" s="7"/>
      <c r="I431" s="13" t="str">
        <f aca="false">IF(OR($G431="",$H431=""),"",ROUND($G431*$H431,0))</f>
        <v/>
      </c>
      <c r="J431" s="8"/>
      <c r="K431" s="13" t="str">
        <f aca="false">IF($B431="","",SUMIFS($I$3:$I$2002,$B$3:$B$2002,$B431))</f>
        <v/>
      </c>
      <c r="L431" s="13" t="str">
        <f aca="false">IF($B431="","",IF(COUNTIFS($B$3:$B431,$B431)&gt;1,0,IFERROR(LOOKUP($K431,배송비규정!$A$3:$A$32,배송비규정!$B$3:$B$32),0)+IFERROR(INDEX(지역추가비!$B$3:$B$42,MATCH($J431,지역추가비!$A$3:$A$42,0)),0)))</f>
        <v/>
      </c>
      <c r="M431" s="13" t="str">
        <f aca="false">IF($B431="","",IF(COUNTIFS($B$3:$B431,$B431)&gt;1,"",$K431+$L431))</f>
        <v/>
      </c>
      <c r="N431" s="14" t="str">
        <f aca="false">IF($B431="","",COUNTIFS($B$3:$B431,$B431))</f>
        <v/>
      </c>
      <c r="O431" s="14" t="str">
        <f aca="false">IF($B431="","",$B431&amp;"|"&amp;$N431)</f>
        <v/>
      </c>
    </row>
    <row r="432" customFormat="false" ht="15" hidden="false" customHeight="false" outlineLevel="0" collapsed="false">
      <c r="A432" s="12"/>
      <c r="B432" s="9"/>
      <c r="C432" s="9"/>
      <c r="D432" s="9"/>
      <c r="E432" s="9"/>
      <c r="F432" s="9"/>
      <c r="G432" s="9"/>
      <c r="H432" s="7"/>
      <c r="I432" s="13" t="str">
        <f aca="false">IF(OR($G432="",$H432=""),"",ROUND($G432*$H432,0))</f>
        <v/>
      </c>
      <c r="J432" s="8"/>
      <c r="K432" s="13" t="str">
        <f aca="false">IF($B432="","",SUMIFS($I$3:$I$2002,$B$3:$B$2002,$B432))</f>
        <v/>
      </c>
      <c r="L432" s="13" t="str">
        <f aca="false">IF($B432="","",IF(COUNTIFS($B$3:$B432,$B432)&gt;1,0,IFERROR(LOOKUP($K432,배송비규정!$A$3:$A$32,배송비규정!$B$3:$B$32),0)+IFERROR(INDEX(지역추가비!$B$3:$B$42,MATCH($J432,지역추가비!$A$3:$A$42,0)),0)))</f>
        <v/>
      </c>
      <c r="M432" s="13" t="str">
        <f aca="false">IF($B432="","",IF(COUNTIFS($B$3:$B432,$B432)&gt;1,"",$K432+$L432))</f>
        <v/>
      </c>
      <c r="N432" s="14" t="str">
        <f aca="false">IF($B432="","",COUNTIFS($B$3:$B432,$B432))</f>
        <v/>
      </c>
      <c r="O432" s="14" t="str">
        <f aca="false">IF($B432="","",$B432&amp;"|"&amp;$N432)</f>
        <v/>
      </c>
    </row>
    <row r="433" customFormat="false" ht="15" hidden="false" customHeight="false" outlineLevel="0" collapsed="false">
      <c r="A433" s="12"/>
      <c r="B433" s="9"/>
      <c r="C433" s="9"/>
      <c r="D433" s="9"/>
      <c r="E433" s="9"/>
      <c r="F433" s="9"/>
      <c r="G433" s="9"/>
      <c r="H433" s="7"/>
      <c r="I433" s="13" t="str">
        <f aca="false">IF(OR($G433="",$H433=""),"",ROUND($G433*$H433,0))</f>
        <v/>
      </c>
      <c r="J433" s="8"/>
      <c r="K433" s="13" t="str">
        <f aca="false">IF($B433="","",SUMIFS($I$3:$I$2002,$B$3:$B$2002,$B433))</f>
        <v/>
      </c>
      <c r="L433" s="13" t="str">
        <f aca="false">IF($B433="","",IF(COUNTIFS($B$3:$B433,$B433)&gt;1,0,IFERROR(LOOKUP($K433,배송비규정!$A$3:$A$32,배송비규정!$B$3:$B$32),0)+IFERROR(INDEX(지역추가비!$B$3:$B$42,MATCH($J433,지역추가비!$A$3:$A$42,0)),0)))</f>
        <v/>
      </c>
      <c r="M433" s="13" t="str">
        <f aca="false">IF($B433="","",IF(COUNTIFS($B$3:$B433,$B433)&gt;1,"",$K433+$L433))</f>
        <v/>
      </c>
      <c r="N433" s="14" t="str">
        <f aca="false">IF($B433="","",COUNTIFS($B$3:$B433,$B433))</f>
        <v/>
      </c>
      <c r="O433" s="14" t="str">
        <f aca="false">IF($B433="","",$B433&amp;"|"&amp;$N433)</f>
        <v/>
      </c>
    </row>
    <row r="434" customFormat="false" ht="15" hidden="false" customHeight="false" outlineLevel="0" collapsed="false">
      <c r="A434" s="12"/>
      <c r="B434" s="9"/>
      <c r="C434" s="9"/>
      <c r="D434" s="9"/>
      <c r="E434" s="9"/>
      <c r="F434" s="9"/>
      <c r="G434" s="9"/>
      <c r="H434" s="7"/>
      <c r="I434" s="13" t="str">
        <f aca="false">IF(OR($G434="",$H434=""),"",ROUND($G434*$H434,0))</f>
        <v/>
      </c>
      <c r="J434" s="8"/>
      <c r="K434" s="13" t="str">
        <f aca="false">IF($B434="","",SUMIFS($I$3:$I$2002,$B$3:$B$2002,$B434))</f>
        <v/>
      </c>
      <c r="L434" s="13" t="str">
        <f aca="false">IF($B434="","",IF(COUNTIFS($B$3:$B434,$B434)&gt;1,0,IFERROR(LOOKUP($K434,배송비규정!$A$3:$A$32,배송비규정!$B$3:$B$32),0)+IFERROR(INDEX(지역추가비!$B$3:$B$42,MATCH($J434,지역추가비!$A$3:$A$42,0)),0)))</f>
        <v/>
      </c>
      <c r="M434" s="13" t="str">
        <f aca="false">IF($B434="","",IF(COUNTIFS($B$3:$B434,$B434)&gt;1,"",$K434+$L434))</f>
        <v/>
      </c>
      <c r="N434" s="14" t="str">
        <f aca="false">IF($B434="","",COUNTIFS($B$3:$B434,$B434))</f>
        <v/>
      </c>
      <c r="O434" s="14" t="str">
        <f aca="false">IF($B434="","",$B434&amp;"|"&amp;$N434)</f>
        <v/>
      </c>
    </row>
    <row r="435" customFormat="false" ht="15" hidden="false" customHeight="false" outlineLevel="0" collapsed="false">
      <c r="A435" s="12"/>
      <c r="B435" s="9"/>
      <c r="C435" s="9"/>
      <c r="D435" s="9"/>
      <c r="E435" s="9"/>
      <c r="F435" s="9"/>
      <c r="G435" s="9"/>
      <c r="H435" s="7"/>
      <c r="I435" s="13" t="str">
        <f aca="false">IF(OR($G435="",$H435=""),"",ROUND($G435*$H435,0))</f>
        <v/>
      </c>
      <c r="J435" s="8"/>
      <c r="K435" s="13" t="str">
        <f aca="false">IF($B435="","",SUMIFS($I$3:$I$2002,$B$3:$B$2002,$B435))</f>
        <v/>
      </c>
      <c r="L435" s="13" t="str">
        <f aca="false">IF($B435="","",IF(COUNTIFS($B$3:$B435,$B435)&gt;1,0,IFERROR(LOOKUP($K435,배송비규정!$A$3:$A$32,배송비규정!$B$3:$B$32),0)+IFERROR(INDEX(지역추가비!$B$3:$B$42,MATCH($J435,지역추가비!$A$3:$A$42,0)),0)))</f>
        <v/>
      </c>
      <c r="M435" s="13" t="str">
        <f aca="false">IF($B435="","",IF(COUNTIFS($B$3:$B435,$B435)&gt;1,"",$K435+$L435))</f>
        <v/>
      </c>
      <c r="N435" s="14" t="str">
        <f aca="false">IF($B435="","",COUNTIFS($B$3:$B435,$B435))</f>
        <v/>
      </c>
      <c r="O435" s="14" t="str">
        <f aca="false">IF($B435="","",$B435&amp;"|"&amp;$N435)</f>
        <v/>
      </c>
    </row>
    <row r="436" customFormat="false" ht="15" hidden="false" customHeight="false" outlineLevel="0" collapsed="false">
      <c r="A436" s="12"/>
      <c r="B436" s="9"/>
      <c r="C436" s="9"/>
      <c r="D436" s="9"/>
      <c r="E436" s="9"/>
      <c r="F436" s="9"/>
      <c r="G436" s="9"/>
      <c r="H436" s="7"/>
      <c r="I436" s="13" t="str">
        <f aca="false">IF(OR($G436="",$H436=""),"",ROUND($G436*$H436,0))</f>
        <v/>
      </c>
      <c r="J436" s="8"/>
      <c r="K436" s="13" t="str">
        <f aca="false">IF($B436="","",SUMIFS($I$3:$I$2002,$B$3:$B$2002,$B436))</f>
        <v/>
      </c>
      <c r="L436" s="13" t="str">
        <f aca="false">IF($B436="","",IF(COUNTIFS($B$3:$B436,$B436)&gt;1,0,IFERROR(LOOKUP($K436,배송비규정!$A$3:$A$32,배송비규정!$B$3:$B$32),0)+IFERROR(INDEX(지역추가비!$B$3:$B$42,MATCH($J436,지역추가비!$A$3:$A$42,0)),0)))</f>
        <v/>
      </c>
      <c r="M436" s="13" t="str">
        <f aca="false">IF($B436="","",IF(COUNTIFS($B$3:$B436,$B436)&gt;1,"",$K436+$L436))</f>
        <v/>
      </c>
      <c r="N436" s="14" t="str">
        <f aca="false">IF($B436="","",COUNTIFS($B$3:$B436,$B436))</f>
        <v/>
      </c>
      <c r="O436" s="14" t="str">
        <f aca="false">IF($B436="","",$B436&amp;"|"&amp;$N436)</f>
        <v/>
      </c>
    </row>
    <row r="437" customFormat="false" ht="15" hidden="false" customHeight="false" outlineLevel="0" collapsed="false">
      <c r="A437" s="12"/>
      <c r="B437" s="9"/>
      <c r="C437" s="9"/>
      <c r="D437" s="9"/>
      <c r="E437" s="9"/>
      <c r="F437" s="9"/>
      <c r="G437" s="9"/>
      <c r="H437" s="7"/>
      <c r="I437" s="13" t="str">
        <f aca="false">IF(OR($G437="",$H437=""),"",ROUND($G437*$H437,0))</f>
        <v/>
      </c>
      <c r="J437" s="8"/>
      <c r="K437" s="13" t="str">
        <f aca="false">IF($B437="","",SUMIFS($I$3:$I$2002,$B$3:$B$2002,$B437))</f>
        <v/>
      </c>
      <c r="L437" s="13" t="str">
        <f aca="false">IF($B437="","",IF(COUNTIFS($B$3:$B437,$B437)&gt;1,0,IFERROR(LOOKUP($K437,배송비규정!$A$3:$A$32,배송비규정!$B$3:$B$32),0)+IFERROR(INDEX(지역추가비!$B$3:$B$42,MATCH($J437,지역추가비!$A$3:$A$42,0)),0)))</f>
        <v/>
      </c>
      <c r="M437" s="13" t="str">
        <f aca="false">IF($B437="","",IF(COUNTIFS($B$3:$B437,$B437)&gt;1,"",$K437+$L437))</f>
        <v/>
      </c>
      <c r="N437" s="14" t="str">
        <f aca="false">IF($B437="","",COUNTIFS($B$3:$B437,$B437))</f>
        <v/>
      </c>
      <c r="O437" s="14" t="str">
        <f aca="false">IF($B437="","",$B437&amp;"|"&amp;$N437)</f>
        <v/>
      </c>
    </row>
    <row r="438" customFormat="false" ht="15" hidden="false" customHeight="false" outlineLevel="0" collapsed="false">
      <c r="A438" s="12"/>
      <c r="B438" s="9"/>
      <c r="C438" s="9"/>
      <c r="D438" s="9"/>
      <c r="E438" s="9"/>
      <c r="F438" s="9"/>
      <c r="G438" s="9"/>
      <c r="H438" s="7"/>
      <c r="I438" s="13" t="str">
        <f aca="false">IF(OR($G438="",$H438=""),"",ROUND($G438*$H438,0))</f>
        <v/>
      </c>
      <c r="J438" s="8"/>
      <c r="K438" s="13" t="str">
        <f aca="false">IF($B438="","",SUMIFS($I$3:$I$2002,$B$3:$B$2002,$B438))</f>
        <v/>
      </c>
      <c r="L438" s="13" t="str">
        <f aca="false">IF($B438="","",IF(COUNTIFS($B$3:$B438,$B438)&gt;1,0,IFERROR(LOOKUP($K438,배송비규정!$A$3:$A$32,배송비규정!$B$3:$B$32),0)+IFERROR(INDEX(지역추가비!$B$3:$B$42,MATCH($J438,지역추가비!$A$3:$A$42,0)),0)))</f>
        <v/>
      </c>
      <c r="M438" s="13" t="str">
        <f aca="false">IF($B438="","",IF(COUNTIFS($B$3:$B438,$B438)&gt;1,"",$K438+$L438))</f>
        <v/>
      </c>
      <c r="N438" s="14" t="str">
        <f aca="false">IF($B438="","",COUNTIFS($B$3:$B438,$B438))</f>
        <v/>
      </c>
      <c r="O438" s="14" t="str">
        <f aca="false">IF($B438="","",$B438&amp;"|"&amp;$N438)</f>
        <v/>
      </c>
    </row>
    <row r="439" customFormat="false" ht="15" hidden="false" customHeight="false" outlineLevel="0" collapsed="false">
      <c r="A439" s="12"/>
      <c r="B439" s="9"/>
      <c r="C439" s="9"/>
      <c r="D439" s="9"/>
      <c r="E439" s="9"/>
      <c r="F439" s="9"/>
      <c r="G439" s="9"/>
      <c r="H439" s="7"/>
      <c r="I439" s="13" t="str">
        <f aca="false">IF(OR($G439="",$H439=""),"",ROUND($G439*$H439,0))</f>
        <v/>
      </c>
      <c r="J439" s="8"/>
      <c r="K439" s="13" t="str">
        <f aca="false">IF($B439="","",SUMIFS($I$3:$I$2002,$B$3:$B$2002,$B439))</f>
        <v/>
      </c>
      <c r="L439" s="13" t="str">
        <f aca="false">IF($B439="","",IF(COUNTIFS($B$3:$B439,$B439)&gt;1,0,IFERROR(LOOKUP($K439,배송비규정!$A$3:$A$32,배송비규정!$B$3:$B$32),0)+IFERROR(INDEX(지역추가비!$B$3:$B$42,MATCH($J439,지역추가비!$A$3:$A$42,0)),0)))</f>
        <v/>
      </c>
      <c r="M439" s="13" t="str">
        <f aca="false">IF($B439="","",IF(COUNTIFS($B$3:$B439,$B439)&gt;1,"",$K439+$L439))</f>
        <v/>
      </c>
      <c r="N439" s="14" t="str">
        <f aca="false">IF($B439="","",COUNTIFS($B$3:$B439,$B439))</f>
        <v/>
      </c>
      <c r="O439" s="14" t="str">
        <f aca="false">IF($B439="","",$B439&amp;"|"&amp;$N439)</f>
        <v/>
      </c>
    </row>
    <row r="440" customFormat="false" ht="15" hidden="false" customHeight="false" outlineLevel="0" collapsed="false">
      <c r="A440" s="12"/>
      <c r="B440" s="9"/>
      <c r="C440" s="9"/>
      <c r="D440" s="9"/>
      <c r="E440" s="9"/>
      <c r="F440" s="9"/>
      <c r="G440" s="9"/>
      <c r="H440" s="7"/>
      <c r="I440" s="13" t="str">
        <f aca="false">IF(OR($G440="",$H440=""),"",ROUND($G440*$H440,0))</f>
        <v/>
      </c>
      <c r="J440" s="8"/>
      <c r="K440" s="13" t="str">
        <f aca="false">IF($B440="","",SUMIFS($I$3:$I$2002,$B$3:$B$2002,$B440))</f>
        <v/>
      </c>
      <c r="L440" s="13" t="str">
        <f aca="false">IF($B440="","",IF(COUNTIFS($B$3:$B440,$B440)&gt;1,0,IFERROR(LOOKUP($K440,배송비규정!$A$3:$A$32,배송비규정!$B$3:$B$32),0)+IFERROR(INDEX(지역추가비!$B$3:$B$42,MATCH($J440,지역추가비!$A$3:$A$42,0)),0)))</f>
        <v/>
      </c>
      <c r="M440" s="13" t="str">
        <f aca="false">IF($B440="","",IF(COUNTIFS($B$3:$B440,$B440)&gt;1,"",$K440+$L440))</f>
        <v/>
      </c>
      <c r="N440" s="14" t="str">
        <f aca="false">IF($B440="","",COUNTIFS($B$3:$B440,$B440))</f>
        <v/>
      </c>
      <c r="O440" s="14" t="str">
        <f aca="false">IF($B440="","",$B440&amp;"|"&amp;$N440)</f>
        <v/>
      </c>
    </row>
    <row r="441" customFormat="false" ht="15" hidden="false" customHeight="false" outlineLevel="0" collapsed="false">
      <c r="A441" s="12"/>
      <c r="B441" s="9"/>
      <c r="C441" s="9"/>
      <c r="D441" s="9"/>
      <c r="E441" s="9"/>
      <c r="F441" s="9"/>
      <c r="G441" s="9"/>
      <c r="H441" s="7"/>
      <c r="I441" s="13" t="str">
        <f aca="false">IF(OR($G441="",$H441=""),"",ROUND($G441*$H441,0))</f>
        <v/>
      </c>
      <c r="J441" s="8"/>
      <c r="K441" s="13" t="str">
        <f aca="false">IF($B441="","",SUMIFS($I$3:$I$2002,$B$3:$B$2002,$B441))</f>
        <v/>
      </c>
      <c r="L441" s="13" t="str">
        <f aca="false">IF($B441="","",IF(COUNTIFS($B$3:$B441,$B441)&gt;1,0,IFERROR(LOOKUP($K441,배송비규정!$A$3:$A$32,배송비규정!$B$3:$B$32),0)+IFERROR(INDEX(지역추가비!$B$3:$B$42,MATCH($J441,지역추가비!$A$3:$A$42,0)),0)))</f>
        <v/>
      </c>
      <c r="M441" s="13" t="str">
        <f aca="false">IF($B441="","",IF(COUNTIFS($B$3:$B441,$B441)&gt;1,"",$K441+$L441))</f>
        <v/>
      </c>
      <c r="N441" s="14" t="str">
        <f aca="false">IF($B441="","",COUNTIFS($B$3:$B441,$B441))</f>
        <v/>
      </c>
      <c r="O441" s="14" t="str">
        <f aca="false">IF($B441="","",$B441&amp;"|"&amp;$N441)</f>
        <v/>
      </c>
    </row>
    <row r="442" customFormat="false" ht="15" hidden="false" customHeight="false" outlineLevel="0" collapsed="false">
      <c r="A442" s="12"/>
      <c r="B442" s="9"/>
      <c r="C442" s="9"/>
      <c r="D442" s="9"/>
      <c r="E442" s="9"/>
      <c r="F442" s="9"/>
      <c r="G442" s="9"/>
      <c r="H442" s="7"/>
      <c r="I442" s="13" t="str">
        <f aca="false">IF(OR($G442="",$H442=""),"",ROUND($G442*$H442,0))</f>
        <v/>
      </c>
      <c r="J442" s="8"/>
      <c r="K442" s="13" t="str">
        <f aca="false">IF($B442="","",SUMIFS($I$3:$I$2002,$B$3:$B$2002,$B442))</f>
        <v/>
      </c>
      <c r="L442" s="13" t="str">
        <f aca="false">IF($B442="","",IF(COUNTIFS($B$3:$B442,$B442)&gt;1,0,IFERROR(LOOKUP($K442,배송비규정!$A$3:$A$32,배송비규정!$B$3:$B$32),0)+IFERROR(INDEX(지역추가비!$B$3:$B$42,MATCH($J442,지역추가비!$A$3:$A$42,0)),0)))</f>
        <v/>
      </c>
      <c r="M442" s="13" t="str">
        <f aca="false">IF($B442="","",IF(COUNTIFS($B$3:$B442,$B442)&gt;1,"",$K442+$L442))</f>
        <v/>
      </c>
      <c r="N442" s="14" t="str">
        <f aca="false">IF($B442="","",COUNTIFS($B$3:$B442,$B442))</f>
        <v/>
      </c>
      <c r="O442" s="14" t="str">
        <f aca="false">IF($B442="","",$B442&amp;"|"&amp;$N442)</f>
        <v/>
      </c>
    </row>
    <row r="443" customFormat="false" ht="15" hidden="false" customHeight="false" outlineLevel="0" collapsed="false">
      <c r="A443" s="12"/>
      <c r="B443" s="9"/>
      <c r="C443" s="9"/>
      <c r="D443" s="9"/>
      <c r="E443" s="9"/>
      <c r="F443" s="9"/>
      <c r="G443" s="9"/>
      <c r="H443" s="7"/>
      <c r="I443" s="13" t="str">
        <f aca="false">IF(OR($G443="",$H443=""),"",ROUND($G443*$H443,0))</f>
        <v/>
      </c>
      <c r="J443" s="8"/>
      <c r="K443" s="13" t="str">
        <f aca="false">IF($B443="","",SUMIFS($I$3:$I$2002,$B$3:$B$2002,$B443))</f>
        <v/>
      </c>
      <c r="L443" s="13" t="str">
        <f aca="false">IF($B443="","",IF(COUNTIFS($B$3:$B443,$B443)&gt;1,0,IFERROR(LOOKUP($K443,배송비규정!$A$3:$A$32,배송비규정!$B$3:$B$32),0)+IFERROR(INDEX(지역추가비!$B$3:$B$42,MATCH($J443,지역추가비!$A$3:$A$42,0)),0)))</f>
        <v/>
      </c>
      <c r="M443" s="13" t="str">
        <f aca="false">IF($B443="","",IF(COUNTIFS($B$3:$B443,$B443)&gt;1,"",$K443+$L443))</f>
        <v/>
      </c>
      <c r="N443" s="14" t="str">
        <f aca="false">IF($B443="","",COUNTIFS($B$3:$B443,$B443))</f>
        <v/>
      </c>
      <c r="O443" s="14" t="str">
        <f aca="false">IF($B443="","",$B443&amp;"|"&amp;$N443)</f>
        <v/>
      </c>
    </row>
    <row r="444" customFormat="false" ht="15" hidden="false" customHeight="false" outlineLevel="0" collapsed="false">
      <c r="A444" s="12"/>
      <c r="B444" s="9"/>
      <c r="C444" s="9"/>
      <c r="D444" s="9"/>
      <c r="E444" s="9"/>
      <c r="F444" s="9"/>
      <c r="G444" s="9"/>
      <c r="H444" s="7"/>
      <c r="I444" s="13" t="str">
        <f aca="false">IF(OR($G444="",$H444=""),"",ROUND($G444*$H444,0))</f>
        <v/>
      </c>
      <c r="J444" s="8"/>
      <c r="K444" s="13" t="str">
        <f aca="false">IF($B444="","",SUMIFS($I$3:$I$2002,$B$3:$B$2002,$B444))</f>
        <v/>
      </c>
      <c r="L444" s="13" t="str">
        <f aca="false">IF($B444="","",IF(COUNTIFS($B$3:$B444,$B444)&gt;1,0,IFERROR(LOOKUP($K444,배송비규정!$A$3:$A$32,배송비규정!$B$3:$B$32),0)+IFERROR(INDEX(지역추가비!$B$3:$B$42,MATCH($J444,지역추가비!$A$3:$A$42,0)),0)))</f>
        <v/>
      </c>
      <c r="M444" s="13" t="str">
        <f aca="false">IF($B444="","",IF(COUNTIFS($B$3:$B444,$B444)&gt;1,"",$K444+$L444))</f>
        <v/>
      </c>
      <c r="N444" s="14" t="str">
        <f aca="false">IF($B444="","",COUNTIFS($B$3:$B444,$B444))</f>
        <v/>
      </c>
      <c r="O444" s="14" t="str">
        <f aca="false">IF($B444="","",$B444&amp;"|"&amp;$N444)</f>
        <v/>
      </c>
    </row>
    <row r="445" customFormat="false" ht="15" hidden="false" customHeight="false" outlineLevel="0" collapsed="false">
      <c r="A445" s="12"/>
      <c r="B445" s="9"/>
      <c r="C445" s="9"/>
      <c r="D445" s="9"/>
      <c r="E445" s="9"/>
      <c r="F445" s="9"/>
      <c r="G445" s="9"/>
      <c r="H445" s="7"/>
      <c r="I445" s="13" t="str">
        <f aca="false">IF(OR($G445="",$H445=""),"",ROUND($G445*$H445,0))</f>
        <v/>
      </c>
      <c r="J445" s="8"/>
      <c r="K445" s="13" t="str">
        <f aca="false">IF($B445="","",SUMIFS($I$3:$I$2002,$B$3:$B$2002,$B445))</f>
        <v/>
      </c>
      <c r="L445" s="13" t="str">
        <f aca="false">IF($B445="","",IF(COUNTIFS($B$3:$B445,$B445)&gt;1,0,IFERROR(LOOKUP($K445,배송비규정!$A$3:$A$32,배송비규정!$B$3:$B$32),0)+IFERROR(INDEX(지역추가비!$B$3:$B$42,MATCH($J445,지역추가비!$A$3:$A$42,0)),0)))</f>
        <v/>
      </c>
      <c r="M445" s="13" t="str">
        <f aca="false">IF($B445="","",IF(COUNTIFS($B$3:$B445,$B445)&gt;1,"",$K445+$L445))</f>
        <v/>
      </c>
      <c r="N445" s="14" t="str">
        <f aca="false">IF($B445="","",COUNTIFS($B$3:$B445,$B445))</f>
        <v/>
      </c>
      <c r="O445" s="14" t="str">
        <f aca="false">IF($B445="","",$B445&amp;"|"&amp;$N445)</f>
        <v/>
      </c>
    </row>
    <row r="446" customFormat="false" ht="15" hidden="false" customHeight="false" outlineLevel="0" collapsed="false">
      <c r="A446" s="12"/>
      <c r="B446" s="9"/>
      <c r="C446" s="9"/>
      <c r="D446" s="9"/>
      <c r="E446" s="9"/>
      <c r="F446" s="9"/>
      <c r="G446" s="9"/>
      <c r="H446" s="7"/>
      <c r="I446" s="13" t="str">
        <f aca="false">IF(OR($G446="",$H446=""),"",ROUND($G446*$H446,0))</f>
        <v/>
      </c>
      <c r="J446" s="8"/>
      <c r="K446" s="13" t="str">
        <f aca="false">IF($B446="","",SUMIFS($I$3:$I$2002,$B$3:$B$2002,$B446))</f>
        <v/>
      </c>
      <c r="L446" s="13" t="str">
        <f aca="false">IF($B446="","",IF(COUNTIFS($B$3:$B446,$B446)&gt;1,0,IFERROR(LOOKUP($K446,배송비규정!$A$3:$A$32,배송비규정!$B$3:$B$32),0)+IFERROR(INDEX(지역추가비!$B$3:$B$42,MATCH($J446,지역추가비!$A$3:$A$42,0)),0)))</f>
        <v/>
      </c>
      <c r="M446" s="13" t="str">
        <f aca="false">IF($B446="","",IF(COUNTIFS($B$3:$B446,$B446)&gt;1,"",$K446+$L446))</f>
        <v/>
      </c>
      <c r="N446" s="14" t="str">
        <f aca="false">IF($B446="","",COUNTIFS($B$3:$B446,$B446))</f>
        <v/>
      </c>
      <c r="O446" s="14" t="str">
        <f aca="false">IF($B446="","",$B446&amp;"|"&amp;$N446)</f>
        <v/>
      </c>
    </row>
    <row r="447" customFormat="false" ht="15" hidden="false" customHeight="false" outlineLevel="0" collapsed="false">
      <c r="A447" s="12"/>
      <c r="B447" s="9"/>
      <c r="C447" s="9"/>
      <c r="D447" s="9"/>
      <c r="E447" s="9"/>
      <c r="F447" s="9"/>
      <c r="G447" s="9"/>
      <c r="H447" s="7"/>
      <c r="I447" s="13" t="str">
        <f aca="false">IF(OR($G447="",$H447=""),"",ROUND($G447*$H447,0))</f>
        <v/>
      </c>
      <c r="J447" s="8"/>
      <c r="K447" s="13" t="str">
        <f aca="false">IF($B447="","",SUMIFS($I$3:$I$2002,$B$3:$B$2002,$B447))</f>
        <v/>
      </c>
      <c r="L447" s="13" t="str">
        <f aca="false">IF($B447="","",IF(COUNTIFS($B$3:$B447,$B447)&gt;1,0,IFERROR(LOOKUP($K447,배송비규정!$A$3:$A$32,배송비규정!$B$3:$B$32),0)+IFERROR(INDEX(지역추가비!$B$3:$B$42,MATCH($J447,지역추가비!$A$3:$A$42,0)),0)))</f>
        <v/>
      </c>
      <c r="M447" s="13" t="str">
        <f aca="false">IF($B447="","",IF(COUNTIFS($B$3:$B447,$B447)&gt;1,"",$K447+$L447))</f>
        <v/>
      </c>
      <c r="N447" s="14" t="str">
        <f aca="false">IF($B447="","",COUNTIFS($B$3:$B447,$B447))</f>
        <v/>
      </c>
      <c r="O447" s="14" t="str">
        <f aca="false">IF($B447="","",$B447&amp;"|"&amp;$N447)</f>
        <v/>
      </c>
    </row>
    <row r="448" customFormat="false" ht="15" hidden="false" customHeight="false" outlineLevel="0" collapsed="false">
      <c r="A448" s="12"/>
      <c r="B448" s="9"/>
      <c r="C448" s="9"/>
      <c r="D448" s="9"/>
      <c r="E448" s="9"/>
      <c r="F448" s="9"/>
      <c r="G448" s="9"/>
      <c r="H448" s="7"/>
      <c r="I448" s="13" t="str">
        <f aca="false">IF(OR($G448="",$H448=""),"",ROUND($G448*$H448,0))</f>
        <v/>
      </c>
      <c r="J448" s="8"/>
      <c r="K448" s="13" t="str">
        <f aca="false">IF($B448="","",SUMIFS($I$3:$I$2002,$B$3:$B$2002,$B448))</f>
        <v/>
      </c>
      <c r="L448" s="13" t="str">
        <f aca="false">IF($B448="","",IF(COUNTIFS($B$3:$B448,$B448)&gt;1,0,IFERROR(LOOKUP($K448,배송비규정!$A$3:$A$32,배송비규정!$B$3:$B$32),0)+IFERROR(INDEX(지역추가비!$B$3:$B$42,MATCH($J448,지역추가비!$A$3:$A$42,0)),0)))</f>
        <v/>
      </c>
      <c r="M448" s="13" t="str">
        <f aca="false">IF($B448="","",IF(COUNTIFS($B$3:$B448,$B448)&gt;1,"",$K448+$L448))</f>
        <v/>
      </c>
      <c r="N448" s="14" t="str">
        <f aca="false">IF($B448="","",COUNTIFS($B$3:$B448,$B448))</f>
        <v/>
      </c>
      <c r="O448" s="14" t="str">
        <f aca="false">IF($B448="","",$B448&amp;"|"&amp;$N448)</f>
        <v/>
      </c>
    </row>
    <row r="449" customFormat="false" ht="15" hidden="false" customHeight="false" outlineLevel="0" collapsed="false">
      <c r="A449" s="12"/>
      <c r="B449" s="9"/>
      <c r="C449" s="9"/>
      <c r="D449" s="9"/>
      <c r="E449" s="9"/>
      <c r="F449" s="9"/>
      <c r="G449" s="9"/>
      <c r="H449" s="7"/>
      <c r="I449" s="13" t="str">
        <f aca="false">IF(OR($G449="",$H449=""),"",ROUND($G449*$H449,0))</f>
        <v/>
      </c>
      <c r="J449" s="8"/>
      <c r="K449" s="13" t="str">
        <f aca="false">IF($B449="","",SUMIFS($I$3:$I$2002,$B$3:$B$2002,$B449))</f>
        <v/>
      </c>
      <c r="L449" s="13" t="str">
        <f aca="false">IF($B449="","",IF(COUNTIFS($B$3:$B449,$B449)&gt;1,0,IFERROR(LOOKUP($K449,배송비규정!$A$3:$A$32,배송비규정!$B$3:$B$32),0)+IFERROR(INDEX(지역추가비!$B$3:$B$42,MATCH($J449,지역추가비!$A$3:$A$42,0)),0)))</f>
        <v/>
      </c>
      <c r="M449" s="13" t="str">
        <f aca="false">IF($B449="","",IF(COUNTIFS($B$3:$B449,$B449)&gt;1,"",$K449+$L449))</f>
        <v/>
      </c>
      <c r="N449" s="14" t="str">
        <f aca="false">IF($B449="","",COUNTIFS($B$3:$B449,$B449))</f>
        <v/>
      </c>
      <c r="O449" s="14" t="str">
        <f aca="false">IF($B449="","",$B449&amp;"|"&amp;$N449)</f>
        <v/>
      </c>
    </row>
    <row r="450" customFormat="false" ht="15" hidden="false" customHeight="false" outlineLevel="0" collapsed="false">
      <c r="A450" s="12"/>
      <c r="B450" s="9"/>
      <c r="C450" s="9"/>
      <c r="D450" s="9"/>
      <c r="E450" s="9"/>
      <c r="F450" s="9"/>
      <c r="G450" s="9"/>
      <c r="H450" s="7"/>
      <c r="I450" s="13" t="str">
        <f aca="false">IF(OR($G450="",$H450=""),"",ROUND($G450*$H450,0))</f>
        <v/>
      </c>
      <c r="J450" s="8"/>
      <c r="K450" s="13" t="str">
        <f aca="false">IF($B450="","",SUMIFS($I$3:$I$2002,$B$3:$B$2002,$B450))</f>
        <v/>
      </c>
      <c r="L450" s="13" t="str">
        <f aca="false">IF($B450="","",IF(COUNTIFS($B$3:$B450,$B450)&gt;1,0,IFERROR(LOOKUP($K450,배송비규정!$A$3:$A$32,배송비규정!$B$3:$B$32),0)+IFERROR(INDEX(지역추가비!$B$3:$B$42,MATCH($J450,지역추가비!$A$3:$A$42,0)),0)))</f>
        <v/>
      </c>
      <c r="M450" s="13" t="str">
        <f aca="false">IF($B450="","",IF(COUNTIFS($B$3:$B450,$B450)&gt;1,"",$K450+$L450))</f>
        <v/>
      </c>
      <c r="N450" s="14" t="str">
        <f aca="false">IF($B450="","",COUNTIFS($B$3:$B450,$B450))</f>
        <v/>
      </c>
      <c r="O450" s="14" t="str">
        <f aca="false">IF($B450="","",$B450&amp;"|"&amp;$N450)</f>
        <v/>
      </c>
    </row>
    <row r="451" customFormat="false" ht="15" hidden="false" customHeight="false" outlineLevel="0" collapsed="false">
      <c r="A451" s="12"/>
      <c r="B451" s="9"/>
      <c r="C451" s="9"/>
      <c r="D451" s="9"/>
      <c r="E451" s="9"/>
      <c r="F451" s="9"/>
      <c r="G451" s="9"/>
      <c r="H451" s="7"/>
      <c r="I451" s="13" t="str">
        <f aca="false">IF(OR($G451="",$H451=""),"",ROUND($G451*$H451,0))</f>
        <v/>
      </c>
      <c r="J451" s="8"/>
      <c r="K451" s="13" t="str">
        <f aca="false">IF($B451="","",SUMIFS($I$3:$I$2002,$B$3:$B$2002,$B451))</f>
        <v/>
      </c>
      <c r="L451" s="13" t="str">
        <f aca="false">IF($B451="","",IF(COUNTIFS($B$3:$B451,$B451)&gt;1,0,IFERROR(LOOKUP($K451,배송비규정!$A$3:$A$32,배송비규정!$B$3:$B$32),0)+IFERROR(INDEX(지역추가비!$B$3:$B$42,MATCH($J451,지역추가비!$A$3:$A$42,0)),0)))</f>
        <v/>
      </c>
      <c r="M451" s="13" t="str">
        <f aca="false">IF($B451="","",IF(COUNTIFS($B$3:$B451,$B451)&gt;1,"",$K451+$L451))</f>
        <v/>
      </c>
      <c r="N451" s="14" t="str">
        <f aca="false">IF($B451="","",COUNTIFS($B$3:$B451,$B451))</f>
        <v/>
      </c>
      <c r="O451" s="14" t="str">
        <f aca="false">IF($B451="","",$B451&amp;"|"&amp;$N451)</f>
        <v/>
      </c>
    </row>
    <row r="452" customFormat="false" ht="15" hidden="false" customHeight="false" outlineLevel="0" collapsed="false">
      <c r="A452" s="12"/>
      <c r="B452" s="9"/>
      <c r="C452" s="9"/>
      <c r="D452" s="9"/>
      <c r="E452" s="9"/>
      <c r="F452" s="9"/>
      <c r="G452" s="9"/>
      <c r="H452" s="7"/>
      <c r="I452" s="13" t="str">
        <f aca="false">IF(OR($G452="",$H452=""),"",ROUND($G452*$H452,0))</f>
        <v/>
      </c>
      <c r="J452" s="8"/>
      <c r="K452" s="13" t="str">
        <f aca="false">IF($B452="","",SUMIFS($I$3:$I$2002,$B$3:$B$2002,$B452))</f>
        <v/>
      </c>
      <c r="L452" s="13" t="str">
        <f aca="false">IF($B452="","",IF(COUNTIFS($B$3:$B452,$B452)&gt;1,0,IFERROR(LOOKUP($K452,배송비규정!$A$3:$A$32,배송비규정!$B$3:$B$32),0)+IFERROR(INDEX(지역추가비!$B$3:$B$42,MATCH($J452,지역추가비!$A$3:$A$42,0)),0)))</f>
        <v/>
      </c>
      <c r="M452" s="13" t="str">
        <f aca="false">IF($B452="","",IF(COUNTIFS($B$3:$B452,$B452)&gt;1,"",$K452+$L452))</f>
        <v/>
      </c>
      <c r="N452" s="14" t="str">
        <f aca="false">IF($B452="","",COUNTIFS($B$3:$B452,$B452))</f>
        <v/>
      </c>
      <c r="O452" s="14" t="str">
        <f aca="false">IF($B452="","",$B452&amp;"|"&amp;$N452)</f>
        <v/>
      </c>
    </row>
    <row r="453" customFormat="false" ht="15" hidden="false" customHeight="false" outlineLevel="0" collapsed="false">
      <c r="A453" s="12"/>
      <c r="B453" s="9"/>
      <c r="C453" s="9"/>
      <c r="D453" s="9"/>
      <c r="E453" s="9"/>
      <c r="F453" s="9"/>
      <c r="G453" s="9"/>
      <c r="H453" s="7"/>
      <c r="I453" s="13" t="str">
        <f aca="false">IF(OR($G453="",$H453=""),"",ROUND($G453*$H453,0))</f>
        <v/>
      </c>
      <c r="J453" s="8"/>
      <c r="K453" s="13" t="str">
        <f aca="false">IF($B453="","",SUMIFS($I$3:$I$2002,$B$3:$B$2002,$B453))</f>
        <v/>
      </c>
      <c r="L453" s="13" t="str">
        <f aca="false">IF($B453="","",IF(COUNTIFS($B$3:$B453,$B453)&gt;1,0,IFERROR(LOOKUP($K453,배송비규정!$A$3:$A$32,배송비규정!$B$3:$B$32),0)+IFERROR(INDEX(지역추가비!$B$3:$B$42,MATCH($J453,지역추가비!$A$3:$A$42,0)),0)))</f>
        <v/>
      </c>
      <c r="M453" s="13" t="str">
        <f aca="false">IF($B453="","",IF(COUNTIFS($B$3:$B453,$B453)&gt;1,"",$K453+$L453))</f>
        <v/>
      </c>
      <c r="N453" s="14" t="str">
        <f aca="false">IF($B453="","",COUNTIFS($B$3:$B453,$B453))</f>
        <v/>
      </c>
      <c r="O453" s="14" t="str">
        <f aca="false">IF($B453="","",$B453&amp;"|"&amp;$N453)</f>
        <v/>
      </c>
    </row>
    <row r="454" customFormat="false" ht="15" hidden="false" customHeight="false" outlineLevel="0" collapsed="false">
      <c r="A454" s="12"/>
      <c r="B454" s="9"/>
      <c r="C454" s="9"/>
      <c r="D454" s="9"/>
      <c r="E454" s="9"/>
      <c r="F454" s="9"/>
      <c r="G454" s="9"/>
      <c r="H454" s="7"/>
      <c r="I454" s="13" t="str">
        <f aca="false">IF(OR($G454="",$H454=""),"",ROUND($G454*$H454,0))</f>
        <v/>
      </c>
      <c r="J454" s="8"/>
      <c r="K454" s="13" t="str">
        <f aca="false">IF($B454="","",SUMIFS($I$3:$I$2002,$B$3:$B$2002,$B454))</f>
        <v/>
      </c>
      <c r="L454" s="13" t="str">
        <f aca="false">IF($B454="","",IF(COUNTIFS($B$3:$B454,$B454)&gt;1,0,IFERROR(LOOKUP($K454,배송비규정!$A$3:$A$32,배송비규정!$B$3:$B$32),0)+IFERROR(INDEX(지역추가비!$B$3:$B$42,MATCH($J454,지역추가비!$A$3:$A$42,0)),0)))</f>
        <v/>
      </c>
      <c r="M454" s="13" t="str">
        <f aca="false">IF($B454="","",IF(COUNTIFS($B$3:$B454,$B454)&gt;1,"",$K454+$L454))</f>
        <v/>
      </c>
      <c r="N454" s="14" t="str">
        <f aca="false">IF($B454="","",COUNTIFS($B$3:$B454,$B454))</f>
        <v/>
      </c>
      <c r="O454" s="14" t="str">
        <f aca="false">IF($B454="","",$B454&amp;"|"&amp;$N454)</f>
        <v/>
      </c>
    </row>
    <row r="455" customFormat="false" ht="15" hidden="false" customHeight="false" outlineLevel="0" collapsed="false">
      <c r="A455" s="12"/>
      <c r="B455" s="9"/>
      <c r="C455" s="9"/>
      <c r="D455" s="9"/>
      <c r="E455" s="9"/>
      <c r="F455" s="9"/>
      <c r="G455" s="9"/>
      <c r="H455" s="7"/>
      <c r="I455" s="13" t="str">
        <f aca="false">IF(OR($G455="",$H455=""),"",ROUND($G455*$H455,0))</f>
        <v/>
      </c>
      <c r="J455" s="8"/>
      <c r="K455" s="13" t="str">
        <f aca="false">IF($B455="","",SUMIFS($I$3:$I$2002,$B$3:$B$2002,$B455))</f>
        <v/>
      </c>
      <c r="L455" s="13" t="str">
        <f aca="false">IF($B455="","",IF(COUNTIFS($B$3:$B455,$B455)&gt;1,0,IFERROR(LOOKUP($K455,배송비규정!$A$3:$A$32,배송비규정!$B$3:$B$32),0)+IFERROR(INDEX(지역추가비!$B$3:$B$42,MATCH($J455,지역추가비!$A$3:$A$42,0)),0)))</f>
        <v/>
      </c>
      <c r="M455" s="13" t="str">
        <f aca="false">IF($B455="","",IF(COUNTIFS($B$3:$B455,$B455)&gt;1,"",$K455+$L455))</f>
        <v/>
      </c>
      <c r="N455" s="14" t="str">
        <f aca="false">IF($B455="","",COUNTIFS($B$3:$B455,$B455))</f>
        <v/>
      </c>
      <c r="O455" s="14" t="str">
        <f aca="false">IF($B455="","",$B455&amp;"|"&amp;$N455)</f>
        <v/>
      </c>
    </row>
    <row r="456" customFormat="false" ht="15" hidden="false" customHeight="false" outlineLevel="0" collapsed="false">
      <c r="A456" s="12"/>
      <c r="B456" s="9"/>
      <c r="C456" s="9"/>
      <c r="D456" s="9"/>
      <c r="E456" s="9"/>
      <c r="F456" s="9"/>
      <c r="G456" s="9"/>
      <c r="H456" s="7"/>
      <c r="I456" s="13" t="str">
        <f aca="false">IF(OR($G456="",$H456=""),"",ROUND($G456*$H456,0))</f>
        <v/>
      </c>
      <c r="J456" s="8"/>
      <c r="K456" s="13" t="str">
        <f aca="false">IF($B456="","",SUMIFS($I$3:$I$2002,$B$3:$B$2002,$B456))</f>
        <v/>
      </c>
      <c r="L456" s="13" t="str">
        <f aca="false">IF($B456="","",IF(COUNTIFS($B$3:$B456,$B456)&gt;1,0,IFERROR(LOOKUP($K456,배송비규정!$A$3:$A$32,배송비규정!$B$3:$B$32),0)+IFERROR(INDEX(지역추가비!$B$3:$B$42,MATCH($J456,지역추가비!$A$3:$A$42,0)),0)))</f>
        <v/>
      </c>
      <c r="M456" s="13" t="str">
        <f aca="false">IF($B456="","",IF(COUNTIFS($B$3:$B456,$B456)&gt;1,"",$K456+$L456))</f>
        <v/>
      </c>
      <c r="N456" s="14" t="str">
        <f aca="false">IF($B456="","",COUNTIFS($B$3:$B456,$B456))</f>
        <v/>
      </c>
      <c r="O456" s="14" t="str">
        <f aca="false">IF($B456="","",$B456&amp;"|"&amp;$N456)</f>
        <v/>
      </c>
    </row>
    <row r="457" customFormat="false" ht="15" hidden="false" customHeight="false" outlineLevel="0" collapsed="false">
      <c r="A457" s="12"/>
      <c r="B457" s="9"/>
      <c r="C457" s="9"/>
      <c r="D457" s="9"/>
      <c r="E457" s="9"/>
      <c r="F457" s="9"/>
      <c r="G457" s="9"/>
      <c r="H457" s="7"/>
      <c r="I457" s="13" t="str">
        <f aca="false">IF(OR($G457="",$H457=""),"",ROUND($G457*$H457,0))</f>
        <v/>
      </c>
      <c r="J457" s="8"/>
      <c r="K457" s="13" t="str">
        <f aca="false">IF($B457="","",SUMIFS($I$3:$I$2002,$B$3:$B$2002,$B457))</f>
        <v/>
      </c>
      <c r="L457" s="13" t="str">
        <f aca="false">IF($B457="","",IF(COUNTIFS($B$3:$B457,$B457)&gt;1,0,IFERROR(LOOKUP($K457,배송비규정!$A$3:$A$32,배송비규정!$B$3:$B$32),0)+IFERROR(INDEX(지역추가비!$B$3:$B$42,MATCH($J457,지역추가비!$A$3:$A$42,0)),0)))</f>
        <v/>
      </c>
      <c r="M457" s="13" t="str">
        <f aca="false">IF($B457="","",IF(COUNTIFS($B$3:$B457,$B457)&gt;1,"",$K457+$L457))</f>
        <v/>
      </c>
      <c r="N457" s="14" t="str">
        <f aca="false">IF($B457="","",COUNTIFS($B$3:$B457,$B457))</f>
        <v/>
      </c>
      <c r="O457" s="14" t="str">
        <f aca="false">IF($B457="","",$B457&amp;"|"&amp;$N457)</f>
        <v/>
      </c>
    </row>
    <row r="458" customFormat="false" ht="15" hidden="false" customHeight="false" outlineLevel="0" collapsed="false">
      <c r="A458" s="12"/>
      <c r="B458" s="9"/>
      <c r="C458" s="9"/>
      <c r="D458" s="9"/>
      <c r="E458" s="9"/>
      <c r="F458" s="9"/>
      <c r="G458" s="9"/>
      <c r="H458" s="7"/>
      <c r="I458" s="13" t="str">
        <f aca="false">IF(OR($G458="",$H458=""),"",ROUND($G458*$H458,0))</f>
        <v/>
      </c>
      <c r="J458" s="8"/>
      <c r="K458" s="13" t="str">
        <f aca="false">IF($B458="","",SUMIFS($I$3:$I$2002,$B$3:$B$2002,$B458))</f>
        <v/>
      </c>
      <c r="L458" s="13" t="str">
        <f aca="false">IF($B458="","",IF(COUNTIFS($B$3:$B458,$B458)&gt;1,0,IFERROR(LOOKUP($K458,배송비규정!$A$3:$A$32,배송비규정!$B$3:$B$32),0)+IFERROR(INDEX(지역추가비!$B$3:$B$42,MATCH($J458,지역추가비!$A$3:$A$42,0)),0)))</f>
        <v/>
      </c>
      <c r="M458" s="13" t="str">
        <f aca="false">IF($B458="","",IF(COUNTIFS($B$3:$B458,$B458)&gt;1,"",$K458+$L458))</f>
        <v/>
      </c>
      <c r="N458" s="14" t="str">
        <f aca="false">IF($B458="","",COUNTIFS($B$3:$B458,$B458))</f>
        <v/>
      </c>
      <c r="O458" s="14" t="str">
        <f aca="false">IF($B458="","",$B458&amp;"|"&amp;$N458)</f>
        <v/>
      </c>
    </row>
    <row r="459" customFormat="false" ht="15" hidden="false" customHeight="false" outlineLevel="0" collapsed="false">
      <c r="A459" s="12"/>
      <c r="B459" s="9"/>
      <c r="C459" s="9"/>
      <c r="D459" s="9"/>
      <c r="E459" s="9"/>
      <c r="F459" s="9"/>
      <c r="G459" s="9"/>
      <c r="H459" s="7"/>
      <c r="I459" s="13" t="str">
        <f aca="false">IF(OR($G459="",$H459=""),"",ROUND($G459*$H459,0))</f>
        <v/>
      </c>
      <c r="J459" s="8"/>
      <c r="K459" s="13" t="str">
        <f aca="false">IF($B459="","",SUMIFS($I$3:$I$2002,$B$3:$B$2002,$B459))</f>
        <v/>
      </c>
      <c r="L459" s="13" t="str">
        <f aca="false">IF($B459="","",IF(COUNTIFS($B$3:$B459,$B459)&gt;1,0,IFERROR(LOOKUP($K459,배송비규정!$A$3:$A$32,배송비규정!$B$3:$B$32),0)+IFERROR(INDEX(지역추가비!$B$3:$B$42,MATCH($J459,지역추가비!$A$3:$A$42,0)),0)))</f>
        <v/>
      </c>
      <c r="M459" s="13" t="str">
        <f aca="false">IF($B459="","",IF(COUNTIFS($B$3:$B459,$B459)&gt;1,"",$K459+$L459))</f>
        <v/>
      </c>
      <c r="N459" s="14" t="str">
        <f aca="false">IF($B459="","",COUNTIFS($B$3:$B459,$B459))</f>
        <v/>
      </c>
      <c r="O459" s="14" t="str">
        <f aca="false">IF($B459="","",$B459&amp;"|"&amp;$N459)</f>
        <v/>
      </c>
    </row>
    <row r="460" customFormat="false" ht="15" hidden="false" customHeight="false" outlineLevel="0" collapsed="false">
      <c r="A460" s="12"/>
      <c r="B460" s="9"/>
      <c r="C460" s="9"/>
      <c r="D460" s="9"/>
      <c r="E460" s="9"/>
      <c r="F460" s="9"/>
      <c r="G460" s="9"/>
      <c r="H460" s="7"/>
      <c r="I460" s="13" t="str">
        <f aca="false">IF(OR($G460="",$H460=""),"",ROUND($G460*$H460,0))</f>
        <v/>
      </c>
      <c r="J460" s="8"/>
      <c r="K460" s="13" t="str">
        <f aca="false">IF($B460="","",SUMIFS($I$3:$I$2002,$B$3:$B$2002,$B460))</f>
        <v/>
      </c>
      <c r="L460" s="13" t="str">
        <f aca="false">IF($B460="","",IF(COUNTIFS($B$3:$B460,$B460)&gt;1,0,IFERROR(LOOKUP($K460,배송비규정!$A$3:$A$32,배송비규정!$B$3:$B$32),0)+IFERROR(INDEX(지역추가비!$B$3:$B$42,MATCH($J460,지역추가비!$A$3:$A$42,0)),0)))</f>
        <v/>
      </c>
      <c r="M460" s="13" t="str">
        <f aca="false">IF($B460="","",IF(COUNTIFS($B$3:$B460,$B460)&gt;1,"",$K460+$L460))</f>
        <v/>
      </c>
      <c r="N460" s="14" t="str">
        <f aca="false">IF($B460="","",COUNTIFS($B$3:$B460,$B460))</f>
        <v/>
      </c>
      <c r="O460" s="14" t="str">
        <f aca="false">IF($B460="","",$B460&amp;"|"&amp;$N460)</f>
        <v/>
      </c>
    </row>
    <row r="461" customFormat="false" ht="15" hidden="false" customHeight="false" outlineLevel="0" collapsed="false">
      <c r="A461" s="12"/>
      <c r="B461" s="9"/>
      <c r="C461" s="9"/>
      <c r="D461" s="9"/>
      <c r="E461" s="9"/>
      <c r="F461" s="9"/>
      <c r="G461" s="9"/>
      <c r="H461" s="7"/>
      <c r="I461" s="13" t="str">
        <f aca="false">IF(OR($G461="",$H461=""),"",ROUND($G461*$H461,0))</f>
        <v/>
      </c>
      <c r="J461" s="8"/>
      <c r="K461" s="13" t="str">
        <f aca="false">IF($B461="","",SUMIFS($I$3:$I$2002,$B$3:$B$2002,$B461))</f>
        <v/>
      </c>
      <c r="L461" s="13" t="str">
        <f aca="false">IF($B461="","",IF(COUNTIFS($B$3:$B461,$B461)&gt;1,0,IFERROR(LOOKUP($K461,배송비규정!$A$3:$A$32,배송비규정!$B$3:$B$32),0)+IFERROR(INDEX(지역추가비!$B$3:$B$42,MATCH($J461,지역추가비!$A$3:$A$42,0)),0)))</f>
        <v/>
      </c>
      <c r="M461" s="13" t="str">
        <f aca="false">IF($B461="","",IF(COUNTIFS($B$3:$B461,$B461)&gt;1,"",$K461+$L461))</f>
        <v/>
      </c>
      <c r="N461" s="14" t="str">
        <f aca="false">IF($B461="","",COUNTIFS($B$3:$B461,$B461))</f>
        <v/>
      </c>
      <c r="O461" s="14" t="str">
        <f aca="false">IF($B461="","",$B461&amp;"|"&amp;$N461)</f>
        <v/>
      </c>
    </row>
    <row r="462" customFormat="false" ht="15" hidden="false" customHeight="false" outlineLevel="0" collapsed="false">
      <c r="A462" s="12"/>
      <c r="B462" s="9"/>
      <c r="C462" s="9"/>
      <c r="D462" s="9"/>
      <c r="E462" s="9"/>
      <c r="F462" s="9"/>
      <c r="G462" s="9"/>
      <c r="H462" s="7"/>
      <c r="I462" s="13" t="str">
        <f aca="false">IF(OR($G462="",$H462=""),"",ROUND($G462*$H462,0))</f>
        <v/>
      </c>
      <c r="J462" s="8"/>
      <c r="K462" s="13" t="str">
        <f aca="false">IF($B462="","",SUMIFS($I$3:$I$2002,$B$3:$B$2002,$B462))</f>
        <v/>
      </c>
      <c r="L462" s="13" t="str">
        <f aca="false">IF($B462="","",IF(COUNTIFS($B$3:$B462,$B462)&gt;1,0,IFERROR(LOOKUP($K462,배송비규정!$A$3:$A$32,배송비규정!$B$3:$B$32),0)+IFERROR(INDEX(지역추가비!$B$3:$B$42,MATCH($J462,지역추가비!$A$3:$A$42,0)),0)))</f>
        <v/>
      </c>
      <c r="M462" s="13" t="str">
        <f aca="false">IF($B462="","",IF(COUNTIFS($B$3:$B462,$B462)&gt;1,"",$K462+$L462))</f>
        <v/>
      </c>
      <c r="N462" s="14" t="str">
        <f aca="false">IF($B462="","",COUNTIFS($B$3:$B462,$B462))</f>
        <v/>
      </c>
      <c r="O462" s="14" t="str">
        <f aca="false">IF($B462="","",$B462&amp;"|"&amp;$N462)</f>
        <v/>
      </c>
    </row>
    <row r="463" customFormat="false" ht="15" hidden="false" customHeight="false" outlineLevel="0" collapsed="false">
      <c r="A463" s="12"/>
      <c r="B463" s="9"/>
      <c r="C463" s="9"/>
      <c r="D463" s="9"/>
      <c r="E463" s="9"/>
      <c r="F463" s="9"/>
      <c r="G463" s="9"/>
      <c r="H463" s="7"/>
      <c r="I463" s="13" t="str">
        <f aca="false">IF(OR($G463="",$H463=""),"",ROUND($G463*$H463,0))</f>
        <v/>
      </c>
      <c r="J463" s="8"/>
      <c r="K463" s="13" t="str">
        <f aca="false">IF($B463="","",SUMIFS($I$3:$I$2002,$B$3:$B$2002,$B463))</f>
        <v/>
      </c>
      <c r="L463" s="13" t="str">
        <f aca="false">IF($B463="","",IF(COUNTIFS($B$3:$B463,$B463)&gt;1,0,IFERROR(LOOKUP($K463,배송비규정!$A$3:$A$32,배송비규정!$B$3:$B$32),0)+IFERROR(INDEX(지역추가비!$B$3:$B$42,MATCH($J463,지역추가비!$A$3:$A$42,0)),0)))</f>
        <v/>
      </c>
      <c r="M463" s="13" t="str">
        <f aca="false">IF($B463="","",IF(COUNTIFS($B$3:$B463,$B463)&gt;1,"",$K463+$L463))</f>
        <v/>
      </c>
      <c r="N463" s="14" t="str">
        <f aca="false">IF($B463="","",COUNTIFS($B$3:$B463,$B463))</f>
        <v/>
      </c>
      <c r="O463" s="14" t="str">
        <f aca="false">IF($B463="","",$B463&amp;"|"&amp;$N463)</f>
        <v/>
      </c>
    </row>
    <row r="464" customFormat="false" ht="15" hidden="false" customHeight="false" outlineLevel="0" collapsed="false">
      <c r="A464" s="12"/>
      <c r="B464" s="9"/>
      <c r="C464" s="9"/>
      <c r="D464" s="9"/>
      <c r="E464" s="9"/>
      <c r="F464" s="9"/>
      <c r="G464" s="9"/>
      <c r="H464" s="7"/>
      <c r="I464" s="13" t="str">
        <f aca="false">IF(OR($G464="",$H464=""),"",ROUND($G464*$H464,0))</f>
        <v/>
      </c>
      <c r="J464" s="8"/>
      <c r="K464" s="13" t="str">
        <f aca="false">IF($B464="","",SUMIFS($I$3:$I$2002,$B$3:$B$2002,$B464))</f>
        <v/>
      </c>
      <c r="L464" s="13" t="str">
        <f aca="false">IF($B464="","",IF(COUNTIFS($B$3:$B464,$B464)&gt;1,0,IFERROR(LOOKUP($K464,배송비규정!$A$3:$A$32,배송비규정!$B$3:$B$32),0)+IFERROR(INDEX(지역추가비!$B$3:$B$42,MATCH($J464,지역추가비!$A$3:$A$42,0)),0)))</f>
        <v/>
      </c>
      <c r="M464" s="13" t="str">
        <f aca="false">IF($B464="","",IF(COUNTIFS($B$3:$B464,$B464)&gt;1,"",$K464+$L464))</f>
        <v/>
      </c>
      <c r="N464" s="14" t="str">
        <f aca="false">IF($B464="","",COUNTIFS($B$3:$B464,$B464))</f>
        <v/>
      </c>
      <c r="O464" s="14" t="str">
        <f aca="false">IF($B464="","",$B464&amp;"|"&amp;$N464)</f>
        <v/>
      </c>
    </row>
    <row r="465" customFormat="false" ht="15" hidden="false" customHeight="false" outlineLevel="0" collapsed="false">
      <c r="A465" s="12"/>
      <c r="B465" s="9"/>
      <c r="C465" s="9"/>
      <c r="D465" s="9"/>
      <c r="E465" s="9"/>
      <c r="F465" s="9"/>
      <c r="G465" s="9"/>
      <c r="H465" s="7"/>
      <c r="I465" s="13" t="str">
        <f aca="false">IF(OR($G465="",$H465=""),"",ROUND($G465*$H465,0))</f>
        <v/>
      </c>
      <c r="J465" s="8"/>
      <c r="K465" s="13" t="str">
        <f aca="false">IF($B465="","",SUMIFS($I$3:$I$2002,$B$3:$B$2002,$B465))</f>
        <v/>
      </c>
      <c r="L465" s="13" t="str">
        <f aca="false">IF($B465="","",IF(COUNTIFS($B$3:$B465,$B465)&gt;1,0,IFERROR(LOOKUP($K465,배송비규정!$A$3:$A$32,배송비규정!$B$3:$B$32),0)+IFERROR(INDEX(지역추가비!$B$3:$B$42,MATCH($J465,지역추가비!$A$3:$A$42,0)),0)))</f>
        <v/>
      </c>
      <c r="M465" s="13" t="str">
        <f aca="false">IF($B465="","",IF(COUNTIFS($B$3:$B465,$B465)&gt;1,"",$K465+$L465))</f>
        <v/>
      </c>
      <c r="N465" s="14" t="str">
        <f aca="false">IF($B465="","",COUNTIFS($B$3:$B465,$B465))</f>
        <v/>
      </c>
      <c r="O465" s="14" t="str">
        <f aca="false">IF($B465="","",$B465&amp;"|"&amp;$N465)</f>
        <v/>
      </c>
    </row>
    <row r="466" customFormat="false" ht="15" hidden="false" customHeight="false" outlineLevel="0" collapsed="false">
      <c r="A466" s="12"/>
      <c r="B466" s="9"/>
      <c r="C466" s="9"/>
      <c r="D466" s="9"/>
      <c r="E466" s="9"/>
      <c r="F466" s="9"/>
      <c r="G466" s="9"/>
      <c r="H466" s="7"/>
      <c r="I466" s="13" t="str">
        <f aca="false">IF(OR($G466="",$H466=""),"",ROUND($G466*$H466,0))</f>
        <v/>
      </c>
      <c r="J466" s="8"/>
      <c r="K466" s="13" t="str">
        <f aca="false">IF($B466="","",SUMIFS($I$3:$I$2002,$B$3:$B$2002,$B466))</f>
        <v/>
      </c>
      <c r="L466" s="13" t="str">
        <f aca="false">IF($B466="","",IF(COUNTIFS($B$3:$B466,$B466)&gt;1,0,IFERROR(LOOKUP($K466,배송비규정!$A$3:$A$32,배송비규정!$B$3:$B$32),0)+IFERROR(INDEX(지역추가비!$B$3:$B$42,MATCH($J466,지역추가비!$A$3:$A$42,0)),0)))</f>
        <v/>
      </c>
      <c r="M466" s="13" t="str">
        <f aca="false">IF($B466="","",IF(COUNTIFS($B$3:$B466,$B466)&gt;1,"",$K466+$L466))</f>
        <v/>
      </c>
      <c r="N466" s="14" t="str">
        <f aca="false">IF($B466="","",COUNTIFS($B$3:$B466,$B466))</f>
        <v/>
      </c>
      <c r="O466" s="14" t="str">
        <f aca="false">IF($B466="","",$B466&amp;"|"&amp;$N466)</f>
        <v/>
      </c>
    </row>
    <row r="467" customFormat="false" ht="15" hidden="false" customHeight="false" outlineLevel="0" collapsed="false">
      <c r="A467" s="12"/>
      <c r="B467" s="9"/>
      <c r="C467" s="9"/>
      <c r="D467" s="9"/>
      <c r="E467" s="9"/>
      <c r="F467" s="9"/>
      <c r="G467" s="9"/>
      <c r="H467" s="7"/>
      <c r="I467" s="13" t="str">
        <f aca="false">IF(OR($G467="",$H467=""),"",ROUND($G467*$H467,0))</f>
        <v/>
      </c>
      <c r="J467" s="8"/>
      <c r="K467" s="13" t="str">
        <f aca="false">IF($B467="","",SUMIFS($I$3:$I$2002,$B$3:$B$2002,$B467))</f>
        <v/>
      </c>
      <c r="L467" s="13" t="str">
        <f aca="false">IF($B467="","",IF(COUNTIFS($B$3:$B467,$B467)&gt;1,0,IFERROR(LOOKUP($K467,배송비규정!$A$3:$A$32,배송비규정!$B$3:$B$32),0)+IFERROR(INDEX(지역추가비!$B$3:$B$42,MATCH($J467,지역추가비!$A$3:$A$42,0)),0)))</f>
        <v/>
      </c>
      <c r="M467" s="13" t="str">
        <f aca="false">IF($B467="","",IF(COUNTIFS($B$3:$B467,$B467)&gt;1,"",$K467+$L467))</f>
        <v/>
      </c>
      <c r="N467" s="14" t="str">
        <f aca="false">IF($B467="","",COUNTIFS($B$3:$B467,$B467))</f>
        <v/>
      </c>
      <c r="O467" s="14" t="str">
        <f aca="false">IF($B467="","",$B467&amp;"|"&amp;$N467)</f>
        <v/>
      </c>
    </row>
    <row r="468" customFormat="false" ht="15" hidden="false" customHeight="false" outlineLevel="0" collapsed="false">
      <c r="A468" s="12"/>
      <c r="B468" s="9"/>
      <c r="C468" s="9"/>
      <c r="D468" s="9"/>
      <c r="E468" s="9"/>
      <c r="F468" s="9"/>
      <c r="G468" s="9"/>
      <c r="H468" s="7"/>
      <c r="I468" s="13" t="str">
        <f aca="false">IF(OR($G468="",$H468=""),"",ROUND($G468*$H468,0))</f>
        <v/>
      </c>
      <c r="J468" s="8"/>
      <c r="K468" s="13" t="str">
        <f aca="false">IF($B468="","",SUMIFS($I$3:$I$2002,$B$3:$B$2002,$B468))</f>
        <v/>
      </c>
      <c r="L468" s="13" t="str">
        <f aca="false">IF($B468="","",IF(COUNTIFS($B$3:$B468,$B468)&gt;1,0,IFERROR(LOOKUP($K468,배송비규정!$A$3:$A$32,배송비규정!$B$3:$B$32),0)+IFERROR(INDEX(지역추가비!$B$3:$B$42,MATCH($J468,지역추가비!$A$3:$A$42,0)),0)))</f>
        <v/>
      </c>
      <c r="M468" s="13" t="str">
        <f aca="false">IF($B468="","",IF(COUNTIFS($B$3:$B468,$B468)&gt;1,"",$K468+$L468))</f>
        <v/>
      </c>
      <c r="N468" s="14" t="str">
        <f aca="false">IF($B468="","",COUNTIFS($B$3:$B468,$B468))</f>
        <v/>
      </c>
      <c r="O468" s="14" t="str">
        <f aca="false">IF($B468="","",$B468&amp;"|"&amp;$N468)</f>
        <v/>
      </c>
    </row>
    <row r="469" customFormat="false" ht="15" hidden="false" customHeight="false" outlineLevel="0" collapsed="false">
      <c r="A469" s="12"/>
      <c r="B469" s="9"/>
      <c r="C469" s="9"/>
      <c r="D469" s="9"/>
      <c r="E469" s="9"/>
      <c r="F469" s="9"/>
      <c r="G469" s="9"/>
      <c r="H469" s="7"/>
      <c r="I469" s="13" t="str">
        <f aca="false">IF(OR($G469="",$H469=""),"",ROUND($G469*$H469,0))</f>
        <v/>
      </c>
      <c r="J469" s="8"/>
      <c r="K469" s="13" t="str">
        <f aca="false">IF($B469="","",SUMIFS($I$3:$I$2002,$B$3:$B$2002,$B469))</f>
        <v/>
      </c>
      <c r="L469" s="13" t="str">
        <f aca="false">IF($B469="","",IF(COUNTIFS($B$3:$B469,$B469)&gt;1,0,IFERROR(LOOKUP($K469,배송비규정!$A$3:$A$32,배송비규정!$B$3:$B$32),0)+IFERROR(INDEX(지역추가비!$B$3:$B$42,MATCH($J469,지역추가비!$A$3:$A$42,0)),0)))</f>
        <v/>
      </c>
      <c r="M469" s="13" t="str">
        <f aca="false">IF($B469="","",IF(COUNTIFS($B$3:$B469,$B469)&gt;1,"",$K469+$L469))</f>
        <v/>
      </c>
      <c r="N469" s="14" t="str">
        <f aca="false">IF($B469="","",COUNTIFS($B$3:$B469,$B469))</f>
        <v/>
      </c>
      <c r="O469" s="14" t="str">
        <f aca="false">IF($B469="","",$B469&amp;"|"&amp;$N469)</f>
        <v/>
      </c>
    </row>
    <row r="470" customFormat="false" ht="15" hidden="false" customHeight="false" outlineLevel="0" collapsed="false">
      <c r="A470" s="12"/>
      <c r="B470" s="9"/>
      <c r="C470" s="9"/>
      <c r="D470" s="9"/>
      <c r="E470" s="9"/>
      <c r="F470" s="9"/>
      <c r="G470" s="9"/>
      <c r="H470" s="7"/>
      <c r="I470" s="13" t="str">
        <f aca="false">IF(OR($G470="",$H470=""),"",ROUND($G470*$H470,0))</f>
        <v/>
      </c>
      <c r="J470" s="8"/>
      <c r="K470" s="13" t="str">
        <f aca="false">IF($B470="","",SUMIFS($I$3:$I$2002,$B$3:$B$2002,$B470))</f>
        <v/>
      </c>
      <c r="L470" s="13" t="str">
        <f aca="false">IF($B470="","",IF(COUNTIFS($B$3:$B470,$B470)&gt;1,0,IFERROR(LOOKUP($K470,배송비규정!$A$3:$A$32,배송비규정!$B$3:$B$32),0)+IFERROR(INDEX(지역추가비!$B$3:$B$42,MATCH($J470,지역추가비!$A$3:$A$42,0)),0)))</f>
        <v/>
      </c>
      <c r="M470" s="13" t="str">
        <f aca="false">IF($B470="","",IF(COUNTIFS($B$3:$B470,$B470)&gt;1,"",$K470+$L470))</f>
        <v/>
      </c>
      <c r="N470" s="14" t="str">
        <f aca="false">IF($B470="","",COUNTIFS($B$3:$B470,$B470))</f>
        <v/>
      </c>
      <c r="O470" s="14" t="str">
        <f aca="false">IF($B470="","",$B470&amp;"|"&amp;$N470)</f>
        <v/>
      </c>
    </row>
    <row r="471" customFormat="false" ht="15" hidden="false" customHeight="false" outlineLevel="0" collapsed="false">
      <c r="A471" s="12"/>
      <c r="B471" s="9"/>
      <c r="C471" s="9"/>
      <c r="D471" s="9"/>
      <c r="E471" s="9"/>
      <c r="F471" s="9"/>
      <c r="G471" s="9"/>
      <c r="H471" s="7"/>
      <c r="I471" s="13" t="str">
        <f aca="false">IF(OR($G471="",$H471=""),"",ROUND($G471*$H471,0))</f>
        <v/>
      </c>
      <c r="J471" s="8"/>
      <c r="K471" s="13" t="str">
        <f aca="false">IF($B471="","",SUMIFS($I$3:$I$2002,$B$3:$B$2002,$B471))</f>
        <v/>
      </c>
      <c r="L471" s="13" t="str">
        <f aca="false">IF($B471="","",IF(COUNTIFS($B$3:$B471,$B471)&gt;1,0,IFERROR(LOOKUP($K471,배송비규정!$A$3:$A$32,배송비규정!$B$3:$B$32),0)+IFERROR(INDEX(지역추가비!$B$3:$B$42,MATCH($J471,지역추가비!$A$3:$A$42,0)),0)))</f>
        <v/>
      </c>
      <c r="M471" s="13" t="str">
        <f aca="false">IF($B471="","",IF(COUNTIFS($B$3:$B471,$B471)&gt;1,"",$K471+$L471))</f>
        <v/>
      </c>
      <c r="N471" s="14" t="str">
        <f aca="false">IF($B471="","",COUNTIFS($B$3:$B471,$B471))</f>
        <v/>
      </c>
      <c r="O471" s="14" t="str">
        <f aca="false">IF($B471="","",$B471&amp;"|"&amp;$N471)</f>
        <v/>
      </c>
    </row>
    <row r="472" customFormat="false" ht="15" hidden="false" customHeight="false" outlineLevel="0" collapsed="false">
      <c r="A472" s="12"/>
      <c r="B472" s="9"/>
      <c r="C472" s="9"/>
      <c r="D472" s="9"/>
      <c r="E472" s="9"/>
      <c r="F472" s="9"/>
      <c r="G472" s="9"/>
      <c r="H472" s="7"/>
      <c r="I472" s="13" t="str">
        <f aca="false">IF(OR($G472="",$H472=""),"",ROUND($G472*$H472,0))</f>
        <v/>
      </c>
      <c r="J472" s="8"/>
      <c r="K472" s="13" t="str">
        <f aca="false">IF($B472="","",SUMIFS($I$3:$I$2002,$B$3:$B$2002,$B472))</f>
        <v/>
      </c>
      <c r="L472" s="13" t="str">
        <f aca="false">IF($B472="","",IF(COUNTIFS($B$3:$B472,$B472)&gt;1,0,IFERROR(LOOKUP($K472,배송비규정!$A$3:$A$32,배송비규정!$B$3:$B$32),0)+IFERROR(INDEX(지역추가비!$B$3:$B$42,MATCH($J472,지역추가비!$A$3:$A$42,0)),0)))</f>
        <v/>
      </c>
      <c r="M472" s="13" t="str">
        <f aca="false">IF($B472="","",IF(COUNTIFS($B$3:$B472,$B472)&gt;1,"",$K472+$L472))</f>
        <v/>
      </c>
      <c r="N472" s="14" t="str">
        <f aca="false">IF($B472="","",COUNTIFS($B$3:$B472,$B472))</f>
        <v/>
      </c>
      <c r="O472" s="14" t="str">
        <f aca="false">IF($B472="","",$B472&amp;"|"&amp;$N472)</f>
        <v/>
      </c>
    </row>
    <row r="473" customFormat="false" ht="15" hidden="false" customHeight="false" outlineLevel="0" collapsed="false">
      <c r="A473" s="12"/>
      <c r="B473" s="9"/>
      <c r="C473" s="9"/>
      <c r="D473" s="9"/>
      <c r="E473" s="9"/>
      <c r="F473" s="9"/>
      <c r="G473" s="9"/>
      <c r="H473" s="7"/>
      <c r="I473" s="13" t="str">
        <f aca="false">IF(OR($G473="",$H473=""),"",ROUND($G473*$H473,0))</f>
        <v/>
      </c>
      <c r="J473" s="8"/>
      <c r="K473" s="13" t="str">
        <f aca="false">IF($B473="","",SUMIFS($I$3:$I$2002,$B$3:$B$2002,$B473))</f>
        <v/>
      </c>
      <c r="L473" s="13" t="str">
        <f aca="false">IF($B473="","",IF(COUNTIFS($B$3:$B473,$B473)&gt;1,0,IFERROR(LOOKUP($K473,배송비규정!$A$3:$A$32,배송비규정!$B$3:$B$32),0)+IFERROR(INDEX(지역추가비!$B$3:$B$42,MATCH($J473,지역추가비!$A$3:$A$42,0)),0)))</f>
        <v/>
      </c>
      <c r="M473" s="13" t="str">
        <f aca="false">IF($B473="","",IF(COUNTIFS($B$3:$B473,$B473)&gt;1,"",$K473+$L473))</f>
        <v/>
      </c>
      <c r="N473" s="14" t="str">
        <f aca="false">IF($B473="","",COUNTIFS($B$3:$B473,$B473))</f>
        <v/>
      </c>
      <c r="O473" s="14" t="str">
        <f aca="false">IF($B473="","",$B473&amp;"|"&amp;$N473)</f>
        <v/>
      </c>
    </row>
    <row r="474" customFormat="false" ht="15" hidden="false" customHeight="false" outlineLevel="0" collapsed="false">
      <c r="A474" s="12"/>
      <c r="B474" s="9"/>
      <c r="C474" s="9"/>
      <c r="D474" s="9"/>
      <c r="E474" s="9"/>
      <c r="F474" s="9"/>
      <c r="G474" s="9"/>
      <c r="H474" s="7"/>
      <c r="I474" s="13" t="str">
        <f aca="false">IF(OR($G474="",$H474=""),"",ROUND($G474*$H474,0))</f>
        <v/>
      </c>
      <c r="J474" s="8"/>
      <c r="K474" s="13" t="str">
        <f aca="false">IF($B474="","",SUMIFS($I$3:$I$2002,$B$3:$B$2002,$B474))</f>
        <v/>
      </c>
      <c r="L474" s="13" t="str">
        <f aca="false">IF($B474="","",IF(COUNTIFS($B$3:$B474,$B474)&gt;1,0,IFERROR(LOOKUP($K474,배송비규정!$A$3:$A$32,배송비규정!$B$3:$B$32),0)+IFERROR(INDEX(지역추가비!$B$3:$B$42,MATCH($J474,지역추가비!$A$3:$A$42,0)),0)))</f>
        <v/>
      </c>
      <c r="M474" s="13" t="str">
        <f aca="false">IF($B474="","",IF(COUNTIFS($B$3:$B474,$B474)&gt;1,"",$K474+$L474))</f>
        <v/>
      </c>
      <c r="N474" s="14" t="str">
        <f aca="false">IF($B474="","",COUNTIFS($B$3:$B474,$B474))</f>
        <v/>
      </c>
      <c r="O474" s="14" t="str">
        <f aca="false">IF($B474="","",$B474&amp;"|"&amp;$N474)</f>
        <v/>
      </c>
    </row>
    <row r="475" customFormat="false" ht="15" hidden="false" customHeight="false" outlineLevel="0" collapsed="false">
      <c r="A475" s="12"/>
      <c r="B475" s="9"/>
      <c r="C475" s="9"/>
      <c r="D475" s="9"/>
      <c r="E475" s="9"/>
      <c r="F475" s="9"/>
      <c r="G475" s="9"/>
      <c r="H475" s="7"/>
      <c r="I475" s="13" t="str">
        <f aca="false">IF(OR($G475="",$H475=""),"",ROUND($G475*$H475,0))</f>
        <v/>
      </c>
      <c r="J475" s="8"/>
      <c r="K475" s="13" t="str">
        <f aca="false">IF($B475="","",SUMIFS($I$3:$I$2002,$B$3:$B$2002,$B475))</f>
        <v/>
      </c>
      <c r="L475" s="13" t="str">
        <f aca="false">IF($B475="","",IF(COUNTIFS($B$3:$B475,$B475)&gt;1,0,IFERROR(LOOKUP($K475,배송비규정!$A$3:$A$32,배송비규정!$B$3:$B$32),0)+IFERROR(INDEX(지역추가비!$B$3:$B$42,MATCH($J475,지역추가비!$A$3:$A$42,0)),0)))</f>
        <v/>
      </c>
      <c r="M475" s="13" t="str">
        <f aca="false">IF($B475="","",IF(COUNTIFS($B$3:$B475,$B475)&gt;1,"",$K475+$L475))</f>
        <v/>
      </c>
      <c r="N475" s="14" t="str">
        <f aca="false">IF($B475="","",COUNTIFS($B$3:$B475,$B475))</f>
        <v/>
      </c>
      <c r="O475" s="14" t="str">
        <f aca="false">IF($B475="","",$B475&amp;"|"&amp;$N475)</f>
        <v/>
      </c>
    </row>
    <row r="476" customFormat="false" ht="15" hidden="false" customHeight="false" outlineLevel="0" collapsed="false">
      <c r="A476" s="12"/>
      <c r="B476" s="9"/>
      <c r="C476" s="9"/>
      <c r="D476" s="9"/>
      <c r="E476" s="9"/>
      <c r="F476" s="9"/>
      <c r="G476" s="9"/>
      <c r="H476" s="7"/>
      <c r="I476" s="13" t="str">
        <f aca="false">IF(OR($G476="",$H476=""),"",ROUND($G476*$H476,0))</f>
        <v/>
      </c>
      <c r="J476" s="8"/>
      <c r="K476" s="13" t="str">
        <f aca="false">IF($B476="","",SUMIFS($I$3:$I$2002,$B$3:$B$2002,$B476))</f>
        <v/>
      </c>
      <c r="L476" s="13" t="str">
        <f aca="false">IF($B476="","",IF(COUNTIFS($B$3:$B476,$B476)&gt;1,0,IFERROR(LOOKUP($K476,배송비규정!$A$3:$A$32,배송비규정!$B$3:$B$32),0)+IFERROR(INDEX(지역추가비!$B$3:$B$42,MATCH($J476,지역추가비!$A$3:$A$42,0)),0)))</f>
        <v/>
      </c>
      <c r="M476" s="13" t="str">
        <f aca="false">IF($B476="","",IF(COUNTIFS($B$3:$B476,$B476)&gt;1,"",$K476+$L476))</f>
        <v/>
      </c>
      <c r="N476" s="14" t="str">
        <f aca="false">IF($B476="","",COUNTIFS($B$3:$B476,$B476))</f>
        <v/>
      </c>
      <c r="O476" s="14" t="str">
        <f aca="false">IF($B476="","",$B476&amp;"|"&amp;$N476)</f>
        <v/>
      </c>
    </row>
    <row r="477" customFormat="false" ht="15" hidden="false" customHeight="false" outlineLevel="0" collapsed="false">
      <c r="A477" s="12"/>
      <c r="B477" s="9"/>
      <c r="C477" s="9"/>
      <c r="D477" s="9"/>
      <c r="E477" s="9"/>
      <c r="F477" s="9"/>
      <c r="G477" s="9"/>
      <c r="H477" s="7"/>
      <c r="I477" s="13" t="str">
        <f aca="false">IF(OR($G477="",$H477=""),"",ROUND($G477*$H477,0))</f>
        <v/>
      </c>
      <c r="J477" s="8"/>
      <c r="K477" s="13" t="str">
        <f aca="false">IF($B477="","",SUMIFS($I$3:$I$2002,$B$3:$B$2002,$B477))</f>
        <v/>
      </c>
      <c r="L477" s="13" t="str">
        <f aca="false">IF($B477="","",IF(COUNTIFS($B$3:$B477,$B477)&gt;1,0,IFERROR(LOOKUP($K477,배송비규정!$A$3:$A$32,배송비규정!$B$3:$B$32),0)+IFERROR(INDEX(지역추가비!$B$3:$B$42,MATCH($J477,지역추가비!$A$3:$A$42,0)),0)))</f>
        <v/>
      </c>
      <c r="M477" s="13" t="str">
        <f aca="false">IF($B477="","",IF(COUNTIFS($B$3:$B477,$B477)&gt;1,"",$K477+$L477))</f>
        <v/>
      </c>
      <c r="N477" s="14" t="str">
        <f aca="false">IF($B477="","",COUNTIFS($B$3:$B477,$B477))</f>
        <v/>
      </c>
      <c r="O477" s="14" t="str">
        <f aca="false">IF($B477="","",$B477&amp;"|"&amp;$N477)</f>
        <v/>
      </c>
    </row>
    <row r="478" customFormat="false" ht="15" hidden="false" customHeight="false" outlineLevel="0" collapsed="false">
      <c r="A478" s="12"/>
      <c r="B478" s="9"/>
      <c r="C478" s="9"/>
      <c r="D478" s="9"/>
      <c r="E478" s="9"/>
      <c r="F478" s="9"/>
      <c r="G478" s="9"/>
      <c r="H478" s="7"/>
      <c r="I478" s="13" t="str">
        <f aca="false">IF(OR($G478="",$H478=""),"",ROUND($G478*$H478,0))</f>
        <v/>
      </c>
      <c r="J478" s="8"/>
      <c r="K478" s="13" t="str">
        <f aca="false">IF($B478="","",SUMIFS($I$3:$I$2002,$B$3:$B$2002,$B478))</f>
        <v/>
      </c>
      <c r="L478" s="13" t="str">
        <f aca="false">IF($B478="","",IF(COUNTIFS($B$3:$B478,$B478)&gt;1,0,IFERROR(LOOKUP($K478,배송비규정!$A$3:$A$32,배송비규정!$B$3:$B$32),0)+IFERROR(INDEX(지역추가비!$B$3:$B$42,MATCH($J478,지역추가비!$A$3:$A$42,0)),0)))</f>
        <v/>
      </c>
      <c r="M478" s="13" t="str">
        <f aca="false">IF($B478="","",IF(COUNTIFS($B$3:$B478,$B478)&gt;1,"",$K478+$L478))</f>
        <v/>
      </c>
      <c r="N478" s="14" t="str">
        <f aca="false">IF($B478="","",COUNTIFS($B$3:$B478,$B478))</f>
        <v/>
      </c>
      <c r="O478" s="14" t="str">
        <f aca="false">IF($B478="","",$B478&amp;"|"&amp;$N478)</f>
        <v/>
      </c>
    </row>
    <row r="479" customFormat="false" ht="15" hidden="false" customHeight="false" outlineLevel="0" collapsed="false">
      <c r="A479" s="12"/>
      <c r="B479" s="9"/>
      <c r="C479" s="9"/>
      <c r="D479" s="9"/>
      <c r="E479" s="9"/>
      <c r="F479" s="9"/>
      <c r="G479" s="9"/>
      <c r="H479" s="7"/>
      <c r="I479" s="13" t="str">
        <f aca="false">IF(OR($G479="",$H479=""),"",ROUND($G479*$H479,0))</f>
        <v/>
      </c>
      <c r="J479" s="8"/>
      <c r="K479" s="13" t="str">
        <f aca="false">IF($B479="","",SUMIFS($I$3:$I$2002,$B$3:$B$2002,$B479))</f>
        <v/>
      </c>
      <c r="L479" s="13" t="str">
        <f aca="false">IF($B479="","",IF(COUNTIFS($B$3:$B479,$B479)&gt;1,0,IFERROR(LOOKUP($K479,배송비규정!$A$3:$A$32,배송비규정!$B$3:$B$32),0)+IFERROR(INDEX(지역추가비!$B$3:$B$42,MATCH($J479,지역추가비!$A$3:$A$42,0)),0)))</f>
        <v/>
      </c>
      <c r="M479" s="13" t="str">
        <f aca="false">IF($B479="","",IF(COUNTIFS($B$3:$B479,$B479)&gt;1,"",$K479+$L479))</f>
        <v/>
      </c>
      <c r="N479" s="14" t="str">
        <f aca="false">IF($B479="","",COUNTIFS($B$3:$B479,$B479))</f>
        <v/>
      </c>
      <c r="O479" s="14" t="str">
        <f aca="false">IF($B479="","",$B479&amp;"|"&amp;$N479)</f>
        <v/>
      </c>
    </row>
    <row r="480" customFormat="false" ht="15" hidden="false" customHeight="false" outlineLevel="0" collapsed="false">
      <c r="A480" s="12"/>
      <c r="B480" s="9"/>
      <c r="C480" s="9"/>
      <c r="D480" s="9"/>
      <c r="E480" s="9"/>
      <c r="F480" s="9"/>
      <c r="G480" s="9"/>
      <c r="H480" s="7"/>
      <c r="I480" s="13" t="str">
        <f aca="false">IF(OR($G480="",$H480=""),"",ROUND($G480*$H480,0))</f>
        <v/>
      </c>
      <c r="J480" s="8"/>
      <c r="K480" s="13" t="str">
        <f aca="false">IF($B480="","",SUMIFS($I$3:$I$2002,$B$3:$B$2002,$B480))</f>
        <v/>
      </c>
      <c r="L480" s="13" t="str">
        <f aca="false">IF($B480="","",IF(COUNTIFS($B$3:$B480,$B480)&gt;1,0,IFERROR(LOOKUP($K480,배송비규정!$A$3:$A$32,배송비규정!$B$3:$B$32),0)+IFERROR(INDEX(지역추가비!$B$3:$B$42,MATCH($J480,지역추가비!$A$3:$A$42,0)),0)))</f>
        <v/>
      </c>
      <c r="M480" s="13" t="str">
        <f aca="false">IF($B480="","",IF(COUNTIFS($B$3:$B480,$B480)&gt;1,"",$K480+$L480))</f>
        <v/>
      </c>
      <c r="N480" s="14" t="str">
        <f aca="false">IF($B480="","",COUNTIFS($B$3:$B480,$B480))</f>
        <v/>
      </c>
      <c r="O480" s="14" t="str">
        <f aca="false">IF($B480="","",$B480&amp;"|"&amp;$N480)</f>
        <v/>
      </c>
    </row>
    <row r="481" customFormat="false" ht="15" hidden="false" customHeight="false" outlineLevel="0" collapsed="false">
      <c r="A481" s="12"/>
      <c r="B481" s="9"/>
      <c r="C481" s="9"/>
      <c r="D481" s="9"/>
      <c r="E481" s="9"/>
      <c r="F481" s="9"/>
      <c r="G481" s="9"/>
      <c r="H481" s="7"/>
      <c r="I481" s="13" t="str">
        <f aca="false">IF(OR($G481="",$H481=""),"",ROUND($G481*$H481,0))</f>
        <v/>
      </c>
      <c r="J481" s="8"/>
      <c r="K481" s="13" t="str">
        <f aca="false">IF($B481="","",SUMIFS($I$3:$I$2002,$B$3:$B$2002,$B481))</f>
        <v/>
      </c>
      <c r="L481" s="13" t="str">
        <f aca="false">IF($B481="","",IF(COUNTIFS($B$3:$B481,$B481)&gt;1,0,IFERROR(LOOKUP($K481,배송비규정!$A$3:$A$32,배송비규정!$B$3:$B$32),0)+IFERROR(INDEX(지역추가비!$B$3:$B$42,MATCH($J481,지역추가비!$A$3:$A$42,0)),0)))</f>
        <v/>
      </c>
      <c r="M481" s="13" t="str">
        <f aca="false">IF($B481="","",IF(COUNTIFS($B$3:$B481,$B481)&gt;1,"",$K481+$L481))</f>
        <v/>
      </c>
      <c r="N481" s="14" t="str">
        <f aca="false">IF($B481="","",COUNTIFS($B$3:$B481,$B481))</f>
        <v/>
      </c>
      <c r="O481" s="14" t="str">
        <f aca="false">IF($B481="","",$B481&amp;"|"&amp;$N481)</f>
        <v/>
      </c>
    </row>
    <row r="482" customFormat="false" ht="15" hidden="false" customHeight="false" outlineLevel="0" collapsed="false">
      <c r="A482" s="12"/>
      <c r="B482" s="9"/>
      <c r="C482" s="9"/>
      <c r="D482" s="9"/>
      <c r="E482" s="9"/>
      <c r="F482" s="9"/>
      <c r="G482" s="9"/>
      <c r="H482" s="7"/>
      <c r="I482" s="13" t="str">
        <f aca="false">IF(OR($G482="",$H482=""),"",ROUND($G482*$H482,0))</f>
        <v/>
      </c>
      <c r="J482" s="8"/>
      <c r="K482" s="13" t="str">
        <f aca="false">IF($B482="","",SUMIFS($I$3:$I$2002,$B$3:$B$2002,$B482))</f>
        <v/>
      </c>
      <c r="L482" s="13" t="str">
        <f aca="false">IF($B482="","",IF(COUNTIFS($B$3:$B482,$B482)&gt;1,0,IFERROR(LOOKUP($K482,배송비규정!$A$3:$A$32,배송비규정!$B$3:$B$32),0)+IFERROR(INDEX(지역추가비!$B$3:$B$42,MATCH($J482,지역추가비!$A$3:$A$42,0)),0)))</f>
        <v/>
      </c>
      <c r="M482" s="13" t="str">
        <f aca="false">IF($B482="","",IF(COUNTIFS($B$3:$B482,$B482)&gt;1,"",$K482+$L482))</f>
        <v/>
      </c>
      <c r="N482" s="14" t="str">
        <f aca="false">IF($B482="","",COUNTIFS($B$3:$B482,$B482))</f>
        <v/>
      </c>
      <c r="O482" s="14" t="str">
        <f aca="false">IF($B482="","",$B482&amp;"|"&amp;$N482)</f>
        <v/>
      </c>
    </row>
    <row r="483" customFormat="false" ht="15" hidden="false" customHeight="false" outlineLevel="0" collapsed="false">
      <c r="A483" s="12"/>
      <c r="B483" s="9"/>
      <c r="C483" s="9"/>
      <c r="D483" s="9"/>
      <c r="E483" s="9"/>
      <c r="F483" s="9"/>
      <c r="G483" s="9"/>
      <c r="H483" s="7"/>
      <c r="I483" s="13" t="str">
        <f aca="false">IF(OR($G483="",$H483=""),"",ROUND($G483*$H483,0))</f>
        <v/>
      </c>
      <c r="J483" s="8"/>
      <c r="K483" s="13" t="str">
        <f aca="false">IF($B483="","",SUMIFS($I$3:$I$2002,$B$3:$B$2002,$B483))</f>
        <v/>
      </c>
      <c r="L483" s="13" t="str">
        <f aca="false">IF($B483="","",IF(COUNTIFS($B$3:$B483,$B483)&gt;1,0,IFERROR(LOOKUP($K483,배송비규정!$A$3:$A$32,배송비규정!$B$3:$B$32),0)+IFERROR(INDEX(지역추가비!$B$3:$B$42,MATCH($J483,지역추가비!$A$3:$A$42,0)),0)))</f>
        <v/>
      </c>
      <c r="M483" s="13" t="str">
        <f aca="false">IF($B483="","",IF(COUNTIFS($B$3:$B483,$B483)&gt;1,"",$K483+$L483))</f>
        <v/>
      </c>
      <c r="N483" s="14" t="str">
        <f aca="false">IF($B483="","",COUNTIFS($B$3:$B483,$B483))</f>
        <v/>
      </c>
      <c r="O483" s="14" t="str">
        <f aca="false">IF($B483="","",$B483&amp;"|"&amp;$N483)</f>
        <v/>
      </c>
    </row>
    <row r="484" customFormat="false" ht="15" hidden="false" customHeight="false" outlineLevel="0" collapsed="false">
      <c r="A484" s="12"/>
      <c r="B484" s="9"/>
      <c r="C484" s="9"/>
      <c r="D484" s="9"/>
      <c r="E484" s="9"/>
      <c r="F484" s="9"/>
      <c r="G484" s="9"/>
      <c r="H484" s="7"/>
      <c r="I484" s="13" t="str">
        <f aca="false">IF(OR($G484="",$H484=""),"",ROUND($G484*$H484,0))</f>
        <v/>
      </c>
      <c r="J484" s="8"/>
      <c r="K484" s="13" t="str">
        <f aca="false">IF($B484="","",SUMIFS($I$3:$I$2002,$B$3:$B$2002,$B484))</f>
        <v/>
      </c>
      <c r="L484" s="13" t="str">
        <f aca="false">IF($B484="","",IF(COUNTIFS($B$3:$B484,$B484)&gt;1,0,IFERROR(LOOKUP($K484,배송비규정!$A$3:$A$32,배송비규정!$B$3:$B$32),0)+IFERROR(INDEX(지역추가비!$B$3:$B$42,MATCH($J484,지역추가비!$A$3:$A$42,0)),0)))</f>
        <v/>
      </c>
      <c r="M484" s="13" t="str">
        <f aca="false">IF($B484="","",IF(COUNTIFS($B$3:$B484,$B484)&gt;1,"",$K484+$L484))</f>
        <v/>
      </c>
      <c r="N484" s="14" t="str">
        <f aca="false">IF($B484="","",COUNTIFS($B$3:$B484,$B484))</f>
        <v/>
      </c>
      <c r="O484" s="14" t="str">
        <f aca="false">IF($B484="","",$B484&amp;"|"&amp;$N484)</f>
        <v/>
      </c>
    </row>
    <row r="485" customFormat="false" ht="15" hidden="false" customHeight="false" outlineLevel="0" collapsed="false">
      <c r="A485" s="12"/>
      <c r="B485" s="9"/>
      <c r="C485" s="9"/>
      <c r="D485" s="9"/>
      <c r="E485" s="9"/>
      <c r="F485" s="9"/>
      <c r="G485" s="9"/>
      <c r="H485" s="7"/>
      <c r="I485" s="13" t="str">
        <f aca="false">IF(OR($G485="",$H485=""),"",ROUND($G485*$H485,0))</f>
        <v/>
      </c>
      <c r="J485" s="8"/>
      <c r="K485" s="13" t="str">
        <f aca="false">IF($B485="","",SUMIFS($I$3:$I$2002,$B$3:$B$2002,$B485))</f>
        <v/>
      </c>
      <c r="L485" s="13" t="str">
        <f aca="false">IF($B485="","",IF(COUNTIFS($B$3:$B485,$B485)&gt;1,0,IFERROR(LOOKUP($K485,배송비규정!$A$3:$A$32,배송비규정!$B$3:$B$32),0)+IFERROR(INDEX(지역추가비!$B$3:$B$42,MATCH($J485,지역추가비!$A$3:$A$42,0)),0)))</f>
        <v/>
      </c>
      <c r="M485" s="13" t="str">
        <f aca="false">IF($B485="","",IF(COUNTIFS($B$3:$B485,$B485)&gt;1,"",$K485+$L485))</f>
        <v/>
      </c>
      <c r="N485" s="14" t="str">
        <f aca="false">IF($B485="","",COUNTIFS($B$3:$B485,$B485))</f>
        <v/>
      </c>
      <c r="O485" s="14" t="str">
        <f aca="false">IF($B485="","",$B485&amp;"|"&amp;$N485)</f>
        <v/>
      </c>
    </row>
    <row r="486" customFormat="false" ht="15" hidden="false" customHeight="false" outlineLevel="0" collapsed="false">
      <c r="A486" s="12"/>
      <c r="B486" s="9"/>
      <c r="C486" s="9"/>
      <c r="D486" s="9"/>
      <c r="E486" s="9"/>
      <c r="F486" s="9"/>
      <c r="G486" s="9"/>
      <c r="H486" s="7"/>
      <c r="I486" s="13" t="str">
        <f aca="false">IF(OR($G486="",$H486=""),"",ROUND($G486*$H486,0))</f>
        <v/>
      </c>
      <c r="J486" s="8"/>
      <c r="K486" s="13" t="str">
        <f aca="false">IF($B486="","",SUMIFS($I$3:$I$2002,$B$3:$B$2002,$B486))</f>
        <v/>
      </c>
      <c r="L486" s="13" t="str">
        <f aca="false">IF($B486="","",IF(COUNTIFS($B$3:$B486,$B486)&gt;1,0,IFERROR(LOOKUP($K486,배송비규정!$A$3:$A$32,배송비규정!$B$3:$B$32),0)+IFERROR(INDEX(지역추가비!$B$3:$B$42,MATCH($J486,지역추가비!$A$3:$A$42,0)),0)))</f>
        <v/>
      </c>
      <c r="M486" s="13" t="str">
        <f aca="false">IF($B486="","",IF(COUNTIFS($B$3:$B486,$B486)&gt;1,"",$K486+$L486))</f>
        <v/>
      </c>
      <c r="N486" s="14" t="str">
        <f aca="false">IF($B486="","",COUNTIFS($B$3:$B486,$B486))</f>
        <v/>
      </c>
      <c r="O486" s="14" t="str">
        <f aca="false">IF($B486="","",$B486&amp;"|"&amp;$N486)</f>
        <v/>
      </c>
    </row>
    <row r="487" customFormat="false" ht="15" hidden="false" customHeight="false" outlineLevel="0" collapsed="false">
      <c r="A487" s="12"/>
      <c r="B487" s="9"/>
      <c r="C487" s="9"/>
      <c r="D487" s="9"/>
      <c r="E487" s="9"/>
      <c r="F487" s="9"/>
      <c r="G487" s="9"/>
      <c r="H487" s="7"/>
      <c r="I487" s="13" t="str">
        <f aca="false">IF(OR($G487="",$H487=""),"",ROUND($G487*$H487,0))</f>
        <v/>
      </c>
      <c r="J487" s="8"/>
      <c r="K487" s="13" t="str">
        <f aca="false">IF($B487="","",SUMIFS($I$3:$I$2002,$B$3:$B$2002,$B487))</f>
        <v/>
      </c>
      <c r="L487" s="13" t="str">
        <f aca="false">IF($B487="","",IF(COUNTIFS($B$3:$B487,$B487)&gt;1,0,IFERROR(LOOKUP($K487,배송비규정!$A$3:$A$32,배송비규정!$B$3:$B$32),0)+IFERROR(INDEX(지역추가비!$B$3:$B$42,MATCH($J487,지역추가비!$A$3:$A$42,0)),0)))</f>
        <v/>
      </c>
      <c r="M487" s="13" t="str">
        <f aca="false">IF($B487="","",IF(COUNTIFS($B$3:$B487,$B487)&gt;1,"",$K487+$L487))</f>
        <v/>
      </c>
      <c r="N487" s="14" t="str">
        <f aca="false">IF($B487="","",COUNTIFS($B$3:$B487,$B487))</f>
        <v/>
      </c>
      <c r="O487" s="14" t="str">
        <f aca="false">IF($B487="","",$B487&amp;"|"&amp;$N487)</f>
        <v/>
      </c>
    </row>
    <row r="488" customFormat="false" ht="15" hidden="false" customHeight="false" outlineLevel="0" collapsed="false">
      <c r="A488" s="12"/>
      <c r="B488" s="9"/>
      <c r="C488" s="9"/>
      <c r="D488" s="9"/>
      <c r="E488" s="9"/>
      <c r="F488" s="9"/>
      <c r="G488" s="9"/>
      <c r="H488" s="7"/>
      <c r="I488" s="13" t="str">
        <f aca="false">IF(OR($G488="",$H488=""),"",ROUND($G488*$H488,0))</f>
        <v/>
      </c>
      <c r="J488" s="8"/>
      <c r="K488" s="13" t="str">
        <f aca="false">IF($B488="","",SUMIFS($I$3:$I$2002,$B$3:$B$2002,$B488))</f>
        <v/>
      </c>
      <c r="L488" s="13" t="str">
        <f aca="false">IF($B488="","",IF(COUNTIFS($B$3:$B488,$B488)&gt;1,0,IFERROR(LOOKUP($K488,배송비규정!$A$3:$A$32,배송비규정!$B$3:$B$32),0)+IFERROR(INDEX(지역추가비!$B$3:$B$42,MATCH($J488,지역추가비!$A$3:$A$42,0)),0)))</f>
        <v/>
      </c>
      <c r="M488" s="13" t="str">
        <f aca="false">IF($B488="","",IF(COUNTIFS($B$3:$B488,$B488)&gt;1,"",$K488+$L488))</f>
        <v/>
      </c>
      <c r="N488" s="14" t="str">
        <f aca="false">IF($B488="","",COUNTIFS($B$3:$B488,$B488))</f>
        <v/>
      </c>
      <c r="O488" s="14" t="str">
        <f aca="false">IF($B488="","",$B488&amp;"|"&amp;$N488)</f>
        <v/>
      </c>
    </row>
    <row r="489" customFormat="false" ht="15" hidden="false" customHeight="false" outlineLevel="0" collapsed="false">
      <c r="A489" s="12"/>
      <c r="B489" s="9"/>
      <c r="C489" s="9"/>
      <c r="D489" s="9"/>
      <c r="E489" s="9"/>
      <c r="F489" s="9"/>
      <c r="G489" s="9"/>
      <c r="H489" s="7"/>
      <c r="I489" s="13" t="str">
        <f aca="false">IF(OR($G489="",$H489=""),"",ROUND($G489*$H489,0))</f>
        <v/>
      </c>
      <c r="J489" s="8"/>
      <c r="K489" s="13" t="str">
        <f aca="false">IF($B489="","",SUMIFS($I$3:$I$2002,$B$3:$B$2002,$B489))</f>
        <v/>
      </c>
      <c r="L489" s="13" t="str">
        <f aca="false">IF($B489="","",IF(COUNTIFS($B$3:$B489,$B489)&gt;1,0,IFERROR(LOOKUP($K489,배송비규정!$A$3:$A$32,배송비규정!$B$3:$B$32),0)+IFERROR(INDEX(지역추가비!$B$3:$B$42,MATCH($J489,지역추가비!$A$3:$A$42,0)),0)))</f>
        <v/>
      </c>
      <c r="M489" s="13" t="str">
        <f aca="false">IF($B489="","",IF(COUNTIFS($B$3:$B489,$B489)&gt;1,"",$K489+$L489))</f>
        <v/>
      </c>
      <c r="N489" s="14" t="str">
        <f aca="false">IF($B489="","",COUNTIFS($B$3:$B489,$B489))</f>
        <v/>
      </c>
      <c r="O489" s="14" t="str">
        <f aca="false">IF($B489="","",$B489&amp;"|"&amp;$N489)</f>
        <v/>
      </c>
    </row>
    <row r="490" customFormat="false" ht="15" hidden="false" customHeight="false" outlineLevel="0" collapsed="false">
      <c r="A490" s="12"/>
      <c r="B490" s="9"/>
      <c r="C490" s="9"/>
      <c r="D490" s="9"/>
      <c r="E490" s="9"/>
      <c r="F490" s="9"/>
      <c r="G490" s="9"/>
      <c r="H490" s="7"/>
      <c r="I490" s="13" t="str">
        <f aca="false">IF(OR($G490="",$H490=""),"",ROUND($G490*$H490,0))</f>
        <v/>
      </c>
      <c r="J490" s="8"/>
      <c r="K490" s="13" t="str">
        <f aca="false">IF($B490="","",SUMIFS($I$3:$I$2002,$B$3:$B$2002,$B490))</f>
        <v/>
      </c>
      <c r="L490" s="13" t="str">
        <f aca="false">IF($B490="","",IF(COUNTIFS($B$3:$B490,$B490)&gt;1,0,IFERROR(LOOKUP($K490,배송비규정!$A$3:$A$32,배송비규정!$B$3:$B$32),0)+IFERROR(INDEX(지역추가비!$B$3:$B$42,MATCH($J490,지역추가비!$A$3:$A$42,0)),0)))</f>
        <v/>
      </c>
      <c r="M490" s="13" t="str">
        <f aca="false">IF($B490="","",IF(COUNTIFS($B$3:$B490,$B490)&gt;1,"",$K490+$L490))</f>
        <v/>
      </c>
      <c r="N490" s="14" t="str">
        <f aca="false">IF($B490="","",COUNTIFS($B$3:$B490,$B490))</f>
        <v/>
      </c>
      <c r="O490" s="14" t="str">
        <f aca="false">IF($B490="","",$B490&amp;"|"&amp;$N490)</f>
        <v/>
      </c>
    </row>
    <row r="491" customFormat="false" ht="15" hidden="false" customHeight="false" outlineLevel="0" collapsed="false">
      <c r="A491" s="12"/>
      <c r="B491" s="9"/>
      <c r="C491" s="9"/>
      <c r="D491" s="9"/>
      <c r="E491" s="9"/>
      <c r="F491" s="9"/>
      <c r="G491" s="9"/>
      <c r="H491" s="7"/>
      <c r="I491" s="13" t="str">
        <f aca="false">IF(OR($G491="",$H491=""),"",ROUND($G491*$H491,0))</f>
        <v/>
      </c>
      <c r="J491" s="8"/>
      <c r="K491" s="13" t="str">
        <f aca="false">IF($B491="","",SUMIFS($I$3:$I$2002,$B$3:$B$2002,$B491))</f>
        <v/>
      </c>
      <c r="L491" s="13" t="str">
        <f aca="false">IF($B491="","",IF(COUNTIFS($B$3:$B491,$B491)&gt;1,0,IFERROR(LOOKUP($K491,배송비규정!$A$3:$A$32,배송비규정!$B$3:$B$32),0)+IFERROR(INDEX(지역추가비!$B$3:$B$42,MATCH($J491,지역추가비!$A$3:$A$42,0)),0)))</f>
        <v/>
      </c>
      <c r="M491" s="13" t="str">
        <f aca="false">IF($B491="","",IF(COUNTIFS($B$3:$B491,$B491)&gt;1,"",$K491+$L491))</f>
        <v/>
      </c>
      <c r="N491" s="14" t="str">
        <f aca="false">IF($B491="","",COUNTIFS($B$3:$B491,$B491))</f>
        <v/>
      </c>
      <c r="O491" s="14" t="str">
        <f aca="false">IF($B491="","",$B491&amp;"|"&amp;$N491)</f>
        <v/>
      </c>
    </row>
    <row r="492" customFormat="false" ht="15" hidden="false" customHeight="false" outlineLevel="0" collapsed="false">
      <c r="A492" s="12"/>
      <c r="B492" s="9"/>
      <c r="C492" s="9"/>
      <c r="D492" s="9"/>
      <c r="E492" s="9"/>
      <c r="F492" s="9"/>
      <c r="G492" s="9"/>
      <c r="H492" s="7"/>
      <c r="I492" s="13" t="str">
        <f aca="false">IF(OR($G492="",$H492=""),"",ROUND($G492*$H492,0))</f>
        <v/>
      </c>
      <c r="J492" s="8"/>
      <c r="K492" s="13" t="str">
        <f aca="false">IF($B492="","",SUMIFS($I$3:$I$2002,$B$3:$B$2002,$B492))</f>
        <v/>
      </c>
      <c r="L492" s="13" t="str">
        <f aca="false">IF($B492="","",IF(COUNTIFS($B$3:$B492,$B492)&gt;1,0,IFERROR(LOOKUP($K492,배송비규정!$A$3:$A$32,배송비규정!$B$3:$B$32),0)+IFERROR(INDEX(지역추가비!$B$3:$B$42,MATCH($J492,지역추가비!$A$3:$A$42,0)),0)))</f>
        <v/>
      </c>
      <c r="M492" s="13" t="str">
        <f aca="false">IF($B492="","",IF(COUNTIFS($B$3:$B492,$B492)&gt;1,"",$K492+$L492))</f>
        <v/>
      </c>
      <c r="N492" s="14" t="str">
        <f aca="false">IF($B492="","",COUNTIFS($B$3:$B492,$B492))</f>
        <v/>
      </c>
      <c r="O492" s="14" t="str">
        <f aca="false">IF($B492="","",$B492&amp;"|"&amp;$N492)</f>
        <v/>
      </c>
    </row>
    <row r="493" customFormat="false" ht="15" hidden="false" customHeight="false" outlineLevel="0" collapsed="false">
      <c r="A493" s="12"/>
      <c r="B493" s="9"/>
      <c r="C493" s="9"/>
      <c r="D493" s="9"/>
      <c r="E493" s="9"/>
      <c r="F493" s="9"/>
      <c r="G493" s="9"/>
      <c r="H493" s="7"/>
      <c r="I493" s="13" t="str">
        <f aca="false">IF(OR($G493="",$H493=""),"",ROUND($G493*$H493,0))</f>
        <v/>
      </c>
      <c r="J493" s="8"/>
      <c r="K493" s="13" t="str">
        <f aca="false">IF($B493="","",SUMIFS($I$3:$I$2002,$B$3:$B$2002,$B493))</f>
        <v/>
      </c>
      <c r="L493" s="13" t="str">
        <f aca="false">IF($B493="","",IF(COUNTIFS($B$3:$B493,$B493)&gt;1,0,IFERROR(LOOKUP($K493,배송비규정!$A$3:$A$32,배송비규정!$B$3:$B$32),0)+IFERROR(INDEX(지역추가비!$B$3:$B$42,MATCH($J493,지역추가비!$A$3:$A$42,0)),0)))</f>
        <v/>
      </c>
      <c r="M493" s="13" t="str">
        <f aca="false">IF($B493="","",IF(COUNTIFS($B$3:$B493,$B493)&gt;1,"",$K493+$L493))</f>
        <v/>
      </c>
      <c r="N493" s="14" t="str">
        <f aca="false">IF($B493="","",COUNTIFS($B$3:$B493,$B493))</f>
        <v/>
      </c>
      <c r="O493" s="14" t="str">
        <f aca="false">IF($B493="","",$B493&amp;"|"&amp;$N493)</f>
        <v/>
      </c>
    </row>
    <row r="494" customFormat="false" ht="15" hidden="false" customHeight="false" outlineLevel="0" collapsed="false">
      <c r="A494" s="12"/>
      <c r="B494" s="9"/>
      <c r="C494" s="9"/>
      <c r="D494" s="9"/>
      <c r="E494" s="9"/>
      <c r="F494" s="9"/>
      <c r="G494" s="9"/>
      <c r="H494" s="7"/>
      <c r="I494" s="13" t="str">
        <f aca="false">IF(OR($G494="",$H494=""),"",ROUND($G494*$H494,0))</f>
        <v/>
      </c>
      <c r="J494" s="8"/>
      <c r="K494" s="13" t="str">
        <f aca="false">IF($B494="","",SUMIFS($I$3:$I$2002,$B$3:$B$2002,$B494))</f>
        <v/>
      </c>
      <c r="L494" s="13" t="str">
        <f aca="false">IF($B494="","",IF(COUNTIFS($B$3:$B494,$B494)&gt;1,0,IFERROR(LOOKUP($K494,배송비규정!$A$3:$A$32,배송비규정!$B$3:$B$32),0)+IFERROR(INDEX(지역추가비!$B$3:$B$42,MATCH($J494,지역추가비!$A$3:$A$42,0)),0)))</f>
        <v/>
      </c>
      <c r="M494" s="13" t="str">
        <f aca="false">IF($B494="","",IF(COUNTIFS($B$3:$B494,$B494)&gt;1,"",$K494+$L494))</f>
        <v/>
      </c>
      <c r="N494" s="14" t="str">
        <f aca="false">IF($B494="","",COUNTIFS($B$3:$B494,$B494))</f>
        <v/>
      </c>
      <c r="O494" s="14" t="str">
        <f aca="false">IF($B494="","",$B494&amp;"|"&amp;$N494)</f>
        <v/>
      </c>
    </row>
    <row r="495" customFormat="false" ht="15" hidden="false" customHeight="false" outlineLevel="0" collapsed="false">
      <c r="A495" s="12"/>
      <c r="B495" s="9"/>
      <c r="C495" s="9"/>
      <c r="D495" s="9"/>
      <c r="E495" s="9"/>
      <c r="F495" s="9"/>
      <c r="G495" s="9"/>
      <c r="H495" s="7"/>
      <c r="I495" s="13" t="str">
        <f aca="false">IF(OR($G495="",$H495=""),"",ROUND($G495*$H495,0))</f>
        <v/>
      </c>
      <c r="J495" s="8"/>
      <c r="K495" s="13" t="str">
        <f aca="false">IF($B495="","",SUMIFS($I$3:$I$2002,$B$3:$B$2002,$B495))</f>
        <v/>
      </c>
      <c r="L495" s="13" t="str">
        <f aca="false">IF($B495="","",IF(COUNTIFS($B$3:$B495,$B495)&gt;1,0,IFERROR(LOOKUP($K495,배송비규정!$A$3:$A$32,배송비규정!$B$3:$B$32),0)+IFERROR(INDEX(지역추가비!$B$3:$B$42,MATCH($J495,지역추가비!$A$3:$A$42,0)),0)))</f>
        <v/>
      </c>
      <c r="M495" s="13" t="str">
        <f aca="false">IF($B495="","",IF(COUNTIFS($B$3:$B495,$B495)&gt;1,"",$K495+$L495))</f>
        <v/>
      </c>
      <c r="N495" s="14" t="str">
        <f aca="false">IF($B495="","",COUNTIFS($B$3:$B495,$B495))</f>
        <v/>
      </c>
      <c r="O495" s="14" t="str">
        <f aca="false">IF($B495="","",$B495&amp;"|"&amp;$N495)</f>
        <v/>
      </c>
    </row>
    <row r="496" customFormat="false" ht="15" hidden="false" customHeight="false" outlineLevel="0" collapsed="false">
      <c r="A496" s="12"/>
      <c r="B496" s="9"/>
      <c r="C496" s="9"/>
      <c r="D496" s="9"/>
      <c r="E496" s="9"/>
      <c r="F496" s="9"/>
      <c r="G496" s="9"/>
      <c r="H496" s="7"/>
      <c r="I496" s="13" t="str">
        <f aca="false">IF(OR($G496="",$H496=""),"",ROUND($G496*$H496,0))</f>
        <v/>
      </c>
      <c r="J496" s="8"/>
      <c r="K496" s="13" t="str">
        <f aca="false">IF($B496="","",SUMIFS($I$3:$I$2002,$B$3:$B$2002,$B496))</f>
        <v/>
      </c>
      <c r="L496" s="13" t="str">
        <f aca="false">IF($B496="","",IF(COUNTIFS($B$3:$B496,$B496)&gt;1,0,IFERROR(LOOKUP($K496,배송비규정!$A$3:$A$32,배송비규정!$B$3:$B$32),0)+IFERROR(INDEX(지역추가비!$B$3:$B$42,MATCH($J496,지역추가비!$A$3:$A$42,0)),0)))</f>
        <v/>
      </c>
      <c r="M496" s="13" t="str">
        <f aca="false">IF($B496="","",IF(COUNTIFS($B$3:$B496,$B496)&gt;1,"",$K496+$L496))</f>
        <v/>
      </c>
      <c r="N496" s="14" t="str">
        <f aca="false">IF($B496="","",COUNTIFS($B$3:$B496,$B496))</f>
        <v/>
      </c>
      <c r="O496" s="14" t="str">
        <f aca="false">IF($B496="","",$B496&amp;"|"&amp;$N496)</f>
        <v/>
      </c>
    </row>
    <row r="497" customFormat="false" ht="15" hidden="false" customHeight="false" outlineLevel="0" collapsed="false">
      <c r="A497" s="12"/>
      <c r="B497" s="9"/>
      <c r="C497" s="9"/>
      <c r="D497" s="9"/>
      <c r="E497" s="9"/>
      <c r="F497" s="9"/>
      <c r="G497" s="9"/>
      <c r="H497" s="7"/>
      <c r="I497" s="13" t="str">
        <f aca="false">IF(OR($G497="",$H497=""),"",ROUND($G497*$H497,0))</f>
        <v/>
      </c>
      <c r="J497" s="8"/>
      <c r="K497" s="13" t="str">
        <f aca="false">IF($B497="","",SUMIFS($I$3:$I$2002,$B$3:$B$2002,$B497))</f>
        <v/>
      </c>
      <c r="L497" s="13" t="str">
        <f aca="false">IF($B497="","",IF(COUNTIFS($B$3:$B497,$B497)&gt;1,0,IFERROR(LOOKUP($K497,배송비규정!$A$3:$A$32,배송비규정!$B$3:$B$32),0)+IFERROR(INDEX(지역추가비!$B$3:$B$42,MATCH($J497,지역추가비!$A$3:$A$42,0)),0)))</f>
        <v/>
      </c>
      <c r="M497" s="13" t="str">
        <f aca="false">IF($B497="","",IF(COUNTIFS($B$3:$B497,$B497)&gt;1,"",$K497+$L497))</f>
        <v/>
      </c>
      <c r="N497" s="14" t="str">
        <f aca="false">IF($B497="","",COUNTIFS($B$3:$B497,$B497))</f>
        <v/>
      </c>
      <c r="O497" s="14" t="str">
        <f aca="false">IF($B497="","",$B497&amp;"|"&amp;$N497)</f>
        <v/>
      </c>
    </row>
    <row r="498" customFormat="false" ht="15" hidden="false" customHeight="false" outlineLevel="0" collapsed="false">
      <c r="A498" s="12"/>
      <c r="B498" s="9"/>
      <c r="C498" s="9"/>
      <c r="D498" s="9"/>
      <c r="E498" s="9"/>
      <c r="F498" s="9"/>
      <c r="G498" s="9"/>
      <c r="H498" s="7"/>
      <c r="I498" s="13" t="str">
        <f aca="false">IF(OR($G498="",$H498=""),"",ROUND($G498*$H498,0))</f>
        <v/>
      </c>
      <c r="J498" s="8"/>
      <c r="K498" s="13" t="str">
        <f aca="false">IF($B498="","",SUMIFS($I$3:$I$2002,$B$3:$B$2002,$B498))</f>
        <v/>
      </c>
      <c r="L498" s="13" t="str">
        <f aca="false">IF($B498="","",IF(COUNTIFS($B$3:$B498,$B498)&gt;1,0,IFERROR(LOOKUP($K498,배송비규정!$A$3:$A$32,배송비규정!$B$3:$B$32),0)+IFERROR(INDEX(지역추가비!$B$3:$B$42,MATCH($J498,지역추가비!$A$3:$A$42,0)),0)))</f>
        <v/>
      </c>
      <c r="M498" s="13" t="str">
        <f aca="false">IF($B498="","",IF(COUNTIFS($B$3:$B498,$B498)&gt;1,"",$K498+$L498))</f>
        <v/>
      </c>
      <c r="N498" s="14" t="str">
        <f aca="false">IF($B498="","",COUNTIFS($B$3:$B498,$B498))</f>
        <v/>
      </c>
      <c r="O498" s="14" t="str">
        <f aca="false">IF($B498="","",$B498&amp;"|"&amp;$N498)</f>
        <v/>
      </c>
    </row>
    <row r="499" customFormat="false" ht="15" hidden="false" customHeight="false" outlineLevel="0" collapsed="false">
      <c r="A499" s="12"/>
      <c r="B499" s="9"/>
      <c r="C499" s="9"/>
      <c r="D499" s="9"/>
      <c r="E499" s="9"/>
      <c r="F499" s="9"/>
      <c r="G499" s="9"/>
      <c r="H499" s="7"/>
      <c r="I499" s="13" t="str">
        <f aca="false">IF(OR($G499="",$H499=""),"",ROUND($G499*$H499,0))</f>
        <v/>
      </c>
      <c r="J499" s="8"/>
      <c r="K499" s="13" t="str">
        <f aca="false">IF($B499="","",SUMIFS($I$3:$I$2002,$B$3:$B$2002,$B499))</f>
        <v/>
      </c>
      <c r="L499" s="13" t="str">
        <f aca="false">IF($B499="","",IF(COUNTIFS($B$3:$B499,$B499)&gt;1,0,IFERROR(LOOKUP($K499,배송비규정!$A$3:$A$32,배송비규정!$B$3:$B$32),0)+IFERROR(INDEX(지역추가비!$B$3:$B$42,MATCH($J499,지역추가비!$A$3:$A$42,0)),0)))</f>
        <v/>
      </c>
      <c r="M499" s="13" t="str">
        <f aca="false">IF($B499="","",IF(COUNTIFS($B$3:$B499,$B499)&gt;1,"",$K499+$L499))</f>
        <v/>
      </c>
      <c r="N499" s="14" t="str">
        <f aca="false">IF($B499="","",COUNTIFS($B$3:$B499,$B499))</f>
        <v/>
      </c>
      <c r="O499" s="14" t="str">
        <f aca="false">IF($B499="","",$B499&amp;"|"&amp;$N499)</f>
        <v/>
      </c>
    </row>
    <row r="500" customFormat="false" ht="15" hidden="false" customHeight="false" outlineLevel="0" collapsed="false">
      <c r="A500" s="12"/>
      <c r="B500" s="9"/>
      <c r="C500" s="9"/>
      <c r="D500" s="9"/>
      <c r="E500" s="9"/>
      <c r="F500" s="9"/>
      <c r="G500" s="9"/>
      <c r="H500" s="7"/>
      <c r="I500" s="13" t="str">
        <f aca="false">IF(OR($G500="",$H500=""),"",ROUND($G500*$H500,0))</f>
        <v/>
      </c>
      <c r="J500" s="8"/>
      <c r="K500" s="13" t="str">
        <f aca="false">IF($B500="","",SUMIFS($I$3:$I$2002,$B$3:$B$2002,$B500))</f>
        <v/>
      </c>
      <c r="L500" s="13" t="str">
        <f aca="false">IF($B500="","",IF(COUNTIFS($B$3:$B500,$B500)&gt;1,0,IFERROR(LOOKUP($K500,배송비규정!$A$3:$A$32,배송비규정!$B$3:$B$32),0)+IFERROR(INDEX(지역추가비!$B$3:$B$42,MATCH($J500,지역추가비!$A$3:$A$42,0)),0)))</f>
        <v/>
      </c>
      <c r="M500" s="13" t="str">
        <f aca="false">IF($B500="","",IF(COUNTIFS($B$3:$B500,$B500)&gt;1,"",$K500+$L500))</f>
        <v/>
      </c>
      <c r="N500" s="14" t="str">
        <f aca="false">IF($B500="","",COUNTIFS($B$3:$B500,$B500))</f>
        <v/>
      </c>
      <c r="O500" s="14" t="str">
        <f aca="false">IF($B500="","",$B500&amp;"|"&amp;$N500)</f>
        <v/>
      </c>
    </row>
    <row r="501" customFormat="false" ht="15" hidden="false" customHeight="false" outlineLevel="0" collapsed="false">
      <c r="A501" s="12"/>
      <c r="B501" s="9"/>
      <c r="C501" s="9"/>
      <c r="D501" s="9"/>
      <c r="E501" s="9"/>
      <c r="F501" s="9"/>
      <c r="G501" s="9"/>
      <c r="H501" s="7"/>
      <c r="I501" s="13" t="str">
        <f aca="false">IF(OR($G501="",$H501=""),"",ROUND($G501*$H501,0))</f>
        <v/>
      </c>
      <c r="J501" s="8"/>
      <c r="K501" s="13" t="str">
        <f aca="false">IF($B501="","",SUMIFS($I$3:$I$2002,$B$3:$B$2002,$B501))</f>
        <v/>
      </c>
      <c r="L501" s="13" t="str">
        <f aca="false">IF($B501="","",IF(COUNTIFS($B$3:$B501,$B501)&gt;1,0,IFERROR(LOOKUP($K501,배송비규정!$A$3:$A$32,배송비규정!$B$3:$B$32),0)+IFERROR(INDEX(지역추가비!$B$3:$B$42,MATCH($J501,지역추가비!$A$3:$A$42,0)),0)))</f>
        <v/>
      </c>
      <c r="M501" s="13" t="str">
        <f aca="false">IF($B501="","",IF(COUNTIFS($B$3:$B501,$B501)&gt;1,"",$K501+$L501))</f>
        <v/>
      </c>
      <c r="N501" s="14" t="str">
        <f aca="false">IF($B501="","",COUNTIFS($B$3:$B501,$B501))</f>
        <v/>
      </c>
      <c r="O501" s="14" t="str">
        <f aca="false">IF($B501="","",$B501&amp;"|"&amp;$N501)</f>
        <v/>
      </c>
    </row>
    <row r="502" customFormat="false" ht="15" hidden="false" customHeight="false" outlineLevel="0" collapsed="false">
      <c r="A502" s="12"/>
      <c r="B502" s="9"/>
      <c r="C502" s="9"/>
      <c r="D502" s="9"/>
      <c r="E502" s="9"/>
      <c r="F502" s="9"/>
      <c r="G502" s="9"/>
      <c r="H502" s="7"/>
      <c r="I502" s="13" t="str">
        <f aca="false">IF(OR($G502="",$H502=""),"",ROUND($G502*$H502,0))</f>
        <v/>
      </c>
      <c r="J502" s="8"/>
      <c r="K502" s="13" t="str">
        <f aca="false">IF($B502="","",SUMIFS($I$3:$I$2002,$B$3:$B$2002,$B502))</f>
        <v/>
      </c>
      <c r="L502" s="13" t="str">
        <f aca="false">IF($B502="","",IF(COUNTIFS($B$3:$B502,$B502)&gt;1,0,IFERROR(LOOKUP($K502,배송비규정!$A$3:$A$32,배송비규정!$B$3:$B$32),0)+IFERROR(INDEX(지역추가비!$B$3:$B$42,MATCH($J502,지역추가비!$A$3:$A$42,0)),0)))</f>
        <v/>
      </c>
      <c r="M502" s="13" t="str">
        <f aca="false">IF($B502="","",IF(COUNTIFS($B$3:$B502,$B502)&gt;1,"",$K502+$L502))</f>
        <v/>
      </c>
      <c r="N502" s="14" t="str">
        <f aca="false">IF($B502="","",COUNTIFS($B$3:$B502,$B502))</f>
        <v/>
      </c>
      <c r="O502" s="14" t="str">
        <f aca="false">IF($B502="","",$B502&amp;"|"&amp;$N502)</f>
        <v/>
      </c>
    </row>
    <row r="503" customFormat="false" ht="15" hidden="false" customHeight="false" outlineLevel="0" collapsed="false">
      <c r="A503" s="12"/>
      <c r="B503" s="9"/>
      <c r="C503" s="9"/>
      <c r="D503" s="9"/>
      <c r="E503" s="9"/>
      <c r="F503" s="9"/>
      <c r="G503" s="9"/>
      <c r="H503" s="7"/>
      <c r="I503" s="13" t="str">
        <f aca="false">IF(OR($G503="",$H503=""),"",ROUND($G503*$H503,0))</f>
        <v/>
      </c>
      <c r="J503" s="8"/>
      <c r="K503" s="13" t="str">
        <f aca="false">IF($B503="","",SUMIFS($I$3:$I$2002,$B$3:$B$2002,$B503))</f>
        <v/>
      </c>
      <c r="L503" s="13" t="str">
        <f aca="false">IF($B503="","",IF(COUNTIFS($B$3:$B503,$B503)&gt;1,0,IFERROR(LOOKUP($K503,배송비규정!$A$3:$A$32,배송비규정!$B$3:$B$32),0)+IFERROR(INDEX(지역추가비!$B$3:$B$42,MATCH($J503,지역추가비!$A$3:$A$42,0)),0)))</f>
        <v/>
      </c>
      <c r="M503" s="13" t="str">
        <f aca="false">IF($B503="","",IF(COUNTIFS($B$3:$B503,$B503)&gt;1,"",$K503+$L503))</f>
        <v/>
      </c>
      <c r="N503" s="14" t="str">
        <f aca="false">IF($B503="","",COUNTIFS($B$3:$B503,$B503))</f>
        <v/>
      </c>
      <c r="O503" s="14" t="str">
        <f aca="false">IF($B503="","",$B503&amp;"|"&amp;$N503)</f>
        <v/>
      </c>
    </row>
    <row r="504" customFormat="false" ht="15" hidden="false" customHeight="false" outlineLevel="0" collapsed="false">
      <c r="A504" s="12"/>
      <c r="B504" s="9"/>
      <c r="C504" s="9"/>
      <c r="D504" s="9"/>
      <c r="E504" s="9"/>
      <c r="F504" s="9"/>
      <c r="G504" s="9"/>
      <c r="H504" s="7"/>
      <c r="I504" s="13" t="str">
        <f aca="false">IF(OR($G504="",$H504=""),"",ROUND($G504*$H504,0))</f>
        <v/>
      </c>
      <c r="J504" s="8"/>
      <c r="K504" s="13" t="str">
        <f aca="false">IF($B504="","",SUMIFS($I$3:$I$2002,$B$3:$B$2002,$B504))</f>
        <v/>
      </c>
      <c r="L504" s="13" t="str">
        <f aca="false">IF($B504="","",IF(COUNTIFS($B$3:$B504,$B504)&gt;1,0,IFERROR(LOOKUP($K504,배송비규정!$A$3:$A$32,배송비규정!$B$3:$B$32),0)+IFERROR(INDEX(지역추가비!$B$3:$B$42,MATCH($J504,지역추가비!$A$3:$A$42,0)),0)))</f>
        <v/>
      </c>
      <c r="M504" s="13" t="str">
        <f aca="false">IF($B504="","",IF(COUNTIFS($B$3:$B504,$B504)&gt;1,"",$K504+$L504))</f>
        <v/>
      </c>
      <c r="N504" s="14" t="str">
        <f aca="false">IF($B504="","",COUNTIFS($B$3:$B504,$B504))</f>
        <v/>
      </c>
      <c r="O504" s="14" t="str">
        <f aca="false">IF($B504="","",$B504&amp;"|"&amp;$N504)</f>
        <v/>
      </c>
    </row>
    <row r="505" customFormat="false" ht="15" hidden="false" customHeight="false" outlineLevel="0" collapsed="false">
      <c r="A505" s="12"/>
      <c r="B505" s="9"/>
      <c r="C505" s="9"/>
      <c r="D505" s="9"/>
      <c r="E505" s="9"/>
      <c r="F505" s="9"/>
      <c r="G505" s="9"/>
      <c r="H505" s="7"/>
      <c r="I505" s="13" t="str">
        <f aca="false">IF(OR($G505="",$H505=""),"",ROUND($G505*$H505,0))</f>
        <v/>
      </c>
      <c r="J505" s="8"/>
      <c r="K505" s="13" t="str">
        <f aca="false">IF($B505="","",SUMIFS($I$3:$I$2002,$B$3:$B$2002,$B505))</f>
        <v/>
      </c>
      <c r="L505" s="13" t="str">
        <f aca="false">IF($B505="","",IF(COUNTIFS($B$3:$B505,$B505)&gt;1,0,IFERROR(LOOKUP($K505,배송비규정!$A$3:$A$32,배송비규정!$B$3:$B$32),0)+IFERROR(INDEX(지역추가비!$B$3:$B$42,MATCH($J505,지역추가비!$A$3:$A$42,0)),0)))</f>
        <v/>
      </c>
      <c r="M505" s="13" t="str">
        <f aca="false">IF($B505="","",IF(COUNTIFS($B$3:$B505,$B505)&gt;1,"",$K505+$L505))</f>
        <v/>
      </c>
      <c r="N505" s="14" t="str">
        <f aca="false">IF($B505="","",COUNTIFS($B$3:$B505,$B505))</f>
        <v/>
      </c>
      <c r="O505" s="14" t="str">
        <f aca="false">IF($B505="","",$B505&amp;"|"&amp;$N505)</f>
        <v/>
      </c>
    </row>
    <row r="506" customFormat="false" ht="15" hidden="false" customHeight="false" outlineLevel="0" collapsed="false">
      <c r="A506" s="12"/>
      <c r="B506" s="9"/>
      <c r="C506" s="9"/>
      <c r="D506" s="9"/>
      <c r="E506" s="9"/>
      <c r="F506" s="9"/>
      <c r="G506" s="9"/>
      <c r="H506" s="7"/>
      <c r="I506" s="13" t="str">
        <f aca="false">IF(OR($G506="",$H506=""),"",ROUND($G506*$H506,0))</f>
        <v/>
      </c>
      <c r="J506" s="8"/>
      <c r="K506" s="13" t="str">
        <f aca="false">IF($B506="","",SUMIFS($I$3:$I$2002,$B$3:$B$2002,$B506))</f>
        <v/>
      </c>
      <c r="L506" s="13" t="str">
        <f aca="false">IF($B506="","",IF(COUNTIFS($B$3:$B506,$B506)&gt;1,0,IFERROR(LOOKUP($K506,배송비규정!$A$3:$A$32,배송비규정!$B$3:$B$32),0)+IFERROR(INDEX(지역추가비!$B$3:$B$42,MATCH($J506,지역추가비!$A$3:$A$42,0)),0)))</f>
        <v/>
      </c>
      <c r="M506" s="13" t="str">
        <f aca="false">IF($B506="","",IF(COUNTIFS($B$3:$B506,$B506)&gt;1,"",$K506+$L506))</f>
        <v/>
      </c>
      <c r="N506" s="14" t="str">
        <f aca="false">IF($B506="","",COUNTIFS($B$3:$B506,$B506))</f>
        <v/>
      </c>
      <c r="O506" s="14" t="str">
        <f aca="false">IF($B506="","",$B506&amp;"|"&amp;$N506)</f>
        <v/>
      </c>
    </row>
    <row r="507" customFormat="false" ht="15" hidden="false" customHeight="false" outlineLevel="0" collapsed="false">
      <c r="A507" s="12"/>
      <c r="B507" s="9"/>
      <c r="C507" s="9"/>
      <c r="D507" s="9"/>
      <c r="E507" s="9"/>
      <c r="F507" s="9"/>
      <c r="G507" s="9"/>
      <c r="H507" s="7"/>
      <c r="I507" s="13" t="str">
        <f aca="false">IF(OR($G507="",$H507=""),"",ROUND($G507*$H507,0))</f>
        <v/>
      </c>
      <c r="J507" s="8"/>
      <c r="K507" s="13" t="str">
        <f aca="false">IF($B507="","",SUMIFS($I$3:$I$2002,$B$3:$B$2002,$B507))</f>
        <v/>
      </c>
      <c r="L507" s="13" t="str">
        <f aca="false">IF($B507="","",IF(COUNTIFS($B$3:$B507,$B507)&gt;1,0,IFERROR(LOOKUP($K507,배송비규정!$A$3:$A$32,배송비규정!$B$3:$B$32),0)+IFERROR(INDEX(지역추가비!$B$3:$B$42,MATCH($J507,지역추가비!$A$3:$A$42,0)),0)))</f>
        <v/>
      </c>
      <c r="M507" s="13" t="str">
        <f aca="false">IF($B507="","",IF(COUNTIFS($B$3:$B507,$B507)&gt;1,"",$K507+$L507))</f>
        <v/>
      </c>
      <c r="N507" s="14" t="str">
        <f aca="false">IF($B507="","",COUNTIFS($B$3:$B507,$B507))</f>
        <v/>
      </c>
      <c r="O507" s="14" t="str">
        <f aca="false">IF($B507="","",$B507&amp;"|"&amp;$N507)</f>
        <v/>
      </c>
    </row>
    <row r="508" customFormat="false" ht="15" hidden="false" customHeight="false" outlineLevel="0" collapsed="false">
      <c r="A508" s="12"/>
      <c r="B508" s="9"/>
      <c r="C508" s="9"/>
      <c r="D508" s="9"/>
      <c r="E508" s="9"/>
      <c r="F508" s="9"/>
      <c r="G508" s="9"/>
      <c r="H508" s="7"/>
      <c r="I508" s="13" t="str">
        <f aca="false">IF(OR($G508="",$H508=""),"",ROUND($G508*$H508,0))</f>
        <v/>
      </c>
      <c r="J508" s="8"/>
      <c r="K508" s="13" t="str">
        <f aca="false">IF($B508="","",SUMIFS($I$3:$I$2002,$B$3:$B$2002,$B508))</f>
        <v/>
      </c>
      <c r="L508" s="13" t="str">
        <f aca="false">IF($B508="","",IF(COUNTIFS($B$3:$B508,$B508)&gt;1,0,IFERROR(LOOKUP($K508,배송비규정!$A$3:$A$32,배송비규정!$B$3:$B$32),0)+IFERROR(INDEX(지역추가비!$B$3:$B$42,MATCH($J508,지역추가비!$A$3:$A$42,0)),0)))</f>
        <v/>
      </c>
      <c r="M508" s="13" t="str">
        <f aca="false">IF($B508="","",IF(COUNTIFS($B$3:$B508,$B508)&gt;1,"",$K508+$L508))</f>
        <v/>
      </c>
      <c r="N508" s="14" t="str">
        <f aca="false">IF($B508="","",COUNTIFS($B$3:$B508,$B508))</f>
        <v/>
      </c>
      <c r="O508" s="14" t="str">
        <f aca="false">IF($B508="","",$B508&amp;"|"&amp;$N508)</f>
        <v/>
      </c>
    </row>
    <row r="509" customFormat="false" ht="15" hidden="false" customHeight="false" outlineLevel="0" collapsed="false">
      <c r="A509" s="12"/>
      <c r="B509" s="9"/>
      <c r="C509" s="9"/>
      <c r="D509" s="9"/>
      <c r="E509" s="9"/>
      <c r="F509" s="9"/>
      <c r="G509" s="9"/>
      <c r="H509" s="7"/>
      <c r="I509" s="13" t="str">
        <f aca="false">IF(OR($G509="",$H509=""),"",ROUND($G509*$H509,0))</f>
        <v/>
      </c>
      <c r="J509" s="8"/>
      <c r="K509" s="13" t="str">
        <f aca="false">IF($B509="","",SUMIFS($I$3:$I$2002,$B$3:$B$2002,$B509))</f>
        <v/>
      </c>
      <c r="L509" s="13" t="str">
        <f aca="false">IF($B509="","",IF(COUNTIFS($B$3:$B509,$B509)&gt;1,0,IFERROR(LOOKUP($K509,배송비규정!$A$3:$A$32,배송비규정!$B$3:$B$32),0)+IFERROR(INDEX(지역추가비!$B$3:$B$42,MATCH($J509,지역추가비!$A$3:$A$42,0)),0)))</f>
        <v/>
      </c>
      <c r="M509" s="13" t="str">
        <f aca="false">IF($B509="","",IF(COUNTIFS($B$3:$B509,$B509)&gt;1,"",$K509+$L509))</f>
        <v/>
      </c>
      <c r="N509" s="14" t="str">
        <f aca="false">IF($B509="","",COUNTIFS($B$3:$B509,$B509))</f>
        <v/>
      </c>
      <c r="O509" s="14" t="str">
        <f aca="false">IF($B509="","",$B509&amp;"|"&amp;$N509)</f>
        <v/>
      </c>
    </row>
    <row r="510" customFormat="false" ht="15" hidden="false" customHeight="false" outlineLevel="0" collapsed="false">
      <c r="A510" s="12"/>
      <c r="B510" s="9"/>
      <c r="C510" s="9"/>
      <c r="D510" s="9"/>
      <c r="E510" s="9"/>
      <c r="F510" s="9"/>
      <c r="G510" s="9"/>
      <c r="H510" s="7"/>
      <c r="I510" s="13" t="str">
        <f aca="false">IF(OR($G510="",$H510=""),"",ROUND($G510*$H510,0))</f>
        <v/>
      </c>
      <c r="J510" s="8"/>
      <c r="K510" s="13" t="str">
        <f aca="false">IF($B510="","",SUMIFS($I$3:$I$2002,$B$3:$B$2002,$B510))</f>
        <v/>
      </c>
      <c r="L510" s="13" t="str">
        <f aca="false">IF($B510="","",IF(COUNTIFS($B$3:$B510,$B510)&gt;1,0,IFERROR(LOOKUP($K510,배송비규정!$A$3:$A$32,배송비규정!$B$3:$B$32),0)+IFERROR(INDEX(지역추가비!$B$3:$B$42,MATCH($J510,지역추가비!$A$3:$A$42,0)),0)))</f>
        <v/>
      </c>
      <c r="M510" s="13" t="str">
        <f aca="false">IF($B510="","",IF(COUNTIFS($B$3:$B510,$B510)&gt;1,"",$K510+$L510))</f>
        <v/>
      </c>
      <c r="N510" s="14" t="str">
        <f aca="false">IF($B510="","",COUNTIFS($B$3:$B510,$B510))</f>
        <v/>
      </c>
      <c r="O510" s="14" t="str">
        <f aca="false">IF($B510="","",$B510&amp;"|"&amp;$N510)</f>
        <v/>
      </c>
    </row>
    <row r="511" customFormat="false" ht="15" hidden="false" customHeight="false" outlineLevel="0" collapsed="false">
      <c r="A511" s="12"/>
      <c r="B511" s="9"/>
      <c r="C511" s="9"/>
      <c r="D511" s="9"/>
      <c r="E511" s="9"/>
      <c r="F511" s="9"/>
      <c r="G511" s="9"/>
      <c r="H511" s="7"/>
      <c r="I511" s="13" t="str">
        <f aca="false">IF(OR($G511="",$H511=""),"",ROUND($G511*$H511,0))</f>
        <v/>
      </c>
      <c r="J511" s="8"/>
      <c r="K511" s="13" t="str">
        <f aca="false">IF($B511="","",SUMIFS($I$3:$I$2002,$B$3:$B$2002,$B511))</f>
        <v/>
      </c>
      <c r="L511" s="13" t="str">
        <f aca="false">IF($B511="","",IF(COUNTIFS($B$3:$B511,$B511)&gt;1,0,IFERROR(LOOKUP($K511,배송비규정!$A$3:$A$32,배송비규정!$B$3:$B$32),0)+IFERROR(INDEX(지역추가비!$B$3:$B$42,MATCH($J511,지역추가비!$A$3:$A$42,0)),0)))</f>
        <v/>
      </c>
      <c r="M511" s="13" t="str">
        <f aca="false">IF($B511="","",IF(COUNTIFS($B$3:$B511,$B511)&gt;1,"",$K511+$L511))</f>
        <v/>
      </c>
      <c r="N511" s="14" t="str">
        <f aca="false">IF($B511="","",COUNTIFS($B$3:$B511,$B511))</f>
        <v/>
      </c>
      <c r="O511" s="14" t="str">
        <f aca="false">IF($B511="","",$B511&amp;"|"&amp;$N511)</f>
        <v/>
      </c>
    </row>
    <row r="512" customFormat="false" ht="15" hidden="false" customHeight="false" outlineLevel="0" collapsed="false">
      <c r="A512" s="12"/>
      <c r="B512" s="9"/>
      <c r="C512" s="9"/>
      <c r="D512" s="9"/>
      <c r="E512" s="9"/>
      <c r="F512" s="9"/>
      <c r="G512" s="9"/>
      <c r="H512" s="7"/>
      <c r="I512" s="13" t="str">
        <f aca="false">IF(OR($G512="",$H512=""),"",ROUND($G512*$H512,0))</f>
        <v/>
      </c>
      <c r="J512" s="8"/>
      <c r="K512" s="13" t="str">
        <f aca="false">IF($B512="","",SUMIFS($I$3:$I$2002,$B$3:$B$2002,$B512))</f>
        <v/>
      </c>
      <c r="L512" s="13" t="str">
        <f aca="false">IF($B512="","",IF(COUNTIFS($B$3:$B512,$B512)&gt;1,0,IFERROR(LOOKUP($K512,배송비규정!$A$3:$A$32,배송비규정!$B$3:$B$32),0)+IFERROR(INDEX(지역추가비!$B$3:$B$42,MATCH($J512,지역추가비!$A$3:$A$42,0)),0)))</f>
        <v/>
      </c>
      <c r="M512" s="13" t="str">
        <f aca="false">IF($B512="","",IF(COUNTIFS($B$3:$B512,$B512)&gt;1,"",$K512+$L512))</f>
        <v/>
      </c>
      <c r="N512" s="14" t="str">
        <f aca="false">IF($B512="","",COUNTIFS($B$3:$B512,$B512))</f>
        <v/>
      </c>
      <c r="O512" s="14" t="str">
        <f aca="false">IF($B512="","",$B512&amp;"|"&amp;$N512)</f>
        <v/>
      </c>
    </row>
    <row r="513" customFormat="false" ht="15" hidden="false" customHeight="false" outlineLevel="0" collapsed="false">
      <c r="A513" s="12"/>
      <c r="B513" s="9"/>
      <c r="C513" s="9"/>
      <c r="D513" s="9"/>
      <c r="E513" s="9"/>
      <c r="F513" s="9"/>
      <c r="G513" s="9"/>
      <c r="H513" s="7"/>
      <c r="I513" s="13" t="str">
        <f aca="false">IF(OR($G513="",$H513=""),"",ROUND($G513*$H513,0))</f>
        <v/>
      </c>
      <c r="J513" s="8"/>
      <c r="K513" s="13" t="str">
        <f aca="false">IF($B513="","",SUMIFS($I$3:$I$2002,$B$3:$B$2002,$B513))</f>
        <v/>
      </c>
      <c r="L513" s="13" t="str">
        <f aca="false">IF($B513="","",IF(COUNTIFS($B$3:$B513,$B513)&gt;1,0,IFERROR(LOOKUP($K513,배송비규정!$A$3:$A$32,배송비규정!$B$3:$B$32),0)+IFERROR(INDEX(지역추가비!$B$3:$B$42,MATCH($J513,지역추가비!$A$3:$A$42,0)),0)))</f>
        <v/>
      </c>
      <c r="M513" s="13" t="str">
        <f aca="false">IF($B513="","",IF(COUNTIFS($B$3:$B513,$B513)&gt;1,"",$K513+$L513))</f>
        <v/>
      </c>
      <c r="N513" s="14" t="str">
        <f aca="false">IF($B513="","",COUNTIFS($B$3:$B513,$B513))</f>
        <v/>
      </c>
      <c r="O513" s="14" t="str">
        <f aca="false">IF($B513="","",$B513&amp;"|"&amp;$N513)</f>
        <v/>
      </c>
    </row>
    <row r="514" customFormat="false" ht="15" hidden="false" customHeight="false" outlineLevel="0" collapsed="false">
      <c r="A514" s="12"/>
      <c r="B514" s="9"/>
      <c r="C514" s="9"/>
      <c r="D514" s="9"/>
      <c r="E514" s="9"/>
      <c r="F514" s="9"/>
      <c r="G514" s="9"/>
      <c r="H514" s="7"/>
      <c r="I514" s="13" t="str">
        <f aca="false">IF(OR($G514="",$H514=""),"",ROUND($G514*$H514,0))</f>
        <v/>
      </c>
      <c r="J514" s="8"/>
      <c r="K514" s="13" t="str">
        <f aca="false">IF($B514="","",SUMIFS($I$3:$I$2002,$B$3:$B$2002,$B514))</f>
        <v/>
      </c>
      <c r="L514" s="13" t="str">
        <f aca="false">IF($B514="","",IF(COUNTIFS($B$3:$B514,$B514)&gt;1,0,IFERROR(LOOKUP($K514,배송비규정!$A$3:$A$32,배송비규정!$B$3:$B$32),0)+IFERROR(INDEX(지역추가비!$B$3:$B$42,MATCH($J514,지역추가비!$A$3:$A$42,0)),0)))</f>
        <v/>
      </c>
      <c r="M514" s="13" t="str">
        <f aca="false">IF($B514="","",IF(COUNTIFS($B$3:$B514,$B514)&gt;1,"",$K514+$L514))</f>
        <v/>
      </c>
      <c r="N514" s="14" t="str">
        <f aca="false">IF($B514="","",COUNTIFS($B$3:$B514,$B514))</f>
        <v/>
      </c>
      <c r="O514" s="14" t="str">
        <f aca="false">IF($B514="","",$B514&amp;"|"&amp;$N514)</f>
        <v/>
      </c>
    </row>
    <row r="515" customFormat="false" ht="15" hidden="false" customHeight="false" outlineLevel="0" collapsed="false">
      <c r="A515" s="12"/>
      <c r="B515" s="9"/>
      <c r="C515" s="9"/>
      <c r="D515" s="9"/>
      <c r="E515" s="9"/>
      <c r="F515" s="9"/>
      <c r="G515" s="9"/>
      <c r="H515" s="7"/>
      <c r="I515" s="13" t="str">
        <f aca="false">IF(OR($G515="",$H515=""),"",ROUND($G515*$H515,0))</f>
        <v/>
      </c>
      <c r="J515" s="8"/>
      <c r="K515" s="13" t="str">
        <f aca="false">IF($B515="","",SUMIFS($I$3:$I$2002,$B$3:$B$2002,$B515))</f>
        <v/>
      </c>
      <c r="L515" s="13" t="str">
        <f aca="false">IF($B515="","",IF(COUNTIFS($B$3:$B515,$B515)&gt;1,0,IFERROR(LOOKUP($K515,배송비규정!$A$3:$A$32,배송비규정!$B$3:$B$32),0)+IFERROR(INDEX(지역추가비!$B$3:$B$42,MATCH($J515,지역추가비!$A$3:$A$42,0)),0)))</f>
        <v/>
      </c>
      <c r="M515" s="13" t="str">
        <f aca="false">IF($B515="","",IF(COUNTIFS($B$3:$B515,$B515)&gt;1,"",$K515+$L515))</f>
        <v/>
      </c>
      <c r="N515" s="14" t="str">
        <f aca="false">IF($B515="","",COUNTIFS($B$3:$B515,$B515))</f>
        <v/>
      </c>
      <c r="O515" s="14" t="str">
        <f aca="false">IF($B515="","",$B515&amp;"|"&amp;$N515)</f>
        <v/>
      </c>
    </row>
    <row r="516" customFormat="false" ht="15" hidden="false" customHeight="false" outlineLevel="0" collapsed="false">
      <c r="A516" s="12"/>
      <c r="B516" s="9"/>
      <c r="C516" s="9"/>
      <c r="D516" s="9"/>
      <c r="E516" s="9"/>
      <c r="F516" s="9"/>
      <c r="G516" s="9"/>
      <c r="H516" s="7"/>
      <c r="I516" s="13" t="str">
        <f aca="false">IF(OR($G516="",$H516=""),"",ROUND($G516*$H516,0))</f>
        <v/>
      </c>
      <c r="J516" s="8"/>
      <c r="K516" s="13" t="str">
        <f aca="false">IF($B516="","",SUMIFS($I$3:$I$2002,$B$3:$B$2002,$B516))</f>
        <v/>
      </c>
      <c r="L516" s="13" t="str">
        <f aca="false">IF($B516="","",IF(COUNTIFS($B$3:$B516,$B516)&gt;1,0,IFERROR(LOOKUP($K516,배송비규정!$A$3:$A$32,배송비규정!$B$3:$B$32),0)+IFERROR(INDEX(지역추가비!$B$3:$B$42,MATCH($J516,지역추가비!$A$3:$A$42,0)),0)))</f>
        <v/>
      </c>
      <c r="M516" s="13" t="str">
        <f aca="false">IF($B516="","",IF(COUNTIFS($B$3:$B516,$B516)&gt;1,"",$K516+$L516))</f>
        <v/>
      </c>
      <c r="N516" s="14" t="str">
        <f aca="false">IF($B516="","",COUNTIFS($B$3:$B516,$B516))</f>
        <v/>
      </c>
      <c r="O516" s="14" t="str">
        <f aca="false">IF($B516="","",$B516&amp;"|"&amp;$N516)</f>
        <v/>
      </c>
    </row>
    <row r="517" customFormat="false" ht="15" hidden="false" customHeight="false" outlineLevel="0" collapsed="false">
      <c r="A517" s="12"/>
      <c r="B517" s="9"/>
      <c r="C517" s="9"/>
      <c r="D517" s="9"/>
      <c r="E517" s="9"/>
      <c r="F517" s="9"/>
      <c r="G517" s="9"/>
      <c r="H517" s="7"/>
      <c r="I517" s="13" t="str">
        <f aca="false">IF(OR($G517="",$H517=""),"",ROUND($G517*$H517,0))</f>
        <v/>
      </c>
      <c r="J517" s="8"/>
      <c r="K517" s="13" t="str">
        <f aca="false">IF($B517="","",SUMIFS($I$3:$I$2002,$B$3:$B$2002,$B517))</f>
        <v/>
      </c>
      <c r="L517" s="13" t="str">
        <f aca="false">IF($B517="","",IF(COUNTIFS($B$3:$B517,$B517)&gt;1,0,IFERROR(LOOKUP($K517,배송비규정!$A$3:$A$32,배송비규정!$B$3:$B$32),0)+IFERROR(INDEX(지역추가비!$B$3:$B$42,MATCH($J517,지역추가비!$A$3:$A$42,0)),0)))</f>
        <v/>
      </c>
      <c r="M517" s="13" t="str">
        <f aca="false">IF($B517="","",IF(COUNTIFS($B$3:$B517,$B517)&gt;1,"",$K517+$L517))</f>
        <v/>
      </c>
      <c r="N517" s="14" t="str">
        <f aca="false">IF($B517="","",COUNTIFS($B$3:$B517,$B517))</f>
        <v/>
      </c>
      <c r="O517" s="14" t="str">
        <f aca="false">IF($B517="","",$B517&amp;"|"&amp;$N517)</f>
        <v/>
      </c>
    </row>
    <row r="518" customFormat="false" ht="15" hidden="false" customHeight="false" outlineLevel="0" collapsed="false">
      <c r="A518" s="12"/>
      <c r="B518" s="9"/>
      <c r="C518" s="9"/>
      <c r="D518" s="9"/>
      <c r="E518" s="9"/>
      <c r="F518" s="9"/>
      <c r="G518" s="9"/>
      <c r="H518" s="7"/>
      <c r="I518" s="13" t="str">
        <f aca="false">IF(OR($G518="",$H518=""),"",ROUND($G518*$H518,0))</f>
        <v/>
      </c>
      <c r="J518" s="8"/>
      <c r="K518" s="13" t="str">
        <f aca="false">IF($B518="","",SUMIFS($I$3:$I$2002,$B$3:$B$2002,$B518))</f>
        <v/>
      </c>
      <c r="L518" s="13" t="str">
        <f aca="false">IF($B518="","",IF(COUNTIFS($B$3:$B518,$B518)&gt;1,0,IFERROR(LOOKUP($K518,배송비규정!$A$3:$A$32,배송비규정!$B$3:$B$32),0)+IFERROR(INDEX(지역추가비!$B$3:$B$42,MATCH($J518,지역추가비!$A$3:$A$42,0)),0)))</f>
        <v/>
      </c>
      <c r="M518" s="13" t="str">
        <f aca="false">IF($B518="","",IF(COUNTIFS($B$3:$B518,$B518)&gt;1,"",$K518+$L518))</f>
        <v/>
      </c>
      <c r="N518" s="14" t="str">
        <f aca="false">IF($B518="","",COUNTIFS($B$3:$B518,$B518))</f>
        <v/>
      </c>
      <c r="O518" s="14" t="str">
        <f aca="false">IF($B518="","",$B518&amp;"|"&amp;$N518)</f>
        <v/>
      </c>
    </row>
    <row r="519" customFormat="false" ht="15" hidden="false" customHeight="false" outlineLevel="0" collapsed="false">
      <c r="A519" s="12"/>
      <c r="B519" s="9"/>
      <c r="C519" s="9"/>
      <c r="D519" s="9"/>
      <c r="E519" s="9"/>
      <c r="F519" s="9"/>
      <c r="G519" s="9"/>
      <c r="H519" s="7"/>
      <c r="I519" s="13" t="str">
        <f aca="false">IF(OR($G519="",$H519=""),"",ROUND($G519*$H519,0))</f>
        <v/>
      </c>
      <c r="J519" s="8"/>
      <c r="K519" s="13" t="str">
        <f aca="false">IF($B519="","",SUMIFS($I$3:$I$2002,$B$3:$B$2002,$B519))</f>
        <v/>
      </c>
      <c r="L519" s="13" t="str">
        <f aca="false">IF($B519="","",IF(COUNTIFS($B$3:$B519,$B519)&gt;1,0,IFERROR(LOOKUP($K519,배송비규정!$A$3:$A$32,배송비규정!$B$3:$B$32),0)+IFERROR(INDEX(지역추가비!$B$3:$B$42,MATCH($J519,지역추가비!$A$3:$A$42,0)),0)))</f>
        <v/>
      </c>
      <c r="M519" s="13" t="str">
        <f aca="false">IF($B519="","",IF(COUNTIFS($B$3:$B519,$B519)&gt;1,"",$K519+$L519))</f>
        <v/>
      </c>
      <c r="N519" s="14" t="str">
        <f aca="false">IF($B519="","",COUNTIFS($B$3:$B519,$B519))</f>
        <v/>
      </c>
      <c r="O519" s="14" t="str">
        <f aca="false">IF($B519="","",$B519&amp;"|"&amp;$N519)</f>
        <v/>
      </c>
    </row>
    <row r="520" customFormat="false" ht="15" hidden="false" customHeight="false" outlineLevel="0" collapsed="false">
      <c r="A520" s="12"/>
      <c r="B520" s="9"/>
      <c r="C520" s="9"/>
      <c r="D520" s="9"/>
      <c r="E520" s="9"/>
      <c r="F520" s="9"/>
      <c r="G520" s="9"/>
      <c r="H520" s="7"/>
      <c r="I520" s="13" t="str">
        <f aca="false">IF(OR($G520="",$H520=""),"",ROUND($G520*$H520,0))</f>
        <v/>
      </c>
      <c r="J520" s="8"/>
      <c r="K520" s="13" t="str">
        <f aca="false">IF($B520="","",SUMIFS($I$3:$I$2002,$B$3:$B$2002,$B520))</f>
        <v/>
      </c>
      <c r="L520" s="13" t="str">
        <f aca="false">IF($B520="","",IF(COUNTIFS($B$3:$B520,$B520)&gt;1,0,IFERROR(LOOKUP($K520,배송비규정!$A$3:$A$32,배송비규정!$B$3:$B$32),0)+IFERROR(INDEX(지역추가비!$B$3:$B$42,MATCH($J520,지역추가비!$A$3:$A$42,0)),0)))</f>
        <v/>
      </c>
      <c r="M520" s="13" t="str">
        <f aca="false">IF($B520="","",IF(COUNTIFS($B$3:$B520,$B520)&gt;1,"",$K520+$L520))</f>
        <v/>
      </c>
      <c r="N520" s="14" t="str">
        <f aca="false">IF($B520="","",COUNTIFS($B$3:$B520,$B520))</f>
        <v/>
      </c>
      <c r="O520" s="14" t="str">
        <f aca="false">IF($B520="","",$B520&amp;"|"&amp;$N520)</f>
        <v/>
      </c>
    </row>
    <row r="521" customFormat="false" ht="15" hidden="false" customHeight="false" outlineLevel="0" collapsed="false">
      <c r="A521" s="12"/>
      <c r="B521" s="9"/>
      <c r="C521" s="9"/>
      <c r="D521" s="9"/>
      <c r="E521" s="9"/>
      <c r="F521" s="9"/>
      <c r="G521" s="9"/>
      <c r="H521" s="7"/>
      <c r="I521" s="13" t="str">
        <f aca="false">IF(OR($G521="",$H521=""),"",ROUND($G521*$H521,0))</f>
        <v/>
      </c>
      <c r="J521" s="8"/>
      <c r="K521" s="13" t="str">
        <f aca="false">IF($B521="","",SUMIFS($I$3:$I$2002,$B$3:$B$2002,$B521))</f>
        <v/>
      </c>
      <c r="L521" s="13" t="str">
        <f aca="false">IF($B521="","",IF(COUNTIFS($B$3:$B521,$B521)&gt;1,0,IFERROR(LOOKUP($K521,배송비규정!$A$3:$A$32,배송비규정!$B$3:$B$32),0)+IFERROR(INDEX(지역추가비!$B$3:$B$42,MATCH($J521,지역추가비!$A$3:$A$42,0)),0)))</f>
        <v/>
      </c>
      <c r="M521" s="13" t="str">
        <f aca="false">IF($B521="","",IF(COUNTIFS($B$3:$B521,$B521)&gt;1,"",$K521+$L521))</f>
        <v/>
      </c>
      <c r="N521" s="14" t="str">
        <f aca="false">IF($B521="","",COUNTIFS($B$3:$B521,$B521))</f>
        <v/>
      </c>
      <c r="O521" s="14" t="str">
        <f aca="false">IF($B521="","",$B521&amp;"|"&amp;$N521)</f>
        <v/>
      </c>
    </row>
    <row r="522" customFormat="false" ht="15" hidden="false" customHeight="false" outlineLevel="0" collapsed="false">
      <c r="A522" s="12"/>
      <c r="B522" s="9"/>
      <c r="C522" s="9"/>
      <c r="D522" s="9"/>
      <c r="E522" s="9"/>
      <c r="F522" s="9"/>
      <c r="G522" s="9"/>
      <c r="H522" s="7"/>
      <c r="I522" s="13" t="str">
        <f aca="false">IF(OR($G522="",$H522=""),"",ROUND($G522*$H522,0))</f>
        <v/>
      </c>
      <c r="J522" s="8"/>
      <c r="K522" s="13" t="str">
        <f aca="false">IF($B522="","",SUMIFS($I$3:$I$2002,$B$3:$B$2002,$B522))</f>
        <v/>
      </c>
      <c r="L522" s="13" t="str">
        <f aca="false">IF($B522="","",IF(COUNTIFS($B$3:$B522,$B522)&gt;1,0,IFERROR(LOOKUP($K522,배송비규정!$A$3:$A$32,배송비규정!$B$3:$B$32),0)+IFERROR(INDEX(지역추가비!$B$3:$B$42,MATCH($J522,지역추가비!$A$3:$A$42,0)),0)))</f>
        <v/>
      </c>
      <c r="M522" s="13" t="str">
        <f aca="false">IF($B522="","",IF(COUNTIFS($B$3:$B522,$B522)&gt;1,"",$K522+$L522))</f>
        <v/>
      </c>
      <c r="N522" s="14" t="str">
        <f aca="false">IF($B522="","",COUNTIFS($B$3:$B522,$B522))</f>
        <v/>
      </c>
      <c r="O522" s="14" t="str">
        <f aca="false">IF($B522="","",$B522&amp;"|"&amp;$N522)</f>
        <v/>
      </c>
    </row>
    <row r="523" customFormat="false" ht="15" hidden="false" customHeight="false" outlineLevel="0" collapsed="false">
      <c r="A523" s="12"/>
      <c r="B523" s="9"/>
      <c r="C523" s="9"/>
      <c r="D523" s="9"/>
      <c r="E523" s="9"/>
      <c r="F523" s="9"/>
      <c r="G523" s="9"/>
      <c r="H523" s="7"/>
      <c r="I523" s="13" t="str">
        <f aca="false">IF(OR($G523="",$H523=""),"",ROUND($G523*$H523,0))</f>
        <v/>
      </c>
      <c r="J523" s="8"/>
      <c r="K523" s="13" t="str">
        <f aca="false">IF($B523="","",SUMIFS($I$3:$I$2002,$B$3:$B$2002,$B523))</f>
        <v/>
      </c>
      <c r="L523" s="13" t="str">
        <f aca="false">IF($B523="","",IF(COUNTIFS($B$3:$B523,$B523)&gt;1,0,IFERROR(LOOKUP($K523,배송비규정!$A$3:$A$32,배송비규정!$B$3:$B$32),0)+IFERROR(INDEX(지역추가비!$B$3:$B$42,MATCH($J523,지역추가비!$A$3:$A$42,0)),0)))</f>
        <v/>
      </c>
      <c r="M523" s="13" t="str">
        <f aca="false">IF($B523="","",IF(COUNTIFS($B$3:$B523,$B523)&gt;1,"",$K523+$L523))</f>
        <v/>
      </c>
      <c r="N523" s="14" t="str">
        <f aca="false">IF($B523="","",COUNTIFS($B$3:$B523,$B523))</f>
        <v/>
      </c>
      <c r="O523" s="14" t="str">
        <f aca="false">IF($B523="","",$B523&amp;"|"&amp;$N523)</f>
        <v/>
      </c>
    </row>
    <row r="524" customFormat="false" ht="15" hidden="false" customHeight="false" outlineLevel="0" collapsed="false">
      <c r="A524" s="12"/>
      <c r="B524" s="9"/>
      <c r="C524" s="9"/>
      <c r="D524" s="9"/>
      <c r="E524" s="9"/>
      <c r="F524" s="9"/>
      <c r="G524" s="9"/>
      <c r="H524" s="7"/>
      <c r="I524" s="13" t="str">
        <f aca="false">IF(OR($G524="",$H524=""),"",ROUND($G524*$H524,0))</f>
        <v/>
      </c>
      <c r="J524" s="8"/>
      <c r="K524" s="13" t="str">
        <f aca="false">IF($B524="","",SUMIFS($I$3:$I$2002,$B$3:$B$2002,$B524))</f>
        <v/>
      </c>
      <c r="L524" s="13" t="str">
        <f aca="false">IF($B524="","",IF(COUNTIFS($B$3:$B524,$B524)&gt;1,0,IFERROR(LOOKUP($K524,배송비규정!$A$3:$A$32,배송비규정!$B$3:$B$32),0)+IFERROR(INDEX(지역추가비!$B$3:$B$42,MATCH($J524,지역추가비!$A$3:$A$42,0)),0)))</f>
        <v/>
      </c>
      <c r="M524" s="13" t="str">
        <f aca="false">IF($B524="","",IF(COUNTIFS($B$3:$B524,$B524)&gt;1,"",$K524+$L524))</f>
        <v/>
      </c>
      <c r="N524" s="14" t="str">
        <f aca="false">IF($B524="","",COUNTIFS($B$3:$B524,$B524))</f>
        <v/>
      </c>
      <c r="O524" s="14" t="str">
        <f aca="false">IF($B524="","",$B524&amp;"|"&amp;$N524)</f>
        <v/>
      </c>
    </row>
    <row r="525" customFormat="false" ht="15" hidden="false" customHeight="false" outlineLevel="0" collapsed="false">
      <c r="A525" s="12"/>
      <c r="B525" s="9"/>
      <c r="C525" s="9"/>
      <c r="D525" s="9"/>
      <c r="E525" s="9"/>
      <c r="F525" s="9"/>
      <c r="G525" s="9"/>
      <c r="H525" s="7"/>
      <c r="I525" s="13" t="str">
        <f aca="false">IF(OR($G525="",$H525=""),"",ROUND($G525*$H525,0))</f>
        <v/>
      </c>
      <c r="J525" s="8"/>
      <c r="K525" s="13" t="str">
        <f aca="false">IF($B525="","",SUMIFS($I$3:$I$2002,$B$3:$B$2002,$B525))</f>
        <v/>
      </c>
      <c r="L525" s="13" t="str">
        <f aca="false">IF($B525="","",IF(COUNTIFS($B$3:$B525,$B525)&gt;1,0,IFERROR(LOOKUP($K525,배송비규정!$A$3:$A$32,배송비규정!$B$3:$B$32),0)+IFERROR(INDEX(지역추가비!$B$3:$B$42,MATCH($J525,지역추가비!$A$3:$A$42,0)),0)))</f>
        <v/>
      </c>
      <c r="M525" s="13" t="str">
        <f aca="false">IF($B525="","",IF(COUNTIFS($B$3:$B525,$B525)&gt;1,"",$K525+$L525))</f>
        <v/>
      </c>
      <c r="N525" s="14" t="str">
        <f aca="false">IF($B525="","",COUNTIFS($B$3:$B525,$B525))</f>
        <v/>
      </c>
      <c r="O525" s="14" t="str">
        <f aca="false">IF($B525="","",$B525&amp;"|"&amp;$N525)</f>
        <v/>
      </c>
    </row>
    <row r="526" customFormat="false" ht="15" hidden="false" customHeight="false" outlineLevel="0" collapsed="false">
      <c r="A526" s="12"/>
      <c r="B526" s="9"/>
      <c r="C526" s="9"/>
      <c r="D526" s="9"/>
      <c r="E526" s="9"/>
      <c r="F526" s="9"/>
      <c r="G526" s="9"/>
      <c r="H526" s="7"/>
      <c r="I526" s="13" t="str">
        <f aca="false">IF(OR($G526="",$H526=""),"",ROUND($G526*$H526,0))</f>
        <v/>
      </c>
      <c r="J526" s="8"/>
      <c r="K526" s="13" t="str">
        <f aca="false">IF($B526="","",SUMIFS($I$3:$I$2002,$B$3:$B$2002,$B526))</f>
        <v/>
      </c>
      <c r="L526" s="13" t="str">
        <f aca="false">IF($B526="","",IF(COUNTIFS($B$3:$B526,$B526)&gt;1,0,IFERROR(LOOKUP($K526,배송비규정!$A$3:$A$32,배송비규정!$B$3:$B$32),0)+IFERROR(INDEX(지역추가비!$B$3:$B$42,MATCH($J526,지역추가비!$A$3:$A$42,0)),0)))</f>
        <v/>
      </c>
      <c r="M526" s="13" t="str">
        <f aca="false">IF($B526="","",IF(COUNTIFS($B$3:$B526,$B526)&gt;1,"",$K526+$L526))</f>
        <v/>
      </c>
      <c r="N526" s="14" t="str">
        <f aca="false">IF($B526="","",COUNTIFS($B$3:$B526,$B526))</f>
        <v/>
      </c>
      <c r="O526" s="14" t="str">
        <f aca="false">IF($B526="","",$B526&amp;"|"&amp;$N526)</f>
        <v/>
      </c>
    </row>
    <row r="527" customFormat="false" ht="15" hidden="false" customHeight="false" outlineLevel="0" collapsed="false">
      <c r="A527" s="12"/>
      <c r="B527" s="9"/>
      <c r="C527" s="9"/>
      <c r="D527" s="9"/>
      <c r="E527" s="9"/>
      <c r="F527" s="9"/>
      <c r="G527" s="9"/>
      <c r="H527" s="7"/>
      <c r="I527" s="13" t="str">
        <f aca="false">IF(OR($G527="",$H527=""),"",ROUND($G527*$H527,0))</f>
        <v/>
      </c>
      <c r="J527" s="8"/>
      <c r="K527" s="13" t="str">
        <f aca="false">IF($B527="","",SUMIFS($I$3:$I$2002,$B$3:$B$2002,$B527))</f>
        <v/>
      </c>
      <c r="L527" s="13" t="str">
        <f aca="false">IF($B527="","",IF(COUNTIFS($B$3:$B527,$B527)&gt;1,0,IFERROR(LOOKUP($K527,배송비규정!$A$3:$A$32,배송비규정!$B$3:$B$32),0)+IFERROR(INDEX(지역추가비!$B$3:$B$42,MATCH($J527,지역추가비!$A$3:$A$42,0)),0)))</f>
        <v/>
      </c>
      <c r="M527" s="13" t="str">
        <f aca="false">IF($B527="","",IF(COUNTIFS($B$3:$B527,$B527)&gt;1,"",$K527+$L527))</f>
        <v/>
      </c>
      <c r="N527" s="14" t="str">
        <f aca="false">IF($B527="","",COUNTIFS($B$3:$B527,$B527))</f>
        <v/>
      </c>
      <c r="O527" s="14" t="str">
        <f aca="false">IF($B527="","",$B527&amp;"|"&amp;$N527)</f>
        <v/>
      </c>
    </row>
    <row r="528" customFormat="false" ht="15" hidden="false" customHeight="false" outlineLevel="0" collapsed="false">
      <c r="A528" s="12"/>
      <c r="B528" s="9"/>
      <c r="C528" s="9"/>
      <c r="D528" s="9"/>
      <c r="E528" s="9"/>
      <c r="F528" s="9"/>
      <c r="G528" s="9"/>
      <c r="H528" s="7"/>
      <c r="I528" s="13" t="str">
        <f aca="false">IF(OR($G528="",$H528=""),"",ROUND($G528*$H528,0))</f>
        <v/>
      </c>
      <c r="J528" s="8"/>
      <c r="K528" s="13" t="str">
        <f aca="false">IF($B528="","",SUMIFS($I$3:$I$2002,$B$3:$B$2002,$B528))</f>
        <v/>
      </c>
      <c r="L528" s="13" t="str">
        <f aca="false">IF($B528="","",IF(COUNTIFS($B$3:$B528,$B528)&gt;1,0,IFERROR(LOOKUP($K528,배송비규정!$A$3:$A$32,배송비규정!$B$3:$B$32),0)+IFERROR(INDEX(지역추가비!$B$3:$B$42,MATCH($J528,지역추가비!$A$3:$A$42,0)),0)))</f>
        <v/>
      </c>
      <c r="M528" s="13" t="str">
        <f aca="false">IF($B528="","",IF(COUNTIFS($B$3:$B528,$B528)&gt;1,"",$K528+$L528))</f>
        <v/>
      </c>
      <c r="N528" s="14" t="str">
        <f aca="false">IF($B528="","",COUNTIFS($B$3:$B528,$B528))</f>
        <v/>
      </c>
      <c r="O528" s="14" t="str">
        <f aca="false">IF($B528="","",$B528&amp;"|"&amp;$N528)</f>
        <v/>
      </c>
    </row>
    <row r="529" customFormat="false" ht="15" hidden="false" customHeight="false" outlineLevel="0" collapsed="false">
      <c r="A529" s="12"/>
      <c r="B529" s="9"/>
      <c r="C529" s="9"/>
      <c r="D529" s="9"/>
      <c r="E529" s="9"/>
      <c r="F529" s="9"/>
      <c r="G529" s="9"/>
      <c r="H529" s="7"/>
      <c r="I529" s="13" t="str">
        <f aca="false">IF(OR($G529="",$H529=""),"",ROUND($G529*$H529,0))</f>
        <v/>
      </c>
      <c r="J529" s="8"/>
      <c r="K529" s="13" t="str">
        <f aca="false">IF($B529="","",SUMIFS($I$3:$I$2002,$B$3:$B$2002,$B529))</f>
        <v/>
      </c>
      <c r="L529" s="13" t="str">
        <f aca="false">IF($B529="","",IF(COUNTIFS($B$3:$B529,$B529)&gt;1,0,IFERROR(LOOKUP($K529,배송비규정!$A$3:$A$32,배송비규정!$B$3:$B$32),0)+IFERROR(INDEX(지역추가비!$B$3:$B$42,MATCH($J529,지역추가비!$A$3:$A$42,0)),0)))</f>
        <v/>
      </c>
      <c r="M529" s="13" t="str">
        <f aca="false">IF($B529="","",IF(COUNTIFS($B$3:$B529,$B529)&gt;1,"",$K529+$L529))</f>
        <v/>
      </c>
      <c r="N529" s="14" t="str">
        <f aca="false">IF($B529="","",COUNTIFS($B$3:$B529,$B529))</f>
        <v/>
      </c>
      <c r="O529" s="14" t="str">
        <f aca="false">IF($B529="","",$B529&amp;"|"&amp;$N529)</f>
        <v/>
      </c>
    </row>
    <row r="530" customFormat="false" ht="15" hidden="false" customHeight="false" outlineLevel="0" collapsed="false">
      <c r="A530" s="12"/>
      <c r="B530" s="9"/>
      <c r="C530" s="9"/>
      <c r="D530" s="9"/>
      <c r="E530" s="9"/>
      <c r="F530" s="9"/>
      <c r="G530" s="9"/>
      <c r="H530" s="7"/>
      <c r="I530" s="13" t="str">
        <f aca="false">IF(OR($G530="",$H530=""),"",ROUND($G530*$H530,0))</f>
        <v/>
      </c>
      <c r="J530" s="8"/>
      <c r="K530" s="13" t="str">
        <f aca="false">IF($B530="","",SUMIFS($I$3:$I$2002,$B$3:$B$2002,$B530))</f>
        <v/>
      </c>
      <c r="L530" s="13" t="str">
        <f aca="false">IF($B530="","",IF(COUNTIFS($B$3:$B530,$B530)&gt;1,0,IFERROR(LOOKUP($K530,배송비규정!$A$3:$A$32,배송비규정!$B$3:$B$32),0)+IFERROR(INDEX(지역추가비!$B$3:$B$42,MATCH($J530,지역추가비!$A$3:$A$42,0)),0)))</f>
        <v/>
      </c>
      <c r="M530" s="13" t="str">
        <f aca="false">IF($B530="","",IF(COUNTIFS($B$3:$B530,$B530)&gt;1,"",$K530+$L530))</f>
        <v/>
      </c>
      <c r="N530" s="14" t="str">
        <f aca="false">IF($B530="","",COUNTIFS($B$3:$B530,$B530))</f>
        <v/>
      </c>
      <c r="O530" s="14" t="str">
        <f aca="false">IF($B530="","",$B530&amp;"|"&amp;$N530)</f>
        <v/>
      </c>
    </row>
    <row r="531" customFormat="false" ht="15" hidden="false" customHeight="false" outlineLevel="0" collapsed="false">
      <c r="A531" s="12"/>
      <c r="B531" s="9"/>
      <c r="C531" s="9"/>
      <c r="D531" s="9"/>
      <c r="E531" s="9"/>
      <c r="F531" s="9"/>
      <c r="G531" s="9"/>
      <c r="H531" s="7"/>
      <c r="I531" s="13" t="str">
        <f aca="false">IF(OR($G531="",$H531=""),"",ROUND($G531*$H531,0))</f>
        <v/>
      </c>
      <c r="J531" s="8"/>
      <c r="K531" s="13" t="str">
        <f aca="false">IF($B531="","",SUMIFS($I$3:$I$2002,$B$3:$B$2002,$B531))</f>
        <v/>
      </c>
      <c r="L531" s="13" t="str">
        <f aca="false">IF($B531="","",IF(COUNTIFS($B$3:$B531,$B531)&gt;1,0,IFERROR(LOOKUP($K531,배송비규정!$A$3:$A$32,배송비규정!$B$3:$B$32),0)+IFERROR(INDEX(지역추가비!$B$3:$B$42,MATCH($J531,지역추가비!$A$3:$A$42,0)),0)))</f>
        <v/>
      </c>
      <c r="M531" s="13" t="str">
        <f aca="false">IF($B531="","",IF(COUNTIFS($B$3:$B531,$B531)&gt;1,"",$K531+$L531))</f>
        <v/>
      </c>
      <c r="N531" s="14" t="str">
        <f aca="false">IF($B531="","",COUNTIFS($B$3:$B531,$B531))</f>
        <v/>
      </c>
      <c r="O531" s="14" t="str">
        <f aca="false">IF($B531="","",$B531&amp;"|"&amp;$N531)</f>
        <v/>
      </c>
    </row>
    <row r="532" customFormat="false" ht="15" hidden="false" customHeight="false" outlineLevel="0" collapsed="false">
      <c r="A532" s="12"/>
      <c r="B532" s="9"/>
      <c r="C532" s="9"/>
      <c r="D532" s="9"/>
      <c r="E532" s="9"/>
      <c r="F532" s="9"/>
      <c r="G532" s="9"/>
      <c r="H532" s="7"/>
      <c r="I532" s="13" t="str">
        <f aca="false">IF(OR($G532="",$H532=""),"",ROUND($G532*$H532,0))</f>
        <v/>
      </c>
      <c r="J532" s="8"/>
      <c r="K532" s="13" t="str">
        <f aca="false">IF($B532="","",SUMIFS($I$3:$I$2002,$B$3:$B$2002,$B532))</f>
        <v/>
      </c>
      <c r="L532" s="13" t="str">
        <f aca="false">IF($B532="","",IF(COUNTIFS($B$3:$B532,$B532)&gt;1,0,IFERROR(LOOKUP($K532,배송비규정!$A$3:$A$32,배송비규정!$B$3:$B$32),0)+IFERROR(INDEX(지역추가비!$B$3:$B$42,MATCH($J532,지역추가비!$A$3:$A$42,0)),0)))</f>
        <v/>
      </c>
      <c r="M532" s="13" t="str">
        <f aca="false">IF($B532="","",IF(COUNTIFS($B$3:$B532,$B532)&gt;1,"",$K532+$L532))</f>
        <v/>
      </c>
      <c r="N532" s="14" t="str">
        <f aca="false">IF($B532="","",COUNTIFS($B$3:$B532,$B532))</f>
        <v/>
      </c>
      <c r="O532" s="14" t="str">
        <f aca="false">IF($B532="","",$B532&amp;"|"&amp;$N532)</f>
        <v/>
      </c>
    </row>
    <row r="533" customFormat="false" ht="15" hidden="false" customHeight="false" outlineLevel="0" collapsed="false">
      <c r="A533" s="12"/>
      <c r="B533" s="9"/>
      <c r="C533" s="9"/>
      <c r="D533" s="9"/>
      <c r="E533" s="9"/>
      <c r="F533" s="9"/>
      <c r="G533" s="9"/>
      <c r="H533" s="7"/>
      <c r="I533" s="13" t="str">
        <f aca="false">IF(OR($G533="",$H533=""),"",ROUND($G533*$H533,0))</f>
        <v/>
      </c>
      <c r="J533" s="8"/>
      <c r="K533" s="13" t="str">
        <f aca="false">IF($B533="","",SUMIFS($I$3:$I$2002,$B$3:$B$2002,$B533))</f>
        <v/>
      </c>
      <c r="L533" s="13" t="str">
        <f aca="false">IF($B533="","",IF(COUNTIFS($B$3:$B533,$B533)&gt;1,0,IFERROR(LOOKUP($K533,배송비규정!$A$3:$A$32,배송비규정!$B$3:$B$32),0)+IFERROR(INDEX(지역추가비!$B$3:$B$42,MATCH($J533,지역추가비!$A$3:$A$42,0)),0)))</f>
        <v/>
      </c>
      <c r="M533" s="13" t="str">
        <f aca="false">IF($B533="","",IF(COUNTIFS($B$3:$B533,$B533)&gt;1,"",$K533+$L533))</f>
        <v/>
      </c>
      <c r="N533" s="14" t="str">
        <f aca="false">IF($B533="","",COUNTIFS($B$3:$B533,$B533))</f>
        <v/>
      </c>
      <c r="O533" s="14" t="str">
        <f aca="false">IF($B533="","",$B533&amp;"|"&amp;$N533)</f>
        <v/>
      </c>
    </row>
    <row r="534" customFormat="false" ht="15" hidden="false" customHeight="false" outlineLevel="0" collapsed="false">
      <c r="A534" s="12"/>
      <c r="B534" s="9"/>
      <c r="C534" s="9"/>
      <c r="D534" s="9"/>
      <c r="E534" s="9"/>
      <c r="F534" s="9"/>
      <c r="G534" s="9"/>
      <c r="H534" s="7"/>
      <c r="I534" s="13" t="str">
        <f aca="false">IF(OR($G534="",$H534=""),"",ROUND($G534*$H534,0))</f>
        <v/>
      </c>
      <c r="J534" s="8"/>
      <c r="K534" s="13" t="str">
        <f aca="false">IF($B534="","",SUMIFS($I$3:$I$2002,$B$3:$B$2002,$B534))</f>
        <v/>
      </c>
      <c r="L534" s="13" t="str">
        <f aca="false">IF($B534="","",IF(COUNTIFS($B$3:$B534,$B534)&gt;1,0,IFERROR(LOOKUP($K534,배송비규정!$A$3:$A$32,배송비규정!$B$3:$B$32),0)+IFERROR(INDEX(지역추가비!$B$3:$B$42,MATCH($J534,지역추가비!$A$3:$A$42,0)),0)))</f>
        <v/>
      </c>
      <c r="M534" s="13" t="str">
        <f aca="false">IF($B534="","",IF(COUNTIFS($B$3:$B534,$B534)&gt;1,"",$K534+$L534))</f>
        <v/>
      </c>
      <c r="N534" s="14" t="str">
        <f aca="false">IF($B534="","",COUNTIFS($B$3:$B534,$B534))</f>
        <v/>
      </c>
      <c r="O534" s="14" t="str">
        <f aca="false">IF($B534="","",$B534&amp;"|"&amp;$N534)</f>
        <v/>
      </c>
    </row>
    <row r="535" customFormat="false" ht="15" hidden="false" customHeight="false" outlineLevel="0" collapsed="false">
      <c r="A535" s="12"/>
      <c r="B535" s="9"/>
      <c r="C535" s="9"/>
      <c r="D535" s="9"/>
      <c r="E535" s="9"/>
      <c r="F535" s="9"/>
      <c r="G535" s="9"/>
      <c r="H535" s="7"/>
      <c r="I535" s="13" t="str">
        <f aca="false">IF(OR($G535="",$H535=""),"",ROUND($G535*$H535,0))</f>
        <v/>
      </c>
      <c r="J535" s="8"/>
      <c r="K535" s="13" t="str">
        <f aca="false">IF($B535="","",SUMIFS($I$3:$I$2002,$B$3:$B$2002,$B535))</f>
        <v/>
      </c>
      <c r="L535" s="13" t="str">
        <f aca="false">IF($B535="","",IF(COUNTIFS($B$3:$B535,$B535)&gt;1,0,IFERROR(LOOKUP($K535,배송비규정!$A$3:$A$32,배송비규정!$B$3:$B$32),0)+IFERROR(INDEX(지역추가비!$B$3:$B$42,MATCH($J535,지역추가비!$A$3:$A$42,0)),0)))</f>
        <v/>
      </c>
      <c r="M535" s="13" t="str">
        <f aca="false">IF($B535="","",IF(COUNTIFS($B$3:$B535,$B535)&gt;1,"",$K535+$L535))</f>
        <v/>
      </c>
      <c r="N535" s="14" t="str">
        <f aca="false">IF($B535="","",COUNTIFS($B$3:$B535,$B535))</f>
        <v/>
      </c>
      <c r="O535" s="14" t="str">
        <f aca="false">IF($B535="","",$B535&amp;"|"&amp;$N535)</f>
        <v/>
      </c>
    </row>
    <row r="536" customFormat="false" ht="15" hidden="false" customHeight="false" outlineLevel="0" collapsed="false">
      <c r="A536" s="12"/>
      <c r="B536" s="9"/>
      <c r="C536" s="9"/>
      <c r="D536" s="9"/>
      <c r="E536" s="9"/>
      <c r="F536" s="9"/>
      <c r="G536" s="9"/>
      <c r="H536" s="7"/>
      <c r="I536" s="13" t="str">
        <f aca="false">IF(OR($G536="",$H536=""),"",ROUND($G536*$H536,0))</f>
        <v/>
      </c>
      <c r="J536" s="8"/>
      <c r="K536" s="13" t="str">
        <f aca="false">IF($B536="","",SUMIFS($I$3:$I$2002,$B$3:$B$2002,$B536))</f>
        <v/>
      </c>
      <c r="L536" s="13" t="str">
        <f aca="false">IF($B536="","",IF(COUNTIFS($B$3:$B536,$B536)&gt;1,0,IFERROR(LOOKUP($K536,배송비규정!$A$3:$A$32,배송비규정!$B$3:$B$32),0)+IFERROR(INDEX(지역추가비!$B$3:$B$42,MATCH($J536,지역추가비!$A$3:$A$42,0)),0)))</f>
        <v/>
      </c>
      <c r="M536" s="13" t="str">
        <f aca="false">IF($B536="","",IF(COUNTIFS($B$3:$B536,$B536)&gt;1,"",$K536+$L536))</f>
        <v/>
      </c>
      <c r="N536" s="14" t="str">
        <f aca="false">IF($B536="","",COUNTIFS($B$3:$B536,$B536))</f>
        <v/>
      </c>
      <c r="O536" s="14" t="str">
        <f aca="false">IF($B536="","",$B536&amp;"|"&amp;$N536)</f>
        <v/>
      </c>
    </row>
    <row r="537" customFormat="false" ht="15" hidden="false" customHeight="false" outlineLevel="0" collapsed="false">
      <c r="A537" s="12"/>
      <c r="B537" s="9"/>
      <c r="C537" s="9"/>
      <c r="D537" s="9"/>
      <c r="E537" s="9"/>
      <c r="F537" s="9"/>
      <c r="G537" s="9"/>
      <c r="H537" s="7"/>
      <c r="I537" s="13" t="str">
        <f aca="false">IF(OR($G537="",$H537=""),"",ROUND($G537*$H537,0))</f>
        <v/>
      </c>
      <c r="J537" s="8"/>
      <c r="K537" s="13" t="str">
        <f aca="false">IF($B537="","",SUMIFS($I$3:$I$2002,$B$3:$B$2002,$B537))</f>
        <v/>
      </c>
      <c r="L537" s="13" t="str">
        <f aca="false">IF($B537="","",IF(COUNTIFS($B$3:$B537,$B537)&gt;1,0,IFERROR(LOOKUP($K537,배송비규정!$A$3:$A$32,배송비규정!$B$3:$B$32),0)+IFERROR(INDEX(지역추가비!$B$3:$B$42,MATCH($J537,지역추가비!$A$3:$A$42,0)),0)))</f>
        <v/>
      </c>
      <c r="M537" s="13" t="str">
        <f aca="false">IF($B537="","",IF(COUNTIFS($B$3:$B537,$B537)&gt;1,"",$K537+$L537))</f>
        <v/>
      </c>
      <c r="N537" s="14" t="str">
        <f aca="false">IF($B537="","",COUNTIFS($B$3:$B537,$B537))</f>
        <v/>
      </c>
      <c r="O537" s="14" t="str">
        <f aca="false">IF($B537="","",$B537&amp;"|"&amp;$N537)</f>
        <v/>
      </c>
    </row>
    <row r="538" customFormat="false" ht="15" hidden="false" customHeight="false" outlineLevel="0" collapsed="false">
      <c r="A538" s="12"/>
      <c r="B538" s="9"/>
      <c r="C538" s="9"/>
      <c r="D538" s="9"/>
      <c r="E538" s="9"/>
      <c r="F538" s="9"/>
      <c r="G538" s="9"/>
      <c r="H538" s="7"/>
      <c r="I538" s="13" t="str">
        <f aca="false">IF(OR($G538="",$H538=""),"",ROUND($G538*$H538,0))</f>
        <v/>
      </c>
      <c r="J538" s="8"/>
      <c r="K538" s="13" t="str">
        <f aca="false">IF($B538="","",SUMIFS($I$3:$I$2002,$B$3:$B$2002,$B538))</f>
        <v/>
      </c>
      <c r="L538" s="13" t="str">
        <f aca="false">IF($B538="","",IF(COUNTIFS($B$3:$B538,$B538)&gt;1,0,IFERROR(LOOKUP($K538,배송비규정!$A$3:$A$32,배송비규정!$B$3:$B$32),0)+IFERROR(INDEX(지역추가비!$B$3:$B$42,MATCH($J538,지역추가비!$A$3:$A$42,0)),0)))</f>
        <v/>
      </c>
      <c r="M538" s="13" t="str">
        <f aca="false">IF($B538="","",IF(COUNTIFS($B$3:$B538,$B538)&gt;1,"",$K538+$L538))</f>
        <v/>
      </c>
      <c r="N538" s="14" t="str">
        <f aca="false">IF($B538="","",COUNTIFS($B$3:$B538,$B538))</f>
        <v/>
      </c>
      <c r="O538" s="14" t="str">
        <f aca="false">IF($B538="","",$B538&amp;"|"&amp;$N538)</f>
        <v/>
      </c>
    </row>
    <row r="539" customFormat="false" ht="15" hidden="false" customHeight="false" outlineLevel="0" collapsed="false">
      <c r="A539" s="12"/>
      <c r="B539" s="9"/>
      <c r="C539" s="9"/>
      <c r="D539" s="9"/>
      <c r="E539" s="9"/>
      <c r="F539" s="9"/>
      <c r="G539" s="9"/>
      <c r="H539" s="7"/>
      <c r="I539" s="13" t="str">
        <f aca="false">IF(OR($G539="",$H539=""),"",ROUND($G539*$H539,0))</f>
        <v/>
      </c>
      <c r="J539" s="8"/>
      <c r="K539" s="13" t="str">
        <f aca="false">IF($B539="","",SUMIFS($I$3:$I$2002,$B$3:$B$2002,$B539))</f>
        <v/>
      </c>
      <c r="L539" s="13" t="str">
        <f aca="false">IF($B539="","",IF(COUNTIFS($B$3:$B539,$B539)&gt;1,0,IFERROR(LOOKUP($K539,배송비규정!$A$3:$A$32,배송비규정!$B$3:$B$32),0)+IFERROR(INDEX(지역추가비!$B$3:$B$42,MATCH($J539,지역추가비!$A$3:$A$42,0)),0)))</f>
        <v/>
      </c>
      <c r="M539" s="13" t="str">
        <f aca="false">IF($B539="","",IF(COUNTIFS($B$3:$B539,$B539)&gt;1,"",$K539+$L539))</f>
        <v/>
      </c>
      <c r="N539" s="14" t="str">
        <f aca="false">IF($B539="","",COUNTIFS($B$3:$B539,$B539))</f>
        <v/>
      </c>
      <c r="O539" s="14" t="str">
        <f aca="false">IF($B539="","",$B539&amp;"|"&amp;$N539)</f>
        <v/>
      </c>
    </row>
    <row r="540" customFormat="false" ht="15" hidden="false" customHeight="false" outlineLevel="0" collapsed="false">
      <c r="A540" s="12"/>
      <c r="B540" s="9"/>
      <c r="C540" s="9"/>
      <c r="D540" s="9"/>
      <c r="E540" s="9"/>
      <c r="F540" s="9"/>
      <c r="G540" s="9"/>
      <c r="H540" s="7"/>
      <c r="I540" s="13" t="str">
        <f aca="false">IF(OR($G540="",$H540=""),"",ROUND($G540*$H540,0))</f>
        <v/>
      </c>
      <c r="J540" s="8"/>
      <c r="K540" s="13" t="str">
        <f aca="false">IF($B540="","",SUMIFS($I$3:$I$2002,$B$3:$B$2002,$B540))</f>
        <v/>
      </c>
      <c r="L540" s="13" t="str">
        <f aca="false">IF($B540="","",IF(COUNTIFS($B$3:$B540,$B540)&gt;1,0,IFERROR(LOOKUP($K540,배송비규정!$A$3:$A$32,배송비규정!$B$3:$B$32),0)+IFERROR(INDEX(지역추가비!$B$3:$B$42,MATCH($J540,지역추가비!$A$3:$A$42,0)),0)))</f>
        <v/>
      </c>
      <c r="M540" s="13" t="str">
        <f aca="false">IF($B540="","",IF(COUNTIFS($B$3:$B540,$B540)&gt;1,"",$K540+$L540))</f>
        <v/>
      </c>
      <c r="N540" s="14" t="str">
        <f aca="false">IF($B540="","",COUNTIFS($B$3:$B540,$B540))</f>
        <v/>
      </c>
      <c r="O540" s="14" t="str">
        <f aca="false">IF($B540="","",$B540&amp;"|"&amp;$N540)</f>
        <v/>
      </c>
    </row>
    <row r="541" customFormat="false" ht="15" hidden="false" customHeight="false" outlineLevel="0" collapsed="false">
      <c r="A541" s="12"/>
      <c r="B541" s="9"/>
      <c r="C541" s="9"/>
      <c r="D541" s="9"/>
      <c r="E541" s="9"/>
      <c r="F541" s="9"/>
      <c r="G541" s="9"/>
      <c r="H541" s="7"/>
      <c r="I541" s="13" t="str">
        <f aca="false">IF(OR($G541="",$H541=""),"",ROUND($G541*$H541,0))</f>
        <v/>
      </c>
      <c r="J541" s="8"/>
      <c r="K541" s="13" t="str">
        <f aca="false">IF($B541="","",SUMIFS($I$3:$I$2002,$B$3:$B$2002,$B541))</f>
        <v/>
      </c>
      <c r="L541" s="13" t="str">
        <f aca="false">IF($B541="","",IF(COUNTIFS($B$3:$B541,$B541)&gt;1,0,IFERROR(LOOKUP($K541,배송비규정!$A$3:$A$32,배송비규정!$B$3:$B$32),0)+IFERROR(INDEX(지역추가비!$B$3:$B$42,MATCH($J541,지역추가비!$A$3:$A$42,0)),0)))</f>
        <v/>
      </c>
      <c r="M541" s="13" t="str">
        <f aca="false">IF($B541="","",IF(COUNTIFS($B$3:$B541,$B541)&gt;1,"",$K541+$L541))</f>
        <v/>
      </c>
      <c r="N541" s="14" t="str">
        <f aca="false">IF($B541="","",COUNTIFS($B$3:$B541,$B541))</f>
        <v/>
      </c>
      <c r="O541" s="14" t="str">
        <f aca="false">IF($B541="","",$B541&amp;"|"&amp;$N541)</f>
        <v/>
      </c>
    </row>
    <row r="542" customFormat="false" ht="15" hidden="false" customHeight="false" outlineLevel="0" collapsed="false">
      <c r="A542" s="12"/>
      <c r="B542" s="9"/>
      <c r="C542" s="9"/>
      <c r="D542" s="9"/>
      <c r="E542" s="9"/>
      <c r="F542" s="9"/>
      <c r="G542" s="9"/>
      <c r="H542" s="7"/>
      <c r="I542" s="13" t="str">
        <f aca="false">IF(OR($G542="",$H542=""),"",ROUND($G542*$H542,0))</f>
        <v/>
      </c>
      <c r="J542" s="8"/>
      <c r="K542" s="13" t="str">
        <f aca="false">IF($B542="","",SUMIFS($I$3:$I$2002,$B$3:$B$2002,$B542))</f>
        <v/>
      </c>
      <c r="L542" s="13" t="str">
        <f aca="false">IF($B542="","",IF(COUNTIFS($B$3:$B542,$B542)&gt;1,0,IFERROR(LOOKUP($K542,배송비규정!$A$3:$A$32,배송비규정!$B$3:$B$32),0)+IFERROR(INDEX(지역추가비!$B$3:$B$42,MATCH($J542,지역추가비!$A$3:$A$42,0)),0)))</f>
        <v/>
      </c>
      <c r="M542" s="13" t="str">
        <f aca="false">IF($B542="","",IF(COUNTIFS($B$3:$B542,$B542)&gt;1,"",$K542+$L542))</f>
        <v/>
      </c>
      <c r="N542" s="14" t="str">
        <f aca="false">IF($B542="","",COUNTIFS($B$3:$B542,$B542))</f>
        <v/>
      </c>
      <c r="O542" s="14" t="str">
        <f aca="false">IF($B542="","",$B542&amp;"|"&amp;$N542)</f>
        <v/>
      </c>
    </row>
    <row r="543" customFormat="false" ht="15" hidden="false" customHeight="false" outlineLevel="0" collapsed="false">
      <c r="A543" s="12"/>
      <c r="B543" s="9"/>
      <c r="C543" s="9"/>
      <c r="D543" s="9"/>
      <c r="E543" s="9"/>
      <c r="F543" s="9"/>
      <c r="G543" s="9"/>
      <c r="H543" s="7"/>
      <c r="I543" s="13" t="str">
        <f aca="false">IF(OR($G543="",$H543=""),"",ROUND($G543*$H543,0))</f>
        <v/>
      </c>
      <c r="J543" s="8"/>
      <c r="K543" s="13" t="str">
        <f aca="false">IF($B543="","",SUMIFS($I$3:$I$2002,$B$3:$B$2002,$B543))</f>
        <v/>
      </c>
      <c r="L543" s="13" t="str">
        <f aca="false">IF($B543="","",IF(COUNTIFS($B$3:$B543,$B543)&gt;1,0,IFERROR(LOOKUP($K543,배송비규정!$A$3:$A$32,배송비규정!$B$3:$B$32),0)+IFERROR(INDEX(지역추가비!$B$3:$B$42,MATCH($J543,지역추가비!$A$3:$A$42,0)),0)))</f>
        <v/>
      </c>
      <c r="M543" s="13" t="str">
        <f aca="false">IF($B543="","",IF(COUNTIFS($B$3:$B543,$B543)&gt;1,"",$K543+$L543))</f>
        <v/>
      </c>
      <c r="N543" s="14" t="str">
        <f aca="false">IF($B543="","",COUNTIFS($B$3:$B543,$B543))</f>
        <v/>
      </c>
      <c r="O543" s="14" t="str">
        <f aca="false">IF($B543="","",$B543&amp;"|"&amp;$N543)</f>
        <v/>
      </c>
    </row>
    <row r="544" customFormat="false" ht="15" hidden="false" customHeight="false" outlineLevel="0" collapsed="false">
      <c r="A544" s="12"/>
      <c r="B544" s="9"/>
      <c r="C544" s="9"/>
      <c r="D544" s="9"/>
      <c r="E544" s="9"/>
      <c r="F544" s="9"/>
      <c r="G544" s="9"/>
      <c r="H544" s="7"/>
      <c r="I544" s="13" t="str">
        <f aca="false">IF(OR($G544="",$H544=""),"",ROUND($G544*$H544,0))</f>
        <v/>
      </c>
      <c r="J544" s="8"/>
      <c r="K544" s="13" t="str">
        <f aca="false">IF($B544="","",SUMIFS($I$3:$I$2002,$B$3:$B$2002,$B544))</f>
        <v/>
      </c>
      <c r="L544" s="13" t="str">
        <f aca="false">IF($B544="","",IF(COUNTIFS($B$3:$B544,$B544)&gt;1,0,IFERROR(LOOKUP($K544,배송비규정!$A$3:$A$32,배송비규정!$B$3:$B$32),0)+IFERROR(INDEX(지역추가비!$B$3:$B$42,MATCH($J544,지역추가비!$A$3:$A$42,0)),0)))</f>
        <v/>
      </c>
      <c r="M544" s="13" t="str">
        <f aca="false">IF($B544="","",IF(COUNTIFS($B$3:$B544,$B544)&gt;1,"",$K544+$L544))</f>
        <v/>
      </c>
      <c r="N544" s="14" t="str">
        <f aca="false">IF($B544="","",COUNTIFS($B$3:$B544,$B544))</f>
        <v/>
      </c>
      <c r="O544" s="14" t="str">
        <f aca="false">IF($B544="","",$B544&amp;"|"&amp;$N544)</f>
        <v/>
      </c>
    </row>
    <row r="545" customFormat="false" ht="15" hidden="false" customHeight="false" outlineLevel="0" collapsed="false">
      <c r="A545" s="12"/>
      <c r="B545" s="9"/>
      <c r="C545" s="9"/>
      <c r="D545" s="9"/>
      <c r="E545" s="9"/>
      <c r="F545" s="9"/>
      <c r="G545" s="9"/>
      <c r="H545" s="7"/>
      <c r="I545" s="13" t="str">
        <f aca="false">IF(OR($G545="",$H545=""),"",ROUND($G545*$H545,0))</f>
        <v/>
      </c>
      <c r="J545" s="8"/>
      <c r="K545" s="13" t="str">
        <f aca="false">IF($B545="","",SUMIFS($I$3:$I$2002,$B$3:$B$2002,$B545))</f>
        <v/>
      </c>
      <c r="L545" s="13" t="str">
        <f aca="false">IF($B545="","",IF(COUNTIFS($B$3:$B545,$B545)&gt;1,0,IFERROR(LOOKUP($K545,배송비규정!$A$3:$A$32,배송비규정!$B$3:$B$32),0)+IFERROR(INDEX(지역추가비!$B$3:$B$42,MATCH($J545,지역추가비!$A$3:$A$42,0)),0)))</f>
        <v/>
      </c>
      <c r="M545" s="13" t="str">
        <f aca="false">IF($B545="","",IF(COUNTIFS($B$3:$B545,$B545)&gt;1,"",$K545+$L545))</f>
        <v/>
      </c>
      <c r="N545" s="14" t="str">
        <f aca="false">IF($B545="","",COUNTIFS($B$3:$B545,$B545))</f>
        <v/>
      </c>
      <c r="O545" s="14" t="str">
        <f aca="false">IF($B545="","",$B545&amp;"|"&amp;$N545)</f>
        <v/>
      </c>
    </row>
    <row r="546" customFormat="false" ht="15" hidden="false" customHeight="false" outlineLevel="0" collapsed="false">
      <c r="A546" s="12"/>
      <c r="B546" s="9"/>
      <c r="C546" s="9"/>
      <c r="D546" s="9"/>
      <c r="E546" s="9"/>
      <c r="F546" s="9"/>
      <c r="G546" s="9"/>
      <c r="H546" s="7"/>
      <c r="I546" s="13" t="str">
        <f aca="false">IF(OR($G546="",$H546=""),"",ROUND($G546*$H546,0))</f>
        <v/>
      </c>
      <c r="J546" s="8"/>
      <c r="K546" s="13" t="str">
        <f aca="false">IF($B546="","",SUMIFS($I$3:$I$2002,$B$3:$B$2002,$B546))</f>
        <v/>
      </c>
      <c r="L546" s="13" t="str">
        <f aca="false">IF($B546="","",IF(COUNTIFS($B$3:$B546,$B546)&gt;1,0,IFERROR(LOOKUP($K546,배송비규정!$A$3:$A$32,배송비규정!$B$3:$B$32),0)+IFERROR(INDEX(지역추가비!$B$3:$B$42,MATCH($J546,지역추가비!$A$3:$A$42,0)),0)))</f>
        <v/>
      </c>
      <c r="M546" s="13" t="str">
        <f aca="false">IF($B546="","",IF(COUNTIFS($B$3:$B546,$B546)&gt;1,"",$K546+$L546))</f>
        <v/>
      </c>
      <c r="N546" s="14" t="str">
        <f aca="false">IF($B546="","",COUNTIFS($B$3:$B546,$B546))</f>
        <v/>
      </c>
      <c r="O546" s="14" t="str">
        <f aca="false">IF($B546="","",$B546&amp;"|"&amp;$N546)</f>
        <v/>
      </c>
    </row>
    <row r="547" customFormat="false" ht="15" hidden="false" customHeight="false" outlineLevel="0" collapsed="false">
      <c r="A547" s="12"/>
      <c r="B547" s="9"/>
      <c r="C547" s="9"/>
      <c r="D547" s="9"/>
      <c r="E547" s="9"/>
      <c r="F547" s="9"/>
      <c r="G547" s="9"/>
      <c r="H547" s="7"/>
      <c r="I547" s="13" t="str">
        <f aca="false">IF(OR($G547="",$H547=""),"",ROUND($G547*$H547,0))</f>
        <v/>
      </c>
      <c r="J547" s="8"/>
      <c r="K547" s="13" t="str">
        <f aca="false">IF($B547="","",SUMIFS($I$3:$I$2002,$B$3:$B$2002,$B547))</f>
        <v/>
      </c>
      <c r="L547" s="13" t="str">
        <f aca="false">IF($B547="","",IF(COUNTIFS($B$3:$B547,$B547)&gt;1,0,IFERROR(LOOKUP($K547,배송비규정!$A$3:$A$32,배송비규정!$B$3:$B$32),0)+IFERROR(INDEX(지역추가비!$B$3:$B$42,MATCH($J547,지역추가비!$A$3:$A$42,0)),0)))</f>
        <v/>
      </c>
      <c r="M547" s="13" t="str">
        <f aca="false">IF($B547="","",IF(COUNTIFS($B$3:$B547,$B547)&gt;1,"",$K547+$L547))</f>
        <v/>
      </c>
      <c r="N547" s="14" t="str">
        <f aca="false">IF($B547="","",COUNTIFS($B$3:$B547,$B547))</f>
        <v/>
      </c>
      <c r="O547" s="14" t="str">
        <f aca="false">IF($B547="","",$B547&amp;"|"&amp;$N547)</f>
        <v/>
      </c>
    </row>
    <row r="548" customFormat="false" ht="15" hidden="false" customHeight="false" outlineLevel="0" collapsed="false">
      <c r="A548" s="12"/>
      <c r="B548" s="9"/>
      <c r="C548" s="9"/>
      <c r="D548" s="9"/>
      <c r="E548" s="9"/>
      <c r="F548" s="9"/>
      <c r="G548" s="9"/>
      <c r="H548" s="7"/>
      <c r="I548" s="13" t="str">
        <f aca="false">IF(OR($G548="",$H548=""),"",ROUND($G548*$H548,0))</f>
        <v/>
      </c>
      <c r="J548" s="8"/>
      <c r="K548" s="13" t="str">
        <f aca="false">IF($B548="","",SUMIFS($I$3:$I$2002,$B$3:$B$2002,$B548))</f>
        <v/>
      </c>
      <c r="L548" s="13" t="str">
        <f aca="false">IF($B548="","",IF(COUNTIFS($B$3:$B548,$B548)&gt;1,0,IFERROR(LOOKUP($K548,배송비규정!$A$3:$A$32,배송비규정!$B$3:$B$32),0)+IFERROR(INDEX(지역추가비!$B$3:$B$42,MATCH($J548,지역추가비!$A$3:$A$42,0)),0)))</f>
        <v/>
      </c>
      <c r="M548" s="13" t="str">
        <f aca="false">IF($B548="","",IF(COUNTIFS($B$3:$B548,$B548)&gt;1,"",$K548+$L548))</f>
        <v/>
      </c>
      <c r="N548" s="14" t="str">
        <f aca="false">IF($B548="","",COUNTIFS($B$3:$B548,$B548))</f>
        <v/>
      </c>
      <c r="O548" s="14" t="str">
        <f aca="false">IF($B548="","",$B548&amp;"|"&amp;$N548)</f>
        <v/>
      </c>
    </row>
    <row r="549" customFormat="false" ht="15" hidden="false" customHeight="false" outlineLevel="0" collapsed="false">
      <c r="A549" s="12"/>
      <c r="B549" s="9"/>
      <c r="C549" s="9"/>
      <c r="D549" s="9"/>
      <c r="E549" s="9"/>
      <c r="F549" s="9"/>
      <c r="G549" s="9"/>
      <c r="H549" s="7"/>
      <c r="I549" s="13" t="str">
        <f aca="false">IF(OR($G549="",$H549=""),"",ROUND($G549*$H549,0))</f>
        <v/>
      </c>
      <c r="J549" s="8"/>
      <c r="K549" s="13" t="str">
        <f aca="false">IF($B549="","",SUMIFS($I$3:$I$2002,$B$3:$B$2002,$B549))</f>
        <v/>
      </c>
      <c r="L549" s="13" t="str">
        <f aca="false">IF($B549="","",IF(COUNTIFS($B$3:$B549,$B549)&gt;1,0,IFERROR(LOOKUP($K549,배송비규정!$A$3:$A$32,배송비규정!$B$3:$B$32),0)+IFERROR(INDEX(지역추가비!$B$3:$B$42,MATCH($J549,지역추가비!$A$3:$A$42,0)),0)))</f>
        <v/>
      </c>
      <c r="M549" s="13" t="str">
        <f aca="false">IF($B549="","",IF(COUNTIFS($B$3:$B549,$B549)&gt;1,"",$K549+$L549))</f>
        <v/>
      </c>
      <c r="N549" s="14" t="str">
        <f aca="false">IF($B549="","",COUNTIFS($B$3:$B549,$B549))</f>
        <v/>
      </c>
      <c r="O549" s="14" t="str">
        <f aca="false">IF($B549="","",$B549&amp;"|"&amp;$N549)</f>
        <v/>
      </c>
    </row>
    <row r="550" customFormat="false" ht="15" hidden="false" customHeight="false" outlineLevel="0" collapsed="false">
      <c r="A550" s="12"/>
      <c r="B550" s="9"/>
      <c r="C550" s="9"/>
      <c r="D550" s="9"/>
      <c r="E550" s="9"/>
      <c r="F550" s="9"/>
      <c r="G550" s="9"/>
      <c r="H550" s="7"/>
      <c r="I550" s="13" t="str">
        <f aca="false">IF(OR($G550="",$H550=""),"",ROUND($G550*$H550,0))</f>
        <v/>
      </c>
      <c r="J550" s="8"/>
      <c r="K550" s="13" t="str">
        <f aca="false">IF($B550="","",SUMIFS($I$3:$I$2002,$B$3:$B$2002,$B550))</f>
        <v/>
      </c>
      <c r="L550" s="13" t="str">
        <f aca="false">IF($B550="","",IF(COUNTIFS($B$3:$B550,$B550)&gt;1,0,IFERROR(LOOKUP($K550,배송비규정!$A$3:$A$32,배송비규정!$B$3:$B$32),0)+IFERROR(INDEX(지역추가비!$B$3:$B$42,MATCH($J550,지역추가비!$A$3:$A$42,0)),0)))</f>
        <v/>
      </c>
      <c r="M550" s="13" t="str">
        <f aca="false">IF($B550="","",IF(COUNTIFS($B$3:$B550,$B550)&gt;1,"",$K550+$L550))</f>
        <v/>
      </c>
      <c r="N550" s="14" t="str">
        <f aca="false">IF($B550="","",COUNTIFS($B$3:$B550,$B550))</f>
        <v/>
      </c>
      <c r="O550" s="14" t="str">
        <f aca="false">IF($B550="","",$B550&amp;"|"&amp;$N550)</f>
        <v/>
      </c>
    </row>
    <row r="551" customFormat="false" ht="15" hidden="false" customHeight="false" outlineLevel="0" collapsed="false">
      <c r="A551" s="12"/>
      <c r="B551" s="9"/>
      <c r="C551" s="9"/>
      <c r="D551" s="9"/>
      <c r="E551" s="9"/>
      <c r="F551" s="9"/>
      <c r="G551" s="9"/>
      <c r="H551" s="7"/>
      <c r="I551" s="13" t="str">
        <f aca="false">IF(OR($G551="",$H551=""),"",ROUND($G551*$H551,0))</f>
        <v/>
      </c>
      <c r="J551" s="8"/>
      <c r="K551" s="13" t="str">
        <f aca="false">IF($B551="","",SUMIFS($I$3:$I$2002,$B$3:$B$2002,$B551))</f>
        <v/>
      </c>
      <c r="L551" s="13" t="str">
        <f aca="false">IF($B551="","",IF(COUNTIFS($B$3:$B551,$B551)&gt;1,0,IFERROR(LOOKUP($K551,배송비규정!$A$3:$A$32,배송비규정!$B$3:$B$32),0)+IFERROR(INDEX(지역추가비!$B$3:$B$42,MATCH($J551,지역추가비!$A$3:$A$42,0)),0)))</f>
        <v/>
      </c>
      <c r="M551" s="13" t="str">
        <f aca="false">IF($B551="","",IF(COUNTIFS($B$3:$B551,$B551)&gt;1,"",$K551+$L551))</f>
        <v/>
      </c>
      <c r="N551" s="14" t="str">
        <f aca="false">IF($B551="","",COUNTIFS($B$3:$B551,$B551))</f>
        <v/>
      </c>
      <c r="O551" s="14" t="str">
        <f aca="false">IF($B551="","",$B551&amp;"|"&amp;$N551)</f>
        <v/>
      </c>
    </row>
    <row r="552" customFormat="false" ht="15" hidden="false" customHeight="false" outlineLevel="0" collapsed="false">
      <c r="A552" s="12"/>
      <c r="B552" s="9"/>
      <c r="C552" s="9"/>
      <c r="D552" s="9"/>
      <c r="E552" s="9"/>
      <c r="F552" s="9"/>
      <c r="G552" s="9"/>
      <c r="H552" s="7"/>
      <c r="I552" s="13" t="str">
        <f aca="false">IF(OR($G552="",$H552=""),"",ROUND($G552*$H552,0))</f>
        <v/>
      </c>
      <c r="J552" s="8"/>
      <c r="K552" s="13" t="str">
        <f aca="false">IF($B552="","",SUMIFS($I$3:$I$2002,$B$3:$B$2002,$B552))</f>
        <v/>
      </c>
      <c r="L552" s="13" t="str">
        <f aca="false">IF($B552="","",IF(COUNTIFS($B$3:$B552,$B552)&gt;1,0,IFERROR(LOOKUP($K552,배송비규정!$A$3:$A$32,배송비규정!$B$3:$B$32),0)+IFERROR(INDEX(지역추가비!$B$3:$B$42,MATCH($J552,지역추가비!$A$3:$A$42,0)),0)))</f>
        <v/>
      </c>
      <c r="M552" s="13" t="str">
        <f aca="false">IF($B552="","",IF(COUNTIFS($B$3:$B552,$B552)&gt;1,"",$K552+$L552))</f>
        <v/>
      </c>
      <c r="N552" s="14" t="str">
        <f aca="false">IF($B552="","",COUNTIFS($B$3:$B552,$B552))</f>
        <v/>
      </c>
      <c r="O552" s="14" t="str">
        <f aca="false">IF($B552="","",$B552&amp;"|"&amp;$N552)</f>
        <v/>
      </c>
    </row>
    <row r="553" customFormat="false" ht="15" hidden="false" customHeight="false" outlineLevel="0" collapsed="false">
      <c r="A553" s="12"/>
      <c r="B553" s="9"/>
      <c r="C553" s="9"/>
      <c r="D553" s="9"/>
      <c r="E553" s="9"/>
      <c r="F553" s="9"/>
      <c r="G553" s="9"/>
      <c r="H553" s="7"/>
      <c r="I553" s="13" t="str">
        <f aca="false">IF(OR($G553="",$H553=""),"",ROUND($G553*$H553,0))</f>
        <v/>
      </c>
      <c r="J553" s="8"/>
      <c r="K553" s="13" t="str">
        <f aca="false">IF($B553="","",SUMIFS($I$3:$I$2002,$B$3:$B$2002,$B553))</f>
        <v/>
      </c>
      <c r="L553" s="13" t="str">
        <f aca="false">IF($B553="","",IF(COUNTIFS($B$3:$B553,$B553)&gt;1,0,IFERROR(LOOKUP($K553,배송비규정!$A$3:$A$32,배송비규정!$B$3:$B$32),0)+IFERROR(INDEX(지역추가비!$B$3:$B$42,MATCH($J553,지역추가비!$A$3:$A$42,0)),0)))</f>
        <v/>
      </c>
      <c r="M553" s="13" t="str">
        <f aca="false">IF($B553="","",IF(COUNTIFS($B$3:$B553,$B553)&gt;1,"",$K553+$L553))</f>
        <v/>
      </c>
      <c r="N553" s="14" t="str">
        <f aca="false">IF($B553="","",COUNTIFS($B$3:$B553,$B553))</f>
        <v/>
      </c>
      <c r="O553" s="14" t="str">
        <f aca="false">IF($B553="","",$B553&amp;"|"&amp;$N553)</f>
        <v/>
      </c>
    </row>
    <row r="554" customFormat="false" ht="15" hidden="false" customHeight="false" outlineLevel="0" collapsed="false">
      <c r="A554" s="12"/>
      <c r="B554" s="9"/>
      <c r="C554" s="9"/>
      <c r="D554" s="9"/>
      <c r="E554" s="9"/>
      <c r="F554" s="9"/>
      <c r="G554" s="9"/>
      <c r="H554" s="7"/>
      <c r="I554" s="13" t="str">
        <f aca="false">IF(OR($G554="",$H554=""),"",ROUND($G554*$H554,0))</f>
        <v/>
      </c>
      <c r="J554" s="8"/>
      <c r="K554" s="13" t="str">
        <f aca="false">IF($B554="","",SUMIFS($I$3:$I$2002,$B$3:$B$2002,$B554))</f>
        <v/>
      </c>
      <c r="L554" s="13" t="str">
        <f aca="false">IF($B554="","",IF(COUNTIFS($B$3:$B554,$B554)&gt;1,0,IFERROR(LOOKUP($K554,배송비규정!$A$3:$A$32,배송비규정!$B$3:$B$32),0)+IFERROR(INDEX(지역추가비!$B$3:$B$42,MATCH($J554,지역추가비!$A$3:$A$42,0)),0)))</f>
        <v/>
      </c>
      <c r="M554" s="13" t="str">
        <f aca="false">IF($B554="","",IF(COUNTIFS($B$3:$B554,$B554)&gt;1,"",$K554+$L554))</f>
        <v/>
      </c>
      <c r="N554" s="14" t="str">
        <f aca="false">IF($B554="","",COUNTIFS($B$3:$B554,$B554))</f>
        <v/>
      </c>
      <c r="O554" s="14" t="str">
        <f aca="false">IF($B554="","",$B554&amp;"|"&amp;$N554)</f>
        <v/>
      </c>
    </row>
    <row r="555" customFormat="false" ht="15" hidden="false" customHeight="false" outlineLevel="0" collapsed="false">
      <c r="A555" s="12"/>
      <c r="B555" s="9"/>
      <c r="C555" s="9"/>
      <c r="D555" s="9"/>
      <c r="E555" s="9"/>
      <c r="F555" s="9"/>
      <c r="G555" s="9"/>
      <c r="H555" s="7"/>
      <c r="I555" s="13" t="str">
        <f aca="false">IF(OR($G555="",$H555=""),"",ROUND($G555*$H555,0))</f>
        <v/>
      </c>
      <c r="J555" s="8"/>
      <c r="K555" s="13" t="str">
        <f aca="false">IF($B555="","",SUMIFS($I$3:$I$2002,$B$3:$B$2002,$B555))</f>
        <v/>
      </c>
      <c r="L555" s="13" t="str">
        <f aca="false">IF($B555="","",IF(COUNTIFS($B$3:$B555,$B555)&gt;1,0,IFERROR(LOOKUP($K555,배송비규정!$A$3:$A$32,배송비규정!$B$3:$B$32),0)+IFERROR(INDEX(지역추가비!$B$3:$B$42,MATCH($J555,지역추가비!$A$3:$A$42,0)),0)))</f>
        <v/>
      </c>
      <c r="M555" s="13" t="str">
        <f aca="false">IF($B555="","",IF(COUNTIFS($B$3:$B555,$B555)&gt;1,"",$K555+$L555))</f>
        <v/>
      </c>
      <c r="N555" s="14" t="str">
        <f aca="false">IF($B555="","",COUNTIFS($B$3:$B555,$B555))</f>
        <v/>
      </c>
      <c r="O555" s="14" t="str">
        <f aca="false">IF($B555="","",$B555&amp;"|"&amp;$N555)</f>
        <v/>
      </c>
    </row>
    <row r="556" customFormat="false" ht="15" hidden="false" customHeight="false" outlineLevel="0" collapsed="false">
      <c r="A556" s="12"/>
      <c r="B556" s="9"/>
      <c r="C556" s="9"/>
      <c r="D556" s="9"/>
      <c r="E556" s="9"/>
      <c r="F556" s="9"/>
      <c r="G556" s="9"/>
      <c r="H556" s="7"/>
      <c r="I556" s="13" t="str">
        <f aca="false">IF(OR($G556="",$H556=""),"",ROUND($G556*$H556,0))</f>
        <v/>
      </c>
      <c r="J556" s="8"/>
      <c r="K556" s="13" t="str">
        <f aca="false">IF($B556="","",SUMIFS($I$3:$I$2002,$B$3:$B$2002,$B556))</f>
        <v/>
      </c>
      <c r="L556" s="13" t="str">
        <f aca="false">IF($B556="","",IF(COUNTIFS($B$3:$B556,$B556)&gt;1,0,IFERROR(LOOKUP($K556,배송비규정!$A$3:$A$32,배송비규정!$B$3:$B$32),0)+IFERROR(INDEX(지역추가비!$B$3:$B$42,MATCH($J556,지역추가비!$A$3:$A$42,0)),0)))</f>
        <v/>
      </c>
      <c r="M556" s="13" t="str">
        <f aca="false">IF($B556="","",IF(COUNTIFS($B$3:$B556,$B556)&gt;1,"",$K556+$L556))</f>
        <v/>
      </c>
      <c r="N556" s="14" t="str">
        <f aca="false">IF($B556="","",COUNTIFS($B$3:$B556,$B556))</f>
        <v/>
      </c>
      <c r="O556" s="14" t="str">
        <f aca="false">IF($B556="","",$B556&amp;"|"&amp;$N556)</f>
        <v/>
      </c>
    </row>
    <row r="557" customFormat="false" ht="15" hidden="false" customHeight="false" outlineLevel="0" collapsed="false">
      <c r="A557" s="12"/>
      <c r="B557" s="9"/>
      <c r="C557" s="9"/>
      <c r="D557" s="9"/>
      <c r="E557" s="9"/>
      <c r="F557" s="9"/>
      <c r="G557" s="9"/>
      <c r="H557" s="7"/>
      <c r="I557" s="13" t="str">
        <f aca="false">IF(OR($G557="",$H557=""),"",ROUND($G557*$H557,0))</f>
        <v/>
      </c>
      <c r="J557" s="8"/>
      <c r="K557" s="13" t="str">
        <f aca="false">IF($B557="","",SUMIFS($I$3:$I$2002,$B$3:$B$2002,$B557))</f>
        <v/>
      </c>
      <c r="L557" s="13" t="str">
        <f aca="false">IF($B557="","",IF(COUNTIFS($B$3:$B557,$B557)&gt;1,0,IFERROR(LOOKUP($K557,배송비규정!$A$3:$A$32,배송비규정!$B$3:$B$32),0)+IFERROR(INDEX(지역추가비!$B$3:$B$42,MATCH($J557,지역추가비!$A$3:$A$42,0)),0)))</f>
        <v/>
      </c>
      <c r="M557" s="13" t="str">
        <f aca="false">IF($B557="","",IF(COUNTIFS($B$3:$B557,$B557)&gt;1,"",$K557+$L557))</f>
        <v/>
      </c>
      <c r="N557" s="14" t="str">
        <f aca="false">IF($B557="","",COUNTIFS($B$3:$B557,$B557))</f>
        <v/>
      </c>
      <c r="O557" s="14" t="str">
        <f aca="false">IF($B557="","",$B557&amp;"|"&amp;$N557)</f>
        <v/>
      </c>
    </row>
    <row r="558" customFormat="false" ht="15" hidden="false" customHeight="false" outlineLevel="0" collapsed="false">
      <c r="A558" s="12"/>
      <c r="B558" s="9"/>
      <c r="C558" s="9"/>
      <c r="D558" s="9"/>
      <c r="E558" s="9"/>
      <c r="F558" s="9"/>
      <c r="G558" s="9"/>
      <c r="H558" s="7"/>
      <c r="I558" s="13" t="str">
        <f aca="false">IF(OR($G558="",$H558=""),"",ROUND($G558*$H558,0))</f>
        <v/>
      </c>
      <c r="J558" s="8"/>
      <c r="K558" s="13" t="str">
        <f aca="false">IF($B558="","",SUMIFS($I$3:$I$2002,$B$3:$B$2002,$B558))</f>
        <v/>
      </c>
      <c r="L558" s="13" t="str">
        <f aca="false">IF($B558="","",IF(COUNTIFS($B$3:$B558,$B558)&gt;1,0,IFERROR(LOOKUP($K558,배송비규정!$A$3:$A$32,배송비규정!$B$3:$B$32),0)+IFERROR(INDEX(지역추가비!$B$3:$B$42,MATCH($J558,지역추가비!$A$3:$A$42,0)),0)))</f>
        <v/>
      </c>
      <c r="M558" s="13" t="str">
        <f aca="false">IF($B558="","",IF(COUNTIFS($B$3:$B558,$B558)&gt;1,"",$K558+$L558))</f>
        <v/>
      </c>
      <c r="N558" s="14" t="str">
        <f aca="false">IF($B558="","",COUNTIFS($B$3:$B558,$B558))</f>
        <v/>
      </c>
      <c r="O558" s="14" t="str">
        <f aca="false">IF($B558="","",$B558&amp;"|"&amp;$N558)</f>
        <v/>
      </c>
    </row>
    <row r="559" customFormat="false" ht="15" hidden="false" customHeight="false" outlineLevel="0" collapsed="false">
      <c r="A559" s="12"/>
      <c r="B559" s="9"/>
      <c r="C559" s="9"/>
      <c r="D559" s="9"/>
      <c r="E559" s="9"/>
      <c r="F559" s="9"/>
      <c r="G559" s="9"/>
      <c r="H559" s="7"/>
      <c r="I559" s="13" t="str">
        <f aca="false">IF(OR($G559="",$H559=""),"",ROUND($G559*$H559,0))</f>
        <v/>
      </c>
      <c r="J559" s="8"/>
      <c r="K559" s="13" t="str">
        <f aca="false">IF($B559="","",SUMIFS($I$3:$I$2002,$B$3:$B$2002,$B559))</f>
        <v/>
      </c>
      <c r="L559" s="13" t="str">
        <f aca="false">IF($B559="","",IF(COUNTIFS($B$3:$B559,$B559)&gt;1,0,IFERROR(LOOKUP($K559,배송비규정!$A$3:$A$32,배송비규정!$B$3:$B$32),0)+IFERROR(INDEX(지역추가비!$B$3:$B$42,MATCH($J559,지역추가비!$A$3:$A$42,0)),0)))</f>
        <v/>
      </c>
      <c r="M559" s="13" t="str">
        <f aca="false">IF($B559="","",IF(COUNTIFS($B$3:$B559,$B559)&gt;1,"",$K559+$L559))</f>
        <v/>
      </c>
      <c r="N559" s="14" t="str">
        <f aca="false">IF($B559="","",COUNTIFS($B$3:$B559,$B559))</f>
        <v/>
      </c>
      <c r="O559" s="14" t="str">
        <f aca="false">IF($B559="","",$B559&amp;"|"&amp;$N559)</f>
        <v/>
      </c>
    </row>
    <row r="560" customFormat="false" ht="15" hidden="false" customHeight="false" outlineLevel="0" collapsed="false">
      <c r="A560" s="12"/>
      <c r="B560" s="9"/>
      <c r="C560" s="9"/>
      <c r="D560" s="9"/>
      <c r="E560" s="9"/>
      <c r="F560" s="9"/>
      <c r="G560" s="9"/>
      <c r="H560" s="7"/>
      <c r="I560" s="13" t="str">
        <f aca="false">IF(OR($G560="",$H560=""),"",ROUND($G560*$H560,0))</f>
        <v/>
      </c>
      <c r="J560" s="8"/>
      <c r="K560" s="13" t="str">
        <f aca="false">IF($B560="","",SUMIFS($I$3:$I$2002,$B$3:$B$2002,$B560))</f>
        <v/>
      </c>
      <c r="L560" s="13" t="str">
        <f aca="false">IF($B560="","",IF(COUNTIFS($B$3:$B560,$B560)&gt;1,0,IFERROR(LOOKUP($K560,배송비규정!$A$3:$A$32,배송비규정!$B$3:$B$32),0)+IFERROR(INDEX(지역추가비!$B$3:$B$42,MATCH($J560,지역추가비!$A$3:$A$42,0)),0)))</f>
        <v/>
      </c>
      <c r="M560" s="13" t="str">
        <f aca="false">IF($B560="","",IF(COUNTIFS($B$3:$B560,$B560)&gt;1,"",$K560+$L560))</f>
        <v/>
      </c>
      <c r="N560" s="14" t="str">
        <f aca="false">IF($B560="","",COUNTIFS($B$3:$B560,$B560))</f>
        <v/>
      </c>
      <c r="O560" s="14" t="str">
        <f aca="false">IF($B560="","",$B560&amp;"|"&amp;$N560)</f>
        <v/>
      </c>
    </row>
    <row r="561" customFormat="false" ht="15" hidden="false" customHeight="false" outlineLevel="0" collapsed="false">
      <c r="A561" s="12"/>
      <c r="B561" s="9"/>
      <c r="C561" s="9"/>
      <c r="D561" s="9"/>
      <c r="E561" s="9"/>
      <c r="F561" s="9"/>
      <c r="G561" s="9"/>
      <c r="H561" s="7"/>
      <c r="I561" s="13" t="str">
        <f aca="false">IF(OR($G561="",$H561=""),"",ROUND($G561*$H561,0))</f>
        <v/>
      </c>
      <c r="J561" s="8"/>
      <c r="K561" s="13" t="str">
        <f aca="false">IF($B561="","",SUMIFS($I$3:$I$2002,$B$3:$B$2002,$B561))</f>
        <v/>
      </c>
      <c r="L561" s="13" t="str">
        <f aca="false">IF($B561="","",IF(COUNTIFS($B$3:$B561,$B561)&gt;1,0,IFERROR(LOOKUP($K561,배송비규정!$A$3:$A$32,배송비규정!$B$3:$B$32),0)+IFERROR(INDEX(지역추가비!$B$3:$B$42,MATCH($J561,지역추가비!$A$3:$A$42,0)),0)))</f>
        <v/>
      </c>
      <c r="M561" s="13" t="str">
        <f aca="false">IF($B561="","",IF(COUNTIFS($B$3:$B561,$B561)&gt;1,"",$K561+$L561))</f>
        <v/>
      </c>
      <c r="N561" s="14" t="str">
        <f aca="false">IF($B561="","",COUNTIFS($B$3:$B561,$B561))</f>
        <v/>
      </c>
      <c r="O561" s="14" t="str">
        <f aca="false">IF($B561="","",$B561&amp;"|"&amp;$N561)</f>
        <v/>
      </c>
    </row>
    <row r="562" customFormat="false" ht="15" hidden="false" customHeight="false" outlineLevel="0" collapsed="false">
      <c r="A562" s="12"/>
      <c r="B562" s="9"/>
      <c r="C562" s="9"/>
      <c r="D562" s="9"/>
      <c r="E562" s="9"/>
      <c r="F562" s="9"/>
      <c r="G562" s="9"/>
      <c r="H562" s="7"/>
      <c r="I562" s="13" t="str">
        <f aca="false">IF(OR($G562="",$H562=""),"",ROUND($G562*$H562,0))</f>
        <v/>
      </c>
      <c r="J562" s="8"/>
      <c r="K562" s="13" t="str">
        <f aca="false">IF($B562="","",SUMIFS($I$3:$I$2002,$B$3:$B$2002,$B562))</f>
        <v/>
      </c>
      <c r="L562" s="13" t="str">
        <f aca="false">IF($B562="","",IF(COUNTIFS($B$3:$B562,$B562)&gt;1,0,IFERROR(LOOKUP($K562,배송비규정!$A$3:$A$32,배송비규정!$B$3:$B$32),0)+IFERROR(INDEX(지역추가비!$B$3:$B$42,MATCH($J562,지역추가비!$A$3:$A$42,0)),0)))</f>
        <v/>
      </c>
      <c r="M562" s="13" t="str">
        <f aca="false">IF($B562="","",IF(COUNTIFS($B$3:$B562,$B562)&gt;1,"",$K562+$L562))</f>
        <v/>
      </c>
      <c r="N562" s="14" t="str">
        <f aca="false">IF($B562="","",COUNTIFS($B$3:$B562,$B562))</f>
        <v/>
      </c>
      <c r="O562" s="14" t="str">
        <f aca="false">IF($B562="","",$B562&amp;"|"&amp;$N562)</f>
        <v/>
      </c>
    </row>
    <row r="563" customFormat="false" ht="15" hidden="false" customHeight="false" outlineLevel="0" collapsed="false">
      <c r="A563" s="12"/>
      <c r="B563" s="9"/>
      <c r="C563" s="9"/>
      <c r="D563" s="9"/>
      <c r="E563" s="9"/>
      <c r="F563" s="9"/>
      <c r="G563" s="9"/>
      <c r="H563" s="7"/>
      <c r="I563" s="13" t="str">
        <f aca="false">IF(OR($G563="",$H563=""),"",ROUND($G563*$H563,0))</f>
        <v/>
      </c>
      <c r="J563" s="8"/>
      <c r="K563" s="13" t="str">
        <f aca="false">IF($B563="","",SUMIFS($I$3:$I$2002,$B$3:$B$2002,$B563))</f>
        <v/>
      </c>
      <c r="L563" s="13" t="str">
        <f aca="false">IF($B563="","",IF(COUNTIFS($B$3:$B563,$B563)&gt;1,0,IFERROR(LOOKUP($K563,배송비규정!$A$3:$A$32,배송비규정!$B$3:$B$32),0)+IFERROR(INDEX(지역추가비!$B$3:$B$42,MATCH($J563,지역추가비!$A$3:$A$42,0)),0)))</f>
        <v/>
      </c>
      <c r="M563" s="13" t="str">
        <f aca="false">IF($B563="","",IF(COUNTIFS($B$3:$B563,$B563)&gt;1,"",$K563+$L563))</f>
        <v/>
      </c>
      <c r="N563" s="14" t="str">
        <f aca="false">IF($B563="","",COUNTIFS($B$3:$B563,$B563))</f>
        <v/>
      </c>
      <c r="O563" s="14" t="str">
        <f aca="false">IF($B563="","",$B563&amp;"|"&amp;$N563)</f>
        <v/>
      </c>
    </row>
    <row r="564" customFormat="false" ht="15" hidden="false" customHeight="false" outlineLevel="0" collapsed="false">
      <c r="A564" s="12"/>
      <c r="B564" s="9"/>
      <c r="C564" s="9"/>
      <c r="D564" s="9"/>
      <c r="E564" s="9"/>
      <c r="F564" s="9"/>
      <c r="G564" s="9"/>
      <c r="H564" s="7"/>
      <c r="I564" s="13" t="str">
        <f aca="false">IF(OR($G564="",$H564=""),"",ROUND($G564*$H564,0))</f>
        <v/>
      </c>
      <c r="J564" s="8"/>
      <c r="K564" s="13" t="str">
        <f aca="false">IF($B564="","",SUMIFS($I$3:$I$2002,$B$3:$B$2002,$B564))</f>
        <v/>
      </c>
      <c r="L564" s="13" t="str">
        <f aca="false">IF($B564="","",IF(COUNTIFS($B$3:$B564,$B564)&gt;1,0,IFERROR(LOOKUP($K564,배송비규정!$A$3:$A$32,배송비규정!$B$3:$B$32),0)+IFERROR(INDEX(지역추가비!$B$3:$B$42,MATCH($J564,지역추가비!$A$3:$A$42,0)),0)))</f>
        <v/>
      </c>
      <c r="M564" s="13" t="str">
        <f aca="false">IF($B564="","",IF(COUNTIFS($B$3:$B564,$B564)&gt;1,"",$K564+$L564))</f>
        <v/>
      </c>
      <c r="N564" s="14" t="str">
        <f aca="false">IF($B564="","",COUNTIFS($B$3:$B564,$B564))</f>
        <v/>
      </c>
      <c r="O564" s="14" t="str">
        <f aca="false">IF($B564="","",$B564&amp;"|"&amp;$N564)</f>
        <v/>
      </c>
    </row>
    <row r="565" customFormat="false" ht="15" hidden="false" customHeight="false" outlineLevel="0" collapsed="false">
      <c r="A565" s="12"/>
      <c r="B565" s="9"/>
      <c r="C565" s="9"/>
      <c r="D565" s="9"/>
      <c r="E565" s="9"/>
      <c r="F565" s="9"/>
      <c r="G565" s="9"/>
      <c r="H565" s="7"/>
      <c r="I565" s="13" t="str">
        <f aca="false">IF(OR($G565="",$H565=""),"",ROUND($G565*$H565,0))</f>
        <v/>
      </c>
      <c r="J565" s="8"/>
      <c r="K565" s="13" t="str">
        <f aca="false">IF($B565="","",SUMIFS($I$3:$I$2002,$B$3:$B$2002,$B565))</f>
        <v/>
      </c>
      <c r="L565" s="13" t="str">
        <f aca="false">IF($B565="","",IF(COUNTIFS($B$3:$B565,$B565)&gt;1,0,IFERROR(LOOKUP($K565,배송비규정!$A$3:$A$32,배송비규정!$B$3:$B$32),0)+IFERROR(INDEX(지역추가비!$B$3:$B$42,MATCH($J565,지역추가비!$A$3:$A$42,0)),0)))</f>
        <v/>
      </c>
      <c r="M565" s="13" t="str">
        <f aca="false">IF($B565="","",IF(COUNTIFS($B$3:$B565,$B565)&gt;1,"",$K565+$L565))</f>
        <v/>
      </c>
      <c r="N565" s="14" t="str">
        <f aca="false">IF($B565="","",COUNTIFS($B$3:$B565,$B565))</f>
        <v/>
      </c>
      <c r="O565" s="14" t="str">
        <f aca="false">IF($B565="","",$B565&amp;"|"&amp;$N565)</f>
        <v/>
      </c>
    </row>
    <row r="566" customFormat="false" ht="15" hidden="false" customHeight="false" outlineLevel="0" collapsed="false">
      <c r="A566" s="12"/>
      <c r="B566" s="9"/>
      <c r="C566" s="9"/>
      <c r="D566" s="9"/>
      <c r="E566" s="9"/>
      <c r="F566" s="9"/>
      <c r="G566" s="9"/>
      <c r="H566" s="7"/>
      <c r="I566" s="13" t="str">
        <f aca="false">IF(OR($G566="",$H566=""),"",ROUND($G566*$H566,0))</f>
        <v/>
      </c>
      <c r="J566" s="8"/>
      <c r="K566" s="13" t="str">
        <f aca="false">IF($B566="","",SUMIFS($I$3:$I$2002,$B$3:$B$2002,$B566))</f>
        <v/>
      </c>
      <c r="L566" s="13" t="str">
        <f aca="false">IF($B566="","",IF(COUNTIFS($B$3:$B566,$B566)&gt;1,0,IFERROR(LOOKUP($K566,배송비규정!$A$3:$A$32,배송비규정!$B$3:$B$32),0)+IFERROR(INDEX(지역추가비!$B$3:$B$42,MATCH($J566,지역추가비!$A$3:$A$42,0)),0)))</f>
        <v/>
      </c>
      <c r="M566" s="13" t="str">
        <f aca="false">IF($B566="","",IF(COUNTIFS($B$3:$B566,$B566)&gt;1,"",$K566+$L566))</f>
        <v/>
      </c>
      <c r="N566" s="14" t="str">
        <f aca="false">IF($B566="","",COUNTIFS($B$3:$B566,$B566))</f>
        <v/>
      </c>
      <c r="O566" s="14" t="str">
        <f aca="false">IF($B566="","",$B566&amp;"|"&amp;$N566)</f>
        <v/>
      </c>
    </row>
    <row r="567" customFormat="false" ht="15" hidden="false" customHeight="false" outlineLevel="0" collapsed="false">
      <c r="A567" s="12"/>
      <c r="B567" s="9"/>
      <c r="C567" s="9"/>
      <c r="D567" s="9"/>
      <c r="E567" s="9"/>
      <c r="F567" s="9"/>
      <c r="G567" s="9"/>
      <c r="H567" s="7"/>
      <c r="I567" s="13" t="str">
        <f aca="false">IF(OR($G567="",$H567=""),"",ROUND($G567*$H567,0))</f>
        <v/>
      </c>
      <c r="J567" s="8"/>
      <c r="K567" s="13" t="str">
        <f aca="false">IF($B567="","",SUMIFS($I$3:$I$2002,$B$3:$B$2002,$B567))</f>
        <v/>
      </c>
      <c r="L567" s="13" t="str">
        <f aca="false">IF($B567="","",IF(COUNTIFS($B$3:$B567,$B567)&gt;1,0,IFERROR(LOOKUP($K567,배송비규정!$A$3:$A$32,배송비규정!$B$3:$B$32),0)+IFERROR(INDEX(지역추가비!$B$3:$B$42,MATCH($J567,지역추가비!$A$3:$A$42,0)),0)))</f>
        <v/>
      </c>
      <c r="M567" s="13" t="str">
        <f aca="false">IF($B567="","",IF(COUNTIFS($B$3:$B567,$B567)&gt;1,"",$K567+$L567))</f>
        <v/>
      </c>
      <c r="N567" s="14" t="str">
        <f aca="false">IF($B567="","",COUNTIFS($B$3:$B567,$B567))</f>
        <v/>
      </c>
      <c r="O567" s="14" t="str">
        <f aca="false">IF($B567="","",$B567&amp;"|"&amp;$N567)</f>
        <v/>
      </c>
    </row>
    <row r="568" customFormat="false" ht="15" hidden="false" customHeight="false" outlineLevel="0" collapsed="false">
      <c r="A568" s="12"/>
      <c r="B568" s="9"/>
      <c r="C568" s="9"/>
      <c r="D568" s="9"/>
      <c r="E568" s="9"/>
      <c r="F568" s="9"/>
      <c r="G568" s="9"/>
      <c r="H568" s="7"/>
      <c r="I568" s="13" t="str">
        <f aca="false">IF(OR($G568="",$H568=""),"",ROUND($G568*$H568,0))</f>
        <v/>
      </c>
      <c r="J568" s="8"/>
      <c r="K568" s="13" t="str">
        <f aca="false">IF($B568="","",SUMIFS($I$3:$I$2002,$B$3:$B$2002,$B568))</f>
        <v/>
      </c>
      <c r="L568" s="13" t="str">
        <f aca="false">IF($B568="","",IF(COUNTIFS($B$3:$B568,$B568)&gt;1,0,IFERROR(LOOKUP($K568,배송비규정!$A$3:$A$32,배송비규정!$B$3:$B$32),0)+IFERROR(INDEX(지역추가비!$B$3:$B$42,MATCH($J568,지역추가비!$A$3:$A$42,0)),0)))</f>
        <v/>
      </c>
      <c r="M568" s="13" t="str">
        <f aca="false">IF($B568="","",IF(COUNTIFS($B$3:$B568,$B568)&gt;1,"",$K568+$L568))</f>
        <v/>
      </c>
      <c r="N568" s="14" t="str">
        <f aca="false">IF($B568="","",COUNTIFS($B$3:$B568,$B568))</f>
        <v/>
      </c>
      <c r="O568" s="14" t="str">
        <f aca="false">IF($B568="","",$B568&amp;"|"&amp;$N568)</f>
        <v/>
      </c>
    </row>
    <row r="569" customFormat="false" ht="15" hidden="false" customHeight="false" outlineLevel="0" collapsed="false">
      <c r="A569" s="12"/>
      <c r="B569" s="9"/>
      <c r="C569" s="9"/>
      <c r="D569" s="9"/>
      <c r="E569" s="9"/>
      <c r="F569" s="9"/>
      <c r="G569" s="9"/>
      <c r="H569" s="7"/>
      <c r="I569" s="13" t="str">
        <f aca="false">IF(OR($G569="",$H569=""),"",ROUND($G569*$H569,0))</f>
        <v/>
      </c>
      <c r="J569" s="8"/>
      <c r="K569" s="13" t="str">
        <f aca="false">IF($B569="","",SUMIFS($I$3:$I$2002,$B$3:$B$2002,$B569))</f>
        <v/>
      </c>
      <c r="L569" s="13" t="str">
        <f aca="false">IF($B569="","",IF(COUNTIFS($B$3:$B569,$B569)&gt;1,0,IFERROR(LOOKUP($K569,배송비규정!$A$3:$A$32,배송비규정!$B$3:$B$32),0)+IFERROR(INDEX(지역추가비!$B$3:$B$42,MATCH($J569,지역추가비!$A$3:$A$42,0)),0)))</f>
        <v/>
      </c>
      <c r="M569" s="13" t="str">
        <f aca="false">IF($B569="","",IF(COUNTIFS($B$3:$B569,$B569)&gt;1,"",$K569+$L569))</f>
        <v/>
      </c>
      <c r="N569" s="14" t="str">
        <f aca="false">IF($B569="","",COUNTIFS($B$3:$B569,$B569))</f>
        <v/>
      </c>
      <c r="O569" s="14" t="str">
        <f aca="false">IF($B569="","",$B569&amp;"|"&amp;$N569)</f>
        <v/>
      </c>
    </row>
    <row r="570" customFormat="false" ht="15" hidden="false" customHeight="false" outlineLevel="0" collapsed="false">
      <c r="A570" s="12"/>
      <c r="B570" s="9"/>
      <c r="C570" s="9"/>
      <c r="D570" s="9"/>
      <c r="E570" s="9"/>
      <c r="F570" s="9"/>
      <c r="G570" s="9"/>
      <c r="H570" s="7"/>
      <c r="I570" s="13" t="str">
        <f aca="false">IF(OR($G570="",$H570=""),"",ROUND($G570*$H570,0))</f>
        <v/>
      </c>
      <c r="J570" s="8"/>
      <c r="K570" s="13" t="str">
        <f aca="false">IF($B570="","",SUMIFS($I$3:$I$2002,$B$3:$B$2002,$B570))</f>
        <v/>
      </c>
      <c r="L570" s="13" t="str">
        <f aca="false">IF($B570="","",IF(COUNTIFS($B$3:$B570,$B570)&gt;1,0,IFERROR(LOOKUP($K570,배송비규정!$A$3:$A$32,배송비규정!$B$3:$B$32),0)+IFERROR(INDEX(지역추가비!$B$3:$B$42,MATCH($J570,지역추가비!$A$3:$A$42,0)),0)))</f>
        <v/>
      </c>
      <c r="M570" s="13" t="str">
        <f aca="false">IF($B570="","",IF(COUNTIFS($B$3:$B570,$B570)&gt;1,"",$K570+$L570))</f>
        <v/>
      </c>
      <c r="N570" s="14" t="str">
        <f aca="false">IF($B570="","",COUNTIFS($B$3:$B570,$B570))</f>
        <v/>
      </c>
      <c r="O570" s="14" t="str">
        <f aca="false">IF($B570="","",$B570&amp;"|"&amp;$N570)</f>
        <v/>
      </c>
    </row>
    <row r="571" customFormat="false" ht="15" hidden="false" customHeight="false" outlineLevel="0" collapsed="false">
      <c r="A571" s="12"/>
      <c r="B571" s="9"/>
      <c r="C571" s="9"/>
      <c r="D571" s="9"/>
      <c r="E571" s="9"/>
      <c r="F571" s="9"/>
      <c r="G571" s="9"/>
      <c r="H571" s="7"/>
      <c r="I571" s="13" t="str">
        <f aca="false">IF(OR($G571="",$H571=""),"",ROUND($G571*$H571,0))</f>
        <v/>
      </c>
      <c r="J571" s="8"/>
      <c r="K571" s="13" t="str">
        <f aca="false">IF($B571="","",SUMIFS($I$3:$I$2002,$B$3:$B$2002,$B571))</f>
        <v/>
      </c>
      <c r="L571" s="13" t="str">
        <f aca="false">IF($B571="","",IF(COUNTIFS($B$3:$B571,$B571)&gt;1,0,IFERROR(LOOKUP($K571,배송비규정!$A$3:$A$32,배송비규정!$B$3:$B$32),0)+IFERROR(INDEX(지역추가비!$B$3:$B$42,MATCH($J571,지역추가비!$A$3:$A$42,0)),0)))</f>
        <v/>
      </c>
      <c r="M571" s="13" t="str">
        <f aca="false">IF($B571="","",IF(COUNTIFS($B$3:$B571,$B571)&gt;1,"",$K571+$L571))</f>
        <v/>
      </c>
      <c r="N571" s="14" t="str">
        <f aca="false">IF($B571="","",COUNTIFS($B$3:$B571,$B571))</f>
        <v/>
      </c>
      <c r="O571" s="14" t="str">
        <f aca="false">IF($B571="","",$B571&amp;"|"&amp;$N571)</f>
        <v/>
      </c>
    </row>
    <row r="572" customFormat="false" ht="15" hidden="false" customHeight="false" outlineLevel="0" collapsed="false">
      <c r="A572" s="12"/>
      <c r="B572" s="9"/>
      <c r="C572" s="9"/>
      <c r="D572" s="9"/>
      <c r="E572" s="9"/>
      <c r="F572" s="9"/>
      <c r="G572" s="9"/>
      <c r="H572" s="7"/>
      <c r="I572" s="13" t="str">
        <f aca="false">IF(OR($G572="",$H572=""),"",ROUND($G572*$H572,0))</f>
        <v/>
      </c>
      <c r="J572" s="8"/>
      <c r="K572" s="13" t="str">
        <f aca="false">IF($B572="","",SUMIFS($I$3:$I$2002,$B$3:$B$2002,$B572))</f>
        <v/>
      </c>
      <c r="L572" s="13" t="str">
        <f aca="false">IF($B572="","",IF(COUNTIFS($B$3:$B572,$B572)&gt;1,0,IFERROR(LOOKUP($K572,배송비규정!$A$3:$A$32,배송비규정!$B$3:$B$32),0)+IFERROR(INDEX(지역추가비!$B$3:$B$42,MATCH($J572,지역추가비!$A$3:$A$42,0)),0)))</f>
        <v/>
      </c>
      <c r="M572" s="13" t="str">
        <f aca="false">IF($B572="","",IF(COUNTIFS($B$3:$B572,$B572)&gt;1,"",$K572+$L572))</f>
        <v/>
      </c>
      <c r="N572" s="14" t="str">
        <f aca="false">IF($B572="","",COUNTIFS($B$3:$B572,$B572))</f>
        <v/>
      </c>
      <c r="O572" s="14" t="str">
        <f aca="false">IF($B572="","",$B572&amp;"|"&amp;$N572)</f>
        <v/>
      </c>
    </row>
    <row r="573" customFormat="false" ht="15" hidden="false" customHeight="false" outlineLevel="0" collapsed="false">
      <c r="A573" s="12"/>
      <c r="B573" s="9"/>
      <c r="C573" s="9"/>
      <c r="D573" s="9"/>
      <c r="E573" s="9"/>
      <c r="F573" s="9"/>
      <c r="G573" s="9"/>
      <c r="H573" s="7"/>
      <c r="I573" s="13" t="str">
        <f aca="false">IF(OR($G573="",$H573=""),"",ROUND($G573*$H573,0))</f>
        <v/>
      </c>
      <c r="J573" s="8"/>
      <c r="K573" s="13" t="str">
        <f aca="false">IF($B573="","",SUMIFS($I$3:$I$2002,$B$3:$B$2002,$B573))</f>
        <v/>
      </c>
      <c r="L573" s="13" t="str">
        <f aca="false">IF($B573="","",IF(COUNTIFS($B$3:$B573,$B573)&gt;1,0,IFERROR(LOOKUP($K573,배송비규정!$A$3:$A$32,배송비규정!$B$3:$B$32),0)+IFERROR(INDEX(지역추가비!$B$3:$B$42,MATCH($J573,지역추가비!$A$3:$A$42,0)),0)))</f>
        <v/>
      </c>
      <c r="M573" s="13" t="str">
        <f aca="false">IF($B573="","",IF(COUNTIFS($B$3:$B573,$B573)&gt;1,"",$K573+$L573))</f>
        <v/>
      </c>
      <c r="N573" s="14" t="str">
        <f aca="false">IF($B573="","",COUNTIFS($B$3:$B573,$B573))</f>
        <v/>
      </c>
      <c r="O573" s="14" t="str">
        <f aca="false">IF($B573="","",$B573&amp;"|"&amp;$N573)</f>
        <v/>
      </c>
    </row>
    <row r="574" customFormat="false" ht="15" hidden="false" customHeight="false" outlineLevel="0" collapsed="false">
      <c r="A574" s="12"/>
      <c r="B574" s="9"/>
      <c r="C574" s="9"/>
      <c r="D574" s="9"/>
      <c r="E574" s="9"/>
      <c r="F574" s="9"/>
      <c r="G574" s="9"/>
      <c r="H574" s="7"/>
      <c r="I574" s="13" t="str">
        <f aca="false">IF(OR($G574="",$H574=""),"",ROUND($G574*$H574,0))</f>
        <v/>
      </c>
      <c r="J574" s="8"/>
      <c r="K574" s="13" t="str">
        <f aca="false">IF($B574="","",SUMIFS($I$3:$I$2002,$B$3:$B$2002,$B574))</f>
        <v/>
      </c>
      <c r="L574" s="13" t="str">
        <f aca="false">IF($B574="","",IF(COUNTIFS($B$3:$B574,$B574)&gt;1,0,IFERROR(LOOKUP($K574,배송비규정!$A$3:$A$32,배송비규정!$B$3:$B$32),0)+IFERROR(INDEX(지역추가비!$B$3:$B$42,MATCH($J574,지역추가비!$A$3:$A$42,0)),0)))</f>
        <v/>
      </c>
      <c r="M574" s="13" t="str">
        <f aca="false">IF($B574="","",IF(COUNTIFS($B$3:$B574,$B574)&gt;1,"",$K574+$L574))</f>
        <v/>
      </c>
      <c r="N574" s="14" t="str">
        <f aca="false">IF($B574="","",COUNTIFS($B$3:$B574,$B574))</f>
        <v/>
      </c>
      <c r="O574" s="14" t="str">
        <f aca="false">IF($B574="","",$B574&amp;"|"&amp;$N574)</f>
        <v/>
      </c>
    </row>
    <row r="575" customFormat="false" ht="15" hidden="false" customHeight="false" outlineLevel="0" collapsed="false">
      <c r="A575" s="12"/>
      <c r="B575" s="9"/>
      <c r="C575" s="9"/>
      <c r="D575" s="9"/>
      <c r="E575" s="9"/>
      <c r="F575" s="9"/>
      <c r="G575" s="9"/>
      <c r="H575" s="7"/>
      <c r="I575" s="13" t="str">
        <f aca="false">IF(OR($G575="",$H575=""),"",ROUND($G575*$H575,0))</f>
        <v/>
      </c>
      <c r="J575" s="8"/>
      <c r="K575" s="13" t="str">
        <f aca="false">IF($B575="","",SUMIFS($I$3:$I$2002,$B$3:$B$2002,$B575))</f>
        <v/>
      </c>
      <c r="L575" s="13" t="str">
        <f aca="false">IF($B575="","",IF(COUNTIFS($B$3:$B575,$B575)&gt;1,0,IFERROR(LOOKUP($K575,배송비규정!$A$3:$A$32,배송비규정!$B$3:$B$32),0)+IFERROR(INDEX(지역추가비!$B$3:$B$42,MATCH($J575,지역추가비!$A$3:$A$42,0)),0)))</f>
        <v/>
      </c>
      <c r="M575" s="13" t="str">
        <f aca="false">IF($B575="","",IF(COUNTIFS($B$3:$B575,$B575)&gt;1,"",$K575+$L575))</f>
        <v/>
      </c>
      <c r="N575" s="14" t="str">
        <f aca="false">IF($B575="","",COUNTIFS($B$3:$B575,$B575))</f>
        <v/>
      </c>
      <c r="O575" s="14" t="str">
        <f aca="false">IF($B575="","",$B575&amp;"|"&amp;$N575)</f>
        <v/>
      </c>
    </row>
    <row r="576" customFormat="false" ht="15" hidden="false" customHeight="false" outlineLevel="0" collapsed="false">
      <c r="A576" s="12"/>
      <c r="B576" s="9"/>
      <c r="C576" s="9"/>
      <c r="D576" s="9"/>
      <c r="E576" s="9"/>
      <c r="F576" s="9"/>
      <c r="G576" s="9"/>
      <c r="H576" s="7"/>
      <c r="I576" s="13" t="str">
        <f aca="false">IF(OR($G576="",$H576=""),"",ROUND($G576*$H576,0))</f>
        <v/>
      </c>
      <c r="J576" s="8"/>
      <c r="K576" s="13" t="str">
        <f aca="false">IF($B576="","",SUMIFS($I$3:$I$2002,$B$3:$B$2002,$B576))</f>
        <v/>
      </c>
      <c r="L576" s="13" t="str">
        <f aca="false">IF($B576="","",IF(COUNTIFS($B$3:$B576,$B576)&gt;1,0,IFERROR(LOOKUP($K576,배송비규정!$A$3:$A$32,배송비규정!$B$3:$B$32),0)+IFERROR(INDEX(지역추가비!$B$3:$B$42,MATCH($J576,지역추가비!$A$3:$A$42,0)),0)))</f>
        <v/>
      </c>
      <c r="M576" s="13" t="str">
        <f aca="false">IF($B576="","",IF(COUNTIFS($B$3:$B576,$B576)&gt;1,"",$K576+$L576))</f>
        <v/>
      </c>
      <c r="N576" s="14" t="str">
        <f aca="false">IF($B576="","",COUNTIFS($B$3:$B576,$B576))</f>
        <v/>
      </c>
      <c r="O576" s="14" t="str">
        <f aca="false">IF($B576="","",$B576&amp;"|"&amp;$N576)</f>
        <v/>
      </c>
    </row>
    <row r="577" customFormat="false" ht="15" hidden="false" customHeight="false" outlineLevel="0" collapsed="false">
      <c r="A577" s="12"/>
      <c r="B577" s="9"/>
      <c r="C577" s="9"/>
      <c r="D577" s="9"/>
      <c r="E577" s="9"/>
      <c r="F577" s="9"/>
      <c r="G577" s="9"/>
      <c r="H577" s="7"/>
      <c r="I577" s="13" t="str">
        <f aca="false">IF(OR($G577="",$H577=""),"",ROUND($G577*$H577,0))</f>
        <v/>
      </c>
      <c r="J577" s="8"/>
      <c r="K577" s="13" t="str">
        <f aca="false">IF($B577="","",SUMIFS($I$3:$I$2002,$B$3:$B$2002,$B577))</f>
        <v/>
      </c>
      <c r="L577" s="13" t="str">
        <f aca="false">IF($B577="","",IF(COUNTIFS($B$3:$B577,$B577)&gt;1,0,IFERROR(LOOKUP($K577,배송비규정!$A$3:$A$32,배송비규정!$B$3:$B$32),0)+IFERROR(INDEX(지역추가비!$B$3:$B$42,MATCH($J577,지역추가비!$A$3:$A$42,0)),0)))</f>
        <v/>
      </c>
      <c r="M577" s="13" t="str">
        <f aca="false">IF($B577="","",IF(COUNTIFS($B$3:$B577,$B577)&gt;1,"",$K577+$L577))</f>
        <v/>
      </c>
      <c r="N577" s="14" t="str">
        <f aca="false">IF($B577="","",COUNTIFS($B$3:$B577,$B577))</f>
        <v/>
      </c>
      <c r="O577" s="14" t="str">
        <f aca="false">IF($B577="","",$B577&amp;"|"&amp;$N577)</f>
        <v/>
      </c>
    </row>
    <row r="578" customFormat="false" ht="15" hidden="false" customHeight="false" outlineLevel="0" collapsed="false">
      <c r="A578" s="12"/>
      <c r="B578" s="9"/>
      <c r="C578" s="9"/>
      <c r="D578" s="9"/>
      <c r="E578" s="9"/>
      <c r="F578" s="9"/>
      <c r="G578" s="9"/>
      <c r="H578" s="7"/>
      <c r="I578" s="13" t="str">
        <f aca="false">IF(OR($G578="",$H578=""),"",ROUND($G578*$H578,0))</f>
        <v/>
      </c>
      <c r="J578" s="8"/>
      <c r="K578" s="13" t="str">
        <f aca="false">IF($B578="","",SUMIFS($I$3:$I$2002,$B$3:$B$2002,$B578))</f>
        <v/>
      </c>
      <c r="L578" s="13" t="str">
        <f aca="false">IF($B578="","",IF(COUNTIFS($B$3:$B578,$B578)&gt;1,0,IFERROR(LOOKUP($K578,배송비규정!$A$3:$A$32,배송비규정!$B$3:$B$32),0)+IFERROR(INDEX(지역추가비!$B$3:$B$42,MATCH($J578,지역추가비!$A$3:$A$42,0)),0)))</f>
        <v/>
      </c>
      <c r="M578" s="13" t="str">
        <f aca="false">IF($B578="","",IF(COUNTIFS($B$3:$B578,$B578)&gt;1,"",$K578+$L578))</f>
        <v/>
      </c>
      <c r="N578" s="14" t="str">
        <f aca="false">IF($B578="","",COUNTIFS($B$3:$B578,$B578))</f>
        <v/>
      </c>
      <c r="O578" s="14" t="str">
        <f aca="false">IF($B578="","",$B578&amp;"|"&amp;$N578)</f>
        <v/>
      </c>
    </row>
    <row r="579" customFormat="false" ht="15" hidden="false" customHeight="false" outlineLevel="0" collapsed="false">
      <c r="A579" s="12"/>
      <c r="B579" s="9"/>
      <c r="C579" s="9"/>
      <c r="D579" s="9"/>
      <c r="E579" s="9"/>
      <c r="F579" s="9"/>
      <c r="G579" s="9"/>
      <c r="H579" s="7"/>
      <c r="I579" s="13" t="str">
        <f aca="false">IF(OR($G579="",$H579=""),"",ROUND($G579*$H579,0))</f>
        <v/>
      </c>
      <c r="J579" s="8"/>
      <c r="K579" s="13" t="str">
        <f aca="false">IF($B579="","",SUMIFS($I$3:$I$2002,$B$3:$B$2002,$B579))</f>
        <v/>
      </c>
      <c r="L579" s="13" t="str">
        <f aca="false">IF($B579="","",IF(COUNTIFS($B$3:$B579,$B579)&gt;1,0,IFERROR(LOOKUP($K579,배송비규정!$A$3:$A$32,배송비규정!$B$3:$B$32),0)+IFERROR(INDEX(지역추가비!$B$3:$B$42,MATCH($J579,지역추가비!$A$3:$A$42,0)),0)))</f>
        <v/>
      </c>
      <c r="M579" s="13" t="str">
        <f aca="false">IF($B579="","",IF(COUNTIFS($B$3:$B579,$B579)&gt;1,"",$K579+$L579))</f>
        <v/>
      </c>
      <c r="N579" s="14" t="str">
        <f aca="false">IF($B579="","",COUNTIFS($B$3:$B579,$B579))</f>
        <v/>
      </c>
      <c r="O579" s="14" t="str">
        <f aca="false">IF($B579="","",$B579&amp;"|"&amp;$N579)</f>
        <v/>
      </c>
    </row>
    <row r="580" customFormat="false" ht="15" hidden="false" customHeight="false" outlineLevel="0" collapsed="false">
      <c r="A580" s="12"/>
      <c r="B580" s="9"/>
      <c r="C580" s="9"/>
      <c r="D580" s="9"/>
      <c r="E580" s="9"/>
      <c r="F580" s="9"/>
      <c r="G580" s="9"/>
      <c r="H580" s="7"/>
      <c r="I580" s="13" t="str">
        <f aca="false">IF(OR($G580="",$H580=""),"",ROUND($G580*$H580,0))</f>
        <v/>
      </c>
      <c r="J580" s="8"/>
      <c r="K580" s="13" t="str">
        <f aca="false">IF($B580="","",SUMIFS($I$3:$I$2002,$B$3:$B$2002,$B580))</f>
        <v/>
      </c>
      <c r="L580" s="13" t="str">
        <f aca="false">IF($B580="","",IF(COUNTIFS($B$3:$B580,$B580)&gt;1,0,IFERROR(LOOKUP($K580,배송비규정!$A$3:$A$32,배송비규정!$B$3:$B$32),0)+IFERROR(INDEX(지역추가비!$B$3:$B$42,MATCH($J580,지역추가비!$A$3:$A$42,0)),0)))</f>
        <v/>
      </c>
      <c r="M580" s="13" t="str">
        <f aca="false">IF($B580="","",IF(COUNTIFS($B$3:$B580,$B580)&gt;1,"",$K580+$L580))</f>
        <v/>
      </c>
      <c r="N580" s="14" t="str">
        <f aca="false">IF($B580="","",COUNTIFS($B$3:$B580,$B580))</f>
        <v/>
      </c>
      <c r="O580" s="14" t="str">
        <f aca="false">IF($B580="","",$B580&amp;"|"&amp;$N580)</f>
        <v/>
      </c>
    </row>
    <row r="581" customFormat="false" ht="15" hidden="false" customHeight="false" outlineLevel="0" collapsed="false">
      <c r="A581" s="12"/>
      <c r="B581" s="9"/>
      <c r="C581" s="9"/>
      <c r="D581" s="9"/>
      <c r="E581" s="9"/>
      <c r="F581" s="9"/>
      <c r="G581" s="9"/>
      <c r="H581" s="7"/>
      <c r="I581" s="13" t="str">
        <f aca="false">IF(OR($G581="",$H581=""),"",ROUND($G581*$H581,0))</f>
        <v/>
      </c>
      <c r="J581" s="8"/>
      <c r="K581" s="13" t="str">
        <f aca="false">IF($B581="","",SUMIFS($I$3:$I$2002,$B$3:$B$2002,$B581))</f>
        <v/>
      </c>
      <c r="L581" s="13" t="str">
        <f aca="false">IF($B581="","",IF(COUNTIFS($B$3:$B581,$B581)&gt;1,0,IFERROR(LOOKUP($K581,배송비규정!$A$3:$A$32,배송비규정!$B$3:$B$32),0)+IFERROR(INDEX(지역추가비!$B$3:$B$42,MATCH($J581,지역추가비!$A$3:$A$42,0)),0)))</f>
        <v/>
      </c>
      <c r="M581" s="13" t="str">
        <f aca="false">IF($B581="","",IF(COUNTIFS($B$3:$B581,$B581)&gt;1,"",$K581+$L581))</f>
        <v/>
      </c>
      <c r="N581" s="14" t="str">
        <f aca="false">IF($B581="","",COUNTIFS($B$3:$B581,$B581))</f>
        <v/>
      </c>
      <c r="O581" s="14" t="str">
        <f aca="false">IF($B581="","",$B581&amp;"|"&amp;$N581)</f>
        <v/>
      </c>
    </row>
    <row r="582" customFormat="false" ht="15" hidden="false" customHeight="false" outlineLevel="0" collapsed="false">
      <c r="A582" s="12"/>
      <c r="B582" s="9"/>
      <c r="C582" s="9"/>
      <c r="D582" s="9"/>
      <c r="E582" s="9"/>
      <c r="F582" s="9"/>
      <c r="G582" s="9"/>
      <c r="H582" s="7"/>
      <c r="I582" s="13" t="str">
        <f aca="false">IF(OR($G582="",$H582=""),"",ROUND($G582*$H582,0))</f>
        <v/>
      </c>
      <c r="J582" s="8"/>
      <c r="K582" s="13" t="str">
        <f aca="false">IF($B582="","",SUMIFS($I$3:$I$2002,$B$3:$B$2002,$B582))</f>
        <v/>
      </c>
      <c r="L582" s="13" t="str">
        <f aca="false">IF($B582="","",IF(COUNTIFS($B$3:$B582,$B582)&gt;1,0,IFERROR(LOOKUP($K582,배송비규정!$A$3:$A$32,배송비규정!$B$3:$B$32),0)+IFERROR(INDEX(지역추가비!$B$3:$B$42,MATCH($J582,지역추가비!$A$3:$A$42,0)),0)))</f>
        <v/>
      </c>
      <c r="M582" s="13" t="str">
        <f aca="false">IF($B582="","",IF(COUNTIFS($B$3:$B582,$B582)&gt;1,"",$K582+$L582))</f>
        <v/>
      </c>
      <c r="N582" s="14" t="str">
        <f aca="false">IF($B582="","",COUNTIFS($B$3:$B582,$B582))</f>
        <v/>
      </c>
      <c r="O582" s="14" t="str">
        <f aca="false">IF($B582="","",$B582&amp;"|"&amp;$N582)</f>
        <v/>
      </c>
    </row>
    <row r="583" customFormat="false" ht="15" hidden="false" customHeight="false" outlineLevel="0" collapsed="false">
      <c r="A583" s="12"/>
      <c r="B583" s="9"/>
      <c r="C583" s="9"/>
      <c r="D583" s="9"/>
      <c r="E583" s="9"/>
      <c r="F583" s="9"/>
      <c r="G583" s="9"/>
      <c r="H583" s="7"/>
      <c r="I583" s="13" t="str">
        <f aca="false">IF(OR($G583="",$H583=""),"",ROUND($G583*$H583,0))</f>
        <v/>
      </c>
      <c r="J583" s="8"/>
      <c r="K583" s="13" t="str">
        <f aca="false">IF($B583="","",SUMIFS($I$3:$I$2002,$B$3:$B$2002,$B583))</f>
        <v/>
      </c>
      <c r="L583" s="13" t="str">
        <f aca="false">IF($B583="","",IF(COUNTIFS($B$3:$B583,$B583)&gt;1,0,IFERROR(LOOKUP($K583,배송비규정!$A$3:$A$32,배송비규정!$B$3:$B$32),0)+IFERROR(INDEX(지역추가비!$B$3:$B$42,MATCH($J583,지역추가비!$A$3:$A$42,0)),0)))</f>
        <v/>
      </c>
      <c r="M583" s="13" t="str">
        <f aca="false">IF($B583="","",IF(COUNTIFS($B$3:$B583,$B583)&gt;1,"",$K583+$L583))</f>
        <v/>
      </c>
      <c r="N583" s="14" t="str">
        <f aca="false">IF($B583="","",COUNTIFS($B$3:$B583,$B583))</f>
        <v/>
      </c>
      <c r="O583" s="14" t="str">
        <f aca="false">IF($B583="","",$B583&amp;"|"&amp;$N583)</f>
        <v/>
      </c>
    </row>
    <row r="584" customFormat="false" ht="15" hidden="false" customHeight="false" outlineLevel="0" collapsed="false">
      <c r="A584" s="12"/>
      <c r="B584" s="9"/>
      <c r="C584" s="9"/>
      <c r="D584" s="9"/>
      <c r="E584" s="9"/>
      <c r="F584" s="9"/>
      <c r="G584" s="9"/>
      <c r="H584" s="7"/>
      <c r="I584" s="13" t="str">
        <f aca="false">IF(OR($G584="",$H584=""),"",ROUND($G584*$H584,0))</f>
        <v/>
      </c>
      <c r="J584" s="8"/>
      <c r="K584" s="13" t="str">
        <f aca="false">IF($B584="","",SUMIFS($I$3:$I$2002,$B$3:$B$2002,$B584))</f>
        <v/>
      </c>
      <c r="L584" s="13" t="str">
        <f aca="false">IF($B584="","",IF(COUNTIFS($B$3:$B584,$B584)&gt;1,0,IFERROR(LOOKUP($K584,배송비규정!$A$3:$A$32,배송비규정!$B$3:$B$32),0)+IFERROR(INDEX(지역추가비!$B$3:$B$42,MATCH($J584,지역추가비!$A$3:$A$42,0)),0)))</f>
        <v/>
      </c>
      <c r="M584" s="13" t="str">
        <f aca="false">IF($B584="","",IF(COUNTIFS($B$3:$B584,$B584)&gt;1,"",$K584+$L584))</f>
        <v/>
      </c>
      <c r="N584" s="14" t="str">
        <f aca="false">IF($B584="","",COUNTIFS($B$3:$B584,$B584))</f>
        <v/>
      </c>
      <c r="O584" s="14" t="str">
        <f aca="false">IF($B584="","",$B584&amp;"|"&amp;$N584)</f>
        <v/>
      </c>
    </row>
    <row r="585" customFormat="false" ht="15" hidden="false" customHeight="false" outlineLevel="0" collapsed="false">
      <c r="A585" s="12"/>
      <c r="B585" s="9"/>
      <c r="C585" s="9"/>
      <c r="D585" s="9"/>
      <c r="E585" s="9"/>
      <c r="F585" s="9"/>
      <c r="G585" s="9"/>
      <c r="H585" s="7"/>
      <c r="I585" s="13" t="str">
        <f aca="false">IF(OR($G585="",$H585=""),"",ROUND($G585*$H585,0))</f>
        <v/>
      </c>
      <c r="J585" s="8"/>
      <c r="K585" s="13" t="str">
        <f aca="false">IF($B585="","",SUMIFS($I$3:$I$2002,$B$3:$B$2002,$B585))</f>
        <v/>
      </c>
      <c r="L585" s="13" t="str">
        <f aca="false">IF($B585="","",IF(COUNTIFS($B$3:$B585,$B585)&gt;1,0,IFERROR(LOOKUP($K585,배송비규정!$A$3:$A$32,배송비규정!$B$3:$B$32),0)+IFERROR(INDEX(지역추가비!$B$3:$B$42,MATCH($J585,지역추가비!$A$3:$A$42,0)),0)))</f>
        <v/>
      </c>
      <c r="M585" s="13" t="str">
        <f aca="false">IF($B585="","",IF(COUNTIFS($B$3:$B585,$B585)&gt;1,"",$K585+$L585))</f>
        <v/>
      </c>
      <c r="N585" s="14" t="str">
        <f aca="false">IF($B585="","",COUNTIFS($B$3:$B585,$B585))</f>
        <v/>
      </c>
      <c r="O585" s="14" t="str">
        <f aca="false">IF($B585="","",$B585&amp;"|"&amp;$N585)</f>
        <v/>
      </c>
    </row>
    <row r="586" customFormat="false" ht="15" hidden="false" customHeight="false" outlineLevel="0" collapsed="false">
      <c r="A586" s="12"/>
      <c r="B586" s="9"/>
      <c r="C586" s="9"/>
      <c r="D586" s="9"/>
      <c r="E586" s="9"/>
      <c r="F586" s="9"/>
      <c r="G586" s="9"/>
      <c r="H586" s="7"/>
      <c r="I586" s="13" t="str">
        <f aca="false">IF(OR($G586="",$H586=""),"",ROUND($G586*$H586,0))</f>
        <v/>
      </c>
      <c r="J586" s="8"/>
      <c r="K586" s="13" t="str">
        <f aca="false">IF($B586="","",SUMIFS($I$3:$I$2002,$B$3:$B$2002,$B586))</f>
        <v/>
      </c>
      <c r="L586" s="13" t="str">
        <f aca="false">IF($B586="","",IF(COUNTIFS($B$3:$B586,$B586)&gt;1,0,IFERROR(LOOKUP($K586,배송비규정!$A$3:$A$32,배송비규정!$B$3:$B$32),0)+IFERROR(INDEX(지역추가비!$B$3:$B$42,MATCH($J586,지역추가비!$A$3:$A$42,0)),0)))</f>
        <v/>
      </c>
      <c r="M586" s="13" t="str">
        <f aca="false">IF($B586="","",IF(COUNTIFS($B$3:$B586,$B586)&gt;1,"",$K586+$L586))</f>
        <v/>
      </c>
      <c r="N586" s="14" t="str">
        <f aca="false">IF($B586="","",COUNTIFS($B$3:$B586,$B586))</f>
        <v/>
      </c>
      <c r="O586" s="14" t="str">
        <f aca="false">IF($B586="","",$B586&amp;"|"&amp;$N586)</f>
        <v/>
      </c>
    </row>
    <row r="587" customFormat="false" ht="15" hidden="false" customHeight="false" outlineLevel="0" collapsed="false">
      <c r="A587" s="12"/>
      <c r="B587" s="9"/>
      <c r="C587" s="9"/>
      <c r="D587" s="9"/>
      <c r="E587" s="9"/>
      <c r="F587" s="9"/>
      <c r="G587" s="9"/>
      <c r="H587" s="7"/>
      <c r="I587" s="13" t="str">
        <f aca="false">IF(OR($G587="",$H587=""),"",ROUND($G587*$H587,0))</f>
        <v/>
      </c>
      <c r="J587" s="8"/>
      <c r="K587" s="13" t="str">
        <f aca="false">IF($B587="","",SUMIFS($I$3:$I$2002,$B$3:$B$2002,$B587))</f>
        <v/>
      </c>
      <c r="L587" s="13" t="str">
        <f aca="false">IF($B587="","",IF(COUNTIFS($B$3:$B587,$B587)&gt;1,0,IFERROR(LOOKUP($K587,배송비규정!$A$3:$A$32,배송비규정!$B$3:$B$32),0)+IFERROR(INDEX(지역추가비!$B$3:$B$42,MATCH($J587,지역추가비!$A$3:$A$42,0)),0)))</f>
        <v/>
      </c>
      <c r="M587" s="13" t="str">
        <f aca="false">IF($B587="","",IF(COUNTIFS($B$3:$B587,$B587)&gt;1,"",$K587+$L587))</f>
        <v/>
      </c>
      <c r="N587" s="14" t="str">
        <f aca="false">IF($B587="","",COUNTIFS($B$3:$B587,$B587))</f>
        <v/>
      </c>
      <c r="O587" s="14" t="str">
        <f aca="false">IF($B587="","",$B587&amp;"|"&amp;$N587)</f>
        <v/>
      </c>
    </row>
    <row r="588" customFormat="false" ht="15" hidden="false" customHeight="false" outlineLevel="0" collapsed="false">
      <c r="A588" s="12"/>
      <c r="B588" s="9"/>
      <c r="C588" s="9"/>
      <c r="D588" s="9"/>
      <c r="E588" s="9"/>
      <c r="F588" s="9"/>
      <c r="G588" s="9"/>
      <c r="H588" s="7"/>
      <c r="I588" s="13" t="str">
        <f aca="false">IF(OR($G588="",$H588=""),"",ROUND($G588*$H588,0))</f>
        <v/>
      </c>
      <c r="J588" s="8"/>
      <c r="K588" s="13" t="str">
        <f aca="false">IF($B588="","",SUMIFS($I$3:$I$2002,$B$3:$B$2002,$B588))</f>
        <v/>
      </c>
      <c r="L588" s="13" t="str">
        <f aca="false">IF($B588="","",IF(COUNTIFS($B$3:$B588,$B588)&gt;1,0,IFERROR(LOOKUP($K588,배송비규정!$A$3:$A$32,배송비규정!$B$3:$B$32),0)+IFERROR(INDEX(지역추가비!$B$3:$B$42,MATCH($J588,지역추가비!$A$3:$A$42,0)),0)))</f>
        <v/>
      </c>
      <c r="M588" s="13" t="str">
        <f aca="false">IF($B588="","",IF(COUNTIFS($B$3:$B588,$B588)&gt;1,"",$K588+$L588))</f>
        <v/>
      </c>
      <c r="N588" s="14" t="str">
        <f aca="false">IF($B588="","",COUNTIFS($B$3:$B588,$B588))</f>
        <v/>
      </c>
      <c r="O588" s="14" t="str">
        <f aca="false">IF($B588="","",$B588&amp;"|"&amp;$N588)</f>
        <v/>
      </c>
    </row>
    <row r="589" customFormat="false" ht="15" hidden="false" customHeight="false" outlineLevel="0" collapsed="false">
      <c r="A589" s="12"/>
      <c r="B589" s="9"/>
      <c r="C589" s="9"/>
      <c r="D589" s="9"/>
      <c r="E589" s="9"/>
      <c r="F589" s="9"/>
      <c r="G589" s="9"/>
      <c r="H589" s="7"/>
      <c r="I589" s="13" t="str">
        <f aca="false">IF(OR($G589="",$H589=""),"",ROUND($G589*$H589,0))</f>
        <v/>
      </c>
      <c r="J589" s="8"/>
      <c r="K589" s="13" t="str">
        <f aca="false">IF($B589="","",SUMIFS($I$3:$I$2002,$B$3:$B$2002,$B589))</f>
        <v/>
      </c>
      <c r="L589" s="13" t="str">
        <f aca="false">IF($B589="","",IF(COUNTIFS($B$3:$B589,$B589)&gt;1,0,IFERROR(LOOKUP($K589,배송비규정!$A$3:$A$32,배송비규정!$B$3:$B$32),0)+IFERROR(INDEX(지역추가비!$B$3:$B$42,MATCH($J589,지역추가비!$A$3:$A$42,0)),0)))</f>
        <v/>
      </c>
      <c r="M589" s="13" t="str">
        <f aca="false">IF($B589="","",IF(COUNTIFS($B$3:$B589,$B589)&gt;1,"",$K589+$L589))</f>
        <v/>
      </c>
      <c r="N589" s="14" t="str">
        <f aca="false">IF($B589="","",COUNTIFS($B$3:$B589,$B589))</f>
        <v/>
      </c>
      <c r="O589" s="14" t="str">
        <f aca="false">IF($B589="","",$B589&amp;"|"&amp;$N589)</f>
        <v/>
      </c>
    </row>
    <row r="590" customFormat="false" ht="15" hidden="false" customHeight="false" outlineLevel="0" collapsed="false">
      <c r="A590" s="12"/>
      <c r="B590" s="9"/>
      <c r="C590" s="9"/>
      <c r="D590" s="9"/>
      <c r="E590" s="9"/>
      <c r="F590" s="9"/>
      <c r="G590" s="9"/>
      <c r="H590" s="7"/>
      <c r="I590" s="13" t="str">
        <f aca="false">IF(OR($G590="",$H590=""),"",ROUND($G590*$H590,0))</f>
        <v/>
      </c>
      <c r="J590" s="8"/>
      <c r="K590" s="13" t="str">
        <f aca="false">IF($B590="","",SUMIFS($I$3:$I$2002,$B$3:$B$2002,$B590))</f>
        <v/>
      </c>
      <c r="L590" s="13" t="str">
        <f aca="false">IF($B590="","",IF(COUNTIFS($B$3:$B590,$B590)&gt;1,0,IFERROR(LOOKUP($K590,배송비규정!$A$3:$A$32,배송비규정!$B$3:$B$32),0)+IFERROR(INDEX(지역추가비!$B$3:$B$42,MATCH($J590,지역추가비!$A$3:$A$42,0)),0)))</f>
        <v/>
      </c>
      <c r="M590" s="13" t="str">
        <f aca="false">IF($B590="","",IF(COUNTIFS($B$3:$B590,$B590)&gt;1,"",$K590+$L590))</f>
        <v/>
      </c>
      <c r="N590" s="14" t="str">
        <f aca="false">IF($B590="","",COUNTIFS($B$3:$B590,$B590))</f>
        <v/>
      </c>
      <c r="O590" s="14" t="str">
        <f aca="false">IF($B590="","",$B590&amp;"|"&amp;$N590)</f>
        <v/>
      </c>
    </row>
    <row r="591" customFormat="false" ht="15" hidden="false" customHeight="false" outlineLevel="0" collapsed="false">
      <c r="A591" s="12"/>
      <c r="B591" s="9"/>
      <c r="C591" s="9"/>
      <c r="D591" s="9"/>
      <c r="E591" s="9"/>
      <c r="F591" s="9"/>
      <c r="G591" s="9"/>
      <c r="H591" s="7"/>
      <c r="I591" s="13" t="str">
        <f aca="false">IF(OR($G591="",$H591=""),"",ROUND($G591*$H591,0))</f>
        <v/>
      </c>
      <c r="J591" s="8"/>
      <c r="K591" s="13" t="str">
        <f aca="false">IF($B591="","",SUMIFS($I$3:$I$2002,$B$3:$B$2002,$B591))</f>
        <v/>
      </c>
      <c r="L591" s="13" t="str">
        <f aca="false">IF($B591="","",IF(COUNTIFS($B$3:$B591,$B591)&gt;1,0,IFERROR(LOOKUP($K591,배송비규정!$A$3:$A$32,배송비규정!$B$3:$B$32),0)+IFERROR(INDEX(지역추가비!$B$3:$B$42,MATCH($J591,지역추가비!$A$3:$A$42,0)),0)))</f>
        <v/>
      </c>
      <c r="M591" s="13" t="str">
        <f aca="false">IF($B591="","",IF(COUNTIFS($B$3:$B591,$B591)&gt;1,"",$K591+$L591))</f>
        <v/>
      </c>
      <c r="N591" s="14" t="str">
        <f aca="false">IF($B591="","",COUNTIFS($B$3:$B591,$B591))</f>
        <v/>
      </c>
      <c r="O591" s="14" t="str">
        <f aca="false">IF($B591="","",$B591&amp;"|"&amp;$N591)</f>
        <v/>
      </c>
    </row>
    <row r="592" customFormat="false" ht="15" hidden="false" customHeight="false" outlineLevel="0" collapsed="false">
      <c r="A592" s="12"/>
      <c r="B592" s="9"/>
      <c r="C592" s="9"/>
      <c r="D592" s="9"/>
      <c r="E592" s="9"/>
      <c r="F592" s="9"/>
      <c r="G592" s="9"/>
      <c r="H592" s="7"/>
      <c r="I592" s="13" t="str">
        <f aca="false">IF(OR($G592="",$H592=""),"",ROUND($G592*$H592,0))</f>
        <v/>
      </c>
      <c r="J592" s="8"/>
      <c r="K592" s="13" t="str">
        <f aca="false">IF($B592="","",SUMIFS($I$3:$I$2002,$B$3:$B$2002,$B592))</f>
        <v/>
      </c>
      <c r="L592" s="13" t="str">
        <f aca="false">IF($B592="","",IF(COUNTIFS($B$3:$B592,$B592)&gt;1,0,IFERROR(LOOKUP($K592,배송비규정!$A$3:$A$32,배송비규정!$B$3:$B$32),0)+IFERROR(INDEX(지역추가비!$B$3:$B$42,MATCH($J592,지역추가비!$A$3:$A$42,0)),0)))</f>
        <v/>
      </c>
      <c r="M592" s="13" t="str">
        <f aca="false">IF($B592="","",IF(COUNTIFS($B$3:$B592,$B592)&gt;1,"",$K592+$L592))</f>
        <v/>
      </c>
      <c r="N592" s="14" t="str">
        <f aca="false">IF($B592="","",COUNTIFS($B$3:$B592,$B592))</f>
        <v/>
      </c>
      <c r="O592" s="14" t="str">
        <f aca="false">IF($B592="","",$B592&amp;"|"&amp;$N592)</f>
        <v/>
      </c>
    </row>
    <row r="593" customFormat="false" ht="15" hidden="false" customHeight="false" outlineLevel="0" collapsed="false">
      <c r="A593" s="12"/>
      <c r="B593" s="9"/>
      <c r="C593" s="9"/>
      <c r="D593" s="9"/>
      <c r="E593" s="9"/>
      <c r="F593" s="9"/>
      <c r="G593" s="9"/>
      <c r="H593" s="7"/>
      <c r="I593" s="13" t="str">
        <f aca="false">IF(OR($G593="",$H593=""),"",ROUND($G593*$H593,0))</f>
        <v/>
      </c>
      <c r="J593" s="8"/>
      <c r="K593" s="13" t="str">
        <f aca="false">IF($B593="","",SUMIFS($I$3:$I$2002,$B$3:$B$2002,$B593))</f>
        <v/>
      </c>
      <c r="L593" s="13" t="str">
        <f aca="false">IF($B593="","",IF(COUNTIFS($B$3:$B593,$B593)&gt;1,0,IFERROR(LOOKUP($K593,배송비규정!$A$3:$A$32,배송비규정!$B$3:$B$32),0)+IFERROR(INDEX(지역추가비!$B$3:$B$42,MATCH($J593,지역추가비!$A$3:$A$42,0)),0)))</f>
        <v/>
      </c>
      <c r="M593" s="13" t="str">
        <f aca="false">IF($B593="","",IF(COUNTIFS($B$3:$B593,$B593)&gt;1,"",$K593+$L593))</f>
        <v/>
      </c>
      <c r="N593" s="14" t="str">
        <f aca="false">IF($B593="","",COUNTIFS($B$3:$B593,$B593))</f>
        <v/>
      </c>
      <c r="O593" s="14" t="str">
        <f aca="false">IF($B593="","",$B593&amp;"|"&amp;$N593)</f>
        <v/>
      </c>
    </row>
    <row r="594" customFormat="false" ht="15" hidden="false" customHeight="false" outlineLevel="0" collapsed="false">
      <c r="A594" s="12"/>
      <c r="B594" s="9"/>
      <c r="C594" s="9"/>
      <c r="D594" s="9"/>
      <c r="E594" s="9"/>
      <c r="F594" s="9"/>
      <c r="G594" s="9"/>
      <c r="H594" s="7"/>
      <c r="I594" s="13" t="str">
        <f aca="false">IF(OR($G594="",$H594=""),"",ROUND($G594*$H594,0))</f>
        <v/>
      </c>
      <c r="J594" s="8"/>
      <c r="K594" s="13" t="str">
        <f aca="false">IF($B594="","",SUMIFS($I$3:$I$2002,$B$3:$B$2002,$B594))</f>
        <v/>
      </c>
      <c r="L594" s="13" t="str">
        <f aca="false">IF($B594="","",IF(COUNTIFS($B$3:$B594,$B594)&gt;1,0,IFERROR(LOOKUP($K594,배송비규정!$A$3:$A$32,배송비규정!$B$3:$B$32),0)+IFERROR(INDEX(지역추가비!$B$3:$B$42,MATCH($J594,지역추가비!$A$3:$A$42,0)),0)))</f>
        <v/>
      </c>
      <c r="M594" s="13" t="str">
        <f aca="false">IF($B594="","",IF(COUNTIFS($B$3:$B594,$B594)&gt;1,"",$K594+$L594))</f>
        <v/>
      </c>
      <c r="N594" s="14" t="str">
        <f aca="false">IF($B594="","",COUNTIFS($B$3:$B594,$B594))</f>
        <v/>
      </c>
      <c r="O594" s="14" t="str">
        <f aca="false">IF($B594="","",$B594&amp;"|"&amp;$N594)</f>
        <v/>
      </c>
    </row>
    <row r="595" customFormat="false" ht="15" hidden="false" customHeight="false" outlineLevel="0" collapsed="false">
      <c r="A595" s="12"/>
      <c r="B595" s="9"/>
      <c r="C595" s="9"/>
      <c r="D595" s="9"/>
      <c r="E595" s="9"/>
      <c r="F595" s="9"/>
      <c r="G595" s="9"/>
      <c r="H595" s="7"/>
      <c r="I595" s="13" t="str">
        <f aca="false">IF(OR($G595="",$H595=""),"",ROUND($G595*$H595,0))</f>
        <v/>
      </c>
      <c r="J595" s="8"/>
      <c r="K595" s="13" t="str">
        <f aca="false">IF($B595="","",SUMIFS($I$3:$I$2002,$B$3:$B$2002,$B595))</f>
        <v/>
      </c>
      <c r="L595" s="13" t="str">
        <f aca="false">IF($B595="","",IF(COUNTIFS($B$3:$B595,$B595)&gt;1,0,IFERROR(LOOKUP($K595,배송비규정!$A$3:$A$32,배송비규정!$B$3:$B$32),0)+IFERROR(INDEX(지역추가비!$B$3:$B$42,MATCH($J595,지역추가비!$A$3:$A$42,0)),0)))</f>
        <v/>
      </c>
      <c r="M595" s="13" t="str">
        <f aca="false">IF($B595="","",IF(COUNTIFS($B$3:$B595,$B595)&gt;1,"",$K595+$L595))</f>
        <v/>
      </c>
      <c r="N595" s="14" t="str">
        <f aca="false">IF($B595="","",COUNTIFS($B$3:$B595,$B595))</f>
        <v/>
      </c>
      <c r="O595" s="14" t="str">
        <f aca="false">IF($B595="","",$B595&amp;"|"&amp;$N595)</f>
        <v/>
      </c>
    </row>
    <row r="596" customFormat="false" ht="15" hidden="false" customHeight="false" outlineLevel="0" collapsed="false">
      <c r="A596" s="12"/>
      <c r="B596" s="9"/>
      <c r="C596" s="9"/>
      <c r="D596" s="9"/>
      <c r="E596" s="9"/>
      <c r="F596" s="9"/>
      <c r="G596" s="9"/>
      <c r="H596" s="7"/>
      <c r="I596" s="13" t="str">
        <f aca="false">IF(OR($G596="",$H596=""),"",ROUND($G596*$H596,0))</f>
        <v/>
      </c>
      <c r="J596" s="8"/>
      <c r="K596" s="13" t="str">
        <f aca="false">IF($B596="","",SUMIFS($I$3:$I$2002,$B$3:$B$2002,$B596))</f>
        <v/>
      </c>
      <c r="L596" s="13" t="str">
        <f aca="false">IF($B596="","",IF(COUNTIFS($B$3:$B596,$B596)&gt;1,0,IFERROR(LOOKUP($K596,배송비규정!$A$3:$A$32,배송비규정!$B$3:$B$32),0)+IFERROR(INDEX(지역추가비!$B$3:$B$42,MATCH($J596,지역추가비!$A$3:$A$42,0)),0)))</f>
        <v/>
      </c>
      <c r="M596" s="13" t="str">
        <f aca="false">IF($B596="","",IF(COUNTIFS($B$3:$B596,$B596)&gt;1,"",$K596+$L596))</f>
        <v/>
      </c>
      <c r="N596" s="14" t="str">
        <f aca="false">IF($B596="","",COUNTIFS($B$3:$B596,$B596))</f>
        <v/>
      </c>
      <c r="O596" s="14" t="str">
        <f aca="false">IF($B596="","",$B596&amp;"|"&amp;$N596)</f>
        <v/>
      </c>
    </row>
    <row r="597" customFormat="false" ht="15" hidden="false" customHeight="false" outlineLevel="0" collapsed="false">
      <c r="A597" s="12"/>
      <c r="B597" s="9"/>
      <c r="C597" s="9"/>
      <c r="D597" s="9"/>
      <c r="E597" s="9"/>
      <c r="F597" s="9"/>
      <c r="G597" s="9"/>
      <c r="H597" s="7"/>
      <c r="I597" s="13" t="str">
        <f aca="false">IF(OR($G597="",$H597=""),"",ROUND($G597*$H597,0))</f>
        <v/>
      </c>
      <c r="J597" s="8"/>
      <c r="K597" s="13" t="str">
        <f aca="false">IF($B597="","",SUMIFS($I$3:$I$2002,$B$3:$B$2002,$B597))</f>
        <v/>
      </c>
      <c r="L597" s="13" t="str">
        <f aca="false">IF($B597="","",IF(COUNTIFS($B$3:$B597,$B597)&gt;1,0,IFERROR(LOOKUP($K597,배송비규정!$A$3:$A$32,배송비규정!$B$3:$B$32),0)+IFERROR(INDEX(지역추가비!$B$3:$B$42,MATCH($J597,지역추가비!$A$3:$A$42,0)),0)))</f>
        <v/>
      </c>
      <c r="M597" s="13" t="str">
        <f aca="false">IF($B597="","",IF(COUNTIFS($B$3:$B597,$B597)&gt;1,"",$K597+$L597))</f>
        <v/>
      </c>
      <c r="N597" s="14" t="str">
        <f aca="false">IF($B597="","",COUNTIFS($B$3:$B597,$B597))</f>
        <v/>
      </c>
      <c r="O597" s="14" t="str">
        <f aca="false">IF($B597="","",$B597&amp;"|"&amp;$N597)</f>
        <v/>
      </c>
    </row>
    <row r="598" customFormat="false" ht="15" hidden="false" customHeight="false" outlineLevel="0" collapsed="false">
      <c r="A598" s="12"/>
      <c r="B598" s="9"/>
      <c r="C598" s="9"/>
      <c r="D598" s="9"/>
      <c r="E598" s="9"/>
      <c r="F598" s="9"/>
      <c r="G598" s="9"/>
      <c r="H598" s="7"/>
      <c r="I598" s="13" t="str">
        <f aca="false">IF(OR($G598="",$H598=""),"",ROUND($G598*$H598,0))</f>
        <v/>
      </c>
      <c r="J598" s="8"/>
      <c r="K598" s="13" t="str">
        <f aca="false">IF($B598="","",SUMIFS($I$3:$I$2002,$B$3:$B$2002,$B598))</f>
        <v/>
      </c>
      <c r="L598" s="13" t="str">
        <f aca="false">IF($B598="","",IF(COUNTIFS($B$3:$B598,$B598)&gt;1,0,IFERROR(LOOKUP($K598,배송비규정!$A$3:$A$32,배송비규정!$B$3:$B$32),0)+IFERROR(INDEX(지역추가비!$B$3:$B$42,MATCH($J598,지역추가비!$A$3:$A$42,0)),0)))</f>
        <v/>
      </c>
      <c r="M598" s="13" t="str">
        <f aca="false">IF($B598="","",IF(COUNTIFS($B$3:$B598,$B598)&gt;1,"",$K598+$L598))</f>
        <v/>
      </c>
      <c r="N598" s="14" t="str">
        <f aca="false">IF($B598="","",COUNTIFS($B$3:$B598,$B598))</f>
        <v/>
      </c>
      <c r="O598" s="14" t="str">
        <f aca="false">IF($B598="","",$B598&amp;"|"&amp;$N598)</f>
        <v/>
      </c>
    </row>
    <row r="599" customFormat="false" ht="15" hidden="false" customHeight="false" outlineLevel="0" collapsed="false">
      <c r="A599" s="12"/>
      <c r="B599" s="9"/>
      <c r="C599" s="9"/>
      <c r="D599" s="9"/>
      <c r="E599" s="9"/>
      <c r="F599" s="9"/>
      <c r="G599" s="9"/>
      <c r="H599" s="7"/>
      <c r="I599" s="13" t="str">
        <f aca="false">IF(OR($G599="",$H599=""),"",ROUND($G599*$H599,0))</f>
        <v/>
      </c>
      <c r="J599" s="8"/>
      <c r="K599" s="13" t="str">
        <f aca="false">IF($B599="","",SUMIFS($I$3:$I$2002,$B$3:$B$2002,$B599))</f>
        <v/>
      </c>
      <c r="L599" s="13" t="str">
        <f aca="false">IF($B599="","",IF(COUNTIFS($B$3:$B599,$B599)&gt;1,0,IFERROR(LOOKUP($K599,배송비규정!$A$3:$A$32,배송비규정!$B$3:$B$32),0)+IFERROR(INDEX(지역추가비!$B$3:$B$42,MATCH($J599,지역추가비!$A$3:$A$42,0)),0)))</f>
        <v/>
      </c>
      <c r="M599" s="13" t="str">
        <f aca="false">IF($B599="","",IF(COUNTIFS($B$3:$B599,$B599)&gt;1,"",$K599+$L599))</f>
        <v/>
      </c>
      <c r="N599" s="14" t="str">
        <f aca="false">IF($B599="","",COUNTIFS($B$3:$B599,$B599))</f>
        <v/>
      </c>
      <c r="O599" s="14" t="str">
        <f aca="false">IF($B599="","",$B599&amp;"|"&amp;$N599)</f>
        <v/>
      </c>
    </row>
    <row r="600" customFormat="false" ht="15" hidden="false" customHeight="false" outlineLevel="0" collapsed="false">
      <c r="A600" s="12"/>
      <c r="B600" s="9"/>
      <c r="C600" s="9"/>
      <c r="D600" s="9"/>
      <c r="E600" s="9"/>
      <c r="F600" s="9"/>
      <c r="G600" s="9"/>
      <c r="H600" s="7"/>
      <c r="I600" s="13" t="str">
        <f aca="false">IF(OR($G600="",$H600=""),"",ROUND($G600*$H600,0))</f>
        <v/>
      </c>
      <c r="J600" s="8"/>
      <c r="K600" s="13" t="str">
        <f aca="false">IF($B600="","",SUMIFS($I$3:$I$2002,$B$3:$B$2002,$B600))</f>
        <v/>
      </c>
      <c r="L600" s="13" t="str">
        <f aca="false">IF($B600="","",IF(COUNTIFS($B$3:$B600,$B600)&gt;1,0,IFERROR(LOOKUP($K600,배송비규정!$A$3:$A$32,배송비규정!$B$3:$B$32),0)+IFERROR(INDEX(지역추가비!$B$3:$B$42,MATCH($J600,지역추가비!$A$3:$A$42,0)),0)))</f>
        <v/>
      </c>
      <c r="M600" s="13" t="str">
        <f aca="false">IF($B600="","",IF(COUNTIFS($B$3:$B600,$B600)&gt;1,"",$K600+$L600))</f>
        <v/>
      </c>
      <c r="N600" s="14" t="str">
        <f aca="false">IF($B600="","",COUNTIFS($B$3:$B600,$B600))</f>
        <v/>
      </c>
      <c r="O600" s="14" t="str">
        <f aca="false">IF($B600="","",$B600&amp;"|"&amp;$N600)</f>
        <v/>
      </c>
    </row>
    <row r="601" customFormat="false" ht="15" hidden="false" customHeight="false" outlineLevel="0" collapsed="false">
      <c r="A601" s="12"/>
      <c r="B601" s="9"/>
      <c r="C601" s="9"/>
      <c r="D601" s="9"/>
      <c r="E601" s="9"/>
      <c r="F601" s="9"/>
      <c r="G601" s="9"/>
      <c r="H601" s="7"/>
      <c r="I601" s="13" t="str">
        <f aca="false">IF(OR($G601="",$H601=""),"",ROUND($G601*$H601,0))</f>
        <v/>
      </c>
      <c r="J601" s="8"/>
      <c r="K601" s="13" t="str">
        <f aca="false">IF($B601="","",SUMIFS($I$3:$I$2002,$B$3:$B$2002,$B601))</f>
        <v/>
      </c>
      <c r="L601" s="13" t="str">
        <f aca="false">IF($B601="","",IF(COUNTIFS($B$3:$B601,$B601)&gt;1,0,IFERROR(LOOKUP($K601,배송비규정!$A$3:$A$32,배송비규정!$B$3:$B$32),0)+IFERROR(INDEX(지역추가비!$B$3:$B$42,MATCH($J601,지역추가비!$A$3:$A$42,0)),0)))</f>
        <v/>
      </c>
      <c r="M601" s="13" t="str">
        <f aca="false">IF($B601="","",IF(COUNTIFS($B$3:$B601,$B601)&gt;1,"",$K601+$L601))</f>
        <v/>
      </c>
      <c r="N601" s="14" t="str">
        <f aca="false">IF($B601="","",COUNTIFS($B$3:$B601,$B601))</f>
        <v/>
      </c>
      <c r="O601" s="14" t="str">
        <f aca="false">IF($B601="","",$B601&amp;"|"&amp;$N601)</f>
        <v/>
      </c>
    </row>
    <row r="602" customFormat="false" ht="15" hidden="false" customHeight="false" outlineLevel="0" collapsed="false">
      <c r="A602" s="12"/>
      <c r="B602" s="9"/>
      <c r="C602" s="9"/>
      <c r="D602" s="9"/>
      <c r="E602" s="9"/>
      <c r="F602" s="9"/>
      <c r="G602" s="9"/>
      <c r="H602" s="7"/>
      <c r="I602" s="13" t="str">
        <f aca="false">IF(OR($G602="",$H602=""),"",ROUND($G602*$H602,0))</f>
        <v/>
      </c>
      <c r="J602" s="8"/>
      <c r="K602" s="13" t="str">
        <f aca="false">IF($B602="","",SUMIFS($I$3:$I$2002,$B$3:$B$2002,$B602))</f>
        <v/>
      </c>
      <c r="L602" s="13" t="str">
        <f aca="false">IF($B602="","",IF(COUNTIFS($B$3:$B602,$B602)&gt;1,0,IFERROR(LOOKUP($K602,배송비규정!$A$3:$A$32,배송비규정!$B$3:$B$32),0)+IFERROR(INDEX(지역추가비!$B$3:$B$42,MATCH($J602,지역추가비!$A$3:$A$42,0)),0)))</f>
        <v/>
      </c>
      <c r="M602" s="13" t="str">
        <f aca="false">IF($B602="","",IF(COUNTIFS($B$3:$B602,$B602)&gt;1,"",$K602+$L602))</f>
        <v/>
      </c>
      <c r="N602" s="14" t="str">
        <f aca="false">IF($B602="","",COUNTIFS($B$3:$B602,$B602))</f>
        <v/>
      </c>
      <c r="O602" s="14" t="str">
        <f aca="false">IF($B602="","",$B602&amp;"|"&amp;$N602)</f>
        <v/>
      </c>
    </row>
    <row r="603" customFormat="false" ht="15" hidden="false" customHeight="false" outlineLevel="0" collapsed="false">
      <c r="A603" s="12"/>
      <c r="B603" s="9"/>
      <c r="C603" s="9"/>
      <c r="D603" s="9"/>
      <c r="E603" s="9"/>
      <c r="F603" s="9"/>
      <c r="G603" s="9"/>
      <c r="H603" s="7"/>
      <c r="I603" s="13" t="str">
        <f aca="false">IF(OR($G603="",$H603=""),"",ROUND($G603*$H603,0))</f>
        <v/>
      </c>
      <c r="J603" s="8"/>
      <c r="K603" s="13" t="str">
        <f aca="false">IF($B603="","",SUMIFS($I$3:$I$2002,$B$3:$B$2002,$B603))</f>
        <v/>
      </c>
      <c r="L603" s="13" t="str">
        <f aca="false">IF($B603="","",IF(COUNTIFS($B$3:$B603,$B603)&gt;1,0,IFERROR(LOOKUP($K603,배송비규정!$A$3:$A$32,배송비규정!$B$3:$B$32),0)+IFERROR(INDEX(지역추가비!$B$3:$B$42,MATCH($J603,지역추가비!$A$3:$A$42,0)),0)))</f>
        <v/>
      </c>
      <c r="M603" s="13" t="str">
        <f aca="false">IF($B603="","",IF(COUNTIFS($B$3:$B603,$B603)&gt;1,"",$K603+$L603))</f>
        <v/>
      </c>
      <c r="N603" s="14" t="str">
        <f aca="false">IF($B603="","",COUNTIFS($B$3:$B603,$B603))</f>
        <v/>
      </c>
      <c r="O603" s="14" t="str">
        <f aca="false">IF($B603="","",$B603&amp;"|"&amp;$N603)</f>
        <v/>
      </c>
    </row>
    <row r="604" customFormat="false" ht="15" hidden="false" customHeight="false" outlineLevel="0" collapsed="false">
      <c r="A604" s="12"/>
      <c r="B604" s="9"/>
      <c r="C604" s="9"/>
      <c r="D604" s="9"/>
      <c r="E604" s="9"/>
      <c r="F604" s="9"/>
      <c r="G604" s="9"/>
      <c r="H604" s="7"/>
      <c r="I604" s="13" t="str">
        <f aca="false">IF(OR($G604="",$H604=""),"",ROUND($G604*$H604,0))</f>
        <v/>
      </c>
      <c r="J604" s="8"/>
      <c r="K604" s="13" t="str">
        <f aca="false">IF($B604="","",SUMIFS($I$3:$I$2002,$B$3:$B$2002,$B604))</f>
        <v/>
      </c>
      <c r="L604" s="13" t="str">
        <f aca="false">IF($B604="","",IF(COUNTIFS($B$3:$B604,$B604)&gt;1,0,IFERROR(LOOKUP($K604,배송비규정!$A$3:$A$32,배송비규정!$B$3:$B$32),0)+IFERROR(INDEX(지역추가비!$B$3:$B$42,MATCH($J604,지역추가비!$A$3:$A$42,0)),0)))</f>
        <v/>
      </c>
      <c r="M604" s="13" t="str">
        <f aca="false">IF($B604="","",IF(COUNTIFS($B$3:$B604,$B604)&gt;1,"",$K604+$L604))</f>
        <v/>
      </c>
      <c r="N604" s="14" t="str">
        <f aca="false">IF($B604="","",COUNTIFS($B$3:$B604,$B604))</f>
        <v/>
      </c>
      <c r="O604" s="14" t="str">
        <f aca="false">IF($B604="","",$B604&amp;"|"&amp;$N604)</f>
        <v/>
      </c>
    </row>
    <row r="605" customFormat="false" ht="15" hidden="false" customHeight="false" outlineLevel="0" collapsed="false">
      <c r="A605" s="12"/>
      <c r="B605" s="9"/>
      <c r="C605" s="9"/>
      <c r="D605" s="9"/>
      <c r="E605" s="9"/>
      <c r="F605" s="9"/>
      <c r="G605" s="9"/>
      <c r="H605" s="7"/>
      <c r="I605" s="13" t="str">
        <f aca="false">IF(OR($G605="",$H605=""),"",ROUND($G605*$H605,0))</f>
        <v/>
      </c>
      <c r="J605" s="8"/>
      <c r="K605" s="13" t="str">
        <f aca="false">IF($B605="","",SUMIFS($I$3:$I$2002,$B$3:$B$2002,$B605))</f>
        <v/>
      </c>
      <c r="L605" s="13" t="str">
        <f aca="false">IF($B605="","",IF(COUNTIFS($B$3:$B605,$B605)&gt;1,0,IFERROR(LOOKUP($K605,배송비규정!$A$3:$A$32,배송비규정!$B$3:$B$32),0)+IFERROR(INDEX(지역추가비!$B$3:$B$42,MATCH($J605,지역추가비!$A$3:$A$42,0)),0)))</f>
        <v/>
      </c>
      <c r="M605" s="13" t="str">
        <f aca="false">IF($B605="","",IF(COUNTIFS($B$3:$B605,$B605)&gt;1,"",$K605+$L605))</f>
        <v/>
      </c>
      <c r="N605" s="14" t="str">
        <f aca="false">IF($B605="","",COUNTIFS($B$3:$B605,$B605))</f>
        <v/>
      </c>
      <c r="O605" s="14" t="str">
        <f aca="false">IF($B605="","",$B605&amp;"|"&amp;$N605)</f>
        <v/>
      </c>
    </row>
    <row r="606" customFormat="false" ht="15" hidden="false" customHeight="false" outlineLevel="0" collapsed="false">
      <c r="A606" s="12"/>
      <c r="B606" s="9"/>
      <c r="C606" s="9"/>
      <c r="D606" s="9"/>
      <c r="E606" s="9"/>
      <c r="F606" s="9"/>
      <c r="G606" s="9"/>
      <c r="H606" s="7"/>
      <c r="I606" s="13" t="str">
        <f aca="false">IF(OR($G606="",$H606=""),"",ROUND($G606*$H606,0))</f>
        <v/>
      </c>
      <c r="J606" s="8"/>
      <c r="K606" s="13" t="str">
        <f aca="false">IF($B606="","",SUMIFS($I$3:$I$2002,$B$3:$B$2002,$B606))</f>
        <v/>
      </c>
      <c r="L606" s="13" t="str">
        <f aca="false">IF($B606="","",IF(COUNTIFS($B$3:$B606,$B606)&gt;1,0,IFERROR(LOOKUP($K606,배송비규정!$A$3:$A$32,배송비규정!$B$3:$B$32),0)+IFERROR(INDEX(지역추가비!$B$3:$B$42,MATCH($J606,지역추가비!$A$3:$A$42,0)),0)))</f>
        <v/>
      </c>
      <c r="M606" s="13" t="str">
        <f aca="false">IF($B606="","",IF(COUNTIFS($B$3:$B606,$B606)&gt;1,"",$K606+$L606))</f>
        <v/>
      </c>
      <c r="N606" s="14" t="str">
        <f aca="false">IF($B606="","",COUNTIFS($B$3:$B606,$B606))</f>
        <v/>
      </c>
      <c r="O606" s="14" t="str">
        <f aca="false">IF($B606="","",$B606&amp;"|"&amp;$N606)</f>
        <v/>
      </c>
    </row>
    <row r="607" customFormat="false" ht="15" hidden="false" customHeight="false" outlineLevel="0" collapsed="false">
      <c r="A607" s="12"/>
      <c r="B607" s="9"/>
      <c r="C607" s="9"/>
      <c r="D607" s="9"/>
      <c r="E607" s="9"/>
      <c r="F607" s="9"/>
      <c r="G607" s="9"/>
      <c r="H607" s="7"/>
      <c r="I607" s="13" t="str">
        <f aca="false">IF(OR($G607="",$H607=""),"",ROUND($G607*$H607,0))</f>
        <v/>
      </c>
      <c r="J607" s="8"/>
      <c r="K607" s="13" t="str">
        <f aca="false">IF($B607="","",SUMIFS($I$3:$I$2002,$B$3:$B$2002,$B607))</f>
        <v/>
      </c>
      <c r="L607" s="13" t="str">
        <f aca="false">IF($B607="","",IF(COUNTIFS($B$3:$B607,$B607)&gt;1,0,IFERROR(LOOKUP($K607,배송비규정!$A$3:$A$32,배송비규정!$B$3:$B$32),0)+IFERROR(INDEX(지역추가비!$B$3:$B$42,MATCH($J607,지역추가비!$A$3:$A$42,0)),0)))</f>
        <v/>
      </c>
      <c r="M607" s="13" t="str">
        <f aca="false">IF($B607="","",IF(COUNTIFS($B$3:$B607,$B607)&gt;1,"",$K607+$L607))</f>
        <v/>
      </c>
      <c r="N607" s="14" t="str">
        <f aca="false">IF($B607="","",COUNTIFS($B$3:$B607,$B607))</f>
        <v/>
      </c>
      <c r="O607" s="14" t="str">
        <f aca="false">IF($B607="","",$B607&amp;"|"&amp;$N607)</f>
        <v/>
      </c>
    </row>
    <row r="608" customFormat="false" ht="15" hidden="false" customHeight="false" outlineLevel="0" collapsed="false">
      <c r="A608" s="12"/>
      <c r="B608" s="9"/>
      <c r="C608" s="9"/>
      <c r="D608" s="9"/>
      <c r="E608" s="9"/>
      <c r="F608" s="9"/>
      <c r="G608" s="9"/>
      <c r="H608" s="7"/>
      <c r="I608" s="13" t="str">
        <f aca="false">IF(OR($G608="",$H608=""),"",ROUND($G608*$H608,0))</f>
        <v/>
      </c>
      <c r="J608" s="8"/>
      <c r="K608" s="13" t="str">
        <f aca="false">IF($B608="","",SUMIFS($I$3:$I$2002,$B$3:$B$2002,$B608))</f>
        <v/>
      </c>
      <c r="L608" s="13" t="str">
        <f aca="false">IF($B608="","",IF(COUNTIFS($B$3:$B608,$B608)&gt;1,0,IFERROR(LOOKUP($K608,배송비규정!$A$3:$A$32,배송비규정!$B$3:$B$32),0)+IFERROR(INDEX(지역추가비!$B$3:$B$42,MATCH($J608,지역추가비!$A$3:$A$42,0)),0)))</f>
        <v/>
      </c>
      <c r="M608" s="13" t="str">
        <f aca="false">IF($B608="","",IF(COUNTIFS($B$3:$B608,$B608)&gt;1,"",$K608+$L608))</f>
        <v/>
      </c>
      <c r="N608" s="14" t="str">
        <f aca="false">IF($B608="","",COUNTIFS($B$3:$B608,$B608))</f>
        <v/>
      </c>
      <c r="O608" s="14" t="str">
        <f aca="false">IF($B608="","",$B608&amp;"|"&amp;$N608)</f>
        <v/>
      </c>
    </row>
    <row r="609" customFormat="false" ht="15" hidden="false" customHeight="false" outlineLevel="0" collapsed="false">
      <c r="A609" s="12"/>
      <c r="B609" s="9"/>
      <c r="C609" s="9"/>
      <c r="D609" s="9"/>
      <c r="E609" s="9"/>
      <c r="F609" s="9"/>
      <c r="G609" s="9"/>
      <c r="H609" s="7"/>
      <c r="I609" s="13" t="str">
        <f aca="false">IF(OR($G609="",$H609=""),"",ROUND($G609*$H609,0))</f>
        <v/>
      </c>
      <c r="J609" s="8"/>
      <c r="K609" s="13" t="str">
        <f aca="false">IF($B609="","",SUMIFS($I$3:$I$2002,$B$3:$B$2002,$B609))</f>
        <v/>
      </c>
      <c r="L609" s="13" t="str">
        <f aca="false">IF($B609="","",IF(COUNTIFS($B$3:$B609,$B609)&gt;1,0,IFERROR(LOOKUP($K609,배송비규정!$A$3:$A$32,배송비규정!$B$3:$B$32),0)+IFERROR(INDEX(지역추가비!$B$3:$B$42,MATCH($J609,지역추가비!$A$3:$A$42,0)),0)))</f>
        <v/>
      </c>
      <c r="M609" s="13" t="str">
        <f aca="false">IF($B609="","",IF(COUNTIFS($B$3:$B609,$B609)&gt;1,"",$K609+$L609))</f>
        <v/>
      </c>
      <c r="N609" s="14" t="str">
        <f aca="false">IF($B609="","",COUNTIFS($B$3:$B609,$B609))</f>
        <v/>
      </c>
      <c r="O609" s="14" t="str">
        <f aca="false">IF($B609="","",$B609&amp;"|"&amp;$N609)</f>
        <v/>
      </c>
    </row>
    <row r="610" customFormat="false" ht="15" hidden="false" customHeight="false" outlineLevel="0" collapsed="false">
      <c r="A610" s="12"/>
      <c r="B610" s="9"/>
      <c r="C610" s="9"/>
      <c r="D610" s="9"/>
      <c r="E610" s="9"/>
      <c r="F610" s="9"/>
      <c r="G610" s="9"/>
      <c r="H610" s="7"/>
      <c r="I610" s="13" t="str">
        <f aca="false">IF(OR($G610="",$H610=""),"",ROUND($G610*$H610,0))</f>
        <v/>
      </c>
      <c r="J610" s="8"/>
      <c r="K610" s="13" t="str">
        <f aca="false">IF($B610="","",SUMIFS($I$3:$I$2002,$B$3:$B$2002,$B610))</f>
        <v/>
      </c>
      <c r="L610" s="13" t="str">
        <f aca="false">IF($B610="","",IF(COUNTIFS($B$3:$B610,$B610)&gt;1,0,IFERROR(LOOKUP($K610,배송비규정!$A$3:$A$32,배송비규정!$B$3:$B$32),0)+IFERROR(INDEX(지역추가비!$B$3:$B$42,MATCH($J610,지역추가비!$A$3:$A$42,0)),0)))</f>
        <v/>
      </c>
      <c r="M610" s="13" t="str">
        <f aca="false">IF($B610="","",IF(COUNTIFS($B$3:$B610,$B610)&gt;1,"",$K610+$L610))</f>
        <v/>
      </c>
      <c r="N610" s="14" t="str">
        <f aca="false">IF($B610="","",COUNTIFS($B$3:$B610,$B610))</f>
        <v/>
      </c>
      <c r="O610" s="14" t="str">
        <f aca="false">IF($B610="","",$B610&amp;"|"&amp;$N610)</f>
        <v/>
      </c>
    </row>
    <row r="611" customFormat="false" ht="15" hidden="false" customHeight="false" outlineLevel="0" collapsed="false">
      <c r="A611" s="12"/>
      <c r="B611" s="9"/>
      <c r="C611" s="9"/>
      <c r="D611" s="9"/>
      <c r="E611" s="9"/>
      <c r="F611" s="9"/>
      <c r="G611" s="9"/>
      <c r="H611" s="7"/>
      <c r="I611" s="13" t="str">
        <f aca="false">IF(OR($G611="",$H611=""),"",ROUND($G611*$H611,0))</f>
        <v/>
      </c>
      <c r="J611" s="8"/>
      <c r="K611" s="13" t="str">
        <f aca="false">IF($B611="","",SUMIFS($I$3:$I$2002,$B$3:$B$2002,$B611))</f>
        <v/>
      </c>
      <c r="L611" s="13" t="str">
        <f aca="false">IF($B611="","",IF(COUNTIFS($B$3:$B611,$B611)&gt;1,0,IFERROR(LOOKUP($K611,배송비규정!$A$3:$A$32,배송비규정!$B$3:$B$32),0)+IFERROR(INDEX(지역추가비!$B$3:$B$42,MATCH($J611,지역추가비!$A$3:$A$42,0)),0)))</f>
        <v/>
      </c>
      <c r="M611" s="13" t="str">
        <f aca="false">IF($B611="","",IF(COUNTIFS($B$3:$B611,$B611)&gt;1,"",$K611+$L611))</f>
        <v/>
      </c>
      <c r="N611" s="14" t="str">
        <f aca="false">IF($B611="","",COUNTIFS($B$3:$B611,$B611))</f>
        <v/>
      </c>
      <c r="O611" s="14" t="str">
        <f aca="false">IF($B611="","",$B611&amp;"|"&amp;$N611)</f>
        <v/>
      </c>
    </row>
    <row r="612" customFormat="false" ht="15" hidden="false" customHeight="false" outlineLevel="0" collapsed="false">
      <c r="A612" s="12"/>
      <c r="B612" s="9"/>
      <c r="C612" s="9"/>
      <c r="D612" s="9"/>
      <c r="E612" s="9"/>
      <c r="F612" s="9"/>
      <c r="G612" s="9"/>
      <c r="H612" s="7"/>
      <c r="I612" s="13" t="str">
        <f aca="false">IF(OR($G612="",$H612=""),"",ROUND($G612*$H612,0))</f>
        <v/>
      </c>
      <c r="J612" s="8"/>
      <c r="K612" s="13" t="str">
        <f aca="false">IF($B612="","",SUMIFS($I$3:$I$2002,$B$3:$B$2002,$B612))</f>
        <v/>
      </c>
      <c r="L612" s="13" t="str">
        <f aca="false">IF($B612="","",IF(COUNTIFS($B$3:$B612,$B612)&gt;1,0,IFERROR(LOOKUP($K612,배송비규정!$A$3:$A$32,배송비규정!$B$3:$B$32),0)+IFERROR(INDEX(지역추가비!$B$3:$B$42,MATCH($J612,지역추가비!$A$3:$A$42,0)),0)))</f>
        <v/>
      </c>
      <c r="M612" s="13" t="str">
        <f aca="false">IF($B612="","",IF(COUNTIFS($B$3:$B612,$B612)&gt;1,"",$K612+$L612))</f>
        <v/>
      </c>
      <c r="N612" s="14" t="str">
        <f aca="false">IF($B612="","",COUNTIFS($B$3:$B612,$B612))</f>
        <v/>
      </c>
      <c r="O612" s="14" t="str">
        <f aca="false">IF($B612="","",$B612&amp;"|"&amp;$N612)</f>
        <v/>
      </c>
    </row>
    <row r="613" customFormat="false" ht="15" hidden="false" customHeight="false" outlineLevel="0" collapsed="false">
      <c r="A613" s="12"/>
      <c r="B613" s="9"/>
      <c r="C613" s="9"/>
      <c r="D613" s="9"/>
      <c r="E613" s="9"/>
      <c r="F613" s="9"/>
      <c r="G613" s="9"/>
      <c r="H613" s="7"/>
      <c r="I613" s="13" t="str">
        <f aca="false">IF(OR($G613="",$H613=""),"",ROUND($G613*$H613,0))</f>
        <v/>
      </c>
      <c r="J613" s="8"/>
      <c r="K613" s="13" t="str">
        <f aca="false">IF($B613="","",SUMIFS($I$3:$I$2002,$B$3:$B$2002,$B613))</f>
        <v/>
      </c>
      <c r="L613" s="13" t="str">
        <f aca="false">IF($B613="","",IF(COUNTIFS($B$3:$B613,$B613)&gt;1,0,IFERROR(LOOKUP($K613,배송비규정!$A$3:$A$32,배송비규정!$B$3:$B$32),0)+IFERROR(INDEX(지역추가비!$B$3:$B$42,MATCH($J613,지역추가비!$A$3:$A$42,0)),0)))</f>
        <v/>
      </c>
      <c r="M613" s="13" t="str">
        <f aca="false">IF($B613="","",IF(COUNTIFS($B$3:$B613,$B613)&gt;1,"",$K613+$L613))</f>
        <v/>
      </c>
      <c r="N613" s="14" t="str">
        <f aca="false">IF($B613="","",COUNTIFS($B$3:$B613,$B613))</f>
        <v/>
      </c>
      <c r="O613" s="14" t="str">
        <f aca="false">IF($B613="","",$B613&amp;"|"&amp;$N613)</f>
        <v/>
      </c>
    </row>
    <row r="614" customFormat="false" ht="15" hidden="false" customHeight="false" outlineLevel="0" collapsed="false">
      <c r="A614" s="12"/>
      <c r="B614" s="9"/>
      <c r="C614" s="9"/>
      <c r="D614" s="9"/>
      <c r="E614" s="9"/>
      <c r="F614" s="9"/>
      <c r="G614" s="9"/>
      <c r="H614" s="7"/>
      <c r="I614" s="13" t="str">
        <f aca="false">IF(OR($G614="",$H614=""),"",ROUND($G614*$H614,0))</f>
        <v/>
      </c>
      <c r="J614" s="8"/>
      <c r="K614" s="13" t="str">
        <f aca="false">IF($B614="","",SUMIFS($I$3:$I$2002,$B$3:$B$2002,$B614))</f>
        <v/>
      </c>
      <c r="L614" s="13" t="str">
        <f aca="false">IF($B614="","",IF(COUNTIFS($B$3:$B614,$B614)&gt;1,0,IFERROR(LOOKUP($K614,배송비규정!$A$3:$A$32,배송비규정!$B$3:$B$32),0)+IFERROR(INDEX(지역추가비!$B$3:$B$42,MATCH($J614,지역추가비!$A$3:$A$42,0)),0)))</f>
        <v/>
      </c>
      <c r="M614" s="13" t="str">
        <f aca="false">IF($B614="","",IF(COUNTIFS($B$3:$B614,$B614)&gt;1,"",$K614+$L614))</f>
        <v/>
      </c>
      <c r="N614" s="14" t="str">
        <f aca="false">IF($B614="","",COUNTIFS($B$3:$B614,$B614))</f>
        <v/>
      </c>
      <c r="O614" s="14" t="str">
        <f aca="false">IF($B614="","",$B614&amp;"|"&amp;$N614)</f>
        <v/>
      </c>
    </row>
    <row r="615" customFormat="false" ht="15" hidden="false" customHeight="false" outlineLevel="0" collapsed="false">
      <c r="A615" s="12"/>
      <c r="B615" s="9"/>
      <c r="C615" s="9"/>
      <c r="D615" s="9"/>
      <c r="E615" s="9"/>
      <c r="F615" s="9"/>
      <c r="G615" s="9"/>
      <c r="H615" s="7"/>
      <c r="I615" s="13" t="str">
        <f aca="false">IF(OR($G615="",$H615=""),"",ROUND($G615*$H615,0))</f>
        <v/>
      </c>
      <c r="J615" s="8"/>
      <c r="K615" s="13" t="str">
        <f aca="false">IF($B615="","",SUMIFS($I$3:$I$2002,$B$3:$B$2002,$B615))</f>
        <v/>
      </c>
      <c r="L615" s="13" t="str">
        <f aca="false">IF($B615="","",IF(COUNTIFS($B$3:$B615,$B615)&gt;1,0,IFERROR(LOOKUP($K615,배송비규정!$A$3:$A$32,배송비규정!$B$3:$B$32),0)+IFERROR(INDEX(지역추가비!$B$3:$B$42,MATCH($J615,지역추가비!$A$3:$A$42,0)),0)))</f>
        <v/>
      </c>
      <c r="M615" s="13" t="str">
        <f aca="false">IF($B615="","",IF(COUNTIFS($B$3:$B615,$B615)&gt;1,"",$K615+$L615))</f>
        <v/>
      </c>
      <c r="N615" s="14" t="str">
        <f aca="false">IF($B615="","",COUNTIFS($B$3:$B615,$B615))</f>
        <v/>
      </c>
      <c r="O615" s="14" t="str">
        <f aca="false">IF($B615="","",$B615&amp;"|"&amp;$N615)</f>
        <v/>
      </c>
    </row>
    <row r="616" customFormat="false" ht="15" hidden="false" customHeight="false" outlineLevel="0" collapsed="false">
      <c r="A616" s="12"/>
      <c r="B616" s="9"/>
      <c r="C616" s="9"/>
      <c r="D616" s="9"/>
      <c r="E616" s="9"/>
      <c r="F616" s="9"/>
      <c r="G616" s="9"/>
      <c r="H616" s="7"/>
      <c r="I616" s="13" t="str">
        <f aca="false">IF(OR($G616="",$H616=""),"",ROUND($G616*$H616,0))</f>
        <v/>
      </c>
      <c r="J616" s="8"/>
      <c r="K616" s="13" t="str">
        <f aca="false">IF($B616="","",SUMIFS($I$3:$I$2002,$B$3:$B$2002,$B616))</f>
        <v/>
      </c>
      <c r="L616" s="13" t="str">
        <f aca="false">IF($B616="","",IF(COUNTIFS($B$3:$B616,$B616)&gt;1,0,IFERROR(LOOKUP($K616,배송비규정!$A$3:$A$32,배송비규정!$B$3:$B$32),0)+IFERROR(INDEX(지역추가비!$B$3:$B$42,MATCH($J616,지역추가비!$A$3:$A$42,0)),0)))</f>
        <v/>
      </c>
      <c r="M616" s="13" t="str">
        <f aca="false">IF($B616="","",IF(COUNTIFS($B$3:$B616,$B616)&gt;1,"",$K616+$L616))</f>
        <v/>
      </c>
      <c r="N616" s="14" t="str">
        <f aca="false">IF($B616="","",COUNTIFS($B$3:$B616,$B616))</f>
        <v/>
      </c>
      <c r="O616" s="14" t="str">
        <f aca="false">IF($B616="","",$B616&amp;"|"&amp;$N616)</f>
        <v/>
      </c>
    </row>
    <row r="617" customFormat="false" ht="15" hidden="false" customHeight="false" outlineLevel="0" collapsed="false">
      <c r="A617" s="12"/>
      <c r="B617" s="9"/>
      <c r="C617" s="9"/>
      <c r="D617" s="9"/>
      <c r="E617" s="9"/>
      <c r="F617" s="9"/>
      <c r="G617" s="9"/>
      <c r="H617" s="7"/>
      <c r="I617" s="13" t="str">
        <f aca="false">IF(OR($G617="",$H617=""),"",ROUND($G617*$H617,0))</f>
        <v/>
      </c>
      <c r="J617" s="8"/>
      <c r="K617" s="13" t="str">
        <f aca="false">IF($B617="","",SUMIFS($I$3:$I$2002,$B$3:$B$2002,$B617))</f>
        <v/>
      </c>
      <c r="L617" s="13" t="str">
        <f aca="false">IF($B617="","",IF(COUNTIFS($B$3:$B617,$B617)&gt;1,0,IFERROR(LOOKUP($K617,배송비규정!$A$3:$A$32,배송비규정!$B$3:$B$32),0)+IFERROR(INDEX(지역추가비!$B$3:$B$42,MATCH($J617,지역추가비!$A$3:$A$42,0)),0)))</f>
        <v/>
      </c>
      <c r="M617" s="13" t="str">
        <f aca="false">IF($B617="","",IF(COUNTIFS($B$3:$B617,$B617)&gt;1,"",$K617+$L617))</f>
        <v/>
      </c>
      <c r="N617" s="14" t="str">
        <f aca="false">IF($B617="","",COUNTIFS($B$3:$B617,$B617))</f>
        <v/>
      </c>
      <c r="O617" s="14" t="str">
        <f aca="false">IF($B617="","",$B617&amp;"|"&amp;$N617)</f>
        <v/>
      </c>
    </row>
    <row r="618" customFormat="false" ht="15" hidden="false" customHeight="false" outlineLevel="0" collapsed="false">
      <c r="A618" s="12"/>
      <c r="B618" s="9"/>
      <c r="C618" s="9"/>
      <c r="D618" s="9"/>
      <c r="E618" s="9"/>
      <c r="F618" s="9"/>
      <c r="G618" s="9"/>
      <c r="H618" s="7"/>
      <c r="I618" s="13" t="str">
        <f aca="false">IF(OR($G618="",$H618=""),"",ROUND($G618*$H618,0))</f>
        <v/>
      </c>
      <c r="J618" s="8"/>
      <c r="K618" s="13" t="str">
        <f aca="false">IF($B618="","",SUMIFS($I$3:$I$2002,$B$3:$B$2002,$B618))</f>
        <v/>
      </c>
      <c r="L618" s="13" t="str">
        <f aca="false">IF($B618="","",IF(COUNTIFS($B$3:$B618,$B618)&gt;1,0,IFERROR(LOOKUP($K618,배송비규정!$A$3:$A$32,배송비규정!$B$3:$B$32),0)+IFERROR(INDEX(지역추가비!$B$3:$B$42,MATCH($J618,지역추가비!$A$3:$A$42,0)),0)))</f>
        <v/>
      </c>
      <c r="M618" s="13" t="str">
        <f aca="false">IF($B618="","",IF(COUNTIFS($B$3:$B618,$B618)&gt;1,"",$K618+$L618))</f>
        <v/>
      </c>
      <c r="N618" s="14" t="str">
        <f aca="false">IF($B618="","",COUNTIFS($B$3:$B618,$B618))</f>
        <v/>
      </c>
      <c r="O618" s="14" t="str">
        <f aca="false">IF($B618="","",$B618&amp;"|"&amp;$N618)</f>
        <v/>
      </c>
    </row>
    <row r="619" customFormat="false" ht="15" hidden="false" customHeight="false" outlineLevel="0" collapsed="false">
      <c r="A619" s="12"/>
      <c r="B619" s="9"/>
      <c r="C619" s="9"/>
      <c r="D619" s="9"/>
      <c r="E619" s="9"/>
      <c r="F619" s="9"/>
      <c r="G619" s="9"/>
      <c r="H619" s="7"/>
      <c r="I619" s="13" t="str">
        <f aca="false">IF(OR($G619="",$H619=""),"",ROUND($G619*$H619,0))</f>
        <v/>
      </c>
      <c r="J619" s="8"/>
      <c r="K619" s="13" t="str">
        <f aca="false">IF($B619="","",SUMIFS($I$3:$I$2002,$B$3:$B$2002,$B619))</f>
        <v/>
      </c>
      <c r="L619" s="13" t="str">
        <f aca="false">IF($B619="","",IF(COUNTIFS($B$3:$B619,$B619)&gt;1,0,IFERROR(LOOKUP($K619,배송비규정!$A$3:$A$32,배송비규정!$B$3:$B$32),0)+IFERROR(INDEX(지역추가비!$B$3:$B$42,MATCH($J619,지역추가비!$A$3:$A$42,0)),0)))</f>
        <v/>
      </c>
      <c r="M619" s="13" t="str">
        <f aca="false">IF($B619="","",IF(COUNTIFS($B$3:$B619,$B619)&gt;1,"",$K619+$L619))</f>
        <v/>
      </c>
      <c r="N619" s="14" t="str">
        <f aca="false">IF($B619="","",COUNTIFS($B$3:$B619,$B619))</f>
        <v/>
      </c>
      <c r="O619" s="14" t="str">
        <f aca="false">IF($B619="","",$B619&amp;"|"&amp;$N619)</f>
        <v/>
      </c>
    </row>
    <row r="620" customFormat="false" ht="15" hidden="false" customHeight="false" outlineLevel="0" collapsed="false">
      <c r="A620" s="12"/>
      <c r="B620" s="9"/>
      <c r="C620" s="9"/>
      <c r="D620" s="9"/>
      <c r="E620" s="9"/>
      <c r="F620" s="9"/>
      <c r="G620" s="9"/>
      <c r="H620" s="7"/>
      <c r="I620" s="13" t="str">
        <f aca="false">IF(OR($G620="",$H620=""),"",ROUND($G620*$H620,0))</f>
        <v/>
      </c>
      <c r="J620" s="8"/>
      <c r="K620" s="13" t="str">
        <f aca="false">IF($B620="","",SUMIFS($I$3:$I$2002,$B$3:$B$2002,$B620))</f>
        <v/>
      </c>
      <c r="L620" s="13" t="str">
        <f aca="false">IF($B620="","",IF(COUNTIFS($B$3:$B620,$B620)&gt;1,0,IFERROR(LOOKUP($K620,배송비규정!$A$3:$A$32,배송비규정!$B$3:$B$32),0)+IFERROR(INDEX(지역추가비!$B$3:$B$42,MATCH($J620,지역추가비!$A$3:$A$42,0)),0)))</f>
        <v/>
      </c>
      <c r="M620" s="13" t="str">
        <f aca="false">IF($B620="","",IF(COUNTIFS($B$3:$B620,$B620)&gt;1,"",$K620+$L620))</f>
        <v/>
      </c>
      <c r="N620" s="14" t="str">
        <f aca="false">IF($B620="","",COUNTIFS($B$3:$B620,$B620))</f>
        <v/>
      </c>
      <c r="O620" s="14" t="str">
        <f aca="false">IF($B620="","",$B620&amp;"|"&amp;$N620)</f>
        <v/>
      </c>
    </row>
    <row r="621" customFormat="false" ht="15" hidden="false" customHeight="false" outlineLevel="0" collapsed="false">
      <c r="A621" s="12"/>
      <c r="B621" s="9"/>
      <c r="C621" s="9"/>
      <c r="D621" s="9"/>
      <c r="E621" s="9"/>
      <c r="F621" s="9"/>
      <c r="G621" s="9"/>
      <c r="H621" s="7"/>
      <c r="I621" s="13" t="str">
        <f aca="false">IF(OR($G621="",$H621=""),"",ROUND($G621*$H621,0))</f>
        <v/>
      </c>
      <c r="J621" s="8"/>
      <c r="K621" s="13" t="str">
        <f aca="false">IF($B621="","",SUMIFS($I$3:$I$2002,$B$3:$B$2002,$B621))</f>
        <v/>
      </c>
      <c r="L621" s="13" t="str">
        <f aca="false">IF($B621="","",IF(COUNTIFS($B$3:$B621,$B621)&gt;1,0,IFERROR(LOOKUP($K621,배송비규정!$A$3:$A$32,배송비규정!$B$3:$B$32),0)+IFERROR(INDEX(지역추가비!$B$3:$B$42,MATCH($J621,지역추가비!$A$3:$A$42,0)),0)))</f>
        <v/>
      </c>
      <c r="M621" s="13" t="str">
        <f aca="false">IF($B621="","",IF(COUNTIFS($B$3:$B621,$B621)&gt;1,"",$K621+$L621))</f>
        <v/>
      </c>
      <c r="N621" s="14" t="str">
        <f aca="false">IF($B621="","",COUNTIFS($B$3:$B621,$B621))</f>
        <v/>
      </c>
      <c r="O621" s="14" t="str">
        <f aca="false">IF($B621="","",$B621&amp;"|"&amp;$N621)</f>
        <v/>
      </c>
    </row>
    <row r="622" customFormat="false" ht="15" hidden="false" customHeight="false" outlineLevel="0" collapsed="false">
      <c r="A622" s="12"/>
      <c r="B622" s="9"/>
      <c r="C622" s="9"/>
      <c r="D622" s="9"/>
      <c r="E622" s="9"/>
      <c r="F622" s="9"/>
      <c r="G622" s="9"/>
      <c r="H622" s="7"/>
      <c r="I622" s="13" t="str">
        <f aca="false">IF(OR($G622="",$H622=""),"",ROUND($G622*$H622,0))</f>
        <v/>
      </c>
      <c r="J622" s="8"/>
      <c r="K622" s="13" t="str">
        <f aca="false">IF($B622="","",SUMIFS($I$3:$I$2002,$B$3:$B$2002,$B622))</f>
        <v/>
      </c>
      <c r="L622" s="13" t="str">
        <f aca="false">IF($B622="","",IF(COUNTIFS($B$3:$B622,$B622)&gt;1,0,IFERROR(LOOKUP($K622,배송비규정!$A$3:$A$32,배송비규정!$B$3:$B$32),0)+IFERROR(INDEX(지역추가비!$B$3:$B$42,MATCH($J622,지역추가비!$A$3:$A$42,0)),0)))</f>
        <v/>
      </c>
      <c r="M622" s="13" t="str">
        <f aca="false">IF($B622="","",IF(COUNTIFS($B$3:$B622,$B622)&gt;1,"",$K622+$L622))</f>
        <v/>
      </c>
      <c r="N622" s="14" t="str">
        <f aca="false">IF($B622="","",COUNTIFS($B$3:$B622,$B622))</f>
        <v/>
      </c>
      <c r="O622" s="14" t="str">
        <f aca="false">IF($B622="","",$B622&amp;"|"&amp;$N622)</f>
        <v/>
      </c>
    </row>
    <row r="623" customFormat="false" ht="15" hidden="false" customHeight="false" outlineLevel="0" collapsed="false">
      <c r="A623" s="12"/>
      <c r="B623" s="9"/>
      <c r="C623" s="9"/>
      <c r="D623" s="9"/>
      <c r="E623" s="9"/>
      <c r="F623" s="9"/>
      <c r="G623" s="9"/>
      <c r="H623" s="7"/>
      <c r="I623" s="13" t="str">
        <f aca="false">IF(OR($G623="",$H623=""),"",ROUND($G623*$H623,0))</f>
        <v/>
      </c>
      <c r="J623" s="8"/>
      <c r="K623" s="13" t="str">
        <f aca="false">IF($B623="","",SUMIFS($I$3:$I$2002,$B$3:$B$2002,$B623))</f>
        <v/>
      </c>
      <c r="L623" s="13" t="str">
        <f aca="false">IF($B623="","",IF(COUNTIFS($B$3:$B623,$B623)&gt;1,0,IFERROR(LOOKUP($K623,배송비규정!$A$3:$A$32,배송비규정!$B$3:$B$32),0)+IFERROR(INDEX(지역추가비!$B$3:$B$42,MATCH($J623,지역추가비!$A$3:$A$42,0)),0)))</f>
        <v/>
      </c>
      <c r="M623" s="13" t="str">
        <f aca="false">IF($B623="","",IF(COUNTIFS($B$3:$B623,$B623)&gt;1,"",$K623+$L623))</f>
        <v/>
      </c>
      <c r="N623" s="14" t="str">
        <f aca="false">IF($B623="","",COUNTIFS($B$3:$B623,$B623))</f>
        <v/>
      </c>
      <c r="O623" s="14" t="str">
        <f aca="false">IF($B623="","",$B623&amp;"|"&amp;$N623)</f>
        <v/>
      </c>
    </row>
    <row r="624" customFormat="false" ht="15" hidden="false" customHeight="false" outlineLevel="0" collapsed="false">
      <c r="A624" s="12"/>
      <c r="B624" s="9"/>
      <c r="C624" s="9"/>
      <c r="D624" s="9"/>
      <c r="E624" s="9"/>
      <c r="F624" s="9"/>
      <c r="G624" s="9"/>
      <c r="H624" s="7"/>
      <c r="I624" s="13" t="str">
        <f aca="false">IF(OR($G624="",$H624=""),"",ROUND($G624*$H624,0))</f>
        <v/>
      </c>
      <c r="J624" s="8"/>
      <c r="K624" s="13" t="str">
        <f aca="false">IF($B624="","",SUMIFS($I$3:$I$2002,$B$3:$B$2002,$B624))</f>
        <v/>
      </c>
      <c r="L624" s="13" t="str">
        <f aca="false">IF($B624="","",IF(COUNTIFS($B$3:$B624,$B624)&gt;1,0,IFERROR(LOOKUP($K624,배송비규정!$A$3:$A$32,배송비규정!$B$3:$B$32),0)+IFERROR(INDEX(지역추가비!$B$3:$B$42,MATCH($J624,지역추가비!$A$3:$A$42,0)),0)))</f>
        <v/>
      </c>
      <c r="M624" s="13" t="str">
        <f aca="false">IF($B624="","",IF(COUNTIFS($B$3:$B624,$B624)&gt;1,"",$K624+$L624))</f>
        <v/>
      </c>
      <c r="N624" s="14" t="str">
        <f aca="false">IF($B624="","",COUNTIFS($B$3:$B624,$B624))</f>
        <v/>
      </c>
      <c r="O624" s="14" t="str">
        <f aca="false">IF($B624="","",$B624&amp;"|"&amp;$N624)</f>
        <v/>
      </c>
    </row>
    <row r="625" customFormat="false" ht="15" hidden="false" customHeight="false" outlineLevel="0" collapsed="false">
      <c r="A625" s="12"/>
      <c r="B625" s="9"/>
      <c r="C625" s="9"/>
      <c r="D625" s="9"/>
      <c r="E625" s="9"/>
      <c r="F625" s="9"/>
      <c r="G625" s="9"/>
      <c r="H625" s="7"/>
      <c r="I625" s="13" t="str">
        <f aca="false">IF(OR($G625="",$H625=""),"",ROUND($G625*$H625,0))</f>
        <v/>
      </c>
      <c r="J625" s="8"/>
      <c r="K625" s="13" t="str">
        <f aca="false">IF($B625="","",SUMIFS($I$3:$I$2002,$B$3:$B$2002,$B625))</f>
        <v/>
      </c>
      <c r="L625" s="13" t="str">
        <f aca="false">IF($B625="","",IF(COUNTIFS($B$3:$B625,$B625)&gt;1,0,IFERROR(LOOKUP($K625,배송비규정!$A$3:$A$32,배송비규정!$B$3:$B$32),0)+IFERROR(INDEX(지역추가비!$B$3:$B$42,MATCH($J625,지역추가비!$A$3:$A$42,0)),0)))</f>
        <v/>
      </c>
      <c r="M625" s="13" t="str">
        <f aca="false">IF($B625="","",IF(COUNTIFS($B$3:$B625,$B625)&gt;1,"",$K625+$L625))</f>
        <v/>
      </c>
      <c r="N625" s="14" t="str">
        <f aca="false">IF($B625="","",COUNTIFS($B$3:$B625,$B625))</f>
        <v/>
      </c>
      <c r="O625" s="14" t="str">
        <f aca="false">IF($B625="","",$B625&amp;"|"&amp;$N625)</f>
        <v/>
      </c>
    </row>
    <row r="626" customFormat="false" ht="15" hidden="false" customHeight="false" outlineLevel="0" collapsed="false">
      <c r="A626" s="12"/>
      <c r="B626" s="9"/>
      <c r="C626" s="9"/>
      <c r="D626" s="9"/>
      <c r="E626" s="9"/>
      <c r="F626" s="9"/>
      <c r="G626" s="9"/>
      <c r="H626" s="7"/>
      <c r="I626" s="13" t="str">
        <f aca="false">IF(OR($G626="",$H626=""),"",ROUND($G626*$H626,0))</f>
        <v/>
      </c>
      <c r="J626" s="8"/>
      <c r="K626" s="13" t="str">
        <f aca="false">IF($B626="","",SUMIFS($I$3:$I$2002,$B$3:$B$2002,$B626))</f>
        <v/>
      </c>
      <c r="L626" s="13" t="str">
        <f aca="false">IF($B626="","",IF(COUNTIFS($B$3:$B626,$B626)&gt;1,0,IFERROR(LOOKUP($K626,배송비규정!$A$3:$A$32,배송비규정!$B$3:$B$32),0)+IFERROR(INDEX(지역추가비!$B$3:$B$42,MATCH($J626,지역추가비!$A$3:$A$42,0)),0)))</f>
        <v/>
      </c>
      <c r="M626" s="13" t="str">
        <f aca="false">IF($B626="","",IF(COUNTIFS($B$3:$B626,$B626)&gt;1,"",$K626+$L626))</f>
        <v/>
      </c>
      <c r="N626" s="14" t="str">
        <f aca="false">IF($B626="","",COUNTIFS($B$3:$B626,$B626))</f>
        <v/>
      </c>
      <c r="O626" s="14" t="str">
        <f aca="false">IF($B626="","",$B626&amp;"|"&amp;$N626)</f>
        <v/>
      </c>
    </row>
    <row r="627" customFormat="false" ht="15" hidden="false" customHeight="false" outlineLevel="0" collapsed="false">
      <c r="A627" s="12"/>
      <c r="B627" s="9"/>
      <c r="C627" s="9"/>
      <c r="D627" s="9"/>
      <c r="E627" s="9"/>
      <c r="F627" s="9"/>
      <c r="G627" s="9"/>
      <c r="H627" s="7"/>
      <c r="I627" s="13" t="str">
        <f aca="false">IF(OR($G627="",$H627=""),"",ROUND($G627*$H627,0))</f>
        <v/>
      </c>
      <c r="J627" s="8"/>
      <c r="K627" s="13" t="str">
        <f aca="false">IF($B627="","",SUMIFS($I$3:$I$2002,$B$3:$B$2002,$B627))</f>
        <v/>
      </c>
      <c r="L627" s="13" t="str">
        <f aca="false">IF($B627="","",IF(COUNTIFS($B$3:$B627,$B627)&gt;1,0,IFERROR(LOOKUP($K627,배송비규정!$A$3:$A$32,배송비규정!$B$3:$B$32),0)+IFERROR(INDEX(지역추가비!$B$3:$B$42,MATCH($J627,지역추가비!$A$3:$A$42,0)),0)))</f>
        <v/>
      </c>
      <c r="M627" s="13" t="str">
        <f aca="false">IF($B627="","",IF(COUNTIFS($B$3:$B627,$B627)&gt;1,"",$K627+$L627))</f>
        <v/>
      </c>
      <c r="N627" s="14" t="str">
        <f aca="false">IF($B627="","",COUNTIFS($B$3:$B627,$B627))</f>
        <v/>
      </c>
      <c r="O627" s="14" t="str">
        <f aca="false">IF($B627="","",$B627&amp;"|"&amp;$N627)</f>
        <v/>
      </c>
    </row>
    <row r="628" customFormat="false" ht="15" hidden="false" customHeight="false" outlineLevel="0" collapsed="false">
      <c r="A628" s="12"/>
      <c r="B628" s="9"/>
      <c r="C628" s="9"/>
      <c r="D628" s="9"/>
      <c r="E628" s="9"/>
      <c r="F628" s="9"/>
      <c r="G628" s="9"/>
      <c r="H628" s="7"/>
      <c r="I628" s="13" t="str">
        <f aca="false">IF(OR($G628="",$H628=""),"",ROUND($G628*$H628,0))</f>
        <v/>
      </c>
      <c r="J628" s="8"/>
      <c r="K628" s="13" t="str">
        <f aca="false">IF($B628="","",SUMIFS($I$3:$I$2002,$B$3:$B$2002,$B628))</f>
        <v/>
      </c>
      <c r="L628" s="13" t="str">
        <f aca="false">IF($B628="","",IF(COUNTIFS($B$3:$B628,$B628)&gt;1,0,IFERROR(LOOKUP($K628,배송비규정!$A$3:$A$32,배송비규정!$B$3:$B$32),0)+IFERROR(INDEX(지역추가비!$B$3:$B$42,MATCH($J628,지역추가비!$A$3:$A$42,0)),0)))</f>
        <v/>
      </c>
      <c r="M628" s="13" t="str">
        <f aca="false">IF($B628="","",IF(COUNTIFS($B$3:$B628,$B628)&gt;1,"",$K628+$L628))</f>
        <v/>
      </c>
      <c r="N628" s="14" t="str">
        <f aca="false">IF($B628="","",COUNTIFS($B$3:$B628,$B628))</f>
        <v/>
      </c>
      <c r="O628" s="14" t="str">
        <f aca="false">IF($B628="","",$B628&amp;"|"&amp;$N628)</f>
        <v/>
      </c>
    </row>
    <row r="629" customFormat="false" ht="15" hidden="false" customHeight="false" outlineLevel="0" collapsed="false">
      <c r="A629" s="12"/>
      <c r="B629" s="9"/>
      <c r="C629" s="9"/>
      <c r="D629" s="9"/>
      <c r="E629" s="9"/>
      <c r="F629" s="9"/>
      <c r="G629" s="9"/>
      <c r="H629" s="7"/>
      <c r="I629" s="13" t="str">
        <f aca="false">IF(OR($G629="",$H629=""),"",ROUND($G629*$H629,0))</f>
        <v/>
      </c>
      <c r="J629" s="8"/>
      <c r="K629" s="13" t="str">
        <f aca="false">IF($B629="","",SUMIFS($I$3:$I$2002,$B$3:$B$2002,$B629))</f>
        <v/>
      </c>
      <c r="L629" s="13" t="str">
        <f aca="false">IF($B629="","",IF(COUNTIFS($B$3:$B629,$B629)&gt;1,0,IFERROR(LOOKUP($K629,배송비규정!$A$3:$A$32,배송비규정!$B$3:$B$32),0)+IFERROR(INDEX(지역추가비!$B$3:$B$42,MATCH($J629,지역추가비!$A$3:$A$42,0)),0)))</f>
        <v/>
      </c>
      <c r="M629" s="13" t="str">
        <f aca="false">IF($B629="","",IF(COUNTIFS($B$3:$B629,$B629)&gt;1,"",$K629+$L629))</f>
        <v/>
      </c>
      <c r="N629" s="14" t="str">
        <f aca="false">IF($B629="","",COUNTIFS($B$3:$B629,$B629))</f>
        <v/>
      </c>
      <c r="O629" s="14" t="str">
        <f aca="false">IF($B629="","",$B629&amp;"|"&amp;$N629)</f>
        <v/>
      </c>
    </row>
    <row r="630" customFormat="false" ht="15" hidden="false" customHeight="false" outlineLevel="0" collapsed="false">
      <c r="A630" s="12"/>
      <c r="B630" s="9"/>
      <c r="C630" s="9"/>
      <c r="D630" s="9"/>
      <c r="E630" s="9"/>
      <c r="F630" s="9"/>
      <c r="G630" s="9"/>
      <c r="H630" s="7"/>
      <c r="I630" s="13" t="str">
        <f aca="false">IF(OR($G630="",$H630=""),"",ROUND($G630*$H630,0))</f>
        <v/>
      </c>
      <c r="J630" s="8"/>
      <c r="K630" s="13" t="str">
        <f aca="false">IF($B630="","",SUMIFS($I$3:$I$2002,$B$3:$B$2002,$B630))</f>
        <v/>
      </c>
      <c r="L630" s="13" t="str">
        <f aca="false">IF($B630="","",IF(COUNTIFS($B$3:$B630,$B630)&gt;1,0,IFERROR(LOOKUP($K630,배송비규정!$A$3:$A$32,배송비규정!$B$3:$B$32),0)+IFERROR(INDEX(지역추가비!$B$3:$B$42,MATCH($J630,지역추가비!$A$3:$A$42,0)),0)))</f>
        <v/>
      </c>
      <c r="M630" s="13" t="str">
        <f aca="false">IF($B630="","",IF(COUNTIFS($B$3:$B630,$B630)&gt;1,"",$K630+$L630))</f>
        <v/>
      </c>
      <c r="N630" s="14" t="str">
        <f aca="false">IF($B630="","",COUNTIFS($B$3:$B630,$B630))</f>
        <v/>
      </c>
      <c r="O630" s="14" t="str">
        <f aca="false">IF($B630="","",$B630&amp;"|"&amp;$N630)</f>
        <v/>
      </c>
    </row>
    <row r="631" customFormat="false" ht="15" hidden="false" customHeight="false" outlineLevel="0" collapsed="false">
      <c r="A631" s="12"/>
      <c r="B631" s="9"/>
      <c r="C631" s="9"/>
      <c r="D631" s="9"/>
      <c r="E631" s="9"/>
      <c r="F631" s="9"/>
      <c r="G631" s="9"/>
      <c r="H631" s="7"/>
      <c r="I631" s="13" t="str">
        <f aca="false">IF(OR($G631="",$H631=""),"",ROUND($G631*$H631,0))</f>
        <v/>
      </c>
      <c r="J631" s="8"/>
      <c r="K631" s="13" t="str">
        <f aca="false">IF($B631="","",SUMIFS($I$3:$I$2002,$B$3:$B$2002,$B631))</f>
        <v/>
      </c>
      <c r="L631" s="13" t="str">
        <f aca="false">IF($B631="","",IF(COUNTIFS($B$3:$B631,$B631)&gt;1,0,IFERROR(LOOKUP($K631,배송비규정!$A$3:$A$32,배송비규정!$B$3:$B$32),0)+IFERROR(INDEX(지역추가비!$B$3:$B$42,MATCH($J631,지역추가비!$A$3:$A$42,0)),0)))</f>
        <v/>
      </c>
      <c r="M631" s="13" t="str">
        <f aca="false">IF($B631="","",IF(COUNTIFS($B$3:$B631,$B631)&gt;1,"",$K631+$L631))</f>
        <v/>
      </c>
      <c r="N631" s="14" t="str">
        <f aca="false">IF($B631="","",COUNTIFS($B$3:$B631,$B631))</f>
        <v/>
      </c>
      <c r="O631" s="14" t="str">
        <f aca="false">IF($B631="","",$B631&amp;"|"&amp;$N631)</f>
        <v/>
      </c>
    </row>
    <row r="632" customFormat="false" ht="15" hidden="false" customHeight="false" outlineLevel="0" collapsed="false">
      <c r="A632" s="12"/>
      <c r="B632" s="9"/>
      <c r="C632" s="9"/>
      <c r="D632" s="9"/>
      <c r="E632" s="9"/>
      <c r="F632" s="9"/>
      <c r="G632" s="9"/>
      <c r="H632" s="7"/>
      <c r="I632" s="13" t="str">
        <f aca="false">IF(OR($G632="",$H632=""),"",ROUND($G632*$H632,0))</f>
        <v/>
      </c>
      <c r="J632" s="8"/>
      <c r="K632" s="13" t="str">
        <f aca="false">IF($B632="","",SUMIFS($I$3:$I$2002,$B$3:$B$2002,$B632))</f>
        <v/>
      </c>
      <c r="L632" s="13" t="str">
        <f aca="false">IF($B632="","",IF(COUNTIFS($B$3:$B632,$B632)&gt;1,0,IFERROR(LOOKUP($K632,배송비규정!$A$3:$A$32,배송비규정!$B$3:$B$32),0)+IFERROR(INDEX(지역추가비!$B$3:$B$42,MATCH($J632,지역추가비!$A$3:$A$42,0)),0)))</f>
        <v/>
      </c>
      <c r="M632" s="13" t="str">
        <f aca="false">IF($B632="","",IF(COUNTIFS($B$3:$B632,$B632)&gt;1,"",$K632+$L632))</f>
        <v/>
      </c>
      <c r="N632" s="14" t="str">
        <f aca="false">IF($B632="","",COUNTIFS($B$3:$B632,$B632))</f>
        <v/>
      </c>
      <c r="O632" s="14" t="str">
        <f aca="false">IF($B632="","",$B632&amp;"|"&amp;$N632)</f>
        <v/>
      </c>
    </row>
    <row r="633" customFormat="false" ht="15" hidden="false" customHeight="false" outlineLevel="0" collapsed="false">
      <c r="A633" s="12"/>
      <c r="B633" s="9"/>
      <c r="C633" s="9"/>
      <c r="D633" s="9"/>
      <c r="E633" s="9"/>
      <c r="F633" s="9"/>
      <c r="G633" s="9"/>
      <c r="H633" s="7"/>
      <c r="I633" s="13" t="str">
        <f aca="false">IF(OR($G633="",$H633=""),"",ROUND($G633*$H633,0))</f>
        <v/>
      </c>
      <c r="J633" s="8"/>
      <c r="K633" s="13" t="str">
        <f aca="false">IF($B633="","",SUMIFS($I$3:$I$2002,$B$3:$B$2002,$B633))</f>
        <v/>
      </c>
      <c r="L633" s="13" t="str">
        <f aca="false">IF($B633="","",IF(COUNTIFS($B$3:$B633,$B633)&gt;1,0,IFERROR(LOOKUP($K633,배송비규정!$A$3:$A$32,배송비규정!$B$3:$B$32),0)+IFERROR(INDEX(지역추가비!$B$3:$B$42,MATCH($J633,지역추가비!$A$3:$A$42,0)),0)))</f>
        <v/>
      </c>
      <c r="M633" s="13" t="str">
        <f aca="false">IF($B633="","",IF(COUNTIFS($B$3:$B633,$B633)&gt;1,"",$K633+$L633))</f>
        <v/>
      </c>
      <c r="N633" s="14" t="str">
        <f aca="false">IF($B633="","",COUNTIFS($B$3:$B633,$B633))</f>
        <v/>
      </c>
      <c r="O633" s="14" t="str">
        <f aca="false">IF($B633="","",$B633&amp;"|"&amp;$N633)</f>
        <v/>
      </c>
    </row>
    <row r="634" customFormat="false" ht="15" hidden="false" customHeight="false" outlineLevel="0" collapsed="false">
      <c r="A634" s="12"/>
      <c r="B634" s="9"/>
      <c r="C634" s="9"/>
      <c r="D634" s="9"/>
      <c r="E634" s="9"/>
      <c r="F634" s="9"/>
      <c r="G634" s="9"/>
      <c r="H634" s="7"/>
      <c r="I634" s="13" t="str">
        <f aca="false">IF(OR($G634="",$H634=""),"",ROUND($G634*$H634,0))</f>
        <v/>
      </c>
      <c r="J634" s="8"/>
      <c r="K634" s="13" t="str">
        <f aca="false">IF($B634="","",SUMIFS($I$3:$I$2002,$B$3:$B$2002,$B634))</f>
        <v/>
      </c>
      <c r="L634" s="13" t="str">
        <f aca="false">IF($B634="","",IF(COUNTIFS($B$3:$B634,$B634)&gt;1,0,IFERROR(LOOKUP($K634,배송비규정!$A$3:$A$32,배송비규정!$B$3:$B$32),0)+IFERROR(INDEX(지역추가비!$B$3:$B$42,MATCH($J634,지역추가비!$A$3:$A$42,0)),0)))</f>
        <v/>
      </c>
      <c r="M634" s="13" t="str">
        <f aca="false">IF($B634="","",IF(COUNTIFS($B$3:$B634,$B634)&gt;1,"",$K634+$L634))</f>
        <v/>
      </c>
      <c r="N634" s="14" t="str">
        <f aca="false">IF($B634="","",COUNTIFS($B$3:$B634,$B634))</f>
        <v/>
      </c>
      <c r="O634" s="14" t="str">
        <f aca="false">IF($B634="","",$B634&amp;"|"&amp;$N634)</f>
        <v/>
      </c>
    </row>
    <row r="635" customFormat="false" ht="15" hidden="false" customHeight="false" outlineLevel="0" collapsed="false">
      <c r="A635" s="12"/>
      <c r="B635" s="9"/>
      <c r="C635" s="9"/>
      <c r="D635" s="9"/>
      <c r="E635" s="9"/>
      <c r="F635" s="9"/>
      <c r="G635" s="9"/>
      <c r="H635" s="7"/>
      <c r="I635" s="13" t="str">
        <f aca="false">IF(OR($G635="",$H635=""),"",ROUND($G635*$H635,0))</f>
        <v/>
      </c>
      <c r="J635" s="8"/>
      <c r="K635" s="13" t="str">
        <f aca="false">IF($B635="","",SUMIFS($I$3:$I$2002,$B$3:$B$2002,$B635))</f>
        <v/>
      </c>
      <c r="L635" s="13" t="str">
        <f aca="false">IF($B635="","",IF(COUNTIFS($B$3:$B635,$B635)&gt;1,0,IFERROR(LOOKUP($K635,배송비규정!$A$3:$A$32,배송비규정!$B$3:$B$32),0)+IFERROR(INDEX(지역추가비!$B$3:$B$42,MATCH($J635,지역추가비!$A$3:$A$42,0)),0)))</f>
        <v/>
      </c>
      <c r="M635" s="13" t="str">
        <f aca="false">IF($B635="","",IF(COUNTIFS($B$3:$B635,$B635)&gt;1,"",$K635+$L635))</f>
        <v/>
      </c>
      <c r="N635" s="14" t="str">
        <f aca="false">IF($B635="","",COUNTIFS($B$3:$B635,$B635))</f>
        <v/>
      </c>
      <c r="O635" s="14" t="str">
        <f aca="false">IF($B635="","",$B635&amp;"|"&amp;$N635)</f>
        <v/>
      </c>
    </row>
    <row r="636" customFormat="false" ht="15" hidden="false" customHeight="false" outlineLevel="0" collapsed="false">
      <c r="A636" s="12"/>
      <c r="B636" s="9"/>
      <c r="C636" s="9"/>
      <c r="D636" s="9"/>
      <c r="E636" s="9"/>
      <c r="F636" s="9"/>
      <c r="G636" s="9"/>
      <c r="H636" s="7"/>
      <c r="I636" s="13" t="str">
        <f aca="false">IF(OR($G636="",$H636=""),"",ROUND($G636*$H636,0))</f>
        <v/>
      </c>
      <c r="J636" s="8"/>
      <c r="K636" s="13" t="str">
        <f aca="false">IF($B636="","",SUMIFS($I$3:$I$2002,$B$3:$B$2002,$B636))</f>
        <v/>
      </c>
      <c r="L636" s="13" t="str">
        <f aca="false">IF($B636="","",IF(COUNTIFS($B$3:$B636,$B636)&gt;1,0,IFERROR(LOOKUP($K636,배송비규정!$A$3:$A$32,배송비규정!$B$3:$B$32),0)+IFERROR(INDEX(지역추가비!$B$3:$B$42,MATCH($J636,지역추가비!$A$3:$A$42,0)),0)))</f>
        <v/>
      </c>
      <c r="M636" s="13" t="str">
        <f aca="false">IF($B636="","",IF(COUNTIFS($B$3:$B636,$B636)&gt;1,"",$K636+$L636))</f>
        <v/>
      </c>
      <c r="N636" s="14" t="str">
        <f aca="false">IF($B636="","",COUNTIFS($B$3:$B636,$B636))</f>
        <v/>
      </c>
      <c r="O636" s="14" t="str">
        <f aca="false">IF($B636="","",$B636&amp;"|"&amp;$N636)</f>
        <v/>
      </c>
    </row>
    <row r="637" customFormat="false" ht="15" hidden="false" customHeight="false" outlineLevel="0" collapsed="false">
      <c r="A637" s="12"/>
      <c r="B637" s="9"/>
      <c r="C637" s="9"/>
      <c r="D637" s="9"/>
      <c r="E637" s="9"/>
      <c r="F637" s="9"/>
      <c r="G637" s="9"/>
      <c r="H637" s="7"/>
      <c r="I637" s="13" t="str">
        <f aca="false">IF(OR($G637="",$H637=""),"",ROUND($G637*$H637,0))</f>
        <v/>
      </c>
      <c r="J637" s="8"/>
      <c r="K637" s="13" t="str">
        <f aca="false">IF($B637="","",SUMIFS($I$3:$I$2002,$B$3:$B$2002,$B637))</f>
        <v/>
      </c>
      <c r="L637" s="13" t="str">
        <f aca="false">IF($B637="","",IF(COUNTIFS($B$3:$B637,$B637)&gt;1,0,IFERROR(LOOKUP($K637,배송비규정!$A$3:$A$32,배송비규정!$B$3:$B$32),0)+IFERROR(INDEX(지역추가비!$B$3:$B$42,MATCH($J637,지역추가비!$A$3:$A$42,0)),0)))</f>
        <v/>
      </c>
      <c r="M637" s="13" t="str">
        <f aca="false">IF($B637="","",IF(COUNTIFS($B$3:$B637,$B637)&gt;1,"",$K637+$L637))</f>
        <v/>
      </c>
      <c r="N637" s="14" t="str">
        <f aca="false">IF($B637="","",COUNTIFS($B$3:$B637,$B637))</f>
        <v/>
      </c>
      <c r="O637" s="14" t="str">
        <f aca="false">IF($B637="","",$B637&amp;"|"&amp;$N637)</f>
        <v/>
      </c>
    </row>
    <row r="638" customFormat="false" ht="15" hidden="false" customHeight="false" outlineLevel="0" collapsed="false">
      <c r="A638" s="12"/>
      <c r="B638" s="9"/>
      <c r="C638" s="9"/>
      <c r="D638" s="9"/>
      <c r="E638" s="9"/>
      <c r="F638" s="9"/>
      <c r="G638" s="9"/>
      <c r="H638" s="7"/>
      <c r="I638" s="13" t="str">
        <f aca="false">IF(OR($G638="",$H638=""),"",ROUND($G638*$H638,0))</f>
        <v/>
      </c>
      <c r="J638" s="8"/>
      <c r="K638" s="13" t="str">
        <f aca="false">IF($B638="","",SUMIFS($I$3:$I$2002,$B$3:$B$2002,$B638))</f>
        <v/>
      </c>
      <c r="L638" s="13" t="str">
        <f aca="false">IF($B638="","",IF(COUNTIFS($B$3:$B638,$B638)&gt;1,0,IFERROR(LOOKUP($K638,배송비규정!$A$3:$A$32,배송비규정!$B$3:$B$32),0)+IFERROR(INDEX(지역추가비!$B$3:$B$42,MATCH($J638,지역추가비!$A$3:$A$42,0)),0)))</f>
        <v/>
      </c>
      <c r="M638" s="13" t="str">
        <f aca="false">IF($B638="","",IF(COUNTIFS($B$3:$B638,$B638)&gt;1,"",$K638+$L638))</f>
        <v/>
      </c>
      <c r="N638" s="14" t="str">
        <f aca="false">IF($B638="","",COUNTIFS($B$3:$B638,$B638))</f>
        <v/>
      </c>
      <c r="O638" s="14" t="str">
        <f aca="false">IF($B638="","",$B638&amp;"|"&amp;$N638)</f>
        <v/>
      </c>
    </row>
    <row r="639" customFormat="false" ht="15" hidden="false" customHeight="false" outlineLevel="0" collapsed="false">
      <c r="A639" s="12"/>
      <c r="B639" s="9"/>
      <c r="C639" s="9"/>
      <c r="D639" s="9"/>
      <c r="E639" s="9"/>
      <c r="F639" s="9"/>
      <c r="G639" s="9"/>
      <c r="H639" s="7"/>
      <c r="I639" s="13" t="str">
        <f aca="false">IF(OR($G639="",$H639=""),"",ROUND($G639*$H639,0))</f>
        <v/>
      </c>
      <c r="J639" s="8"/>
      <c r="K639" s="13" t="str">
        <f aca="false">IF($B639="","",SUMIFS($I$3:$I$2002,$B$3:$B$2002,$B639))</f>
        <v/>
      </c>
      <c r="L639" s="13" t="str">
        <f aca="false">IF($B639="","",IF(COUNTIFS($B$3:$B639,$B639)&gt;1,0,IFERROR(LOOKUP($K639,배송비규정!$A$3:$A$32,배송비규정!$B$3:$B$32),0)+IFERROR(INDEX(지역추가비!$B$3:$B$42,MATCH($J639,지역추가비!$A$3:$A$42,0)),0)))</f>
        <v/>
      </c>
      <c r="M639" s="13" t="str">
        <f aca="false">IF($B639="","",IF(COUNTIFS($B$3:$B639,$B639)&gt;1,"",$K639+$L639))</f>
        <v/>
      </c>
      <c r="N639" s="14" t="str">
        <f aca="false">IF($B639="","",COUNTIFS($B$3:$B639,$B639))</f>
        <v/>
      </c>
      <c r="O639" s="14" t="str">
        <f aca="false">IF($B639="","",$B639&amp;"|"&amp;$N639)</f>
        <v/>
      </c>
    </row>
    <row r="640" customFormat="false" ht="15" hidden="false" customHeight="false" outlineLevel="0" collapsed="false">
      <c r="A640" s="12"/>
      <c r="B640" s="9"/>
      <c r="C640" s="9"/>
      <c r="D640" s="9"/>
      <c r="E640" s="9"/>
      <c r="F640" s="9"/>
      <c r="G640" s="9"/>
      <c r="H640" s="7"/>
      <c r="I640" s="13" t="str">
        <f aca="false">IF(OR($G640="",$H640=""),"",ROUND($G640*$H640,0))</f>
        <v/>
      </c>
      <c r="J640" s="8"/>
      <c r="K640" s="13" t="str">
        <f aca="false">IF($B640="","",SUMIFS($I$3:$I$2002,$B$3:$B$2002,$B640))</f>
        <v/>
      </c>
      <c r="L640" s="13" t="str">
        <f aca="false">IF($B640="","",IF(COUNTIFS($B$3:$B640,$B640)&gt;1,0,IFERROR(LOOKUP($K640,배송비규정!$A$3:$A$32,배송비규정!$B$3:$B$32),0)+IFERROR(INDEX(지역추가비!$B$3:$B$42,MATCH($J640,지역추가비!$A$3:$A$42,0)),0)))</f>
        <v/>
      </c>
      <c r="M640" s="13" t="str">
        <f aca="false">IF($B640="","",IF(COUNTIFS($B$3:$B640,$B640)&gt;1,"",$K640+$L640))</f>
        <v/>
      </c>
      <c r="N640" s="14" t="str">
        <f aca="false">IF($B640="","",COUNTIFS($B$3:$B640,$B640))</f>
        <v/>
      </c>
      <c r="O640" s="14" t="str">
        <f aca="false">IF($B640="","",$B640&amp;"|"&amp;$N640)</f>
        <v/>
      </c>
    </row>
    <row r="641" customFormat="false" ht="15" hidden="false" customHeight="false" outlineLevel="0" collapsed="false">
      <c r="A641" s="12"/>
      <c r="B641" s="9"/>
      <c r="C641" s="9"/>
      <c r="D641" s="9"/>
      <c r="E641" s="9"/>
      <c r="F641" s="9"/>
      <c r="G641" s="9"/>
      <c r="H641" s="7"/>
      <c r="I641" s="13" t="str">
        <f aca="false">IF(OR($G641="",$H641=""),"",ROUND($G641*$H641,0))</f>
        <v/>
      </c>
      <c r="J641" s="8"/>
      <c r="K641" s="13" t="str">
        <f aca="false">IF($B641="","",SUMIFS($I$3:$I$2002,$B$3:$B$2002,$B641))</f>
        <v/>
      </c>
      <c r="L641" s="13" t="str">
        <f aca="false">IF($B641="","",IF(COUNTIFS($B$3:$B641,$B641)&gt;1,0,IFERROR(LOOKUP($K641,배송비규정!$A$3:$A$32,배송비규정!$B$3:$B$32),0)+IFERROR(INDEX(지역추가비!$B$3:$B$42,MATCH($J641,지역추가비!$A$3:$A$42,0)),0)))</f>
        <v/>
      </c>
      <c r="M641" s="13" t="str">
        <f aca="false">IF($B641="","",IF(COUNTIFS($B$3:$B641,$B641)&gt;1,"",$K641+$L641))</f>
        <v/>
      </c>
      <c r="N641" s="14" t="str">
        <f aca="false">IF($B641="","",COUNTIFS($B$3:$B641,$B641))</f>
        <v/>
      </c>
      <c r="O641" s="14" t="str">
        <f aca="false">IF($B641="","",$B641&amp;"|"&amp;$N641)</f>
        <v/>
      </c>
    </row>
    <row r="642" customFormat="false" ht="15" hidden="false" customHeight="false" outlineLevel="0" collapsed="false">
      <c r="A642" s="12"/>
      <c r="B642" s="9"/>
      <c r="C642" s="9"/>
      <c r="D642" s="9"/>
      <c r="E642" s="9"/>
      <c r="F642" s="9"/>
      <c r="G642" s="9"/>
      <c r="H642" s="7"/>
      <c r="I642" s="13" t="str">
        <f aca="false">IF(OR($G642="",$H642=""),"",ROUND($G642*$H642,0))</f>
        <v/>
      </c>
      <c r="J642" s="8"/>
      <c r="K642" s="13" t="str">
        <f aca="false">IF($B642="","",SUMIFS($I$3:$I$2002,$B$3:$B$2002,$B642))</f>
        <v/>
      </c>
      <c r="L642" s="13" t="str">
        <f aca="false">IF($B642="","",IF(COUNTIFS($B$3:$B642,$B642)&gt;1,0,IFERROR(LOOKUP($K642,배송비규정!$A$3:$A$32,배송비규정!$B$3:$B$32),0)+IFERROR(INDEX(지역추가비!$B$3:$B$42,MATCH($J642,지역추가비!$A$3:$A$42,0)),0)))</f>
        <v/>
      </c>
      <c r="M642" s="13" t="str">
        <f aca="false">IF($B642="","",IF(COUNTIFS($B$3:$B642,$B642)&gt;1,"",$K642+$L642))</f>
        <v/>
      </c>
      <c r="N642" s="14" t="str">
        <f aca="false">IF($B642="","",COUNTIFS($B$3:$B642,$B642))</f>
        <v/>
      </c>
      <c r="O642" s="14" t="str">
        <f aca="false">IF($B642="","",$B642&amp;"|"&amp;$N642)</f>
        <v/>
      </c>
    </row>
    <row r="643" customFormat="false" ht="15" hidden="false" customHeight="false" outlineLevel="0" collapsed="false">
      <c r="A643" s="12"/>
      <c r="B643" s="9"/>
      <c r="C643" s="9"/>
      <c r="D643" s="9"/>
      <c r="E643" s="9"/>
      <c r="F643" s="9"/>
      <c r="G643" s="9"/>
      <c r="H643" s="7"/>
      <c r="I643" s="13" t="str">
        <f aca="false">IF(OR($G643="",$H643=""),"",ROUND($G643*$H643,0))</f>
        <v/>
      </c>
      <c r="J643" s="8"/>
      <c r="K643" s="13" t="str">
        <f aca="false">IF($B643="","",SUMIFS($I$3:$I$2002,$B$3:$B$2002,$B643))</f>
        <v/>
      </c>
      <c r="L643" s="13" t="str">
        <f aca="false">IF($B643="","",IF(COUNTIFS($B$3:$B643,$B643)&gt;1,0,IFERROR(LOOKUP($K643,배송비규정!$A$3:$A$32,배송비규정!$B$3:$B$32),0)+IFERROR(INDEX(지역추가비!$B$3:$B$42,MATCH($J643,지역추가비!$A$3:$A$42,0)),0)))</f>
        <v/>
      </c>
      <c r="M643" s="13" t="str">
        <f aca="false">IF($B643="","",IF(COUNTIFS($B$3:$B643,$B643)&gt;1,"",$K643+$L643))</f>
        <v/>
      </c>
      <c r="N643" s="14" t="str">
        <f aca="false">IF($B643="","",COUNTIFS($B$3:$B643,$B643))</f>
        <v/>
      </c>
      <c r="O643" s="14" t="str">
        <f aca="false">IF($B643="","",$B643&amp;"|"&amp;$N643)</f>
        <v/>
      </c>
    </row>
    <row r="644" customFormat="false" ht="15" hidden="false" customHeight="false" outlineLevel="0" collapsed="false">
      <c r="A644" s="12"/>
      <c r="B644" s="9"/>
      <c r="C644" s="9"/>
      <c r="D644" s="9"/>
      <c r="E644" s="9"/>
      <c r="F644" s="9"/>
      <c r="G644" s="9"/>
      <c r="H644" s="7"/>
      <c r="I644" s="13" t="str">
        <f aca="false">IF(OR($G644="",$H644=""),"",ROUND($G644*$H644,0))</f>
        <v/>
      </c>
      <c r="J644" s="8"/>
      <c r="K644" s="13" t="str">
        <f aca="false">IF($B644="","",SUMIFS($I$3:$I$2002,$B$3:$B$2002,$B644))</f>
        <v/>
      </c>
      <c r="L644" s="13" t="str">
        <f aca="false">IF($B644="","",IF(COUNTIFS($B$3:$B644,$B644)&gt;1,0,IFERROR(LOOKUP($K644,배송비규정!$A$3:$A$32,배송비규정!$B$3:$B$32),0)+IFERROR(INDEX(지역추가비!$B$3:$B$42,MATCH($J644,지역추가비!$A$3:$A$42,0)),0)))</f>
        <v/>
      </c>
      <c r="M644" s="13" t="str">
        <f aca="false">IF($B644="","",IF(COUNTIFS($B$3:$B644,$B644)&gt;1,"",$K644+$L644))</f>
        <v/>
      </c>
      <c r="N644" s="14" t="str">
        <f aca="false">IF($B644="","",COUNTIFS($B$3:$B644,$B644))</f>
        <v/>
      </c>
      <c r="O644" s="14" t="str">
        <f aca="false">IF($B644="","",$B644&amp;"|"&amp;$N644)</f>
        <v/>
      </c>
    </row>
    <row r="645" customFormat="false" ht="15" hidden="false" customHeight="false" outlineLevel="0" collapsed="false">
      <c r="A645" s="12"/>
      <c r="B645" s="9"/>
      <c r="C645" s="9"/>
      <c r="D645" s="9"/>
      <c r="E645" s="9"/>
      <c r="F645" s="9"/>
      <c r="G645" s="9"/>
      <c r="H645" s="7"/>
      <c r="I645" s="13" t="str">
        <f aca="false">IF(OR($G645="",$H645=""),"",ROUND($G645*$H645,0))</f>
        <v/>
      </c>
      <c r="J645" s="8"/>
      <c r="K645" s="13" t="str">
        <f aca="false">IF($B645="","",SUMIFS($I$3:$I$2002,$B$3:$B$2002,$B645))</f>
        <v/>
      </c>
      <c r="L645" s="13" t="str">
        <f aca="false">IF($B645="","",IF(COUNTIFS($B$3:$B645,$B645)&gt;1,0,IFERROR(LOOKUP($K645,배송비규정!$A$3:$A$32,배송비규정!$B$3:$B$32),0)+IFERROR(INDEX(지역추가비!$B$3:$B$42,MATCH($J645,지역추가비!$A$3:$A$42,0)),0)))</f>
        <v/>
      </c>
      <c r="M645" s="13" t="str">
        <f aca="false">IF($B645="","",IF(COUNTIFS($B$3:$B645,$B645)&gt;1,"",$K645+$L645))</f>
        <v/>
      </c>
      <c r="N645" s="14" t="str">
        <f aca="false">IF($B645="","",COUNTIFS($B$3:$B645,$B645))</f>
        <v/>
      </c>
      <c r="O645" s="14" t="str">
        <f aca="false">IF($B645="","",$B645&amp;"|"&amp;$N645)</f>
        <v/>
      </c>
    </row>
    <row r="646" customFormat="false" ht="15" hidden="false" customHeight="false" outlineLevel="0" collapsed="false">
      <c r="A646" s="12"/>
      <c r="B646" s="9"/>
      <c r="C646" s="9"/>
      <c r="D646" s="9"/>
      <c r="E646" s="9"/>
      <c r="F646" s="9"/>
      <c r="G646" s="9"/>
      <c r="H646" s="7"/>
      <c r="I646" s="13" t="str">
        <f aca="false">IF(OR($G646="",$H646=""),"",ROUND($G646*$H646,0))</f>
        <v/>
      </c>
      <c r="J646" s="8"/>
      <c r="K646" s="13" t="str">
        <f aca="false">IF($B646="","",SUMIFS($I$3:$I$2002,$B$3:$B$2002,$B646))</f>
        <v/>
      </c>
      <c r="L646" s="13" t="str">
        <f aca="false">IF($B646="","",IF(COUNTIFS($B$3:$B646,$B646)&gt;1,0,IFERROR(LOOKUP($K646,배송비규정!$A$3:$A$32,배송비규정!$B$3:$B$32),0)+IFERROR(INDEX(지역추가비!$B$3:$B$42,MATCH($J646,지역추가비!$A$3:$A$42,0)),0)))</f>
        <v/>
      </c>
      <c r="M646" s="13" t="str">
        <f aca="false">IF($B646="","",IF(COUNTIFS($B$3:$B646,$B646)&gt;1,"",$K646+$L646))</f>
        <v/>
      </c>
      <c r="N646" s="14" t="str">
        <f aca="false">IF($B646="","",COUNTIFS($B$3:$B646,$B646))</f>
        <v/>
      </c>
      <c r="O646" s="14" t="str">
        <f aca="false">IF($B646="","",$B646&amp;"|"&amp;$N646)</f>
        <v/>
      </c>
    </row>
    <row r="647" customFormat="false" ht="15" hidden="false" customHeight="false" outlineLevel="0" collapsed="false">
      <c r="A647" s="12"/>
      <c r="B647" s="9"/>
      <c r="C647" s="9"/>
      <c r="D647" s="9"/>
      <c r="E647" s="9"/>
      <c r="F647" s="9"/>
      <c r="G647" s="9"/>
      <c r="H647" s="7"/>
      <c r="I647" s="13" t="str">
        <f aca="false">IF(OR($G647="",$H647=""),"",ROUND($G647*$H647,0))</f>
        <v/>
      </c>
      <c r="J647" s="8"/>
      <c r="K647" s="13" t="str">
        <f aca="false">IF($B647="","",SUMIFS($I$3:$I$2002,$B$3:$B$2002,$B647))</f>
        <v/>
      </c>
      <c r="L647" s="13" t="str">
        <f aca="false">IF($B647="","",IF(COUNTIFS($B$3:$B647,$B647)&gt;1,0,IFERROR(LOOKUP($K647,배송비규정!$A$3:$A$32,배송비규정!$B$3:$B$32),0)+IFERROR(INDEX(지역추가비!$B$3:$B$42,MATCH($J647,지역추가비!$A$3:$A$42,0)),0)))</f>
        <v/>
      </c>
      <c r="M647" s="13" t="str">
        <f aca="false">IF($B647="","",IF(COUNTIFS($B$3:$B647,$B647)&gt;1,"",$K647+$L647))</f>
        <v/>
      </c>
      <c r="N647" s="14" t="str">
        <f aca="false">IF($B647="","",COUNTIFS($B$3:$B647,$B647))</f>
        <v/>
      </c>
      <c r="O647" s="14" t="str">
        <f aca="false">IF($B647="","",$B647&amp;"|"&amp;$N647)</f>
        <v/>
      </c>
    </row>
    <row r="648" customFormat="false" ht="15" hidden="false" customHeight="false" outlineLevel="0" collapsed="false">
      <c r="A648" s="12"/>
      <c r="B648" s="9"/>
      <c r="C648" s="9"/>
      <c r="D648" s="9"/>
      <c r="E648" s="9"/>
      <c r="F648" s="9"/>
      <c r="G648" s="9"/>
      <c r="H648" s="7"/>
      <c r="I648" s="13" t="str">
        <f aca="false">IF(OR($G648="",$H648=""),"",ROUND($G648*$H648,0))</f>
        <v/>
      </c>
      <c r="J648" s="8"/>
      <c r="K648" s="13" t="str">
        <f aca="false">IF($B648="","",SUMIFS($I$3:$I$2002,$B$3:$B$2002,$B648))</f>
        <v/>
      </c>
      <c r="L648" s="13" t="str">
        <f aca="false">IF($B648="","",IF(COUNTIFS($B$3:$B648,$B648)&gt;1,0,IFERROR(LOOKUP($K648,배송비규정!$A$3:$A$32,배송비규정!$B$3:$B$32),0)+IFERROR(INDEX(지역추가비!$B$3:$B$42,MATCH($J648,지역추가비!$A$3:$A$42,0)),0)))</f>
        <v/>
      </c>
      <c r="M648" s="13" t="str">
        <f aca="false">IF($B648="","",IF(COUNTIFS($B$3:$B648,$B648)&gt;1,"",$K648+$L648))</f>
        <v/>
      </c>
      <c r="N648" s="14" t="str">
        <f aca="false">IF($B648="","",COUNTIFS($B$3:$B648,$B648))</f>
        <v/>
      </c>
      <c r="O648" s="14" t="str">
        <f aca="false">IF($B648="","",$B648&amp;"|"&amp;$N648)</f>
        <v/>
      </c>
    </row>
    <row r="649" customFormat="false" ht="15" hidden="false" customHeight="false" outlineLevel="0" collapsed="false">
      <c r="A649" s="12"/>
      <c r="B649" s="9"/>
      <c r="C649" s="9"/>
      <c r="D649" s="9"/>
      <c r="E649" s="9"/>
      <c r="F649" s="9"/>
      <c r="G649" s="9"/>
      <c r="H649" s="7"/>
      <c r="I649" s="13" t="str">
        <f aca="false">IF(OR($G649="",$H649=""),"",ROUND($G649*$H649,0))</f>
        <v/>
      </c>
      <c r="J649" s="8"/>
      <c r="K649" s="13" t="str">
        <f aca="false">IF($B649="","",SUMIFS($I$3:$I$2002,$B$3:$B$2002,$B649))</f>
        <v/>
      </c>
      <c r="L649" s="13" t="str">
        <f aca="false">IF($B649="","",IF(COUNTIFS($B$3:$B649,$B649)&gt;1,0,IFERROR(LOOKUP($K649,배송비규정!$A$3:$A$32,배송비규정!$B$3:$B$32),0)+IFERROR(INDEX(지역추가비!$B$3:$B$42,MATCH($J649,지역추가비!$A$3:$A$42,0)),0)))</f>
        <v/>
      </c>
      <c r="M649" s="13" t="str">
        <f aca="false">IF($B649="","",IF(COUNTIFS($B$3:$B649,$B649)&gt;1,"",$K649+$L649))</f>
        <v/>
      </c>
      <c r="N649" s="14" t="str">
        <f aca="false">IF($B649="","",COUNTIFS($B$3:$B649,$B649))</f>
        <v/>
      </c>
      <c r="O649" s="14" t="str">
        <f aca="false">IF($B649="","",$B649&amp;"|"&amp;$N649)</f>
        <v/>
      </c>
    </row>
    <row r="650" customFormat="false" ht="15" hidden="false" customHeight="false" outlineLevel="0" collapsed="false">
      <c r="A650" s="12"/>
      <c r="B650" s="9"/>
      <c r="C650" s="9"/>
      <c r="D650" s="9"/>
      <c r="E650" s="9"/>
      <c r="F650" s="9"/>
      <c r="G650" s="9"/>
      <c r="H650" s="7"/>
      <c r="I650" s="13" t="str">
        <f aca="false">IF(OR($G650="",$H650=""),"",ROUND($G650*$H650,0))</f>
        <v/>
      </c>
      <c r="J650" s="8"/>
      <c r="K650" s="13" t="str">
        <f aca="false">IF($B650="","",SUMIFS($I$3:$I$2002,$B$3:$B$2002,$B650))</f>
        <v/>
      </c>
      <c r="L650" s="13" t="str">
        <f aca="false">IF($B650="","",IF(COUNTIFS($B$3:$B650,$B650)&gt;1,0,IFERROR(LOOKUP($K650,배송비규정!$A$3:$A$32,배송비규정!$B$3:$B$32),0)+IFERROR(INDEX(지역추가비!$B$3:$B$42,MATCH($J650,지역추가비!$A$3:$A$42,0)),0)))</f>
        <v/>
      </c>
      <c r="M650" s="13" t="str">
        <f aca="false">IF($B650="","",IF(COUNTIFS($B$3:$B650,$B650)&gt;1,"",$K650+$L650))</f>
        <v/>
      </c>
      <c r="N650" s="14" t="str">
        <f aca="false">IF($B650="","",COUNTIFS($B$3:$B650,$B650))</f>
        <v/>
      </c>
      <c r="O650" s="14" t="str">
        <f aca="false">IF($B650="","",$B650&amp;"|"&amp;$N650)</f>
        <v/>
      </c>
    </row>
    <row r="651" customFormat="false" ht="15" hidden="false" customHeight="false" outlineLevel="0" collapsed="false">
      <c r="A651" s="12"/>
      <c r="B651" s="9"/>
      <c r="C651" s="9"/>
      <c r="D651" s="9"/>
      <c r="E651" s="9"/>
      <c r="F651" s="9"/>
      <c r="G651" s="9"/>
      <c r="H651" s="7"/>
      <c r="I651" s="13" t="str">
        <f aca="false">IF(OR($G651="",$H651=""),"",ROUND($G651*$H651,0))</f>
        <v/>
      </c>
      <c r="J651" s="8"/>
      <c r="K651" s="13" t="str">
        <f aca="false">IF($B651="","",SUMIFS($I$3:$I$2002,$B$3:$B$2002,$B651))</f>
        <v/>
      </c>
      <c r="L651" s="13" t="str">
        <f aca="false">IF($B651="","",IF(COUNTIFS($B$3:$B651,$B651)&gt;1,0,IFERROR(LOOKUP($K651,배송비규정!$A$3:$A$32,배송비규정!$B$3:$B$32),0)+IFERROR(INDEX(지역추가비!$B$3:$B$42,MATCH($J651,지역추가비!$A$3:$A$42,0)),0)))</f>
        <v/>
      </c>
      <c r="M651" s="13" t="str">
        <f aca="false">IF($B651="","",IF(COUNTIFS($B$3:$B651,$B651)&gt;1,"",$K651+$L651))</f>
        <v/>
      </c>
      <c r="N651" s="14" t="str">
        <f aca="false">IF($B651="","",COUNTIFS($B$3:$B651,$B651))</f>
        <v/>
      </c>
      <c r="O651" s="14" t="str">
        <f aca="false">IF($B651="","",$B651&amp;"|"&amp;$N651)</f>
        <v/>
      </c>
    </row>
    <row r="652" customFormat="false" ht="15" hidden="false" customHeight="false" outlineLevel="0" collapsed="false">
      <c r="A652" s="12"/>
      <c r="B652" s="9"/>
      <c r="C652" s="9"/>
      <c r="D652" s="9"/>
      <c r="E652" s="9"/>
      <c r="F652" s="9"/>
      <c r="G652" s="9"/>
      <c r="H652" s="7"/>
      <c r="I652" s="13" t="str">
        <f aca="false">IF(OR($G652="",$H652=""),"",ROUND($G652*$H652,0))</f>
        <v/>
      </c>
      <c r="J652" s="8"/>
      <c r="K652" s="13" t="str">
        <f aca="false">IF($B652="","",SUMIFS($I$3:$I$2002,$B$3:$B$2002,$B652))</f>
        <v/>
      </c>
      <c r="L652" s="13" t="str">
        <f aca="false">IF($B652="","",IF(COUNTIFS($B$3:$B652,$B652)&gt;1,0,IFERROR(LOOKUP($K652,배송비규정!$A$3:$A$32,배송비규정!$B$3:$B$32),0)+IFERROR(INDEX(지역추가비!$B$3:$B$42,MATCH($J652,지역추가비!$A$3:$A$42,0)),0)))</f>
        <v/>
      </c>
      <c r="M652" s="13" t="str">
        <f aca="false">IF($B652="","",IF(COUNTIFS($B$3:$B652,$B652)&gt;1,"",$K652+$L652))</f>
        <v/>
      </c>
      <c r="N652" s="14" t="str">
        <f aca="false">IF($B652="","",COUNTIFS($B$3:$B652,$B652))</f>
        <v/>
      </c>
      <c r="O652" s="14" t="str">
        <f aca="false">IF($B652="","",$B652&amp;"|"&amp;$N652)</f>
        <v/>
      </c>
    </row>
    <row r="653" customFormat="false" ht="15" hidden="false" customHeight="false" outlineLevel="0" collapsed="false">
      <c r="A653" s="12"/>
      <c r="B653" s="9"/>
      <c r="C653" s="9"/>
      <c r="D653" s="9"/>
      <c r="E653" s="9"/>
      <c r="F653" s="9"/>
      <c r="G653" s="9"/>
      <c r="H653" s="7"/>
      <c r="I653" s="13" t="str">
        <f aca="false">IF(OR($G653="",$H653=""),"",ROUND($G653*$H653,0))</f>
        <v/>
      </c>
      <c r="J653" s="8"/>
      <c r="K653" s="13" t="str">
        <f aca="false">IF($B653="","",SUMIFS($I$3:$I$2002,$B$3:$B$2002,$B653))</f>
        <v/>
      </c>
      <c r="L653" s="13" t="str">
        <f aca="false">IF($B653="","",IF(COUNTIFS($B$3:$B653,$B653)&gt;1,0,IFERROR(LOOKUP($K653,배송비규정!$A$3:$A$32,배송비규정!$B$3:$B$32),0)+IFERROR(INDEX(지역추가비!$B$3:$B$42,MATCH($J653,지역추가비!$A$3:$A$42,0)),0)))</f>
        <v/>
      </c>
      <c r="M653" s="13" t="str">
        <f aca="false">IF($B653="","",IF(COUNTIFS($B$3:$B653,$B653)&gt;1,"",$K653+$L653))</f>
        <v/>
      </c>
      <c r="N653" s="14" t="str">
        <f aca="false">IF($B653="","",COUNTIFS($B$3:$B653,$B653))</f>
        <v/>
      </c>
      <c r="O653" s="14" t="str">
        <f aca="false">IF($B653="","",$B653&amp;"|"&amp;$N653)</f>
        <v/>
      </c>
    </row>
    <row r="654" customFormat="false" ht="15" hidden="false" customHeight="false" outlineLevel="0" collapsed="false">
      <c r="A654" s="12"/>
      <c r="B654" s="9"/>
      <c r="C654" s="9"/>
      <c r="D654" s="9"/>
      <c r="E654" s="9"/>
      <c r="F654" s="9"/>
      <c r="G654" s="9"/>
      <c r="H654" s="7"/>
      <c r="I654" s="13" t="str">
        <f aca="false">IF(OR($G654="",$H654=""),"",ROUND($G654*$H654,0))</f>
        <v/>
      </c>
      <c r="J654" s="8"/>
      <c r="K654" s="13" t="str">
        <f aca="false">IF($B654="","",SUMIFS($I$3:$I$2002,$B$3:$B$2002,$B654))</f>
        <v/>
      </c>
      <c r="L654" s="13" t="str">
        <f aca="false">IF($B654="","",IF(COUNTIFS($B$3:$B654,$B654)&gt;1,0,IFERROR(LOOKUP($K654,배송비규정!$A$3:$A$32,배송비규정!$B$3:$B$32),0)+IFERROR(INDEX(지역추가비!$B$3:$B$42,MATCH($J654,지역추가비!$A$3:$A$42,0)),0)))</f>
        <v/>
      </c>
      <c r="M654" s="13" t="str">
        <f aca="false">IF($B654="","",IF(COUNTIFS($B$3:$B654,$B654)&gt;1,"",$K654+$L654))</f>
        <v/>
      </c>
      <c r="N654" s="14" t="str">
        <f aca="false">IF($B654="","",COUNTIFS($B$3:$B654,$B654))</f>
        <v/>
      </c>
      <c r="O654" s="14" t="str">
        <f aca="false">IF($B654="","",$B654&amp;"|"&amp;$N654)</f>
        <v/>
      </c>
    </row>
    <row r="655" customFormat="false" ht="15" hidden="false" customHeight="false" outlineLevel="0" collapsed="false">
      <c r="A655" s="12"/>
      <c r="B655" s="9"/>
      <c r="C655" s="9"/>
      <c r="D655" s="9"/>
      <c r="E655" s="9"/>
      <c r="F655" s="9"/>
      <c r="G655" s="9"/>
      <c r="H655" s="7"/>
      <c r="I655" s="13" t="str">
        <f aca="false">IF(OR($G655="",$H655=""),"",ROUND($G655*$H655,0))</f>
        <v/>
      </c>
      <c r="J655" s="8"/>
      <c r="K655" s="13" t="str">
        <f aca="false">IF($B655="","",SUMIFS($I$3:$I$2002,$B$3:$B$2002,$B655))</f>
        <v/>
      </c>
      <c r="L655" s="13" t="str">
        <f aca="false">IF($B655="","",IF(COUNTIFS($B$3:$B655,$B655)&gt;1,0,IFERROR(LOOKUP($K655,배송비규정!$A$3:$A$32,배송비규정!$B$3:$B$32),0)+IFERROR(INDEX(지역추가비!$B$3:$B$42,MATCH($J655,지역추가비!$A$3:$A$42,0)),0)))</f>
        <v/>
      </c>
      <c r="M655" s="13" t="str">
        <f aca="false">IF($B655="","",IF(COUNTIFS($B$3:$B655,$B655)&gt;1,"",$K655+$L655))</f>
        <v/>
      </c>
      <c r="N655" s="14" t="str">
        <f aca="false">IF($B655="","",COUNTIFS($B$3:$B655,$B655))</f>
        <v/>
      </c>
      <c r="O655" s="14" t="str">
        <f aca="false">IF($B655="","",$B655&amp;"|"&amp;$N655)</f>
        <v/>
      </c>
    </row>
    <row r="656" customFormat="false" ht="15" hidden="false" customHeight="false" outlineLevel="0" collapsed="false">
      <c r="A656" s="12"/>
      <c r="B656" s="9"/>
      <c r="C656" s="9"/>
      <c r="D656" s="9"/>
      <c r="E656" s="9"/>
      <c r="F656" s="9"/>
      <c r="G656" s="9"/>
      <c r="H656" s="7"/>
      <c r="I656" s="13" t="str">
        <f aca="false">IF(OR($G656="",$H656=""),"",ROUND($G656*$H656,0))</f>
        <v/>
      </c>
      <c r="J656" s="8"/>
      <c r="K656" s="13" t="str">
        <f aca="false">IF($B656="","",SUMIFS($I$3:$I$2002,$B$3:$B$2002,$B656))</f>
        <v/>
      </c>
      <c r="L656" s="13" t="str">
        <f aca="false">IF($B656="","",IF(COUNTIFS($B$3:$B656,$B656)&gt;1,0,IFERROR(LOOKUP($K656,배송비규정!$A$3:$A$32,배송비규정!$B$3:$B$32),0)+IFERROR(INDEX(지역추가비!$B$3:$B$42,MATCH($J656,지역추가비!$A$3:$A$42,0)),0)))</f>
        <v/>
      </c>
      <c r="M656" s="13" t="str">
        <f aca="false">IF($B656="","",IF(COUNTIFS($B$3:$B656,$B656)&gt;1,"",$K656+$L656))</f>
        <v/>
      </c>
      <c r="N656" s="14" t="str">
        <f aca="false">IF($B656="","",COUNTIFS($B$3:$B656,$B656))</f>
        <v/>
      </c>
      <c r="O656" s="14" t="str">
        <f aca="false">IF($B656="","",$B656&amp;"|"&amp;$N656)</f>
        <v/>
      </c>
    </row>
    <row r="657" customFormat="false" ht="15" hidden="false" customHeight="false" outlineLevel="0" collapsed="false">
      <c r="A657" s="12"/>
      <c r="B657" s="9"/>
      <c r="C657" s="9"/>
      <c r="D657" s="9"/>
      <c r="E657" s="9"/>
      <c r="F657" s="9"/>
      <c r="G657" s="9"/>
      <c r="H657" s="7"/>
      <c r="I657" s="13" t="str">
        <f aca="false">IF(OR($G657="",$H657=""),"",ROUND($G657*$H657,0))</f>
        <v/>
      </c>
      <c r="J657" s="8"/>
      <c r="K657" s="13" t="str">
        <f aca="false">IF($B657="","",SUMIFS($I$3:$I$2002,$B$3:$B$2002,$B657))</f>
        <v/>
      </c>
      <c r="L657" s="13" t="str">
        <f aca="false">IF($B657="","",IF(COUNTIFS($B$3:$B657,$B657)&gt;1,0,IFERROR(LOOKUP($K657,배송비규정!$A$3:$A$32,배송비규정!$B$3:$B$32),0)+IFERROR(INDEX(지역추가비!$B$3:$B$42,MATCH($J657,지역추가비!$A$3:$A$42,0)),0)))</f>
        <v/>
      </c>
      <c r="M657" s="13" t="str">
        <f aca="false">IF($B657="","",IF(COUNTIFS($B$3:$B657,$B657)&gt;1,"",$K657+$L657))</f>
        <v/>
      </c>
      <c r="N657" s="14" t="str">
        <f aca="false">IF($B657="","",COUNTIFS($B$3:$B657,$B657))</f>
        <v/>
      </c>
      <c r="O657" s="14" t="str">
        <f aca="false">IF($B657="","",$B657&amp;"|"&amp;$N657)</f>
        <v/>
      </c>
    </row>
    <row r="658" customFormat="false" ht="15" hidden="false" customHeight="false" outlineLevel="0" collapsed="false">
      <c r="A658" s="12"/>
      <c r="B658" s="9"/>
      <c r="C658" s="9"/>
      <c r="D658" s="9"/>
      <c r="E658" s="9"/>
      <c r="F658" s="9"/>
      <c r="G658" s="9"/>
      <c r="H658" s="7"/>
      <c r="I658" s="13" t="str">
        <f aca="false">IF(OR($G658="",$H658=""),"",ROUND($G658*$H658,0))</f>
        <v/>
      </c>
      <c r="J658" s="8"/>
      <c r="K658" s="13" t="str">
        <f aca="false">IF($B658="","",SUMIFS($I$3:$I$2002,$B$3:$B$2002,$B658))</f>
        <v/>
      </c>
      <c r="L658" s="13" t="str">
        <f aca="false">IF($B658="","",IF(COUNTIFS($B$3:$B658,$B658)&gt;1,0,IFERROR(LOOKUP($K658,배송비규정!$A$3:$A$32,배송비규정!$B$3:$B$32),0)+IFERROR(INDEX(지역추가비!$B$3:$B$42,MATCH($J658,지역추가비!$A$3:$A$42,0)),0)))</f>
        <v/>
      </c>
      <c r="M658" s="13" t="str">
        <f aca="false">IF($B658="","",IF(COUNTIFS($B$3:$B658,$B658)&gt;1,"",$K658+$L658))</f>
        <v/>
      </c>
      <c r="N658" s="14" t="str">
        <f aca="false">IF($B658="","",COUNTIFS($B$3:$B658,$B658))</f>
        <v/>
      </c>
      <c r="O658" s="14" t="str">
        <f aca="false">IF($B658="","",$B658&amp;"|"&amp;$N658)</f>
        <v/>
      </c>
    </row>
    <row r="659" customFormat="false" ht="15" hidden="false" customHeight="false" outlineLevel="0" collapsed="false">
      <c r="A659" s="12"/>
      <c r="B659" s="9"/>
      <c r="C659" s="9"/>
      <c r="D659" s="9"/>
      <c r="E659" s="9"/>
      <c r="F659" s="9"/>
      <c r="G659" s="9"/>
      <c r="H659" s="7"/>
      <c r="I659" s="13" t="str">
        <f aca="false">IF(OR($G659="",$H659=""),"",ROUND($G659*$H659,0))</f>
        <v/>
      </c>
      <c r="J659" s="8"/>
      <c r="K659" s="13" t="str">
        <f aca="false">IF($B659="","",SUMIFS($I$3:$I$2002,$B$3:$B$2002,$B659))</f>
        <v/>
      </c>
      <c r="L659" s="13" t="str">
        <f aca="false">IF($B659="","",IF(COUNTIFS($B$3:$B659,$B659)&gt;1,0,IFERROR(LOOKUP($K659,배송비규정!$A$3:$A$32,배송비규정!$B$3:$B$32),0)+IFERROR(INDEX(지역추가비!$B$3:$B$42,MATCH($J659,지역추가비!$A$3:$A$42,0)),0)))</f>
        <v/>
      </c>
      <c r="M659" s="13" t="str">
        <f aca="false">IF($B659="","",IF(COUNTIFS($B$3:$B659,$B659)&gt;1,"",$K659+$L659))</f>
        <v/>
      </c>
      <c r="N659" s="14" t="str">
        <f aca="false">IF($B659="","",COUNTIFS($B$3:$B659,$B659))</f>
        <v/>
      </c>
      <c r="O659" s="14" t="str">
        <f aca="false">IF($B659="","",$B659&amp;"|"&amp;$N659)</f>
        <v/>
      </c>
    </row>
    <row r="660" customFormat="false" ht="15" hidden="false" customHeight="false" outlineLevel="0" collapsed="false">
      <c r="A660" s="12"/>
      <c r="B660" s="9"/>
      <c r="C660" s="9"/>
      <c r="D660" s="9"/>
      <c r="E660" s="9"/>
      <c r="F660" s="9"/>
      <c r="G660" s="9"/>
      <c r="H660" s="7"/>
      <c r="I660" s="13" t="str">
        <f aca="false">IF(OR($G660="",$H660=""),"",ROUND($G660*$H660,0))</f>
        <v/>
      </c>
      <c r="J660" s="8"/>
      <c r="K660" s="13" t="str">
        <f aca="false">IF($B660="","",SUMIFS($I$3:$I$2002,$B$3:$B$2002,$B660))</f>
        <v/>
      </c>
      <c r="L660" s="13" t="str">
        <f aca="false">IF($B660="","",IF(COUNTIFS($B$3:$B660,$B660)&gt;1,0,IFERROR(LOOKUP($K660,배송비규정!$A$3:$A$32,배송비규정!$B$3:$B$32),0)+IFERROR(INDEX(지역추가비!$B$3:$B$42,MATCH($J660,지역추가비!$A$3:$A$42,0)),0)))</f>
        <v/>
      </c>
      <c r="M660" s="13" t="str">
        <f aca="false">IF($B660="","",IF(COUNTIFS($B$3:$B660,$B660)&gt;1,"",$K660+$L660))</f>
        <v/>
      </c>
      <c r="N660" s="14" t="str">
        <f aca="false">IF($B660="","",COUNTIFS($B$3:$B660,$B660))</f>
        <v/>
      </c>
      <c r="O660" s="14" t="str">
        <f aca="false">IF($B660="","",$B660&amp;"|"&amp;$N660)</f>
        <v/>
      </c>
    </row>
    <row r="661" customFormat="false" ht="15" hidden="false" customHeight="false" outlineLevel="0" collapsed="false">
      <c r="A661" s="12"/>
      <c r="B661" s="9"/>
      <c r="C661" s="9"/>
      <c r="D661" s="9"/>
      <c r="E661" s="9"/>
      <c r="F661" s="9"/>
      <c r="G661" s="9"/>
      <c r="H661" s="7"/>
      <c r="I661" s="13" t="str">
        <f aca="false">IF(OR($G661="",$H661=""),"",ROUND($G661*$H661,0))</f>
        <v/>
      </c>
      <c r="J661" s="8"/>
      <c r="K661" s="13" t="str">
        <f aca="false">IF($B661="","",SUMIFS($I$3:$I$2002,$B$3:$B$2002,$B661))</f>
        <v/>
      </c>
      <c r="L661" s="13" t="str">
        <f aca="false">IF($B661="","",IF(COUNTIFS($B$3:$B661,$B661)&gt;1,0,IFERROR(LOOKUP($K661,배송비규정!$A$3:$A$32,배송비규정!$B$3:$B$32),0)+IFERROR(INDEX(지역추가비!$B$3:$B$42,MATCH($J661,지역추가비!$A$3:$A$42,0)),0)))</f>
        <v/>
      </c>
      <c r="M661" s="13" t="str">
        <f aca="false">IF($B661="","",IF(COUNTIFS($B$3:$B661,$B661)&gt;1,"",$K661+$L661))</f>
        <v/>
      </c>
      <c r="N661" s="14" t="str">
        <f aca="false">IF($B661="","",COUNTIFS($B$3:$B661,$B661))</f>
        <v/>
      </c>
      <c r="O661" s="14" t="str">
        <f aca="false">IF($B661="","",$B661&amp;"|"&amp;$N661)</f>
        <v/>
      </c>
    </row>
    <row r="662" customFormat="false" ht="15" hidden="false" customHeight="false" outlineLevel="0" collapsed="false">
      <c r="A662" s="12"/>
      <c r="B662" s="9"/>
      <c r="C662" s="9"/>
      <c r="D662" s="9"/>
      <c r="E662" s="9"/>
      <c r="F662" s="9"/>
      <c r="G662" s="9"/>
      <c r="H662" s="7"/>
      <c r="I662" s="13" t="str">
        <f aca="false">IF(OR($G662="",$H662=""),"",ROUND($G662*$H662,0))</f>
        <v/>
      </c>
      <c r="J662" s="8"/>
      <c r="K662" s="13" t="str">
        <f aca="false">IF($B662="","",SUMIFS($I$3:$I$2002,$B$3:$B$2002,$B662))</f>
        <v/>
      </c>
      <c r="L662" s="13" t="str">
        <f aca="false">IF($B662="","",IF(COUNTIFS($B$3:$B662,$B662)&gt;1,0,IFERROR(LOOKUP($K662,배송비규정!$A$3:$A$32,배송비규정!$B$3:$B$32),0)+IFERROR(INDEX(지역추가비!$B$3:$B$42,MATCH($J662,지역추가비!$A$3:$A$42,0)),0)))</f>
        <v/>
      </c>
      <c r="M662" s="13" t="str">
        <f aca="false">IF($B662="","",IF(COUNTIFS($B$3:$B662,$B662)&gt;1,"",$K662+$L662))</f>
        <v/>
      </c>
      <c r="N662" s="14" t="str">
        <f aca="false">IF($B662="","",COUNTIFS($B$3:$B662,$B662))</f>
        <v/>
      </c>
      <c r="O662" s="14" t="str">
        <f aca="false">IF($B662="","",$B662&amp;"|"&amp;$N662)</f>
        <v/>
      </c>
    </row>
    <row r="663" customFormat="false" ht="15" hidden="false" customHeight="false" outlineLevel="0" collapsed="false">
      <c r="A663" s="12"/>
      <c r="B663" s="9"/>
      <c r="C663" s="9"/>
      <c r="D663" s="9"/>
      <c r="E663" s="9"/>
      <c r="F663" s="9"/>
      <c r="G663" s="9"/>
      <c r="H663" s="7"/>
      <c r="I663" s="13" t="str">
        <f aca="false">IF(OR($G663="",$H663=""),"",ROUND($G663*$H663,0))</f>
        <v/>
      </c>
      <c r="J663" s="8"/>
      <c r="K663" s="13" t="str">
        <f aca="false">IF($B663="","",SUMIFS($I$3:$I$2002,$B$3:$B$2002,$B663))</f>
        <v/>
      </c>
      <c r="L663" s="13" t="str">
        <f aca="false">IF($B663="","",IF(COUNTIFS($B$3:$B663,$B663)&gt;1,0,IFERROR(LOOKUP($K663,배송비규정!$A$3:$A$32,배송비규정!$B$3:$B$32),0)+IFERROR(INDEX(지역추가비!$B$3:$B$42,MATCH($J663,지역추가비!$A$3:$A$42,0)),0)))</f>
        <v/>
      </c>
      <c r="M663" s="13" t="str">
        <f aca="false">IF($B663="","",IF(COUNTIFS($B$3:$B663,$B663)&gt;1,"",$K663+$L663))</f>
        <v/>
      </c>
      <c r="N663" s="14" t="str">
        <f aca="false">IF($B663="","",COUNTIFS($B$3:$B663,$B663))</f>
        <v/>
      </c>
      <c r="O663" s="14" t="str">
        <f aca="false">IF($B663="","",$B663&amp;"|"&amp;$N663)</f>
        <v/>
      </c>
    </row>
    <row r="664" customFormat="false" ht="15" hidden="false" customHeight="false" outlineLevel="0" collapsed="false">
      <c r="A664" s="12"/>
      <c r="B664" s="9"/>
      <c r="C664" s="9"/>
      <c r="D664" s="9"/>
      <c r="E664" s="9"/>
      <c r="F664" s="9"/>
      <c r="G664" s="9"/>
      <c r="H664" s="7"/>
      <c r="I664" s="13" t="str">
        <f aca="false">IF(OR($G664="",$H664=""),"",ROUND($G664*$H664,0))</f>
        <v/>
      </c>
      <c r="J664" s="8"/>
      <c r="K664" s="13" t="str">
        <f aca="false">IF($B664="","",SUMIFS($I$3:$I$2002,$B$3:$B$2002,$B664))</f>
        <v/>
      </c>
      <c r="L664" s="13" t="str">
        <f aca="false">IF($B664="","",IF(COUNTIFS($B$3:$B664,$B664)&gt;1,0,IFERROR(LOOKUP($K664,배송비규정!$A$3:$A$32,배송비규정!$B$3:$B$32),0)+IFERROR(INDEX(지역추가비!$B$3:$B$42,MATCH($J664,지역추가비!$A$3:$A$42,0)),0)))</f>
        <v/>
      </c>
      <c r="M664" s="13" t="str">
        <f aca="false">IF($B664="","",IF(COUNTIFS($B$3:$B664,$B664)&gt;1,"",$K664+$L664))</f>
        <v/>
      </c>
      <c r="N664" s="14" t="str">
        <f aca="false">IF($B664="","",COUNTIFS($B$3:$B664,$B664))</f>
        <v/>
      </c>
      <c r="O664" s="14" t="str">
        <f aca="false">IF($B664="","",$B664&amp;"|"&amp;$N664)</f>
        <v/>
      </c>
    </row>
    <row r="665" customFormat="false" ht="15" hidden="false" customHeight="false" outlineLevel="0" collapsed="false">
      <c r="A665" s="12"/>
      <c r="B665" s="9"/>
      <c r="C665" s="9"/>
      <c r="D665" s="9"/>
      <c r="E665" s="9"/>
      <c r="F665" s="9"/>
      <c r="G665" s="9"/>
      <c r="H665" s="7"/>
      <c r="I665" s="13" t="str">
        <f aca="false">IF(OR($G665="",$H665=""),"",ROUND($G665*$H665,0))</f>
        <v/>
      </c>
      <c r="J665" s="8"/>
      <c r="K665" s="13" t="str">
        <f aca="false">IF($B665="","",SUMIFS($I$3:$I$2002,$B$3:$B$2002,$B665))</f>
        <v/>
      </c>
      <c r="L665" s="13" t="str">
        <f aca="false">IF($B665="","",IF(COUNTIFS($B$3:$B665,$B665)&gt;1,0,IFERROR(LOOKUP($K665,배송비규정!$A$3:$A$32,배송비규정!$B$3:$B$32),0)+IFERROR(INDEX(지역추가비!$B$3:$B$42,MATCH($J665,지역추가비!$A$3:$A$42,0)),0)))</f>
        <v/>
      </c>
      <c r="M665" s="13" t="str">
        <f aca="false">IF($B665="","",IF(COUNTIFS($B$3:$B665,$B665)&gt;1,"",$K665+$L665))</f>
        <v/>
      </c>
      <c r="N665" s="14" t="str">
        <f aca="false">IF($B665="","",COUNTIFS($B$3:$B665,$B665))</f>
        <v/>
      </c>
      <c r="O665" s="14" t="str">
        <f aca="false">IF($B665="","",$B665&amp;"|"&amp;$N665)</f>
        <v/>
      </c>
    </row>
    <row r="666" customFormat="false" ht="15" hidden="false" customHeight="false" outlineLevel="0" collapsed="false">
      <c r="A666" s="12"/>
      <c r="B666" s="9"/>
      <c r="C666" s="9"/>
      <c r="D666" s="9"/>
      <c r="E666" s="9"/>
      <c r="F666" s="9"/>
      <c r="G666" s="9"/>
      <c r="H666" s="7"/>
      <c r="I666" s="13" t="str">
        <f aca="false">IF(OR($G666="",$H666=""),"",ROUND($G666*$H666,0))</f>
        <v/>
      </c>
      <c r="J666" s="8"/>
      <c r="K666" s="13" t="str">
        <f aca="false">IF($B666="","",SUMIFS($I$3:$I$2002,$B$3:$B$2002,$B666))</f>
        <v/>
      </c>
      <c r="L666" s="13" t="str">
        <f aca="false">IF($B666="","",IF(COUNTIFS($B$3:$B666,$B666)&gt;1,0,IFERROR(LOOKUP($K666,배송비규정!$A$3:$A$32,배송비규정!$B$3:$B$32),0)+IFERROR(INDEX(지역추가비!$B$3:$B$42,MATCH($J666,지역추가비!$A$3:$A$42,0)),0)))</f>
        <v/>
      </c>
      <c r="M666" s="13" t="str">
        <f aca="false">IF($B666="","",IF(COUNTIFS($B$3:$B666,$B666)&gt;1,"",$K666+$L666))</f>
        <v/>
      </c>
      <c r="N666" s="14" t="str">
        <f aca="false">IF($B666="","",COUNTIFS($B$3:$B666,$B666))</f>
        <v/>
      </c>
      <c r="O666" s="14" t="str">
        <f aca="false">IF($B666="","",$B666&amp;"|"&amp;$N666)</f>
        <v/>
      </c>
    </row>
    <row r="667" customFormat="false" ht="15" hidden="false" customHeight="false" outlineLevel="0" collapsed="false">
      <c r="A667" s="12"/>
      <c r="B667" s="9"/>
      <c r="C667" s="9"/>
      <c r="D667" s="9"/>
      <c r="E667" s="9"/>
      <c r="F667" s="9"/>
      <c r="G667" s="9"/>
      <c r="H667" s="7"/>
      <c r="I667" s="13" t="str">
        <f aca="false">IF(OR($G667="",$H667=""),"",ROUND($G667*$H667,0))</f>
        <v/>
      </c>
      <c r="J667" s="8"/>
      <c r="K667" s="13" t="str">
        <f aca="false">IF($B667="","",SUMIFS($I$3:$I$2002,$B$3:$B$2002,$B667))</f>
        <v/>
      </c>
      <c r="L667" s="13" t="str">
        <f aca="false">IF($B667="","",IF(COUNTIFS($B$3:$B667,$B667)&gt;1,0,IFERROR(LOOKUP($K667,배송비규정!$A$3:$A$32,배송비규정!$B$3:$B$32),0)+IFERROR(INDEX(지역추가비!$B$3:$B$42,MATCH($J667,지역추가비!$A$3:$A$42,0)),0)))</f>
        <v/>
      </c>
      <c r="M667" s="13" t="str">
        <f aca="false">IF($B667="","",IF(COUNTIFS($B$3:$B667,$B667)&gt;1,"",$K667+$L667))</f>
        <v/>
      </c>
      <c r="N667" s="14" t="str">
        <f aca="false">IF($B667="","",COUNTIFS($B$3:$B667,$B667))</f>
        <v/>
      </c>
      <c r="O667" s="14" t="str">
        <f aca="false">IF($B667="","",$B667&amp;"|"&amp;$N667)</f>
        <v/>
      </c>
    </row>
    <row r="668" customFormat="false" ht="15" hidden="false" customHeight="false" outlineLevel="0" collapsed="false">
      <c r="A668" s="12"/>
      <c r="B668" s="9"/>
      <c r="C668" s="9"/>
      <c r="D668" s="9"/>
      <c r="E668" s="9"/>
      <c r="F668" s="9"/>
      <c r="G668" s="9"/>
      <c r="H668" s="7"/>
      <c r="I668" s="13" t="str">
        <f aca="false">IF(OR($G668="",$H668=""),"",ROUND($G668*$H668,0))</f>
        <v/>
      </c>
      <c r="J668" s="8"/>
      <c r="K668" s="13" t="str">
        <f aca="false">IF($B668="","",SUMIFS($I$3:$I$2002,$B$3:$B$2002,$B668))</f>
        <v/>
      </c>
      <c r="L668" s="13" t="str">
        <f aca="false">IF($B668="","",IF(COUNTIFS($B$3:$B668,$B668)&gt;1,0,IFERROR(LOOKUP($K668,배송비규정!$A$3:$A$32,배송비규정!$B$3:$B$32),0)+IFERROR(INDEX(지역추가비!$B$3:$B$42,MATCH($J668,지역추가비!$A$3:$A$42,0)),0)))</f>
        <v/>
      </c>
      <c r="M668" s="13" t="str">
        <f aca="false">IF($B668="","",IF(COUNTIFS($B$3:$B668,$B668)&gt;1,"",$K668+$L668))</f>
        <v/>
      </c>
      <c r="N668" s="14" t="str">
        <f aca="false">IF($B668="","",COUNTIFS($B$3:$B668,$B668))</f>
        <v/>
      </c>
      <c r="O668" s="14" t="str">
        <f aca="false">IF($B668="","",$B668&amp;"|"&amp;$N668)</f>
        <v/>
      </c>
    </row>
    <row r="669" customFormat="false" ht="15" hidden="false" customHeight="false" outlineLevel="0" collapsed="false">
      <c r="A669" s="12"/>
      <c r="B669" s="9"/>
      <c r="C669" s="9"/>
      <c r="D669" s="9"/>
      <c r="E669" s="9"/>
      <c r="F669" s="9"/>
      <c r="G669" s="9"/>
      <c r="H669" s="7"/>
      <c r="I669" s="13" t="str">
        <f aca="false">IF(OR($G669="",$H669=""),"",ROUND($G669*$H669,0))</f>
        <v/>
      </c>
      <c r="J669" s="8"/>
      <c r="K669" s="13" t="str">
        <f aca="false">IF($B669="","",SUMIFS($I$3:$I$2002,$B$3:$B$2002,$B669))</f>
        <v/>
      </c>
      <c r="L669" s="13" t="str">
        <f aca="false">IF($B669="","",IF(COUNTIFS($B$3:$B669,$B669)&gt;1,0,IFERROR(LOOKUP($K669,배송비규정!$A$3:$A$32,배송비규정!$B$3:$B$32),0)+IFERROR(INDEX(지역추가비!$B$3:$B$42,MATCH($J669,지역추가비!$A$3:$A$42,0)),0)))</f>
        <v/>
      </c>
      <c r="M669" s="13" t="str">
        <f aca="false">IF($B669="","",IF(COUNTIFS($B$3:$B669,$B669)&gt;1,"",$K669+$L669))</f>
        <v/>
      </c>
      <c r="N669" s="14" t="str">
        <f aca="false">IF($B669="","",COUNTIFS($B$3:$B669,$B669))</f>
        <v/>
      </c>
      <c r="O669" s="14" t="str">
        <f aca="false">IF($B669="","",$B669&amp;"|"&amp;$N669)</f>
        <v/>
      </c>
    </row>
    <row r="670" customFormat="false" ht="15" hidden="false" customHeight="false" outlineLevel="0" collapsed="false">
      <c r="A670" s="12"/>
      <c r="B670" s="9"/>
      <c r="C670" s="9"/>
      <c r="D670" s="9"/>
      <c r="E670" s="9"/>
      <c r="F670" s="9"/>
      <c r="G670" s="9"/>
      <c r="H670" s="7"/>
      <c r="I670" s="13" t="str">
        <f aca="false">IF(OR($G670="",$H670=""),"",ROUND($G670*$H670,0))</f>
        <v/>
      </c>
      <c r="J670" s="8"/>
      <c r="K670" s="13" t="str">
        <f aca="false">IF($B670="","",SUMIFS($I$3:$I$2002,$B$3:$B$2002,$B670))</f>
        <v/>
      </c>
      <c r="L670" s="13" t="str">
        <f aca="false">IF($B670="","",IF(COUNTIFS($B$3:$B670,$B670)&gt;1,0,IFERROR(LOOKUP($K670,배송비규정!$A$3:$A$32,배송비규정!$B$3:$B$32),0)+IFERROR(INDEX(지역추가비!$B$3:$B$42,MATCH($J670,지역추가비!$A$3:$A$42,0)),0)))</f>
        <v/>
      </c>
      <c r="M670" s="13" t="str">
        <f aca="false">IF($B670="","",IF(COUNTIFS($B$3:$B670,$B670)&gt;1,"",$K670+$L670))</f>
        <v/>
      </c>
      <c r="N670" s="14" t="str">
        <f aca="false">IF($B670="","",COUNTIFS($B$3:$B670,$B670))</f>
        <v/>
      </c>
      <c r="O670" s="14" t="str">
        <f aca="false">IF($B670="","",$B670&amp;"|"&amp;$N670)</f>
        <v/>
      </c>
    </row>
    <row r="671" customFormat="false" ht="15" hidden="false" customHeight="false" outlineLevel="0" collapsed="false">
      <c r="A671" s="12"/>
      <c r="B671" s="9"/>
      <c r="C671" s="9"/>
      <c r="D671" s="9"/>
      <c r="E671" s="9"/>
      <c r="F671" s="9"/>
      <c r="G671" s="9"/>
      <c r="H671" s="7"/>
      <c r="I671" s="13" t="str">
        <f aca="false">IF(OR($G671="",$H671=""),"",ROUND($G671*$H671,0))</f>
        <v/>
      </c>
      <c r="J671" s="8"/>
      <c r="K671" s="13" t="str">
        <f aca="false">IF($B671="","",SUMIFS($I$3:$I$2002,$B$3:$B$2002,$B671))</f>
        <v/>
      </c>
      <c r="L671" s="13" t="str">
        <f aca="false">IF($B671="","",IF(COUNTIFS($B$3:$B671,$B671)&gt;1,0,IFERROR(LOOKUP($K671,배송비규정!$A$3:$A$32,배송비규정!$B$3:$B$32),0)+IFERROR(INDEX(지역추가비!$B$3:$B$42,MATCH($J671,지역추가비!$A$3:$A$42,0)),0)))</f>
        <v/>
      </c>
      <c r="M671" s="13" t="str">
        <f aca="false">IF($B671="","",IF(COUNTIFS($B$3:$B671,$B671)&gt;1,"",$K671+$L671))</f>
        <v/>
      </c>
      <c r="N671" s="14" t="str">
        <f aca="false">IF($B671="","",COUNTIFS($B$3:$B671,$B671))</f>
        <v/>
      </c>
      <c r="O671" s="14" t="str">
        <f aca="false">IF($B671="","",$B671&amp;"|"&amp;$N671)</f>
        <v/>
      </c>
    </row>
    <row r="672" customFormat="false" ht="15" hidden="false" customHeight="false" outlineLevel="0" collapsed="false">
      <c r="A672" s="12"/>
      <c r="B672" s="9"/>
      <c r="C672" s="9"/>
      <c r="D672" s="9"/>
      <c r="E672" s="9"/>
      <c r="F672" s="9"/>
      <c r="G672" s="9"/>
      <c r="H672" s="7"/>
      <c r="I672" s="13" t="str">
        <f aca="false">IF(OR($G672="",$H672=""),"",ROUND($G672*$H672,0))</f>
        <v/>
      </c>
      <c r="J672" s="8"/>
      <c r="K672" s="13" t="str">
        <f aca="false">IF($B672="","",SUMIFS($I$3:$I$2002,$B$3:$B$2002,$B672))</f>
        <v/>
      </c>
      <c r="L672" s="13" t="str">
        <f aca="false">IF($B672="","",IF(COUNTIFS($B$3:$B672,$B672)&gt;1,0,IFERROR(LOOKUP($K672,배송비규정!$A$3:$A$32,배송비규정!$B$3:$B$32),0)+IFERROR(INDEX(지역추가비!$B$3:$B$42,MATCH($J672,지역추가비!$A$3:$A$42,0)),0)))</f>
        <v/>
      </c>
      <c r="M672" s="13" t="str">
        <f aca="false">IF($B672="","",IF(COUNTIFS($B$3:$B672,$B672)&gt;1,"",$K672+$L672))</f>
        <v/>
      </c>
      <c r="N672" s="14" t="str">
        <f aca="false">IF($B672="","",COUNTIFS($B$3:$B672,$B672))</f>
        <v/>
      </c>
      <c r="O672" s="14" t="str">
        <f aca="false">IF($B672="","",$B672&amp;"|"&amp;$N672)</f>
        <v/>
      </c>
    </row>
    <row r="673" customFormat="false" ht="15" hidden="false" customHeight="false" outlineLevel="0" collapsed="false">
      <c r="A673" s="12"/>
      <c r="B673" s="9"/>
      <c r="C673" s="9"/>
      <c r="D673" s="9"/>
      <c r="E673" s="9"/>
      <c r="F673" s="9"/>
      <c r="G673" s="9"/>
      <c r="H673" s="7"/>
      <c r="I673" s="13" t="str">
        <f aca="false">IF(OR($G673="",$H673=""),"",ROUND($G673*$H673,0))</f>
        <v/>
      </c>
      <c r="J673" s="8"/>
      <c r="K673" s="13" t="str">
        <f aca="false">IF($B673="","",SUMIFS($I$3:$I$2002,$B$3:$B$2002,$B673))</f>
        <v/>
      </c>
      <c r="L673" s="13" t="str">
        <f aca="false">IF($B673="","",IF(COUNTIFS($B$3:$B673,$B673)&gt;1,0,IFERROR(LOOKUP($K673,배송비규정!$A$3:$A$32,배송비규정!$B$3:$B$32),0)+IFERROR(INDEX(지역추가비!$B$3:$B$42,MATCH($J673,지역추가비!$A$3:$A$42,0)),0)))</f>
        <v/>
      </c>
      <c r="M673" s="13" t="str">
        <f aca="false">IF($B673="","",IF(COUNTIFS($B$3:$B673,$B673)&gt;1,"",$K673+$L673))</f>
        <v/>
      </c>
      <c r="N673" s="14" t="str">
        <f aca="false">IF($B673="","",COUNTIFS($B$3:$B673,$B673))</f>
        <v/>
      </c>
      <c r="O673" s="14" t="str">
        <f aca="false">IF($B673="","",$B673&amp;"|"&amp;$N673)</f>
        <v/>
      </c>
    </row>
    <row r="674" customFormat="false" ht="15" hidden="false" customHeight="false" outlineLevel="0" collapsed="false">
      <c r="A674" s="12"/>
      <c r="B674" s="9"/>
      <c r="C674" s="9"/>
      <c r="D674" s="9"/>
      <c r="E674" s="9"/>
      <c r="F674" s="9"/>
      <c r="G674" s="9"/>
      <c r="H674" s="7"/>
      <c r="I674" s="13" t="str">
        <f aca="false">IF(OR($G674="",$H674=""),"",ROUND($G674*$H674,0))</f>
        <v/>
      </c>
      <c r="J674" s="8"/>
      <c r="K674" s="13" t="str">
        <f aca="false">IF($B674="","",SUMIFS($I$3:$I$2002,$B$3:$B$2002,$B674))</f>
        <v/>
      </c>
      <c r="L674" s="13" t="str">
        <f aca="false">IF($B674="","",IF(COUNTIFS($B$3:$B674,$B674)&gt;1,0,IFERROR(LOOKUP($K674,배송비규정!$A$3:$A$32,배송비규정!$B$3:$B$32),0)+IFERROR(INDEX(지역추가비!$B$3:$B$42,MATCH($J674,지역추가비!$A$3:$A$42,0)),0)))</f>
        <v/>
      </c>
      <c r="M674" s="13" t="str">
        <f aca="false">IF($B674="","",IF(COUNTIFS($B$3:$B674,$B674)&gt;1,"",$K674+$L674))</f>
        <v/>
      </c>
      <c r="N674" s="14" t="str">
        <f aca="false">IF($B674="","",COUNTIFS($B$3:$B674,$B674))</f>
        <v/>
      </c>
      <c r="O674" s="14" t="str">
        <f aca="false">IF($B674="","",$B674&amp;"|"&amp;$N674)</f>
        <v/>
      </c>
    </row>
    <row r="675" customFormat="false" ht="15" hidden="false" customHeight="false" outlineLevel="0" collapsed="false">
      <c r="A675" s="12"/>
      <c r="B675" s="9"/>
      <c r="C675" s="9"/>
      <c r="D675" s="9"/>
      <c r="E675" s="9"/>
      <c r="F675" s="9"/>
      <c r="G675" s="9"/>
      <c r="H675" s="7"/>
      <c r="I675" s="13" t="str">
        <f aca="false">IF(OR($G675="",$H675=""),"",ROUND($G675*$H675,0))</f>
        <v/>
      </c>
      <c r="J675" s="8"/>
      <c r="K675" s="13" t="str">
        <f aca="false">IF($B675="","",SUMIFS($I$3:$I$2002,$B$3:$B$2002,$B675))</f>
        <v/>
      </c>
      <c r="L675" s="13" t="str">
        <f aca="false">IF($B675="","",IF(COUNTIFS($B$3:$B675,$B675)&gt;1,0,IFERROR(LOOKUP($K675,배송비규정!$A$3:$A$32,배송비규정!$B$3:$B$32),0)+IFERROR(INDEX(지역추가비!$B$3:$B$42,MATCH($J675,지역추가비!$A$3:$A$42,0)),0)))</f>
        <v/>
      </c>
      <c r="M675" s="13" t="str">
        <f aca="false">IF($B675="","",IF(COUNTIFS($B$3:$B675,$B675)&gt;1,"",$K675+$L675))</f>
        <v/>
      </c>
      <c r="N675" s="14" t="str">
        <f aca="false">IF($B675="","",COUNTIFS($B$3:$B675,$B675))</f>
        <v/>
      </c>
      <c r="O675" s="14" t="str">
        <f aca="false">IF($B675="","",$B675&amp;"|"&amp;$N675)</f>
        <v/>
      </c>
    </row>
    <row r="676" customFormat="false" ht="15" hidden="false" customHeight="false" outlineLevel="0" collapsed="false">
      <c r="A676" s="12"/>
      <c r="B676" s="9"/>
      <c r="C676" s="9"/>
      <c r="D676" s="9"/>
      <c r="E676" s="9"/>
      <c r="F676" s="9"/>
      <c r="G676" s="9"/>
      <c r="H676" s="7"/>
      <c r="I676" s="13" t="str">
        <f aca="false">IF(OR($G676="",$H676=""),"",ROUND($G676*$H676,0))</f>
        <v/>
      </c>
      <c r="J676" s="8"/>
      <c r="K676" s="13" t="str">
        <f aca="false">IF($B676="","",SUMIFS($I$3:$I$2002,$B$3:$B$2002,$B676))</f>
        <v/>
      </c>
      <c r="L676" s="13" t="str">
        <f aca="false">IF($B676="","",IF(COUNTIFS($B$3:$B676,$B676)&gt;1,0,IFERROR(LOOKUP($K676,배송비규정!$A$3:$A$32,배송비규정!$B$3:$B$32),0)+IFERROR(INDEX(지역추가비!$B$3:$B$42,MATCH($J676,지역추가비!$A$3:$A$42,0)),0)))</f>
        <v/>
      </c>
      <c r="M676" s="13" t="str">
        <f aca="false">IF($B676="","",IF(COUNTIFS($B$3:$B676,$B676)&gt;1,"",$K676+$L676))</f>
        <v/>
      </c>
      <c r="N676" s="14" t="str">
        <f aca="false">IF($B676="","",COUNTIFS($B$3:$B676,$B676))</f>
        <v/>
      </c>
      <c r="O676" s="14" t="str">
        <f aca="false">IF($B676="","",$B676&amp;"|"&amp;$N676)</f>
        <v/>
      </c>
    </row>
    <row r="677" customFormat="false" ht="15" hidden="false" customHeight="false" outlineLevel="0" collapsed="false">
      <c r="A677" s="12"/>
      <c r="B677" s="9"/>
      <c r="C677" s="9"/>
      <c r="D677" s="9"/>
      <c r="E677" s="9"/>
      <c r="F677" s="9"/>
      <c r="G677" s="9"/>
      <c r="H677" s="7"/>
      <c r="I677" s="13" t="str">
        <f aca="false">IF(OR($G677="",$H677=""),"",ROUND($G677*$H677,0))</f>
        <v/>
      </c>
      <c r="J677" s="8"/>
      <c r="K677" s="13" t="str">
        <f aca="false">IF($B677="","",SUMIFS($I$3:$I$2002,$B$3:$B$2002,$B677))</f>
        <v/>
      </c>
      <c r="L677" s="13" t="str">
        <f aca="false">IF($B677="","",IF(COUNTIFS($B$3:$B677,$B677)&gt;1,0,IFERROR(LOOKUP($K677,배송비규정!$A$3:$A$32,배송비규정!$B$3:$B$32),0)+IFERROR(INDEX(지역추가비!$B$3:$B$42,MATCH($J677,지역추가비!$A$3:$A$42,0)),0)))</f>
        <v/>
      </c>
      <c r="M677" s="13" t="str">
        <f aca="false">IF($B677="","",IF(COUNTIFS($B$3:$B677,$B677)&gt;1,"",$K677+$L677))</f>
        <v/>
      </c>
      <c r="N677" s="14" t="str">
        <f aca="false">IF($B677="","",COUNTIFS($B$3:$B677,$B677))</f>
        <v/>
      </c>
      <c r="O677" s="14" t="str">
        <f aca="false">IF($B677="","",$B677&amp;"|"&amp;$N677)</f>
        <v/>
      </c>
    </row>
    <row r="678" customFormat="false" ht="15" hidden="false" customHeight="false" outlineLevel="0" collapsed="false">
      <c r="A678" s="12"/>
      <c r="B678" s="9"/>
      <c r="C678" s="9"/>
      <c r="D678" s="9"/>
      <c r="E678" s="9"/>
      <c r="F678" s="9"/>
      <c r="G678" s="9"/>
      <c r="H678" s="7"/>
      <c r="I678" s="13" t="str">
        <f aca="false">IF(OR($G678="",$H678=""),"",ROUND($G678*$H678,0))</f>
        <v/>
      </c>
      <c r="J678" s="8"/>
      <c r="K678" s="13" t="str">
        <f aca="false">IF($B678="","",SUMIFS($I$3:$I$2002,$B$3:$B$2002,$B678))</f>
        <v/>
      </c>
      <c r="L678" s="13" t="str">
        <f aca="false">IF($B678="","",IF(COUNTIFS($B$3:$B678,$B678)&gt;1,0,IFERROR(LOOKUP($K678,배송비규정!$A$3:$A$32,배송비규정!$B$3:$B$32),0)+IFERROR(INDEX(지역추가비!$B$3:$B$42,MATCH($J678,지역추가비!$A$3:$A$42,0)),0)))</f>
        <v/>
      </c>
      <c r="M678" s="13" t="str">
        <f aca="false">IF($B678="","",IF(COUNTIFS($B$3:$B678,$B678)&gt;1,"",$K678+$L678))</f>
        <v/>
      </c>
      <c r="N678" s="14" t="str">
        <f aca="false">IF($B678="","",COUNTIFS($B$3:$B678,$B678))</f>
        <v/>
      </c>
      <c r="O678" s="14" t="str">
        <f aca="false">IF($B678="","",$B678&amp;"|"&amp;$N678)</f>
        <v/>
      </c>
    </row>
    <row r="679" customFormat="false" ht="15" hidden="false" customHeight="false" outlineLevel="0" collapsed="false">
      <c r="A679" s="12"/>
      <c r="B679" s="9"/>
      <c r="C679" s="9"/>
      <c r="D679" s="9"/>
      <c r="E679" s="9"/>
      <c r="F679" s="9"/>
      <c r="G679" s="9"/>
      <c r="H679" s="7"/>
      <c r="I679" s="13" t="str">
        <f aca="false">IF(OR($G679="",$H679=""),"",ROUND($G679*$H679,0))</f>
        <v/>
      </c>
      <c r="J679" s="8"/>
      <c r="K679" s="13" t="str">
        <f aca="false">IF($B679="","",SUMIFS($I$3:$I$2002,$B$3:$B$2002,$B679))</f>
        <v/>
      </c>
      <c r="L679" s="13" t="str">
        <f aca="false">IF($B679="","",IF(COUNTIFS($B$3:$B679,$B679)&gt;1,0,IFERROR(LOOKUP($K679,배송비규정!$A$3:$A$32,배송비규정!$B$3:$B$32),0)+IFERROR(INDEX(지역추가비!$B$3:$B$42,MATCH($J679,지역추가비!$A$3:$A$42,0)),0)))</f>
        <v/>
      </c>
      <c r="M679" s="13" t="str">
        <f aca="false">IF($B679="","",IF(COUNTIFS($B$3:$B679,$B679)&gt;1,"",$K679+$L679))</f>
        <v/>
      </c>
      <c r="N679" s="14" t="str">
        <f aca="false">IF($B679="","",COUNTIFS($B$3:$B679,$B679))</f>
        <v/>
      </c>
      <c r="O679" s="14" t="str">
        <f aca="false">IF($B679="","",$B679&amp;"|"&amp;$N679)</f>
        <v/>
      </c>
    </row>
    <row r="680" customFormat="false" ht="15" hidden="false" customHeight="false" outlineLevel="0" collapsed="false">
      <c r="A680" s="12"/>
      <c r="B680" s="9"/>
      <c r="C680" s="9"/>
      <c r="D680" s="9"/>
      <c r="E680" s="9"/>
      <c r="F680" s="9"/>
      <c r="G680" s="9"/>
      <c r="H680" s="7"/>
      <c r="I680" s="13" t="str">
        <f aca="false">IF(OR($G680="",$H680=""),"",ROUND($G680*$H680,0))</f>
        <v/>
      </c>
      <c r="J680" s="8"/>
      <c r="K680" s="13" t="str">
        <f aca="false">IF($B680="","",SUMIFS($I$3:$I$2002,$B$3:$B$2002,$B680))</f>
        <v/>
      </c>
      <c r="L680" s="13" t="str">
        <f aca="false">IF($B680="","",IF(COUNTIFS($B$3:$B680,$B680)&gt;1,0,IFERROR(LOOKUP($K680,배송비규정!$A$3:$A$32,배송비규정!$B$3:$B$32),0)+IFERROR(INDEX(지역추가비!$B$3:$B$42,MATCH($J680,지역추가비!$A$3:$A$42,0)),0)))</f>
        <v/>
      </c>
      <c r="M680" s="13" t="str">
        <f aca="false">IF($B680="","",IF(COUNTIFS($B$3:$B680,$B680)&gt;1,"",$K680+$L680))</f>
        <v/>
      </c>
      <c r="N680" s="14" t="str">
        <f aca="false">IF($B680="","",COUNTIFS($B$3:$B680,$B680))</f>
        <v/>
      </c>
      <c r="O680" s="14" t="str">
        <f aca="false">IF($B680="","",$B680&amp;"|"&amp;$N680)</f>
        <v/>
      </c>
    </row>
    <row r="681" customFormat="false" ht="15" hidden="false" customHeight="false" outlineLevel="0" collapsed="false">
      <c r="A681" s="12"/>
      <c r="B681" s="9"/>
      <c r="C681" s="9"/>
      <c r="D681" s="9"/>
      <c r="E681" s="9"/>
      <c r="F681" s="9"/>
      <c r="G681" s="9"/>
      <c r="H681" s="7"/>
      <c r="I681" s="13" t="str">
        <f aca="false">IF(OR($G681="",$H681=""),"",ROUND($G681*$H681,0))</f>
        <v/>
      </c>
      <c r="J681" s="8"/>
      <c r="K681" s="13" t="str">
        <f aca="false">IF($B681="","",SUMIFS($I$3:$I$2002,$B$3:$B$2002,$B681))</f>
        <v/>
      </c>
      <c r="L681" s="13" t="str">
        <f aca="false">IF($B681="","",IF(COUNTIFS($B$3:$B681,$B681)&gt;1,0,IFERROR(LOOKUP($K681,배송비규정!$A$3:$A$32,배송비규정!$B$3:$B$32),0)+IFERROR(INDEX(지역추가비!$B$3:$B$42,MATCH($J681,지역추가비!$A$3:$A$42,0)),0)))</f>
        <v/>
      </c>
      <c r="M681" s="13" t="str">
        <f aca="false">IF($B681="","",IF(COUNTIFS($B$3:$B681,$B681)&gt;1,"",$K681+$L681))</f>
        <v/>
      </c>
      <c r="N681" s="14" t="str">
        <f aca="false">IF($B681="","",COUNTIFS($B$3:$B681,$B681))</f>
        <v/>
      </c>
      <c r="O681" s="14" t="str">
        <f aca="false">IF($B681="","",$B681&amp;"|"&amp;$N681)</f>
        <v/>
      </c>
    </row>
    <row r="682" customFormat="false" ht="15" hidden="false" customHeight="false" outlineLevel="0" collapsed="false">
      <c r="A682" s="12"/>
      <c r="B682" s="9"/>
      <c r="C682" s="9"/>
      <c r="D682" s="9"/>
      <c r="E682" s="9"/>
      <c r="F682" s="9"/>
      <c r="G682" s="9"/>
      <c r="H682" s="7"/>
      <c r="I682" s="13" t="str">
        <f aca="false">IF(OR($G682="",$H682=""),"",ROUND($G682*$H682,0))</f>
        <v/>
      </c>
      <c r="J682" s="8"/>
      <c r="K682" s="13" t="str">
        <f aca="false">IF($B682="","",SUMIFS($I$3:$I$2002,$B$3:$B$2002,$B682))</f>
        <v/>
      </c>
      <c r="L682" s="13" t="str">
        <f aca="false">IF($B682="","",IF(COUNTIFS($B$3:$B682,$B682)&gt;1,0,IFERROR(LOOKUP($K682,배송비규정!$A$3:$A$32,배송비규정!$B$3:$B$32),0)+IFERROR(INDEX(지역추가비!$B$3:$B$42,MATCH($J682,지역추가비!$A$3:$A$42,0)),0)))</f>
        <v/>
      </c>
      <c r="M682" s="13" t="str">
        <f aca="false">IF($B682="","",IF(COUNTIFS($B$3:$B682,$B682)&gt;1,"",$K682+$L682))</f>
        <v/>
      </c>
      <c r="N682" s="14" t="str">
        <f aca="false">IF($B682="","",COUNTIFS($B$3:$B682,$B682))</f>
        <v/>
      </c>
      <c r="O682" s="14" t="str">
        <f aca="false">IF($B682="","",$B682&amp;"|"&amp;$N682)</f>
        <v/>
      </c>
    </row>
    <row r="683" customFormat="false" ht="15" hidden="false" customHeight="false" outlineLevel="0" collapsed="false">
      <c r="A683" s="12"/>
      <c r="B683" s="9"/>
      <c r="C683" s="9"/>
      <c r="D683" s="9"/>
      <c r="E683" s="9"/>
      <c r="F683" s="9"/>
      <c r="G683" s="9"/>
      <c r="H683" s="7"/>
      <c r="I683" s="13" t="str">
        <f aca="false">IF(OR($G683="",$H683=""),"",ROUND($G683*$H683,0))</f>
        <v/>
      </c>
      <c r="J683" s="8"/>
      <c r="K683" s="13" t="str">
        <f aca="false">IF($B683="","",SUMIFS($I$3:$I$2002,$B$3:$B$2002,$B683))</f>
        <v/>
      </c>
      <c r="L683" s="13" t="str">
        <f aca="false">IF($B683="","",IF(COUNTIFS($B$3:$B683,$B683)&gt;1,0,IFERROR(LOOKUP($K683,배송비규정!$A$3:$A$32,배송비규정!$B$3:$B$32),0)+IFERROR(INDEX(지역추가비!$B$3:$B$42,MATCH($J683,지역추가비!$A$3:$A$42,0)),0)))</f>
        <v/>
      </c>
      <c r="M683" s="13" t="str">
        <f aca="false">IF($B683="","",IF(COUNTIFS($B$3:$B683,$B683)&gt;1,"",$K683+$L683))</f>
        <v/>
      </c>
      <c r="N683" s="14" t="str">
        <f aca="false">IF($B683="","",COUNTIFS($B$3:$B683,$B683))</f>
        <v/>
      </c>
      <c r="O683" s="14" t="str">
        <f aca="false">IF($B683="","",$B683&amp;"|"&amp;$N683)</f>
        <v/>
      </c>
    </row>
    <row r="684" customFormat="false" ht="15" hidden="false" customHeight="false" outlineLevel="0" collapsed="false">
      <c r="A684" s="12"/>
      <c r="B684" s="9"/>
      <c r="C684" s="9"/>
      <c r="D684" s="9"/>
      <c r="E684" s="9"/>
      <c r="F684" s="9"/>
      <c r="G684" s="9"/>
      <c r="H684" s="7"/>
      <c r="I684" s="13" t="str">
        <f aca="false">IF(OR($G684="",$H684=""),"",ROUND($G684*$H684,0))</f>
        <v/>
      </c>
      <c r="J684" s="8"/>
      <c r="K684" s="13" t="str">
        <f aca="false">IF($B684="","",SUMIFS($I$3:$I$2002,$B$3:$B$2002,$B684))</f>
        <v/>
      </c>
      <c r="L684" s="13" t="str">
        <f aca="false">IF($B684="","",IF(COUNTIFS($B$3:$B684,$B684)&gt;1,0,IFERROR(LOOKUP($K684,배송비규정!$A$3:$A$32,배송비규정!$B$3:$B$32),0)+IFERROR(INDEX(지역추가비!$B$3:$B$42,MATCH($J684,지역추가비!$A$3:$A$42,0)),0)))</f>
        <v/>
      </c>
      <c r="M684" s="13" t="str">
        <f aca="false">IF($B684="","",IF(COUNTIFS($B$3:$B684,$B684)&gt;1,"",$K684+$L684))</f>
        <v/>
      </c>
      <c r="N684" s="14" t="str">
        <f aca="false">IF($B684="","",COUNTIFS($B$3:$B684,$B684))</f>
        <v/>
      </c>
      <c r="O684" s="14" t="str">
        <f aca="false">IF($B684="","",$B684&amp;"|"&amp;$N684)</f>
        <v/>
      </c>
    </row>
    <row r="685" customFormat="false" ht="15" hidden="false" customHeight="false" outlineLevel="0" collapsed="false">
      <c r="A685" s="12"/>
      <c r="B685" s="9"/>
      <c r="C685" s="9"/>
      <c r="D685" s="9"/>
      <c r="E685" s="9"/>
      <c r="F685" s="9"/>
      <c r="G685" s="9"/>
      <c r="H685" s="7"/>
      <c r="I685" s="13" t="str">
        <f aca="false">IF(OR($G685="",$H685=""),"",ROUND($G685*$H685,0))</f>
        <v/>
      </c>
      <c r="J685" s="8"/>
      <c r="K685" s="13" t="str">
        <f aca="false">IF($B685="","",SUMIFS($I$3:$I$2002,$B$3:$B$2002,$B685))</f>
        <v/>
      </c>
      <c r="L685" s="13" t="str">
        <f aca="false">IF($B685="","",IF(COUNTIFS($B$3:$B685,$B685)&gt;1,0,IFERROR(LOOKUP($K685,배송비규정!$A$3:$A$32,배송비규정!$B$3:$B$32),0)+IFERROR(INDEX(지역추가비!$B$3:$B$42,MATCH($J685,지역추가비!$A$3:$A$42,0)),0)))</f>
        <v/>
      </c>
      <c r="M685" s="13" t="str">
        <f aca="false">IF($B685="","",IF(COUNTIFS($B$3:$B685,$B685)&gt;1,"",$K685+$L685))</f>
        <v/>
      </c>
      <c r="N685" s="14" t="str">
        <f aca="false">IF($B685="","",COUNTIFS($B$3:$B685,$B685))</f>
        <v/>
      </c>
      <c r="O685" s="14" t="str">
        <f aca="false">IF($B685="","",$B685&amp;"|"&amp;$N685)</f>
        <v/>
      </c>
    </row>
    <row r="686" customFormat="false" ht="15" hidden="false" customHeight="false" outlineLevel="0" collapsed="false">
      <c r="A686" s="12"/>
      <c r="B686" s="9"/>
      <c r="C686" s="9"/>
      <c r="D686" s="9"/>
      <c r="E686" s="9"/>
      <c r="F686" s="9"/>
      <c r="G686" s="9"/>
      <c r="H686" s="7"/>
      <c r="I686" s="13" t="str">
        <f aca="false">IF(OR($G686="",$H686=""),"",ROUND($G686*$H686,0))</f>
        <v/>
      </c>
      <c r="J686" s="8"/>
      <c r="K686" s="13" t="str">
        <f aca="false">IF($B686="","",SUMIFS($I$3:$I$2002,$B$3:$B$2002,$B686))</f>
        <v/>
      </c>
      <c r="L686" s="13" t="str">
        <f aca="false">IF($B686="","",IF(COUNTIFS($B$3:$B686,$B686)&gt;1,0,IFERROR(LOOKUP($K686,배송비규정!$A$3:$A$32,배송비규정!$B$3:$B$32),0)+IFERROR(INDEX(지역추가비!$B$3:$B$42,MATCH($J686,지역추가비!$A$3:$A$42,0)),0)))</f>
        <v/>
      </c>
      <c r="M686" s="13" t="str">
        <f aca="false">IF($B686="","",IF(COUNTIFS($B$3:$B686,$B686)&gt;1,"",$K686+$L686))</f>
        <v/>
      </c>
      <c r="N686" s="14" t="str">
        <f aca="false">IF($B686="","",COUNTIFS($B$3:$B686,$B686))</f>
        <v/>
      </c>
      <c r="O686" s="14" t="str">
        <f aca="false">IF($B686="","",$B686&amp;"|"&amp;$N686)</f>
        <v/>
      </c>
    </row>
    <row r="687" customFormat="false" ht="15" hidden="false" customHeight="false" outlineLevel="0" collapsed="false">
      <c r="A687" s="12"/>
      <c r="B687" s="9"/>
      <c r="C687" s="9"/>
      <c r="D687" s="9"/>
      <c r="E687" s="9"/>
      <c r="F687" s="9"/>
      <c r="G687" s="9"/>
      <c r="H687" s="7"/>
      <c r="I687" s="13" t="str">
        <f aca="false">IF(OR($G687="",$H687=""),"",ROUND($G687*$H687,0))</f>
        <v/>
      </c>
      <c r="J687" s="8"/>
      <c r="K687" s="13" t="str">
        <f aca="false">IF($B687="","",SUMIFS($I$3:$I$2002,$B$3:$B$2002,$B687))</f>
        <v/>
      </c>
      <c r="L687" s="13" t="str">
        <f aca="false">IF($B687="","",IF(COUNTIFS($B$3:$B687,$B687)&gt;1,0,IFERROR(LOOKUP($K687,배송비규정!$A$3:$A$32,배송비규정!$B$3:$B$32),0)+IFERROR(INDEX(지역추가비!$B$3:$B$42,MATCH($J687,지역추가비!$A$3:$A$42,0)),0)))</f>
        <v/>
      </c>
      <c r="M687" s="13" t="str">
        <f aca="false">IF($B687="","",IF(COUNTIFS($B$3:$B687,$B687)&gt;1,"",$K687+$L687))</f>
        <v/>
      </c>
      <c r="N687" s="14" t="str">
        <f aca="false">IF($B687="","",COUNTIFS($B$3:$B687,$B687))</f>
        <v/>
      </c>
      <c r="O687" s="14" t="str">
        <f aca="false">IF($B687="","",$B687&amp;"|"&amp;$N687)</f>
        <v/>
      </c>
    </row>
    <row r="688" customFormat="false" ht="15" hidden="false" customHeight="false" outlineLevel="0" collapsed="false">
      <c r="A688" s="12"/>
      <c r="B688" s="9"/>
      <c r="C688" s="9"/>
      <c r="D688" s="9"/>
      <c r="E688" s="9"/>
      <c r="F688" s="9"/>
      <c r="G688" s="9"/>
      <c r="H688" s="7"/>
      <c r="I688" s="13" t="str">
        <f aca="false">IF(OR($G688="",$H688=""),"",ROUND($G688*$H688,0))</f>
        <v/>
      </c>
      <c r="J688" s="8"/>
      <c r="K688" s="13" t="str">
        <f aca="false">IF($B688="","",SUMIFS($I$3:$I$2002,$B$3:$B$2002,$B688))</f>
        <v/>
      </c>
      <c r="L688" s="13" t="str">
        <f aca="false">IF($B688="","",IF(COUNTIFS($B$3:$B688,$B688)&gt;1,0,IFERROR(LOOKUP($K688,배송비규정!$A$3:$A$32,배송비규정!$B$3:$B$32),0)+IFERROR(INDEX(지역추가비!$B$3:$B$42,MATCH($J688,지역추가비!$A$3:$A$42,0)),0)))</f>
        <v/>
      </c>
      <c r="M688" s="13" t="str">
        <f aca="false">IF($B688="","",IF(COUNTIFS($B$3:$B688,$B688)&gt;1,"",$K688+$L688))</f>
        <v/>
      </c>
      <c r="N688" s="14" t="str">
        <f aca="false">IF($B688="","",COUNTIFS($B$3:$B688,$B688))</f>
        <v/>
      </c>
      <c r="O688" s="14" t="str">
        <f aca="false">IF($B688="","",$B688&amp;"|"&amp;$N688)</f>
        <v/>
      </c>
    </row>
    <row r="689" customFormat="false" ht="15" hidden="false" customHeight="false" outlineLevel="0" collapsed="false">
      <c r="A689" s="12"/>
      <c r="B689" s="9"/>
      <c r="C689" s="9"/>
      <c r="D689" s="9"/>
      <c r="E689" s="9"/>
      <c r="F689" s="9"/>
      <c r="G689" s="9"/>
      <c r="H689" s="7"/>
      <c r="I689" s="13" t="str">
        <f aca="false">IF(OR($G689="",$H689=""),"",ROUND($G689*$H689,0))</f>
        <v/>
      </c>
      <c r="J689" s="8"/>
      <c r="K689" s="13" t="str">
        <f aca="false">IF($B689="","",SUMIFS($I$3:$I$2002,$B$3:$B$2002,$B689))</f>
        <v/>
      </c>
      <c r="L689" s="13" t="str">
        <f aca="false">IF($B689="","",IF(COUNTIFS($B$3:$B689,$B689)&gt;1,0,IFERROR(LOOKUP($K689,배송비규정!$A$3:$A$32,배송비규정!$B$3:$B$32),0)+IFERROR(INDEX(지역추가비!$B$3:$B$42,MATCH($J689,지역추가비!$A$3:$A$42,0)),0)))</f>
        <v/>
      </c>
      <c r="M689" s="13" t="str">
        <f aca="false">IF($B689="","",IF(COUNTIFS($B$3:$B689,$B689)&gt;1,"",$K689+$L689))</f>
        <v/>
      </c>
      <c r="N689" s="14" t="str">
        <f aca="false">IF($B689="","",COUNTIFS($B$3:$B689,$B689))</f>
        <v/>
      </c>
      <c r="O689" s="14" t="str">
        <f aca="false">IF($B689="","",$B689&amp;"|"&amp;$N689)</f>
        <v/>
      </c>
    </row>
    <row r="690" customFormat="false" ht="15" hidden="false" customHeight="false" outlineLevel="0" collapsed="false">
      <c r="A690" s="12"/>
      <c r="B690" s="9"/>
      <c r="C690" s="9"/>
      <c r="D690" s="9"/>
      <c r="E690" s="9"/>
      <c r="F690" s="9"/>
      <c r="G690" s="9"/>
      <c r="H690" s="7"/>
      <c r="I690" s="13" t="str">
        <f aca="false">IF(OR($G690="",$H690=""),"",ROUND($G690*$H690,0))</f>
        <v/>
      </c>
      <c r="J690" s="8"/>
      <c r="K690" s="13" t="str">
        <f aca="false">IF($B690="","",SUMIFS($I$3:$I$2002,$B$3:$B$2002,$B690))</f>
        <v/>
      </c>
      <c r="L690" s="13" t="str">
        <f aca="false">IF($B690="","",IF(COUNTIFS($B$3:$B690,$B690)&gt;1,0,IFERROR(LOOKUP($K690,배송비규정!$A$3:$A$32,배송비규정!$B$3:$B$32),0)+IFERROR(INDEX(지역추가비!$B$3:$B$42,MATCH($J690,지역추가비!$A$3:$A$42,0)),0)))</f>
        <v/>
      </c>
      <c r="M690" s="13" t="str">
        <f aca="false">IF($B690="","",IF(COUNTIFS($B$3:$B690,$B690)&gt;1,"",$K690+$L690))</f>
        <v/>
      </c>
      <c r="N690" s="14" t="str">
        <f aca="false">IF($B690="","",COUNTIFS($B$3:$B690,$B690))</f>
        <v/>
      </c>
      <c r="O690" s="14" t="str">
        <f aca="false">IF($B690="","",$B690&amp;"|"&amp;$N690)</f>
        <v/>
      </c>
    </row>
    <row r="691" customFormat="false" ht="15" hidden="false" customHeight="false" outlineLevel="0" collapsed="false">
      <c r="A691" s="12"/>
      <c r="B691" s="9"/>
      <c r="C691" s="9"/>
      <c r="D691" s="9"/>
      <c r="E691" s="9"/>
      <c r="F691" s="9"/>
      <c r="G691" s="9"/>
      <c r="H691" s="7"/>
      <c r="I691" s="13" t="str">
        <f aca="false">IF(OR($G691="",$H691=""),"",ROUND($G691*$H691,0))</f>
        <v/>
      </c>
      <c r="J691" s="8"/>
      <c r="K691" s="13" t="str">
        <f aca="false">IF($B691="","",SUMIFS($I$3:$I$2002,$B$3:$B$2002,$B691))</f>
        <v/>
      </c>
      <c r="L691" s="13" t="str">
        <f aca="false">IF($B691="","",IF(COUNTIFS($B$3:$B691,$B691)&gt;1,0,IFERROR(LOOKUP($K691,배송비규정!$A$3:$A$32,배송비규정!$B$3:$B$32),0)+IFERROR(INDEX(지역추가비!$B$3:$B$42,MATCH($J691,지역추가비!$A$3:$A$42,0)),0)))</f>
        <v/>
      </c>
      <c r="M691" s="13" t="str">
        <f aca="false">IF($B691="","",IF(COUNTIFS($B$3:$B691,$B691)&gt;1,"",$K691+$L691))</f>
        <v/>
      </c>
      <c r="N691" s="14" t="str">
        <f aca="false">IF($B691="","",COUNTIFS($B$3:$B691,$B691))</f>
        <v/>
      </c>
      <c r="O691" s="14" t="str">
        <f aca="false">IF($B691="","",$B691&amp;"|"&amp;$N691)</f>
        <v/>
      </c>
    </row>
    <row r="692" customFormat="false" ht="15" hidden="false" customHeight="false" outlineLevel="0" collapsed="false">
      <c r="A692" s="12"/>
      <c r="B692" s="9"/>
      <c r="C692" s="9"/>
      <c r="D692" s="9"/>
      <c r="E692" s="9"/>
      <c r="F692" s="9"/>
      <c r="G692" s="9"/>
      <c r="H692" s="7"/>
      <c r="I692" s="13" t="str">
        <f aca="false">IF(OR($G692="",$H692=""),"",ROUND($G692*$H692,0))</f>
        <v/>
      </c>
      <c r="J692" s="8"/>
      <c r="K692" s="13" t="str">
        <f aca="false">IF($B692="","",SUMIFS($I$3:$I$2002,$B$3:$B$2002,$B692))</f>
        <v/>
      </c>
      <c r="L692" s="13" t="str">
        <f aca="false">IF($B692="","",IF(COUNTIFS($B$3:$B692,$B692)&gt;1,0,IFERROR(LOOKUP($K692,배송비규정!$A$3:$A$32,배송비규정!$B$3:$B$32),0)+IFERROR(INDEX(지역추가비!$B$3:$B$42,MATCH($J692,지역추가비!$A$3:$A$42,0)),0)))</f>
        <v/>
      </c>
      <c r="M692" s="13" t="str">
        <f aca="false">IF($B692="","",IF(COUNTIFS($B$3:$B692,$B692)&gt;1,"",$K692+$L692))</f>
        <v/>
      </c>
      <c r="N692" s="14" t="str">
        <f aca="false">IF($B692="","",COUNTIFS($B$3:$B692,$B692))</f>
        <v/>
      </c>
      <c r="O692" s="14" t="str">
        <f aca="false">IF($B692="","",$B692&amp;"|"&amp;$N692)</f>
        <v/>
      </c>
    </row>
    <row r="693" customFormat="false" ht="15" hidden="false" customHeight="false" outlineLevel="0" collapsed="false">
      <c r="A693" s="12"/>
      <c r="B693" s="9"/>
      <c r="C693" s="9"/>
      <c r="D693" s="9"/>
      <c r="E693" s="9"/>
      <c r="F693" s="9"/>
      <c r="G693" s="9"/>
      <c r="H693" s="7"/>
      <c r="I693" s="13" t="str">
        <f aca="false">IF(OR($G693="",$H693=""),"",ROUND($G693*$H693,0))</f>
        <v/>
      </c>
      <c r="J693" s="8"/>
      <c r="K693" s="13" t="str">
        <f aca="false">IF($B693="","",SUMIFS($I$3:$I$2002,$B$3:$B$2002,$B693))</f>
        <v/>
      </c>
      <c r="L693" s="13" t="str">
        <f aca="false">IF($B693="","",IF(COUNTIFS($B$3:$B693,$B693)&gt;1,0,IFERROR(LOOKUP($K693,배송비규정!$A$3:$A$32,배송비규정!$B$3:$B$32),0)+IFERROR(INDEX(지역추가비!$B$3:$B$42,MATCH($J693,지역추가비!$A$3:$A$42,0)),0)))</f>
        <v/>
      </c>
      <c r="M693" s="13" t="str">
        <f aca="false">IF($B693="","",IF(COUNTIFS($B$3:$B693,$B693)&gt;1,"",$K693+$L693))</f>
        <v/>
      </c>
      <c r="N693" s="14" t="str">
        <f aca="false">IF($B693="","",COUNTIFS($B$3:$B693,$B693))</f>
        <v/>
      </c>
      <c r="O693" s="14" t="str">
        <f aca="false">IF($B693="","",$B693&amp;"|"&amp;$N693)</f>
        <v/>
      </c>
    </row>
    <row r="694" customFormat="false" ht="15" hidden="false" customHeight="false" outlineLevel="0" collapsed="false">
      <c r="A694" s="12"/>
      <c r="B694" s="9"/>
      <c r="C694" s="9"/>
      <c r="D694" s="9"/>
      <c r="E694" s="9"/>
      <c r="F694" s="9"/>
      <c r="G694" s="9"/>
      <c r="H694" s="7"/>
      <c r="I694" s="13" t="str">
        <f aca="false">IF(OR($G694="",$H694=""),"",ROUND($G694*$H694,0))</f>
        <v/>
      </c>
      <c r="J694" s="8"/>
      <c r="K694" s="13" t="str">
        <f aca="false">IF($B694="","",SUMIFS($I$3:$I$2002,$B$3:$B$2002,$B694))</f>
        <v/>
      </c>
      <c r="L694" s="13" t="str">
        <f aca="false">IF($B694="","",IF(COUNTIFS($B$3:$B694,$B694)&gt;1,0,IFERROR(LOOKUP($K694,배송비규정!$A$3:$A$32,배송비규정!$B$3:$B$32),0)+IFERROR(INDEX(지역추가비!$B$3:$B$42,MATCH($J694,지역추가비!$A$3:$A$42,0)),0)))</f>
        <v/>
      </c>
      <c r="M694" s="13" t="str">
        <f aca="false">IF($B694="","",IF(COUNTIFS($B$3:$B694,$B694)&gt;1,"",$K694+$L694))</f>
        <v/>
      </c>
      <c r="N694" s="14" t="str">
        <f aca="false">IF($B694="","",COUNTIFS($B$3:$B694,$B694))</f>
        <v/>
      </c>
      <c r="O694" s="14" t="str">
        <f aca="false">IF($B694="","",$B694&amp;"|"&amp;$N694)</f>
        <v/>
      </c>
    </row>
    <row r="695" customFormat="false" ht="15" hidden="false" customHeight="false" outlineLevel="0" collapsed="false">
      <c r="A695" s="12"/>
      <c r="B695" s="9"/>
      <c r="C695" s="9"/>
      <c r="D695" s="9"/>
      <c r="E695" s="9"/>
      <c r="F695" s="9"/>
      <c r="G695" s="9"/>
      <c r="H695" s="7"/>
      <c r="I695" s="13" t="str">
        <f aca="false">IF(OR($G695="",$H695=""),"",ROUND($G695*$H695,0))</f>
        <v/>
      </c>
      <c r="J695" s="8"/>
      <c r="K695" s="13" t="str">
        <f aca="false">IF($B695="","",SUMIFS($I$3:$I$2002,$B$3:$B$2002,$B695))</f>
        <v/>
      </c>
      <c r="L695" s="13" t="str">
        <f aca="false">IF($B695="","",IF(COUNTIFS($B$3:$B695,$B695)&gt;1,0,IFERROR(LOOKUP($K695,배송비규정!$A$3:$A$32,배송비규정!$B$3:$B$32),0)+IFERROR(INDEX(지역추가비!$B$3:$B$42,MATCH($J695,지역추가비!$A$3:$A$42,0)),0)))</f>
        <v/>
      </c>
      <c r="M695" s="13" t="str">
        <f aca="false">IF($B695="","",IF(COUNTIFS($B$3:$B695,$B695)&gt;1,"",$K695+$L695))</f>
        <v/>
      </c>
      <c r="N695" s="14" t="str">
        <f aca="false">IF($B695="","",COUNTIFS($B$3:$B695,$B695))</f>
        <v/>
      </c>
      <c r="O695" s="14" t="str">
        <f aca="false">IF($B695="","",$B695&amp;"|"&amp;$N695)</f>
        <v/>
      </c>
    </row>
    <row r="696" customFormat="false" ht="15" hidden="false" customHeight="false" outlineLevel="0" collapsed="false">
      <c r="A696" s="12"/>
      <c r="B696" s="9"/>
      <c r="C696" s="9"/>
      <c r="D696" s="9"/>
      <c r="E696" s="9"/>
      <c r="F696" s="9"/>
      <c r="G696" s="9"/>
      <c r="H696" s="7"/>
      <c r="I696" s="13" t="str">
        <f aca="false">IF(OR($G696="",$H696=""),"",ROUND($G696*$H696,0))</f>
        <v/>
      </c>
      <c r="J696" s="8"/>
      <c r="K696" s="13" t="str">
        <f aca="false">IF($B696="","",SUMIFS($I$3:$I$2002,$B$3:$B$2002,$B696))</f>
        <v/>
      </c>
      <c r="L696" s="13" t="str">
        <f aca="false">IF($B696="","",IF(COUNTIFS($B$3:$B696,$B696)&gt;1,0,IFERROR(LOOKUP($K696,배송비규정!$A$3:$A$32,배송비규정!$B$3:$B$32),0)+IFERROR(INDEX(지역추가비!$B$3:$B$42,MATCH($J696,지역추가비!$A$3:$A$42,0)),0)))</f>
        <v/>
      </c>
      <c r="M696" s="13" t="str">
        <f aca="false">IF($B696="","",IF(COUNTIFS($B$3:$B696,$B696)&gt;1,"",$K696+$L696))</f>
        <v/>
      </c>
      <c r="N696" s="14" t="str">
        <f aca="false">IF($B696="","",COUNTIFS($B$3:$B696,$B696))</f>
        <v/>
      </c>
      <c r="O696" s="14" t="str">
        <f aca="false">IF($B696="","",$B696&amp;"|"&amp;$N696)</f>
        <v/>
      </c>
    </row>
    <row r="697" customFormat="false" ht="15" hidden="false" customHeight="false" outlineLevel="0" collapsed="false">
      <c r="A697" s="12"/>
      <c r="B697" s="9"/>
      <c r="C697" s="9"/>
      <c r="D697" s="9"/>
      <c r="E697" s="9"/>
      <c r="F697" s="9"/>
      <c r="G697" s="9"/>
      <c r="H697" s="7"/>
      <c r="I697" s="13" t="str">
        <f aca="false">IF(OR($G697="",$H697=""),"",ROUND($G697*$H697,0))</f>
        <v/>
      </c>
      <c r="J697" s="8"/>
      <c r="K697" s="13" t="str">
        <f aca="false">IF($B697="","",SUMIFS($I$3:$I$2002,$B$3:$B$2002,$B697))</f>
        <v/>
      </c>
      <c r="L697" s="13" t="str">
        <f aca="false">IF($B697="","",IF(COUNTIFS($B$3:$B697,$B697)&gt;1,0,IFERROR(LOOKUP($K697,배송비규정!$A$3:$A$32,배송비규정!$B$3:$B$32),0)+IFERROR(INDEX(지역추가비!$B$3:$B$42,MATCH($J697,지역추가비!$A$3:$A$42,0)),0)))</f>
        <v/>
      </c>
      <c r="M697" s="13" t="str">
        <f aca="false">IF($B697="","",IF(COUNTIFS($B$3:$B697,$B697)&gt;1,"",$K697+$L697))</f>
        <v/>
      </c>
      <c r="N697" s="14" t="str">
        <f aca="false">IF($B697="","",COUNTIFS($B$3:$B697,$B697))</f>
        <v/>
      </c>
      <c r="O697" s="14" t="str">
        <f aca="false">IF($B697="","",$B697&amp;"|"&amp;$N697)</f>
        <v/>
      </c>
    </row>
    <row r="698" customFormat="false" ht="15" hidden="false" customHeight="false" outlineLevel="0" collapsed="false">
      <c r="A698" s="12"/>
      <c r="B698" s="9"/>
      <c r="C698" s="9"/>
      <c r="D698" s="9"/>
      <c r="E698" s="9"/>
      <c r="F698" s="9"/>
      <c r="G698" s="9"/>
      <c r="H698" s="7"/>
      <c r="I698" s="13" t="str">
        <f aca="false">IF(OR($G698="",$H698=""),"",ROUND($G698*$H698,0))</f>
        <v/>
      </c>
      <c r="J698" s="8"/>
      <c r="K698" s="13" t="str">
        <f aca="false">IF($B698="","",SUMIFS($I$3:$I$2002,$B$3:$B$2002,$B698))</f>
        <v/>
      </c>
      <c r="L698" s="13" t="str">
        <f aca="false">IF($B698="","",IF(COUNTIFS($B$3:$B698,$B698)&gt;1,0,IFERROR(LOOKUP($K698,배송비규정!$A$3:$A$32,배송비규정!$B$3:$B$32),0)+IFERROR(INDEX(지역추가비!$B$3:$B$42,MATCH($J698,지역추가비!$A$3:$A$42,0)),0)))</f>
        <v/>
      </c>
      <c r="M698" s="13" t="str">
        <f aca="false">IF($B698="","",IF(COUNTIFS($B$3:$B698,$B698)&gt;1,"",$K698+$L698))</f>
        <v/>
      </c>
      <c r="N698" s="14" t="str">
        <f aca="false">IF($B698="","",COUNTIFS($B$3:$B698,$B698))</f>
        <v/>
      </c>
      <c r="O698" s="14" t="str">
        <f aca="false">IF($B698="","",$B698&amp;"|"&amp;$N698)</f>
        <v/>
      </c>
    </row>
    <row r="699" customFormat="false" ht="15" hidden="false" customHeight="false" outlineLevel="0" collapsed="false">
      <c r="A699" s="12"/>
      <c r="B699" s="9"/>
      <c r="C699" s="9"/>
      <c r="D699" s="9"/>
      <c r="E699" s="9"/>
      <c r="F699" s="9"/>
      <c r="G699" s="9"/>
      <c r="H699" s="7"/>
      <c r="I699" s="13" t="str">
        <f aca="false">IF(OR($G699="",$H699=""),"",ROUND($G699*$H699,0))</f>
        <v/>
      </c>
      <c r="J699" s="8"/>
      <c r="K699" s="13" t="str">
        <f aca="false">IF($B699="","",SUMIFS($I$3:$I$2002,$B$3:$B$2002,$B699))</f>
        <v/>
      </c>
      <c r="L699" s="13" t="str">
        <f aca="false">IF($B699="","",IF(COUNTIFS($B$3:$B699,$B699)&gt;1,0,IFERROR(LOOKUP($K699,배송비규정!$A$3:$A$32,배송비규정!$B$3:$B$32),0)+IFERROR(INDEX(지역추가비!$B$3:$B$42,MATCH($J699,지역추가비!$A$3:$A$42,0)),0)))</f>
        <v/>
      </c>
      <c r="M699" s="13" t="str">
        <f aca="false">IF($B699="","",IF(COUNTIFS($B$3:$B699,$B699)&gt;1,"",$K699+$L699))</f>
        <v/>
      </c>
      <c r="N699" s="14" t="str">
        <f aca="false">IF($B699="","",COUNTIFS($B$3:$B699,$B699))</f>
        <v/>
      </c>
      <c r="O699" s="14" t="str">
        <f aca="false">IF($B699="","",$B699&amp;"|"&amp;$N699)</f>
        <v/>
      </c>
    </row>
    <row r="700" customFormat="false" ht="15" hidden="false" customHeight="false" outlineLevel="0" collapsed="false">
      <c r="A700" s="12"/>
      <c r="B700" s="9"/>
      <c r="C700" s="9"/>
      <c r="D700" s="9"/>
      <c r="E700" s="9"/>
      <c r="F700" s="9"/>
      <c r="G700" s="9"/>
      <c r="H700" s="7"/>
      <c r="I700" s="13" t="str">
        <f aca="false">IF(OR($G700="",$H700=""),"",ROUND($G700*$H700,0))</f>
        <v/>
      </c>
      <c r="J700" s="8"/>
      <c r="K700" s="13" t="str">
        <f aca="false">IF($B700="","",SUMIFS($I$3:$I$2002,$B$3:$B$2002,$B700))</f>
        <v/>
      </c>
      <c r="L700" s="13" t="str">
        <f aca="false">IF($B700="","",IF(COUNTIFS($B$3:$B700,$B700)&gt;1,0,IFERROR(LOOKUP($K700,배송비규정!$A$3:$A$32,배송비규정!$B$3:$B$32),0)+IFERROR(INDEX(지역추가비!$B$3:$B$42,MATCH($J700,지역추가비!$A$3:$A$42,0)),0)))</f>
        <v/>
      </c>
      <c r="M700" s="13" t="str">
        <f aca="false">IF($B700="","",IF(COUNTIFS($B$3:$B700,$B700)&gt;1,"",$K700+$L700))</f>
        <v/>
      </c>
      <c r="N700" s="14" t="str">
        <f aca="false">IF($B700="","",COUNTIFS($B$3:$B700,$B700))</f>
        <v/>
      </c>
      <c r="O700" s="14" t="str">
        <f aca="false">IF($B700="","",$B700&amp;"|"&amp;$N700)</f>
        <v/>
      </c>
    </row>
    <row r="701" customFormat="false" ht="15" hidden="false" customHeight="false" outlineLevel="0" collapsed="false">
      <c r="A701" s="12"/>
      <c r="B701" s="9"/>
      <c r="C701" s="9"/>
      <c r="D701" s="9"/>
      <c r="E701" s="9"/>
      <c r="F701" s="9"/>
      <c r="G701" s="9"/>
      <c r="H701" s="7"/>
      <c r="I701" s="13" t="str">
        <f aca="false">IF(OR($G701="",$H701=""),"",ROUND($G701*$H701,0))</f>
        <v/>
      </c>
      <c r="J701" s="8"/>
      <c r="K701" s="13" t="str">
        <f aca="false">IF($B701="","",SUMIFS($I$3:$I$2002,$B$3:$B$2002,$B701))</f>
        <v/>
      </c>
      <c r="L701" s="13" t="str">
        <f aca="false">IF($B701="","",IF(COUNTIFS($B$3:$B701,$B701)&gt;1,0,IFERROR(LOOKUP($K701,배송비규정!$A$3:$A$32,배송비규정!$B$3:$B$32),0)+IFERROR(INDEX(지역추가비!$B$3:$B$42,MATCH($J701,지역추가비!$A$3:$A$42,0)),0)))</f>
        <v/>
      </c>
      <c r="M701" s="13" t="str">
        <f aca="false">IF($B701="","",IF(COUNTIFS($B$3:$B701,$B701)&gt;1,"",$K701+$L701))</f>
        <v/>
      </c>
      <c r="N701" s="14" t="str">
        <f aca="false">IF($B701="","",COUNTIFS($B$3:$B701,$B701))</f>
        <v/>
      </c>
      <c r="O701" s="14" t="str">
        <f aca="false">IF($B701="","",$B701&amp;"|"&amp;$N701)</f>
        <v/>
      </c>
    </row>
    <row r="702" customFormat="false" ht="15" hidden="false" customHeight="false" outlineLevel="0" collapsed="false">
      <c r="A702" s="12"/>
      <c r="B702" s="9"/>
      <c r="C702" s="9"/>
      <c r="D702" s="9"/>
      <c r="E702" s="9"/>
      <c r="F702" s="9"/>
      <c r="G702" s="9"/>
      <c r="H702" s="7"/>
      <c r="I702" s="13" t="str">
        <f aca="false">IF(OR($G702="",$H702=""),"",ROUND($G702*$H702,0))</f>
        <v/>
      </c>
      <c r="J702" s="8"/>
      <c r="K702" s="13" t="str">
        <f aca="false">IF($B702="","",SUMIFS($I$3:$I$2002,$B$3:$B$2002,$B702))</f>
        <v/>
      </c>
      <c r="L702" s="13" t="str">
        <f aca="false">IF($B702="","",IF(COUNTIFS($B$3:$B702,$B702)&gt;1,0,IFERROR(LOOKUP($K702,배송비규정!$A$3:$A$32,배송비규정!$B$3:$B$32),0)+IFERROR(INDEX(지역추가비!$B$3:$B$42,MATCH($J702,지역추가비!$A$3:$A$42,0)),0)))</f>
        <v/>
      </c>
      <c r="M702" s="13" t="str">
        <f aca="false">IF($B702="","",IF(COUNTIFS($B$3:$B702,$B702)&gt;1,"",$K702+$L702))</f>
        <v/>
      </c>
      <c r="N702" s="14" t="str">
        <f aca="false">IF($B702="","",COUNTIFS($B$3:$B702,$B702))</f>
        <v/>
      </c>
      <c r="O702" s="14" t="str">
        <f aca="false">IF($B702="","",$B702&amp;"|"&amp;$N702)</f>
        <v/>
      </c>
    </row>
    <row r="703" customFormat="false" ht="15" hidden="false" customHeight="false" outlineLevel="0" collapsed="false">
      <c r="A703" s="12"/>
      <c r="B703" s="9"/>
      <c r="C703" s="9"/>
      <c r="D703" s="9"/>
      <c r="E703" s="9"/>
      <c r="F703" s="9"/>
      <c r="G703" s="9"/>
      <c r="H703" s="7"/>
      <c r="I703" s="13" t="str">
        <f aca="false">IF(OR($G703="",$H703=""),"",ROUND($G703*$H703,0))</f>
        <v/>
      </c>
      <c r="J703" s="8"/>
      <c r="K703" s="13" t="str">
        <f aca="false">IF($B703="","",SUMIFS($I$3:$I$2002,$B$3:$B$2002,$B703))</f>
        <v/>
      </c>
      <c r="L703" s="13" t="str">
        <f aca="false">IF($B703="","",IF(COUNTIFS($B$3:$B703,$B703)&gt;1,0,IFERROR(LOOKUP($K703,배송비규정!$A$3:$A$32,배송비규정!$B$3:$B$32),0)+IFERROR(INDEX(지역추가비!$B$3:$B$42,MATCH($J703,지역추가비!$A$3:$A$42,0)),0)))</f>
        <v/>
      </c>
      <c r="M703" s="13" t="str">
        <f aca="false">IF($B703="","",IF(COUNTIFS($B$3:$B703,$B703)&gt;1,"",$K703+$L703))</f>
        <v/>
      </c>
      <c r="N703" s="14" t="str">
        <f aca="false">IF($B703="","",COUNTIFS($B$3:$B703,$B703))</f>
        <v/>
      </c>
      <c r="O703" s="14" t="str">
        <f aca="false">IF($B703="","",$B703&amp;"|"&amp;$N703)</f>
        <v/>
      </c>
    </row>
    <row r="704" customFormat="false" ht="15" hidden="false" customHeight="false" outlineLevel="0" collapsed="false">
      <c r="A704" s="12"/>
      <c r="B704" s="9"/>
      <c r="C704" s="9"/>
      <c r="D704" s="9"/>
      <c r="E704" s="9"/>
      <c r="F704" s="9"/>
      <c r="G704" s="9"/>
      <c r="H704" s="7"/>
      <c r="I704" s="13" t="str">
        <f aca="false">IF(OR($G704="",$H704=""),"",ROUND($G704*$H704,0))</f>
        <v/>
      </c>
      <c r="J704" s="8"/>
      <c r="K704" s="13" t="str">
        <f aca="false">IF($B704="","",SUMIFS($I$3:$I$2002,$B$3:$B$2002,$B704))</f>
        <v/>
      </c>
      <c r="L704" s="13" t="str">
        <f aca="false">IF($B704="","",IF(COUNTIFS($B$3:$B704,$B704)&gt;1,0,IFERROR(LOOKUP($K704,배송비규정!$A$3:$A$32,배송비규정!$B$3:$B$32),0)+IFERROR(INDEX(지역추가비!$B$3:$B$42,MATCH($J704,지역추가비!$A$3:$A$42,0)),0)))</f>
        <v/>
      </c>
      <c r="M704" s="13" t="str">
        <f aca="false">IF($B704="","",IF(COUNTIFS($B$3:$B704,$B704)&gt;1,"",$K704+$L704))</f>
        <v/>
      </c>
      <c r="N704" s="14" t="str">
        <f aca="false">IF($B704="","",COUNTIFS($B$3:$B704,$B704))</f>
        <v/>
      </c>
      <c r="O704" s="14" t="str">
        <f aca="false">IF($B704="","",$B704&amp;"|"&amp;$N704)</f>
        <v/>
      </c>
    </row>
    <row r="705" customFormat="false" ht="15" hidden="false" customHeight="false" outlineLevel="0" collapsed="false">
      <c r="A705" s="12"/>
      <c r="B705" s="9"/>
      <c r="C705" s="9"/>
      <c r="D705" s="9"/>
      <c r="E705" s="9"/>
      <c r="F705" s="9"/>
      <c r="G705" s="9"/>
      <c r="H705" s="7"/>
      <c r="I705" s="13" t="str">
        <f aca="false">IF(OR($G705="",$H705=""),"",ROUND($G705*$H705,0))</f>
        <v/>
      </c>
      <c r="J705" s="8"/>
      <c r="K705" s="13" t="str">
        <f aca="false">IF($B705="","",SUMIFS($I$3:$I$2002,$B$3:$B$2002,$B705))</f>
        <v/>
      </c>
      <c r="L705" s="13" t="str">
        <f aca="false">IF($B705="","",IF(COUNTIFS($B$3:$B705,$B705)&gt;1,0,IFERROR(LOOKUP($K705,배송비규정!$A$3:$A$32,배송비규정!$B$3:$B$32),0)+IFERROR(INDEX(지역추가비!$B$3:$B$42,MATCH($J705,지역추가비!$A$3:$A$42,0)),0)))</f>
        <v/>
      </c>
      <c r="M705" s="13" t="str">
        <f aca="false">IF($B705="","",IF(COUNTIFS($B$3:$B705,$B705)&gt;1,"",$K705+$L705))</f>
        <v/>
      </c>
      <c r="N705" s="14" t="str">
        <f aca="false">IF($B705="","",COUNTIFS($B$3:$B705,$B705))</f>
        <v/>
      </c>
      <c r="O705" s="14" t="str">
        <f aca="false">IF($B705="","",$B705&amp;"|"&amp;$N705)</f>
        <v/>
      </c>
    </row>
    <row r="706" customFormat="false" ht="15" hidden="false" customHeight="false" outlineLevel="0" collapsed="false">
      <c r="A706" s="12"/>
      <c r="B706" s="9"/>
      <c r="C706" s="9"/>
      <c r="D706" s="9"/>
      <c r="E706" s="9"/>
      <c r="F706" s="9"/>
      <c r="G706" s="9"/>
      <c r="H706" s="7"/>
      <c r="I706" s="13" t="str">
        <f aca="false">IF(OR($G706="",$H706=""),"",ROUND($G706*$H706,0))</f>
        <v/>
      </c>
      <c r="J706" s="8"/>
      <c r="K706" s="13" t="str">
        <f aca="false">IF($B706="","",SUMIFS($I$3:$I$2002,$B$3:$B$2002,$B706))</f>
        <v/>
      </c>
      <c r="L706" s="13" t="str">
        <f aca="false">IF($B706="","",IF(COUNTIFS($B$3:$B706,$B706)&gt;1,0,IFERROR(LOOKUP($K706,배송비규정!$A$3:$A$32,배송비규정!$B$3:$B$32),0)+IFERROR(INDEX(지역추가비!$B$3:$B$42,MATCH($J706,지역추가비!$A$3:$A$42,0)),0)))</f>
        <v/>
      </c>
      <c r="M706" s="13" t="str">
        <f aca="false">IF($B706="","",IF(COUNTIFS($B$3:$B706,$B706)&gt;1,"",$K706+$L706))</f>
        <v/>
      </c>
      <c r="N706" s="14" t="str">
        <f aca="false">IF($B706="","",COUNTIFS($B$3:$B706,$B706))</f>
        <v/>
      </c>
      <c r="O706" s="14" t="str">
        <f aca="false">IF($B706="","",$B706&amp;"|"&amp;$N706)</f>
        <v/>
      </c>
    </row>
    <row r="707" customFormat="false" ht="15" hidden="false" customHeight="false" outlineLevel="0" collapsed="false">
      <c r="A707" s="12"/>
      <c r="B707" s="9"/>
      <c r="C707" s="9"/>
      <c r="D707" s="9"/>
      <c r="E707" s="9"/>
      <c r="F707" s="9"/>
      <c r="G707" s="9"/>
      <c r="H707" s="7"/>
      <c r="I707" s="13" t="str">
        <f aca="false">IF(OR($G707="",$H707=""),"",ROUND($G707*$H707,0))</f>
        <v/>
      </c>
      <c r="J707" s="8"/>
      <c r="K707" s="13" t="str">
        <f aca="false">IF($B707="","",SUMIFS($I$3:$I$2002,$B$3:$B$2002,$B707))</f>
        <v/>
      </c>
      <c r="L707" s="13" t="str">
        <f aca="false">IF($B707="","",IF(COUNTIFS($B$3:$B707,$B707)&gt;1,0,IFERROR(LOOKUP($K707,배송비규정!$A$3:$A$32,배송비규정!$B$3:$B$32),0)+IFERROR(INDEX(지역추가비!$B$3:$B$42,MATCH($J707,지역추가비!$A$3:$A$42,0)),0)))</f>
        <v/>
      </c>
      <c r="M707" s="13" t="str">
        <f aca="false">IF($B707="","",IF(COUNTIFS($B$3:$B707,$B707)&gt;1,"",$K707+$L707))</f>
        <v/>
      </c>
      <c r="N707" s="14" t="str">
        <f aca="false">IF($B707="","",COUNTIFS($B$3:$B707,$B707))</f>
        <v/>
      </c>
      <c r="O707" s="14" t="str">
        <f aca="false">IF($B707="","",$B707&amp;"|"&amp;$N707)</f>
        <v/>
      </c>
    </row>
    <row r="708" customFormat="false" ht="15" hidden="false" customHeight="false" outlineLevel="0" collapsed="false">
      <c r="A708" s="12"/>
      <c r="B708" s="9"/>
      <c r="C708" s="9"/>
      <c r="D708" s="9"/>
      <c r="E708" s="9"/>
      <c r="F708" s="9"/>
      <c r="G708" s="9"/>
      <c r="H708" s="7"/>
      <c r="I708" s="13" t="str">
        <f aca="false">IF(OR($G708="",$H708=""),"",ROUND($G708*$H708,0))</f>
        <v/>
      </c>
      <c r="J708" s="8"/>
      <c r="K708" s="13" t="str">
        <f aca="false">IF($B708="","",SUMIFS($I$3:$I$2002,$B$3:$B$2002,$B708))</f>
        <v/>
      </c>
      <c r="L708" s="13" t="str">
        <f aca="false">IF($B708="","",IF(COUNTIFS($B$3:$B708,$B708)&gt;1,0,IFERROR(LOOKUP($K708,배송비규정!$A$3:$A$32,배송비규정!$B$3:$B$32),0)+IFERROR(INDEX(지역추가비!$B$3:$B$42,MATCH($J708,지역추가비!$A$3:$A$42,0)),0)))</f>
        <v/>
      </c>
      <c r="M708" s="13" t="str">
        <f aca="false">IF($B708="","",IF(COUNTIFS($B$3:$B708,$B708)&gt;1,"",$K708+$L708))</f>
        <v/>
      </c>
      <c r="N708" s="14" t="str">
        <f aca="false">IF($B708="","",COUNTIFS($B$3:$B708,$B708))</f>
        <v/>
      </c>
      <c r="O708" s="14" t="str">
        <f aca="false">IF($B708="","",$B708&amp;"|"&amp;$N708)</f>
        <v/>
      </c>
    </row>
    <row r="709" customFormat="false" ht="15" hidden="false" customHeight="false" outlineLevel="0" collapsed="false">
      <c r="A709" s="12"/>
      <c r="B709" s="9"/>
      <c r="C709" s="9"/>
      <c r="D709" s="9"/>
      <c r="E709" s="9"/>
      <c r="F709" s="9"/>
      <c r="G709" s="9"/>
      <c r="H709" s="7"/>
      <c r="I709" s="13" t="str">
        <f aca="false">IF(OR($G709="",$H709=""),"",ROUND($G709*$H709,0))</f>
        <v/>
      </c>
      <c r="J709" s="8"/>
      <c r="K709" s="13" t="str">
        <f aca="false">IF($B709="","",SUMIFS($I$3:$I$2002,$B$3:$B$2002,$B709))</f>
        <v/>
      </c>
      <c r="L709" s="13" t="str">
        <f aca="false">IF($B709="","",IF(COUNTIFS($B$3:$B709,$B709)&gt;1,0,IFERROR(LOOKUP($K709,배송비규정!$A$3:$A$32,배송비규정!$B$3:$B$32),0)+IFERROR(INDEX(지역추가비!$B$3:$B$42,MATCH($J709,지역추가비!$A$3:$A$42,0)),0)))</f>
        <v/>
      </c>
      <c r="M709" s="13" t="str">
        <f aca="false">IF($B709="","",IF(COUNTIFS($B$3:$B709,$B709)&gt;1,"",$K709+$L709))</f>
        <v/>
      </c>
      <c r="N709" s="14" t="str">
        <f aca="false">IF($B709="","",COUNTIFS($B$3:$B709,$B709))</f>
        <v/>
      </c>
      <c r="O709" s="14" t="str">
        <f aca="false">IF($B709="","",$B709&amp;"|"&amp;$N709)</f>
        <v/>
      </c>
    </row>
    <row r="710" customFormat="false" ht="15" hidden="false" customHeight="false" outlineLevel="0" collapsed="false">
      <c r="A710" s="12"/>
      <c r="B710" s="9"/>
      <c r="C710" s="9"/>
      <c r="D710" s="9"/>
      <c r="E710" s="9"/>
      <c r="F710" s="9"/>
      <c r="G710" s="9"/>
      <c r="H710" s="7"/>
      <c r="I710" s="13" t="str">
        <f aca="false">IF(OR($G710="",$H710=""),"",ROUND($G710*$H710,0))</f>
        <v/>
      </c>
      <c r="J710" s="8"/>
      <c r="K710" s="13" t="str">
        <f aca="false">IF($B710="","",SUMIFS($I$3:$I$2002,$B$3:$B$2002,$B710))</f>
        <v/>
      </c>
      <c r="L710" s="13" t="str">
        <f aca="false">IF($B710="","",IF(COUNTIFS($B$3:$B710,$B710)&gt;1,0,IFERROR(LOOKUP($K710,배송비규정!$A$3:$A$32,배송비규정!$B$3:$B$32),0)+IFERROR(INDEX(지역추가비!$B$3:$B$42,MATCH($J710,지역추가비!$A$3:$A$42,0)),0)))</f>
        <v/>
      </c>
      <c r="M710" s="13" t="str">
        <f aca="false">IF($B710="","",IF(COUNTIFS($B$3:$B710,$B710)&gt;1,"",$K710+$L710))</f>
        <v/>
      </c>
      <c r="N710" s="14" t="str">
        <f aca="false">IF($B710="","",COUNTIFS($B$3:$B710,$B710))</f>
        <v/>
      </c>
      <c r="O710" s="14" t="str">
        <f aca="false">IF($B710="","",$B710&amp;"|"&amp;$N710)</f>
        <v/>
      </c>
    </row>
    <row r="711" customFormat="false" ht="15" hidden="false" customHeight="false" outlineLevel="0" collapsed="false">
      <c r="A711" s="12"/>
      <c r="B711" s="9"/>
      <c r="C711" s="9"/>
      <c r="D711" s="9"/>
      <c r="E711" s="9"/>
      <c r="F711" s="9"/>
      <c r="G711" s="9"/>
      <c r="H711" s="7"/>
      <c r="I711" s="13" t="str">
        <f aca="false">IF(OR($G711="",$H711=""),"",ROUND($G711*$H711,0))</f>
        <v/>
      </c>
      <c r="J711" s="8"/>
      <c r="K711" s="13" t="str">
        <f aca="false">IF($B711="","",SUMIFS($I$3:$I$2002,$B$3:$B$2002,$B711))</f>
        <v/>
      </c>
      <c r="L711" s="13" t="str">
        <f aca="false">IF($B711="","",IF(COUNTIFS($B$3:$B711,$B711)&gt;1,0,IFERROR(LOOKUP($K711,배송비규정!$A$3:$A$32,배송비규정!$B$3:$B$32),0)+IFERROR(INDEX(지역추가비!$B$3:$B$42,MATCH($J711,지역추가비!$A$3:$A$42,0)),0)))</f>
        <v/>
      </c>
      <c r="M711" s="13" t="str">
        <f aca="false">IF($B711="","",IF(COUNTIFS($B$3:$B711,$B711)&gt;1,"",$K711+$L711))</f>
        <v/>
      </c>
      <c r="N711" s="14" t="str">
        <f aca="false">IF($B711="","",COUNTIFS($B$3:$B711,$B711))</f>
        <v/>
      </c>
      <c r="O711" s="14" t="str">
        <f aca="false">IF($B711="","",$B711&amp;"|"&amp;$N711)</f>
        <v/>
      </c>
    </row>
    <row r="712" customFormat="false" ht="15" hidden="false" customHeight="false" outlineLevel="0" collapsed="false">
      <c r="A712" s="12"/>
      <c r="B712" s="9"/>
      <c r="C712" s="9"/>
      <c r="D712" s="9"/>
      <c r="E712" s="9"/>
      <c r="F712" s="9"/>
      <c r="G712" s="9"/>
      <c r="H712" s="7"/>
      <c r="I712" s="13" t="str">
        <f aca="false">IF(OR($G712="",$H712=""),"",ROUND($G712*$H712,0))</f>
        <v/>
      </c>
      <c r="J712" s="8"/>
      <c r="K712" s="13" t="str">
        <f aca="false">IF($B712="","",SUMIFS($I$3:$I$2002,$B$3:$B$2002,$B712))</f>
        <v/>
      </c>
      <c r="L712" s="13" t="str">
        <f aca="false">IF($B712="","",IF(COUNTIFS($B$3:$B712,$B712)&gt;1,0,IFERROR(LOOKUP($K712,배송비규정!$A$3:$A$32,배송비규정!$B$3:$B$32),0)+IFERROR(INDEX(지역추가비!$B$3:$B$42,MATCH($J712,지역추가비!$A$3:$A$42,0)),0)))</f>
        <v/>
      </c>
      <c r="M712" s="13" t="str">
        <f aca="false">IF($B712="","",IF(COUNTIFS($B$3:$B712,$B712)&gt;1,"",$K712+$L712))</f>
        <v/>
      </c>
      <c r="N712" s="14" t="str">
        <f aca="false">IF($B712="","",COUNTIFS($B$3:$B712,$B712))</f>
        <v/>
      </c>
      <c r="O712" s="14" t="str">
        <f aca="false">IF($B712="","",$B712&amp;"|"&amp;$N712)</f>
        <v/>
      </c>
    </row>
    <row r="713" customFormat="false" ht="15" hidden="false" customHeight="false" outlineLevel="0" collapsed="false">
      <c r="A713" s="12"/>
      <c r="B713" s="9"/>
      <c r="C713" s="9"/>
      <c r="D713" s="9"/>
      <c r="E713" s="9"/>
      <c r="F713" s="9"/>
      <c r="G713" s="9"/>
      <c r="H713" s="7"/>
      <c r="I713" s="13" t="str">
        <f aca="false">IF(OR($G713="",$H713=""),"",ROUND($G713*$H713,0))</f>
        <v/>
      </c>
      <c r="J713" s="8"/>
      <c r="K713" s="13" t="str">
        <f aca="false">IF($B713="","",SUMIFS($I$3:$I$2002,$B$3:$B$2002,$B713))</f>
        <v/>
      </c>
      <c r="L713" s="13" t="str">
        <f aca="false">IF($B713="","",IF(COUNTIFS($B$3:$B713,$B713)&gt;1,0,IFERROR(LOOKUP($K713,배송비규정!$A$3:$A$32,배송비규정!$B$3:$B$32),0)+IFERROR(INDEX(지역추가비!$B$3:$B$42,MATCH($J713,지역추가비!$A$3:$A$42,0)),0)))</f>
        <v/>
      </c>
      <c r="M713" s="13" t="str">
        <f aca="false">IF($B713="","",IF(COUNTIFS($B$3:$B713,$B713)&gt;1,"",$K713+$L713))</f>
        <v/>
      </c>
      <c r="N713" s="14" t="str">
        <f aca="false">IF($B713="","",COUNTIFS($B$3:$B713,$B713))</f>
        <v/>
      </c>
      <c r="O713" s="14" t="str">
        <f aca="false">IF($B713="","",$B713&amp;"|"&amp;$N713)</f>
        <v/>
      </c>
    </row>
    <row r="714" customFormat="false" ht="15" hidden="false" customHeight="false" outlineLevel="0" collapsed="false">
      <c r="A714" s="12"/>
      <c r="B714" s="9"/>
      <c r="C714" s="9"/>
      <c r="D714" s="9"/>
      <c r="E714" s="9"/>
      <c r="F714" s="9"/>
      <c r="G714" s="9"/>
      <c r="H714" s="7"/>
      <c r="I714" s="13" t="str">
        <f aca="false">IF(OR($G714="",$H714=""),"",ROUND($G714*$H714,0))</f>
        <v/>
      </c>
      <c r="J714" s="8"/>
      <c r="K714" s="13" t="str">
        <f aca="false">IF($B714="","",SUMIFS($I$3:$I$2002,$B$3:$B$2002,$B714))</f>
        <v/>
      </c>
      <c r="L714" s="13" t="str">
        <f aca="false">IF($B714="","",IF(COUNTIFS($B$3:$B714,$B714)&gt;1,0,IFERROR(LOOKUP($K714,배송비규정!$A$3:$A$32,배송비규정!$B$3:$B$32),0)+IFERROR(INDEX(지역추가비!$B$3:$B$42,MATCH($J714,지역추가비!$A$3:$A$42,0)),0)))</f>
        <v/>
      </c>
      <c r="M714" s="13" t="str">
        <f aca="false">IF($B714="","",IF(COUNTIFS($B$3:$B714,$B714)&gt;1,"",$K714+$L714))</f>
        <v/>
      </c>
      <c r="N714" s="14" t="str">
        <f aca="false">IF($B714="","",COUNTIFS($B$3:$B714,$B714))</f>
        <v/>
      </c>
      <c r="O714" s="14" t="str">
        <f aca="false">IF($B714="","",$B714&amp;"|"&amp;$N714)</f>
        <v/>
      </c>
    </row>
    <row r="715" customFormat="false" ht="15" hidden="false" customHeight="false" outlineLevel="0" collapsed="false">
      <c r="A715" s="12"/>
      <c r="B715" s="9"/>
      <c r="C715" s="9"/>
      <c r="D715" s="9"/>
      <c r="E715" s="9"/>
      <c r="F715" s="9"/>
      <c r="G715" s="9"/>
      <c r="H715" s="7"/>
      <c r="I715" s="13" t="str">
        <f aca="false">IF(OR($G715="",$H715=""),"",ROUND($G715*$H715,0))</f>
        <v/>
      </c>
      <c r="J715" s="8"/>
      <c r="K715" s="13" t="str">
        <f aca="false">IF($B715="","",SUMIFS($I$3:$I$2002,$B$3:$B$2002,$B715))</f>
        <v/>
      </c>
      <c r="L715" s="13" t="str">
        <f aca="false">IF($B715="","",IF(COUNTIFS($B$3:$B715,$B715)&gt;1,0,IFERROR(LOOKUP($K715,배송비규정!$A$3:$A$32,배송비규정!$B$3:$B$32),0)+IFERROR(INDEX(지역추가비!$B$3:$B$42,MATCH($J715,지역추가비!$A$3:$A$42,0)),0)))</f>
        <v/>
      </c>
      <c r="M715" s="13" t="str">
        <f aca="false">IF($B715="","",IF(COUNTIFS($B$3:$B715,$B715)&gt;1,"",$K715+$L715))</f>
        <v/>
      </c>
      <c r="N715" s="14" t="str">
        <f aca="false">IF($B715="","",COUNTIFS($B$3:$B715,$B715))</f>
        <v/>
      </c>
      <c r="O715" s="14" t="str">
        <f aca="false">IF($B715="","",$B715&amp;"|"&amp;$N715)</f>
        <v/>
      </c>
    </row>
    <row r="716" customFormat="false" ht="15" hidden="false" customHeight="false" outlineLevel="0" collapsed="false">
      <c r="A716" s="12"/>
      <c r="B716" s="9"/>
      <c r="C716" s="9"/>
      <c r="D716" s="9"/>
      <c r="E716" s="9"/>
      <c r="F716" s="9"/>
      <c r="G716" s="9"/>
      <c r="H716" s="7"/>
      <c r="I716" s="13" t="str">
        <f aca="false">IF(OR($G716="",$H716=""),"",ROUND($G716*$H716,0))</f>
        <v/>
      </c>
      <c r="J716" s="8"/>
      <c r="K716" s="13" t="str">
        <f aca="false">IF($B716="","",SUMIFS($I$3:$I$2002,$B$3:$B$2002,$B716))</f>
        <v/>
      </c>
      <c r="L716" s="13" t="str">
        <f aca="false">IF($B716="","",IF(COUNTIFS($B$3:$B716,$B716)&gt;1,0,IFERROR(LOOKUP($K716,배송비규정!$A$3:$A$32,배송비규정!$B$3:$B$32),0)+IFERROR(INDEX(지역추가비!$B$3:$B$42,MATCH($J716,지역추가비!$A$3:$A$42,0)),0)))</f>
        <v/>
      </c>
      <c r="M716" s="13" t="str">
        <f aca="false">IF($B716="","",IF(COUNTIFS($B$3:$B716,$B716)&gt;1,"",$K716+$L716))</f>
        <v/>
      </c>
      <c r="N716" s="14" t="str">
        <f aca="false">IF($B716="","",COUNTIFS($B$3:$B716,$B716))</f>
        <v/>
      </c>
      <c r="O716" s="14" t="str">
        <f aca="false">IF($B716="","",$B716&amp;"|"&amp;$N716)</f>
        <v/>
      </c>
    </row>
    <row r="717" customFormat="false" ht="15" hidden="false" customHeight="false" outlineLevel="0" collapsed="false">
      <c r="A717" s="12"/>
      <c r="B717" s="9"/>
      <c r="C717" s="9"/>
      <c r="D717" s="9"/>
      <c r="E717" s="9"/>
      <c r="F717" s="9"/>
      <c r="G717" s="9"/>
      <c r="H717" s="7"/>
      <c r="I717" s="13" t="str">
        <f aca="false">IF(OR($G717="",$H717=""),"",ROUND($G717*$H717,0))</f>
        <v/>
      </c>
      <c r="J717" s="8"/>
      <c r="K717" s="13" t="str">
        <f aca="false">IF($B717="","",SUMIFS($I$3:$I$2002,$B$3:$B$2002,$B717))</f>
        <v/>
      </c>
      <c r="L717" s="13" t="str">
        <f aca="false">IF($B717="","",IF(COUNTIFS($B$3:$B717,$B717)&gt;1,0,IFERROR(LOOKUP($K717,배송비규정!$A$3:$A$32,배송비규정!$B$3:$B$32),0)+IFERROR(INDEX(지역추가비!$B$3:$B$42,MATCH($J717,지역추가비!$A$3:$A$42,0)),0)))</f>
        <v/>
      </c>
      <c r="M717" s="13" t="str">
        <f aca="false">IF($B717="","",IF(COUNTIFS($B$3:$B717,$B717)&gt;1,"",$K717+$L717))</f>
        <v/>
      </c>
      <c r="N717" s="14" t="str">
        <f aca="false">IF($B717="","",COUNTIFS($B$3:$B717,$B717))</f>
        <v/>
      </c>
      <c r="O717" s="14" t="str">
        <f aca="false">IF($B717="","",$B717&amp;"|"&amp;$N717)</f>
        <v/>
      </c>
    </row>
    <row r="718" customFormat="false" ht="15" hidden="false" customHeight="false" outlineLevel="0" collapsed="false">
      <c r="A718" s="12"/>
      <c r="B718" s="9"/>
      <c r="C718" s="9"/>
      <c r="D718" s="9"/>
      <c r="E718" s="9"/>
      <c r="F718" s="9"/>
      <c r="G718" s="9"/>
      <c r="H718" s="7"/>
      <c r="I718" s="13" t="str">
        <f aca="false">IF(OR($G718="",$H718=""),"",ROUND($G718*$H718,0))</f>
        <v/>
      </c>
      <c r="J718" s="8"/>
      <c r="K718" s="13" t="str">
        <f aca="false">IF($B718="","",SUMIFS($I$3:$I$2002,$B$3:$B$2002,$B718))</f>
        <v/>
      </c>
      <c r="L718" s="13" t="str">
        <f aca="false">IF($B718="","",IF(COUNTIFS($B$3:$B718,$B718)&gt;1,0,IFERROR(LOOKUP($K718,배송비규정!$A$3:$A$32,배송비규정!$B$3:$B$32),0)+IFERROR(INDEX(지역추가비!$B$3:$B$42,MATCH($J718,지역추가비!$A$3:$A$42,0)),0)))</f>
        <v/>
      </c>
      <c r="M718" s="13" t="str">
        <f aca="false">IF($B718="","",IF(COUNTIFS($B$3:$B718,$B718)&gt;1,"",$K718+$L718))</f>
        <v/>
      </c>
      <c r="N718" s="14" t="str">
        <f aca="false">IF($B718="","",COUNTIFS($B$3:$B718,$B718))</f>
        <v/>
      </c>
      <c r="O718" s="14" t="str">
        <f aca="false">IF($B718="","",$B718&amp;"|"&amp;$N718)</f>
        <v/>
      </c>
    </row>
    <row r="719" customFormat="false" ht="15" hidden="false" customHeight="false" outlineLevel="0" collapsed="false">
      <c r="A719" s="12"/>
      <c r="B719" s="9"/>
      <c r="C719" s="9"/>
      <c r="D719" s="9"/>
      <c r="E719" s="9"/>
      <c r="F719" s="9"/>
      <c r="G719" s="9"/>
      <c r="H719" s="7"/>
      <c r="I719" s="13" t="str">
        <f aca="false">IF(OR($G719="",$H719=""),"",ROUND($G719*$H719,0))</f>
        <v/>
      </c>
      <c r="J719" s="8"/>
      <c r="K719" s="13" t="str">
        <f aca="false">IF($B719="","",SUMIFS($I$3:$I$2002,$B$3:$B$2002,$B719))</f>
        <v/>
      </c>
      <c r="L719" s="13" t="str">
        <f aca="false">IF($B719="","",IF(COUNTIFS($B$3:$B719,$B719)&gt;1,0,IFERROR(LOOKUP($K719,배송비규정!$A$3:$A$32,배송비규정!$B$3:$B$32),0)+IFERROR(INDEX(지역추가비!$B$3:$B$42,MATCH($J719,지역추가비!$A$3:$A$42,0)),0)))</f>
        <v/>
      </c>
      <c r="M719" s="13" t="str">
        <f aca="false">IF($B719="","",IF(COUNTIFS($B$3:$B719,$B719)&gt;1,"",$K719+$L719))</f>
        <v/>
      </c>
      <c r="N719" s="14" t="str">
        <f aca="false">IF($B719="","",COUNTIFS($B$3:$B719,$B719))</f>
        <v/>
      </c>
      <c r="O719" s="14" t="str">
        <f aca="false">IF($B719="","",$B719&amp;"|"&amp;$N719)</f>
        <v/>
      </c>
    </row>
    <row r="720" customFormat="false" ht="15" hidden="false" customHeight="false" outlineLevel="0" collapsed="false">
      <c r="A720" s="12"/>
      <c r="B720" s="9"/>
      <c r="C720" s="9"/>
      <c r="D720" s="9"/>
      <c r="E720" s="9"/>
      <c r="F720" s="9"/>
      <c r="G720" s="9"/>
      <c r="H720" s="7"/>
      <c r="I720" s="13" t="str">
        <f aca="false">IF(OR($G720="",$H720=""),"",ROUND($G720*$H720,0))</f>
        <v/>
      </c>
      <c r="J720" s="8"/>
      <c r="K720" s="13" t="str">
        <f aca="false">IF($B720="","",SUMIFS($I$3:$I$2002,$B$3:$B$2002,$B720))</f>
        <v/>
      </c>
      <c r="L720" s="13" t="str">
        <f aca="false">IF($B720="","",IF(COUNTIFS($B$3:$B720,$B720)&gt;1,0,IFERROR(LOOKUP($K720,배송비규정!$A$3:$A$32,배송비규정!$B$3:$B$32),0)+IFERROR(INDEX(지역추가비!$B$3:$B$42,MATCH($J720,지역추가비!$A$3:$A$42,0)),0)))</f>
        <v/>
      </c>
      <c r="M720" s="13" t="str">
        <f aca="false">IF($B720="","",IF(COUNTIFS($B$3:$B720,$B720)&gt;1,"",$K720+$L720))</f>
        <v/>
      </c>
      <c r="N720" s="14" t="str">
        <f aca="false">IF($B720="","",COUNTIFS($B$3:$B720,$B720))</f>
        <v/>
      </c>
      <c r="O720" s="14" t="str">
        <f aca="false">IF($B720="","",$B720&amp;"|"&amp;$N720)</f>
        <v/>
      </c>
    </row>
    <row r="721" customFormat="false" ht="15" hidden="false" customHeight="false" outlineLevel="0" collapsed="false">
      <c r="A721" s="12"/>
      <c r="B721" s="9"/>
      <c r="C721" s="9"/>
      <c r="D721" s="9"/>
      <c r="E721" s="9"/>
      <c r="F721" s="9"/>
      <c r="G721" s="9"/>
      <c r="H721" s="7"/>
      <c r="I721" s="13" t="str">
        <f aca="false">IF(OR($G721="",$H721=""),"",ROUND($G721*$H721,0))</f>
        <v/>
      </c>
      <c r="J721" s="8"/>
      <c r="K721" s="13" t="str">
        <f aca="false">IF($B721="","",SUMIFS($I$3:$I$2002,$B$3:$B$2002,$B721))</f>
        <v/>
      </c>
      <c r="L721" s="13" t="str">
        <f aca="false">IF($B721="","",IF(COUNTIFS($B$3:$B721,$B721)&gt;1,0,IFERROR(LOOKUP($K721,배송비규정!$A$3:$A$32,배송비규정!$B$3:$B$32),0)+IFERROR(INDEX(지역추가비!$B$3:$B$42,MATCH($J721,지역추가비!$A$3:$A$42,0)),0)))</f>
        <v/>
      </c>
      <c r="M721" s="13" t="str">
        <f aca="false">IF($B721="","",IF(COUNTIFS($B$3:$B721,$B721)&gt;1,"",$K721+$L721))</f>
        <v/>
      </c>
      <c r="N721" s="14" t="str">
        <f aca="false">IF($B721="","",COUNTIFS($B$3:$B721,$B721))</f>
        <v/>
      </c>
      <c r="O721" s="14" t="str">
        <f aca="false">IF($B721="","",$B721&amp;"|"&amp;$N721)</f>
        <v/>
      </c>
    </row>
    <row r="722" customFormat="false" ht="15" hidden="false" customHeight="false" outlineLevel="0" collapsed="false">
      <c r="A722" s="12"/>
      <c r="B722" s="9"/>
      <c r="C722" s="9"/>
      <c r="D722" s="9"/>
      <c r="E722" s="9"/>
      <c r="F722" s="9"/>
      <c r="G722" s="9"/>
      <c r="H722" s="7"/>
      <c r="I722" s="13" t="str">
        <f aca="false">IF(OR($G722="",$H722=""),"",ROUND($G722*$H722,0))</f>
        <v/>
      </c>
      <c r="J722" s="8"/>
      <c r="K722" s="13" t="str">
        <f aca="false">IF($B722="","",SUMIFS($I$3:$I$2002,$B$3:$B$2002,$B722))</f>
        <v/>
      </c>
      <c r="L722" s="13" t="str">
        <f aca="false">IF($B722="","",IF(COUNTIFS($B$3:$B722,$B722)&gt;1,0,IFERROR(LOOKUP($K722,배송비규정!$A$3:$A$32,배송비규정!$B$3:$B$32),0)+IFERROR(INDEX(지역추가비!$B$3:$B$42,MATCH($J722,지역추가비!$A$3:$A$42,0)),0)))</f>
        <v/>
      </c>
      <c r="M722" s="13" t="str">
        <f aca="false">IF($B722="","",IF(COUNTIFS($B$3:$B722,$B722)&gt;1,"",$K722+$L722))</f>
        <v/>
      </c>
      <c r="N722" s="14" t="str">
        <f aca="false">IF($B722="","",COUNTIFS($B$3:$B722,$B722))</f>
        <v/>
      </c>
      <c r="O722" s="14" t="str">
        <f aca="false">IF($B722="","",$B722&amp;"|"&amp;$N722)</f>
        <v/>
      </c>
    </row>
    <row r="723" customFormat="false" ht="15" hidden="false" customHeight="false" outlineLevel="0" collapsed="false">
      <c r="A723" s="12"/>
      <c r="B723" s="9"/>
      <c r="C723" s="9"/>
      <c r="D723" s="9"/>
      <c r="E723" s="9"/>
      <c r="F723" s="9"/>
      <c r="G723" s="9"/>
      <c r="H723" s="7"/>
      <c r="I723" s="13" t="str">
        <f aca="false">IF(OR($G723="",$H723=""),"",ROUND($G723*$H723,0))</f>
        <v/>
      </c>
      <c r="J723" s="8"/>
      <c r="K723" s="13" t="str">
        <f aca="false">IF($B723="","",SUMIFS($I$3:$I$2002,$B$3:$B$2002,$B723))</f>
        <v/>
      </c>
      <c r="L723" s="13" t="str">
        <f aca="false">IF($B723="","",IF(COUNTIFS($B$3:$B723,$B723)&gt;1,0,IFERROR(LOOKUP($K723,배송비규정!$A$3:$A$32,배송비규정!$B$3:$B$32),0)+IFERROR(INDEX(지역추가비!$B$3:$B$42,MATCH($J723,지역추가비!$A$3:$A$42,0)),0)))</f>
        <v/>
      </c>
      <c r="M723" s="13" t="str">
        <f aca="false">IF($B723="","",IF(COUNTIFS($B$3:$B723,$B723)&gt;1,"",$K723+$L723))</f>
        <v/>
      </c>
      <c r="N723" s="14" t="str">
        <f aca="false">IF($B723="","",COUNTIFS($B$3:$B723,$B723))</f>
        <v/>
      </c>
      <c r="O723" s="14" t="str">
        <f aca="false">IF($B723="","",$B723&amp;"|"&amp;$N723)</f>
        <v/>
      </c>
    </row>
    <row r="724" customFormat="false" ht="15" hidden="false" customHeight="false" outlineLevel="0" collapsed="false">
      <c r="A724" s="12"/>
      <c r="B724" s="9"/>
      <c r="C724" s="9"/>
      <c r="D724" s="9"/>
      <c r="E724" s="9"/>
      <c r="F724" s="9"/>
      <c r="G724" s="9"/>
      <c r="H724" s="7"/>
      <c r="I724" s="13" t="str">
        <f aca="false">IF(OR($G724="",$H724=""),"",ROUND($G724*$H724,0))</f>
        <v/>
      </c>
      <c r="J724" s="8"/>
      <c r="K724" s="13" t="str">
        <f aca="false">IF($B724="","",SUMIFS($I$3:$I$2002,$B$3:$B$2002,$B724))</f>
        <v/>
      </c>
      <c r="L724" s="13" t="str">
        <f aca="false">IF($B724="","",IF(COUNTIFS($B$3:$B724,$B724)&gt;1,0,IFERROR(LOOKUP($K724,배송비규정!$A$3:$A$32,배송비규정!$B$3:$B$32),0)+IFERROR(INDEX(지역추가비!$B$3:$B$42,MATCH($J724,지역추가비!$A$3:$A$42,0)),0)))</f>
        <v/>
      </c>
      <c r="M724" s="13" t="str">
        <f aca="false">IF($B724="","",IF(COUNTIFS($B$3:$B724,$B724)&gt;1,"",$K724+$L724))</f>
        <v/>
      </c>
      <c r="N724" s="14" t="str">
        <f aca="false">IF($B724="","",COUNTIFS($B$3:$B724,$B724))</f>
        <v/>
      </c>
      <c r="O724" s="14" t="str">
        <f aca="false">IF($B724="","",$B724&amp;"|"&amp;$N724)</f>
        <v/>
      </c>
    </row>
    <row r="725" customFormat="false" ht="15" hidden="false" customHeight="false" outlineLevel="0" collapsed="false">
      <c r="A725" s="12"/>
      <c r="B725" s="9"/>
      <c r="C725" s="9"/>
      <c r="D725" s="9"/>
      <c r="E725" s="9"/>
      <c r="F725" s="9"/>
      <c r="G725" s="9"/>
      <c r="H725" s="7"/>
      <c r="I725" s="13" t="str">
        <f aca="false">IF(OR($G725="",$H725=""),"",ROUND($G725*$H725,0))</f>
        <v/>
      </c>
      <c r="J725" s="8"/>
      <c r="K725" s="13" t="str">
        <f aca="false">IF($B725="","",SUMIFS($I$3:$I$2002,$B$3:$B$2002,$B725))</f>
        <v/>
      </c>
      <c r="L725" s="13" t="str">
        <f aca="false">IF($B725="","",IF(COUNTIFS($B$3:$B725,$B725)&gt;1,0,IFERROR(LOOKUP($K725,배송비규정!$A$3:$A$32,배송비규정!$B$3:$B$32),0)+IFERROR(INDEX(지역추가비!$B$3:$B$42,MATCH($J725,지역추가비!$A$3:$A$42,0)),0)))</f>
        <v/>
      </c>
      <c r="M725" s="13" t="str">
        <f aca="false">IF($B725="","",IF(COUNTIFS($B$3:$B725,$B725)&gt;1,"",$K725+$L725))</f>
        <v/>
      </c>
      <c r="N725" s="14" t="str">
        <f aca="false">IF($B725="","",COUNTIFS($B$3:$B725,$B725))</f>
        <v/>
      </c>
      <c r="O725" s="14" t="str">
        <f aca="false">IF($B725="","",$B725&amp;"|"&amp;$N725)</f>
        <v/>
      </c>
    </row>
    <row r="726" customFormat="false" ht="15" hidden="false" customHeight="false" outlineLevel="0" collapsed="false">
      <c r="A726" s="12"/>
      <c r="B726" s="9"/>
      <c r="C726" s="9"/>
      <c r="D726" s="9"/>
      <c r="E726" s="9"/>
      <c r="F726" s="9"/>
      <c r="G726" s="9"/>
      <c r="H726" s="7"/>
      <c r="I726" s="13" t="str">
        <f aca="false">IF(OR($G726="",$H726=""),"",ROUND($G726*$H726,0))</f>
        <v/>
      </c>
      <c r="J726" s="8"/>
      <c r="K726" s="13" t="str">
        <f aca="false">IF($B726="","",SUMIFS($I$3:$I$2002,$B$3:$B$2002,$B726))</f>
        <v/>
      </c>
      <c r="L726" s="13" t="str">
        <f aca="false">IF($B726="","",IF(COUNTIFS($B$3:$B726,$B726)&gt;1,0,IFERROR(LOOKUP($K726,배송비규정!$A$3:$A$32,배송비규정!$B$3:$B$32),0)+IFERROR(INDEX(지역추가비!$B$3:$B$42,MATCH($J726,지역추가비!$A$3:$A$42,0)),0)))</f>
        <v/>
      </c>
      <c r="M726" s="13" t="str">
        <f aca="false">IF($B726="","",IF(COUNTIFS($B$3:$B726,$B726)&gt;1,"",$K726+$L726))</f>
        <v/>
      </c>
      <c r="N726" s="14" t="str">
        <f aca="false">IF($B726="","",COUNTIFS($B$3:$B726,$B726))</f>
        <v/>
      </c>
      <c r="O726" s="14" t="str">
        <f aca="false">IF($B726="","",$B726&amp;"|"&amp;$N726)</f>
        <v/>
      </c>
    </row>
    <row r="727" customFormat="false" ht="15" hidden="false" customHeight="false" outlineLevel="0" collapsed="false">
      <c r="A727" s="12"/>
      <c r="B727" s="9"/>
      <c r="C727" s="9"/>
      <c r="D727" s="9"/>
      <c r="E727" s="9"/>
      <c r="F727" s="9"/>
      <c r="G727" s="9"/>
      <c r="H727" s="7"/>
      <c r="I727" s="13" t="str">
        <f aca="false">IF(OR($G727="",$H727=""),"",ROUND($G727*$H727,0))</f>
        <v/>
      </c>
      <c r="J727" s="8"/>
      <c r="K727" s="13" t="str">
        <f aca="false">IF($B727="","",SUMIFS($I$3:$I$2002,$B$3:$B$2002,$B727))</f>
        <v/>
      </c>
      <c r="L727" s="13" t="str">
        <f aca="false">IF($B727="","",IF(COUNTIFS($B$3:$B727,$B727)&gt;1,0,IFERROR(LOOKUP($K727,배송비규정!$A$3:$A$32,배송비규정!$B$3:$B$32),0)+IFERROR(INDEX(지역추가비!$B$3:$B$42,MATCH($J727,지역추가비!$A$3:$A$42,0)),0)))</f>
        <v/>
      </c>
      <c r="M727" s="13" t="str">
        <f aca="false">IF($B727="","",IF(COUNTIFS($B$3:$B727,$B727)&gt;1,"",$K727+$L727))</f>
        <v/>
      </c>
      <c r="N727" s="14" t="str">
        <f aca="false">IF($B727="","",COUNTIFS($B$3:$B727,$B727))</f>
        <v/>
      </c>
      <c r="O727" s="14" t="str">
        <f aca="false">IF($B727="","",$B727&amp;"|"&amp;$N727)</f>
        <v/>
      </c>
    </row>
    <row r="728" customFormat="false" ht="15" hidden="false" customHeight="false" outlineLevel="0" collapsed="false">
      <c r="A728" s="12"/>
      <c r="B728" s="9"/>
      <c r="C728" s="9"/>
      <c r="D728" s="9"/>
      <c r="E728" s="9"/>
      <c r="F728" s="9"/>
      <c r="G728" s="9"/>
      <c r="H728" s="7"/>
      <c r="I728" s="13" t="str">
        <f aca="false">IF(OR($G728="",$H728=""),"",ROUND($G728*$H728,0))</f>
        <v/>
      </c>
      <c r="J728" s="8"/>
      <c r="K728" s="13" t="str">
        <f aca="false">IF($B728="","",SUMIFS($I$3:$I$2002,$B$3:$B$2002,$B728))</f>
        <v/>
      </c>
      <c r="L728" s="13" t="str">
        <f aca="false">IF($B728="","",IF(COUNTIFS($B$3:$B728,$B728)&gt;1,0,IFERROR(LOOKUP($K728,배송비규정!$A$3:$A$32,배송비규정!$B$3:$B$32),0)+IFERROR(INDEX(지역추가비!$B$3:$B$42,MATCH($J728,지역추가비!$A$3:$A$42,0)),0)))</f>
        <v/>
      </c>
      <c r="M728" s="13" t="str">
        <f aca="false">IF($B728="","",IF(COUNTIFS($B$3:$B728,$B728)&gt;1,"",$K728+$L728))</f>
        <v/>
      </c>
      <c r="N728" s="14" t="str">
        <f aca="false">IF($B728="","",COUNTIFS($B$3:$B728,$B728))</f>
        <v/>
      </c>
      <c r="O728" s="14" t="str">
        <f aca="false">IF($B728="","",$B728&amp;"|"&amp;$N728)</f>
        <v/>
      </c>
    </row>
    <row r="729" customFormat="false" ht="15" hidden="false" customHeight="false" outlineLevel="0" collapsed="false">
      <c r="A729" s="12"/>
      <c r="B729" s="9"/>
      <c r="C729" s="9"/>
      <c r="D729" s="9"/>
      <c r="E729" s="9"/>
      <c r="F729" s="9"/>
      <c r="G729" s="9"/>
      <c r="H729" s="7"/>
      <c r="I729" s="13" t="str">
        <f aca="false">IF(OR($G729="",$H729=""),"",ROUND($G729*$H729,0))</f>
        <v/>
      </c>
      <c r="J729" s="8"/>
      <c r="K729" s="13" t="str">
        <f aca="false">IF($B729="","",SUMIFS($I$3:$I$2002,$B$3:$B$2002,$B729))</f>
        <v/>
      </c>
      <c r="L729" s="13" t="str">
        <f aca="false">IF($B729="","",IF(COUNTIFS($B$3:$B729,$B729)&gt;1,0,IFERROR(LOOKUP($K729,배송비규정!$A$3:$A$32,배송비규정!$B$3:$B$32),0)+IFERROR(INDEX(지역추가비!$B$3:$B$42,MATCH($J729,지역추가비!$A$3:$A$42,0)),0)))</f>
        <v/>
      </c>
      <c r="M729" s="13" t="str">
        <f aca="false">IF($B729="","",IF(COUNTIFS($B$3:$B729,$B729)&gt;1,"",$K729+$L729))</f>
        <v/>
      </c>
      <c r="N729" s="14" t="str">
        <f aca="false">IF($B729="","",COUNTIFS($B$3:$B729,$B729))</f>
        <v/>
      </c>
      <c r="O729" s="14" t="str">
        <f aca="false">IF($B729="","",$B729&amp;"|"&amp;$N729)</f>
        <v/>
      </c>
    </row>
    <row r="730" customFormat="false" ht="15" hidden="false" customHeight="false" outlineLevel="0" collapsed="false">
      <c r="A730" s="12"/>
      <c r="B730" s="9"/>
      <c r="C730" s="9"/>
      <c r="D730" s="9"/>
      <c r="E730" s="9"/>
      <c r="F730" s="9"/>
      <c r="G730" s="9"/>
      <c r="H730" s="7"/>
      <c r="I730" s="13" t="str">
        <f aca="false">IF(OR($G730="",$H730=""),"",ROUND($G730*$H730,0))</f>
        <v/>
      </c>
      <c r="J730" s="8"/>
      <c r="K730" s="13" t="str">
        <f aca="false">IF($B730="","",SUMIFS($I$3:$I$2002,$B$3:$B$2002,$B730))</f>
        <v/>
      </c>
      <c r="L730" s="13" t="str">
        <f aca="false">IF($B730="","",IF(COUNTIFS($B$3:$B730,$B730)&gt;1,0,IFERROR(LOOKUP($K730,배송비규정!$A$3:$A$32,배송비규정!$B$3:$B$32),0)+IFERROR(INDEX(지역추가비!$B$3:$B$42,MATCH($J730,지역추가비!$A$3:$A$42,0)),0)))</f>
        <v/>
      </c>
      <c r="M730" s="13" t="str">
        <f aca="false">IF($B730="","",IF(COUNTIFS($B$3:$B730,$B730)&gt;1,"",$K730+$L730))</f>
        <v/>
      </c>
      <c r="N730" s="14" t="str">
        <f aca="false">IF($B730="","",COUNTIFS($B$3:$B730,$B730))</f>
        <v/>
      </c>
      <c r="O730" s="14" t="str">
        <f aca="false">IF($B730="","",$B730&amp;"|"&amp;$N730)</f>
        <v/>
      </c>
    </row>
    <row r="731" customFormat="false" ht="15" hidden="false" customHeight="false" outlineLevel="0" collapsed="false">
      <c r="A731" s="12"/>
      <c r="B731" s="9"/>
      <c r="C731" s="9"/>
      <c r="D731" s="9"/>
      <c r="E731" s="9"/>
      <c r="F731" s="9"/>
      <c r="G731" s="9"/>
      <c r="H731" s="7"/>
      <c r="I731" s="13" t="str">
        <f aca="false">IF(OR($G731="",$H731=""),"",ROUND($G731*$H731,0))</f>
        <v/>
      </c>
      <c r="J731" s="8"/>
      <c r="K731" s="13" t="str">
        <f aca="false">IF($B731="","",SUMIFS($I$3:$I$2002,$B$3:$B$2002,$B731))</f>
        <v/>
      </c>
      <c r="L731" s="13" t="str">
        <f aca="false">IF($B731="","",IF(COUNTIFS($B$3:$B731,$B731)&gt;1,0,IFERROR(LOOKUP($K731,배송비규정!$A$3:$A$32,배송비규정!$B$3:$B$32),0)+IFERROR(INDEX(지역추가비!$B$3:$B$42,MATCH($J731,지역추가비!$A$3:$A$42,0)),0)))</f>
        <v/>
      </c>
      <c r="M731" s="13" t="str">
        <f aca="false">IF($B731="","",IF(COUNTIFS($B$3:$B731,$B731)&gt;1,"",$K731+$L731))</f>
        <v/>
      </c>
      <c r="N731" s="14" t="str">
        <f aca="false">IF($B731="","",COUNTIFS($B$3:$B731,$B731))</f>
        <v/>
      </c>
      <c r="O731" s="14" t="str">
        <f aca="false">IF($B731="","",$B731&amp;"|"&amp;$N731)</f>
        <v/>
      </c>
    </row>
    <row r="732" customFormat="false" ht="15" hidden="false" customHeight="false" outlineLevel="0" collapsed="false">
      <c r="A732" s="12"/>
      <c r="B732" s="9"/>
      <c r="C732" s="9"/>
      <c r="D732" s="9"/>
      <c r="E732" s="9"/>
      <c r="F732" s="9"/>
      <c r="G732" s="9"/>
      <c r="H732" s="7"/>
      <c r="I732" s="13" t="str">
        <f aca="false">IF(OR($G732="",$H732=""),"",ROUND($G732*$H732,0))</f>
        <v/>
      </c>
      <c r="J732" s="8"/>
      <c r="K732" s="13" t="str">
        <f aca="false">IF($B732="","",SUMIFS($I$3:$I$2002,$B$3:$B$2002,$B732))</f>
        <v/>
      </c>
      <c r="L732" s="13" t="str">
        <f aca="false">IF($B732="","",IF(COUNTIFS($B$3:$B732,$B732)&gt;1,0,IFERROR(LOOKUP($K732,배송비규정!$A$3:$A$32,배송비규정!$B$3:$B$32),0)+IFERROR(INDEX(지역추가비!$B$3:$B$42,MATCH($J732,지역추가비!$A$3:$A$42,0)),0)))</f>
        <v/>
      </c>
      <c r="M732" s="13" t="str">
        <f aca="false">IF($B732="","",IF(COUNTIFS($B$3:$B732,$B732)&gt;1,"",$K732+$L732))</f>
        <v/>
      </c>
      <c r="N732" s="14" t="str">
        <f aca="false">IF($B732="","",COUNTIFS($B$3:$B732,$B732))</f>
        <v/>
      </c>
      <c r="O732" s="14" t="str">
        <f aca="false">IF($B732="","",$B732&amp;"|"&amp;$N732)</f>
        <v/>
      </c>
    </row>
    <row r="733" customFormat="false" ht="15" hidden="false" customHeight="false" outlineLevel="0" collapsed="false">
      <c r="A733" s="12"/>
      <c r="B733" s="9"/>
      <c r="C733" s="9"/>
      <c r="D733" s="9"/>
      <c r="E733" s="9"/>
      <c r="F733" s="9"/>
      <c r="G733" s="9"/>
      <c r="H733" s="7"/>
      <c r="I733" s="13" t="str">
        <f aca="false">IF(OR($G733="",$H733=""),"",ROUND($G733*$H733,0))</f>
        <v/>
      </c>
      <c r="J733" s="8"/>
      <c r="K733" s="13" t="str">
        <f aca="false">IF($B733="","",SUMIFS($I$3:$I$2002,$B$3:$B$2002,$B733))</f>
        <v/>
      </c>
      <c r="L733" s="13" t="str">
        <f aca="false">IF($B733="","",IF(COUNTIFS($B$3:$B733,$B733)&gt;1,0,IFERROR(LOOKUP($K733,배송비규정!$A$3:$A$32,배송비규정!$B$3:$B$32),0)+IFERROR(INDEX(지역추가비!$B$3:$B$42,MATCH($J733,지역추가비!$A$3:$A$42,0)),0)))</f>
        <v/>
      </c>
      <c r="M733" s="13" t="str">
        <f aca="false">IF($B733="","",IF(COUNTIFS($B$3:$B733,$B733)&gt;1,"",$K733+$L733))</f>
        <v/>
      </c>
      <c r="N733" s="14" t="str">
        <f aca="false">IF($B733="","",COUNTIFS($B$3:$B733,$B733))</f>
        <v/>
      </c>
      <c r="O733" s="14" t="str">
        <f aca="false">IF($B733="","",$B733&amp;"|"&amp;$N733)</f>
        <v/>
      </c>
    </row>
    <row r="734" customFormat="false" ht="15" hidden="false" customHeight="false" outlineLevel="0" collapsed="false">
      <c r="A734" s="12"/>
      <c r="B734" s="9"/>
      <c r="C734" s="9"/>
      <c r="D734" s="9"/>
      <c r="E734" s="9"/>
      <c r="F734" s="9"/>
      <c r="G734" s="9"/>
      <c r="H734" s="7"/>
      <c r="I734" s="13" t="str">
        <f aca="false">IF(OR($G734="",$H734=""),"",ROUND($G734*$H734,0))</f>
        <v/>
      </c>
      <c r="J734" s="8"/>
      <c r="K734" s="13" t="str">
        <f aca="false">IF($B734="","",SUMIFS($I$3:$I$2002,$B$3:$B$2002,$B734))</f>
        <v/>
      </c>
      <c r="L734" s="13" t="str">
        <f aca="false">IF($B734="","",IF(COUNTIFS($B$3:$B734,$B734)&gt;1,0,IFERROR(LOOKUP($K734,배송비규정!$A$3:$A$32,배송비규정!$B$3:$B$32),0)+IFERROR(INDEX(지역추가비!$B$3:$B$42,MATCH($J734,지역추가비!$A$3:$A$42,0)),0)))</f>
        <v/>
      </c>
      <c r="M734" s="13" t="str">
        <f aca="false">IF($B734="","",IF(COUNTIFS($B$3:$B734,$B734)&gt;1,"",$K734+$L734))</f>
        <v/>
      </c>
      <c r="N734" s="14" t="str">
        <f aca="false">IF($B734="","",COUNTIFS($B$3:$B734,$B734))</f>
        <v/>
      </c>
      <c r="O734" s="14" t="str">
        <f aca="false">IF($B734="","",$B734&amp;"|"&amp;$N734)</f>
        <v/>
      </c>
    </row>
    <row r="735" customFormat="false" ht="15" hidden="false" customHeight="false" outlineLevel="0" collapsed="false">
      <c r="A735" s="12"/>
      <c r="B735" s="9"/>
      <c r="C735" s="9"/>
      <c r="D735" s="9"/>
      <c r="E735" s="9"/>
      <c r="F735" s="9"/>
      <c r="G735" s="9"/>
      <c r="H735" s="7"/>
      <c r="I735" s="13" t="str">
        <f aca="false">IF(OR($G735="",$H735=""),"",ROUND($G735*$H735,0))</f>
        <v/>
      </c>
      <c r="J735" s="8"/>
      <c r="K735" s="13" t="str">
        <f aca="false">IF($B735="","",SUMIFS($I$3:$I$2002,$B$3:$B$2002,$B735))</f>
        <v/>
      </c>
      <c r="L735" s="13" t="str">
        <f aca="false">IF($B735="","",IF(COUNTIFS($B$3:$B735,$B735)&gt;1,0,IFERROR(LOOKUP($K735,배송비규정!$A$3:$A$32,배송비규정!$B$3:$B$32),0)+IFERROR(INDEX(지역추가비!$B$3:$B$42,MATCH($J735,지역추가비!$A$3:$A$42,0)),0)))</f>
        <v/>
      </c>
      <c r="M735" s="13" t="str">
        <f aca="false">IF($B735="","",IF(COUNTIFS($B$3:$B735,$B735)&gt;1,"",$K735+$L735))</f>
        <v/>
      </c>
      <c r="N735" s="14" t="str">
        <f aca="false">IF($B735="","",COUNTIFS($B$3:$B735,$B735))</f>
        <v/>
      </c>
      <c r="O735" s="14" t="str">
        <f aca="false">IF($B735="","",$B735&amp;"|"&amp;$N735)</f>
        <v/>
      </c>
    </row>
    <row r="736" customFormat="false" ht="15" hidden="false" customHeight="false" outlineLevel="0" collapsed="false">
      <c r="A736" s="12"/>
      <c r="B736" s="9"/>
      <c r="C736" s="9"/>
      <c r="D736" s="9"/>
      <c r="E736" s="9"/>
      <c r="F736" s="9"/>
      <c r="G736" s="9"/>
      <c r="H736" s="7"/>
      <c r="I736" s="13" t="str">
        <f aca="false">IF(OR($G736="",$H736=""),"",ROUND($G736*$H736,0))</f>
        <v/>
      </c>
      <c r="J736" s="8"/>
      <c r="K736" s="13" t="str">
        <f aca="false">IF($B736="","",SUMIFS($I$3:$I$2002,$B$3:$B$2002,$B736))</f>
        <v/>
      </c>
      <c r="L736" s="13" t="str">
        <f aca="false">IF($B736="","",IF(COUNTIFS($B$3:$B736,$B736)&gt;1,0,IFERROR(LOOKUP($K736,배송비규정!$A$3:$A$32,배송비규정!$B$3:$B$32),0)+IFERROR(INDEX(지역추가비!$B$3:$B$42,MATCH($J736,지역추가비!$A$3:$A$42,0)),0)))</f>
        <v/>
      </c>
      <c r="M736" s="13" t="str">
        <f aca="false">IF($B736="","",IF(COUNTIFS($B$3:$B736,$B736)&gt;1,"",$K736+$L736))</f>
        <v/>
      </c>
      <c r="N736" s="14" t="str">
        <f aca="false">IF($B736="","",COUNTIFS($B$3:$B736,$B736))</f>
        <v/>
      </c>
      <c r="O736" s="14" t="str">
        <f aca="false">IF($B736="","",$B736&amp;"|"&amp;$N736)</f>
        <v/>
      </c>
    </row>
    <row r="737" customFormat="false" ht="15" hidden="false" customHeight="false" outlineLevel="0" collapsed="false">
      <c r="A737" s="12"/>
      <c r="B737" s="9"/>
      <c r="C737" s="9"/>
      <c r="D737" s="9"/>
      <c r="E737" s="9"/>
      <c r="F737" s="9"/>
      <c r="G737" s="9"/>
      <c r="H737" s="7"/>
      <c r="I737" s="13" t="str">
        <f aca="false">IF(OR($G737="",$H737=""),"",ROUND($G737*$H737,0))</f>
        <v/>
      </c>
      <c r="J737" s="8"/>
      <c r="K737" s="13" t="str">
        <f aca="false">IF($B737="","",SUMIFS($I$3:$I$2002,$B$3:$B$2002,$B737))</f>
        <v/>
      </c>
      <c r="L737" s="13" t="str">
        <f aca="false">IF($B737="","",IF(COUNTIFS($B$3:$B737,$B737)&gt;1,0,IFERROR(LOOKUP($K737,배송비규정!$A$3:$A$32,배송비규정!$B$3:$B$32),0)+IFERROR(INDEX(지역추가비!$B$3:$B$42,MATCH($J737,지역추가비!$A$3:$A$42,0)),0)))</f>
        <v/>
      </c>
      <c r="M737" s="13" t="str">
        <f aca="false">IF($B737="","",IF(COUNTIFS($B$3:$B737,$B737)&gt;1,"",$K737+$L737))</f>
        <v/>
      </c>
      <c r="N737" s="14" t="str">
        <f aca="false">IF($B737="","",COUNTIFS($B$3:$B737,$B737))</f>
        <v/>
      </c>
      <c r="O737" s="14" t="str">
        <f aca="false">IF($B737="","",$B737&amp;"|"&amp;$N737)</f>
        <v/>
      </c>
    </row>
    <row r="738" customFormat="false" ht="15" hidden="false" customHeight="false" outlineLevel="0" collapsed="false">
      <c r="A738" s="12"/>
      <c r="B738" s="9"/>
      <c r="C738" s="9"/>
      <c r="D738" s="9"/>
      <c r="E738" s="9"/>
      <c r="F738" s="9"/>
      <c r="G738" s="9"/>
      <c r="H738" s="7"/>
      <c r="I738" s="13" t="str">
        <f aca="false">IF(OR($G738="",$H738=""),"",ROUND($G738*$H738,0))</f>
        <v/>
      </c>
      <c r="J738" s="8"/>
      <c r="K738" s="13" t="str">
        <f aca="false">IF($B738="","",SUMIFS($I$3:$I$2002,$B$3:$B$2002,$B738))</f>
        <v/>
      </c>
      <c r="L738" s="13" t="str">
        <f aca="false">IF($B738="","",IF(COUNTIFS($B$3:$B738,$B738)&gt;1,0,IFERROR(LOOKUP($K738,배송비규정!$A$3:$A$32,배송비규정!$B$3:$B$32),0)+IFERROR(INDEX(지역추가비!$B$3:$B$42,MATCH($J738,지역추가비!$A$3:$A$42,0)),0)))</f>
        <v/>
      </c>
      <c r="M738" s="13" t="str">
        <f aca="false">IF($B738="","",IF(COUNTIFS($B$3:$B738,$B738)&gt;1,"",$K738+$L738))</f>
        <v/>
      </c>
      <c r="N738" s="14" t="str">
        <f aca="false">IF($B738="","",COUNTIFS($B$3:$B738,$B738))</f>
        <v/>
      </c>
      <c r="O738" s="14" t="str">
        <f aca="false">IF($B738="","",$B738&amp;"|"&amp;$N738)</f>
        <v/>
      </c>
    </row>
    <row r="739" customFormat="false" ht="15" hidden="false" customHeight="false" outlineLevel="0" collapsed="false">
      <c r="A739" s="12"/>
      <c r="B739" s="9"/>
      <c r="C739" s="9"/>
      <c r="D739" s="9"/>
      <c r="E739" s="9"/>
      <c r="F739" s="9"/>
      <c r="G739" s="9"/>
      <c r="H739" s="7"/>
      <c r="I739" s="13" t="str">
        <f aca="false">IF(OR($G739="",$H739=""),"",ROUND($G739*$H739,0))</f>
        <v/>
      </c>
      <c r="J739" s="8"/>
      <c r="K739" s="13" t="str">
        <f aca="false">IF($B739="","",SUMIFS($I$3:$I$2002,$B$3:$B$2002,$B739))</f>
        <v/>
      </c>
      <c r="L739" s="13" t="str">
        <f aca="false">IF($B739="","",IF(COUNTIFS($B$3:$B739,$B739)&gt;1,0,IFERROR(LOOKUP($K739,배송비규정!$A$3:$A$32,배송비규정!$B$3:$B$32),0)+IFERROR(INDEX(지역추가비!$B$3:$B$42,MATCH($J739,지역추가비!$A$3:$A$42,0)),0)))</f>
        <v/>
      </c>
      <c r="M739" s="13" t="str">
        <f aca="false">IF($B739="","",IF(COUNTIFS($B$3:$B739,$B739)&gt;1,"",$K739+$L739))</f>
        <v/>
      </c>
      <c r="N739" s="14" t="str">
        <f aca="false">IF($B739="","",COUNTIFS($B$3:$B739,$B739))</f>
        <v/>
      </c>
      <c r="O739" s="14" t="str">
        <f aca="false">IF($B739="","",$B739&amp;"|"&amp;$N739)</f>
        <v/>
      </c>
    </row>
    <row r="740" customFormat="false" ht="15" hidden="false" customHeight="false" outlineLevel="0" collapsed="false">
      <c r="A740" s="12"/>
      <c r="B740" s="9"/>
      <c r="C740" s="9"/>
      <c r="D740" s="9"/>
      <c r="E740" s="9"/>
      <c r="F740" s="9"/>
      <c r="G740" s="9"/>
      <c r="H740" s="7"/>
      <c r="I740" s="13" t="str">
        <f aca="false">IF(OR($G740="",$H740=""),"",ROUND($G740*$H740,0))</f>
        <v/>
      </c>
      <c r="J740" s="8"/>
      <c r="K740" s="13" t="str">
        <f aca="false">IF($B740="","",SUMIFS($I$3:$I$2002,$B$3:$B$2002,$B740))</f>
        <v/>
      </c>
      <c r="L740" s="13" t="str">
        <f aca="false">IF($B740="","",IF(COUNTIFS($B$3:$B740,$B740)&gt;1,0,IFERROR(LOOKUP($K740,배송비규정!$A$3:$A$32,배송비규정!$B$3:$B$32),0)+IFERROR(INDEX(지역추가비!$B$3:$B$42,MATCH($J740,지역추가비!$A$3:$A$42,0)),0)))</f>
        <v/>
      </c>
      <c r="M740" s="13" t="str">
        <f aca="false">IF($B740="","",IF(COUNTIFS($B$3:$B740,$B740)&gt;1,"",$K740+$L740))</f>
        <v/>
      </c>
      <c r="N740" s="14" t="str">
        <f aca="false">IF($B740="","",COUNTIFS($B$3:$B740,$B740))</f>
        <v/>
      </c>
      <c r="O740" s="14" t="str">
        <f aca="false">IF($B740="","",$B740&amp;"|"&amp;$N740)</f>
        <v/>
      </c>
    </row>
    <row r="741" customFormat="false" ht="15" hidden="false" customHeight="false" outlineLevel="0" collapsed="false">
      <c r="A741" s="12"/>
      <c r="B741" s="9"/>
      <c r="C741" s="9"/>
      <c r="D741" s="9"/>
      <c r="E741" s="9"/>
      <c r="F741" s="9"/>
      <c r="G741" s="9"/>
      <c r="H741" s="7"/>
      <c r="I741" s="13" t="str">
        <f aca="false">IF(OR($G741="",$H741=""),"",ROUND($G741*$H741,0))</f>
        <v/>
      </c>
      <c r="J741" s="8"/>
      <c r="K741" s="13" t="str">
        <f aca="false">IF($B741="","",SUMIFS($I$3:$I$2002,$B$3:$B$2002,$B741))</f>
        <v/>
      </c>
      <c r="L741" s="13" t="str">
        <f aca="false">IF($B741="","",IF(COUNTIFS($B$3:$B741,$B741)&gt;1,0,IFERROR(LOOKUP($K741,배송비규정!$A$3:$A$32,배송비규정!$B$3:$B$32),0)+IFERROR(INDEX(지역추가비!$B$3:$B$42,MATCH($J741,지역추가비!$A$3:$A$42,0)),0)))</f>
        <v/>
      </c>
      <c r="M741" s="13" t="str">
        <f aca="false">IF($B741="","",IF(COUNTIFS($B$3:$B741,$B741)&gt;1,"",$K741+$L741))</f>
        <v/>
      </c>
      <c r="N741" s="14" t="str">
        <f aca="false">IF($B741="","",COUNTIFS($B$3:$B741,$B741))</f>
        <v/>
      </c>
      <c r="O741" s="14" t="str">
        <f aca="false">IF($B741="","",$B741&amp;"|"&amp;$N741)</f>
        <v/>
      </c>
    </row>
    <row r="742" customFormat="false" ht="15" hidden="false" customHeight="false" outlineLevel="0" collapsed="false">
      <c r="A742" s="12"/>
      <c r="B742" s="9"/>
      <c r="C742" s="9"/>
      <c r="D742" s="9"/>
      <c r="E742" s="9"/>
      <c r="F742" s="9"/>
      <c r="G742" s="9"/>
      <c r="H742" s="7"/>
      <c r="I742" s="13" t="str">
        <f aca="false">IF(OR($G742="",$H742=""),"",ROUND($G742*$H742,0))</f>
        <v/>
      </c>
      <c r="J742" s="8"/>
      <c r="K742" s="13" t="str">
        <f aca="false">IF($B742="","",SUMIFS($I$3:$I$2002,$B$3:$B$2002,$B742))</f>
        <v/>
      </c>
      <c r="L742" s="13" t="str">
        <f aca="false">IF($B742="","",IF(COUNTIFS($B$3:$B742,$B742)&gt;1,0,IFERROR(LOOKUP($K742,배송비규정!$A$3:$A$32,배송비규정!$B$3:$B$32),0)+IFERROR(INDEX(지역추가비!$B$3:$B$42,MATCH($J742,지역추가비!$A$3:$A$42,0)),0)))</f>
        <v/>
      </c>
      <c r="M742" s="13" t="str">
        <f aca="false">IF($B742="","",IF(COUNTIFS($B$3:$B742,$B742)&gt;1,"",$K742+$L742))</f>
        <v/>
      </c>
      <c r="N742" s="14" t="str">
        <f aca="false">IF($B742="","",COUNTIFS($B$3:$B742,$B742))</f>
        <v/>
      </c>
      <c r="O742" s="14" t="str">
        <f aca="false">IF($B742="","",$B742&amp;"|"&amp;$N742)</f>
        <v/>
      </c>
    </row>
    <row r="743" customFormat="false" ht="15" hidden="false" customHeight="false" outlineLevel="0" collapsed="false">
      <c r="A743" s="12"/>
      <c r="B743" s="9"/>
      <c r="C743" s="9"/>
      <c r="D743" s="9"/>
      <c r="E743" s="9"/>
      <c r="F743" s="9"/>
      <c r="G743" s="9"/>
      <c r="H743" s="7"/>
      <c r="I743" s="13" t="str">
        <f aca="false">IF(OR($G743="",$H743=""),"",ROUND($G743*$H743,0))</f>
        <v/>
      </c>
      <c r="J743" s="8"/>
      <c r="K743" s="13" t="str">
        <f aca="false">IF($B743="","",SUMIFS($I$3:$I$2002,$B$3:$B$2002,$B743))</f>
        <v/>
      </c>
      <c r="L743" s="13" t="str">
        <f aca="false">IF($B743="","",IF(COUNTIFS($B$3:$B743,$B743)&gt;1,0,IFERROR(LOOKUP($K743,배송비규정!$A$3:$A$32,배송비규정!$B$3:$B$32),0)+IFERROR(INDEX(지역추가비!$B$3:$B$42,MATCH($J743,지역추가비!$A$3:$A$42,0)),0)))</f>
        <v/>
      </c>
      <c r="M743" s="13" t="str">
        <f aca="false">IF($B743="","",IF(COUNTIFS($B$3:$B743,$B743)&gt;1,"",$K743+$L743))</f>
        <v/>
      </c>
      <c r="N743" s="14" t="str">
        <f aca="false">IF($B743="","",COUNTIFS($B$3:$B743,$B743))</f>
        <v/>
      </c>
      <c r="O743" s="14" t="str">
        <f aca="false">IF($B743="","",$B743&amp;"|"&amp;$N743)</f>
        <v/>
      </c>
    </row>
    <row r="744" customFormat="false" ht="15" hidden="false" customHeight="false" outlineLevel="0" collapsed="false">
      <c r="A744" s="12"/>
      <c r="B744" s="9"/>
      <c r="C744" s="9"/>
      <c r="D744" s="9"/>
      <c r="E744" s="9"/>
      <c r="F744" s="9"/>
      <c r="G744" s="9"/>
      <c r="H744" s="7"/>
      <c r="I744" s="13" t="str">
        <f aca="false">IF(OR($G744="",$H744=""),"",ROUND($G744*$H744,0))</f>
        <v/>
      </c>
      <c r="J744" s="8"/>
      <c r="K744" s="13" t="str">
        <f aca="false">IF($B744="","",SUMIFS($I$3:$I$2002,$B$3:$B$2002,$B744))</f>
        <v/>
      </c>
      <c r="L744" s="13" t="str">
        <f aca="false">IF($B744="","",IF(COUNTIFS($B$3:$B744,$B744)&gt;1,0,IFERROR(LOOKUP($K744,배송비규정!$A$3:$A$32,배송비규정!$B$3:$B$32),0)+IFERROR(INDEX(지역추가비!$B$3:$B$42,MATCH($J744,지역추가비!$A$3:$A$42,0)),0)))</f>
        <v/>
      </c>
      <c r="M744" s="13" t="str">
        <f aca="false">IF($B744="","",IF(COUNTIFS($B$3:$B744,$B744)&gt;1,"",$K744+$L744))</f>
        <v/>
      </c>
      <c r="N744" s="14" t="str">
        <f aca="false">IF($B744="","",COUNTIFS($B$3:$B744,$B744))</f>
        <v/>
      </c>
      <c r="O744" s="14" t="str">
        <f aca="false">IF($B744="","",$B744&amp;"|"&amp;$N744)</f>
        <v/>
      </c>
    </row>
    <row r="745" customFormat="false" ht="15" hidden="false" customHeight="false" outlineLevel="0" collapsed="false">
      <c r="A745" s="12"/>
      <c r="B745" s="9"/>
      <c r="C745" s="9"/>
      <c r="D745" s="9"/>
      <c r="E745" s="9"/>
      <c r="F745" s="9"/>
      <c r="G745" s="9"/>
      <c r="H745" s="7"/>
      <c r="I745" s="13" t="str">
        <f aca="false">IF(OR($G745="",$H745=""),"",ROUND($G745*$H745,0))</f>
        <v/>
      </c>
      <c r="J745" s="8"/>
      <c r="K745" s="13" t="str">
        <f aca="false">IF($B745="","",SUMIFS($I$3:$I$2002,$B$3:$B$2002,$B745))</f>
        <v/>
      </c>
      <c r="L745" s="13" t="str">
        <f aca="false">IF($B745="","",IF(COUNTIFS($B$3:$B745,$B745)&gt;1,0,IFERROR(LOOKUP($K745,배송비규정!$A$3:$A$32,배송비규정!$B$3:$B$32),0)+IFERROR(INDEX(지역추가비!$B$3:$B$42,MATCH($J745,지역추가비!$A$3:$A$42,0)),0)))</f>
        <v/>
      </c>
      <c r="M745" s="13" t="str">
        <f aca="false">IF($B745="","",IF(COUNTIFS($B$3:$B745,$B745)&gt;1,"",$K745+$L745))</f>
        <v/>
      </c>
      <c r="N745" s="14" t="str">
        <f aca="false">IF($B745="","",COUNTIFS($B$3:$B745,$B745))</f>
        <v/>
      </c>
      <c r="O745" s="14" t="str">
        <f aca="false">IF($B745="","",$B745&amp;"|"&amp;$N745)</f>
        <v/>
      </c>
    </row>
    <row r="746" customFormat="false" ht="15" hidden="false" customHeight="false" outlineLevel="0" collapsed="false">
      <c r="A746" s="12"/>
      <c r="B746" s="9"/>
      <c r="C746" s="9"/>
      <c r="D746" s="9"/>
      <c r="E746" s="9"/>
      <c r="F746" s="9"/>
      <c r="G746" s="9"/>
      <c r="H746" s="7"/>
      <c r="I746" s="13" t="str">
        <f aca="false">IF(OR($G746="",$H746=""),"",ROUND($G746*$H746,0))</f>
        <v/>
      </c>
      <c r="J746" s="8"/>
      <c r="K746" s="13" t="str">
        <f aca="false">IF($B746="","",SUMIFS($I$3:$I$2002,$B$3:$B$2002,$B746))</f>
        <v/>
      </c>
      <c r="L746" s="13" t="str">
        <f aca="false">IF($B746="","",IF(COUNTIFS($B$3:$B746,$B746)&gt;1,0,IFERROR(LOOKUP($K746,배송비규정!$A$3:$A$32,배송비규정!$B$3:$B$32),0)+IFERROR(INDEX(지역추가비!$B$3:$B$42,MATCH($J746,지역추가비!$A$3:$A$42,0)),0)))</f>
        <v/>
      </c>
      <c r="M746" s="13" t="str">
        <f aca="false">IF($B746="","",IF(COUNTIFS($B$3:$B746,$B746)&gt;1,"",$K746+$L746))</f>
        <v/>
      </c>
      <c r="N746" s="14" t="str">
        <f aca="false">IF($B746="","",COUNTIFS($B$3:$B746,$B746))</f>
        <v/>
      </c>
      <c r="O746" s="14" t="str">
        <f aca="false">IF($B746="","",$B746&amp;"|"&amp;$N746)</f>
        <v/>
      </c>
    </row>
    <row r="747" customFormat="false" ht="15" hidden="false" customHeight="false" outlineLevel="0" collapsed="false">
      <c r="A747" s="12"/>
      <c r="B747" s="9"/>
      <c r="C747" s="9"/>
      <c r="D747" s="9"/>
      <c r="E747" s="9"/>
      <c r="F747" s="9"/>
      <c r="G747" s="9"/>
      <c r="H747" s="7"/>
      <c r="I747" s="13" t="str">
        <f aca="false">IF(OR($G747="",$H747=""),"",ROUND($G747*$H747,0))</f>
        <v/>
      </c>
      <c r="J747" s="8"/>
      <c r="K747" s="13" t="str">
        <f aca="false">IF($B747="","",SUMIFS($I$3:$I$2002,$B$3:$B$2002,$B747))</f>
        <v/>
      </c>
      <c r="L747" s="13" t="str">
        <f aca="false">IF($B747="","",IF(COUNTIFS($B$3:$B747,$B747)&gt;1,0,IFERROR(LOOKUP($K747,배송비규정!$A$3:$A$32,배송비규정!$B$3:$B$32),0)+IFERROR(INDEX(지역추가비!$B$3:$B$42,MATCH($J747,지역추가비!$A$3:$A$42,0)),0)))</f>
        <v/>
      </c>
      <c r="M747" s="13" t="str">
        <f aca="false">IF($B747="","",IF(COUNTIFS($B$3:$B747,$B747)&gt;1,"",$K747+$L747))</f>
        <v/>
      </c>
      <c r="N747" s="14" t="str">
        <f aca="false">IF($B747="","",COUNTIFS($B$3:$B747,$B747))</f>
        <v/>
      </c>
      <c r="O747" s="14" t="str">
        <f aca="false">IF($B747="","",$B747&amp;"|"&amp;$N747)</f>
        <v/>
      </c>
    </row>
    <row r="748" customFormat="false" ht="15" hidden="false" customHeight="false" outlineLevel="0" collapsed="false">
      <c r="A748" s="12"/>
      <c r="B748" s="9"/>
      <c r="C748" s="9"/>
      <c r="D748" s="9"/>
      <c r="E748" s="9"/>
      <c r="F748" s="9"/>
      <c r="G748" s="9"/>
      <c r="H748" s="7"/>
      <c r="I748" s="13" t="str">
        <f aca="false">IF(OR($G748="",$H748=""),"",ROUND($G748*$H748,0))</f>
        <v/>
      </c>
      <c r="J748" s="8"/>
      <c r="K748" s="13" t="str">
        <f aca="false">IF($B748="","",SUMIFS($I$3:$I$2002,$B$3:$B$2002,$B748))</f>
        <v/>
      </c>
      <c r="L748" s="13" t="str">
        <f aca="false">IF($B748="","",IF(COUNTIFS($B$3:$B748,$B748)&gt;1,0,IFERROR(LOOKUP($K748,배송비규정!$A$3:$A$32,배송비규정!$B$3:$B$32),0)+IFERROR(INDEX(지역추가비!$B$3:$B$42,MATCH($J748,지역추가비!$A$3:$A$42,0)),0)))</f>
        <v/>
      </c>
      <c r="M748" s="13" t="str">
        <f aca="false">IF($B748="","",IF(COUNTIFS($B$3:$B748,$B748)&gt;1,"",$K748+$L748))</f>
        <v/>
      </c>
      <c r="N748" s="14" t="str">
        <f aca="false">IF($B748="","",COUNTIFS($B$3:$B748,$B748))</f>
        <v/>
      </c>
      <c r="O748" s="14" t="str">
        <f aca="false">IF($B748="","",$B748&amp;"|"&amp;$N748)</f>
        <v/>
      </c>
    </row>
    <row r="749" customFormat="false" ht="15" hidden="false" customHeight="false" outlineLevel="0" collapsed="false">
      <c r="A749" s="12"/>
      <c r="B749" s="9"/>
      <c r="C749" s="9"/>
      <c r="D749" s="9"/>
      <c r="E749" s="9"/>
      <c r="F749" s="9"/>
      <c r="G749" s="9"/>
      <c r="H749" s="7"/>
      <c r="I749" s="13" t="str">
        <f aca="false">IF(OR($G749="",$H749=""),"",ROUND($G749*$H749,0))</f>
        <v/>
      </c>
      <c r="J749" s="8"/>
      <c r="K749" s="13" t="str">
        <f aca="false">IF($B749="","",SUMIFS($I$3:$I$2002,$B$3:$B$2002,$B749))</f>
        <v/>
      </c>
      <c r="L749" s="13" t="str">
        <f aca="false">IF($B749="","",IF(COUNTIFS($B$3:$B749,$B749)&gt;1,0,IFERROR(LOOKUP($K749,배송비규정!$A$3:$A$32,배송비규정!$B$3:$B$32),0)+IFERROR(INDEX(지역추가비!$B$3:$B$42,MATCH($J749,지역추가비!$A$3:$A$42,0)),0)))</f>
        <v/>
      </c>
      <c r="M749" s="13" t="str">
        <f aca="false">IF($B749="","",IF(COUNTIFS($B$3:$B749,$B749)&gt;1,"",$K749+$L749))</f>
        <v/>
      </c>
      <c r="N749" s="14" t="str">
        <f aca="false">IF($B749="","",COUNTIFS($B$3:$B749,$B749))</f>
        <v/>
      </c>
      <c r="O749" s="14" t="str">
        <f aca="false">IF($B749="","",$B749&amp;"|"&amp;$N749)</f>
        <v/>
      </c>
    </row>
    <row r="750" customFormat="false" ht="15" hidden="false" customHeight="false" outlineLevel="0" collapsed="false">
      <c r="A750" s="12"/>
      <c r="B750" s="9"/>
      <c r="C750" s="9"/>
      <c r="D750" s="9"/>
      <c r="E750" s="9"/>
      <c r="F750" s="9"/>
      <c r="G750" s="9"/>
      <c r="H750" s="7"/>
      <c r="I750" s="13" t="str">
        <f aca="false">IF(OR($G750="",$H750=""),"",ROUND($G750*$H750,0))</f>
        <v/>
      </c>
      <c r="J750" s="8"/>
      <c r="K750" s="13" t="str">
        <f aca="false">IF($B750="","",SUMIFS($I$3:$I$2002,$B$3:$B$2002,$B750))</f>
        <v/>
      </c>
      <c r="L750" s="13" t="str">
        <f aca="false">IF($B750="","",IF(COUNTIFS($B$3:$B750,$B750)&gt;1,0,IFERROR(LOOKUP($K750,배송비규정!$A$3:$A$32,배송비규정!$B$3:$B$32),0)+IFERROR(INDEX(지역추가비!$B$3:$B$42,MATCH($J750,지역추가비!$A$3:$A$42,0)),0)))</f>
        <v/>
      </c>
      <c r="M750" s="13" t="str">
        <f aca="false">IF($B750="","",IF(COUNTIFS($B$3:$B750,$B750)&gt;1,"",$K750+$L750))</f>
        <v/>
      </c>
      <c r="N750" s="14" t="str">
        <f aca="false">IF($B750="","",COUNTIFS($B$3:$B750,$B750))</f>
        <v/>
      </c>
      <c r="O750" s="14" t="str">
        <f aca="false">IF($B750="","",$B750&amp;"|"&amp;$N750)</f>
        <v/>
      </c>
    </row>
    <row r="751" customFormat="false" ht="15" hidden="false" customHeight="false" outlineLevel="0" collapsed="false">
      <c r="A751" s="12"/>
      <c r="B751" s="9"/>
      <c r="C751" s="9"/>
      <c r="D751" s="9"/>
      <c r="E751" s="9"/>
      <c r="F751" s="9"/>
      <c r="G751" s="9"/>
      <c r="H751" s="7"/>
      <c r="I751" s="13" t="str">
        <f aca="false">IF(OR($G751="",$H751=""),"",ROUND($G751*$H751,0))</f>
        <v/>
      </c>
      <c r="J751" s="8"/>
      <c r="K751" s="13" t="str">
        <f aca="false">IF($B751="","",SUMIFS($I$3:$I$2002,$B$3:$B$2002,$B751))</f>
        <v/>
      </c>
      <c r="L751" s="13" t="str">
        <f aca="false">IF($B751="","",IF(COUNTIFS($B$3:$B751,$B751)&gt;1,0,IFERROR(LOOKUP($K751,배송비규정!$A$3:$A$32,배송비규정!$B$3:$B$32),0)+IFERROR(INDEX(지역추가비!$B$3:$B$42,MATCH($J751,지역추가비!$A$3:$A$42,0)),0)))</f>
        <v/>
      </c>
      <c r="M751" s="13" t="str">
        <f aca="false">IF($B751="","",IF(COUNTIFS($B$3:$B751,$B751)&gt;1,"",$K751+$L751))</f>
        <v/>
      </c>
      <c r="N751" s="14" t="str">
        <f aca="false">IF($B751="","",COUNTIFS($B$3:$B751,$B751))</f>
        <v/>
      </c>
      <c r="O751" s="14" t="str">
        <f aca="false">IF($B751="","",$B751&amp;"|"&amp;$N751)</f>
        <v/>
      </c>
    </row>
    <row r="752" customFormat="false" ht="15" hidden="false" customHeight="false" outlineLevel="0" collapsed="false">
      <c r="A752" s="12"/>
      <c r="B752" s="9"/>
      <c r="C752" s="9"/>
      <c r="D752" s="9"/>
      <c r="E752" s="9"/>
      <c r="F752" s="9"/>
      <c r="G752" s="9"/>
      <c r="H752" s="7"/>
      <c r="I752" s="13" t="str">
        <f aca="false">IF(OR($G752="",$H752=""),"",ROUND($G752*$H752,0))</f>
        <v/>
      </c>
      <c r="J752" s="8"/>
      <c r="K752" s="13" t="str">
        <f aca="false">IF($B752="","",SUMIFS($I$3:$I$2002,$B$3:$B$2002,$B752))</f>
        <v/>
      </c>
      <c r="L752" s="13" t="str">
        <f aca="false">IF($B752="","",IF(COUNTIFS($B$3:$B752,$B752)&gt;1,0,IFERROR(LOOKUP($K752,배송비규정!$A$3:$A$32,배송비규정!$B$3:$B$32),0)+IFERROR(INDEX(지역추가비!$B$3:$B$42,MATCH($J752,지역추가비!$A$3:$A$42,0)),0)))</f>
        <v/>
      </c>
      <c r="M752" s="13" t="str">
        <f aca="false">IF($B752="","",IF(COUNTIFS($B$3:$B752,$B752)&gt;1,"",$K752+$L752))</f>
        <v/>
      </c>
      <c r="N752" s="14" t="str">
        <f aca="false">IF($B752="","",COUNTIFS($B$3:$B752,$B752))</f>
        <v/>
      </c>
      <c r="O752" s="14" t="str">
        <f aca="false">IF($B752="","",$B752&amp;"|"&amp;$N752)</f>
        <v/>
      </c>
    </row>
    <row r="753" customFormat="false" ht="15" hidden="false" customHeight="false" outlineLevel="0" collapsed="false">
      <c r="A753" s="12"/>
      <c r="B753" s="9"/>
      <c r="C753" s="9"/>
      <c r="D753" s="9"/>
      <c r="E753" s="9"/>
      <c r="F753" s="9"/>
      <c r="G753" s="9"/>
      <c r="H753" s="7"/>
      <c r="I753" s="13" t="str">
        <f aca="false">IF(OR($G753="",$H753=""),"",ROUND($G753*$H753,0))</f>
        <v/>
      </c>
      <c r="J753" s="8"/>
      <c r="K753" s="13" t="str">
        <f aca="false">IF($B753="","",SUMIFS($I$3:$I$2002,$B$3:$B$2002,$B753))</f>
        <v/>
      </c>
      <c r="L753" s="13" t="str">
        <f aca="false">IF($B753="","",IF(COUNTIFS($B$3:$B753,$B753)&gt;1,0,IFERROR(LOOKUP($K753,배송비규정!$A$3:$A$32,배송비규정!$B$3:$B$32),0)+IFERROR(INDEX(지역추가비!$B$3:$B$42,MATCH($J753,지역추가비!$A$3:$A$42,0)),0)))</f>
        <v/>
      </c>
      <c r="M753" s="13" t="str">
        <f aca="false">IF($B753="","",IF(COUNTIFS($B$3:$B753,$B753)&gt;1,"",$K753+$L753))</f>
        <v/>
      </c>
      <c r="N753" s="14" t="str">
        <f aca="false">IF($B753="","",COUNTIFS($B$3:$B753,$B753))</f>
        <v/>
      </c>
      <c r="O753" s="14" t="str">
        <f aca="false">IF($B753="","",$B753&amp;"|"&amp;$N753)</f>
        <v/>
      </c>
    </row>
    <row r="754" customFormat="false" ht="15" hidden="false" customHeight="false" outlineLevel="0" collapsed="false">
      <c r="A754" s="12"/>
      <c r="B754" s="9"/>
      <c r="C754" s="9"/>
      <c r="D754" s="9"/>
      <c r="E754" s="9"/>
      <c r="F754" s="9"/>
      <c r="G754" s="9"/>
      <c r="H754" s="7"/>
      <c r="I754" s="13" t="str">
        <f aca="false">IF(OR($G754="",$H754=""),"",ROUND($G754*$H754,0))</f>
        <v/>
      </c>
      <c r="J754" s="8"/>
      <c r="K754" s="13" t="str">
        <f aca="false">IF($B754="","",SUMIFS($I$3:$I$2002,$B$3:$B$2002,$B754))</f>
        <v/>
      </c>
      <c r="L754" s="13" t="str">
        <f aca="false">IF($B754="","",IF(COUNTIFS($B$3:$B754,$B754)&gt;1,0,IFERROR(LOOKUP($K754,배송비규정!$A$3:$A$32,배송비규정!$B$3:$B$32),0)+IFERROR(INDEX(지역추가비!$B$3:$B$42,MATCH($J754,지역추가비!$A$3:$A$42,0)),0)))</f>
        <v/>
      </c>
      <c r="M754" s="13" t="str">
        <f aca="false">IF($B754="","",IF(COUNTIFS($B$3:$B754,$B754)&gt;1,"",$K754+$L754))</f>
        <v/>
      </c>
      <c r="N754" s="14" t="str">
        <f aca="false">IF($B754="","",COUNTIFS($B$3:$B754,$B754))</f>
        <v/>
      </c>
      <c r="O754" s="14" t="str">
        <f aca="false">IF($B754="","",$B754&amp;"|"&amp;$N754)</f>
        <v/>
      </c>
    </row>
    <row r="755" customFormat="false" ht="15" hidden="false" customHeight="false" outlineLevel="0" collapsed="false">
      <c r="A755" s="12"/>
      <c r="B755" s="9"/>
      <c r="C755" s="9"/>
      <c r="D755" s="9"/>
      <c r="E755" s="9"/>
      <c r="F755" s="9"/>
      <c r="G755" s="9"/>
      <c r="H755" s="7"/>
      <c r="I755" s="13" t="str">
        <f aca="false">IF(OR($G755="",$H755=""),"",ROUND($G755*$H755,0))</f>
        <v/>
      </c>
      <c r="J755" s="8"/>
      <c r="K755" s="13" t="str">
        <f aca="false">IF($B755="","",SUMIFS($I$3:$I$2002,$B$3:$B$2002,$B755))</f>
        <v/>
      </c>
      <c r="L755" s="13" t="str">
        <f aca="false">IF($B755="","",IF(COUNTIFS($B$3:$B755,$B755)&gt;1,0,IFERROR(LOOKUP($K755,배송비규정!$A$3:$A$32,배송비규정!$B$3:$B$32),0)+IFERROR(INDEX(지역추가비!$B$3:$B$42,MATCH($J755,지역추가비!$A$3:$A$42,0)),0)))</f>
        <v/>
      </c>
      <c r="M755" s="13" t="str">
        <f aca="false">IF($B755="","",IF(COUNTIFS($B$3:$B755,$B755)&gt;1,"",$K755+$L755))</f>
        <v/>
      </c>
      <c r="N755" s="14" t="str">
        <f aca="false">IF($B755="","",COUNTIFS($B$3:$B755,$B755))</f>
        <v/>
      </c>
      <c r="O755" s="14" t="str">
        <f aca="false">IF($B755="","",$B755&amp;"|"&amp;$N755)</f>
        <v/>
      </c>
    </row>
    <row r="756" customFormat="false" ht="15" hidden="false" customHeight="false" outlineLevel="0" collapsed="false">
      <c r="A756" s="12"/>
      <c r="B756" s="9"/>
      <c r="C756" s="9"/>
      <c r="D756" s="9"/>
      <c r="E756" s="9"/>
      <c r="F756" s="9"/>
      <c r="G756" s="9"/>
      <c r="H756" s="7"/>
      <c r="I756" s="13" t="str">
        <f aca="false">IF(OR($G756="",$H756=""),"",ROUND($G756*$H756,0))</f>
        <v/>
      </c>
      <c r="J756" s="8"/>
      <c r="K756" s="13" t="str">
        <f aca="false">IF($B756="","",SUMIFS($I$3:$I$2002,$B$3:$B$2002,$B756))</f>
        <v/>
      </c>
      <c r="L756" s="13" t="str">
        <f aca="false">IF($B756="","",IF(COUNTIFS($B$3:$B756,$B756)&gt;1,0,IFERROR(LOOKUP($K756,배송비규정!$A$3:$A$32,배송비규정!$B$3:$B$32),0)+IFERROR(INDEX(지역추가비!$B$3:$B$42,MATCH($J756,지역추가비!$A$3:$A$42,0)),0)))</f>
        <v/>
      </c>
      <c r="M756" s="13" t="str">
        <f aca="false">IF($B756="","",IF(COUNTIFS($B$3:$B756,$B756)&gt;1,"",$K756+$L756))</f>
        <v/>
      </c>
      <c r="N756" s="14" t="str">
        <f aca="false">IF($B756="","",COUNTIFS($B$3:$B756,$B756))</f>
        <v/>
      </c>
      <c r="O756" s="14" t="str">
        <f aca="false">IF($B756="","",$B756&amp;"|"&amp;$N756)</f>
        <v/>
      </c>
    </row>
    <row r="757" customFormat="false" ht="15" hidden="false" customHeight="false" outlineLevel="0" collapsed="false">
      <c r="A757" s="12"/>
      <c r="B757" s="9"/>
      <c r="C757" s="9"/>
      <c r="D757" s="9"/>
      <c r="E757" s="9"/>
      <c r="F757" s="9"/>
      <c r="G757" s="9"/>
      <c r="H757" s="7"/>
      <c r="I757" s="13" t="str">
        <f aca="false">IF(OR($G757="",$H757=""),"",ROUND($G757*$H757,0))</f>
        <v/>
      </c>
      <c r="J757" s="8"/>
      <c r="K757" s="13" t="str">
        <f aca="false">IF($B757="","",SUMIFS($I$3:$I$2002,$B$3:$B$2002,$B757))</f>
        <v/>
      </c>
      <c r="L757" s="13" t="str">
        <f aca="false">IF($B757="","",IF(COUNTIFS($B$3:$B757,$B757)&gt;1,0,IFERROR(LOOKUP($K757,배송비규정!$A$3:$A$32,배송비규정!$B$3:$B$32),0)+IFERROR(INDEX(지역추가비!$B$3:$B$42,MATCH($J757,지역추가비!$A$3:$A$42,0)),0)))</f>
        <v/>
      </c>
      <c r="M757" s="13" t="str">
        <f aca="false">IF($B757="","",IF(COUNTIFS($B$3:$B757,$B757)&gt;1,"",$K757+$L757))</f>
        <v/>
      </c>
      <c r="N757" s="14" t="str">
        <f aca="false">IF($B757="","",COUNTIFS($B$3:$B757,$B757))</f>
        <v/>
      </c>
      <c r="O757" s="14" t="str">
        <f aca="false">IF($B757="","",$B757&amp;"|"&amp;$N757)</f>
        <v/>
      </c>
    </row>
    <row r="758" customFormat="false" ht="15" hidden="false" customHeight="false" outlineLevel="0" collapsed="false">
      <c r="A758" s="12"/>
      <c r="B758" s="9"/>
      <c r="C758" s="9"/>
      <c r="D758" s="9"/>
      <c r="E758" s="9"/>
      <c r="F758" s="9"/>
      <c r="G758" s="9"/>
      <c r="H758" s="7"/>
      <c r="I758" s="13" t="str">
        <f aca="false">IF(OR($G758="",$H758=""),"",ROUND($G758*$H758,0))</f>
        <v/>
      </c>
      <c r="J758" s="8"/>
      <c r="K758" s="13" t="str">
        <f aca="false">IF($B758="","",SUMIFS($I$3:$I$2002,$B$3:$B$2002,$B758))</f>
        <v/>
      </c>
      <c r="L758" s="13" t="str">
        <f aca="false">IF($B758="","",IF(COUNTIFS($B$3:$B758,$B758)&gt;1,0,IFERROR(LOOKUP($K758,배송비규정!$A$3:$A$32,배송비규정!$B$3:$B$32),0)+IFERROR(INDEX(지역추가비!$B$3:$B$42,MATCH($J758,지역추가비!$A$3:$A$42,0)),0)))</f>
        <v/>
      </c>
      <c r="M758" s="13" t="str">
        <f aca="false">IF($B758="","",IF(COUNTIFS($B$3:$B758,$B758)&gt;1,"",$K758+$L758))</f>
        <v/>
      </c>
      <c r="N758" s="14" t="str">
        <f aca="false">IF($B758="","",COUNTIFS($B$3:$B758,$B758))</f>
        <v/>
      </c>
      <c r="O758" s="14" t="str">
        <f aca="false">IF($B758="","",$B758&amp;"|"&amp;$N758)</f>
        <v/>
      </c>
    </row>
    <row r="759" customFormat="false" ht="15" hidden="false" customHeight="false" outlineLevel="0" collapsed="false">
      <c r="A759" s="12"/>
      <c r="B759" s="9"/>
      <c r="C759" s="9"/>
      <c r="D759" s="9"/>
      <c r="E759" s="9"/>
      <c r="F759" s="9"/>
      <c r="G759" s="9"/>
      <c r="H759" s="7"/>
      <c r="I759" s="13" t="str">
        <f aca="false">IF(OR($G759="",$H759=""),"",ROUND($G759*$H759,0))</f>
        <v/>
      </c>
      <c r="J759" s="8"/>
      <c r="K759" s="13" t="str">
        <f aca="false">IF($B759="","",SUMIFS($I$3:$I$2002,$B$3:$B$2002,$B759))</f>
        <v/>
      </c>
      <c r="L759" s="13" t="str">
        <f aca="false">IF($B759="","",IF(COUNTIFS($B$3:$B759,$B759)&gt;1,0,IFERROR(LOOKUP($K759,배송비규정!$A$3:$A$32,배송비규정!$B$3:$B$32),0)+IFERROR(INDEX(지역추가비!$B$3:$B$42,MATCH($J759,지역추가비!$A$3:$A$42,0)),0)))</f>
        <v/>
      </c>
      <c r="M759" s="13" t="str">
        <f aca="false">IF($B759="","",IF(COUNTIFS($B$3:$B759,$B759)&gt;1,"",$K759+$L759))</f>
        <v/>
      </c>
      <c r="N759" s="14" t="str">
        <f aca="false">IF($B759="","",COUNTIFS($B$3:$B759,$B759))</f>
        <v/>
      </c>
      <c r="O759" s="14" t="str">
        <f aca="false">IF($B759="","",$B759&amp;"|"&amp;$N759)</f>
        <v/>
      </c>
    </row>
    <row r="760" customFormat="false" ht="15" hidden="false" customHeight="false" outlineLevel="0" collapsed="false">
      <c r="A760" s="12"/>
      <c r="B760" s="9"/>
      <c r="C760" s="9"/>
      <c r="D760" s="9"/>
      <c r="E760" s="9"/>
      <c r="F760" s="9"/>
      <c r="G760" s="9"/>
      <c r="H760" s="7"/>
      <c r="I760" s="13" t="str">
        <f aca="false">IF(OR($G760="",$H760=""),"",ROUND($G760*$H760,0))</f>
        <v/>
      </c>
      <c r="J760" s="8"/>
      <c r="K760" s="13" t="str">
        <f aca="false">IF($B760="","",SUMIFS($I$3:$I$2002,$B$3:$B$2002,$B760))</f>
        <v/>
      </c>
      <c r="L760" s="13" t="str">
        <f aca="false">IF($B760="","",IF(COUNTIFS($B$3:$B760,$B760)&gt;1,0,IFERROR(LOOKUP($K760,배송비규정!$A$3:$A$32,배송비규정!$B$3:$B$32),0)+IFERROR(INDEX(지역추가비!$B$3:$B$42,MATCH($J760,지역추가비!$A$3:$A$42,0)),0)))</f>
        <v/>
      </c>
      <c r="M760" s="13" t="str">
        <f aca="false">IF($B760="","",IF(COUNTIFS($B$3:$B760,$B760)&gt;1,"",$K760+$L760))</f>
        <v/>
      </c>
      <c r="N760" s="14" t="str">
        <f aca="false">IF($B760="","",COUNTIFS($B$3:$B760,$B760))</f>
        <v/>
      </c>
      <c r="O760" s="14" t="str">
        <f aca="false">IF($B760="","",$B760&amp;"|"&amp;$N760)</f>
        <v/>
      </c>
    </row>
    <row r="761" customFormat="false" ht="15" hidden="false" customHeight="false" outlineLevel="0" collapsed="false">
      <c r="A761" s="12"/>
      <c r="B761" s="9"/>
      <c r="C761" s="9"/>
      <c r="D761" s="9"/>
      <c r="E761" s="9"/>
      <c r="F761" s="9"/>
      <c r="G761" s="9"/>
      <c r="H761" s="7"/>
      <c r="I761" s="13" t="str">
        <f aca="false">IF(OR($G761="",$H761=""),"",ROUND($G761*$H761,0))</f>
        <v/>
      </c>
      <c r="J761" s="8"/>
      <c r="K761" s="13" t="str">
        <f aca="false">IF($B761="","",SUMIFS($I$3:$I$2002,$B$3:$B$2002,$B761))</f>
        <v/>
      </c>
      <c r="L761" s="13" t="str">
        <f aca="false">IF($B761="","",IF(COUNTIFS($B$3:$B761,$B761)&gt;1,0,IFERROR(LOOKUP($K761,배송비규정!$A$3:$A$32,배송비규정!$B$3:$B$32),0)+IFERROR(INDEX(지역추가비!$B$3:$B$42,MATCH($J761,지역추가비!$A$3:$A$42,0)),0)))</f>
        <v/>
      </c>
      <c r="M761" s="13" t="str">
        <f aca="false">IF($B761="","",IF(COUNTIFS($B$3:$B761,$B761)&gt;1,"",$K761+$L761))</f>
        <v/>
      </c>
      <c r="N761" s="14" t="str">
        <f aca="false">IF($B761="","",COUNTIFS($B$3:$B761,$B761))</f>
        <v/>
      </c>
      <c r="O761" s="14" t="str">
        <f aca="false">IF($B761="","",$B761&amp;"|"&amp;$N761)</f>
        <v/>
      </c>
    </row>
    <row r="762" customFormat="false" ht="15" hidden="false" customHeight="false" outlineLevel="0" collapsed="false">
      <c r="A762" s="12"/>
      <c r="B762" s="9"/>
      <c r="C762" s="9"/>
      <c r="D762" s="9"/>
      <c r="E762" s="9"/>
      <c r="F762" s="9"/>
      <c r="G762" s="9"/>
      <c r="H762" s="7"/>
      <c r="I762" s="13" t="str">
        <f aca="false">IF(OR($G762="",$H762=""),"",ROUND($G762*$H762,0))</f>
        <v/>
      </c>
      <c r="J762" s="8"/>
      <c r="K762" s="13" t="str">
        <f aca="false">IF($B762="","",SUMIFS($I$3:$I$2002,$B$3:$B$2002,$B762))</f>
        <v/>
      </c>
      <c r="L762" s="13" t="str">
        <f aca="false">IF($B762="","",IF(COUNTIFS($B$3:$B762,$B762)&gt;1,0,IFERROR(LOOKUP($K762,배송비규정!$A$3:$A$32,배송비규정!$B$3:$B$32),0)+IFERROR(INDEX(지역추가비!$B$3:$B$42,MATCH($J762,지역추가비!$A$3:$A$42,0)),0)))</f>
        <v/>
      </c>
      <c r="M762" s="13" t="str">
        <f aca="false">IF($B762="","",IF(COUNTIFS($B$3:$B762,$B762)&gt;1,"",$K762+$L762))</f>
        <v/>
      </c>
      <c r="N762" s="14" t="str">
        <f aca="false">IF($B762="","",COUNTIFS($B$3:$B762,$B762))</f>
        <v/>
      </c>
      <c r="O762" s="14" t="str">
        <f aca="false">IF($B762="","",$B762&amp;"|"&amp;$N762)</f>
        <v/>
      </c>
    </row>
    <row r="763" customFormat="false" ht="15" hidden="false" customHeight="false" outlineLevel="0" collapsed="false">
      <c r="A763" s="12"/>
      <c r="B763" s="9"/>
      <c r="C763" s="9"/>
      <c r="D763" s="9"/>
      <c r="E763" s="9"/>
      <c r="F763" s="9"/>
      <c r="G763" s="9"/>
      <c r="H763" s="7"/>
      <c r="I763" s="13" t="str">
        <f aca="false">IF(OR($G763="",$H763=""),"",ROUND($G763*$H763,0))</f>
        <v/>
      </c>
      <c r="J763" s="8"/>
      <c r="K763" s="13" t="str">
        <f aca="false">IF($B763="","",SUMIFS($I$3:$I$2002,$B$3:$B$2002,$B763))</f>
        <v/>
      </c>
      <c r="L763" s="13" t="str">
        <f aca="false">IF($B763="","",IF(COUNTIFS($B$3:$B763,$B763)&gt;1,0,IFERROR(LOOKUP($K763,배송비규정!$A$3:$A$32,배송비규정!$B$3:$B$32),0)+IFERROR(INDEX(지역추가비!$B$3:$B$42,MATCH($J763,지역추가비!$A$3:$A$42,0)),0)))</f>
        <v/>
      </c>
      <c r="M763" s="13" t="str">
        <f aca="false">IF($B763="","",IF(COUNTIFS($B$3:$B763,$B763)&gt;1,"",$K763+$L763))</f>
        <v/>
      </c>
      <c r="N763" s="14" t="str">
        <f aca="false">IF($B763="","",COUNTIFS($B$3:$B763,$B763))</f>
        <v/>
      </c>
      <c r="O763" s="14" t="str">
        <f aca="false">IF($B763="","",$B763&amp;"|"&amp;$N763)</f>
        <v/>
      </c>
    </row>
    <row r="764" customFormat="false" ht="15" hidden="false" customHeight="false" outlineLevel="0" collapsed="false">
      <c r="A764" s="12"/>
      <c r="B764" s="9"/>
      <c r="C764" s="9"/>
      <c r="D764" s="9"/>
      <c r="E764" s="9"/>
      <c r="F764" s="9"/>
      <c r="G764" s="9"/>
      <c r="H764" s="7"/>
      <c r="I764" s="13" t="str">
        <f aca="false">IF(OR($G764="",$H764=""),"",ROUND($G764*$H764,0))</f>
        <v/>
      </c>
      <c r="J764" s="8"/>
      <c r="K764" s="13" t="str">
        <f aca="false">IF($B764="","",SUMIFS($I$3:$I$2002,$B$3:$B$2002,$B764))</f>
        <v/>
      </c>
      <c r="L764" s="13" t="str">
        <f aca="false">IF($B764="","",IF(COUNTIFS($B$3:$B764,$B764)&gt;1,0,IFERROR(LOOKUP($K764,배송비규정!$A$3:$A$32,배송비규정!$B$3:$B$32),0)+IFERROR(INDEX(지역추가비!$B$3:$B$42,MATCH($J764,지역추가비!$A$3:$A$42,0)),0)))</f>
        <v/>
      </c>
      <c r="M764" s="13" t="str">
        <f aca="false">IF($B764="","",IF(COUNTIFS($B$3:$B764,$B764)&gt;1,"",$K764+$L764))</f>
        <v/>
      </c>
      <c r="N764" s="14" t="str">
        <f aca="false">IF($B764="","",COUNTIFS($B$3:$B764,$B764))</f>
        <v/>
      </c>
      <c r="O764" s="14" t="str">
        <f aca="false">IF($B764="","",$B764&amp;"|"&amp;$N764)</f>
        <v/>
      </c>
    </row>
    <row r="765" customFormat="false" ht="15" hidden="false" customHeight="false" outlineLevel="0" collapsed="false">
      <c r="A765" s="12"/>
      <c r="B765" s="9"/>
      <c r="C765" s="9"/>
      <c r="D765" s="9"/>
      <c r="E765" s="9"/>
      <c r="F765" s="9"/>
      <c r="G765" s="9"/>
      <c r="H765" s="7"/>
      <c r="I765" s="13" t="str">
        <f aca="false">IF(OR($G765="",$H765=""),"",ROUND($G765*$H765,0))</f>
        <v/>
      </c>
      <c r="J765" s="8"/>
      <c r="K765" s="13" t="str">
        <f aca="false">IF($B765="","",SUMIFS($I$3:$I$2002,$B$3:$B$2002,$B765))</f>
        <v/>
      </c>
      <c r="L765" s="13" t="str">
        <f aca="false">IF($B765="","",IF(COUNTIFS($B$3:$B765,$B765)&gt;1,0,IFERROR(LOOKUP($K765,배송비규정!$A$3:$A$32,배송비규정!$B$3:$B$32),0)+IFERROR(INDEX(지역추가비!$B$3:$B$42,MATCH($J765,지역추가비!$A$3:$A$42,0)),0)))</f>
        <v/>
      </c>
      <c r="M765" s="13" t="str">
        <f aca="false">IF($B765="","",IF(COUNTIFS($B$3:$B765,$B765)&gt;1,"",$K765+$L765))</f>
        <v/>
      </c>
      <c r="N765" s="14" t="str">
        <f aca="false">IF($B765="","",COUNTIFS($B$3:$B765,$B765))</f>
        <v/>
      </c>
      <c r="O765" s="14" t="str">
        <f aca="false">IF($B765="","",$B765&amp;"|"&amp;$N765)</f>
        <v/>
      </c>
    </row>
    <row r="766" customFormat="false" ht="15" hidden="false" customHeight="false" outlineLevel="0" collapsed="false">
      <c r="A766" s="12"/>
      <c r="B766" s="9"/>
      <c r="C766" s="9"/>
      <c r="D766" s="9"/>
      <c r="E766" s="9"/>
      <c r="F766" s="9"/>
      <c r="G766" s="9"/>
      <c r="H766" s="7"/>
      <c r="I766" s="13" t="str">
        <f aca="false">IF(OR($G766="",$H766=""),"",ROUND($G766*$H766,0))</f>
        <v/>
      </c>
      <c r="J766" s="8"/>
      <c r="K766" s="13" t="str">
        <f aca="false">IF($B766="","",SUMIFS($I$3:$I$2002,$B$3:$B$2002,$B766))</f>
        <v/>
      </c>
      <c r="L766" s="13" t="str">
        <f aca="false">IF($B766="","",IF(COUNTIFS($B$3:$B766,$B766)&gt;1,0,IFERROR(LOOKUP($K766,배송비규정!$A$3:$A$32,배송비규정!$B$3:$B$32),0)+IFERROR(INDEX(지역추가비!$B$3:$B$42,MATCH($J766,지역추가비!$A$3:$A$42,0)),0)))</f>
        <v/>
      </c>
      <c r="M766" s="13" t="str">
        <f aca="false">IF($B766="","",IF(COUNTIFS($B$3:$B766,$B766)&gt;1,"",$K766+$L766))</f>
        <v/>
      </c>
      <c r="N766" s="14" t="str">
        <f aca="false">IF($B766="","",COUNTIFS($B$3:$B766,$B766))</f>
        <v/>
      </c>
      <c r="O766" s="14" t="str">
        <f aca="false">IF($B766="","",$B766&amp;"|"&amp;$N766)</f>
        <v/>
      </c>
    </row>
    <row r="767" customFormat="false" ht="15" hidden="false" customHeight="false" outlineLevel="0" collapsed="false">
      <c r="A767" s="12"/>
      <c r="B767" s="9"/>
      <c r="C767" s="9"/>
      <c r="D767" s="9"/>
      <c r="E767" s="9"/>
      <c r="F767" s="9"/>
      <c r="G767" s="9"/>
      <c r="H767" s="7"/>
      <c r="I767" s="13" t="str">
        <f aca="false">IF(OR($G767="",$H767=""),"",ROUND($G767*$H767,0))</f>
        <v/>
      </c>
      <c r="J767" s="8"/>
      <c r="K767" s="13" t="str">
        <f aca="false">IF($B767="","",SUMIFS($I$3:$I$2002,$B$3:$B$2002,$B767))</f>
        <v/>
      </c>
      <c r="L767" s="13" t="str">
        <f aca="false">IF($B767="","",IF(COUNTIFS($B$3:$B767,$B767)&gt;1,0,IFERROR(LOOKUP($K767,배송비규정!$A$3:$A$32,배송비규정!$B$3:$B$32),0)+IFERROR(INDEX(지역추가비!$B$3:$B$42,MATCH($J767,지역추가비!$A$3:$A$42,0)),0)))</f>
        <v/>
      </c>
      <c r="M767" s="13" t="str">
        <f aca="false">IF($B767="","",IF(COUNTIFS($B$3:$B767,$B767)&gt;1,"",$K767+$L767))</f>
        <v/>
      </c>
      <c r="N767" s="14" t="str">
        <f aca="false">IF($B767="","",COUNTIFS($B$3:$B767,$B767))</f>
        <v/>
      </c>
      <c r="O767" s="14" t="str">
        <f aca="false">IF($B767="","",$B767&amp;"|"&amp;$N767)</f>
        <v/>
      </c>
    </row>
    <row r="768" customFormat="false" ht="15" hidden="false" customHeight="false" outlineLevel="0" collapsed="false">
      <c r="A768" s="12"/>
      <c r="B768" s="9"/>
      <c r="C768" s="9"/>
      <c r="D768" s="9"/>
      <c r="E768" s="9"/>
      <c r="F768" s="9"/>
      <c r="G768" s="9"/>
      <c r="H768" s="7"/>
      <c r="I768" s="13" t="str">
        <f aca="false">IF(OR($G768="",$H768=""),"",ROUND($G768*$H768,0))</f>
        <v/>
      </c>
      <c r="J768" s="8"/>
      <c r="K768" s="13" t="str">
        <f aca="false">IF($B768="","",SUMIFS($I$3:$I$2002,$B$3:$B$2002,$B768))</f>
        <v/>
      </c>
      <c r="L768" s="13" t="str">
        <f aca="false">IF($B768="","",IF(COUNTIFS($B$3:$B768,$B768)&gt;1,0,IFERROR(LOOKUP($K768,배송비규정!$A$3:$A$32,배송비규정!$B$3:$B$32),0)+IFERROR(INDEX(지역추가비!$B$3:$B$42,MATCH($J768,지역추가비!$A$3:$A$42,0)),0)))</f>
        <v/>
      </c>
      <c r="M768" s="13" t="str">
        <f aca="false">IF($B768="","",IF(COUNTIFS($B$3:$B768,$B768)&gt;1,"",$K768+$L768))</f>
        <v/>
      </c>
      <c r="N768" s="14" t="str">
        <f aca="false">IF($B768="","",COUNTIFS($B$3:$B768,$B768))</f>
        <v/>
      </c>
      <c r="O768" s="14" t="str">
        <f aca="false">IF($B768="","",$B768&amp;"|"&amp;$N768)</f>
        <v/>
      </c>
    </row>
    <row r="769" customFormat="false" ht="15" hidden="false" customHeight="false" outlineLevel="0" collapsed="false">
      <c r="A769" s="12"/>
      <c r="B769" s="9"/>
      <c r="C769" s="9"/>
      <c r="D769" s="9"/>
      <c r="E769" s="9"/>
      <c r="F769" s="9"/>
      <c r="G769" s="9"/>
      <c r="H769" s="7"/>
      <c r="I769" s="13" t="str">
        <f aca="false">IF(OR($G769="",$H769=""),"",ROUND($G769*$H769,0))</f>
        <v/>
      </c>
      <c r="J769" s="8"/>
      <c r="K769" s="13" t="str">
        <f aca="false">IF($B769="","",SUMIFS($I$3:$I$2002,$B$3:$B$2002,$B769))</f>
        <v/>
      </c>
      <c r="L769" s="13" t="str">
        <f aca="false">IF($B769="","",IF(COUNTIFS($B$3:$B769,$B769)&gt;1,0,IFERROR(LOOKUP($K769,배송비규정!$A$3:$A$32,배송비규정!$B$3:$B$32),0)+IFERROR(INDEX(지역추가비!$B$3:$B$42,MATCH($J769,지역추가비!$A$3:$A$42,0)),0)))</f>
        <v/>
      </c>
      <c r="M769" s="13" t="str">
        <f aca="false">IF($B769="","",IF(COUNTIFS($B$3:$B769,$B769)&gt;1,"",$K769+$L769))</f>
        <v/>
      </c>
      <c r="N769" s="14" t="str">
        <f aca="false">IF($B769="","",COUNTIFS($B$3:$B769,$B769))</f>
        <v/>
      </c>
      <c r="O769" s="14" t="str">
        <f aca="false">IF($B769="","",$B769&amp;"|"&amp;$N769)</f>
        <v/>
      </c>
    </row>
    <row r="770" customFormat="false" ht="15" hidden="false" customHeight="false" outlineLevel="0" collapsed="false">
      <c r="A770" s="12"/>
      <c r="B770" s="9"/>
      <c r="C770" s="9"/>
      <c r="D770" s="9"/>
      <c r="E770" s="9"/>
      <c r="F770" s="9"/>
      <c r="G770" s="9"/>
      <c r="H770" s="7"/>
      <c r="I770" s="13" t="str">
        <f aca="false">IF(OR($G770="",$H770=""),"",ROUND($G770*$H770,0))</f>
        <v/>
      </c>
      <c r="J770" s="8"/>
      <c r="K770" s="13" t="str">
        <f aca="false">IF($B770="","",SUMIFS($I$3:$I$2002,$B$3:$B$2002,$B770))</f>
        <v/>
      </c>
      <c r="L770" s="13" t="str">
        <f aca="false">IF($B770="","",IF(COUNTIFS($B$3:$B770,$B770)&gt;1,0,IFERROR(LOOKUP($K770,배송비규정!$A$3:$A$32,배송비규정!$B$3:$B$32),0)+IFERROR(INDEX(지역추가비!$B$3:$B$42,MATCH($J770,지역추가비!$A$3:$A$42,0)),0)))</f>
        <v/>
      </c>
      <c r="M770" s="13" t="str">
        <f aca="false">IF($B770="","",IF(COUNTIFS($B$3:$B770,$B770)&gt;1,"",$K770+$L770))</f>
        <v/>
      </c>
      <c r="N770" s="14" t="str">
        <f aca="false">IF($B770="","",COUNTIFS($B$3:$B770,$B770))</f>
        <v/>
      </c>
      <c r="O770" s="14" t="str">
        <f aca="false">IF($B770="","",$B770&amp;"|"&amp;$N770)</f>
        <v/>
      </c>
    </row>
    <row r="771" customFormat="false" ht="15" hidden="false" customHeight="false" outlineLevel="0" collapsed="false">
      <c r="A771" s="12"/>
      <c r="B771" s="9"/>
      <c r="C771" s="9"/>
      <c r="D771" s="9"/>
      <c r="E771" s="9"/>
      <c r="F771" s="9"/>
      <c r="G771" s="9"/>
      <c r="H771" s="7"/>
      <c r="I771" s="13" t="str">
        <f aca="false">IF(OR($G771="",$H771=""),"",ROUND($G771*$H771,0))</f>
        <v/>
      </c>
      <c r="J771" s="8"/>
      <c r="K771" s="13" t="str">
        <f aca="false">IF($B771="","",SUMIFS($I$3:$I$2002,$B$3:$B$2002,$B771))</f>
        <v/>
      </c>
      <c r="L771" s="13" t="str">
        <f aca="false">IF($B771="","",IF(COUNTIFS($B$3:$B771,$B771)&gt;1,0,IFERROR(LOOKUP($K771,배송비규정!$A$3:$A$32,배송비규정!$B$3:$B$32),0)+IFERROR(INDEX(지역추가비!$B$3:$B$42,MATCH($J771,지역추가비!$A$3:$A$42,0)),0)))</f>
        <v/>
      </c>
      <c r="M771" s="13" t="str">
        <f aca="false">IF($B771="","",IF(COUNTIFS($B$3:$B771,$B771)&gt;1,"",$K771+$L771))</f>
        <v/>
      </c>
      <c r="N771" s="14" t="str">
        <f aca="false">IF($B771="","",COUNTIFS($B$3:$B771,$B771))</f>
        <v/>
      </c>
      <c r="O771" s="14" t="str">
        <f aca="false">IF($B771="","",$B771&amp;"|"&amp;$N771)</f>
        <v/>
      </c>
    </row>
    <row r="772" customFormat="false" ht="15" hidden="false" customHeight="false" outlineLevel="0" collapsed="false">
      <c r="A772" s="12"/>
      <c r="B772" s="9"/>
      <c r="C772" s="9"/>
      <c r="D772" s="9"/>
      <c r="E772" s="9"/>
      <c r="F772" s="9"/>
      <c r="G772" s="9"/>
      <c r="H772" s="7"/>
      <c r="I772" s="13" t="str">
        <f aca="false">IF(OR($G772="",$H772=""),"",ROUND($G772*$H772,0))</f>
        <v/>
      </c>
      <c r="J772" s="8"/>
      <c r="K772" s="13" t="str">
        <f aca="false">IF($B772="","",SUMIFS($I$3:$I$2002,$B$3:$B$2002,$B772))</f>
        <v/>
      </c>
      <c r="L772" s="13" t="str">
        <f aca="false">IF($B772="","",IF(COUNTIFS($B$3:$B772,$B772)&gt;1,0,IFERROR(LOOKUP($K772,배송비규정!$A$3:$A$32,배송비규정!$B$3:$B$32),0)+IFERROR(INDEX(지역추가비!$B$3:$B$42,MATCH($J772,지역추가비!$A$3:$A$42,0)),0)))</f>
        <v/>
      </c>
      <c r="M772" s="13" t="str">
        <f aca="false">IF($B772="","",IF(COUNTIFS($B$3:$B772,$B772)&gt;1,"",$K772+$L772))</f>
        <v/>
      </c>
      <c r="N772" s="14" t="str">
        <f aca="false">IF($B772="","",COUNTIFS($B$3:$B772,$B772))</f>
        <v/>
      </c>
      <c r="O772" s="14" t="str">
        <f aca="false">IF($B772="","",$B772&amp;"|"&amp;$N772)</f>
        <v/>
      </c>
    </row>
    <row r="773" customFormat="false" ht="15" hidden="false" customHeight="false" outlineLevel="0" collapsed="false">
      <c r="A773" s="12"/>
      <c r="B773" s="9"/>
      <c r="C773" s="9"/>
      <c r="D773" s="9"/>
      <c r="E773" s="9"/>
      <c r="F773" s="9"/>
      <c r="G773" s="9"/>
      <c r="H773" s="7"/>
      <c r="I773" s="13" t="str">
        <f aca="false">IF(OR($G773="",$H773=""),"",ROUND($G773*$H773,0))</f>
        <v/>
      </c>
      <c r="J773" s="8"/>
      <c r="K773" s="13" t="str">
        <f aca="false">IF($B773="","",SUMIFS($I$3:$I$2002,$B$3:$B$2002,$B773))</f>
        <v/>
      </c>
      <c r="L773" s="13" t="str">
        <f aca="false">IF($B773="","",IF(COUNTIFS($B$3:$B773,$B773)&gt;1,0,IFERROR(LOOKUP($K773,배송비규정!$A$3:$A$32,배송비규정!$B$3:$B$32),0)+IFERROR(INDEX(지역추가비!$B$3:$B$42,MATCH($J773,지역추가비!$A$3:$A$42,0)),0)))</f>
        <v/>
      </c>
      <c r="M773" s="13" t="str">
        <f aca="false">IF($B773="","",IF(COUNTIFS($B$3:$B773,$B773)&gt;1,"",$K773+$L773))</f>
        <v/>
      </c>
      <c r="N773" s="14" t="str">
        <f aca="false">IF($B773="","",COUNTIFS($B$3:$B773,$B773))</f>
        <v/>
      </c>
      <c r="O773" s="14" t="str">
        <f aca="false">IF($B773="","",$B773&amp;"|"&amp;$N773)</f>
        <v/>
      </c>
    </row>
    <row r="774" customFormat="false" ht="15" hidden="false" customHeight="false" outlineLevel="0" collapsed="false">
      <c r="A774" s="12"/>
      <c r="B774" s="9"/>
      <c r="C774" s="9"/>
      <c r="D774" s="9"/>
      <c r="E774" s="9"/>
      <c r="F774" s="9"/>
      <c r="G774" s="9"/>
      <c r="H774" s="7"/>
      <c r="I774" s="13" t="str">
        <f aca="false">IF(OR($G774="",$H774=""),"",ROUND($G774*$H774,0))</f>
        <v/>
      </c>
      <c r="J774" s="8"/>
      <c r="K774" s="13" t="str">
        <f aca="false">IF($B774="","",SUMIFS($I$3:$I$2002,$B$3:$B$2002,$B774))</f>
        <v/>
      </c>
      <c r="L774" s="13" t="str">
        <f aca="false">IF($B774="","",IF(COUNTIFS($B$3:$B774,$B774)&gt;1,0,IFERROR(LOOKUP($K774,배송비규정!$A$3:$A$32,배송비규정!$B$3:$B$32),0)+IFERROR(INDEX(지역추가비!$B$3:$B$42,MATCH($J774,지역추가비!$A$3:$A$42,0)),0)))</f>
        <v/>
      </c>
      <c r="M774" s="13" t="str">
        <f aca="false">IF($B774="","",IF(COUNTIFS($B$3:$B774,$B774)&gt;1,"",$K774+$L774))</f>
        <v/>
      </c>
      <c r="N774" s="14" t="str">
        <f aca="false">IF($B774="","",COUNTIFS($B$3:$B774,$B774))</f>
        <v/>
      </c>
      <c r="O774" s="14" t="str">
        <f aca="false">IF($B774="","",$B774&amp;"|"&amp;$N774)</f>
        <v/>
      </c>
    </row>
    <row r="775" customFormat="false" ht="15" hidden="false" customHeight="false" outlineLevel="0" collapsed="false">
      <c r="A775" s="12"/>
      <c r="B775" s="9"/>
      <c r="C775" s="9"/>
      <c r="D775" s="9"/>
      <c r="E775" s="9"/>
      <c r="F775" s="9"/>
      <c r="G775" s="9"/>
      <c r="H775" s="7"/>
      <c r="I775" s="13" t="str">
        <f aca="false">IF(OR($G775="",$H775=""),"",ROUND($G775*$H775,0))</f>
        <v/>
      </c>
      <c r="J775" s="8"/>
      <c r="K775" s="13" t="str">
        <f aca="false">IF($B775="","",SUMIFS($I$3:$I$2002,$B$3:$B$2002,$B775))</f>
        <v/>
      </c>
      <c r="L775" s="13" t="str">
        <f aca="false">IF($B775="","",IF(COUNTIFS($B$3:$B775,$B775)&gt;1,0,IFERROR(LOOKUP($K775,배송비규정!$A$3:$A$32,배송비규정!$B$3:$B$32),0)+IFERROR(INDEX(지역추가비!$B$3:$B$42,MATCH($J775,지역추가비!$A$3:$A$42,0)),0)))</f>
        <v/>
      </c>
      <c r="M775" s="13" t="str">
        <f aca="false">IF($B775="","",IF(COUNTIFS($B$3:$B775,$B775)&gt;1,"",$K775+$L775))</f>
        <v/>
      </c>
      <c r="N775" s="14" t="str">
        <f aca="false">IF($B775="","",COUNTIFS($B$3:$B775,$B775))</f>
        <v/>
      </c>
      <c r="O775" s="14" t="str">
        <f aca="false">IF($B775="","",$B775&amp;"|"&amp;$N775)</f>
        <v/>
      </c>
    </row>
    <row r="776" customFormat="false" ht="15" hidden="false" customHeight="false" outlineLevel="0" collapsed="false">
      <c r="A776" s="12"/>
      <c r="B776" s="9"/>
      <c r="C776" s="9"/>
      <c r="D776" s="9"/>
      <c r="E776" s="9"/>
      <c r="F776" s="9"/>
      <c r="G776" s="9"/>
      <c r="H776" s="7"/>
      <c r="I776" s="13" t="str">
        <f aca="false">IF(OR($G776="",$H776=""),"",ROUND($G776*$H776,0))</f>
        <v/>
      </c>
      <c r="J776" s="8"/>
      <c r="K776" s="13" t="str">
        <f aca="false">IF($B776="","",SUMIFS($I$3:$I$2002,$B$3:$B$2002,$B776))</f>
        <v/>
      </c>
      <c r="L776" s="13" t="str">
        <f aca="false">IF($B776="","",IF(COUNTIFS($B$3:$B776,$B776)&gt;1,0,IFERROR(LOOKUP($K776,배송비규정!$A$3:$A$32,배송비규정!$B$3:$B$32),0)+IFERROR(INDEX(지역추가비!$B$3:$B$42,MATCH($J776,지역추가비!$A$3:$A$42,0)),0)))</f>
        <v/>
      </c>
      <c r="M776" s="13" t="str">
        <f aca="false">IF($B776="","",IF(COUNTIFS($B$3:$B776,$B776)&gt;1,"",$K776+$L776))</f>
        <v/>
      </c>
      <c r="N776" s="14" t="str">
        <f aca="false">IF($B776="","",COUNTIFS($B$3:$B776,$B776))</f>
        <v/>
      </c>
      <c r="O776" s="14" t="str">
        <f aca="false">IF($B776="","",$B776&amp;"|"&amp;$N776)</f>
        <v/>
      </c>
    </row>
    <row r="777" customFormat="false" ht="15" hidden="false" customHeight="false" outlineLevel="0" collapsed="false">
      <c r="A777" s="12"/>
      <c r="B777" s="9"/>
      <c r="C777" s="9"/>
      <c r="D777" s="9"/>
      <c r="E777" s="9"/>
      <c r="F777" s="9"/>
      <c r="G777" s="9"/>
      <c r="H777" s="7"/>
      <c r="I777" s="13" t="str">
        <f aca="false">IF(OR($G777="",$H777=""),"",ROUND($G777*$H777,0))</f>
        <v/>
      </c>
      <c r="J777" s="8"/>
      <c r="K777" s="13" t="str">
        <f aca="false">IF($B777="","",SUMIFS($I$3:$I$2002,$B$3:$B$2002,$B777))</f>
        <v/>
      </c>
      <c r="L777" s="13" t="str">
        <f aca="false">IF($B777="","",IF(COUNTIFS($B$3:$B777,$B777)&gt;1,0,IFERROR(LOOKUP($K777,배송비규정!$A$3:$A$32,배송비규정!$B$3:$B$32),0)+IFERROR(INDEX(지역추가비!$B$3:$B$42,MATCH($J777,지역추가비!$A$3:$A$42,0)),0)))</f>
        <v/>
      </c>
      <c r="M777" s="13" t="str">
        <f aca="false">IF($B777="","",IF(COUNTIFS($B$3:$B777,$B777)&gt;1,"",$K777+$L777))</f>
        <v/>
      </c>
      <c r="N777" s="14" t="str">
        <f aca="false">IF($B777="","",COUNTIFS($B$3:$B777,$B777))</f>
        <v/>
      </c>
      <c r="O777" s="14" t="str">
        <f aca="false">IF($B777="","",$B777&amp;"|"&amp;$N777)</f>
        <v/>
      </c>
    </row>
    <row r="778" customFormat="false" ht="15" hidden="false" customHeight="false" outlineLevel="0" collapsed="false">
      <c r="A778" s="12"/>
      <c r="B778" s="9"/>
      <c r="C778" s="9"/>
      <c r="D778" s="9"/>
      <c r="E778" s="9"/>
      <c r="F778" s="9"/>
      <c r="G778" s="9"/>
      <c r="H778" s="7"/>
      <c r="I778" s="13" t="str">
        <f aca="false">IF(OR($G778="",$H778=""),"",ROUND($G778*$H778,0))</f>
        <v/>
      </c>
      <c r="J778" s="8"/>
      <c r="K778" s="13" t="str">
        <f aca="false">IF($B778="","",SUMIFS($I$3:$I$2002,$B$3:$B$2002,$B778))</f>
        <v/>
      </c>
      <c r="L778" s="13" t="str">
        <f aca="false">IF($B778="","",IF(COUNTIFS($B$3:$B778,$B778)&gt;1,0,IFERROR(LOOKUP($K778,배송비규정!$A$3:$A$32,배송비규정!$B$3:$B$32),0)+IFERROR(INDEX(지역추가비!$B$3:$B$42,MATCH($J778,지역추가비!$A$3:$A$42,0)),0)))</f>
        <v/>
      </c>
      <c r="M778" s="13" t="str">
        <f aca="false">IF($B778="","",IF(COUNTIFS($B$3:$B778,$B778)&gt;1,"",$K778+$L778))</f>
        <v/>
      </c>
      <c r="N778" s="14" t="str">
        <f aca="false">IF($B778="","",COUNTIFS($B$3:$B778,$B778))</f>
        <v/>
      </c>
      <c r="O778" s="14" t="str">
        <f aca="false">IF($B778="","",$B778&amp;"|"&amp;$N778)</f>
        <v/>
      </c>
    </row>
    <row r="779" customFormat="false" ht="15" hidden="false" customHeight="false" outlineLevel="0" collapsed="false">
      <c r="A779" s="12"/>
      <c r="B779" s="9"/>
      <c r="C779" s="9"/>
      <c r="D779" s="9"/>
      <c r="E779" s="9"/>
      <c r="F779" s="9"/>
      <c r="G779" s="9"/>
      <c r="H779" s="7"/>
      <c r="I779" s="13" t="str">
        <f aca="false">IF(OR($G779="",$H779=""),"",ROUND($G779*$H779,0))</f>
        <v/>
      </c>
      <c r="J779" s="8"/>
      <c r="K779" s="13" t="str">
        <f aca="false">IF($B779="","",SUMIFS($I$3:$I$2002,$B$3:$B$2002,$B779))</f>
        <v/>
      </c>
      <c r="L779" s="13" t="str">
        <f aca="false">IF($B779="","",IF(COUNTIFS($B$3:$B779,$B779)&gt;1,0,IFERROR(LOOKUP($K779,배송비규정!$A$3:$A$32,배송비규정!$B$3:$B$32),0)+IFERROR(INDEX(지역추가비!$B$3:$B$42,MATCH($J779,지역추가비!$A$3:$A$42,0)),0)))</f>
        <v/>
      </c>
      <c r="M779" s="13" t="str">
        <f aca="false">IF($B779="","",IF(COUNTIFS($B$3:$B779,$B779)&gt;1,"",$K779+$L779))</f>
        <v/>
      </c>
      <c r="N779" s="14" t="str">
        <f aca="false">IF($B779="","",COUNTIFS($B$3:$B779,$B779))</f>
        <v/>
      </c>
      <c r="O779" s="14" t="str">
        <f aca="false">IF($B779="","",$B779&amp;"|"&amp;$N779)</f>
        <v/>
      </c>
    </row>
    <row r="780" customFormat="false" ht="15" hidden="false" customHeight="false" outlineLevel="0" collapsed="false">
      <c r="A780" s="12"/>
      <c r="B780" s="9"/>
      <c r="C780" s="9"/>
      <c r="D780" s="9"/>
      <c r="E780" s="9"/>
      <c r="F780" s="9"/>
      <c r="G780" s="9"/>
      <c r="H780" s="7"/>
      <c r="I780" s="13" t="str">
        <f aca="false">IF(OR($G780="",$H780=""),"",ROUND($G780*$H780,0))</f>
        <v/>
      </c>
      <c r="J780" s="8"/>
      <c r="K780" s="13" t="str">
        <f aca="false">IF($B780="","",SUMIFS($I$3:$I$2002,$B$3:$B$2002,$B780))</f>
        <v/>
      </c>
      <c r="L780" s="13" t="str">
        <f aca="false">IF($B780="","",IF(COUNTIFS($B$3:$B780,$B780)&gt;1,0,IFERROR(LOOKUP($K780,배송비규정!$A$3:$A$32,배송비규정!$B$3:$B$32),0)+IFERROR(INDEX(지역추가비!$B$3:$B$42,MATCH($J780,지역추가비!$A$3:$A$42,0)),0)))</f>
        <v/>
      </c>
      <c r="M780" s="13" t="str">
        <f aca="false">IF($B780="","",IF(COUNTIFS($B$3:$B780,$B780)&gt;1,"",$K780+$L780))</f>
        <v/>
      </c>
      <c r="N780" s="14" t="str">
        <f aca="false">IF($B780="","",COUNTIFS($B$3:$B780,$B780))</f>
        <v/>
      </c>
      <c r="O780" s="14" t="str">
        <f aca="false">IF($B780="","",$B780&amp;"|"&amp;$N780)</f>
        <v/>
      </c>
    </row>
    <row r="781" customFormat="false" ht="15" hidden="false" customHeight="false" outlineLevel="0" collapsed="false">
      <c r="A781" s="12"/>
      <c r="B781" s="9"/>
      <c r="C781" s="9"/>
      <c r="D781" s="9"/>
      <c r="E781" s="9"/>
      <c r="F781" s="9"/>
      <c r="G781" s="9"/>
      <c r="H781" s="7"/>
      <c r="I781" s="13" t="str">
        <f aca="false">IF(OR($G781="",$H781=""),"",ROUND($G781*$H781,0))</f>
        <v/>
      </c>
      <c r="J781" s="8"/>
      <c r="K781" s="13" t="str">
        <f aca="false">IF($B781="","",SUMIFS($I$3:$I$2002,$B$3:$B$2002,$B781))</f>
        <v/>
      </c>
      <c r="L781" s="13" t="str">
        <f aca="false">IF($B781="","",IF(COUNTIFS($B$3:$B781,$B781)&gt;1,0,IFERROR(LOOKUP($K781,배송비규정!$A$3:$A$32,배송비규정!$B$3:$B$32),0)+IFERROR(INDEX(지역추가비!$B$3:$B$42,MATCH($J781,지역추가비!$A$3:$A$42,0)),0)))</f>
        <v/>
      </c>
      <c r="M781" s="13" t="str">
        <f aca="false">IF($B781="","",IF(COUNTIFS($B$3:$B781,$B781)&gt;1,"",$K781+$L781))</f>
        <v/>
      </c>
      <c r="N781" s="14" t="str">
        <f aca="false">IF($B781="","",COUNTIFS($B$3:$B781,$B781))</f>
        <v/>
      </c>
      <c r="O781" s="14" t="str">
        <f aca="false">IF($B781="","",$B781&amp;"|"&amp;$N781)</f>
        <v/>
      </c>
    </row>
    <row r="782" customFormat="false" ht="15" hidden="false" customHeight="false" outlineLevel="0" collapsed="false">
      <c r="A782" s="12"/>
      <c r="B782" s="9"/>
      <c r="C782" s="9"/>
      <c r="D782" s="9"/>
      <c r="E782" s="9"/>
      <c r="F782" s="9"/>
      <c r="G782" s="9"/>
      <c r="H782" s="7"/>
      <c r="I782" s="13" t="str">
        <f aca="false">IF(OR($G782="",$H782=""),"",ROUND($G782*$H782,0))</f>
        <v/>
      </c>
      <c r="J782" s="8"/>
      <c r="K782" s="13" t="str">
        <f aca="false">IF($B782="","",SUMIFS($I$3:$I$2002,$B$3:$B$2002,$B782))</f>
        <v/>
      </c>
      <c r="L782" s="13" t="str">
        <f aca="false">IF($B782="","",IF(COUNTIFS($B$3:$B782,$B782)&gt;1,0,IFERROR(LOOKUP($K782,배송비규정!$A$3:$A$32,배송비규정!$B$3:$B$32),0)+IFERROR(INDEX(지역추가비!$B$3:$B$42,MATCH($J782,지역추가비!$A$3:$A$42,0)),0)))</f>
        <v/>
      </c>
      <c r="M782" s="13" t="str">
        <f aca="false">IF($B782="","",IF(COUNTIFS($B$3:$B782,$B782)&gt;1,"",$K782+$L782))</f>
        <v/>
      </c>
      <c r="N782" s="14" t="str">
        <f aca="false">IF($B782="","",COUNTIFS($B$3:$B782,$B782))</f>
        <v/>
      </c>
      <c r="O782" s="14" t="str">
        <f aca="false">IF($B782="","",$B782&amp;"|"&amp;$N782)</f>
        <v/>
      </c>
    </row>
    <row r="783" customFormat="false" ht="15" hidden="false" customHeight="false" outlineLevel="0" collapsed="false">
      <c r="A783" s="12"/>
      <c r="B783" s="9"/>
      <c r="C783" s="9"/>
      <c r="D783" s="9"/>
      <c r="E783" s="9"/>
      <c r="F783" s="9"/>
      <c r="G783" s="9"/>
      <c r="H783" s="7"/>
      <c r="I783" s="13" t="str">
        <f aca="false">IF(OR($G783="",$H783=""),"",ROUND($G783*$H783,0))</f>
        <v/>
      </c>
      <c r="J783" s="8"/>
      <c r="K783" s="13" t="str">
        <f aca="false">IF($B783="","",SUMIFS($I$3:$I$2002,$B$3:$B$2002,$B783))</f>
        <v/>
      </c>
      <c r="L783" s="13" t="str">
        <f aca="false">IF($B783="","",IF(COUNTIFS($B$3:$B783,$B783)&gt;1,0,IFERROR(LOOKUP($K783,배송비규정!$A$3:$A$32,배송비규정!$B$3:$B$32),0)+IFERROR(INDEX(지역추가비!$B$3:$B$42,MATCH($J783,지역추가비!$A$3:$A$42,0)),0)))</f>
        <v/>
      </c>
      <c r="M783" s="13" t="str">
        <f aca="false">IF($B783="","",IF(COUNTIFS($B$3:$B783,$B783)&gt;1,"",$K783+$L783))</f>
        <v/>
      </c>
      <c r="N783" s="14" t="str">
        <f aca="false">IF($B783="","",COUNTIFS($B$3:$B783,$B783))</f>
        <v/>
      </c>
      <c r="O783" s="14" t="str">
        <f aca="false">IF($B783="","",$B783&amp;"|"&amp;$N783)</f>
        <v/>
      </c>
    </row>
    <row r="784" customFormat="false" ht="15" hidden="false" customHeight="false" outlineLevel="0" collapsed="false">
      <c r="A784" s="12"/>
      <c r="B784" s="9"/>
      <c r="C784" s="9"/>
      <c r="D784" s="9"/>
      <c r="E784" s="9"/>
      <c r="F784" s="9"/>
      <c r="G784" s="9"/>
      <c r="H784" s="7"/>
      <c r="I784" s="13" t="str">
        <f aca="false">IF(OR($G784="",$H784=""),"",ROUND($G784*$H784,0))</f>
        <v/>
      </c>
      <c r="J784" s="8"/>
      <c r="K784" s="13" t="str">
        <f aca="false">IF($B784="","",SUMIFS($I$3:$I$2002,$B$3:$B$2002,$B784))</f>
        <v/>
      </c>
      <c r="L784" s="13" t="str">
        <f aca="false">IF($B784="","",IF(COUNTIFS($B$3:$B784,$B784)&gt;1,0,IFERROR(LOOKUP($K784,배송비규정!$A$3:$A$32,배송비규정!$B$3:$B$32),0)+IFERROR(INDEX(지역추가비!$B$3:$B$42,MATCH($J784,지역추가비!$A$3:$A$42,0)),0)))</f>
        <v/>
      </c>
      <c r="M784" s="13" t="str">
        <f aca="false">IF($B784="","",IF(COUNTIFS($B$3:$B784,$B784)&gt;1,"",$K784+$L784))</f>
        <v/>
      </c>
      <c r="N784" s="14" t="str">
        <f aca="false">IF($B784="","",COUNTIFS($B$3:$B784,$B784))</f>
        <v/>
      </c>
      <c r="O784" s="14" t="str">
        <f aca="false">IF($B784="","",$B784&amp;"|"&amp;$N784)</f>
        <v/>
      </c>
    </row>
    <row r="785" customFormat="false" ht="15" hidden="false" customHeight="false" outlineLevel="0" collapsed="false">
      <c r="A785" s="12"/>
      <c r="B785" s="9"/>
      <c r="C785" s="9"/>
      <c r="D785" s="9"/>
      <c r="E785" s="9"/>
      <c r="F785" s="9"/>
      <c r="G785" s="9"/>
      <c r="H785" s="7"/>
      <c r="I785" s="13" t="str">
        <f aca="false">IF(OR($G785="",$H785=""),"",ROUND($G785*$H785,0))</f>
        <v/>
      </c>
      <c r="J785" s="8"/>
      <c r="K785" s="13" t="str">
        <f aca="false">IF($B785="","",SUMIFS($I$3:$I$2002,$B$3:$B$2002,$B785))</f>
        <v/>
      </c>
      <c r="L785" s="13" t="str">
        <f aca="false">IF($B785="","",IF(COUNTIFS($B$3:$B785,$B785)&gt;1,0,IFERROR(LOOKUP($K785,배송비규정!$A$3:$A$32,배송비규정!$B$3:$B$32),0)+IFERROR(INDEX(지역추가비!$B$3:$B$42,MATCH($J785,지역추가비!$A$3:$A$42,0)),0)))</f>
        <v/>
      </c>
      <c r="M785" s="13" t="str">
        <f aca="false">IF($B785="","",IF(COUNTIFS($B$3:$B785,$B785)&gt;1,"",$K785+$L785))</f>
        <v/>
      </c>
      <c r="N785" s="14" t="str">
        <f aca="false">IF($B785="","",COUNTIFS($B$3:$B785,$B785))</f>
        <v/>
      </c>
      <c r="O785" s="14" t="str">
        <f aca="false">IF($B785="","",$B785&amp;"|"&amp;$N785)</f>
        <v/>
      </c>
    </row>
    <row r="786" customFormat="false" ht="15" hidden="false" customHeight="false" outlineLevel="0" collapsed="false">
      <c r="A786" s="12"/>
      <c r="B786" s="9"/>
      <c r="C786" s="9"/>
      <c r="D786" s="9"/>
      <c r="E786" s="9"/>
      <c r="F786" s="9"/>
      <c r="G786" s="9"/>
      <c r="H786" s="7"/>
      <c r="I786" s="13" t="str">
        <f aca="false">IF(OR($G786="",$H786=""),"",ROUND($G786*$H786,0))</f>
        <v/>
      </c>
      <c r="J786" s="8"/>
      <c r="K786" s="13" t="str">
        <f aca="false">IF($B786="","",SUMIFS($I$3:$I$2002,$B$3:$B$2002,$B786))</f>
        <v/>
      </c>
      <c r="L786" s="13" t="str">
        <f aca="false">IF($B786="","",IF(COUNTIFS($B$3:$B786,$B786)&gt;1,0,IFERROR(LOOKUP($K786,배송비규정!$A$3:$A$32,배송비규정!$B$3:$B$32),0)+IFERROR(INDEX(지역추가비!$B$3:$B$42,MATCH($J786,지역추가비!$A$3:$A$42,0)),0)))</f>
        <v/>
      </c>
      <c r="M786" s="13" t="str">
        <f aca="false">IF($B786="","",IF(COUNTIFS($B$3:$B786,$B786)&gt;1,"",$K786+$L786))</f>
        <v/>
      </c>
      <c r="N786" s="14" t="str">
        <f aca="false">IF($B786="","",COUNTIFS($B$3:$B786,$B786))</f>
        <v/>
      </c>
      <c r="O786" s="14" t="str">
        <f aca="false">IF($B786="","",$B786&amp;"|"&amp;$N786)</f>
        <v/>
      </c>
    </row>
    <row r="787" customFormat="false" ht="15" hidden="false" customHeight="false" outlineLevel="0" collapsed="false">
      <c r="A787" s="12"/>
      <c r="B787" s="9"/>
      <c r="C787" s="9"/>
      <c r="D787" s="9"/>
      <c r="E787" s="9"/>
      <c r="F787" s="9"/>
      <c r="G787" s="9"/>
      <c r="H787" s="7"/>
      <c r="I787" s="13" t="str">
        <f aca="false">IF(OR($G787="",$H787=""),"",ROUND($G787*$H787,0))</f>
        <v/>
      </c>
      <c r="J787" s="8"/>
      <c r="K787" s="13" t="str">
        <f aca="false">IF($B787="","",SUMIFS($I$3:$I$2002,$B$3:$B$2002,$B787))</f>
        <v/>
      </c>
      <c r="L787" s="13" t="str">
        <f aca="false">IF($B787="","",IF(COUNTIFS($B$3:$B787,$B787)&gt;1,0,IFERROR(LOOKUP($K787,배송비규정!$A$3:$A$32,배송비규정!$B$3:$B$32),0)+IFERROR(INDEX(지역추가비!$B$3:$B$42,MATCH($J787,지역추가비!$A$3:$A$42,0)),0)))</f>
        <v/>
      </c>
      <c r="M787" s="13" t="str">
        <f aca="false">IF($B787="","",IF(COUNTIFS($B$3:$B787,$B787)&gt;1,"",$K787+$L787))</f>
        <v/>
      </c>
      <c r="N787" s="14" t="str">
        <f aca="false">IF($B787="","",COUNTIFS($B$3:$B787,$B787))</f>
        <v/>
      </c>
      <c r="O787" s="14" t="str">
        <f aca="false">IF($B787="","",$B787&amp;"|"&amp;$N787)</f>
        <v/>
      </c>
    </row>
    <row r="788" customFormat="false" ht="15" hidden="false" customHeight="false" outlineLevel="0" collapsed="false">
      <c r="A788" s="12"/>
      <c r="B788" s="9"/>
      <c r="C788" s="9"/>
      <c r="D788" s="9"/>
      <c r="E788" s="9"/>
      <c r="F788" s="9"/>
      <c r="G788" s="9"/>
      <c r="H788" s="7"/>
      <c r="I788" s="13" t="str">
        <f aca="false">IF(OR($G788="",$H788=""),"",ROUND($G788*$H788,0))</f>
        <v/>
      </c>
      <c r="J788" s="8"/>
      <c r="K788" s="13" t="str">
        <f aca="false">IF($B788="","",SUMIFS($I$3:$I$2002,$B$3:$B$2002,$B788))</f>
        <v/>
      </c>
      <c r="L788" s="13" t="str">
        <f aca="false">IF($B788="","",IF(COUNTIFS($B$3:$B788,$B788)&gt;1,0,IFERROR(LOOKUP($K788,배송비규정!$A$3:$A$32,배송비규정!$B$3:$B$32),0)+IFERROR(INDEX(지역추가비!$B$3:$B$42,MATCH($J788,지역추가비!$A$3:$A$42,0)),0)))</f>
        <v/>
      </c>
      <c r="M788" s="13" t="str">
        <f aca="false">IF($B788="","",IF(COUNTIFS($B$3:$B788,$B788)&gt;1,"",$K788+$L788))</f>
        <v/>
      </c>
      <c r="N788" s="14" t="str">
        <f aca="false">IF($B788="","",COUNTIFS($B$3:$B788,$B788))</f>
        <v/>
      </c>
      <c r="O788" s="14" t="str">
        <f aca="false">IF($B788="","",$B788&amp;"|"&amp;$N788)</f>
        <v/>
      </c>
    </row>
    <row r="789" customFormat="false" ht="15" hidden="false" customHeight="false" outlineLevel="0" collapsed="false">
      <c r="A789" s="12"/>
      <c r="B789" s="9"/>
      <c r="C789" s="9"/>
      <c r="D789" s="9"/>
      <c r="E789" s="9"/>
      <c r="F789" s="9"/>
      <c r="G789" s="9"/>
      <c r="H789" s="7"/>
      <c r="I789" s="13" t="str">
        <f aca="false">IF(OR($G789="",$H789=""),"",ROUND($G789*$H789,0))</f>
        <v/>
      </c>
      <c r="J789" s="8"/>
      <c r="K789" s="13" t="str">
        <f aca="false">IF($B789="","",SUMIFS($I$3:$I$2002,$B$3:$B$2002,$B789))</f>
        <v/>
      </c>
      <c r="L789" s="13" t="str">
        <f aca="false">IF($B789="","",IF(COUNTIFS($B$3:$B789,$B789)&gt;1,0,IFERROR(LOOKUP($K789,배송비규정!$A$3:$A$32,배송비규정!$B$3:$B$32),0)+IFERROR(INDEX(지역추가비!$B$3:$B$42,MATCH($J789,지역추가비!$A$3:$A$42,0)),0)))</f>
        <v/>
      </c>
      <c r="M789" s="13" t="str">
        <f aca="false">IF($B789="","",IF(COUNTIFS($B$3:$B789,$B789)&gt;1,"",$K789+$L789))</f>
        <v/>
      </c>
      <c r="N789" s="14" t="str">
        <f aca="false">IF($B789="","",COUNTIFS($B$3:$B789,$B789))</f>
        <v/>
      </c>
      <c r="O789" s="14" t="str">
        <f aca="false">IF($B789="","",$B789&amp;"|"&amp;$N789)</f>
        <v/>
      </c>
    </row>
    <row r="790" customFormat="false" ht="15" hidden="false" customHeight="false" outlineLevel="0" collapsed="false">
      <c r="A790" s="12"/>
      <c r="B790" s="9"/>
      <c r="C790" s="9"/>
      <c r="D790" s="9"/>
      <c r="E790" s="9"/>
      <c r="F790" s="9"/>
      <c r="G790" s="9"/>
      <c r="H790" s="7"/>
      <c r="I790" s="13" t="str">
        <f aca="false">IF(OR($G790="",$H790=""),"",ROUND($G790*$H790,0))</f>
        <v/>
      </c>
      <c r="J790" s="8"/>
      <c r="K790" s="13" t="str">
        <f aca="false">IF($B790="","",SUMIFS($I$3:$I$2002,$B$3:$B$2002,$B790))</f>
        <v/>
      </c>
      <c r="L790" s="13" t="str">
        <f aca="false">IF($B790="","",IF(COUNTIFS($B$3:$B790,$B790)&gt;1,0,IFERROR(LOOKUP($K790,배송비규정!$A$3:$A$32,배송비규정!$B$3:$B$32),0)+IFERROR(INDEX(지역추가비!$B$3:$B$42,MATCH($J790,지역추가비!$A$3:$A$42,0)),0)))</f>
        <v/>
      </c>
      <c r="M790" s="13" t="str">
        <f aca="false">IF($B790="","",IF(COUNTIFS($B$3:$B790,$B790)&gt;1,"",$K790+$L790))</f>
        <v/>
      </c>
      <c r="N790" s="14" t="str">
        <f aca="false">IF($B790="","",COUNTIFS($B$3:$B790,$B790))</f>
        <v/>
      </c>
      <c r="O790" s="14" t="str">
        <f aca="false">IF($B790="","",$B790&amp;"|"&amp;$N790)</f>
        <v/>
      </c>
    </row>
    <row r="791" customFormat="false" ht="15" hidden="false" customHeight="false" outlineLevel="0" collapsed="false">
      <c r="A791" s="12"/>
      <c r="B791" s="9"/>
      <c r="C791" s="9"/>
      <c r="D791" s="9"/>
      <c r="E791" s="9"/>
      <c r="F791" s="9"/>
      <c r="G791" s="9"/>
      <c r="H791" s="7"/>
      <c r="I791" s="13" t="str">
        <f aca="false">IF(OR($G791="",$H791=""),"",ROUND($G791*$H791,0))</f>
        <v/>
      </c>
      <c r="J791" s="8"/>
      <c r="K791" s="13" t="str">
        <f aca="false">IF($B791="","",SUMIFS($I$3:$I$2002,$B$3:$B$2002,$B791))</f>
        <v/>
      </c>
      <c r="L791" s="13" t="str">
        <f aca="false">IF($B791="","",IF(COUNTIFS($B$3:$B791,$B791)&gt;1,0,IFERROR(LOOKUP($K791,배송비규정!$A$3:$A$32,배송비규정!$B$3:$B$32),0)+IFERROR(INDEX(지역추가비!$B$3:$B$42,MATCH($J791,지역추가비!$A$3:$A$42,0)),0)))</f>
        <v/>
      </c>
      <c r="M791" s="13" t="str">
        <f aca="false">IF($B791="","",IF(COUNTIFS($B$3:$B791,$B791)&gt;1,"",$K791+$L791))</f>
        <v/>
      </c>
      <c r="N791" s="14" t="str">
        <f aca="false">IF($B791="","",COUNTIFS($B$3:$B791,$B791))</f>
        <v/>
      </c>
      <c r="O791" s="14" t="str">
        <f aca="false">IF($B791="","",$B791&amp;"|"&amp;$N791)</f>
        <v/>
      </c>
    </row>
    <row r="792" customFormat="false" ht="15" hidden="false" customHeight="false" outlineLevel="0" collapsed="false">
      <c r="A792" s="12"/>
      <c r="B792" s="9"/>
      <c r="C792" s="9"/>
      <c r="D792" s="9"/>
      <c r="E792" s="9"/>
      <c r="F792" s="9"/>
      <c r="G792" s="9"/>
      <c r="H792" s="7"/>
      <c r="I792" s="13" t="str">
        <f aca="false">IF(OR($G792="",$H792=""),"",ROUND($G792*$H792,0))</f>
        <v/>
      </c>
      <c r="J792" s="8"/>
      <c r="K792" s="13" t="str">
        <f aca="false">IF($B792="","",SUMIFS($I$3:$I$2002,$B$3:$B$2002,$B792))</f>
        <v/>
      </c>
      <c r="L792" s="13" t="str">
        <f aca="false">IF($B792="","",IF(COUNTIFS($B$3:$B792,$B792)&gt;1,0,IFERROR(LOOKUP($K792,배송비규정!$A$3:$A$32,배송비규정!$B$3:$B$32),0)+IFERROR(INDEX(지역추가비!$B$3:$B$42,MATCH($J792,지역추가비!$A$3:$A$42,0)),0)))</f>
        <v/>
      </c>
      <c r="M792" s="13" t="str">
        <f aca="false">IF($B792="","",IF(COUNTIFS($B$3:$B792,$B792)&gt;1,"",$K792+$L792))</f>
        <v/>
      </c>
      <c r="N792" s="14" t="str">
        <f aca="false">IF($B792="","",COUNTIFS($B$3:$B792,$B792))</f>
        <v/>
      </c>
      <c r="O792" s="14" t="str">
        <f aca="false">IF($B792="","",$B792&amp;"|"&amp;$N792)</f>
        <v/>
      </c>
    </row>
    <row r="793" customFormat="false" ht="15" hidden="false" customHeight="false" outlineLevel="0" collapsed="false">
      <c r="A793" s="12"/>
      <c r="B793" s="9"/>
      <c r="C793" s="9"/>
      <c r="D793" s="9"/>
      <c r="E793" s="9"/>
      <c r="F793" s="9"/>
      <c r="G793" s="9"/>
      <c r="H793" s="7"/>
      <c r="I793" s="13" t="str">
        <f aca="false">IF(OR($G793="",$H793=""),"",ROUND($G793*$H793,0))</f>
        <v/>
      </c>
      <c r="J793" s="8"/>
      <c r="K793" s="13" t="str">
        <f aca="false">IF($B793="","",SUMIFS($I$3:$I$2002,$B$3:$B$2002,$B793))</f>
        <v/>
      </c>
      <c r="L793" s="13" t="str">
        <f aca="false">IF($B793="","",IF(COUNTIFS($B$3:$B793,$B793)&gt;1,0,IFERROR(LOOKUP($K793,배송비규정!$A$3:$A$32,배송비규정!$B$3:$B$32),0)+IFERROR(INDEX(지역추가비!$B$3:$B$42,MATCH($J793,지역추가비!$A$3:$A$42,0)),0)))</f>
        <v/>
      </c>
      <c r="M793" s="13" t="str">
        <f aca="false">IF($B793="","",IF(COUNTIFS($B$3:$B793,$B793)&gt;1,"",$K793+$L793))</f>
        <v/>
      </c>
      <c r="N793" s="14" t="str">
        <f aca="false">IF($B793="","",COUNTIFS($B$3:$B793,$B793))</f>
        <v/>
      </c>
      <c r="O793" s="14" t="str">
        <f aca="false">IF($B793="","",$B793&amp;"|"&amp;$N793)</f>
        <v/>
      </c>
    </row>
    <row r="794" customFormat="false" ht="15" hidden="false" customHeight="false" outlineLevel="0" collapsed="false">
      <c r="A794" s="12"/>
      <c r="B794" s="9"/>
      <c r="C794" s="9"/>
      <c r="D794" s="9"/>
      <c r="E794" s="9"/>
      <c r="F794" s="9"/>
      <c r="G794" s="9"/>
      <c r="H794" s="7"/>
      <c r="I794" s="13" t="str">
        <f aca="false">IF(OR($G794="",$H794=""),"",ROUND($G794*$H794,0))</f>
        <v/>
      </c>
      <c r="J794" s="8"/>
      <c r="K794" s="13" t="str">
        <f aca="false">IF($B794="","",SUMIFS($I$3:$I$2002,$B$3:$B$2002,$B794))</f>
        <v/>
      </c>
      <c r="L794" s="13" t="str">
        <f aca="false">IF($B794="","",IF(COUNTIFS($B$3:$B794,$B794)&gt;1,0,IFERROR(LOOKUP($K794,배송비규정!$A$3:$A$32,배송비규정!$B$3:$B$32),0)+IFERROR(INDEX(지역추가비!$B$3:$B$42,MATCH($J794,지역추가비!$A$3:$A$42,0)),0)))</f>
        <v/>
      </c>
      <c r="M794" s="13" t="str">
        <f aca="false">IF($B794="","",IF(COUNTIFS($B$3:$B794,$B794)&gt;1,"",$K794+$L794))</f>
        <v/>
      </c>
      <c r="N794" s="14" t="str">
        <f aca="false">IF($B794="","",COUNTIFS($B$3:$B794,$B794))</f>
        <v/>
      </c>
      <c r="O794" s="14" t="str">
        <f aca="false">IF($B794="","",$B794&amp;"|"&amp;$N794)</f>
        <v/>
      </c>
    </row>
    <row r="795" customFormat="false" ht="15" hidden="false" customHeight="false" outlineLevel="0" collapsed="false">
      <c r="A795" s="12"/>
      <c r="B795" s="9"/>
      <c r="C795" s="9"/>
      <c r="D795" s="9"/>
      <c r="E795" s="9"/>
      <c r="F795" s="9"/>
      <c r="G795" s="9"/>
      <c r="H795" s="7"/>
      <c r="I795" s="13" t="str">
        <f aca="false">IF(OR($G795="",$H795=""),"",ROUND($G795*$H795,0))</f>
        <v/>
      </c>
      <c r="J795" s="8"/>
      <c r="K795" s="13" t="str">
        <f aca="false">IF($B795="","",SUMIFS($I$3:$I$2002,$B$3:$B$2002,$B795))</f>
        <v/>
      </c>
      <c r="L795" s="13" t="str">
        <f aca="false">IF($B795="","",IF(COUNTIFS($B$3:$B795,$B795)&gt;1,0,IFERROR(LOOKUP($K795,배송비규정!$A$3:$A$32,배송비규정!$B$3:$B$32),0)+IFERROR(INDEX(지역추가비!$B$3:$B$42,MATCH($J795,지역추가비!$A$3:$A$42,0)),0)))</f>
        <v/>
      </c>
      <c r="M795" s="13" t="str">
        <f aca="false">IF($B795="","",IF(COUNTIFS($B$3:$B795,$B795)&gt;1,"",$K795+$L795))</f>
        <v/>
      </c>
      <c r="N795" s="14" t="str">
        <f aca="false">IF($B795="","",COUNTIFS($B$3:$B795,$B795))</f>
        <v/>
      </c>
      <c r="O795" s="14" t="str">
        <f aca="false">IF($B795="","",$B795&amp;"|"&amp;$N795)</f>
        <v/>
      </c>
    </row>
    <row r="796" customFormat="false" ht="15" hidden="false" customHeight="false" outlineLevel="0" collapsed="false">
      <c r="A796" s="12"/>
      <c r="B796" s="9"/>
      <c r="C796" s="9"/>
      <c r="D796" s="9"/>
      <c r="E796" s="9"/>
      <c r="F796" s="9"/>
      <c r="G796" s="9"/>
      <c r="H796" s="7"/>
      <c r="I796" s="13" t="str">
        <f aca="false">IF(OR($G796="",$H796=""),"",ROUND($G796*$H796,0))</f>
        <v/>
      </c>
      <c r="J796" s="8"/>
      <c r="K796" s="13" t="str">
        <f aca="false">IF($B796="","",SUMIFS($I$3:$I$2002,$B$3:$B$2002,$B796))</f>
        <v/>
      </c>
      <c r="L796" s="13" t="str">
        <f aca="false">IF($B796="","",IF(COUNTIFS($B$3:$B796,$B796)&gt;1,0,IFERROR(LOOKUP($K796,배송비규정!$A$3:$A$32,배송비규정!$B$3:$B$32),0)+IFERROR(INDEX(지역추가비!$B$3:$B$42,MATCH($J796,지역추가비!$A$3:$A$42,0)),0)))</f>
        <v/>
      </c>
      <c r="M796" s="13" t="str">
        <f aca="false">IF($B796="","",IF(COUNTIFS($B$3:$B796,$B796)&gt;1,"",$K796+$L796))</f>
        <v/>
      </c>
      <c r="N796" s="14" t="str">
        <f aca="false">IF($B796="","",COUNTIFS($B$3:$B796,$B796))</f>
        <v/>
      </c>
      <c r="O796" s="14" t="str">
        <f aca="false">IF($B796="","",$B796&amp;"|"&amp;$N796)</f>
        <v/>
      </c>
    </row>
    <row r="797" customFormat="false" ht="15" hidden="false" customHeight="false" outlineLevel="0" collapsed="false">
      <c r="A797" s="12"/>
      <c r="B797" s="9"/>
      <c r="C797" s="9"/>
      <c r="D797" s="9"/>
      <c r="E797" s="9"/>
      <c r="F797" s="9"/>
      <c r="G797" s="9"/>
      <c r="H797" s="7"/>
      <c r="I797" s="13" t="str">
        <f aca="false">IF(OR($G797="",$H797=""),"",ROUND($G797*$H797,0))</f>
        <v/>
      </c>
      <c r="J797" s="8"/>
      <c r="K797" s="13" t="str">
        <f aca="false">IF($B797="","",SUMIFS($I$3:$I$2002,$B$3:$B$2002,$B797))</f>
        <v/>
      </c>
      <c r="L797" s="13" t="str">
        <f aca="false">IF($B797="","",IF(COUNTIFS($B$3:$B797,$B797)&gt;1,0,IFERROR(LOOKUP($K797,배송비규정!$A$3:$A$32,배송비규정!$B$3:$B$32),0)+IFERROR(INDEX(지역추가비!$B$3:$B$42,MATCH($J797,지역추가비!$A$3:$A$42,0)),0)))</f>
        <v/>
      </c>
      <c r="M797" s="13" t="str">
        <f aca="false">IF($B797="","",IF(COUNTIFS($B$3:$B797,$B797)&gt;1,"",$K797+$L797))</f>
        <v/>
      </c>
      <c r="N797" s="14" t="str">
        <f aca="false">IF($B797="","",COUNTIFS($B$3:$B797,$B797))</f>
        <v/>
      </c>
      <c r="O797" s="14" t="str">
        <f aca="false">IF($B797="","",$B797&amp;"|"&amp;$N797)</f>
        <v/>
      </c>
    </row>
    <row r="798" customFormat="false" ht="15" hidden="false" customHeight="false" outlineLevel="0" collapsed="false">
      <c r="A798" s="12"/>
      <c r="B798" s="9"/>
      <c r="C798" s="9"/>
      <c r="D798" s="9"/>
      <c r="E798" s="9"/>
      <c r="F798" s="9"/>
      <c r="G798" s="9"/>
      <c r="H798" s="7"/>
      <c r="I798" s="13" t="str">
        <f aca="false">IF(OR($G798="",$H798=""),"",ROUND($G798*$H798,0))</f>
        <v/>
      </c>
      <c r="J798" s="8"/>
      <c r="K798" s="13" t="str">
        <f aca="false">IF($B798="","",SUMIFS($I$3:$I$2002,$B$3:$B$2002,$B798))</f>
        <v/>
      </c>
      <c r="L798" s="13" t="str">
        <f aca="false">IF($B798="","",IF(COUNTIFS($B$3:$B798,$B798)&gt;1,0,IFERROR(LOOKUP($K798,배송비규정!$A$3:$A$32,배송비규정!$B$3:$B$32),0)+IFERROR(INDEX(지역추가비!$B$3:$B$42,MATCH($J798,지역추가비!$A$3:$A$42,0)),0)))</f>
        <v/>
      </c>
      <c r="M798" s="13" t="str">
        <f aca="false">IF($B798="","",IF(COUNTIFS($B$3:$B798,$B798)&gt;1,"",$K798+$L798))</f>
        <v/>
      </c>
      <c r="N798" s="14" t="str">
        <f aca="false">IF($B798="","",COUNTIFS($B$3:$B798,$B798))</f>
        <v/>
      </c>
      <c r="O798" s="14" t="str">
        <f aca="false">IF($B798="","",$B798&amp;"|"&amp;$N798)</f>
        <v/>
      </c>
    </row>
    <row r="799" customFormat="false" ht="15" hidden="false" customHeight="false" outlineLevel="0" collapsed="false">
      <c r="A799" s="12"/>
      <c r="B799" s="9"/>
      <c r="C799" s="9"/>
      <c r="D799" s="9"/>
      <c r="E799" s="9"/>
      <c r="F799" s="9"/>
      <c r="G799" s="9"/>
      <c r="H799" s="7"/>
      <c r="I799" s="13" t="str">
        <f aca="false">IF(OR($G799="",$H799=""),"",ROUND($G799*$H799,0))</f>
        <v/>
      </c>
      <c r="J799" s="8"/>
      <c r="K799" s="13" t="str">
        <f aca="false">IF($B799="","",SUMIFS($I$3:$I$2002,$B$3:$B$2002,$B799))</f>
        <v/>
      </c>
      <c r="L799" s="13" t="str">
        <f aca="false">IF($B799="","",IF(COUNTIFS($B$3:$B799,$B799)&gt;1,0,IFERROR(LOOKUP($K799,배송비규정!$A$3:$A$32,배송비규정!$B$3:$B$32),0)+IFERROR(INDEX(지역추가비!$B$3:$B$42,MATCH($J799,지역추가비!$A$3:$A$42,0)),0)))</f>
        <v/>
      </c>
      <c r="M799" s="13" t="str">
        <f aca="false">IF($B799="","",IF(COUNTIFS($B$3:$B799,$B799)&gt;1,"",$K799+$L799))</f>
        <v/>
      </c>
      <c r="N799" s="14" t="str">
        <f aca="false">IF($B799="","",COUNTIFS($B$3:$B799,$B799))</f>
        <v/>
      </c>
      <c r="O799" s="14" t="str">
        <f aca="false">IF($B799="","",$B799&amp;"|"&amp;$N799)</f>
        <v/>
      </c>
    </row>
    <row r="800" customFormat="false" ht="15" hidden="false" customHeight="false" outlineLevel="0" collapsed="false">
      <c r="A800" s="12"/>
      <c r="B800" s="9"/>
      <c r="C800" s="9"/>
      <c r="D800" s="9"/>
      <c r="E800" s="9"/>
      <c r="F800" s="9"/>
      <c r="G800" s="9"/>
      <c r="H800" s="7"/>
      <c r="I800" s="13" t="str">
        <f aca="false">IF(OR($G800="",$H800=""),"",ROUND($G800*$H800,0))</f>
        <v/>
      </c>
      <c r="J800" s="8"/>
      <c r="K800" s="13" t="str">
        <f aca="false">IF($B800="","",SUMIFS($I$3:$I$2002,$B$3:$B$2002,$B800))</f>
        <v/>
      </c>
      <c r="L800" s="13" t="str">
        <f aca="false">IF($B800="","",IF(COUNTIFS($B$3:$B800,$B800)&gt;1,0,IFERROR(LOOKUP($K800,배송비규정!$A$3:$A$32,배송비규정!$B$3:$B$32),0)+IFERROR(INDEX(지역추가비!$B$3:$B$42,MATCH($J800,지역추가비!$A$3:$A$42,0)),0)))</f>
        <v/>
      </c>
      <c r="M800" s="13" t="str">
        <f aca="false">IF($B800="","",IF(COUNTIFS($B$3:$B800,$B800)&gt;1,"",$K800+$L800))</f>
        <v/>
      </c>
      <c r="N800" s="14" t="str">
        <f aca="false">IF($B800="","",COUNTIFS($B$3:$B800,$B800))</f>
        <v/>
      </c>
      <c r="O800" s="14" t="str">
        <f aca="false">IF($B800="","",$B800&amp;"|"&amp;$N800)</f>
        <v/>
      </c>
    </row>
    <row r="801" customFormat="false" ht="15" hidden="false" customHeight="false" outlineLevel="0" collapsed="false">
      <c r="A801" s="12"/>
      <c r="B801" s="9"/>
      <c r="C801" s="9"/>
      <c r="D801" s="9"/>
      <c r="E801" s="9"/>
      <c r="F801" s="9"/>
      <c r="G801" s="9"/>
      <c r="H801" s="7"/>
      <c r="I801" s="13" t="str">
        <f aca="false">IF(OR($G801="",$H801=""),"",ROUND($G801*$H801,0))</f>
        <v/>
      </c>
      <c r="J801" s="8"/>
      <c r="K801" s="13" t="str">
        <f aca="false">IF($B801="","",SUMIFS($I$3:$I$2002,$B$3:$B$2002,$B801))</f>
        <v/>
      </c>
      <c r="L801" s="13" t="str">
        <f aca="false">IF($B801="","",IF(COUNTIFS($B$3:$B801,$B801)&gt;1,0,IFERROR(LOOKUP($K801,배송비규정!$A$3:$A$32,배송비규정!$B$3:$B$32),0)+IFERROR(INDEX(지역추가비!$B$3:$B$42,MATCH($J801,지역추가비!$A$3:$A$42,0)),0)))</f>
        <v/>
      </c>
      <c r="M801" s="13" t="str">
        <f aca="false">IF($B801="","",IF(COUNTIFS($B$3:$B801,$B801)&gt;1,"",$K801+$L801))</f>
        <v/>
      </c>
      <c r="N801" s="14" t="str">
        <f aca="false">IF($B801="","",COUNTIFS($B$3:$B801,$B801))</f>
        <v/>
      </c>
      <c r="O801" s="14" t="str">
        <f aca="false">IF($B801="","",$B801&amp;"|"&amp;$N801)</f>
        <v/>
      </c>
    </row>
    <row r="802" customFormat="false" ht="15" hidden="false" customHeight="false" outlineLevel="0" collapsed="false">
      <c r="A802" s="12"/>
      <c r="B802" s="9"/>
      <c r="C802" s="9"/>
      <c r="D802" s="9"/>
      <c r="E802" s="9"/>
      <c r="F802" s="9"/>
      <c r="G802" s="9"/>
      <c r="H802" s="7"/>
      <c r="I802" s="13" t="str">
        <f aca="false">IF(OR($G802="",$H802=""),"",ROUND($G802*$H802,0))</f>
        <v/>
      </c>
      <c r="J802" s="8"/>
      <c r="K802" s="13" t="str">
        <f aca="false">IF($B802="","",SUMIFS($I$3:$I$2002,$B$3:$B$2002,$B802))</f>
        <v/>
      </c>
      <c r="L802" s="13" t="str">
        <f aca="false">IF($B802="","",IF(COUNTIFS($B$3:$B802,$B802)&gt;1,0,IFERROR(LOOKUP($K802,배송비규정!$A$3:$A$32,배송비규정!$B$3:$B$32),0)+IFERROR(INDEX(지역추가비!$B$3:$B$42,MATCH($J802,지역추가비!$A$3:$A$42,0)),0)))</f>
        <v/>
      </c>
      <c r="M802" s="13" t="str">
        <f aca="false">IF($B802="","",IF(COUNTIFS($B$3:$B802,$B802)&gt;1,"",$K802+$L802))</f>
        <v/>
      </c>
      <c r="N802" s="14" t="str">
        <f aca="false">IF($B802="","",COUNTIFS($B$3:$B802,$B802))</f>
        <v/>
      </c>
      <c r="O802" s="14" t="str">
        <f aca="false">IF($B802="","",$B802&amp;"|"&amp;$N802)</f>
        <v/>
      </c>
    </row>
    <row r="803" customFormat="false" ht="15" hidden="false" customHeight="false" outlineLevel="0" collapsed="false">
      <c r="A803" s="12"/>
      <c r="B803" s="9"/>
      <c r="C803" s="9"/>
      <c r="D803" s="9"/>
      <c r="E803" s="9"/>
      <c r="F803" s="9"/>
      <c r="G803" s="9"/>
      <c r="H803" s="7"/>
      <c r="I803" s="13" t="str">
        <f aca="false">IF(OR($G803="",$H803=""),"",ROUND($G803*$H803,0))</f>
        <v/>
      </c>
      <c r="J803" s="8"/>
      <c r="K803" s="13" t="str">
        <f aca="false">IF($B803="","",SUMIFS($I$3:$I$2002,$B$3:$B$2002,$B803))</f>
        <v/>
      </c>
      <c r="L803" s="13" t="str">
        <f aca="false">IF($B803="","",IF(COUNTIFS($B$3:$B803,$B803)&gt;1,0,IFERROR(LOOKUP($K803,배송비규정!$A$3:$A$32,배송비규정!$B$3:$B$32),0)+IFERROR(INDEX(지역추가비!$B$3:$B$42,MATCH($J803,지역추가비!$A$3:$A$42,0)),0)))</f>
        <v/>
      </c>
      <c r="M803" s="13" t="str">
        <f aca="false">IF($B803="","",IF(COUNTIFS($B$3:$B803,$B803)&gt;1,"",$K803+$L803))</f>
        <v/>
      </c>
      <c r="N803" s="14" t="str">
        <f aca="false">IF($B803="","",COUNTIFS($B$3:$B803,$B803))</f>
        <v/>
      </c>
      <c r="O803" s="14" t="str">
        <f aca="false">IF($B803="","",$B803&amp;"|"&amp;$N803)</f>
        <v/>
      </c>
    </row>
    <row r="804" customFormat="false" ht="15" hidden="false" customHeight="false" outlineLevel="0" collapsed="false">
      <c r="A804" s="12"/>
      <c r="B804" s="9"/>
      <c r="C804" s="9"/>
      <c r="D804" s="9"/>
      <c r="E804" s="9"/>
      <c r="F804" s="9"/>
      <c r="G804" s="9"/>
      <c r="H804" s="7"/>
      <c r="I804" s="13" t="str">
        <f aca="false">IF(OR($G804="",$H804=""),"",ROUND($G804*$H804,0))</f>
        <v/>
      </c>
      <c r="J804" s="8"/>
      <c r="K804" s="13" t="str">
        <f aca="false">IF($B804="","",SUMIFS($I$3:$I$2002,$B$3:$B$2002,$B804))</f>
        <v/>
      </c>
      <c r="L804" s="13" t="str">
        <f aca="false">IF($B804="","",IF(COUNTIFS($B$3:$B804,$B804)&gt;1,0,IFERROR(LOOKUP($K804,배송비규정!$A$3:$A$32,배송비규정!$B$3:$B$32),0)+IFERROR(INDEX(지역추가비!$B$3:$B$42,MATCH($J804,지역추가비!$A$3:$A$42,0)),0)))</f>
        <v/>
      </c>
      <c r="M804" s="13" t="str">
        <f aca="false">IF($B804="","",IF(COUNTIFS($B$3:$B804,$B804)&gt;1,"",$K804+$L804))</f>
        <v/>
      </c>
      <c r="N804" s="14" t="str">
        <f aca="false">IF($B804="","",COUNTIFS($B$3:$B804,$B804))</f>
        <v/>
      </c>
      <c r="O804" s="14" t="str">
        <f aca="false">IF($B804="","",$B804&amp;"|"&amp;$N804)</f>
        <v/>
      </c>
    </row>
    <row r="805" customFormat="false" ht="15" hidden="false" customHeight="false" outlineLevel="0" collapsed="false">
      <c r="A805" s="12"/>
      <c r="B805" s="9"/>
      <c r="C805" s="9"/>
      <c r="D805" s="9"/>
      <c r="E805" s="9"/>
      <c r="F805" s="9"/>
      <c r="G805" s="9"/>
      <c r="H805" s="7"/>
      <c r="I805" s="13" t="str">
        <f aca="false">IF(OR($G805="",$H805=""),"",ROUND($G805*$H805,0))</f>
        <v/>
      </c>
      <c r="J805" s="8"/>
      <c r="K805" s="13" t="str">
        <f aca="false">IF($B805="","",SUMIFS($I$3:$I$2002,$B$3:$B$2002,$B805))</f>
        <v/>
      </c>
      <c r="L805" s="13" t="str">
        <f aca="false">IF($B805="","",IF(COUNTIFS($B$3:$B805,$B805)&gt;1,0,IFERROR(LOOKUP($K805,배송비규정!$A$3:$A$32,배송비규정!$B$3:$B$32),0)+IFERROR(INDEX(지역추가비!$B$3:$B$42,MATCH($J805,지역추가비!$A$3:$A$42,0)),0)))</f>
        <v/>
      </c>
      <c r="M805" s="13" t="str">
        <f aca="false">IF($B805="","",IF(COUNTIFS($B$3:$B805,$B805)&gt;1,"",$K805+$L805))</f>
        <v/>
      </c>
      <c r="N805" s="14" t="str">
        <f aca="false">IF($B805="","",COUNTIFS($B$3:$B805,$B805))</f>
        <v/>
      </c>
      <c r="O805" s="14" t="str">
        <f aca="false">IF($B805="","",$B805&amp;"|"&amp;$N805)</f>
        <v/>
      </c>
    </row>
    <row r="806" customFormat="false" ht="15" hidden="false" customHeight="false" outlineLevel="0" collapsed="false">
      <c r="A806" s="12"/>
      <c r="B806" s="9"/>
      <c r="C806" s="9"/>
      <c r="D806" s="9"/>
      <c r="E806" s="9"/>
      <c r="F806" s="9"/>
      <c r="G806" s="9"/>
      <c r="H806" s="7"/>
      <c r="I806" s="13" t="str">
        <f aca="false">IF(OR($G806="",$H806=""),"",ROUND($G806*$H806,0))</f>
        <v/>
      </c>
      <c r="J806" s="8"/>
      <c r="K806" s="13" t="str">
        <f aca="false">IF($B806="","",SUMIFS($I$3:$I$2002,$B$3:$B$2002,$B806))</f>
        <v/>
      </c>
      <c r="L806" s="13" t="str">
        <f aca="false">IF($B806="","",IF(COUNTIFS($B$3:$B806,$B806)&gt;1,0,IFERROR(LOOKUP($K806,배송비규정!$A$3:$A$32,배송비규정!$B$3:$B$32),0)+IFERROR(INDEX(지역추가비!$B$3:$B$42,MATCH($J806,지역추가비!$A$3:$A$42,0)),0)))</f>
        <v/>
      </c>
      <c r="M806" s="13" t="str">
        <f aca="false">IF($B806="","",IF(COUNTIFS($B$3:$B806,$B806)&gt;1,"",$K806+$L806))</f>
        <v/>
      </c>
      <c r="N806" s="14" t="str">
        <f aca="false">IF($B806="","",COUNTIFS($B$3:$B806,$B806))</f>
        <v/>
      </c>
      <c r="O806" s="14" t="str">
        <f aca="false">IF($B806="","",$B806&amp;"|"&amp;$N806)</f>
        <v/>
      </c>
    </row>
    <row r="807" customFormat="false" ht="15" hidden="false" customHeight="false" outlineLevel="0" collapsed="false">
      <c r="A807" s="12"/>
      <c r="B807" s="9"/>
      <c r="C807" s="9"/>
      <c r="D807" s="9"/>
      <c r="E807" s="9"/>
      <c r="F807" s="9"/>
      <c r="G807" s="9"/>
      <c r="H807" s="7"/>
      <c r="I807" s="13" t="str">
        <f aca="false">IF(OR($G807="",$H807=""),"",ROUND($G807*$H807,0))</f>
        <v/>
      </c>
      <c r="J807" s="8"/>
      <c r="K807" s="13" t="str">
        <f aca="false">IF($B807="","",SUMIFS($I$3:$I$2002,$B$3:$B$2002,$B807))</f>
        <v/>
      </c>
      <c r="L807" s="13" t="str">
        <f aca="false">IF($B807="","",IF(COUNTIFS($B$3:$B807,$B807)&gt;1,0,IFERROR(LOOKUP($K807,배송비규정!$A$3:$A$32,배송비규정!$B$3:$B$32),0)+IFERROR(INDEX(지역추가비!$B$3:$B$42,MATCH($J807,지역추가비!$A$3:$A$42,0)),0)))</f>
        <v/>
      </c>
      <c r="M807" s="13" t="str">
        <f aca="false">IF($B807="","",IF(COUNTIFS($B$3:$B807,$B807)&gt;1,"",$K807+$L807))</f>
        <v/>
      </c>
      <c r="N807" s="14" t="str">
        <f aca="false">IF($B807="","",COUNTIFS($B$3:$B807,$B807))</f>
        <v/>
      </c>
      <c r="O807" s="14" t="str">
        <f aca="false">IF($B807="","",$B807&amp;"|"&amp;$N807)</f>
        <v/>
      </c>
    </row>
    <row r="808" customFormat="false" ht="15" hidden="false" customHeight="false" outlineLevel="0" collapsed="false">
      <c r="A808" s="12"/>
      <c r="B808" s="9"/>
      <c r="C808" s="9"/>
      <c r="D808" s="9"/>
      <c r="E808" s="9"/>
      <c r="F808" s="9"/>
      <c r="G808" s="9"/>
      <c r="H808" s="7"/>
      <c r="I808" s="13" t="str">
        <f aca="false">IF(OR($G808="",$H808=""),"",ROUND($G808*$H808,0))</f>
        <v/>
      </c>
      <c r="J808" s="8"/>
      <c r="K808" s="13" t="str">
        <f aca="false">IF($B808="","",SUMIFS($I$3:$I$2002,$B$3:$B$2002,$B808))</f>
        <v/>
      </c>
      <c r="L808" s="13" t="str">
        <f aca="false">IF($B808="","",IF(COUNTIFS($B$3:$B808,$B808)&gt;1,0,IFERROR(LOOKUP($K808,배송비규정!$A$3:$A$32,배송비규정!$B$3:$B$32),0)+IFERROR(INDEX(지역추가비!$B$3:$B$42,MATCH($J808,지역추가비!$A$3:$A$42,0)),0)))</f>
        <v/>
      </c>
      <c r="M808" s="13" t="str">
        <f aca="false">IF($B808="","",IF(COUNTIFS($B$3:$B808,$B808)&gt;1,"",$K808+$L808))</f>
        <v/>
      </c>
      <c r="N808" s="14" t="str">
        <f aca="false">IF($B808="","",COUNTIFS($B$3:$B808,$B808))</f>
        <v/>
      </c>
      <c r="O808" s="14" t="str">
        <f aca="false">IF($B808="","",$B808&amp;"|"&amp;$N808)</f>
        <v/>
      </c>
    </row>
    <row r="809" customFormat="false" ht="15" hidden="false" customHeight="false" outlineLevel="0" collapsed="false">
      <c r="A809" s="12"/>
      <c r="B809" s="9"/>
      <c r="C809" s="9"/>
      <c r="D809" s="9"/>
      <c r="E809" s="9"/>
      <c r="F809" s="9"/>
      <c r="G809" s="9"/>
      <c r="H809" s="7"/>
      <c r="I809" s="13" t="str">
        <f aca="false">IF(OR($G809="",$H809=""),"",ROUND($G809*$H809,0))</f>
        <v/>
      </c>
      <c r="J809" s="8"/>
      <c r="K809" s="13" t="str">
        <f aca="false">IF($B809="","",SUMIFS($I$3:$I$2002,$B$3:$B$2002,$B809))</f>
        <v/>
      </c>
      <c r="L809" s="13" t="str">
        <f aca="false">IF($B809="","",IF(COUNTIFS($B$3:$B809,$B809)&gt;1,0,IFERROR(LOOKUP($K809,배송비규정!$A$3:$A$32,배송비규정!$B$3:$B$32),0)+IFERROR(INDEX(지역추가비!$B$3:$B$42,MATCH($J809,지역추가비!$A$3:$A$42,0)),0)))</f>
        <v/>
      </c>
      <c r="M809" s="13" t="str">
        <f aca="false">IF($B809="","",IF(COUNTIFS($B$3:$B809,$B809)&gt;1,"",$K809+$L809))</f>
        <v/>
      </c>
      <c r="N809" s="14" t="str">
        <f aca="false">IF($B809="","",COUNTIFS($B$3:$B809,$B809))</f>
        <v/>
      </c>
      <c r="O809" s="14" t="str">
        <f aca="false">IF($B809="","",$B809&amp;"|"&amp;$N809)</f>
        <v/>
      </c>
    </row>
    <row r="810" customFormat="false" ht="15" hidden="false" customHeight="false" outlineLevel="0" collapsed="false">
      <c r="A810" s="12"/>
      <c r="B810" s="9"/>
      <c r="C810" s="9"/>
      <c r="D810" s="9"/>
      <c r="E810" s="9"/>
      <c r="F810" s="9"/>
      <c r="G810" s="9"/>
      <c r="H810" s="7"/>
      <c r="I810" s="13" t="str">
        <f aca="false">IF(OR($G810="",$H810=""),"",ROUND($G810*$H810,0))</f>
        <v/>
      </c>
      <c r="J810" s="8"/>
      <c r="K810" s="13" t="str">
        <f aca="false">IF($B810="","",SUMIFS($I$3:$I$2002,$B$3:$B$2002,$B810))</f>
        <v/>
      </c>
      <c r="L810" s="13" t="str">
        <f aca="false">IF($B810="","",IF(COUNTIFS($B$3:$B810,$B810)&gt;1,0,IFERROR(LOOKUP($K810,배송비규정!$A$3:$A$32,배송비규정!$B$3:$B$32),0)+IFERROR(INDEX(지역추가비!$B$3:$B$42,MATCH($J810,지역추가비!$A$3:$A$42,0)),0)))</f>
        <v/>
      </c>
      <c r="M810" s="13" t="str">
        <f aca="false">IF($B810="","",IF(COUNTIFS($B$3:$B810,$B810)&gt;1,"",$K810+$L810))</f>
        <v/>
      </c>
      <c r="N810" s="14" t="str">
        <f aca="false">IF($B810="","",COUNTIFS($B$3:$B810,$B810))</f>
        <v/>
      </c>
      <c r="O810" s="14" t="str">
        <f aca="false">IF($B810="","",$B810&amp;"|"&amp;$N810)</f>
        <v/>
      </c>
    </row>
    <row r="811" customFormat="false" ht="15" hidden="false" customHeight="false" outlineLevel="0" collapsed="false">
      <c r="A811" s="12"/>
      <c r="B811" s="9"/>
      <c r="C811" s="9"/>
      <c r="D811" s="9"/>
      <c r="E811" s="9"/>
      <c r="F811" s="9"/>
      <c r="G811" s="9"/>
      <c r="H811" s="7"/>
      <c r="I811" s="13" t="str">
        <f aca="false">IF(OR($G811="",$H811=""),"",ROUND($G811*$H811,0))</f>
        <v/>
      </c>
      <c r="J811" s="8"/>
      <c r="K811" s="13" t="str">
        <f aca="false">IF($B811="","",SUMIFS($I$3:$I$2002,$B$3:$B$2002,$B811))</f>
        <v/>
      </c>
      <c r="L811" s="13" t="str">
        <f aca="false">IF($B811="","",IF(COUNTIFS($B$3:$B811,$B811)&gt;1,0,IFERROR(LOOKUP($K811,배송비규정!$A$3:$A$32,배송비규정!$B$3:$B$32),0)+IFERROR(INDEX(지역추가비!$B$3:$B$42,MATCH($J811,지역추가비!$A$3:$A$42,0)),0)))</f>
        <v/>
      </c>
      <c r="M811" s="13" t="str">
        <f aca="false">IF($B811="","",IF(COUNTIFS($B$3:$B811,$B811)&gt;1,"",$K811+$L811))</f>
        <v/>
      </c>
      <c r="N811" s="14" t="str">
        <f aca="false">IF($B811="","",COUNTIFS($B$3:$B811,$B811))</f>
        <v/>
      </c>
      <c r="O811" s="14" t="str">
        <f aca="false">IF($B811="","",$B811&amp;"|"&amp;$N811)</f>
        <v/>
      </c>
    </row>
    <row r="812" customFormat="false" ht="15" hidden="false" customHeight="false" outlineLevel="0" collapsed="false">
      <c r="A812" s="12"/>
      <c r="B812" s="9"/>
      <c r="C812" s="9"/>
      <c r="D812" s="9"/>
      <c r="E812" s="9"/>
      <c r="F812" s="9"/>
      <c r="G812" s="9"/>
      <c r="H812" s="7"/>
      <c r="I812" s="13" t="str">
        <f aca="false">IF(OR($G812="",$H812=""),"",ROUND($G812*$H812,0))</f>
        <v/>
      </c>
      <c r="J812" s="8"/>
      <c r="K812" s="13" t="str">
        <f aca="false">IF($B812="","",SUMIFS($I$3:$I$2002,$B$3:$B$2002,$B812))</f>
        <v/>
      </c>
      <c r="L812" s="13" t="str">
        <f aca="false">IF($B812="","",IF(COUNTIFS($B$3:$B812,$B812)&gt;1,0,IFERROR(LOOKUP($K812,배송비규정!$A$3:$A$32,배송비규정!$B$3:$B$32),0)+IFERROR(INDEX(지역추가비!$B$3:$B$42,MATCH($J812,지역추가비!$A$3:$A$42,0)),0)))</f>
        <v/>
      </c>
      <c r="M812" s="13" t="str">
        <f aca="false">IF($B812="","",IF(COUNTIFS($B$3:$B812,$B812)&gt;1,"",$K812+$L812))</f>
        <v/>
      </c>
      <c r="N812" s="14" t="str">
        <f aca="false">IF($B812="","",COUNTIFS($B$3:$B812,$B812))</f>
        <v/>
      </c>
      <c r="O812" s="14" t="str">
        <f aca="false">IF($B812="","",$B812&amp;"|"&amp;$N812)</f>
        <v/>
      </c>
    </row>
    <row r="813" customFormat="false" ht="15" hidden="false" customHeight="false" outlineLevel="0" collapsed="false">
      <c r="A813" s="12"/>
      <c r="B813" s="9"/>
      <c r="C813" s="9"/>
      <c r="D813" s="9"/>
      <c r="E813" s="9"/>
      <c r="F813" s="9"/>
      <c r="G813" s="9"/>
      <c r="H813" s="7"/>
      <c r="I813" s="13" t="str">
        <f aca="false">IF(OR($G813="",$H813=""),"",ROUND($G813*$H813,0))</f>
        <v/>
      </c>
      <c r="J813" s="8"/>
      <c r="K813" s="13" t="str">
        <f aca="false">IF($B813="","",SUMIFS($I$3:$I$2002,$B$3:$B$2002,$B813))</f>
        <v/>
      </c>
      <c r="L813" s="13" t="str">
        <f aca="false">IF($B813="","",IF(COUNTIFS($B$3:$B813,$B813)&gt;1,0,IFERROR(LOOKUP($K813,배송비규정!$A$3:$A$32,배송비규정!$B$3:$B$32),0)+IFERROR(INDEX(지역추가비!$B$3:$B$42,MATCH($J813,지역추가비!$A$3:$A$42,0)),0)))</f>
        <v/>
      </c>
      <c r="M813" s="13" t="str">
        <f aca="false">IF($B813="","",IF(COUNTIFS($B$3:$B813,$B813)&gt;1,"",$K813+$L813))</f>
        <v/>
      </c>
      <c r="N813" s="14" t="str">
        <f aca="false">IF($B813="","",COUNTIFS($B$3:$B813,$B813))</f>
        <v/>
      </c>
      <c r="O813" s="14" t="str">
        <f aca="false">IF($B813="","",$B813&amp;"|"&amp;$N813)</f>
        <v/>
      </c>
    </row>
    <row r="814" customFormat="false" ht="15" hidden="false" customHeight="false" outlineLevel="0" collapsed="false">
      <c r="A814" s="12"/>
      <c r="B814" s="9"/>
      <c r="C814" s="9"/>
      <c r="D814" s="9"/>
      <c r="E814" s="9"/>
      <c r="F814" s="9"/>
      <c r="G814" s="9"/>
      <c r="H814" s="7"/>
      <c r="I814" s="13" t="str">
        <f aca="false">IF(OR($G814="",$H814=""),"",ROUND($G814*$H814,0))</f>
        <v/>
      </c>
      <c r="J814" s="8"/>
      <c r="K814" s="13" t="str">
        <f aca="false">IF($B814="","",SUMIFS($I$3:$I$2002,$B$3:$B$2002,$B814))</f>
        <v/>
      </c>
      <c r="L814" s="13" t="str">
        <f aca="false">IF($B814="","",IF(COUNTIFS($B$3:$B814,$B814)&gt;1,0,IFERROR(LOOKUP($K814,배송비규정!$A$3:$A$32,배송비규정!$B$3:$B$32),0)+IFERROR(INDEX(지역추가비!$B$3:$B$42,MATCH($J814,지역추가비!$A$3:$A$42,0)),0)))</f>
        <v/>
      </c>
      <c r="M814" s="13" t="str">
        <f aca="false">IF($B814="","",IF(COUNTIFS($B$3:$B814,$B814)&gt;1,"",$K814+$L814))</f>
        <v/>
      </c>
      <c r="N814" s="14" t="str">
        <f aca="false">IF($B814="","",COUNTIFS($B$3:$B814,$B814))</f>
        <v/>
      </c>
      <c r="O814" s="14" t="str">
        <f aca="false">IF($B814="","",$B814&amp;"|"&amp;$N814)</f>
        <v/>
      </c>
    </row>
    <row r="815" customFormat="false" ht="15" hidden="false" customHeight="false" outlineLevel="0" collapsed="false">
      <c r="A815" s="12"/>
      <c r="B815" s="9"/>
      <c r="C815" s="9"/>
      <c r="D815" s="9"/>
      <c r="E815" s="9"/>
      <c r="F815" s="9"/>
      <c r="G815" s="9"/>
      <c r="H815" s="7"/>
      <c r="I815" s="13" t="str">
        <f aca="false">IF(OR($G815="",$H815=""),"",ROUND($G815*$H815,0))</f>
        <v/>
      </c>
      <c r="J815" s="8"/>
      <c r="K815" s="13" t="str">
        <f aca="false">IF($B815="","",SUMIFS($I$3:$I$2002,$B$3:$B$2002,$B815))</f>
        <v/>
      </c>
      <c r="L815" s="13" t="str">
        <f aca="false">IF($B815="","",IF(COUNTIFS($B$3:$B815,$B815)&gt;1,0,IFERROR(LOOKUP($K815,배송비규정!$A$3:$A$32,배송비규정!$B$3:$B$32),0)+IFERROR(INDEX(지역추가비!$B$3:$B$42,MATCH($J815,지역추가비!$A$3:$A$42,0)),0)))</f>
        <v/>
      </c>
      <c r="M815" s="13" t="str">
        <f aca="false">IF($B815="","",IF(COUNTIFS($B$3:$B815,$B815)&gt;1,"",$K815+$L815))</f>
        <v/>
      </c>
      <c r="N815" s="14" t="str">
        <f aca="false">IF($B815="","",COUNTIFS($B$3:$B815,$B815))</f>
        <v/>
      </c>
      <c r="O815" s="14" t="str">
        <f aca="false">IF($B815="","",$B815&amp;"|"&amp;$N815)</f>
        <v/>
      </c>
    </row>
    <row r="816" customFormat="false" ht="15" hidden="false" customHeight="false" outlineLevel="0" collapsed="false">
      <c r="A816" s="12"/>
      <c r="B816" s="9"/>
      <c r="C816" s="9"/>
      <c r="D816" s="9"/>
      <c r="E816" s="9"/>
      <c r="F816" s="9"/>
      <c r="G816" s="9"/>
      <c r="H816" s="7"/>
      <c r="I816" s="13" t="str">
        <f aca="false">IF(OR($G816="",$H816=""),"",ROUND($G816*$H816,0))</f>
        <v/>
      </c>
      <c r="J816" s="8"/>
      <c r="K816" s="13" t="str">
        <f aca="false">IF($B816="","",SUMIFS($I$3:$I$2002,$B$3:$B$2002,$B816))</f>
        <v/>
      </c>
      <c r="L816" s="13" t="str">
        <f aca="false">IF($B816="","",IF(COUNTIFS($B$3:$B816,$B816)&gt;1,0,IFERROR(LOOKUP($K816,배송비규정!$A$3:$A$32,배송비규정!$B$3:$B$32),0)+IFERROR(INDEX(지역추가비!$B$3:$B$42,MATCH($J816,지역추가비!$A$3:$A$42,0)),0)))</f>
        <v/>
      </c>
      <c r="M816" s="13" t="str">
        <f aca="false">IF($B816="","",IF(COUNTIFS($B$3:$B816,$B816)&gt;1,"",$K816+$L816))</f>
        <v/>
      </c>
      <c r="N816" s="14" t="str">
        <f aca="false">IF($B816="","",COUNTIFS($B$3:$B816,$B816))</f>
        <v/>
      </c>
      <c r="O816" s="14" t="str">
        <f aca="false">IF($B816="","",$B816&amp;"|"&amp;$N816)</f>
        <v/>
      </c>
    </row>
    <row r="817" customFormat="false" ht="15" hidden="false" customHeight="false" outlineLevel="0" collapsed="false">
      <c r="A817" s="12"/>
      <c r="B817" s="9"/>
      <c r="C817" s="9"/>
      <c r="D817" s="9"/>
      <c r="E817" s="9"/>
      <c r="F817" s="9"/>
      <c r="G817" s="9"/>
      <c r="H817" s="7"/>
      <c r="I817" s="13" t="str">
        <f aca="false">IF(OR($G817="",$H817=""),"",ROUND($G817*$H817,0))</f>
        <v/>
      </c>
      <c r="J817" s="8"/>
      <c r="K817" s="13" t="str">
        <f aca="false">IF($B817="","",SUMIFS($I$3:$I$2002,$B$3:$B$2002,$B817))</f>
        <v/>
      </c>
      <c r="L817" s="13" t="str">
        <f aca="false">IF($B817="","",IF(COUNTIFS($B$3:$B817,$B817)&gt;1,0,IFERROR(LOOKUP($K817,배송비규정!$A$3:$A$32,배송비규정!$B$3:$B$32),0)+IFERROR(INDEX(지역추가비!$B$3:$B$42,MATCH($J817,지역추가비!$A$3:$A$42,0)),0)))</f>
        <v/>
      </c>
      <c r="M817" s="13" t="str">
        <f aca="false">IF($B817="","",IF(COUNTIFS($B$3:$B817,$B817)&gt;1,"",$K817+$L817))</f>
        <v/>
      </c>
      <c r="N817" s="14" t="str">
        <f aca="false">IF($B817="","",COUNTIFS($B$3:$B817,$B817))</f>
        <v/>
      </c>
      <c r="O817" s="14" t="str">
        <f aca="false">IF($B817="","",$B817&amp;"|"&amp;$N817)</f>
        <v/>
      </c>
    </row>
    <row r="818" customFormat="false" ht="15" hidden="false" customHeight="false" outlineLevel="0" collapsed="false">
      <c r="A818" s="12"/>
      <c r="B818" s="9"/>
      <c r="C818" s="9"/>
      <c r="D818" s="9"/>
      <c r="E818" s="9"/>
      <c r="F818" s="9"/>
      <c r="G818" s="9"/>
      <c r="H818" s="7"/>
      <c r="I818" s="13" t="str">
        <f aca="false">IF(OR($G818="",$H818=""),"",ROUND($G818*$H818,0))</f>
        <v/>
      </c>
      <c r="J818" s="8"/>
      <c r="K818" s="13" t="str">
        <f aca="false">IF($B818="","",SUMIFS($I$3:$I$2002,$B$3:$B$2002,$B818))</f>
        <v/>
      </c>
      <c r="L818" s="13" t="str">
        <f aca="false">IF($B818="","",IF(COUNTIFS($B$3:$B818,$B818)&gt;1,0,IFERROR(LOOKUP($K818,배송비규정!$A$3:$A$32,배송비규정!$B$3:$B$32),0)+IFERROR(INDEX(지역추가비!$B$3:$B$42,MATCH($J818,지역추가비!$A$3:$A$42,0)),0)))</f>
        <v/>
      </c>
      <c r="M818" s="13" t="str">
        <f aca="false">IF($B818="","",IF(COUNTIFS($B$3:$B818,$B818)&gt;1,"",$K818+$L818))</f>
        <v/>
      </c>
      <c r="N818" s="14" t="str">
        <f aca="false">IF($B818="","",COUNTIFS($B$3:$B818,$B818))</f>
        <v/>
      </c>
      <c r="O818" s="14" t="str">
        <f aca="false">IF($B818="","",$B818&amp;"|"&amp;$N818)</f>
        <v/>
      </c>
    </row>
    <row r="819" customFormat="false" ht="15" hidden="false" customHeight="false" outlineLevel="0" collapsed="false">
      <c r="A819" s="12"/>
      <c r="B819" s="9"/>
      <c r="C819" s="9"/>
      <c r="D819" s="9"/>
      <c r="E819" s="9"/>
      <c r="F819" s="9"/>
      <c r="G819" s="9"/>
      <c r="H819" s="7"/>
      <c r="I819" s="13" t="str">
        <f aca="false">IF(OR($G819="",$H819=""),"",ROUND($G819*$H819,0))</f>
        <v/>
      </c>
      <c r="J819" s="8"/>
      <c r="K819" s="13" t="str">
        <f aca="false">IF($B819="","",SUMIFS($I$3:$I$2002,$B$3:$B$2002,$B819))</f>
        <v/>
      </c>
      <c r="L819" s="13" t="str">
        <f aca="false">IF($B819="","",IF(COUNTIFS($B$3:$B819,$B819)&gt;1,0,IFERROR(LOOKUP($K819,배송비규정!$A$3:$A$32,배송비규정!$B$3:$B$32),0)+IFERROR(INDEX(지역추가비!$B$3:$B$42,MATCH($J819,지역추가비!$A$3:$A$42,0)),0)))</f>
        <v/>
      </c>
      <c r="M819" s="13" t="str">
        <f aca="false">IF($B819="","",IF(COUNTIFS($B$3:$B819,$B819)&gt;1,"",$K819+$L819))</f>
        <v/>
      </c>
      <c r="N819" s="14" t="str">
        <f aca="false">IF($B819="","",COUNTIFS($B$3:$B819,$B819))</f>
        <v/>
      </c>
      <c r="O819" s="14" t="str">
        <f aca="false">IF($B819="","",$B819&amp;"|"&amp;$N819)</f>
        <v/>
      </c>
    </row>
    <row r="820" customFormat="false" ht="15" hidden="false" customHeight="false" outlineLevel="0" collapsed="false">
      <c r="A820" s="12"/>
      <c r="B820" s="9"/>
      <c r="C820" s="9"/>
      <c r="D820" s="9"/>
      <c r="E820" s="9"/>
      <c r="F820" s="9"/>
      <c r="G820" s="9"/>
      <c r="H820" s="7"/>
      <c r="I820" s="13" t="str">
        <f aca="false">IF(OR($G820="",$H820=""),"",ROUND($G820*$H820,0))</f>
        <v/>
      </c>
      <c r="J820" s="8"/>
      <c r="K820" s="13" t="str">
        <f aca="false">IF($B820="","",SUMIFS($I$3:$I$2002,$B$3:$B$2002,$B820))</f>
        <v/>
      </c>
      <c r="L820" s="13" t="str">
        <f aca="false">IF($B820="","",IF(COUNTIFS($B$3:$B820,$B820)&gt;1,0,IFERROR(LOOKUP($K820,배송비규정!$A$3:$A$32,배송비규정!$B$3:$B$32),0)+IFERROR(INDEX(지역추가비!$B$3:$B$42,MATCH($J820,지역추가비!$A$3:$A$42,0)),0)))</f>
        <v/>
      </c>
      <c r="M820" s="13" t="str">
        <f aca="false">IF($B820="","",IF(COUNTIFS($B$3:$B820,$B820)&gt;1,"",$K820+$L820))</f>
        <v/>
      </c>
      <c r="N820" s="14" t="str">
        <f aca="false">IF($B820="","",COUNTIFS($B$3:$B820,$B820))</f>
        <v/>
      </c>
      <c r="O820" s="14" t="str">
        <f aca="false">IF($B820="","",$B820&amp;"|"&amp;$N820)</f>
        <v/>
      </c>
    </row>
    <row r="821" customFormat="false" ht="15" hidden="false" customHeight="false" outlineLevel="0" collapsed="false">
      <c r="A821" s="12"/>
      <c r="B821" s="9"/>
      <c r="C821" s="9"/>
      <c r="D821" s="9"/>
      <c r="E821" s="9"/>
      <c r="F821" s="9"/>
      <c r="G821" s="9"/>
      <c r="H821" s="7"/>
      <c r="I821" s="13" t="str">
        <f aca="false">IF(OR($G821="",$H821=""),"",ROUND($G821*$H821,0))</f>
        <v/>
      </c>
      <c r="J821" s="8"/>
      <c r="K821" s="13" t="str">
        <f aca="false">IF($B821="","",SUMIFS($I$3:$I$2002,$B$3:$B$2002,$B821))</f>
        <v/>
      </c>
      <c r="L821" s="13" t="str">
        <f aca="false">IF($B821="","",IF(COUNTIFS($B$3:$B821,$B821)&gt;1,0,IFERROR(LOOKUP($K821,배송비규정!$A$3:$A$32,배송비규정!$B$3:$B$32),0)+IFERROR(INDEX(지역추가비!$B$3:$B$42,MATCH($J821,지역추가비!$A$3:$A$42,0)),0)))</f>
        <v/>
      </c>
      <c r="M821" s="13" t="str">
        <f aca="false">IF($B821="","",IF(COUNTIFS($B$3:$B821,$B821)&gt;1,"",$K821+$L821))</f>
        <v/>
      </c>
      <c r="N821" s="14" t="str">
        <f aca="false">IF($B821="","",COUNTIFS($B$3:$B821,$B821))</f>
        <v/>
      </c>
      <c r="O821" s="14" t="str">
        <f aca="false">IF($B821="","",$B821&amp;"|"&amp;$N821)</f>
        <v/>
      </c>
    </row>
    <row r="822" customFormat="false" ht="15" hidden="false" customHeight="false" outlineLevel="0" collapsed="false">
      <c r="A822" s="12"/>
      <c r="B822" s="9"/>
      <c r="C822" s="9"/>
      <c r="D822" s="9"/>
      <c r="E822" s="9"/>
      <c r="F822" s="9"/>
      <c r="G822" s="9"/>
      <c r="H822" s="7"/>
      <c r="I822" s="13" t="str">
        <f aca="false">IF(OR($G822="",$H822=""),"",ROUND($G822*$H822,0))</f>
        <v/>
      </c>
      <c r="J822" s="8"/>
      <c r="K822" s="13" t="str">
        <f aca="false">IF($B822="","",SUMIFS($I$3:$I$2002,$B$3:$B$2002,$B822))</f>
        <v/>
      </c>
      <c r="L822" s="13" t="str">
        <f aca="false">IF($B822="","",IF(COUNTIFS($B$3:$B822,$B822)&gt;1,0,IFERROR(LOOKUP($K822,배송비규정!$A$3:$A$32,배송비규정!$B$3:$B$32),0)+IFERROR(INDEX(지역추가비!$B$3:$B$42,MATCH($J822,지역추가비!$A$3:$A$42,0)),0)))</f>
        <v/>
      </c>
      <c r="M822" s="13" t="str">
        <f aca="false">IF($B822="","",IF(COUNTIFS($B$3:$B822,$B822)&gt;1,"",$K822+$L822))</f>
        <v/>
      </c>
      <c r="N822" s="14" t="str">
        <f aca="false">IF($B822="","",COUNTIFS($B$3:$B822,$B822))</f>
        <v/>
      </c>
      <c r="O822" s="14" t="str">
        <f aca="false">IF($B822="","",$B822&amp;"|"&amp;$N822)</f>
        <v/>
      </c>
    </row>
    <row r="823" customFormat="false" ht="15" hidden="false" customHeight="false" outlineLevel="0" collapsed="false">
      <c r="A823" s="12"/>
      <c r="B823" s="9"/>
      <c r="C823" s="9"/>
      <c r="D823" s="9"/>
      <c r="E823" s="9"/>
      <c r="F823" s="9"/>
      <c r="G823" s="9"/>
      <c r="H823" s="7"/>
      <c r="I823" s="13" t="str">
        <f aca="false">IF(OR($G823="",$H823=""),"",ROUND($G823*$H823,0))</f>
        <v/>
      </c>
      <c r="J823" s="8"/>
      <c r="K823" s="13" t="str">
        <f aca="false">IF($B823="","",SUMIFS($I$3:$I$2002,$B$3:$B$2002,$B823))</f>
        <v/>
      </c>
      <c r="L823" s="13" t="str">
        <f aca="false">IF($B823="","",IF(COUNTIFS($B$3:$B823,$B823)&gt;1,0,IFERROR(LOOKUP($K823,배송비규정!$A$3:$A$32,배송비규정!$B$3:$B$32),0)+IFERROR(INDEX(지역추가비!$B$3:$B$42,MATCH($J823,지역추가비!$A$3:$A$42,0)),0)))</f>
        <v/>
      </c>
      <c r="M823" s="13" t="str">
        <f aca="false">IF($B823="","",IF(COUNTIFS($B$3:$B823,$B823)&gt;1,"",$K823+$L823))</f>
        <v/>
      </c>
      <c r="N823" s="14" t="str">
        <f aca="false">IF($B823="","",COUNTIFS($B$3:$B823,$B823))</f>
        <v/>
      </c>
      <c r="O823" s="14" t="str">
        <f aca="false">IF($B823="","",$B823&amp;"|"&amp;$N823)</f>
        <v/>
      </c>
    </row>
    <row r="824" customFormat="false" ht="15" hidden="false" customHeight="false" outlineLevel="0" collapsed="false">
      <c r="A824" s="12"/>
      <c r="B824" s="9"/>
      <c r="C824" s="9"/>
      <c r="D824" s="9"/>
      <c r="E824" s="9"/>
      <c r="F824" s="9"/>
      <c r="G824" s="9"/>
      <c r="H824" s="7"/>
      <c r="I824" s="13" t="str">
        <f aca="false">IF(OR($G824="",$H824=""),"",ROUND($G824*$H824,0))</f>
        <v/>
      </c>
      <c r="J824" s="8"/>
      <c r="K824" s="13" t="str">
        <f aca="false">IF($B824="","",SUMIFS($I$3:$I$2002,$B$3:$B$2002,$B824))</f>
        <v/>
      </c>
      <c r="L824" s="13" t="str">
        <f aca="false">IF($B824="","",IF(COUNTIFS($B$3:$B824,$B824)&gt;1,0,IFERROR(LOOKUP($K824,배송비규정!$A$3:$A$32,배송비규정!$B$3:$B$32),0)+IFERROR(INDEX(지역추가비!$B$3:$B$42,MATCH($J824,지역추가비!$A$3:$A$42,0)),0)))</f>
        <v/>
      </c>
      <c r="M824" s="13" t="str">
        <f aca="false">IF($B824="","",IF(COUNTIFS($B$3:$B824,$B824)&gt;1,"",$K824+$L824))</f>
        <v/>
      </c>
      <c r="N824" s="14" t="str">
        <f aca="false">IF($B824="","",COUNTIFS($B$3:$B824,$B824))</f>
        <v/>
      </c>
      <c r="O824" s="14" t="str">
        <f aca="false">IF($B824="","",$B824&amp;"|"&amp;$N824)</f>
        <v/>
      </c>
    </row>
    <row r="825" customFormat="false" ht="15" hidden="false" customHeight="false" outlineLevel="0" collapsed="false">
      <c r="A825" s="12"/>
      <c r="B825" s="9"/>
      <c r="C825" s="9"/>
      <c r="D825" s="9"/>
      <c r="E825" s="9"/>
      <c r="F825" s="9"/>
      <c r="G825" s="9"/>
      <c r="H825" s="7"/>
      <c r="I825" s="13" t="str">
        <f aca="false">IF(OR($G825="",$H825=""),"",ROUND($G825*$H825,0))</f>
        <v/>
      </c>
      <c r="J825" s="8"/>
      <c r="K825" s="13" t="str">
        <f aca="false">IF($B825="","",SUMIFS($I$3:$I$2002,$B$3:$B$2002,$B825))</f>
        <v/>
      </c>
      <c r="L825" s="13" t="str">
        <f aca="false">IF($B825="","",IF(COUNTIFS($B$3:$B825,$B825)&gt;1,0,IFERROR(LOOKUP($K825,배송비규정!$A$3:$A$32,배송비규정!$B$3:$B$32),0)+IFERROR(INDEX(지역추가비!$B$3:$B$42,MATCH($J825,지역추가비!$A$3:$A$42,0)),0)))</f>
        <v/>
      </c>
      <c r="M825" s="13" t="str">
        <f aca="false">IF($B825="","",IF(COUNTIFS($B$3:$B825,$B825)&gt;1,"",$K825+$L825))</f>
        <v/>
      </c>
      <c r="N825" s="14" t="str">
        <f aca="false">IF($B825="","",COUNTIFS($B$3:$B825,$B825))</f>
        <v/>
      </c>
      <c r="O825" s="14" t="str">
        <f aca="false">IF($B825="","",$B825&amp;"|"&amp;$N825)</f>
        <v/>
      </c>
    </row>
    <row r="826" customFormat="false" ht="15" hidden="false" customHeight="false" outlineLevel="0" collapsed="false">
      <c r="A826" s="12"/>
      <c r="B826" s="9"/>
      <c r="C826" s="9"/>
      <c r="D826" s="9"/>
      <c r="E826" s="9"/>
      <c r="F826" s="9"/>
      <c r="G826" s="9"/>
      <c r="H826" s="7"/>
      <c r="I826" s="13" t="str">
        <f aca="false">IF(OR($G826="",$H826=""),"",ROUND($G826*$H826,0))</f>
        <v/>
      </c>
      <c r="J826" s="8"/>
      <c r="K826" s="13" t="str">
        <f aca="false">IF($B826="","",SUMIFS($I$3:$I$2002,$B$3:$B$2002,$B826))</f>
        <v/>
      </c>
      <c r="L826" s="13" t="str">
        <f aca="false">IF($B826="","",IF(COUNTIFS($B$3:$B826,$B826)&gt;1,0,IFERROR(LOOKUP($K826,배송비규정!$A$3:$A$32,배송비규정!$B$3:$B$32),0)+IFERROR(INDEX(지역추가비!$B$3:$B$42,MATCH($J826,지역추가비!$A$3:$A$42,0)),0)))</f>
        <v/>
      </c>
      <c r="M826" s="13" t="str">
        <f aca="false">IF($B826="","",IF(COUNTIFS($B$3:$B826,$B826)&gt;1,"",$K826+$L826))</f>
        <v/>
      </c>
      <c r="N826" s="14" t="str">
        <f aca="false">IF($B826="","",COUNTIFS($B$3:$B826,$B826))</f>
        <v/>
      </c>
      <c r="O826" s="14" t="str">
        <f aca="false">IF($B826="","",$B826&amp;"|"&amp;$N826)</f>
        <v/>
      </c>
    </row>
    <row r="827" customFormat="false" ht="15" hidden="false" customHeight="false" outlineLevel="0" collapsed="false">
      <c r="A827" s="12"/>
      <c r="B827" s="9"/>
      <c r="C827" s="9"/>
      <c r="D827" s="9"/>
      <c r="E827" s="9"/>
      <c r="F827" s="9"/>
      <c r="G827" s="9"/>
      <c r="H827" s="7"/>
      <c r="I827" s="13" t="str">
        <f aca="false">IF(OR($G827="",$H827=""),"",ROUND($G827*$H827,0))</f>
        <v/>
      </c>
      <c r="J827" s="8"/>
      <c r="K827" s="13" t="str">
        <f aca="false">IF($B827="","",SUMIFS($I$3:$I$2002,$B$3:$B$2002,$B827))</f>
        <v/>
      </c>
      <c r="L827" s="13" t="str">
        <f aca="false">IF($B827="","",IF(COUNTIFS($B$3:$B827,$B827)&gt;1,0,IFERROR(LOOKUP($K827,배송비규정!$A$3:$A$32,배송비규정!$B$3:$B$32),0)+IFERROR(INDEX(지역추가비!$B$3:$B$42,MATCH($J827,지역추가비!$A$3:$A$42,0)),0)))</f>
        <v/>
      </c>
      <c r="M827" s="13" t="str">
        <f aca="false">IF($B827="","",IF(COUNTIFS($B$3:$B827,$B827)&gt;1,"",$K827+$L827))</f>
        <v/>
      </c>
      <c r="N827" s="14" t="str">
        <f aca="false">IF($B827="","",COUNTIFS($B$3:$B827,$B827))</f>
        <v/>
      </c>
      <c r="O827" s="14" t="str">
        <f aca="false">IF($B827="","",$B827&amp;"|"&amp;$N827)</f>
        <v/>
      </c>
    </row>
    <row r="828" customFormat="false" ht="15" hidden="false" customHeight="false" outlineLevel="0" collapsed="false">
      <c r="A828" s="12"/>
      <c r="B828" s="9"/>
      <c r="C828" s="9"/>
      <c r="D828" s="9"/>
      <c r="E828" s="9"/>
      <c r="F828" s="9"/>
      <c r="G828" s="9"/>
      <c r="H828" s="7"/>
      <c r="I828" s="13" t="str">
        <f aca="false">IF(OR($G828="",$H828=""),"",ROUND($G828*$H828,0))</f>
        <v/>
      </c>
      <c r="J828" s="8"/>
      <c r="K828" s="13" t="str">
        <f aca="false">IF($B828="","",SUMIFS($I$3:$I$2002,$B$3:$B$2002,$B828))</f>
        <v/>
      </c>
      <c r="L828" s="13" t="str">
        <f aca="false">IF($B828="","",IF(COUNTIFS($B$3:$B828,$B828)&gt;1,0,IFERROR(LOOKUP($K828,배송비규정!$A$3:$A$32,배송비규정!$B$3:$B$32),0)+IFERROR(INDEX(지역추가비!$B$3:$B$42,MATCH($J828,지역추가비!$A$3:$A$42,0)),0)))</f>
        <v/>
      </c>
      <c r="M828" s="13" t="str">
        <f aca="false">IF($B828="","",IF(COUNTIFS($B$3:$B828,$B828)&gt;1,"",$K828+$L828))</f>
        <v/>
      </c>
      <c r="N828" s="14" t="str">
        <f aca="false">IF($B828="","",COUNTIFS($B$3:$B828,$B828))</f>
        <v/>
      </c>
      <c r="O828" s="14" t="str">
        <f aca="false">IF($B828="","",$B828&amp;"|"&amp;$N828)</f>
        <v/>
      </c>
    </row>
    <row r="829" customFormat="false" ht="15" hidden="false" customHeight="false" outlineLevel="0" collapsed="false">
      <c r="A829" s="12"/>
      <c r="B829" s="9"/>
      <c r="C829" s="9"/>
      <c r="D829" s="9"/>
      <c r="E829" s="9"/>
      <c r="F829" s="9"/>
      <c r="G829" s="9"/>
      <c r="H829" s="7"/>
      <c r="I829" s="13" t="str">
        <f aca="false">IF(OR($G829="",$H829=""),"",ROUND($G829*$H829,0))</f>
        <v/>
      </c>
      <c r="J829" s="8"/>
      <c r="K829" s="13" t="str">
        <f aca="false">IF($B829="","",SUMIFS($I$3:$I$2002,$B$3:$B$2002,$B829))</f>
        <v/>
      </c>
      <c r="L829" s="13" t="str">
        <f aca="false">IF($B829="","",IF(COUNTIFS($B$3:$B829,$B829)&gt;1,0,IFERROR(LOOKUP($K829,배송비규정!$A$3:$A$32,배송비규정!$B$3:$B$32),0)+IFERROR(INDEX(지역추가비!$B$3:$B$42,MATCH($J829,지역추가비!$A$3:$A$42,0)),0)))</f>
        <v/>
      </c>
      <c r="M829" s="13" t="str">
        <f aca="false">IF($B829="","",IF(COUNTIFS($B$3:$B829,$B829)&gt;1,"",$K829+$L829))</f>
        <v/>
      </c>
      <c r="N829" s="14" t="str">
        <f aca="false">IF($B829="","",COUNTIFS($B$3:$B829,$B829))</f>
        <v/>
      </c>
      <c r="O829" s="14" t="str">
        <f aca="false">IF($B829="","",$B829&amp;"|"&amp;$N829)</f>
        <v/>
      </c>
    </row>
    <row r="830" customFormat="false" ht="15" hidden="false" customHeight="false" outlineLevel="0" collapsed="false">
      <c r="A830" s="12"/>
      <c r="B830" s="9"/>
      <c r="C830" s="9"/>
      <c r="D830" s="9"/>
      <c r="E830" s="9"/>
      <c r="F830" s="9"/>
      <c r="G830" s="9"/>
      <c r="H830" s="7"/>
      <c r="I830" s="13" t="str">
        <f aca="false">IF(OR($G830="",$H830=""),"",ROUND($G830*$H830,0))</f>
        <v/>
      </c>
      <c r="J830" s="8"/>
      <c r="K830" s="13" t="str">
        <f aca="false">IF($B830="","",SUMIFS($I$3:$I$2002,$B$3:$B$2002,$B830))</f>
        <v/>
      </c>
      <c r="L830" s="13" t="str">
        <f aca="false">IF($B830="","",IF(COUNTIFS($B$3:$B830,$B830)&gt;1,0,IFERROR(LOOKUP($K830,배송비규정!$A$3:$A$32,배송비규정!$B$3:$B$32),0)+IFERROR(INDEX(지역추가비!$B$3:$B$42,MATCH($J830,지역추가비!$A$3:$A$42,0)),0)))</f>
        <v/>
      </c>
      <c r="M830" s="13" t="str">
        <f aca="false">IF($B830="","",IF(COUNTIFS($B$3:$B830,$B830)&gt;1,"",$K830+$L830))</f>
        <v/>
      </c>
      <c r="N830" s="14" t="str">
        <f aca="false">IF($B830="","",COUNTIFS($B$3:$B830,$B830))</f>
        <v/>
      </c>
      <c r="O830" s="14" t="str">
        <f aca="false">IF($B830="","",$B830&amp;"|"&amp;$N830)</f>
        <v/>
      </c>
    </row>
    <row r="831" customFormat="false" ht="15" hidden="false" customHeight="false" outlineLevel="0" collapsed="false">
      <c r="A831" s="12"/>
      <c r="B831" s="9"/>
      <c r="C831" s="9"/>
      <c r="D831" s="9"/>
      <c r="E831" s="9"/>
      <c r="F831" s="9"/>
      <c r="G831" s="9"/>
      <c r="H831" s="7"/>
      <c r="I831" s="13" t="str">
        <f aca="false">IF(OR($G831="",$H831=""),"",ROUND($G831*$H831,0))</f>
        <v/>
      </c>
      <c r="J831" s="8"/>
      <c r="K831" s="13" t="str">
        <f aca="false">IF($B831="","",SUMIFS($I$3:$I$2002,$B$3:$B$2002,$B831))</f>
        <v/>
      </c>
      <c r="L831" s="13" t="str">
        <f aca="false">IF($B831="","",IF(COUNTIFS($B$3:$B831,$B831)&gt;1,0,IFERROR(LOOKUP($K831,배송비규정!$A$3:$A$32,배송비규정!$B$3:$B$32),0)+IFERROR(INDEX(지역추가비!$B$3:$B$42,MATCH($J831,지역추가비!$A$3:$A$42,0)),0)))</f>
        <v/>
      </c>
      <c r="M831" s="13" t="str">
        <f aca="false">IF($B831="","",IF(COUNTIFS($B$3:$B831,$B831)&gt;1,"",$K831+$L831))</f>
        <v/>
      </c>
      <c r="N831" s="14" t="str">
        <f aca="false">IF($B831="","",COUNTIFS($B$3:$B831,$B831))</f>
        <v/>
      </c>
      <c r="O831" s="14" t="str">
        <f aca="false">IF($B831="","",$B831&amp;"|"&amp;$N831)</f>
        <v/>
      </c>
    </row>
    <row r="832" customFormat="false" ht="15" hidden="false" customHeight="false" outlineLevel="0" collapsed="false">
      <c r="A832" s="12"/>
      <c r="B832" s="9"/>
      <c r="C832" s="9"/>
      <c r="D832" s="9"/>
      <c r="E832" s="9"/>
      <c r="F832" s="9"/>
      <c r="G832" s="9"/>
      <c r="H832" s="7"/>
      <c r="I832" s="13" t="str">
        <f aca="false">IF(OR($G832="",$H832=""),"",ROUND($G832*$H832,0))</f>
        <v/>
      </c>
      <c r="J832" s="8"/>
      <c r="K832" s="13" t="str">
        <f aca="false">IF($B832="","",SUMIFS($I$3:$I$2002,$B$3:$B$2002,$B832))</f>
        <v/>
      </c>
      <c r="L832" s="13" t="str">
        <f aca="false">IF($B832="","",IF(COUNTIFS($B$3:$B832,$B832)&gt;1,0,IFERROR(LOOKUP($K832,배송비규정!$A$3:$A$32,배송비규정!$B$3:$B$32),0)+IFERROR(INDEX(지역추가비!$B$3:$B$42,MATCH($J832,지역추가비!$A$3:$A$42,0)),0)))</f>
        <v/>
      </c>
      <c r="M832" s="13" t="str">
        <f aca="false">IF($B832="","",IF(COUNTIFS($B$3:$B832,$B832)&gt;1,"",$K832+$L832))</f>
        <v/>
      </c>
      <c r="N832" s="14" t="str">
        <f aca="false">IF($B832="","",COUNTIFS($B$3:$B832,$B832))</f>
        <v/>
      </c>
      <c r="O832" s="14" t="str">
        <f aca="false">IF($B832="","",$B832&amp;"|"&amp;$N832)</f>
        <v/>
      </c>
    </row>
    <row r="833" customFormat="false" ht="15" hidden="false" customHeight="false" outlineLevel="0" collapsed="false">
      <c r="A833" s="12"/>
      <c r="B833" s="9"/>
      <c r="C833" s="9"/>
      <c r="D833" s="9"/>
      <c r="E833" s="9"/>
      <c r="F833" s="9"/>
      <c r="G833" s="9"/>
      <c r="H833" s="7"/>
      <c r="I833" s="13" t="str">
        <f aca="false">IF(OR($G833="",$H833=""),"",ROUND($G833*$H833,0))</f>
        <v/>
      </c>
      <c r="J833" s="8"/>
      <c r="K833" s="13" t="str">
        <f aca="false">IF($B833="","",SUMIFS($I$3:$I$2002,$B$3:$B$2002,$B833))</f>
        <v/>
      </c>
      <c r="L833" s="13" t="str">
        <f aca="false">IF($B833="","",IF(COUNTIFS($B$3:$B833,$B833)&gt;1,0,IFERROR(LOOKUP($K833,배송비규정!$A$3:$A$32,배송비규정!$B$3:$B$32),0)+IFERROR(INDEX(지역추가비!$B$3:$B$42,MATCH($J833,지역추가비!$A$3:$A$42,0)),0)))</f>
        <v/>
      </c>
      <c r="M833" s="13" t="str">
        <f aca="false">IF($B833="","",IF(COUNTIFS($B$3:$B833,$B833)&gt;1,"",$K833+$L833))</f>
        <v/>
      </c>
      <c r="N833" s="14" t="str">
        <f aca="false">IF($B833="","",COUNTIFS($B$3:$B833,$B833))</f>
        <v/>
      </c>
      <c r="O833" s="14" t="str">
        <f aca="false">IF($B833="","",$B833&amp;"|"&amp;$N833)</f>
        <v/>
      </c>
    </row>
    <row r="834" customFormat="false" ht="15" hidden="false" customHeight="false" outlineLevel="0" collapsed="false">
      <c r="A834" s="12"/>
      <c r="B834" s="9"/>
      <c r="C834" s="9"/>
      <c r="D834" s="9"/>
      <c r="E834" s="9"/>
      <c r="F834" s="9"/>
      <c r="G834" s="9"/>
      <c r="H834" s="7"/>
      <c r="I834" s="13" t="str">
        <f aca="false">IF(OR($G834="",$H834=""),"",ROUND($G834*$H834,0))</f>
        <v/>
      </c>
      <c r="J834" s="8"/>
      <c r="K834" s="13" t="str">
        <f aca="false">IF($B834="","",SUMIFS($I$3:$I$2002,$B$3:$B$2002,$B834))</f>
        <v/>
      </c>
      <c r="L834" s="13" t="str">
        <f aca="false">IF($B834="","",IF(COUNTIFS($B$3:$B834,$B834)&gt;1,0,IFERROR(LOOKUP($K834,배송비규정!$A$3:$A$32,배송비규정!$B$3:$B$32),0)+IFERROR(INDEX(지역추가비!$B$3:$B$42,MATCH($J834,지역추가비!$A$3:$A$42,0)),0)))</f>
        <v/>
      </c>
      <c r="M834" s="13" t="str">
        <f aca="false">IF($B834="","",IF(COUNTIFS($B$3:$B834,$B834)&gt;1,"",$K834+$L834))</f>
        <v/>
      </c>
      <c r="N834" s="14" t="str">
        <f aca="false">IF($B834="","",COUNTIFS($B$3:$B834,$B834))</f>
        <v/>
      </c>
      <c r="O834" s="14" t="str">
        <f aca="false">IF($B834="","",$B834&amp;"|"&amp;$N834)</f>
        <v/>
      </c>
    </row>
    <row r="835" customFormat="false" ht="15" hidden="false" customHeight="false" outlineLevel="0" collapsed="false">
      <c r="A835" s="12"/>
      <c r="B835" s="9"/>
      <c r="C835" s="9"/>
      <c r="D835" s="9"/>
      <c r="E835" s="9"/>
      <c r="F835" s="9"/>
      <c r="G835" s="9"/>
      <c r="H835" s="7"/>
      <c r="I835" s="13" t="str">
        <f aca="false">IF(OR($G835="",$H835=""),"",ROUND($G835*$H835,0))</f>
        <v/>
      </c>
      <c r="J835" s="8"/>
      <c r="K835" s="13" t="str">
        <f aca="false">IF($B835="","",SUMIFS($I$3:$I$2002,$B$3:$B$2002,$B835))</f>
        <v/>
      </c>
      <c r="L835" s="13" t="str">
        <f aca="false">IF($B835="","",IF(COUNTIFS($B$3:$B835,$B835)&gt;1,0,IFERROR(LOOKUP($K835,배송비규정!$A$3:$A$32,배송비규정!$B$3:$B$32),0)+IFERROR(INDEX(지역추가비!$B$3:$B$42,MATCH($J835,지역추가비!$A$3:$A$42,0)),0)))</f>
        <v/>
      </c>
      <c r="M835" s="13" t="str">
        <f aca="false">IF($B835="","",IF(COUNTIFS($B$3:$B835,$B835)&gt;1,"",$K835+$L835))</f>
        <v/>
      </c>
      <c r="N835" s="14" t="str">
        <f aca="false">IF($B835="","",COUNTIFS($B$3:$B835,$B835))</f>
        <v/>
      </c>
      <c r="O835" s="14" t="str">
        <f aca="false">IF($B835="","",$B835&amp;"|"&amp;$N835)</f>
        <v/>
      </c>
    </row>
    <row r="836" customFormat="false" ht="15" hidden="false" customHeight="false" outlineLevel="0" collapsed="false">
      <c r="A836" s="12"/>
      <c r="B836" s="9"/>
      <c r="C836" s="9"/>
      <c r="D836" s="9"/>
      <c r="E836" s="9"/>
      <c r="F836" s="9"/>
      <c r="G836" s="9"/>
      <c r="H836" s="7"/>
      <c r="I836" s="13" t="str">
        <f aca="false">IF(OR($G836="",$H836=""),"",ROUND($G836*$H836,0))</f>
        <v/>
      </c>
      <c r="J836" s="8"/>
      <c r="K836" s="13" t="str">
        <f aca="false">IF($B836="","",SUMIFS($I$3:$I$2002,$B$3:$B$2002,$B836))</f>
        <v/>
      </c>
      <c r="L836" s="13" t="str">
        <f aca="false">IF($B836="","",IF(COUNTIFS($B$3:$B836,$B836)&gt;1,0,IFERROR(LOOKUP($K836,배송비규정!$A$3:$A$32,배송비규정!$B$3:$B$32),0)+IFERROR(INDEX(지역추가비!$B$3:$B$42,MATCH($J836,지역추가비!$A$3:$A$42,0)),0)))</f>
        <v/>
      </c>
      <c r="M836" s="13" t="str">
        <f aca="false">IF($B836="","",IF(COUNTIFS($B$3:$B836,$B836)&gt;1,"",$K836+$L836))</f>
        <v/>
      </c>
      <c r="N836" s="14" t="str">
        <f aca="false">IF($B836="","",COUNTIFS($B$3:$B836,$B836))</f>
        <v/>
      </c>
      <c r="O836" s="14" t="str">
        <f aca="false">IF($B836="","",$B836&amp;"|"&amp;$N836)</f>
        <v/>
      </c>
    </row>
    <row r="837" customFormat="false" ht="15" hidden="false" customHeight="false" outlineLevel="0" collapsed="false">
      <c r="A837" s="12"/>
      <c r="B837" s="9"/>
      <c r="C837" s="9"/>
      <c r="D837" s="9"/>
      <c r="E837" s="9"/>
      <c r="F837" s="9"/>
      <c r="G837" s="9"/>
      <c r="H837" s="7"/>
      <c r="I837" s="13" t="str">
        <f aca="false">IF(OR($G837="",$H837=""),"",ROUND($G837*$H837,0))</f>
        <v/>
      </c>
      <c r="J837" s="8"/>
      <c r="K837" s="13" t="str">
        <f aca="false">IF($B837="","",SUMIFS($I$3:$I$2002,$B$3:$B$2002,$B837))</f>
        <v/>
      </c>
      <c r="L837" s="13" t="str">
        <f aca="false">IF($B837="","",IF(COUNTIFS($B$3:$B837,$B837)&gt;1,0,IFERROR(LOOKUP($K837,배송비규정!$A$3:$A$32,배송비규정!$B$3:$B$32),0)+IFERROR(INDEX(지역추가비!$B$3:$B$42,MATCH($J837,지역추가비!$A$3:$A$42,0)),0)))</f>
        <v/>
      </c>
      <c r="M837" s="13" t="str">
        <f aca="false">IF($B837="","",IF(COUNTIFS($B$3:$B837,$B837)&gt;1,"",$K837+$L837))</f>
        <v/>
      </c>
      <c r="N837" s="14" t="str">
        <f aca="false">IF($B837="","",COUNTIFS($B$3:$B837,$B837))</f>
        <v/>
      </c>
      <c r="O837" s="14" t="str">
        <f aca="false">IF($B837="","",$B837&amp;"|"&amp;$N837)</f>
        <v/>
      </c>
    </row>
    <row r="838" customFormat="false" ht="15" hidden="false" customHeight="false" outlineLevel="0" collapsed="false">
      <c r="A838" s="12"/>
      <c r="B838" s="9"/>
      <c r="C838" s="9"/>
      <c r="D838" s="9"/>
      <c r="E838" s="9"/>
      <c r="F838" s="9"/>
      <c r="G838" s="9"/>
      <c r="H838" s="7"/>
      <c r="I838" s="13" t="str">
        <f aca="false">IF(OR($G838="",$H838=""),"",ROUND($G838*$H838,0))</f>
        <v/>
      </c>
      <c r="J838" s="8"/>
      <c r="K838" s="13" t="str">
        <f aca="false">IF($B838="","",SUMIFS($I$3:$I$2002,$B$3:$B$2002,$B838))</f>
        <v/>
      </c>
      <c r="L838" s="13" t="str">
        <f aca="false">IF($B838="","",IF(COUNTIFS($B$3:$B838,$B838)&gt;1,0,IFERROR(LOOKUP($K838,배송비규정!$A$3:$A$32,배송비규정!$B$3:$B$32),0)+IFERROR(INDEX(지역추가비!$B$3:$B$42,MATCH($J838,지역추가비!$A$3:$A$42,0)),0)))</f>
        <v/>
      </c>
      <c r="M838" s="13" t="str">
        <f aca="false">IF($B838="","",IF(COUNTIFS($B$3:$B838,$B838)&gt;1,"",$K838+$L838))</f>
        <v/>
      </c>
      <c r="N838" s="14" t="str">
        <f aca="false">IF($B838="","",COUNTIFS($B$3:$B838,$B838))</f>
        <v/>
      </c>
      <c r="O838" s="14" t="str">
        <f aca="false">IF($B838="","",$B838&amp;"|"&amp;$N838)</f>
        <v/>
      </c>
    </row>
    <row r="839" customFormat="false" ht="15" hidden="false" customHeight="false" outlineLevel="0" collapsed="false">
      <c r="A839" s="12"/>
      <c r="B839" s="9"/>
      <c r="C839" s="9"/>
      <c r="D839" s="9"/>
      <c r="E839" s="9"/>
      <c r="F839" s="9"/>
      <c r="G839" s="9"/>
      <c r="H839" s="7"/>
      <c r="I839" s="13" t="str">
        <f aca="false">IF(OR($G839="",$H839=""),"",ROUND($G839*$H839,0))</f>
        <v/>
      </c>
      <c r="J839" s="8"/>
      <c r="K839" s="13" t="str">
        <f aca="false">IF($B839="","",SUMIFS($I$3:$I$2002,$B$3:$B$2002,$B839))</f>
        <v/>
      </c>
      <c r="L839" s="13" t="str">
        <f aca="false">IF($B839="","",IF(COUNTIFS($B$3:$B839,$B839)&gt;1,0,IFERROR(LOOKUP($K839,배송비규정!$A$3:$A$32,배송비규정!$B$3:$B$32),0)+IFERROR(INDEX(지역추가비!$B$3:$B$42,MATCH($J839,지역추가비!$A$3:$A$42,0)),0)))</f>
        <v/>
      </c>
      <c r="M839" s="13" t="str">
        <f aca="false">IF($B839="","",IF(COUNTIFS($B$3:$B839,$B839)&gt;1,"",$K839+$L839))</f>
        <v/>
      </c>
      <c r="N839" s="14" t="str">
        <f aca="false">IF($B839="","",COUNTIFS($B$3:$B839,$B839))</f>
        <v/>
      </c>
      <c r="O839" s="14" t="str">
        <f aca="false">IF($B839="","",$B839&amp;"|"&amp;$N839)</f>
        <v/>
      </c>
    </row>
    <row r="840" customFormat="false" ht="15" hidden="false" customHeight="false" outlineLevel="0" collapsed="false">
      <c r="A840" s="12"/>
      <c r="B840" s="9"/>
      <c r="C840" s="9"/>
      <c r="D840" s="9"/>
      <c r="E840" s="9"/>
      <c r="F840" s="9"/>
      <c r="G840" s="9"/>
      <c r="H840" s="7"/>
      <c r="I840" s="13" t="str">
        <f aca="false">IF(OR($G840="",$H840=""),"",ROUND($G840*$H840,0))</f>
        <v/>
      </c>
      <c r="J840" s="8"/>
      <c r="K840" s="13" t="str">
        <f aca="false">IF($B840="","",SUMIFS($I$3:$I$2002,$B$3:$B$2002,$B840))</f>
        <v/>
      </c>
      <c r="L840" s="13" t="str">
        <f aca="false">IF($B840="","",IF(COUNTIFS($B$3:$B840,$B840)&gt;1,0,IFERROR(LOOKUP($K840,배송비규정!$A$3:$A$32,배송비규정!$B$3:$B$32),0)+IFERROR(INDEX(지역추가비!$B$3:$B$42,MATCH($J840,지역추가비!$A$3:$A$42,0)),0)))</f>
        <v/>
      </c>
      <c r="M840" s="13" t="str">
        <f aca="false">IF($B840="","",IF(COUNTIFS($B$3:$B840,$B840)&gt;1,"",$K840+$L840))</f>
        <v/>
      </c>
      <c r="N840" s="14" t="str">
        <f aca="false">IF($B840="","",COUNTIFS($B$3:$B840,$B840))</f>
        <v/>
      </c>
      <c r="O840" s="14" t="str">
        <f aca="false">IF($B840="","",$B840&amp;"|"&amp;$N840)</f>
        <v/>
      </c>
    </row>
    <row r="841" customFormat="false" ht="15" hidden="false" customHeight="false" outlineLevel="0" collapsed="false">
      <c r="A841" s="12"/>
      <c r="B841" s="9"/>
      <c r="C841" s="9"/>
      <c r="D841" s="9"/>
      <c r="E841" s="9"/>
      <c r="F841" s="9"/>
      <c r="G841" s="9"/>
      <c r="H841" s="7"/>
      <c r="I841" s="13" t="str">
        <f aca="false">IF(OR($G841="",$H841=""),"",ROUND($G841*$H841,0))</f>
        <v/>
      </c>
      <c r="J841" s="8"/>
      <c r="K841" s="13" t="str">
        <f aca="false">IF($B841="","",SUMIFS($I$3:$I$2002,$B$3:$B$2002,$B841))</f>
        <v/>
      </c>
      <c r="L841" s="13" t="str">
        <f aca="false">IF($B841="","",IF(COUNTIFS($B$3:$B841,$B841)&gt;1,0,IFERROR(LOOKUP($K841,배송비규정!$A$3:$A$32,배송비규정!$B$3:$B$32),0)+IFERROR(INDEX(지역추가비!$B$3:$B$42,MATCH($J841,지역추가비!$A$3:$A$42,0)),0)))</f>
        <v/>
      </c>
      <c r="M841" s="13" t="str">
        <f aca="false">IF($B841="","",IF(COUNTIFS($B$3:$B841,$B841)&gt;1,"",$K841+$L841))</f>
        <v/>
      </c>
      <c r="N841" s="14" t="str">
        <f aca="false">IF($B841="","",COUNTIFS($B$3:$B841,$B841))</f>
        <v/>
      </c>
      <c r="O841" s="14" t="str">
        <f aca="false">IF($B841="","",$B841&amp;"|"&amp;$N841)</f>
        <v/>
      </c>
    </row>
    <row r="842" customFormat="false" ht="15" hidden="false" customHeight="false" outlineLevel="0" collapsed="false">
      <c r="A842" s="12"/>
      <c r="B842" s="9"/>
      <c r="C842" s="9"/>
      <c r="D842" s="9"/>
      <c r="E842" s="9"/>
      <c r="F842" s="9"/>
      <c r="G842" s="9"/>
      <c r="H842" s="7"/>
      <c r="I842" s="13" t="str">
        <f aca="false">IF(OR($G842="",$H842=""),"",ROUND($G842*$H842,0))</f>
        <v/>
      </c>
      <c r="J842" s="8"/>
      <c r="K842" s="13" t="str">
        <f aca="false">IF($B842="","",SUMIFS($I$3:$I$2002,$B$3:$B$2002,$B842))</f>
        <v/>
      </c>
      <c r="L842" s="13" t="str">
        <f aca="false">IF($B842="","",IF(COUNTIFS($B$3:$B842,$B842)&gt;1,0,IFERROR(LOOKUP($K842,배송비규정!$A$3:$A$32,배송비규정!$B$3:$B$32),0)+IFERROR(INDEX(지역추가비!$B$3:$B$42,MATCH($J842,지역추가비!$A$3:$A$42,0)),0)))</f>
        <v/>
      </c>
      <c r="M842" s="13" t="str">
        <f aca="false">IF($B842="","",IF(COUNTIFS($B$3:$B842,$B842)&gt;1,"",$K842+$L842))</f>
        <v/>
      </c>
      <c r="N842" s="14" t="str">
        <f aca="false">IF($B842="","",COUNTIFS($B$3:$B842,$B842))</f>
        <v/>
      </c>
      <c r="O842" s="14" t="str">
        <f aca="false">IF($B842="","",$B842&amp;"|"&amp;$N842)</f>
        <v/>
      </c>
    </row>
    <row r="843" customFormat="false" ht="15" hidden="false" customHeight="false" outlineLevel="0" collapsed="false">
      <c r="A843" s="12"/>
      <c r="B843" s="9"/>
      <c r="C843" s="9"/>
      <c r="D843" s="9"/>
      <c r="E843" s="9"/>
      <c r="F843" s="9"/>
      <c r="G843" s="9"/>
      <c r="H843" s="7"/>
      <c r="I843" s="13" t="str">
        <f aca="false">IF(OR($G843="",$H843=""),"",ROUND($G843*$H843,0))</f>
        <v/>
      </c>
      <c r="J843" s="8"/>
      <c r="K843" s="13" t="str">
        <f aca="false">IF($B843="","",SUMIFS($I$3:$I$2002,$B$3:$B$2002,$B843))</f>
        <v/>
      </c>
      <c r="L843" s="13" t="str">
        <f aca="false">IF($B843="","",IF(COUNTIFS($B$3:$B843,$B843)&gt;1,0,IFERROR(LOOKUP($K843,배송비규정!$A$3:$A$32,배송비규정!$B$3:$B$32),0)+IFERROR(INDEX(지역추가비!$B$3:$B$42,MATCH($J843,지역추가비!$A$3:$A$42,0)),0)))</f>
        <v/>
      </c>
      <c r="M843" s="13" t="str">
        <f aca="false">IF($B843="","",IF(COUNTIFS($B$3:$B843,$B843)&gt;1,"",$K843+$L843))</f>
        <v/>
      </c>
      <c r="N843" s="14" t="str">
        <f aca="false">IF($B843="","",COUNTIFS($B$3:$B843,$B843))</f>
        <v/>
      </c>
      <c r="O843" s="14" t="str">
        <f aca="false">IF($B843="","",$B843&amp;"|"&amp;$N843)</f>
        <v/>
      </c>
    </row>
    <row r="844" customFormat="false" ht="15" hidden="false" customHeight="false" outlineLevel="0" collapsed="false">
      <c r="A844" s="12"/>
      <c r="B844" s="9"/>
      <c r="C844" s="9"/>
      <c r="D844" s="9"/>
      <c r="E844" s="9"/>
      <c r="F844" s="9"/>
      <c r="G844" s="9"/>
      <c r="H844" s="7"/>
      <c r="I844" s="13" t="str">
        <f aca="false">IF(OR($G844="",$H844=""),"",ROUND($G844*$H844,0))</f>
        <v/>
      </c>
      <c r="J844" s="8"/>
      <c r="K844" s="13" t="str">
        <f aca="false">IF($B844="","",SUMIFS($I$3:$I$2002,$B$3:$B$2002,$B844))</f>
        <v/>
      </c>
      <c r="L844" s="13" t="str">
        <f aca="false">IF($B844="","",IF(COUNTIFS($B$3:$B844,$B844)&gt;1,0,IFERROR(LOOKUP($K844,배송비규정!$A$3:$A$32,배송비규정!$B$3:$B$32),0)+IFERROR(INDEX(지역추가비!$B$3:$B$42,MATCH($J844,지역추가비!$A$3:$A$42,0)),0)))</f>
        <v/>
      </c>
      <c r="M844" s="13" t="str">
        <f aca="false">IF($B844="","",IF(COUNTIFS($B$3:$B844,$B844)&gt;1,"",$K844+$L844))</f>
        <v/>
      </c>
      <c r="N844" s="14" t="str">
        <f aca="false">IF($B844="","",COUNTIFS($B$3:$B844,$B844))</f>
        <v/>
      </c>
      <c r="O844" s="14" t="str">
        <f aca="false">IF($B844="","",$B844&amp;"|"&amp;$N844)</f>
        <v/>
      </c>
    </row>
    <row r="845" customFormat="false" ht="15" hidden="false" customHeight="false" outlineLevel="0" collapsed="false">
      <c r="A845" s="12"/>
      <c r="B845" s="9"/>
      <c r="C845" s="9"/>
      <c r="D845" s="9"/>
      <c r="E845" s="9"/>
      <c r="F845" s="9"/>
      <c r="G845" s="9"/>
      <c r="H845" s="7"/>
      <c r="I845" s="13" t="str">
        <f aca="false">IF(OR($G845="",$H845=""),"",ROUND($G845*$H845,0))</f>
        <v/>
      </c>
      <c r="J845" s="8"/>
      <c r="K845" s="13" t="str">
        <f aca="false">IF($B845="","",SUMIFS($I$3:$I$2002,$B$3:$B$2002,$B845))</f>
        <v/>
      </c>
      <c r="L845" s="13" t="str">
        <f aca="false">IF($B845="","",IF(COUNTIFS($B$3:$B845,$B845)&gt;1,0,IFERROR(LOOKUP($K845,배송비규정!$A$3:$A$32,배송비규정!$B$3:$B$32),0)+IFERROR(INDEX(지역추가비!$B$3:$B$42,MATCH($J845,지역추가비!$A$3:$A$42,0)),0)))</f>
        <v/>
      </c>
      <c r="M845" s="13" t="str">
        <f aca="false">IF($B845="","",IF(COUNTIFS($B$3:$B845,$B845)&gt;1,"",$K845+$L845))</f>
        <v/>
      </c>
      <c r="N845" s="14" t="str">
        <f aca="false">IF($B845="","",COUNTIFS($B$3:$B845,$B845))</f>
        <v/>
      </c>
      <c r="O845" s="14" t="str">
        <f aca="false">IF($B845="","",$B845&amp;"|"&amp;$N845)</f>
        <v/>
      </c>
    </row>
    <row r="846" customFormat="false" ht="15" hidden="false" customHeight="false" outlineLevel="0" collapsed="false">
      <c r="A846" s="12"/>
      <c r="B846" s="9"/>
      <c r="C846" s="9"/>
      <c r="D846" s="9"/>
      <c r="E846" s="9"/>
      <c r="F846" s="9"/>
      <c r="G846" s="9"/>
      <c r="H846" s="7"/>
      <c r="I846" s="13" t="str">
        <f aca="false">IF(OR($G846="",$H846=""),"",ROUND($G846*$H846,0))</f>
        <v/>
      </c>
      <c r="J846" s="8"/>
      <c r="K846" s="13" t="str">
        <f aca="false">IF($B846="","",SUMIFS($I$3:$I$2002,$B$3:$B$2002,$B846))</f>
        <v/>
      </c>
      <c r="L846" s="13" t="str">
        <f aca="false">IF($B846="","",IF(COUNTIFS($B$3:$B846,$B846)&gt;1,0,IFERROR(LOOKUP($K846,배송비규정!$A$3:$A$32,배송비규정!$B$3:$B$32),0)+IFERROR(INDEX(지역추가비!$B$3:$B$42,MATCH($J846,지역추가비!$A$3:$A$42,0)),0)))</f>
        <v/>
      </c>
      <c r="M846" s="13" t="str">
        <f aca="false">IF($B846="","",IF(COUNTIFS($B$3:$B846,$B846)&gt;1,"",$K846+$L846))</f>
        <v/>
      </c>
      <c r="N846" s="14" t="str">
        <f aca="false">IF($B846="","",COUNTIFS($B$3:$B846,$B846))</f>
        <v/>
      </c>
      <c r="O846" s="14" t="str">
        <f aca="false">IF($B846="","",$B846&amp;"|"&amp;$N846)</f>
        <v/>
      </c>
    </row>
    <row r="847" customFormat="false" ht="15" hidden="false" customHeight="false" outlineLevel="0" collapsed="false">
      <c r="A847" s="12"/>
      <c r="B847" s="9"/>
      <c r="C847" s="9"/>
      <c r="D847" s="9"/>
      <c r="E847" s="9"/>
      <c r="F847" s="9"/>
      <c r="G847" s="9"/>
      <c r="H847" s="7"/>
      <c r="I847" s="13" t="str">
        <f aca="false">IF(OR($G847="",$H847=""),"",ROUND($G847*$H847,0))</f>
        <v/>
      </c>
      <c r="J847" s="8"/>
      <c r="K847" s="13" t="str">
        <f aca="false">IF($B847="","",SUMIFS($I$3:$I$2002,$B$3:$B$2002,$B847))</f>
        <v/>
      </c>
      <c r="L847" s="13" t="str">
        <f aca="false">IF($B847="","",IF(COUNTIFS($B$3:$B847,$B847)&gt;1,0,IFERROR(LOOKUP($K847,배송비규정!$A$3:$A$32,배송비규정!$B$3:$B$32),0)+IFERROR(INDEX(지역추가비!$B$3:$B$42,MATCH($J847,지역추가비!$A$3:$A$42,0)),0)))</f>
        <v/>
      </c>
      <c r="M847" s="13" t="str">
        <f aca="false">IF($B847="","",IF(COUNTIFS($B$3:$B847,$B847)&gt;1,"",$K847+$L847))</f>
        <v/>
      </c>
      <c r="N847" s="14" t="str">
        <f aca="false">IF($B847="","",COUNTIFS($B$3:$B847,$B847))</f>
        <v/>
      </c>
      <c r="O847" s="14" t="str">
        <f aca="false">IF($B847="","",$B847&amp;"|"&amp;$N847)</f>
        <v/>
      </c>
    </row>
    <row r="848" customFormat="false" ht="15" hidden="false" customHeight="false" outlineLevel="0" collapsed="false">
      <c r="A848" s="12"/>
      <c r="B848" s="9"/>
      <c r="C848" s="9"/>
      <c r="D848" s="9"/>
      <c r="E848" s="9"/>
      <c r="F848" s="9"/>
      <c r="G848" s="9"/>
      <c r="H848" s="7"/>
      <c r="I848" s="13" t="str">
        <f aca="false">IF(OR($G848="",$H848=""),"",ROUND($G848*$H848,0))</f>
        <v/>
      </c>
      <c r="J848" s="8"/>
      <c r="K848" s="13" t="str">
        <f aca="false">IF($B848="","",SUMIFS($I$3:$I$2002,$B$3:$B$2002,$B848))</f>
        <v/>
      </c>
      <c r="L848" s="13" t="str">
        <f aca="false">IF($B848="","",IF(COUNTIFS($B$3:$B848,$B848)&gt;1,0,IFERROR(LOOKUP($K848,배송비규정!$A$3:$A$32,배송비규정!$B$3:$B$32),0)+IFERROR(INDEX(지역추가비!$B$3:$B$42,MATCH($J848,지역추가비!$A$3:$A$42,0)),0)))</f>
        <v/>
      </c>
      <c r="M848" s="13" t="str">
        <f aca="false">IF($B848="","",IF(COUNTIFS($B$3:$B848,$B848)&gt;1,"",$K848+$L848))</f>
        <v/>
      </c>
      <c r="N848" s="14" t="str">
        <f aca="false">IF($B848="","",COUNTIFS($B$3:$B848,$B848))</f>
        <v/>
      </c>
      <c r="O848" s="14" t="str">
        <f aca="false">IF($B848="","",$B848&amp;"|"&amp;$N848)</f>
        <v/>
      </c>
    </row>
    <row r="849" customFormat="false" ht="15" hidden="false" customHeight="false" outlineLevel="0" collapsed="false">
      <c r="A849" s="12"/>
      <c r="B849" s="9"/>
      <c r="C849" s="9"/>
      <c r="D849" s="9"/>
      <c r="E849" s="9"/>
      <c r="F849" s="9"/>
      <c r="G849" s="9"/>
      <c r="H849" s="7"/>
      <c r="I849" s="13" t="str">
        <f aca="false">IF(OR($G849="",$H849=""),"",ROUND($G849*$H849,0))</f>
        <v/>
      </c>
      <c r="J849" s="8"/>
      <c r="K849" s="13" t="str">
        <f aca="false">IF($B849="","",SUMIFS($I$3:$I$2002,$B$3:$B$2002,$B849))</f>
        <v/>
      </c>
      <c r="L849" s="13" t="str">
        <f aca="false">IF($B849="","",IF(COUNTIFS($B$3:$B849,$B849)&gt;1,0,IFERROR(LOOKUP($K849,배송비규정!$A$3:$A$32,배송비규정!$B$3:$B$32),0)+IFERROR(INDEX(지역추가비!$B$3:$B$42,MATCH($J849,지역추가비!$A$3:$A$42,0)),0)))</f>
        <v/>
      </c>
      <c r="M849" s="13" t="str">
        <f aca="false">IF($B849="","",IF(COUNTIFS($B$3:$B849,$B849)&gt;1,"",$K849+$L849))</f>
        <v/>
      </c>
      <c r="N849" s="14" t="str">
        <f aca="false">IF($B849="","",COUNTIFS($B$3:$B849,$B849))</f>
        <v/>
      </c>
      <c r="O849" s="14" t="str">
        <f aca="false">IF($B849="","",$B849&amp;"|"&amp;$N849)</f>
        <v/>
      </c>
    </row>
    <row r="850" customFormat="false" ht="15" hidden="false" customHeight="false" outlineLevel="0" collapsed="false">
      <c r="A850" s="12"/>
      <c r="B850" s="9"/>
      <c r="C850" s="9"/>
      <c r="D850" s="9"/>
      <c r="E850" s="9"/>
      <c r="F850" s="9"/>
      <c r="G850" s="9"/>
      <c r="H850" s="7"/>
      <c r="I850" s="13" t="str">
        <f aca="false">IF(OR($G850="",$H850=""),"",ROUND($G850*$H850,0))</f>
        <v/>
      </c>
      <c r="J850" s="8"/>
      <c r="K850" s="13" t="str">
        <f aca="false">IF($B850="","",SUMIFS($I$3:$I$2002,$B$3:$B$2002,$B850))</f>
        <v/>
      </c>
      <c r="L850" s="13" t="str">
        <f aca="false">IF($B850="","",IF(COUNTIFS($B$3:$B850,$B850)&gt;1,0,IFERROR(LOOKUP($K850,배송비규정!$A$3:$A$32,배송비규정!$B$3:$B$32),0)+IFERROR(INDEX(지역추가비!$B$3:$B$42,MATCH($J850,지역추가비!$A$3:$A$42,0)),0)))</f>
        <v/>
      </c>
      <c r="M850" s="13" t="str">
        <f aca="false">IF($B850="","",IF(COUNTIFS($B$3:$B850,$B850)&gt;1,"",$K850+$L850))</f>
        <v/>
      </c>
      <c r="N850" s="14" t="str">
        <f aca="false">IF($B850="","",COUNTIFS($B$3:$B850,$B850))</f>
        <v/>
      </c>
      <c r="O850" s="14" t="str">
        <f aca="false">IF($B850="","",$B850&amp;"|"&amp;$N850)</f>
        <v/>
      </c>
    </row>
    <row r="851" customFormat="false" ht="15" hidden="false" customHeight="false" outlineLevel="0" collapsed="false">
      <c r="A851" s="12"/>
      <c r="B851" s="9"/>
      <c r="C851" s="9"/>
      <c r="D851" s="9"/>
      <c r="E851" s="9"/>
      <c r="F851" s="9"/>
      <c r="G851" s="9"/>
      <c r="H851" s="7"/>
      <c r="I851" s="13" t="str">
        <f aca="false">IF(OR($G851="",$H851=""),"",ROUND($G851*$H851,0))</f>
        <v/>
      </c>
      <c r="J851" s="8"/>
      <c r="K851" s="13" t="str">
        <f aca="false">IF($B851="","",SUMIFS($I$3:$I$2002,$B$3:$B$2002,$B851))</f>
        <v/>
      </c>
      <c r="L851" s="13" t="str">
        <f aca="false">IF($B851="","",IF(COUNTIFS($B$3:$B851,$B851)&gt;1,0,IFERROR(LOOKUP($K851,배송비규정!$A$3:$A$32,배송비규정!$B$3:$B$32),0)+IFERROR(INDEX(지역추가비!$B$3:$B$42,MATCH($J851,지역추가비!$A$3:$A$42,0)),0)))</f>
        <v/>
      </c>
      <c r="M851" s="13" t="str">
        <f aca="false">IF($B851="","",IF(COUNTIFS($B$3:$B851,$B851)&gt;1,"",$K851+$L851))</f>
        <v/>
      </c>
      <c r="N851" s="14" t="str">
        <f aca="false">IF($B851="","",COUNTIFS($B$3:$B851,$B851))</f>
        <v/>
      </c>
      <c r="O851" s="14" t="str">
        <f aca="false">IF($B851="","",$B851&amp;"|"&amp;$N851)</f>
        <v/>
      </c>
    </row>
    <row r="852" customFormat="false" ht="15" hidden="false" customHeight="false" outlineLevel="0" collapsed="false">
      <c r="A852" s="12"/>
      <c r="B852" s="9"/>
      <c r="C852" s="9"/>
      <c r="D852" s="9"/>
      <c r="E852" s="9"/>
      <c r="F852" s="9"/>
      <c r="G852" s="9"/>
      <c r="H852" s="7"/>
      <c r="I852" s="13" t="str">
        <f aca="false">IF(OR($G852="",$H852=""),"",ROUND($G852*$H852,0))</f>
        <v/>
      </c>
      <c r="J852" s="8"/>
      <c r="K852" s="13" t="str">
        <f aca="false">IF($B852="","",SUMIFS($I$3:$I$2002,$B$3:$B$2002,$B852))</f>
        <v/>
      </c>
      <c r="L852" s="13" t="str">
        <f aca="false">IF($B852="","",IF(COUNTIFS($B$3:$B852,$B852)&gt;1,0,IFERROR(LOOKUP($K852,배송비규정!$A$3:$A$32,배송비규정!$B$3:$B$32),0)+IFERROR(INDEX(지역추가비!$B$3:$B$42,MATCH($J852,지역추가비!$A$3:$A$42,0)),0)))</f>
        <v/>
      </c>
      <c r="M852" s="13" t="str">
        <f aca="false">IF($B852="","",IF(COUNTIFS($B$3:$B852,$B852)&gt;1,"",$K852+$L852))</f>
        <v/>
      </c>
      <c r="N852" s="14" t="str">
        <f aca="false">IF($B852="","",COUNTIFS($B$3:$B852,$B852))</f>
        <v/>
      </c>
      <c r="O852" s="14" t="str">
        <f aca="false">IF($B852="","",$B852&amp;"|"&amp;$N852)</f>
        <v/>
      </c>
    </row>
    <row r="853" customFormat="false" ht="15" hidden="false" customHeight="false" outlineLevel="0" collapsed="false">
      <c r="A853" s="12"/>
      <c r="B853" s="9"/>
      <c r="C853" s="9"/>
      <c r="D853" s="9"/>
      <c r="E853" s="9"/>
      <c r="F853" s="9"/>
      <c r="G853" s="9"/>
      <c r="H853" s="7"/>
      <c r="I853" s="13" t="str">
        <f aca="false">IF(OR($G853="",$H853=""),"",ROUND($G853*$H853,0))</f>
        <v/>
      </c>
      <c r="J853" s="8"/>
      <c r="K853" s="13" t="str">
        <f aca="false">IF($B853="","",SUMIFS($I$3:$I$2002,$B$3:$B$2002,$B853))</f>
        <v/>
      </c>
      <c r="L853" s="13" t="str">
        <f aca="false">IF($B853="","",IF(COUNTIFS($B$3:$B853,$B853)&gt;1,0,IFERROR(LOOKUP($K853,배송비규정!$A$3:$A$32,배송비규정!$B$3:$B$32),0)+IFERROR(INDEX(지역추가비!$B$3:$B$42,MATCH($J853,지역추가비!$A$3:$A$42,0)),0)))</f>
        <v/>
      </c>
      <c r="M853" s="13" t="str">
        <f aca="false">IF($B853="","",IF(COUNTIFS($B$3:$B853,$B853)&gt;1,"",$K853+$L853))</f>
        <v/>
      </c>
      <c r="N853" s="14" t="str">
        <f aca="false">IF($B853="","",COUNTIFS($B$3:$B853,$B853))</f>
        <v/>
      </c>
      <c r="O853" s="14" t="str">
        <f aca="false">IF($B853="","",$B853&amp;"|"&amp;$N853)</f>
        <v/>
      </c>
    </row>
    <row r="854" customFormat="false" ht="15" hidden="false" customHeight="false" outlineLevel="0" collapsed="false">
      <c r="A854" s="12"/>
      <c r="B854" s="9"/>
      <c r="C854" s="9"/>
      <c r="D854" s="9"/>
      <c r="E854" s="9"/>
      <c r="F854" s="9"/>
      <c r="G854" s="9"/>
      <c r="H854" s="7"/>
      <c r="I854" s="13" t="str">
        <f aca="false">IF(OR($G854="",$H854=""),"",ROUND($G854*$H854,0))</f>
        <v/>
      </c>
      <c r="J854" s="8"/>
      <c r="K854" s="13" t="str">
        <f aca="false">IF($B854="","",SUMIFS($I$3:$I$2002,$B$3:$B$2002,$B854))</f>
        <v/>
      </c>
      <c r="L854" s="13" t="str">
        <f aca="false">IF($B854="","",IF(COUNTIFS($B$3:$B854,$B854)&gt;1,0,IFERROR(LOOKUP($K854,배송비규정!$A$3:$A$32,배송비규정!$B$3:$B$32),0)+IFERROR(INDEX(지역추가비!$B$3:$B$42,MATCH($J854,지역추가비!$A$3:$A$42,0)),0)))</f>
        <v/>
      </c>
      <c r="M854" s="13" t="str">
        <f aca="false">IF($B854="","",IF(COUNTIFS($B$3:$B854,$B854)&gt;1,"",$K854+$L854))</f>
        <v/>
      </c>
      <c r="N854" s="14" t="str">
        <f aca="false">IF($B854="","",COUNTIFS($B$3:$B854,$B854))</f>
        <v/>
      </c>
      <c r="O854" s="14" t="str">
        <f aca="false">IF($B854="","",$B854&amp;"|"&amp;$N854)</f>
        <v/>
      </c>
    </row>
    <row r="855" customFormat="false" ht="15" hidden="false" customHeight="false" outlineLevel="0" collapsed="false">
      <c r="A855" s="12"/>
      <c r="B855" s="9"/>
      <c r="C855" s="9"/>
      <c r="D855" s="9"/>
      <c r="E855" s="9"/>
      <c r="F855" s="9"/>
      <c r="G855" s="9"/>
      <c r="H855" s="7"/>
      <c r="I855" s="13" t="str">
        <f aca="false">IF(OR($G855="",$H855=""),"",ROUND($G855*$H855,0))</f>
        <v/>
      </c>
      <c r="J855" s="8"/>
      <c r="K855" s="13" t="str">
        <f aca="false">IF($B855="","",SUMIFS($I$3:$I$2002,$B$3:$B$2002,$B855))</f>
        <v/>
      </c>
      <c r="L855" s="13" t="str">
        <f aca="false">IF($B855="","",IF(COUNTIFS($B$3:$B855,$B855)&gt;1,0,IFERROR(LOOKUP($K855,배송비규정!$A$3:$A$32,배송비규정!$B$3:$B$32),0)+IFERROR(INDEX(지역추가비!$B$3:$B$42,MATCH($J855,지역추가비!$A$3:$A$42,0)),0)))</f>
        <v/>
      </c>
      <c r="M855" s="13" t="str">
        <f aca="false">IF($B855="","",IF(COUNTIFS($B$3:$B855,$B855)&gt;1,"",$K855+$L855))</f>
        <v/>
      </c>
      <c r="N855" s="14" t="str">
        <f aca="false">IF($B855="","",COUNTIFS($B$3:$B855,$B855))</f>
        <v/>
      </c>
      <c r="O855" s="14" t="str">
        <f aca="false">IF($B855="","",$B855&amp;"|"&amp;$N855)</f>
        <v/>
      </c>
    </row>
    <row r="856" customFormat="false" ht="15" hidden="false" customHeight="false" outlineLevel="0" collapsed="false">
      <c r="A856" s="12"/>
      <c r="B856" s="9"/>
      <c r="C856" s="9"/>
      <c r="D856" s="9"/>
      <c r="E856" s="9"/>
      <c r="F856" s="9"/>
      <c r="G856" s="9"/>
      <c r="H856" s="7"/>
      <c r="I856" s="13" t="str">
        <f aca="false">IF(OR($G856="",$H856=""),"",ROUND($G856*$H856,0))</f>
        <v/>
      </c>
      <c r="J856" s="8"/>
      <c r="K856" s="13" t="str">
        <f aca="false">IF($B856="","",SUMIFS($I$3:$I$2002,$B$3:$B$2002,$B856))</f>
        <v/>
      </c>
      <c r="L856" s="13" t="str">
        <f aca="false">IF($B856="","",IF(COUNTIFS($B$3:$B856,$B856)&gt;1,0,IFERROR(LOOKUP($K856,배송비규정!$A$3:$A$32,배송비규정!$B$3:$B$32),0)+IFERROR(INDEX(지역추가비!$B$3:$B$42,MATCH($J856,지역추가비!$A$3:$A$42,0)),0)))</f>
        <v/>
      </c>
      <c r="M856" s="13" t="str">
        <f aca="false">IF($B856="","",IF(COUNTIFS($B$3:$B856,$B856)&gt;1,"",$K856+$L856))</f>
        <v/>
      </c>
      <c r="N856" s="14" t="str">
        <f aca="false">IF($B856="","",COUNTIFS($B$3:$B856,$B856))</f>
        <v/>
      </c>
      <c r="O856" s="14" t="str">
        <f aca="false">IF($B856="","",$B856&amp;"|"&amp;$N856)</f>
        <v/>
      </c>
    </row>
    <row r="857" customFormat="false" ht="15" hidden="false" customHeight="false" outlineLevel="0" collapsed="false">
      <c r="A857" s="12"/>
      <c r="B857" s="9"/>
      <c r="C857" s="9"/>
      <c r="D857" s="9"/>
      <c r="E857" s="9"/>
      <c r="F857" s="9"/>
      <c r="G857" s="9"/>
      <c r="H857" s="7"/>
      <c r="I857" s="13" t="str">
        <f aca="false">IF(OR($G857="",$H857=""),"",ROUND($G857*$H857,0))</f>
        <v/>
      </c>
      <c r="J857" s="8"/>
      <c r="K857" s="13" t="str">
        <f aca="false">IF($B857="","",SUMIFS($I$3:$I$2002,$B$3:$B$2002,$B857))</f>
        <v/>
      </c>
      <c r="L857" s="13" t="str">
        <f aca="false">IF($B857="","",IF(COUNTIFS($B$3:$B857,$B857)&gt;1,0,IFERROR(LOOKUP($K857,배송비규정!$A$3:$A$32,배송비규정!$B$3:$B$32),0)+IFERROR(INDEX(지역추가비!$B$3:$B$42,MATCH($J857,지역추가비!$A$3:$A$42,0)),0)))</f>
        <v/>
      </c>
      <c r="M857" s="13" t="str">
        <f aca="false">IF($B857="","",IF(COUNTIFS($B$3:$B857,$B857)&gt;1,"",$K857+$L857))</f>
        <v/>
      </c>
      <c r="N857" s="14" t="str">
        <f aca="false">IF($B857="","",COUNTIFS($B$3:$B857,$B857))</f>
        <v/>
      </c>
      <c r="O857" s="14" t="str">
        <f aca="false">IF($B857="","",$B857&amp;"|"&amp;$N857)</f>
        <v/>
      </c>
    </row>
    <row r="858" customFormat="false" ht="15" hidden="false" customHeight="false" outlineLevel="0" collapsed="false">
      <c r="A858" s="12"/>
      <c r="B858" s="9"/>
      <c r="C858" s="9"/>
      <c r="D858" s="9"/>
      <c r="E858" s="9"/>
      <c r="F858" s="9"/>
      <c r="G858" s="9"/>
      <c r="H858" s="7"/>
      <c r="I858" s="13" t="str">
        <f aca="false">IF(OR($G858="",$H858=""),"",ROUND($G858*$H858,0))</f>
        <v/>
      </c>
      <c r="J858" s="8"/>
      <c r="K858" s="13" t="str">
        <f aca="false">IF($B858="","",SUMIFS($I$3:$I$2002,$B$3:$B$2002,$B858))</f>
        <v/>
      </c>
      <c r="L858" s="13" t="str">
        <f aca="false">IF($B858="","",IF(COUNTIFS($B$3:$B858,$B858)&gt;1,0,IFERROR(LOOKUP($K858,배송비규정!$A$3:$A$32,배송비규정!$B$3:$B$32),0)+IFERROR(INDEX(지역추가비!$B$3:$B$42,MATCH($J858,지역추가비!$A$3:$A$42,0)),0)))</f>
        <v/>
      </c>
      <c r="M858" s="13" t="str">
        <f aca="false">IF($B858="","",IF(COUNTIFS($B$3:$B858,$B858)&gt;1,"",$K858+$L858))</f>
        <v/>
      </c>
      <c r="N858" s="14" t="str">
        <f aca="false">IF($B858="","",COUNTIFS($B$3:$B858,$B858))</f>
        <v/>
      </c>
      <c r="O858" s="14" t="str">
        <f aca="false">IF($B858="","",$B858&amp;"|"&amp;$N858)</f>
        <v/>
      </c>
    </row>
    <row r="859" customFormat="false" ht="15" hidden="false" customHeight="false" outlineLevel="0" collapsed="false">
      <c r="A859" s="12"/>
      <c r="B859" s="9"/>
      <c r="C859" s="9"/>
      <c r="D859" s="9"/>
      <c r="E859" s="9"/>
      <c r="F859" s="9"/>
      <c r="G859" s="9"/>
      <c r="H859" s="7"/>
      <c r="I859" s="13" t="str">
        <f aca="false">IF(OR($G859="",$H859=""),"",ROUND($G859*$H859,0))</f>
        <v/>
      </c>
      <c r="J859" s="8"/>
      <c r="K859" s="13" t="str">
        <f aca="false">IF($B859="","",SUMIFS($I$3:$I$2002,$B$3:$B$2002,$B859))</f>
        <v/>
      </c>
      <c r="L859" s="13" t="str">
        <f aca="false">IF($B859="","",IF(COUNTIFS($B$3:$B859,$B859)&gt;1,0,IFERROR(LOOKUP($K859,배송비규정!$A$3:$A$32,배송비규정!$B$3:$B$32),0)+IFERROR(INDEX(지역추가비!$B$3:$B$42,MATCH($J859,지역추가비!$A$3:$A$42,0)),0)))</f>
        <v/>
      </c>
      <c r="M859" s="13" t="str">
        <f aca="false">IF($B859="","",IF(COUNTIFS($B$3:$B859,$B859)&gt;1,"",$K859+$L859))</f>
        <v/>
      </c>
      <c r="N859" s="14" t="str">
        <f aca="false">IF($B859="","",COUNTIFS($B$3:$B859,$B859))</f>
        <v/>
      </c>
      <c r="O859" s="14" t="str">
        <f aca="false">IF($B859="","",$B859&amp;"|"&amp;$N859)</f>
        <v/>
      </c>
    </row>
    <row r="860" customFormat="false" ht="15" hidden="false" customHeight="false" outlineLevel="0" collapsed="false">
      <c r="A860" s="12"/>
      <c r="B860" s="9"/>
      <c r="C860" s="9"/>
      <c r="D860" s="9"/>
      <c r="E860" s="9"/>
      <c r="F860" s="9"/>
      <c r="G860" s="9"/>
      <c r="H860" s="7"/>
      <c r="I860" s="13" t="str">
        <f aca="false">IF(OR($G860="",$H860=""),"",ROUND($G860*$H860,0))</f>
        <v/>
      </c>
      <c r="J860" s="8"/>
      <c r="K860" s="13" t="str">
        <f aca="false">IF($B860="","",SUMIFS($I$3:$I$2002,$B$3:$B$2002,$B860))</f>
        <v/>
      </c>
      <c r="L860" s="13" t="str">
        <f aca="false">IF($B860="","",IF(COUNTIFS($B$3:$B860,$B860)&gt;1,0,IFERROR(LOOKUP($K860,배송비규정!$A$3:$A$32,배송비규정!$B$3:$B$32),0)+IFERROR(INDEX(지역추가비!$B$3:$B$42,MATCH($J860,지역추가비!$A$3:$A$42,0)),0)))</f>
        <v/>
      </c>
      <c r="M860" s="13" t="str">
        <f aca="false">IF($B860="","",IF(COUNTIFS($B$3:$B860,$B860)&gt;1,"",$K860+$L860))</f>
        <v/>
      </c>
      <c r="N860" s="14" t="str">
        <f aca="false">IF($B860="","",COUNTIFS($B$3:$B860,$B860))</f>
        <v/>
      </c>
      <c r="O860" s="14" t="str">
        <f aca="false">IF($B860="","",$B860&amp;"|"&amp;$N860)</f>
        <v/>
      </c>
    </row>
    <row r="861" customFormat="false" ht="15" hidden="false" customHeight="false" outlineLevel="0" collapsed="false">
      <c r="A861" s="12"/>
      <c r="B861" s="9"/>
      <c r="C861" s="9"/>
      <c r="D861" s="9"/>
      <c r="E861" s="9"/>
      <c r="F861" s="9"/>
      <c r="G861" s="9"/>
      <c r="H861" s="7"/>
      <c r="I861" s="13" t="str">
        <f aca="false">IF(OR($G861="",$H861=""),"",ROUND($G861*$H861,0))</f>
        <v/>
      </c>
      <c r="J861" s="8"/>
      <c r="K861" s="13" t="str">
        <f aca="false">IF($B861="","",SUMIFS($I$3:$I$2002,$B$3:$B$2002,$B861))</f>
        <v/>
      </c>
      <c r="L861" s="13" t="str">
        <f aca="false">IF($B861="","",IF(COUNTIFS($B$3:$B861,$B861)&gt;1,0,IFERROR(LOOKUP($K861,배송비규정!$A$3:$A$32,배송비규정!$B$3:$B$32),0)+IFERROR(INDEX(지역추가비!$B$3:$B$42,MATCH($J861,지역추가비!$A$3:$A$42,0)),0)))</f>
        <v/>
      </c>
      <c r="M861" s="13" t="str">
        <f aca="false">IF($B861="","",IF(COUNTIFS($B$3:$B861,$B861)&gt;1,"",$K861+$L861))</f>
        <v/>
      </c>
      <c r="N861" s="14" t="str">
        <f aca="false">IF($B861="","",COUNTIFS($B$3:$B861,$B861))</f>
        <v/>
      </c>
      <c r="O861" s="14" t="str">
        <f aca="false">IF($B861="","",$B861&amp;"|"&amp;$N861)</f>
        <v/>
      </c>
    </row>
    <row r="862" customFormat="false" ht="15" hidden="false" customHeight="false" outlineLevel="0" collapsed="false">
      <c r="A862" s="12"/>
      <c r="B862" s="9"/>
      <c r="C862" s="9"/>
      <c r="D862" s="9"/>
      <c r="E862" s="9"/>
      <c r="F862" s="9"/>
      <c r="G862" s="9"/>
      <c r="H862" s="7"/>
      <c r="I862" s="13" t="str">
        <f aca="false">IF(OR($G862="",$H862=""),"",ROUND($G862*$H862,0))</f>
        <v/>
      </c>
      <c r="J862" s="8"/>
      <c r="K862" s="13" t="str">
        <f aca="false">IF($B862="","",SUMIFS($I$3:$I$2002,$B$3:$B$2002,$B862))</f>
        <v/>
      </c>
      <c r="L862" s="13" t="str">
        <f aca="false">IF($B862="","",IF(COUNTIFS($B$3:$B862,$B862)&gt;1,0,IFERROR(LOOKUP($K862,배송비규정!$A$3:$A$32,배송비규정!$B$3:$B$32),0)+IFERROR(INDEX(지역추가비!$B$3:$B$42,MATCH($J862,지역추가비!$A$3:$A$42,0)),0)))</f>
        <v/>
      </c>
      <c r="M862" s="13" t="str">
        <f aca="false">IF($B862="","",IF(COUNTIFS($B$3:$B862,$B862)&gt;1,"",$K862+$L862))</f>
        <v/>
      </c>
      <c r="N862" s="14" t="str">
        <f aca="false">IF($B862="","",COUNTIFS($B$3:$B862,$B862))</f>
        <v/>
      </c>
      <c r="O862" s="14" t="str">
        <f aca="false">IF($B862="","",$B862&amp;"|"&amp;$N862)</f>
        <v/>
      </c>
    </row>
    <row r="863" customFormat="false" ht="15" hidden="false" customHeight="false" outlineLevel="0" collapsed="false">
      <c r="A863" s="12"/>
      <c r="B863" s="9"/>
      <c r="C863" s="9"/>
      <c r="D863" s="9"/>
      <c r="E863" s="9"/>
      <c r="F863" s="9"/>
      <c r="G863" s="9"/>
      <c r="H863" s="7"/>
      <c r="I863" s="13" t="str">
        <f aca="false">IF(OR($G863="",$H863=""),"",ROUND($G863*$H863,0))</f>
        <v/>
      </c>
      <c r="J863" s="8"/>
      <c r="K863" s="13" t="str">
        <f aca="false">IF($B863="","",SUMIFS($I$3:$I$2002,$B$3:$B$2002,$B863))</f>
        <v/>
      </c>
      <c r="L863" s="13" t="str">
        <f aca="false">IF($B863="","",IF(COUNTIFS($B$3:$B863,$B863)&gt;1,0,IFERROR(LOOKUP($K863,배송비규정!$A$3:$A$32,배송비규정!$B$3:$B$32),0)+IFERROR(INDEX(지역추가비!$B$3:$B$42,MATCH($J863,지역추가비!$A$3:$A$42,0)),0)))</f>
        <v/>
      </c>
      <c r="M863" s="13" t="str">
        <f aca="false">IF($B863="","",IF(COUNTIFS($B$3:$B863,$B863)&gt;1,"",$K863+$L863))</f>
        <v/>
      </c>
      <c r="N863" s="14" t="str">
        <f aca="false">IF($B863="","",COUNTIFS($B$3:$B863,$B863))</f>
        <v/>
      </c>
      <c r="O863" s="14" t="str">
        <f aca="false">IF($B863="","",$B863&amp;"|"&amp;$N863)</f>
        <v/>
      </c>
    </row>
    <row r="864" customFormat="false" ht="15" hidden="false" customHeight="false" outlineLevel="0" collapsed="false">
      <c r="A864" s="12"/>
      <c r="B864" s="9"/>
      <c r="C864" s="9"/>
      <c r="D864" s="9"/>
      <c r="E864" s="9"/>
      <c r="F864" s="9"/>
      <c r="G864" s="9"/>
      <c r="H864" s="7"/>
      <c r="I864" s="13" t="str">
        <f aca="false">IF(OR($G864="",$H864=""),"",ROUND($G864*$H864,0))</f>
        <v/>
      </c>
      <c r="J864" s="8"/>
      <c r="K864" s="13" t="str">
        <f aca="false">IF($B864="","",SUMIFS($I$3:$I$2002,$B$3:$B$2002,$B864))</f>
        <v/>
      </c>
      <c r="L864" s="13" t="str">
        <f aca="false">IF($B864="","",IF(COUNTIFS($B$3:$B864,$B864)&gt;1,0,IFERROR(LOOKUP($K864,배송비규정!$A$3:$A$32,배송비규정!$B$3:$B$32),0)+IFERROR(INDEX(지역추가비!$B$3:$B$42,MATCH($J864,지역추가비!$A$3:$A$42,0)),0)))</f>
        <v/>
      </c>
      <c r="M864" s="13" t="str">
        <f aca="false">IF($B864="","",IF(COUNTIFS($B$3:$B864,$B864)&gt;1,"",$K864+$L864))</f>
        <v/>
      </c>
      <c r="N864" s="14" t="str">
        <f aca="false">IF($B864="","",COUNTIFS($B$3:$B864,$B864))</f>
        <v/>
      </c>
      <c r="O864" s="14" t="str">
        <f aca="false">IF($B864="","",$B864&amp;"|"&amp;$N864)</f>
        <v/>
      </c>
    </row>
    <row r="865" customFormat="false" ht="15" hidden="false" customHeight="false" outlineLevel="0" collapsed="false">
      <c r="A865" s="12"/>
      <c r="B865" s="9"/>
      <c r="C865" s="9"/>
      <c r="D865" s="9"/>
      <c r="E865" s="9"/>
      <c r="F865" s="9"/>
      <c r="G865" s="9"/>
      <c r="H865" s="7"/>
      <c r="I865" s="13" t="str">
        <f aca="false">IF(OR($G865="",$H865=""),"",ROUND($G865*$H865,0))</f>
        <v/>
      </c>
      <c r="J865" s="8"/>
      <c r="K865" s="13" t="str">
        <f aca="false">IF($B865="","",SUMIFS($I$3:$I$2002,$B$3:$B$2002,$B865))</f>
        <v/>
      </c>
      <c r="L865" s="13" t="str">
        <f aca="false">IF($B865="","",IF(COUNTIFS($B$3:$B865,$B865)&gt;1,0,IFERROR(LOOKUP($K865,배송비규정!$A$3:$A$32,배송비규정!$B$3:$B$32),0)+IFERROR(INDEX(지역추가비!$B$3:$B$42,MATCH($J865,지역추가비!$A$3:$A$42,0)),0)))</f>
        <v/>
      </c>
      <c r="M865" s="13" t="str">
        <f aca="false">IF($B865="","",IF(COUNTIFS($B$3:$B865,$B865)&gt;1,"",$K865+$L865))</f>
        <v/>
      </c>
      <c r="N865" s="14" t="str">
        <f aca="false">IF($B865="","",COUNTIFS($B$3:$B865,$B865))</f>
        <v/>
      </c>
      <c r="O865" s="14" t="str">
        <f aca="false">IF($B865="","",$B865&amp;"|"&amp;$N865)</f>
        <v/>
      </c>
    </row>
    <row r="866" customFormat="false" ht="15" hidden="false" customHeight="false" outlineLevel="0" collapsed="false">
      <c r="A866" s="12"/>
      <c r="B866" s="9"/>
      <c r="C866" s="9"/>
      <c r="D866" s="9"/>
      <c r="E866" s="9"/>
      <c r="F866" s="9"/>
      <c r="G866" s="9"/>
      <c r="H866" s="7"/>
      <c r="I866" s="13" t="str">
        <f aca="false">IF(OR($G866="",$H866=""),"",ROUND($G866*$H866,0))</f>
        <v/>
      </c>
      <c r="J866" s="8"/>
      <c r="K866" s="13" t="str">
        <f aca="false">IF($B866="","",SUMIFS($I$3:$I$2002,$B$3:$B$2002,$B866))</f>
        <v/>
      </c>
      <c r="L866" s="13" t="str">
        <f aca="false">IF($B866="","",IF(COUNTIFS($B$3:$B866,$B866)&gt;1,0,IFERROR(LOOKUP($K866,배송비규정!$A$3:$A$32,배송비규정!$B$3:$B$32),0)+IFERROR(INDEX(지역추가비!$B$3:$B$42,MATCH($J866,지역추가비!$A$3:$A$42,0)),0)))</f>
        <v/>
      </c>
      <c r="M866" s="13" t="str">
        <f aca="false">IF($B866="","",IF(COUNTIFS($B$3:$B866,$B866)&gt;1,"",$K866+$L866))</f>
        <v/>
      </c>
      <c r="N866" s="14" t="str">
        <f aca="false">IF($B866="","",COUNTIFS($B$3:$B866,$B866))</f>
        <v/>
      </c>
      <c r="O866" s="14" t="str">
        <f aca="false">IF($B866="","",$B866&amp;"|"&amp;$N866)</f>
        <v/>
      </c>
    </row>
    <row r="867" customFormat="false" ht="15" hidden="false" customHeight="false" outlineLevel="0" collapsed="false">
      <c r="A867" s="12"/>
      <c r="B867" s="9"/>
      <c r="C867" s="9"/>
      <c r="D867" s="9"/>
      <c r="E867" s="9"/>
      <c r="F867" s="9"/>
      <c r="G867" s="9"/>
      <c r="H867" s="7"/>
      <c r="I867" s="13" t="str">
        <f aca="false">IF(OR($G867="",$H867=""),"",ROUND($G867*$H867,0))</f>
        <v/>
      </c>
      <c r="J867" s="8"/>
      <c r="K867" s="13" t="str">
        <f aca="false">IF($B867="","",SUMIFS($I$3:$I$2002,$B$3:$B$2002,$B867))</f>
        <v/>
      </c>
      <c r="L867" s="13" t="str">
        <f aca="false">IF($B867="","",IF(COUNTIFS($B$3:$B867,$B867)&gt;1,0,IFERROR(LOOKUP($K867,배송비규정!$A$3:$A$32,배송비규정!$B$3:$B$32),0)+IFERROR(INDEX(지역추가비!$B$3:$B$42,MATCH($J867,지역추가비!$A$3:$A$42,0)),0)))</f>
        <v/>
      </c>
      <c r="M867" s="13" t="str">
        <f aca="false">IF($B867="","",IF(COUNTIFS($B$3:$B867,$B867)&gt;1,"",$K867+$L867))</f>
        <v/>
      </c>
      <c r="N867" s="14" t="str">
        <f aca="false">IF($B867="","",COUNTIFS($B$3:$B867,$B867))</f>
        <v/>
      </c>
      <c r="O867" s="14" t="str">
        <f aca="false">IF($B867="","",$B867&amp;"|"&amp;$N867)</f>
        <v/>
      </c>
    </row>
    <row r="868" customFormat="false" ht="15" hidden="false" customHeight="false" outlineLevel="0" collapsed="false">
      <c r="A868" s="12"/>
      <c r="B868" s="9"/>
      <c r="C868" s="9"/>
      <c r="D868" s="9"/>
      <c r="E868" s="9"/>
      <c r="F868" s="9"/>
      <c r="G868" s="9"/>
      <c r="H868" s="7"/>
      <c r="I868" s="13" t="str">
        <f aca="false">IF(OR($G868="",$H868=""),"",ROUND($G868*$H868,0))</f>
        <v/>
      </c>
      <c r="J868" s="8"/>
      <c r="K868" s="13" t="str">
        <f aca="false">IF($B868="","",SUMIFS($I$3:$I$2002,$B$3:$B$2002,$B868))</f>
        <v/>
      </c>
      <c r="L868" s="13" t="str">
        <f aca="false">IF($B868="","",IF(COUNTIFS($B$3:$B868,$B868)&gt;1,0,IFERROR(LOOKUP($K868,배송비규정!$A$3:$A$32,배송비규정!$B$3:$B$32),0)+IFERROR(INDEX(지역추가비!$B$3:$B$42,MATCH($J868,지역추가비!$A$3:$A$42,0)),0)))</f>
        <v/>
      </c>
      <c r="M868" s="13" t="str">
        <f aca="false">IF($B868="","",IF(COUNTIFS($B$3:$B868,$B868)&gt;1,"",$K868+$L868))</f>
        <v/>
      </c>
      <c r="N868" s="14" t="str">
        <f aca="false">IF($B868="","",COUNTIFS($B$3:$B868,$B868))</f>
        <v/>
      </c>
      <c r="O868" s="14" t="str">
        <f aca="false">IF($B868="","",$B868&amp;"|"&amp;$N868)</f>
        <v/>
      </c>
    </row>
    <row r="869" customFormat="false" ht="15" hidden="false" customHeight="false" outlineLevel="0" collapsed="false">
      <c r="A869" s="12"/>
      <c r="B869" s="9"/>
      <c r="C869" s="9"/>
      <c r="D869" s="9"/>
      <c r="E869" s="9"/>
      <c r="F869" s="9"/>
      <c r="G869" s="9"/>
      <c r="H869" s="7"/>
      <c r="I869" s="13" t="str">
        <f aca="false">IF(OR($G869="",$H869=""),"",ROUND($G869*$H869,0))</f>
        <v/>
      </c>
      <c r="J869" s="8"/>
      <c r="K869" s="13" t="str">
        <f aca="false">IF($B869="","",SUMIFS($I$3:$I$2002,$B$3:$B$2002,$B869))</f>
        <v/>
      </c>
      <c r="L869" s="13" t="str">
        <f aca="false">IF($B869="","",IF(COUNTIFS($B$3:$B869,$B869)&gt;1,0,IFERROR(LOOKUP($K869,배송비규정!$A$3:$A$32,배송비규정!$B$3:$B$32),0)+IFERROR(INDEX(지역추가비!$B$3:$B$42,MATCH($J869,지역추가비!$A$3:$A$42,0)),0)))</f>
        <v/>
      </c>
      <c r="M869" s="13" t="str">
        <f aca="false">IF($B869="","",IF(COUNTIFS($B$3:$B869,$B869)&gt;1,"",$K869+$L869))</f>
        <v/>
      </c>
      <c r="N869" s="14" t="str">
        <f aca="false">IF($B869="","",COUNTIFS($B$3:$B869,$B869))</f>
        <v/>
      </c>
      <c r="O869" s="14" t="str">
        <f aca="false">IF($B869="","",$B869&amp;"|"&amp;$N869)</f>
        <v/>
      </c>
    </row>
    <row r="870" customFormat="false" ht="15" hidden="false" customHeight="false" outlineLevel="0" collapsed="false">
      <c r="A870" s="12"/>
      <c r="B870" s="9"/>
      <c r="C870" s="9"/>
      <c r="D870" s="9"/>
      <c r="E870" s="9"/>
      <c r="F870" s="9"/>
      <c r="G870" s="9"/>
      <c r="H870" s="7"/>
      <c r="I870" s="13" t="str">
        <f aca="false">IF(OR($G870="",$H870=""),"",ROUND($G870*$H870,0))</f>
        <v/>
      </c>
      <c r="J870" s="8"/>
      <c r="K870" s="13" t="str">
        <f aca="false">IF($B870="","",SUMIFS($I$3:$I$2002,$B$3:$B$2002,$B870))</f>
        <v/>
      </c>
      <c r="L870" s="13" t="str">
        <f aca="false">IF($B870="","",IF(COUNTIFS($B$3:$B870,$B870)&gt;1,0,IFERROR(LOOKUP($K870,배송비규정!$A$3:$A$32,배송비규정!$B$3:$B$32),0)+IFERROR(INDEX(지역추가비!$B$3:$B$42,MATCH($J870,지역추가비!$A$3:$A$42,0)),0)))</f>
        <v/>
      </c>
      <c r="M870" s="13" t="str">
        <f aca="false">IF($B870="","",IF(COUNTIFS($B$3:$B870,$B870)&gt;1,"",$K870+$L870))</f>
        <v/>
      </c>
      <c r="N870" s="14" t="str">
        <f aca="false">IF($B870="","",COUNTIFS($B$3:$B870,$B870))</f>
        <v/>
      </c>
      <c r="O870" s="14" t="str">
        <f aca="false">IF($B870="","",$B870&amp;"|"&amp;$N870)</f>
        <v/>
      </c>
    </row>
    <row r="871" customFormat="false" ht="15" hidden="false" customHeight="false" outlineLevel="0" collapsed="false">
      <c r="A871" s="12"/>
      <c r="B871" s="9"/>
      <c r="C871" s="9"/>
      <c r="D871" s="9"/>
      <c r="E871" s="9"/>
      <c r="F871" s="9"/>
      <c r="G871" s="9"/>
      <c r="H871" s="7"/>
      <c r="I871" s="13" t="str">
        <f aca="false">IF(OR($G871="",$H871=""),"",ROUND($G871*$H871,0))</f>
        <v/>
      </c>
      <c r="J871" s="8"/>
      <c r="K871" s="13" t="str">
        <f aca="false">IF($B871="","",SUMIFS($I$3:$I$2002,$B$3:$B$2002,$B871))</f>
        <v/>
      </c>
      <c r="L871" s="13" t="str">
        <f aca="false">IF($B871="","",IF(COUNTIFS($B$3:$B871,$B871)&gt;1,0,IFERROR(LOOKUP($K871,배송비규정!$A$3:$A$32,배송비규정!$B$3:$B$32),0)+IFERROR(INDEX(지역추가비!$B$3:$B$42,MATCH($J871,지역추가비!$A$3:$A$42,0)),0)))</f>
        <v/>
      </c>
      <c r="M871" s="13" t="str">
        <f aca="false">IF($B871="","",IF(COUNTIFS($B$3:$B871,$B871)&gt;1,"",$K871+$L871))</f>
        <v/>
      </c>
      <c r="N871" s="14" t="str">
        <f aca="false">IF($B871="","",COUNTIFS($B$3:$B871,$B871))</f>
        <v/>
      </c>
      <c r="O871" s="14" t="str">
        <f aca="false">IF($B871="","",$B871&amp;"|"&amp;$N871)</f>
        <v/>
      </c>
    </row>
    <row r="872" customFormat="false" ht="15" hidden="false" customHeight="false" outlineLevel="0" collapsed="false">
      <c r="A872" s="12"/>
      <c r="B872" s="9"/>
      <c r="C872" s="9"/>
      <c r="D872" s="9"/>
      <c r="E872" s="9"/>
      <c r="F872" s="9"/>
      <c r="G872" s="9"/>
      <c r="H872" s="7"/>
      <c r="I872" s="13" t="str">
        <f aca="false">IF(OR($G872="",$H872=""),"",ROUND($G872*$H872,0))</f>
        <v/>
      </c>
      <c r="J872" s="8"/>
      <c r="K872" s="13" t="str">
        <f aca="false">IF($B872="","",SUMIFS($I$3:$I$2002,$B$3:$B$2002,$B872))</f>
        <v/>
      </c>
      <c r="L872" s="13" t="str">
        <f aca="false">IF($B872="","",IF(COUNTIFS($B$3:$B872,$B872)&gt;1,0,IFERROR(LOOKUP($K872,배송비규정!$A$3:$A$32,배송비규정!$B$3:$B$32),0)+IFERROR(INDEX(지역추가비!$B$3:$B$42,MATCH($J872,지역추가비!$A$3:$A$42,0)),0)))</f>
        <v/>
      </c>
      <c r="M872" s="13" t="str">
        <f aca="false">IF($B872="","",IF(COUNTIFS($B$3:$B872,$B872)&gt;1,"",$K872+$L872))</f>
        <v/>
      </c>
      <c r="N872" s="14" t="str">
        <f aca="false">IF($B872="","",COUNTIFS($B$3:$B872,$B872))</f>
        <v/>
      </c>
      <c r="O872" s="14" t="str">
        <f aca="false">IF($B872="","",$B872&amp;"|"&amp;$N872)</f>
        <v/>
      </c>
    </row>
    <row r="873" customFormat="false" ht="15" hidden="false" customHeight="false" outlineLevel="0" collapsed="false">
      <c r="A873" s="12"/>
      <c r="B873" s="9"/>
      <c r="C873" s="9"/>
      <c r="D873" s="9"/>
      <c r="E873" s="9"/>
      <c r="F873" s="9"/>
      <c r="G873" s="9"/>
      <c r="H873" s="7"/>
      <c r="I873" s="13" t="str">
        <f aca="false">IF(OR($G873="",$H873=""),"",ROUND($G873*$H873,0))</f>
        <v/>
      </c>
      <c r="J873" s="8"/>
      <c r="K873" s="13" t="str">
        <f aca="false">IF($B873="","",SUMIFS($I$3:$I$2002,$B$3:$B$2002,$B873))</f>
        <v/>
      </c>
      <c r="L873" s="13" t="str">
        <f aca="false">IF($B873="","",IF(COUNTIFS($B$3:$B873,$B873)&gt;1,0,IFERROR(LOOKUP($K873,배송비규정!$A$3:$A$32,배송비규정!$B$3:$B$32),0)+IFERROR(INDEX(지역추가비!$B$3:$B$42,MATCH($J873,지역추가비!$A$3:$A$42,0)),0)))</f>
        <v/>
      </c>
      <c r="M873" s="13" t="str">
        <f aca="false">IF($B873="","",IF(COUNTIFS($B$3:$B873,$B873)&gt;1,"",$K873+$L873))</f>
        <v/>
      </c>
      <c r="N873" s="14" t="str">
        <f aca="false">IF($B873="","",COUNTIFS($B$3:$B873,$B873))</f>
        <v/>
      </c>
      <c r="O873" s="14" t="str">
        <f aca="false">IF($B873="","",$B873&amp;"|"&amp;$N873)</f>
        <v/>
      </c>
    </row>
    <row r="874" customFormat="false" ht="15" hidden="false" customHeight="false" outlineLevel="0" collapsed="false">
      <c r="A874" s="12"/>
      <c r="B874" s="9"/>
      <c r="C874" s="9"/>
      <c r="D874" s="9"/>
      <c r="E874" s="9"/>
      <c r="F874" s="9"/>
      <c r="G874" s="9"/>
      <c r="H874" s="7"/>
      <c r="I874" s="13" t="str">
        <f aca="false">IF(OR($G874="",$H874=""),"",ROUND($G874*$H874,0))</f>
        <v/>
      </c>
      <c r="J874" s="8"/>
      <c r="K874" s="13" t="str">
        <f aca="false">IF($B874="","",SUMIFS($I$3:$I$2002,$B$3:$B$2002,$B874))</f>
        <v/>
      </c>
      <c r="L874" s="13" t="str">
        <f aca="false">IF($B874="","",IF(COUNTIFS($B$3:$B874,$B874)&gt;1,0,IFERROR(LOOKUP($K874,배송비규정!$A$3:$A$32,배송비규정!$B$3:$B$32),0)+IFERROR(INDEX(지역추가비!$B$3:$B$42,MATCH($J874,지역추가비!$A$3:$A$42,0)),0)))</f>
        <v/>
      </c>
      <c r="M874" s="13" t="str">
        <f aca="false">IF($B874="","",IF(COUNTIFS($B$3:$B874,$B874)&gt;1,"",$K874+$L874))</f>
        <v/>
      </c>
      <c r="N874" s="14" t="str">
        <f aca="false">IF($B874="","",COUNTIFS($B$3:$B874,$B874))</f>
        <v/>
      </c>
      <c r="O874" s="14" t="str">
        <f aca="false">IF($B874="","",$B874&amp;"|"&amp;$N874)</f>
        <v/>
      </c>
    </row>
    <row r="875" customFormat="false" ht="15" hidden="false" customHeight="false" outlineLevel="0" collapsed="false">
      <c r="A875" s="12"/>
      <c r="B875" s="9"/>
      <c r="C875" s="9"/>
      <c r="D875" s="9"/>
      <c r="E875" s="9"/>
      <c r="F875" s="9"/>
      <c r="G875" s="9"/>
      <c r="H875" s="7"/>
      <c r="I875" s="13" t="str">
        <f aca="false">IF(OR($G875="",$H875=""),"",ROUND($G875*$H875,0))</f>
        <v/>
      </c>
      <c r="J875" s="8"/>
      <c r="K875" s="13" t="str">
        <f aca="false">IF($B875="","",SUMIFS($I$3:$I$2002,$B$3:$B$2002,$B875))</f>
        <v/>
      </c>
      <c r="L875" s="13" t="str">
        <f aca="false">IF($B875="","",IF(COUNTIFS($B$3:$B875,$B875)&gt;1,0,IFERROR(LOOKUP($K875,배송비규정!$A$3:$A$32,배송비규정!$B$3:$B$32),0)+IFERROR(INDEX(지역추가비!$B$3:$B$42,MATCH($J875,지역추가비!$A$3:$A$42,0)),0)))</f>
        <v/>
      </c>
      <c r="M875" s="13" t="str">
        <f aca="false">IF($B875="","",IF(COUNTIFS($B$3:$B875,$B875)&gt;1,"",$K875+$L875))</f>
        <v/>
      </c>
      <c r="N875" s="14" t="str">
        <f aca="false">IF($B875="","",COUNTIFS($B$3:$B875,$B875))</f>
        <v/>
      </c>
      <c r="O875" s="14" t="str">
        <f aca="false">IF($B875="","",$B875&amp;"|"&amp;$N875)</f>
        <v/>
      </c>
    </row>
    <row r="876" customFormat="false" ht="15" hidden="false" customHeight="false" outlineLevel="0" collapsed="false">
      <c r="A876" s="12"/>
      <c r="B876" s="9"/>
      <c r="C876" s="9"/>
      <c r="D876" s="9"/>
      <c r="E876" s="9"/>
      <c r="F876" s="9"/>
      <c r="G876" s="9"/>
      <c r="H876" s="7"/>
      <c r="I876" s="13" t="str">
        <f aca="false">IF(OR($G876="",$H876=""),"",ROUND($G876*$H876,0))</f>
        <v/>
      </c>
      <c r="J876" s="8"/>
      <c r="K876" s="13" t="str">
        <f aca="false">IF($B876="","",SUMIFS($I$3:$I$2002,$B$3:$B$2002,$B876))</f>
        <v/>
      </c>
      <c r="L876" s="13" t="str">
        <f aca="false">IF($B876="","",IF(COUNTIFS($B$3:$B876,$B876)&gt;1,0,IFERROR(LOOKUP($K876,배송비규정!$A$3:$A$32,배송비규정!$B$3:$B$32),0)+IFERROR(INDEX(지역추가비!$B$3:$B$42,MATCH($J876,지역추가비!$A$3:$A$42,0)),0)))</f>
        <v/>
      </c>
      <c r="M876" s="13" t="str">
        <f aca="false">IF($B876="","",IF(COUNTIFS($B$3:$B876,$B876)&gt;1,"",$K876+$L876))</f>
        <v/>
      </c>
      <c r="N876" s="14" t="str">
        <f aca="false">IF($B876="","",COUNTIFS($B$3:$B876,$B876))</f>
        <v/>
      </c>
      <c r="O876" s="14" t="str">
        <f aca="false">IF($B876="","",$B876&amp;"|"&amp;$N876)</f>
        <v/>
      </c>
    </row>
    <row r="877" customFormat="false" ht="15" hidden="false" customHeight="false" outlineLevel="0" collapsed="false">
      <c r="A877" s="12"/>
      <c r="B877" s="9"/>
      <c r="C877" s="9"/>
      <c r="D877" s="9"/>
      <c r="E877" s="9"/>
      <c r="F877" s="9"/>
      <c r="G877" s="9"/>
      <c r="H877" s="7"/>
      <c r="I877" s="13" t="str">
        <f aca="false">IF(OR($G877="",$H877=""),"",ROUND($G877*$H877,0))</f>
        <v/>
      </c>
      <c r="J877" s="8"/>
      <c r="K877" s="13" t="str">
        <f aca="false">IF($B877="","",SUMIFS($I$3:$I$2002,$B$3:$B$2002,$B877))</f>
        <v/>
      </c>
      <c r="L877" s="13" t="str">
        <f aca="false">IF($B877="","",IF(COUNTIFS($B$3:$B877,$B877)&gt;1,0,IFERROR(LOOKUP($K877,배송비규정!$A$3:$A$32,배송비규정!$B$3:$B$32),0)+IFERROR(INDEX(지역추가비!$B$3:$B$42,MATCH($J877,지역추가비!$A$3:$A$42,0)),0)))</f>
        <v/>
      </c>
      <c r="M877" s="13" t="str">
        <f aca="false">IF($B877="","",IF(COUNTIFS($B$3:$B877,$B877)&gt;1,"",$K877+$L877))</f>
        <v/>
      </c>
      <c r="N877" s="14" t="str">
        <f aca="false">IF($B877="","",COUNTIFS($B$3:$B877,$B877))</f>
        <v/>
      </c>
      <c r="O877" s="14" t="str">
        <f aca="false">IF($B877="","",$B877&amp;"|"&amp;$N877)</f>
        <v/>
      </c>
    </row>
    <row r="878" customFormat="false" ht="15" hidden="false" customHeight="false" outlineLevel="0" collapsed="false">
      <c r="A878" s="12"/>
      <c r="B878" s="9"/>
      <c r="C878" s="9"/>
      <c r="D878" s="9"/>
      <c r="E878" s="9"/>
      <c r="F878" s="9"/>
      <c r="G878" s="9"/>
      <c r="H878" s="7"/>
      <c r="I878" s="13" t="str">
        <f aca="false">IF(OR($G878="",$H878=""),"",ROUND($G878*$H878,0))</f>
        <v/>
      </c>
      <c r="J878" s="8"/>
      <c r="K878" s="13" t="str">
        <f aca="false">IF($B878="","",SUMIFS($I$3:$I$2002,$B$3:$B$2002,$B878))</f>
        <v/>
      </c>
      <c r="L878" s="13" t="str">
        <f aca="false">IF($B878="","",IF(COUNTIFS($B$3:$B878,$B878)&gt;1,0,IFERROR(LOOKUP($K878,배송비규정!$A$3:$A$32,배송비규정!$B$3:$B$32),0)+IFERROR(INDEX(지역추가비!$B$3:$B$42,MATCH($J878,지역추가비!$A$3:$A$42,0)),0)))</f>
        <v/>
      </c>
      <c r="M878" s="13" t="str">
        <f aca="false">IF($B878="","",IF(COUNTIFS($B$3:$B878,$B878)&gt;1,"",$K878+$L878))</f>
        <v/>
      </c>
      <c r="N878" s="14" t="str">
        <f aca="false">IF($B878="","",COUNTIFS($B$3:$B878,$B878))</f>
        <v/>
      </c>
      <c r="O878" s="14" t="str">
        <f aca="false">IF($B878="","",$B878&amp;"|"&amp;$N878)</f>
        <v/>
      </c>
    </row>
    <row r="879" customFormat="false" ht="15" hidden="false" customHeight="false" outlineLevel="0" collapsed="false">
      <c r="A879" s="12"/>
      <c r="B879" s="9"/>
      <c r="C879" s="9"/>
      <c r="D879" s="9"/>
      <c r="E879" s="9"/>
      <c r="F879" s="9"/>
      <c r="G879" s="9"/>
      <c r="H879" s="7"/>
      <c r="I879" s="13" t="str">
        <f aca="false">IF(OR($G879="",$H879=""),"",ROUND($G879*$H879,0))</f>
        <v/>
      </c>
      <c r="J879" s="8"/>
      <c r="K879" s="13" t="str">
        <f aca="false">IF($B879="","",SUMIFS($I$3:$I$2002,$B$3:$B$2002,$B879))</f>
        <v/>
      </c>
      <c r="L879" s="13" t="str">
        <f aca="false">IF($B879="","",IF(COUNTIFS($B$3:$B879,$B879)&gt;1,0,IFERROR(LOOKUP($K879,배송비규정!$A$3:$A$32,배송비규정!$B$3:$B$32),0)+IFERROR(INDEX(지역추가비!$B$3:$B$42,MATCH($J879,지역추가비!$A$3:$A$42,0)),0)))</f>
        <v/>
      </c>
      <c r="M879" s="13" t="str">
        <f aca="false">IF($B879="","",IF(COUNTIFS($B$3:$B879,$B879)&gt;1,"",$K879+$L879))</f>
        <v/>
      </c>
      <c r="N879" s="14" t="str">
        <f aca="false">IF($B879="","",COUNTIFS($B$3:$B879,$B879))</f>
        <v/>
      </c>
      <c r="O879" s="14" t="str">
        <f aca="false">IF($B879="","",$B879&amp;"|"&amp;$N879)</f>
        <v/>
      </c>
    </row>
    <row r="880" customFormat="false" ht="15" hidden="false" customHeight="false" outlineLevel="0" collapsed="false">
      <c r="A880" s="12"/>
      <c r="B880" s="9"/>
      <c r="C880" s="9"/>
      <c r="D880" s="9"/>
      <c r="E880" s="9"/>
      <c r="F880" s="9"/>
      <c r="G880" s="9"/>
      <c r="H880" s="7"/>
      <c r="I880" s="13" t="str">
        <f aca="false">IF(OR($G880="",$H880=""),"",ROUND($G880*$H880,0))</f>
        <v/>
      </c>
      <c r="J880" s="8"/>
      <c r="K880" s="13" t="str">
        <f aca="false">IF($B880="","",SUMIFS($I$3:$I$2002,$B$3:$B$2002,$B880))</f>
        <v/>
      </c>
      <c r="L880" s="13" t="str">
        <f aca="false">IF($B880="","",IF(COUNTIFS($B$3:$B880,$B880)&gt;1,0,IFERROR(LOOKUP($K880,배송비규정!$A$3:$A$32,배송비규정!$B$3:$B$32),0)+IFERROR(INDEX(지역추가비!$B$3:$B$42,MATCH($J880,지역추가비!$A$3:$A$42,0)),0)))</f>
        <v/>
      </c>
      <c r="M880" s="13" t="str">
        <f aca="false">IF($B880="","",IF(COUNTIFS($B$3:$B880,$B880)&gt;1,"",$K880+$L880))</f>
        <v/>
      </c>
      <c r="N880" s="14" t="str">
        <f aca="false">IF($B880="","",COUNTIFS($B$3:$B880,$B880))</f>
        <v/>
      </c>
      <c r="O880" s="14" t="str">
        <f aca="false">IF($B880="","",$B880&amp;"|"&amp;$N880)</f>
        <v/>
      </c>
    </row>
    <row r="881" customFormat="false" ht="15" hidden="false" customHeight="false" outlineLevel="0" collapsed="false">
      <c r="A881" s="12"/>
      <c r="B881" s="9"/>
      <c r="C881" s="9"/>
      <c r="D881" s="9"/>
      <c r="E881" s="9"/>
      <c r="F881" s="9"/>
      <c r="G881" s="9"/>
      <c r="H881" s="7"/>
      <c r="I881" s="13" t="str">
        <f aca="false">IF(OR($G881="",$H881=""),"",ROUND($G881*$H881,0))</f>
        <v/>
      </c>
      <c r="J881" s="8"/>
      <c r="K881" s="13" t="str">
        <f aca="false">IF($B881="","",SUMIFS($I$3:$I$2002,$B$3:$B$2002,$B881))</f>
        <v/>
      </c>
      <c r="L881" s="13" t="str">
        <f aca="false">IF($B881="","",IF(COUNTIFS($B$3:$B881,$B881)&gt;1,0,IFERROR(LOOKUP($K881,배송비규정!$A$3:$A$32,배송비규정!$B$3:$B$32),0)+IFERROR(INDEX(지역추가비!$B$3:$B$42,MATCH($J881,지역추가비!$A$3:$A$42,0)),0)))</f>
        <v/>
      </c>
      <c r="M881" s="13" t="str">
        <f aca="false">IF($B881="","",IF(COUNTIFS($B$3:$B881,$B881)&gt;1,"",$K881+$L881))</f>
        <v/>
      </c>
      <c r="N881" s="14" t="str">
        <f aca="false">IF($B881="","",COUNTIFS($B$3:$B881,$B881))</f>
        <v/>
      </c>
      <c r="O881" s="14" t="str">
        <f aca="false">IF($B881="","",$B881&amp;"|"&amp;$N881)</f>
        <v/>
      </c>
    </row>
    <row r="882" customFormat="false" ht="15" hidden="false" customHeight="false" outlineLevel="0" collapsed="false">
      <c r="A882" s="12"/>
      <c r="B882" s="9"/>
      <c r="C882" s="9"/>
      <c r="D882" s="9"/>
      <c r="E882" s="9"/>
      <c r="F882" s="9"/>
      <c r="G882" s="9"/>
      <c r="H882" s="7"/>
      <c r="I882" s="13" t="str">
        <f aca="false">IF(OR($G882="",$H882=""),"",ROUND($G882*$H882,0))</f>
        <v/>
      </c>
      <c r="J882" s="8"/>
      <c r="K882" s="13" t="str">
        <f aca="false">IF($B882="","",SUMIFS($I$3:$I$2002,$B$3:$B$2002,$B882))</f>
        <v/>
      </c>
      <c r="L882" s="13" t="str">
        <f aca="false">IF($B882="","",IF(COUNTIFS($B$3:$B882,$B882)&gt;1,0,IFERROR(LOOKUP($K882,배송비규정!$A$3:$A$32,배송비규정!$B$3:$B$32),0)+IFERROR(INDEX(지역추가비!$B$3:$B$42,MATCH($J882,지역추가비!$A$3:$A$42,0)),0)))</f>
        <v/>
      </c>
      <c r="M882" s="13" t="str">
        <f aca="false">IF($B882="","",IF(COUNTIFS($B$3:$B882,$B882)&gt;1,"",$K882+$L882))</f>
        <v/>
      </c>
      <c r="N882" s="14" t="str">
        <f aca="false">IF($B882="","",COUNTIFS($B$3:$B882,$B882))</f>
        <v/>
      </c>
      <c r="O882" s="14" t="str">
        <f aca="false">IF($B882="","",$B882&amp;"|"&amp;$N882)</f>
        <v/>
      </c>
    </row>
    <row r="883" customFormat="false" ht="15" hidden="false" customHeight="false" outlineLevel="0" collapsed="false">
      <c r="A883" s="12"/>
      <c r="B883" s="9"/>
      <c r="C883" s="9"/>
      <c r="D883" s="9"/>
      <c r="E883" s="9"/>
      <c r="F883" s="9"/>
      <c r="G883" s="9"/>
      <c r="H883" s="7"/>
      <c r="I883" s="13" t="str">
        <f aca="false">IF(OR($G883="",$H883=""),"",ROUND($G883*$H883,0))</f>
        <v/>
      </c>
      <c r="J883" s="8"/>
      <c r="K883" s="13" t="str">
        <f aca="false">IF($B883="","",SUMIFS($I$3:$I$2002,$B$3:$B$2002,$B883))</f>
        <v/>
      </c>
      <c r="L883" s="13" t="str">
        <f aca="false">IF($B883="","",IF(COUNTIFS($B$3:$B883,$B883)&gt;1,0,IFERROR(LOOKUP($K883,배송비규정!$A$3:$A$32,배송비규정!$B$3:$B$32),0)+IFERROR(INDEX(지역추가비!$B$3:$B$42,MATCH($J883,지역추가비!$A$3:$A$42,0)),0)))</f>
        <v/>
      </c>
      <c r="M883" s="13" t="str">
        <f aca="false">IF($B883="","",IF(COUNTIFS($B$3:$B883,$B883)&gt;1,"",$K883+$L883))</f>
        <v/>
      </c>
      <c r="N883" s="14" t="str">
        <f aca="false">IF($B883="","",COUNTIFS($B$3:$B883,$B883))</f>
        <v/>
      </c>
      <c r="O883" s="14" t="str">
        <f aca="false">IF($B883="","",$B883&amp;"|"&amp;$N883)</f>
        <v/>
      </c>
    </row>
    <row r="884" customFormat="false" ht="15" hidden="false" customHeight="false" outlineLevel="0" collapsed="false">
      <c r="A884" s="12"/>
      <c r="B884" s="9"/>
      <c r="C884" s="9"/>
      <c r="D884" s="9"/>
      <c r="E884" s="9"/>
      <c r="F884" s="9"/>
      <c r="G884" s="9"/>
      <c r="H884" s="7"/>
      <c r="I884" s="13" t="str">
        <f aca="false">IF(OR($G884="",$H884=""),"",ROUND($G884*$H884,0))</f>
        <v/>
      </c>
      <c r="J884" s="8"/>
      <c r="K884" s="13" t="str">
        <f aca="false">IF($B884="","",SUMIFS($I$3:$I$2002,$B$3:$B$2002,$B884))</f>
        <v/>
      </c>
      <c r="L884" s="13" t="str">
        <f aca="false">IF($B884="","",IF(COUNTIFS($B$3:$B884,$B884)&gt;1,0,IFERROR(LOOKUP($K884,배송비규정!$A$3:$A$32,배송비규정!$B$3:$B$32),0)+IFERROR(INDEX(지역추가비!$B$3:$B$42,MATCH($J884,지역추가비!$A$3:$A$42,0)),0)))</f>
        <v/>
      </c>
      <c r="M884" s="13" t="str">
        <f aca="false">IF($B884="","",IF(COUNTIFS($B$3:$B884,$B884)&gt;1,"",$K884+$L884))</f>
        <v/>
      </c>
      <c r="N884" s="14" t="str">
        <f aca="false">IF($B884="","",COUNTIFS($B$3:$B884,$B884))</f>
        <v/>
      </c>
      <c r="O884" s="14" t="str">
        <f aca="false">IF($B884="","",$B884&amp;"|"&amp;$N884)</f>
        <v/>
      </c>
    </row>
    <row r="885" customFormat="false" ht="15" hidden="false" customHeight="false" outlineLevel="0" collapsed="false">
      <c r="A885" s="12"/>
      <c r="B885" s="9"/>
      <c r="C885" s="9"/>
      <c r="D885" s="9"/>
      <c r="E885" s="9"/>
      <c r="F885" s="9"/>
      <c r="G885" s="9"/>
      <c r="H885" s="7"/>
      <c r="I885" s="13" t="str">
        <f aca="false">IF(OR($G885="",$H885=""),"",ROUND($G885*$H885,0))</f>
        <v/>
      </c>
      <c r="J885" s="8"/>
      <c r="K885" s="13" t="str">
        <f aca="false">IF($B885="","",SUMIFS($I$3:$I$2002,$B$3:$B$2002,$B885))</f>
        <v/>
      </c>
      <c r="L885" s="13" t="str">
        <f aca="false">IF($B885="","",IF(COUNTIFS($B$3:$B885,$B885)&gt;1,0,IFERROR(LOOKUP($K885,배송비규정!$A$3:$A$32,배송비규정!$B$3:$B$32),0)+IFERROR(INDEX(지역추가비!$B$3:$B$42,MATCH($J885,지역추가비!$A$3:$A$42,0)),0)))</f>
        <v/>
      </c>
      <c r="M885" s="13" t="str">
        <f aca="false">IF($B885="","",IF(COUNTIFS($B$3:$B885,$B885)&gt;1,"",$K885+$L885))</f>
        <v/>
      </c>
      <c r="N885" s="14" t="str">
        <f aca="false">IF($B885="","",COUNTIFS($B$3:$B885,$B885))</f>
        <v/>
      </c>
      <c r="O885" s="14" t="str">
        <f aca="false">IF($B885="","",$B885&amp;"|"&amp;$N885)</f>
        <v/>
      </c>
    </row>
    <row r="886" customFormat="false" ht="15" hidden="false" customHeight="false" outlineLevel="0" collapsed="false">
      <c r="A886" s="12"/>
      <c r="B886" s="9"/>
      <c r="C886" s="9"/>
      <c r="D886" s="9"/>
      <c r="E886" s="9"/>
      <c r="F886" s="9"/>
      <c r="G886" s="9"/>
      <c r="H886" s="7"/>
      <c r="I886" s="13" t="str">
        <f aca="false">IF(OR($G886="",$H886=""),"",ROUND($G886*$H886,0))</f>
        <v/>
      </c>
      <c r="J886" s="8"/>
      <c r="K886" s="13" t="str">
        <f aca="false">IF($B886="","",SUMIFS($I$3:$I$2002,$B$3:$B$2002,$B886))</f>
        <v/>
      </c>
      <c r="L886" s="13" t="str">
        <f aca="false">IF($B886="","",IF(COUNTIFS($B$3:$B886,$B886)&gt;1,0,IFERROR(LOOKUP($K886,배송비규정!$A$3:$A$32,배송비규정!$B$3:$B$32),0)+IFERROR(INDEX(지역추가비!$B$3:$B$42,MATCH($J886,지역추가비!$A$3:$A$42,0)),0)))</f>
        <v/>
      </c>
      <c r="M886" s="13" t="str">
        <f aca="false">IF($B886="","",IF(COUNTIFS($B$3:$B886,$B886)&gt;1,"",$K886+$L886))</f>
        <v/>
      </c>
      <c r="N886" s="14" t="str">
        <f aca="false">IF($B886="","",COUNTIFS($B$3:$B886,$B886))</f>
        <v/>
      </c>
      <c r="O886" s="14" t="str">
        <f aca="false">IF($B886="","",$B886&amp;"|"&amp;$N886)</f>
        <v/>
      </c>
    </row>
    <row r="887" customFormat="false" ht="15" hidden="false" customHeight="false" outlineLevel="0" collapsed="false">
      <c r="A887" s="12"/>
      <c r="B887" s="9"/>
      <c r="C887" s="9"/>
      <c r="D887" s="9"/>
      <c r="E887" s="9"/>
      <c r="F887" s="9"/>
      <c r="G887" s="9"/>
      <c r="H887" s="7"/>
      <c r="I887" s="13" t="str">
        <f aca="false">IF(OR($G887="",$H887=""),"",ROUND($G887*$H887,0))</f>
        <v/>
      </c>
      <c r="J887" s="8"/>
      <c r="K887" s="13" t="str">
        <f aca="false">IF($B887="","",SUMIFS($I$3:$I$2002,$B$3:$B$2002,$B887))</f>
        <v/>
      </c>
      <c r="L887" s="13" t="str">
        <f aca="false">IF($B887="","",IF(COUNTIFS($B$3:$B887,$B887)&gt;1,0,IFERROR(LOOKUP($K887,배송비규정!$A$3:$A$32,배송비규정!$B$3:$B$32),0)+IFERROR(INDEX(지역추가비!$B$3:$B$42,MATCH($J887,지역추가비!$A$3:$A$42,0)),0)))</f>
        <v/>
      </c>
      <c r="M887" s="13" t="str">
        <f aca="false">IF($B887="","",IF(COUNTIFS($B$3:$B887,$B887)&gt;1,"",$K887+$L887))</f>
        <v/>
      </c>
      <c r="N887" s="14" t="str">
        <f aca="false">IF($B887="","",COUNTIFS($B$3:$B887,$B887))</f>
        <v/>
      </c>
      <c r="O887" s="14" t="str">
        <f aca="false">IF($B887="","",$B887&amp;"|"&amp;$N887)</f>
        <v/>
      </c>
    </row>
    <row r="888" customFormat="false" ht="15" hidden="false" customHeight="false" outlineLevel="0" collapsed="false">
      <c r="A888" s="12"/>
      <c r="B888" s="9"/>
      <c r="C888" s="9"/>
      <c r="D888" s="9"/>
      <c r="E888" s="9"/>
      <c r="F888" s="9"/>
      <c r="G888" s="9"/>
      <c r="H888" s="7"/>
      <c r="I888" s="13" t="str">
        <f aca="false">IF(OR($G888="",$H888=""),"",ROUND($G888*$H888,0))</f>
        <v/>
      </c>
      <c r="J888" s="8"/>
      <c r="K888" s="13" t="str">
        <f aca="false">IF($B888="","",SUMIFS($I$3:$I$2002,$B$3:$B$2002,$B888))</f>
        <v/>
      </c>
      <c r="L888" s="13" t="str">
        <f aca="false">IF($B888="","",IF(COUNTIFS($B$3:$B888,$B888)&gt;1,0,IFERROR(LOOKUP($K888,배송비규정!$A$3:$A$32,배송비규정!$B$3:$B$32),0)+IFERROR(INDEX(지역추가비!$B$3:$B$42,MATCH($J888,지역추가비!$A$3:$A$42,0)),0)))</f>
        <v/>
      </c>
      <c r="M888" s="13" t="str">
        <f aca="false">IF($B888="","",IF(COUNTIFS($B$3:$B888,$B888)&gt;1,"",$K888+$L888))</f>
        <v/>
      </c>
      <c r="N888" s="14" t="str">
        <f aca="false">IF($B888="","",COUNTIFS($B$3:$B888,$B888))</f>
        <v/>
      </c>
      <c r="O888" s="14" t="str">
        <f aca="false">IF($B888="","",$B888&amp;"|"&amp;$N888)</f>
        <v/>
      </c>
    </row>
    <row r="889" customFormat="false" ht="15" hidden="false" customHeight="false" outlineLevel="0" collapsed="false">
      <c r="A889" s="12"/>
      <c r="B889" s="9"/>
      <c r="C889" s="9"/>
      <c r="D889" s="9"/>
      <c r="E889" s="9"/>
      <c r="F889" s="9"/>
      <c r="G889" s="9"/>
      <c r="H889" s="7"/>
      <c r="I889" s="13" t="str">
        <f aca="false">IF(OR($G889="",$H889=""),"",ROUND($G889*$H889,0))</f>
        <v/>
      </c>
      <c r="J889" s="8"/>
      <c r="K889" s="13" t="str">
        <f aca="false">IF($B889="","",SUMIFS($I$3:$I$2002,$B$3:$B$2002,$B889))</f>
        <v/>
      </c>
      <c r="L889" s="13" t="str">
        <f aca="false">IF($B889="","",IF(COUNTIFS($B$3:$B889,$B889)&gt;1,0,IFERROR(LOOKUP($K889,배송비규정!$A$3:$A$32,배송비규정!$B$3:$B$32),0)+IFERROR(INDEX(지역추가비!$B$3:$B$42,MATCH($J889,지역추가비!$A$3:$A$42,0)),0)))</f>
        <v/>
      </c>
      <c r="M889" s="13" t="str">
        <f aca="false">IF($B889="","",IF(COUNTIFS($B$3:$B889,$B889)&gt;1,"",$K889+$L889))</f>
        <v/>
      </c>
      <c r="N889" s="14" t="str">
        <f aca="false">IF($B889="","",COUNTIFS($B$3:$B889,$B889))</f>
        <v/>
      </c>
      <c r="O889" s="14" t="str">
        <f aca="false">IF($B889="","",$B889&amp;"|"&amp;$N889)</f>
        <v/>
      </c>
    </row>
    <row r="890" customFormat="false" ht="15" hidden="false" customHeight="false" outlineLevel="0" collapsed="false">
      <c r="A890" s="12"/>
      <c r="B890" s="9"/>
      <c r="C890" s="9"/>
      <c r="D890" s="9"/>
      <c r="E890" s="9"/>
      <c r="F890" s="9"/>
      <c r="G890" s="9"/>
      <c r="H890" s="7"/>
      <c r="I890" s="13" t="str">
        <f aca="false">IF(OR($G890="",$H890=""),"",ROUND($G890*$H890,0))</f>
        <v/>
      </c>
      <c r="J890" s="8"/>
      <c r="K890" s="13" t="str">
        <f aca="false">IF($B890="","",SUMIFS($I$3:$I$2002,$B$3:$B$2002,$B890))</f>
        <v/>
      </c>
      <c r="L890" s="13" t="str">
        <f aca="false">IF($B890="","",IF(COUNTIFS($B$3:$B890,$B890)&gt;1,0,IFERROR(LOOKUP($K890,배송비규정!$A$3:$A$32,배송비규정!$B$3:$B$32),0)+IFERROR(INDEX(지역추가비!$B$3:$B$42,MATCH($J890,지역추가비!$A$3:$A$42,0)),0)))</f>
        <v/>
      </c>
      <c r="M890" s="13" t="str">
        <f aca="false">IF($B890="","",IF(COUNTIFS($B$3:$B890,$B890)&gt;1,"",$K890+$L890))</f>
        <v/>
      </c>
      <c r="N890" s="14" t="str">
        <f aca="false">IF($B890="","",COUNTIFS($B$3:$B890,$B890))</f>
        <v/>
      </c>
      <c r="O890" s="14" t="str">
        <f aca="false">IF($B890="","",$B890&amp;"|"&amp;$N890)</f>
        <v/>
      </c>
    </row>
    <row r="891" customFormat="false" ht="15" hidden="false" customHeight="false" outlineLevel="0" collapsed="false">
      <c r="A891" s="12"/>
      <c r="B891" s="9"/>
      <c r="C891" s="9"/>
      <c r="D891" s="9"/>
      <c r="E891" s="9"/>
      <c r="F891" s="9"/>
      <c r="G891" s="9"/>
      <c r="H891" s="7"/>
      <c r="I891" s="13" t="str">
        <f aca="false">IF(OR($G891="",$H891=""),"",ROUND($G891*$H891,0))</f>
        <v/>
      </c>
      <c r="J891" s="8"/>
      <c r="K891" s="13" t="str">
        <f aca="false">IF($B891="","",SUMIFS($I$3:$I$2002,$B$3:$B$2002,$B891))</f>
        <v/>
      </c>
      <c r="L891" s="13" t="str">
        <f aca="false">IF($B891="","",IF(COUNTIFS($B$3:$B891,$B891)&gt;1,0,IFERROR(LOOKUP($K891,배송비규정!$A$3:$A$32,배송비규정!$B$3:$B$32),0)+IFERROR(INDEX(지역추가비!$B$3:$B$42,MATCH($J891,지역추가비!$A$3:$A$42,0)),0)))</f>
        <v/>
      </c>
      <c r="M891" s="13" t="str">
        <f aca="false">IF($B891="","",IF(COUNTIFS($B$3:$B891,$B891)&gt;1,"",$K891+$L891))</f>
        <v/>
      </c>
      <c r="N891" s="14" t="str">
        <f aca="false">IF($B891="","",COUNTIFS($B$3:$B891,$B891))</f>
        <v/>
      </c>
      <c r="O891" s="14" t="str">
        <f aca="false">IF($B891="","",$B891&amp;"|"&amp;$N891)</f>
        <v/>
      </c>
    </row>
    <row r="892" customFormat="false" ht="15" hidden="false" customHeight="false" outlineLevel="0" collapsed="false">
      <c r="A892" s="12"/>
      <c r="B892" s="9"/>
      <c r="C892" s="9"/>
      <c r="D892" s="9"/>
      <c r="E892" s="9"/>
      <c r="F892" s="9"/>
      <c r="G892" s="9"/>
      <c r="H892" s="7"/>
      <c r="I892" s="13" t="str">
        <f aca="false">IF(OR($G892="",$H892=""),"",ROUND($G892*$H892,0))</f>
        <v/>
      </c>
      <c r="J892" s="8"/>
      <c r="K892" s="13" t="str">
        <f aca="false">IF($B892="","",SUMIFS($I$3:$I$2002,$B$3:$B$2002,$B892))</f>
        <v/>
      </c>
      <c r="L892" s="13" t="str">
        <f aca="false">IF($B892="","",IF(COUNTIFS($B$3:$B892,$B892)&gt;1,0,IFERROR(LOOKUP($K892,배송비규정!$A$3:$A$32,배송비규정!$B$3:$B$32),0)+IFERROR(INDEX(지역추가비!$B$3:$B$42,MATCH($J892,지역추가비!$A$3:$A$42,0)),0)))</f>
        <v/>
      </c>
      <c r="M892" s="13" t="str">
        <f aca="false">IF($B892="","",IF(COUNTIFS($B$3:$B892,$B892)&gt;1,"",$K892+$L892))</f>
        <v/>
      </c>
      <c r="N892" s="14" t="str">
        <f aca="false">IF($B892="","",COUNTIFS($B$3:$B892,$B892))</f>
        <v/>
      </c>
      <c r="O892" s="14" t="str">
        <f aca="false">IF($B892="","",$B892&amp;"|"&amp;$N892)</f>
        <v/>
      </c>
    </row>
    <row r="893" customFormat="false" ht="15" hidden="false" customHeight="false" outlineLevel="0" collapsed="false">
      <c r="A893" s="12"/>
      <c r="B893" s="9"/>
      <c r="C893" s="9"/>
      <c r="D893" s="9"/>
      <c r="E893" s="9"/>
      <c r="F893" s="9"/>
      <c r="G893" s="9"/>
      <c r="H893" s="7"/>
      <c r="I893" s="13" t="str">
        <f aca="false">IF(OR($G893="",$H893=""),"",ROUND($G893*$H893,0))</f>
        <v/>
      </c>
      <c r="J893" s="8"/>
      <c r="K893" s="13" t="str">
        <f aca="false">IF($B893="","",SUMIFS($I$3:$I$2002,$B$3:$B$2002,$B893))</f>
        <v/>
      </c>
      <c r="L893" s="13" t="str">
        <f aca="false">IF($B893="","",IF(COUNTIFS($B$3:$B893,$B893)&gt;1,0,IFERROR(LOOKUP($K893,배송비규정!$A$3:$A$32,배송비규정!$B$3:$B$32),0)+IFERROR(INDEX(지역추가비!$B$3:$B$42,MATCH($J893,지역추가비!$A$3:$A$42,0)),0)))</f>
        <v/>
      </c>
      <c r="M893" s="13" t="str">
        <f aca="false">IF($B893="","",IF(COUNTIFS($B$3:$B893,$B893)&gt;1,"",$K893+$L893))</f>
        <v/>
      </c>
      <c r="N893" s="14" t="str">
        <f aca="false">IF($B893="","",COUNTIFS($B$3:$B893,$B893))</f>
        <v/>
      </c>
      <c r="O893" s="14" t="str">
        <f aca="false">IF($B893="","",$B893&amp;"|"&amp;$N893)</f>
        <v/>
      </c>
    </row>
    <row r="894" customFormat="false" ht="15" hidden="false" customHeight="false" outlineLevel="0" collapsed="false">
      <c r="A894" s="12"/>
      <c r="B894" s="9"/>
      <c r="C894" s="9"/>
      <c r="D894" s="9"/>
      <c r="E894" s="9"/>
      <c r="F894" s="9"/>
      <c r="G894" s="9"/>
      <c r="H894" s="7"/>
      <c r="I894" s="13" t="str">
        <f aca="false">IF(OR($G894="",$H894=""),"",ROUND($G894*$H894,0))</f>
        <v/>
      </c>
      <c r="J894" s="8"/>
      <c r="K894" s="13" t="str">
        <f aca="false">IF($B894="","",SUMIFS($I$3:$I$2002,$B$3:$B$2002,$B894))</f>
        <v/>
      </c>
      <c r="L894" s="13" t="str">
        <f aca="false">IF($B894="","",IF(COUNTIFS($B$3:$B894,$B894)&gt;1,0,IFERROR(LOOKUP($K894,배송비규정!$A$3:$A$32,배송비규정!$B$3:$B$32),0)+IFERROR(INDEX(지역추가비!$B$3:$B$42,MATCH($J894,지역추가비!$A$3:$A$42,0)),0)))</f>
        <v/>
      </c>
      <c r="M894" s="13" t="str">
        <f aca="false">IF($B894="","",IF(COUNTIFS($B$3:$B894,$B894)&gt;1,"",$K894+$L894))</f>
        <v/>
      </c>
      <c r="N894" s="14" t="str">
        <f aca="false">IF($B894="","",COUNTIFS($B$3:$B894,$B894))</f>
        <v/>
      </c>
      <c r="O894" s="14" t="str">
        <f aca="false">IF($B894="","",$B894&amp;"|"&amp;$N894)</f>
        <v/>
      </c>
    </row>
    <row r="895" customFormat="false" ht="15" hidden="false" customHeight="false" outlineLevel="0" collapsed="false">
      <c r="A895" s="12"/>
      <c r="B895" s="9"/>
      <c r="C895" s="9"/>
      <c r="D895" s="9"/>
      <c r="E895" s="9"/>
      <c r="F895" s="9"/>
      <c r="G895" s="9"/>
      <c r="H895" s="7"/>
      <c r="I895" s="13" t="str">
        <f aca="false">IF(OR($G895="",$H895=""),"",ROUND($G895*$H895,0))</f>
        <v/>
      </c>
      <c r="J895" s="8"/>
      <c r="K895" s="13" t="str">
        <f aca="false">IF($B895="","",SUMIFS($I$3:$I$2002,$B$3:$B$2002,$B895))</f>
        <v/>
      </c>
      <c r="L895" s="13" t="str">
        <f aca="false">IF($B895="","",IF(COUNTIFS($B$3:$B895,$B895)&gt;1,0,IFERROR(LOOKUP($K895,배송비규정!$A$3:$A$32,배송비규정!$B$3:$B$32),0)+IFERROR(INDEX(지역추가비!$B$3:$B$42,MATCH($J895,지역추가비!$A$3:$A$42,0)),0)))</f>
        <v/>
      </c>
      <c r="M895" s="13" t="str">
        <f aca="false">IF($B895="","",IF(COUNTIFS($B$3:$B895,$B895)&gt;1,"",$K895+$L895))</f>
        <v/>
      </c>
      <c r="N895" s="14" t="str">
        <f aca="false">IF($B895="","",COUNTIFS($B$3:$B895,$B895))</f>
        <v/>
      </c>
      <c r="O895" s="14" t="str">
        <f aca="false">IF($B895="","",$B895&amp;"|"&amp;$N895)</f>
        <v/>
      </c>
    </row>
    <row r="896" customFormat="false" ht="15" hidden="false" customHeight="false" outlineLevel="0" collapsed="false">
      <c r="A896" s="12"/>
      <c r="B896" s="9"/>
      <c r="C896" s="9"/>
      <c r="D896" s="9"/>
      <c r="E896" s="9"/>
      <c r="F896" s="9"/>
      <c r="G896" s="9"/>
      <c r="H896" s="7"/>
      <c r="I896" s="13" t="str">
        <f aca="false">IF(OR($G896="",$H896=""),"",ROUND($G896*$H896,0))</f>
        <v/>
      </c>
      <c r="J896" s="8"/>
      <c r="K896" s="13" t="str">
        <f aca="false">IF($B896="","",SUMIFS($I$3:$I$2002,$B$3:$B$2002,$B896))</f>
        <v/>
      </c>
      <c r="L896" s="13" t="str">
        <f aca="false">IF($B896="","",IF(COUNTIFS($B$3:$B896,$B896)&gt;1,0,IFERROR(LOOKUP($K896,배송비규정!$A$3:$A$32,배송비규정!$B$3:$B$32),0)+IFERROR(INDEX(지역추가비!$B$3:$B$42,MATCH($J896,지역추가비!$A$3:$A$42,0)),0)))</f>
        <v/>
      </c>
      <c r="M896" s="13" t="str">
        <f aca="false">IF($B896="","",IF(COUNTIFS($B$3:$B896,$B896)&gt;1,"",$K896+$L896))</f>
        <v/>
      </c>
      <c r="N896" s="14" t="str">
        <f aca="false">IF($B896="","",COUNTIFS($B$3:$B896,$B896))</f>
        <v/>
      </c>
      <c r="O896" s="14" t="str">
        <f aca="false">IF($B896="","",$B896&amp;"|"&amp;$N896)</f>
        <v/>
      </c>
    </row>
    <row r="897" customFormat="false" ht="15" hidden="false" customHeight="false" outlineLevel="0" collapsed="false">
      <c r="A897" s="12"/>
      <c r="B897" s="9"/>
      <c r="C897" s="9"/>
      <c r="D897" s="9"/>
      <c r="E897" s="9"/>
      <c r="F897" s="9"/>
      <c r="G897" s="9"/>
      <c r="H897" s="7"/>
      <c r="I897" s="13" t="str">
        <f aca="false">IF(OR($G897="",$H897=""),"",ROUND($G897*$H897,0))</f>
        <v/>
      </c>
      <c r="J897" s="8"/>
      <c r="K897" s="13" t="str">
        <f aca="false">IF($B897="","",SUMIFS($I$3:$I$2002,$B$3:$B$2002,$B897))</f>
        <v/>
      </c>
      <c r="L897" s="13" t="str">
        <f aca="false">IF($B897="","",IF(COUNTIFS($B$3:$B897,$B897)&gt;1,0,IFERROR(LOOKUP($K897,배송비규정!$A$3:$A$32,배송비규정!$B$3:$B$32),0)+IFERROR(INDEX(지역추가비!$B$3:$B$42,MATCH($J897,지역추가비!$A$3:$A$42,0)),0)))</f>
        <v/>
      </c>
      <c r="M897" s="13" t="str">
        <f aca="false">IF($B897="","",IF(COUNTIFS($B$3:$B897,$B897)&gt;1,"",$K897+$L897))</f>
        <v/>
      </c>
      <c r="N897" s="14" t="str">
        <f aca="false">IF($B897="","",COUNTIFS($B$3:$B897,$B897))</f>
        <v/>
      </c>
      <c r="O897" s="14" t="str">
        <f aca="false">IF($B897="","",$B897&amp;"|"&amp;$N897)</f>
        <v/>
      </c>
    </row>
    <row r="898" customFormat="false" ht="15" hidden="false" customHeight="false" outlineLevel="0" collapsed="false">
      <c r="A898" s="12"/>
      <c r="B898" s="9"/>
      <c r="C898" s="9"/>
      <c r="D898" s="9"/>
      <c r="E898" s="9"/>
      <c r="F898" s="9"/>
      <c r="G898" s="9"/>
      <c r="H898" s="7"/>
      <c r="I898" s="13" t="str">
        <f aca="false">IF(OR($G898="",$H898=""),"",ROUND($G898*$H898,0))</f>
        <v/>
      </c>
      <c r="J898" s="8"/>
      <c r="K898" s="13" t="str">
        <f aca="false">IF($B898="","",SUMIFS($I$3:$I$2002,$B$3:$B$2002,$B898))</f>
        <v/>
      </c>
      <c r="L898" s="13" t="str">
        <f aca="false">IF($B898="","",IF(COUNTIFS($B$3:$B898,$B898)&gt;1,0,IFERROR(LOOKUP($K898,배송비규정!$A$3:$A$32,배송비규정!$B$3:$B$32),0)+IFERROR(INDEX(지역추가비!$B$3:$B$42,MATCH($J898,지역추가비!$A$3:$A$42,0)),0)))</f>
        <v/>
      </c>
      <c r="M898" s="13" t="str">
        <f aca="false">IF($B898="","",IF(COUNTIFS($B$3:$B898,$B898)&gt;1,"",$K898+$L898))</f>
        <v/>
      </c>
      <c r="N898" s="14" t="str">
        <f aca="false">IF($B898="","",COUNTIFS($B$3:$B898,$B898))</f>
        <v/>
      </c>
      <c r="O898" s="14" t="str">
        <f aca="false">IF($B898="","",$B898&amp;"|"&amp;$N898)</f>
        <v/>
      </c>
    </row>
    <row r="899" customFormat="false" ht="15" hidden="false" customHeight="false" outlineLevel="0" collapsed="false">
      <c r="A899" s="12"/>
      <c r="B899" s="9"/>
      <c r="C899" s="9"/>
      <c r="D899" s="9"/>
      <c r="E899" s="9"/>
      <c r="F899" s="9"/>
      <c r="G899" s="9"/>
      <c r="H899" s="7"/>
      <c r="I899" s="13" t="str">
        <f aca="false">IF(OR($G899="",$H899=""),"",ROUND($G899*$H899,0))</f>
        <v/>
      </c>
      <c r="J899" s="8"/>
      <c r="K899" s="13" t="str">
        <f aca="false">IF($B899="","",SUMIFS($I$3:$I$2002,$B$3:$B$2002,$B899))</f>
        <v/>
      </c>
      <c r="L899" s="13" t="str">
        <f aca="false">IF($B899="","",IF(COUNTIFS($B$3:$B899,$B899)&gt;1,0,IFERROR(LOOKUP($K899,배송비규정!$A$3:$A$32,배송비규정!$B$3:$B$32),0)+IFERROR(INDEX(지역추가비!$B$3:$B$42,MATCH($J899,지역추가비!$A$3:$A$42,0)),0)))</f>
        <v/>
      </c>
      <c r="M899" s="13" t="str">
        <f aca="false">IF($B899="","",IF(COUNTIFS($B$3:$B899,$B899)&gt;1,"",$K899+$L899))</f>
        <v/>
      </c>
      <c r="N899" s="14" t="str">
        <f aca="false">IF($B899="","",COUNTIFS($B$3:$B899,$B899))</f>
        <v/>
      </c>
      <c r="O899" s="14" t="str">
        <f aca="false">IF($B899="","",$B899&amp;"|"&amp;$N899)</f>
        <v/>
      </c>
    </row>
    <row r="900" customFormat="false" ht="15" hidden="false" customHeight="false" outlineLevel="0" collapsed="false">
      <c r="A900" s="12"/>
      <c r="B900" s="9"/>
      <c r="C900" s="9"/>
      <c r="D900" s="9"/>
      <c r="E900" s="9"/>
      <c r="F900" s="9"/>
      <c r="G900" s="9"/>
      <c r="H900" s="7"/>
      <c r="I900" s="13" t="str">
        <f aca="false">IF(OR($G900="",$H900=""),"",ROUND($G900*$H900,0))</f>
        <v/>
      </c>
      <c r="J900" s="8"/>
      <c r="K900" s="13" t="str">
        <f aca="false">IF($B900="","",SUMIFS($I$3:$I$2002,$B$3:$B$2002,$B900))</f>
        <v/>
      </c>
      <c r="L900" s="13" t="str">
        <f aca="false">IF($B900="","",IF(COUNTIFS($B$3:$B900,$B900)&gt;1,0,IFERROR(LOOKUP($K900,배송비규정!$A$3:$A$32,배송비규정!$B$3:$B$32),0)+IFERROR(INDEX(지역추가비!$B$3:$B$42,MATCH($J900,지역추가비!$A$3:$A$42,0)),0)))</f>
        <v/>
      </c>
      <c r="M900" s="13" t="str">
        <f aca="false">IF($B900="","",IF(COUNTIFS($B$3:$B900,$B900)&gt;1,"",$K900+$L900))</f>
        <v/>
      </c>
      <c r="N900" s="14" t="str">
        <f aca="false">IF($B900="","",COUNTIFS($B$3:$B900,$B900))</f>
        <v/>
      </c>
      <c r="O900" s="14" t="str">
        <f aca="false">IF($B900="","",$B900&amp;"|"&amp;$N900)</f>
        <v/>
      </c>
    </row>
    <row r="901" customFormat="false" ht="15" hidden="false" customHeight="false" outlineLevel="0" collapsed="false">
      <c r="A901" s="12"/>
      <c r="B901" s="9"/>
      <c r="C901" s="9"/>
      <c r="D901" s="9"/>
      <c r="E901" s="9"/>
      <c r="F901" s="9"/>
      <c r="G901" s="9"/>
      <c r="H901" s="7"/>
      <c r="I901" s="13" t="str">
        <f aca="false">IF(OR($G901="",$H901=""),"",ROUND($G901*$H901,0))</f>
        <v/>
      </c>
      <c r="J901" s="8"/>
      <c r="K901" s="13" t="str">
        <f aca="false">IF($B901="","",SUMIFS($I$3:$I$2002,$B$3:$B$2002,$B901))</f>
        <v/>
      </c>
      <c r="L901" s="13" t="str">
        <f aca="false">IF($B901="","",IF(COUNTIFS($B$3:$B901,$B901)&gt;1,0,IFERROR(LOOKUP($K901,배송비규정!$A$3:$A$32,배송비규정!$B$3:$B$32),0)+IFERROR(INDEX(지역추가비!$B$3:$B$42,MATCH($J901,지역추가비!$A$3:$A$42,0)),0)))</f>
        <v/>
      </c>
      <c r="M901" s="13" t="str">
        <f aca="false">IF($B901="","",IF(COUNTIFS($B$3:$B901,$B901)&gt;1,"",$K901+$L901))</f>
        <v/>
      </c>
      <c r="N901" s="14" t="str">
        <f aca="false">IF($B901="","",COUNTIFS($B$3:$B901,$B901))</f>
        <v/>
      </c>
      <c r="O901" s="14" t="str">
        <f aca="false">IF($B901="","",$B901&amp;"|"&amp;$N901)</f>
        <v/>
      </c>
    </row>
    <row r="902" customFormat="false" ht="15" hidden="false" customHeight="false" outlineLevel="0" collapsed="false">
      <c r="A902" s="12"/>
      <c r="B902" s="9"/>
      <c r="C902" s="9"/>
      <c r="D902" s="9"/>
      <c r="E902" s="9"/>
      <c r="F902" s="9"/>
      <c r="G902" s="9"/>
      <c r="H902" s="7"/>
      <c r="I902" s="13" t="str">
        <f aca="false">IF(OR($G902="",$H902=""),"",ROUND($G902*$H902,0))</f>
        <v/>
      </c>
      <c r="J902" s="8"/>
      <c r="K902" s="13" t="str">
        <f aca="false">IF($B902="","",SUMIFS($I$3:$I$2002,$B$3:$B$2002,$B902))</f>
        <v/>
      </c>
      <c r="L902" s="13" t="str">
        <f aca="false">IF($B902="","",IF(COUNTIFS($B$3:$B902,$B902)&gt;1,0,IFERROR(LOOKUP($K902,배송비규정!$A$3:$A$32,배송비규정!$B$3:$B$32),0)+IFERROR(INDEX(지역추가비!$B$3:$B$42,MATCH($J902,지역추가비!$A$3:$A$42,0)),0)))</f>
        <v/>
      </c>
      <c r="M902" s="13" t="str">
        <f aca="false">IF($B902="","",IF(COUNTIFS($B$3:$B902,$B902)&gt;1,"",$K902+$L902))</f>
        <v/>
      </c>
      <c r="N902" s="14" t="str">
        <f aca="false">IF($B902="","",COUNTIFS($B$3:$B902,$B902))</f>
        <v/>
      </c>
      <c r="O902" s="14" t="str">
        <f aca="false">IF($B902="","",$B902&amp;"|"&amp;$N902)</f>
        <v/>
      </c>
    </row>
    <row r="903" customFormat="false" ht="15" hidden="false" customHeight="false" outlineLevel="0" collapsed="false">
      <c r="A903" s="12"/>
      <c r="B903" s="9"/>
      <c r="C903" s="9"/>
      <c r="D903" s="9"/>
      <c r="E903" s="9"/>
      <c r="F903" s="9"/>
      <c r="G903" s="9"/>
      <c r="H903" s="7"/>
      <c r="I903" s="13" t="str">
        <f aca="false">IF(OR($G903="",$H903=""),"",ROUND($G903*$H903,0))</f>
        <v/>
      </c>
      <c r="J903" s="8"/>
      <c r="K903" s="13" t="str">
        <f aca="false">IF($B903="","",SUMIFS($I$3:$I$2002,$B$3:$B$2002,$B903))</f>
        <v/>
      </c>
      <c r="L903" s="13" t="str">
        <f aca="false">IF($B903="","",IF(COUNTIFS($B$3:$B903,$B903)&gt;1,0,IFERROR(LOOKUP($K903,배송비규정!$A$3:$A$32,배송비규정!$B$3:$B$32),0)+IFERROR(INDEX(지역추가비!$B$3:$B$42,MATCH($J903,지역추가비!$A$3:$A$42,0)),0)))</f>
        <v/>
      </c>
      <c r="M903" s="13" t="str">
        <f aca="false">IF($B903="","",IF(COUNTIFS($B$3:$B903,$B903)&gt;1,"",$K903+$L903))</f>
        <v/>
      </c>
      <c r="N903" s="14" t="str">
        <f aca="false">IF($B903="","",COUNTIFS($B$3:$B903,$B903))</f>
        <v/>
      </c>
      <c r="O903" s="14" t="str">
        <f aca="false">IF($B903="","",$B903&amp;"|"&amp;$N903)</f>
        <v/>
      </c>
    </row>
    <row r="904" customFormat="false" ht="15" hidden="false" customHeight="false" outlineLevel="0" collapsed="false">
      <c r="A904" s="12"/>
      <c r="B904" s="9"/>
      <c r="C904" s="9"/>
      <c r="D904" s="9"/>
      <c r="E904" s="9"/>
      <c r="F904" s="9"/>
      <c r="G904" s="9"/>
      <c r="H904" s="7"/>
      <c r="I904" s="13" t="str">
        <f aca="false">IF(OR($G904="",$H904=""),"",ROUND($G904*$H904,0))</f>
        <v/>
      </c>
      <c r="J904" s="8"/>
      <c r="K904" s="13" t="str">
        <f aca="false">IF($B904="","",SUMIFS($I$3:$I$2002,$B$3:$B$2002,$B904))</f>
        <v/>
      </c>
      <c r="L904" s="13" t="str">
        <f aca="false">IF($B904="","",IF(COUNTIFS($B$3:$B904,$B904)&gt;1,0,IFERROR(LOOKUP($K904,배송비규정!$A$3:$A$32,배송비규정!$B$3:$B$32),0)+IFERROR(INDEX(지역추가비!$B$3:$B$42,MATCH($J904,지역추가비!$A$3:$A$42,0)),0)))</f>
        <v/>
      </c>
      <c r="M904" s="13" t="str">
        <f aca="false">IF($B904="","",IF(COUNTIFS($B$3:$B904,$B904)&gt;1,"",$K904+$L904))</f>
        <v/>
      </c>
      <c r="N904" s="14" t="str">
        <f aca="false">IF($B904="","",COUNTIFS($B$3:$B904,$B904))</f>
        <v/>
      </c>
      <c r="O904" s="14" t="str">
        <f aca="false">IF($B904="","",$B904&amp;"|"&amp;$N904)</f>
        <v/>
      </c>
    </row>
    <row r="905" customFormat="false" ht="15" hidden="false" customHeight="false" outlineLevel="0" collapsed="false">
      <c r="A905" s="12"/>
      <c r="B905" s="9"/>
      <c r="C905" s="9"/>
      <c r="D905" s="9"/>
      <c r="E905" s="9"/>
      <c r="F905" s="9"/>
      <c r="G905" s="9"/>
      <c r="H905" s="7"/>
      <c r="I905" s="13" t="str">
        <f aca="false">IF(OR($G905="",$H905=""),"",ROUND($G905*$H905,0))</f>
        <v/>
      </c>
      <c r="J905" s="8"/>
      <c r="K905" s="13" t="str">
        <f aca="false">IF($B905="","",SUMIFS($I$3:$I$2002,$B$3:$B$2002,$B905))</f>
        <v/>
      </c>
      <c r="L905" s="13" t="str">
        <f aca="false">IF($B905="","",IF(COUNTIFS($B$3:$B905,$B905)&gt;1,0,IFERROR(LOOKUP($K905,배송비규정!$A$3:$A$32,배송비규정!$B$3:$B$32),0)+IFERROR(INDEX(지역추가비!$B$3:$B$42,MATCH($J905,지역추가비!$A$3:$A$42,0)),0)))</f>
        <v/>
      </c>
      <c r="M905" s="13" t="str">
        <f aca="false">IF($B905="","",IF(COUNTIFS($B$3:$B905,$B905)&gt;1,"",$K905+$L905))</f>
        <v/>
      </c>
      <c r="N905" s="14" t="str">
        <f aca="false">IF($B905="","",COUNTIFS($B$3:$B905,$B905))</f>
        <v/>
      </c>
      <c r="O905" s="14" t="str">
        <f aca="false">IF($B905="","",$B905&amp;"|"&amp;$N905)</f>
        <v/>
      </c>
    </row>
    <row r="906" customFormat="false" ht="15" hidden="false" customHeight="false" outlineLevel="0" collapsed="false">
      <c r="A906" s="12"/>
      <c r="B906" s="9"/>
      <c r="C906" s="9"/>
      <c r="D906" s="9"/>
      <c r="E906" s="9"/>
      <c r="F906" s="9"/>
      <c r="G906" s="9"/>
      <c r="H906" s="7"/>
      <c r="I906" s="13" t="str">
        <f aca="false">IF(OR($G906="",$H906=""),"",ROUND($G906*$H906,0))</f>
        <v/>
      </c>
      <c r="J906" s="8"/>
      <c r="K906" s="13" t="str">
        <f aca="false">IF($B906="","",SUMIFS($I$3:$I$2002,$B$3:$B$2002,$B906))</f>
        <v/>
      </c>
      <c r="L906" s="13" t="str">
        <f aca="false">IF($B906="","",IF(COUNTIFS($B$3:$B906,$B906)&gt;1,0,IFERROR(LOOKUP($K906,배송비규정!$A$3:$A$32,배송비규정!$B$3:$B$32),0)+IFERROR(INDEX(지역추가비!$B$3:$B$42,MATCH($J906,지역추가비!$A$3:$A$42,0)),0)))</f>
        <v/>
      </c>
      <c r="M906" s="13" t="str">
        <f aca="false">IF($B906="","",IF(COUNTIFS($B$3:$B906,$B906)&gt;1,"",$K906+$L906))</f>
        <v/>
      </c>
      <c r="N906" s="14" t="str">
        <f aca="false">IF($B906="","",COUNTIFS($B$3:$B906,$B906))</f>
        <v/>
      </c>
      <c r="O906" s="14" t="str">
        <f aca="false">IF($B906="","",$B906&amp;"|"&amp;$N906)</f>
        <v/>
      </c>
    </row>
    <row r="907" customFormat="false" ht="15" hidden="false" customHeight="false" outlineLevel="0" collapsed="false">
      <c r="A907" s="12"/>
      <c r="B907" s="9"/>
      <c r="C907" s="9"/>
      <c r="D907" s="9"/>
      <c r="E907" s="9"/>
      <c r="F907" s="9"/>
      <c r="G907" s="9"/>
      <c r="H907" s="7"/>
      <c r="I907" s="13" t="str">
        <f aca="false">IF(OR($G907="",$H907=""),"",ROUND($G907*$H907,0))</f>
        <v/>
      </c>
      <c r="J907" s="8"/>
      <c r="K907" s="13" t="str">
        <f aca="false">IF($B907="","",SUMIFS($I$3:$I$2002,$B$3:$B$2002,$B907))</f>
        <v/>
      </c>
      <c r="L907" s="13" t="str">
        <f aca="false">IF($B907="","",IF(COUNTIFS($B$3:$B907,$B907)&gt;1,0,IFERROR(LOOKUP($K907,배송비규정!$A$3:$A$32,배송비규정!$B$3:$B$32),0)+IFERROR(INDEX(지역추가비!$B$3:$B$42,MATCH($J907,지역추가비!$A$3:$A$42,0)),0)))</f>
        <v/>
      </c>
      <c r="M907" s="13" t="str">
        <f aca="false">IF($B907="","",IF(COUNTIFS($B$3:$B907,$B907)&gt;1,"",$K907+$L907))</f>
        <v/>
      </c>
      <c r="N907" s="14" t="str">
        <f aca="false">IF($B907="","",COUNTIFS($B$3:$B907,$B907))</f>
        <v/>
      </c>
      <c r="O907" s="14" t="str">
        <f aca="false">IF($B907="","",$B907&amp;"|"&amp;$N907)</f>
        <v/>
      </c>
    </row>
    <row r="908" customFormat="false" ht="15" hidden="false" customHeight="false" outlineLevel="0" collapsed="false">
      <c r="A908" s="12"/>
      <c r="B908" s="9"/>
      <c r="C908" s="9"/>
      <c r="D908" s="9"/>
      <c r="E908" s="9"/>
      <c r="F908" s="9"/>
      <c r="G908" s="9"/>
      <c r="H908" s="7"/>
      <c r="I908" s="13" t="str">
        <f aca="false">IF(OR($G908="",$H908=""),"",ROUND($G908*$H908,0))</f>
        <v/>
      </c>
      <c r="J908" s="8"/>
      <c r="K908" s="13" t="str">
        <f aca="false">IF($B908="","",SUMIFS($I$3:$I$2002,$B$3:$B$2002,$B908))</f>
        <v/>
      </c>
      <c r="L908" s="13" t="str">
        <f aca="false">IF($B908="","",IF(COUNTIFS($B$3:$B908,$B908)&gt;1,0,IFERROR(LOOKUP($K908,배송비규정!$A$3:$A$32,배송비규정!$B$3:$B$32),0)+IFERROR(INDEX(지역추가비!$B$3:$B$42,MATCH($J908,지역추가비!$A$3:$A$42,0)),0)))</f>
        <v/>
      </c>
      <c r="M908" s="13" t="str">
        <f aca="false">IF($B908="","",IF(COUNTIFS($B$3:$B908,$B908)&gt;1,"",$K908+$L908))</f>
        <v/>
      </c>
      <c r="N908" s="14" t="str">
        <f aca="false">IF($B908="","",COUNTIFS($B$3:$B908,$B908))</f>
        <v/>
      </c>
      <c r="O908" s="14" t="str">
        <f aca="false">IF($B908="","",$B908&amp;"|"&amp;$N908)</f>
        <v/>
      </c>
    </row>
    <row r="909" customFormat="false" ht="15" hidden="false" customHeight="false" outlineLevel="0" collapsed="false">
      <c r="A909" s="12"/>
      <c r="B909" s="9"/>
      <c r="C909" s="9"/>
      <c r="D909" s="9"/>
      <c r="E909" s="9"/>
      <c r="F909" s="9"/>
      <c r="G909" s="9"/>
      <c r="H909" s="7"/>
      <c r="I909" s="13" t="str">
        <f aca="false">IF(OR($G909="",$H909=""),"",ROUND($G909*$H909,0))</f>
        <v/>
      </c>
      <c r="J909" s="8"/>
      <c r="K909" s="13" t="str">
        <f aca="false">IF($B909="","",SUMIFS($I$3:$I$2002,$B$3:$B$2002,$B909))</f>
        <v/>
      </c>
      <c r="L909" s="13" t="str">
        <f aca="false">IF($B909="","",IF(COUNTIFS($B$3:$B909,$B909)&gt;1,0,IFERROR(LOOKUP($K909,배송비규정!$A$3:$A$32,배송비규정!$B$3:$B$32),0)+IFERROR(INDEX(지역추가비!$B$3:$B$42,MATCH($J909,지역추가비!$A$3:$A$42,0)),0)))</f>
        <v/>
      </c>
      <c r="M909" s="13" t="str">
        <f aca="false">IF($B909="","",IF(COUNTIFS($B$3:$B909,$B909)&gt;1,"",$K909+$L909))</f>
        <v/>
      </c>
      <c r="N909" s="14" t="str">
        <f aca="false">IF($B909="","",COUNTIFS($B$3:$B909,$B909))</f>
        <v/>
      </c>
      <c r="O909" s="14" t="str">
        <f aca="false">IF($B909="","",$B909&amp;"|"&amp;$N909)</f>
        <v/>
      </c>
    </row>
    <row r="910" customFormat="false" ht="15" hidden="false" customHeight="false" outlineLevel="0" collapsed="false">
      <c r="A910" s="12"/>
      <c r="B910" s="9"/>
      <c r="C910" s="9"/>
      <c r="D910" s="9"/>
      <c r="E910" s="9"/>
      <c r="F910" s="9"/>
      <c r="G910" s="9"/>
      <c r="H910" s="7"/>
      <c r="I910" s="13" t="str">
        <f aca="false">IF(OR($G910="",$H910=""),"",ROUND($G910*$H910,0))</f>
        <v/>
      </c>
      <c r="J910" s="8"/>
      <c r="K910" s="13" t="str">
        <f aca="false">IF($B910="","",SUMIFS($I$3:$I$2002,$B$3:$B$2002,$B910))</f>
        <v/>
      </c>
      <c r="L910" s="13" t="str">
        <f aca="false">IF($B910="","",IF(COUNTIFS($B$3:$B910,$B910)&gt;1,0,IFERROR(LOOKUP($K910,배송비규정!$A$3:$A$32,배송비규정!$B$3:$B$32),0)+IFERROR(INDEX(지역추가비!$B$3:$B$42,MATCH($J910,지역추가비!$A$3:$A$42,0)),0)))</f>
        <v/>
      </c>
      <c r="M910" s="13" t="str">
        <f aca="false">IF($B910="","",IF(COUNTIFS($B$3:$B910,$B910)&gt;1,"",$K910+$L910))</f>
        <v/>
      </c>
      <c r="N910" s="14" t="str">
        <f aca="false">IF($B910="","",COUNTIFS($B$3:$B910,$B910))</f>
        <v/>
      </c>
      <c r="O910" s="14" t="str">
        <f aca="false">IF($B910="","",$B910&amp;"|"&amp;$N910)</f>
        <v/>
      </c>
    </row>
    <row r="911" customFormat="false" ht="15" hidden="false" customHeight="false" outlineLevel="0" collapsed="false">
      <c r="A911" s="12"/>
      <c r="B911" s="9"/>
      <c r="C911" s="9"/>
      <c r="D911" s="9"/>
      <c r="E911" s="9"/>
      <c r="F911" s="9"/>
      <c r="G911" s="9"/>
      <c r="H911" s="7"/>
      <c r="I911" s="13" t="str">
        <f aca="false">IF(OR($G911="",$H911=""),"",ROUND($G911*$H911,0))</f>
        <v/>
      </c>
      <c r="J911" s="8"/>
      <c r="K911" s="13" t="str">
        <f aca="false">IF($B911="","",SUMIFS($I$3:$I$2002,$B$3:$B$2002,$B911))</f>
        <v/>
      </c>
      <c r="L911" s="13" t="str">
        <f aca="false">IF($B911="","",IF(COUNTIFS($B$3:$B911,$B911)&gt;1,0,IFERROR(LOOKUP($K911,배송비규정!$A$3:$A$32,배송비규정!$B$3:$B$32),0)+IFERROR(INDEX(지역추가비!$B$3:$B$42,MATCH($J911,지역추가비!$A$3:$A$42,0)),0)))</f>
        <v/>
      </c>
      <c r="M911" s="13" t="str">
        <f aca="false">IF($B911="","",IF(COUNTIFS($B$3:$B911,$B911)&gt;1,"",$K911+$L911))</f>
        <v/>
      </c>
      <c r="N911" s="14" t="str">
        <f aca="false">IF($B911="","",COUNTIFS($B$3:$B911,$B911))</f>
        <v/>
      </c>
      <c r="O911" s="14" t="str">
        <f aca="false">IF($B911="","",$B911&amp;"|"&amp;$N911)</f>
        <v/>
      </c>
    </row>
    <row r="912" customFormat="false" ht="15" hidden="false" customHeight="false" outlineLevel="0" collapsed="false">
      <c r="A912" s="12"/>
      <c r="B912" s="9"/>
      <c r="C912" s="9"/>
      <c r="D912" s="9"/>
      <c r="E912" s="9"/>
      <c r="F912" s="9"/>
      <c r="G912" s="9"/>
      <c r="H912" s="7"/>
      <c r="I912" s="13" t="str">
        <f aca="false">IF(OR($G912="",$H912=""),"",ROUND($G912*$H912,0))</f>
        <v/>
      </c>
      <c r="J912" s="8"/>
      <c r="K912" s="13" t="str">
        <f aca="false">IF($B912="","",SUMIFS($I$3:$I$2002,$B$3:$B$2002,$B912))</f>
        <v/>
      </c>
      <c r="L912" s="13" t="str">
        <f aca="false">IF($B912="","",IF(COUNTIFS($B$3:$B912,$B912)&gt;1,0,IFERROR(LOOKUP($K912,배송비규정!$A$3:$A$32,배송비규정!$B$3:$B$32),0)+IFERROR(INDEX(지역추가비!$B$3:$B$42,MATCH($J912,지역추가비!$A$3:$A$42,0)),0)))</f>
        <v/>
      </c>
      <c r="M912" s="13" t="str">
        <f aca="false">IF($B912="","",IF(COUNTIFS($B$3:$B912,$B912)&gt;1,"",$K912+$L912))</f>
        <v/>
      </c>
      <c r="N912" s="14" t="str">
        <f aca="false">IF($B912="","",COUNTIFS($B$3:$B912,$B912))</f>
        <v/>
      </c>
      <c r="O912" s="14" t="str">
        <f aca="false">IF($B912="","",$B912&amp;"|"&amp;$N912)</f>
        <v/>
      </c>
    </row>
    <row r="913" customFormat="false" ht="15" hidden="false" customHeight="false" outlineLevel="0" collapsed="false">
      <c r="A913" s="12"/>
      <c r="B913" s="9"/>
      <c r="C913" s="9"/>
      <c r="D913" s="9"/>
      <c r="E913" s="9"/>
      <c r="F913" s="9"/>
      <c r="G913" s="9"/>
      <c r="H913" s="7"/>
      <c r="I913" s="13" t="str">
        <f aca="false">IF(OR($G913="",$H913=""),"",ROUND($G913*$H913,0))</f>
        <v/>
      </c>
      <c r="J913" s="8"/>
      <c r="K913" s="13" t="str">
        <f aca="false">IF($B913="","",SUMIFS($I$3:$I$2002,$B$3:$B$2002,$B913))</f>
        <v/>
      </c>
      <c r="L913" s="13" t="str">
        <f aca="false">IF($B913="","",IF(COUNTIFS($B$3:$B913,$B913)&gt;1,0,IFERROR(LOOKUP($K913,배송비규정!$A$3:$A$32,배송비규정!$B$3:$B$32),0)+IFERROR(INDEX(지역추가비!$B$3:$B$42,MATCH($J913,지역추가비!$A$3:$A$42,0)),0)))</f>
        <v/>
      </c>
      <c r="M913" s="13" t="str">
        <f aca="false">IF($B913="","",IF(COUNTIFS($B$3:$B913,$B913)&gt;1,"",$K913+$L913))</f>
        <v/>
      </c>
      <c r="N913" s="14" t="str">
        <f aca="false">IF($B913="","",COUNTIFS($B$3:$B913,$B913))</f>
        <v/>
      </c>
      <c r="O913" s="14" t="str">
        <f aca="false">IF($B913="","",$B913&amp;"|"&amp;$N913)</f>
        <v/>
      </c>
    </row>
    <row r="914" customFormat="false" ht="15" hidden="false" customHeight="false" outlineLevel="0" collapsed="false">
      <c r="A914" s="12"/>
      <c r="B914" s="9"/>
      <c r="C914" s="9"/>
      <c r="D914" s="9"/>
      <c r="E914" s="9"/>
      <c r="F914" s="9"/>
      <c r="G914" s="9"/>
      <c r="H914" s="7"/>
      <c r="I914" s="13" t="str">
        <f aca="false">IF(OR($G914="",$H914=""),"",ROUND($G914*$H914,0))</f>
        <v/>
      </c>
      <c r="J914" s="8"/>
      <c r="K914" s="13" t="str">
        <f aca="false">IF($B914="","",SUMIFS($I$3:$I$2002,$B$3:$B$2002,$B914))</f>
        <v/>
      </c>
      <c r="L914" s="13" t="str">
        <f aca="false">IF($B914="","",IF(COUNTIFS($B$3:$B914,$B914)&gt;1,0,IFERROR(LOOKUP($K914,배송비규정!$A$3:$A$32,배송비규정!$B$3:$B$32),0)+IFERROR(INDEX(지역추가비!$B$3:$B$42,MATCH($J914,지역추가비!$A$3:$A$42,0)),0)))</f>
        <v/>
      </c>
      <c r="M914" s="13" t="str">
        <f aca="false">IF($B914="","",IF(COUNTIFS($B$3:$B914,$B914)&gt;1,"",$K914+$L914))</f>
        <v/>
      </c>
      <c r="N914" s="14" t="str">
        <f aca="false">IF($B914="","",COUNTIFS($B$3:$B914,$B914))</f>
        <v/>
      </c>
      <c r="O914" s="14" t="str">
        <f aca="false">IF($B914="","",$B914&amp;"|"&amp;$N914)</f>
        <v/>
      </c>
    </row>
    <row r="915" customFormat="false" ht="15" hidden="false" customHeight="false" outlineLevel="0" collapsed="false">
      <c r="A915" s="12"/>
      <c r="B915" s="9"/>
      <c r="C915" s="9"/>
      <c r="D915" s="9"/>
      <c r="E915" s="9"/>
      <c r="F915" s="9"/>
      <c r="G915" s="9"/>
      <c r="H915" s="7"/>
      <c r="I915" s="13" t="str">
        <f aca="false">IF(OR($G915="",$H915=""),"",ROUND($G915*$H915,0))</f>
        <v/>
      </c>
      <c r="J915" s="8"/>
      <c r="K915" s="13" t="str">
        <f aca="false">IF($B915="","",SUMIFS($I$3:$I$2002,$B$3:$B$2002,$B915))</f>
        <v/>
      </c>
      <c r="L915" s="13" t="str">
        <f aca="false">IF($B915="","",IF(COUNTIFS($B$3:$B915,$B915)&gt;1,0,IFERROR(LOOKUP($K915,배송비규정!$A$3:$A$32,배송비규정!$B$3:$B$32),0)+IFERROR(INDEX(지역추가비!$B$3:$B$42,MATCH($J915,지역추가비!$A$3:$A$42,0)),0)))</f>
        <v/>
      </c>
      <c r="M915" s="13" t="str">
        <f aca="false">IF($B915="","",IF(COUNTIFS($B$3:$B915,$B915)&gt;1,"",$K915+$L915))</f>
        <v/>
      </c>
      <c r="N915" s="14" t="str">
        <f aca="false">IF($B915="","",COUNTIFS($B$3:$B915,$B915))</f>
        <v/>
      </c>
      <c r="O915" s="14" t="str">
        <f aca="false">IF($B915="","",$B915&amp;"|"&amp;$N915)</f>
        <v/>
      </c>
    </row>
    <row r="916" customFormat="false" ht="15" hidden="false" customHeight="false" outlineLevel="0" collapsed="false">
      <c r="A916" s="12"/>
      <c r="B916" s="9"/>
      <c r="C916" s="9"/>
      <c r="D916" s="9"/>
      <c r="E916" s="9"/>
      <c r="F916" s="9"/>
      <c r="G916" s="9"/>
      <c r="H916" s="7"/>
      <c r="I916" s="13" t="str">
        <f aca="false">IF(OR($G916="",$H916=""),"",ROUND($G916*$H916,0))</f>
        <v/>
      </c>
      <c r="J916" s="8"/>
      <c r="K916" s="13" t="str">
        <f aca="false">IF($B916="","",SUMIFS($I$3:$I$2002,$B$3:$B$2002,$B916))</f>
        <v/>
      </c>
      <c r="L916" s="13" t="str">
        <f aca="false">IF($B916="","",IF(COUNTIFS($B$3:$B916,$B916)&gt;1,0,IFERROR(LOOKUP($K916,배송비규정!$A$3:$A$32,배송비규정!$B$3:$B$32),0)+IFERROR(INDEX(지역추가비!$B$3:$B$42,MATCH($J916,지역추가비!$A$3:$A$42,0)),0)))</f>
        <v/>
      </c>
      <c r="M916" s="13" t="str">
        <f aca="false">IF($B916="","",IF(COUNTIFS($B$3:$B916,$B916)&gt;1,"",$K916+$L916))</f>
        <v/>
      </c>
      <c r="N916" s="14" t="str">
        <f aca="false">IF($B916="","",COUNTIFS($B$3:$B916,$B916))</f>
        <v/>
      </c>
      <c r="O916" s="14" t="str">
        <f aca="false">IF($B916="","",$B916&amp;"|"&amp;$N916)</f>
        <v/>
      </c>
    </row>
    <row r="917" customFormat="false" ht="15" hidden="false" customHeight="false" outlineLevel="0" collapsed="false">
      <c r="A917" s="12"/>
      <c r="B917" s="9"/>
      <c r="C917" s="9"/>
      <c r="D917" s="9"/>
      <c r="E917" s="9"/>
      <c r="F917" s="9"/>
      <c r="G917" s="9"/>
      <c r="H917" s="7"/>
      <c r="I917" s="13" t="str">
        <f aca="false">IF(OR($G917="",$H917=""),"",ROUND($G917*$H917,0))</f>
        <v/>
      </c>
      <c r="J917" s="8"/>
      <c r="K917" s="13" t="str">
        <f aca="false">IF($B917="","",SUMIFS($I$3:$I$2002,$B$3:$B$2002,$B917))</f>
        <v/>
      </c>
      <c r="L917" s="13" t="str">
        <f aca="false">IF($B917="","",IF(COUNTIFS($B$3:$B917,$B917)&gt;1,0,IFERROR(LOOKUP($K917,배송비규정!$A$3:$A$32,배송비규정!$B$3:$B$32),0)+IFERROR(INDEX(지역추가비!$B$3:$B$42,MATCH($J917,지역추가비!$A$3:$A$42,0)),0)))</f>
        <v/>
      </c>
      <c r="M917" s="13" t="str">
        <f aca="false">IF($B917="","",IF(COUNTIFS($B$3:$B917,$B917)&gt;1,"",$K917+$L917))</f>
        <v/>
      </c>
      <c r="N917" s="14" t="str">
        <f aca="false">IF($B917="","",COUNTIFS($B$3:$B917,$B917))</f>
        <v/>
      </c>
      <c r="O917" s="14" t="str">
        <f aca="false">IF($B917="","",$B917&amp;"|"&amp;$N917)</f>
        <v/>
      </c>
    </row>
    <row r="918" customFormat="false" ht="15" hidden="false" customHeight="false" outlineLevel="0" collapsed="false">
      <c r="A918" s="12"/>
      <c r="B918" s="9"/>
      <c r="C918" s="9"/>
      <c r="D918" s="9"/>
      <c r="E918" s="9"/>
      <c r="F918" s="9"/>
      <c r="G918" s="9"/>
      <c r="H918" s="7"/>
      <c r="I918" s="13" t="str">
        <f aca="false">IF(OR($G918="",$H918=""),"",ROUND($G918*$H918,0))</f>
        <v/>
      </c>
      <c r="J918" s="8"/>
      <c r="K918" s="13" t="str">
        <f aca="false">IF($B918="","",SUMIFS($I$3:$I$2002,$B$3:$B$2002,$B918))</f>
        <v/>
      </c>
      <c r="L918" s="13" t="str">
        <f aca="false">IF($B918="","",IF(COUNTIFS($B$3:$B918,$B918)&gt;1,0,IFERROR(LOOKUP($K918,배송비규정!$A$3:$A$32,배송비규정!$B$3:$B$32),0)+IFERROR(INDEX(지역추가비!$B$3:$B$42,MATCH($J918,지역추가비!$A$3:$A$42,0)),0)))</f>
        <v/>
      </c>
      <c r="M918" s="13" t="str">
        <f aca="false">IF($B918="","",IF(COUNTIFS($B$3:$B918,$B918)&gt;1,"",$K918+$L918))</f>
        <v/>
      </c>
      <c r="N918" s="14" t="str">
        <f aca="false">IF($B918="","",COUNTIFS($B$3:$B918,$B918))</f>
        <v/>
      </c>
      <c r="O918" s="14" t="str">
        <f aca="false">IF($B918="","",$B918&amp;"|"&amp;$N918)</f>
        <v/>
      </c>
    </row>
    <row r="919" customFormat="false" ht="15" hidden="false" customHeight="false" outlineLevel="0" collapsed="false">
      <c r="A919" s="12"/>
      <c r="B919" s="9"/>
      <c r="C919" s="9"/>
      <c r="D919" s="9"/>
      <c r="E919" s="9"/>
      <c r="F919" s="9"/>
      <c r="G919" s="9"/>
      <c r="H919" s="7"/>
      <c r="I919" s="13" t="str">
        <f aca="false">IF(OR($G919="",$H919=""),"",ROUND($G919*$H919,0))</f>
        <v/>
      </c>
      <c r="J919" s="8"/>
      <c r="K919" s="13" t="str">
        <f aca="false">IF($B919="","",SUMIFS($I$3:$I$2002,$B$3:$B$2002,$B919))</f>
        <v/>
      </c>
      <c r="L919" s="13" t="str">
        <f aca="false">IF($B919="","",IF(COUNTIFS($B$3:$B919,$B919)&gt;1,0,IFERROR(LOOKUP($K919,배송비규정!$A$3:$A$32,배송비규정!$B$3:$B$32),0)+IFERROR(INDEX(지역추가비!$B$3:$B$42,MATCH($J919,지역추가비!$A$3:$A$42,0)),0)))</f>
        <v/>
      </c>
      <c r="M919" s="13" t="str">
        <f aca="false">IF($B919="","",IF(COUNTIFS($B$3:$B919,$B919)&gt;1,"",$K919+$L919))</f>
        <v/>
      </c>
      <c r="N919" s="14" t="str">
        <f aca="false">IF($B919="","",COUNTIFS($B$3:$B919,$B919))</f>
        <v/>
      </c>
      <c r="O919" s="14" t="str">
        <f aca="false">IF($B919="","",$B919&amp;"|"&amp;$N919)</f>
        <v/>
      </c>
    </row>
    <row r="920" customFormat="false" ht="15" hidden="false" customHeight="false" outlineLevel="0" collapsed="false">
      <c r="A920" s="12"/>
      <c r="B920" s="9"/>
      <c r="C920" s="9"/>
      <c r="D920" s="9"/>
      <c r="E920" s="9"/>
      <c r="F920" s="9"/>
      <c r="G920" s="9"/>
      <c r="H920" s="7"/>
      <c r="I920" s="13" t="str">
        <f aca="false">IF(OR($G920="",$H920=""),"",ROUND($G920*$H920,0))</f>
        <v/>
      </c>
      <c r="J920" s="8"/>
      <c r="K920" s="13" t="str">
        <f aca="false">IF($B920="","",SUMIFS($I$3:$I$2002,$B$3:$B$2002,$B920))</f>
        <v/>
      </c>
      <c r="L920" s="13" t="str">
        <f aca="false">IF($B920="","",IF(COUNTIFS($B$3:$B920,$B920)&gt;1,0,IFERROR(LOOKUP($K920,배송비규정!$A$3:$A$32,배송비규정!$B$3:$B$32),0)+IFERROR(INDEX(지역추가비!$B$3:$B$42,MATCH($J920,지역추가비!$A$3:$A$42,0)),0)))</f>
        <v/>
      </c>
      <c r="M920" s="13" t="str">
        <f aca="false">IF($B920="","",IF(COUNTIFS($B$3:$B920,$B920)&gt;1,"",$K920+$L920))</f>
        <v/>
      </c>
      <c r="N920" s="14" t="str">
        <f aca="false">IF($B920="","",COUNTIFS($B$3:$B920,$B920))</f>
        <v/>
      </c>
      <c r="O920" s="14" t="str">
        <f aca="false">IF($B920="","",$B920&amp;"|"&amp;$N920)</f>
        <v/>
      </c>
    </row>
    <row r="921" customFormat="false" ht="15" hidden="false" customHeight="false" outlineLevel="0" collapsed="false">
      <c r="A921" s="12"/>
      <c r="B921" s="9"/>
      <c r="C921" s="9"/>
      <c r="D921" s="9"/>
      <c r="E921" s="9"/>
      <c r="F921" s="9"/>
      <c r="G921" s="9"/>
      <c r="H921" s="7"/>
      <c r="I921" s="13" t="str">
        <f aca="false">IF(OR($G921="",$H921=""),"",ROUND($G921*$H921,0))</f>
        <v/>
      </c>
      <c r="J921" s="8"/>
      <c r="K921" s="13" t="str">
        <f aca="false">IF($B921="","",SUMIFS($I$3:$I$2002,$B$3:$B$2002,$B921))</f>
        <v/>
      </c>
      <c r="L921" s="13" t="str">
        <f aca="false">IF($B921="","",IF(COUNTIFS($B$3:$B921,$B921)&gt;1,0,IFERROR(LOOKUP($K921,배송비규정!$A$3:$A$32,배송비규정!$B$3:$B$32),0)+IFERROR(INDEX(지역추가비!$B$3:$B$42,MATCH($J921,지역추가비!$A$3:$A$42,0)),0)))</f>
        <v/>
      </c>
      <c r="M921" s="13" t="str">
        <f aca="false">IF($B921="","",IF(COUNTIFS($B$3:$B921,$B921)&gt;1,"",$K921+$L921))</f>
        <v/>
      </c>
      <c r="N921" s="14" t="str">
        <f aca="false">IF($B921="","",COUNTIFS($B$3:$B921,$B921))</f>
        <v/>
      </c>
      <c r="O921" s="14" t="str">
        <f aca="false">IF($B921="","",$B921&amp;"|"&amp;$N921)</f>
        <v/>
      </c>
    </row>
    <row r="922" customFormat="false" ht="15" hidden="false" customHeight="false" outlineLevel="0" collapsed="false">
      <c r="A922" s="12"/>
      <c r="B922" s="9"/>
      <c r="C922" s="9"/>
      <c r="D922" s="9"/>
      <c r="E922" s="9"/>
      <c r="F922" s="9"/>
      <c r="G922" s="9"/>
      <c r="H922" s="7"/>
      <c r="I922" s="13" t="str">
        <f aca="false">IF(OR($G922="",$H922=""),"",ROUND($G922*$H922,0))</f>
        <v/>
      </c>
      <c r="J922" s="8"/>
      <c r="K922" s="13" t="str">
        <f aca="false">IF($B922="","",SUMIFS($I$3:$I$2002,$B$3:$B$2002,$B922))</f>
        <v/>
      </c>
      <c r="L922" s="13" t="str">
        <f aca="false">IF($B922="","",IF(COUNTIFS($B$3:$B922,$B922)&gt;1,0,IFERROR(LOOKUP($K922,배송비규정!$A$3:$A$32,배송비규정!$B$3:$B$32),0)+IFERROR(INDEX(지역추가비!$B$3:$B$42,MATCH($J922,지역추가비!$A$3:$A$42,0)),0)))</f>
        <v/>
      </c>
      <c r="M922" s="13" t="str">
        <f aca="false">IF($B922="","",IF(COUNTIFS($B$3:$B922,$B922)&gt;1,"",$K922+$L922))</f>
        <v/>
      </c>
      <c r="N922" s="14" t="str">
        <f aca="false">IF($B922="","",COUNTIFS($B$3:$B922,$B922))</f>
        <v/>
      </c>
      <c r="O922" s="14" t="str">
        <f aca="false">IF($B922="","",$B922&amp;"|"&amp;$N922)</f>
        <v/>
      </c>
    </row>
    <row r="923" customFormat="false" ht="15" hidden="false" customHeight="false" outlineLevel="0" collapsed="false">
      <c r="A923" s="12"/>
      <c r="B923" s="9"/>
      <c r="C923" s="9"/>
      <c r="D923" s="9"/>
      <c r="E923" s="9"/>
      <c r="F923" s="9"/>
      <c r="G923" s="9"/>
      <c r="H923" s="7"/>
      <c r="I923" s="13" t="str">
        <f aca="false">IF(OR($G923="",$H923=""),"",ROUND($G923*$H923,0))</f>
        <v/>
      </c>
      <c r="J923" s="8"/>
      <c r="K923" s="13" t="str">
        <f aca="false">IF($B923="","",SUMIFS($I$3:$I$2002,$B$3:$B$2002,$B923))</f>
        <v/>
      </c>
      <c r="L923" s="13" t="str">
        <f aca="false">IF($B923="","",IF(COUNTIFS($B$3:$B923,$B923)&gt;1,0,IFERROR(LOOKUP($K923,배송비규정!$A$3:$A$32,배송비규정!$B$3:$B$32),0)+IFERROR(INDEX(지역추가비!$B$3:$B$42,MATCH($J923,지역추가비!$A$3:$A$42,0)),0)))</f>
        <v/>
      </c>
      <c r="M923" s="13" t="str">
        <f aca="false">IF($B923="","",IF(COUNTIFS($B$3:$B923,$B923)&gt;1,"",$K923+$L923))</f>
        <v/>
      </c>
      <c r="N923" s="14" t="str">
        <f aca="false">IF($B923="","",COUNTIFS($B$3:$B923,$B923))</f>
        <v/>
      </c>
      <c r="O923" s="14" t="str">
        <f aca="false">IF($B923="","",$B923&amp;"|"&amp;$N923)</f>
        <v/>
      </c>
    </row>
    <row r="924" customFormat="false" ht="15" hidden="false" customHeight="false" outlineLevel="0" collapsed="false">
      <c r="A924" s="12"/>
      <c r="B924" s="9"/>
      <c r="C924" s="9"/>
      <c r="D924" s="9"/>
      <c r="E924" s="9"/>
      <c r="F924" s="9"/>
      <c r="G924" s="9"/>
      <c r="H924" s="7"/>
      <c r="I924" s="13" t="str">
        <f aca="false">IF(OR($G924="",$H924=""),"",ROUND($G924*$H924,0))</f>
        <v/>
      </c>
      <c r="J924" s="8"/>
      <c r="K924" s="13" t="str">
        <f aca="false">IF($B924="","",SUMIFS($I$3:$I$2002,$B$3:$B$2002,$B924))</f>
        <v/>
      </c>
      <c r="L924" s="13" t="str">
        <f aca="false">IF($B924="","",IF(COUNTIFS($B$3:$B924,$B924)&gt;1,0,IFERROR(LOOKUP($K924,배송비규정!$A$3:$A$32,배송비규정!$B$3:$B$32),0)+IFERROR(INDEX(지역추가비!$B$3:$B$42,MATCH($J924,지역추가비!$A$3:$A$42,0)),0)))</f>
        <v/>
      </c>
      <c r="M924" s="13" t="str">
        <f aca="false">IF($B924="","",IF(COUNTIFS($B$3:$B924,$B924)&gt;1,"",$K924+$L924))</f>
        <v/>
      </c>
      <c r="N924" s="14" t="str">
        <f aca="false">IF($B924="","",COUNTIFS($B$3:$B924,$B924))</f>
        <v/>
      </c>
      <c r="O924" s="14" t="str">
        <f aca="false">IF($B924="","",$B924&amp;"|"&amp;$N924)</f>
        <v/>
      </c>
    </row>
    <row r="925" customFormat="false" ht="15" hidden="false" customHeight="false" outlineLevel="0" collapsed="false">
      <c r="A925" s="12"/>
      <c r="B925" s="9"/>
      <c r="C925" s="9"/>
      <c r="D925" s="9"/>
      <c r="E925" s="9"/>
      <c r="F925" s="9"/>
      <c r="G925" s="9"/>
      <c r="H925" s="7"/>
      <c r="I925" s="13" t="str">
        <f aca="false">IF(OR($G925="",$H925=""),"",ROUND($G925*$H925,0))</f>
        <v/>
      </c>
      <c r="J925" s="8"/>
      <c r="K925" s="13" t="str">
        <f aca="false">IF($B925="","",SUMIFS($I$3:$I$2002,$B$3:$B$2002,$B925))</f>
        <v/>
      </c>
      <c r="L925" s="13" t="str">
        <f aca="false">IF($B925="","",IF(COUNTIFS($B$3:$B925,$B925)&gt;1,0,IFERROR(LOOKUP($K925,배송비규정!$A$3:$A$32,배송비규정!$B$3:$B$32),0)+IFERROR(INDEX(지역추가비!$B$3:$B$42,MATCH($J925,지역추가비!$A$3:$A$42,0)),0)))</f>
        <v/>
      </c>
      <c r="M925" s="13" t="str">
        <f aca="false">IF($B925="","",IF(COUNTIFS($B$3:$B925,$B925)&gt;1,"",$K925+$L925))</f>
        <v/>
      </c>
      <c r="N925" s="14" t="str">
        <f aca="false">IF($B925="","",COUNTIFS($B$3:$B925,$B925))</f>
        <v/>
      </c>
      <c r="O925" s="14" t="str">
        <f aca="false">IF($B925="","",$B925&amp;"|"&amp;$N925)</f>
        <v/>
      </c>
    </row>
    <row r="926" customFormat="false" ht="15" hidden="false" customHeight="false" outlineLevel="0" collapsed="false">
      <c r="A926" s="12"/>
      <c r="B926" s="9"/>
      <c r="C926" s="9"/>
      <c r="D926" s="9"/>
      <c r="E926" s="9"/>
      <c r="F926" s="9"/>
      <c r="G926" s="9"/>
      <c r="H926" s="7"/>
      <c r="I926" s="13" t="str">
        <f aca="false">IF(OR($G926="",$H926=""),"",ROUND($G926*$H926,0))</f>
        <v/>
      </c>
      <c r="J926" s="8"/>
      <c r="K926" s="13" t="str">
        <f aca="false">IF($B926="","",SUMIFS($I$3:$I$2002,$B$3:$B$2002,$B926))</f>
        <v/>
      </c>
      <c r="L926" s="13" t="str">
        <f aca="false">IF($B926="","",IF(COUNTIFS($B$3:$B926,$B926)&gt;1,0,IFERROR(LOOKUP($K926,배송비규정!$A$3:$A$32,배송비규정!$B$3:$B$32),0)+IFERROR(INDEX(지역추가비!$B$3:$B$42,MATCH($J926,지역추가비!$A$3:$A$42,0)),0)))</f>
        <v/>
      </c>
      <c r="M926" s="13" t="str">
        <f aca="false">IF($B926="","",IF(COUNTIFS($B$3:$B926,$B926)&gt;1,"",$K926+$L926))</f>
        <v/>
      </c>
      <c r="N926" s="14" t="str">
        <f aca="false">IF($B926="","",COUNTIFS($B$3:$B926,$B926))</f>
        <v/>
      </c>
      <c r="O926" s="14" t="str">
        <f aca="false">IF($B926="","",$B926&amp;"|"&amp;$N926)</f>
        <v/>
      </c>
    </row>
    <row r="927" customFormat="false" ht="15" hidden="false" customHeight="false" outlineLevel="0" collapsed="false">
      <c r="A927" s="12"/>
      <c r="B927" s="9"/>
      <c r="C927" s="9"/>
      <c r="D927" s="9"/>
      <c r="E927" s="9"/>
      <c r="F927" s="9"/>
      <c r="G927" s="9"/>
      <c r="H927" s="7"/>
      <c r="I927" s="13" t="str">
        <f aca="false">IF(OR($G927="",$H927=""),"",ROUND($G927*$H927,0))</f>
        <v/>
      </c>
      <c r="J927" s="8"/>
      <c r="K927" s="13" t="str">
        <f aca="false">IF($B927="","",SUMIFS($I$3:$I$2002,$B$3:$B$2002,$B927))</f>
        <v/>
      </c>
      <c r="L927" s="13" t="str">
        <f aca="false">IF($B927="","",IF(COUNTIFS($B$3:$B927,$B927)&gt;1,0,IFERROR(LOOKUP($K927,배송비규정!$A$3:$A$32,배송비규정!$B$3:$B$32),0)+IFERROR(INDEX(지역추가비!$B$3:$B$42,MATCH($J927,지역추가비!$A$3:$A$42,0)),0)))</f>
        <v/>
      </c>
      <c r="M927" s="13" t="str">
        <f aca="false">IF($B927="","",IF(COUNTIFS($B$3:$B927,$B927)&gt;1,"",$K927+$L927))</f>
        <v/>
      </c>
      <c r="N927" s="14" t="str">
        <f aca="false">IF($B927="","",COUNTIFS($B$3:$B927,$B927))</f>
        <v/>
      </c>
      <c r="O927" s="14" t="str">
        <f aca="false">IF($B927="","",$B927&amp;"|"&amp;$N927)</f>
        <v/>
      </c>
    </row>
    <row r="928" customFormat="false" ht="15" hidden="false" customHeight="false" outlineLevel="0" collapsed="false">
      <c r="A928" s="12"/>
      <c r="B928" s="9"/>
      <c r="C928" s="9"/>
      <c r="D928" s="9"/>
      <c r="E928" s="9"/>
      <c r="F928" s="9"/>
      <c r="G928" s="9"/>
      <c r="H928" s="7"/>
      <c r="I928" s="13" t="str">
        <f aca="false">IF(OR($G928="",$H928=""),"",ROUND($G928*$H928,0))</f>
        <v/>
      </c>
      <c r="J928" s="8"/>
      <c r="K928" s="13" t="str">
        <f aca="false">IF($B928="","",SUMIFS($I$3:$I$2002,$B$3:$B$2002,$B928))</f>
        <v/>
      </c>
      <c r="L928" s="13" t="str">
        <f aca="false">IF($B928="","",IF(COUNTIFS($B$3:$B928,$B928)&gt;1,0,IFERROR(LOOKUP($K928,배송비규정!$A$3:$A$32,배송비규정!$B$3:$B$32),0)+IFERROR(INDEX(지역추가비!$B$3:$B$42,MATCH($J928,지역추가비!$A$3:$A$42,0)),0)))</f>
        <v/>
      </c>
      <c r="M928" s="13" t="str">
        <f aca="false">IF($B928="","",IF(COUNTIFS($B$3:$B928,$B928)&gt;1,"",$K928+$L928))</f>
        <v/>
      </c>
      <c r="N928" s="14" t="str">
        <f aca="false">IF($B928="","",COUNTIFS($B$3:$B928,$B928))</f>
        <v/>
      </c>
      <c r="O928" s="14" t="str">
        <f aca="false">IF($B928="","",$B928&amp;"|"&amp;$N928)</f>
        <v/>
      </c>
    </row>
    <row r="929" customFormat="false" ht="15" hidden="false" customHeight="false" outlineLevel="0" collapsed="false">
      <c r="A929" s="12"/>
      <c r="B929" s="9"/>
      <c r="C929" s="9"/>
      <c r="D929" s="9"/>
      <c r="E929" s="9"/>
      <c r="F929" s="9"/>
      <c r="G929" s="9"/>
      <c r="H929" s="7"/>
      <c r="I929" s="13" t="str">
        <f aca="false">IF(OR($G929="",$H929=""),"",ROUND($G929*$H929,0))</f>
        <v/>
      </c>
      <c r="J929" s="8"/>
      <c r="K929" s="13" t="str">
        <f aca="false">IF($B929="","",SUMIFS($I$3:$I$2002,$B$3:$B$2002,$B929))</f>
        <v/>
      </c>
      <c r="L929" s="13" t="str">
        <f aca="false">IF($B929="","",IF(COUNTIFS($B$3:$B929,$B929)&gt;1,0,IFERROR(LOOKUP($K929,배송비규정!$A$3:$A$32,배송비규정!$B$3:$B$32),0)+IFERROR(INDEX(지역추가비!$B$3:$B$42,MATCH($J929,지역추가비!$A$3:$A$42,0)),0)))</f>
        <v/>
      </c>
      <c r="M929" s="13" t="str">
        <f aca="false">IF($B929="","",IF(COUNTIFS($B$3:$B929,$B929)&gt;1,"",$K929+$L929))</f>
        <v/>
      </c>
      <c r="N929" s="14" t="str">
        <f aca="false">IF($B929="","",COUNTIFS($B$3:$B929,$B929))</f>
        <v/>
      </c>
      <c r="O929" s="14" t="str">
        <f aca="false">IF($B929="","",$B929&amp;"|"&amp;$N929)</f>
        <v/>
      </c>
    </row>
    <row r="930" customFormat="false" ht="15" hidden="false" customHeight="false" outlineLevel="0" collapsed="false">
      <c r="A930" s="12"/>
      <c r="B930" s="9"/>
      <c r="C930" s="9"/>
      <c r="D930" s="9"/>
      <c r="E930" s="9"/>
      <c r="F930" s="9"/>
      <c r="G930" s="9"/>
      <c r="H930" s="7"/>
      <c r="I930" s="13" t="str">
        <f aca="false">IF(OR($G930="",$H930=""),"",ROUND($G930*$H930,0))</f>
        <v/>
      </c>
      <c r="J930" s="8"/>
      <c r="K930" s="13" t="str">
        <f aca="false">IF($B930="","",SUMIFS($I$3:$I$2002,$B$3:$B$2002,$B930))</f>
        <v/>
      </c>
      <c r="L930" s="13" t="str">
        <f aca="false">IF($B930="","",IF(COUNTIFS($B$3:$B930,$B930)&gt;1,0,IFERROR(LOOKUP($K930,배송비규정!$A$3:$A$32,배송비규정!$B$3:$B$32),0)+IFERROR(INDEX(지역추가비!$B$3:$B$42,MATCH($J930,지역추가비!$A$3:$A$42,0)),0)))</f>
        <v/>
      </c>
      <c r="M930" s="13" t="str">
        <f aca="false">IF($B930="","",IF(COUNTIFS($B$3:$B930,$B930)&gt;1,"",$K930+$L930))</f>
        <v/>
      </c>
      <c r="N930" s="14" t="str">
        <f aca="false">IF($B930="","",COUNTIFS($B$3:$B930,$B930))</f>
        <v/>
      </c>
      <c r="O930" s="14" t="str">
        <f aca="false">IF($B930="","",$B930&amp;"|"&amp;$N930)</f>
        <v/>
      </c>
    </row>
    <row r="931" customFormat="false" ht="15" hidden="false" customHeight="false" outlineLevel="0" collapsed="false">
      <c r="A931" s="12"/>
      <c r="B931" s="9"/>
      <c r="C931" s="9"/>
      <c r="D931" s="9"/>
      <c r="E931" s="9"/>
      <c r="F931" s="9"/>
      <c r="G931" s="9"/>
      <c r="H931" s="7"/>
      <c r="I931" s="13" t="str">
        <f aca="false">IF(OR($G931="",$H931=""),"",ROUND($G931*$H931,0))</f>
        <v/>
      </c>
      <c r="J931" s="8"/>
      <c r="K931" s="13" t="str">
        <f aca="false">IF($B931="","",SUMIFS($I$3:$I$2002,$B$3:$B$2002,$B931))</f>
        <v/>
      </c>
      <c r="L931" s="13" t="str">
        <f aca="false">IF($B931="","",IF(COUNTIFS($B$3:$B931,$B931)&gt;1,0,IFERROR(LOOKUP($K931,배송비규정!$A$3:$A$32,배송비규정!$B$3:$B$32),0)+IFERROR(INDEX(지역추가비!$B$3:$B$42,MATCH($J931,지역추가비!$A$3:$A$42,0)),0)))</f>
        <v/>
      </c>
      <c r="M931" s="13" t="str">
        <f aca="false">IF($B931="","",IF(COUNTIFS($B$3:$B931,$B931)&gt;1,"",$K931+$L931))</f>
        <v/>
      </c>
      <c r="N931" s="14" t="str">
        <f aca="false">IF($B931="","",COUNTIFS($B$3:$B931,$B931))</f>
        <v/>
      </c>
      <c r="O931" s="14" t="str">
        <f aca="false">IF($B931="","",$B931&amp;"|"&amp;$N931)</f>
        <v/>
      </c>
    </row>
    <row r="932" customFormat="false" ht="15" hidden="false" customHeight="false" outlineLevel="0" collapsed="false">
      <c r="A932" s="12"/>
      <c r="B932" s="9"/>
      <c r="C932" s="9"/>
      <c r="D932" s="9"/>
      <c r="E932" s="9"/>
      <c r="F932" s="9"/>
      <c r="G932" s="9"/>
      <c r="H932" s="7"/>
      <c r="I932" s="13" t="str">
        <f aca="false">IF(OR($G932="",$H932=""),"",ROUND($G932*$H932,0))</f>
        <v/>
      </c>
      <c r="J932" s="8"/>
      <c r="K932" s="13" t="str">
        <f aca="false">IF($B932="","",SUMIFS($I$3:$I$2002,$B$3:$B$2002,$B932))</f>
        <v/>
      </c>
      <c r="L932" s="13" t="str">
        <f aca="false">IF($B932="","",IF(COUNTIFS($B$3:$B932,$B932)&gt;1,0,IFERROR(LOOKUP($K932,배송비규정!$A$3:$A$32,배송비규정!$B$3:$B$32),0)+IFERROR(INDEX(지역추가비!$B$3:$B$42,MATCH($J932,지역추가비!$A$3:$A$42,0)),0)))</f>
        <v/>
      </c>
      <c r="M932" s="13" t="str">
        <f aca="false">IF($B932="","",IF(COUNTIFS($B$3:$B932,$B932)&gt;1,"",$K932+$L932))</f>
        <v/>
      </c>
      <c r="N932" s="14" t="str">
        <f aca="false">IF($B932="","",COUNTIFS($B$3:$B932,$B932))</f>
        <v/>
      </c>
      <c r="O932" s="14" t="str">
        <f aca="false">IF($B932="","",$B932&amp;"|"&amp;$N932)</f>
        <v/>
      </c>
    </row>
    <row r="933" customFormat="false" ht="15" hidden="false" customHeight="false" outlineLevel="0" collapsed="false">
      <c r="A933" s="12"/>
      <c r="B933" s="9"/>
      <c r="C933" s="9"/>
      <c r="D933" s="9"/>
      <c r="E933" s="9"/>
      <c r="F933" s="9"/>
      <c r="G933" s="9"/>
      <c r="H933" s="7"/>
      <c r="I933" s="13" t="str">
        <f aca="false">IF(OR($G933="",$H933=""),"",ROUND($G933*$H933,0))</f>
        <v/>
      </c>
      <c r="J933" s="8"/>
      <c r="K933" s="13" t="str">
        <f aca="false">IF($B933="","",SUMIFS($I$3:$I$2002,$B$3:$B$2002,$B933))</f>
        <v/>
      </c>
      <c r="L933" s="13" t="str">
        <f aca="false">IF($B933="","",IF(COUNTIFS($B$3:$B933,$B933)&gt;1,0,IFERROR(LOOKUP($K933,배송비규정!$A$3:$A$32,배송비규정!$B$3:$B$32),0)+IFERROR(INDEX(지역추가비!$B$3:$B$42,MATCH($J933,지역추가비!$A$3:$A$42,0)),0)))</f>
        <v/>
      </c>
      <c r="M933" s="13" t="str">
        <f aca="false">IF($B933="","",IF(COUNTIFS($B$3:$B933,$B933)&gt;1,"",$K933+$L933))</f>
        <v/>
      </c>
      <c r="N933" s="14" t="str">
        <f aca="false">IF($B933="","",COUNTIFS($B$3:$B933,$B933))</f>
        <v/>
      </c>
      <c r="O933" s="14" t="str">
        <f aca="false">IF($B933="","",$B933&amp;"|"&amp;$N933)</f>
        <v/>
      </c>
    </row>
    <row r="934" customFormat="false" ht="15" hidden="false" customHeight="false" outlineLevel="0" collapsed="false">
      <c r="A934" s="12"/>
      <c r="B934" s="9"/>
      <c r="C934" s="9"/>
      <c r="D934" s="9"/>
      <c r="E934" s="9"/>
      <c r="F934" s="9"/>
      <c r="G934" s="9"/>
      <c r="H934" s="7"/>
      <c r="I934" s="13" t="str">
        <f aca="false">IF(OR($G934="",$H934=""),"",ROUND($G934*$H934,0))</f>
        <v/>
      </c>
      <c r="J934" s="8"/>
      <c r="K934" s="13" t="str">
        <f aca="false">IF($B934="","",SUMIFS($I$3:$I$2002,$B$3:$B$2002,$B934))</f>
        <v/>
      </c>
      <c r="L934" s="13" t="str">
        <f aca="false">IF($B934="","",IF(COUNTIFS($B$3:$B934,$B934)&gt;1,0,IFERROR(LOOKUP($K934,배송비규정!$A$3:$A$32,배송비규정!$B$3:$B$32),0)+IFERROR(INDEX(지역추가비!$B$3:$B$42,MATCH($J934,지역추가비!$A$3:$A$42,0)),0)))</f>
        <v/>
      </c>
      <c r="M934" s="13" t="str">
        <f aca="false">IF($B934="","",IF(COUNTIFS($B$3:$B934,$B934)&gt;1,"",$K934+$L934))</f>
        <v/>
      </c>
      <c r="N934" s="14" t="str">
        <f aca="false">IF($B934="","",COUNTIFS($B$3:$B934,$B934))</f>
        <v/>
      </c>
      <c r="O934" s="14" t="str">
        <f aca="false">IF($B934="","",$B934&amp;"|"&amp;$N934)</f>
        <v/>
      </c>
    </row>
    <row r="935" customFormat="false" ht="15" hidden="false" customHeight="false" outlineLevel="0" collapsed="false">
      <c r="A935" s="12"/>
      <c r="B935" s="9"/>
      <c r="C935" s="9"/>
      <c r="D935" s="9"/>
      <c r="E935" s="9"/>
      <c r="F935" s="9"/>
      <c r="G935" s="9"/>
      <c r="H935" s="7"/>
      <c r="I935" s="13" t="str">
        <f aca="false">IF(OR($G935="",$H935=""),"",ROUND($G935*$H935,0))</f>
        <v/>
      </c>
      <c r="J935" s="8"/>
      <c r="K935" s="13" t="str">
        <f aca="false">IF($B935="","",SUMIFS($I$3:$I$2002,$B$3:$B$2002,$B935))</f>
        <v/>
      </c>
      <c r="L935" s="13" t="str">
        <f aca="false">IF($B935="","",IF(COUNTIFS($B$3:$B935,$B935)&gt;1,0,IFERROR(LOOKUP($K935,배송비규정!$A$3:$A$32,배송비규정!$B$3:$B$32),0)+IFERROR(INDEX(지역추가비!$B$3:$B$42,MATCH($J935,지역추가비!$A$3:$A$42,0)),0)))</f>
        <v/>
      </c>
      <c r="M935" s="13" t="str">
        <f aca="false">IF($B935="","",IF(COUNTIFS($B$3:$B935,$B935)&gt;1,"",$K935+$L935))</f>
        <v/>
      </c>
      <c r="N935" s="14" t="str">
        <f aca="false">IF($B935="","",COUNTIFS($B$3:$B935,$B935))</f>
        <v/>
      </c>
      <c r="O935" s="14" t="str">
        <f aca="false">IF($B935="","",$B935&amp;"|"&amp;$N935)</f>
        <v/>
      </c>
    </row>
    <row r="936" customFormat="false" ht="15" hidden="false" customHeight="false" outlineLevel="0" collapsed="false">
      <c r="A936" s="12"/>
      <c r="B936" s="9"/>
      <c r="C936" s="9"/>
      <c r="D936" s="9"/>
      <c r="E936" s="9"/>
      <c r="F936" s="9"/>
      <c r="G936" s="9"/>
      <c r="H936" s="7"/>
      <c r="I936" s="13" t="str">
        <f aca="false">IF(OR($G936="",$H936=""),"",ROUND($G936*$H936,0))</f>
        <v/>
      </c>
      <c r="J936" s="8"/>
      <c r="K936" s="13" t="str">
        <f aca="false">IF($B936="","",SUMIFS($I$3:$I$2002,$B$3:$B$2002,$B936))</f>
        <v/>
      </c>
      <c r="L936" s="13" t="str">
        <f aca="false">IF($B936="","",IF(COUNTIFS($B$3:$B936,$B936)&gt;1,0,IFERROR(LOOKUP($K936,배송비규정!$A$3:$A$32,배송비규정!$B$3:$B$32),0)+IFERROR(INDEX(지역추가비!$B$3:$B$42,MATCH($J936,지역추가비!$A$3:$A$42,0)),0)))</f>
        <v/>
      </c>
      <c r="M936" s="13" t="str">
        <f aca="false">IF($B936="","",IF(COUNTIFS($B$3:$B936,$B936)&gt;1,"",$K936+$L936))</f>
        <v/>
      </c>
      <c r="N936" s="14" t="str">
        <f aca="false">IF($B936="","",COUNTIFS($B$3:$B936,$B936))</f>
        <v/>
      </c>
      <c r="O936" s="14" t="str">
        <f aca="false">IF($B936="","",$B936&amp;"|"&amp;$N936)</f>
        <v/>
      </c>
    </row>
    <row r="937" customFormat="false" ht="15" hidden="false" customHeight="false" outlineLevel="0" collapsed="false">
      <c r="A937" s="12"/>
      <c r="B937" s="9"/>
      <c r="C937" s="9"/>
      <c r="D937" s="9"/>
      <c r="E937" s="9"/>
      <c r="F937" s="9"/>
      <c r="G937" s="9"/>
      <c r="H937" s="7"/>
      <c r="I937" s="13" t="str">
        <f aca="false">IF(OR($G937="",$H937=""),"",ROUND($G937*$H937,0))</f>
        <v/>
      </c>
      <c r="J937" s="8"/>
      <c r="K937" s="13" t="str">
        <f aca="false">IF($B937="","",SUMIFS($I$3:$I$2002,$B$3:$B$2002,$B937))</f>
        <v/>
      </c>
      <c r="L937" s="13" t="str">
        <f aca="false">IF($B937="","",IF(COUNTIFS($B$3:$B937,$B937)&gt;1,0,IFERROR(LOOKUP($K937,배송비규정!$A$3:$A$32,배송비규정!$B$3:$B$32),0)+IFERROR(INDEX(지역추가비!$B$3:$B$42,MATCH($J937,지역추가비!$A$3:$A$42,0)),0)))</f>
        <v/>
      </c>
      <c r="M937" s="13" t="str">
        <f aca="false">IF($B937="","",IF(COUNTIFS($B$3:$B937,$B937)&gt;1,"",$K937+$L937))</f>
        <v/>
      </c>
      <c r="N937" s="14" t="str">
        <f aca="false">IF($B937="","",COUNTIFS($B$3:$B937,$B937))</f>
        <v/>
      </c>
      <c r="O937" s="14" t="str">
        <f aca="false">IF($B937="","",$B937&amp;"|"&amp;$N937)</f>
        <v/>
      </c>
    </row>
    <row r="938" customFormat="false" ht="15" hidden="false" customHeight="false" outlineLevel="0" collapsed="false">
      <c r="A938" s="12"/>
      <c r="B938" s="9"/>
      <c r="C938" s="9"/>
      <c r="D938" s="9"/>
      <c r="E938" s="9"/>
      <c r="F938" s="9"/>
      <c r="G938" s="9"/>
      <c r="H938" s="7"/>
      <c r="I938" s="13" t="str">
        <f aca="false">IF(OR($G938="",$H938=""),"",ROUND($G938*$H938,0))</f>
        <v/>
      </c>
      <c r="J938" s="8"/>
      <c r="K938" s="13" t="str">
        <f aca="false">IF($B938="","",SUMIFS($I$3:$I$2002,$B$3:$B$2002,$B938))</f>
        <v/>
      </c>
      <c r="L938" s="13" t="str">
        <f aca="false">IF($B938="","",IF(COUNTIFS($B$3:$B938,$B938)&gt;1,0,IFERROR(LOOKUP($K938,배송비규정!$A$3:$A$32,배송비규정!$B$3:$B$32),0)+IFERROR(INDEX(지역추가비!$B$3:$B$42,MATCH($J938,지역추가비!$A$3:$A$42,0)),0)))</f>
        <v/>
      </c>
      <c r="M938" s="13" t="str">
        <f aca="false">IF($B938="","",IF(COUNTIFS($B$3:$B938,$B938)&gt;1,"",$K938+$L938))</f>
        <v/>
      </c>
      <c r="N938" s="14" t="str">
        <f aca="false">IF($B938="","",COUNTIFS($B$3:$B938,$B938))</f>
        <v/>
      </c>
      <c r="O938" s="14" t="str">
        <f aca="false">IF($B938="","",$B938&amp;"|"&amp;$N938)</f>
        <v/>
      </c>
    </row>
    <row r="939" customFormat="false" ht="15" hidden="false" customHeight="false" outlineLevel="0" collapsed="false">
      <c r="A939" s="12"/>
      <c r="B939" s="9"/>
      <c r="C939" s="9"/>
      <c r="D939" s="9"/>
      <c r="E939" s="9"/>
      <c r="F939" s="9"/>
      <c r="G939" s="9"/>
      <c r="H939" s="7"/>
      <c r="I939" s="13" t="str">
        <f aca="false">IF(OR($G939="",$H939=""),"",ROUND($G939*$H939,0))</f>
        <v/>
      </c>
      <c r="J939" s="8"/>
      <c r="K939" s="13" t="str">
        <f aca="false">IF($B939="","",SUMIFS($I$3:$I$2002,$B$3:$B$2002,$B939))</f>
        <v/>
      </c>
      <c r="L939" s="13" t="str">
        <f aca="false">IF($B939="","",IF(COUNTIFS($B$3:$B939,$B939)&gt;1,0,IFERROR(LOOKUP($K939,배송비규정!$A$3:$A$32,배송비규정!$B$3:$B$32),0)+IFERROR(INDEX(지역추가비!$B$3:$B$42,MATCH($J939,지역추가비!$A$3:$A$42,0)),0)))</f>
        <v/>
      </c>
      <c r="M939" s="13" t="str">
        <f aca="false">IF($B939="","",IF(COUNTIFS($B$3:$B939,$B939)&gt;1,"",$K939+$L939))</f>
        <v/>
      </c>
      <c r="N939" s="14" t="str">
        <f aca="false">IF($B939="","",COUNTIFS($B$3:$B939,$B939))</f>
        <v/>
      </c>
      <c r="O939" s="14" t="str">
        <f aca="false">IF($B939="","",$B939&amp;"|"&amp;$N939)</f>
        <v/>
      </c>
    </row>
    <row r="940" customFormat="false" ht="15" hidden="false" customHeight="false" outlineLevel="0" collapsed="false">
      <c r="A940" s="12"/>
      <c r="B940" s="9"/>
      <c r="C940" s="9"/>
      <c r="D940" s="9"/>
      <c r="E940" s="9"/>
      <c r="F940" s="9"/>
      <c r="G940" s="9"/>
      <c r="H940" s="7"/>
      <c r="I940" s="13" t="str">
        <f aca="false">IF(OR($G940="",$H940=""),"",ROUND($G940*$H940,0))</f>
        <v/>
      </c>
      <c r="J940" s="8"/>
      <c r="K940" s="13" t="str">
        <f aca="false">IF($B940="","",SUMIFS($I$3:$I$2002,$B$3:$B$2002,$B940))</f>
        <v/>
      </c>
      <c r="L940" s="13" t="str">
        <f aca="false">IF($B940="","",IF(COUNTIFS($B$3:$B940,$B940)&gt;1,0,IFERROR(LOOKUP($K940,배송비규정!$A$3:$A$32,배송비규정!$B$3:$B$32),0)+IFERROR(INDEX(지역추가비!$B$3:$B$42,MATCH($J940,지역추가비!$A$3:$A$42,0)),0)))</f>
        <v/>
      </c>
      <c r="M940" s="13" t="str">
        <f aca="false">IF($B940="","",IF(COUNTIFS($B$3:$B940,$B940)&gt;1,"",$K940+$L940))</f>
        <v/>
      </c>
      <c r="N940" s="14" t="str">
        <f aca="false">IF($B940="","",COUNTIFS($B$3:$B940,$B940))</f>
        <v/>
      </c>
      <c r="O940" s="14" t="str">
        <f aca="false">IF($B940="","",$B940&amp;"|"&amp;$N940)</f>
        <v/>
      </c>
    </row>
    <row r="941" customFormat="false" ht="15" hidden="false" customHeight="false" outlineLevel="0" collapsed="false">
      <c r="A941" s="12"/>
      <c r="B941" s="9"/>
      <c r="C941" s="9"/>
      <c r="D941" s="9"/>
      <c r="E941" s="9"/>
      <c r="F941" s="9"/>
      <c r="G941" s="9"/>
      <c r="H941" s="7"/>
      <c r="I941" s="13" t="str">
        <f aca="false">IF(OR($G941="",$H941=""),"",ROUND($G941*$H941,0))</f>
        <v/>
      </c>
      <c r="J941" s="8"/>
      <c r="K941" s="13" t="str">
        <f aca="false">IF($B941="","",SUMIFS($I$3:$I$2002,$B$3:$B$2002,$B941))</f>
        <v/>
      </c>
      <c r="L941" s="13" t="str">
        <f aca="false">IF($B941="","",IF(COUNTIFS($B$3:$B941,$B941)&gt;1,0,IFERROR(LOOKUP($K941,배송비규정!$A$3:$A$32,배송비규정!$B$3:$B$32),0)+IFERROR(INDEX(지역추가비!$B$3:$B$42,MATCH($J941,지역추가비!$A$3:$A$42,0)),0)))</f>
        <v/>
      </c>
      <c r="M941" s="13" t="str">
        <f aca="false">IF($B941="","",IF(COUNTIFS($B$3:$B941,$B941)&gt;1,"",$K941+$L941))</f>
        <v/>
      </c>
      <c r="N941" s="14" t="str">
        <f aca="false">IF($B941="","",COUNTIFS($B$3:$B941,$B941))</f>
        <v/>
      </c>
      <c r="O941" s="14" t="str">
        <f aca="false">IF($B941="","",$B941&amp;"|"&amp;$N941)</f>
        <v/>
      </c>
    </row>
    <row r="942" customFormat="false" ht="15" hidden="false" customHeight="false" outlineLevel="0" collapsed="false">
      <c r="A942" s="12"/>
      <c r="B942" s="9"/>
      <c r="C942" s="9"/>
      <c r="D942" s="9"/>
      <c r="E942" s="9"/>
      <c r="F942" s="9"/>
      <c r="G942" s="9"/>
      <c r="H942" s="7"/>
      <c r="I942" s="13" t="str">
        <f aca="false">IF(OR($G942="",$H942=""),"",ROUND($G942*$H942,0))</f>
        <v/>
      </c>
      <c r="J942" s="8"/>
      <c r="K942" s="13" t="str">
        <f aca="false">IF($B942="","",SUMIFS($I$3:$I$2002,$B$3:$B$2002,$B942))</f>
        <v/>
      </c>
      <c r="L942" s="13" t="str">
        <f aca="false">IF($B942="","",IF(COUNTIFS($B$3:$B942,$B942)&gt;1,0,IFERROR(LOOKUP($K942,배송비규정!$A$3:$A$32,배송비규정!$B$3:$B$32),0)+IFERROR(INDEX(지역추가비!$B$3:$B$42,MATCH($J942,지역추가비!$A$3:$A$42,0)),0)))</f>
        <v/>
      </c>
      <c r="M942" s="13" t="str">
        <f aca="false">IF($B942="","",IF(COUNTIFS($B$3:$B942,$B942)&gt;1,"",$K942+$L942))</f>
        <v/>
      </c>
      <c r="N942" s="14" t="str">
        <f aca="false">IF($B942="","",COUNTIFS($B$3:$B942,$B942))</f>
        <v/>
      </c>
      <c r="O942" s="14" t="str">
        <f aca="false">IF($B942="","",$B942&amp;"|"&amp;$N942)</f>
        <v/>
      </c>
    </row>
    <row r="943" customFormat="false" ht="15" hidden="false" customHeight="false" outlineLevel="0" collapsed="false">
      <c r="A943" s="12"/>
      <c r="B943" s="9"/>
      <c r="C943" s="9"/>
      <c r="D943" s="9"/>
      <c r="E943" s="9"/>
      <c r="F943" s="9"/>
      <c r="G943" s="9"/>
      <c r="H943" s="7"/>
      <c r="I943" s="13" t="str">
        <f aca="false">IF(OR($G943="",$H943=""),"",ROUND($G943*$H943,0))</f>
        <v/>
      </c>
      <c r="J943" s="8"/>
      <c r="K943" s="13" t="str">
        <f aca="false">IF($B943="","",SUMIFS($I$3:$I$2002,$B$3:$B$2002,$B943))</f>
        <v/>
      </c>
      <c r="L943" s="13" t="str">
        <f aca="false">IF($B943="","",IF(COUNTIFS($B$3:$B943,$B943)&gt;1,0,IFERROR(LOOKUP($K943,배송비규정!$A$3:$A$32,배송비규정!$B$3:$B$32),0)+IFERROR(INDEX(지역추가비!$B$3:$B$42,MATCH($J943,지역추가비!$A$3:$A$42,0)),0)))</f>
        <v/>
      </c>
      <c r="M943" s="13" t="str">
        <f aca="false">IF($B943="","",IF(COUNTIFS($B$3:$B943,$B943)&gt;1,"",$K943+$L943))</f>
        <v/>
      </c>
      <c r="N943" s="14" t="str">
        <f aca="false">IF($B943="","",COUNTIFS($B$3:$B943,$B943))</f>
        <v/>
      </c>
      <c r="O943" s="14" t="str">
        <f aca="false">IF($B943="","",$B943&amp;"|"&amp;$N943)</f>
        <v/>
      </c>
    </row>
    <row r="944" customFormat="false" ht="15" hidden="false" customHeight="false" outlineLevel="0" collapsed="false">
      <c r="A944" s="12"/>
      <c r="B944" s="9"/>
      <c r="C944" s="9"/>
      <c r="D944" s="9"/>
      <c r="E944" s="9"/>
      <c r="F944" s="9"/>
      <c r="G944" s="9"/>
      <c r="H944" s="7"/>
      <c r="I944" s="13" t="str">
        <f aca="false">IF(OR($G944="",$H944=""),"",ROUND($G944*$H944,0))</f>
        <v/>
      </c>
      <c r="J944" s="8"/>
      <c r="K944" s="13" t="str">
        <f aca="false">IF($B944="","",SUMIFS($I$3:$I$2002,$B$3:$B$2002,$B944))</f>
        <v/>
      </c>
      <c r="L944" s="13" t="str">
        <f aca="false">IF($B944="","",IF(COUNTIFS($B$3:$B944,$B944)&gt;1,0,IFERROR(LOOKUP($K944,배송비규정!$A$3:$A$32,배송비규정!$B$3:$B$32),0)+IFERROR(INDEX(지역추가비!$B$3:$B$42,MATCH($J944,지역추가비!$A$3:$A$42,0)),0)))</f>
        <v/>
      </c>
      <c r="M944" s="13" t="str">
        <f aca="false">IF($B944="","",IF(COUNTIFS($B$3:$B944,$B944)&gt;1,"",$K944+$L944))</f>
        <v/>
      </c>
      <c r="N944" s="14" t="str">
        <f aca="false">IF($B944="","",COUNTIFS($B$3:$B944,$B944))</f>
        <v/>
      </c>
      <c r="O944" s="14" t="str">
        <f aca="false">IF($B944="","",$B944&amp;"|"&amp;$N944)</f>
        <v/>
      </c>
    </row>
    <row r="945" customFormat="false" ht="15" hidden="false" customHeight="false" outlineLevel="0" collapsed="false">
      <c r="A945" s="12"/>
      <c r="B945" s="9"/>
      <c r="C945" s="9"/>
      <c r="D945" s="9"/>
      <c r="E945" s="9"/>
      <c r="F945" s="9"/>
      <c r="G945" s="9"/>
      <c r="H945" s="7"/>
      <c r="I945" s="13" t="str">
        <f aca="false">IF(OR($G945="",$H945=""),"",ROUND($G945*$H945,0))</f>
        <v/>
      </c>
      <c r="J945" s="8"/>
      <c r="K945" s="13" t="str">
        <f aca="false">IF($B945="","",SUMIFS($I$3:$I$2002,$B$3:$B$2002,$B945))</f>
        <v/>
      </c>
      <c r="L945" s="13" t="str">
        <f aca="false">IF($B945="","",IF(COUNTIFS($B$3:$B945,$B945)&gt;1,0,IFERROR(LOOKUP($K945,배송비규정!$A$3:$A$32,배송비규정!$B$3:$B$32),0)+IFERROR(INDEX(지역추가비!$B$3:$B$42,MATCH($J945,지역추가비!$A$3:$A$42,0)),0)))</f>
        <v/>
      </c>
      <c r="M945" s="13" t="str">
        <f aca="false">IF($B945="","",IF(COUNTIFS($B$3:$B945,$B945)&gt;1,"",$K945+$L945))</f>
        <v/>
      </c>
      <c r="N945" s="14" t="str">
        <f aca="false">IF($B945="","",COUNTIFS($B$3:$B945,$B945))</f>
        <v/>
      </c>
      <c r="O945" s="14" t="str">
        <f aca="false">IF($B945="","",$B945&amp;"|"&amp;$N945)</f>
        <v/>
      </c>
    </row>
    <row r="946" customFormat="false" ht="15" hidden="false" customHeight="false" outlineLevel="0" collapsed="false">
      <c r="A946" s="12"/>
      <c r="B946" s="9"/>
      <c r="C946" s="9"/>
      <c r="D946" s="9"/>
      <c r="E946" s="9"/>
      <c r="F946" s="9"/>
      <c r="G946" s="9"/>
      <c r="H946" s="7"/>
      <c r="I946" s="13" t="str">
        <f aca="false">IF(OR($G946="",$H946=""),"",ROUND($G946*$H946,0))</f>
        <v/>
      </c>
      <c r="J946" s="8"/>
      <c r="K946" s="13" t="str">
        <f aca="false">IF($B946="","",SUMIFS($I$3:$I$2002,$B$3:$B$2002,$B946))</f>
        <v/>
      </c>
      <c r="L946" s="13" t="str">
        <f aca="false">IF($B946="","",IF(COUNTIFS($B$3:$B946,$B946)&gt;1,0,IFERROR(LOOKUP($K946,배송비규정!$A$3:$A$32,배송비규정!$B$3:$B$32),0)+IFERROR(INDEX(지역추가비!$B$3:$B$42,MATCH($J946,지역추가비!$A$3:$A$42,0)),0)))</f>
        <v/>
      </c>
      <c r="M946" s="13" t="str">
        <f aca="false">IF($B946="","",IF(COUNTIFS($B$3:$B946,$B946)&gt;1,"",$K946+$L946))</f>
        <v/>
      </c>
      <c r="N946" s="14" t="str">
        <f aca="false">IF($B946="","",COUNTIFS($B$3:$B946,$B946))</f>
        <v/>
      </c>
      <c r="O946" s="14" t="str">
        <f aca="false">IF($B946="","",$B946&amp;"|"&amp;$N946)</f>
        <v/>
      </c>
    </row>
    <row r="947" customFormat="false" ht="15" hidden="false" customHeight="false" outlineLevel="0" collapsed="false">
      <c r="A947" s="12"/>
      <c r="B947" s="9"/>
      <c r="C947" s="9"/>
      <c r="D947" s="9"/>
      <c r="E947" s="9"/>
      <c r="F947" s="9"/>
      <c r="G947" s="9"/>
      <c r="H947" s="7"/>
      <c r="I947" s="13" t="str">
        <f aca="false">IF(OR($G947="",$H947=""),"",ROUND($G947*$H947,0))</f>
        <v/>
      </c>
      <c r="J947" s="8"/>
      <c r="K947" s="13" t="str">
        <f aca="false">IF($B947="","",SUMIFS($I$3:$I$2002,$B$3:$B$2002,$B947))</f>
        <v/>
      </c>
      <c r="L947" s="13" t="str">
        <f aca="false">IF($B947="","",IF(COUNTIFS($B$3:$B947,$B947)&gt;1,0,IFERROR(LOOKUP($K947,배송비규정!$A$3:$A$32,배송비규정!$B$3:$B$32),0)+IFERROR(INDEX(지역추가비!$B$3:$B$42,MATCH($J947,지역추가비!$A$3:$A$42,0)),0)))</f>
        <v/>
      </c>
      <c r="M947" s="13" t="str">
        <f aca="false">IF($B947="","",IF(COUNTIFS($B$3:$B947,$B947)&gt;1,"",$K947+$L947))</f>
        <v/>
      </c>
      <c r="N947" s="14" t="str">
        <f aca="false">IF($B947="","",COUNTIFS($B$3:$B947,$B947))</f>
        <v/>
      </c>
      <c r="O947" s="14" t="str">
        <f aca="false">IF($B947="","",$B947&amp;"|"&amp;$N947)</f>
        <v/>
      </c>
    </row>
    <row r="948" customFormat="false" ht="15" hidden="false" customHeight="false" outlineLevel="0" collapsed="false">
      <c r="A948" s="12"/>
      <c r="B948" s="9"/>
      <c r="C948" s="9"/>
      <c r="D948" s="9"/>
      <c r="E948" s="9"/>
      <c r="F948" s="9"/>
      <c r="G948" s="9"/>
      <c r="H948" s="7"/>
      <c r="I948" s="13" t="str">
        <f aca="false">IF(OR($G948="",$H948=""),"",ROUND($G948*$H948,0))</f>
        <v/>
      </c>
      <c r="J948" s="8"/>
      <c r="K948" s="13" t="str">
        <f aca="false">IF($B948="","",SUMIFS($I$3:$I$2002,$B$3:$B$2002,$B948))</f>
        <v/>
      </c>
      <c r="L948" s="13" t="str">
        <f aca="false">IF($B948="","",IF(COUNTIFS($B$3:$B948,$B948)&gt;1,0,IFERROR(LOOKUP($K948,배송비규정!$A$3:$A$32,배송비규정!$B$3:$B$32),0)+IFERROR(INDEX(지역추가비!$B$3:$B$42,MATCH($J948,지역추가비!$A$3:$A$42,0)),0)))</f>
        <v/>
      </c>
      <c r="M948" s="13" t="str">
        <f aca="false">IF($B948="","",IF(COUNTIFS($B$3:$B948,$B948)&gt;1,"",$K948+$L948))</f>
        <v/>
      </c>
      <c r="N948" s="14" t="str">
        <f aca="false">IF($B948="","",COUNTIFS($B$3:$B948,$B948))</f>
        <v/>
      </c>
      <c r="O948" s="14" t="str">
        <f aca="false">IF($B948="","",$B948&amp;"|"&amp;$N948)</f>
        <v/>
      </c>
    </row>
    <row r="949" customFormat="false" ht="15" hidden="false" customHeight="false" outlineLevel="0" collapsed="false">
      <c r="A949" s="12"/>
      <c r="B949" s="9"/>
      <c r="C949" s="9"/>
      <c r="D949" s="9"/>
      <c r="E949" s="9"/>
      <c r="F949" s="9"/>
      <c r="G949" s="9"/>
      <c r="H949" s="7"/>
      <c r="I949" s="13" t="str">
        <f aca="false">IF(OR($G949="",$H949=""),"",ROUND($G949*$H949,0))</f>
        <v/>
      </c>
      <c r="J949" s="8"/>
      <c r="K949" s="13" t="str">
        <f aca="false">IF($B949="","",SUMIFS($I$3:$I$2002,$B$3:$B$2002,$B949))</f>
        <v/>
      </c>
      <c r="L949" s="13" t="str">
        <f aca="false">IF($B949="","",IF(COUNTIFS($B$3:$B949,$B949)&gt;1,0,IFERROR(LOOKUP($K949,배송비규정!$A$3:$A$32,배송비규정!$B$3:$B$32),0)+IFERROR(INDEX(지역추가비!$B$3:$B$42,MATCH($J949,지역추가비!$A$3:$A$42,0)),0)))</f>
        <v/>
      </c>
      <c r="M949" s="13" t="str">
        <f aca="false">IF($B949="","",IF(COUNTIFS($B$3:$B949,$B949)&gt;1,"",$K949+$L949))</f>
        <v/>
      </c>
      <c r="N949" s="14" t="str">
        <f aca="false">IF($B949="","",COUNTIFS($B$3:$B949,$B949))</f>
        <v/>
      </c>
      <c r="O949" s="14" t="str">
        <f aca="false">IF($B949="","",$B949&amp;"|"&amp;$N949)</f>
        <v/>
      </c>
    </row>
    <row r="950" customFormat="false" ht="15" hidden="false" customHeight="false" outlineLevel="0" collapsed="false">
      <c r="A950" s="12"/>
      <c r="B950" s="9"/>
      <c r="C950" s="9"/>
      <c r="D950" s="9"/>
      <c r="E950" s="9"/>
      <c r="F950" s="9"/>
      <c r="G950" s="9"/>
      <c r="H950" s="7"/>
      <c r="I950" s="13" t="str">
        <f aca="false">IF(OR($G950="",$H950=""),"",ROUND($G950*$H950,0))</f>
        <v/>
      </c>
      <c r="J950" s="8"/>
      <c r="K950" s="13" t="str">
        <f aca="false">IF($B950="","",SUMIFS($I$3:$I$2002,$B$3:$B$2002,$B950))</f>
        <v/>
      </c>
      <c r="L950" s="13" t="str">
        <f aca="false">IF($B950="","",IF(COUNTIFS($B$3:$B950,$B950)&gt;1,0,IFERROR(LOOKUP($K950,배송비규정!$A$3:$A$32,배송비규정!$B$3:$B$32),0)+IFERROR(INDEX(지역추가비!$B$3:$B$42,MATCH($J950,지역추가비!$A$3:$A$42,0)),0)))</f>
        <v/>
      </c>
      <c r="M950" s="13" t="str">
        <f aca="false">IF($B950="","",IF(COUNTIFS($B$3:$B950,$B950)&gt;1,"",$K950+$L950))</f>
        <v/>
      </c>
      <c r="N950" s="14" t="str">
        <f aca="false">IF($B950="","",COUNTIFS($B$3:$B950,$B950))</f>
        <v/>
      </c>
      <c r="O950" s="14" t="str">
        <f aca="false">IF($B950="","",$B950&amp;"|"&amp;$N950)</f>
        <v/>
      </c>
    </row>
    <row r="951" customFormat="false" ht="15" hidden="false" customHeight="false" outlineLevel="0" collapsed="false">
      <c r="A951" s="12"/>
      <c r="B951" s="9"/>
      <c r="C951" s="9"/>
      <c r="D951" s="9"/>
      <c r="E951" s="9"/>
      <c r="F951" s="9"/>
      <c r="G951" s="9"/>
      <c r="H951" s="7"/>
      <c r="I951" s="13" t="str">
        <f aca="false">IF(OR($G951="",$H951=""),"",ROUND($G951*$H951,0))</f>
        <v/>
      </c>
      <c r="J951" s="8"/>
      <c r="K951" s="13" t="str">
        <f aca="false">IF($B951="","",SUMIFS($I$3:$I$2002,$B$3:$B$2002,$B951))</f>
        <v/>
      </c>
      <c r="L951" s="13" t="str">
        <f aca="false">IF($B951="","",IF(COUNTIFS($B$3:$B951,$B951)&gt;1,0,IFERROR(LOOKUP($K951,배송비규정!$A$3:$A$32,배송비규정!$B$3:$B$32),0)+IFERROR(INDEX(지역추가비!$B$3:$B$42,MATCH($J951,지역추가비!$A$3:$A$42,0)),0)))</f>
        <v/>
      </c>
      <c r="M951" s="13" t="str">
        <f aca="false">IF($B951="","",IF(COUNTIFS($B$3:$B951,$B951)&gt;1,"",$K951+$L951))</f>
        <v/>
      </c>
      <c r="N951" s="14" t="str">
        <f aca="false">IF($B951="","",COUNTIFS($B$3:$B951,$B951))</f>
        <v/>
      </c>
      <c r="O951" s="14" t="str">
        <f aca="false">IF($B951="","",$B951&amp;"|"&amp;$N951)</f>
        <v/>
      </c>
    </row>
    <row r="952" customFormat="false" ht="15" hidden="false" customHeight="false" outlineLevel="0" collapsed="false">
      <c r="A952" s="12"/>
      <c r="B952" s="9"/>
      <c r="C952" s="9"/>
      <c r="D952" s="9"/>
      <c r="E952" s="9"/>
      <c r="F952" s="9"/>
      <c r="G952" s="9"/>
      <c r="H952" s="7"/>
      <c r="I952" s="13" t="str">
        <f aca="false">IF(OR($G952="",$H952=""),"",ROUND($G952*$H952,0))</f>
        <v/>
      </c>
      <c r="J952" s="8"/>
      <c r="K952" s="13" t="str">
        <f aca="false">IF($B952="","",SUMIFS($I$3:$I$2002,$B$3:$B$2002,$B952))</f>
        <v/>
      </c>
      <c r="L952" s="13" t="str">
        <f aca="false">IF($B952="","",IF(COUNTIFS($B$3:$B952,$B952)&gt;1,0,IFERROR(LOOKUP($K952,배송비규정!$A$3:$A$32,배송비규정!$B$3:$B$32),0)+IFERROR(INDEX(지역추가비!$B$3:$B$42,MATCH($J952,지역추가비!$A$3:$A$42,0)),0)))</f>
        <v/>
      </c>
      <c r="M952" s="13" t="str">
        <f aca="false">IF($B952="","",IF(COUNTIFS($B$3:$B952,$B952)&gt;1,"",$K952+$L952))</f>
        <v/>
      </c>
      <c r="N952" s="14" t="str">
        <f aca="false">IF($B952="","",COUNTIFS($B$3:$B952,$B952))</f>
        <v/>
      </c>
      <c r="O952" s="14" t="str">
        <f aca="false">IF($B952="","",$B952&amp;"|"&amp;$N952)</f>
        <v/>
      </c>
    </row>
    <row r="953" customFormat="false" ht="15" hidden="false" customHeight="false" outlineLevel="0" collapsed="false">
      <c r="A953" s="12"/>
      <c r="B953" s="9"/>
      <c r="C953" s="9"/>
      <c r="D953" s="9"/>
      <c r="E953" s="9"/>
      <c r="F953" s="9"/>
      <c r="G953" s="9"/>
      <c r="H953" s="7"/>
      <c r="I953" s="13" t="str">
        <f aca="false">IF(OR($G953="",$H953=""),"",ROUND($G953*$H953,0))</f>
        <v/>
      </c>
      <c r="J953" s="8"/>
      <c r="K953" s="13" t="str">
        <f aca="false">IF($B953="","",SUMIFS($I$3:$I$2002,$B$3:$B$2002,$B953))</f>
        <v/>
      </c>
      <c r="L953" s="13" t="str">
        <f aca="false">IF($B953="","",IF(COUNTIFS($B$3:$B953,$B953)&gt;1,0,IFERROR(LOOKUP($K953,배송비규정!$A$3:$A$32,배송비규정!$B$3:$B$32),0)+IFERROR(INDEX(지역추가비!$B$3:$B$42,MATCH($J953,지역추가비!$A$3:$A$42,0)),0)))</f>
        <v/>
      </c>
      <c r="M953" s="13" t="str">
        <f aca="false">IF($B953="","",IF(COUNTIFS($B$3:$B953,$B953)&gt;1,"",$K953+$L953))</f>
        <v/>
      </c>
      <c r="N953" s="14" t="str">
        <f aca="false">IF($B953="","",COUNTIFS($B$3:$B953,$B953))</f>
        <v/>
      </c>
      <c r="O953" s="14" t="str">
        <f aca="false">IF($B953="","",$B953&amp;"|"&amp;$N953)</f>
        <v/>
      </c>
    </row>
    <row r="954" customFormat="false" ht="15" hidden="false" customHeight="false" outlineLevel="0" collapsed="false">
      <c r="A954" s="12"/>
      <c r="B954" s="9"/>
      <c r="C954" s="9"/>
      <c r="D954" s="9"/>
      <c r="E954" s="9"/>
      <c r="F954" s="9"/>
      <c r="G954" s="9"/>
      <c r="H954" s="7"/>
      <c r="I954" s="13" t="str">
        <f aca="false">IF(OR($G954="",$H954=""),"",ROUND($G954*$H954,0))</f>
        <v/>
      </c>
      <c r="J954" s="8"/>
      <c r="K954" s="13" t="str">
        <f aca="false">IF($B954="","",SUMIFS($I$3:$I$2002,$B$3:$B$2002,$B954))</f>
        <v/>
      </c>
      <c r="L954" s="13" t="str">
        <f aca="false">IF($B954="","",IF(COUNTIFS($B$3:$B954,$B954)&gt;1,0,IFERROR(LOOKUP($K954,배송비규정!$A$3:$A$32,배송비규정!$B$3:$B$32),0)+IFERROR(INDEX(지역추가비!$B$3:$B$42,MATCH($J954,지역추가비!$A$3:$A$42,0)),0)))</f>
        <v/>
      </c>
      <c r="M954" s="13" t="str">
        <f aca="false">IF($B954="","",IF(COUNTIFS($B$3:$B954,$B954)&gt;1,"",$K954+$L954))</f>
        <v/>
      </c>
      <c r="N954" s="14" t="str">
        <f aca="false">IF($B954="","",COUNTIFS($B$3:$B954,$B954))</f>
        <v/>
      </c>
      <c r="O954" s="14" t="str">
        <f aca="false">IF($B954="","",$B954&amp;"|"&amp;$N954)</f>
        <v/>
      </c>
    </row>
    <row r="955" customFormat="false" ht="15" hidden="false" customHeight="false" outlineLevel="0" collapsed="false">
      <c r="A955" s="12"/>
      <c r="B955" s="9"/>
      <c r="C955" s="9"/>
      <c r="D955" s="9"/>
      <c r="E955" s="9"/>
      <c r="F955" s="9"/>
      <c r="G955" s="9"/>
      <c r="H955" s="7"/>
      <c r="I955" s="13" t="str">
        <f aca="false">IF(OR($G955="",$H955=""),"",ROUND($G955*$H955,0))</f>
        <v/>
      </c>
      <c r="J955" s="8"/>
      <c r="K955" s="13" t="str">
        <f aca="false">IF($B955="","",SUMIFS($I$3:$I$2002,$B$3:$B$2002,$B955))</f>
        <v/>
      </c>
      <c r="L955" s="13" t="str">
        <f aca="false">IF($B955="","",IF(COUNTIFS($B$3:$B955,$B955)&gt;1,0,IFERROR(LOOKUP($K955,배송비규정!$A$3:$A$32,배송비규정!$B$3:$B$32),0)+IFERROR(INDEX(지역추가비!$B$3:$B$42,MATCH($J955,지역추가비!$A$3:$A$42,0)),0)))</f>
        <v/>
      </c>
      <c r="M955" s="13" t="str">
        <f aca="false">IF($B955="","",IF(COUNTIFS($B$3:$B955,$B955)&gt;1,"",$K955+$L955))</f>
        <v/>
      </c>
      <c r="N955" s="14" t="str">
        <f aca="false">IF($B955="","",COUNTIFS($B$3:$B955,$B955))</f>
        <v/>
      </c>
      <c r="O955" s="14" t="str">
        <f aca="false">IF($B955="","",$B955&amp;"|"&amp;$N955)</f>
        <v/>
      </c>
    </row>
    <row r="956" customFormat="false" ht="15" hidden="false" customHeight="false" outlineLevel="0" collapsed="false">
      <c r="A956" s="12"/>
      <c r="B956" s="9"/>
      <c r="C956" s="9"/>
      <c r="D956" s="9"/>
      <c r="E956" s="9"/>
      <c r="F956" s="9"/>
      <c r="G956" s="9"/>
      <c r="H956" s="7"/>
      <c r="I956" s="13" t="str">
        <f aca="false">IF(OR($G956="",$H956=""),"",ROUND($G956*$H956,0))</f>
        <v/>
      </c>
      <c r="J956" s="8"/>
      <c r="K956" s="13" t="str">
        <f aca="false">IF($B956="","",SUMIFS($I$3:$I$2002,$B$3:$B$2002,$B956))</f>
        <v/>
      </c>
      <c r="L956" s="13" t="str">
        <f aca="false">IF($B956="","",IF(COUNTIFS($B$3:$B956,$B956)&gt;1,0,IFERROR(LOOKUP($K956,배송비규정!$A$3:$A$32,배송비규정!$B$3:$B$32),0)+IFERROR(INDEX(지역추가비!$B$3:$B$42,MATCH($J956,지역추가비!$A$3:$A$42,0)),0)))</f>
        <v/>
      </c>
      <c r="M956" s="13" t="str">
        <f aca="false">IF($B956="","",IF(COUNTIFS($B$3:$B956,$B956)&gt;1,"",$K956+$L956))</f>
        <v/>
      </c>
      <c r="N956" s="14" t="str">
        <f aca="false">IF($B956="","",COUNTIFS($B$3:$B956,$B956))</f>
        <v/>
      </c>
      <c r="O956" s="14" t="str">
        <f aca="false">IF($B956="","",$B956&amp;"|"&amp;$N956)</f>
        <v/>
      </c>
    </row>
    <row r="957" customFormat="false" ht="15" hidden="false" customHeight="false" outlineLevel="0" collapsed="false">
      <c r="A957" s="12"/>
      <c r="B957" s="9"/>
      <c r="C957" s="9"/>
      <c r="D957" s="9"/>
      <c r="E957" s="9"/>
      <c r="F957" s="9"/>
      <c r="G957" s="9"/>
      <c r="H957" s="7"/>
      <c r="I957" s="13" t="str">
        <f aca="false">IF(OR($G957="",$H957=""),"",ROUND($G957*$H957,0))</f>
        <v/>
      </c>
      <c r="J957" s="8"/>
      <c r="K957" s="13" t="str">
        <f aca="false">IF($B957="","",SUMIFS($I$3:$I$2002,$B$3:$B$2002,$B957))</f>
        <v/>
      </c>
      <c r="L957" s="13" t="str">
        <f aca="false">IF($B957="","",IF(COUNTIFS($B$3:$B957,$B957)&gt;1,0,IFERROR(LOOKUP($K957,배송비규정!$A$3:$A$32,배송비규정!$B$3:$B$32),0)+IFERROR(INDEX(지역추가비!$B$3:$B$42,MATCH($J957,지역추가비!$A$3:$A$42,0)),0)))</f>
        <v/>
      </c>
      <c r="M957" s="13" t="str">
        <f aca="false">IF($B957="","",IF(COUNTIFS($B$3:$B957,$B957)&gt;1,"",$K957+$L957))</f>
        <v/>
      </c>
      <c r="N957" s="14" t="str">
        <f aca="false">IF($B957="","",COUNTIFS($B$3:$B957,$B957))</f>
        <v/>
      </c>
      <c r="O957" s="14" t="str">
        <f aca="false">IF($B957="","",$B957&amp;"|"&amp;$N957)</f>
        <v/>
      </c>
    </row>
    <row r="958" customFormat="false" ht="15" hidden="false" customHeight="false" outlineLevel="0" collapsed="false">
      <c r="A958" s="12"/>
      <c r="B958" s="9"/>
      <c r="C958" s="9"/>
      <c r="D958" s="9"/>
      <c r="E958" s="9"/>
      <c r="F958" s="9"/>
      <c r="G958" s="9"/>
      <c r="H958" s="7"/>
      <c r="I958" s="13" t="str">
        <f aca="false">IF(OR($G958="",$H958=""),"",ROUND($G958*$H958,0))</f>
        <v/>
      </c>
      <c r="J958" s="8"/>
      <c r="K958" s="13" t="str">
        <f aca="false">IF($B958="","",SUMIFS($I$3:$I$2002,$B$3:$B$2002,$B958))</f>
        <v/>
      </c>
      <c r="L958" s="13" t="str">
        <f aca="false">IF($B958="","",IF(COUNTIFS($B$3:$B958,$B958)&gt;1,0,IFERROR(LOOKUP($K958,배송비규정!$A$3:$A$32,배송비규정!$B$3:$B$32),0)+IFERROR(INDEX(지역추가비!$B$3:$B$42,MATCH($J958,지역추가비!$A$3:$A$42,0)),0)))</f>
        <v/>
      </c>
      <c r="M958" s="13" t="str">
        <f aca="false">IF($B958="","",IF(COUNTIFS($B$3:$B958,$B958)&gt;1,"",$K958+$L958))</f>
        <v/>
      </c>
      <c r="N958" s="14" t="str">
        <f aca="false">IF($B958="","",COUNTIFS($B$3:$B958,$B958))</f>
        <v/>
      </c>
      <c r="O958" s="14" t="str">
        <f aca="false">IF($B958="","",$B958&amp;"|"&amp;$N958)</f>
        <v/>
      </c>
    </row>
    <row r="959" customFormat="false" ht="15" hidden="false" customHeight="false" outlineLevel="0" collapsed="false">
      <c r="A959" s="12"/>
      <c r="B959" s="9"/>
      <c r="C959" s="9"/>
      <c r="D959" s="9"/>
      <c r="E959" s="9"/>
      <c r="F959" s="9"/>
      <c r="G959" s="9"/>
      <c r="H959" s="7"/>
      <c r="I959" s="13" t="str">
        <f aca="false">IF(OR($G959="",$H959=""),"",ROUND($G959*$H959,0))</f>
        <v/>
      </c>
      <c r="J959" s="8"/>
      <c r="K959" s="13" t="str">
        <f aca="false">IF($B959="","",SUMIFS($I$3:$I$2002,$B$3:$B$2002,$B959))</f>
        <v/>
      </c>
      <c r="L959" s="13" t="str">
        <f aca="false">IF($B959="","",IF(COUNTIFS($B$3:$B959,$B959)&gt;1,0,IFERROR(LOOKUP($K959,배송비규정!$A$3:$A$32,배송비규정!$B$3:$B$32),0)+IFERROR(INDEX(지역추가비!$B$3:$B$42,MATCH($J959,지역추가비!$A$3:$A$42,0)),0)))</f>
        <v/>
      </c>
      <c r="M959" s="13" t="str">
        <f aca="false">IF($B959="","",IF(COUNTIFS($B$3:$B959,$B959)&gt;1,"",$K959+$L959))</f>
        <v/>
      </c>
      <c r="N959" s="14" t="str">
        <f aca="false">IF($B959="","",COUNTIFS($B$3:$B959,$B959))</f>
        <v/>
      </c>
      <c r="O959" s="14" t="str">
        <f aca="false">IF($B959="","",$B959&amp;"|"&amp;$N959)</f>
        <v/>
      </c>
    </row>
    <row r="960" customFormat="false" ht="15" hidden="false" customHeight="false" outlineLevel="0" collapsed="false">
      <c r="A960" s="12"/>
      <c r="B960" s="9"/>
      <c r="C960" s="9"/>
      <c r="D960" s="9"/>
      <c r="E960" s="9"/>
      <c r="F960" s="9"/>
      <c r="G960" s="9"/>
      <c r="H960" s="7"/>
      <c r="I960" s="13" t="str">
        <f aca="false">IF(OR($G960="",$H960=""),"",ROUND($G960*$H960,0))</f>
        <v/>
      </c>
      <c r="J960" s="8"/>
      <c r="K960" s="13" t="str">
        <f aca="false">IF($B960="","",SUMIFS($I$3:$I$2002,$B$3:$B$2002,$B960))</f>
        <v/>
      </c>
      <c r="L960" s="13" t="str">
        <f aca="false">IF($B960="","",IF(COUNTIFS($B$3:$B960,$B960)&gt;1,0,IFERROR(LOOKUP($K960,배송비규정!$A$3:$A$32,배송비규정!$B$3:$B$32),0)+IFERROR(INDEX(지역추가비!$B$3:$B$42,MATCH($J960,지역추가비!$A$3:$A$42,0)),0)))</f>
        <v/>
      </c>
      <c r="M960" s="13" t="str">
        <f aca="false">IF($B960="","",IF(COUNTIFS($B$3:$B960,$B960)&gt;1,"",$K960+$L960))</f>
        <v/>
      </c>
      <c r="N960" s="14" t="str">
        <f aca="false">IF($B960="","",COUNTIFS($B$3:$B960,$B960))</f>
        <v/>
      </c>
      <c r="O960" s="14" t="str">
        <f aca="false">IF($B960="","",$B960&amp;"|"&amp;$N960)</f>
        <v/>
      </c>
    </row>
    <row r="961" customFormat="false" ht="15" hidden="false" customHeight="false" outlineLevel="0" collapsed="false">
      <c r="A961" s="12"/>
      <c r="B961" s="9"/>
      <c r="C961" s="9"/>
      <c r="D961" s="9"/>
      <c r="E961" s="9"/>
      <c r="F961" s="9"/>
      <c r="G961" s="9"/>
      <c r="H961" s="7"/>
      <c r="I961" s="13" t="str">
        <f aca="false">IF(OR($G961="",$H961=""),"",ROUND($G961*$H961,0))</f>
        <v/>
      </c>
      <c r="J961" s="8"/>
      <c r="K961" s="13" t="str">
        <f aca="false">IF($B961="","",SUMIFS($I$3:$I$2002,$B$3:$B$2002,$B961))</f>
        <v/>
      </c>
      <c r="L961" s="13" t="str">
        <f aca="false">IF($B961="","",IF(COUNTIFS($B$3:$B961,$B961)&gt;1,0,IFERROR(LOOKUP($K961,배송비규정!$A$3:$A$32,배송비규정!$B$3:$B$32),0)+IFERROR(INDEX(지역추가비!$B$3:$B$42,MATCH($J961,지역추가비!$A$3:$A$42,0)),0)))</f>
        <v/>
      </c>
      <c r="M961" s="13" t="str">
        <f aca="false">IF($B961="","",IF(COUNTIFS($B$3:$B961,$B961)&gt;1,"",$K961+$L961))</f>
        <v/>
      </c>
      <c r="N961" s="14" t="str">
        <f aca="false">IF($B961="","",COUNTIFS($B$3:$B961,$B961))</f>
        <v/>
      </c>
      <c r="O961" s="14" t="str">
        <f aca="false">IF($B961="","",$B961&amp;"|"&amp;$N961)</f>
        <v/>
      </c>
    </row>
    <row r="962" customFormat="false" ht="15" hidden="false" customHeight="false" outlineLevel="0" collapsed="false">
      <c r="A962" s="12"/>
      <c r="B962" s="9"/>
      <c r="C962" s="9"/>
      <c r="D962" s="9"/>
      <c r="E962" s="9"/>
      <c r="F962" s="9"/>
      <c r="G962" s="9"/>
      <c r="H962" s="7"/>
      <c r="I962" s="13" t="str">
        <f aca="false">IF(OR($G962="",$H962=""),"",ROUND($G962*$H962,0))</f>
        <v/>
      </c>
      <c r="J962" s="8"/>
      <c r="K962" s="13" t="str">
        <f aca="false">IF($B962="","",SUMIFS($I$3:$I$2002,$B$3:$B$2002,$B962))</f>
        <v/>
      </c>
      <c r="L962" s="13" t="str">
        <f aca="false">IF($B962="","",IF(COUNTIFS($B$3:$B962,$B962)&gt;1,0,IFERROR(LOOKUP($K962,배송비규정!$A$3:$A$32,배송비규정!$B$3:$B$32),0)+IFERROR(INDEX(지역추가비!$B$3:$B$42,MATCH($J962,지역추가비!$A$3:$A$42,0)),0)))</f>
        <v/>
      </c>
      <c r="M962" s="13" t="str">
        <f aca="false">IF($B962="","",IF(COUNTIFS($B$3:$B962,$B962)&gt;1,"",$K962+$L962))</f>
        <v/>
      </c>
      <c r="N962" s="14" t="str">
        <f aca="false">IF($B962="","",COUNTIFS($B$3:$B962,$B962))</f>
        <v/>
      </c>
      <c r="O962" s="14" t="str">
        <f aca="false">IF($B962="","",$B962&amp;"|"&amp;$N962)</f>
        <v/>
      </c>
    </row>
    <row r="963" customFormat="false" ht="15" hidden="false" customHeight="false" outlineLevel="0" collapsed="false">
      <c r="A963" s="12"/>
      <c r="B963" s="9"/>
      <c r="C963" s="9"/>
      <c r="D963" s="9"/>
      <c r="E963" s="9"/>
      <c r="F963" s="9"/>
      <c r="G963" s="9"/>
      <c r="H963" s="7"/>
      <c r="I963" s="13" t="str">
        <f aca="false">IF(OR($G963="",$H963=""),"",ROUND($G963*$H963,0))</f>
        <v/>
      </c>
      <c r="J963" s="8"/>
      <c r="K963" s="13" t="str">
        <f aca="false">IF($B963="","",SUMIFS($I$3:$I$2002,$B$3:$B$2002,$B963))</f>
        <v/>
      </c>
      <c r="L963" s="13" t="str">
        <f aca="false">IF($B963="","",IF(COUNTIFS($B$3:$B963,$B963)&gt;1,0,IFERROR(LOOKUP($K963,배송비규정!$A$3:$A$32,배송비규정!$B$3:$B$32),0)+IFERROR(INDEX(지역추가비!$B$3:$B$42,MATCH($J963,지역추가비!$A$3:$A$42,0)),0)))</f>
        <v/>
      </c>
      <c r="M963" s="13" t="str">
        <f aca="false">IF($B963="","",IF(COUNTIFS($B$3:$B963,$B963)&gt;1,"",$K963+$L963))</f>
        <v/>
      </c>
      <c r="N963" s="14" t="str">
        <f aca="false">IF($B963="","",COUNTIFS($B$3:$B963,$B963))</f>
        <v/>
      </c>
      <c r="O963" s="14" t="str">
        <f aca="false">IF($B963="","",$B963&amp;"|"&amp;$N963)</f>
        <v/>
      </c>
    </row>
    <row r="964" customFormat="false" ht="15" hidden="false" customHeight="false" outlineLevel="0" collapsed="false">
      <c r="A964" s="12"/>
      <c r="B964" s="9"/>
      <c r="C964" s="9"/>
      <c r="D964" s="9"/>
      <c r="E964" s="9"/>
      <c r="F964" s="9"/>
      <c r="G964" s="9"/>
      <c r="H964" s="7"/>
      <c r="I964" s="13" t="str">
        <f aca="false">IF(OR($G964="",$H964=""),"",ROUND($G964*$H964,0))</f>
        <v/>
      </c>
      <c r="J964" s="8"/>
      <c r="K964" s="13" t="str">
        <f aca="false">IF($B964="","",SUMIFS($I$3:$I$2002,$B$3:$B$2002,$B964))</f>
        <v/>
      </c>
      <c r="L964" s="13" t="str">
        <f aca="false">IF($B964="","",IF(COUNTIFS($B$3:$B964,$B964)&gt;1,0,IFERROR(LOOKUP($K964,배송비규정!$A$3:$A$32,배송비규정!$B$3:$B$32),0)+IFERROR(INDEX(지역추가비!$B$3:$B$42,MATCH($J964,지역추가비!$A$3:$A$42,0)),0)))</f>
        <v/>
      </c>
      <c r="M964" s="13" t="str">
        <f aca="false">IF($B964="","",IF(COUNTIFS($B$3:$B964,$B964)&gt;1,"",$K964+$L964))</f>
        <v/>
      </c>
      <c r="N964" s="14" t="str">
        <f aca="false">IF($B964="","",COUNTIFS($B$3:$B964,$B964))</f>
        <v/>
      </c>
      <c r="O964" s="14" t="str">
        <f aca="false">IF($B964="","",$B964&amp;"|"&amp;$N964)</f>
        <v/>
      </c>
    </row>
    <row r="965" customFormat="false" ht="15" hidden="false" customHeight="false" outlineLevel="0" collapsed="false">
      <c r="A965" s="12"/>
      <c r="B965" s="9"/>
      <c r="C965" s="9"/>
      <c r="D965" s="9"/>
      <c r="E965" s="9"/>
      <c r="F965" s="9"/>
      <c r="G965" s="9"/>
      <c r="H965" s="7"/>
      <c r="I965" s="13" t="str">
        <f aca="false">IF(OR($G965="",$H965=""),"",ROUND($G965*$H965,0))</f>
        <v/>
      </c>
      <c r="J965" s="8"/>
      <c r="K965" s="13" t="str">
        <f aca="false">IF($B965="","",SUMIFS($I$3:$I$2002,$B$3:$B$2002,$B965))</f>
        <v/>
      </c>
      <c r="L965" s="13" t="str">
        <f aca="false">IF($B965="","",IF(COUNTIFS($B$3:$B965,$B965)&gt;1,0,IFERROR(LOOKUP($K965,배송비규정!$A$3:$A$32,배송비규정!$B$3:$B$32),0)+IFERROR(INDEX(지역추가비!$B$3:$B$42,MATCH($J965,지역추가비!$A$3:$A$42,0)),0)))</f>
        <v/>
      </c>
      <c r="M965" s="13" t="str">
        <f aca="false">IF($B965="","",IF(COUNTIFS($B$3:$B965,$B965)&gt;1,"",$K965+$L965))</f>
        <v/>
      </c>
      <c r="N965" s="14" t="str">
        <f aca="false">IF($B965="","",COUNTIFS($B$3:$B965,$B965))</f>
        <v/>
      </c>
      <c r="O965" s="14" t="str">
        <f aca="false">IF($B965="","",$B965&amp;"|"&amp;$N965)</f>
        <v/>
      </c>
    </row>
    <row r="966" customFormat="false" ht="15" hidden="false" customHeight="false" outlineLevel="0" collapsed="false">
      <c r="A966" s="12"/>
      <c r="B966" s="9"/>
      <c r="C966" s="9"/>
      <c r="D966" s="9"/>
      <c r="E966" s="9"/>
      <c r="F966" s="9"/>
      <c r="G966" s="9"/>
      <c r="H966" s="7"/>
      <c r="I966" s="13" t="str">
        <f aca="false">IF(OR($G966="",$H966=""),"",ROUND($G966*$H966,0))</f>
        <v/>
      </c>
      <c r="J966" s="8"/>
      <c r="K966" s="13" t="str">
        <f aca="false">IF($B966="","",SUMIFS($I$3:$I$2002,$B$3:$B$2002,$B966))</f>
        <v/>
      </c>
      <c r="L966" s="13" t="str">
        <f aca="false">IF($B966="","",IF(COUNTIFS($B$3:$B966,$B966)&gt;1,0,IFERROR(LOOKUP($K966,배송비규정!$A$3:$A$32,배송비규정!$B$3:$B$32),0)+IFERROR(INDEX(지역추가비!$B$3:$B$42,MATCH($J966,지역추가비!$A$3:$A$42,0)),0)))</f>
        <v/>
      </c>
      <c r="M966" s="13" t="str">
        <f aca="false">IF($B966="","",IF(COUNTIFS($B$3:$B966,$B966)&gt;1,"",$K966+$L966))</f>
        <v/>
      </c>
      <c r="N966" s="14" t="str">
        <f aca="false">IF($B966="","",COUNTIFS($B$3:$B966,$B966))</f>
        <v/>
      </c>
      <c r="O966" s="14" t="str">
        <f aca="false">IF($B966="","",$B966&amp;"|"&amp;$N966)</f>
        <v/>
      </c>
    </row>
    <row r="967" customFormat="false" ht="15" hidden="false" customHeight="false" outlineLevel="0" collapsed="false">
      <c r="A967" s="12"/>
      <c r="B967" s="9"/>
      <c r="C967" s="9"/>
      <c r="D967" s="9"/>
      <c r="E967" s="9"/>
      <c r="F967" s="9"/>
      <c r="G967" s="9"/>
      <c r="H967" s="7"/>
      <c r="I967" s="13" t="str">
        <f aca="false">IF(OR($G967="",$H967=""),"",ROUND($G967*$H967,0))</f>
        <v/>
      </c>
      <c r="J967" s="8"/>
      <c r="K967" s="13" t="str">
        <f aca="false">IF($B967="","",SUMIFS($I$3:$I$2002,$B$3:$B$2002,$B967))</f>
        <v/>
      </c>
      <c r="L967" s="13" t="str">
        <f aca="false">IF($B967="","",IF(COUNTIFS($B$3:$B967,$B967)&gt;1,0,IFERROR(LOOKUP($K967,배송비규정!$A$3:$A$32,배송비규정!$B$3:$B$32),0)+IFERROR(INDEX(지역추가비!$B$3:$B$42,MATCH($J967,지역추가비!$A$3:$A$42,0)),0)))</f>
        <v/>
      </c>
      <c r="M967" s="13" t="str">
        <f aca="false">IF($B967="","",IF(COUNTIFS($B$3:$B967,$B967)&gt;1,"",$K967+$L967))</f>
        <v/>
      </c>
      <c r="N967" s="14" t="str">
        <f aca="false">IF($B967="","",COUNTIFS($B$3:$B967,$B967))</f>
        <v/>
      </c>
      <c r="O967" s="14" t="str">
        <f aca="false">IF($B967="","",$B967&amp;"|"&amp;$N967)</f>
        <v/>
      </c>
    </row>
    <row r="968" customFormat="false" ht="15" hidden="false" customHeight="false" outlineLevel="0" collapsed="false">
      <c r="A968" s="12"/>
      <c r="B968" s="9"/>
      <c r="C968" s="9"/>
      <c r="D968" s="9"/>
      <c r="E968" s="9"/>
      <c r="F968" s="9"/>
      <c r="G968" s="9"/>
      <c r="H968" s="7"/>
      <c r="I968" s="13" t="str">
        <f aca="false">IF(OR($G968="",$H968=""),"",ROUND($G968*$H968,0))</f>
        <v/>
      </c>
      <c r="J968" s="8"/>
      <c r="K968" s="13" t="str">
        <f aca="false">IF($B968="","",SUMIFS($I$3:$I$2002,$B$3:$B$2002,$B968))</f>
        <v/>
      </c>
      <c r="L968" s="13" t="str">
        <f aca="false">IF($B968="","",IF(COUNTIFS($B$3:$B968,$B968)&gt;1,0,IFERROR(LOOKUP($K968,배송비규정!$A$3:$A$32,배송비규정!$B$3:$B$32),0)+IFERROR(INDEX(지역추가비!$B$3:$B$42,MATCH($J968,지역추가비!$A$3:$A$42,0)),0)))</f>
        <v/>
      </c>
      <c r="M968" s="13" t="str">
        <f aca="false">IF($B968="","",IF(COUNTIFS($B$3:$B968,$B968)&gt;1,"",$K968+$L968))</f>
        <v/>
      </c>
      <c r="N968" s="14" t="str">
        <f aca="false">IF($B968="","",COUNTIFS($B$3:$B968,$B968))</f>
        <v/>
      </c>
      <c r="O968" s="14" t="str">
        <f aca="false">IF($B968="","",$B968&amp;"|"&amp;$N968)</f>
        <v/>
      </c>
    </row>
    <row r="969" customFormat="false" ht="15" hidden="false" customHeight="false" outlineLevel="0" collapsed="false">
      <c r="A969" s="12"/>
      <c r="B969" s="9"/>
      <c r="C969" s="9"/>
      <c r="D969" s="9"/>
      <c r="E969" s="9"/>
      <c r="F969" s="9"/>
      <c r="G969" s="9"/>
      <c r="H969" s="7"/>
      <c r="I969" s="13" t="str">
        <f aca="false">IF(OR($G969="",$H969=""),"",ROUND($G969*$H969,0))</f>
        <v/>
      </c>
      <c r="J969" s="8"/>
      <c r="K969" s="13" t="str">
        <f aca="false">IF($B969="","",SUMIFS($I$3:$I$2002,$B$3:$B$2002,$B969))</f>
        <v/>
      </c>
      <c r="L969" s="13" t="str">
        <f aca="false">IF($B969="","",IF(COUNTIFS($B$3:$B969,$B969)&gt;1,0,IFERROR(LOOKUP($K969,배송비규정!$A$3:$A$32,배송비규정!$B$3:$B$32),0)+IFERROR(INDEX(지역추가비!$B$3:$B$42,MATCH($J969,지역추가비!$A$3:$A$42,0)),0)))</f>
        <v/>
      </c>
      <c r="M969" s="13" t="str">
        <f aca="false">IF($B969="","",IF(COUNTIFS($B$3:$B969,$B969)&gt;1,"",$K969+$L969))</f>
        <v/>
      </c>
      <c r="N969" s="14" t="str">
        <f aca="false">IF($B969="","",COUNTIFS($B$3:$B969,$B969))</f>
        <v/>
      </c>
      <c r="O969" s="14" t="str">
        <f aca="false">IF($B969="","",$B969&amp;"|"&amp;$N969)</f>
        <v/>
      </c>
    </row>
    <row r="970" customFormat="false" ht="15" hidden="false" customHeight="false" outlineLevel="0" collapsed="false">
      <c r="A970" s="12"/>
      <c r="B970" s="9"/>
      <c r="C970" s="9"/>
      <c r="D970" s="9"/>
      <c r="E970" s="9"/>
      <c r="F970" s="9"/>
      <c r="G970" s="9"/>
      <c r="H970" s="7"/>
      <c r="I970" s="13" t="str">
        <f aca="false">IF(OR($G970="",$H970=""),"",ROUND($G970*$H970,0))</f>
        <v/>
      </c>
      <c r="J970" s="8"/>
      <c r="K970" s="13" t="str">
        <f aca="false">IF($B970="","",SUMIFS($I$3:$I$2002,$B$3:$B$2002,$B970))</f>
        <v/>
      </c>
      <c r="L970" s="13" t="str">
        <f aca="false">IF($B970="","",IF(COUNTIFS($B$3:$B970,$B970)&gt;1,0,IFERROR(LOOKUP($K970,배송비규정!$A$3:$A$32,배송비규정!$B$3:$B$32),0)+IFERROR(INDEX(지역추가비!$B$3:$B$42,MATCH($J970,지역추가비!$A$3:$A$42,0)),0)))</f>
        <v/>
      </c>
      <c r="M970" s="13" t="str">
        <f aca="false">IF($B970="","",IF(COUNTIFS($B$3:$B970,$B970)&gt;1,"",$K970+$L970))</f>
        <v/>
      </c>
      <c r="N970" s="14" t="str">
        <f aca="false">IF($B970="","",COUNTIFS($B$3:$B970,$B970))</f>
        <v/>
      </c>
      <c r="O970" s="14" t="str">
        <f aca="false">IF($B970="","",$B970&amp;"|"&amp;$N970)</f>
        <v/>
      </c>
    </row>
    <row r="971" customFormat="false" ht="15" hidden="false" customHeight="false" outlineLevel="0" collapsed="false">
      <c r="A971" s="12"/>
      <c r="B971" s="9"/>
      <c r="C971" s="9"/>
      <c r="D971" s="9"/>
      <c r="E971" s="9"/>
      <c r="F971" s="9"/>
      <c r="G971" s="9"/>
      <c r="H971" s="7"/>
      <c r="I971" s="13" t="str">
        <f aca="false">IF(OR($G971="",$H971=""),"",ROUND($G971*$H971,0))</f>
        <v/>
      </c>
      <c r="J971" s="8"/>
      <c r="K971" s="13" t="str">
        <f aca="false">IF($B971="","",SUMIFS($I$3:$I$2002,$B$3:$B$2002,$B971))</f>
        <v/>
      </c>
      <c r="L971" s="13" t="str">
        <f aca="false">IF($B971="","",IF(COUNTIFS($B$3:$B971,$B971)&gt;1,0,IFERROR(LOOKUP($K971,배송비규정!$A$3:$A$32,배송비규정!$B$3:$B$32),0)+IFERROR(INDEX(지역추가비!$B$3:$B$42,MATCH($J971,지역추가비!$A$3:$A$42,0)),0)))</f>
        <v/>
      </c>
      <c r="M971" s="13" t="str">
        <f aca="false">IF($B971="","",IF(COUNTIFS($B$3:$B971,$B971)&gt;1,"",$K971+$L971))</f>
        <v/>
      </c>
      <c r="N971" s="14" t="str">
        <f aca="false">IF($B971="","",COUNTIFS($B$3:$B971,$B971))</f>
        <v/>
      </c>
      <c r="O971" s="14" t="str">
        <f aca="false">IF($B971="","",$B971&amp;"|"&amp;$N971)</f>
        <v/>
      </c>
    </row>
    <row r="972" customFormat="false" ht="15" hidden="false" customHeight="false" outlineLevel="0" collapsed="false">
      <c r="A972" s="12"/>
      <c r="B972" s="9"/>
      <c r="C972" s="9"/>
      <c r="D972" s="9"/>
      <c r="E972" s="9"/>
      <c r="F972" s="9"/>
      <c r="G972" s="9"/>
      <c r="H972" s="7"/>
      <c r="I972" s="13" t="str">
        <f aca="false">IF(OR($G972="",$H972=""),"",ROUND($G972*$H972,0))</f>
        <v/>
      </c>
      <c r="J972" s="8"/>
      <c r="K972" s="13" t="str">
        <f aca="false">IF($B972="","",SUMIFS($I$3:$I$2002,$B$3:$B$2002,$B972))</f>
        <v/>
      </c>
      <c r="L972" s="13" t="str">
        <f aca="false">IF($B972="","",IF(COUNTIFS($B$3:$B972,$B972)&gt;1,0,IFERROR(LOOKUP($K972,배송비규정!$A$3:$A$32,배송비규정!$B$3:$B$32),0)+IFERROR(INDEX(지역추가비!$B$3:$B$42,MATCH($J972,지역추가비!$A$3:$A$42,0)),0)))</f>
        <v/>
      </c>
      <c r="M972" s="13" t="str">
        <f aca="false">IF($B972="","",IF(COUNTIFS($B$3:$B972,$B972)&gt;1,"",$K972+$L972))</f>
        <v/>
      </c>
      <c r="N972" s="14" t="str">
        <f aca="false">IF($B972="","",COUNTIFS($B$3:$B972,$B972))</f>
        <v/>
      </c>
      <c r="O972" s="14" t="str">
        <f aca="false">IF($B972="","",$B972&amp;"|"&amp;$N972)</f>
        <v/>
      </c>
    </row>
    <row r="973" customFormat="false" ht="15" hidden="false" customHeight="false" outlineLevel="0" collapsed="false">
      <c r="A973" s="12"/>
      <c r="B973" s="9"/>
      <c r="C973" s="9"/>
      <c r="D973" s="9"/>
      <c r="E973" s="9"/>
      <c r="F973" s="9"/>
      <c r="G973" s="9"/>
      <c r="H973" s="7"/>
      <c r="I973" s="13" t="str">
        <f aca="false">IF(OR($G973="",$H973=""),"",ROUND($G973*$H973,0))</f>
        <v/>
      </c>
      <c r="J973" s="8"/>
      <c r="K973" s="13" t="str">
        <f aca="false">IF($B973="","",SUMIFS($I$3:$I$2002,$B$3:$B$2002,$B973))</f>
        <v/>
      </c>
      <c r="L973" s="13" t="str">
        <f aca="false">IF($B973="","",IF(COUNTIFS($B$3:$B973,$B973)&gt;1,0,IFERROR(LOOKUP($K973,배송비규정!$A$3:$A$32,배송비규정!$B$3:$B$32),0)+IFERROR(INDEX(지역추가비!$B$3:$B$42,MATCH($J973,지역추가비!$A$3:$A$42,0)),0)))</f>
        <v/>
      </c>
      <c r="M973" s="13" t="str">
        <f aca="false">IF($B973="","",IF(COUNTIFS($B$3:$B973,$B973)&gt;1,"",$K973+$L973))</f>
        <v/>
      </c>
      <c r="N973" s="14" t="str">
        <f aca="false">IF($B973="","",COUNTIFS($B$3:$B973,$B973))</f>
        <v/>
      </c>
      <c r="O973" s="14" t="str">
        <f aca="false">IF($B973="","",$B973&amp;"|"&amp;$N973)</f>
        <v/>
      </c>
    </row>
    <row r="974" customFormat="false" ht="15" hidden="false" customHeight="false" outlineLevel="0" collapsed="false">
      <c r="A974" s="12"/>
      <c r="B974" s="9"/>
      <c r="C974" s="9"/>
      <c r="D974" s="9"/>
      <c r="E974" s="9"/>
      <c r="F974" s="9"/>
      <c r="G974" s="9"/>
      <c r="H974" s="7"/>
      <c r="I974" s="13" t="str">
        <f aca="false">IF(OR($G974="",$H974=""),"",ROUND($G974*$H974,0))</f>
        <v/>
      </c>
      <c r="J974" s="8"/>
      <c r="K974" s="13" t="str">
        <f aca="false">IF($B974="","",SUMIFS($I$3:$I$2002,$B$3:$B$2002,$B974))</f>
        <v/>
      </c>
      <c r="L974" s="13" t="str">
        <f aca="false">IF($B974="","",IF(COUNTIFS($B$3:$B974,$B974)&gt;1,0,IFERROR(LOOKUP($K974,배송비규정!$A$3:$A$32,배송비규정!$B$3:$B$32),0)+IFERROR(INDEX(지역추가비!$B$3:$B$42,MATCH($J974,지역추가비!$A$3:$A$42,0)),0)))</f>
        <v/>
      </c>
      <c r="M974" s="13" t="str">
        <f aca="false">IF($B974="","",IF(COUNTIFS($B$3:$B974,$B974)&gt;1,"",$K974+$L974))</f>
        <v/>
      </c>
      <c r="N974" s="14" t="str">
        <f aca="false">IF($B974="","",COUNTIFS($B$3:$B974,$B974))</f>
        <v/>
      </c>
      <c r="O974" s="14" t="str">
        <f aca="false">IF($B974="","",$B974&amp;"|"&amp;$N974)</f>
        <v/>
      </c>
    </row>
    <row r="975" customFormat="false" ht="15" hidden="false" customHeight="false" outlineLevel="0" collapsed="false">
      <c r="A975" s="12"/>
      <c r="B975" s="9"/>
      <c r="C975" s="9"/>
      <c r="D975" s="9"/>
      <c r="E975" s="9"/>
      <c r="F975" s="9"/>
      <c r="G975" s="9"/>
      <c r="H975" s="7"/>
      <c r="I975" s="13" t="str">
        <f aca="false">IF(OR($G975="",$H975=""),"",ROUND($G975*$H975,0))</f>
        <v/>
      </c>
      <c r="J975" s="8"/>
      <c r="K975" s="13" t="str">
        <f aca="false">IF($B975="","",SUMIFS($I$3:$I$2002,$B$3:$B$2002,$B975))</f>
        <v/>
      </c>
      <c r="L975" s="13" t="str">
        <f aca="false">IF($B975="","",IF(COUNTIFS($B$3:$B975,$B975)&gt;1,0,IFERROR(LOOKUP($K975,배송비규정!$A$3:$A$32,배송비규정!$B$3:$B$32),0)+IFERROR(INDEX(지역추가비!$B$3:$B$42,MATCH($J975,지역추가비!$A$3:$A$42,0)),0)))</f>
        <v/>
      </c>
      <c r="M975" s="13" t="str">
        <f aca="false">IF($B975="","",IF(COUNTIFS($B$3:$B975,$B975)&gt;1,"",$K975+$L975))</f>
        <v/>
      </c>
      <c r="N975" s="14" t="str">
        <f aca="false">IF($B975="","",COUNTIFS($B$3:$B975,$B975))</f>
        <v/>
      </c>
      <c r="O975" s="14" t="str">
        <f aca="false">IF($B975="","",$B975&amp;"|"&amp;$N975)</f>
        <v/>
      </c>
    </row>
    <row r="976" customFormat="false" ht="15" hidden="false" customHeight="false" outlineLevel="0" collapsed="false">
      <c r="A976" s="12"/>
      <c r="B976" s="9"/>
      <c r="C976" s="9"/>
      <c r="D976" s="9"/>
      <c r="E976" s="9"/>
      <c r="F976" s="9"/>
      <c r="G976" s="9"/>
      <c r="H976" s="7"/>
      <c r="I976" s="13" t="str">
        <f aca="false">IF(OR($G976="",$H976=""),"",ROUND($G976*$H976,0))</f>
        <v/>
      </c>
      <c r="J976" s="8"/>
      <c r="K976" s="13" t="str">
        <f aca="false">IF($B976="","",SUMIFS($I$3:$I$2002,$B$3:$B$2002,$B976))</f>
        <v/>
      </c>
      <c r="L976" s="13" t="str">
        <f aca="false">IF($B976="","",IF(COUNTIFS($B$3:$B976,$B976)&gt;1,0,IFERROR(LOOKUP($K976,배송비규정!$A$3:$A$32,배송비규정!$B$3:$B$32),0)+IFERROR(INDEX(지역추가비!$B$3:$B$42,MATCH($J976,지역추가비!$A$3:$A$42,0)),0)))</f>
        <v/>
      </c>
      <c r="M976" s="13" t="str">
        <f aca="false">IF($B976="","",IF(COUNTIFS($B$3:$B976,$B976)&gt;1,"",$K976+$L976))</f>
        <v/>
      </c>
      <c r="N976" s="14" t="str">
        <f aca="false">IF($B976="","",COUNTIFS($B$3:$B976,$B976))</f>
        <v/>
      </c>
      <c r="O976" s="14" t="str">
        <f aca="false">IF($B976="","",$B976&amp;"|"&amp;$N976)</f>
        <v/>
      </c>
    </row>
    <row r="977" customFormat="false" ht="15" hidden="false" customHeight="false" outlineLevel="0" collapsed="false">
      <c r="A977" s="12"/>
      <c r="B977" s="9"/>
      <c r="C977" s="9"/>
      <c r="D977" s="9"/>
      <c r="E977" s="9"/>
      <c r="F977" s="9"/>
      <c r="G977" s="9"/>
      <c r="H977" s="7"/>
      <c r="I977" s="13" t="str">
        <f aca="false">IF(OR($G977="",$H977=""),"",ROUND($G977*$H977,0))</f>
        <v/>
      </c>
      <c r="J977" s="8"/>
      <c r="K977" s="13" t="str">
        <f aca="false">IF($B977="","",SUMIFS($I$3:$I$2002,$B$3:$B$2002,$B977))</f>
        <v/>
      </c>
      <c r="L977" s="13" t="str">
        <f aca="false">IF($B977="","",IF(COUNTIFS($B$3:$B977,$B977)&gt;1,0,IFERROR(LOOKUP($K977,배송비규정!$A$3:$A$32,배송비규정!$B$3:$B$32),0)+IFERROR(INDEX(지역추가비!$B$3:$B$42,MATCH($J977,지역추가비!$A$3:$A$42,0)),0)))</f>
        <v/>
      </c>
      <c r="M977" s="13" t="str">
        <f aca="false">IF($B977="","",IF(COUNTIFS($B$3:$B977,$B977)&gt;1,"",$K977+$L977))</f>
        <v/>
      </c>
      <c r="N977" s="14" t="str">
        <f aca="false">IF($B977="","",COUNTIFS($B$3:$B977,$B977))</f>
        <v/>
      </c>
      <c r="O977" s="14" t="str">
        <f aca="false">IF($B977="","",$B977&amp;"|"&amp;$N977)</f>
        <v/>
      </c>
    </row>
    <row r="978" customFormat="false" ht="15" hidden="false" customHeight="false" outlineLevel="0" collapsed="false">
      <c r="A978" s="12"/>
      <c r="B978" s="9"/>
      <c r="C978" s="9"/>
      <c r="D978" s="9"/>
      <c r="E978" s="9"/>
      <c r="F978" s="9"/>
      <c r="G978" s="9"/>
      <c r="H978" s="7"/>
      <c r="I978" s="13" t="str">
        <f aca="false">IF(OR($G978="",$H978=""),"",ROUND($G978*$H978,0))</f>
        <v/>
      </c>
      <c r="J978" s="8"/>
      <c r="K978" s="13" t="str">
        <f aca="false">IF($B978="","",SUMIFS($I$3:$I$2002,$B$3:$B$2002,$B978))</f>
        <v/>
      </c>
      <c r="L978" s="13" t="str">
        <f aca="false">IF($B978="","",IF(COUNTIFS($B$3:$B978,$B978)&gt;1,0,IFERROR(LOOKUP($K978,배송비규정!$A$3:$A$32,배송비규정!$B$3:$B$32),0)+IFERROR(INDEX(지역추가비!$B$3:$B$42,MATCH($J978,지역추가비!$A$3:$A$42,0)),0)))</f>
        <v/>
      </c>
      <c r="M978" s="13" t="str">
        <f aca="false">IF($B978="","",IF(COUNTIFS($B$3:$B978,$B978)&gt;1,"",$K978+$L978))</f>
        <v/>
      </c>
      <c r="N978" s="14" t="str">
        <f aca="false">IF($B978="","",COUNTIFS($B$3:$B978,$B978))</f>
        <v/>
      </c>
      <c r="O978" s="14" t="str">
        <f aca="false">IF($B978="","",$B978&amp;"|"&amp;$N978)</f>
        <v/>
      </c>
    </row>
    <row r="979" customFormat="false" ht="15" hidden="false" customHeight="false" outlineLevel="0" collapsed="false">
      <c r="A979" s="12"/>
      <c r="B979" s="9"/>
      <c r="C979" s="9"/>
      <c r="D979" s="9"/>
      <c r="E979" s="9"/>
      <c r="F979" s="9"/>
      <c r="G979" s="9"/>
      <c r="H979" s="7"/>
      <c r="I979" s="13" t="str">
        <f aca="false">IF(OR($G979="",$H979=""),"",ROUND($G979*$H979,0))</f>
        <v/>
      </c>
      <c r="J979" s="8"/>
      <c r="K979" s="13" t="str">
        <f aca="false">IF($B979="","",SUMIFS($I$3:$I$2002,$B$3:$B$2002,$B979))</f>
        <v/>
      </c>
      <c r="L979" s="13" t="str">
        <f aca="false">IF($B979="","",IF(COUNTIFS($B$3:$B979,$B979)&gt;1,0,IFERROR(LOOKUP($K979,배송비규정!$A$3:$A$32,배송비규정!$B$3:$B$32),0)+IFERROR(INDEX(지역추가비!$B$3:$B$42,MATCH($J979,지역추가비!$A$3:$A$42,0)),0)))</f>
        <v/>
      </c>
      <c r="M979" s="13" t="str">
        <f aca="false">IF($B979="","",IF(COUNTIFS($B$3:$B979,$B979)&gt;1,"",$K979+$L979))</f>
        <v/>
      </c>
      <c r="N979" s="14" t="str">
        <f aca="false">IF($B979="","",COUNTIFS($B$3:$B979,$B979))</f>
        <v/>
      </c>
      <c r="O979" s="14" t="str">
        <f aca="false">IF($B979="","",$B979&amp;"|"&amp;$N979)</f>
        <v/>
      </c>
    </row>
    <row r="980" customFormat="false" ht="15" hidden="false" customHeight="false" outlineLevel="0" collapsed="false">
      <c r="A980" s="12"/>
      <c r="B980" s="9"/>
      <c r="C980" s="9"/>
      <c r="D980" s="9"/>
      <c r="E980" s="9"/>
      <c r="F980" s="9"/>
      <c r="G980" s="9"/>
      <c r="H980" s="7"/>
      <c r="I980" s="13" t="str">
        <f aca="false">IF(OR($G980="",$H980=""),"",ROUND($G980*$H980,0))</f>
        <v/>
      </c>
      <c r="J980" s="8"/>
      <c r="K980" s="13" t="str">
        <f aca="false">IF($B980="","",SUMIFS($I$3:$I$2002,$B$3:$B$2002,$B980))</f>
        <v/>
      </c>
      <c r="L980" s="13" t="str">
        <f aca="false">IF($B980="","",IF(COUNTIFS($B$3:$B980,$B980)&gt;1,0,IFERROR(LOOKUP($K980,배송비규정!$A$3:$A$32,배송비규정!$B$3:$B$32),0)+IFERROR(INDEX(지역추가비!$B$3:$B$42,MATCH($J980,지역추가비!$A$3:$A$42,0)),0)))</f>
        <v/>
      </c>
      <c r="M980" s="13" t="str">
        <f aca="false">IF($B980="","",IF(COUNTIFS($B$3:$B980,$B980)&gt;1,"",$K980+$L980))</f>
        <v/>
      </c>
      <c r="N980" s="14" t="str">
        <f aca="false">IF($B980="","",COUNTIFS($B$3:$B980,$B980))</f>
        <v/>
      </c>
      <c r="O980" s="14" t="str">
        <f aca="false">IF($B980="","",$B980&amp;"|"&amp;$N980)</f>
        <v/>
      </c>
    </row>
    <row r="981" customFormat="false" ht="15" hidden="false" customHeight="false" outlineLevel="0" collapsed="false">
      <c r="A981" s="12"/>
      <c r="B981" s="9"/>
      <c r="C981" s="9"/>
      <c r="D981" s="9"/>
      <c r="E981" s="9"/>
      <c r="F981" s="9"/>
      <c r="G981" s="9"/>
      <c r="H981" s="7"/>
      <c r="I981" s="13" t="str">
        <f aca="false">IF(OR($G981="",$H981=""),"",ROUND($G981*$H981,0))</f>
        <v/>
      </c>
      <c r="J981" s="8"/>
      <c r="K981" s="13" t="str">
        <f aca="false">IF($B981="","",SUMIFS($I$3:$I$2002,$B$3:$B$2002,$B981))</f>
        <v/>
      </c>
      <c r="L981" s="13" t="str">
        <f aca="false">IF($B981="","",IF(COUNTIFS($B$3:$B981,$B981)&gt;1,0,IFERROR(LOOKUP($K981,배송비규정!$A$3:$A$32,배송비규정!$B$3:$B$32),0)+IFERROR(INDEX(지역추가비!$B$3:$B$42,MATCH($J981,지역추가비!$A$3:$A$42,0)),0)))</f>
        <v/>
      </c>
      <c r="M981" s="13" t="str">
        <f aca="false">IF($B981="","",IF(COUNTIFS($B$3:$B981,$B981)&gt;1,"",$K981+$L981))</f>
        <v/>
      </c>
      <c r="N981" s="14" t="str">
        <f aca="false">IF($B981="","",COUNTIFS($B$3:$B981,$B981))</f>
        <v/>
      </c>
      <c r="O981" s="14" t="str">
        <f aca="false">IF($B981="","",$B981&amp;"|"&amp;$N981)</f>
        <v/>
      </c>
    </row>
    <row r="982" customFormat="false" ht="15" hidden="false" customHeight="false" outlineLevel="0" collapsed="false">
      <c r="A982" s="12"/>
      <c r="B982" s="9"/>
      <c r="C982" s="9"/>
      <c r="D982" s="9"/>
      <c r="E982" s="9"/>
      <c r="F982" s="9"/>
      <c r="G982" s="9"/>
      <c r="H982" s="7"/>
      <c r="I982" s="13" t="str">
        <f aca="false">IF(OR($G982="",$H982=""),"",ROUND($G982*$H982,0))</f>
        <v/>
      </c>
      <c r="J982" s="8"/>
      <c r="K982" s="13" t="str">
        <f aca="false">IF($B982="","",SUMIFS($I$3:$I$2002,$B$3:$B$2002,$B982))</f>
        <v/>
      </c>
      <c r="L982" s="13" t="str">
        <f aca="false">IF($B982="","",IF(COUNTIFS($B$3:$B982,$B982)&gt;1,0,IFERROR(LOOKUP($K982,배송비규정!$A$3:$A$32,배송비규정!$B$3:$B$32),0)+IFERROR(INDEX(지역추가비!$B$3:$B$42,MATCH($J982,지역추가비!$A$3:$A$42,0)),0)))</f>
        <v/>
      </c>
      <c r="M982" s="13" t="str">
        <f aca="false">IF($B982="","",IF(COUNTIFS($B$3:$B982,$B982)&gt;1,"",$K982+$L982))</f>
        <v/>
      </c>
      <c r="N982" s="14" t="str">
        <f aca="false">IF($B982="","",COUNTIFS($B$3:$B982,$B982))</f>
        <v/>
      </c>
      <c r="O982" s="14" t="str">
        <f aca="false">IF($B982="","",$B982&amp;"|"&amp;$N982)</f>
        <v/>
      </c>
    </row>
    <row r="983" customFormat="false" ht="15" hidden="false" customHeight="false" outlineLevel="0" collapsed="false">
      <c r="A983" s="12"/>
      <c r="B983" s="9"/>
      <c r="C983" s="9"/>
      <c r="D983" s="9"/>
      <c r="E983" s="9"/>
      <c r="F983" s="9"/>
      <c r="G983" s="9"/>
      <c r="H983" s="7"/>
      <c r="I983" s="13" t="str">
        <f aca="false">IF(OR($G983="",$H983=""),"",ROUND($G983*$H983,0))</f>
        <v/>
      </c>
      <c r="J983" s="8"/>
      <c r="K983" s="13" t="str">
        <f aca="false">IF($B983="","",SUMIFS($I$3:$I$2002,$B$3:$B$2002,$B983))</f>
        <v/>
      </c>
      <c r="L983" s="13" t="str">
        <f aca="false">IF($B983="","",IF(COUNTIFS($B$3:$B983,$B983)&gt;1,0,IFERROR(LOOKUP($K983,배송비규정!$A$3:$A$32,배송비규정!$B$3:$B$32),0)+IFERROR(INDEX(지역추가비!$B$3:$B$42,MATCH($J983,지역추가비!$A$3:$A$42,0)),0)))</f>
        <v/>
      </c>
      <c r="M983" s="13" t="str">
        <f aca="false">IF($B983="","",IF(COUNTIFS($B$3:$B983,$B983)&gt;1,"",$K983+$L983))</f>
        <v/>
      </c>
      <c r="N983" s="14" t="str">
        <f aca="false">IF($B983="","",COUNTIFS($B$3:$B983,$B983))</f>
        <v/>
      </c>
      <c r="O983" s="14" t="str">
        <f aca="false">IF($B983="","",$B983&amp;"|"&amp;$N983)</f>
        <v/>
      </c>
    </row>
    <row r="984" customFormat="false" ht="15" hidden="false" customHeight="false" outlineLevel="0" collapsed="false">
      <c r="A984" s="12"/>
      <c r="B984" s="9"/>
      <c r="C984" s="9"/>
      <c r="D984" s="9"/>
      <c r="E984" s="9"/>
      <c r="F984" s="9"/>
      <c r="G984" s="9"/>
      <c r="H984" s="7"/>
      <c r="I984" s="13" t="str">
        <f aca="false">IF(OR($G984="",$H984=""),"",ROUND($G984*$H984,0))</f>
        <v/>
      </c>
      <c r="J984" s="8"/>
      <c r="K984" s="13" t="str">
        <f aca="false">IF($B984="","",SUMIFS($I$3:$I$2002,$B$3:$B$2002,$B984))</f>
        <v/>
      </c>
      <c r="L984" s="13" t="str">
        <f aca="false">IF($B984="","",IF(COUNTIFS($B$3:$B984,$B984)&gt;1,0,IFERROR(LOOKUP($K984,배송비규정!$A$3:$A$32,배송비규정!$B$3:$B$32),0)+IFERROR(INDEX(지역추가비!$B$3:$B$42,MATCH($J984,지역추가비!$A$3:$A$42,0)),0)))</f>
        <v/>
      </c>
      <c r="M984" s="13" t="str">
        <f aca="false">IF($B984="","",IF(COUNTIFS($B$3:$B984,$B984)&gt;1,"",$K984+$L984))</f>
        <v/>
      </c>
      <c r="N984" s="14" t="str">
        <f aca="false">IF($B984="","",COUNTIFS($B$3:$B984,$B984))</f>
        <v/>
      </c>
      <c r="O984" s="14" t="str">
        <f aca="false">IF($B984="","",$B984&amp;"|"&amp;$N984)</f>
        <v/>
      </c>
    </row>
    <row r="985" customFormat="false" ht="15" hidden="false" customHeight="false" outlineLevel="0" collapsed="false">
      <c r="A985" s="12"/>
      <c r="B985" s="9"/>
      <c r="C985" s="9"/>
      <c r="D985" s="9"/>
      <c r="E985" s="9"/>
      <c r="F985" s="9"/>
      <c r="G985" s="9"/>
      <c r="H985" s="7"/>
      <c r="I985" s="13" t="str">
        <f aca="false">IF(OR($G985="",$H985=""),"",ROUND($G985*$H985,0))</f>
        <v/>
      </c>
      <c r="J985" s="8"/>
      <c r="K985" s="13" t="str">
        <f aca="false">IF($B985="","",SUMIFS($I$3:$I$2002,$B$3:$B$2002,$B985))</f>
        <v/>
      </c>
      <c r="L985" s="13" t="str">
        <f aca="false">IF($B985="","",IF(COUNTIFS($B$3:$B985,$B985)&gt;1,0,IFERROR(LOOKUP($K985,배송비규정!$A$3:$A$32,배송비규정!$B$3:$B$32),0)+IFERROR(INDEX(지역추가비!$B$3:$B$42,MATCH($J985,지역추가비!$A$3:$A$42,0)),0)))</f>
        <v/>
      </c>
      <c r="M985" s="13" t="str">
        <f aca="false">IF($B985="","",IF(COUNTIFS($B$3:$B985,$B985)&gt;1,"",$K985+$L985))</f>
        <v/>
      </c>
      <c r="N985" s="14" t="str">
        <f aca="false">IF($B985="","",COUNTIFS($B$3:$B985,$B985))</f>
        <v/>
      </c>
      <c r="O985" s="14" t="str">
        <f aca="false">IF($B985="","",$B985&amp;"|"&amp;$N985)</f>
        <v/>
      </c>
    </row>
    <row r="986" customFormat="false" ht="15" hidden="false" customHeight="false" outlineLevel="0" collapsed="false">
      <c r="A986" s="12"/>
      <c r="B986" s="9"/>
      <c r="C986" s="9"/>
      <c r="D986" s="9"/>
      <c r="E986" s="9"/>
      <c r="F986" s="9"/>
      <c r="G986" s="9"/>
      <c r="H986" s="7"/>
      <c r="I986" s="13" t="str">
        <f aca="false">IF(OR($G986="",$H986=""),"",ROUND($G986*$H986,0))</f>
        <v/>
      </c>
      <c r="J986" s="8"/>
      <c r="K986" s="13" t="str">
        <f aca="false">IF($B986="","",SUMIFS($I$3:$I$2002,$B$3:$B$2002,$B986))</f>
        <v/>
      </c>
      <c r="L986" s="13" t="str">
        <f aca="false">IF($B986="","",IF(COUNTIFS($B$3:$B986,$B986)&gt;1,0,IFERROR(LOOKUP($K986,배송비규정!$A$3:$A$32,배송비규정!$B$3:$B$32),0)+IFERROR(INDEX(지역추가비!$B$3:$B$42,MATCH($J986,지역추가비!$A$3:$A$42,0)),0)))</f>
        <v/>
      </c>
      <c r="M986" s="13" t="str">
        <f aca="false">IF($B986="","",IF(COUNTIFS($B$3:$B986,$B986)&gt;1,"",$K986+$L986))</f>
        <v/>
      </c>
      <c r="N986" s="14" t="str">
        <f aca="false">IF($B986="","",COUNTIFS($B$3:$B986,$B986))</f>
        <v/>
      </c>
      <c r="O986" s="14" t="str">
        <f aca="false">IF($B986="","",$B986&amp;"|"&amp;$N986)</f>
        <v/>
      </c>
    </row>
    <row r="987" customFormat="false" ht="15" hidden="false" customHeight="false" outlineLevel="0" collapsed="false">
      <c r="A987" s="12"/>
      <c r="B987" s="9"/>
      <c r="C987" s="9"/>
      <c r="D987" s="9"/>
      <c r="E987" s="9"/>
      <c r="F987" s="9"/>
      <c r="G987" s="9"/>
      <c r="H987" s="7"/>
      <c r="I987" s="13" t="str">
        <f aca="false">IF(OR($G987="",$H987=""),"",ROUND($G987*$H987,0))</f>
        <v/>
      </c>
      <c r="J987" s="8"/>
      <c r="K987" s="13" t="str">
        <f aca="false">IF($B987="","",SUMIFS($I$3:$I$2002,$B$3:$B$2002,$B987))</f>
        <v/>
      </c>
      <c r="L987" s="13" t="str">
        <f aca="false">IF($B987="","",IF(COUNTIFS($B$3:$B987,$B987)&gt;1,0,IFERROR(LOOKUP($K987,배송비규정!$A$3:$A$32,배송비규정!$B$3:$B$32),0)+IFERROR(INDEX(지역추가비!$B$3:$B$42,MATCH($J987,지역추가비!$A$3:$A$42,0)),0)))</f>
        <v/>
      </c>
      <c r="M987" s="13" t="str">
        <f aca="false">IF($B987="","",IF(COUNTIFS($B$3:$B987,$B987)&gt;1,"",$K987+$L987))</f>
        <v/>
      </c>
      <c r="N987" s="14" t="str">
        <f aca="false">IF($B987="","",COUNTIFS($B$3:$B987,$B987))</f>
        <v/>
      </c>
      <c r="O987" s="14" t="str">
        <f aca="false">IF($B987="","",$B987&amp;"|"&amp;$N987)</f>
        <v/>
      </c>
    </row>
    <row r="988" customFormat="false" ht="15" hidden="false" customHeight="false" outlineLevel="0" collapsed="false">
      <c r="A988" s="12"/>
      <c r="B988" s="9"/>
      <c r="C988" s="9"/>
      <c r="D988" s="9"/>
      <c r="E988" s="9"/>
      <c r="F988" s="9"/>
      <c r="G988" s="9"/>
      <c r="H988" s="7"/>
      <c r="I988" s="13" t="str">
        <f aca="false">IF(OR($G988="",$H988=""),"",ROUND($G988*$H988,0))</f>
        <v/>
      </c>
      <c r="J988" s="8"/>
      <c r="K988" s="13" t="str">
        <f aca="false">IF($B988="","",SUMIFS($I$3:$I$2002,$B$3:$B$2002,$B988))</f>
        <v/>
      </c>
      <c r="L988" s="13" t="str">
        <f aca="false">IF($B988="","",IF(COUNTIFS($B$3:$B988,$B988)&gt;1,0,IFERROR(LOOKUP($K988,배송비규정!$A$3:$A$32,배송비규정!$B$3:$B$32),0)+IFERROR(INDEX(지역추가비!$B$3:$B$42,MATCH($J988,지역추가비!$A$3:$A$42,0)),0)))</f>
        <v/>
      </c>
      <c r="M988" s="13" t="str">
        <f aca="false">IF($B988="","",IF(COUNTIFS($B$3:$B988,$B988)&gt;1,"",$K988+$L988))</f>
        <v/>
      </c>
      <c r="N988" s="14" t="str">
        <f aca="false">IF($B988="","",COUNTIFS($B$3:$B988,$B988))</f>
        <v/>
      </c>
      <c r="O988" s="14" t="str">
        <f aca="false">IF($B988="","",$B988&amp;"|"&amp;$N988)</f>
        <v/>
      </c>
    </row>
    <row r="989" customFormat="false" ht="15" hidden="false" customHeight="false" outlineLevel="0" collapsed="false">
      <c r="A989" s="12"/>
      <c r="B989" s="9"/>
      <c r="C989" s="9"/>
      <c r="D989" s="9"/>
      <c r="E989" s="9"/>
      <c r="F989" s="9"/>
      <c r="G989" s="9"/>
      <c r="H989" s="7"/>
      <c r="I989" s="13" t="str">
        <f aca="false">IF(OR($G989="",$H989=""),"",ROUND($G989*$H989,0))</f>
        <v/>
      </c>
      <c r="J989" s="8"/>
      <c r="K989" s="13" t="str">
        <f aca="false">IF($B989="","",SUMIFS($I$3:$I$2002,$B$3:$B$2002,$B989))</f>
        <v/>
      </c>
      <c r="L989" s="13" t="str">
        <f aca="false">IF($B989="","",IF(COUNTIFS($B$3:$B989,$B989)&gt;1,0,IFERROR(LOOKUP($K989,배송비규정!$A$3:$A$32,배송비규정!$B$3:$B$32),0)+IFERROR(INDEX(지역추가비!$B$3:$B$42,MATCH($J989,지역추가비!$A$3:$A$42,0)),0)))</f>
        <v/>
      </c>
      <c r="M989" s="13" t="str">
        <f aca="false">IF($B989="","",IF(COUNTIFS($B$3:$B989,$B989)&gt;1,"",$K989+$L989))</f>
        <v/>
      </c>
      <c r="N989" s="14" t="str">
        <f aca="false">IF($B989="","",COUNTIFS($B$3:$B989,$B989))</f>
        <v/>
      </c>
      <c r="O989" s="14" t="str">
        <f aca="false">IF($B989="","",$B989&amp;"|"&amp;$N989)</f>
        <v/>
      </c>
    </row>
    <row r="990" customFormat="false" ht="15" hidden="false" customHeight="false" outlineLevel="0" collapsed="false">
      <c r="A990" s="12"/>
      <c r="B990" s="9"/>
      <c r="C990" s="9"/>
      <c r="D990" s="9"/>
      <c r="E990" s="9"/>
      <c r="F990" s="9"/>
      <c r="G990" s="9"/>
      <c r="H990" s="7"/>
      <c r="I990" s="13" t="str">
        <f aca="false">IF(OR($G990="",$H990=""),"",ROUND($G990*$H990,0))</f>
        <v/>
      </c>
      <c r="J990" s="8"/>
      <c r="K990" s="13" t="str">
        <f aca="false">IF($B990="","",SUMIFS($I$3:$I$2002,$B$3:$B$2002,$B990))</f>
        <v/>
      </c>
      <c r="L990" s="13" t="str">
        <f aca="false">IF($B990="","",IF(COUNTIFS($B$3:$B990,$B990)&gt;1,0,IFERROR(LOOKUP($K990,배송비규정!$A$3:$A$32,배송비규정!$B$3:$B$32),0)+IFERROR(INDEX(지역추가비!$B$3:$B$42,MATCH($J990,지역추가비!$A$3:$A$42,0)),0)))</f>
        <v/>
      </c>
      <c r="M990" s="13" t="str">
        <f aca="false">IF($B990="","",IF(COUNTIFS($B$3:$B990,$B990)&gt;1,"",$K990+$L990))</f>
        <v/>
      </c>
      <c r="N990" s="14" t="str">
        <f aca="false">IF($B990="","",COUNTIFS($B$3:$B990,$B990))</f>
        <v/>
      </c>
      <c r="O990" s="14" t="str">
        <f aca="false">IF($B990="","",$B990&amp;"|"&amp;$N990)</f>
        <v/>
      </c>
    </row>
    <row r="991" customFormat="false" ht="15" hidden="false" customHeight="false" outlineLevel="0" collapsed="false">
      <c r="A991" s="12"/>
      <c r="B991" s="9"/>
      <c r="C991" s="9"/>
      <c r="D991" s="9"/>
      <c r="E991" s="9"/>
      <c r="F991" s="9"/>
      <c r="G991" s="9"/>
      <c r="H991" s="7"/>
      <c r="I991" s="13" t="str">
        <f aca="false">IF(OR($G991="",$H991=""),"",ROUND($G991*$H991,0))</f>
        <v/>
      </c>
      <c r="J991" s="8"/>
      <c r="K991" s="13" t="str">
        <f aca="false">IF($B991="","",SUMIFS($I$3:$I$2002,$B$3:$B$2002,$B991))</f>
        <v/>
      </c>
      <c r="L991" s="13" t="str">
        <f aca="false">IF($B991="","",IF(COUNTIFS($B$3:$B991,$B991)&gt;1,0,IFERROR(LOOKUP($K991,배송비규정!$A$3:$A$32,배송비규정!$B$3:$B$32),0)+IFERROR(INDEX(지역추가비!$B$3:$B$42,MATCH($J991,지역추가비!$A$3:$A$42,0)),0)))</f>
        <v/>
      </c>
      <c r="M991" s="13" t="str">
        <f aca="false">IF($B991="","",IF(COUNTIFS($B$3:$B991,$B991)&gt;1,"",$K991+$L991))</f>
        <v/>
      </c>
      <c r="N991" s="14" t="str">
        <f aca="false">IF($B991="","",COUNTIFS($B$3:$B991,$B991))</f>
        <v/>
      </c>
      <c r="O991" s="14" t="str">
        <f aca="false">IF($B991="","",$B991&amp;"|"&amp;$N991)</f>
        <v/>
      </c>
    </row>
    <row r="992" customFormat="false" ht="15" hidden="false" customHeight="false" outlineLevel="0" collapsed="false">
      <c r="A992" s="12"/>
      <c r="B992" s="9"/>
      <c r="C992" s="9"/>
      <c r="D992" s="9"/>
      <c r="E992" s="9"/>
      <c r="F992" s="9"/>
      <c r="G992" s="9"/>
      <c r="H992" s="7"/>
      <c r="I992" s="13" t="str">
        <f aca="false">IF(OR($G992="",$H992=""),"",ROUND($G992*$H992,0))</f>
        <v/>
      </c>
      <c r="J992" s="8"/>
      <c r="K992" s="13" t="str">
        <f aca="false">IF($B992="","",SUMIFS($I$3:$I$2002,$B$3:$B$2002,$B992))</f>
        <v/>
      </c>
      <c r="L992" s="13" t="str">
        <f aca="false">IF($B992="","",IF(COUNTIFS($B$3:$B992,$B992)&gt;1,0,IFERROR(LOOKUP($K992,배송비규정!$A$3:$A$32,배송비규정!$B$3:$B$32),0)+IFERROR(INDEX(지역추가비!$B$3:$B$42,MATCH($J992,지역추가비!$A$3:$A$42,0)),0)))</f>
        <v/>
      </c>
      <c r="M992" s="13" t="str">
        <f aca="false">IF($B992="","",IF(COUNTIFS($B$3:$B992,$B992)&gt;1,"",$K992+$L992))</f>
        <v/>
      </c>
      <c r="N992" s="14" t="str">
        <f aca="false">IF($B992="","",COUNTIFS($B$3:$B992,$B992))</f>
        <v/>
      </c>
      <c r="O992" s="14" t="str">
        <f aca="false">IF($B992="","",$B992&amp;"|"&amp;$N992)</f>
        <v/>
      </c>
    </row>
    <row r="993" customFormat="false" ht="15" hidden="false" customHeight="false" outlineLevel="0" collapsed="false">
      <c r="A993" s="12"/>
      <c r="B993" s="9"/>
      <c r="C993" s="9"/>
      <c r="D993" s="9"/>
      <c r="E993" s="9"/>
      <c r="F993" s="9"/>
      <c r="G993" s="9"/>
      <c r="H993" s="7"/>
      <c r="I993" s="13" t="str">
        <f aca="false">IF(OR($G993="",$H993=""),"",ROUND($G993*$H993,0))</f>
        <v/>
      </c>
      <c r="J993" s="8"/>
      <c r="K993" s="13" t="str">
        <f aca="false">IF($B993="","",SUMIFS($I$3:$I$2002,$B$3:$B$2002,$B993))</f>
        <v/>
      </c>
      <c r="L993" s="13" t="str">
        <f aca="false">IF($B993="","",IF(COUNTIFS($B$3:$B993,$B993)&gt;1,0,IFERROR(LOOKUP($K993,배송비규정!$A$3:$A$32,배송비규정!$B$3:$B$32),0)+IFERROR(INDEX(지역추가비!$B$3:$B$42,MATCH($J993,지역추가비!$A$3:$A$42,0)),0)))</f>
        <v/>
      </c>
      <c r="M993" s="13" t="str">
        <f aca="false">IF($B993="","",IF(COUNTIFS($B$3:$B993,$B993)&gt;1,"",$K993+$L993))</f>
        <v/>
      </c>
      <c r="N993" s="14" t="str">
        <f aca="false">IF($B993="","",COUNTIFS($B$3:$B993,$B993))</f>
        <v/>
      </c>
      <c r="O993" s="14" t="str">
        <f aca="false">IF($B993="","",$B993&amp;"|"&amp;$N993)</f>
        <v/>
      </c>
    </row>
    <row r="994" customFormat="false" ht="15" hidden="false" customHeight="false" outlineLevel="0" collapsed="false">
      <c r="A994" s="12"/>
      <c r="B994" s="9"/>
      <c r="C994" s="9"/>
      <c r="D994" s="9"/>
      <c r="E994" s="9"/>
      <c r="F994" s="9"/>
      <c r="G994" s="9"/>
      <c r="H994" s="7"/>
      <c r="I994" s="13" t="str">
        <f aca="false">IF(OR($G994="",$H994=""),"",ROUND($G994*$H994,0))</f>
        <v/>
      </c>
      <c r="J994" s="8"/>
      <c r="K994" s="13" t="str">
        <f aca="false">IF($B994="","",SUMIFS($I$3:$I$2002,$B$3:$B$2002,$B994))</f>
        <v/>
      </c>
      <c r="L994" s="13" t="str">
        <f aca="false">IF($B994="","",IF(COUNTIFS($B$3:$B994,$B994)&gt;1,0,IFERROR(LOOKUP($K994,배송비규정!$A$3:$A$32,배송비규정!$B$3:$B$32),0)+IFERROR(INDEX(지역추가비!$B$3:$B$42,MATCH($J994,지역추가비!$A$3:$A$42,0)),0)))</f>
        <v/>
      </c>
      <c r="M994" s="13" t="str">
        <f aca="false">IF($B994="","",IF(COUNTIFS($B$3:$B994,$B994)&gt;1,"",$K994+$L994))</f>
        <v/>
      </c>
      <c r="N994" s="14" t="str">
        <f aca="false">IF($B994="","",COUNTIFS($B$3:$B994,$B994))</f>
        <v/>
      </c>
      <c r="O994" s="14" t="str">
        <f aca="false">IF($B994="","",$B994&amp;"|"&amp;$N994)</f>
        <v/>
      </c>
    </row>
    <row r="995" customFormat="false" ht="15" hidden="false" customHeight="false" outlineLevel="0" collapsed="false">
      <c r="A995" s="12"/>
      <c r="B995" s="9"/>
      <c r="C995" s="9"/>
      <c r="D995" s="9"/>
      <c r="E995" s="9"/>
      <c r="F995" s="9"/>
      <c r="G995" s="9"/>
      <c r="H995" s="7"/>
      <c r="I995" s="13" t="str">
        <f aca="false">IF(OR($G995="",$H995=""),"",ROUND($G995*$H995,0))</f>
        <v/>
      </c>
      <c r="J995" s="8"/>
      <c r="K995" s="13" t="str">
        <f aca="false">IF($B995="","",SUMIFS($I$3:$I$2002,$B$3:$B$2002,$B995))</f>
        <v/>
      </c>
      <c r="L995" s="13" t="str">
        <f aca="false">IF($B995="","",IF(COUNTIFS($B$3:$B995,$B995)&gt;1,0,IFERROR(LOOKUP($K995,배송비규정!$A$3:$A$32,배송비규정!$B$3:$B$32),0)+IFERROR(INDEX(지역추가비!$B$3:$B$42,MATCH($J995,지역추가비!$A$3:$A$42,0)),0)))</f>
        <v/>
      </c>
      <c r="M995" s="13" t="str">
        <f aca="false">IF($B995="","",IF(COUNTIFS($B$3:$B995,$B995)&gt;1,"",$K995+$L995))</f>
        <v/>
      </c>
      <c r="N995" s="14" t="str">
        <f aca="false">IF($B995="","",COUNTIFS($B$3:$B995,$B995))</f>
        <v/>
      </c>
      <c r="O995" s="14" t="str">
        <f aca="false">IF($B995="","",$B995&amp;"|"&amp;$N995)</f>
        <v/>
      </c>
    </row>
    <row r="996" customFormat="false" ht="15" hidden="false" customHeight="false" outlineLevel="0" collapsed="false">
      <c r="A996" s="12"/>
      <c r="B996" s="9"/>
      <c r="C996" s="9"/>
      <c r="D996" s="9"/>
      <c r="E996" s="9"/>
      <c r="F996" s="9"/>
      <c r="G996" s="9"/>
      <c r="H996" s="7"/>
      <c r="I996" s="13" t="str">
        <f aca="false">IF(OR($G996="",$H996=""),"",ROUND($G996*$H996,0))</f>
        <v/>
      </c>
      <c r="J996" s="8"/>
      <c r="K996" s="13" t="str">
        <f aca="false">IF($B996="","",SUMIFS($I$3:$I$2002,$B$3:$B$2002,$B996))</f>
        <v/>
      </c>
      <c r="L996" s="13" t="str">
        <f aca="false">IF($B996="","",IF(COUNTIFS($B$3:$B996,$B996)&gt;1,0,IFERROR(LOOKUP($K996,배송비규정!$A$3:$A$32,배송비규정!$B$3:$B$32),0)+IFERROR(INDEX(지역추가비!$B$3:$B$42,MATCH($J996,지역추가비!$A$3:$A$42,0)),0)))</f>
        <v/>
      </c>
      <c r="M996" s="13" t="str">
        <f aca="false">IF($B996="","",IF(COUNTIFS($B$3:$B996,$B996)&gt;1,"",$K996+$L996))</f>
        <v/>
      </c>
      <c r="N996" s="14" t="str">
        <f aca="false">IF($B996="","",COUNTIFS($B$3:$B996,$B996))</f>
        <v/>
      </c>
      <c r="O996" s="14" t="str">
        <f aca="false">IF($B996="","",$B996&amp;"|"&amp;$N996)</f>
        <v/>
      </c>
    </row>
    <row r="997" customFormat="false" ht="15" hidden="false" customHeight="false" outlineLevel="0" collapsed="false">
      <c r="A997" s="12"/>
      <c r="B997" s="9"/>
      <c r="C997" s="9"/>
      <c r="D997" s="9"/>
      <c r="E997" s="9"/>
      <c r="F997" s="9"/>
      <c r="G997" s="9"/>
      <c r="H997" s="7"/>
      <c r="I997" s="13" t="str">
        <f aca="false">IF(OR($G997="",$H997=""),"",ROUND($G997*$H997,0))</f>
        <v/>
      </c>
      <c r="J997" s="8"/>
      <c r="K997" s="13" t="str">
        <f aca="false">IF($B997="","",SUMIFS($I$3:$I$2002,$B$3:$B$2002,$B997))</f>
        <v/>
      </c>
      <c r="L997" s="13" t="str">
        <f aca="false">IF($B997="","",IF(COUNTIFS($B$3:$B997,$B997)&gt;1,0,IFERROR(LOOKUP($K997,배송비규정!$A$3:$A$32,배송비규정!$B$3:$B$32),0)+IFERROR(INDEX(지역추가비!$B$3:$B$42,MATCH($J997,지역추가비!$A$3:$A$42,0)),0)))</f>
        <v/>
      </c>
      <c r="M997" s="13" t="str">
        <f aca="false">IF($B997="","",IF(COUNTIFS($B$3:$B997,$B997)&gt;1,"",$K997+$L997))</f>
        <v/>
      </c>
      <c r="N997" s="14" t="str">
        <f aca="false">IF($B997="","",COUNTIFS($B$3:$B997,$B997))</f>
        <v/>
      </c>
      <c r="O997" s="14" t="str">
        <f aca="false">IF($B997="","",$B997&amp;"|"&amp;$N997)</f>
        <v/>
      </c>
    </row>
    <row r="998" customFormat="false" ht="15" hidden="false" customHeight="false" outlineLevel="0" collapsed="false">
      <c r="A998" s="12"/>
      <c r="B998" s="9"/>
      <c r="C998" s="9"/>
      <c r="D998" s="9"/>
      <c r="E998" s="9"/>
      <c r="F998" s="9"/>
      <c r="G998" s="9"/>
      <c r="H998" s="7"/>
      <c r="I998" s="13" t="str">
        <f aca="false">IF(OR($G998="",$H998=""),"",ROUND($G998*$H998,0))</f>
        <v/>
      </c>
      <c r="J998" s="8"/>
      <c r="K998" s="13" t="str">
        <f aca="false">IF($B998="","",SUMIFS($I$3:$I$2002,$B$3:$B$2002,$B998))</f>
        <v/>
      </c>
      <c r="L998" s="13" t="str">
        <f aca="false">IF($B998="","",IF(COUNTIFS($B$3:$B998,$B998)&gt;1,0,IFERROR(LOOKUP($K998,배송비규정!$A$3:$A$32,배송비규정!$B$3:$B$32),0)+IFERROR(INDEX(지역추가비!$B$3:$B$42,MATCH($J998,지역추가비!$A$3:$A$42,0)),0)))</f>
        <v/>
      </c>
      <c r="M998" s="13" t="str">
        <f aca="false">IF($B998="","",IF(COUNTIFS($B$3:$B998,$B998)&gt;1,"",$K998+$L998))</f>
        <v/>
      </c>
      <c r="N998" s="14" t="str">
        <f aca="false">IF($B998="","",COUNTIFS($B$3:$B998,$B998))</f>
        <v/>
      </c>
      <c r="O998" s="14" t="str">
        <f aca="false">IF($B998="","",$B998&amp;"|"&amp;$N998)</f>
        <v/>
      </c>
    </row>
    <row r="999" customFormat="false" ht="15" hidden="false" customHeight="false" outlineLevel="0" collapsed="false">
      <c r="A999" s="12"/>
      <c r="B999" s="9"/>
      <c r="C999" s="9"/>
      <c r="D999" s="9"/>
      <c r="E999" s="9"/>
      <c r="F999" s="9"/>
      <c r="G999" s="9"/>
      <c r="H999" s="7"/>
      <c r="I999" s="13" t="str">
        <f aca="false">IF(OR($G999="",$H999=""),"",ROUND($G999*$H999,0))</f>
        <v/>
      </c>
      <c r="J999" s="8"/>
      <c r="K999" s="13" t="str">
        <f aca="false">IF($B999="","",SUMIFS($I$3:$I$2002,$B$3:$B$2002,$B999))</f>
        <v/>
      </c>
      <c r="L999" s="13" t="str">
        <f aca="false">IF($B999="","",IF(COUNTIFS($B$3:$B999,$B999)&gt;1,0,IFERROR(LOOKUP($K999,배송비규정!$A$3:$A$32,배송비규정!$B$3:$B$32),0)+IFERROR(INDEX(지역추가비!$B$3:$B$42,MATCH($J999,지역추가비!$A$3:$A$42,0)),0)))</f>
        <v/>
      </c>
      <c r="M999" s="13" t="str">
        <f aca="false">IF($B999="","",IF(COUNTIFS($B$3:$B999,$B999)&gt;1,"",$K999+$L999))</f>
        <v/>
      </c>
      <c r="N999" s="14" t="str">
        <f aca="false">IF($B999="","",COUNTIFS($B$3:$B999,$B999))</f>
        <v/>
      </c>
      <c r="O999" s="14" t="str">
        <f aca="false">IF($B999="","",$B999&amp;"|"&amp;$N999)</f>
        <v/>
      </c>
    </row>
    <row r="1000" customFormat="false" ht="15" hidden="false" customHeight="false" outlineLevel="0" collapsed="false">
      <c r="A1000" s="12"/>
      <c r="B1000" s="9"/>
      <c r="C1000" s="9"/>
      <c r="D1000" s="9"/>
      <c r="E1000" s="9"/>
      <c r="F1000" s="9"/>
      <c r="G1000" s="9"/>
      <c r="H1000" s="7"/>
      <c r="I1000" s="13" t="str">
        <f aca="false">IF(OR($G1000="",$H1000=""),"",ROUND($G1000*$H1000,0))</f>
        <v/>
      </c>
      <c r="J1000" s="8"/>
      <c r="K1000" s="13" t="str">
        <f aca="false">IF($B1000="","",SUMIFS($I$3:$I$2002,$B$3:$B$2002,$B1000))</f>
        <v/>
      </c>
      <c r="L1000" s="13" t="str">
        <f aca="false">IF($B1000="","",IF(COUNTIFS($B$3:$B1000,$B1000)&gt;1,0,IFERROR(LOOKUP($K1000,배송비규정!$A$3:$A$32,배송비규정!$B$3:$B$32),0)+IFERROR(INDEX(지역추가비!$B$3:$B$42,MATCH($J1000,지역추가비!$A$3:$A$42,0)),0)))</f>
        <v/>
      </c>
      <c r="M1000" s="13" t="str">
        <f aca="false">IF($B1000="","",IF(COUNTIFS($B$3:$B1000,$B1000)&gt;1,"",$K1000+$L1000))</f>
        <v/>
      </c>
      <c r="N1000" s="14" t="str">
        <f aca="false">IF($B1000="","",COUNTIFS($B$3:$B1000,$B1000))</f>
        <v/>
      </c>
      <c r="O1000" s="14" t="str">
        <f aca="false">IF($B1000="","",$B1000&amp;"|"&amp;$N1000)</f>
        <v/>
      </c>
    </row>
    <row r="1001" customFormat="false" ht="15" hidden="false" customHeight="false" outlineLevel="0" collapsed="false">
      <c r="A1001" s="12"/>
      <c r="B1001" s="9"/>
      <c r="C1001" s="9"/>
      <c r="D1001" s="9"/>
      <c r="E1001" s="9"/>
      <c r="F1001" s="9"/>
      <c r="G1001" s="9"/>
      <c r="H1001" s="7"/>
      <c r="I1001" s="13" t="str">
        <f aca="false">IF(OR($G1001="",$H1001=""),"",ROUND($G1001*$H1001,0))</f>
        <v/>
      </c>
      <c r="J1001" s="8"/>
      <c r="K1001" s="13" t="str">
        <f aca="false">IF($B1001="","",SUMIFS($I$3:$I$2002,$B$3:$B$2002,$B1001))</f>
        <v/>
      </c>
      <c r="L1001" s="13" t="str">
        <f aca="false">IF($B1001="","",IF(COUNTIFS($B$3:$B1001,$B1001)&gt;1,0,IFERROR(LOOKUP($K1001,배송비규정!$A$3:$A$32,배송비규정!$B$3:$B$32),0)+IFERROR(INDEX(지역추가비!$B$3:$B$42,MATCH($J1001,지역추가비!$A$3:$A$42,0)),0)))</f>
        <v/>
      </c>
      <c r="M1001" s="13" t="str">
        <f aca="false">IF($B1001="","",IF(COUNTIFS($B$3:$B1001,$B1001)&gt;1,"",$K1001+$L1001))</f>
        <v/>
      </c>
      <c r="N1001" s="14" t="str">
        <f aca="false">IF($B1001="","",COUNTIFS($B$3:$B1001,$B1001))</f>
        <v/>
      </c>
      <c r="O1001" s="14" t="str">
        <f aca="false">IF($B1001="","",$B1001&amp;"|"&amp;$N1001)</f>
        <v/>
      </c>
    </row>
    <row r="1002" customFormat="false" ht="15" hidden="false" customHeight="false" outlineLevel="0" collapsed="false">
      <c r="A1002" s="12"/>
      <c r="B1002" s="9"/>
      <c r="C1002" s="9"/>
      <c r="D1002" s="9"/>
      <c r="E1002" s="9"/>
      <c r="F1002" s="9"/>
      <c r="G1002" s="9"/>
      <c r="H1002" s="7"/>
      <c r="I1002" s="13" t="str">
        <f aca="false">IF(OR($G1002="",$H1002=""),"",ROUND($G1002*$H1002,0))</f>
        <v/>
      </c>
      <c r="J1002" s="8"/>
      <c r="K1002" s="13" t="str">
        <f aca="false">IF($B1002="","",SUMIFS($I$3:$I$2002,$B$3:$B$2002,$B1002))</f>
        <v/>
      </c>
      <c r="L1002" s="13" t="str">
        <f aca="false">IF($B1002="","",IF(COUNTIFS($B$3:$B1002,$B1002)&gt;1,0,IFERROR(LOOKUP($K1002,배송비규정!$A$3:$A$32,배송비규정!$B$3:$B$32),0)+IFERROR(INDEX(지역추가비!$B$3:$B$42,MATCH($J1002,지역추가비!$A$3:$A$42,0)),0)))</f>
        <v/>
      </c>
      <c r="M1002" s="13" t="str">
        <f aca="false">IF($B1002="","",IF(COUNTIFS($B$3:$B1002,$B1002)&gt;1,"",$K1002+$L1002))</f>
        <v/>
      </c>
      <c r="N1002" s="14" t="str">
        <f aca="false">IF($B1002="","",COUNTIFS($B$3:$B1002,$B1002))</f>
        <v/>
      </c>
      <c r="O1002" s="14" t="str">
        <f aca="false">IF($B1002="","",$B1002&amp;"|"&amp;$N1002)</f>
        <v/>
      </c>
    </row>
    <row r="1003" customFormat="false" ht="15" hidden="false" customHeight="false" outlineLevel="0" collapsed="false">
      <c r="A1003" s="12"/>
      <c r="B1003" s="9"/>
      <c r="C1003" s="9"/>
      <c r="D1003" s="9"/>
      <c r="E1003" s="9"/>
      <c r="F1003" s="9"/>
      <c r="G1003" s="9"/>
      <c r="H1003" s="7"/>
      <c r="I1003" s="13" t="str">
        <f aca="false">IF(OR($G1003="",$H1003=""),"",ROUND($G1003*$H1003,0))</f>
        <v/>
      </c>
      <c r="J1003" s="8"/>
      <c r="K1003" s="13" t="str">
        <f aca="false">IF($B1003="","",SUMIFS($I$3:$I$2002,$B$3:$B$2002,$B1003))</f>
        <v/>
      </c>
      <c r="L1003" s="13" t="str">
        <f aca="false">IF($B1003="","",IF(COUNTIFS($B$3:$B1003,$B1003)&gt;1,0,IFERROR(LOOKUP($K1003,배송비규정!$A$3:$A$32,배송비규정!$B$3:$B$32),0)+IFERROR(INDEX(지역추가비!$B$3:$B$42,MATCH($J1003,지역추가비!$A$3:$A$42,0)),0)))</f>
        <v/>
      </c>
      <c r="M1003" s="13" t="str">
        <f aca="false">IF($B1003="","",IF(COUNTIFS($B$3:$B1003,$B1003)&gt;1,"",$K1003+$L1003))</f>
        <v/>
      </c>
      <c r="N1003" s="14" t="str">
        <f aca="false">IF($B1003="","",COUNTIFS($B$3:$B1003,$B1003))</f>
        <v/>
      </c>
      <c r="O1003" s="14" t="str">
        <f aca="false">IF($B1003="","",$B1003&amp;"|"&amp;$N1003)</f>
        <v/>
      </c>
    </row>
    <row r="1004" customFormat="false" ht="15" hidden="false" customHeight="false" outlineLevel="0" collapsed="false">
      <c r="A1004" s="12"/>
      <c r="B1004" s="9"/>
      <c r="C1004" s="9"/>
      <c r="D1004" s="9"/>
      <c r="E1004" s="9"/>
      <c r="F1004" s="9"/>
      <c r="G1004" s="9"/>
      <c r="H1004" s="7"/>
      <c r="I1004" s="13" t="str">
        <f aca="false">IF(OR($G1004="",$H1004=""),"",ROUND($G1004*$H1004,0))</f>
        <v/>
      </c>
      <c r="J1004" s="8"/>
      <c r="K1004" s="13" t="str">
        <f aca="false">IF($B1004="","",SUMIFS($I$3:$I$2002,$B$3:$B$2002,$B1004))</f>
        <v/>
      </c>
      <c r="L1004" s="13" t="str">
        <f aca="false">IF($B1004="","",IF(COUNTIFS($B$3:$B1004,$B1004)&gt;1,0,IFERROR(LOOKUP($K1004,배송비규정!$A$3:$A$32,배송비규정!$B$3:$B$32),0)+IFERROR(INDEX(지역추가비!$B$3:$B$42,MATCH($J1004,지역추가비!$A$3:$A$42,0)),0)))</f>
        <v/>
      </c>
      <c r="M1004" s="13" t="str">
        <f aca="false">IF($B1004="","",IF(COUNTIFS($B$3:$B1004,$B1004)&gt;1,"",$K1004+$L1004))</f>
        <v/>
      </c>
      <c r="N1004" s="14" t="str">
        <f aca="false">IF($B1004="","",COUNTIFS($B$3:$B1004,$B1004))</f>
        <v/>
      </c>
      <c r="O1004" s="14" t="str">
        <f aca="false">IF($B1004="","",$B1004&amp;"|"&amp;$N1004)</f>
        <v/>
      </c>
    </row>
    <row r="1005" customFormat="false" ht="15" hidden="false" customHeight="false" outlineLevel="0" collapsed="false">
      <c r="A1005" s="12"/>
      <c r="B1005" s="9"/>
      <c r="C1005" s="9"/>
      <c r="D1005" s="9"/>
      <c r="E1005" s="9"/>
      <c r="F1005" s="9"/>
      <c r="G1005" s="9"/>
      <c r="H1005" s="7"/>
      <c r="I1005" s="13" t="str">
        <f aca="false">IF(OR($G1005="",$H1005=""),"",ROUND($G1005*$H1005,0))</f>
        <v/>
      </c>
      <c r="J1005" s="8"/>
      <c r="K1005" s="13" t="str">
        <f aca="false">IF($B1005="","",SUMIFS($I$3:$I$2002,$B$3:$B$2002,$B1005))</f>
        <v/>
      </c>
      <c r="L1005" s="13" t="str">
        <f aca="false">IF($B1005="","",IF(COUNTIFS($B$3:$B1005,$B1005)&gt;1,0,IFERROR(LOOKUP($K1005,배송비규정!$A$3:$A$32,배송비규정!$B$3:$B$32),0)+IFERROR(INDEX(지역추가비!$B$3:$B$42,MATCH($J1005,지역추가비!$A$3:$A$42,0)),0)))</f>
        <v/>
      </c>
      <c r="M1005" s="13" t="str">
        <f aca="false">IF($B1005="","",IF(COUNTIFS($B$3:$B1005,$B1005)&gt;1,"",$K1005+$L1005))</f>
        <v/>
      </c>
      <c r="N1005" s="14" t="str">
        <f aca="false">IF($B1005="","",COUNTIFS($B$3:$B1005,$B1005))</f>
        <v/>
      </c>
      <c r="O1005" s="14" t="str">
        <f aca="false">IF($B1005="","",$B1005&amp;"|"&amp;$N1005)</f>
        <v/>
      </c>
    </row>
    <row r="1006" customFormat="false" ht="15" hidden="false" customHeight="false" outlineLevel="0" collapsed="false">
      <c r="A1006" s="12"/>
      <c r="B1006" s="9"/>
      <c r="C1006" s="9"/>
      <c r="D1006" s="9"/>
      <c r="E1006" s="9"/>
      <c r="F1006" s="9"/>
      <c r="G1006" s="9"/>
      <c r="H1006" s="7"/>
      <c r="I1006" s="13" t="str">
        <f aca="false">IF(OR($G1006="",$H1006=""),"",ROUND($G1006*$H1006,0))</f>
        <v/>
      </c>
      <c r="J1006" s="8"/>
      <c r="K1006" s="13" t="str">
        <f aca="false">IF($B1006="","",SUMIFS($I$3:$I$2002,$B$3:$B$2002,$B1006))</f>
        <v/>
      </c>
      <c r="L1006" s="13" t="str">
        <f aca="false">IF($B1006="","",IF(COUNTIFS($B$3:$B1006,$B1006)&gt;1,0,IFERROR(LOOKUP($K1006,배송비규정!$A$3:$A$32,배송비규정!$B$3:$B$32),0)+IFERROR(INDEX(지역추가비!$B$3:$B$42,MATCH($J1006,지역추가비!$A$3:$A$42,0)),0)))</f>
        <v/>
      </c>
      <c r="M1006" s="13" t="str">
        <f aca="false">IF($B1006="","",IF(COUNTIFS($B$3:$B1006,$B1006)&gt;1,"",$K1006+$L1006))</f>
        <v/>
      </c>
      <c r="N1006" s="14" t="str">
        <f aca="false">IF($B1006="","",COUNTIFS($B$3:$B1006,$B1006))</f>
        <v/>
      </c>
      <c r="O1006" s="14" t="str">
        <f aca="false">IF($B1006="","",$B1006&amp;"|"&amp;$N1006)</f>
        <v/>
      </c>
    </row>
    <row r="1007" customFormat="false" ht="15" hidden="false" customHeight="false" outlineLevel="0" collapsed="false">
      <c r="A1007" s="12"/>
      <c r="B1007" s="9"/>
      <c r="C1007" s="9"/>
      <c r="D1007" s="9"/>
      <c r="E1007" s="9"/>
      <c r="F1007" s="9"/>
      <c r="G1007" s="9"/>
      <c r="H1007" s="7"/>
      <c r="I1007" s="13" t="str">
        <f aca="false">IF(OR($G1007="",$H1007=""),"",ROUND($G1007*$H1007,0))</f>
        <v/>
      </c>
      <c r="J1007" s="8"/>
      <c r="K1007" s="13" t="str">
        <f aca="false">IF($B1007="","",SUMIFS($I$3:$I$2002,$B$3:$B$2002,$B1007))</f>
        <v/>
      </c>
      <c r="L1007" s="13" t="str">
        <f aca="false">IF($B1007="","",IF(COUNTIFS($B$3:$B1007,$B1007)&gt;1,0,IFERROR(LOOKUP($K1007,배송비규정!$A$3:$A$32,배송비규정!$B$3:$B$32),0)+IFERROR(INDEX(지역추가비!$B$3:$B$42,MATCH($J1007,지역추가비!$A$3:$A$42,0)),0)))</f>
        <v/>
      </c>
      <c r="M1007" s="13" t="str">
        <f aca="false">IF($B1007="","",IF(COUNTIFS($B$3:$B1007,$B1007)&gt;1,"",$K1007+$L1007))</f>
        <v/>
      </c>
      <c r="N1007" s="14" t="str">
        <f aca="false">IF($B1007="","",COUNTIFS($B$3:$B1007,$B1007))</f>
        <v/>
      </c>
      <c r="O1007" s="14" t="str">
        <f aca="false">IF($B1007="","",$B1007&amp;"|"&amp;$N1007)</f>
        <v/>
      </c>
    </row>
    <row r="1008" customFormat="false" ht="15" hidden="false" customHeight="false" outlineLevel="0" collapsed="false">
      <c r="A1008" s="12"/>
      <c r="B1008" s="9"/>
      <c r="C1008" s="9"/>
      <c r="D1008" s="9"/>
      <c r="E1008" s="9"/>
      <c r="F1008" s="9"/>
      <c r="G1008" s="9"/>
      <c r="H1008" s="7"/>
      <c r="I1008" s="13" t="str">
        <f aca="false">IF(OR($G1008="",$H1008=""),"",ROUND($G1008*$H1008,0))</f>
        <v/>
      </c>
      <c r="J1008" s="8"/>
      <c r="K1008" s="13" t="str">
        <f aca="false">IF($B1008="","",SUMIFS($I$3:$I$2002,$B$3:$B$2002,$B1008))</f>
        <v/>
      </c>
      <c r="L1008" s="13" t="str">
        <f aca="false">IF($B1008="","",IF(COUNTIFS($B$3:$B1008,$B1008)&gt;1,0,IFERROR(LOOKUP($K1008,배송비규정!$A$3:$A$32,배송비규정!$B$3:$B$32),0)+IFERROR(INDEX(지역추가비!$B$3:$B$42,MATCH($J1008,지역추가비!$A$3:$A$42,0)),0)))</f>
        <v/>
      </c>
      <c r="M1008" s="13" t="str">
        <f aca="false">IF($B1008="","",IF(COUNTIFS($B$3:$B1008,$B1008)&gt;1,"",$K1008+$L1008))</f>
        <v/>
      </c>
      <c r="N1008" s="14" t="str">
        <f aca="false">IF($B1008="","",COUNTIFS($B$3:$B1008,$B1008))</f>
        <v/>
      </c>
      <c r="O1008" s="14" t="str">
        <f aca="false">IF($B1008="","",$B1008&amp;"|"&amp;$N1008)</f>
        <v/>
      </c>
    </row>
    <row r="1009" customFormat="false" ht="15" hidden="false" customHeight="false" outlineLevel="0" collapsed="false">
      <c r="A1009" s="12"/>
      <c r="B1009" s="9"/>
      <c r="C1009" s="9"/>
      <c r="D1009" s="9"/>
      <c r="E1009" s="9"/>
      <c r="F1009" s="9"/>
      <c r="G1009" s="9"/>
      <c r="H1009" s="7"/>
      <c r="I1009" s="13" t="str">
        <f aca="false">IF(OR($G1009="",$H1009=""),"",ROUND($G1009*$H1009,0))</f>
        <v/>
      </c>
      <c r="J1009" s="8"/>
      <c r="K1009" s="13" t="str">
        <f aca="false">IF($B1009="","",SUMIFS($I$3:$I$2002,$B$3:$B$2002,$B1009))</f>
        <v/>
      </c>
      <c r="L1009" s="13" t="str">
        <f aca="false">IF($B1009="","",IF(COUNTIFS($B$3:$B1009,$B1009)&gt;1,0,IFERROR(LOOKUP($K1009,배송비규정!$A$3:$A$32,배송비규정!$B$3:$B$32),0)+IFERROR(INDEX(지역추가비!$B$3:$B$42,MATCH($J1009,지역추가비!$A$3:$A$42,0)),0)))</f>
        <v/>
      </c>
      <c r="M1009" s="13" t="str">
        <f aca="false">IF($B1009="","",IF(COUNTIFS($B$3:$B1009,$B1009)&gt;1,"",$K1009+$L1009))</f>
        <v/>
      </c>
      <c r="N1009" s="14" t="str">
        <f aca="false">IF($B1009="","",COUNTIFS($B$3:$B1009,$B1009))</f>
        <v/>
      </c>
      <c r="O1009" s="14" t="str">
        <f aca="false">IF($B1009="","",$B1009&amp;"|"&amp;$N1009)</f>
        <v/>
      </c>
    </row>
    <row r="1010" customFormat="false" ht="15" hidden="false" customHeight="false" outlineLevel="0" collapsed="false">
      <c r="A1010" s="12"/>
      <c r="B1010" s="9"/>
      <c r="C1010" s="9"/>
      <c r="D1010" s="9"/>
      <c r="E1010" s="9"/>
      <c r="F1010" s="9"/>
      <c r="G1010" s="9"/>
      <c r="H1010" s="7"/>
      <c r="I1010" s="13" t="str">
        <f aca="false">IF(OR($G1010="",$H1010=""),"",ROUND($G1010*$H1010,0))</f>
        <v/>
      </c>
      <c r="J1010" s="8"/>
      <c r="K1010" s="13" t="str">
        <f aca="false">IF($B1010="","",SUMIFS($I$3:$I$2002,$B$3:$B$2002,$B1010))</f>
        <v/>
      </c>
      <c r="L1010" s="13" t="str">
        <f aca="false">IF($B1010="","",IF(COUNTIFS($B$3:$B1010,$B1010)&gt;1,0,IFERROR(LOOKUP($K1010,배송비규정!$A$3:$A$32,배송비규정!$B$3:$B$32),0)+IFERROR(INDEX(지역추가비!$B$3:$B$42,MATCH($J1010,지역추가비!$A$3:$A$42,0)),0)))</f>
        <v/>
      </c>
      <c r="M1010" s="13" t="str">
        <f aca="false">IF($B1010="","",IF(COUNTIFS($B$3:$B1010,$B1010)&gt;1,"",$K1010+$L1010))</f>
        <v/>
      </c>
      <c r="N1010" s="14" t="str">
        <f aca="false">IF($B1010="","",COUNTIFS($B$3:$B1010,$B1010))</f>
        <v/>
      </c>
      <c r="O1010" s="14" t="str">
        <f aca="false">IF($B1010="","",$B1010&amp;"|"&amp;$N1010)</f>
        <v/>
      </c>
    </row>
    <row r="1011" customFormat="false" ht="15" hidden="false" customHeight="false" outlineLevel="0" collapsed="false">
      <c r="A1011" s="12"/>
      <c r="B1011" s="9"/>
      <c r="C1011" s="9"/>
      <c r="D1011" s="9"/>
      <c r="E1011" s="9"/>
      <c r="F1011" s="9"/>
      <c r="G1011" s="9"/>
      <c r="H1011" s="7"/>
      <c r="I1011" s="13" t="str">
        <f aca="false">IF(OR($G1011="",$H1011=""),"",ROUND($G1011*$H1011,0))</f>
        <v/>
      </c>
      <c r="J1011" s="8"/>
      <c r="K1011" s="13" t="str">
        <f aca="false">IF($B1011="","",SUMIFS($I$3:$I$2002,$B$3:$B$2002,$B1011))</f>
        <v/>
      </c>
      <c r="L1011" s="13" t="str">
        <f aca="false">IF($B1011="","",IF(COUNTIFS($B$3:$B1011,$B1011)&gt;1,0,IFERROR(LOOKUP($K1011,배송비규정!$A$3:$A$32,배송비규정!$B$3:$B$32),0)+IFERROR(INDEX(지역추가비!$B$3:$B$42,MATCH($J1011,지역추가비!$A$3:$A$42,0)),0)))</f>
        <v/>
      </c>
      <c r="M1011" s="13" t="str">
        <f aca="false">IF($B1011="","",IF(COUNTIFS($B$3:$B1011,$B1011)&gt;1,"",$K1011+$L1011))</f>
        <v/>
      </c>
      <c r="N1011" s="14" t="str">
        <f aca="false">IF($B1011="","",COUNTIFS($B$3:$B1011,$B1011))</f>
        <v/>
      </c>
      <c r="O1011" s="14" t="str">
        <f aca="false">IF($B1011="","",$B1011&amp;"|"&amp;$N1011)</f>
        <v/>
      </c>
    </row>
    <row r="1012" customFormat="false" ht="15" hidden="false" customHeight="false" outlineLevel="0" collapsed="false">
      <c r="A1012" s="12"/>
      <c r="B1012" s="9"/>
      <c r="C1012" s="9"/>
      <c r="D1012" s="9"/>
      <c r="E1012" s="9"/>
      <c r="F1012" s="9"/>
      <c r="G1012" s="9"/>
      <c r="H1012" s="7"/>
      <c r="I1012" s="13" t="str">
        <f aca="false">IF(OR($G1012="",$H1012=""),"",ROUND($G1012*$H1012,0))</f>
        <v/>
      </c>
      <c r="J1012" s="8"/>
      <c r="K1012" s="13" t="str">
        <f aca="false">IF($B1012="","",SUMIFS($I$3:$I$2002,$B$3:$B$2002,$B1012))</f>
        <v/>
      </c>
      <c r="L1012" s="13" t="str">
        <f aca="false">IF($B1012="","",IF(COUNTIFS($B$3:$B1012,$B1012)&gt;1,0,IFERROR(LOOKUP($K1012,배송비규정!$A$3:$A$32,배송비규정!$B$3:$B$32),0)+IFERROR(INDEX(지역추가비!$B$3:$B$42,MATCH($J1012,지역추가비!$A$3:$A$42,0)),0)))</f>
        <v/>
      </c>
      <c r="M1012" s="13" t="str">
        <f aca="false">IF($B1012="","",IF(COUNTIFS($B$3:$B1012,$B1012)&gt;1,"",$K1012+$L1012))</f>
        <v/>
      </c>
      <c r="N1012" s="14" t="str">
        <f aca="false">IF($B1012="","",COUNTIFS($B$3:$B1012,$B1012))</f>
        <v/>
      </c>
      <c r="O1012" s="14" t="str">
        <f aca="false">IF($B1012="","",$B1012&amp;"|"&amp;$N1012)</f>
        <v/>
      </c>
    </row>
    <row r="1013" customFormat="false" ht="15" hidden="false" customHeight="false" outlineLevel="0" collapsed="false">
      <c r="A1013" s="12"/>
      <c r="B1013" s="9"/>
      <c r="C1013" s="9"/>
      <c r="D1013" s="9"/>
      <c r="E1013" s="9"/>
      <c r="F1013" s="9"/>
      <c r="G1013" s="9"/>
      <c r="H1013" s="7"/>
      <c r="I1013" s="13" t="str">
        <f aca="false">IF(OR($G1013="",$H1013=""),"",ROUND($G1013*$H1013,0))</f>
        <v/>
      </c>
      <c r="J1013" s="8"/>
      <c r="K1013" s="13" t="str">
        <f aca="false">IF($B1013="","",SUMIFS($I$3:$I$2002,$B$3:$B$2002,$B1013))</f>
        <v/>
      </c>
      <c r="L1013" s="13" t="str">
        <f aca="false">IF($B1013="","",IF(COUNTIFS($B$3:$B1013,$B1013)&gt;1,0,IFERROR(LOOKUP($K1013,배송비규정!$A$3:$A$32,배송비규정!$B$3:$B$32),0)+IFERROR(INDEX(지역추가비!$B$3:$B$42,MATCH($J1013,지역추가비!$A$3:$A$42,0)),0)))</f>
        <v/>
      </c>
      <c r="M1013" s="13" t="str">
        <f aca="false">IF($B1013="","",IF(COUNTIFS($B$3:$B1013,$B1013)&gt;1,"",$K1013+$L1013))</f>
        <v/>
      </c>
      <c r="N1013" s="14" t="str">
        <f aca="false">IF($B1013="","",COUNTIFS($B$3:$B1013,$B1013))</f>
        <v/>
      </c>
      <c r="O1013" s="14" t="str">
        <f aca="false">IF($B1013="","",$B1013&amp;"|"&amp;$N1013)</f>
        <v/>
      </c>
    </row>
    <row r="1014" customFormat="false" ht="15" hidden="false" customHeight="false" outlineLevel="0" collapsed="false">
      <c r="A1014" s="12"/>
      <c r="B1014" s="9"/>
      <c r="C1014" s="9"/>
      <c r="D1014" s="9"/>
      <c r="E1014" s="9"/>
      <c r="F1014" s="9"/>
      <c r="G1014" s="9"/>
      <c r="H1014" s="7"/>
      <c r="I1014" s="13" t="str">
        <f aca="false">IF(OR($G1014="",$H1014=""),"",ROUND($G1014*$H1014,0))</f>
        <v/>
      </c>
      <c r="J1014" s="8"/>
      <c r="K1014" s="13" t="str">
        <f aca="false">IF($B1014="","",SUMIFS($I$3:$I$2002,$B$3:$B$2002,$B1014))</f>
        <v/>
      </c>
      <c r="L1014" s="13" t="str">
        <f aca="false">IF($B1014="","",IF(COUNTIFS($B$3:$B1014,$B1014)&gt;1,0,IFERROR(LOOKUP($K1014,배송비규정!$A$3:$A$32,배송비규정!$B$3:$B$32),0)+IFERROR(INDEX(지역추가비!$B$3:$B$42,MATCH($J1014,지역추가비!$A$3:$A$42,0)),0)))</f>
        <v/>
      </c>
      <c r="M1014" s="13" t="str">
        <f aca="false">IF($B1014="","",IF(COUNTIFS($B$3:$B1014,$B1014)&gt;1,"",$K1014+$L1014))</f>
        <v/>
      </c>
      <c r="N1014" s="14" t="str">
        <f aca="false">IF($B1014="","",COUNTIFS($B$3:$B1014,$B1014))</f>
        <v/>
      </c>
      <c r="O1014" s="14" t="str">
        <f aca="false">IF($B1014="","",$B1014&amp;"|"&amp;$N1014)</f>
        <v/>
      </c>
    </row>
    <row r="1015" customFormat="false" ht="15" hidden="false" customHeight="false" outlineLevel="0" collapsed="false">
      <c r="A1015" s="12"/>
      <c r="B1015" s="9"/>
      <c r="C1015" s="9"/>
      <c r="D1015" s="9"/>
      <c r="E1015" s="9"/>
      <c r="F1015" s="9"/>
      <c r="G1015" s="9"/>
      <c r="H1015" s="7"/>
      <c r="I1015" s="13" t="str">
        <f aca="false">IF(OR($G1015="",$H1015=""),"",ROUND($G1015*$H1015,0))</f>
        <v/>
      </c>
      <c r="J1015" s="8"/>
      <c r="K1015" s="13" t="str">
        <f aca="false">IF($B1015="","",SUMIFS($I$3:$I$2002,$B$3:$B$2002,$B1015))</f>
        <v/>
      </c>
      <c r="L1015" s="13" t="str">
        <f aca="false">IF($B1015="","",IF(COUNTIFS($B$3:$B1015,$B1015)&gt;1,0,IFERROR(LOOKUP($K1015,배송비규정!$A$3:$A$32,배송비규정!$B$3:$B$32),0)+IFERROR(INDEX(지역추가비!$B$3:$B$42,MATCH($J1015,지역추가비!$A$3:$A$42,0)),0)))</f>
        <v/>
      </c>
      <c r="M1015" s="13" t="str">
        <f aca="false">IF($B1015="","",IF(COUNTIFS($B$3:$B1015,$B1015)&gt;1,"",$K1015+$L1015))</f>
        <v/>
      </c>
      <c r="N1015" s="14" t="str">
        <f aca="false">IF($B1015="","",COUNTIFS($B$3:$B1015,$B1015))</f>
        <v/>
      </c>
      <c r="O1015" s="14" t="str">
        <f aca="false">IF($B1015="","",$B1015&amp;"|"&amp;$N1015)</f>
        <v/>
      </c>
    </row>
    <row r="1016" customFormat="false" ht="15" hidden="false" customHeight="false" outlineLevel="0" collapsed="false">
      <c r="A1016" s="12"/>
      <c r="B1016" s="9"/>
      <c r="C1016" s="9"/>
      <c r="D1016" s="9"/>
      <c r="E1016" s="9"/>
      <c r="F1016" s="9"/>
      <c r="G1016" s="9"/>
      <c r="H1016" s="7"/>
      <c r="I1016" s="13" t="str">
        <f aca="false">IF(OR($G1016="",$H1016=""),"",ROUND($G1016*$H1016,0))</f>
        <v/>
      </c>
      <c r="J1016" s="8"/>
      <c r="K1016" s="13" t="str">
        <f aca="false">IF($B1016="","",SUMIFS($I$3:$I$2002,$B$3:$B$2002,$B1016))</f>
        <v/>
      </c>
      <c r="L1016" s="13" t="str">
        <f aca="false">IF($B1016="","",IF(COUNTIFS($B$3:$B1016,$B1016)&gt;1,0,IFERROR(LOOKUP($K1016,배송비규정!$A$3:$A$32,배송비규정!$B$3:$B$32),0)+IFERROR(INDEX(지역추가비!$B$3:$B$42,MATCH($J1016,지역추가비!$A$3:$A$42,0)),0)))</f>
        <v/>
      </c>
      <c r="M1016" s="13" t="str">
        <f aca="false">IF($B1016="","",IF(COUNTIFS($B$3:$B1016,$B1016)&gt;1,"",$K1016+$L1016))</f>
        <v/>
      </c>
      <c r="N1016" s="14" t="str">
        <f aca="false">IF($B1016="","",COUNTIFS($B$3:$B1016,$B1016))</f>
        <v/>
      </c>
      <c r="O1016" s="14" t="str">
        <f aca="false">IF($B1016="","",$B1016&amp;"|"&amp;$N1016)</f>
        <v/>
      </c>
    </row>
    <row r="1017" customFormat="false" ht="15" hidden="false" customHeight="false" outlineLevel="0" collapsed="false">
      <c r="A1017" s="12"/>
      <c r="B1017" s="9"/>
      <c r="C1017" s="9"/>
      <c r="D1017" s="9"/>
      <c r="E1017" s="9"/>
      <c r="F1017" s="9"/>
      <c r="G1017" s="9"/>
      <c r="H1017" s="7"/>
      <c r="I1017" s="13" t="str">
        <f aca="false">IF(OR($G1017="",$H1017=""),"",ROUND($G1017*$H1017,0))</f>
        <v/>
      </c>
      <c r="J1017" s="8"/>
      <c r="K1017" s="13" t="str">
        <f aca="false">IF($B1017="","",SUMIFS($I$3:$I$2002,$B$3:$B$2002,$B1017))</f>
        <v/>
      </c>
      <c r="L1017" s="13" t="str">
        <f aca="false">IF($B1017="","",IF(COUNTIFS($B$3:$B1017,$B1017)&gt;1,0,IFERROR(LOOKUP($K1017,배송비규정!$A$3:$A$32,배송비규정!$B$3:$B$32),0)+IFERROR(INDEX(지역추가비!$B$3:$B$42,MATCH($J1017,지역추가비!$A$3:$A$42,0)),0)))</f>
        <v/>
      </c>
      <c r="M1017" s="13" t="str">
        <f aca="false">IF($B1017="","",IF(COUNTIFS($B$3:$B1017,$B1017)&gt;1,"",$K1017+$L1017))</f>
        <v/>
      </c>
      <c r="N1017" s="14" t="str">
        <f aca="false">IF($B1017="","",COUNTIFS($B$3:$B1017,$B1017))</f>
        <v/>
      </c>
      <c r="O1017" s="14" t="str">
        <f aca="false">IF($B1017="","",$B1017&amp;"|"&amp;$N1017)</f>
        <v/>
      </c>
    </row>
    <row r="1018" customFormat="false" ht="15" hidden="false" customHeight="false" outlineLevel="0" collapsed="false">
      <c r="A1018" s="12"/>
      <c r="B1018" s="9"/>
      <c r="C1018" s="9"/>
      <c r="D1018" s="9"/>
      <c r="E1018" s="9"/>
      <c r="F1018" s="9"/>
      <c r="G1018" s="9"/>
      <c r="H1018" s="7"/>
      <c r="I1018" s="13" t="str">
        <f aca="false">IF(OR($G1018="",$H1018=""),"",ROUND($G1018*$H1018,0))</f>
        <v/>
      </c>
      <c r="J1018" s="8"/>
      <c r="K1018" s="13" t="str">
        <f aca="false">IF($B1018="","",SUMIFS($I$3:$I$2002,$B$3:$B$2002,$B1018))</f>
        <v/>
      </c>
      <c r="L1018" s="13" t="str">
        <f aca="false">IF($B1018="","",IF(COUNTIFS($B$3:$B1018,$B1018)&gt;1,0,IFERROR(LOOKUP($K1018,배송비규정!$A$3:$A$32,배송비규정!$B$3:$B$32),0)+IFERROR(INDEX(지역추가비!$B$3:$B$42,MATCH($J1018,지역추가비!$A$3:$A$42,0)),0)))</f>
        <v/>
      </c>
      <c r="M1018" s="13" t="str">
        <f aca="false">IF($B1018="","",IF(COUNTIFS($B$3:$B1018,$B1018)&gt;1,"",$K1018+$L1018))</f>
        <v/>
      </c>
      <c r="N1018" s="14" t="str">
        <f aca="false">IF($B1018="","",COUNTIFS($B$3:$B1018,$B1018))</f>
        <v/>
      </c>
      <c r="O1018" s="14" t="str">
        <f aca="false">IF($B1018="","",$B1018&amp;"|"&amp;$N1018)</f>
        <v/>
      </c>
    </row>
    <row r="1019" customFormat="false" ht="15" hidden="false" customHeight="false" outlineLevel="0" collapsed="false">
      <c r="A1019" s="12"/>
      <c r="B1019" s="9"/>
      <c r="C1019" s="9"/>
      <c r="D1019" s="9"/>
      <c r="E1019" s="9"/>
      <c r="F1019" s="9"/>
      <c r="G1019" s="9"/>
      <c r="H1019" s="7"/>
      <c r="I1019" s="13" t="str">
        <f aca="false">IF(OR($G1019="",$H1019=""),"",ROUND($G1019*$H1019,0))</f>
        <v/>
      </c>
      <c r="J1019" s="8"/>
      <c r="K1019" s="13" t="str">
        <f aca="false">IF($B1019="","",SUMIFS($I$3:$I$2002,$B$3:$B$2002,$B1019))</f>
        <v/>
      </c>
      <c r="L1019" s="13" t="str">
        <f aca="false">IF($B1019="","",IF(COUNTIFS($B$3:$B1019,$B1019)&gt;1,0,IFERROR(LOOKUP($K1019,배송비규정!$A$3:$A$32,배송비규정!$B$3:$B$32),0)+IFERROR(INDEX(지역추가비!$B$3:$B$42,MATCH($J1019,지역추가비!$A$3:$A$42,0)),0)))</f>
        <v/>
      </c>
      <c r="M1019" s="13" t="str">
        <f aca="false">IF($B1019="","",IF(COUNTIFS($B$3:$B1019,$B1019)&gt;1,"",$K1019+$L1019))</f>
        <v/>
      </c>
      <c r="N1019" s="14" t="str">
        <f aca="false">IF($B1019="","",COUNTIFS($B$3:$B1019,$B1019))</f>
        <v/>
      </c>
      <c r="O1019" s="14" t="str">
        <f aca="false">IF($B1019="","",$B1019&amp;"|"&amp;$N1019)</f>
        <v/>
      </c>
    </row>
    <row r="1020" customFormat="false" ht="15" hidden="false" customHeight="false" outlineLevel="0" collapsed="false">
      <c r="A1020" s="12"/>
      <c r="B1020" s="9"/>
      <c r="C1020" s="9"/>
      <c r="D1020" s="9"/>
      <c r="E1020" s="9"/>
      <c r="F1020" s="9"/>
      <c r="G1020" s="9"/>
      <c r="H1020" s="7"/>
      <c r="I1020" s="13" t="str">
        <f aca="false">IF(OR($G1020="",$H1020=""),"",ROUND($G1020*$H1020,0))</f>
        <v/>
      </c>
      <c r="J1020" s="8"/>
      <c r="K1020" s="13" t="str">
        <f aca="false">IF($B1020="","",SUMIFS($I$3:$I$2002,$B$3:$B$2002,$B1020))</f>
        <v/>
      </c>
      <c r="L1020" s="13" t="str">
        <f aca="false">IF($B1020="","",IF(COUNTIFS($B$3:$B1020,$B1020)&gt;1,0,IFERROR(LOOKUP($K1020,배송비규정!$A$3:$A$32,배송비규정!$B$3:$B$32),0)+IFERROR(INDEX(지역추가비!$B$3:$B$42,MATCH($J1020,지역추가비!$A$3:$A$42,0)),0)))</f>
        <v/>
      </c>
      <c r="M1020" s="13" t="str">
        <f aca="false">IF($B1020="","",IF(COUNTIFS($B$3:$B1020,$B1020)&gt;1,"",$K1020+$L1020))</f>
        <v/>
      </c>
      <c r="N1020" s="14" t="str">
        <f aca="false">IF($B1020="","",COUNTIFS($B$3:$B1020,$B1020))</f>
        <v/>
      </c>
      <c r="O1020" s="14" t="str">
        <f aca="false">IF($B1020="","",$B1020&amp;"|"&amp;$N1020)</f>
        <v/>
      </c>
    </row>
    <row r="1021" customFormat="false" ht="15" hidden="false" customHeight="false" outlineLevel="0" collapsed="false">
      <c r="A1021" s="12"/>
      <c r="B1021" s="9"/>
      <c r="C1021" s="9"/>
      <c r="D1021" s="9"/>
      <c r="E1021" s="9"/>
      <c r="F1021" s="9"/>
      <c r="G1021" s="9"/>
      <c r="H1021" s="7"/>
      <c r="I1021" s="13" t="str">
        <f aca="false">IF(OR($G1021="",$H1021=""),"",ROUND($G1021*$H1021,0))</f>
        <v/>
      </c>
      <c r="J1021" s="8"/>
      <c r="K1021" s="13" t="str">
        <f aca="false">IF($B1021="","",SUMIFS($I$3:$I$2002,$B$3:$B$2002,$B1021))</f>
        <v/>
      </c>
      <c r="L1021" s="13" t="str">
        <f aca="false">IF($B1021="","",IF(COUNTIFS($B$3:$B1021,$B1021)&gt;1,0,IFERROR(LOOKUP($K1021,배송비규정!$A$3:$A$32,배송비규정!$B$3:$B$32),0)+IFERROR(INDEX(지역추가비!$B$3:$B$42,MATCH($J1021,지역추가비!$A$3:$A$42,0)),0)))</f>
        <v/>
      </c>
      <c r="M1021" s="13" t="str">
        <f aca="false">IF($B1021="","",IF(COUNTIFS($B$3:$B1021,$B1021)&gt;1,"",$K1021+$L1021))</f>
        <v/>
      </c>
      <c r="N1021" s="14" t="str">
        <f aca="false">IF($B1021="","",COUNTIFS($B$3:$B1021,$B1021))</f>
        <v/>
      </c>
      <c r="O1021" s="14" t="str">
        <f aca="false">IF($B1021="","",$B1021&amp;"|"&amp;$N1021)</f>
        <v/>
      </c>
    </row>
    <row r="1022" customFormat="false" ht="15" hidden="false" customHeight="false" outlineLevel="0" collapsed="false">
      <c r="A1022" s="12"/>
      <c r="B1022" s="9"/>
      <c r="C1022" s="9"/>
      <c r="D1022" s="9"/>
      <c r="E1022" s="9"/>
      <c r="F1022" s="9"/>
      <c r="G1022" s="9"/>
      <c r="H1022" s="7"/>
      <c r="I1022" s="13" t="str">
        <f aca="false">IF(OR($G1022="",$H1022=""),"",ROUND($G1022*$H1022,0))</f>
        <v/>
      </c>
      <c r="J1022" s="8"/>
      <c r="K1022" s="13" t="str">
        <f aca="false">IF($B1022="","",SUMIFS($I$3:$I$2002,$B$3:$B$2002,$B1022))</f>
        <v/>
      </c>
      <c r="L1022" s="13" t="str">
        <f aca="false">IF($B1022="","",IF(COUNTIFS($B$3:$B1022,$B1022)&gt;1,0,IFERROR(LOOKUP($K1022,배송비규정!$A$3:$A$32,배송비규정!$B$3:$B$32),0)+IFERROR(INDEX(지역추가비!$B$3:$B$42,MATCH($J1022,지역추가비!$A$3:$A$42,0)),0)))</f>
        <v/>
      </c>
      <c r="M1022" s="13" t="str">
        <f aca="false">IF($B1022="","",IF(COUNTIFS($B$3:$B1022,$B1022)&gt;1,"",$K1022+$L1022))</f>
        <v/>
      </c>
      <c r="N1022" s="14" t="str">
        <f aca="false">IF($B1022="","",COUNTIFS($B$3:$B1022,$B1022))</f>
        <v/>
      </c>
      <c r="O1022" s="14" t="str">
        <f aca="false">IF($B1022="","",$B1022&amp;"|"&amp;$N1022)</f>
        <v/>
      </c>
    </row>
    <row r="1023" customFormat="false" ht="15" hidden="false" customHeight="false" outlineLevel="0" collapsed="false">
      <c r="A1023" s="12"/>
      <c r="B1023" s="9"/>
      <c r="C1023" s="9"/>
      <c r="D1023" s="9"/>
      <c r="E1023" s="9"/>
      <c r="F1023" s="9"/>
      <c r="G1023" s="9"/>
      <c r="H1023" s="7"/>
      <c r="I1023" s="13" t="str">
        <f aca="false">IF(OR($G1023="",$H1023=""),"",ROUND($G1023*$H1023,0))</f>
        <v/>
      </c>
      <c r="J1023" s="8"/>
      <c r="K1023" s="13" t="str">
        <f aca="false">IF($B1023="","",SUMIFS($I$3:$I$2002,$B$3:$B$2002,$B1023))</f>
        <v/>
      </c>
      <c r="L1023" s="13" t="str">
        <f aca="false">IF($B1023="","",IF(COUNTIFS($B$3:$B1023,$B1023)&gt;1,0,IFERROR(LOOKUP($K1023,배송비규정!$A$3:$A$32,배송비규정!$B$3:$B$32),0)+IFERROR(INDEX(지역추가비!$B$3:$B$42,MATCH($J1023,지역추가비!$A$3:$A$42,0)),0)))</f>
        <v/>
      </c>
      <c r="M1023" s="13" t="str">
        <f aca="false">IF($B1023="","",IF(COUNTIFS($B$3:$B1023,$B1023)&gt;1,"",$K1023+$L1023))</f>
        <v/>
      </c>
      <c r="N1023" s="14" t="str">
        <f aca="false">IF($B1023="","",COUNTIFS($B$3:$B1023,$B1023))</f>
        <v/>
      </c>
      <c r="O1023" s="14" t="str">
        <f aca="false">IF($B1023="","",$B1023&amp;"|"&amp;$N1023)</f>
        <v/>
      </c>
    </row>
    <row r="1024" customFormat="false" ht="15" hidden="false" customHeight="false" outlineLevel="0" collapsed="false">
      <c r="A1024" s="12"/>
      <c r="B1024" s="9"/>
      <c r="C1024" s="9"/>
      <c r="D1024" s="9"/>
      <c r="E1024" s="9"/>
      <c r="F1024" s="9"/>
      <c r="G1024" s="9"/>
      <c r="H1024" s="7"/>
      <c r="I1024" s="13" t="str">
        <f aca="false">IF(OR($G1024="",$H1024=""),"",ROUND($G1024*$H1024,0))</f>
        <v/>
      </c>
      <c r="J1024" s="8"/>
      <c r="K1024" s="13" t="str">
        <f aca="false">IF($B1024="","",SUMIFS($I$3:$I$2002,$B$3:$B$2002,$B1024))</f>
        <v/>
      </c>
      <c r="L1024" s="13" t="str">
        <f aca="false">IF($B1024="","",IF(COUNTIFS($B$3:$B1024,$B1024)&gt;1,0,IFERROR(LOOKUP($K1024,배송비규정!$A$3:$A$32,배송비규정!$B$3:$B$32),0)+IFERROR(INDEX(지역추가비!$B$3:$B$42,MATCH($J1024,지역추가비!$A$3:$A$42,0)),0)))</f>
        <v/>
      </c>
      <c r="M1024" s="13" t="str">
        <f aca="false">IF($B1024="","",IF(COUNTIFS($B$3:$B1024,$B1024)&gt;1,"",$K1024+$L1024))</f>
        <v/>
      </c>
      <c r="N1024" s="14" t="str">
        <f aca="false">IF($B1024="","",COUNTIFS($B$3:$B1024,$B1024))</f>
        <v/>
      </c>
      <c r="O1024" s="14" t="str">
        <f aca="false">IF($B1024="","",$B1024&amp;"|"&amp;$N1024)</f>
        <v/>
      </c>
    </row>
    <row r="1025" customFormat="false" ht="15" hidden="false" customHeight="false" outlineLevel="0" collapsed="false">
      <c r="A1025" s="12"/>
      <c r="B1025" s="9"/>
      <c r="C1025" s="9"/>
      <c r="D1025" s="9"/>
      <c r="E1025" s="9"/>
      <c r="F1025" s="9"/>
      <c r="G1025" s="9"/>
      <c r="H1025" s="7"/>
      <c r="I1025" s="13" t="str">
        <f aca="false">IF(OR($G1025="",$H1025=""),"",ROUND($G1025*$H1025,0))</f>
        <v/>
      </c>
      <c r="J1025" s="8"/>
      <c r="K1025" s="13" t="str">
        <f aca="false">IF($B1025="","",SUMIFS($I$3:$I$2002,$B$3:$B$2002,$B1025))</f>
        <v/>
      </c>
      <c r="L1025" s="13" t="str">
        <f aca="false">IF($B1025="","",IF(COUNTIFS($B$3:$B1025,$B1025)&gt;1,0,IFERROR(LOOKUP($K1025,배송비규정!$A$3:$A$32,배송비규정!$B$3:$B$32),0)+IFERROR(INDEX(지역추가비!$B$3:$B$42,MATCH($J1025,지역추가비!$A$3:$A$42,0)),0)))</f>
        <v/>
      </c>
      <c r="M1025" s="13" t="str">
        <f aca="false">IF($B1025="","",IF(COUNTIFS($B$3:$B1025,$B1025)&gt;1,"",$K1025+$L1025))</f>
        <v/>
      </c>
      <c r="N1025" s="14" t="str">
        <f aca="false">IF($B1025="","",COUNTIFS($B$3:$B1025,$B1025))</f>
        <v/>
      </c>
      <c r="O1025" s="14" t="str">
        <f aca="false">IF($B1025="","",$B1025&amp;"|"&amp;$N1025)</f>
        <v/>
      </c>
    </row>
    <row r="1026" customFormat="false" ht="15" hidden="false" customHeight="false" outlineLevel="0" collapsed="false">
      <c r="A1026" s="12"/>
      <c r="B1026" s="9"/>
      <c r="C1026" s="9"/>
      <c r="D1026" s="9"/>
      <c r="E1026" s="9"/>
      <c r="F1026" s="9"/>
      <c r="G1026" s="9"/>
      <c r="H1026" s="7"/>
      <c r="I1026" s="13" t="str">
        <f aca="false">IF(OR($G1026="",$H1026=""),"",ROUND($G1026*$H1026,0))</f>
        <v/>
      </c>
      <c r="J1026" s="8"/>
      <c r="K1026" s="13" t="str">
        <f aca="false">IF($B1026="","",SUMIFS($I$3:$I$2002,$B$3:$B$2002,$B1026))</f>
        <v/>
      </c>
      <c r="L1026" s="13" t="str">
        <f aca="false">IF($B1026="","",IF(COUNTIFS($B$3:$B1026,$B1026)&gt;1,0,IFERROR(LOOKUP($K1026,배송비규정!$A$3:$A$32,배송비규정!$B$3:$B$32),0)+IFERROR(INDEX(지역추가비!$B$3:$B$42,MATCH($J1026,지역추가비!$A$3:$A$42,0)),0)))</f>
        <v/>
      </c>
      <c r="M1026" s="13" t="str">
        <f aca="false">IF($B1026="","",IF(COUNTIFS($B$3:$B1026,$B1026)&gt;1,"",$K1026+$L1026))</f>
        <v/>
      </c>
      <c r="N1026" s="14" t="str">
        <f aca="false">IF($B1026="","",COUNTIFS($B$3:$B1026,$B1026))</f>
        <v/>
      </c>
      <c r="O1026" s="14" t="str">
        <f aca="false">IF($B1026="","",$B1026&amp;"|"&amp;$N1026)</f>
        <v/>
      </c>
    </row>
    <row r="1027" customFormat="false" ht="15" hidden="false" customHeight="false" outlineLevel="0" collapsed="false">
      <c r="A1027" s="12"/>
      <c r="B1027" s="9"/>
      <c r="C1027" s="9"/>
      <c r="D1027" s="9"/>
      <c r="E1027" s="9"/>
      <c r="F1027" s="9"/>
      <c r="G1027" s="9"/>
      <c r="H1027" s="7"/>
      <c r="I1027" s="13" t="str">
        <f aca="false">IF(OR($G1027="",$H1027=""),"",ROUND($G1027*$H1027,0))</f>
        <v/>
      </c>
      <c r="J1027" s="8"/>
      <c r="K1027" s="13" t="str">
        <f aca="false">IF($B1027="","",SUMIFS($I$3:$I$2002,$B$3:$B$2002,$B1027))</f>
        <v/>
      </c>
      <c r="L1027" s="13" t="str">
        <f aca="false">IF($B1027="","",IF(COUNTIFS($B$3:$B1027,$B1027)&gt;1,0,IFERROR(LOOKUP($K1027,배송비규정!$A$3:$A$32,배송비규정!$B$3:$B$32),0)+IFERROR(INDEX(지역추가비!$B$3:$B$42,MATCH($J1027,지역추가비!$A$3:$A$42,0)),0)))</f>
        <v/>
      </c>
      <c r="M1027" s="13" t="str">
        <f aca="false">IF($B1027="","",IF(COUNTIFS($B$3:$B1027,$B1027)&gt;1,"",$K1027+$L1027))</f>
        <v/>
      </c>
      <c r="N1027" s="14" t="str">
        <f aca="false">IF($B1027="","",COUNTIFS($B$3:$B1027,$B1027))</f>
        <v/>
      </c>
      <c r="O1027" s="14" t="str">
        <f aca="false">IF($B1027="","",$B1027&amp;"|"&amp;$N1027)</f>
        <v/>
      </c>
    </row>
    <row r="1028" customFormat="false" ht="15" hidden="false" customHeight="false" outlineLevel="0" collapsed="false">
      <c r="A1028" s="12"/>
      <c r="B1028" s="9"/>
      <c r="C1028" s="9"/>
      <c r="D1028" s="9"/>
      <c r="E1028" s="9"/>
      <c r="F1028" s="9"/>
      <c r="G1028" s="9"/>
      <c r="H1028" s="7"/>
      <c r="I1028" s="13" t="str">
        <f aca="false">IF(OR($G1028="",$H1028=""),"",ROUND($G1028*$H1028,0))</f>
        <v/>
      </c>
      <c r="J1028" s="8"/>
      <c r="K1028" s="13" t="str">
        <f aca="false">IF($B1028="","",SUMIFS($I$3:$I$2002,$B$3:$B$2002,$B1028))</f>
        <v/>
      </c>
      <c r="L1028" s="13" t="str">
        <f aca="false">IF($B1028="","",IF(COUNTIFS($B$3:$B1028,$B1028)&gt;1,0,IFERROR(LOOKUP($K1028,배송비규정!$A$3:$A$32,배송비규정!$B$3:$B$32),0)+IFERROR(INDEX(지역추가비!$B$3:$B$42,MATCH($J1028,지역추가비!$A$3:$A$42,0)),0)))</f>
        <v/>
      </c>
      <c r="M1028" s="13" t="str">
        <f aca="false">IF($B1028="","",IF(COUNTIFS($B$3:$B1028,$B1028)&gt;1,"",$K1028+$L1028))</f>
        <v/>
      </c>
      <c r="N1028" s="14" t="str">
        <f aca="false">IF($B1028="","",COUNTIFS($B$3:$B1028,$B1028))</f>
        <v/>
      </c>
      <c r="O1028" s="14" t="str">
        <f aca="false">IF($B1028="","",$B1028&amp;"|"&amp;$N1028)</f>
        <v/>
      </c>
    </row>
    <row r="1029" customFormat="false" ht="15" hidden="false" customHeight="false" outlineLevel="0" collapsed="false">
      <c r="A1029" s="12"/>
      <c r="B1029" s="9"/>
      <c r="C1029" s="9"/>
      <c r="D1029" s="9"/>
      <c r="E1029" s="9"/>
      <c r="F1029" s="9"/>
      <c r="G1029" s="9"/>
      <c r="H1029" s="7"/>
      <c r="I1029" s="13" t="str">
        <f aca="false">IF(OR($G1029="",$H1029=""),"",ROUND($G1029*$H1029,0))</f>
        <v/>
      </c>
      <c r="J1029" s="8"/>
      <c r="K1029" s="13" t="str">
        <f aca="false">IF($B1029="","",SUMIFS($I$3:$I$2002,$B$3:$B$2002,$B1029))</f>
        <v/>
      </c>
      <c r="L1029" s="13" t="str">
        <f aca="false">IF($B1029="","",IF(COUNTIFS($B$3:$B1029,$B1029)&gt;1,0,IFERROR(LOOKUP($K1029,배송비규정!$A$3:$A$32,배송비규정!$B$3:$B$32),0)+IFERROR(INDEX(지역추가비!$B$3:$B$42,MATCH($J1029,지역추가비!$A$3:$A$42,0)),0)))</f>
        <v/>
      </c>
      <c r="M1029" s="13" t="str">
        <f aca="false">IF($B1029="","",IF(COUNTIFS($B$3:$B1029,$B1029)&gt;1,"",$K1029+$L1029))</f>
        <v/>
      </c>
      <c r="N1029" s="14" t="str">
        <f aca="false">IF($B1029="","",COUNTIFS($B$3:$B1029,$B1029))</f>
        <v/>
      </c>
      <c r="O1029" s="14" t="str">
        <f aca="false">IF($B1029="","",$B1029&amp;"|"&amp;$N1029)</f>
        <v/>
      </c>
    </row>
    <row r="1030" customFormat="false" ht="15" hidden="false" customHeight="false" outlineLevel="0" collapsed="false">
      <c r="A1030" s="12"/>
      <c r="B1030" s="9"/>
      <c r="C1030" s="9"/>
      <c r="D1030" s="9"/>
      <c r="E1030" s="9"/>
      <c r="F1030" s="9"/>
      <c r="G1030" s="9"/>
      <c r="H1030" s="7"/>
      <c r="I1030" s="13" t="str">
        <f aca="false">IF(OR($G1030="",$H1030=""),"",ROUND($G1030*$H1030,0))</f>
        <v/>
      </c>
      <c r="J1030" s="8"/>
      <c r="K1030" s="13" t="str">
        <f aca="false">IF($B1030="","",SUMIFS($I$3:$I$2002,$B$3:$B$2002,$B1030))</f>
        <v/>
      </c>
      <c r="L1030" s="13" t="str">
        <f aca="false">IF($B1030="","",IF(COUNTIFS($B$3:$B1030,$B1030)&gt;1,0,IFERROR(LOOKUP($K1030,배송비규정!$A$3:$A$32,배송비규정!$B$3:$B$32),0)+IFERROR(INDEX(지역추가비!$B$3:$B$42,MATCH($J1030,지역추가비!$A$3:$A$42,0)),0)))</f>
        <v/>
      </c>
      <c r="M1030" s="13" t="str">
        <f aca="false">IF($B1030="","",IF(COUNTIFS($B$3:$B1030,$B1030)&gt;1,"",$K1030+$L1030))</f>
        <v/>
      </c>
      <c r="N1030" s="14" t="str">
        <f aca="false">IF($B1030="","",COUNTIFS($B$3:$B1030,$B1030))</f>
        <v/>
      </c>
      <c r="O1030" s="14" t="str">
        <f aca="false">IF($B1030="","",$B1030&amp;"|"&amp;$N1030)</f>
        <v/>
      </c>
    </row>
    <row r="1031" customFormat="false" ht="15" hidden="false" customHeight="false" outlineLevel="0" collapsed="false">
      <c r="A1031" s="12"/>
      <c r="B1031" s="9"/>
      <c r="C1031" s="9"/>
      <c r="D1031" s="9"/>
      <c r="E1031" s="9"/>
      <c r="F1031" s="9"/>
      <c r="G1031" s="9"/>
      <c r="H1031" s="7"/>
      <c r="I1031" s="13" t="str">
        <f aca="false">IF(OR($G1031="",$H1031=""),"",ROUND($G1031*$H1031,0))</f>
        <v/>
      </c>
      <c r="J1031" s="8"/>
      <c r="K1031" s="13" t="str">
        <f aca="false">IF($B1031="","",SUMIFS($I$3:$I$2002,$B$3:$B$2002,$B1031))</f>
        <v/>
      </c>
      <c r="L1031" s="13" t="str">
        <f aca="false">IF($B1031="","",IF(COUNTIFS($B$3:$B1031,$B1031)&gt;1,0,IFERROR(LOOKUP($K1031,배송비규정!$A$3:$A$32,배송비규정!$B$3:$B$32),0)+IFERROR(INDEX(지역추가비!$B$3:$B$42,MATCH($J1031,지역추가비!$A$3:$A$42,0)),0)))</f>
        <v/>
      </c>
      <c r="M1031" s="13" t="str">
        <f aca="false">IF($B1031="","",IF(COUNTIFS($B$3:$B1031,$B1031)&gt;1,"",$K1031+$L1031))</f>
        <v/>
      </c>
      <c r="N1031" s="14" t="str">
        <f aca="false">IF($B1031="","",COUNTIFS($B$3:$B1031,$B1031))</f>
        <v/>
      </c>
      <c r="O1031" s="14" t="str">
        <f aca="false">IF($B1031="","",$B1031&amp;"|"&amp;$N1031)</f>
        <v/>
      </c>
    </row>
    <row r="1032" customFormat="false" ht="15" hidden="false" customHeight="false" outlineLevel="0" collapsed="false">
      <c r="A1032" s="12"/>
      <c r="B1032" s="9"/>
      <c r="C1032" s="9"/>
      <c r="D1032" s="9"/>
      <c r="E1032" s="9"/>
      <c r="F1032" s="9"/>
      <c r="G1032" s="9"/>
      <c r="H1032" s="7"/>
      <c r="I1032" s="13" t="str">
        <f aca="false">IF(OR($G1032="",$H1032=""),"",ROUND($G1032*$H1032,0))</f>
        <v/>
      </c>
      <c r="J1032" s="8"/>
      <c r="K1032" s="13" t="str">
        <f aca="false">IF($B1032="","",SUMIFS($I$3:$I$2002,$B$3:$B$2002,$B1032))</f>
        <v/>
      </c>
      <c r="L1032" s="13" t="str">
        <f aca="false">IF($B1032="","",IF(COUNTIFS($B$3:$B1032,$B1032)&gt;1,0,IFERROR(LOOKUP($K1032,배송비규정!$A$3:$A$32,배송비규정!$B$3:$B$32),0)+IFERROR(INDEX(지역추가비!$B$3:$B$42,MATCH($J1032,지역추가비!$A$3:$A$42,0)),0)))</f>
        <v/>
      </c>
      <c r="M1032" s="13" t="str">
        <f aca="false">IF($B1032="","",IF(COUNTIFS($B$3:$B1032,$B1032)&gt;1,"",$K1032+$L1032))</f>
        <v/>
      </c>
      <c r="N1032" s="14" t="str">
        <f aca="false">IF($B1032="","",COUNTIFS($B$3:$B1032,$B1032))</f>
        <v/>
      </c>
      <c r="O1032" s="14" t="str">
        <f aca="false">IF($B1032="","",$B1032&amp;"|"&amp;$N1032)</f>
        <v/>
      </c>
    </row>
    <row r="1033" customFormat="false" ht="15" hidden="false" customHeight="false" outlineLevel="0" collapsed="false">
      <c r="A1033" s="12"/>
      <c r="B1033" s="9"/>
      <c r="C1033" s="9"/>
      <c r="D1033" s="9"/>
      <c r="E1033" s="9"/>
      <c r="F1033" s="9"/>
      <c r="G1033" s="9"/>
      <c r="H1033" s="7"/>
      <c r="I1033" s="13" t="str">
        <f aca="false">IF(OR($G1033="",$H1033=""),"",ROUND($G1033*$H1033,0))</f>
        <v/>
      </c>
      <c r="J1033" s="8"/>
      <c r="K1033" s="13" t="str">
        <f aca="false">IF($B1033="","",SUMIFS($I$3:$I$2002,$B$3:$B$2002,$B1033))</f>
        <v/>
      </c>
      <c r="L1033" s="13" t="str">
        <f aca="false">IF($B1033="","",IF(COUNTIFS($B$3:$B1033,$B1033)&gt;1,0,IFERROR(LOOKUP($K1033,배송비규정!$A$3:$A$32,배송비규정!$B$3:$B$32),0)+IFERROR(INDEX(지역추가비!$B$3:$B$42,MATCH($J1033,지역추가비!$A$3:$A$42,0)),0)))</f>
        <v/>
      </c>
      <c r="M1033" s="13" t="str">
        <f aca="false">IF($B1033="","",IF(COUNTIFS($B$3:$B1033,$B1033)&gt;1,"",$K1033+$L1033))</f>
        <v/>
      </c>
      <c r="N1033" s="14" t="str">
        <f aca="false">IF($B1033="","",COUNTIFS($B$3:$B1033,$B1033))</f>
        <v/>
      </c>
      <c r="O1033" s="14" t="str">
        <f aca="false">IF($B1033="","",$B1033&amp;"|"&amp;$N1033)</f>
        <v/>
      </c>
    </row>
    <row r="1034" customFormat="false" ht="15" hidden="false" customHeight="false" outlineLevel="0" collapsed="false">
      <c r="A1034" s="12"/>
      <c r="B1034" s="9"/>
      <c r="C1034" s="9"/>
      <c r="D1034" s="9"/>
      <c r="E1034" s="9"/>
      <c r="F1034" s="9"/>
      <c r="G1034" s="9"/>
      <c r="H1034" s="7"/>
      <c r="I1034" s="13" t="str">
        <f aca="false">IF(OR($G1034="",$H1034=""),"",ROUND($G1034*$H1034,0))</f>
        <v/>
      </c>
      <c r="J1034" s="8"/>
      <c r="K1034" s="13" t="str">
        <f aca="false">IF($B1034="","",SUMIFS($I$3:$I$2002,$B$3:$B$2002,$B1034))</f>
        <v/>
      </c>
      <c r="L1034" s="13" t="str">
        <f aca="false">IF($B1034="","",IF(COUNTIFS($B$3:$B1034,$B1034)&gt;1,0,IFERROR(LOOKUP($K1034,배송비규정!$A$3:$A$32,배송비규정!$B$3:$B$32),0)+IFERROR(INDEX(지역추가비!$B$3:$B$42,MATCH($J1034,지역추가비!$A$3:$A$42,0)),0)))</f>
        <v/>
      </c>
      <c r="M1034" s="13" t="str">
        <f aca="false">IF($B1034="","",IF(COUNTIFS($B$3:$B1034,$B1034)&gt;1,"",$K1034+$L1034))</f>
        <v/>
      </c>
      <c r="N1034" s="14" t="str">
        <f aca="false">IF($B1034="","",COUNTIFS($B$3:$B1034,$B1034))</f>
        <v/>
      </c>
      <c r="O1034" s="14" t="str">
        <f aca="false">IF($B1034="","",$B1034&amp;"|"&amp;$N1034)</f>
        <v/>
      </c>
    </row>
    <row r="1035" customFormat="false" ht="15" hidden="false" customHeight="false" outlineLevel="0" collapsed="false">
      <c r="A1035" s="12"/>
      <c r="B1035" s="9"/>
      <c r="C1035" s="9"/>
      <c r="D1035" s="9"/>
      <c r="E1035" s="9"/>
      <c r="F1035" s="9"/>
      <c r="G1035" s="9"/>
      <c r="H1035" s="7"/>
      <c r="I1035" s="13" t="str">
        <f aca="false">IF(OR($G1035="",$H1035=""),"",ROUND($G1035*$H1035,0))</f>
        <v/>
      </c>
      <c r="J1035" s="8"/>
      <c r="K1035" s="13" t="str">
        <f aca="false">IF($B1035="","",SUMIFS($I$3:$I$2002,$B$3:$B$2002,$B1035))</f>
        <v/>
      </c>
      <c r="L1035" s="13" t="str">
        <f aca="false">IF($B1035="","",IF(COUNTIFS($B$3:$B1035,$B1035)&gt;1,0,IFERROR(LOOKUP($K1035,배송비규정!$A$3:$A$32,배송비규정!$B$3:$B$32),0)+IFERROR(INDEX(지역추가비!$B$3:$B$42,MATCH($J1035,지역추가비!$A$3:$A$42,0)),0)))</f>
        <v/>
      </c>
      <c r="M1035" s="13" t="str">
        <f aca="false">IF($B1035="","",IF(COUNTIFS($B$3:$B1035,$B1035)&gt;1,"",$K1035+$L1035))</f>
        <v/>
      </c>
      <c r="N1035" s="14" t="str">
        <f aca="false">IF($B1035="","",COUNTIFS($B$3:$B1035,$B1035))</f>
        <v/>
      </c>
      <c r="O1035" s="14" t="str">
        <f aca="false">IF($B1035="","",$B1035&amp;"|"&amp;$N1035)</f>
        <v/>
      </c>
    </row>
    <row r="1036" customFormat="false" ht="15" hidden="false" customHeight="false" outlineLevel="0" collapsed="false">
      <c r="A1036" s="12"/>
      <c r="B1036" s="9"/>
      <c r="C1036" s="9"/>
      <c r="D1036" s="9"/>
      <c r="E1036" s="9"/>
      <c r="F1036" s="9"/>
      <c r="G1036" s="9"/>
      <c r="H1036" s="7"/>
      <c r="I1036" s="13" t="str">
        <f aca="false">IF(OR($G1036="",$H1036=""),"",ROUND($G1036*$H1036,0))</f>
        <v/>
      </c>
      <c r="J1036" s="8"/>
      <c r="K1036" s="13" t="str">
        <f aca="false">IF($B1036="","",SUMIFS($I$3:$I$2002,$B$3:$B$2002,$B1036))</f>
        <v/>
      </c>
      <c r="L1036" s="13" t="str">
        <f aca="false">IF($B1036="","",IF(COUNTIFS($B$3:$B1036,$B1036)&gt;1,0,IFERROR(LOOKUP($K1036,배송비규정!$A$3:$A$32,배송비규정!$B$3:$B$32),0)+IFERROR(INDEX(지역추가비!$B$3:$B$42,MATCH($J1036,지역추가비!$A$3:$A$42,0)),0)))</f>
        <v/>
      </c>
      <c r="M1036" s="13" t="str">
        <f aca="false">IF($B1036="","",IF(COUNTIFS($B$3:$B1036,$B1036)&gt;1,"",$K1036+$L1036))</f>
        <v/>
      </c>
      <c r="N1036" s="14" t="str">
        <f aca="false">IF($B1036="","",COUNTIFS($B$3:$B1036,$B1036))</f>
        <v/>
      </c>
      <c r="O1036" s="14" t="str">
        <f aca="false">IF($B1036="","",$B1036&amp;"|"&amp;$N1036)</f>
        <v/>
      </c>
    </row>
    <row r="1037" customFormat="false" ht="15" hidden="false" customHeight="false" outlineLevel="0" collapsed="false">
      <c r="A1037" s="12"/>
      <c r="B1037" s="9"/>
      <c r="C1037" s="9"/>
      <c r="D1037" s="9"/>
      <c r="E1037" s="9"/>
      <c r="F1037" s="9"/>
      <c r="G1037" s="9"/>
      <c r="H1037" s="7"/>
      <c r="I1037" s="13" t="str">
        <f aca="false">IF(OR($G1037="",$H1037=""),"",ROUND($G1037*$H1037,0))</f>
        <v/>
      </c>
      <c r="J1037" s="8"/>
      <c r="K1037" s="13" t="str">
        <f aca="false">IF($B1037="","",SUMIFS($I$3:$I$2002,$B$3:$B$2002,$B1037))</f>
        <v/>
      </c>
      <c r="L1037" s="13" t="str">
        <f aca="false">IF($B1037="","",IF(COUNTIFS($B$3:$B1037,$B1037)&gt;1,0,IFERROR(LOOKUP($K1037,배송비규정!$A$3:$A$32,배송비규정!$B$3:$B$32),0)+IFERROR(INDEX(지역추가비!$B$3:$B$42,MATCH($J1037,지역추가비!$A$3:$A$42,0)),0)))</f>
        <v/>
      </c>
      <c r="M1037" s="13" t="str">
        <f aca="false">IF($B1037="","",IF(COUNTIFS($B$3:$B1037,$B1037)&gt;1,"",$K1037+$L1037))</f>
        <v/>
      </c>
      <c r="N1037" s="14" t="str">
        <f aca="false">IF($B1037="","",COUNTIFS($B$3:$B1037,$B1037))</f>
        <v/>
      </c>
      <c r="O1037" s="14" t="str">
        <f aca="false">IF($B1037="","",$B1037&amp;"|"&amp;$N1037)</f>
        <v/>
      </c>
    </row>
    <row r="1038" customFormat="false" ht="15" hidden="false" customHeight="false" outlineLevel="0" collapsed="false">
      <c r="A1038" s="12"/>
      <c r="B1038" s="9"/>
      <c r="C1038" s="9"/>
      <c r="D1038" s="9"/>
      <c r="E1038" s="9"/>
      <c r="F1038" s="9"/>
      <c r="G1038" s="9"/>
      <c r="H1038" s="7"/>
      <c r="I1038" s="13" t="str">
        <f aca="false">IF(OR($G1038="",$H1038=""),"",ROUND($G1038*$H1038,0))</f>
        <v/>
      </c>
      <c r="J1038" s="8"/>
      <c r="K1038" s="13" t="str">
        <f aca="false">IF($B1038="","",SUMIFS($I$3:$I$2002,$B$3:$B$2002,$B1038))</f>
        <v/>
      </c>
      <c r="L1038" s="13" t="str">
        <f aca="false">IF($B1038="","",IF(COUNTIFS($B$3:$B1038,$B1038)&gt;1,0,IFERROR(LOOKUP($K1038,배송비규정!$A$3:$A$32,배송비규정!$B$3:$B$32),0)+IFERROR(INDEX(지역추가비!$B$3:$B$42,MATCH($J1038,지역추가비!$A$3:$A$42,0)),0)))</f>
        <v/>
      </c>
      <c r="M1038" s="13" t="str">
        <f aca="false">IF($B1038="","",IF(COUNTIFS($B$3:$B1038,$B1038)&gt;1,"",$K1038+$L1038))</f>
        <v/>
      </c>
      <c r="N1038" s="14" t="str">
        <f aca="false">IF($B1038="","",COUNTIFS($B$3:$B1038,$B1038))</f>
        <v/>
      </c>
      <c r="O1038" s="14" t="str">
        <f aca="false">IF($B1038="","",$B1038&amp;"|"&amp;$N1038)</f>
        <v/>
      </c>
    </row>
    <row r="1039" customFormat="false" ht="15" hidden="false" customHeight="false" outlineLevel="0" collapsed="false">
      <c r="A1039" s="12"/>
      <c r="B1039" s="9"/>
      <c r="C1039" s="9"/>
      <c r="D1039" s="9"/>
      <c r="E1039" s="9"/>
      <c r="F1039" s="9"/>
      <c r="G1039" s="9"/>
      <c r="H1039" s="7"/>
      <c r="I1039" s="13" t="str">
        <f aca="false">IF(OR($G1039="",$H1039=""),"",ROUND($G1039*$H1039,0))</f>
        <v/>
      </c>
      <c r="J1039" s="8"/>
      <c r="K1039" s="13" t="str">
        <f aca="false">IF($B1039="","",SUMIFS($I$3:$I$2002,$B$3:$B$2002,$B1039))</f>
        <v/>
      </c>
      <c r="L1039" s="13" t="str">
        <f aca="false">IF($B1039="","",IF(COUNTIFS($B$3:$B1039,$B1039)&gt;1,0,IFERROR(LOOKUP($K1039,배송비규정!$A$3:$A$32,배송비규정!$B$3:$B$32),0)+IFERROR(INDEX(지역추가비!$B$3:$B$42,MATCH($J1039,지역추가비!$A$3:$A$42,0)),0)))</f>
        <v/>
      </c>
      <c r="M1039" s="13" t="str">
        <f aca="false">IF($B1039="","",IF(COUNTIFS($B$3:$B1039,$B1039)&gt;1,"",$K1039+$L1039))</f>
        <v/>
      </c>
      <c r="N1039" s="14" t="str">
        <f aca="false">IF($B1039="","",COUNTIFS($B$3:$B1039,$B1039))</f>
        <v/>
      </c>
      <c r="O1039" s="14" t="str">
        <f aca="false">IF($B1039="","",$B1039&amp;"|"&amp;$N1039)</f>
        <v/>
      </c>
    </row>
    <row r="1040" customFormat="false" ht="15" hidden="false" customHeight="false" outlineLevel="0" collapsed="false">
      <c r="A1040" s="12"/>
      <c r="B1040" s="9"/>
      <c r="C1040" s="9"/>
      <c r="D1040" s="9"/>
      <c r="E1040" s="9"/>
      <c r="F1040" s="9"/>
      <c r="G1040" s="9"/>
      <c r="H1040" s="7"/>
      <c r="I1040" s="13" t="str">
        <f aca="false">IF(OR($G1040="",$H1040=""),"",ROUND($G1040*$H1040,0))</f>
        <v/>
      </c>
      <c r="J1040" s="8"/>
      <c r="K1040" s="13" t="str">
        <f aca="false">IF($B1040="","",SUMIFS($I$3:$I$2002,$B$3:$B$2002,$B1040))</f>
        <v/>
      </c>
      <c r="L1040" s="13" t="str">
        <f aca="false">IF($B1040="","",IF(COUNTIFS($B$3:$B1040,$B1040)&gt;1,0,IFERROR(LOOKUP($K1040,배송비규정!$A$3:$A$32,배송비규정!$B$3:$B$32),0)+IFERROR(INDEX(지역추가비!$B$3:$B$42,MATCH($J1040,지역추가비!$A$3:$A$42,0)),0)))</f>
        <v/>
      </c>
      <c r="M1040" s="13" t="str">
        <f aca="false">IF($B1040="","",IF(COUNTIFS($B$3:$B1040,$B1040)&gt;1,"",$K1040+$L1040))</f>
        <v/>
      </c>
      <c r="N1040" s="14" t="str">
        <f aca="false">IF($B1040="","",COUNTIFS($B$3:$B1040,$B1040))</f>
        <v/>
      </c>
      <c r="O1040" s="14" t="str">
        <f aca="false">IF($B1040="","",$B1040&amp;"|"&amp;$N1040)</f>
        <v/>
      </c>
    </row>
    <row r="1041" customFormat="false" ht="15" hidden="false" customHeight="false" outlineLevel="0" collapsed="false">
      <c r="A1041" s="12"/>
      <c r="B1041" s="9"/>
      <c r="C1041" s="9"/>
      <c r="D1041" s="9"/>
      <c r="E1041" s="9"/>
      <c r="F1041" s="9"/>
      <c r="G1041" s="9"/>
      <c r="H1041" s="7"/>
      <c r="I1041" s="13" t="str">
        <f aca="false">IF(OR($G1041="",$H1041=""),"",ROUND($G1041*$H1041,0))</f>
        <v/>
      </c>
      <c r="J1041" s="8"/>
      <c r="K1041" s="13" t="str">
        <f aca="false">IF($B1041="","",SUMIFS($I$3:$I$2002,$B$3:$B$2002,$B1041))</f>
        <v/>
      </c>
      <c r="L1041" s="13" t="str">
        <f aca="false">IF($B1041="","",IF(COUNTIFS($B$3:$B1041,$B1041)&gt;1,0,IFERROR(LOOKUP($K1041,배송비규정!$A$3:$A$32,배송비규정!$B$3:$B$32),0)+IFERROR(INDEX(지역추가비!$B$3:$B$42,MATCH($J1041,지역추가비!$A$3:$A$42,0)),0)))</f>
        <v/>
      </c>
      <c r="M1041" s="13" t="str">
        <f aca="false">IF($B1041="","",IF(COUNTIFS($B$3:$B1041,$B1041)&gt;1,"",$K1041+$L1041))</f>
        <v/>
      </c>
      <c r="N1041" s="14" t="str">
        <f aca="false">IF($B1041="","",COUNTIFS($B$3:$B1041,$B1041))</f>
        <v/>
      </c>
      <c r="O1041" s="14" t="str">
        <f aca="false">IF($B1041="","",$B1041&amp;"|"&amp;$N1041)</f>
        <v/>
      </c>
    </row>
    <row r="1042" customFormat="false" ht="15" hidden="false" customHeight="false" outlineLevel="0" collapsed="false">
      <c r="A1042" s="12"/>
      <c r="B1042" s="9"/>
      <c r="C1042" s="9"/>
      <c r="D1042" s="9"/>
      <c r="E1042" s="9"/>
      <c r="F1042" s="9"/>
      <c r="G1042" s="9"/>
      <c r="H1042" s="7"/>
      <c r="I1042" s="13" t="str">
        <f aca="false">IF(OR($G1042="",$H1042=""),"",ROUND($G1042*$H1042,0))</f>
        <v/>
      </c>
      <c r="J1042" s="8"/>
      <c r="K1042" s="13" t="str">
        <f aca="false">IF($B1042="","",SUMIFS($I$3:$I$2002,$B$3:$B$2002,$B1042))</f>
        <v/>
      </c>
      <c r="L1042" s="13" t="str">
        <f aca="false">IF($B1042="","",IF(COUNTIFS($B$3:$B1042,$B1042)&gt;1,0,IFERROR(LOOKUP($K1042,배송비규정!$A$3:$A$32,배송비규정!$B$3:$B$32),0)+IFERROR(INDEX(지역추가비!$B$3:$B$42,MATCH($J1042,지역추가비!$A$3:$A$42,0)),0)))</f>
        <v/>
      </c>
      <c r="M1042" s="13" t="str">
        <f aca="false">IF($B1042="","",IF(COUNTIFS($B$3:$B1042,$B1042)&gt;1,"",$K1042+$L1042))</f>
        <v/>
      </c>
      <c r="N1042" s="14" t="str">
        <f aca="false">IF($B1042="","",COUNTIFS($B$3:$B1042,$B1042))</f>
        <v/>
      </c>
      <c r="O1042" s="14" t="str">
        <f aca="false">IF($B1042="","",$B1042&amp;"|"&amp;$N1042)</f>
        <v/>
      </c>
    </row>
    <row r="1043" customFormat="false" ht="15" hidden="false" customHeight="false" outlineLevel="0" collapsed="false">
      <c r="A1043" s="12"/>
      <c r="B1043" s="9"/>
      <c r="C1043" s="9"/>
      <c r="D1043" s="9"/>
      <c r="E1043" s="9"/>
      <c r="F1043" s="9"/>
      <c r="G1043" s="9"/>
      <c r="H1043" s="7"/>
      <c r="I1043" s="13" t="str">
        <f aca="false">IF(OR($G1043="",$H1043=""),"",ROUND($G1043*$H1043,0))</f>
        <v/>
      </c>
      <c r="J1043" s="8"/>
      <c r="K1043" s="13" t="str">
        <f aca="false">IF($B1043="","",SUMIFS($I$3:$I$2002,$B$3:$B$2002,$B1043))</f>
        <v/>
      </c>
      <c r="L1043" s="13" t="str">
        <f aca="false">IF($B1043="","",IF(COUNTIFS($B$3:$B1043,$B1043)&gt;1,0,IFERROR(LOOKUP($K1043,배송비규정!$A$3:$A$32,배송비규정!$B$3:$B$32),0)+IFERROR(INDEX(지역추가비!$B$3:$B$42,MATCH($J1043,지역추가비!$A$3:$A$42,0)),0)))</f>
        <v/>
      </c>
      <c r="M1043" s="13" t="str">
        <f aca="false">IF($B1043="","",IF(COUNTIFS($B$3:$B1043,$B1043)&gt;1,"",$K1043+$L1043))</f>
        <v/>
      </c>
      <c r="N1043" s="14" t="str">
        <f aca="false">IF($B1043="","",COUNTIFS($B$3:$B1043,$B1043))</f>
        <v/>
      </c>
      <c r="O1043" s="14" t="str">
        <f aca="false">IF($B1043="","",$B1043&amp;"|"&amp;$N1043)</f>
        <v/>
      </c>
    </row>
    <row r="1044" customFormat="false" ht="15" hidden="false" customHeight="false" outlineLevel="0" collapsed="false">
      <c r="A1044" s="12"/>
      <c r="B1044" s="9"/>
      <c r="C1044" s="9"/>
      <c r="D1044" s="9"/>
      <c r="E1044" s="9"/>
      <c r="F1044" s="9"/>
      <c r="G1044" s="9"/>
      <c r="H1044" s="7"/>
      <c r="I1044" s="13" t="str">
        <f aca="false">IF(OR($G1044="",$H1044=""),"",ROUND($G1044*$H1044,0))</f>
        <v/>
      </c>
      <c r="J1044" s="8"/>
      <c r="K1044" s="13" t="str">
        <f aca="false">IF($B1044="","",SUMIFS($I$3:$I$2002,$B$3:$B$2002,$B1044))</f>
        <v/>
      </c>
      <c r="L1044" s="13" t="str">
        <f aca="false">IF($B1044="","",IF(COUNTIFS($B$3:$B1044,$B1044)&gt;1,0,IFERROR(LOOKUP($K1044,배송비규정!$A$3:$A$32,배송비규정!$B$3:$B$32),0)+IFERROR(INDEX(지역추가비!$B$3:$B$42,MATCH($J1044,지역추가비!$A$3:$A$42,0)),0)))</f>
        <v/>
      </c>
      <c r="M1044" s="13" t="str">
        <f aca="false">IF($B1044="","",IF(COUNTIFS($B$3:$B1044,$B1044)&gt;1,"",$K1044+$L1044))</f>
        <v/>
      </c>
      <c r="N1044" s="14" t="str">
        <f aca="false">IF($B1044="","",COUNTIFS($B$3:$B1044,$B1044))</f>
        <v/>
      </c>
      <c r="O1044" s="14" t="str">
        <f aca="false">IF($B1044="","",$B1044&amp;"|"&amp;$N1044)</f>
        <v/>
      </c>
    </row>
    <row r="1045" customFormat="false" ht="15" hidden="false" customHeight="false" outlineLevel="0" collapsed="false">
      <c r="A1045" s="12"/>
      <c r="B1045" s="9"/>
      <c r="C1045" s="9"/>
      <c r="D1045" s="9"/>
      <c r="E1045" s="9"/>
      <c r="F1045" s="9"/>
      <c r="G1045" s="9"/>
      <c r="H1045" s="7"/>
      <c r="I1045" s="13" t="str">
        <f aca="false">IF(OR($G1045="",$H1045=""),"",ROUND($G1045*$H1045,0))</f>
        <v/>
      </c>
      <c r="J1045" s="8"/>
      <c r="K1045" s="13" t="str">
        <f aca="false">IF($B1045="","",SUMIFS($I$3:$I$2002,$B$3:$B$2002,$B1045))</f>
        <v/>
      </c>
      <c r="L1045" s="13" t="str">
        <f aca="false">IF($B1045="","",IF(COUNTIFS($B$3:$B1045,$B1045)&gt;1,0,IFERROR(LOOKUP($K1045,배송비규정!$A$3:$A$32,배송비규정!$B$3:$B$32),0)+IFERROR(INDEX(지역추가비!$B$3:$B$42,MATCH($J1045,지역추가비!$A$3:$A$42,0)),0)))</f>
        <v/>
      </c>
      <c r="M1045" s="13" t="str">
        <f aca="false">IF($B1045="","",IF(COUNTIFS($B$3:$B1045,$B1045)&gt;1,"",$K1045+$L1045))</f>
        <v/>
      </c>
      <c r="N1045" s="14" t="str">
        <f aca="false">IF($B1045="","",COUNTIFS($B$3:$B1045,$B1045))</f>
        <v/>
      </c>
      <c r="O1045" s="14" t="str">
        <f aca="false">IF($B1045="","",$B1045&amp;"|"&amp;$N1045)</f>
        <v/>
      </c>
    </row>
    <row r="1046" customFormat="false" ht="15" hidden="false" customHeight="false" outlineLevel="0" collapsed="false">
      <c r="A1046" s="12"/>
      <c r="B1046" s="9"/>
      <c r="C1046" s="9"/>
      <c r="D1046" s="9"/>
      <c r="E1046" s="9"/>
      <c r="F1046" s="9"/>
      <c r="G1046" s="9"/>
      <c r="H1046" s="7"/>
      <c r="I1046" s="13" t="str">
        <f aca="false">IF(OR($G1046="",$H1046=""),"",ROUND($G1046*$H1046,0))</f>
        <v/>
      </c>
      <c r="J1046" s="8"/>
      <c r="K1046" s="13" t="str">
        <f aca="false">IF($B1046="","",SUMIFS($I$3:$I$2002,$B$3:$B$2002,$B1046))</f>
        <v/>
      </c>
      <c r="L1046" s="13" t="str">
        <f aca="false">IF($B1046="","",IF(COUNTIFS($B$3:$B1046,$B1046)&gt;1,0,IFERROR(LOOKUP($K1046,배송비규정!$A$3:$A$32,배송비규정!$B$3:$B$32),0)+IFERROR(INDEX(지역추가비!$B$3:$B$42,MATCH($J1046,지역추가비!$A$3:$A$42,0)),0)))</f>
        <v/>
      </c>
      <c r="M1046" s="13" t="str">
        <f aca="false">IF($B1046="","",IF(COUNTIFS($B$3:$B1046,$B1046)&gt;1,"",$K1046+$L1046))</f>
        <v/>
      </c>
      <c r="N1046" s="14" t="str">
        <f aca="false">IF($B1046="","",COUNTIFS($B$3:$B1046,$B1046))</f>
        <v/>
      </c>
      <c r="O1046" s="14" t="str">
        <f aca="false">IF($B1046="","",$B1046&amp;"|"&amp;$N1046)</f>
        <v/>
      </c>
    </row>
    <row r="1047" customFormat="false" ht="15" hidden="false" customHeight="false" outlineLevel="0" collapsed="false">
      <c r="A1047" s="12"/>
      <c r="B1047" s="9"/>
      <c r="C1047" s="9"/>
      <c r="D1047" s="9"/>
      <c r="E1047" s="9"/>
      <c r="F1047" s="9"/>
      <c r="G1047" s="9"/>
      <c r="H1047" s="7"/>
      <c r="I1047" s="13" t="str">
        <f aca="false">IF(OR($G1047="",$H1047=""),"",ROUND($G1047*$H1047,0))</f>
        <v/>
      </c>
      <c r="J1047" s="8"/>
      <c r="K1047" s="13" t="str">
        <f aca="false">IF($B1047="","",SUMIFS($I$3:$I$2002,$B$3:$B$2002,$B1047))</f>
        <v/>
      </c>
      <c r="L1047" s="13" t="str">
        <f aca="false">IF($B1047="","",IF(COUNTIFS($B$3:$B1047,$B1047)&gt;1,0,IFERROR(LOOKUP($K1047,배송비규정!$A$3:$A$32,배송비규정!$B$3:$B$32),0)+IFERROR(INDEX(지역추가비!$B$3:$B$42,MATCH($J1047,지역추가비!$A$3:$A$42,0)),0)))</f>
        <v/>
      </c>
      <c r="M1047" s="13" t="str">
        <f aca="false">IF($B1047="","",IF(COUNTIFS($B$3:$B1047,$B1047)&gt;1,"",$K1047+$L1047))</f>
        <v/>
      </c>
      <c r="N1047" s="14" t="str">
        <f aca="false">IF($B1047="","",COUNTIFS($B$3:$B1047,$B1047))</f>
        <v/>
      </c>
      <c r="O1047" s="14" t="str">
        <f aca="false">IF($B1047="","",$B1047&amp;"|"&amp;$N1047)</f>
        <v/>
      </c>
    </row>
    <row r="1048" customFormat="false" ht="15" hidden="false" customHeight="false" outlineLevel="0" collapsed="false">
      <c r="A1048" s="12"/>
      <c r="B1048" s="9"/>
      <c r="C1048" s="9"/>
      <c r="D1048" s="9"/>
      <c r="E1048" s="9"/>
      <c r="F1048" s="9"/>
      <c r="G1048" s="9"/>
      <c r="H1048" s="7"/>
      <c r="I1048" s="13" t="str">
        <f aca="false">IF(OR($G1048="",$H1048=""),"",ROUND($G1048*$H1048,0))</f>
        <v/>
      </c>
      <c r="J1048" s="8"/>
      <c r="K1048" s="13" t="str">
        <f aca="false">IF($B1048="","",SUMIFS($I$3:$I$2002,$B$3:$B$2002,$B1048))</f>
        <v/>
      </c>
      <c r="L1048" s="13" t="str">
        <f aca="false">IF($B1048="","",IF(COUNTIFS($B$3:$B1048,$B1048)&gt;1,0,IFERROR(LOOKUP($K1048,배송비규정!$A$3:$A$32,배송비규정!$B$3:$B$32),0)+IFERROR(INDEX(지역추가비!$B$3:$B$42,MATCH($J1048,지역추가비!$A$3:$A$42,0)),0)))</f>
        <v/>
      </c>
      <c r="M1048" s="13" t="str">
        <f aca="false">IF($B1048="","",IF(COUNTIFS($B$3:$B1048,$B1048)&gt;1,"",$K1048+$L1048))</f>
        <v/>
      </c>
      <c r="N1048" s="14" t="str">
        <f aca="false">IF($B1048="","",COUNTIFS($B$3:$B1048,$B1048))</f>
        <v/>
      </c>
      <c r="O1048" s="14" t="str">
        <f aca="false">IF($B1048="","",$B1048&amp;"|"&amp;$N1048)</f>
        <v/>
      </c>
    </row>
    <row r="1049" customFormat="false" ht="15" hidden="false" customHeight="false" outlineLevel="0" collapsed="false">
      <c r="A1049" s="12"/>
      <c r="B1049" s="9"/>
      <c r="C1049" s="9"/>
      <c r="D1049" s="9"/>
      <c r="E1049" s="9"/>
      <c r="F1049" s="9"/>
      <c r="G1049" s="9"/>
      <c r="H1049" s="7"/>
      <c r="I1049" s="13" t="str">
        <f aca="false">IF(OR($G1049="",$H1049=""),"",ROUND($G1049*$H1049,0))</f>
        <v/>
      </c>
      <c r="J1049" s="8"/>
      <c r="K1049" s="13" t="str">
        <f aca="false">IF($B1049="","",SUMIFS($I$3:$I$2002,$B$3:$B$2002,$B1049))</f>
        <v/>
      </c>
      <c r="L1049" s="13" t="str">
        <f aca="false">IF($B1049="","",IF(COUNTIFS($B$3:$B1049,$B1049)&gt;1,0,IFERROR(LOOKUP($K1049,배송비규정!$A$3:$A$32,배송비규정!$B$3:$B$32),0)+IFERROR(INDEX(지역추가비!$B$3:$B$42,MATCH($J1049,지역추가비!$A$3:$A$42,0)),0)))</f>
        <v/>
      </c>
      <c r="M1049" s="13" t="str">
        <f aca="false">IF($B1049="","",IF(COUNTIFS($B$3:$B1049,$B1049)&gt;1,"",$K1049+$L1049))</f>
        <v/>
      </c>
      <c r="N1049" s="14" t="str">
        <f aca="false">IF($B1049="","",COUNTIFS($B$3:$B1049,$B1049))</f>
        <v/>
      </c>
      <c r="O1049" s="14" t="str">
        <f aca="false">IF($B1049="","",$B1049&amp;"|"&amp;$N1049)</f>
        <v/>
      </c>
    </row>
    <row r="1050" customFormat="false" ht="15" hidden="false" customHeight="false" outlineLevel="0" collapsed="false">
      <c r="A1050" s="12"/>
      <c r="B1050" s="9"/>
      <c r="C1050" s="9"/>
      <c r="D1050" s="9"/>
      <c r="E1050" s="9"/>
      <c r="F1050" s="9"/>
      <c r="G1050" s="9"/>
      <c r="H1050" s="7"/>
      <c r="I1050" s="13" t="str">
        <f aca="false">IF(OR($G1050="",$H1050=""),"",ROUND($G1050*$H1050,0))</f>
        <v/>
      </c>
      <c r="J1050" s="8"/>
      <c r="K1050" s="13" t="str">
        <f aca="false">IF($B1050="","",SUMIFS($I$3:$I$2002,$B$3:$B$2002,$B1050))</f>
        <v/>
      </c>
      <c r="L1050" s="13" t="str">
        <f aca="false">IF($B1050="","",IF(COUNTIFS($B$3:$B1050,$B1050)&gt;1,0,IFERROR(LOOKUP($K1050,배송비규정!$A$3:$A$32,배송비규정!$B$3:$B$32),0)+IFERROR(INDEX(지역추가비!$B$3:$B$42,MATCH($J1050,지역추가비!$A$3:$A$42,0)),0)))</f>
        <v/>
      </c>
      <c r="M1050" s="13" t="str">
        <f aca="false">IF($B1050="","",IF(COUNTIFS($B$3:$B1050,$B1050)&gt;1,"",$K1050+$L1050))</f>
        <v/>
      </c>
      <c r="N1050" s="14" t="str">
        <f aca="false">IF($B1050="","",COUNTIFS($B$3:$B1050,$B1050))</f>
        <v/>
      </c>
      <c r="O1050" s="14" t="str">
        <f aca="false">IF($B1050="","",$B1050&amp;"|"&amp;$N1050)</f>
        <v/>
      </c>
    </row>
    <row r="1051" customFormat="false" ht="15" hidden="false" customHeight="false" outlineLevel="0" collapsed="false">
      <c r="A1051" s="12"/>
      <c r="B1051" s="9"/>
      <c r="C1051" s="9"/>
      <c r="D1051" s="9"/>
      <c r="E1051" s="9"/>
      <c r="F1051" s="9"/>
      <c r="G1051" s="9"/>
      <c r="H1051" s="7"/>
      <c r="I1051" s="13" t="str">
        <f aca="false">IF(OR($G1051="",$H1051=""),"",ROUND($G1051*$H1051,0))</f>
        <v/>
      </c>
      <c r="J1051" s="8"/>
      <c r="K1051" s="13" t="str">
        <f aca="false">IF($B1051="","",SUMIFS($I$3:$I$2002,$B$3:$B$2002,$B1051))</f>
        <v/>
      </c>
      <c r="L1051" s="13" t="str">
        <f aca="false">IF($B1051="","",IF(COUNTIFS($B$3:$B1051,$B1051)&gt;1,0,IFERROR(LOOKUP($K1051,배송비규정!$A$3:$A$32,배송비규정!$B$3:$B$32),0)+IFERROR(INDEX(지역추가비!$B$3:$B$42,MATCH($J1051,지역추가비!$A$3:$A$42,0)),0)))</f>
        <v/>
      </c>
      <c r="M1051" s="13" t="str">
        <f aca="false">IF($B1051="","",IF(COUNTIFS($B$3:$B1051,$B1051)&gt;1,"",$K1051+$L1051))</f>
        <v/>
      </c>
      <c r="N1051" s="14" t="str">
        <f aca="false">IF($B1051="","",COUNTIFS($B$3:$B1051,$B1051))</f>
        <v/>
      </c>
      <c r="O1051" s="14" t="str">
        <f aca="false">IF($B1051="","",$B1051&amp;"|"&amp;$N1051)</f>
        <v/>
      </c>
    </row>
    <row r="1052" customFormat="false" ht="15" hidden="false" customHeight="false" outlineLevel="0" collapsed="false">
      <c r="A1052" s="12"/>
      <c r="B1052" s="9"/>
      <c r="C1052" s="9"/>
      <c r="D1052" s="9"/>
      <c r="E1052" s="9"/>
      <c r="F1052" s="9"/>
      <c r="G1052" s="9"/>
      <c r="H1052" s="7"/>
      <c r="I1052" s="13" t="str">
        <f aca="false">IF(OR($G1052="",$H1052=""),"",ROUND($G1052*$H1052,0))</f>
        <v/>
      </c>
      <c r="J1052" s="8"/>
      <c r="K1052" s="13" t="str">
        <f aca="false">IF($B1052="","",SUMIFS($I$3:$I$2002,$B$3:$B$2002,$B1052))</f>
        <v/>
      </c>
      <c r="L1052" s="13" t="str">
        <f aca="false">IF($B1052="","",IF(COUNTIFS($B$3:$B1052,$B1052)&gt;1,0,IFERROR(LOOKUP($K1052,배송비규정!$A$3:$A$32,배송비규정!$B$3:$B$32),0)+IFERROR(INDEX(지역추가비!$B$3:$B$42,MATCH($J1052,지역추가비!$A$3:$A$42,0)),0)))</f>
        <v/>
      </c>
      <c r="M1052" s="13" t="str">
        <f aca="false">IF($B1052="","",IF(COUNTIFS($B$3:$B1052,$B1052)&gt;1,"",$K1052+$L1052))</f>
        <v/>
      </c>
      <c r="N1052" s="14" t="str">
        <f aca="false">IF($B1052="","",COUNTIFS($B$3:$B1052,$B1052))</f>
        <v/>
      </c>
      <c r="O1052" s="14" t="str">
        <f aca="false">IF($B1052="","",$B1052&amp;"|"&amp;$N1052)</f>
        <v/>
      </c>
    </row>
    <row r="1053" customFormat="false" ht="15" hidden="false" customHeight="false" outlineLevel="0" collapsed="false">
      <c r="A1053" s="12"/>
      <c r="B1053" s="9"/>
      <c r="C1053" s="9"/>
      <c r="D1053" s="9"/>
      <c r="E1053" s="9"/>
      <c r="F1053" s="9"/>
      <c r="G1053" s="9"/>
      <c r="H1053" s="7"/>
      <c r="I1053" s="13" t="str">
        <f aca="false">IF(OR($G1053="",$H1053=""),"",ROUND($G1053*$H1053,0))</f>
        <v/>
      </c>
      <c r="J1053" s="8"/>
      <c r="K1053" s="13" t="str">
        <f aca="false">IF($B1053="","",SUMIFS($I$3:$I$2002,$B$3:$B$2002,$B1053))</f>
        <v/>
      </c>
      <c r="L1053" s="13" t="str">
        <f aca="false">IF($B1053="","",IF(COUNTIFS($B$3:$B1053,$B1053)&gt;1,0,IFERROR(LOOKUP($K1053,배송비규정!$A$3:$A$32,배송비규정!$B$3:$B$32),0)+IFERROR(INDEX(지역추가비!$B$3:$B$42,MATCH($J1053,지역추가비!$A$3:$A$42,0)),0)))</f>
        <v/>
      </c>
      <c r="M1053" s="13" t="str">
        <f aca="false">IF($B1053="","",IF(COUNTIFS($B$3:$B1053,$B1053)&gt;1,"",$K1053+$L1053))</f>
        <v/>
      </c>
      <c r="N1053" s="14" t="str">
        <f aca="false">IF($B1053="","",COUNTIFS($B$3:$B1053,$B1053))</f>
        <v/>
      </c>
      <c r="O1053" s="14" t="str">
        <f aca="false">IF($B1053="","",$B1053&amp;"|"&amp;$N1053)</f>
        <v/>
      </c>
    </row>
    <row r="1054" customFormat="false" ht="15" hidden="false" customHeight="false" outlineLevel="0" collapsed="false">
      <c r="A1054" s="12"/>
      <c r="B1054" s="9"/>
      <c r="C1054" s="9"/>
      <c r="D1054" s="9"/>
      <c r="E1054" s="9"/>
      <c r="F1054" s="9"/>
      <c r="G1054" s="9"/>
      <c r="H1054" s="7"/>
      <c r="I1054" s="13" t="str">
        <f aca="false">IF(OR($G1054="",$H1054=""),"",ROUND($G1054*$H1054,0))</f>
        <v/>
      </c>
      <c r="J1054" s="8"/>
      <c r="K1054" s="13" t="str">
        <f aca="false">IF($B1054="","",SUMIFS($I$3:$I$2002,$B$3:$B$2002,$B1054))</f>
        <v/>
      </c>
      <c r="L1054" s="13" t="str">
        <f aca="false">IF($B1054="","",IF(COUNTIFS($B$3:$B1054,$B1054)&gt;1,0,IFERROR(LOOKUP($K1054,배송비규정!$A$3:$A$32,배송비규정!$B$3:$B$32),0)+IFERROR(INDEX(지역추가비!$B$3:$B$42,MATCH($J1054,지역추가비!$A$3:$A$42,0)),0)))</f>
        <v/>
      </c>
      <c r="M1054" s="13" t="str">
        <f aca="false">IF($B1054="","",IF(COUNTIFS($B$3:$B1054,$B1054)&gt;1,"",$K1054+$L1054))</f>
        <v/>
      </c>
      <c r="N1054" s="14" t="str">
        <f aca="false">IF($B1054="","",COUNTIFS($B$3:$B1054,$B1054))</f>
        <v/>
      </c>
      <c r="O1054" s="14" t="str">
        <f aca="false">IF($B1054="","",$B1054&amp;"|"&amp;$N1054)</f>
        <v/>
      </c>
    </row>
    <row r="1055" customFormat="false" ht="15" hidden="false" customHeight="false" outlineLevel="0" collapsed="false">
      <c r="A1055" s="12"/>
      <c r="B1055" s="9"/>
      <c r="C1055" s="9"/>
      <c r="D1055" s="9"/>
      <c r="E1055" s="9"/>
      <c r="F1055" s="9"/>
      <c r="G1055" s="9"/>
      <c r="H1055" s="7"/>
      <c r="I1055" s="13" t="str">
        <f aca="false">IF(OR($G1055="",$H1055=""),"",ROUND($G1055*$H1055,0))</f>
        <v/>
      </c>
      <c r="J1055" s="8"/>
      <c r="K1055" s="13" t="str">
        <f aca="false">IF($B1055="","",SUMIFS($I$3:$I$2002,$B$3:$B$2002,$B1055))</f>
        <v/>
      </c>
      <c r="L1055" s="13" t="str">
        <f aca="false">IF($B1055="","",IF(COUNTIFS($B$3:$B1055,$B1055)&gt;1,0,IFERROR(LOOKUP($K1055,배송비규정!$A$3:$A$32,배송비규정!$B$3:$B$32),0)+IFERROR(INDEX(지역추가비!$B$3:$B$42,MATCH($J1055,지역추가비!$A$3:$A$42,0)),0)))</f>
        <v/>
      </c>
      <c r="M1055" s="13" t="str">
        <f aca="false">IF($B1055="","",IF(COUNTIFS($B$3:$B1055,$B1055)&gt;1,"",$K1055+$L1055))</f>
        <v/>
      </c>
      <c r="N1055" s="14" t="str">
        <f aca="false">IF($B1055="","",COUNTIFS($B$3:$B1055,$B1055))</f>
        <v/>
      </c>
      <c r="O1055" s="14" t="str">
        <f aca="false">IF($B1055="","",$B1055&amp;"|"&amp;$N1055)</f>
        <v/>
      </c>
    </row>
    <row r="1056" customFormat="false" ht="15" hidden="false" customHeight="false" outlineLevel="0" collapsed="false">
      <c r="A1056" s="12"/>
      <c r="B1056" s="9"/>
      <c r="C1056" s="9"/>
      <c r="D1056" s="9"/>
      <c r="E1056" s="9"/>
      <c r="F1056" s="9"/>
      <c r="G1056" s="9"/>
      <c r="H1056" s="7"/>
      <c r="I1056" s="13" t="str">
        <f aca="false">IF(OR($G1056="",$H1056=""),"",ROUND($G1056*$H1056,0))</f>
        <v/>
      </c>
      <c r="J1056" s="8"/>
      <c r="K1056" s="13" t="str">
        <f aca="false">IF($B1056="","",SUMIFS($I$3:$I$2002,$B$3:$B$2002,$B1056))</f>
        <v/>
      </c>
      <c r="L1056" s="13" t="str">
        <f aca="false">IF($B1056="","",IF(COUNTIFS($B$3:$B1056,$B1056)&gt;1,0,IFERROR(LOOKUP($K1056,배송비규정!$A$3:$A$32,배송비규정!$B$3:$B$32),0)+IFERROR(INDEX(지역추가비!$B$3:$B$42,MATCH($J1056,지역추가비!$A$3:$A$42,0)),0)))</f>
        <v/>
      </c>
      <c r="M1056" s="13" t="str">
        <f aca="false">IF($B1056="","",IF(COUNTIFS($B$3:$B1056,$B1056)&gt;1,"",$K1056+$L1056))</f>
        <v/>
      </c>
      <c r="N1056" s="14" t="str">
        <f aca="false">IF($B1056="","",COUNTIFS($B$3:$B1056,$B1056))</f>
        <v/>
      </c>
      <c r="O1056" s="14" t="str">
        <f aca="false">IF($B1056="","",$B1056&amp;"|"&amp;$N1056)</f>
        <v/>
      </c>
    </row>
    <row r="1057" customFormat="false" ht="15" hidden="false" customHeight="false" outlineLevel="0" collapsed="false">
      <c r="A1057" s="12"/>
      <c r="B1057" s="9"/>
      <c r="C1057" s="9"/>
      <c r="D1057" s="9"/>
      <c r="E1057" s="9"/>
      <c r="F1057" s="9"/>
      <c r="G1057" s="9"/>
      <c r="H1057" s="7"/>
      <c r="I1057" s="13" t="str">
        <f aca="false">IF(OR($G1057="",$H1057=""),"",ROUND($G1057*$H1057,0))</f>
        <v/>
      </c>
      <c r="J1057" s="8"/>
      <c r="K1057" s="13" t="str">
        <f aca="false">IF($B1057="","",SUMIFS($I$3:$I$2002,$B$3:$B$2002,$B1057))</f>
        <v/>
      </c>
      <c r="L1057" s="13" t="str">
        <f aca="false">IF($B1057="","",IF(COUNTIFS($B$3:$B1057,$B1057)&gt;1,0,IFERROR(LOOKUP($K1057,배송비규정!$A$3:$A$32,배송비규정!$B$3:$B$32),0)+IFERROR(INDEX(지역추가비!$B$3:$B$42,MATCH($J1057,지역추가비!$A$3:$A$42,0)),0)))</f>
        <v/>
      </c>
      <c r="M1057" s="13" t="str">
        <f aca="false">IF($B1057="","",IF(COUNTIFS($B$3:$B1057,$B1057)&gt;1,"",$K1057+$L1057))</f>
        <v/>
      </c>
      <c r="N1057" s="14" t="str">
        <f aca="false">IF($B1057="","",COUNTIFS($B$3:$B1057,$B1057))</f>
        <v/>
      </c>
      <c r="O1057" s="14" t="str">
        <f aca="false">IF($B1057="","",$B1057&amp;"|"&amp;$N1057)</f>
        <v/>
      </c>
    </row>
    <row r="1058" customFormat="false" ht="15" hidden="false" customHeight="false" outlineLevel="0" collapsed="false">
      <c r="A1058" s="12"/>
      <c r="B1058" s="9"/>
      <c r="C1058" s="9"/>
      <c r="D1058" s="9"/>
      <c r="E1058" s="9"/>
      <c r="F1058" s="9"/>
      <c r="G1058" s="9"/>
      <c r="H1058" s="7"/>
      <c r="I1058" s="13" t="str">
        <f aca="false">IF(OR($G1058="",$H1058=""),"",ROUND($G1058*$H1058,0))</f>
        <v/>
      </c>
      <c r="J1058" s="8"/>
      <c r="K1058" s="13" t="str">
        <f aca="false">IF($B1058="","",SUMIFS($I$3:$I$2002,$B$3:$B$2002,$B1058))</f>
        <v/>
      </c>
      <c r="L1058" s="13" t="str">
        <f aca="false">IF($B1058="","",IF(COUNTIFS($B$3:$B1058,$B1058)&gt;1,0,IFERROR(LOOKUP($K1058,배송비규정!$A$3:$A$32,배송비규정!$B$3:$B$32),0)+IFERROR(INDEX(지역추가비!$B$3:$B$42,MATCH($J1058,지역추가비!$A$3:$A$42,0)),0)))</f>
        <v/>
      </c>
      <c r="M1058" s="13" t="str">
        <f aca="false">IF($B1058="","",IF(COUNTIFS($B$3:$B1058,$B1058)&gt;1,"",$K1058+$L1058))</f>
        <v/>
      </c>
      <c r="N1058" s="14" t="str">
        <f aca="false">IF($B1058="","",COUNTIFS($B$3:$B1058,$B1058))</f>
        <v/>
      </c>
      <c r="O1058" s="14" t="str">
        <f aca="false">IF($B1058="","",$B1058&amp;"|"&amp;$N1058)</f>
        <v/>
      </c>
    </row>
    <row r="1059" customFormat="false" ht="15" hidden="false" customHeight="false" outlineLevel="0" collapsed="false">
      <c r="A1059" s="12"/>
      <c r="B1059" s="9"/>
      <c r="C1059" s="9"/>
      <c r="D1059" s="9"/>
      <c r="E1059" s="9"/>
      <c r="F1059" s="9"/>
      <c r="G1059" s="9"/>
      <c r="H1059" s="7"/>
      <c r="I1059" s="13" t="str">
        <f aca="false">IF(OR($G1059="",$H1059=""),"",ROUND($G1059*$H1059,0))</f>
        <v/>
      </c>
      <c r="J1059" s="8"/>
      <c r="K1059" s="13" t="str">
        <f aca="false">IF($B1059="","",SUMIFS($I$3:$I$2002,$B$3:$B$2002,$B1059))</f>
        <v/>
      </c>
      <c r="L1059" s="13" t="str">
        <f aca="false">IF($B1059="","",IF(COUNTIFS($B$3:$B1059,$B1059)&gt;1,0,IFERROR(LOOKUP($K1059,배송비규정!$A$3:$A$32,배송비규정!$B$3:$B$32),0)+IFERROR(INDEX(지역추가비!$B$3:$B$42,MATCH($J1059,지역추가비!$A$3:$A$42,0)),0)))</f>
        <v/>
      </c>
      <c r="M1059" s="13" t="str">
        <f aca="false">IF($B1059="","",IF(COUNTIFS($B$3:$B1059,$B1059)&gt;1,"",$K1059+$L1059))</f>
        <v/>
      </c>
      <c r="N1059" s="14" t="str">
        <f aca="false">IF($B1059="","",COUNTIFS($B$3:$B1059,$B1059))</f>
        <v/>
      </c>
      <c r="O1059" s="14" t="str">
        <f aca="false">IF($B1059="","",$B1059&amp;"|"&amp;$N1059)</f>
        <v/>
      </c>
    </row>
    <row r="1060" customFormat="false" ht="15" hidden="false" customHeight="false" outlineLevel="0" collapsed="false">
      <c r="A1060" s="12"/>
      <c r="B1060" s="9"/>
      <c r="C1060" s="9"/>
      <c r="D1060" s="9"/>
      <c r="E1060" s="9"/>
      <c r="F1060" s="9"/>
      <c r="G1060" s="9"/>
      <c r="H1060" s="7"/>
      <c r="I1060" s="13" t="str">
        <f aca="false">IF(OR($G1060="",$H1060=""),"",ROUND($G1060*$H1060,0))</f>
        <v/>
      </c>
      <c r="J1060" s="8"/>
      <c r="K1060" s="13" t="str">
        <f aca="false">IF($B1060="","",SUMIFS($I$3:$I$2002,$B$3:$B$2002,$B1060))</f>
        <v/>
      </c>
      <c r="L1060" s="13" t="str">
        <f aca="false">IF($B1060="","",IF(COUNTIFS($B$3:$B1060,$B1060)&gt;1,0,IFERROR(LOOKUP($K1060,배송비규정!$A$3:$A$32,배송비규정!$B$3:$B$32),0)+IFERROR(INDEX(지역추가비!$B$3:$B$42,MATCH($J1060,지역추가비!$A$3:$A$42,0)),0)))</f>
        <v/>
      </c>
      <c r="M1060" s="13" t="str">
        <f aca="false">IF($B1060="","",IF(COUNTIFS($B$3:$B1060,$B1060)&gt;1,"",$K1060+$L1060))</f>
        <v/>
      </c>
      <c r="N1060" s="14" t="str">
        <f aca="false">IF($B1060="","",COUNTIFS($B$3:$B1060,$B1060))</f>
        <v/>
      </c>
      <c r="O1060" s="14" t="str">
        <f aca="false">IF($B1060="","",$B1060&amp;"|"&amp;$N1060)</f>
        <v/>
      </c>
    </row>
    <row r="1061" customFormat="false" ht="15" hidden="false" customHeight="false" outlineLevel="0" collapsed="false">
      <c r="A1061" s="12"/>
      <c r="B1061" s="9"/>
      <c r="C1061" s="9"/>
      <c r="D1061" s="9"/>
      <c r="E1061" s="9"/>
      <c r="F1061" s="9"/>
      <c r="G1061" s="9"/>
      <c r="H1061" s="7"/>
      <c r="I1061" s="13" t="str">
        <f aca="false">IF(OR($G1061="",$H1061=""),"",ROUND($G1061*$H1061,0))</f>
        <v/>
      </c>
      <c r="J1061" s="8"/>
      <c r="K1061" s="13" t="str">
        <f aca="false">IF($B1061="","",SUMIFS($I$3:$I$2002,$B$3:$B$2002,$B1061))</f>
        <v/>
      </c>
      <c r="L1061" s="13" t="str">
        <f aca="false">IF($B1061="","",IF(COUNTIFS($B$3:$B1061,$B1061)&gt;1,0,IFERROR(LOOKUP($K1061,배송비규정!$A$3:$A$32,배송비규정!$B$3:$B$32),0)+IFERROR(INDEX(지역추가비!$B$3:$B$42,MATCH($J1061,지역추가비!$A$3:$A$42,0)),0)))</f>
        <v/>
      </c>
      <c r="M1061" s="13" t="str">
        <f aca="false">IF($B1061="","",IF(COUNTIFS($B$3:$B1061,$B1061)&gt;1,"",$K1061+$L1061))</f>
        <v/>
      </c>
      <c r="N1061" s="14" t="str">
        <f aca="false">IF($B1061="","",COUNTIFS($B$3:$B1061,$B1061))</f>
        <v/>
      </c>
      <c r="O1061" s="14" t="str">
        <f aca="false">IF($B1061="","",$B1061&amp;"|"&amp;$N1061)</f>
        <v/>
      </c>
    </row>
    <row r="1062" customFormat="false" ht="15" hidden="false" customHeight="false" outlineLevel="0" collapsed="false">
      <c r="A1062" s="12"/>
      <c r="B1062" s="9"/>
      <c r="C1062" s="9"/>
      <c r="D1062" s="9"/>
      <c r="E1062" s="9"/>
      <c r="F1062" s="9"/>
      <c r="G1062" s="9"/>
      <c r="H1062" s="7"/>
      <c r="I1062" s="13" t="str">
        <f aca="false">IF(OR($G1062="",$H1062=""),"",ROUND($G1062*$H1062,0))</f>
        <v/>
      </c>
      <c r="J1062" s="8"/>
      <c r="K1062" s="13" t="str">
        <f aca="false">IF($B1062="","",SUMIFS($I$3:$I$2002,$B$3:$B$2002,$B1062))</f>
        <v/>
      </c>
      <c r="L1062" s="13" t="str">
        <f aca="false">IF($B1062="","",IF(COUNTIFS($B$3:$B1062,$B1062)&gt;1,0,IFERROR(LOOKUP($K1062,배송비규정!$A$3:$A$32,배송비규정!$B$3:$B$32),0)+IFERROR(INDEX(지역추가비!$B$3:$B$42,MATCH($J1062,지역추가비!$A$3:$A$42,0)),0)))</f>
        <v/>
      </c>
      <c r="M1062" s="13" t="str">
        <f aca="false">IF($B1062="","",IF(COUNTIFS($B$3:$B1062,$B1062)&gt;1,"",$K1062+$L1062))</f>
        <v/>
      </c>
      <c r="N1062" s="14" t="str">
        <f aca="false">IF($B1062="","",COUNTIFS($B$3:$B1062,$B1062))</f>
        <v/>
      </c>
      <c r="O1062" s="14" t="str">
        <f aca="false">IF($B1062="","",$B1062&amp;"|"&amp;$N1062)</f>
        <v/>
      </c>
    </row>
    <row r="1063" customFormat="false" ht="15" hidden="false" customHeight="false" outlineLevel="0" collapsed="false">
      <c r="A1063" s="12"/>
      <c r="B1063" s="9"/>
      <c r="C1063" s="9"/>
      <c r="D1063" s="9"/>
      <c r="E1063" s="9"/>
      <c r="F1063" s="9"/>
      <c r="G1063" s="9"/>
      <c r="H1063" s="7"/>
      <c r="I1063" s="13" t="str">
        <f aca="false">IF(OR($G1063="",$H1063=""),"",ROUND($G1063*$H1063,0))</f>
        <v/>
      </c>
      <c r="J1063" s="8"/>
      <c r="K1063" s="13" t="str">
        <f aca="false">IF($B1063="","",SUMIFS($I$3:$I$2002,$B$3:$B$2002,$B1063))</f>
        <v/>
      </c>
      <c r="L1063" s="13" t="str">
        <f aca="false">IF($B1063="","",IF(COUNTIFS($B$3:$B1063,$B1063)&gt;1,0,IFERROR(LOOKUP($K1063,배송비규정!$A$3:$A$32,배송비규정!$B$3:$B$32),0)+IFERROR(INDEX(지역추가비!$B$3:$B$42,MATCH($J1063,지역추가비!$A$3:$A$42,0)),0)))</f>
        <v/>
      </c>
      <c r="M1063" s="13" t="str">
        <f aca="false">IF($B1063="","",IF(COUNTIFS($B$3:$B1063,$B1063)&gt;1,"",$K1063+$L1063))</f>
        <v/>
      </c>
      <c r="N1063" s="14" t="str">
        <f aca="false">IF($B1063="","",COUNTIFS($B$3:$B1063,$B1063))</f>
        <v/>
      </c>
      <c r="O1063" s="14" t="str">
        <f aca="false">IF($B1063="","",$B1063&amp;"|"&amp;$N1063)</f>
        <v/>
      </c>
    </row>
    <row r="1064" customFormat="false" ht="15" hidden="false" customHeight="false" outlineLevel="0" collapsed="false">
      <c r="A1064" s="12"/>
      <c r="B1064" s="9"/>
      <c r="C1064" s="9"/>
      <c r="D1064" s="9"/>
      <c r="E1064" s="9"/>
      <c r="F1064" s="9"/>
      <c r="G1064" s="9"/>
      <c r="H1064" s="7"/>
      <c r="I1064" s="13" t="str">
        <f aca="false">IF(OR($G1064="",$H1064=""),"",ROUND($G1064*$H1064,0))</f>
        <v/>
      </c>
      <c r="J1064" s="8"/>
      <c r="K1064" s="13" t="str">
        <f aca="false">IF($B1064="","",SUMIFS($I$3:$I$2002,$B$3:$B$2002,$B1064))</f>
        <v/>
      </c>
      <c r="L1064" s="13" t="str">
        <f aca="false">IF($B1064="","",IF(COUNTIFS($B$3:$B1064,$B1064)&gt;1,0,IFERROR(LOOKUP($K1064,배송비규정!$A$3:$A$32,배송비규정!$B$3:$B$32),0)+IFERROR(INDEX(지역추가비!$B$3:$B$42,MATCH($J1064,지역추가비!$A$3:$A$42,0)),0)))</f>
        <v/>
      </c>
      <c r="M1064" s="13" t="str">
        <f aca="false">IF($B1064="","",IF(COUNTIFS($B$3:$B1064,$B1064)&gt;1,"",$K1064+$L1064))</f>
        <v/>
      </c>
      <c r="N1064" s="14" t="str">
        <f aca="false">IF($B1064="","",COUNTIFS($B$3:$B1064,$B1064))</f>
        <v/>
      </c>
      <c r="O1064" s="14" t="str">
        <f aca="false">IF($B1064="","",$B1064&amp;"|"&amp;$N1064)</f>
        <v/>
      </c>
    </row>
    <row r="1065" customFormat="false" ht="15" hidden="false" customHeight="false" outlineLevel="0" collapsed="false">
      <c r="A1065" s="12"/>
      <c r="B1065" s="9"/>
      <c r="C1065" s="9"/>
      <c r="D1065" s="9"/>
      <c r="E1065" s="9"/>
      <c r="F1065" s="9"/>
      <c r="G1065" s="9"/>
      <c r="H1065" s="7"/>
      <c r="I1065" s="13" t="str">
        <f aca="false">IF(OR($G1065="",$H1065=""),"",ROUND($G1065*$H1065,0))</f>
        <v/>
      </c>
      <c r="J1065" s="8"/>
      <c r="K1065" s="13" t="str">
        <f aca="false">IF($B1065="","",SUMIFS($I$3:$I$2002,$B$3:$B$2002,$B1065))</f>
        <v/>
      </c>
      <c r="L1065" s="13" t="str">
        <f aca="false">IF($B1065="","",IF(COUNTIFS($B$3:$B1065,$B1065)&gt;1,0,IFERROR(LOOKUP($K1065,배송비규정!$A$3:$A$32,배송비규정!$B$3:$B$32),0)+IFERROR(INDEX(지역추가비!$B$3:$B$42,MATCH($J1065,지역추가비!$A$3:$A$42,0)),0)))</f>
        <v/>
      </c>
      <c r="M1065" s="13" t="str">
        <f aca="false">IF($B1065="","",IF(COUNTIFS($B$3:$B1065,$B1065)&gt;1,"",$K1065+$L1065))</f>
        <v/>
      </c>
      <c r="N1065" s="14" t="str">
        <f aca="false">IF($B1065="","",COUNTIFS($B$3:$B1065,$B1065))</f>
        <v/>
      </c>
      <c r="O1065" s="14" t="str">
        <f aca="false">IF($B1065="","",$B1065&amp;"|"&amp;$N1065)</f>
        <v/>
      </c>
    </row>
    <row r="1066" customFormat="false" ht="15" hidden="false" customHeight="false" outlineLevel="0" collapsed="false">
      <c r="A1066" s="12"/>
      <c r="B1066" s="9"/>
      <c r="C1066" s="9"/>
      <c r="D1066" s="9"/>
      <c r="E1066" s="9"/>
      <c r="F1066" s="9"/>
      <c r="G1066" s="9"/>
      <c r="H1066" s="7"/>
      <c r="I1066" s="13" t="str">
        <f aca="false">IF(OR($G1066="",$H1066=""),"",ROUND($G1066*$H1066,0))</f>
        <v/>
      </c>
      <c r="J1066" s="8"/>
      <c r="K1066" s="13" t="str">
        <f aca="false">IF($B1066="","",SUMIFS($I$3:$I$2002,$B$3:$B$2002,$B1066))</f>
        <v/>
      </c>
      <c r="L1066" s="13" t="str">
        <f aca="false">IF($B1066="","",IF(COUNTIFS($B$3:$B1066,$B1066)&gt;1,0,IFERROR(LOOKUP($K1066,배송비규정!$A$3:$A$32,배송비규정!$B$3:$B$32),0)+IFERROR(INDEX(지역추가비!$B$3:$B$42,MATCH($J1066,지역추가비!$A$3:$A$42,0)),0)))</f>
        <v/>
      </c>
      <c r="M1066" s="13" t="str">
        <f aca="false">IF($B1066="","",IF(COUNTIFS($B$3:$B1066,$B1066)&gt;1,"",$K1066+$L1066))</f>
        <v/>
      </c>
      <c r="N1066" s="14" t="str">
        <f aca="false">IF($B1066="","",COUNTIFS($B$3:$B1066,$B1066))</f>
        <v/>
      </c>
      <c r="O1066" s="14" t="str">
        <f aca="false">IF($B1066="","",$B1066&amp;"|"&amp;$N1066)</f>
        <v/>
      </c>
    </row>
    <row r="1067" customFormat="false" ht="15" hidden="false" customHeight="false" outlineLevel="0" collapsed="false">
      <c r="A1067" s="12"/>
      <c r="B1067" s="9"/>
      <c r="C1067" s="9"/>
      <c r="D1067" s="9"/>
      <c r="E1067" s="9"/>
      <c r="F1067" s="9"/>
      <c r="G1067" s="9"/>
      <c r="H1067" s="7"/>
      <c r="I1067" s="13" t="str">
        <f aca="false">IF(OR($G1067="",$H1067=""),"",ROUND($G1067*$H1067,0))</f>
        <v/>
      </c>
      <c r="J1067" s="8"/>
      <c r="K1067" s="13" t="str">
        <f aca="false">IF($B1067="","",SUMIFS($I$3:$I$2002,$B$3:$B$2002,$B1067))</f>
        <v/>
      </c>
      <c r="L1067" s="13" t="str">
        <f aca="false">IF($B1067="","",IF(COUNTIFS($B$3:$B1067,$B1067)&gt;1,0,IFERROR(LOOKUP($K1067,배송비규정!$A$3:$A$32,배송비규정!$B$3:$B$32),0)+IFERROR(INDEX(지역추가비!$B$3:$B$42,MATCH($J1067,지역추가비!$A$3:$A$42,0)),0)))</f>
        <v/>
      </c>
      <c r="M1067" s="13" t="str">
        <f aca="false">IF($B1067="","",IF(COUNTIFS($B$3:$B1067,$B1067)&gt;1,"",$K1067+$L1067))</f>
        <v/>
      </c>
      <c r="N1067" s="14" t="str">
        <f aca="false">IF($B1067="","",COUNTIFS($B$3:$B1067,$B1067))</f>
        <v/>
      </c>
      <c r="O1067" s="14" t="str">
        <f aca="false">IF($B1067="","",$B1067&amp;"|"&amp;$N1067)</f>
        <v/>
      </c>
    </row>
    <row r="1068" customFormat="false" ht="15" hidden="false" customHeight="false" outlineLevel="0" collapsed="false">
      <c r="A1068" s="12"/>
      <c r="B1068" s="9"/>
      <c r="C1068" s="9"/>
      <c r="D1068" s="9"/>
      <c r="E1068" s="9"/>
      <c r="F1068" s="9"/>
      <c r="G1068" s="9"/>
      <c r="H1068" s="7"/>
      <c r="I1068" s="13" t="str">
        <f aca="false">IF(OR($G1068="",$H1068=""),"",ROUND($G1068*$H1068,0))</f>
        <v/>
      </c>
      <c r="J1068" s="8"/>
      <c r="K1068" s="13" t="str">
        <f aca="false">IF($B1068="","",SUMIFS($I$3:$I$2002,$B$3:$B$2002,$B1068))</f>
        <v/>
      </c>
      <c r="L1068" s="13" t="str">
        <f aca="false">IF($B1068="","",IF(COUNTIFS($B$3:$B1068,$B1068)&gt;1,0,IFERROR(LOOKUP($K1068,배송비규정!$A$3:$A$32,배송비규정!$B$3:$B$32),0)+IFERROR(INDEX(지역추가비!$B$3:$B$42,MATCH($J1068,지역추가비!$A$3:$A$42,0)),0)))</f>
        <v/>
      </c>
      <c r="M1068" s="13" t="str">
        <f aca="false">IF($B1068="","",IF(COUNTIFS($B$3:$B1068,$B1068)&gt;1,"",$K1068+$L1068))</f>
        <v/>
      </c>
      <c r="N1068" s="14" t="str">
        <f aca="false">IF($B1068="","",COUNTIFS($B$3:$B1068,$B1068))</f>
        <v/>
      </c>
      <c r="O1068" s="14" t="str">
        <f aca="false">IF($B1068="","",$B1068&amp;"|"&amp;$N1068)</f>
        <v/>
      </c>
    </row>
    <row r="1069" customFormat="false" ht="15" hidden="false" customHeight="false" outlineLevel="0" collapsed="false">
      <c r="A1069" s="12"/>
      <c r="B1069" s="9"/>
      <c r="C1069" s="9"/>
      <c r="D1069" s="9"/>
      <c r="E1069" s="9"/>
      <c r="F1069" s="9"/>
      <c r="G1069" s="9"/>
      <c r="H1069" s="7"/>
      <c r="I1069" s="13" t="str">
        <f aca="false">IF(OR($G1069="",$H1069=""),"",ROUND($G1069*$H1069,0))</f>
        <v/>
      </c>
      <c r="J1069" s="8"/>
      <c r="K1069" s="13" t="str">
        <f aca="false">IF($B1069="","",SUMIFS($I$3:$I$2002,$B$3:$B$2002,$B1069))</f>
        <v/>
      </c>
      <c r="L1069" s="13" t="str">
        <f aca="false">IF($B1069="","",IF(COUNTIFS($B$3:$B1069,$B1069)&gt;1,0,IFERROR(LOOKUP($K1069,배송비규정!$A$3:$A$32,배송비규정!$B$3:$B$32),0)+IFERROR(INDEX(지역추가비!$B$3:$B$42,MATCH($J1069,지역추가비!$A$3:$A$42,0)),0)))</f>
        <v/>
      </c>
      <c r="M1069" s="13" t="str">
        <f aca="false">IF($B1069="","",IF(COUNTIFS($B$3:$B1069,$B1069)&gt;1,"",$K1069+$L1069))</f>
        <v/>
      </c>
      <c r="N1069" s="14" t="str">
        <f aca="false">IF($B1069="","",COUNTIFS($B$3:$B1069,$B1069))</f>
        <v/>
      </c>
      <c r="O1069" s="14" t="str">
        <f aca="false">IF($B1069="","",$B1069&amp;"|"&amp;$N1069)</f>
        <v/>
      </c>
    </row>
    <row r="1070" customFormat="false" ht="15" hidden="false" customHeight="false" outlineLevel="0" collapsed="false">
      <c r="A1070" s="12"/>
      <c r="B1070" s="9"/>
      <c r="C1070" s="9"/>
      <c r="D1070" s="9"/>
      <c r="E1070" s="9"/>
      <c r="F1070" s="9"/>
      <c r="G1070" s="9"/>
      <c r="H1070" s="7"/>
      <c r="I1070" s="13" t="str">
        <f aca="false">IF(OR($G1070="",$H1070=""),"",ROUND($G1070*$H1070,0))</f>
        <v/>
      </c>
      <c r="J1070" s="8"/>
      <c r="K1070" s="13" t="str">
        <f aca="false">IF($B1070="","",SUMIFS($I$3:$I$2002,$B$3:$B$2002,$B1070))</f>
        <v/>
      </c>
      <c r="L1070" s="13" t="str">
        <f aca="false">IF($B1070="","",IF(COUNTIFS($B$3:$B1070,$B1070)&gt;1,0,IFERROR(LOOKUP($K1070,배송비규정!$A$3:$A$32,배송비규정!$B$3:$B$32),0)+IFERROR(INDEX(지역추가비!$B$3:$B$42,MATCH($J1070,지역추가비!$A$3:$A$42,0)),0)))</f>
        <v/>
      </c>
      <c r="M1070" s="13" t="str">
        <f aca="false">IF($B1070="","",IF(COUNTIFS($B$3:$B1070,$B1070)&gt;1,"",$K1070+$L1070))</f>
        <v/>
      </c>
      <c r="N1070" s="14" t="str">
        <f aca="false">IF($B1070="","",COUNTIFS($B$3:$B1070,$B1070))</f>
        <v/>
      </c>
      <c r="O1070" s="14" t="str">
        <f aca="false">IF($B1070="","",$B1070&amp;"|"&amp;$N1070)</f>
        <v/>
      </c>
    </row>
    <row r="1071" customFormat="false" ht="15" hidden="false" customHeight="false" outlineLevel="0" collapsed="false">
      <c r="A1071" s="12"/>
      <c r="B1071" s="9"/>
      <c r="C1071" s="9"/>
      <c r="D1071" s="9"/>
      <c r="E1071" s="9"/>
      <c r="F1071" s="9"/>
      <c r="G1071" s="9"/>
      <c r="H1071" s="7"/>
      <c r="I1071" s="13" t="str">
        <f aca="false">IF(OR($G1071="",$H1071=""),"",ROUND($G1071*$H1071,0))</f>
        <v/>
      </c>
      <c r="J1071" s="8"/>
      <c r="K1071" s="13" t="str">
        <f aca="false">IF($B1071="","",SUMIFS($I$3:$I$2002,$B$3:$B$2002,$B1071))</f>
        <v/>
      </c>
      <c r="L1071" s="13" t="str">
        <f aca="false">IF($B1071="","",IF(COUNTIFS($B$3:$B1071,$B1071)&gt;1,0,IFERROR(LOOKUP($K1071,배송비규정!$A$3:$A$32,배송비규정!$B$3:$B$32),0)+IFERROR(INDEX(지역추가비!$B$3:$B$42,MATCH($J1071,지역추가비!$A$3:$A$42,0)),0)))</f>
        <v/>
      </c>
      <c r="M1071" s="13" t="str">
        <f aca="false">IF($B1071="","",IF(COUNTIFS($B$3:$B1071,$B1071)&gt;1,"",$K1071+$L1071))</f>
        <v/>
      </c>
      <c r="N1071" s="14" t="str">
        <f aca="false">IF($B1071="","",COUNTIFS($B$3:$B1071,$B1071))</f>
        <v/>
      </c>
      <c r="O1071" s="14" t="str">
        <f aca="false">IF($B1071="","",$B1071&amp;"|"&amp;$N1071)</f>
        <v/>
      </c>
    </row>
    <row r="1072" customFormat="false" ht="15" hidden="false" customHeight="false" outlineLevel="0" collapsed="false">
      <c r="A1072" s="12"/>
      <c r="B1072" s="9"/>
      <c r="C1072" s="9"/>
      <c r="D1072" s="9"/>
      <c r="E1072" s="9"/>
      <c r="F1072" s="9"/>
      <c r="G1072" s="9"/>
      <c r="H1072" s="7"/>
      <c r="I1072" s="13" t="str">
        <f aca="false">IF(OR($G1072="",$H1072=""),"",ROUND($G1072*$H1072,0))</f>
        <v/>
      </c>
      <c r="J1072" s="8"/>
      <c r="K1072" s="13" t="str">
        <f aca="false">IF($B1072="","",SUMIFS($I$3:$I$2002,$B$3:$B$2002,$B1072))</f>
        <v/>
      </c>
      <c r="L1072" s="13" t="str">
        <f aca="false">IF($B1072="","",IF(COUNTIFS($B$3:$B1072,$B1072)&gt;1,0,IFERROR(LOOKUP($K1072,배송비규정!$A$3:$A$32,배송비규정!$B$3:$B$32),0)+IFERROR(INDEX(지역추가비!$B$3:$B$42,MATCH($J1072,지역추가비!$A$3:$A$42,0)),0)))</f>
        <v/>
      </c>
      <c r="M1072" s="13" t="str">
        <f aca="false">IF($B1072="","",IF(COUNTIFS($B$3:$B1072,$B1072)&gt;1,"",$K1072+$L1072))</f>
        <v/>
      </c>
      <c r="N1072" s="14" t="str">
        <f aca="false">IF($B1072="","",COUNTIFS($B$3:$B1072,$B1072))</f>
        <v/>
      </c>
      <c r="O1072" s="14" t="str">
        <f aca="false">IF($B1072="","",$B1072&amp;"|"&amp;$N1072)</f>
        <v/>
      </c>
    </row>
    <row r="1073" customFormat="false" ht="15" hidden="false" customHeight="false" outlineLevel="0" collapsed="false">
      <c r="A1073" s="12"/>
      <c r="B1073" s="9"/>
      <c r="C1073" s="9"/>
      <c r="D1073" s="9"/>
      <c r="E1073" s="9"/>
      <c r="F1073" s="9"/>
      <c r="G1073" s="9"/>
      <c r="H1073" s="7"/>
      <c r="I1073" s="13" t="str">
        <f aca="false">IF(OR($G1073="",$H1073=""),"",ROUND($G1073*$H1073,0))</f>
        <v/>
      </c>
      <c r="J1073" s="8"/>
      <c r="K1073" s="13" t="str">
        <f aca="false">IF($B1073="","",SUMIFS($I$3:$I$2002,$B$3:$B$2002,$B1073))</f>
        <v/>
      </c>
      <c r="L1073" s="13" t="str">
        <f aca="false">IF($B1073="","",IF(COUNTIFS($B$3:$B1073,$B1073)&gt;1,0,IFERROR(LOOKUP($K1073,배송비규정!$A$3:$A$32,배송비규정!$B$3:$B$32),0)+IFERROR(INDEX(지역추가비!$B$3:$B$42,MATCH($J1073,지역추가비!$A$3:$A$42,0)),0)))</f>
        <v/>
      </c>
      <c r="M1073" s="13" t="str">
        <f aca="false">IF($B1073="","",IF(COUNTIFS($B$3:$B1073,$B1073)&gt;1,"",$K1073+$L1073))</f>
        <v/>
      </c>
      <c r="N1073" s="14" t="str">
        <f aca="false">IF($B1073="","",COUNTIFS($B$3:$B1073,$B1073))</f>
        <v/>
      </c>
      <c r="O1073" s="14" t="str">
        <f aca="false">IF($B1073="","",$B1073&amp;"|"&amp;$N1073)</f>
        <v/>
      </c>
    </row>
    <row r="1074" customFormat="false" ht="15" hidden="false" customHeight="false" outlineLevel="0" collapsed="false">
      <c r="A1074" s="12"/>
      <c r="B1074" s="9"/>
      <c r="C1074" s="9"/>
      <c r="D1074" s="9"/>
      <c r="E1074" s="9"/>
      <c r="F1074" s="9"/>
      <c r="G1074" s="9"/>
      <c r="H1074" s="7"/>
      <c r="I1074" s="13" t="str">
        <f aca="false">IF(OR($G1074="",$H1074=""),"",ROUND($G1074*$H1074,0))</f>
        <v/>
      </c>
      <c r="J1074" s="8"/>
      <c r="K1074" s="13" t="str">
        <f aca="false">IF($B1074="","",SUMIFS($I$3:$I$2002,$B$3:$B$2002,$B1074))</f>
        <v/>
      </c>
      <c r="L1074" s="13" t="str">
        <f aca="false">IF($B1074="","",IF(COUNTIFS($B$3:$B1074,$B1074)&gt;1,0,IFERROR(LOOKUP($K1074,배송비규정!$A$3:$A$32,배송비규정!$B$3:$B$32),0)+IFERROR(INDEX(지역추가비!$B$3:$B$42,MATCH($J1074,지역추가비!$A$3:$A$42,0)),0)))</f>
        <v/>
      </c>
      <c r="M1074" s="13" t="str">
        <f aca="false">IF($B1074="","",IF(COUNTIFS($B$3:$B1074,$B1074)&gt;1,"",$K1074+$L1074))</f>
        <v/>
      </c>
      <c r="N1074" s="14" t="str">
        <f aca="false">IF($B1074="","",COUNTIFS($B$3:$B1074,$B1074))</f>
        <v/>
      </c>
      <c r="O1074" s="14" t="str">
        <f aca="false">IF($B1074="","",$B1074&amp;"|"&amp;$N1074)</f>
        <v/>
      </c>
    </row>
    <row r="1075" customFormat="false" ht="15" hidden="false" customHeight="false" outlineLevel="0" collapsed="false">
      <c r="A1075" s="12"/>
      <c r="B1075" s="9"/>
      <c r="C1075" s="9"/>
      <c r="D1075" s="9"/>
      <c r="E1075" s="9"/>
      <c r="F1075" s="9"/>
      <c r="G1075" s="9"/>
      <c r="H1075" s="7"/>
      <c r="I1075" s="13" t="str">
        <f aca="false">IF(OR($G1075="",$H1075=""),"",ROUND($G1075*$H1075,0))</f>
        <v/>
      </c>
      <c r="J1075" s="8"/>
      <c r="K1075" s="13" t="str">
        <f aca="false">IF($B1075="","",SUMIFS($I$3:$I$2002,$B$3:$B$2002,$B1075))</f>
        <v/>
      </c>
      <c r="L1075" s="13" t="str">
        <f aca="false">IF($B1075="","",IF(COUNTIFS($B$3:$B1075,$B1075)&gt;1,0,IFERROR(LOOKUP($K1075,배송비규정!$A$3:$A$32,배송비규정!$B$3:$B$32),0)+IFERROR(INDEX(지역추가비!$B$3:$B$42,MATCH($J1075,지역추가비!$A$3:$A$42,0)),0)))</f>
        <v/>
      </c>
      <c r="M1075" s="13" t="str">
        <f aca="false">IF($B1075="","",IF(COUNTIFS($B$3:$B1075,$B1075)&gt;1,"",$K1075+$L1075))</f>
        <v/>
      </c>
      <c r="N1075" s="14" t="str">
        <f aca="false">IF($B1075="","",COUNTIFS($B$3:$B1075,$B1075))</f>
        <v/>
      </c>
      <c r="O1075" s="14" t="str">
        <f aca="false">IF($B1075="","",$B1075&amp;"|"&amp;$N1075)</f>
        <v/>
      </c>
    </row>
    <row r="1076" customFormat="false" ht="15" hidden="false" customHeight="false" outlineLevel="0" collapsed="false">
      <c r="A1076" s="12"/>
      <c r="B1076" s="9"/>
      <c r="C1076" s="9"/>
      <c r="D1076" s="9"/>
      <c r="E1076" s="9"/>
      <c r="F1076" s="9"/>
      <c r="G1076" s="9"/>
      <c r="H1076" s="7"/>
      <c r="I1076" s="13" t="str">
        <f aca="false">IF(OR($G1076="",$H1076=""),"",ROUND($G1076*$H1076,0))</f>
        <v/>
      </c>
      <c r="J1076" s="8"/>
      <c r="K1076" s="13" t="str">
        <f aca="false">IF($B1076="","",SUMIFS($I$3:$I$2002,$B$3:$B$2002,$B1076))</f>
        <v/>
      </c>
      <c r="L1076" s="13" t="str">
        <f aca="false">IF($B1076="","",IF(COUNTIFS($B$3:$B1076,$B1076)&gt;1,0,IFERROR(LOOKUP($K1076,배송비규정!$A$3:$A$32,배송비규정!$B$3:$B$32),0)+IFERROR(INDEX(지역추가비!$B$3:$B$42,MATCH($J1076,지역추가비!$A$3:$A$42,0)),0)))</f>
        <v/>
      </c>
      <c r="M1076" s="13" t="str">
        <f aca="false">IF($B1076="","",IF(COUNTIFS($B$3:$B1076,$B1076)&gt;1,"",$K1076+$L1076))</f>
        <v/>
      </c>
      <c r="N1076" s="14" t="str">
        <f aca="false">IF($B1076="","",COUNTIFS($B$3:$B1076,$B1076))</f>
        <v/>
      </c>
      <c r="O1076" s="14" t="str">
        <f aca="false">IF($B1076="","",$B1076&amp;"|"&amp;$N1076)</f>
        <v/>
      </c>
    </row>
    <row r="1077" customFormat="false" ht="15" hidden="false" customHeight="false" outlineLevel="0" collapsed="false">
      <c r="A1077" s="12"/>
      <c r="B1077" s="9"/>
      <c r="C1077" s="9"/>
      <c r="D1077" s="9"/>
      <c r="E1077" s="9"/>
      <c r="F1077" s="9"/>
      <c r="G1077" s="9"/>
      <c r="H1077" s="7"/>
      <c r="I1077" s="13" t="str">
        <f aca="false">IF(OR($G1077="",$H1077=""),"",ROUND($G1077*$H1077,0))</f>
        <v/>
      </c>
      <c r="J1077" s="8"/>
      <c r="K1077" s="13" t="str">
        <f aca="false">IF($B1077="","",SUMIFS($I$3:$I$2002,$B$3:$B$2002,$B1077))</f>
        <v/>
      </c>
      <c r="L1077" s="13" t="str">
        <f aca="false">IF($B1077="","",IF(COUNTIFS($B$3:$B1077,$B1077)&gt;1,0,IFERROR(LOOKUP($K1077,배송비규정!$A$3:$A$32,배송비규정!$B$3:$B$32),0)+IFERROR(INDEX(지역추가비!$B$3:$B$42,MATCH($J1077,지역추가비!$A$3:$A$42,0)),0)))</f>
        <v/>
      </c>
      <c r="M1077" s="13" t="str">
        <f aca="false">IF($B1077="","",IF(COUNTIFS($B$3:$B1077,$B1077)&gt;1,"",$K1077+$L1077))</f>
        <v/>
      </c>
      <c r="N1077" s="14" t="str">
        <f aca="false">IF($B1077="","",COUNTIFS($B$3:$B1077,$B1077))</f>
        <v/>
      </c>
      <c r="O1077" s="14" t="str">
        <f aca="false">IF($B1077="","",$B1077&amp;"|"&amp;$N1077)</f>
        <v/>
      </c>
    </row>
    <row r="1078" customFormat="false" ht="15" hidden="false" customHeight="false" outlineLevel="0" collapsed="false">
      <c r="A1078" s="12"/>
      <c r="B1078" s="9"/>
      <c r="C1078" s="9"/>
      <c r="D1078" s="9"/>
      <c r="E1078" s="9"/>
      <c r="F1078" s="9"/>
      <c r="G1078" s="9"/>
      <c r="H1078" s="7"/>
      <c r="I1078" s="13" t="str">
        <f aca="false">IF(OR($G1078="",$H1078=""),"",ROUND($G1078*$H1078,0))</f>
        <v/>
      </c>
      <c r="J1078" s="8"/>
      <c r="K1078" s="13" t="str">
        <f aca="false">IF($B1078="","",SUMIFS($I$3:$I$2002,$B$3:$B$2002,$B1078))</f>
        <v/>
      </c>
      <c r="L1078" s="13" t="str">
        <f aca="false">IF($B1078="","",IF(COUNTIFS($B$3:$B1078,$B1078)&gt;1,0,IFERROR(LOOKUP($K1078,배송비규정!$A$3:$A$32,배송비규정!$B$3:$B$32),0)+IFERROR(INDEX(지역추가비!$B$3:$B$42,MATCH($J1078,지역추가비!$A$3:$A$42,0)),0)))</f>
        <v/>
      </c>
      <c r="M1078" s="13" t="str">
        <f aca="false">IF($B1078="","",IF(COUNTIFS($B$3:$B1078,$B1078)&gt;1,"",$K1078+$L1078))</f>
        <v/>
      </c>
      <c r="N1078" s="14" t="str">
        <f aca="false">IF($B1078="","",COUNTIFS($B$3:$B1078,$B1078))</f>
        <v/>
      </c>
      <c r="O1078" s="14" t="str">
        <f aca="false">IF($B1078="","",$B1078&amp;"|"&amp;$N1078)</f>
        <v/>
      </c>
    </row>
    <row r="1079" customFormat="false" ht="15" hidden="false" customHeight="false" outlineLevel="0" collapsed="false">
      <c r="A1079" s="12"/>
      <c r="B1079" s="9"/>
      <c r="C1079" s="9"/>
      <c r="D1079" s="9"/>
      <c r="E1079" s="9"/>
      <c r="F1079" s="9"/>
      <c r="G1079" s="9"/>
      <c r="H1079" s="7"/>
      <c r="I1079" s="13" t="str">
        <f aca="false">IF(OR($G1079="",$H1079=""),"",ROUND($G1079*$H1079,0))</f>
        <v/>
      </c>
      <c r="J1079" s="8"/>
      <c r="K1079" s="13" t="str">
        <f aca="false">IF($B1079="","",SUMIFS($I$3:$I$2002,$B$3:$B$2002,$B1079))</f>
        <v/>
      </c>
      <c r="L1079" s="13" t="str">
        <f aca="false">IF($B1079="","",IF(COUNTIFS($B$3:$B1079,$B1079)&gt;1,0,IFERROR(LOOKUP($K1079,배송비규정!$A$3:$A$32,배송비규정!$B$3:$B$32),0)+IFERROR(INDEX(지역추가비!$B$3:$B$42,MATCH($J1079,지역추가비!$A$3:$A$42,0)),0)))</f>
        <v/>
      </c>
      <c r="M1079" s="13" t="str">
        <f aca="false">IF($B1079="","",IF(COUNTIFS($B$3:$B1079,$B1079)&gt;1,"",$K1079+$L1079))</f>
        <v/>
      </c>
      <c r="N1079" s="14" t="str">
        <f aca="false">IF($B1079="","",COUNTIFS($B$3:$B1079,$B1079))</f>
        <v/>
      </c>
      <c r="O1079" s="14" t="str">
        <f aca="false">IF($B1079="","",$B1079&amp;"|"&amp;$N1079)</f>
        <v/>
      </c>
    </row>
    <row r="1080" customFormat="false" ht="15" hidden="false" customHeight="false" outlineLevel="0" collapsed="false">
      <c r="A1080" s="12"/>
      <c r="B1080" s="9"/>
      <c r="C1080" s="9"/>
      <c r="D1080" s="9"/>
      <c r="E1080" s="9"/>
      <c r="F1080" s="9"/>
      <c r="G1080" s="9"/>
      <c r="H1080" s="7"/>
      <c r="I1080" s="13" t="str">
        <f aca="false">IF(OR($G1080="",$H1080=""),"",ROUND($G1080*$H1080,0))</f>
        <v/>
      </c>
      <c r="J1080" s="8"/>
      <c r="K1080" s="13" t="str">
        <f aca="false">IF($B1080="","",SUMIFS($I$3:$I$2002,$B$3:$B$2002,$B1080))</f>
        <v/>
      </c>
      <c r="L1080" s="13" t="str">
        <f aca="false">IF($B1080="","",IF(COUNTIFS($B$3:$B1080,$B1080)&gt;1,0,IFERROR(LOOKUP($K1080,배송비규정!$A$3:$A$32,배송비규정!$B$3:$B$32),0)+IFERROR(INDEX(지역추가비!$B$3:$B$42,MATCH($J1080,지역추가비!$A$3:$A$42,0)),0)))</f>
        <v/>
      </c>
      <c r="M1080" s="13" t="str">
        <f aca="false">IF($B1080="","",IF(COUNTIFS($B$3:$B1080,$B1080)&gt;1,"",$K1080+$L1080))</f>
        <v/>
      </c>
      <c r="N1080" s="14" t="str">
        <f aca="false">IF($B1080="","",COUNTIFS($B$3:$B1080,$B1080))</f>
        <v/>
      </c>
      <c r="O1080" s="14" t="str">
        <f aca="false">IF($B1080="","",$B1080&amp;"|"&amp;$N1080)</f>
        <v/>
      </c>
    </row>
    <row r="1081" customFormat="false" ht="15" hidden="false" customHeight="false" outlineLevel="0" collapsed="false">
      <c r="A1081" s="12"/>
      <c r="B1081" s="9"/>
      <c r="C1081" s="9"/>
      <c r="D1081" s="9"/>
      <c r="E1081" s="9"/>
      <c r="F1081" s="9"/>
      <c r="G1081" s="9"/>
      <c r="H1081" s="7"/>
      <c r="I1081" s="13" t="str">
        <f aca="false">IF(OR($G1081="",$H1081=""),"",ROUND($G1081*$H1081,0))</f>
        <v/>
      </c>
      <c r="J1081" s="8"/>
      <c r="K1081" s="13" t="str">
        <f aca="false">IF($B1081="","",SUMIFS($I$3:$I$2002,$B$3:$B$2002,$B1081))</f>
        <v/>
      </c>
      <c r="L1081" s="13" t="str">
        <f aca="false">IF($B1081="","",IF(COUNTIFS($B$3:$B1081,$B1081)&gt;1,0,IFERROR(LOOKUP($K1081,배송비규정!$A$3:$A$32,배송비규정!$B$3:$B$32),0)+IFERROR(INDEX(지역추가비!$B$3:$B$42,MATCH($J1081,지역추가비!$A$3:$A$42,0)),0)))</f>
        <v/>
      </c>
      <c r="M1081" s="13" t="str">
        <f aca="false">IF($B1081="","",IF(COUNTIFS($B$3:$B1081,$B1081)&gt;1,"",$K1081+$L1081))</f>
        <v/>
      </c>
      <c r="N1081" s="14" t="str">
        <f aca="false">IF($B1081="","",COUNTIFS($B$3:$B1081,$B1081))</f>
        <v/>
      </c>
      <c r="O1081" s="14" t="str">
        <f aca="false">IF($B1081="","",$B1081&amp;"|"&amp;$N1081)</f>
        <v/>
      </c>
    </row>
    <row r="1082" customFormat="false" ht="15" hidden="false" customHeight="false" outlineLevel="0" collapsed="false">
      <c r="A1082" s="12"/>
      <c r="B1082" s="9"/>
      <c r="C1082" s="9"/>
      <c r="D1082" s="9"/>
      <c r="E1082" s="9"/>
      <c r="F1082" s="9"/>
      <c r="G1082" s="9"/>
      <c r="H1082" s="7"/>
      <c r="I1082" s="13" t="str">
        <f aca="false">IF(OR($G1082="",$H1082=""),"",ROUND($G1082*$H1082,0))</f>
        <v/>
      </c>
      <c r="J1082" s="8"/>
      <c r="K1082" s="13" t="str">
        <f aca="false">IF($B1082="","",SUMIFS($I$3:$I$2002,$B$3:$B$2002,$B1082))</f>
        <v/>
      </c>
      <c r="L1082" s="13" t="str">
        <f aca="false">IF($B1082="","",IF(COUNTIFS($B$3:$B1082,$B1082)&gt;1,0,IFERROR(LOOKUP($K1082,배송비규정!$A$3:$A$32,배송비규정!$B$3:$B$32),0)+IFERROR(INDEX(지역추가비!$B$3:$B$42,MATCH($J1082,지역추가비!$A$3:$A$42,0)),0)))</f>
        <v/>
      </c>
      <c r="M1082" s="13" t="str">
        <f aca="false">IF($B1082="","",IF(COUNTIFS($B$3:$B1082,$B1082)&gt;1,"",$K1082+$L1082))</f>
        <v/>
      </c>
      <c r="N1082" s="14" t="str">
        <f aca="false">IF($B1082="","",COUNTIFS($B$3:$B1082,$B1082))</f>
        <v/>
      </c>
      <c r="O1082" s="14" t="str">
        <f aca="false">IF($B1082="","",$B1082&amp;"|"&amp;$N1082)</f>
        <v/>
      </c>
    </row>
    <row r="1083" customFormat="false" ht="15" hidden="false" customHeight="false" outlineLevel="0" collapsed="false">
      <c r="A1083" s="12"/>
      <c r="B1083" s="9"/>
      <c r="C1083" s="9"/>
      <c r="D1083" s="9"/>
      <c r="E1083" s="9"/>
      <c r="F1083" s="9"/>
      <c r="G1083" s="9"/>
      <c r="H1083" s="7"/>
      <c r="I1083" s="13" t="str">
        <f aca="false">IF(OR($G1083="",$H1083=""),"",ROUND($G1083*$H1083,0))</f>
        <v/>
      </c>
      <c r="J1083" s="8"/>
      <c r="K1083" s="13" t="str">
        <f aca="false">IF($B1083="","",SUMIFS($I$3:$I$2002,$B$3:$B$2002,$B1083))</f>
        <v/>
      </c>
      <c r="L1083" s="13" t="str">
        <f aca="false">IF($B1083="","",IF(COUNTIFS($B$3:$B1083,$B1083)&gt;1,0,IFERROR(LOOKUP($K1083,배송비규정!$A$3:$A$32,배송비규정!$B$3:$B$32),0)+IFERROR(INDEX(지역추가비!$B$3:$B$42,MATCH($J1083,지역추가비!$A$3:$A$42,0)),0)))</f>
        <v/>
      </c>
      <c r="M1083" s="13" t="str">
        <f aca="false">IF($B1083="","",IF(COUNTIFS($B$3:$B1083,$B1083)&gt;1,"",$K1083+$L1083))</f>
        <v/>
      </c>
      <c r="N1083" s="14" t="str">
        <f aca="false">IF($B1083="","",COUNTIFS($B$3:$B1083,$B1083))</f>
        <v/>
      </c>
      <c r="O1083" s="14" t="str">
        <f aca="false">IF($B1083="","",$B1083&amp;"|"&amp;$N1083)</f>
        <v/>
      </c>
    </row>
    <row r="1084" customFormat="false" ht="15" hidden="false" customHeight="false" outlineLevel="0" collapsed="false">
      <c r="A1084" s="12"/>
      <c r="B1084" s="9"/>
      <c r="C1084" s="9"/>
      <c r="D1084" s="9"/>
      <c r="E1084" s="9"/>
      <c r="F1084" s="9"/>
      <c r="G1084" s="9"/>
      <c r="H1084" s="7"/>
      <c r="I1084" s="13" t="str">
        <f aca="false">IF(OR($G1084="",$H1084=""),"",ROUND($G1084*$H1084,0))</f>
        <v/>
      </c>
      <c r="J1084" s="8"/>
      <c r="K1084" s="13" t="str">
        <f aca="false">IF($B1084="","",SUMIFS($I$3:$I$2002,$B$3:$B$2002,$B1084))</f>
        <v/>
      </c>
      <c r="L1084" s="13" t="str">
        <f aca="false">IF($B1084="","",IF(COUNTIFS($B$3:$B1084,$B1084)&gt;1,0,IFERROR(LOOKUP($K1084,배송비규정!$A$3:$A$32,배송비규정!$B$3:$B$32),0)+IFERROR(INDEX(지역추가비!$B$3:$B$42,MATCH($J1084,지역추가비!$A$3:$A$42,0)),0)))</f>
        <v/>
      </c>
      <c r="M1084" s="13" t="str">
        <f aca="false">IF($B1084="","",IF(COUNTIFS($B$3:$B1084,$B1084)&gt;1,"",$K1084+$L1084))</f>
        <v/>
      </c>
      <c r="N1084" s="14" t="str">
        <f aca="false">IF($B1084="","",COUNTIFS($B$3:$B1084,$B1084))</f>
        <v/>
      </c>
      <c r="O1084" s="14" t="str">
        <f aca="false">IF($B1084="","",$B1084&amp;"|"&amp;$N1084)</f>
        <v/>
      </c>
    </row>
    <row r="1085" customFormat="false" ht="15" hidden="false" customHeight="false" outlineLevel="0" collapsed="false">
      <c r="A1085" s="12"/>
      <c r="B1085" s="9"/>
      <c r="C1085" s="9"/>
      <c r="D1085" s="9"/>
      <c r="E1085" s="9"/>
      <c r="F1085" s="9"/>
      <c r="G1085" s="9"/>
      <c r="H1085" s="7"/>
      <c r="I1085" s="13" t="str">
        <f aca="false">IF(OR($G1085="",$H1085=""),"",ROUND($G1085*$H1085,0))</f>
        <v/>
      </c>
      <c r="J1085" s="8"/>
      <c r="K1085" s="13" t="str">
        <f aca="false">IF($B1085="","",SUMIFS($I$3:$I$2002,$B$3:$B$2002,$B1085))</f>
        <v/>
      </c>
      <c r="L1085" s="13" t="str">
        <f aca="false">IF($B1085="","",IF(COUNTIFS($B$3:$B1085,$B1085)&gt;1,0,IFERROR(LOOKUP($K1085,배송비규정!$A$3:$A$32,배송비규정!$B$3:$B$32),0)+IFERROR(INDEX(지역추가비!$B$3:$B$42,MATCH($J1085,지역추가비!$A$3:$A$42,0)),0)))</f>
        <v/>
      </c>
      <c r="M1085" s="13" t="str">
        <f aca="false">IF($B1085="","",IF(COUNTIFS($B$3:$B1085,$B1085)&gt;1,"",$K1085+$L1085))</f>
        <v/>
      </c>
      <c r="N1085" s="14" t="str">
        <f aca="false">IF($B1085="","",COUNTIFS($B$3:$B1085,$B1085))</f>
        <v/>
      </c>
      <c r="O1085" s="14" t="str">
        <f aca="false">IF($B1085="","",$B1085&amp;"|"&amp;$N1085)</f>
        <v/>
      </c>
    </row>
    <row r="1086" customFormat="false" ht="15" hidden="false" customHeight="false" outlineLevel="0" collapsed="false">
      <c r="A1086" s="12"/>
      <c r="B1086" s="9"/>
      <c r="C1086" s="9"/>
      <c r="D1086" s="9"/>
      <c r="E1086" s="9"/>
      <c r="F1086" s="9"/>
      <c r="G1086" s="9"/>
      <c r="H1086" s="7"/>
      <c r="I1086" s="13" t="str">
        <f aca="false">IF(OR($G1086="",$H1086=""),"",ROUND($G1086*$H1086,0))</f>
        <v/>
      </c>
      <c r="J1086" s="8"/>
      <c r="K1086" s="13" t="str">
        <f aca="false">IF($B1086="","",SUMIFS($I$3:$I$2002,$B$3:$B$2002,$B1086))</f>
        <v/>
      </c>
      <c r="L1086" s="13" t="str">
        <f aca="false">IF($B1086="","",IF(COUNTIFS($B$3:$B1086,$B1086)&gt;1,0,IFERROR(LOOKUP($K1086,배송비규정!$A$3:$A$32,배송비규정!$B$3:$B$32),0)+IFERROR(INDEX(지역추가비!$B$3:$B$42,MATCH($J1086,지역추가비!$A$3:$A$42,0)),0)))</f>
        <v/>
      </c>
      <c r="M1086" s="13" t="str">
        <f aca="false">IF($B1086="","",IF(COUNTIFS($B$3:$B1086,$B1086)&gt;1,"",$K1086+$L1086))</f>
        <v/>
      </c>
      <c r="N1086" s="14" t="str">
        <f aca="false">IF($B1086="","",COUNTIFS($B$3:$B1086,$B1086))</f>
        <v/>
      </c>
      <c r="O1086" s="14" t="str">
        <f aca="false">IF($B1086="","",$B1086&amp;"|"&amp;$N1086)</f>
        <v/>
      </c>
    </row>
    <row r="1087" customFormat="false" ht="15" hidden="false" customHeight="false" outlineLevel="0" collapsed="false">
      <c r="A1087" s="12"/>
      <c r="B1087" s="9"/>
      <c r="C1087" s="9"/>
      <c r="D1087" s="9"/>
      <c r="E1087" s="9"/>
      <c r="F1087" s="9"/>
      <c r="G1087" s="9"/>
      <c r="H1087" s="7"/>
      <c r="I1087" s="13" t="str">
        <f aca="false">IF(OR($G1087="",$H1087=""),"",ROUND($G1087*$H1087,0))</f>
        <v/>
      </c>
      <c r="J1087" s="8"/>
      <c r="K1087" s="13" t="str">
        <f aca="false">IF($B1087="","",SUMIFS($I$3:$I$2002,$B$3:$B$2002,$B1087))</f>
        <v/>
      </c>
      <c r="L1087" s="13" t="str">
        <f aca="false">IF($B1087="","",IF(COUNTIFS($B$3:$B1087,$B1087)&gt;1,0,IFERROR(LOOKUP($K1087,배송비규정!$A$3:$A$32,배송비규정!$B$3:$B$32),0)+IFERROR(INDEX(지역추가비!$B$3:$B$42,MATCH($J1087,지역추가비!$A$3:$A$42,0)),0)))</f>
        <v/>
      </c>
      <c r="M1087" s="13" t="str">
        <f aca="false">IF($B1087="","",IF(COUNTIFS($B$3:$B1087,$B1087)&gt;1,"",$K1087+$L1087))</f>
        <v/>
      </c>
      <c r="N1087" s="14" t="str">
        <f aca="false">IF($B1087="","",COUNTIFS($B$3:$B1087,$B1087))</f>
        <v/>
      </c>
      <c r="O1087" s="14" t="str">
        <f aca="false">IF($B1087="","",$B1087&amp;"|"&amp;$N1087)</f>
        <v/>
      </c>
    </row>
    <row r="1088" customFormat="false" ht="15" hidden="false" customHeight="false" outlineLevel="0" collapsed="false">
      <c r="A1088" s="12"/>
      <c r="B1088" s="9"/>
      <c r="C1088" s="9"/>
      <c r="D1088" s="9"/>
      <c r="E1088" s="9"/>
      <c r="F1088" s="9"/>
      <c r="G1088" s="9"/>
      <c r="H1088" s="7"/>
      <c r="I1088" s="13" t="str">
        <f aca="false">IF(OR($G1088="",$H1088=""),"",ROUND($G1088*$H1088,0))</f>
        <v/>
      </c>
      <c r="J1088" s="8"/>
      <c r="K1088" s="13" t="str">
        <f aca="false">IF($B1088="","",SUMIFS($I$3:$I$2002,$B$3:$B$2002,$B1088))</f>
        <v/>
      </c>
      <c r="L1088" s="13" t="str">
        <f aca="false">IF($B1088="","",IF(COUNTIFS($B$3:$B1088,$B1088)&gt;1,0,IFERROR(LOOKUP($K1088,배송비규정!$A$3:$A$32,배송비규정!$B$3:$B$32),0)+IFERROR(INDEX(지역추가비!$B$3:$B$42,MATCH($J1088,지역추가비!$A$3:$A$42,0)),0)))</f>
        <v/>
      </c>
      <c r="M1088" s="13" t="str">
        <f aca="false">IF($B1088="","",IF(COUNTIFS($B$3:$B1088,$B1088)&gt;1,"",$K1088+$L1088))</f>
        <v/>
      </c>
      <c r="N1088" s="14" t="str">
        <f aca="false">IF($B1088="","",COUNTIFS($B$3:$B1088,$B1088))</f>
        <v/>
      </c>
      <c r="O1088" s="14" t="str">
        <f aca="false">IF($B1088="","",$B1088&amp;"|"&amp;$N1088)</f>
        <v/>
      </c>
    </row>
    <row r="1089" customFormat="false" ht="15" hidden="false" customHeight="false" outlineLevel="0" collapsed="false">
      <c r="A1089" s="12"/>
      <c r="B1089" s="9"/>
      <c r="C1089" s="9"/>
      <c r="D1089" s="9"/>
      <c r="E1089" s="9"/>
      <c r="F1089" s="9"/>
      <c r="G1089" s="9"/>
      <c r="H1089" s="7"/>
      <c r="I1089" s="13" t="str">
        <f aca="false">IF(OR($G1089="",$H1089=""),"",ROUND($G1089*$H1089,0))</f>
        <v/>
      </c>
      <c r="J1089" s="8"/>
      <c r="K1089" s="13" t="str">
        <f aca="false">IF($B1089="","",SUMIFS($I$3:$I$2002,$B$3:$B$2002,$B1089))</f>
        <v/>
      </c>
      <c r="L1089" s="13" t="str">
        <f aca="false">IF($B1089="","",IF(COUNTIFS($B$3:$B1089,$B1089)&gt;1,0,IFERROR(LOOKUP($K1089,배송비규정!$A$3:$A$32,배송비규정!$B$3:$B$32),0)+IFERROR(INDEX(지역추가비!$B$3:$B$42,MATCH($J1089,지역추가비!$A$3:$A$42,0)),0)))</f>
        <v/>
      </c>
      <c r="M1089" s="13" t="str">
        <f aca="false">IF($B1089="","",IF(COUNTIFS($B$3:$B1089,$B1089)&gt;1,"",$K1089+$L1089))</f>
        <v/>
      </c>
      <c r="N1089" s="14" t="str">
        <f aca="false">IF($B1089="","",COUNTIFS($B$3:$B1089,$B1089))</f>
        <v/>
      </c>
      <c r="O1089" s="14" t="str">
        <f aca="false">IF($B1089="","",$B1089&amp;"|"&amp;$N1089)</f>
        <v/>
      </c>
    </row>
    <row r="1090" customFormat="false" ht="15" hidden="false" customHeight="false" outlineLevel="0" collapsed="false">
      <c r="A1090" s="12"/>
      <c r="B1090" s="9"/>
      <c r="C1090" s="9"/>
      <c r="D1090" s="9"/>
      <c r="E1090" s="9"/>
      <c r="F1090" s="9"/>
      <c r="G1090" s="9"/>
      <c r="H1090" s="7"/>
      <c r="I1090" s="13" t="str">
        <f aca="false">IF(OR($G1090="",$H1090=""),"",ROUND($G1090*$H1090,0))</f>
        <v/>
      </c>
      <c r="J1090" s="8"/>
      <c r="K1090" s="13" t="str">
        <f aca="false">IF($B1090="","",SUMIFS($I$3:$I$2002,$B$3:$B$2002,$B1090))</f>
        <v/>
      </c>
      <c r="L1090" s="13" t="str">
        <f aca="false">IF($B1090="","",IF(COUNTIFS($B$3:$B1090,$B1090)&gt;1,0,IFERROR(LOOKUP($K1090,배송비규정!$A$3:$A$32,배송비규정!$B$3:$B$32),0)+IFERROR(INDEX(지역추가비!$B$3:$B$42,MATCH($J1090,지역추가비!$A$3:$A$42,0)),0)))</f>
        <v/>
      </c>
      <c r="M1090" s="13" t="str">
        <f aca="false">IF($B1090="","",IF(COUNTIFS($B$3:$B1090,$B1090)&gt;1,"",$K1090+$L1090))</f>
        <v/>
      </c>
      <c r="N1090" s="14" t="str">
        <f aca="false">IF($B1090="","",COUNTIFS($B$3:$B1090,$B1090))</f>
        <v/>
      </c>
      <c r="O1090" s="14" t="str">
        <f aca="false">IF($B1090="","",$B1090&amp;"|"&amp;$N1090)</f>
        <v/>
      </c>
    </row>
    <row r="1091" customFormat="false" ht="15" hidden="false" customHeight="false" outlineLevel="0" collapsed="false">
      <c r="A1091" s="12"/>
      <c r="B1091" s="9"/>
      <c r="C1091" s="9"/>
      <c r="D1091" s="9"/>
      <c r="E1091" s="9"/>
      <c r="F1091" s="9"/>
      <c r="G1091" s="9"/>
      <c r="H1091" s="7"/>
      <c r="I1091" s="13" t="str">
        <f aca="false">IF(OR($G1091="",$H1091=""),"",ROUND($G1091*$H1091,0))</f>
        <v/>
      </c>
      <c r="J1091" s="8"/>
      <c r="K1091" s="13" t="str">
        <f aca="false">IF($B1091="","",SUMIFS($I$3:$I$2002,$B$3:$B$2002,$B1091))</f>
        <v/>
      </c>
      <c r="L1091" s="13" t="str">
        <f aca="false">IF($B1091="","",IF(COUNTIFS($B$3:$B1091,$B1091)&gt;1,0,IFERROR(LOOKUP($K1091,배송비규정!$A$3:$A$32,배송비규정!$B$3:$B$32),0)+IFERROR(INDEX(지역추가비!$B$3:$B$42,MATCH($J1091,지역추가비!$A$3:$A$42,0)),0)))</f>
        <v/>
      </c>
      <c r="M1091" s="13" t="str">
        <f aca="false">IF($B1091="","",IF(COUNTIFS($B$3:$B1091,$B1091)&gt;1,"",$K1091+$L1091))</f>
        <v/>
      </c>
      <c r="N1091" s="14" t="str">
        <f aca="false">IF($B1091="","",COUNTIFS($B$3:$B1091,$B1091))</f>
        <v/>
      </c>
      <c r="O1091" s="14" t="str">
        <f aca="false">IF($B1091="","",$B1091&amp;"|"&amp;$N1091)</f>
        <v/>
      </c>
    </row>
    <row r="1092" customFormat="false" ht="15" hidden="false" customHeight="false" outlineLevel="0" collapsed="false">
      <c r="A1092" s="12"/>
      <c r="B1092" s="9"/>
      <c r="C1092" s="9"/>
      <c r="D1092" s="9"/>
      <c r="E1092" s="9"/>
      <c r="F1092" s="9"/>
      <c r="G1092" s="9"/>
      <c r="H1092" s="7"/>
      <c r="I1092" s="13" t="str">
        <f aca="false">IF(OR($G1092="",$H1092=""),"",ROUND($G1092*$H1092,0))</f>
        <v/>
      </c>
      <c r="J1092" s="8"/>
      <c r="K1092" s="13" t="str">
        <f aca="false">IF($B1092="","",SUMIFS($I$3:$I$2002,$B$3:$B$2002,$B1092))</f>
        <v/>
      </c>
      <c r="L1092" s="13" t="str">
        <f aca="false">IF($B1092="","",IF(COUNTIFS($B$3:$B1092,$B1092)&gt;1,0,IFERROR(LOOKUP($K1092,배송비규정!$A$3:$A$32,배송비규정!$B$3:$B$32),0)+IFERROR(INDEX(지역추가비!$B$3:$B$42,MATCH($J1092,지역추가비!$A$3:$A$42,0)),0)))</f>
        <v/>
      </c>
      <c r="M1092" s="13" t="str">
        <f aca="false">IF($B1092="","",IF(COUNTIFS($B$3:$B1092,$B1092)&gt;1,"",$K1092+$L1092))</f>
        <v/>
      </c>
      <c r="N1092" s="14" t="str">
        <f aca="false">IF($B1092="","",COUNTIFS($B$3:$B1092,$B1092))</f>
        <v/>
      </c>
      <c r="O1092" s="14" t="str">
        <f aca="false">IF($B1092="","",$B1092&amp;"|"&amp;$N1092)</f>
        <v/>
      </c>
    </row>
    <row r="1093" customFormat="false" ht="15" hidden="false" customHeight="false" outlineLevel="0" collapsed="false">
      <c r="A1093" s="12"/>
      <c r="B1093" s="9"/>
      <c r="C1093" s="9"/>
      <c r="D1093" s="9"/>
      <c r="E1093" s="9"/>
      <c r="F1093" s="9"/>
      <c r="G1093" s="9"/>
      <c r="H1093" s="7"/>
      <c r="I1093" s="13" t="str">
        <f aca="false">IF(OR($G1093="",$H1093=""),"",ROUND($G1093*$H1093,0))</f>
        <v/>
      </c>
      <c r="J1093" s="8"/>
      <c r="K1093" s="13" t="str">
        <f aca="false">IF($B1093="","",SUMIFS($I$3:$I$2002,$B$3:$B$2002,$B1093))</f>
        <v/>
      </c>
      <c r="L1093" s="13" t="str">
        <f aca="false">IF($B1093="","",IF(COUNTIFS($B$3:$B1093,$B1093)&gt;1,0,IFERROR(LOOKUP($K1093,배송비규정!$A$3:$A$32,배송비규정!$B$3:$B$32),0)+IFERROR(INDEX(지역추가비!$B$3:$B$42,MATCH($J1093,지역추가비!$A$3:$A$42,0)),0)))</f>
        <v/>
      </c>
      <c r="M1093" s="13" t="str">
        <f aca="false">IF($B1093="","",IF(COUNTIFS($B$3:$B1093,$B1093)&gt;1,"",$K1093+$L1093))</f>
        <v/>
      </c>
      <c r="N1093" s="14" t="str">
        <f aca="false">IF($B1093="","",COUNTIFS($B$3:$B1093,$B1093))</f>
        <v/>
      </c>
      <c r="O1093" s="14" t="str">
        <f aca="false">IF($B1093="","",$B1093&amp;"|"&amp;$N1093)</f>
        <v/>
      </c>
    </row>
    <row r="1094" customFormat="false" ht="15" hidden="false" customHeight="false" outlineLevel="0" collapsed="false">
      <c r="A1094" s="12"/>
      <c r="B1094" s="9"/>
      <c r="C1094" s="9"/>
      <c r="D1094" s="9"/>
      <c r="E1094" s="9"/>
      <c r="F1094" s="9"/>
      <c r="G1094" s="9"/>
      <c r="H1094" s="7"/>
      <c r="I1094" s="13" t="str">
        <f aca="false">IF(OR($G1094="",$H1094=""),"",ROUND($G1094*$H1094,0))</f>
        <v/>
      </c>
      <c r="J1094" s="8"/>
      <c r="K1094" s="13" t="str">
        <f aca="false">IF($B1094="","",SUMIFS($I$3:$I$2002,$B$3:$B$2002,$B1094))</f>
        <v/>
      </c>
      <c r="L1094" s="13" t="str">
        <f aca="false">IF($B1094="","",IF(COUNTIFS($B$3:$B1094,$B1094)&gt;1,0,IFERROR(LOOKUP($K1094,배송비규정!$A$3:$A$32,배송비규정!$B$3:$B$32),0)+IFERROR(INDEX(지역추가비!$B$3:$B$42,MATCH($J1094,지역추가비!$A$3:$A$42,0)),0)))</f>
        <v/>
      </c>
      <c r="M1094" s="13" t="str">
        <f aca="false">IF($B1094="","",IF(COUNTIFS($B$3:$B1094,$B1094)&gt;1,"",$K1094+$L1094))</f>
        <v/>
      </c>
      <c r="N1094" s="14" t="str">
        <f aca="false">IF($B1094="","",COUNTIFS($B$3:$B1094,$B1094))</f>
        <v/>
      </c>
      <c r="O1094" s="14" t="str">
        <f aca="false">IF($B1094="","",$B1094&amp;"|"&amp;$N1094)</f>
        <v/>
      </c>
    </row>
    <row r="1095" customFormat="false" ht="15" hidden="false" customHeight="false" outlineLevel="0" collapsed="false">
      <c r="A1095" s="12"/>
      <c r="B1095" s="9"/>
      <c r="C1095" s="9"/>
      <c r="D1095" s="9"/>
      <c r="E1095" s="9"/>
      <c r="F1095" s="9"/>
      <c r="G1095" s="9"/>
      <c r="H1095" s="7"/>
      <c r="I1095" s="13" t="str">
        <f aca="false">IF(OR($G1095="",$H1095=""),"",ROUND($G1095*$H1095,0))</f>
        <v/>
      </c>
      <c r="J1095" s="8"/>
      <c r="K1095" s="13" t="str">
        <f aca="false">IF($B1095="","",SUMIFS($I$3:$I$2002,$B$3:$B$2002,$B1095))</f>
        <v/>
      </c>
      <c r="L1095" s="13" t="str">
        <f aca="false">IF($B1095="","",IF(COUNTIFS($B$3:$B1095,$B1095)&gt;1,0,IFERROR(LOOKUP($K1095,배송비규정!$A$3:$A$32,배송비규정!$B$3:$B$32),0)+IFERROR(INDEX(지역추가비!$B$3:$B$42,MATCH($J1095,지역추가비!$A$3:$A$42,0)),0)))</f>
        <v/>
      </c>
      <c r="M1095" s="13" t="str">
        <f aca="false">IF($B1095="","",IF(COUNTIFS($B$3:$B1095,$B1095)&gt;1,"",$K1095+$L1095))</f>
        <v/>
      </c>
      <c r="N1095" s="14" t="str">
        <f aca="false">IF($B1095="","",COUNTIFS($B$3:$B1095,$B1095))</f>
        <v/>
      </c>
      <c r="O1095" s="14" t="str">
        <f aca="false">IF($B1095="","",$B1095&amp;"|"&amp;$N1095)</f>
        <v/>
      </c>
    </row>
    <row r="1096" customFormat="false" ht="15" hidden="false" customHeight="false" outlineLevel="0" collapsed="false">
      <c r="A1096" s="12"/>
      <c r="B1096" s="9"/>
      <c r="C1096" s="9"/>
      <c r="D1096" s="9"/>
      <c r="E1096" s="9"/>
      <c r="F1096" s="9"/>
      <c r="G1096" s="9"/>
      <c r="H1096" s="7"/>
      <c r="I1096" s="13" t="str">
        <f aca="false">IF(OR($G1096="",$H1096=""),"",ROUND($G1096*$H1096,0))</f>
        <v/>
      </c>
      <c r="J1096" s="8"/>
      <c r="K1096" s="13" t="str">
        <f aca="false">IF($B1096="","",SUMIFS($I$3:$I$2002,$B$3:$B$2002,$B1096))</f>
        <v/>
      </c>
      <c r="L1096" s="13" t="str">
        <f aca="false">IF($B1096="","",IF(COUNTIFS($B$3:$B1096,$B1096)&gt;1,0,IFERROR(LOOKUP($K1096,배송비규정!$A$3:$A$32,배송비규정!$B$3:$B$32),0)+IFERROR(INDEX(지역추가비!$B$3:$B$42,MATCH($J1096,지역추가비!$A$3:$A$42,0)),0)))</f>
        <v/>
      </c>
      <c r="M1096" s="13" t="str">
        <f aca="false">IF($B1096="","",IF(COUNTIFS($B$3:$B1096,$B1096)&gt;1,"",$K1096+$L1096))</f>
        <v/>
      </c>
      <c r="N1096" s="14" t="str">
        <f aca="false">IF($B1096="","",COUNTIFS($B$3:$B1096,$B1096))</f>
        <v/>
      </c>
      <c r="O1096" s="14" t="str">
        <f aca="false">IF($B1096="","",$B1096&amp;"|"&amp;$N1096)</f>
        <v/>
      </c>
    </row>
    <row r="1097" customFormat="false" ht="15" hidden="false" customHeight="false" outlineLevel="0" collapsed="false">
      <c r="A1097" s="12"/>
      <c r="B1097" s="9"/>
      <c r="C1097" s="9"/>
      <c r="D1097" s="9"/>
      <c r="E1097" s="9"/>
      <c r="F1097" s="9"/>
      <c r="G1097" s="9"/>
      <c r="H1097" s="7"/>
      <c r="I1097" s="13" t="str">
        <f aca="false">IF(OR($G1097="",$H1097=""),"",ROUND($G1097*$H1097,0))</f>
        <v/>
      </c>
      <c r="J1097" s="8"/>
      <c r="K1097" s="13" t="str">
        <f aca="false">IF($B1097="","",SUMIFS($I$3:$I$2002,$B$3:$B$2002,$B1097))</f>
        <v/>
      </c>
      <c r="L1097" s="13" t="str">
        <f aca="false">IF($B1097="","",IF(COUNTIFS($B$3:$B1097,$B1097)&gt;1,0,IFERROR(LOOKUP($K1097,배송비규정!$A$3:$A$32,배송비규정!$B$3:$B$32),0)+IFERROR(INDEX(지역추가비!$B$3:$B$42,MATCH($J1097,지역추가비!$A$3:$A$42,0)),0)))</f>
        <v/>
      </c>
      <c r="M1097" s="13" t="str">
        <f aca="false">IF($B1097="","",IF(COUNTIFS($B$3:$B1097,$B1097)&gt;1,"",$K1097+$L1097))</f>
        <v/>
      </c>
      <c r="N1097" s="14" t="str">
        <f aca="false">IF($B1097="","",COUNTIFS($B$3:$B1097,$B1097))</f>
        <v/>
      </c>
      <c r="O1097" s="14" t="str">
        <f aca="false">IF($B1097="","",$B1097&amp;"|"&amp;$N1097)</f>
        <v/>
      </c>
    </row>
    <row r="1098" customFormat="false" ht="15" hidden="false" customHeight="false" outlineLevel="0" collapsed="false">
      <c r="A1098" s="12"/>
      <c r="B1098" s="9"/>
      <c r="C1098" s="9"/>
      <c r="D1098" s="9"/>
      <c r="E1098" s="9"/>
      <c r="F1098" s="9"/>
      <c r="G1098" s="9"/>
      <c r="H1098" s="7"/>
      <c r="I1098" s="13" t="str">
        <f aca="false">IF(OR($G1098="",$H1098=""),"",ROUND($G1098*$H1098,0))</f>
        <v/>
      </c>
      <c r="J1098" s="8"/>
      <c r="K1098" s="13" t="str">
        <f aca="false">IF($B1098="","",SUMIFS($I$3:$I$2002,$B$3:$B$2002,$B1098))</f>
        <v/>
      </c>
      <c r="L1098" s="13" t="str">
        <f aca="false">IF($B1098="","",IF(COUNTIFS($B$3:$B1098,$B1098)&gt;1,0,IFERROR(LOOKUP($K1098,배송비규정!$A$3:$A$32,배송비규정!$B$3:$B$32),0)+IFERROR(INDEX(지역추가비!$B$3:$B$42,MATCH($J1098,지역추가비!$A$3:$A$42,0)),0)))</f>
        <v/>
      </c>
      <c r="M1098" s="13" t="str">
        <f aca="false">IF($B1098="","",IF(COUNTIFS($B$3:$B1098,$B1098)&gt;1,"",$K1098+$L1098))</f>
        <v/>
      </c>
      <c r="N1098" s="14" t="str">
        <f aca="false">IF($B1098="","",COUNTIFS($B$3:$B1098,$B1098))</f>
        <v/>
      </c>
      <c r="O1098" s="14" t="str">
        <f aca="false">IF($B1098="","",$B1098&amp;"|"&amp;$N1098)</f>
        <v/>
      </c>
    </row>
    <row r="1099" customFormat="false" ht="15" hidden="false" customHeight="false" outlineLevel="0" collapsed="false">
      <c r="A1099" s="12"/>
      <c r="B1099" s="9"/>
      <c r="C1099" s="9"/>
      <c r="D1099" s="9"/>
      <c r="E1099" s="9"/>
      <c r="F1099" s="9"/>
      <c r="G1099" s="9"/>
      <c r="H1099" s="7"/>
      <c r="I1099" s="13" t="str">
        <f aca="false">IF(OR($G1099="",$H1099=""),"",ROUND($G1099*$H1099,0))</f>
        <v/>
      </c>
      <c r="J1099" s="8"/>
      <c r="K1099" s="13" t="str">
        <f aca="false">IF($B1099="","",SUMIFS($I$3:$I$2002,$B$3:$B$2002,$B1099))</f>
        <v/>
      </c>
      <c r="L1099" s="13" t="str">
        <f aca="false">IF($B1099="","",IF(COUNTIFS($B$3:$B1099,$B1099)&gt;1,0,IFERROR(LOOKUP($K1099,배송비규정!$A$3:$A$32,배송비규정!$B$3:$B$32),0)+IFERROR(INDEX(지역추가비!$B$3:$B$42,MATCH($J1099,지역추가비!$A$3:$A$42,0)),0)))</f>
        <v/>
      </c>
      <c r="M1099" s="13" t="str">
        <f aca="false">IF($B1099="","",IF(COUNTIFS($B$3:$B1099,$B1099)&gt;1,"",$K1099+$L1099))</f>
        <v/>
      </c>
      <c r="N1099" s="14" t="str">
        <f aca="false">IF($B1099="","",COUNTIFS($B$3:$B1099,$B1099))</f>
        <v/>
      </c>
      <c r="O1099" s="14" t="str">
        <f aca="false">IF($B1099="","",$B1099&amp;"|"&amp;$N1099)</f>
        <v/>
      </c>
    </row>
    <row r="1100" customFormat="false" ht="15" hidden="false" customHeight="false" outlineLevel="0" collapsed="false">
      <c r="A1100" s="12"/>
      <c r="B1100" s="9"/>
      <c r="C1100" s="9"/>
      <c r="D1100" s="9"/>
      <c r="E1100" s="9"/>
      <c r="F1100" s="9"/>
      <c r="G1100" s="9"/>
      <c r="H1100" s="7"/>
      <c r="I1100" s="13" t="str">
        <f aca="false">IF(OR($G1100="",$H1100=""),"",ROUND($G1100*$H1100,0))</f>
        <v/>
      </c>
      <c r="J1100" s="8"/>
      <c r="K1100" s="13" t="str">
        <f aca="false">IF($B1100="","",SUMIFS($I$3:$I$2002,$B$3:$B$2002,$B1100))</f>
        <v/>
      </c>
      <c r="L1100" s="13" t="str">
        <f aca="false">IF($B1100="","",IF(COUNTIFS($B$3:$B1100,$B1100)&gt;1,0,IFERROR(LOOKUP($K1100,배송비규정!$A$3:$A$32,배송비규정!$B$3:$B$32),0)+IFERROR(INDEX(지역추가비!$B$3:$B$42,MATCH($J1100,지역추가비!$A$3:$A$42,0)),0)))</f>
        <v/>
      </c>
      <c r="M1100" s="13" t="str">
        <f aca="false">IF($B1100="","",IF(COUNTIFS($B$3:$B1100,$B1100)&gt;1,"",$K1100+$L1100))</f>
        <v/>
      </c>
      <c r="N1100" s="14" t="str">
        <f aca="false">IF($B1100="","",COUNTIFS($B$3:$B1100,$B1100))</f>
        <v/>
      </c>
      <c r="O1100" s="14" t="str">
        <f aca="false">IF($B1100="","",$B1100&amp;"|"&amp;$N1100)</f>
        <v/>
      </c>
    </row>
    <row r="1101" customFormat="false" ht="15" hidden="false" customHeight="false" outlineLevel="0" collapsed="false">
      <c r="A1101" s="12"/>
      <c r="B1101" s="9"/>
      <c r="C1101" s="9"/>
      <c r="D1101" s="9"/>
      <c r="E1101" s="9"/>
      <c r="F1101" s="9"/>
      <c r="G1101" s="9"/>
      <c r="H1101" s="7"/>
      <c r="I1101" s="13" t="str">
        <f aca="false">IF(OR($G1101="",$H1101=""),"",ROUND($G1101*$H1101,0))</f>
        <v/>
      </c>
      <c r="J1101" s="8"/>
      <c r="K1101" s="13" t="str">
        <f aca="false">IF($B1101="","",SUMIFS($I$3:$I$2002,$B$3:$B$2002,$B1101))</f>
        <v/>
      </c>
      <c r="L1101" s="13" t="str">
        <f aca="false">IF($B1101="","",IF(COUNTIFS($B$3:$B1101,$B1101)&gt;1,0,IFERROR(LOOKUP($K1101,배송비규정!$A$3:$A$32,배송비규정!$B$3:$B$32),0)+IFERROR(INDEX(지역추가비!$B$3:$B$42,MATCH($J1101,지역추가비!$A$3:$A$42,0)),0)))</f>
        <v/>
      </c>
      <c r="M1101" s="13" t="str">
        <f aca="false">IF($B1101="","",IF(COUNTIFS($B$3:$B1101,$B1101)&gt;1,"",$K1101+$L1101))</f>
        <v/>
      </c>
      <c r="N1101" s="14" t="str">
        <f aca="false">IF($B1101="","",COUNTIFS($B$3:$B1101,$B1101))</f>
        <v/>
      </c>
      <c r="O1101" s="14" t="str">
        <f aca="false">IF($B1101="","",$B1101&amp;"|"&amp;$N1101)</f>
        <v/>
      </c>
    </row>
    <row r="1102" customFormat="false" ht="15" hidden="false" customHeight="false" outlineLevel="0" collapsed="false">
      <c r="A1102" s="12"/>
      <c r="B1102" s="9"/>
      <c r="C1102" s="9"/>
      <c r="D1102" s="9"/>
      <c r="E1102" s="9"/>
      <c r="F1102" s="9"/>
      <c r="G1102" s="9"/>
      <c r="H1102" s="7"/>
      <c r="I1102" s="13" t="str">
        <f aca="false">IF(OR($G1102="",$H1102=""),"",ROUND($G1102*$H1102,0))</f>
        <v/>
      </c>
      <c r="J1102" s="8"/>
      <c r="K1102" s="13" t="str">
        <f aca="false">IF($B1102="","",SUMIFS($I$3:$I$2002,$B$3:$B$2002,$B1102))</f>
        <v/>
      </c>
      <c r="L1102" s="13" t="str">
        <f aca="false">IF($B1102="","",IF(COUNTIFS($B$3:$B1102,$B1102)&gt;1,0,IFERROR(LOOKUP($K1102,배송비규정!$A$3:$A$32,배송비규정!$B$3:$B$32),0)+IFERROR(INDEX(지역추가비!$B$3:$B$42,MATCH($J1102,지역추가비!$A$3:$A$42,0)),0)))</f>
        <v/>
      </c>
      <c r="M1102" s="13" t="str">
        <f aca="false">IF($B1102="","",IF(COUNTIFS($B$3:$B1102,$B1102)&gt;1,"",$K1102+$L1102))</f>
        <v/>
      </c>
      <c r="N1102" s="14" t="str">
        <f aca="false">IF($B1102="","",COUNTIFS($B$3:$B1102,$B1102))</f>
        <v/>
      </c>
      <c r="O1102" s="14" t="str">
        <f aca="false">IF($B1102="","",$B1102&amp;"|"&amp;$N1102)</f>
        <v/>
      </c>
    </row>
    <row r="1103" customFormat="false" ht="15" hidden="false" customHeight="false" outlineLevel="0" collapsed="false">
      <c r="A1103" s="12"/>
      <c r="B1103" s="9"/>
      <c r="C1103" s="9"/>
      <c r="D1103" s="9"/>
      <c r="E1103" s="9"/>
      <c r="F1103" s="9"/>
      <c r="G1103" s="9"/>
      <c r="H1103" s="7"/>
      <c r="I1103" s="13" t="str">
        <f aca="false">IF(OR($G1103="",$H1103=""),"",ROUND($G1103*$H1103,0))</f>
        <v/>
      </c>
      <c r="J1103" s="8"/>
      <c r="K1103" s="13" t="str">
        <f aca="false">IF($B1103="","",SUMIFS($I$3:$I$2002,$B$3:$B$2002,$B1103))</f>
        <v/>
      </c>
      <c r="L1103" s="13" t="str">
        <f aca="false">IF($B1103="","",IF(COUNTIFS($B$3:$B1103,$B1103)&gt;1,0,IFERROR(LOOKUP($K1103,배송비규정!$A$3:$A$32,배송비규정!$B$3:$B$32),0)+IFERROR(INDEX(지역추가비!$B$3:$B$42,MATCH($J1103,지역추가비!$A$3:$A$42,0)),0)))</f>
        <v/>
      </c>
      <c r="M1103" s="13" t="str">
        <f aca="false">IF($B1103="","",IF(COUNTIFS($B$3:$B1103,$B1103)&gt;1,"",$K1103+$L1103))</f>
        <v/>
      </c>
      <c r="N1103" s="14" t="str">
        <f aca="false">IF($B1103="","",COUNTIFS($B$3:$B1103,$B1103))</f>
        <v/>
      </c>
      <c r="O1103" s="14" t="str">
        <f aca="false">IF($B1103="","",$B1103&amp;"|"&amp;$N1103)</f>
        <v/>
      </c>
    </row>
    <row r="1104" customFormat="false" ht="15" hidden="false" customHeight="false" outlineLevel="0" collapsed="false">
      <c r="A1104" s="12"/>
      <c r="B1104" s="9"/>
      <c r="C1104" s="9"/>
      <c r="D1104" s="9"/>
      <c r="E1104" s="9"/>
      <c r="F1104" s="9"/>
      <c r="G1104" s="9"/>
      <c r="H1104" s="7"/>
      <c r="I1104" s="13" t="str">
        <f aca="false">IF(OR($G1104="",$H1104=""),"",ROUND($G1104*$H1104,0))</f>
        <v/>
      </c>
      <c r="J1104" s="8"/>
      <c r="K1104" s="13" t="str">
        <f aca="false">IF($B1104="","",SUMIFS($I$3:$I$2002,$B$3:$B$2002,$B1104))</f>
        <v/>
      </c>
      <c r="L1104" s="13" t="str">
        <f aca="false">IF($B1104="","",IF(COUNTIFS($B$3:$B1104,$B1104)&gt;1,0,IFERROR(LOOKUP($K1104,배송비규정!$A$3:$A$32,배송비규정!$B$3:$B$32),0)+IFERROR(INDEX(지역추가비!$B$3:$B$42,MATCH($J1104,지역추가비!$A$3:$A$42,0)),0)))</f>
        <v/>
      </c>
      <c r="M1104" s="13" t="str">
        <f aca="false">IF($B1104="","",IF(COUNTIFS($B$3:$B1104,$B1104)&gt;1,"",$K1104+$L1104))</f>
        <v/>
      </c>
      <c r="N1104" s="14" t="str">
        <f aca="false">IF($B1104="","",COUNTIFS($B$3:$B1104,$B1104))</f>
        <v/>
      </c>
      <c r="O1104" s="14" t="str">
        <f aca="false">IF($B1104="","",$B1104&amp;"|"&amp;$N1104)</f>
        <v/>
      </c>
    </row>
    <row r="1105" customFormat="false" ht="15" hidden="false" customHeight="false" outlineLevel="0" collapsed="false">
      <c r="A1105" s="12"/>
      <c r="B1105" s="9"/>
      <c r="C1105" s="9"/>
      <c r="D1105" s="9"/>
      <c r="E1105" s="9"/>
      <c r="F1105" s="9"/>
      <c r="G1105" s="9"/>
      <c r="H1105" s="7"/>
      <c r="I1105" s="13" t="str">
        <f aca="false">IF(OR($G1105="",$H1105=""),"",ROUND($G1105*$H1105,0))</f>
        <v/>
      </c>
      <c r="J1105" s="8"/>
      <c r="K1105" s="13" t="str">
        <f aca="false">IF($B1105="","",SUMIFS($I$3:$I$2002,$B$3:$B$2002,$B1105))</f>
        <v/>
      </c>
      <c r="L1105" s="13" t="str">
        <f aca="false">IF($B1105="","",IF(COUNTIFS($B$3:$B1105,$B1105)&gt;1,0,IFERROR(LOOKUP($K1105,배송비규정!$A$3:$A$32,배송비규정!$B$3:$B$32),0)+IFERROR(INDEX(지역추가비!$B$3:$B$42,MATCH($J1105,지역추가비!$A$3:$A$42,0)),0)))</f>
        <v/>
      </c>
      <c r="M1105" s="13" t="str">
        <f aca="false">IF($B1105="","",IF(COUNTIFS($B$3:$B1105,$B1105)&gt;1,"",$K1105+$L1105))</f>
        <v/>
      </c>
      <c r="N1105" s="14" t="str">
        <f aca="false">IF($B1105="","",COUNTIFS($B$3:$B1105,$B1105))</f>
        <v/>
      </c>
      <c r="O1105" s="14" t="str">
        <f aca="false">IF($B1105="","",$B1105&amp;"|"&amp;$N1105)</f>
        <v/>
      </c>
    </row>
    <row r="1106" customFormat="false" ht="15" hidden="false" customHeight="false" outlineLevel="0" collapsed="false">
      <c r="A1106" s="12"/>
      <c r="B1106" s="9"/>
      <c r="C1106" s="9"/>
      <c r="D1106" s="9"/>
      <c r="E1106" s="9"/>
      <c r="F1106" s="9"/>
      <c r="G1106" s="9"/>
      <c r="H1106" s="7"/>
      <c r="I1106" s="13" t="str">
        <f aca="false">IF(OR($G1106="",$H1106=""),"",ROUND($G1106*$H1106,0))</f>
        <v/>
      </c>
      <c r="J1106" s="8"/>
      <c r="K1106" s="13" t="str">
        <f aca="false">IF($B1106="","",SUMIFS($I$3:$I$2002,$B$3:$B$2002,$B1106))</f>
        <v/>
      </c>
      <c r="L1106" s="13" t="str">
        <f aca="false">IF($B1106="","",IF(COUNTIFS($B$3:$B1106,$B1106)&gt;1,0,IFERROR(LOOKUP($K1106,배송비규정!$A$3:$A$32,배송비규정!$B$3:$B$32),0)+IFERROR(INDEX(지역추가비!$B$3:$B$42,MATCH($J1106,지역추가비!$A$3:$A$42,0)),0)))</f>
        <v/>
      </c>
      <c r="M1106" s="13" t="str">
        <f aca="false">IF($B1106="","",IF(COUNTIFS($B$3:$B1106,$B1106)&gt;1,"",$K1106+$L1106))</f>
        <v/>
      </c>
      <c r="N1106" s="14" t="str">
        <f aca="false">IF($B1106="","",COUNTIFS($B$3:$B1106,$B1106))</f>
        <v/>
      </c>
      <c r="O1106" s="14" t="str">
        <f aca="false">IF($B1106="","",$B1106&amp;"|"&amp;$N1106)</f>
        <v/>
      </c>
    </row>
    <row r="1107" customFormat="false" ht="15" hidden="false" customHeight="false" outlineLevel="0" collapsed="false">
      <c r="A1107" s="12"/>
      <c r="B1107" s="9"/>
      <c r="C1107" s="9"/>
      <c r="D1107" s="9"/>
      <c r="E1107" s="9"/>
      <c r="F1107" s="9"/>
      <c r="G1107" s="9"/>
      <c r="H1107" s="7"/>
      <c r="I1107" s="13" t="str">
        <f aca="false">IF(OR($G1107="",$H1107=""),"",ROUND($G1107*$H1107,0))</f>
        <v/>
      </c>
      <c r="J1107" s="8"/>
      <c r="K1107" s="13" t="str">
        <f aca="false">IF($B1107="","",SUMIFS($I$3:$I$2002,$B$3:$B$2002,$B1107))</f>
        <v/>
      </c>
      <c r="L1107" s="13" t="str">
        <f aca="false">IF($B1107="","",IF(COUNTIFS($B$3:$B1107,$B1107)&gt;1,0,IFERROR(LOOKUP($K1107,배송비규정!$A$3:$A$32,배송비규정!$B$3:$B$32),0)+IFERROR(INDEX(지역추가비!$B$3:$B$42,MATCH($J1107,지역추가비!$A$3:$A$42,0)),0)))</f>
        <v/>
      </c>
      <c r="M1107" s="13" t="str">
        <f aca="false">IF($B1107="","",IF(COUNTIFS($B$3:$B1107,$B1107)&gt;1,"",$K1107+$L1107))</f>
        <v/>
      </c>
      <c r="N1107" s="14" t="str">
        <f aca="false">IF($B1107="","",COUNTIFS($B$3:$B1107,$B1107))</f>
        <v/>
      </c>
      <c r="O1107" s="14" t="str">
        <f aca="false">IF($B1107="","",$B1107&amp;"|"&amp;$N1107)</f>
        <v/>
      </c>
    </row>
    <row r="1108" customFormat="false" ht="15" hidden="false" customHeight="false" outlineLevel="0" collapsed="false">
      <c r="A1108" s="12"/>
      <c r="B1108" s="9"/>
      <c r="C1108" s="9"/>
      <c r="D1108" s="9"/>
      <c r="E1108" s="9"/>
      <c r="F1108" s="9"/>
      <c r="G1108" s="9"/>
      <c r="H1108" s="7"/>
      <c r="I1108" s="13" t="str">
        <f aca="false">IF(OR($G1108="",$H1108=""),"",ROUND($G1108*$H1108,0))</f>
        <v/>
      </c>
      <c r="J1108" s="8"/>
      <c r="K1108" s="13" t="str">
        <f aca="false">IF($B1108="","",SUMIFS($I$3:$I$2002,$B$3:$B$2002,$B1108))</f>
        <v/>
      </c>
      <c r="L1108" s="13" t="str">
        <f aca="false">IF($B1108="","",IF(COUNTIFS($B$3:$B1108,$B1108)&gt;1,0,IFERROR(LOOKUP($K1108,배송비규정!$A$3:$A$32,배송비규정!$B$3:$B$32),0)+IFERROR(INDEX(지역추가비!$B$3:$B$42,MATCH($J1108,지역추가비!$A$3:$A$42,0)),0)))</f>
        <v/>
      </c>
      <c r="M1108" s="13" t="str">
        <f aca="false">IF($B1108="","",IF(COUNTIFS($B$3:$B1108,$B1108)&gt;1,"",$K1108+$L1108))</f>
        <v/>
      </c>
      <c r="N1108" s="14" t="str">
        <f aca="false">IF($B1108="","",COUNTIFS($B$3:$B1108,$B1108))</f>
        <v/>
      </c>
      <c r="O1108" s="14" t="str">
        <f aca="false">IF($B1108="","",$B1108&amp;"|"&amp;$N1108)</f>
        <v/>
      </c>
    </row>
    <row r="1109" customFormat="false" ht="15" hidden="false" customHeight="false" outlineLevel="0" collapsed="false">
      <c r="A1109" s="12"/>
      <c r="B1109" s="9"/>
      <c r="C1109" s="9"/>
      <c r="D1109" s="9"/>
      <c r="E1109" s="9"/>
      <c r="F1109" s="9"/>
      <c r="G1109" s="9"/>
      <c r="H1109" s="7"/>
      <c r="I1109" s="13" t="str">
        <f aca="false">IF(OR($G1109="",$H1109=""),"",ROUND($G1109*$H1109,0))</f>
        <v/>
      </c>
      <c r="J1109" s="8"/>
      <c r="K1109" s="13" t="str">
        <f aca="false">IF($B1109="","",SUMIFS($I$3:$I$2002,$B$3:$B$2002,$B1109))</f>
        <v/>
      </c>
      <c r="L1109" s="13" t="str">
        <f aca="false">IF($B1109="","",IF(COUNTIFS($B$3:$B1109,$B1109)&gt;1,0,IFERROR(LOOKUP($K1109,배송비규정!$A$3:$A$32,배송비규정!$B$3:$B$32),0)+IFERROR(INDEX(지역추가비!$B$3:$B$42,MATCH($J1109,지역추가비!$A$3:$A$42,0)),0)))</f>
        <v/>
      </c>
      <c r="M1109" s="13" t="str">
        <f aca="false">IF($B1109="","",IF(COUNTIFS($B$3:$B1109,$B1109)&gt;1,"",$K1109+$L1109))</f>
        <v/>
      </c>
      <c r="N1109" s="14" t="str">
        <f aca="false">IF($B1109="","",COUNTIFS($B$3:$B1109,$B1109))</f>
        <v/>
      </c>
      <c r="O1109" s="14" t="str">
        <f aca="false">IF($B1109="","",$B1109&amp;"|"&amp;$N1109)</f>
        <v/>
      </c>
    </row>
    <row r="1110" customFormat="false" ht="15" hidden="false" customHeight="false" outlineLevel="0" collapsed="false">
      <c r="A1110" s="12"/>
      <c r="B1110" s="9"/>
      <c r="C1110" s="9"/>
      <c r="D1110" s="9"/>
      <c r="E1110" s="9"/>
      <c r="F1110" s="9"/>
      <c r="G1110" s="9"/>
      <c r="H1110" s="7"/>
      <c r="I1110" s="13" t="str">
        <f aca="false">IF(OR($G1110="",$H1110=""),"",ROUND($G1110*$H1110,0))</f>
        <v/>
      </c>
      <c r="J1110" s="8"/>
      <c r="K1110" s="13" t="str">
        <f aca="false">IF($B1110="","",SUMIFS($I$3:$I$2002,$B$3:$B$2002,$B1110))</f>
        <v/>
      </c>
      <c r="L1110" s="13" t="str">
        <f aca="false">IF($B1110="","",IF(COUNTIFS($B$3:$B1110,$B1110)&gt;1,0,IFERROR(LOOKUP($K1110,배송비규정!$A$3:$A$32,배송비규정!$B$3:$B$32),0)+IFERROR(INDEX(지역추가비!$B$3:$B$42,MATCH($J1110,지역추가비!$A$3:$A$42,0)),0)))</f>
        <v/>
      </c>
      <c r="M1110" s="13" t="str">
        <f aca="false">IF($B1110="","",IF(COUNTIFS($B$3:$B1110,$B1110)&gt;1,"",$K1110+$L1110))</f>
        <v/>
      </c>
      <c r="N1110" s="14" t="str">
        <f aca="false">IF($B1110="","",COUNTIFS($B$3:$B1110,$B1110))</f>
        <v/>
      </c>
      <c r="O1110" s="14" t="str">
        <f aca="false">IF($B1110="","",$B1110&amp;"|"&amp;$N1110)</f>
        <v/>
      </c>
    </row>
    <row r="1111" customFormat="false" ht="15" hidden="false" customHeight="false" outlineLevel="0" collapsed="false">
      <c r="A1111" s="12"/>
      <c r="B1111" s="9"/>
      <c r="C1111" s="9"/>
      <c r="D1111" s="9"/>
      <c r="E1111" s="9"/>
      <c r="F1111" s="9"/>
      <c r="G1111" s="9"/>
      <c r="H1111" s="7"/>
      <c r="I1111" s="13" t="str">
        <f aca="false">IF(OR($G1111="",$H1111=""),"",ROUND($G1111*$H1111,0))</f>
        <v/>
      </c>
      <c r="J1111" s="8"/>
      <c r="K1111" s="13" t="str">
        <f aca="false">IF($B1111="","",SUMIFS($I$3:$I$2002,$B$3:$B$2002,$B1111))</f>
        <v/>
      </c>
      <c r="L1111" s="13" t="str">
        <f aca="false">IF($B1111="","",IF(COUNTIFS($B$3:$B1111,$B1111)&gt;1,0,IFERROR(LOOKUP($K1111,배송비규정!$A$3:$A$32,배송비규정!$B$3:$B$32),0)+IFERROR(INDEX(지역추가비!$B$3:$B$42,MATCH($J1111,지역추가비!$A$3:$A$42,0)),0)))</f>
        <v/>
      </c>
      <c r="M1111" s="13" t="str">
        <f aca="false">IF($B1111="","",IF(COUNTIFS($B$3:$B1111,$B1111)&gt;1,"",$K1111+$L1111))</f>
        <v/>
      </c>
      <c r="N1111" s="14" t="str">
        <f aca="false">IF($B1111="","",COUNTIFS($B$3:$B1111,$B1111))</f>
        <v/>
      </c>
      <c r="O1111" s="14" t="str">
        <f aca="false">IF($B1111="","",$B1111&amp;"|"&amp;$N1111)</f>
        <v/>
      </c>
    </row>
    <row r="1112" customFormat="false" ht="15" hidden="false" customHeight="false" outlineLevel="0" collapsed="false">
      <c r="A1112" s="12"/>
      <c r="B1112" s="9"/>
      <c r="C1112" s="9"/>
      <c r="D1112" s="9"/>
      <c r="E1112" s="9"/>
      <c r="F1112" s="9"/>
      <c r="G1112" s="9"/>
      <c r="H1112" s="7"/>
      <c r="I1112" s="13" t="str">
        <f aca="false">IF(OR($G1112="",$H1112=""),"",ROUND($G1112*$H1112,0))</f>
        <v/>
      </c>
      <c r="J1112" s="8"/>
      <c r="K1112" s="13" t="str">
        <f aca="false">IF($B1112="","",SUMIFS($I$3:$I$2002,$B$3:$B$2002,$B1112))</f>
        <v/>
      </c>
      <c r="L1112" s="13" t="str">
        <f aca="false">IF($B1112="","",IF(COUNTIFS($B$3:$B1112,$B1112)&gt;1,0,IFERROR(LOOKUP($K1112,배송비규정!$A$3:$A$32,배송비규정!$B$3:$B$32),0)+IFERROR(INDEX(지역추가비!$B$3:$B$42,MATCH($J1112,지역추가비!$A$3:$A$42,0)),0)))</f>
        <v/>
      </c>
      <c r="M1112" s="13" t="str">
        <f aca="false">IF($B1112="","",IF(COUNTIFS($B$3:$B1112,$B1112)&gt;1,"",$K1112+$L1112))</f>
        <v/>
      </c>
      <c r="N1112" s="14" t="str">
        <f aca="false">IF($B1112="","",COUNTIFS($B$3:$B1112,$B1112))</f>
        <v/>
      </c>
      <c r="O1112" s="14" t="str">
        <f aca="false">IF($B1112="","",$B1112&amp;"|"&amp;$N1112)</f>
        <v/>
      </c>
    </row>
    <row r="1113" customFormat="false" ht="15" hidden="false" customHeight="false" outlineLevel="0" collapsed="false">
      <c r="A1113" s="12"/>
      <c r="B1113" s="9"/>
      <c r="C1113" s="9"/>
      <c r="D1113" s="9"/>
      <c r="E1113" s="9"/>
      <c r="F1113" s="9"/>
      <c r="G1113" s="9"/>
      <c r="H1113" s="7"/>
      <c r="I1113" s="13" t="str">
        <f aca="false">IF(OR($G1113="",$H1113=""),"",ROUND($G1113*$H1113,0))</f>
        <v/>
      </c>
      <c r="J1113" s="8"/>
      <c r="K1113" s="13" t="str">
        <f aca="false">IF($B1113="","",SUMIFS($I$3:$I$2002,$B$3:$B$2002,$B1113))</f>
        <v/>
      </c>
      <c r="L1113" s="13" t="str">
        <f aca="false">IF($B1113="","",IF(COUNTIFS($B$3:$B1113,$B1113)&gt;1,0,IFERROR(LOOKUP($K1113,배송비규정!$A$3:$A$32,배송비규정!$B$3:$B$32),0)+IFERROR(INDEX(지역추가비!$B$3:$B$42,MATCH($J1113,지역추가비!$A$3:$A$42,0)),0)))</f>
        <v/>
      </c>
      <c r="M1113" s="13" t="str">
        <f aca="false">IF($B1113="","",IF(COUNTIFS($B$3:$B1113,$B1113)&gt;1,"",$K1113+$L1113))</f>
        <v/>
      </c>
      <c r="N1113" s="14" t="str">
        <f aca="false">IF($B1113="","",COUNTIFS($B$3:$B1113,$B1113))</f>
        <v/>
      </c>
      <c r="O1113" s="14" t="str">
        <f aca="false">IF($B1113="","",$B1113&amp;"|"&amp;$N1113)</f>
        <v/>
      </c>
    </row>
    <row r="1114" customFormat="false" ht="15" hidden="false" customHeight="false" outlineLevel="0" collapsed="false">
      <c r="A1114" s="12"/>
      <c r="B1114" s="9"/>
      <c r="C1114" s="9"/>
      <c r="D1114" s="9"/>
      <c r="E1114" s="9"/>
      <c r="F1114" s="9"/>
      <c r="G1114" s="9"/>
      <c r="H1114" s="7"/>
      <c r="I1114" s="13" t="str">
        <f aca="false">IF(OR($G1114="",$H1114=""),"",ROUND($G1114*$H1114,0))</f>
        <v/>
      </c>
      <c r="J1114" s="8"/>
      <c r="K1114" s="13" t="str">
        <f aca="false">IF($B1114="","",SUMIFS($I$3:$I$2002,$B$3:$B$2002,$B1114))</f>
        <v/>
      </c>
      <c r="L1114" s="13" t="str">
        <f aca="false">IF($B1114="","",IF(COUNTIFS($B$3:$B1114,$B1114)&gt;1,0,IFERROR(LOOKUP($K1114,배송비규정!$A$3:$A$32,배송비규정!$B$3:$B$32),0)+IFERROR(INDEX(지역추가비!$B$3:$B$42,MATCH($J1114,지역추가비!$A$3:$A$42,0)),0)))</f>
        <v/>
      </c>
      <c r="M1114" s="13" t="str">
        <f aca="false">IF($B1114="","",IF(COUNTIFS($B$3:$B1114,$B1114)&gt;1,"",$K1114+$L1114))</f>
        <v/>
      </c>
      <c r="N1114" s="14" t="str">
        <f aca="false">IF($B1114="","",COUNTIFS($B$3:$B1114,$B1114))</f>
        <v/>
      </c>
      <c r="O1114" s="14" t="str">
        <f aca="false">IF($B1114="","",$B1114&amp;"|"&amp;$N1114)</f>
        <v/>
      </c>
    </row>
    <row r="1115" customFormat="false" ht="15" hidden="false" customHeight="false" outlineLevel="0" collapsed="false">
      <c r="A1115" s="12"/>
      <c r="B1115" s="9"/>
      <c r="C1115" s="9"/>
      <c r="D1115" s="9"/>
      <c r="E1115" s="9"/>
      <c r="F1115" s="9"/>
      <c r="G1115" s="9"/>
      <c r="H1115" s="7"/>
      <c r="I1115" s="13" t="str">
        <f aca="false">IF(OR($G1115="",$H1115=""),"",ROUND($G1115*$H1115,0))</f>
        <v/>
      </c>
      <c r="J1115" s="8"/>
      <c r="K1115" s="13" t="str">
        <f aca="false">IF($B1115="","",SUMIFS($I$3:$I$2002,$B$3:$B$2002,$B1115))</f>
        <v/>
      </c>
      <c r="L1115" s="13" t="str">
        <f aca="false">IF($B1115="","",IF(COUNTIFS($B$3:$B1115,$B1115)&gt;1,0,IFERROR(LOOKUP($K1115,배송비규정!$A$3:$A$32,배송비규정!$B$3:$B$32),0)+IFERROR(INDEX(지역추가비!$B$3:$B$42,MATCH($J1115,지역추가비!$A$3:$A$42,0)),0)))</f>
        <v/>
      </c>
      <c r="M1115" s="13" t="str">
        <f aca="false">IF($B1115="","",IF(COUNTIFS($B$3:$B1115,$B1115)&gt;1,"",$K1115+$L1115))</f>
        <v/>
      </c>
      <c r="N1115" s="14" t="str">
        <f aca="false">IF($B1115="","",COUNTIFS($B$3:$B1115,$B1115))</f>
        <v/>
      </c>
      <c r="O1115" s="14" t="str">
        <f aca="false">IF($B1115="","",$B1115&amp;"|"&amp;$N1115)</f>
        <v/>
      </c>
    </row>
    <row r="1116" customFormat="false" ht="15" hidden="false" customHeight="false" outlineLevel="0" collapsed="false">
      <c r="A1116" s="12"/>
      <c r="B1116" s="9"/>
      <c r="C1116" s="9"/>
      <c r="D1116" s="9"/>
      <c r="E1116" s="9"/>
      <c r="F1116" s="9"/>
      <c r="G1116" s="9"/>
      <c r="H1116" s="7"/>
      <c r="I1116" s="13" t="str">
        <f aca="false">IF(OR($G1116="",$H1116=""),"",ROUND($G1116*$H1116,0))</f>
        <v/>
      </c>
      <c r="J1116" s="8"/>
      <c r="K1116" s="13" t="str">
        <f aca="false">IF($B1116="","",SUMIFS($I$3:$I$2002,$B$3:$B$2002,$B1116))</f>
        <v/>
      </c>
      <c r="L1116" s="13" t="str">
        <f aca="false">IF($B1116="","",IF(COUNTIFS($B$3:$B1116,$B1116)&gt;1,0,IFERROR(LOOKUP($K1116,배송비규정!$A$3:$A$32,배송비규정!$B$3:$B$32),0)+IFERROR(INDEX(지역추가비!$B$3:$B$42,MATCH($J1116,지역추가비!$A$3:$A$42,0)),0)))</f>
        <v/>
      </c>
      <c r="M1116" s="13" t="str">
        <f aca="false">IF($B1116="","",IF(COUNTIFS($B$3:$B1116,$B1116)&gt;1,"",$K1116+$L1116))</f>
        <v/>
      </c>
      <c r="N1116" s="14" t="str">
        <f aca="false">IF($B1116="","",COUNTIFS($B$3:$B1116,$B1116))</f>
        <v/>
      </c>
      <c r="O1116" s="14" t="str">
        <f aca="false">IF($B1116="","",$B1116&amp;"|"&amp;$N1116)</f>
        <v/>
      </c>
    </row>
    <row r="1117" customFormat="false" ht="15" hidden="false" customHeight="false" outlineLevel="0" collapsed="false">
      <c r="A1117" s="12"/>
      <c r="B1117" s="9"/>
      <c r="C1117" s="9"/>
      <c r="D1117" s="9"/>
      <c r="E1117" s="9"/>
      <c r="F1117" s="9"/>
      <c r="G1117" s="9"/>
      <c r="H1117" s="7"/>
      <c r="I1117" s="13" t="str">
        <f aca="false">IF(OR($G1117="",$H1117=""),"",ROUND($G1117*$H1117,0))</f>
        <v/>
      </c>
      <c r="J1117" s="8"/>
      <c r="K1117" s="13" t="str">
        <f aca="false">IF($B1117="","",SUMIFS($I$3:$I$2002,$B$3:$B$2002,$B1117))</f>
        <v/>
      </c>
      <c r="L1117" s="13" t="str">
        <f aca="false">IF($B1117="","",IF(COUNTIFS($B$3:$B1117,$B1117)&gt;1,0,IFERROR(LOOKUP($K1117,배송비규정!$A$3:$A$32,배송비규정!$B$3:$B$32),0)+IFERROR(INDEX(지역추가비!$B$3:$B$42,MATCH($J1117,지역추가비!$A$3:$A$42,0)),0)))</f>
        <v/>
      </c>
      <c r="M1117" s="13" t="str">
        <f aca="false">IF($B1117="","",IF(COUNTIFS($B$3:$B1117,$B1117)&gt;1,"",$K1117+$L1117))</f>
        <v/>
      </c>
      <c r="N1117" s="14" t="str">
        <f aca="false">IF($B1117="","",COUNTIFS($B$3:$B1117,$B1117))</f>
        <v/>
      </c>
      <c r="O1117" s="14" t="str">
        <f aca="false">IF($B1117="","",$B1117&amp;"|"&amp;$N1117)</f>
        <v/>
      </c>
    </row>
    <row r="1118" customFormat="false" ht="15" hidden="false" customHeight="false" outlineLevel="0" collapsed="false">
      <c r="A1118" s="12"/>
      <c r="B1118" s="9"/>
      <c r="C1118" s="9"/>
      <c r="D1118" s="9"/>
      <c r="E1118" s="9"/>
      <c r="F1118" s="9"/>
      <c r="G1118" s="9"/>
      <c r="H1118" s="7"/>
      <c r="I1118" s="13" t="str">
        <f aca="false">IF(OR($G1118="",$H1118=""),"",ROUND($G1118*$H1118,0))</f>
        <v/>
      </c>
      <c r="J1118" s="8"/>
      <c r="K1118" s="13" t="str">
        <f aca="false">IF($B1118="","",SUMIFS($I$3:$I$2002,$B$3:$B$2002,$B1118))</f>
        <v/>
      </c>
      <c r="L1118" s="13" t="str">
        <f aca="false">IF($B1118="","",IF(COUNTIFS($B$3:$B1118,$B1118)&gt;1,0,IFERROR(LOOKUP($K1118,배송비규정!$A$3:$A$32,배송비규정!$B$3:$B$32),0)+IFERROR(INDEX(지역추가비!$B$3:$B$42,MATCH($J1118,지역추가비!$A$3:$A$42,0)),0)))</f>
        <v/>
      </c>
      <c r="M1118" s="13" t="str">
        <f aca="false">IF($B1118="","",IF(COUNTIFS($B$3:$B1118,$B1118)&gt;1,"",$K1118+$L1118))</f>
        <v/>
      </c>
      <c r="N1118" s="14" t="str">
        <f aca="false">IF($B1118="","",COUNTIFS($B$3:$B1118,$B1118))</f>
        <v/>
      </c>
      <c r="O1118" s="14" t="str">
        <f aca="false">IF($B1118="","",$B1118&amp;"|"&amp;$N1118)</f>
        <v/>
      </c>
    </row>
    <row r="1119" customFormat="false" ht="15" hidden="false" customHeight="false" outlineLevel="0" collapsed="false">
      <c r="A1119" s="12"/>
      <c r="B1119" s="9"/>
      <c r="C1119" s="9"/>
      <c r="D1119" s="9"/>
      <c r="E1119" s="9"/>
      <c r="F1119" s="9"/>
      <c r="G1119" s="9"/>
      <c r="H1119" s="7"/>
      <c r="I1119" s="13" t="str">
        <f aca="false">IF(OR($G1119="",$H1119=""),"",ROUND($G1119*$H1119,0))</f>
        <v/>
      </c>
      <c r="J1119" s="8"/>
      <c r="K1119" s="13" t="str">
        <f aca="false">IF($B1119="","",SUMIFS($I$3:$I$2002,$B$3:$B$2002,$B1119))</f>
        <v/>
      </c>
      <c r="L1119" s="13" t="str">
        <f aca="false">IF($B1119="","",IF(COUNTIFS($B$3:$B1119,$B1119)&gt;1,0,IFERROR(LOOKUP($K1119,배송비규정!$A$3:$A$32,배송비규정!$B$3:$B$32),0)+IFERROR(INDEX(지역추가비!$B$3:$B$42,MATCH($J1119,지역추가비!$A$3:$A$42,0)),0)))</f>
        <v/>
      </c>
      <c r="M1119" s="13" t="str">
        <f aca="false">IF($B1119="","",IF(COUNTIFS($B$3:$B1119,$B1119)&gt;1,"",$K1119+$L1119))</f>
        <v/>
      </c>
      <c r="N1119" s="14" t="str">
        <f aca="false">IF($B1119="","",COUNTIFS($B$3:$B1119,$B1119))</f>
        <v/>
      </c>
      <c r="O1119" s="14" t="str">
        <f aca="false">IF($B1119="","",$B1119&amp;"|"&amp;$N1119)</f>
        <v/>
      </c>
    </row>
    <row r="1120" customFormat="false" ht="15" hidden="false" customHeight="false" outlineLevel="0" collapsed="false">
      <c r="A1120" s="12"/>
      <c r="B1120" s="9"/>
      <c r="C1120" s="9"/>
      <c r="D1120" s="9"/>
      <c r="E1120" s="9"/>
      <c r="F1120" s="9"/>
      <c r="G1120" s="9"/>
      <c r="H1120" s="7"/>
      <c r="I1120" s="13" t="str">
        <f aca="false">IF(OR($G1120="",$H1120=""),"",ROUND($G1120*$H1120,0))</f>
        <v/>
      </c>
      <c r="J1120" s="8"/>
      <c r="K1120" s="13" t="str">
        <f aca="false">IF($B1120="","",SUMIFS($I$3:$I$2002,$B$3:$B$2002,$B1120))</f>
        <v/>
      </c>
      <c r="L1120" s="13" t="str">
        <f aca="false">IF($B1120="","",IF(COUNTIFS($B$3:$B1120,$B1120)&gt;1,0,IFERROR(LOOKUP($K1120,배송비규정!$A$3:$A$32,배송비규정!$B$3:$B$32),0)+IFERROR(INDEX(지역추가비!$B$3:$B$42,MATCH($J1120,지역추가비!$A$3:$A$42,0)),0)))</f>
        <v/>
      </c>
      <c r="M1120" s="13" t="str">
        <f aca="false">IF($B1120="","",IF(COUNTIFS($B$3:$B1120,$B1120)&gt;1,"",$K1120+$L1120))</f>
        <v/>
      </c>
      <c r="N1120" s="14" t="str">
        <f aca="false">IF($B1120="","",COUNTIFS($B$3:$B1120,$B1120))</f>
        <v/>
      </c>
      <c r="O1120" s="14" t="str">
        <f aca="false">IF($B1120="","",$B1120&amp;"|"&amp;$N1120)</f>
        <v/>
      </c>
    </row>
    <row r="1121" customFormat="false" ht="15" hidden="false" customHeight="false" outlineLevel="0" collapsed="false">
      <c r="A1121" s="12"/>
      <c r="B1121" s="9"/>
      <c r="C1121" s="9"/>
      <c r="D1121" s="9"/>
      <c r="E1121" s="9"/>
      <c r="F1121" s="9"/>
      <c r="G1121" s="9"/>
      <c r="H1121" s="7"/>
      <c r="I1121" s="13" t="str">
        <f aca="false">IF(OR($G1121="",$H1121=""),"",ROUND($G1121*$H1121,0))</f>
        <v/>
      </c>
      <c r="J1121" s="8"/>
      <c r="K1121" s="13" t="str">
        <f aca="false">IF($B1121="","",SUMIFS($I$3:$I$2002,$B$3:$B$2002,$B1121))</f>
        <v/>
      </c>
      <c r="L1121" s="13" t="str">
        <f aca="false">IF($B1121="","",IF(COUNTIFS($B$3:$B1121,$B1121)&gt;1,0,IFERROR(LOOKUP($K1121,배송비규정!$A$3:$A$32,배송비규정!$B$3:$B$32),0)+IFERROR(INDEX(지역추가비!$B$3:$B$42,MATCH($J1121,지역추가비!$A$3:$A$42,0)),0)))</f>
        <v/>
      </c>
      <c r="M1121" s="13" t="str">
        <f aca="false">IF($B1121="","",IF(COUNTIFS($B$3:$B1121,$B1121)&gt;1,"",$K1121+$L1121))</f>
        <v/>
      </c>
      <c r="N1121" s="14" t="str">
        <f aca="false">IF($B1121="","",COUNTIFS($B$3:$B1121,$B1121))</f>
        <v/>
      </c>
      <c r="O1121" s="14" t="str">
        <f aca="false">IF($B1121="","",$B1121&amp;"|"&amp;$N1121)</f>
        <v/>
      </c>
    </row>
    <row r="1122" customFormat="false" ht="15" hidden="false" customHeight="false" outlineLevel="0" collapsed="false">
      <c r="A1122" s="12"/>
      <c r="B1122" s="9"/>
      <c r="C1122" s="9"/>
      <c r="D1122" s="9"/>
      <c r="E1122" s="9"/>
      <c r="F1122" s="9"/>
      <c r="G1122" s="9"/>
      <c r="H1122" s="7"/>
      <c r="I1122" s="13" t="str">
        <f aca="false">IF(OR($G1122="",$H1122=""),"",ROUND($G1122*$H1122,0))</f>
        <v/>
      </c>
      <c r="J1122" s="8"/>
      <c r="K1122" s="13" t="str">
        <f aca="false">IF($B1122="","",SUMIFS($I$3:$I$2002,$B$3:$B$2002,$B1122))</f>
        <v/>
      </c>
      <c r="L1122" s="13" t="str">
        <f aca="false">IF($B1122="","",IF(COUNTIFS($B$3:$B1122,$B1122)&gt;1,0,IFERROR(LOOKUP($K1122,배송비규정!$A$3:$A$32,배송비규정!$B$3:$B$32),0)+IFERROR(INDEX(지역추가비!$B$3:$B$42,MATCH($J1122,지역추가비!$A$3:$A$42,0)),0)))</f>
        <v/>
      </c>
      <c r="M1122" s="13" t="str">
        <f aca="false">IF($B1122="","",IF(COUNTIFS($B$3:$B1122,$B1122)&gt;1,"",$K1122+$L1122))</f>
        <v/>
      </c>
      <c r="N1122" s="14" t="str">
        <f aca="false">IF($B1122="","",COUNTIFS($B$3:$B1122,$B1122))</f>
        <v/>
      </c>
      <c r="O1122" s="14" t="str">
        <f aca="false">IF($B1122="","",$B1122&amp;"|"&amp;$N1122)</f>
        <v/>
      </c>
    </row>
    <row r="1123" customFormat="false" ht="15" hidden="false" customHeight="false" outlineLevel="0" collapsed="false">
      <c r="A1123" s="12"/>
      <c r="B1123" s="9"/>
      <c r="C1123" s="9"/>
      <c r="D1123" s="9"/>
      <c r="E1123" s="9"/>
      <c r="F1123" s="9"/>
      <c r="G1123" s="9"/>
      <c r="H1123" s="7"/>
      <c r="I1123" s="13" t="str">
        <f aca="false">IF(OR($G1123="",$H1123=""),"",ROUND($G1123*$H1123,0))</f>
        <v/>
      </c>
      <c r="J1123" s="8"/>
      <c r="K1123" s="13" t="str">
        <f aca="false">IF($B1123="","",SUMIFS($I$3:$I$2002,$B$3:$B$2002,$B1123))</f>
        <v/>
      </c>
      <c r="L1123" s="13" t="str">
        <f aca="false">IF($B1123="","",IF(COUNTIFS($B$3:$B1123,$B1123)&gt;1,0,IFERROR(LOOKUP($K1123,배송비규정!$A$3:$A$32,배송비규정!$B$3:$B$32),0)+IFERROR(INDEX(지역추가비!$B$3:$B$42,MATCH($J1123,지역추가비!$A$3:$A$42,0)),0)))</f>
        <v/>
      </c>
      <c r="M1123" s="13" t="str">
        <f aca="false">IF($B1123="","",IF(COUNTIFS($B$3:$B1123,$B1123)&gt;1,"",$K1123+$L1123))</f>
        <v/>
      </c>
      <c r="N1123" s="14" t="str">
        <f aca="false">IF($B1123="","",COUNTIFS($B$3:$B1123,$B1123))</f>
        <v/>
      </c>
      <c r="O1123" s="14" t="str">
        <f aca="false">IF($B1123="","",$B1123&amp;"|"&amp;$N1123)</f>
        <v/>
      </c>
    </row>
    <row r="1124" customFormat="false" ht="15" hidden="false" customHeight="false" outlineLevel="0" collapsed="false">
      <c r="A1124" s="12"/>
      <c r="B1124" s="9"/>
      <c r="C1124" s="9"/>
      <c r="D1124" s="9"/>
      <c r="E1124" s="9"/>
      <c r="F1124" s="9"/>
      <c r="G1124" s="9"/>
      <c r="H1124" s="7"/>
      <c r="I1124" s="13" t="str">
        <f aca="false">IF(OR($G1124="",$H1124=""),"",ROUND($G1124*$H1124,0))</f>
        <v/>
      </c>
      <c r="J1124" s="8"/>
      <c r="K1124" s="13" t="str">
        <f aca="false">IF($B1124="","",SUMIFS($I$3:$I$2002,$B$3:$B$2002,$B1124))</f>
        <v/>
      </c>
      <c r="L1124" s="13" t="str">
        <f aca="false">IF($B1124="","",IF(COUNTIFS($B$3:$B1124,$B1124)&gt;1,0,IFERROR(LOOKUP($K1124,배송비규정!$A$3:$A$32,배송비규정!$B$3:$B$32),0)+IFERROR(INDEX(지역추가비!$B$3:$B$42,MATCH($J1124,지역추가비!$A$3:$A$42,0)),0)))</f>
        <v/>
      </c>
      <c r="M1124" s="13" t="str">
        <f aca="false">IF($B1124="","",IF(COUNTIFS($B$3:$B1124,$B1124)&gt;1,"",$K1124+$L1124))</f>
        <v/>
      </c>
      <c r="N1124" s="14" t="str">
        <f aca="false">IF($B1124="","",COUNTIFS($B$3:$B1124,$B1124))</f>
        <v/>
      </c>
      <c r="O1124" s="14" t="str">
        <f aca="false">IF($B1124="","",$B1124&amp;"|"&amp;$N1124)</f>
        <v/>
      </c>
    </row>
    <row r="1125" customFormat="false" ht="15" hidden="false" customHeight="false" outlineLevel="0" collapsed="false">
      <c r="A1125" s="12"/>
      <c r="B1125" s="9"/>
      <c r="C1125" s="9"/>
      <c r="D1125" s="9"/>
      <c r="E1125" s="9"/>
      <c r="F1125" s="9"/>
      <c r="G1125" s="9"/>
      <c r="H1125" s="7"/>
      <c r="I1125" s="13" t="str">
        <f aca="false">IF(OR($G1125="",$H1125=""),"",ROUND($G1125*$H1125,0))</f>
        <v/>
      </c>
      <c r="J1125" s="8"/>
      <c r="K1125" s="13" t="str">
        <f aca="false">IF($B1125="","",SUMIFS($I$3:$I$2002,$B$3:$B$2002,$B1125))</f>
        <v/>
      </c>
      <c r="L1125" s="13" t="str">
        <f aca="false">IF($B1125="","",IF(COUNTIFS($B$3:$B1125,$B1125)&gt;1,0,IFERROR(LOOKUP($K1125,배송비규정!$A$3:$A$32,배송비규정!$B$3:$B$32),0)+IFERROR(INDEX(지역추가비!$B$3:$B$42,MATCH($J1125,지역추가비!$A$3:$A$42,0)),0)))</f>
        <v/>
      </c>
      <c r="M1125" s="13" t="str">
        <f aca="false">IF($B1125="","",IF(COUNTIFS($B$3:$B1125,$B1125)&gt;1,"",$K1125+$L1125))</f>
        <v/>
      </c>
      <c r="N1125" s="14" t="str">
        <f aca="false">IF($B1125="","",COUNTIFS($B$3:$B1125,$B1125))</f>
        <v/>
      </c>
      <c r="O1125" s="14" t="str">
        <f aca="false">IF($B1125="","",$B1125&amp;"|"&amp;$N1125)</f>
        <v/>
      </c>
    </row>
    <row r="1126" customFormat="false" ht="15" hidden="false" customHeight="false" outlineLevel="0" collapsed="false">
      <c r="A1126" s="12"/>
      <c r="B1126" s="9"/>
      <c r="C1126" s="9"/>
      <c r="D1126" s="9"/>
      <c r="E1126" s="9"/>
      <c r="F1126" s="9"/>
      <c r="G1126" s="9"/>
      <c r="H1126" s="7"/>
      <c r="I1126" s="13" t="str">
        <f aca="false">IF(OR($G1126="",$H1126=""),"",ROUND($G1126*$H1126,0))</f>
        <v/>
      </c>
      <c r="J1126" s="8"/>
      <c r="K1126" s="13" t="str">
        <f aca="false">IF($B1126="","",SUMIFS($I$3:$I$2002,$B$3:$B$2002,$B1126))</f>
        <v/>
      </c>
      <c r="L1126" s="13" t="str">
        <f aca="false">IF($B1126="","",IF(COUNTIFS($B$3:$B1126,$B1126)&gt;1,0,IFERROR(LOOKUP($K1126,배송비규정!$A$3:$A$32,배송비규정!$B$3:$B$32),0)+IFERROR(INDEX(지역추가비!$B$3:$B$42,MATCH($J1126,지역추가비!$A$3:$A$42,0)),0)))</f>
        <v/>
      </c>
      <c r="M1126" s="13" t="str">
        <f aca="false">IF($B1126="","",IF(COUNTIFS($B$3:$B1126,$B1126)&gt;1,"",$K1126+$L1126))</f>
        <v/>
      </c>
      <c r="N1126" s="14" t="str">
        <f aca="false">IF($B1126="","",COUNTIFS($B$3:$B1126,$B1126))</f>
        <v/>
      </c>
      <c r="O1126" s="14" t="str">
        <f aca="false">IF($B1126="","",$B1126&amp;"|"&amp;$N1126)</f>
        <v/>
      </c>
    </row>
    <row r="1127" customFormat="false" ht="15" hidden="false" customHeight="false" outlineLevel="0" collapsed="false">
      <c r="A1127" s="12"/>
      <c r="B1127" s="9"/>
      <c r="C1127" s="9"/>
      <c r="D1127" s="9"/>
      <c r="E1127" s="9"/>
      <c r="F1127" s="9"/>
      <c r="G1127" s="9"/>
      <c r="H1127" s="7"/>
      <c r="I1127" s="13" t="str">
        <f aca="false">IF(OR($G1127="",$H1127=""),"",ROUND($G1127*$H1127,0))</f>
        <v/>
      </c>
      <c r="J1127" s="8"/>
      <c r="K1127" s="13" t="str">
        <f aca="false">IF($B1127="","",SUMIFS($I$3:$I$2002,$B$3:$B$2002,$B1127))</f>
        <v/>
      </c>
      <c r="L1127" s="13" t="str">
        <f aca="false">IF($B1127="","",IF(COUNTIFS($B$3:$B1127,$B1127)&gt;1,0,IFERROR(LOOKUP($K1127,배송비규정!$A$3:$A$32,배송비규정!$B$3:$B$32),0)+IFERROR(INDEX(지역추가비!$B$3:$B$42,MATCH($J1127,지역추가비!$A$3:$A$42,0)),0)))</f>
        <v/>
      </c>
      <c r="M1127" s="13" t="str">
        <f aca="false">IF($B1127="","",IF(COUNTIFS($B$3:$B1127,$B1127)&gt;1,"",$K1127+$L1127))</f>
        <v/>
      </c>
      <c r="N1127" s="14" t="str">
        <f aca="false">IF($B1127="","",COUNTIFS($B$3:$B1127,$B1127))</f>
        <v/>
      </c>
      <c r="O1127" s="14" t="str">
        <f aca="false">IF($B1127="","",$B1127&amp;"|"&amp;$N1127)</f>
        <v/>
      </c>
    </row>
    <row r="1128" customFormat="false" ht="15" hidden="false" customHeight="false" outlineLevel="0" collapsed="false">
      <c r="A1128" s="12"/>
      <c r="B1128" s="9"/>
      <c r="C1128" s="9"/>
      <c r="D1128" s="9"/>
      <c r="E1128" s="9"/>
      <c r="F1128" s="9"/>
      <c r="G1128" s="9"/>
      <c r="H1128" s="7"/>
      <c r="I1128" s="13" t="str">
        <f aca="false">IF(OR($G1128="",$H1128=""),"",ROUND($G1128*$H1128,0))</f>
        <v/>
      </c>
      <c r="J1128" s="8"/>
      <c r="K1128" s="13" t="str">
        <f aca="false">IF($B1128="","",SUMIFS($I$3:$I$2002,$B$3:$B$2002,$B1128))</f>
        <v/>
      </c>
      <c r="L1128" s="13" t="str">
        <f aca="false">IF($B1128="","",IF(COUNTIFS($B$3:$B1128,$B1128)&gt;1,0,IFERROR(LOOKUP($K1128,배송비규정!$A$3:$A$32,배송비규정!$B$3:$B$32),0)+IFERROR(INDEX(지역추가비!$B$3:$B$42,MATCH($J1128,지역추가비!$A$3:$A$42,0)),0)))</f>
        <v/>
      </c>
      <c r="M1128" s="13" t="str">
        <f aca="false">IF($B1128="","",IF(COUNTIFS($B$3:$B1128,$B1128)&gt;1,"",$K1128+$L1128))</f>
        <v/>
      </c>
      <c r="N1128" s="14" t="str">
        <f aca="false">IF($B1128="","",COUNTIFS($B$3:$B1128,$B1128))</f>
        <v/>
      </c>
      <c r="O1128" s="14" t="str">
        <f aca="false">IF($B1128="","",$B1128&amp;"|"&amp;$N1128)</f>
        <v/>
      </c>
    </row>
    <row r="1129" customFormat="false" ht="15" hidden="false" customHeight="false" outlineLevel="0" collapsed="false">
      <c r="A1129" s="12"/>
      <c r="B1129" s="9"/>
      <c r="C1129" s="9"/>
      <c r="D1129" s="9"/>
      <c r="E1129" s="9"/>
      <c r="F1129" s="9"/>
      <c r="G1129" s="9"/>
      <c r="H1129" s="7"/>
      <c r="I1129" s="13" t="str">
        <f aca="false">IF(OR($G1129="",$H1129=""),"",ROUND($G1129*$H1129,0))</f>
        <v/>
      </c>
      <c r="J1129" s="8"/>
      <c r="K1129" s="13" t="str">
        <f aca="false">IF($B1129="","",SUMIFS($I$3:$I$2002,$B$3:$B$2002,$B1129))</f>
        <v/>
      </c>
      <c r="L1129" s="13" t="str">
        <f aca="false">IF($B1129="","",IF(COUNTIFS($B$3:$B1129,$B1129)&gt;1,0,IFERROR(LOOKUP($K1129,배송비규정!$A$3:$A$32,배송비규정!$B$3:$B$32),0)+IFERROR(INDEX(지역추가비!$B$3:$B$42,MATCH($J1129,지역추가비!$A$3:$A$42,0)),0)))</f>
        <v/>
      </c>
      <c r="M1129" s="13" t="str">
        <f aca="false">IF($B1129="","",IF(COUNTIFS($B$3:$B1129,$B1129)&gt;1,"",$K1129+$L1129))</f>
        <v/>
      </c>
      <c r="N1129" s="14" t="str">
        <f aca="false">IF($B1129="","",COUNTIFS($B$3:$B1129,$B1129))</f>
        <v/>
      </c>
      <c r="O1129" s="14" t="str">
        <f aca="false">IF($B1129="","",$B1129&amp;"|"&amp;$N1129)</f>
        <v/>
      </c>
    </row>
    <row r="1130" customFormat="false" ht="15" hidden="false" customHeight="false" outlineLevel="0" collapsed="false">
      <c r="A1130" s="12"/>
      <c r="B1130" s="9"/>
      <c r="C1130" s="9"/>
      <c r="D1130" s="9"/>
      <c r="E1130" s="9"/>
      <c r="F1130" s="9"/>
      <c r="G1130" s="9"/>
      <c r="H1130" s="7"/>
      <c r="I1130" s="13" t="str">
        <f aca="false">IF(OR($G1130="",$H1130=""),"",ROUND($G1130*$H1130,0))</f>
        <v/>
      </c>
      <c r="J1130" s="8"/>
      <c r="K1130" s="13" t="str">
        <f aca="false">IF($B1130="","",SUMIFS($I$3:$I$2002,$B$3:$B$2002,$B1130))</f>
        <v/>
      </c>
      <c r="L1130" s="13" t="str">
        <f aca="false">IF($B1130="","",IF(COUNTIFS($B$3:$B1130,$B1130)&gt;1,0,IFERROR(LOOKUP($K1130,배송비규정!$A$3:$A$32,배송비규정!$B$3:$B$32),0)+IFERROR(INDEX(지역추가비!$B$3:$B$42,MATCH($J1130,지역추가비!$A$3:$A$42,0)),0)))</f>
        <v/>
      </c>
      <c r="M1130" s="13" t="str">
        <f aca="false">IF($B1130="","",IF(COUNTIFS($B$3:$B1130,$B1130)&gt;1,"",$K1130+$L1130))</f>
        <v/>
      </c>
      <c r="N1130" s="14" t="str">
        <f aca="false">IF($B1130="","",COUNTIFS($B$3:$B1130,$B1130))</f>
        <v/>
      </c>
      <c r="O1130" s="14" t="str">
        <f aca="false">IF($B1130="","",$B1130&amp;"|"&amp;$N1130)</f>
        <v/>
      </c>
    </row>
    <row r="1131" customFormat="false" ht="15" hidden="false" customHeight="false" outlineLevel="0" collapsed="false">
      <c r="A1131" s="12"/>
      <c r="B1131" s="9"/>
      <c r="C1131" s="9"/>
      <c r="D1131" s="9"/>
      <c r="E1131" s="9"/>
      <c r="F1131" s="9"/>
      <c r="G1131" s="9"/>
      <c r="H1131" s="7"/>
      <c r="I1131" s="13" t="str">
        <f aca="false">IF(OR($G1131="",$H1131=""),"",ROUND($G1131*$H1131,0))</f>
        <v/>
      </c>
      <c r="J1131" s="8"/>
      <c r="K1131" s="13" t="str">
        <f aca="false">IF($B1131="","",SUMIFS($I$3:$I$2002,$B$3:$B$2002,$B1131))</f>
        <v/>
      </c>
      <c r="L1131" s="13" t="str">
        <f aca="false">IF($B1131="","",IF(COUNTIFS($B$3:$B1131,$B1131)&gt;1,0,IFERROR(LOOKUP($K1131,배송비규정!$A$3:$A$32,배송비규정!$B$3:$B$32),0)+IFERROR(INDEX(지역추가비!$B$3:$B$42,MATCH($J1131,지역추가비!$A$3:$A$42,0)),0)))</f>
        <v/>
      </c>
      <c r="M1131" s="13" t="str">
        <f aca="false">IF($B1131="","",IF(COUNTIFS($B$3:$B1131,$B1131)&gt;1,"",$K1131+$L1131))</f>
        <v/>
      </c>
      <c r="N1131" s="14" t="str">
        <f aca="false">IF($B1131="","",COUNTIFS($B$3:$B1131,$B1131))</f>
        <v/>
      </c>
      <c r="O1131" s="14" t="str">
        <f aca="false">IF($B1131="","",$B1131&amp;"|"&amp;$N1131)</f>
        <v/>
      </c>
    </row>
    <row r="1132" customFormat="false" ht="15" hidden="false" customHeight="false" outlineLevel="0" collapsed="false">
      <c r="A1132" s="12"/>
      <c r="B1132" s="9"/>
      <c r="C1132" s="9"/>
      <c r="D1132" s="9"/>
      <c r="E1132" s="9"/>
      <c r="F1132" s="9"/>
      <c r="G1132" s="9"/>
      <c r="H1132" s="7"/>
      <c r="I1132" s="13" t="str">
        <f aca="false">IF(OR($G1132="",$H1132=""),"",ROUND($G1132*$H1132,0))</f>
        <v/>
      </c>
      <c r="J1132" s="8"/>
      <c r="K1132" s="13" t="str">
        <f aca="false">IF($B1132="","",SUMIFS($I$3:$I$2002,$B$3:$B$2002,$B1132))</f>
        <v/>
      </c>
      <c r="L1132" s="13" t="str">
        <f aca="false">IF($B1132="","",IF(COUNTIFS($B$3:$B1132,$B1132)&gt;1,0,IFERROR(LOOKUP($K1132,배송비규정!$A$3:$A$32,배송비규정!$B$3:$B$32),0)+IFERROR(INDEX(지역추가비!$B$3:$B$42,MATCH($J1132,지역추가비!$A$3:$A$42,0)),0)))</f>
        <v/>
      </c>
      <c r="M1132" s="13" t="str">
        <f aca="false">IF($B1132="","",IF(COUNTIFS($B$3:$B1132,$B1132)&gt;1,"",$K1132+$L1132))</f>
        <v/>
      </c>
      <c r="N1132" s="14" t="str">
        <f aca="false">IF($B1132="","",COUNTIFS($B$3:$B1132,$B1132))</f>
        <v/>
      </c>
      <c r="O1132" s="14" t="str">
        <f aca="false">IF($B1132="","",$B1132&amp;"|"&amp;$N1132)</f>
        <v/>
      </c>
    </row>
    <row r="1133" customFormat="false" ht="15" hidden="false" customHeight="false" outlineLevel="0" collapsed="false">
      <c r="A1133" s="12"/>
      <c r="B1133" s="9"/>
      <c r="C1133" s="9"/>
      <c r="D1133" s="9"/>
      <c r="E1133" s="9"/>
      <c r="F1133" s="9"/>
      <c r="G1133" s="9"/>
      <c r="H1133" s="7"/>
      <c r="I1133" s="13" t="str">
        <f aca="false">IF(OR($G1133="",$H1133=""),"",ROUND($G1133*$H1133,0))</f>
        <v/>
      </c>
      <c r="J1133" s="8"/>
      <c r="K1133" s="13" t="str">
        <f aca="false">IF($B1133="","",SUMIFS($I$3:$I$2002,$B$3:$B$2002,$B1133))</f>
        <v/>
      </c>
      <c r="L1133" s="13" t="str">
        <f aca="false">IF($B1133="","",IF(COUNTIFS($B$3:$B1133,$B1133)&gt;1,0,IFERROR(LOOKUP($K1133,배송비규정!$A$3:$A$32,배송비규정!$B$3:$B$32),0)+IFERROR(INDEX(지역추가비!$B$3:$B$42,MATCH($J1133,지역추가비!$A$3:$A$42,0)),0)))</f>
        <v/>
      </c>
      <c r="M1133" s="13" t="str">
        <f aca="false">IF($B1133="","",IF(COUNTIFS($B$3:$B1133,$B1133)&gt;1,"",$K1133+$L1133))</f>
        <v/>
      </c>
      <c r="N1133" s="14" t="str">
        <f aca="false">IF($B1133="","",COUNTIFS($B$3:$B1133,$B1133))</f>
        <v/>
      </c>
      <c r="O1133" s="14" t="str">
        <f aca="false">IF($B1133="","",$B1133&amp;"|"&amp;$N1133)</f>
        <v/>
      </c>
    </row>
    <row r="1134" customFormat="false" ht="15" hidden="false" customHeight="false" outlineLevel="0" collapsed="false">
      <c r="A1134" s="12"/>
      <c r="B1134" s="9"/>
      <c r="C1134" s="9"/>
      <c r="D1134" s="9"/>
      <c r="E1134" s="9"/>
      <c r="F1134" s="9"/>
      <c r="G1134" s="9"/>
      <c r="H1134" s="7"/>
      <c r="I1134" s="13" t="str">
        <f aca="false">IF(OR($G1134="",$H1134=""),"",ROUND($G1134*$H1134,0))</f>
        <v/>
      </c>
      <c r="J1134" s="8"/>
      <c r="K1134" s="13" t="str">
        <f aca="false">IF($B1134="","",SUMIFS($I$3:$I$2002,$B$3:$B$2002,$B1134))</f>
        <v/>
      </c>
      <c r="L1134" s="13" t="str">
        <f aca="false">IF($B1134="","",IF(COUNTIFS($B$3:$B1134,$B1134)&gt;1,0,IFERROR(LOOKUP($K1134,배송비규정!$A$3:$A$32,배송비규정!$B$3:$B$32),0)+IFERROR(INDEX(지역추가비!$B$3:$B$42,MATCH($J1134,지역추가비!$A$3:$A$42,0)),0)))</f>
        <v/>
      </c>
      <c r="M1134" s="13" t="str">
        <f aca="false">IF($B1134="","",IF(COUNTIFS($B$3:$B1134,$B1134)&gt;1,"",$K1134+$L1134))</f>
        <v/>
      </c>
      <c r="N1134" s="14" t="str">
        <f aca="false">IF($B1134="","",COUNTIFS($B$3:$B1134,$B1134))</f>
        <v/>
      </c>
      <c r="O1134" s="14" t="str">
        <f aca="false">IF($B1134="","",$B1134&amp;"|"&amp;$N1134)</f>
        <v/>
      </c>
    </row>
    <row r="1135" customFormat="false" ht="15" hidden="false" customHeight="false" outlineLevel="0" collapsed="false">
      <c r="A1135" s="12"/>
      <c r="B1135" s="9"/>
      <c r="C1135" s="9"/>
      <c r="D1135" s="9"/>
      <c r="E1135" s="9"/>
      <c r="F1135" s="9"/>
      <c r="G1135" s="9"/>
      <c r="H1135" s="7"/>
      <c r="I1135" s="13" t="str">
        <f aca="false">IF(OR($G1135="",$H1135=""),"",ROUND($G1135*$H1135,0))</f>
        <v/>
      </c>
      <c r="J1135" s="8"/>
      <c r="K1135" s="13" t="str">
        <f aca="false">IF($B1135="","",SUMIFS($I$3:$I$2002,$B$3:$B$2002,$B1135))</f>
        <v/>
      </c>
      <c r="L1135" s="13" t="str">
        <f aca="false">IF($B1135="","",IF(COUNTIFS($B$3:$B1135,$B1135)&gt;1,0,IFERROR(LOOKUP($K1135,배송비규정!$A$3:$A$32,배송비규정!$B$3:$B$32),0)+IFERROR(INDEX(지역추가비!$B$3:$B$42,MATCH($J1135,지역추가비!$A$3:$A$42,0)),0)))</f>
        <v/>
      </c>
      <c r="M1135" s="13" t="str">
        <f aca="false">IF($B1135="","",IF(COUNTIFS($B$3:$B1135,$B1135)&gt;1,"",$K1135+$L1135))</f>
        <v/>
      </c>
      <c r="N1135" s="14" t="str">
        <f aca="false">IF($B1135="","",COUNTIFS($B$3:$B1135,$B1135))</f>
        <v/>
      </c>
      <c r="O1135" s="14" t="str">
        <f aca="false">IF($B1135="","",$B1135&amp;"|"&amp;$N1135)</f>
        <v/>
      </c>
    </row>
    <row r="1136" customFormat="false" ht="15" hidden="false" customHeight="false" outlineLevel="0" collapsed="false">
      <c r="A1136" s="12"/>
      <c r="B1136" s="9"/>
      <c r="C1136" s="9"/>
      <c r="D1136" s="9"/>
      <c r="E1136" s="9"/>
      <c r="F1136" s="9"/>
      <c r="G1136" s="9"/>
      <c r="H1136" s="7"/>
      <c r="I1136" s="13" t="str">
        <f aca="false">IF(OR($G1136="",$H1136=""),"",ROUND($G1136*$H1136,0))</f>
        <v/>
      </c>
      <c r="J1136" s="8"/>
      <c r="K1136" s="13" t="str">
        <f aca="false">IF($B1136="","",SUMIFS($I$3:$I$2002,$B$3:$B$2002,$B1136))</f>
        <v/>
      </c>
      <c r="L1136" s="13" t="str">
        <f aca="false">IF($B1136="","",IF(COUNTIFS($B$3:$B1136,$B1136)&gt;1,0,IFERROR(LOOKUP($K1136,배송비규정!$A$3:$A$32,배송비규정!$B$3:$B$32),0)+IFERROR(INDEX(지역추가비!$B$3:$B$42,MATCH($J1136,지역추가비!$A$3:$A$42,0)),0)))</f>
        <v/>
      </c>
      <c r="M1136" s="13" t="str">
        <f aca="false">IF($B1136="","",IF(COUNTIFS($B$3:$B1136,$B1136)&gt;1,"",$K1136+$L1136))</f>
        <v/>
      </c>
      <c r="N1136" s="14" t="str">
        <f aca="false">IF($B1136="","",COUNTIFS($B$3:$B1136,$B1136))</f>
        <v/>
      </c>
      <c r="O1136" s="14" t="str">
        <f aca="false">IF($B1136="","",$B1136&amp;"|"&amp;$N1136)</f>
        <v/>
      </c>
    </row>
    <row r="1137" customFormat="false" ht="15" hidden="false" customHeight="false" outlineLevel="0" collapsed="false">
      <c r="A1137" s="12"/>
      <c r="B1137" s="9"/>
      <c r="C1137" s="9"/>
      <c r="D1137" s="9"/>
      <c r="E1137" s="9"/>
      <c r="F1137" s="9"/>
      <c r="G1137" s="9"/>
      <c r="H1137" s="7"/>
      <c r="I1137" s="13" t="str">
        <f aca="false">IF(OR($G1137="",$H1137=""),"",ROUND($G1137*$H1137,0))</f>
        <v/>
      </c>
      <c r="J1137" s="8"/>
      <c r="K1137" s="13" t="str">
        <f aca="false">IF($B1137="","",SUMIFS($I$3:$I$2002,$B$3:$B$2002,$B1137))</f>
        <v/>
      </c>
      <c r="L1137" s="13" t="str">
        <f aca="false">IF($B1137="","",IF(COUNTIFS($B$3:$B1137,$B1137)&gt;1,0,IFERROR(LOOKUP($K1137,배송비규정!$A$3:$A$32,배송비규정!$B$3:$B$32),0)+IFERROR(INDEX(지역추가비!$B$3:$B$42,MATCH($J1137,지역추가비!$A$3:$A$42,0)),0)))</f>
        <v/>
      </c>
      <c r="M1137" s="13" t="str">
        <f aca="false">IF($B1137="","",IF(COUNTIFS($B$3:$B1137,$B1137)&gt;1,"",$K1137+$L1137))</f>
        <v/>
      </c>
      <c r="N1137" s="14" t="str">
        <f aca="false">IF($B1137="","",COUNTIFS($B$3:$B1137,$B1137))</f>
        <v/>
      </c>
      <c r="O1137" s="14" t="str">
        <f aca="false">IF($B1137="","",$B1137&amp;"|"&amp;$N1137)</f>
        <v/>
      </c>
    </row>
    <row r="1138" customFormat="false" ht="15" hidden="false" customHeight="false" outlineLevel="0" collapsed="false">
      <c r="A1138" s="12"/>
      <c r="B1138" s="9"/>
      <c r="C1138" s="9"/>
      <c r="D1138" s="9"/>
      <c r="E1138" s="9"/>
      <c r="F1138" s="9"/>
      <c r="G1138" s="9"/>
      <c r="H1138" s="7"/>
      <c r="I1138" s="13" t="str">
        <f aca="false">IF(OR($G1138="",$H1138=""),"",ROUND($G1138*$H1138,0))</f>
        <v/>
      </c>
      <c r="J1138" s="8"/>
      <c r="K1138" s="13" t="str">
        <f aca="false">IF($B1138="","",SUMIFS($I$3:$I$2002,$B$3:$B$2002,$B1138))</f>
        <v/>
      </c>
      <c r="L1138" s="13" t="str">
        <f aca="false">IF($B1138="","",IF(COUNTIFS($B$3:$B1138,$B1138)&gt;1,0,IFERROR(LOOKUP($K1138,배송비규정!$A$3:$A$32,배송비규정!$B$3:$B$32),0)+IFERROR(INDEX(지역추가비!$B$3:$B$42,MATCH($J1138,지역추가비!$A$3:$A$42,0)),0)))</f>
        <v/>
      </c>
      <c r="M1138" s="13" t="str">
        <f aca="false">IF($B1138="","",IF(COUNTIFS($B$3:$B1138,$B1138)&gt;1,"",$K1138+$L1138))</f>
        <v/>
      </c>
      <c r="N1138" s="14" t="str">
        <f aca="false">IF($B1138="","",COUNTIFS($B$3:$B1138,$B1138))</f>
        <v/>
      </c>
      <c r="O1138" s="14" t="str">
        <f aca="false">IF($B1138="","",$B1138&amp;"|"&amp;$N1138)</f>
        <v/>
      </c>
    </row>
    <row r="1139" customFormat="false" ht="15" hidden="false" customHeight="false" outlineLevel="0" collapsed="false">
      <c r="A1139" s="12"/>
      <c r="B1139" s="9"/>
      <c r="C1139" s="9"/>
      <c r="D1139" s="9"/>
      <c r="E1139" s="9"/>
      <c r="F1139" s="9"/>
      <c r="G1139" s="9"/>
      <c r="H1139" s="7"/>
      <c r="I1139" s="13" t="str">
        <f aca="false">IF(OR($G1139="",$H1139=""),"",ROUND($G1139*$H1139,0))</f>
        <v/>
      </c>
      <c r="J1139" s="8"/>
      <c r="K1139" s="13" t="str">
        <f aca="false">IF($B1139="","",SUMIFS($I$3:$I$2002,$B$3:$B$2002,$B1139))</f>
        <v/>
      </c>
      <c r="L1139" s="13" t="str">
        <f aca="false">IF($B1139="","",IF(COUNTIFS($B$3:$B1139,$B1139)&gt;1,0,IFERROR(LOOKUP($K1139,배송비규정!$A$3:$A$32,배송비규정!$B$3:$B$32),0)+IFERROR(INDEX(지역추가비!$B$3:$B$42,MATCH($J1139,지역추가비!$A$3:$A$42,0)),0)))</f>
        <v/>
      </c>
      <c r="M1139" s="13" t="str">
        <f aca="false">IF($B1139="","",IF(COUNTIFS($B$3:$B1139,$B1139)&gt;1,"",$K1139+$L1139))</f>
        <v/>
      </c>
      <c r="N1139" s="14" t="str">
        <f aca="false">IF($B1139="","",COUNTIFS($B$3:$B1139,$B1139))</f>
        <v/>
      </c>
      <c r="O1139" s="14" t="str">
        <f aca="false">IF($B1139="","",$B1139&amp;"|"&amp;$N1139)</f>
        <v/>
      </c>
    </row>
    <row r="1140" customFormat="false" ht="15" hidden="false" customHeight="false" outlineLevel="0" collapsed="false">
      <c r="A1140" s="12"/>
      <c r="B1140" s="9"/>
      <c r="C1140" s="9"/>
      <c r="D1140" s="9"/>
      <c r="E1140" s="9"/>
      <c r="F1140" s="9"/>
      <c r="G1140" s="9"/>
      <c r="H1140" s="7"/>
      <c r="I1140" s="13" t="str">
        <f aca="false">IF(OR($G1140="",$H1140=""),"",ROUND($G1140*$H1140,0))</f>
        <v/>
      </c>
      <c r="J1140" s="8"/>
      <c r="K1140" s="13" t="str">
        <f aca="false">IF($B1140="","",SUMIFS($I$3:$I$2002,$B$3:$B$2002,$B1140))</f>
        <v/>
      </c>
      <c r="L1140" s="13" t="str">
        <f aca="false">IF($B1140="","",IF(COUNTIFS($B$3:$B1140,$B1140)&gt;1,0,IFERROR(LOOKUP($K1140,배송비규정!$A$3:$A$32,배송비규정!$B$3:$B$32),0)+IFERROR(INDEX(지역추가비!$B$3:$B$42,MATCH($J1140,지역추가비!$A$3:$A$42,0)),0)))</f>
        <v/>
      </c>
      <c r="M1140" s="13" t="str">
        <f aca="false">IF($B1140="","",IF(COUNTIFS($B$3:$B1140,$B1140)&gt;1,"",$K1140+$L1140))</f>
        <v/>
      </c>
      <c r="N1140" s="14" t="str">
        <f aca="false">IF($B1140="","",COUNTIFS($B$3:$B1140,$B1140))</f>
        <v/>
      </c>
      <c r="O1140" s="14" t="str">
        <f aca="false">IF($B1140="","",$B1140&amp;"|"&amp;$N1140)</f>
        <v/>
      </c>
    </row>
    <row r="1141" customFormat="false" ht="15" hidden="false" customHeight="false" outlineLevel="0" collapsed="false">
      <c r="A1141" s="12"/>
      <c r="B1141" s="9"/>
      <c r="C1141" s="9"/>
      <c r="D1141" s="9"/>
      <c r="E1141" s="9"/>
      <c r="F1141" s="9"/>
      <c r="G1141" s="9"/>
      <c r="H1141" s="7"/>
      <c r="I1141" s="13" t="str">
        <f aca="false">IF(OR($G1141="",$H1141=""),"",ROUND($G1141*$H1141,0))</f>
        <v/>
      </c>
      <c r="J1141" s="8"/>
      <c r="K1141" s="13" t="str">
        <f aca="false">IF($B1141="","",SUMIFS($I$3:$I$2002,$B$3:$B$2002,$B1141))</f>
        <v/>
      </c>
      <c r="L1141" s="13" t="str">
        <f aca="false">IF($B1141="","",IF(COUNTIFS($B$3:$B1141,$B1141)&gt;1,0,IFERROR(LOOKUP($K1141,배송비규정!$A$3:$A$32,배송비규정!$B$3:$B$32),0)+IFERROR(INDEX(지역추가비!$B$3:$B$42,MATCH($J1141,지역추가비!$A$3:$A$42,0)),0)))</f>
        <v/>
      </c>
      <c r="M1141" s="13" t="str">
        <f aca="false">IF($B1141="","",IF(COUNTIFS($B$3:$B1141,$B1141)&gt;1,"",$K1141+$L1141))</f>
        <v/>
      </c>
      <c r="N1141" s="14" t="str">
        <f aca="false">IF($B1141="","",COUNTIFS($B$3:$B1141,$B1141))</f>
        <v/>
      </c>
      <c r="O1141" s="14" t="str">
        <f aca="false">IF($B1141="","",$B1141&amp;"|"&amp;$N1141)</f>
        <v/>
      </c>
    </row>
    <row r="1142" customFormat="false" ht="15" hidden="false" customHeight="false" outlineLevel="0" collapsed="false">
      <c r="A1142" s="12"/>
      <c r="B1142" s="9"/>
      <c r="C1142" s="9"/>
      <c r="D1142" s="9"/>
      <c r="E1142" s="9"/>
      <c r="F1142" s="9"/>
      <c r="G1142" s="9"/>
      <c r="H1142" s="7"/>
      <c r="I1142" s="13" t="str">
        <f aca="false">IF(OR($G1142="",$H1142=""),"",ROUND($G1142*$H1142,0))</f>
        <v/>
      </c>
      <c r="J1142" s="8"/>
      <c r="K1142" s="13" t="str">
        <f aca="false">IF($B1142="","",SUMIFS($I$3:$I$2002,$B$3:$B$2002,$B1142))</f>
        <v/>
      </c>
      <c r="L1142" s="13" t="str">
        <f aca="false">IF($B1142="","",IF(COUNTIFS($B$3:$B1142,$B1142)&gt;1,0,IFERROR(LOOKUP($K1142,배송비규정!$A$3:$A$32,배송비규정!$B$3:$B$32),0)+IFERROR(INDEX(지역추가비!$B$3:$B$42,MATCH($J1142,지역추가비!$A$3:$A$42,0)),0)))</f>
        <v/>
      </c>
      <c r="M1142" s="13" t="str">
        <f aca="false">IF($B1142="","",IF(COUNTIFS($B$3:$B1142,$B1142)&gt;1,"",$K1142+$L1142))</f>
        <v/>
      </c>
      <c r="N1142" s="14" t="str">
        <f aca="false">IF($B1142="","",COUNTIFS($B$3:$B1142,$B1142))</f>
        <v/>
      </c>
      <c r="O1142" s="14" t="str">
        <f aca="false">IF($B1142="","",$B1142&amp;"|"&amp;$N1142)</f>
        <v/>
      </c>
    </row>
    <row r="1143" customFormat="false" ht="15" hidden="false" customHeight="false" outlineLevel="0" collapsed="false">
      <c r="A1143" s="12"/>
      <c r="B1143" s="9"/>
      <c r="C1143" s="9"/>
      <c r="D1143" s="9"/>
      <c r="E1143" s="9"/>
      <c r="F1143" s="9"/>
      <c r="G1143" s="9"/>
      <c r="H1143" s="7"/>
      <c r="I1143" s="13" t="str">
        <f aca="false">IF(OR($G1143="",$H1143=""),"",ROUND($G1143*$H1143,0))</f>
        <v/>
      </c>
      <c r="J1143" s="8"/>
      <c r="K1143" s="13" t="str">
        <f aca="false">IF($B1143="","",SUMIFS($I$3:$I$2002,$B$3:$B$2002,$B1143))</f>
        <v/>
      </c>
      <c r="L1143" s="13" t="str">
        <f aca="false">IF($B1143="","",IF(COUNTIFS($B$3:$B1143,$B1143)&gt;1,0,IFERROR(LOOKUP($K1143,배송비규정!$A$3:$A$32,배송비규정!$B$3:$B$32),0)+IFERROR(INDEX(지역추가비!$B$3:$B$42,MATCH($J1143,지역추가비!$A$3:$A$42,0)),0)))</f>
        <v/>
      </c>
      <c r="M1143" s="13" t="str">
        <f aca="false">IF($B1143="","",IF(COUNTIFS($B$3:$B1143,$B1143)&gt;1,"",$K1143+$L1143))</f>
        <v/>
      </c>
      <c r="N1143" s="14" t="str">
        <f aca="false">IF($B1143="","",COUNTIFS($B$3:$B1143,$B1143))</f>
        <v/>
      </c>
      <c r="O1143" s="14" t="str">
        <f aca="false">IF($B1143="","",$B1143&amp;"|"&amp;$N1143)</f>
        <v/>
      </c>
    </row>
    <row r="1144" customFormat="false" ht="15" hidden="false" customHeight="false" outlineLevel="0" collapsed="false">
      <c r="A1144" s="12"/>
      <c r="B1144" s="9"/>
      <c r="C1144" s="9"/>
      <c r="D1144" s="9"/>
      <c r="E1144" s="9"/>
      <c r="F1144" s="9"/>
      <c r="G1144" s="9"/>
      <c r="H1144" s="7"/>
      <c r="I1144" s="13" t="str">
        <f aca="false">IF(OR($G1144="",$H1144=""),"",ROUND($G1144*$H1144,0))</f>
        <v/>
      </c>
      <c r="J1144" s="8"/>
      <c r="K1144" s="13" t="str">
        <f aca="false">IF($B1144="","",SUMIFS($I$3:$I$2002,$B$3:$B$2002,$B1144))</f>
        <v/>
      </c>
      <c r="L1144" s="13" t="str">
        <f aca="false">IF($B1144="","",IF(COUNTIFS($B$3:$B1144,$B1144)&gt;1,0,IFERROR(LOOKUP($K1144,배송비규정!$A$3:$A$32,배송비규정!$B$3:$B$32),0)+IFERROR(INDEX(지역추가비!$B$3:$B$42,MATCH($J1144,지역추가비!$A$3:$A$42,0)),0)))</f>
        <v/>
      </c>
      <c r="M1144" s="13" t="str">
        <f aca="false">IF($B1144="","",IF(COUNTIFS($B$3:$B1144,$B1144)&gt;1,"",$K1144+$L1144))</f>
        <v/>
      </c>
      <c r="N1144" s="14" t="str">
        <f aca="false">IF($B1144="","",COUNTIFS($B$3:$B1144,$B1144))</f>
        <v/>
      </c>
      <c r="O1144" s="14" t="str">
        <f aca="false">IF($B1144="","",$B1144&amp;"|"&amp;$N1144)</f>
        <v/>
      </c>
    </row>
    <row r="1145" customFormat="false" ht="15" hidden="false" customHeight="false" outlineLevel="0" collapsed="false">
      <c r="A1145" s="12"/>
      <c r="B1145" s="9"/>
      <c r="C1145" s="9"/>
      <c r="D1145" s="9"/>
      <c r="E1145" s="9"/>
      <c r="F1145" s="9"/>
      <c r="G1145" s="9"/>
      <c r="H1145" s="7"/>
      <c r="I1145" s="13" t="str">
        <f aca="false">IF(OR($G1145="",$H1145=""),"",ROUND($G1145*$H1145,0))</f>
        <v/>
      </c>
      <c r="J1145" s="8"/>
      <c r="K1145" s="13" t="str">
        <f aca="false">IF($B1145="","",SUMIFS($I$3:$I$2002,$B$3:$B$2002,$B1145))</f>
        <v/>
      </c>
      <c r="L1145" s="13" t="str">
        <f aca="false">IF($B1145="","",IF(COUNTIFS($B$3:$B1145,$B1145)&gt;1,0,IFERROR(LOOKUP($K1145,배송비규정!$A$3:$A$32,배송비규정!$B$3:$B$32),0)+IFERROR(INDEX(지역추가비!$B$3:$B$42,MATCH($J1145,지역추가비!$A$3:$A$42,0)),0)))</f>
        <v/>
      </c>
      <c r="M1145" s="13" t="str">
        <f aca="false">IF($B1145="","",IF(COUNTIFS($B$3:$B1145,$B1145)&gt;1,"",$K1145+$L1145))</f>
        <v/>
      </c>
      <c r="N1145" s="14" t="str">
        <f aca="false">IF($B1145="","",COUNTIFS($B$3:$B1145,$B1145))</f>
        <v/>
      </c>
      <c r="O1145" s="14" t="str">
        <f aca="false">IF($B1145="","",$B1145&amp;"|"&amp;$N1145)</f>
        <v/>
      </c>
    </row>
    <row r="1146" customFormat="false" ht="15" hidden="false" customHeight="false" outlineLevel="0" collapsed="false">
      <c r="A1146" s="12"/>
      <c r="B1146" s="9"/>
      <c r="C1146" s="9"/>
      <c r="D1146" s="9"/>
      <c r="E1146" s="9"/>
      <c r="F1146" s="9"/>
      <c r="G1146" s="9"/>
      <c r="H1146" s="7"/>
      <c r="I1146" s="13" t="str">
        <f aca="false">IF(OR($G1146="",$H1146=""),"",ROUND($G1146*$H1146,0))</f>
        <v/>
      </c>
      <c r="J1146" s="8"/>
      <c r="K1146" s="13" t="str">
        <f aca="false">IF($B1146="","",SUMIFS($I$3:$I$2002,$B$3:$B$2002,$B1146))</f>
        <v/>
      </c>
      <c r="L1146" s="13" t="str">
        <f aca="false">IF($B1146="","",IF(COUNTIFS($B$3:$B1146,$B1146)&gt;1,0,IFERROR(LOOKUP($K1146,배송비규정!$A$3:$A$32,배송비규정!$B$3:$B$32),0)+IFERROR(INDEX(지역추가비!$B$3:$B$42,MATCH($J1146,지역추가비!$A$3:$A$42,0)),0)))</f>
        <v/>
      </c>
      <c r="M1146" s="13" t="str">
        <f aca="false">IF($B1146="","",IF(COUNTIFS($B$3:$B1146,$B1146)&gt;1,"",$K1146+$L1146))</f>
        <v/>
      </c>
      <c r="N1146" s="14" t="str">
        <f aca="false">IF($B1146="","",COUNTIFS($B$3:$B1146,$B1146))</f>
        <v/>
      </c>
      <c r="O1146" s="14" t="str">
        <f aca="false">IF($B1146="","",$B1146&amp;"|"&amp;$N1146)</f>
        <v/>
      </c>
    </row>
    <row r="1147" customFormat="false" ht="15" hidden="false" customHeight="false" outlineLevel="0" collapsed="false">
      <c r="A1147" s="12"/>
      <c r="B1147" s="9"/>
      <c r="C1147" s="9"/>
      <c r="D1147" s="9"/>
      <c r="E1147" s="9"/>
      <c r="F1147" s="9"/>
      <c r="G1147" s="9"/>
      <c r="H1147" s="7"/>
      <c r="I1147" s="13" t="str">
        <f aca="false">IF(OR($G1147="",$H1147=""),"",ROUND($G1147*$H1147,0))</f>
        <v/>
      </c>
      <c r="J1147" s="8"/>
      <c r="K1147" s="13" t="str">
        <f aca="false">IF($B1147="","",SUMIFS($I$3:$I$2002,$B$3:$B$2002,$B1147))</f>
        <v/>
      </c>
      <c r="L1147" s="13" t="str">
        <f aca="false">IF($B1147="","",IF(COUNTIFS($B$3:$B1147,$B1147)&gt;1,0,IFERROR(LOOKUP($K1147,배송비규정!$A$3:$A$32,배송비규정!$B$3:$B$32),0)+IFERROR(INDEX(지역추가비!$B$3:$B$42,MATCH($J1147,지역추가비!$A$3:$A$42,0)),0)))</f>
        <v/>
      </c>
      <c r="M1147" s="13" t="str">
        <f aca="false">IF($B1147="","",IF(COUNTIFS($B$3:$B1147,$B1147)&gt;1,"",$K1147+$L1147))</f>
        <v/>
      </c>
      <c r="N1147" s="14" t="str">
        <f aca="false">IF($B1147="","",COUNTIFS($B$3:$B1147,$B1147))</f>
        <v/>
      </c>
      <c r="O1147" s="14" t="str">
        <f aca="false">IF($B1147="","",$B1147&amp;"|"&amp;$N1147)</f>
        <v/>
      </c>
    </row>
    <row r="1148" customFormat="false" ht="15" hidden="false" customHeight="false" outlineLevel="0" collapsed="false">
      <c r="A1148" s="12"/>
      <c r="B1148" s="9"/>
      <c r="C1148" s="9"/>
      <c r="D1148" s="9"/>
      <c r="E1148" s="9"/>
      <c r="F1148" s="9"/>
      <c r="G1148" s="9"/>
      <c r="H1148" s="7"/>
      <c r="I1148" s="13" t="str">
        <f aca="false">IF(OR($G1148="",$H1148=""),"",ROUND($G1148*$H1148,0))</f>
        <v/>
      </c>
      <c r="J1148" s="8"/>
      <c r="K1148" s="13" t="str">
        <f aca="false">IF($B1148="","",SUMIFS($I$3:$I$2002,$B$3:$B$2002,$B1148))</f>
        <v/>
      </c>
      <c r="L1148" s="13" t="str">
        <f aca="false">IF($B1148="","",IF(COUNTIFS($B$3:$B1148,$B1148)&gt;1,0,IFERROR(LOOKUP($K1148,배송비규정!$A$3:$A$32,배송비규정!$B$3:$B$32),0)+IFERROR(INDEX(지역추가비!$B$3:$B$42,MATCH($J1148,지역추가비!$A$3:$A$42,0)),0)))</f>
        <v/>
      </c>
      <c r="M1148" s="13" t="str">
        <f aca="false">IF($B1148="","",IF(COUNTIFS($B$3:$B1148,$B1148)&gt;1,"",$K1148+$L1148))</f>
        <v/>
      </c>
      <c r="N1148" s="14" t="str">
        <f aca="false">IF($B1148="","",COUNTIFS($B$3:$B1148,$B1148))</f>
        <v/>
      </c>
      <c r="O1148" s="14" t="str">
        <f aca="false">IF($B1148="","",$B1148&amp;"|"&amp;$N1148)</f>
        <v/>
      </c>
    </row>
    <row r="1149" customFormat="false" ht="15" hidden="false" customHeight="false" outlineLevel="0" collapsed="false">
      <c r="A1149" s="12"/>
      <c r="B1149" s="9"/>
      <c r="C1149" s="9"/>
      <c r="D1149" s="9"/>
      <c r="E1149" s="9"/>
      <c r="F1149" s="9"/>
      <c r="G1149" s="9"/>
      <c r="H1149" s="7"/>
      <c r="I1149" s="13" t="str">
        <f aca="false">IF(OR($G1149="",$H1149=""),"",ROUND($G1149*$H1149,0))</f>
        <v/>
      </c>
      <c r="J1149" s="8"/>
      <c r="K1149" s="13" t="str">
        <f aca="false">IF($B1149="","",SUMIFS($I$3:$I$2002,$B$3:$B$2002,$B1149))</f>
        <v/>
      </c>
      <c r="L1149" s="13" t="str">
        <f aca="false">IF($B1149="","",IF(COUNTIFS($B$3:$B1149,$B1149)&gt;1,0,IFERROR(LOOKUP($K1149,배송비규정!$A$3:$A$32,배송비규정!$B$3:$B$32),0)+IFERROR(INDEX(지역추가비!$B$3:$B$42,MATCH($J1149,지역추가비!$A$3:$A$42,0)),0)))</f>
        <v/>
      </c>
      <c r="M1149" s="13" t="str">
        <f aca="false">IF($B1149="","",IF(COUNTIFS($B$3:$B1149,$B1149)&gt;1,"",$K1149+$L1149))</f>
        <v/>
      </c>
      <c r="N1149" s="14" t="str">
        <f aca="false">IF($B1149="","",COUNTIFS($B$3:$B1149,$B1149))</f>
        <v/>
      </c>
      <c r="O1149" s="14" t="str">
        <f aca="false">IF($B1149="","",$B1149&amp;"|"&amp;$N1149)</f>
        <v/>
      </c>
    </row>
    <row r="1150" customFormat="false" ht="15" hidden="false" customHeight="false" outlineLevel="0" collapsed="false">
      <c r="A1150" s="12"/>
      <c r="B1150" s="9"/>
      <c r="C1150" s="9"/>
      <c r="D1150" s="9"/>
      <c r="E1150" s="9"/>
      <c r="F1150" s="9"/>
      <c r="G1150" s="9"/>
      <c r="H1150" s="7"/>
      <c r="I1150" s="13" t="str">
        <f aca="false">IF(OR($G1150="",$H1150=""),"",ROUND($G1150*$H1150,0))</f>
        <v/>
      </c>
      <c r="J1150" s="8"/>
      <c r="K1150" s="13" t="str">
        <f aca="false">IF($B1150="","",SUMIFS($I$3:$I$2002,$B$3:$B$2002,$B1150))</f>
        <v/>
      </c>
      <c r="L1150" s="13" t="str">
        <f aca="false">IF($B1150="","",IF(COUNTIFS($B$3:$B1150,$B1150)&gt;1,0,IFERROR(LOOKUP($K1150,배송비규정!$A$3:$A$32,배송비규정!$B$3:$B$32),0)+IFERROR(INDEX(지역추가비!$B$3:$B$42,MATCH($J1150,지역추가비!$A$3:$A$42,0)),0)))</f>
        <v/>
      </c>
      <c r="M1150" s="13" t="str">
        <f aca="false">IF($B1150="","",IF(COUNTIFS($B$3:$B1150,$B1150)&gt;1,"",$K1150+$L1150))</f>
        <v/>
      </c>
      <c r="N1150" s="14" t="str">
        <f aca="false">IF($B1150="","",COUNTIFS($B$3:$B1150,$B1150))</f>
        <v/>
      </c>
      <c r="O1150" s="14" t="str">
        <f aca="false">IF($B1150="","",$B1150&amp;"|"&amp;$N1150)</f>
        <v/>
      </c>
    </row>
    <row r="1151" customFormat="false" ht="15" hidden="false" customHeight="false" outlineLevel="0" collapsed="false">
      <c r="A1151" s="12"/>
      <c r="B1151" s="9"/>
      <c r="C1151" s="9"/>
      <c r="D1151" s="9"/>
      <c r="E1151" s="9"/>
      <c r="F1151" s="9"/>
      <c r="G1151" s="9"/>
      <c r="H1151" s="7"/>
      <c r="I1151" s="13" t="str">
        <f aca="false">IF(OR($G1151="",$H1151=""),"",ROUND($G1151*$H1151,0))</f>
        <v/>
      </c>
      <c r="J1151" s="8"/>
      <c r="K1151" s="13" t="str">
        <f aca="false">IF($B1151="","",SUMIFS($I$3:$I$2002,$B$3:$B$2002,$B1151))</f>
        <v/>
      </c>
      <c r="L1151" s="13" t="str">
        <f aca="false">IF($B1151="","",IF(COUNTIFS($B$3:$B1151,$B1151)&gt;1,0,IFERROR(LOOKUP($K1151,배송비규정!$A$3:$A$32,배송비규정!$B$3:$B$32),0)+IFERROR(INDEX(지역추가비!$B$3:$B$42,MATCH($J1151,지역추가비!$A$3:$A$42,0)),0)))</f>
        <v/>
      </c>
      <c r="M1151" s="13" t="str">
        <f aca="false">IF($B1151="","",IF(COUNTIFS($B$3:$B1151,$B1151)&gt;1,"",$K1151+$L1151))</f>
        <v/>
      </c>
      <c r="N1151" s="14" t="str">
        <f aca="false">IF($B1151="","",COUNTIFS($B$3:$B1151,$B1151))</f>
        <v/>
      </c>
      <c r="O1151" s="14" t="str">
        <f aca="false">IF($B1151="","",$B1151&amp;"|"&amp;$N1151)</f>
        <v/>
      </c>
    </row>
    <row r="1152" customFormat="false" ht="15" hidden="false" customHeight="false" outlineLevel="0" collapsed="false">
      <c r="A1152" s="12"/>
      <c r="B1152" s="9"/>
      <c r="C1152" s="9"/>
      <c r="D1152" s="9"/>
      <c r="E1152" s="9"/>
      <c r="F1152" s="9"/>
      <c r="G1152" s="9"/>
      <c r="H1152" s="7"/>
      <c r="I1152" s="13" t="str">
        <f aca="false">IF(OR($G1152="",$H1152=""),"",ROUND($G1152*$H1152,0))</f>
        <v/>
      </c>
      <c r="J1152" s="8"/>
      <c r="K1152" s="13" t="str">
        <f aca="false">IF($B1152="","",SUMIFS($I$3:$I$2002,$B$3:$B$2002,$B1152))</f>
        <v/>
      </c>
      <c r="L1152" s="13" t="str">
        <f aca="false">IF($B1152="","",IF(COUNTIFS($B$3:$B1152,$B1152)&gt;1,0,IFERROR(LOOKUP($K1152,배송비규정!$A$3:$A$32,배송비규정!$B$3:$B$32),0)+IFERROR(INDEX(지역추가비!$B$3:$B$42,MATCH($J1152,지역추가비!$A$3:$A$42,0)),0)))</f>
        <v/>
      </c>
      <c r="M1152" s="13" t="str">
        <f aca="false">IF($B1152="","",IF(COUNTIFS($B$3:$B1152,$B1152)&gt;1,"",$K1152+$L1152))</f>
        <v/>
      </c>
      <c r="N1152" s="14" t="str">
        <f aca="false">IF($B1152="","",COUNTIFS($B$3:$B1152,$B1152))</f>
        <v/>
      </c>
      <c r="O1152" s="14" t="str">
        <f aca="false">IF($B1152="","",$B1152&amp;"|"&amp;$N1152)</f>
        <v/>
      </c>
    </row>
    <row r="1153" customFormat="false" ht="15" hidden="false" customHeight="false" outlineLevel="0" collapsed="false">
      <c r="A1153" s="12"/>
      <c r="B1153" s="9"/>
      <c r="C1153" s="9"/>
      <c r="D1153" s="9"/>
      <c r="E1153" s="9"/>
      <c r="F1153" s="9"/>
      <c r="G1153" s="9"/>
      <c r="H1153" s="7"/>
      <c r="I1153" s="13" t="str">
        <f aca="false">IF(OR($G1153="",$H1153=""),"",ROUND($G1153*$H1153,0))</f>
        <v/>
      </c>
      <c r="J1153" s="8"/>
      <c r="K1153" s="13" t="str">
        <f aca="false">IF($B1153="","",SUMIFS($I$3:$I$2002,$B$3:$B$2002,$B1153))</f>
        <v/>
      </c>
      <c r="L1153" s="13" t="str">
        <f aca="false">IF($B1153="","",IF(COUNTIFS($B$3:$B1153,$B1153)&gt;1,0,IFERROR(LOOKUP($K1153,배송비규정!$A$3:$A$32,배송비규정!$B$3:$B$32),0)+IFERROR(INDEX(지역추가비!$B$3:$B$42,MATCH($J1153,지역추가비!$A$3:$A$42,0)),0)))</f>
        <v/>
      </c>
      <c r="M1153" s="13" t="str">
        <f aca="false">IF($B1153="","",IF(COUNTIFS($B$3:$B1153,$B1153)&gt;1,"",$K1153+$L1153))</f>
        <v/>
      </c>
      <c r="N1153" s="14" t="str">
        <f aca="false">IF($B1153="","",COUNTIFS($B$3:$B1153,$B1153))</f>
        <v/>
      </c>
      <c r="O1153" s="14" t="str">
        <f aca="false">IF($B1153="","",$B1153&amp;"|"&amp;$N1153)</f>
        <v/>
      </c>
    </row>
    <row r="1154" customFormat="false" ht="15" hidden="false" customHeight="false" outlineLevel="0" collapsed="false">
      <c r="A1154" s="12"/>
      <c r="B1154" s="9"/>
      <c r="C1154" s="9"/>
      <c r="D1154" s="9"/>
      <c r="E1154" s="9"/>
      <c r="F1154" s="9"/>
      <c r="G1154" s="9"/>
      <c r="H1154" s="7"/>
      <c r="I1154" s="13" t="str">
        <f aca="false">IF(OR($G1154="",$H1154=""),"",ROUND($G1154*$H1154,0))</f>
        <v/>
      </c>
      <c r="J1154" s="8"/>
      <c r="K1154" s="13" t="str">
        <f aca="false">IF($B1154="","",SUMIFS($I$3:$I$2002,$B$3:$B$2002,$B1154))</f>
        <v/>
      </c>
      <c r="L1154" s="13" t="str">
        <f aca="false">IF($B1154="","",IF(COUNTIFS($B$3:$B1154,$B1154)&gt;1,0,IFERROR(LOOKUP($K1154,배송비규정!$A$3:$A$32,배송비규정!$B$3:$B$32),0)+IFERROR(INDEX(지역추가비!$B$3:$B$42,MATCH($J1154,지역추가비!$A$3:$A$42,0)),0)))</f>
        <v/>
      </c>
      <c r="M1154" s="13" t="str">
        <f aca="false">IF($B1154="","",IF(COUNTIFS($B$3:$B1154,$B1154)&gt;1,"",$K1154+$L1154))</f>
        <v/>
      </c>
      <c r="N1154" s="14" t="str">
        <f aca="false">IF($B1154="","",COUNTIFS($B$3:$B1154,$B1154))</f>
        <v/>
      </c>
      <c r="O1154" s="14" t="str">
        <f aca="false">IF($B1154="","",$B1154&amp;"|"&amp;$N1154)</f>
        <v/>
      </c>
    </row>
    <row r="1155" customFormat="false" ht="15" hidden="false" customHeight="false" outlineLevel="0" collapsed="false">
      <c r="A1155" s="12"/>
      <c r="B1155" s="9"/>
      <c r="C1155" s="9"/>
      <c r="D1155" s="9"/>
      <c r="E1155" s="9"/>
      <c r="F1155" s="9"/>
      <c r="G1155" s="9"/>
      <c r="H1155" s="7"/>
      <c r="I1155" s="13" t="str">
        <f aca="false">IF(OR($G1155="",$H1155=""),"",ROUND($G1155*$H1155,0))</f>
        <v/>
      </c>
      <c r="J1155" s="8"/>
      <c r="K1155" s="13" t="str">
        <f aca="false">IF($B1155="","",SUMIFS($I$3:$I$2002,$B$3:$B$2002,$B1155))</f>
        <v/>
      </c>
      <c r="L1155" s="13" t="str">
        <f aca="false">IF($B1155="","",IF(COUNTIFS($B$3:$B1155,$B1155)&gt;1,0,IFERROR(LOOKUP($K1155,배송비규정!$A$3:$A$32,배송비규정!$B$3:$B$32),0)+IFERROR(INDEX(지역추가비!$B$3:$B$42,MATCH($J1155,지역추가비!$A$3:$A$42,0)),0)))</f>
        <v/>
      </c>
      <c r="M1155" s="13" t="str">
        <f aca="false">IF($B1155="","",IF(COUNTIFS($B$3:$B1155,$B1155)&gt;1,"",$K1155+$L1155))</f>
        <v/>
      </c>
      <c r="N1155" s="14" t="str">
        <f aca="false">IF($B1155="","",COUNTIFS($B$3:$B1155,$B1155))</f>
        <v/>
      </c>
      <c r="O1155" s="14" t="str">
        <f aca="false">IF($B1155="","",$B1155&amp;"|"&amp;$N1155)</f>
        <v/>
      </c>
    </row>
    <row r="1156" customFormat="false" ht="15" hidden="false" customHeight="false" outlineLevel="0" collapsed="false">
      <c r="A1156" s="12"/>
      <c r="B1156" s="9"/>
      <c r="C1156" s="9"/>
      <c r="D1156" s="9"/>
      <c r="E1156" s="9"/>
      <c r="F1156" s="9"/>
      <c r="G1156" s="9"/>
      <c r="H1156" s="7"/>
      <c r="I1156" s="13" t="str">
        <f aca="false">IF(OR($G1156="",$H1156=""),"",ROUND($G1156*$H1156,0))</f>
        <v/>
      </c>
      <c r="J1156" s="8"/>
      <c r="K1156" s="13" t="str">
        <f aca="false">IF($B1156="","",SUMIFS($I$3:$I$2002,$B$3:$B$2002,$B1156))</f>
        <v/>
      </c>
      <c r="L1156" s="13" t="str">
        <f aca="false">IF($B1156="","",IF(COUNTIFS($B$3:$B1156,$B1156)&gt;1,0,IFERROR(LOOKUP($K1156,배송비규정!$A$3:$A$32,배송비규정!$B$3:$B$32),0)+IFERROR(INDEX(지역추가비!$B$3:$B$42,MATCH($J1156,지역추가비!$A$3:$A$42,0)),0)))</f>
        <v/>
      </c>
      <c r="M1156" s="13" t="str">
        <f aca="false">IF($B1156="","",IF(COUNTIFS($B$3:$B1156,$B1156)&gt;1,"",$K1156+$L1156))</f>
        <v/>
      </c>
      <c r="N1156" s="14" t="str">
        <f aca="false">IF($B1156="","",COUNTIFS($B$3:$B1156,$B1156))</f>
        <v/>
      </c>
      <c r="O1156" s="14" t="str">
        <f aca="false">IF($B1156="","",$B1156&amp;"|"&amp;$N1156)</f>
        <v/>
      </c>
    </row>
    <row r="1157" customFormat="false" ht="15" hidden="false" customHeight="false" outlineLevel="0" collapsed="false">
      <c r="A1157" s="12"/>
      <c r="B1157" s="9"/>
      <c r="C1157" s="9"/>
      <c r="D1157" s="9"/>
      <c r="E1157" s="9"/>
      <c r="F1157" s="9"/>
      <c r="G1157" s="9"/>
      <c r="H1157" s="7"/>
      <c r="I1157" s="13" t="str">
        <f aca="false">IF(OR($G1157="",$H1157=""),"",ROUND($G1157*$H1157,0))</f>
        <v/>
      </c>
      <c r="J1157" s="8"/>
      <c r="K1157" s="13" t="str">
        <f aca="false">IF($B1157="","",SUMIFS($I$3:$I$2002,$B$3:$B$2002,$B1157))</f>
        <v/>
      </c>
      <c r="L1157" s="13" t="str">
        <f aca="false">IF($B1157="","",IF(COUNTIFS($B$3:$B1157,$B1157)&gt;1,0,IFERROR(LOOKUP($K1157,배송비규정!$A$3:$A$32,배송비규정!$B$3:$B$32),0)+IFERROR(INDEX(지역추가비!$B$3:$B$42,MATCH($J1157,지역추가비!$A$3:$A$42,0)),0)))</f>
        <v/>
      </c>
      <c r="M1157" s="13" t="str">
        <f aca="false">IF($B1157="","",IF(COUNTIFS($B$3:$B1157,$B1157)&gt;1,"",$K1157+$L1157))</f>
        <v/>
      </c>
      <c r="N1157" s="14" t="str">
        <f aca="false">IF($B1157="","",COUNTIFS($B$3:$B1157,$B1157))</f>
        <v/>
      </c>
      <c r="O1157" s="14" t="str">
        <f aca="false">IF($B1157="","",$B1157&amp;"|"&amp;$N1157)</f>
        <v/>
      </c>
    </row>
    <row r="1158" customFormat="false" ht="15" hidden="false" customHeight="false" outlineLevel="0" collapsed="false">
      <c r="A1158" s="12"/>
      <c r="B1158" s="9"/>
      <c r="C1158" s="9"/>
      <c r="D1158" s="9"/>
      <c r="E1158" s="9"/>
      <c r="F1158" s="9"/>
      <c r="G1158" s="9"/>
      <c r="H1158" s="7"/>
      <c r="I1158" s="13" t="str">
        <f aca="false">IF(OR($G1158="",$H1158=""),"",ROUND($G1158*$H1158,0))</f>
        <v/>
      </c>
      <c r="J1158" s="8"/>
      <c r="K1158" s="13" t="str">
        <f aca="false">IF($B1158="","",SUMIFS($I$3:$I$2002,$B$3:$B$2002,$B1158))</f>
        <v/>
      </c>
      <c r="L1158" s="13" t="str">
        <f aca="false">IF($B1158="","",IF(COUNTIFS($B$3:$B1158,$B1158)&gt;1,0,IFERROR(LOOKUP($K1158,배송비규정!$A$3:$A$32,배송비규정!$B$3:$B$32),0)+IFERROR(INDEX(지역추가비!$B$3:$B$42,MATCH($J1158,지역추가비!$A$3:$A$42,0)),0)))</f>
        <v/>
      </c>
      <c r="M1158" s="13" t="str">
        <f aca="false">IF($B1158="","",IF(COUNTIFS($B$3:$B1158,$B1158)&gt;1,"",$K1158+$L1158))</f>
        <v/>
      </c>
      <c r="N1158" s="14" t="str">
        <f aca="false">IF($B1158="","",COUNTIFS($B$3:$B1158,$B1158))</f>
        <v/>
      </c>
      <c r="O1158" s="14" t="str">
        <f aca="false">IF($B1158="","",$B1158&amp;"|"&amp;$N1158)</f>
        <v/>
      </c>
    </row>
    <row r="1159" customFormat="false" ht="15" hidden="false" customHeight="false" outlineLevel="0" collapsed="false">
      <c r="A1159" s="12"/>
      <c r="B1159" s="9"/>
      <c r="C1159" s="9"/>
      <c r="D1159" s="9"/>
      <c r="E1159" s="9"/>
      <c r="F1159" s="9"/>
      <c r="G1159" s="9"/>
      <c r="H1159" s="7"/>
      <c r="I1159" s="13" t="str">
        <f aca="false">IF(OR($G1159="",$H1159=""),"",ROUND($G1159*$H1159,0))</f>
        <v/>
      </c>
      <c r="J1159" s="8"/>
      <c r="K1159" s="13" t="str">
        <f aca="false">IF($B1159="","",SUMIFS($I$3:$I$2002,$B$3:$B$2002,$B1159))</f>
        <v/>
      </c>
      <c r="L1159" s="13" t="str">
        <f aca="false">IF($B1159="","",IF(COUNTIFS($B$3:$B1159,$B1159)&gt;1,0,IFERROR(LOOKUP($K1159,배송비규정!$A$3:$A$32,배송비규정!$B$3:$B$32),0)+IFERROR(INDEX(지역추가비!$B$3:$B$42,MATCH($J1159,지역추가비!$A$3:$A$42,0)),0)))</f>
        <v/>
      </c>
      <c r="M1159" s="13" t="str">
        <f aca="false">IF($B1159="","",IF(COUNTIFS($B$3:$B1159,$B1159)&gt;1,"",$K1159+$L1159))</f>
        <v/>
      </c>
      <c r="N1159" s="14" t="str">
        <f aca="false">IF($B1159="","",COUNTIFS($B$3:$B1159,$B1159))</f>
        <v/>
      </c>
      <c r="O1159" s="14" t="str">
        <f aca="false">IF($B1159="","",$B1159&amp;"|"&amp;$N1159)</f>
        <v/>
      </c>
    </row>
    <row r="1160" customFormat="false" ht="15" hidden="false" customHeight="false" outlineLevel="0" collapsed="false">
      <c r="A1160" s="12"/>
      <c r="B1160" s="9"/>
      <c r="C1160" s="9"/>
      <c r="D1160" s="9"/>
      <c r="E1160" s="9"/>
      <c r="F1160" s="9"/>
      <c r="G1160" s="9"/>
      <c r="H1160" s="7"/>
      <c r="I1160" s="13" t="str">
        <f aca="false">IF(OR($G1160="",$H1160=""),"",ROUND($G1160*$H1160,0))</f>
        <v/>
      </c>
      <c r="J1160" s="8"/>
      <c r="K1160" s="13" t="str">
        <f aca="false">IF($B1160="","",SUMIFS($I$3:$I$2002,$B$3:$B$2002,$B1160))</f>
        <v/>
      </c>
      <c r="L1160" s="13" t="str">
        <f aca="false">IF($B1160="","",IF(COUNTIFS($B$3:$B1160,$B1160)&gt;1,0,IFERROR(LOOKUP($K1160,배송비규정!$A$3:$A$32,배송비규정!$B$3:$B$32),0)+IFERROR(INDEX(지역추가비!$B$3:$B$42,MATCH($J1160,지역추가비!$A$3:$A$42,0)),0)))</f>
        <v/>
      </c>
      <c r="M1160" s="13" t="str">
        <f aca="false">IF($B1160="","",IF(COUNTIFS($B$3:$B1160,$B1160)&gt;1,"",$K1160+$L1160))</f>
        <v/>
      </c>
      <c r="N1160" s="14" t="str">
        <f aca="false">IF($B1160="","",COUNTIFS($B$3:$B1160,$B1160))</f>
        <v/>
      </c>
      <c r="O1160" s="14" t="str">
        <f aca="false">IF($B1160="","",$B1160&amp;"|"&amp;$N1160)</f>
        <v/>
      </c>
    </row>
    <row r="1161" customFormat="false" ht="15" hidden="false" customHeight="false" outlineLevel="0" collapsed="false">
      <c r="A1161" s="12"/>
      <c r="B1161" s="9"/>
      <c r="C1161" s="9"/>
      <c r="D1161" s="9"/>
      <c r="E1161" s="9"/>
      <c r="F1161" s="9"/>
      <c r="G1161" s="9"/>
      <c r="H1161" s="7"/>
      <c r="I1161" s="13" t="str">
        <f aca="false">IF(OR($G1161="",$H1161=""),"",ROUND($G1161*$H1161,0))</f>
        <v/>
      </c>
      <c r="J1161" s="8"/>
      <c r="K1161" s="13" t="str">
        <f aca="false">IF($B1161="","",SUMIFS($I$3:$I$2002,$B$3:$B$2002,$B1161))</f>
        <v/>
      </c>
      <c r="L1161" s="13" t="str">
        <f aca="false">IF($B1161="","",IF(COUNTIFS($B$3:$B1161,$B1161)&gt;1,0,IFERROR(LOOKUP($K1161,배송비규정!$A$3:$A$32,배송비규정!$B$3:$B$32),0)+IFERROR(INDEX(지역추가비!$B$3:$B$42,MATCH($J1161,지역추가비!$A$3:$A$42,0)),0)))</f>
        <v/>
      </c>
      <c r="M1161" s="13" t="str">
        <f aca="false">IF($B1161="","",IF(COUNTIFS($B$3:$B1161,$B1161)&gt;1,"",$K1161+$L1161))</f>
        <v/>
      </c>
      <c r="N1161" s="14" t="str">
        <f aca="false">IF($B1161="","",COUNTIFS($B$3:$B1161,$B1161))</f>
        <v/>
      </c>
      <c r="O1161" s="14" t="str">
        <f aca="false">IF($B1161="","",$B1161&amp;"|"&amp;$N1161)</f>
        <v/>
      </c>
    </row>
    <row r="1162" customFormat="false" ht="15" hidden="false" customHeight="false" outlineLevel="0" collapsed="false">
      <c r="A1162" s="12"/>
      <c r="B1162" s="9"/>
      <c r="C1162" s="9"/>
      <c r="D1162" s="9"/>
      <c r="E1162" s="9"/>
      <c r="F1162" s="9"/>
      <c r="G1162" s="9"/>
      <c r="H1162" s="7"/>
      <c r="I1162" s="13" t="str">
        <f aca="false">IF(OR($G1162="",$H1162=""),"",ROUND($G1162*$H1162,0))</f>
        <v/>
      </c>
      <c r="J1162" s="8"/>
      <c r="K1162" s="13" t="str">
        <f aca="false">IF($B1162="","",SUMIFS($I$3:$I$2002,$B$3:$B$2002,$B1162))</f>
        <v/>
      </c>
      <c r="L1162" s="13" t="str">
        <f aca="false">IF($B1162="","",IF(COUNTIFS($B$3:$B1162,$B1162)&gt;1,0,IFERROR(LOOKUP($K1162,배송비규정!$A$3:$A$32,배송비규정!$B$3:$B$32),0)+IFERROR(INDEX(지역추가비!$B$3:$B$42,MATCH($J1162,지역추가비!$A$3:$A$42,0)),0)))</f>
        <v/>
      </c>
      <c r="M1162" s="13" t="str">
        <f aca="false">IF($B1162="","",IF(COUNTIFS($B$3:$B1162,$B1162)&gt;1,"",$K1162+$L1162))</f>
        <v/>
      </c>
      <c r="N1162" s="14" t="str">
        <f aca="false">IF($B1162="","",COUNTIFS($B$3:$B1162,$B1162))</f>
        <v/>
      </c>
      <c r="O1162" s="14" t="str">
        <f aca="false">IF($B1162="","",$B1162&amp;"|"&amp;$N1162)</f>
        <v/>
      </c>
    </row>
    <row r="1163" customFormat="false" ht="15" hidden="false" customHeight="false" outlineLevel="0" collapsed="false">
      <c r="A1163" s="12"/>
      <c r="B1163" s="9"/>
      <c r="C1163" s="9"/>
      <c r="D1163" s="9"/>
      <c r="E1163" s="9"/>
      <c r="F1163" s="9"/>
      <c r="G1163" s="9"/>
      <c r="H1163" s="7"/>
      <c r="I1163" s="13" t="str">
        <f aca="false">IF(OR($G1163="",$H1163=""),"",ROUND($G1163*$H1163,0))</f>
        <v/>
      </c>
      <c r="J1163" s="8"/>
      <c r="K1163" s="13" t="str">
        <f aca="false">IF($B1163="","",SUMIFS($I$3:$I$2002,$B$3:$B$2002,$B1163))</f>
        <v/>
      </c>
      <c r="L1163" s="13" t="str">
        <f aca="false">IF($B1163="","",IF(COUNTIFS($B$3:$B1163,$B1163)&gt;1,0,IFERROR(LOOKUP($K1163,배송비규정!$A$3:$A$32,배송비규정!$B$3:$B$32),0)+IFERROR(INDEX(지역추가비!$B$3:$B$42,MATCH($J1163,지역추가비!$A$3:$A$42,0)),0)))</f>
        <v/>
      </c>
      <c r="M1163" s="13" t="str">
        <f aca="false">IF($B1163="","",IF(COUNTIFS($B$3:$B1163,$B1163)&gt;1,"",$K1163+$L1163))</f>
        <v/>
      </c>
      <c r="N1163" s="14" t="str">
        <f aca="false">IF($B1163="","",COUNTIFS($B$3:$B1163,$B1163))</f>
        <v/>
      </c>
      <c r="O1163" s="14" t="str">
        <f aca="false">IF($B1163="","",$B1163&amp;"|"&amp;$N1163)</f>
        <v/>
      </c>
    </row>
    <row r="1164" customFormat="false" ht="15" hidden="false" customHeight="false" outlineLevel="0" collapsed="false">
      <c r="A1164" s="12"/>
      <c r="B1164" s="9"/>
      <c r="C1164" s="9"/>
      <c r="D1164" s="9"/>
      <c r="E1164" s="9"/>
      <c r="F1164" s="9"/>
      <c r="G1164" s="9"/>
      <c r="H1164" s="7"/>
      <c r="I1164" s="13" t="str">
        <f aca="false">IF(OR($G1164="",$H1164=""),"",ROUND($G1164*$H1164,0))</f>
        <v/>
      </c>
      <c r="J1164" s="8"/>
      <c r="K1164" s="13" t="str">
        <f aca="false">IF($B1164="","",SUMIFS($I$3:$I$2002,$B$3:$B$2002,$B1164))</f>
        <v/>
      </c>
      <c r="L1164" s="13" t="str">
        <f aca="false">IF($B1164="","",IF(COUNTIFS($B$3:$B1164,$B1164)&gt;1,0,IFERROR(LOOKUP($K1164,배송비규정!$A$3:$A$32,배송비규정!$B$3:$B$32),0)+IFERROR(INDEX(지역추가비!$B$3:$B$42,MATCH($J1164,지역추가비!$A$3:$A$42,0)),0)))</f>
        <v/>
      </c>
      <c r="M1164" s="13" t="str">
        <f aca="false">IF($B1164="","",IF(COUNTIFS($B$3:$B1164,$B1164)&gt;1,"",$K1164+$L1164))</f>
        <v/>
      </c>
      <c r="N1164" s="14" t="str">
        <f aca="false">IF($B1164="","",COUNTIFS($B$3:$B1164,$B1164))</f>
        <v/>
      </c>
      <c r="O1164" s="14" t="str">
        <f aca="false">IF($B1164="","",$B1164&amp;"|"&amp;$N1164)</f>
        <v/>
      </c>
    </row>
    <row r="1165" customFormat="false" ht="15" hidden="false" customHeight="false" outlineLevel="0" collapsed="false">
      <c r="A1165" s="12"/>
      <c r="B1165" s="9"/>
      <c r="C1165" s="9"/>
      <c r="D1165" s="9"/>
      <c r="E1165" s="9"/>
      <c r="F1165" s="9"/>
      <c r="G1165" s="9"/>
      <c r="H1165" s="7"/>
      <c r="I1165" s="13" t="str">
        <f aca="false">IF(OR($G1165="",$H1165=""),"",ROUND($G1165*$H1165,0))</f>
        <v/>
      </c>
      <c r="J1165" s="8"/>
      <c r="K1165" s="13" t="str">
        <f aca="false">IF($B1165="","",SUMIFS($I$3:$I$2002,$B$3:$B$2002,$B1165))</f>
        <v/>
      </c>
      <c r="L1165" s="13" t="str">
        <f aca="false">IF($B1165="","",IF(COUNTIFS($B$3:$B1165,$B1165)&gt;1,0,IFERROR(LOOKUP($K1165,배송비규정!$A$3:$A$32,배송비규정!$B$3:$B$32),0)+IFERROR(INDEX(지역추가비!$B$3:$B$42,MATCH($J1165,지역추가비!$A$3:$A$42,0)),0)))</f>
        <v/>
      </c>
      <c r="M1165" s="13" t="str">
        <f aca="false">IF($B1165="","",IF(COUNTIFS($B$3:$B1165,$B1165)&gt;1,"",$K1165+$L1165))</f>
        <v/>
      </c>
      <c r="N1165" s="14" t="str">
        <f aca="false">IF($B1165="","",COUNTIFS($B$3:$B1165,$B1165))</f>
        <v/>
      </c>
      <c r="O1165" s="14" t="str">
        <f aca="false">IF($B1165="","",$B1165&amp;"|"&amp;$N1165)</f>
        <v/>
      </c>
    </row>
    <row r="1166" customFormat="false" ht="15" hidden="false" customHeight="false" outlineLevel="0" collapsed="false">
      <c r="A1166" s="12"/>
      <c r="B1166" s="9"/>
      <c r="C1166" s="9"/>
      <c r="D1166" s="9"/>
      <c r="E1166" s="9"/>
      <c r="F1166" s="9"/>
      <c r="G1166" s="9"/>
      <c r="H1166" s="7"/>
      <c r="I1166" s="13" t="str">
        <f aca="false">IF(OR($G1166="",$H1166=""),"",ROUND($G1166*$H1166,0))</f>
        <v/>
      </c>
      <c r="J1166" s="8"/>
      <c r="K1166" s="13" t="str">
        <f aca="false">IF($B1166="","",SUMIFS($I$3:$I$2002,$B$3:$B$2002,$B1166))</f>
        <v/>
      </c>
      <c r="L1166" s="13" t="str">
        <f aca="false">IF($B1166="","",IF(COUNTIFS($B$3:$B1166,$B1166)&gt;1,0,IFERROR(LOOKUP($K1166,배송비규정!$A$3:$A$32,배송비규정!$B$3:$B$32),0)+IFERROR(INDEX(지역추가비!$B$3:$B$42,MATCH($J1166,지역추가비!$A$3:$A$42,0)),0)))</f>
        <v/>
      </c>
      <c r="M1166" s="13" t="str">
        <f aca="false">IF($B1166="","",IF(COUNTIFS($B$3:$B1166,$B1166)&gt;1,"",$K1166+$L1166))</f>
        <v/>
      </c>
      <c r="N1166" s="14" t="str">
        <f aca="false">IF($B1166="","",COUNTIFS($B$3:$B1166,$B1166))</f>
        <v/>
      </c>
      <c r="O1166" s="14" t="str">
        <f aca="false">IF($B1166="","",$B1166&amp;"|"&amp;$N1166)</f>
        <v/>
      </c>
    </row>
    <row r="1167" customFormat="false" ht="15" hidden="false" customHeight="false" outlineLevel="0" collapsed="false">
      <c r="A1167" s="12"/>
      <c r="B1167" s="9"/>
      <c r="C1167" s="9"/>
      <c r="D1167" s="9"/>
      <c r="E1167" s="9"/>
      <c r="F1167" s="9"/>
      <c r="G1167" s="9"/>
      <c r="H1167" s="7"/>
      <c r="I1167" s="13" t="str">
        <f aca="false">IF(OR($G1167="",$H1167=""),"",ROUND($G1167*$H1167,0))</f>
        <v/>
      </c>
      <c r="J1167" s="8"/>
      <c r="K1167" s="13" t="str">
        <f aca="false">IF($B1167="","",SUMIFS($I$3:$I$2002,$B$3:$B$2002,$B1167))</f>
        <v/>
      </c>
      <c r="L1167" s="13" t="str">
        <f aca="false">IF($B1167="","",IF(COUNTIFS($B$3:$B1167,$B1167)&gt;1,0,IFERROR(LOOKUP($K1167,배송비규정!$A$3:$A$32,배송비규정!$B$3:$B$32),0)+IFERROR(INDEX(지역추가비!$B$3:$B$42,MATCH($J1167,지역추가비!$A$3:$A$42,0)),0)))</f>
        <v/>
      </c>
      <c r="M1167" s="13" t="str">
        <f aca="false">IF($B1167="","",IF(COUNTIFS($B$3:$B1167,$B1167)&gt;1,"",$K1167+$L1167))</f>
        <v/>
      </c>
      <c r="N1167" s="14" t="str">
        <f aca="false">IF($B1167="","",COUNTIFS($B$3:$B1167,$B1167))</f>
        <v/>
      </c>
      <c r="O1167" s="14" t="str">
        <f aca="false">IF($B1167="","",$B1167&amp;"|"&amp;$N1167)</f>
        <v/>
      </c>
    </row>
    <row r="1168" customFormat="false" ht="15" hidden="false" customHeight="false" outlineLevel="0" collapsed="false">
      <c r="A1168" s="12"/>
      <c r="B1168" s="9"/>
      <c r="C1168" s="9"/>
      <c r="D1168" s="9"/>
      <c r="E1168" s="9"/>
      <c r="F1168" s="9"/>
      <c r="G1168" s="9"/>
      <c r="H1168" s="7"/>
      <c r="I1168" s="13" t="str">
        <f aca="false">IF(OR($G1168="",$H1168=""),"",ROUND($G1168*$H1168,0))</f>
        <v/>
      </c>
      <c r="J1168" s="8"/>
      <c r="K1168" s="13" t="str">
        <f aca="false">IF($B1168="","",SUMIFS($I$3:$I$2002,$B$3:$B$2002,$B1168))</f>
        <v/>
      </c>
      <c r="L1168" s="13" t="str">
        <f aca="false">IF($B1168="","",IF(COUNTIFS($B$3:$B1168,$B1168)&gt;1,0,IFERROR(LOOKUP($K1168,배송비규정!$A$3:$A$32,배송비규정!$B$3:$B$32),0)+IFERROR(INDEX(지역추가비!$B$3:$B$42,MATCH($J1168,지역추가비!$A$3:$A$42,0)),0)))</f>
        <v/>
      </c>
      <c r="M1168" s="13" t="str">
        <f aca="false">IF($B1168="","",IF(COUNTIFS($B$3:$B1168,$B1168)&gt;1,"",$K1168+$L1168))</f>
        <v/>
      </c>
      <c r="N1168" s="14" t="str">
        <f aca="false">IF($B1168="","",COUNTIFS($B$3:$B1168,$B1168))</f>
        <v/>
      </c>
      <c r="O1168" s="14" t="str">
        <f aca="false">IF($B1168="","",$B1168&amp;"|"&amp;$N1168)</f>
        <v/>
      </c>
    </row>
    <row r="1169" customFormat="false" ht="15" hidden="false" customHeight="false" outlineLevel="0" collapsed="false">
      <c r="A1169" s="12"/>
      <c r="B1169" s="9"/>
      <c r="C1169" s="9"/>
      <c r="D1169" s="9"/>
      <c r="E1169" s="9"/>
      <c r="F1169" s="9"/>
      <c r="G1169" s="9"/>
      <c r="H1169" s="7"/>
      <c r="I1169" s="13" t="str">
        <f aca="false">IF(OR($G1169="",$H1169=""),"",ROUND($G1169*$H1169,0))</f>
        <v/>
      </c>
      <c r="J1169" s="8"/>
      <c r="K1169" s="13" t="str">
        <f aca="false">IF($B1169="","",SUMIFS($I$3:$I$2002,$B$3:$B$2002,$B1169))</f>
        <v/>
      </c>
      <c r="L1169" s="13" t="str">
        <f aca="false">IF($B1169="","",IF(COUNTIFS($B$3:$B1169,$B1169)&gt;1,0,IFERROR(LOOKUP($K1169,배송비규정!$A$3:$A$32,배송비규정!$B$3:$B$32),0)+IFERROR(INDEX(지역추가비!$B$3:$B$42,MATCH($J1169,지역추가비!$A$3:$A$42,0)),0)))</f>
        <v/>
      </c>
      <c r="M1169" s="13" t="str">
        <f aca="false">IF($B1169="","",IF(COUNTIFS($B$3:$B1169,$B1169)&gt;1,"",$K1169+$L1169))</f>
        <v/>
      </c>
      <c r="N1169" s="14" t="str">
        <f aca="false">IF($B1169="","",COUNTIFS($B$3:$B1169,$B1169))</f>
        <v/>
      </c>
      <c r="O1169" s="14" t="str">
        <f aca="false">IF($B1169="","",$B1169&amp;"|"&amp;$N1169)</f>
        <v/>
      </c>
    </row>
    <row r="1170" customFormat="false" ht="15" hidden="false" customHeight="false" outlineLevel="0" collapsed="false">
      <c r="A1170" s="12"/>
      <c r="B1170" s="9"/>
      <c r="C1170" s="9"/>
      <c r="D1170" s="9"/>
      <c r="E1170" s="9"/>
      <c r="F1170" s="9"/>
      <c r="G1170" s="9"/>
      <c r="H1170" s="7"/>
      <c r="I1170" s="13" t="str">
        <f aca="false">IF(OR($G1170="",$H1170=""),"",ROUND($G1170*$H1170,0))</f>
        <v/>
      </c>
      <c r="J1170" s="8"/>
      <c r="K1170" s="13" t="str">
        <f aca="false">IF($B1170="","",SUMIFS($I$3:$I$2002,$B$3:$B$2002,$B1170))</f>
        <v/>
      </c>
      <c r="L1170" s="13" t="str">
        <f aca="false">IF($B1170="","",IF(COUNTIFS($B$3:$B1170,$B1170)&gt;1,0,IFERROR(LOOKUP($K1170,배송비규정!$A$3:$A$32,배송비규정!$B$3:$B$32),0)+IFERROR(INDEX(지역추가비!$B$3:$B$42,MATCH($J1170,지역추가비!$A$3:$A$42,0)),0)))</f>
        <v/>
      </c>
      <c r="M1170" s="13" t="str">
        <f aca="false">IF($B1170="","",IF(COUNTIFS($B$3:$B1170,$B1170)&gt;1,"",$K1170+$L1170))</f>
        <v/>
      </c>
      <c r="N1170" s="14" t="str">
        <f aca="false">IF($B1170="","",COUNTIFS($B$3:$B1170,$B1170))</f>
        <v/>
      </c>
      <c r="O1170" s="14" t="str">
        <f aca="false">IF($B1170="","",$B1170&amp;"|"&amp;$N1170)</f>
        <v/>
      </c>
    </row>
    <row r="1171" customFormat="false" ht="15" hidden="false" customHeight="false" outlineLevel="0" collapsed="false">
      <c r="A1171" s="12"/>
      <c r="B1171" s="9"/>
      <c r="C1171" s="9"/>
      <c r="D1171" s="9"/>
      <c r="E1171" s="9"/>
      <c r="F1171" s="9"/>
      <c r="G1171" s="9"/>
      <c r="H1171" s="7"/>
      <c r="I1171" s="13" t="str">
        <f aca="false">IF(OR($G1171="",$H1171=""),"",ROUND($G1171*$H1171,0))</f>
        <v/>
      </c>
      <c r="J1171" s="8"/>
      <c r="K1171" s="13" t="str">
        <f aca="false">IF($B1171="","",SUMIFS($I$3:$I$2002,$B$3:$B$2002,$B1171))</f>
        <v/>
      </c>
      <c r="L1171" s="13" t="str">
        <f aca="false">IF($B1171="","",IF(COUNTIFS($B$3:$B1171,$B1171)&gt;1,0,IFERROR(LOOKUP($K1171,배송비규정!$A$3:$A$32,배송비규정!$B$3:$B$32),0)+IFERROR(INDEX(지역추가비!$B$3:$B$42,MATCH($J1171,지역추가비!$A$3:$A$42,0)),0)))</f>
        <v/>
      </c>
      <c r="M1171" s="13" t="str">
        <f aca="false">IF($B1171="","",IF(COUNTIFS($B$3:$B1171,$B1171)&gt;1,"",$K1171+$L1171))</f>
        <v/>
      </c>
      <c r="N1171" s="14" t="str">
        <f aca="false">IF($B1171="","",COUNTIFS($B$3:$B1171,$B1171))</f>
        <v/>
      </c>
      <c r="O1171" s="14" t="str">
        <f aca="false">IF($B1171="","",$B1171&amp;"|"&amp;$N1171)</f>
        <v/>
      </c>
    </row>
    <row r="1172" customFormat="false" ht="15" hidden="false" customHeight="false" outlineLevel="0" collapsed="false">
      <c r="A1172" s="12"/>
      <c r="B1172" s="9"/>
      <c r="C1172" s="9"/>
      <c r="D1172" s="9"/>
      <c r="E1172" s="9"/>
      <c r="F1172" s="9"/>
      <c r="G1172" s="9"/>
      <c r="H1172" s="7"/>
      <c r="I1172" s="13" t="str">
        <f aca="false">IF(OR($G1172="",$H1172=""),"",ROUND($G1172*$H1172,0))</f>
        <v/>
      </c>
      <c r="J1172" s="8"/>
      <c r="K1172" s="13" t="str">
        <f aca="false">IF($B1172="","",SUMIFS($I$3:$I$2002,$B$3:$B$2002,$B1172))</f>
        <v/>
      </c>
      <c r="L1172" s="13" t="str">
        <f aca="false">IF($B1172="","",IF(COUNTIFS($B$3:$B1172,$B1172)&gt;1,0,IFERROR(LOOKUP($K1172,배송비규정!$A$3:$A$32,배송비규정!$B$3:$B$32),0)+IFERROR(INDEX(지역추가비!$B$3:$B$42,MATCH($J1172,지역추가비!$A$3:$A$42,0)),0)))</f>
        <v/>
      </c>
      <c r="M1172" s="13" t="str">
        <f aca="false">IF($B1172="","",IF(COUNTIFS($B$3:$B1172,$B1172)&gt;1,"",$K1172+$L1172))</f>
        <v/>
      </c>
      <c r="N1172" s="14" t="str">
        <f aca="false">IF($B1172="","",COUNTIFS($B$3:$B1172,$B1172))</f>
        <v/>
      </c>
      <c r="O1172" s="14" t="str">
        <f aca="false">IF($B1172="","",$B1172&amp;"|"&amp;$N1172)</f>
        <v/>
      </c>
    </row>
    <row r="1173" customFormat="false" ht="15" hidden="false" customHeight="false" outlineLevel="0" collapsed="false">
      <c r="A1173" s="12"/>
      <c r="B1173" s="9"/>
      <c r="C1173" s="9"/>
      <c r="D1173" s="9"/>
      <c r="E1173" s="9"/>
      <c r="F1173" s="9"/>
      <c r="G1173" s="9"/>
      <c r="H1173" s="7"/>
      <c r="I1173" s="13" t="str">
        <f aca="false">IF(OR($G1173="",$H1173=""),"",ROUND($G1173*$H1173,0))</f>
        <v/>
      </c>
      <c r="J1173" s="8"/>
      <c r="K1173" s="13" t="str">
        <f aca="false">IF($B1173="","",SUMIFS($I$3:$I$2002,$B$3:$B$2002,$B1173))</f>
        <v/>
      </c>
      <c r="L1173" s="13" t="str">
        <f aca="false">IF($B1173="","",IF(COUNTIFS($B$3:$B1173,$B1173)&gt;1,0,IFERROR(LOOKUP($K1173,배송비규정!$A$3:$A$32,배송비규정!$B$3:$B$32),0)+IFERROR(INDEX(지역추가비!$B$3:$B$42,MATCH($J1173,지역추가비!$A$3:$A$42,0)),0)))</f>
        <v/>
      </c>
      <c r="M1173" s="13" t="str">
        <f aca="false">IF($B1173="","",IF(COUNTIFS($B$3:$B1173,$B1173)&gt;1,"",$K1173+$L1173))</f>
        <v/>
      </c>
      <c r="N1173" s="14" t="str">
        <f aca="false">IF($B1173="","",COUNTIFS($B$3:$B1173,$B1173))</f>
        <v/>
      </c>
      <c r="O1173" s="14" t="str">
        <f aca="false">IF($B1173="","",$B1173&amp;"|"&amp;$N1173)</f>
        <v/>
      </c>
    </row>
    <row r="1174" customFormat="false" ht="15" hidden="false" customHeight="false" outlineLevel="0" collapsed="false">
      <c r="A1174" s="12"/>
      <c r="B1174" s="9"/>
      <c r="C1174" s="9"/>
      <c r="D1174" s="9"/>
      <c r="E1174" s="9"/>
      <c r="F1174" s="9"/>
      <c r="G1174" s="9"/>
      <c r="H1174" s="7"/>
      <c r="I1174" s="13" t="str">
        <f aca="false">IF(OR($G1174="",$H1174=""),"",ROUND($G1174*$H1174,0))</f>
        <v/>
      </c>
      <c r="J1174" s="8"/>
      <c r="K1174" s="13" t="str">
        <f aca="false">IF($B1174="","",SUMIFS($I$3:$I$2002,$B$3:$B$2002,$B1174))</f>
        <v/>
      </c>
      <c r="L1174" s="13" t="str">
        <f aca="false">IF($B1174="","",IF(COUNTIFS($B$3:$B1174,$B1174)&gt;1,0,IFERROR(LOOKUP($K1174,배송비규정!$A$3:$A$32,배송비규정!$B$3:$B$32),0)+IFERROR(INDEX(지역추가비!$B$3:$B$42,MATCH($J1174,지역추가비!$A$3:$A$42,0)),0)))</f>
        <v/>
      </c>
      <c r="M1174" s="13" t="str">
        <f aca="false">IF($B1174="","",IF(COUNTIFS($B$3:$B1174,$B1174)&gt;1,"",$K1174+$L1174))</f>
        <v/>
      </c>
      <c r="N1174" s="14" t="str">
        <f aca="false">IF($B1174="","",COUNTIFS($B$3:$B1174,$B1174))</f>
        <v/>
      </c>
      <c r="O1174" s="14" t="str">
        <f aca="false">IF($B1174="","",$B1174&amp;"|"&amp;$N1174)</f>
        <v/>
      </c>
    </row>
    <row r="1175" customFormat="false" ht="15" hidden="false" customHeight="false" outlineLevel="0" collapsed="false">
      <c r="A1175" s="12"/>
      <c r="B1175" s="9"/>
      <c r="C1175" s="9"/>
      <c r="D1175" s="9"/>
      <c r="E1175" s="9"/>
      <c r="F1175" s="9"/>
      <c r="G1175" s="9"/>
      <c r="H1175" s="7"/>
      <c r="I1175" s="13" t="str">
        <f aca="false">IF(OR($G1175="",$H1175=""),"",ROUND($G1175*$H1175,0))</f>
        <v/>
      </c>
      <c r="J1175" s="8"/>
      <c r="K1175" s="13" t="str">
        <f aca="false">IF($B1175="","",SUMIFS($I$3:$I$2002,$B$3:$B$2002,$B1175))</f>
        <v/>
      </c>
      <c r="L1175" s="13" t="str">
        <f aca="false">IF($B1175="","",IF(COUNTIFS($B$3:$B1175,$B1175)&gt;1,0,IFERROR(LOOKUP($K1175,배송비규정!$A$3:$A$32,배송비규정!$B$3:$B$32),0)+IFERROR(INDEX(지역추가비!$B$3:$B$42,MATCH($J1175,지역추가비!$A$3:$A$42,0)),0)))</f>
        <v/>
      </c>
      <c r="M1175" s="13" t="str">
        <f aca="false">IF($B1175="","",IF(COUNTIFS($B$3:$B1175,$B1175)&gt;1,"",$K1175+$L1175))</f>
        <v/>
      </c>
      <c r="N1175" s="14" t="str">
        <f aca="false">IF($B1175="","",COUNTIFS($B$3:$B1175,$B1175))</f>
        <v/>
      </c>
      <c r="O1175" s="14" t="str">
        <f aca="false">IF($B1175="","",$B1175&amp;"|"&amp;$N1175)</f>
        <v/>
      </c>
    </row>
    <row r="1176" customFormat="false" ht="15" hidden="false" customHeight="false" outlineLevel="0" collapsed="false">
      <c r="A1176" s="12"/>
      <c r="B1176" s="9"/>
      <c r="C1176" s="9"/>
      <c r="D1176" s="9"/>
      <c r="E1176" s="9"/>
      <c r="F1176" s="9"/>
      <c r="G1176" s="9"/>
      <c r="H1176" s="7"/>
      <c r="I1176" s="13" t="str">
        <f aca="false">IF(OR($G1176="",$H1176=""),"",ROUND($G1176*$H1176,0))</f>
        <v/>
      </c>
      <c r="J1176" s="8"/>
      <c r="K1176" s="13" t="str">
        <f aca="false">IF($B1176="","",SUMIFS($I$3:$I$2002,$B$3:$B$2002,$B1176))</f>
        <v/>
      </c>
      <c r="L1176" s="13" t="str">
        <f aca="false">IF($B1176="","",IF(COUNTIFS($B$3:$B1176,$B1176)&gt;1,0,IFERROR(LOOKUP($K1176,배송비규정!$A$3:$A$32,배송비규정!$B$3:$B$32),0)+IFERROR(INDEX(지역추가비!$B$3:$B$42,MATCH($J1176,지역추가비!$A$3:$A$42,0)),0)))</f>
        <v/>
      </c>
      <c r="M1176" s="13" t="str">
        <f aca="false">IF($B1176="","",IF(COUNTIFS($B$3:$B1176,$B1176)&gt;1,"",$K1176+$L1176))</f>
        <v/>
      </c>
      <c r="N1176" s="14" t="str">
        <f aca="false">IF($B1176="","",COUNTIFS($B$3:$B1176,$B1176))</f>
        <v/>
      </c>
      <c r="O1176" s="14" t="str">
        <f aca="false">IF($B1176="","",$B1176&amp;"|"&amp;$N1176)</f>
        <v/>
      </c>
    </row>
    <row r="1177" customFormat="false" ht="15" hidden="false" customHeight="false" outlineLevel="0" collapsed="false">
      <c r="A1177" s="12"/>
      <c r="B1177" s="9"/>
      <c r="C1177" s="9"/>
      <c r="D1177" s="9"/>
      <c r="E1177" s="9"/>
      <c r="F1177" s="9"/>
      <c r="G1177" s="9"/>
      <c r="H1177" s="7"/>
      <c r="I1177" s="13" t="str">
        <f aca="false">IF(OR($G1177="",$H1177=""),"",ROUND($G1177*$H1177,0))</f>
        <v/>
      </c>
      <c r="J1177" s="8"/>
      <c r="K1177" s="13" t="str">
        <f aca="false">IF($B1177="","",SUMIFS($I$3:$I$2002,$B$3:$B$2002,$B1177))</f>
        <v/>
      </c>
      <c r="L1177" s="13" t="str">
        <f aca="false">IF($B1177="","",IF(COUNTIFS($B$3:$B1177,$B1177)&gt;1,0,IFERROR(LOOKUP($K1177,배송비규정!$A$3:$A$32,배송비규정!$B$3:$B$32),0)+IFERROR(INDEX(지역추가비!$B$3:$B$42,MATCH($J1177,지역추가비!$A$3:$A$42,0)),0)))</f>
        <v/>
      </c>
      <c r="M1177" s="13" t="str">
        <f aca="false">IF($B1177="","",IF(COUNTIFS($B$3:$B1177,$B1177)&gt;1,"",$K1177+$L1177))</f>
        <v/>
      </c>
      <c r="N1177" s="14" t="str">
        <f aca="false">IF($B1177="","",COUNTIFS($B$3:$B1177,$B1177))</f>
        <v/>
      </c>
      <c r="O1177" s="14" t="str">
        <f aca="false">IF($B1177="","",$B1177&amp;"|"&amp;$N1177)</f>
        <v/>
      </c>
    </row>
    <row r="1178" customFormat="false" ht="15" hidden="false" customHeight="false" outlineLevel="0" collapsed="false">
      <c r="A1178" s="12"/>
      <c r="B1178" s="9"/>
      <c r="C1178" s="9"/>
      <c r="D1178" s="9"/>
      <c r="E1178" s="9"/>
      <c r="F1178" s="9"/>
      <c r="G1178" s="9"/>
      <c r="H1178" s="7"/>
      <c r="I1178" s="13" t="str">
        <f aca="false">IF(OR($G1178="",$H1178=""),"",ROUND($G1178*$H1178,0))</f>
        <v/>
      </c>
      <c r="J1178" s="8"/>
      <c r="K1178" s="13" t="str">
        <f aca="false">IF($B1178="","",SUMIFS($I$3:$I$2002,$B$3:$B$2002,$B1178))</f>
        <v/>
      </c>
      <c r="L1178" s="13" t="str">
        <f aca="false">IF($B1178="","",IF(COUNTIFS($B$3:$B1178,$B1178)&gt;1,0,IFERROR(LOOKUP($K1178,배송비규정!$A$3:$A$32,배송비규정!$B$3:$B$32),0)+IFERROR(INDEX(지역추가비!$B$3:$B$42,MATCH($J1178,지역추가비!$A$3:$A$42,0)),0)))</f>
        <v/>
      </c>
      <c r="M1178" s="13" t="str">
        <f aca="false">IF($B1178="","",IF(COUNTIFS($B$3:$B1178,$B1178)&gt;1,"",$K1178+$L1178))</f>
        <v/>
      </c>
      <c r="N1178" s="14" t="str">
        <f aca="false">IF($B1178="","",COUNTIFS($B$3:$B1178,$B1178))</f>
        <v/>
      </c>
      <c r="O1178" s="14" t="str">
        <f aca="false">IF($B1178="","",$B1178&amp;"|"&amp;$N1178)</f>
        <v/>
      </c>
    </row>
    <row r="1179" customFormat="false" ht="15" hidden="false" customHeight="false" outlineLevel="0" collapsed="false">
      <c r="A1179" s="12"/>
      <c r="B1179" s="9"/>
      <c r="C1179" s="9"/>
      <c r="D1179" s="9"/>
      <c r="E1179" s="9"/>
      <c r="F1179" s="9"/>
      <c r="G1179" s="9"/>
      <c r="H1179" s="7"/>
      <c r="I1179" s="13" t="str">
        <f aca="false">IF(OR($G1179="",$H1179=""),"",ROUND($G1179*$H1179,0))</f>
        <v/>
      </c>
      <c r="J1179" s="8"/>
      <c r="K1179" s="13" t="str">
        <f aca="false">IF($B1179="","",SUMIFS($I$3:$I$2002,$B$3:$B$2002,$B1179))</f>
        <v/>
      </c>
      <c r="L1179" s="13" t="str">
        <f aca="false">IF($B1179="","",IF(COUNTIFS($B$3:$B1179,$B1179)&gt;1,0,IFERROR(LOOKUP($K1179,배송비규정!$A$3:$A$32,배송비규정!$B$3:$B$32),0)+IFERROR(INDEX(지역추가비!$B$3:$B$42,MATCH($J1179,지역추가비!$A$3:$A$42,0)),0)))</f>
        <v/>
      </c>
      <c r="M1179" s="13" t="str">
        <f aca="false">IF($B1179="","",IF(COUNTIFS($B$3:$B1179,$B1179)&gt;1,"",$K1179+$L1179))</f>
        <v/>
      </c>
      <c r="N1179" s="14" t="str">
        <f aca="false">IF($B1179="","",COUNTIFS($B$3:$B1179,$B1179))</f>
        <v/>
      </c>
      <c r="O1179" s="14" t="str">
        <f aca="false">IF($B1179="","",$B1179&amp;"|"&amp;$N1179)</f>
        <v/>
      </c>
    </row>
    <row r="1180" customFormat="false" ht="15" hidden="false" customHeight="false" outlineLevel="0" collapsed="false">
      <c r="A1180" s="12"/>
      <c r="B1180" s="9"/>
      <c r="C1180" s="9"/>
      <c r="D1180" s="9"/>
      <c r="E1180" s="9"/>
      <c r="F1180" s="9"/>
      <c r="G1180" s="9"/>
      <c r="H1180" s="7"/>
      <c r="I1180" s="13" t="str">
        <f aca="false">IF(OR($G1180="",$H1180=""),"",ROUND($G1180*$H1180,0))</f>
        <v/>
      </c>
      <c r="J1180" s="8"/>
      <c r="K1180" s="13" t="str">
        <f aca="false">IF($B1180="","",SUMIFS($I$3:$I$2002,$B$3:$B$2002,$B1180))</f>
        <v/>
      </c>
      <c r="L1180" s="13" t="str">
        <f aca="false">IF($B1180="","",IF(COUNTIFS($B$3:$B1180,$B1180)&gt;1,0,IFERROR(LOOKUP($K1180,배송비규정!$A$3:$A$32,배송비규정!$B$3:$B$32),0)+IFERROR(INDEX(지역추가비!$B$3:$B$42,MATCH($J1180,지역추가비!$A$3:$A$42,0)),0)))</f>
        <v/>
      </c>
      <c r="M1180" s="13" t="str">
        <f aca="false">IF($B1180="","",IF(COUNTIFS($B$3:$B1180,$B1180)&gt;1,"",$K1180+$L1180))</f>
        <v/>
      </c>
      <c r="N1180" s="14" t="str">
        <f aca="false">IF($B1180="","",COUNTIFS($B$3:$B1180,$B1180))</f>
        <v/>
      </c>
      <c r="O1180" s="14" t="str">
        <f aca="false">IF($B1180="","",$B1180&amp;"|"&amp;$N1180)</f>
        <v/>
      </c>
    </row>
    <row r="1181" customFormat="false" ht="15" hidden="false" customHeight="false" outlineLevel="0" collapsed="false">
      <c r="A1181" s="12"/>
      <c r="B1181" s="9"/>
      <c r="C1181" s="9"/>
      <c r="D1181" s="9"/>
      <c r="E1181" s="9"/>
      <c r="F1181" s="9"/>
      <c r="G1181" s="9"/>
      <c r="H1181" s="7"/>
      <c r="I1181" s="13" t="str">
        <f aca="false">IF(OR($G1181="",$H1181=""),"",ROUND($G1181*$H1181,0))</f>
        <v/>
      </c>
      <c r="J1181" s="8"/>
      <c r="K1181" s="13" t="str">
        <f aca="false">IF($B1181="","",SUMIFS($I$3:$I$2002,$B$3:$B$2002,$B1181))</f>
        <v/>
      </c>
      <c r="L1181" s="13" t="str">
        <f aca="false">IF($B1181="","",IF(COUNTIFS($B$3:$B1181,$B1181)&gt;1,0,IFERROR(LOOKUP($K1181,배송비규정!$A$3:$A$32,배송비규정!$B$3:$B$32),0)+IFERROR(INDEX(지역추가비!$B$3:$B$42,MATCH($J1181,지역추가비!$A$3:$A$42,0)),0)))</f>
        <v/>
      </c>
      <c r="M1181" s="13" t="str">
        <f aca="false">IF($B1181="","",IF(COUNTIFS($B$3:$B1181,$B1181)&gt;1,"",$K1181+$L1181))</f>
        <v/>
      </c>
      <c r="N1181" s="14" t="str">
        <f aca="false">IF($B1181="","",COUNTIFS($B$3:$B1181,$B1181))</f>
        <v/>
      </c>
      <c r="O1181" s="14" t="str">
        <f aca="false">IF($B1181="","",$B1181&amp;"|"&amp;$N1181)</f>
        <v/>
      </c>
    </row>
    <row r="1182" customFormat="false" ht="15" hidden="false" customHeight="false" outlineLevel="0" collapsed="false">
      <c r="A1182" s="12"/>
      <c r="B1182" s="9"/>
      <c r="C1182" s="9"/>
      <c r="D1182" s="9"/>
      <c r="E1182" s="9"/>
      <c r="F1182" s="9"/>
      <c r="G1182" s="9"/>
      <c r="H1182" s="7"/>
      <c r="I1182" s="13" t="str">
        <f aca="false">IF(OR($G1182="",$H1182=""),"",ROUND($G1182*$H1182,0))</f>
        <v/>
      </c>
      <c r="J1182" s="8"/>
      <c r="K1182" s="13" t="str">
        <f aca="false">IF($B1182="","",SUMIFS($I$3:$I$2002,$B$3:$B$2002,$B1182))</f>
        <v/>
      </c>
      <c r="L1182" s="13" t="str">
        <f aca="false">IF($B1182="","",IF(COUNTIFS($B$3:$B1182,$B1182)&gt;1,0,IFERROR(LOOKUP($K1182,배송비규정!$A$3:$A$32,배송비규정!$B$3:$B$32),0)+IFERROR(INDEX(지역추가비!$B$3:$B$42,MATCH($J1182,지역추가비!$A$3:$A$42,0)),0)))</f>
        <v/>
      </c>
      <c r="M1182" s="13" t="str">
        <f aca="false">IF($B1182="","",IF(COUNTIFS($B$3:$B1182,$B1182)&gt;1,"",$K1182+$L1182))</f>
        <v/>
      </c>
      <c r="N1182" s="14" t="str">
        <f aca="false">IF($B1182="","",COUNTIFS($B$3:$B1182,$B1182))</f>
        <v/>
      </c>
      <c r="O1182" s="14" t="str">
        <f aca="false">IF($B1182="","",$B1182&amp;"|"&amp;$N1182)</f>
        <v/>
      </c>
    </row>
    <row r="1183" customFormat="false" ht="15" hidden="false" customHeight="false" outlineLevel="0" collapsed="false">
      <c r="A1183" s="12"/>
      <c r="B1183" s="9"/>
      <c r="C1183" s="9"/>
      <c r="D1183" s="9"/>
      <c r="E1183" s="9"/>
      <c r="F1183" s="9"/>
      <c r="G1183" s="9"/>
      <c r="H1183" s="7"/>
      <c r="I1183" s="13" t="str">
        <f aca="false">IF(OR($G1183="",$H1183=""),"",ROUND($G1183*$H1183,0))</f>
        <v/>
      </c>
      <c r="J1183" s="8"/>
      <c r="K1183" s="13" t="str">
        <f aca="false">IF($B1183="","",SUMIFS($I$3:$I$2002,$B$3:$B$2002,$B1183))</f>
        <v/>
      </c>
      <c r="L1183" s="13" t="str">
        <f aca="false">IF($B1183="","",IF(COUNTIFS($B$3:$B1183,$B1183)&gt;1,0,IFERROR(LOOKUP($K1183,배송비규정!$A$3:$A$32,배송비규정!$B$3:$B$32),0)+IFERROR(INDEX(지역추가비!$B$3:$B$42,MATCH($J1183,지역추가비!$A$3:$A$42,0)),0)))</f>
        <v/>
      </c>
      <c r="M1183" s="13" t="str">
        <f aca="false">IF($B1183="","",IF(COUNTIFS($B$3:$B1183,$B1183)&gt;1,"",$K1183+$L1183))</f>
        <v/>
      </c>
      <c r="N1183" s="14" t="str">
        <f aca="false">IF($B1183="","",COUNTIFS($B$3:$B1183,$B1183))</f>
        <v/>
      </c>
      <c r="O1183" s="14" t="str">
        <f aca="false">IF($B1183="","",$B1183&amp;"|"&amp;$N1183)</f>
        <v/>
      </c>
    </row>
    <row r="1184" customFormat="false" ht="15" hidden="false" customHeight="false" outlineLevel="0" collapsed="false">
      <c r="A1184" s="12"/>
      <c r="B1184" s="9"/>
      <c r="C1184" s="9"/>
      <c r="D1184" s="9"/>
      <c r="E1184" s="9"/>
      <c r="F1184" s="9"/>
      <c r="G1184" s="9"/>
      <c r="H1184" s="7"/>
      <c r="I1184" s="13" t="str">
        <f aca="false">IF(OR($G1184="",$H1184=""),"",ROUND($G1184*$H1184,0))</f>
        <v/>
      </c>
      <c r="J1184" s="8"/>
      <c r="K1184" s="13" t="str">
        <f aca="false">IF($B1184="","",SUMIFS($I$3:$I$2002,$B$3:$B$2002,$B1184))</f>
        <v/>
      </c>
      <c r="L1184" s="13" t="str">
        <f aca="false">IF($B1184="","",IF(COUNTIFS($B$3:$B1184,$B1184)&gt;1,0,IFERROR(LOOKUP($K1184,배송비규정!$A$3:$A$32,배송비규정!$B$3:$B$32),0)+IFERROR(INDEX(지역추가비!$B$3:$B$42,MATCH($J1184,지역추가비!$A$3:$A$42,0)),0)))</f>
        <v/>
      </c>
      <c r="M1184" s="13" t="str">
        <f aca="false">IF($B1184="","",IF(COUNTIFS($B$3:$B1184,$B1184)&gt;1,"",$K1184+$L1184))</f>
        <v/>
      </c>
      <c r="N1184" s="14" t="str">
        <f aca="false">IF($B1184="","",COUNTIFS($B$3:$B1184,$B1184))</f>
        <v/>
      </c>
      <c r="O1184" s="14" t="str">
        <f aca="false">IF($B1184="","",$B1184&amp;"|"&amp;$N1184)</f>
        <v/>
      </c>
    </row>
    <row r="1185" customFormat="false" ht="15" hidden="false" customHeight="false" outlineLevel="0" collapsed="false">
      <c r="A1185" s="12"/>
      <c r="B1185" s="9"/>
      <c r="C1185" s="9"/>
      <c r="D1185" s="9"/>
      <c r="E1185" s="9"/>
      <c r="F1185" s="9"/>
      <c r="G1185" s="9"/>
      <c r="H1185" s="7"/>
      <c r="I1185" s="13" t="str">
        <f aca="false">IF(OR($G1185="",$H1185=""),"",ROUND($G1185*$H1185,0))</f>
        <v/>
      </c>
      <c r="J1185" s="8"/>
      <c r="K1185" s="13" t="str">
        <f aca="false">IF($B1185="","",SUMIFS($I$3:$I$2002,$B$3:$B$2002,$B1185))</f>
        <v/>
      </c>
      <c r="L1185" s="13" t="str">
        <f aca="false">IF($B1185="","",IF(COUNTIFS($B$3:$B1185,$B1185)&gt;1,0,IFERROR(LOOKUP($K1185,배송비규정!$A$3:$A$32,배송비규정!$B$3:$B$32),0)+IFERROR(INDEX(지역추가비!$B$3:$B$42,MATCH($J1185,지역추가비!$A$3:$A$42,0)),0)))</f>
        <v/>
      </c>
      <c r="M1185" s="13" t="str">
        <f aca="false">IF($B1185="","",IF(COUNTIFS($B$3:$B1185,$B1185)&gt;1,"",$K1185+$L1185))</f>
        <v/>
      </c>
      <c r="N1185" s="14" t="str">
        <f aca="false">IF($B1185="","",COUNTIFS($B$3:$B1185,$B1185))</f>
        <v/>
      </c>
      <c r="O1185" s="14" t="str">
        <f aca="false">IF($B1185="","",$B1185&amp;"|"&amp;$N1185)</f>
        <v/>
      </c>
    </row>
    <row r="1186" customFormat="false" ht="15" hidden="false" customHeight="false" outlineLevel="0" collapsed="false">
      <c r="A1186" s="12"/>
      <c r="B1186" s="9"/>
      <c r="C1186" s="9"/>
      <c r="D1186" s="9"/>
      <c r="E1186" s="9"/>
      <c r="F1186" s="9"/>
      <c r="G1186" s="9"/>
      <c r="H1186" s="7"/>
      <c r="I1186" s="13" t="str">
        <f aca="false">IF(OR($G1186="",$H1186=""),"",ROUND($G1186*$H1186,0))</f>
        <v/>
      </c>
      <c r="J1186" s="8"/>
      <c r="K1186" s="13" t="str">
        <f aca="false">IF($B1186="","",SUMIFS($I$3:$I$2002,$B$3:$B$2002,$B1186))</f>
        <v/>
      </c>
      <c r="L1186" s="13" t="str">
        <f aca="false">IF($B1186="","",IF(COUNTIFS($B$3:$B1186,$B1186)&gt;1,0,IFERROR(LOOKUP($K1186,배송비규정!$A$3:$A$32,배송비규정!$B$3:$B$32),0)+IFERROR(INDEX(지역추가비!$B$3:$B$42,MATCH($J1186,지역추가비!$A$3:$A$42,0)),0)))</f>
        <v/>
      </c>
      <c r="M1186" s="13" t="str">
        <f aca="false">IF($B1186="","",IF(COUNTIFS($B$3:$B1186,$B1186)&gt;1,"",$K1186+$L1186))</f>
        <v/>
      </c>
      <c r="N1186" s="14" t="str">
        <f aca="false">IF($B1186="","",COUNTIFS($B$3:$B1186,$B1186))</f>
        <v/>
      </c>
      <c r="O1186" s="14" t="str">
        <f aca="false">IF($B1186="","",$B1186&amp;"|"&amp;$N1186)</f>
        <v/>
      </c>
    </row>
    <row r="1187" customFormat="false" ht="15" hidden="false" customHeight="false" outlineLevel="0" collapsed="false">
      <c r="A1187" s="12"/>
      <c r="B1187" s="9"/>
      <c r="C1187" s="9"/>
      <c r="D1187" s="9"/>
      <c r="E1187" s="9"/>
      <c r="F1187" s="9"/>
      <c r="G1187" s="9"/>
      <c r="H1187" s="7"/>
      <c r="I1187" s="13" t="str">
        <f aca="false">IF(OR($G1187="",$H1187=""),"",ROUND($G1187*$H1187,0))</f>
        <v/>
      </c>
      <c r="J1187" s="8"/>
      <c r="K1187" s="13" t="str">
        <f aca="false">IF($B1187="","",SUMIFS($I$3:$I$2002,$B$3:$B$2002,$B1187))</f>
        <v/>
      </c>
      <c r="L1187" s="13" t="str">
        <f aca="false">IF($B1187="","",IF(COUNTIFS($B$3:$B1187,$B1187)&gt;1,0,IFERROR(LOOKUP($K1187,배송비규정!$A$3:$A$32,배송비규정!$B$3:$B$32),0)+IFERROR(INDEX(지역추가비!$B$3:$B$42,MATCH($J1187,지역추가비!$A$3:$A$42,0)),0)))</f>
        <v/>
      </c>
      <c r="M1187" s="13" t="str">
        <f aca="false">IF($B1187="","",IF(COUNTIFS($B$3:$B1187,$B1187)&gt;1,"",$K1187+$L1187))</f>
        <v/>
      </c>
      <c r="N1187" s="14" t="str">
        <f aca="false">IF($B1187="","",COUNTIFS($B$3:$B1187,$B1187))</f>
        <v/>
      </c>
      <c r="O1187" s="14" t="str">
        <f aca="false">IF($B1187="","",$B1187&amp;"|"&amp;$N1187)</f>
        <v/>
      </c>
    </row>
    <row r="1188" customFormat="false" ht="15" hidden="false" customHeight="false" outlineLevel="0" collapsed="false">
      <c r="A1188" s="12"/>
      <c r="B1188" s="9"/>
      <c r="C1188" s="9"/>
      <c r="D1188" s="9"/>
      <c r="E1188" s="9"/>
      <c r="F1188" s="9"/>
      <c r="G1188" s="9"/>
      <c r="H1188" s="7"/>
      <c r="I1188" s="13" t="str">
        <f aca="false">IF(OR($G1188="",$H1188=""),"",ROUND($G1188*$H1188,0))</f>
        <v/>
      </c>
      <c r="J1188" s="8"/>
      <c r="K1188" s="13" t="str">
        <f aca="false">IF($B1188="","",SUMIFS($I$3:$I$2002,$B$3:$B$2002,$B1188))</f>
        <v/>
      </c>
      <c r="L1188" s="13" t="str">
        <f aca="false">IF($B1188="","",IF(COUNTIFS($B$3:$B1188,$B1188)&gt;1,0,IFERROR(LOOKUP($K1188,배송비규정!$A$3:$A$32,배송비규정!$B$3:$B$32),0)+IFERROR(INDEX(지역추가비!$B$3:$B$42,MATCH($J1188,지역추가비!$A$3:$A$42,0)),0)))</f>
        <v/>
      </c>
      <c r="M1188" s="13" t="str">
        <f aca="false">IF($B1188="","",IF(COUNTIFS($B$3:$B1188,$B1188)&gt;1,"",$K1188+$L1188))</f>
        <v/>
      </c>
      <c r="N1188" s="14" t="str">
        <f aca="false">IF($B1188="","",COUNTIFS($B$3:$B1188,$B1188))</f>
        <v/>
      </c>
      <c r="O1188" s="14" t="str">
        <f aca="false">IF($B1188="","",$B1188&amp;"|"&amp;$N1188)</f>
        <v/>
      </c>
    </row>
    <row r="1189" customFormat="false" ht="15" hidden="false" customHeight="false" outlineLevel="0" collapsed="false">
      <c r="A1189" s="12"/>
      <c r="B1189" s="9"/>
      <c r="C1189" s="9"/>
      <c r="D1189" s="9"/>
      <c r="E1189" s="9"/>
      <c r="F1189" s="9"/>
      <c r="G1189" s="9"/>
      <c r="H1189" s="7"/>
      <c r="I1189" s="13" t="str">
        <f aca="false">IF(OR($G1189="",$H1189=""),"",ROUND($G1189*$H1189,0))</f>
        <v/>
      </c>
      <c r="J1189" s="8"/>
      <c r="K1189" s="13" t="str">
        <f aca="false">IF($B1189="","",SUMIFS($I$3:$I$2002,$B$3:$B$2002,$B1189))</f>
        <v/>
      </c>
      <c r="L1189" s="13" t="str">
        <f aca="false">IF($B1189="","",IF(COUNTIFS($B$3:$B1189,$B1189)&gt;1,0,IFERROR(LOOKUP($K1189,배송비규정!$A$3:$A$32,배송비규정!$B$3:$B$32),0)+IFERROR(INDEX(지역추가비!$B$3:$B$42,MATCH($J1189,지역추가비!$A$3:$A$42,0)),0)))</f>
        <v/>
      </c>
      <c r="M1189" s="13" t="str">
        <f aca="false">IF($B1189="","",IF(COUNTIFS($B$3:$B1189,$B1189)&gt;1,"",$K1189+$L1189))</f>
        <v/>
      </c>
      <c r="N1189" s="14" t="str">
        <f aca="false">IF($B1189="","",COUNTIFS($B$3:$B1189,$B1189))</f>
        <v/>
      </c>
      <c r="O1189" s="14" t="str">
        <f aca="false">IF($B1189="","",$B1189&amp;"|"&amp;$N1189)</f>
        <v/>
      </c>
    </row>
    <row r="1190" customFormat="false" ht="15" hidden="false" customHeight="false" outlineLevel="0" collapsed="false">
      <c r="A1190" s="12"/>
      <c r="B1190" s="9"/>
      <c r="C1190" s="9"/>
      <c r="D1190" s="9"/>
      <c r="E1190" s="9"/>
      <c r="F1190" s="9"/>
      <c r="G1190" s="9"/>
      <c r="H1190" s="7"/>
      <c r="I1190" s="13" t="str">
        <f aca="false">IF(OR($G1190="",$H1190=""),"",ROUND($G1190*$H1190,0))</f>
        <v/>
      </c>
      <c r="J1190" s="8"/>
      <c r="K1190" s="13" t="str">
        <f aca="false">IF($B1190="","",SUMIFS($I$3:$I$2002,$B$3:$B$2002,$B1190))</f>
        <v/>
      </c>
      <c r="L1190" s="13" t="str">
        <f aca="false">IF($B1190="","",IF(COUNTIFS($B$3:$B1190,$B1190)&gt;1,0,IFERROR(LOOKUP($K1190,배송비규정!$A$3:$A$32,배송비규정!$B$3:$B$32),0)+IFERROR(INDEX(지역추가비!$B$3:$B$42,MATCH($J1190,지역추가비!$A$3:$A$42,0)),0)))</f>
        <v/>
      </c>
      <c r="M1190" s="13" t="str">
        <f aca="false">IF($B1190="","",IF(COUNTIFS($B$3:$B1190,$B1190)&gt;1,"",$K1190+$L1190))</f>
        <v/>
      </c>
      <c r="N1190" s="14" t="str">
        <f aca="false">IF($B1190="","",COUNTIFS($B$3:$B1190,$B1190))</f>
        <v/>
      </c>
      <c r="O1190" s="14" t="str">
        <f aca="false">IF($B1190="","",$B1190&amp;"|"&amp;$N1190)</f>
        <v/>
      </c>
    </row>
    <row r="1191" customFormat="false" ht="15" hidden="false" customHeight="false" outlineLevel="0" collapsed="false">
      <c r="A1191" s="12"/>
      <c r="B1191" s="9"/>
      <c r="C1191" s="9"/>
      <c r="D1191" s="9"/>
      <c r="E1191" s="9"/>
      <c r="F1191" s="9"/>
      <c r="G1191" s="9"/>
      <c r="H1191" s="7"/>
      <c r="I1191" s="13" t="str">
        <f aca="false">IF(OR($G1191="",$H1191=""),"",ROUND($G1191*$H1191,0))</f>
        <v/>
      </c>
      <c r="J1191" s="8"/>
      <c r="K1191" s="13" t="str">
        <f aca="false">IF($B1191="","",SUMIFS($I$3:$I$2002,$B$3:$B$2002,$B1191))</f>
        <v/>
      </c>
      <c r="L1191" s="13" t="str">
        <f aca="false">IF($B1191="","",IF(COUNTIFS($B$3:$B1191,$B1191)&gt;1,0,IFERROR(LOOKUP($K1191,배송비규정!$A$3:$A$32,배송비규정!$B$3:$B$32),0)+IFERROR(INDEX(지역추가비!$B$3:$B$42,MATCH($J1191,지역추가비!$A$3:$A$42,0)),0)))</f>
        <v/>
      </c>
      <c r="M1191" s="13" t="str">
        <f aca="false">IF($B1191="","",IF(COUNTIFS($B$3:$B1191,$B1191)&gt;1,"",$K1191+$L1191))</f>
        <v/>
      </c>
      <c r="N1191" s="14" t="str">
        <f aca="false">IF($B1191="","",COUNTIFS($B$3:$B1191,$B1191))</f>
        <v/>
      </c>
      <c r="O1191" s="14" t="str">
        <f aca="false">IF($B1191="","",$B1191&amp;"|"&amp;$N1191)</f>
        <v/>
      </c>
    </row>
    <row r="1192" customFormat="false" ht="15" hidden="false" customHeight="false" outlineLevel="0" collapsed="false">
      <c r="A1192" s="12"/>
      <c r="B1192" s="9"/>
      <c r="C1192" s="9"/>
      <c r="D1192" s="9"/>
      <c r="E1192" s="9"/>
      <c r="F1192" s="9"/>
      <c r="G1192" s="9"/>
      <c r="H1192" s="7"/>
      <c r="I1192" s="13" t="str">
        <f aca="false">IF(OR($G1192="",$H1192=""),"",ROUND($G1192*$H1192,0))</f>
        <v/>
      </c>
      <c r="J1192" s="8"/>
      <c r="K1192" s="13" t="str">
        <f aca="false">IF($B1192="","",SUMIFS($I$3:$I$2002,$B$3:$B$2002,$B1192))</f>
        <v/>
      </c>
      <c r="L1192" s="13" t="str">
        <f aca="false">IF($B1192="","",IF(COUNTIFS($B$3:$B1192,$B1192)&gt;1,0,IFERROR(LOOKUP($K1192,배송비규정!$A$3:$A$32,배송비규정!$B$3:$B$32),0)+IFERROR(INDEX(지역추가비!$B$3:$B$42,MATCH($J1192,지역추가비!$A$3:$A$42,0)),0)))</f>
        <v/>
      </c>
      <c r="M1192" s="13" t="str">
        <f aca="false">IF($B1192="","",IF(COUNTIFS($B$3:$B1192,$B1192)&gt;1,"",$K1192+$L1192))</f>
        <v/>
      </c>
      <c r="N1192" s="14" t="str">
        <f aca="false">IF($B1192="","",COUNTIFS($B$3:$B1192,$B1192))</f>
        <v/>
      </c>
      <c r="O1192" s="14" t="str">
        <f aca="false">IF($B1192="","",$B1192&amp;"|"&amp;$N1192)</f>
        <v/>
      </c>
    </row>
    <row r="1193" customFormat="false" ht="15" hidden="false" customHeight="false" outlineLevel="0" collapsed="false">
      <c r="A1193" s="12"/>
      <c r="B1193" s="9"/>
      <c r="C1193" s="9"/>
      <c r="D1193" s="9"/>
      <c r="E1193" s="9"/>
      <c r="F1193" s="9"/>
      <c r="G1193" s="9"/>
      <c r="H1193" s="7"/>
      <c r="I1193" s="13" t="str">
        <f aca="false">IF(OR($G1193="",$H1193=""),"",ROUND($G1193*$H1193,0))</f>
        <v/>
      </c>
      <c r="J1193" s="8"/>
      <c r="K1193" s="13" t="str">
        <f aca="false">IF($B1193="","",SUMIFS($I$3:$I$2002,$B$3:$B$2002,$B1193))</f>
        <v/>
      </c>
      <c r="L1193" s="13" t="str">
        <f aca="false">IF($B1193="","",IF(COUNTIFS($B$3:$B1193,$B1193)&gt;1,0,IFERROR(LOOKUP($K1193,배송비규정!$A$3:$A$32,배송비규정!$B$3:$B$32),0)+IFERROR(INDEX(지역추가비!$B$3:$B$42,MATCH($J1193,지역추가비!$A$3:$A$42,0)),0)))</f>
        <v/>
      </c>
      <c r="M1193" s="13" t="str">
        <f aca="false">IF($B1193="","",IF(COUNTIFS($B$3:$B1193,$B1193)&gt;1,"",$K1193+$L1193))</f>
        <v/>
      </c>
      <c r="N1193" s="14" t="str">
        <f aca="false">IF($B1193="","",COUNTIFS($B$3:$B1193,$B1193))</f>
        <v/>
      </c>
      <c r="O1193" s="14" t="str">
        <f aca="false">IF($B1193="","",$B1193&amp;"|"&amp;$N1193)</f>
        <v/>
      </c>
    </row>
    <row r="1194" customFormat="false" ht="15" hidden="false" customHeight="false" outlineLevel="0" collapsed="false">
      <c r="A1194" s="12"/>
      <c r="B1194" s="9"/>
      <c r="C1194" s="9"/>
      <c r="D1194" s="9"/>
      <c r="E1194" s="9"/>
      <c r="F1194" s="9"/>
      <c r="G1194" s="9"/>
      <c r="H1194" s="7"/>
      <c r="I1194" s="13" t="str">
        <f aca="false">IF(OR($G1194="",$H1194=""),"",ROUND($G1194*$H1194,0))</f>
        <v/>
      </c>
      <c r="J1194" s="8"/>
      <c r="K1194" s="13" t="str">
        <f aca="false">IF($B1194="","",SUMIFS($I$3:$I$2002,$B$3:$B$2002,$B1194))</f>
        <v/>
      </c>
      <c r="L1194" s="13" t="str">
        <f aca="false">IF($B1194="","",IF(COUNTIFS($B$3:$B1194,$B1194)&gt;1,0,IFERROR(LOOKUP($K1194,배송비규정!$A$3:$A$32,배송비규정!$B$3:$B$32),0)+IFERROR(INDEX(지역추가비!$B$3:$B$42,MATCH($J1194,지역추가비!$A$3:$A$42,0)),0)))</f>
        <v/>
      </c>
      <c r="M1194" s="13" t="str">
        <f aca="false">IF($B1194="","",IF(COUNTIFS($B$3:$B1194,$B1194)&gt;1,"",$K1194+$L1194))</f>
        <v/>
      </c>
      <c r="N1194" s="14" t="str">
        <f aca="false">IF($B1194="","",COUNTIFS($B$3:$B1194,$B1194))</f>
        <v/>
      </c>
      <c r="O1194" s="14" t="str">
        <f aca="false">IF($B1194="","",$B1194&amp;"|"&amp;$N1194)</f>
        <v/>
      </c>
    </row>
    <row r="1195" customFormat="false" ht="15" hidden="false" customHeight="false" outlineLevel="0" collapsed="false">
      <c r="A1195" s="12"/>
      <c r="B1195" s="9"/>
      <c r="C1195" s="9"/>
      <c r="D1195" s="9"/>
      <c r="E1195" s="9"/>
      <c r="F1195" s="9"/>
      <c r="G1195" s="9"/>
      <c r="H1195" s="7"/>
      <c r="I1195" s="13" t="str">
        <f aca="false">IF(OR($G1195="",$H1195=""),"",ROUND($G1195*$H1195,0))</f>
        <v/>
      </c>
      <c r="J1195" s="8"/>
      <c r="K1195" s="13" t="str">
        <f aca="false">IF($B1195="","",SUMIFS($I$3:$I$2002,$B$3:$B$2002,$B1195))</f>
        <v/>
      </c>
      <c r="L1195" s="13" t="str">
        <f aca="false">IF($B1195="","",IF(COUNTIFS($B$3:$B1195,$B1195)&gt;1,0,IFERROR(LOOKUP($K1195,배송비규정!$A$3:$A$32,배송비규정!$B$3:$B$32),0)+IFERROR(INDEX(지역추가비!$B$3:$B$42,MATCH($J1195,지역추가비!$A$3:$A$42,0)),0)))</f>
        <v/>
      </c>
      <c r="M1195" s="13" t="str">
        <f aca="false">IF($B1195="","",IF(COUNTIFS($B$3:$B1195,$B1195)&gt;1,"",$K1195+$L1195))</f>
        <v/>
      </c>
      <c r="N1195" s="14" t="str">
        <f aca="false">IF($B1195="","",COUNTIFS($B$3:$B1195,$B1195))</f>
        <v/>
      </c>
      <c r="O1195" s="14" t="str">
        <f aca="false">IF($B1195="","",$B1195&amp;"|"&amp;$N1195)</f>
        <v/>
      </c>
    </row>
    <row r="1196" customFormat="false" ht="15" hidden="false" customHeight="false" outlineLevel="0" collapsed="false">
      <c r="A1196" s="12"/>
      <c r="B1196" s="9"/>
      <c r="C1196" s="9"/>
      <c r="D1196" s="9"/>
      <c r="E1196" s="9"/>
      <c r="F1196" s="9"/>
      <c r="G1196" s="9"/>
      <c r="H1196" s="7"/>
      <c r="I1196" s="13" t="str">
        <f aca="false">IF(OR($G1196="",$H1196=""),"",ROUND($G1196*$H1196,0))</f>
        <v/>
      </c>
      <c r="J1196" s="8"/>
      <c r="K1196" s="13" t="str">
        <f aca="false">IF($B1196="","",SUMIFS($I$3:$I$2002,$B$3:$B$2002,$B1196))</f>
        <v/>
      </c>
      <c r="L1196" s="13" t="str">
        <f aca="false">IF($B1196="","",IF(COUNTIFS($B$3:$B1196,$B1196)&gt;1,0,IFERROR(LOOKUP($K1196,배송비규정!$A$3:$A$32,배송비규정!$B$3:$B$32),0)+IFERROR(INDEX(지역추가비!$B$3:$B$42,MATCH($J1196,지역추가비!$A$3:$A$42,0)),0)))</f>
        <v/>
      </c>
      <c r="M1196" s="13" t="str">
        <f aca="false">IF($B1196="","",IF(COUNTIFS($B$3:$B1196,$B1196)&gt;1,"",$K1196+$L1196))</f>
        <v/>
      </c>
      <c r="N1196" s="14" t="str">
        <f aca="false">IF($B1196="","",COUNTIFS($B$3:$B1196,$B1196))</f>
        <v/>
      </c>
      <c r="O1196" s="14" t="str">
        <f aca="false">IF($B1196="","",$B1196&amp;"|"&amp;$N1196)</f>
        <v/>
      </c>
    </row>
    <row r="1197" customFormat="false" ht="15" hidden="false" customHeight="false" outlineLevel="0" collapsed="false">
      <c r="A1197" s="12"/>
      <c r="B1197" s="9"/>
      <c r="C1197" s="9"/>
      <c r="D1197" s="9"/>
      <c r="E1197" s="9"/>
      <c r="F1197" s="9"/>
      <c r="G1197" s="9"/>
      <c r="H1197" s="7"/>
      <c r="I1197" s="13" t="str">
        <f aca="false">IF(OR($G1197="",$H1197=""),"",ROUND($G1197*$H1197,0))</f>
        <v/>
      </c>
      <c r="J1197" s="8"/>
      <c r="K1197" s="13" t="str">
        <f aca="false">IF($B1197="","",SUMIFS($I$3:$I$2002,$B$3:$B$2002,$B1197))</f>
        <v/>
      </c>
      <c r="L1197" s="13" t="str">
        <f aca="false">IF($B1197="","",IF(COUNTIFS($B$3:$B1197,$B1197)&gt;1,0,IFERROR(LOOKUP($K1197,배송비규정!$A$3:$A$32,배송비규정!$B$3:$B$32),0)+IFERROR(INDEX(지역추가비!$B$3:$B$42,MATCH($J1197,지역추가비!$A$3:$A$42,0)),0)))</f>
        <v/>
      </c>
      <c r="M1197" s="13" t="str">
        <f aca="false">IF($B1197="","",IF(COUNTIFS($B$3:$B1197,$B1197)&gt;1,"",$K1197+$L1197))</f>
        <v/>
      </c>
      <c r="N1197" s="14" t="str">
        <f aca="false">IF($B1197="","",COUNTIFS($B$3:$B1197,$B1197))</f>
        <v/>
      </c>
      <c r="O1197" s="14" t="str">
        <f aca="false">IF($B1197="","",$B1197&amp;"|"&amp;$N1197)</f>
        <v/>
      </c>
    </row>
    <row r="1198" customFormat="false" ht="15" hidden="false" customHeight="false" outlineLevel="0" collapsed="false">
      <c r="A1198" s="12"/>
      <c r="B1198" s="9"/>
      <c r="C1198" s="9"/>
      <c r="D1198" s="9"/>
      <c r="E1198" s="9"/>
      <c r="F1198" s="9"/>
      <c r="G1198" s="9"/>
      <c r="H1198" s="7"/>
      <c r="I1198" s="13" t="str">
        <f aca="false">IF(OR($G1198="",$H1198=""),"",ROUND($G1198*$H1198,0))</f>
        <v/>
      </c>
      <c r="J1198" s="8"/>
      <c r="K1198" s="13" t="str">
        <f aca="false">IF($B1198="","",SUMIFS($I$3:$I$2002,$B$3:$B$2002,$B1198))</f>
        <v/>
      </c>
      <c r="L1198" s="13" t="str">
        <f aca="false">IF($B1198="","",IF(COUNTIFS($B$3:$B1198,$B1198)&gt;1,0,IFERROR(LOOKUP($K1198,배송비규정!$A$3:$A$32,배송비규정!$B$3:$B$32),0)+IFERROR(INDEX(지역추가비!$B$3:$B$42,MATCH($J1198,지역추가비!$A$3:$A$42,0)),0)))</f>
        <v/>
      </c>
      <c r="M1198" s="13" t="str">
        <f aca="false">IF($B1198="","",IF(COUNTIFS($B$3:$B1198,$B1198)&gt;1,"",$K1198+$L1198))</f>
        <v/>
      </c>
      <c r="N1198" s="14" t="str">
        <f aca="false">IF($B1198="","",COUNTIFS($B$3:$B1198,$B1198))</f>
        <v/>
      </c>
      <c r="O1198" s="14" t="str">
        <f aca="false">IF($B1198="","",$B1198&amp;"|"&amp;$N1198)</f>
        <v/>
      </c>
    </row>
    <row r="1199" customFormat="false" ht="15" hidden="false" customHeight="false" outlineLevel="0" collapsed="false">
      <c r="A1199" s="12"/>
      <c r="B1199" s="9"/>
      <c r="C1199" s="9"/>
      <c r="D1199" s="9"/>
      <c r="E1199" s="9"/>
      <c r="F1199" s="9"/>
      <c r="G1199" s="9"/>
      <c r="H1199" s="7"/>
      <c r="I1199" s="13" t="str">
        <f aca="false">IF(OR($G1199="",$H1199=""),"",ROUND($G1199*$H1199,0))</f>
        <v/>
      </c>
      <c r="J1199" s="8"/>
      <c r="K1199" s="13" t="str">
        <f aca="false">IF($B1199="","",SUMIFS($I$3:$I$2002,$B$3:$B$2002,$B1199))</f>
        <v/>
      </c>
      <c r="L1199" s="13" t="str">
        <f aca="false">IF($B1199="","",IF(COUNTIFS($B$3:$B1199,$B1199)&gt;1,0,IFERROR(LOOKUP($K1199,배송비규정!$A$3:$A$32,배송비규정!$B$3:$B$32),0)+IFERROR(INDEX(지역추가비!$B$3:$B$42,MATCH($J1199,지역추가비!$A$3:$A$42,0)),0)))</f>
        <v/>
      </c>
      <c r="M1199" s="13" t="str">
        <f aca="false">IF($B1199="","",IF(COUNTIFS($B$3:$B1199,$B1199)&gt;1,"",$K1199+$L1199))</f>
        <v/>
      </c>
      <c r="N1199" s="14" t="str">
        <f aca="false">IF($B1199="","",COUNTIFS($B$3:$B1199,$B1199))</f>
        <v/>
      </c>
      <c r="O1199" s="14" t="str">
        <f aca="false">IF($B1199="","",$B1199&amp;"|"&amp;$N1199)</f>
        <v/>
      </c>
    </row>
    <row r="1200" customFormat="false" ht="15" hidden="false" customHeight="false" outlineLevel="0" collapsed="false">
      <c r="A1200" s="12"/>
      <c r="B1200" s="9"/>
      <c r="C1200" s="9"/>
      <c r="D1200" s="9"/>
      <c r="E1200" s="9"/>
      <c r="F1200" s="9"/>
      <c r="G1200" s="9"/>
      <c r="H1200" s="7"/>
      <c r="I1200" s="13" t="str">
        <f aca="false">IF(OR($G1200="",$H1200=""),"",ROUND($G1200*$H1200,0))</f>
        <v/>
      </c>
      <c r="J1200" s="8"/>
      <c r="K1200" s="13" t="str">
        <f aca="false">IF($B1200="","",SUMIFS($I$3:$I$2002,$B$3:$B$2002,$B1200))</f>
        <v/>
      </c>
      <c r="L1200" s="13" t="str">
        <f aca="false">IF($B1200="","",IF(COUNTIFS($B$3:$B1200,$B1200)&gt;1,0,IFERROR(LOOKUP($K1200,배송비규정!$A$3:$A$32,배송비규정!$B$3:$B$32),0)+IFERROR(INDEX(지역추가비!$B$3:$B$42,MATCH($J1200,지역추가비!$A$3:$A$42,0)),0)))</f>
        <v/>
      </c>
      <c r="M1200" s="13" t="str">
        <f aca="false">IF($B1200="","",IF(COUNTIFS($B$3:$B1200,$B1200)&gt;1,"",$K1200+$L1200))</f>
        <v/>
      </c>
      <c r="N1200" s="14" t="str">
        <f aca="false">IF($B1200="","",COUNTIFS($B$3:$B1200,$B1200))</f>
        <v/>
      </c>
      <c r="O1200" s="14" t="str">
        <f aca="false">IF($B1200="","",$B1200&amp;"|"&amp;$N1200)</f>
        <v/>
      </c>
    </row>
    <row r="1201" customFormat="false" ht="15" hidden="false" customHeight="false" outlineLevel="0" collapsed="false">
      <c r="A1201" s="12"/>
      <c r="B1201" s="9"/>
      <c r="C1201" s="9"/>
      <c r="D1201" s="9"/>
      <c r="E1201" s="9"/>
      <c r="F1201" s="9"/>
      <c r="G1201" s="9"/>
      <c r="H1201" s="7"/>
      <c r="I1201" s="13" t="str">
        <f aca="false">IF(OR($G1201="",$H1201=""),"",ROUND($G1201*$H1201,0))</f>
        <v/>
      </c>
      <c r="J1201" s="8"/>
      <c r="K1201" s="13" t="str">
        <f aca="false">IF($B1201="","",SUMIFS($I$3:$I$2002,$B$3:$B$2002,$B1201))</f>
        <v/>
      </c>
      <c r="L1201" s="13" t="str">
        <f aca="false">IF($B1201="","",IF(COUNTIFS($B$3:$B1201,$B1201)&gt;1,0,IFERROR(LOOKUP($K1201,배송비규정!$A$3:$A$32,배송비규정!$B$3:$B$32),0)+IFERROR(INDEX(지역추가비!$B$3:$B$42,MATCH($J1201,지역추가비!$A$3:$A$42,0)),0)))</f>
        <v/>
      </c>
      <c r="M1201" s="13" t="str">
        <f aca="false">IF($B1201="","",IF(COUNTIFS($B$3:$B1201,$B1201)&gt;1,"",$K1201+$L1201))</f>
        <v/>
      </c>
      <c r="N1201" s="14" t="str">
        <f aca="false">IF($B1201="","",COUNTIFS($B$3:$B1201,$B1201))</f>
        <v/>
      </c>
      <c r="O1201" s="14" t="str">
        <f aca="false">IF($B1201="","",$B1201&amp;"|"&amp;$N1201)</f>
        <v/>
      </c>
    </row>
    <row r="1202" customFormat="false" ht="15" hidden="false" customHeight="false" outlineLevel="0" collapsed="false">
      <c r="A1202" s="12"/>
      <c r="B1202" s="9"/>
      <c r="C1202" s="9"/>
      <c r="D1202" s="9"/>
      <c r="E1202" s="9"/>
      <c r="F1202" s="9"/>
      <c r="G1202" s="9"/>
      <c r="H1202" s="7"/>
      <c r="I1202" s="13" t="str">
        <f aca="false">IF(OR($G1202="",$H1202=""),"",ROUND($G1202*$H1202,0))</f>
        <v/>
      </c>
      <c r="J1202" s="8"/>
      <c r="K1202" s="13" t="str">
        <f aca="false">IF($B1202="","",SUMIFS($I$3:$I$2002,$B$3:$B$2002,$B1202))</f>
        <v/>
      </c>
      <c r="L1202" s="13" t="str">
        <f aca="false">IF($B1202="","",IF(COUNTIFS($B$3:$B1202,$B1202)&gt;1,0,IFERROR(LOOKUP($K1202,배송비규정!$A$3:$A$32,배송비규정!$B$3:$B$32),0)+IFERROR(INDEX(지역추가비!$B$3:$B$42,MATCH($J1202,지역추가비!$A$3:$A$42,0)),0)))</f>
        <v/>
      </c>
      <c r="M1202" s="13" t="str">
        <f aca="false">IF($B1202="","",IF(COUNTIFS($B$3:$B1202,$B1202)&gt;1,"",$K1202+$L1202))</f>
        <v/>
      </c>
      <c r="N1202" s="14" t="str">
        <f aca="false">IF($B1202="","",COUNTIFS($B$3:$B1202,$B1202))</f>
        <v/>
      </c>
      <c r="O1202" s="14" t="str">
        <f aca="false">IF($B1202="","",$B1202&amp;"|"&amp;$N1202)</f>
        <v/>
      </c>
    </row>
    <row r="1203" customFormat="false" ht="15" hidden="false" customHeight="false" outlineLevel="0" collapsed="false">
      <c r="A1203" s="12"/>
      <c r="B1203" s="9"/>
      <c r="C1203" s="9"/>
      <c r="D1203" s="9"/>
      <c r="E1203" s="9"/>
      <c r="F1203" s="9"/>
      <c r="G1203" s="9"/>
      <c r="H1203" s="7"/>
      <c r="I1203" s="13" t="str">
        <f aca="false">IF(OR($G1203="",$H1203=""),"",ROUND($G1203*$H1203,0))</f>
        <v/>
      </c>
      <c r="J1203" s="8"/>
      <c r="K1203" s="13" t="str">
        <f aca="false">IF($B1203="","",SUMIFS($I$3:$I$2002,$B$3:$B$2002,$B1203))</f>
        <v/>
      </c>
      <c r="L1203" s="13" t="str">
        <f aca="false">IF($B1203="","",IF(COUNTIFS($B$3:$B1203,$B1203)&gt;1,0,IFERROR(LOOKUP($K1203,배송비규정!$A$3:$A$32,배송비규정!$B$3:$B$32),0)+IFERROR(INDEX(지역추가비!$B$3:$B$42,MATCH($J1203,지역추가비!$A$3:$A$42,0)),0)))</f>
        <v/>
      </c>
      <c r="M1203" s="13" t="str">
        <f aca="false">IF($B1203="","",IF(COUNTIFS($B$3:$B1203,$B1203)&gt;1,"",$K1203+$L1203))</f>
        <v/>
      </c>
      <c r="N1203" s="14" t="str">
        <f aca="false">IF($B1203="","",COUNTIFS($B$3:$B1203,$B1203))</f>
        <v/>
      </c>
      <c r="O1203" s="14" t="str">
        <f aca="false">IF($B1203="","",$B1203&amp;"|"&amp;$N1203)</f>
        <v/>
      </c>
    </row>
    <row r="1204" customFormat="false" ht="15" hidden="false" customHeight="false" outlineLevel="0" collapsed="false">
      <c r="A1204" s="12"/>
      <c r="B1204" s="9"/>
      <c r="C1204" s="9"/>
      <c r="D1204" s="9"/>
      <c r="E1204" s="9"/>
      <c r="F1204" s="9"/>
      <c r="G1204" s="9"/>
      <c r="H1204" s="7"/>
      <c r="I1204" s="13" t="str">
        <f aca="false">IF(OR($G1204="",$H1204=""),"",ROUND($G1204*$H1204,0))</f>
        <v/>
      </c>
      <c r="J1204" s="8"/>
      <c r="K1204" s="13" t="str">
        <f aca="false">IF($B1204="","",SUMIFS($I$3:$I$2002,$B$3:$B$2002,$B1204))</f>
        <v/>
      </c>
      <c r="L1204" s="13" t="str">
        <f aca="false">IF($B1204="","",IF(COUNTIFS($B$3:$B1204,$B1204)&gt;1,0,IFERROR(LOOKUP($K1204,배송비규정!$A$3:$A$32,배송비규정!$B$3:$B$32),0)+IFERROR(INDEX(지역추가비!$B$3:$B$42,MATCH($J1204,지역추가비!$A$3:$A$42,0)),0)))</f>
        <v/>
      </c>
      <c r="M1204" s="13" t="str">
        <f aca="false">IF($B1204="","",IF(COUNTIFS($B$3:$B1204,$B1204)&gt;1,"",$K1204+$L1204))</f>
        <v/>
      </c>
      <c r="N1204" s="14" t="str">
        <f aca="false">IF($B1204="","",COUNTIFS($B$3:$B1204,$B1204))</f>
        <v/>
      </c>
      <c r="O1204" s="14" t="str">
        <f aca="false">IF($B1204="","",$B1204&amp;"|"&amp;$N1204)</f>
        <v/>
      </c>
    </row>
    <row r="1205" customFormat="false" ht="15" hidden="false" customHeight="false" outlineLevel="0" collapsed="false">
      <c r="A1205" s="12"/>
      <c r="B1205" s="9"/>
      <c r="C1205" s="9"/>
      <c r="D1205" s="9"/>
      <c r="E1205" s="9"/>
      <c r="F1205" s="9"/>
      <c r="G1205" s="9"/>
      <c r="H1205" s="7"/>
      <c r="I1205" s="13" t="str">
        <f aca="false">IF(OR($G1205="",$H1205=""),"",ROUND($G1205*$H1205,0))</f>
        <v/>
      </c>
      <c r="J1205" s="8"/>
      <c r="K1205" s="13" t="str">
        <f aca="false">IF($B1205="","",SUMIFS($I$3:$I$2002,$B$3:$B$2002,$B1205))</f>
        <v/>
      </c>
      <c r="L1205" s="13" t="str">
        <f aca="false">IF($B1205="","",IF(COUNTIFS($B$3:$B1205,$B1205)&gt;1,0,IFERROR(LOOKUP($K1205,배송비규정!$A$3:$A$32,배송비규정!$B$3:$B$32),0)+IFERROR(INDEX(지역추가비!$B$3:$B$42,MATCH($J1205,지역추가비!$A$3:$A$42,0)),0)))</f>
        <v/>
      </c>
      <c r="M1205" s="13" t="str">
        <f aca="false">IF($B1205="","",IF(COUNTIFS($B$3:$B1205,$B1205)&gt;1,"",$K1205+$L1205))</f>
        <v/>
      </c>
      <c r="N1205" s="14" t="str">
        <f aca="false">IF($B1205="","",COUNTIFS($B$3:$B1205,$B1205))</f>
        <v/>
      </c>
      <c r="O1205" s="14" t="str">
        <f aca="false">IF($B1205="","",$B1205&amp;"|"&amp;$N1205)</f>
        <v/>
      </c>
    </row>
    <row r="1206" customFormat="false" ht="15" hidden="false" customHeight="false" outlineLevel="0" collapsed="false">
      <c r="A1206" s="12"/>
      <c r="B1206" s="9"/>
      <c r="C1206" s="9"/>
      <c r="D1206" s="9"/>
      <c r="E1206" s="9"/>
      <c r="F1206" s="9"/>
      <c r="G1206" s="9"/>
      <c r="H1206" s="7"/>
      <c r="I1206" s="13" t="str">
        <f aca="false">IF(OR($G1206="",$H1206=""),"",ROUND($G1206*$H1206,0))</f>
        <v/>
      </c>
      <c r="J1206" s="8"/>
      <c r="K1206" s="13" t="str">
        <f aca="false">IF($B1206="","",SUMIFS($I$3:$I$2002,$B$3:$B$2002,$B1206))</f>
        <v/>
      </c>
      <c r="L1206" s="13" t="str">
        <f aca="false">IF($B1206="","",IF(COUNTIFS($B$3:$B1206,$B1206)&gt;1,0,IFERROR(LOOKUP($K1206,배송비규정!$A$3:$A$32,배송비규정!$B$3:$B$32),0)+IFERROR(INDEX(지역추가비!$B$3:$B$42,MATCH($J1206,지역추가비!$A$3:$A$42,0)),0)))</f>
        <v/>
      </c>
      <c r="M1206" s="13" t="str">
        <f aca="false">IF($B1206="","",IF(COUNTIFS($B$3:$B1206,$B1206)&gt;1,"",$K1206+$L1206))</f>
        <v/>
      </c>
      <c r="N1206" s="14" t="str">
        <f aca="false">IF($B1206="","",COUNTIFS($B$3:$B1206,$B1206))</f>
        <v/>
      </c>
      <c r="O1206" s="14" t="str">
        <f aca="false">IF($B1206="","",$B1206&amp;"|"&amp;$N1206)</f>
        <v/>
      </c>
    </row>
    <row r="1207" customFormat="false" ht="15" hidden="false" customHeight="false" outlineLevel="0" collapsed="false">
      <c r="A1207" s="12"/>
      <c r="B1207" s="9"/>
      <c r="C1207" s="9"/>
      <c r="D1207" s="9"/>
      <c r="E1207" s="9"/>
      <c r="F1207" s="9"/>
      <c r="G1207" s="9"/>
      <c r="H1207" s="7"/>
      <c r="I1207" s="13" t="str">
        <f aca="false">IF(OR($G1207="",$H1207=""),"",ROUND($G1207*$H1207,0))</f>
        <v/>
      </c>
      <c r="J1207" s="8"/>
      <c r="K1207" s="13" t="str">
        <f aca="false">IF($B1207="","",SUMIFS($I$3:$I$2002,$B$3:$B$2002,$B1207))</f>
        <v/>
      </c>
      <c r="L1207" s="13" t="str">
        <f aca="false">IF($B1207="","",IF(COUNTIFS($B$3:$B1207,$B1207)&gt;1,0,IFERROR(LOOKUP($K1207,배송비규정!$A$3:$A$32,배송비규정!$B$3:$B$32),0)+IFERROR(INDEX(지역추가비!$B$3:$B$42,MATCH($J1207,지역추가비!$A$3:$A$42,0)),0)))</f>
        <v/>
      </c>
      <c r="M1207" s="13" t="str">
        <f aca="false">IF($B1207="","",IF(COUNTIFS($B$3:$B1207,$B1207)&gt;1,"",$K1207+$L1207))</f>
        <v/>
      </c>
      <c r="N1207" s="14" t="str">
        <f aca="false">IF($B1207="","",COUNTIFS($B$3:$B1207,$B1207))</f>
        <v/>
      </c>
      <c r="O1207" s="14" t="str">
        <f aca="false">IF($B1207="","",$B1207&amp;"|"&amp;$N1207)</f>
        <v/>
      </c>
    </row>
    <row r="1208" customFormat="false" ht="15" hidden="false" customHeight="false" outlineLevel="0" collapsed="false">
      <c r="A1208" s="12"/>
      <c r="B1208" s="9"/>
      <c r="C1208" s="9"/>
      <c r="D1208" s="9"/>
      <c r="E1208" s="9"/>
      <c r="F1208" s="9"/>
      <c r="G1208" s="9"/>
      <c r="H1208" s="7"/>
      <c r="I1208" s="13" t="str">
        <f aca="false">IF(OR($G1208="",$H1208=""),"",ROUND($G1208*$H1208,0))</f>
        <v/>
      </c>
      <c r="J1208" s="8"/>
      <c r="K1208" s="13" t="str">
        <f aca="false">IF($B1208="","",SUMIFS($I$3:$I$2002,$B$3:$B$2002,$B1208))</f>
        <v/>
      </c>
      <c r="L1208" s="13" t="str">
        <f aca="false">IF($B1208="","",IF(COUNTIFS($B$3:$B1208,$B1208)&gt;1,0,IFERROR(LOOKUP($K1208,배송비규정!$A$3:$A$32,배송비규정!$B$3:$B$32),0)+IFERROR(INDEX(지역추가비!$B$3:$B$42,MATCH($J1208,지역추가비!$A$3:$A$42,0)),0)))</f>
        <v/>
      </c>
      <c r="M1208" s="13" t="str">
        <f aca="false">IF($B1208="","",IF(COUNTIFS($B$3:$B1208,$B1208)&gt;1,"",$K1208+$L1208))</f>
        <v/>
      </c>
      <c r="N1208" s="14" t="str">
        <f aca="false">IF($B1208="","",COUNTIFS($B$3:$B1208,$B1208))</f>
        <v/>
      </c>
      <c r="O1208" s="14" t="str">
        <f aca="false">IF($B1208="","",$B1208&amp;"|"&amp;$N1208)</f>
        <v/>
      </c>
    </row>
    <row r="1209" customFormat="false" ht="15" hidden="false" customHeight="false" outlineLevel="0" collapsed="false">
      <c r="A1209" s="12"/>
      <c r="B1209" s="9"/>
      <c r="C1209" s="9"/>
      <c r="D1209" s="9"/>
      <c r="E1209" s="9"/>
      <c r="F1209" s="9"/>
      <c r="G1209" s="9"/>
      <c r="H1209" s="7"/>
      <c r="I1209" s="13" t="str">
        <f aca="false">IF(OR($G1209="",$H1209=""),"",ROUND($G1209*$H1209,0))</f>
        <v/>
      </c>
      <c r="J1209" s="8"/>
      <c r="K1209" s="13" t="str">
        <f aca="false">IF($B1209="","",SUMIFS($I$3:$I$2002,$B$3:$B$2002,$B1209))</f>
        <v/>
      </c>
      <c r="L1209" s="13" t="str">
        <f aca="false">IF($B1209="","",IF(COUNTIFS($B$3:$B1209,$B1209)&gt;1,0,IFERROR(LOOKUP($K1209,배송비규정!$A$3:$A$32,배송비규정!$B$3:$B$32),0)+IFERROR(INDEX(지역추가비!$B$3:$B$42,MATCH($J1209,지역추가비!$A$3:$A$42,0)),0)))</f>
        <v/>
      </c>
      <c r="M1209" s="13" t="str">
        <f aca="false">IF($B1209="","",IF(COUNTIFS($B$3:$B1209,$B1209)&gt;1,"",$K1209+$L1209))</f>
        <v/>
      </c>
      <c r="N1209" s="14" t="str">
        <f aca="false">IF($B1209="","",COUNTIFS($B$3:$B1209,$B1209))</f>
        <v/>
      </c>
      <c r="O1209" s="14" t="str">
        <f aca="false">IF($B1209="","",$B1209&amp;"|"&amp;$N1209)</f>
        <v/>
      </c>
    </row>
    <row r="1210" customFormat="false" ht="15" hidden="false" customHeight="false" outlineLevel="0" collapsed="false">
      <c r="A1210" s="12"/>
      <c r="B1210" s="9"/>
      <c r="C1210" s="9"/>
      <c r="D1210" s="9"/>
      <c r="E1210" s="9"/>
      <c r="F1210" s="9"/>
      <c r="G1210" s="9"/>
      <c r="H1210" s="7"/>
      <c r="I1210" s="13" t="str">
        <f aca="false">IF(OR($G1210="",$H1210=""),"",ROUND($G1210*$H1210,0))</f>
        <v/>
      </c>
      <c r="J1210" s="8"/>
      <c r="K1210" s="13" t="str">
        <f aca="false">IF($B1210="","",SUMIFS($I$3:$I$2002,$B$3:$B$2002,$B1210))</f>
        <v/>
      </c>
      <c r="L1210" s="13" t="str">
        <f aca="false">IF($B1210="","",IF(COUNTIFS($B$3:$B1210,$B1210)&gt;1,0,IFERROR(LOOKUP($K1210,배송비규정!$A$3:$A$32,배송비규정!$B$3:$B$32),0)+IFERROR(INDEX(지역추가비!$B$3:$B$42,MATCH($J1210,지역추가비!$A$3:$A$42,0)),0)))</f>
        <v/>
      </c>
      <c r="M1210" s="13" t="str">
        <f aca="false">IF($B1210="","",IF(COUNTIFS($B$3:$B1210,$B1210)&gt;1,"",$K1210+$L1210))</f>
        <v/>
      </c>
      <c r="N1210" s="14" t="str">
        <f aca="false">IF($B1210="","",COUNTIFS($B$3:$B1210,$B1210))</f>
        <v/>
      </c>
      <c r="O1210" s="14" t="str">
        <f aca="false">IF($B1210="","",$B1210&amp;"|"&amp;$N1210)</f>
        <v/>
      </c>
    </row>
    <row r="1211" customFormat="false" ht="15" hidden="false" customHeight="false" outlineLevel="0" collapsed="false">
      <c r="A1211" s="12"/>
      <c r="B1211" s="9"/>
      <c r="C1211" s="9"/>
      <c r="D1211" s="9"/>
      <c r="E1211" s="9"/>
      <c r="F1211" s="9"/>
      <c r="G1211" s="9"/>
      <c r="H1211" s="7"/>
      <c r="I1211" s="13" t="str">
        <f aca="false">IF(OR($G1211="",$H1211=""),"",ROUND($G1211*$H1211,0))</f>
        <v/>
      </c>
      <c r="J1211" s="8"/>
      <c r="K1211" s="13" t="str">
        <f aca="false">IF($B1211="","",SUMIFS($I$3:$I$2002,$B$3:$B$2002,$B1211))</f>
        <v/>
      </c>
      <c r="L1211" s="13" t="str">
        <f aca="false">IF($B1211="","",IF(COUNTIFS($B$3:$B1211,$B1211)&gt;1,0,IFERROR(LOOKUP($K1211,배송비규정!$A$3:$A$32,배송비규정!$B$3:$B$32),0)+IFERROR(INDEX(지역추가비!$B$3:$B$42,MATCH($J1211,지역추가비!$A$3:$A$42,0)),0)))</f>
        <v/>
      </c>
      <c r="M1211" s="13" t="str">
        <f aca="false">IF($B1211="","",IF(COUNTIFS($B$3:$B1211,$B1211)&gt;1,"",$K1211+$L1211))</f>
        <v/>
      </c>
      <c r="N1211" s="14" t="str">
        <f aca="false">IF($B1211="","",COUNTIFS($B$3:$B1211,$B1211))</f>
        <v/>
      </c>
      <c r="O1211" s="14" t="str">
        <f aca="false">IF($B1211="","",$B1211&amp;"|"&amp;$N1211)</f>
        <v/>
      </c>
    </row>
    <row r="1212" customFormat="false" ht="15" hidden="false" customHeight="false" outlineLevel="0" collapsed="false">
      <c r="A1212" s="12"/>
      <c r="B1212" s="9"/>
      <c r="C1212" s="9"/>
      <c r="D1212" s="9"/>
      <c r="E1212" s="9"/>
      <c r="F1212" s="9"/>
      <c r="G1212" s="9"/>
      <c r="H1212" s="7"/>
      <c r="I1212" s="13" t="str">
        <f aca="false">IF(OR($G1212="",$H1212=""),"",ROUND($G1212*$H1212,0))</f>
        <v/>
      </c>
      <c r="J1212" s="8"/>
      <c r="K1212" s="13" t="str">
        <f aca="false">IF($B1212="","",SUMIFS($I$3:$I$2002,$B$3:$B$2002,$B1212))</f>
        <v/>
      </c>
      <c r="L1212" s="13" t="str">
        <f aca="false">IF($B1212="","",IF(COUNTIFS($B$3:$B1212,$B1212)&gt;1,0,IFERROR(LOOKUP($K1212,배송비규정!$A$3:$A$32,배송비규정!$B$3:$B$32),0)+IFERROR(INDEX(지역추가비!$B$3:$B$42,MATCH($J1212,지역추가비!$A$3:$A$42,0)),0)))</f>
        <v/>
      </c>
      <c r="M1212" s="13" t="str">
        <f aca="false">IF($B1212="","",IF(COUNTIFS($B$3:$B1212,$B1212)&gt;1,"",$K1212+$L1212))</f>
        <v/>
      </c>
      <c r="N1212" s="14" t="str">
        <f aca="false">IF($B1212="","",COUNTIFS($B$3:$B1212,$B1212))</f>
        <v/>
      </c>
      <c r="O1212" s="14" t="str">
        <f aca="false">IF($B1212="","",$B1212&amp;"|"&amp;$N1212)</f>
        <v/>
      </c>
    </row>
    <row r="1213" customFormat="false" ht="15" hidden="false" customHeight="false" outlineLevel="0" collapsed="false">
      <c r="A1213" s="12"/>
      <c r="B1213" s="9"/>
      <c r="C1213" s="9"/>
      <c r="D1213" s="9"/>
      <c r="E1213" s="9"/>
      <c r="F1213" s="9"/>
      <c r="G1213" s="9"/>
      <c r="H1213" s="7"/>
      <c r="I1213" s="13" t="str">
        <f aca="false">IF(OR($G1213="",$H1213=""),"",ROUND($G1213*$H1213,0))</f>
        <v/>
      </c>
      <c r="J1213" s="8"/>
      <c r="K1213" s="13" t="str">
        <f aca="false">IF($B1213="","",SUMIFS($I$3:$I$2002,$B$3:$B$2002,$B1213))</f>
        <v/>
      </c>
      <c r="L1213" s="13" t="str">
        <f aca="false">IF($B1213="","",IF(COUNTIFS($B$3:$B1213,$B1213)&gt;1,0,IFERROR(LOOKUP($K1213,배송비규정!$A$3:$A$32,배송비규정!$B$3:$B$32),0)+IFERROR(INDEX(지역추가비!$B$3:$B$42,MATCH($J1213,지역추가비!$A$3:$A$42,0)),0)))</f>
        <v/>
      </c>
      <c r="M1213" s="13" t="str">
        <f aca="false">IF($B1213="","",IF(COUNTIFS($B$3:$B1213,$B1213)&gt;1,"",$K1213+$L1213))</f>
        <v/>
      </c>
      <c r="N1213" s="14" t="str">
        <f aca="false">IF($B1213="","",COUNTIFS($B$3:$B1213,$B1213))</f>
        <v/>
      </c>
      <c r="O1213" s="14" t="str">
        <f aca="false">IF($B1213="","",$B1213&amp;"|"&amp;$N1213)</f>
        <v/>
      </c>
    </row>
    <row r="1214" customFormat="false" ht="15" hidden="false" customHeight="false" outlineLevel="0" collapsed="false">
      <c r="A1214" s="12"/>
      <c r="B1214" s="9"/>
      <c r="C1214" s="9"/>
      <c r="D1214" s="9"/>
      <c r="E1214" s="9"/>
      <c r="F1214" s="9"/>
      <c r="G1214" s="9"/>
      <c r="H1214" s="7"/>
      <c r="I1214" s="13" t="str">
        <f aca="false">IF(OR($G1214="",$H1214=""),"",ROUND($G1214*$H1214,0))</f>
        <v/>
      </c>
      <c r="J1214" s="8"/>
      <c r="K1214" s="13" t="str">
        <f aca="false">IF($B1214="","",SUMIFS($I$3:$I$2002,$B$3:$B$2002,$B1214))</f>
        <v/>
      </c>
      <c r="L1214" s="13" t="str">
        <f aca="false">IF($B1214="","",IF(COUNTIFS($B$3:$B1214,$B1214)&gt;1,0,IFERROR(LOOKUP($K1214,배송비규정!$A$3:$A$32,배송비규정!$B$3:$B$32),0)+IFERROR(INDEX(지역추가비!$B$3:$B$42,MATCH($J1214,지역추가비!$A$3:$A$42,0)),0)))</f>
        <v/>
      </c>
      <c r="M1214" s="13" t="str">
        <f aca="false">IF($B1214="","",IF(COUNTIFS($B$3:$B1214,$B1214)&gt;1,"",$K1214+$L1214))</f>
        <v/>
      </c>
      <c r="N1214" s="14" t="str">
        <f aca="false">IF($B1214="","",COUNTIFS($B$3:$B1214,$B1214))</f>
        <v/>
      </c>
      <c r="O1214" s="14" t="str">
        <f aca="false">IF($B1214="","",$B1214&amp;"|"&amp;$N1214)</f>
        <v/>
      </c>
    </row>
    <row r="1215" customFormat="false" ht="15" hidden="false" customHeight="false" outlineLevel="0" collapsed="false">
      <c r="A1215" s="12"/>
      <c r="B1215" s="9"/>
      <c r="C1215" s="9"/>
      <c r="D1215" s="9"/>
      <c r="E1215" s="9"/>
      <c r="F1215" s="9"/>
      <c r="G1215" s="9"/>
      <c r="H1215" s="7"/>
      <c r="I1215" s="13" t="str">
        <f aca="false">IF(OR($G1215="",$H1215=""),"",ROUND($G1215*$H1215,0))</f>
        <v/>
      </c>
      <c r="J1215" s="8"/>
      <c r="K1215" s="13" t="str">
        <f aca="false">IF($B1215="","",SUMIFS($I$3:$I$2002,$B$3:$B$2002,$B1215))</f>
        <v/>
      </c>
      <c r="L1215" s="13" t="str">
        <f aca="false">IF($B1215="","",IF(COUNTIFS($B$3:$B1215,$B1215)&gt;1,0,IFERROR(LOOKUP($K1215,배송비규정!$A$3:$A$32,배송비규정!$B$3:$B$32),0)+IFERROR(INDEX(지역추가비!$B$3:$B$42,MATCH($J1215,지역추가비!$A$3:$A$42,0)),0)))</f>
        <v/>
      </c>
      <c r="M1215" s="13" t="str">
        <f aca="false">IF($B1215="","",IF(COUNTIFS($B$3:$B1215,$B1215)&gt;1,"",$K1215+$L1215))</f>
        <v/>
      </c>
      <c r="N1215" s="14" t="str">
        <f aca="false">IF($B1215="","",COUNTIFS($B$3:$B1215,$B1215))</f>
        <v/>
      </c>
      <c r="O1215" s="14" t="str">
        <f aca="false">IF($B1215="","",$B1215&amp;"|"&amp;$N1215)</f>
        <v/>
      </c>
    </row>
    <row r="1216" customFormat="false" ht="15" hidden="false" customHeight="false" outlineLevel="0" collapsed="false">
      <c r="A1216" s="12"/>
      <c r="B1216" s="9"/>
      <c r="C1216" s="9"/>
      <c r="D1216" s="9"/>
      <c r="E1216" s="9"/>
      <c r="F1216" s="9"/>
      <c r="G1216" s="9"/>
      <c r="H1216" s="7"/>
      <c r="I1216" s="13" t="str">
        <f aca="false">IF(OR($G1216="",$H1216=""),"",ROUND($G1216*$H1216,0))</f>
        <v/>
      </c>
      <c r="J1216" s="8"/>
      <c r="K1216" s="13" t="str">
        <f aca="false">IF($B1216="","",SUMIFS($I$3:$I$2002,$B$3:$B$2002,$B1216))</f>
        <v/>
      </c>
      <c r="L1216" s="13" t="str">
        <f aca="false">IF($B1216="","",IF(COUNTIFS($B$3:$B1216,$B1216)&gt;1,0,IFERROR(LOOKUP($K1216,배송비규정!$A$3:$A$32,배송비규정!$B$3:$B$32),0)+IFERROR(INDEX(지역추가비!$B$3:$B$42,MATCH($J1216,지역추가비!$A$3:$A$42,0)),0)))</f>
        <v/>
      </c>
      <c r="M1216" s="13" t="str">
        <f aca="false">IF($B1216="","",IF(COUNTIFS($B$3:$B1216,$B1216)&gt;1,"",$K1216+$L1216))</f>
        <v/>
      </c>
      <c r="N1216" s="14" t="str">
        <f aca="false">IF($B1216="","",COUNTIFS($B$3:$B1216,$B1216))</f>
        <v/>
      </c>
      <c r="O1216" s="14" t="str">
        <f aca="false">IF($B1216="","",$B1216&amp;"|"&amp;$N1216)</f>
        <v/>
      </c>
    </row>
    <row r="1217" customFormat="false" ht="15" hidden="false" customHeight="false" outlineLevel="0" collapsed="false">
      <c r="A1217" s="12"/>
      <c r="B1217" s="9"/>
      <c r="C1217" s="9"/>
      <c r="D1217" s="9"/>
      <c r="E1217" s="9"/>
      <c r="F1217" s="9"/>
      <c r="G1217" s="9"/>
      <c r="H1217" s="7"/>
      <c r="I1217" s="13" t="str">
        <f aca="false">IF(OR($G1217="",$H1217=""),"",ROUND($G1217*$H1217,0))</f>
        <v/>
      </c>
      <c r="J1217" s="8"/>
      <c r="K1217" s="13" t="str">
        <f aca="false">IF($B1217="","",SUMIFS($I$3:$I$2002,$B$3:$B$2002,$B1217))</f>
        <v/>
      </c>
      <c r="L1217" s="13" t="str">
        <f aca="false">IF($B1217="","",IF(COUNTIFS($B$3:$B1217,$B1217)&gt;1,0,IFERROR(LOOKUP($K1217,배송비규정!$A$3:$A$32,배송비규정!$B$3:$B$32),0)+IFERROR(INDEX(지역추가비!$B$3:$B$42,MATCH($J1217,지역추가비!$A$3:$A$42,0)),0)))</f>
        <v/>
      </c>
      <c r="M1217" s="13" t="str">
        <f aca="false">IF($B1217="","",IF(COUNTIFS($B$3:$B1217,$B1217)&gt;1,"",$K1217+$L1217))</f>
        <v/>
      </c>
      <c r="N1217" s="14" t="str">
        <f aca="false">IF($B1217="","",COUNTIFS($B$3:$B1217,$B1217))</f>
        <v/>
      </c>
      <c r="O1217" s="14" t="str">
        <f aca="false">IF($B1217="","",$B1217&amp;"|"&amp;$N1217)</f>
        <v/>
      </c>
    </row>
    <row r="1218" customFormat="false" ht="15" hidden="false" customHeight="false" outlineLevel="0" collapsed="false">
      <c r="A1218" s="12"/>
      <c r="B1218" s="9"/>
      <c r="C1218" s="9"/>
      <c r="D1218" s="9"/>
      <c r="E1218" s="9"/>
      <c r="F1218" s="9"/>
      <c r="G1218" s="9"/>
      <c r="H1218" s="7"/>
      <c r="I1218" s="13" t="str">
        <f aca="false">IF(OR($G1218="",$H1218=""),"",ROUND($G1218*$H1218,0))</f>
        <v/>
      </c>
      <c r="J1218" s="8"/>
      <c r="K1218" s="13" t="str">
        <f aca="false">IF($B1218="","",SUMIFS($I$3:$I$2002,$B$3:$B$2002,$B1218))</f>
        <v/>
      </c>
      <c r="L1218" s="13" t="str">
        <f aca="false">IF($B1218="","",IF(COUNTIFS($B$3:$B1218,$B1218)&gt;1,0,IFERROR(LOOKUP($K1218,배송비규정!$A$3:$A$32,배송비규정!$B$3:$B$32),0)+IFERROR(INDEX(지역추가비!$B$3:$B$42,MATCH($J1218,지역추가비!$A$3:$A$42,0)),0)))</f>
        <v/>
      </c>
      <c r="M1218" s="13" t="str">
        <f aca="false">IF($B1218="","",IF(COUNTIFS($B$3:$B1218,$B1218)&gt;1,"",$K1218+$L1218))</f>
        <v/>
      </c>
      <c r="N1218" s="14" t="str">
        <f aca="false">IF($B1218="","",COUNTIFS($B$3:$B1218,$B1218))</f>
        <v/>
      </c>
      <c r="O1218" s="14" t="str">
        <f aca="false">IF($B1218="","",$B1218&amp;"|"&amp;$N1218)</f>
        <v/>
      </c>
    </row>
    <row r="1219" customFormat="false" ht="15" hidden="false" customHeight="false" outlineLevel="0" collapsed="false">
      <c r="A1219" s="12"/>
      <c r="B1219" s="9"/>
      <c r="C1219" s="9"/>
      <c r="D1219" s="9"/>
      <c r="E1219" s="9"/>
      <c r="F1219" s="9"/>
      <c r="G1219" s="9"/>
      <c r="H1219" s="7"/>
      <c r="I1219" s="13" t="str">
        <f aca="false">IF(OR($G1219="",$H1219=""),"",ROUND($G1219*$H1219,0))</f>
        <v/>
      </c>
      <c r="J1219" s="8"/>
      <c r="K1219" s="13" t="str">
        <f aca="false">IF($B1219="","",SUMIFS($I$3:$I$2002,$B$3:$B$2002,$B1219))</f>
        <v/>
      </c>
      <c r="L1219" s="13" t="str">
        <f aca="false">IF($B1219="","",IF(COUNTIFS($B$3:$B1219,$B1219)&gt;1,0,IFERROR(LOOKUP($K1219,배송비규정!$A$3:$A$32,배송비규정!$B$3:$B$32),0)+IFERROR(INDEX(지역추가비!$B$3:$B$42,MATCH($J1219,지역추가비!$A$3:$A$42,0)),0)))</f>
        <v/>
      </c>
      <c r="M1219" s="13" t="str">
        <f aca="false">IF($B1219="","",IF(COUNTIFS($B$3:$B1219,$B1219)&gt;1,"",$K1219+$L1219))</f>
        <v/>
      </c>
      <c r="N1219" s="14" t="str">
        <f aca="false">IF($B1219="","",COUNTIFS($B$3:$B1219,$B1219))</f>
        <v/>
      </c>
      <c r="O1219" s="14" t="str">
        <f aca="false">IF($B1219="","",$B1219&amp;"|"&amp;$N1219)</f>
        <v/>
      </c>
    </row>
    <row r="1220" customFormat="false" ht="15" hidden="false" customHeight="false" outlineLevel="0" collapsed="false">
      <c r="A1220" s="12"/>
      <c r="B1220" s="9"/>
      <c r="C1220" s="9"/>
      <c r="D1220" s="9"/>
      <c r="E1220" s="9"/>
      <c r="F1220" s="9"/>
      <c r="G1220" s="9"/>
      <c r="H1220" s="7"/>
      <c r="I1220" s="13" t="str">
        <f aca="false">IF(OR($G1220="",$H1220=""),"",ROUND($G1220*$H1220,0))</f>
        <v/>
      </c>
      <c r="J1220" s="8"/>
      <c r="K1220" s="13" t="str">
        <f aca="false">IF($B1220="","",SUMIFS($I$3:$I$2002,$B$3:$B$2002,$B1220))</f>
        <v/>
      </c>
      <c r="L1220" s="13" t="str">
        <f aca="false">IF($B1220="","",IF(COUNTIFS($B$3:$B1220,$B1220)&gt;1,0,IFERROR(LOOKUP($K1220,배송비규정!$A$3:$A$32,배송비규정!$B$3:$B$32),0)+IFERROR(INDEX(지역추가비!$B$3:$B$42,MATCH($J1220,지역추가비!$A$3:$A$42,0)),0)))</f>
        <v/>
      </c>
      <c r="M1220" s="13" t="str">
        <f aca="false">IF($B1220="","",IF(COUNTIFS($B$3:$B1220,$B1220)&gt;1,"",$K1220+$L1220))</f>
        <v/>
      </c>
      <c r="N1220" s="14" t="str">
        <f aca="false">IF($B1220="","",COUNTIFS($B$3:$B1220,$B1220))</f>
        <v/>
      </c>
      <c r="O1220" s="14" t="str">
        <f aca="false">IF($B1220="","",$B1220&amp;"|"&amp;$N1220)</f>
        <v/>
      </c>
    </row>
    <row r="1221" customFormat="false" ht="15" hidden="false" customHeight="false" outlineLevel="0" collapsed="false">
      <c r="A1221" s="12"/>
      <c r="B1221" s="9"/>
      <c r="C1221" s="9"/>
      <c r="D1221" s="9"/>
      <c r="E1221" s="9"/>
      <c r="F1221" s="9"/>
      <c r="G1221" s="9"/>
      <c r="H1221" s="7"/>
      <c r="I1221" s="13" t="str">
        <f aca="false">IF(OR($G1221="",$H1221=""),"",ROUND($G1221*$H1221,0))</f>
        <v/>
      </c>
      <c r="J1221" s="8"/>
      <c r="K1221" s="13" t="str">
        <f aca="false">IF($B1221="","",SUMIFS($I$3:$I$2002,$B$3:$B$2002,$B1221))</f>
        <v/>
      </c>
      <c r="L1221" s="13" t="str">
        <f aca="false">IF($B1221="","",IF(COUNTIFS($B$3:$B1221,$B1221)&gt;1,0,IFERROR(LOOKUP($K1221,배송비규정!$A$3:$A$32,배송비규정!$B$3:$B$32),0)+IFERROR(INDEX(지역추가비!$B$3:$B$42,MATCH($J1221,지역추가비!$A$3:$A$42,0)),0)))</f>
        <v/>
      </c>
      <c r="M1221" s="13" t="str">
        <f aca="false">IF($B1221="","",IF(COUNTIFS($B$3:$B1221,$B1221)&gt;1,"",$K1221+$L1221))</f>
        <v/>
      </c>
      <c r="N1221" s="14" t="str">
        <f aca="false">IF($B1221="","",COUNTIFS($B$3:$B1221,$B1221))</f>
        <v/>
      </c>
      <c r="O1221" s="14" t="str">
        <f aca="false">IF($B1221="","",$B1221&amp;"|"&amp;$N1221)</f>
        <v/>
      </c>
    </row>
    <row r="1222" customFormat="false" ht="15" hidden="false" customHeight="false" outlineLevel="0" collapsed="false">
      <c r="A1222" s="12"/>
      <c r="B1222" s="9"/>
      <c r="C1222" s="9"/>
      <c r="D1222" s="9"/>
      <c r="E1222" s="9"/>
      <c r="F1222" s="9"/>
      <c r="G1222" s="9"/>
      <c r="H1222" s="7"/>
      <c r="I1222" s="13" t="str">
        <f aca="false">IF(OR($G1222="",$H1222=""),"",ROUND($G1222*$H1222,0))</f>
        <v/>
      </c>
      <c r="J1222" s="8"/>
      <c r="K1222" s="13" t="str">
        <f aca="false">IF($B1222="","",SUMIFS($I$3:$I$2002,$B$3:$B$2002,$B1222))</f>
        <v/>
      </c>
      <c r="L1222" s="13" t="str">
        <f aca="false">IF($B1222="","",IF(COUNTIFS($B$3:$B1222,$B1222)&gt;1,0,IFERROR(LOOKUP($K1222,배송비규정!$A$3:$A$32,배송비규정!$B$3:$B$32),0)+IFERROR(INDEX(지역추가비!$B$3:$B$42,MATCH($J1222,지역추가비!$A$3:$A$42,0)),0)))</f>
        <v/>
      </c>
      <c r="M1222" s="13" t="str">
        <f aca="false">IF($B1222="","",IF(COUNTIFS($B$3:$B1222,$B1222)&gt;1,"",$K1222+$L1222))</f>
        <v/>
      </c>
      <c r="N1222" s="14" t="str">
        <f aca="false">IF($B1222="","",COUNTIFS($B$3:$B1222,$B1222))</f>
        <v/>
      </c>
      <c r="O1222" s="14" t="str">
        <f aca="false">IF($B1222="","",$B1222&amp;"|"&amp;$N1222)</f>
        <v/>
      </c>
    </row>
    <row r="1223" customFormat="false" ht="15" hidden="false" customHeight="false" outlineLevel="0" collapsed="false">
      <c r="A1223" s="12"/>
      <c r="B1223" s="9"/>
      <c r="C1223" s="9"/>
      <c r="D1223" s="9"/>
      <c r="E1223" s="9"/>
      <c r="F1223" s="9"/>
      <c r="G1223" s="9"/>
      <c r="H1223" s="7"/>
      <c r="I1223" s="13" t="str">
        <f aca="false">IF(OR($G1223="",$H1223=""),"",ROUND($G1223*$H1223,0))</f>
        <v/>
      </c>
      <c r="J1223" s="8"/>
      <c r="K1223" s="13" t="str">
        <f aca="false">IF($B1223="","",SUMIFS($I$3:$I$2002,$B$3:$B$2002,$B1223))</f>
        <v/>
      </c>
      <c r="L1223" s="13" t="str">
        <f aca="false">IF($B1223="","",IF(COUNTIFS($B$3:$B1223,$B1223)&gt;1,0,IFERROR(LOOKUP($K1223,배송비규정!$A$3:$A$32,배송비규정!$B$3:$B$32),0)+IFERROR(INDEX(지역추가비!$B$3:$B$42,MATCH($J1223,지역추가비!$A$3:$A$42,0)),0)))</f>
        <v/>
      </c>
      <c r="M1223" s="13" t="str">
        <f aca="false">IF($B1223="","",IF(COUNTIFS($B$3:$B1223,$B1223)&gt;1,"",$K1223+$L1223))</f>
        <v/>
      </c>
      <c r="N1223" s="14" t="str">
        <f aca="false">IF($B1223="","",COUNTIFS($B$3:$B1223,$B1223))</f>
        <v/>
      </c>
      <c r="O1223" s="14" t="str">
        <f aca="false">IF($B1223="","",$B1223&amp;"|"&amp;$N1223)</f>
        <v/>
      </c>
    </row>
    <row r="1224" customFormat="false" ht="15" hidden="false" customHeight="false" outlineLevel="0" collapsed="false">
      <c r="A1224" s="12"/>
      <c r="B1224" s="9"/>
      <c r="C1224" s="9"/>
      <c r="D1224" s="9"/>
      <c r="E1224" s="9"/>
      <c r="F1224" s="9"/>
      <c r="G1224" s="9"/>
      <c r="H1224" s="7"/>
      <c r="I1224" s="13" t="str">
        <f aca="false">IF(OR($G1224="",$H1224=""),"",ROUND($G1224*$H1224,0))</f>
        <v/>
      </c>
      <c r="J1224" s="8"/>
      <c r="K1224" s="13" t="str">
        <f aca="false">IF($B1224="","",SUMIFS($I$3:$I$2002,$B$3:$B$2002,$B1224))</f>
        <v/>
      </c>
      <c r="L1224" s="13" t="str">
        <f aca="false">IF($B1224="","",IF(COUNTIFS($B$3:$B1224,$B1224)&gt;1,0,IFERROR(LOOKUP($K1224,배송비규정!$A$3:$A$32,배송비규정!$B$3:$B$32),0)+IFERROR(INDEX(지역추가비!$B$3:$B$42,MATCH($J1224,지역추가비!$A$3:$A$42,0)),0)))</f>
        <v/>
      </c>
      <c r="M1224" s="13" t="str">
        <f aca="false">IF($B1224="","",IF(COUNTIFS($B$3:$B1224,$B1224)&gt;1,"",$K1224+$L1224))</f>
        <v/>
      </c>
      <c r="N1224" s="14" t="str">
        <f aca="false">IF($B1224="","",COUNTIFS($B$3:$B1224,$B1224))</f>
        <v/>
      </c>
      <c r="O1224" s="14" t="str">
        <f aca="false">IF($B1224="","",$B1224&amp;"|"&amp;$N1224)</f>
        <v/>
      </c>
    </row>
    <row r="1225" customFormat="false" ht="15" hidden="false" customHeight="false" outlineLevel="0" collapsed="false">
      <c r="A1225" s="12"/>
      <c r="B1225" s="9"/>
      <c r="C1225" s="9"/>
      <c r="D1225" s="9"/>
      <c r="E1225" s="9"/>
      <c r="F1225" s="9"/>
      <c r="G1225" s="9"/>
      <c r="H1225" s="7"/>
      <c r="I1225" s="13" t="str">
        <f aca="false">IF(OR($G1225="",$H1225=""),"",ROUND($G1225*$H1225,0))</f>
        <v/>
      </c>
      <c r="J1225" s="8"/>
      <c r="K1225" s="13" t="str">
        <f aca="false">IF($B1225="","",SUMIFS($I$3:$I$2002,$B$3:$B$2002,$B1225))</f>
        <v/>
      </c>
      <c r="L1225" s="13" t="str">
        <f aca="false">IF($B1225="","",IF(COUNTIFS($B$3:$B1225,$B1225)&gt;1,0,IFERROR(LOOKUP($K1225,배송비규정!$A$3:$A$32,배송비규정!$B$3:$B$32),0)+IFERROR(INDEX(지역추가비!$B$3:$B$42,MATCH($J1225,지역추가비!$A$3:$A$42,0)),0)))</f>
        <v/>
      </c>
      <c r="M1225" s="13" t="str">
        <f aca="false">IF($B1225="","",IF(COUNTIFS($B$3:$B1225,$B1225)&gt;1,"",$K1225+$L1225))</f>
        <v/>
      </c>
      <c r="N1225" s="14" t="str">
        <f aca="false">IF($B1225="","",COUNTIFS($B$3:$B1225,$B1225))</f>
        <v/>
      </c>
      <c r="O1225" s="14" t="str">
        <f aca="false">IF($B1225="","",$B1225&amp;"|"&amp;$N1225)</f>
        <v/>
      </c>
    </row>
    <row r="1226" customFormat="false" ht="15" hidden="false" customHeight="false" outlineLevel="0" collapsed="false">
      <c r="A1226" s="12"/>
      <c r="B1226" s="9"/>
      <c r="C1226" s="9"/>
      <c r="D1226" s="9"/>
      <c r="E1226" s="9"/>
      <c r="F1226" s="9"/>
      <c r="G1226" s="9"/>
      <c r="H1226" s="7"/>
      <c r="I1226" s="13" t="str">
        <f aca="false">IF(OR($G1226="",$H1226=""),"",ROUND($G1226*$H1226,0))</f>
        <v/>
      </c>
      <c r="J1226" s="8"/>
      <c r="K1226" s="13" t="str">
        <f aca="false">IF($B1226="","",SUMIFS($I$3:$I$2002,$B$3:$B$2002,$B1226))</f>
        <v/>
      </c>
      <c r="L1226" s="13" t="str">
        <f aca="false">IF($B1226="","",IF(COUNTIFS($B$3:$B1226,$B1226)&gt;1,0,IFERROR(LOOKUP($K1226,배송비규정!$A$3:$A$32,배송비규정!$B$3:$B$32),0)+IFERROR(INDEX(지역추가비!$B$3:$B$42,MATCH($J1226,지역추가비!$A$3:$A$42,0)),0)))</f>
        <v/>
      </c>
      <c r="M1226" s="13" t="str">
        <f aca="false">IF($B1226="","",IF(COUNTIFS($B$3:$B1226,$B1226)&gt;1,"",$K1226+$L1226))</f>
        <v/>
      </c>
      <c r="N1226" s="14" t="str">
        <f aca="false">IF($B1226="","",COUNTIFS($B$3:$B1226,$B1226))</f>
        <v/>
      </c>
      <c r="O1226" s="14" t="str">
        <f aca="false">IF($B1226="","",$B1226&amp;"|"&amp;$N1226)</f>
        <v/>
      </c>
    </row>
    <row r="1227" customFormat="false" ht="15" hidden="false" customHeight="false" outlineLevel="0" collapsed="false">
      <c r="A1227" s="12"/>
      <c r="B1227" s="9"/>
      <c r="C1227" s="9"/>
      <c r="D1227" s="9"/>
      <c r="E1227" s="9"/>
      <c r="F1227" s="9"/>
      <c r="G1227" s="9"/>
      <c r="H1227" s="7"/>
      <c r="I1227" s="13" t="str">
        <f aca="false">IF(OR($G1227="",$H1227=""),"",ROUND($G1227*$H1227,0))</f>
        <v/>
      </c>
      <c r="J1227" s="8"/>
      <c r="K1227" s="13" t="str">
        <f aca="false">IF($B1227="","",SUMIFS($I$3:$I$2002,$B$3:$B$2002,$B1227))</f>
        <v/>
      </c>
      <c r="L1227" s="13" t="str">
        <f aca="false">IF($B1227="","",IF(COUNTIFS($B$3:$B1227,$B1227)&gt;1,0,IFERROR(LOOKUP($K1227,배송비규정!$A$3:$A$32,배송비규정!$B$3:$B$32),0)+IFERROR(INDEX(지역추가비!$B$3:$B$42,MATCH($J1227,지역추가비!$A$3:$A$42,0)),0)))</f>
        <v/>
      </c>
      <c r="M1227" s="13" t="str">
        <f aca="false">IF($B1227="","",IF(COUNTIFS($B$3:$B1227,$B1227)&gt;1,"",$K1227+$L1227))</f>
        <v/>
      </c>
      <c r="N1227" s="14" t="str">
        <f aca="false">IF($B1227="","",COUNTIFS($B$3:$B1227,$B1227))</f>
        <v/>
      </c>
      <c r="O1227" s="14" t="str">
        <f aca="false">IF($B1227="","",$B1227&amp;"|"&amp;$N1227)</f>
        <v/>
      </c>
    </row>
    <row r="1228" customFormat="false" ht="15" hidden="false" customHeight="false" outlineLevel="0" collapsed="false">
      <c r="A1228" s="12"/>
      <c r="B1228" s="9"/>
      <c r="C1228" s="9"/>
      <c r="D1228" s="9"/>
      <c r="E1228" s="9"/>
      <c r="F1228" s="9"/>
      <c r="G1228" s="9"/>
      <c r="H1228" s="7"/>
      <c r="I1228" s="13" t="str">
        <f aca="false">IF(OR($G1228="",$H1228=""),"",ROUND($G1228*$H1228,0))</f>
        <v/>
      </c>
      <c r="J1228" s="8"/>
      <c r="K1228" s="13" t="str">
        <f aca="false">IF($B1228="","",SUMIFS($I$3:$I$2002,$B$3:$B$2002,$B1228))</f>
        <v/>
      </c>
      <c r="L1228" s="13" t="str">
        <f aca="false">IF($B1228="","",IF(COUNTIFS($B$3:$B1228,$B1228)&gt;1,0,IFERROR(LOOKUP($K1228,배송비규정!$A$3:$A$32,배송비규정!$B$3:$B$32),0)+IFERROR(INDEX(지역추가비!$B$3:$B$42,MATCH($J1228,지역추가비!$A$3:$A$42,0)),0)))</f>
        <v/>
      </c>
      <c r="M1228" s="13" t="str">
        <f aca="false">IF($B1228="","",IF(COUNTIFS($B$3:$B1228,$B1228)&gt;1,"",$K1228+$L1228))</f>
        <v/>
      </c>
      <c r="N1228" s="14" t="str">
        <f aca="false">IF($B1228="","",COUNTIFS($B$3:$B1228,$B1228))</f>
        <v/>
      </c>
      <c r="O1228" s="14" t="str">
        <f aca="false">IF($B1228="","",$B1228&amp;"|"&amp;$N1228)</f>
        <v/>
      </c>
    </row>
    <row r="1229" customFormat="false" ht="15" hidden="false" customHeight="false" outlineLevel="0" collapsed="false">
      <c r="A1229" s="12"/>
      <c r="B1229" s="9"/>
      <c r="C1229" s="9"/>
      <c r="D1229" s="9"/>
      <c r="E1229" s="9"/>
      <c r="F1229" s="9"/>
      <c r="G1229" s="9"/>
      <c r="H1229" s="7"/>
      <c r="I1229" s="13" t="str">
        <f aca="false">IF(OR($G1229="",$H1229=""),"",ROUND($G1229*$H1229,0))</f>
        <v/>
      </c>
      <c r="J1229" s="8"/>
      <c r="K1229" s="13" t="str">
        <f aca="false">IF($B1229="","",SUMIFS($I$3:$I$2002,$B$3:$B$2002,$B1229))</f>
        <v/>
      </c>
      <c r="L1229" s="13" t="str">
        <f aca="false">IF($B1229="","",IF(COUNTIFS($B$3:$B1229,$B1229)&gt;1,0,IFERROR(LOOKUP($K1229,배송비규정!$A$3:$A$32,배송비규정!$B$3:$B$32),0)+IFERROR(INDEX(지역추가비!$B$3:$B$42,MATCH($J1229,지역추가비!$A$3:$A$42,0)),0)))</f>
        <v/>
      </c>
      <c r="M1229" s="13" t="str">
        <f aca="false">IF($B1229="","",IF(COUNTIFS($B$3:$B1229,$B1229)&gt;1,"",$K1229+$L1229))</f>
        <v/>
      </c>
      <c r="N1229" s="14" t="str">
        <f aca="false">IF($B1229="","",COUNTIFS($B$3:$B1229,$B1229))</f>
        <v/>
      </c>
      <c r="O1229" s="14" t="str">
        <f aca="false">IF($B1229="","",$B1229&amp;"|"&amp;$N1229)</f>
        <v/>
      </c>
    </row>
    <row r="1230" customFormat="false" ht="15" hidden="false" customHeight="false" outlineLevel="0" collapsed="false">
      <c r="A1230" s="12"/>
      <c r="B1230" s="9"/>
      <c r="C1230" s="9"/>
      <c r="D1230" s="9"/>
      <c r="E1230" s="9"/>
      <c r="F1230" s="9"/>
      <c r="G1230" s="9"/>
      <c r="H1230" s="7"/>
      <c r="I1230" s="13" t="str">
        <f aca="false">IF(OR($G1230="",$H1230=""),"",ROUND($G1230*$H1230,0))</f>
        <v/>
      </c>
      <c r="J1230" s="8"/>
      <c r="K1230" s="13" t="str">
        <f aca="false">IF($B1230="","",SUMIFS($I$3:$I$2002,$B$3:$B$2002,$B1230))</f>
        <v/>
      </c>
      <c r="L1230" s="13" t="str">
        <f aca="false">IF($B1230="","",IF(COUNTIFS($B$3:$B1230,$B1230)&gt;1,0,IFERROR(LOOKUP($K1230,배송비규정!$A$3:$A$32,배송비규정!$B$3:$B$32),0)+IFERROR(INDEX(지역추가비!$B$3:$B$42,MATCH($J1230,지역추가비!$A$3:$A$42,0)),0)))</f>
        <v/>
      </c>
      <c r="M1230" s="13" t="str">
        <f aca="false">IF($B1230="","",IF(COUNTIFS($B$3:$B1230,$B1230)&gt;1,"",$K1230+$L1230))</f>
        <v/>
      </c>
      <c r="N1230" s="14" t="str">
        <f aca="false">IF($B1230="","",COUNTIFS($B$3:$B1230,$B1230))</f>
        <v/>
      </c>
      <c r="O1230" s="14" t="str">
        <f aca="false">IF($B1230="","",$B1230&amp;"|"&amp;$N1230)</f>
        <v/>
      </c>
    </row>
    <row r="1231" customFormat="false" ht="15" hidden="false" customHeight="false" outlineLevel="0" collapsed="false">
      <c r="A1231" s="12"/>
      <c r="B1231" s="9"/>
      <c r="C1231" s="9"/>
      <c r="D1231" s="9"/>
      <c r="E1231" s="9"/>
      <c r="F1231" s="9"/>
      <c r="G1231" s="9"/>
      <c r="H1231" s="7"/>
      <c r="I1231" s="13" t="str">
        <f aca="false">IF(OR($G1231="",$H1231=""),"",ROUND($G1231*$H1231,0))</f>
        <v/>
      </c>
      <c r="J1231" s="8"/>
      <c r="K1231" s="13" t="str">
        <f aca="false">IF($B1231="","",SUMIFS($I$3:$I$2002,$B$3:$B$2002,$B1231))</f>
        <v/>
      </c>
      <c r="L1231" s="13" t="str">
        <f aca="false">IF($B1231="","",IF(COUNTIFS($B$3:$B1231,$B1231)&gt;1,0,IFERROR(LOOKUP($K1231,배송비규정!$A$3:$A$32,배송비규정!$B$3:$B$32),0)+IFERROR(INDEX(지역추가비!$B$3:$B$42,MATCH($J1231,지역추가비!$A$3:$A$42,0)),0)))</f>
        <v/>
      </c>
      <c r="M1231" s="13" t="str">
        <f aca="false">IF($B1231="","",IF(COUNTIFS($B$3:$B1231,$B1231)&gt;1,"",$K1231+$L1231))</f>
        <v/>
      </c>
      <c r="N1231" s="14" t="str">
        <f aca="false">IF($B1231="","",COUNTIFS($B$3:$B1231,$B1231))</f>
        <v/>
      </c>
      <c r="O1231" s="14" t="str">
        <f aca="false">IF($B1231="","",$B1231&amp;"|"&amp;$N1231)</f>
        <v/>
      </c>
    </row>
    <row r="1232" customFormat="false" ht="15" hidden="false" customHeight="false" outlineLevel="0" collapsed="false">
      <c r="A1232" s="12"/>
      <c r="B1232" s="9"/>
      <c r="C1232" s="9"/>
      <c r="D1232" s="9"/>
      <c r="E1232" s="9"/>
      <c r="F1232" s="9"/>
      <c r="G1232" s="9"/>
      <c r="H1232" s="7"/>
      <c r="I1232" s="13" t="str">
        <f aca="false">IF(OR($G1232="",$H1232=""),"",ROUND($G1232*$H1232,0))</f>
        <v/>
      </c>
      <c r="J1232" s="8"/>
      <c r="K1232" s="13" t="str">
        <f aca="false">IF($B1232="","",SUMIFS($I$3:$I$2002,$B$3:$B$2002,$B1232))</f>
        <v/>
      </c>
      <c r="L1232" s="13" t="str">
        <f aca="false">IF($B1232="","",IF(COUNTIFS($B$3:$B1232,$B1232)&gt;1,0,IFERROR(LOOKUP($K1232,배송비규정!$A$3:$A$32,배송비규정!$B$3:$B$32),0)+IFERROR(INDEX(지역추가비!$B$3:$B$42,MATCH($J1232,지역추가비!$A$3:$A$42,0)),0)))</f>
        <v/>
      </c>
      <c r="M1232" s="13" t="str">
        <f aca="false">IF($B1232="","",IF(COUNTIFS($B$3:$B1232,$B1232)&gt;1,"",$K1232+$L1232))</f>
        <v/>
      </c>
      <c r="N1232" s="14" t="str">
        <f aca="false">IF($B1232="","",COUNTIFS($B$3:$B1232,$B1232))</f>
        <v/>
      </c>
      <c r="O1232" s="14" t="str">
        <f aca="false">IF($B1232="","",$B1232&amp;"|"&amp;$N1232)</f>
        <v/>
      </c>
    </row>
    <row r="1233" customFormat="false" ht="15" hidden="false" customHeight="false" outlineLevel="0" collapsed="false">
      <c r="A1233" s="12"/>
      <c r="B1233" s="9"/>
      <c r="C1233" s="9"/>
      <c r="D1233" s="9"/>
      <c r="E1233" s="9"/>
      <c r="F1233" s="9"/>
      <c r="G1233" s="9"/>
      <c r="H1233" s="7"/>
      <c r="I1233" s="13" t="str">
        <f aca="false">IF(OR($G1233="",$H1233=""),"",ROUND($G1233*$H1233,0))</f>
        <v/>
      </c>
      <c r="J1233" s="8"/>
      <c r="K1233" s="13" t="str">
        <f aca="false">IF($B1233="","",SUMIFS($I$3:$I$2002,$B$3:$B$2002,$B1233))</f>
        <v/>
      </c>
      <c r="L1233" s="13" t="str">
        <f aca="false">IF($B1233="","",IF(COUNTIFS($B$3:$B1233,$B1233)&gt;1,0,IFERROR(LOOKUP($K1233,배송비규정!$A$3:$A$32,배송비규정!$B$3:$B$32),0)+IFERROR(INDEX(지역추가비!$B$3:$B$42,MATCH($J1233,지역추가비!$A$3:$A$42,0)),0)))</f>
        <v/>
      </c>
      <c r="M1233" s="13" t="str">
        <f aca="false">IF($B1233="","",IF(COUNTIFS($B$3:$B1233,$B1233)&gt;1,"",$K1233+$L1233))</f>
        <v/>
      </c>
      <c r="N1233" s="14" t="str">
        <f aca="false">IF($B1233="","",COUNTIFS($B$3:$B1233,$B1233))</f>
        <v/>
      </c>
      <c r="O1233" s="14" t="str">
        <f aca="false">IF($B1233="","",$B1233&amp;"|"&amp;$N1233)</f>
        <v/>
      </c>
    </row>
    <row r="1234" customFormat="false" ht="15" hidden="false" customHeight="false" outlineLevel="0" collapsed="false">
      <c r="A1234" s="12"/>
      <c r="B1234" s="9"/>
      <c r="C1234" s="9"/>
      <c r="D1234" s="9"/>
      <c r="E1234" s="9"/>
      <c r="F1234" s="9"/>
      <c r="G1234" s="9"/>
      <c r="H1234" s="7"/>
      <c r="I1234" s="13" t="str">
        <f aca="false">IF(OR($G1234="",$H1234=""),"",ROUND($G1234*$H1234,0))</f>
        <v/>
      </c>
      <c r="J1234" s="8"/>
      <c r="K1234" s="13" t="str">
        <f aca="false">IF($B1234="","",SUMIFS($I$3:$I$2002,$B$3:$B$2002,$B1234))</f>
        <v/>
      </c>
      <c r="L1234" s="13" t="str">
        <f aca="false">IF($B1234="","",IF(COUNTIFS($B$3:$B1234,$B1234)&gt;1,0,IFERROR(LOOKUP($K1234,배송비규정!$A$3:$A$32,배송비규정!$B$3:$B$32),0)+IFERROR(INDEX(지역추가비!$B$3:$B$42,MATCH($J1234,지역추가비!$A$3:$A$42,0)),0)))</f>
        <v/>
      </c>
      <c r="M1234" s="13" t="str">
        <f aca="false">IF($B1234="","",IF(COUNTIFS($B$3:$B1234,$B1234)&gt;1,"",$K1234+$L1234))</f>
        <v/>
      </c>
      <c r="N1234" s="14" t="str">
        <f aca="false">IF($B1234="","",COUNTIFS($B$3:$B1234,$B1234))</f>
        <v/>
      </c>
      <c r="O1234" s="14" t="str">
        <f aca="false">IF($B1234="","",$B1234&amp;"|"&amp;$N1234)</f>
        <v/>
      </c>
    </row>
    <row r="1235" customFormat="false" ht="15" hidden="false" customHeight="false" outlineLevel="0" collapsed="false">
      <c r="A1235" s="12"/>
      <c r="B1235" s="9"/>
      <c r="C1235" s="9"/>
      <c r="D1235" s="9"/>
      <c r="E1235" s="9"/>
      <c r="F1235" s="9"/>
      <c r="G1235" s="9"/>
      <c r="H1235" s="7"/>
      <c r="I1235" s="13" t="str">
        <f aca="false">IF(OR($G1235="",$H1235=""),"",ROUND($G1235*$H1235,0))</f>
        <v/>
      </c>
      <c r="J1235" s="8"/>
      <c r="K1235" s="13" t="str">
        <f aca="false">IF($B1235="","",SUMIFS($I$3:$I$2002,$B$3:$B$2002,$B1235))</f>
        <v/>
      </c>
      <c r="L1235" s="13" t="str">
        <f aca="false">IF($B1235="","",IF(COUNTIFS($B$3:$B1235,$B1235)&gt;1,0,IFERROR(LOOKUP($K1235,배송비규정!$A$3:$A$32,배송비규정!$B$3:$B$32),0)+IFERROR(INDEX(지역추가비!$B$3:$B$42,MATCH($J1235,지역추가비!$A$3:$A$42,0)),0)))</f>
        <v/>
      </c>
      <c r="M1235" s="13" t="str">
        <f aca="false">IF($B1235="","",IF(COUNTIFS($B$3:$B1235,$B1235)&gt;1,"",$K1235+$L1235))</f>
        <v/>
      </c>
      <c r="N1235" s="14" t="str">
        <f aca="false">IF($B1235="","",COUNTIFS($B$3:$B1235,$B1235))</f>
        <v/>
      </c>
      <c r="O1235" s="14" t="str">
        <f aca="false">IF($B1235="","",$B1235&amp;"|"&amp;$N1235)</f>
        <v/>
      </c>
    </row>
    <row r="1236" customFormat="false" ht="15" hidden="false" customHeight="false" outlineLevel="0" collapsed="false">
      <c r="A1236" s="12"/>
      <c r="B1236" s="9"/>
      <c r="C1236" s="9"/>
      <c r="D1236" s="9"/>
      <c r="E1236" s="9"/>
      <c r="F1236" s="9"/>
      <c r="G1236" s="9"/>
      <c r="H1236" s="7"/>
      <c r="I1236" s="13" t="str">
        <f aca="false">IF(OR($G1236="",$H1236=""),"",ROUND($G1236*$H1236,0))</f>
        <v/>
      </c>
      <c r="J1236" s="8"/>
      <c r="K1236" s="13" t="str">
        <f aca="false">IF($B1236="","",SUMIFS($I$3:$I$2002,$B$3:$B$2002,$B1236))</f>
        <v/>
      </c>
      <c r="L1236" s="13" t="str">
        <f aca="false">IF($B1236="","",IF(COUNTIFS($B$3:$B1236,$B1236)&gt;1,0,IFERROR(LOOKUP($K1236,배송비규정!$A$3:$A$32,배송비규정!$B$3:$B$32),0)+IFERROR(INDEX(지역추가비!$B$3:$B$42,MATCH($J1236,지역추가비!$A$3:$A$42,0)),0)))</f>
        <v/>
      </c>
      <c r="M1236" s="13" t="str">
        <f aca="false">IF($B1236="","",IF(COUNTIFS($B$3:$B1236,$B1236)&gt;1,"",$K1236+$L1236))</f>
        <v/>
      </c>
      <c r="N1236" s="14" t="str">
        <f aca="false">IF($B1236="","",COUNTIFS($B$3:$B1236,$B1236))</f>
        <v/>
      </c>
      <c r="O1236" s="14" t="str">
        <f aca="false">IF($B1236="","",$B1236&amp;"|"&amp;$N1236)</f>
        <v/>
      </c>
    </row>
    <row r="1237" customFormat="false" ht="15" hidden="false" customHeight="false" outlineLevel="0" collapsed="false">
      <c r="A1237" s="12"/>
      <c r="B1237" s="9"/>
      <c r="C1237" s="9"/>
      <c r="D1237" s="9"/>
      <c r="E1237" s="9"/>
      <c r="F1237" s="9"/>
      <c r="G1237" s="9"/>
      <c r="H1237" s="7"/>
      <c r="I1237" s="13" t="str">
        <f aca="false">IF(OR($G1237="",$H1237=""),"",ROUND($G1237*$H1237,0))</f>
        <v/>
      </c>
      <c r="J1237" s="8"/>
      <c r="K1237" s="13" t="str">
        <f aca="false">IF($B1237="","",SUMIFS($I$3:$I$2002,$B$3:$B$2002,$B1237))</f>
        <v/>
      </c>
      <c r="L1237" s="13" t="str">
        <f aca="false">IF($B1237="","",IF(COUNTIFS($B$3:$B1237,$B1237)&gt;1,0,IFERROR(LOOKUP($K1237,배송비규정!$A$3:$A$32,배송비규정!$B$3:$B$32),0)+IFERROR(INDEX(지역추가비!$B$3:$B$42,MATCH($J1237,지역추가비!$A$3:$A$42,0)),0)))</f>
        <v/>
      </c>
      <c r="M1237" s="13" t="str">
        <f aca="false">IF($B1237="","",IF(COUNTIFS($B$3:$B1237,$B1237)&gt;1,"",$K1237+$L1237))</f>
        <v/>
      </c>
      <c r="N1237" s="14" t="str">
        <f aca="false">IF($B1237="","",COUNTIFS($B$3:$B1237,$B1237))</f>
        <v/>
      </c>
      <c r="O1237" s="14" t="str">
        <f aca="false">IF($B1237="","",$B1237&amp;"|"&amp;$N1237)</f>
        <v/>
      </c>
    </row>
    <row r="1238" customFormat="false" ht="15" hidden="false" customHeight="false" outlineLevel="0" collapsed="false">
      <c r="A1238" s="12"/>
      <c r="B1238" s="9"/>
      <c r="C1238" s="9"/>
      <c r="D1238" s="9"/>
      <c r="E1238" s="9"/>
      <c r="F1238" s="9"/>
      <c r="G1238" s="9"/>
      <c r="H1238" s="7"/>
      <c r="I1238" s="13" t="str">
        <f aca="false">IF(OR($G1238="",$H1238=""),"",ROUND($G1238*$H1238,0))</f>
        <v/>
      </c>
      <c r="J1238" s="8"/>
      <c r="K1238" s="13" t="str">
        <f aca="false">IF($B1238="","",SUMIFS($I$3:$I$2002,$B$3:$B$2002,$B1238))</f>
        <v/>
      </c>
      <c r="L1238" s="13" t="str">
        <f aca="false">IF($B1238="","",IF(COUNTIFS($B$3:$B1238,$B1238)&gt;1,0,IFERROR(LOOKUP($K1238,배송비규정!$A$3:$A$32,배송비규정!$B$3:$B$32),0)+IFERROR(INDEX(지역추가비!$B$3:$B$42,MATCH($J1238,지역추가비!$A$3:$A$42,0)),0)))</f>
        <v/>
      </c>
      <c r="M1238" s="13" t="str">
        <f aca="false">IF($B1238="","",IF(COUNTIFS($B$3:$B1238,$B1238)&gt;1,"",$K1238+$L1238))</f>
        <v/>
      </c>
      <c r="N1238" s="14" t="str">
        <f aca="false">IF($B1238="","",COUNTIFS($B$3:$B1238,$B1238))</f>
        <v/>
      </c>
      <c r="O1238" s="14" t="str">
        <f aca="false">IF($B1238="","",$B1238&amp;"|"&amp;$N1238)</f>
        <v/>
      </c>
    </row>
    <row r="1239" customFormat="false" ht="15" hidden="false" customHeight="false" outlineLevel="0" collapsed="false">
      <c r="A1239" s="12"/>
      <c r="B1239" s="9"/>
      <c r="C1239" s="9"/>
      <c r="D1239" s="9"/>
      <c r="E1239" s="9"/>
      <c r="F1239" s="9"/>
      <c r="G1239" s="9"/>
      <c r="H1239" s="7"/>
      <c r="I1239" s="13" t="str">
        <f aca="false">IF(OR($G1239="",$H1239=""),"",ROUND($G1239*$H1239,0))</f>
        <v/>
      </c>
      <c r="J1239" s="8"/>
      <c r="K1239" s="13" t="str">
        <f aca="false">IF($B1239="","",SUMIFS($I$3:$I$2002,$B$3:$B$2002,$B1239))</f>
        <v/>
      </c>
      <c r="L1239" s="13" t="str">
        <f aca="false">IF($B1239="","",IF(COUNTIFS($B$3:$B1239,$B1239)&gt;1,0,IFERROR(LOOKUP($K1239,배송비규정!$A$3:$A$32,배송비규정!$B$3:$B$32),0)+IFERROR(INDEX(지역추가비!$B$3:$B$42,MATCH($J1239,지역추가비!$A$3:$A$42,0)),0)))</f>
        <v/>
      </c>
      <c r="M1239" s="13" t="str">
        <f aca="false">IF($B1239="","",IF(COUNTIFS($B$3:$B1239,$B1239)&gt;1,"",$K1239+$L1239))</f>
        <v/>
      </c>
      <c r="N1239" s="14" t="str">
        <f aca="false">IF($B1239="","",COUNTIFS($B$3:$B1239,$B1239))</f>
        <v/>
      </c>
      <c r="O1239" s="14" t="str">
        <f aca="false">IF($B1239="","",$B1239&amp;"|"&amp;$N1239)</f>
        <v/>
      </c>
    </row>
    <row r="1240" customFormat="false" ht="15" hidden="false" customHeight="false" outlineLevel="0" collapsed="false">
      <c r="A1240" s="12"/>
      <c r="B1240" s="9"/>
      <c r="C1240" s="9"/>
      <c r="D1240" s="9"/>
      <c r="E1240" s="9"/>
      <c r="F1240" s="9"/>
      <c r="G1240" s="9"/>
      <c r="H1240" s="7"/>
      <c r="I1240" s="13" t="str">
        <f aca="false">IF(OR($G1240="",$H1240=""),"",ROUND($G1240*$H1240,0))</f>
        <v/>
      </c>
      <c r="J1240" s="8"/>
      <c r="K1240" s="13" t="str">
        <f aca="false">IF($B1240="","",SUMIFS($I$3:$I$2002,$B$3:$B$2002,$B1240))</f>
        <v/>
      </c>
      <c r="L1240" s="13" t="str">
        <f aca="false">IF($B1240="","",IF(COUNTIFS($B$3:$B1240,$B1240)&gt;1,0,IFERROR(LOOKUP($K1240,배송비규정!$A$3:$A$32,배송비규정!$B$3:$B$32),0)+IFERROR(INDEX(지역추가비!$B$3:$B$42,MATCH($J1240,지역추가비!$A$3:$A$42,0)),0)))</f>
        <v/>
      </c>
      <c r="M1240" s="13" t="str">
        <f aca="false">IF($B1240="","",IF(COUNTIFS($B$3:$B1240,$B1240)&gt;1,"",$K1240+$L1240))</f>
        <v/>
      </c>
      <c r="N1240" s="14" t="str">
        <f aca="false">IF($B1240="","",COUNTIFS($B$3:$B1240,$B1240))</f>
        <v/>
      </c>
      <c r="O1240" s="14" t="str">
        <f aca="false">IF($B1240="","",$B1240&amp;"|"&amp;$N1240)</f>
        <v/>
      </c>
    </row>
    <row r="1241" customFormat="false" ht="15" hidden="false" customHeight="false" outlineLevel="0" collapsed="false">
      <c r="A1241" s="12"/>
      <c r="B1241" s="9"/>
      <c r="C1241" s="9"/>
      <c r="D1241" s="9"/>
      <c r="E1241" s="9"/>
      <c r="F1241" s="9"/>
      <c r="G1241" s="9"/>
      <c r="H1241" s="7"/>
      <c r="I1241" s="13" t="str">
        <f aca="false">IF(OR($G1241="",$H1241=""),"",ROUND($G1241*$H1241,0))</f>
        <v/>
      </c>
      <c r="J1241" s="8"/>
      <c r="K1241" s="13" t="str">
        <f aca="false">IF($B1241="","",SUMIFS($I$3:$I$2002,$B$3:$B$2002,$B1241))</f>
        <v/>
      </c>
      <c r="L1241" s="13" t="str">
        <f aca="false">IF($B1241="","",IF(COUNTIFS($B$3:$B1241,$B1241)&gt;1,0,IFERROR(LOOKUP($K1241,배송비규정!$A$3:$A$32,배송비규정!$B$3:$B$32),0)+IFERROR(INDEX(지역추가비!$B$3:$B$42,MATCH($J1241,지역추가비!$A$3:$A$42,0)),0)))</f>
        <v/>
      </c>
      <c r="M1241" s="13" t="str">
        <f aca="false">IF($B1241="","",IF(COUNTIFS($B$3:$B1241,$B1241)&gt;1,"",$K1241+$L1241))</f>
        <v/>
      </c>
      <c r="N1241" s="14" t="str">
        <f aca="false">IF($B1241="","",COUNTIFS($B$3:$B1241,$B1241))</f>
        <v/>
      </c>
      <c r="O1241" s="14" t="str">
        <f aca="false">IF($B1241="","",$B1241&amp;"|"&amp;$N1241)</f>
        <v/>
      </c>
    </row>
    <row r="1242" customFormat="false" ht="15" hidden="false" customHeight="false" outlineLevel="0" collapsed="false">
      <c r="A1242" s="12"/>
      <c r="B1242" s="9"/>
      <c r="C1242" s="9"/>
      <c r="D1242" s="9"/>
      <c r="E1242" s="9"/>
      <c r="F1242" s="9"/>
      <c r="G1242" s="9"/>
      <c r="H1242" s="7"/>
      <c r="I1242" s="13" t="str">
        <f aca="false">IF(OR($G1242="",$H1242=""),"",ROUND($G1242*$H1242,0))</f>
        <v/>
      </c>
      <c r="J1242" s="8"/>
      <c r="K1242" s="13" t="str">
        <f aca="false">IF($B1242="","",SUMIFS($I$3:$I$2002,$B$3:$B$2002,$B1242))</f>
        <v/>
      </c>
      <c r="L1242" s="13" t="str">
        <f aca="false">IF($B1242="","",IF(COUNTIFS($B$3:$B1242,$B1242)&gt;1,0,IFERROR(LOOKUP($K1242,배송비규정!$A$3:$A$32,배송비규정!$B$3:$B$32),0)+IFERROR(INDEX(지역추가비!$B$3:$B$42,MATCH($J1242,지역추가비!$A$3:$A$42,0)),0)))</f>
        <v/>
      </c>
      <c r="M1242" s="13" t="str">
        <f aca="false">IF($B1242="","",IF(COUNTIFS($B$3:$B1242,$B1242)&gt;1,"",$K1242+$L1242))</f>
        <v/>
      </c>
      <c r="N1242" s="14" t="str">
        <f aca="false">IF($B1242="","",COUNTIFS($B$3:$B1242,$B1242))</f>
        <v/>
      </c>
      <c r="O1242" s="14" t="str">
        <f aca="false">IF($B1242="","",$B1242&amp;"|"&amp;$N1242)</f>
        <v/>
      </c>
    </row>
    <row r="1243" customFormat="false" ht="15" hidden="false" customHeight="false" outlineLevel="0" collapsed="false">
      <c r="A1243" s="12"/>
      <c r="B1243" s="9"/>
      <c r="C1243" s="9"/>
      <c r="D1243" s="9"/>
      <c r="E1243" s="9"/>
      <c r="F1243" s="9"/>
      <c r="G1243" s="9"/>
      <c r="H1243" s="7"/>
      <c r="I1243" s="13" t="str">
        <f aca="false">IF(OR($G1243="",$H1243=""),"",ROUND($G1243*$H1243,0))</f>
        <v/>
      </c>
      <c r="J1243" s="8"/>
      <c r="K1243" s="13" t="str">
        <f aca="false">IF($B1243="","",SUMIFS($I$3:$I$2002,$B$3:$B$2002,$B1243))</f>
        <v/>
      </c>
      <c r="L1243" s="13" t="str">
        <f aca="false">IF($B1243="","",IF(COUNTIFS($B$3:$B1243,$B1243)&gt;1,0,IFERROR(LOOKUP($K1243,배송비규정!$A$3:$A$32,배송비규정!$B$3:$B$32),0)+IFERROR(INDEX(지역추가비!$B$3:$B$42,MATCH($J1243,지역추가비!$A$3:$A$42,0)),0)))</f>
        <v/>
      </c>
      <c r="M1243" s="13" t="str">
        <f aca="false">IF($B1243="","",IF(COUNTIFS($B$3:$B1243,$B1243)&gt;1,"",$K1243+$L1243))</f>
        <v/>
      </c>
      <c r="N1243" s="14" t="str">
        <f aca="false">IF($B1243="","",COUNTIFS($B$3:$B1243,$B1243))</f>
        <v/>
      </c>
      <c r="O1243" s="14" t="str">
        <f aca="false">IF($B1243="","",$B1243&amp;"|"&amp;$N1243)</f>
        <v/>
      </c>
    </row>
    <row r="1244" customFormat="false" ht="15" hidden="false" customHeight="false" outlineLevel="0" collapsed="false">
      <c r="A1244" s="12"/>
      <c r="B1244" s="9"/>
      <c r="C1244" s="9"/>
      <c r="D1244" s="9"/>
      <c r="E1244" s="9"/>
      <c r="F1244" s="9"/>
      <c r="G1244" s="9"/>
      <c r="H1244" s="7"/>
      <c r="I1244" s="13" t="str">
        <f aca="false">IF(OR($G1244="",$H1244=""),"",ROUND($G1244*$H1244,0))</f>
        <v/>
      </c>
      <c r="J1244" s="8"/>
      <c r="K1244" s="13" t="str">
        <f aca="false">IF($B1244="","",SUMIFS($I$3:$I$2002,$B$3:$B$2002,$B1244))</f>
        <v/>
      </c>
      <c r="L1244" s="13" t="str">
        <f aca="false">IF($B1244="","",IF(COUNTIFS($B$3:$B1244,$B1244)&gt;1,0,IFERROR(LOOKUP($K1244,배송비규정!$A$3:$A$32,배송비규정!$B$3:$B$32),0)+IFERROR(INDEX(지역추가비!$B$3:$B$42,MATCH($J1244,지역추가비!$A$3:$A$42,0)),0)))</f>
        <v/>
      </c>
      <c r="M1244" s="13" t="str">
        <f aca="false">IF($B1244="","",IF(COUNTIFS($B$3:$B1244,$B1244)&gt;1,"",$K1244+$L1244))</f>
        <v/>
      </c>
      <c r="N1244" s="14" t="str">
        <f aca="false">IF($B1244="","",COUNTIFS($B$3:$B1244,$B1244))</f>
        <v/>
      </c>
      <c r="O1244" s="14" t="str">
        <f aca="false">IF($B1244="","",$B1244&amp;"|"&amp;$N1244)</f>
        <v/>
      </c>
    </row>
    <row r="1245" customFormat="false" ht="15" hidden="false" customHeight="false" outlineLevel="0" collapsed="false">
      <c r="A1245" s="12"/>
      <c r="B1245" s="9"/>
      <c r="C1245" s="9"/>
      <c r="D1245" s="9"/>
      <c r="E1245" s="9"/>
      <c r="F1245" s="9"/>
      <c r="G1245" s="9"/>
      <c r="H1245" s="7"/>
      <c r="I1245" s="13" t="str">
        <f aca="false">IF(OR($G1245="",$H1245=""),"",ROUND($G1245*$H1245,0))</f>
        <v/>
      </c>
      <c r="J1245" s="8"/>
      <c r="K1245" s="13" t="str">
        <f aca="false">IF($B1245="","",SUMIFS($I$3:$I$2002,$B$3:$B$2002,$B1245))</f>
        <v/>
      </c>
      <c r="L1245" s="13" t="str">
        <f aca="false">IF($B1245="","",IF(COUNTIFS($B$3:$B1245,$B1245)&gt;1,0,IFERROR(LOOKUP($K1245,배송비규정!$A$3:$A$32,배송비규정!$B$3:$B$32),0)+IFERROR(INDEX(지역추가비!$B$3:$B$42,MATCH($J1245,지역추가비!$A$3:$A$42,0)),0)))</f>
        <v/>
      </c>
      <c r="M1245" s="13" t="str">
        <f aca="false">IF($B1245="","",IF(COUNTIFS($B$3:$B1245,$B1245)&gt;1,"",$K1245+$L1245))</f>
        <v/>
      </c>
      <c r="N1245" s="14" t="str">
        <f aca="false">IF($B1245="","",COUNTIFS($B$3:$B1245,$B1245))</f>
        <v/>
      </c>
      <c r="O1245" s="14" t="str">
        <f aca="false">IF($B1245="","",$B1245&amp;"|"&amp;$N1245)</f>
        <v/>
      </c>
    </row>
    <row r="1246" customFormat="false" ht="15" hidden="false" customHeight="false" outlineLevel="0" collapsed="false">
      <c r="A1246" s="12"/>
      <c r="B1246" s="9"/>
      <c r="C1246" s="9"/>
      <c r="D1246" s="9"/>
      <c r="E1246" s="9"/>
      <c r="F1246" s="9"/>
      <c r="G1246" s="9"/>
      <c r="H1246" s="7"/>
      <c r="I1246" s="13" t="str">
        <f aca="false">IF(OR($G1246="",$H1246=""),"",ROUND($G1246*$H1246,0))</f>
        <v/>
      </c>
      <c r="J1246" s="8"/>
      <c r="K1246" s="13" t="str">
        <f aca="false">IF($B1246="","",SUMIFS($I$3:$I$2002,$B$3:$B$2002,$B1246))</f>
        <v/>
      </c>
      <c r="L1246" s="13" t="str">
        <f aca="false">IF($B1246="","",IF(COUNTIFS($B$3:$B1246,$B1246)&gt;1,0,IFERROR(LOOKUP($K1246,배송비규정!$A$3:$A$32,배송비규정!$B$3:$B$32),0)+IFERROR(INDEX(지역추가비!$B$3:$B$42,MATCH($J1246,지역추가비!$A$3:$A$42,0)),0)))</f>
        <v/>
      </c>
      <c r="M1246" s="13" t="str">
        <f aca="false">IF($B1246="","",IF(COUNTIFS($B$3:$B1246,$B1246)&gt;1,"",$K1246+$L1246))</f>
        <v/>
      </c>
      <c r="N1246" s="14" t="str">
        <f aca="false">IF($B1246="","",COUNTIFS($B$3:$B1246,$B1246))</f>
        <v/>
      </c>
      <c r="O1246" s="14" t="str">
        <f aca="false">IF($B1246="","",$B1246&amp;"|"&amp;$N1246)</f>
        <v/>
      </c>
    </row>
    <row r="1247" customFormat="false" ht="15" hidden="false" customHeight="false" outlineLevel="0" collapsed="false">
      <c r="A1247" s="12"/>
      <c r="B1247" s="9"/>
      <c r="C1247" s="9"/>
      <c r="D1247" s="9"/>
      <c r="E1247" s="9"/>
      <c r="F1247" s="9"/>
      <c r="G1247" s="9"/>
      <c r="H1247" s="7"/>
      <c r="I1247" s="13" t="str">
        <f aca="false">IF(OR($G1247="",$H1247=""),"",ROUND($G1247*$H1247,0))</f>
        <v/>
      </c>
      <c r="J1247" s="8"/>
      <c r="K1247" s="13" t="str">
        <f aca="false">IF($B1247="","",SUMIFS($I$3:$I$2002,$B$3:$B$2002,$B1247))</f>
        <v/>
      </c>
      <c r="L1247" s="13" t="str">
        <f aca="false">IF($B1247="","",IF(COUNTIFS($B$3:$B1247,$B1247)&gt;1,0,IFERROR(LOOKUP($K1247,배송비규정!$A$3:$A$32,배송비규정!$B$3:$B$32),0)+IFERROR(INDEX(지역추가비!$B$3:$B$42,MATCH($J1247,지역추가비!$A$3:$A$42,0)),0)))</f>
        <v/>
      </c>
      <c r="M1247" s="13" t="str">
        <f aca="false">IF($B1247="","",IF(COUNTIFS($B$3:$B1247,$B1247)&gt;1,"",$K1247+$L1247))</f>
        <v/>
      </c>
      <c r="N1247" s="14" t="str">
        <f aca="false">IF($B1247="","",COUNTIFS($B$3:$B1247,$B1247))</f>
        <v/>
      </c>
      <c r="O1247" s="14" t="str">
        <f aca="false">IF($B1247="","",$B1247&amp;"|"&amp;$N1247)</f>
        <v/>
      </c>
    </row>
    <row r="1248" customFormat="false" ht="15" hidden="false" customHeight="false" outlineLevel="0" collapsed="false">
      <c r="A1248" s="12"/>
      <c r="B1248" s="9"/>
      <c r="C1248" s="9"/>
      <c r="D1248" s="9"/>
      <c r="E1248" s="9"/>
      <c r="F1248" s="9"/>
      <c r="G1248" s="9"/>
      <c r="H1248" s="7"/>
      <c r="I1248" s="13" t="str">
        <f aca="false">IF(OR($G1248="",$H1248=""),"",ROUND($G1248*$H1248,0))</f>
        <v/>
      </c>
      <c r="J1248" s="8"/>
      <c r="K1248" s="13" t="str">
        <f aca="false">IF($B1248="","",SUMIFS($I$3:$I$2002,$B$3:$B$2002,$B1248))</f>
        <v/>
      </c>
      <c r="L1248" s="13" t="str">
        <f aca="false">IF($B1248="","",IF(COUNTIFS($B$3:$B1248,$B1248)&gt;1,0,IFERROR(LOOKUP($K1248,배송비규정!$A$3:$A$32,배송비규정!$B$3:$B$32),0)+IFERROR(INDEX(지역추가비!$B$3:$B$42,MATCH($J1248,지역추가비!$A$3:$A$42,0)),0)))</f>
        <v/>
      </c>
      <c r="M1248" s="13" t="str">
        <f aca="false">IF($B1248="","",IF(COUNTIFS($B$3:$B1248,$B1248)&gt;1,"",$K1248+$L1248))</f>
        <v/>
      </c>
      <c r="N1248" s="14" t="str">
        <f aca="false">IF($B1248="","",COUNTIFS($B$3:$B1248,$B1248))</f>
        <v/>
      </c>
      <c r="O1248" s="14" t="str">
        <f aca="false">IF($B1248="","",$B1248&amp;"|"&amp;$N1248)</f>
        <v/>
      </c>
    </row>
    <row r="1249" customFormat="false" ht="15" hidden="false" customHeight="false" outlineLevel="0" collapsed="false">
      <c r="A1249" s="12"/>
      <c r="B1249" s="9"/>
      <c r="C1249" s="9"/>
      <c r="D1249" s="9"/>
      <c r="E1249" s="9"/>
      <c r="F1249" s="9"/>
      <c r="G1249" s="9"/>
      <c r="H1249" s="7"/>
      <c r="I1249" s="13" t="str">
        <f aca="false">IF(OR($G1249="",$H1249=""),"",ROUND($G1249*$H1249,0))</f>
        <v/>
      </c>
      <c r="J1249" s="8"/>
      <c r="K1249" s="13" t="str">
        <f aca="false">IF($B1249="","",SUMIFS($I$3:$I$2002,$B$3:$B$2002,$B1249))</f>
        <v/>
      </c>
      <c r="L1249" s="13" t="str">
        <f aca="false">IF($B1249="","",IF(COUNTIFS($B$3:$B1249,$B1249)&gt;1,0,IFERROR(LOOKUP($K1249,배송비규정!$A$3:$A$32,배송비규정!$B$3:$B$32),0)+IFERROR(INDEX(지역추가비!$B$3:$B$42,MATCH($J1249,지역추가비!$A$3:$A$42,0)),0)))</f>
        <v/>
      </c>
      <c r="M1249" s="13" t="str">
        <f aca="false">IF($B1249="","",IF(COUNTIFS($B$3:$B1249,$B1249)&gt;1,"",$K1249+$L1249))</f>
        <v/>
      </c>
      <c r="N1249" s="14" t="str">
        <f aca="false">IF($B1249="","",COUNTIFS($B$3:$B1249,$B1249))</f>
        <v/>
      </c>
      <c r="O1249" s="14" t="str">
        <f aca="false">IF($B1249="","",$B1249&amp;"|"&amp;$N1249)</f>
        <v/>
      </c>
    </row>
    <row r="1250" customFormat="false" ht="15" hidden="false" customHeight="false" outlineLevel="0" collapsed="false">
      <c r="A1250" s="12"/>
      <c r="B1250" s="9"/>
      <c r="C1250" s="9"/>
      <c r="D1250" s="9"/>
      <c r="E1250" s="9"/>
      <c r="F1250" s="9"/>
      <c r="G1250" s="9"/>
      <c r="H1250" s="7"/>
      <c r="I1250" s="13" t="str">
        <f aca="false">IF(OR($G1250="",$H1250=""),"",ROUND($G1250*$H1250,0))</f>
        <v/>
      </c>
      <c r="J1250" s="8"/>
      <c r="K1250" s="13" t="str">
        <f aca="false">IF($B1250="","",SUMIFS($I$3:$I$2002,$B$3:$B$2002,$B1250))</f>
        <v/>
      </c>
      <c r="L1250" s="13" t="str">
        <f aca="false">IF($B1250="","",IF(COUNTIFS($B$3:$B1250,$B1250)&gt;1,0,IFERROR(LOOKUP($K1250,배송비규정!$A$3:$A$32,배송비규정!$B$3:$B$32),0)+IFERROR(INDEX(지역추가비!$B$3:$B$42,MATCH($J1250,지역추가비!$A$3:$A$42,0)),0)))</f>
        <v/>
      </c>
      <c r="M1250" s="13" t="str">
        <f aca="false">IF($B1250="","",IF(COUNTIFS($B$3:$B1250,$B1250)&gt;1,"",$K1250+$L1250))</f>
        <v/>
      </c>
      <c r="N1250" s="14" t="str">
        <f aca="false">IF($B1250="","",COUNTIFS($B$3:$B1250,$B1250))</f>
        <v/>
      </c>
      <c r="O1250" s="14" t="str">
        <f aca="false">IF($B1250="","",$B1250&amp;"|"&amp;$N1250)</f>
        <v/>
      </c>
    </row>
    <row r="1251" customFormat="false" ht="15" hidden="false" customHeight="false" outlineLevel="0" collapsed="false">
      <c r="A1251" s="12"/>
      <c r="B1251" s="9"/>
      <c r="C1251" s="9"/>
      <c r="D1251" s="9"/>
      <c r="E1251" s="9"/>
      <c r="F1251" s="9"/>
      <c r="G1251" s="9"/>
      <c r="H1251" s="7"/>
      <c r="I1251" s="13" t="str">
        <f aca="false">IF(OR($G1251="",$H1251=""),"",ROUND($G1251*$H1251,0))</f>
        <v/>
      </c>
      <c r="J1251" s="8"/>
      <c r="K1251" s="13" t="str">
        <f aca="false">IF($B1251="","",SUMIFS($I$3:$I$2002,$B$3:$B$2002,$B1251))</f>
        <v/>
      </c>
      <c r="L1251" s="13" t="str">
        <f aca="false">IF($B1251="","",IF(COUNTIFS($B$3:$B1251,$B1251)&gt;1,0,IFERROR(LOOKUP($K1251,배송비규정!$A$3:$A$32,배송비규정!$B$3:$B$32),0)+IFERROR(INDEX(지역추가비!$B$3:$B$42,MATCH($J1251,지역추가비!$A$3:$A$42,0)),0)))</f>
        <v/>
      </c>
      <c r="M1251" s="13" t="str">
        <f aca="false">IF($B1251="","",IF(COUNTIFS($B$3:$B1251,$B1251)&gt;1,"",$K1251+$L1251))</f>
        <v/>
      </c>
      <c r="N1251" s="14" t="str">
        <f aca="false">IF($B1251="","",COUNTIFS($B$3:$B1251,$B1251))</f>
        <v/>
      </c>
      <c r="O1251" s="14" t="str">
        <f aca="false">IF($B1251="","",$B1251&amp;"|"&amp;$N1251)</f>
        <v/>
      </c>
    </row>
    <row r="1252" customFormat="false" ht="15" hidden="false" customHeight="false" outlineLevel="0" collapsed="false">
      <c r="A1252" s="12"/>
      <c r="B1252" s="9"/>
      <c r="C1252" s="9"/>
      <c r="D1252" s="9"/>
      <c r="E1252" s="9"/>
      <c r="F1252" s="9"/>
      <c r="G1252" s="9"/>
      <c r="H1252" s="7"/>
      <c r="I1252" s="13" t="str">
        <f aca="false">IF(OR($G1252="",$H1252=""),"",ROUND($G1252*$H1252,0))</f>
        <v/>
      </c>
      <c r="J1252" s="8"/>
      <c r="K1252" s="13" t="str">
        <f aca="false">IF($B1252="","",SUMIFS($I$3:$I$2002,$B$3:$B$2002,$B1252))</f>
        <v/>
      </c>
      <c r="L1252" s="13" t="str">
        <f aca="false">IF($B1252="","",IF(COUNTIFS($B$3:$B1252,$B1252)&gt;1,0,IFERROR(LOOKUP($K1252,배송비규정!$A$3:$A$32,배송비규정!$B$3:$B$32),0)+IFERROR(INDEX(지역추가비!$B$3:$B$42,MATCH($J1252,지역추가비!$A$3:$A$42,0)),0)))</f>
        <v/>
      </c>
      <c r="M1252" s="13" t="str">
        <f aca="false">IF($B1252="","",IF(COUNTIFS($B$3:$B1252,$B1252)&gt;1,"",$K1252+$L1252))</f>
        <v/>
      </c>
      <c r="N1252" s="14" t="str">
        <f aca="false">IF($B1252="","",COUNTIFS($B$3:$B1252,$B1252))</f>
        <v/>
      </c>
      <c r="O1252" s="14" t="str">
        <f aca="false">IF($B1252="","",$B1252&amp;"|"&amp;$N1252)</f>
        <v/>
      </c>
    </row>
    <row r="1253" customFormat="false" ht="15" hidden="false" customHeight="false" outlineLevel="0" collapsed="false">
      <c r="A1253" s="12"/>
      <c r="B1253" s="9"/>
      <c r="C1253" s="9"/>
      <c r="D1253" s="9"/>
      <c r="E1253" s="9"/>
      <c r="F1253" s="9"/>
      <c r="G1253" s="9"/>
      <c r="H1253" s="7"/>
      <c r="I1253" s="13" t="str">
        <f aca="false">IF(OR($G1253="",$H1253=""),"",ROUND($G1253*$H1253,0))</f>
        <v/>
      </c>
      <c r="J1253" s="8"/>
      <c r="K1253" s="13" t="str">
        <f aca="false">IF($B1253="","",SUMIFS($I$3:$I$2002,$B$3:$B$2002,$B1253))</f>
        <v/>
      </c>
      <c r="L1253" s="13" t="str">
        <f aca="false">IF($B1253="","",IF(COUNTIFS($B$3:$B1253,$B1253)&gt;1,0,IFERROR(LOOKUP($K1253,배송비규정!$A$3:$A$32,배송비규정!$B$3:$B$32),0)+IFERROR(INDEX(지역추가비!$B$3:$B$42,MATCH($J1253,지역추가비!$A$3:$A$42,0)),0)))</f>
        <v/>
      </c>
      <c r="M1253" s="13" t="str">
        <f aca="false">IF($B1253="","",IF(COUNTIFS($B$3:$B1253,$B1253)&gt;1,"",$K1253+$L1253))</f>
        <v/>
      </c>
      <c r="N1253" s="14" t="str">
        <f aca="false">IF($B1253="","",COUNTIFS($B$3:$B1253,$B1253))</f>
        <v/>
      </c>
      <c r="O1253" s="14" t="str">
        <f aca="false">IF($B1253="","",$B1253&amp;"|"&amp;$N1253)</f>
        <v/>
      </c>
    </row>
    <row r="1254" customFormat="false" ht="15" hidden="false" customHeight="false" outlineLevel="0" collapsed="false">
      <c r="A1254" s="12"/>
      <c r="B1254" s="9"/>
      <c r="C1254" s="9"/>
      <c r="D1254" s="9"/>
      <c r="E1254" s="9"/>
      <c r="F1254" s="9"/>
      <c r="G1254" s="9"/>
      <c r="H1254" s="7"/>
      <c r="I1254" s="13" t="str">
        <f aca="false">IF(OR($G1254="",$H1254=""),"",ROUND($G1254*$H1254,0))</f>
        <v/>
      </c>
      <c r="J1254" s="8"/>
      <c r="K1254" s="13" t="str">
        <f aca="false">IF($B1254="","",SUMIFS($I$3:$I$2002,$B$3:$B$2002,$B1254))</f>
        <v/>
      </c>
      <c r="L1254" s="13" t="str">
        <f aca="false">IF($B1254="","",IF(COUNTIFS($B$3:$B1254,$B1254)&gt;1,0,IFERROR(LOOKUP($K1254,배송비규정!$A$3:$A$32,배송비규정!$B$3:$B$32),0)+IFERROR(INDEX(지역추가비!$B$3:$B$42,MATCH($J1254,지역추가비!$A$3:$A$42,0)),0)))</f>
        <v/>
      </c>
      <c r="M1254" s="13" t="str">
        <f aca="false">IF($B1254="","",IF(COUNTIFS($B$3:$B1254,$B1254)&gt;1,"",$K1254+$L1254))</f>
        <v/>
      </c>
      <c r="N1254" s="14" t="str">
        <f aca="false">IF($B1254="","",COUNTIFS($B$3:$B1254,$B1254))</f>
        <v/>
      </c>
      <c r="O1254" s="14" t="str">
        <f aca="false">IF($B1254="","",$B1254&amp;"|"&amp;$N1254)</f>
        <v/>
      </c>
    </row>
    <row r="1255" customFormat="false" ht="15" hidden="false" customHeight="false" outlineLevel="0" collapsed="false">
      <c r="A1255" s="12"/>
      <c r="B1255" s="9"/>
      <c r="C1255" s="9"/>
      <c r="D1255" s="9"/>
      <c r="E1255" s="9"/>
      <c r="F1255" s="9"/>
      <c r="G1255" s="9"/>
      <c r="H1255" s="7"/>
      <c r="I1255" s="13" t="str">
        <f aca="false">IF(OR($G1255="",$H1255=""),"",ROUND($G1255*$H1255,0))</f>
        <v/>
      </c>
      <c r="J1255" s="8"/>
      <c r="K1255" s="13" t="str">
        <f aca="false">IF($B1255="","",SUMIFS($I$3:$I$2002,$B$3:$B$2002,$B1255))</f>
        <v/>
      </c>
      <c r="L1255" s="13" t="str">
        <f aca="false">IF($B1255="","",IF(COUNTIFS($B$3:$B1255,$B1255)&gt;1,0,IFERROR(LOOKUP($K1255,배송비규정!$A$3:$A$32,배송비규정!$B$3:$B$32),0)+IFERROR(INDEX(지역추가비!$B$3:$B$42,MATCH($J1255,지역추가비!$A$3:$A$42,0)),0)))</f>
        <v/>
      </c>
      <c r="M1255" s="13" t="str">
        <f aca="false">IF($B1255="","",IF(COUNTIFS($B$3:$B1255,$B1255)&gt;1,"",$K1255+$L1255))</f>
        <v/>
      </c>
      <c r="N1255" s="14" t="str">
        <f aca="false">IF($B1255="","",COUNTIFS($B$3:$B1255,$B1255))</f>
        <v/>
      </c>
      <c r="O1255" s="14" t="str">
        <f aca="false">IF($B1255="","",$B1255&amp;"|"&amp;$N1255)</f>
        <v/>
      </c>
    </row>
    <row r="1256" customFormat="false" ht="15" hidden="false" customHeight="false" outlineLevel="0" collapsed="false">
      <c r="A1256" s="12"/>
      <c r="B1256" s="9"/>
      <c r="C1256" s="9"/>
      <c r="D1256" s="9"/>
      <c r="E1256" s="9"/>
      <c r="F1256" s="9"/>
      <c r="G1256" s="9"/>
      <c r="H1256" s="7"/>
      <c r="I1256" s="13" t="str">
        <f aca="false">IF(OR($G1256="",$H1256=""),"",ROUND($G1256*$H1256,0))</f>
        <v/>
      </c>
      <c r="J1256" s="8"/>
      <c r="K1256" s="13" t="str">
        <f aca="false">IF($B1256="","",SUMIFS($I$3:$I$2002,$B$3:$B$2002,$B1256))</f>
        <v/>
      </c>
      <c r="L1256" s="13" t="str">
        <f aca="false">IF($B1256="","",IF(COUNTIFS($B$3:$B1256,$B1256)&gt;1,0,IFERROR(LOOKUP($K1256,배송비규정!$A$3:$A$32,배송비규정!$B$3:$B$32),0)+IFERROR(INDEX(지역추가비!$B$3:$B$42,MATCH($J1256,지역추가비!$A$3:$A$42,0)),0)))</f>
        <v/>
      </c>
      <c r="M1256" s="13" t="str">
        <f aca="false">IF($B1256="","",IF(COUNTIFS($B$3:$B1256,$B1256)&gt;1,"",$K1256+$L1256))</f>
        <v/>
      </c>
      <c r="N1256" s="14" t="str">
        <f aca="false">IF($B1256="","",COUNTIFS($B$3:$B1256,$B1256))</f>
        <v/>
      </c>
      <c r="O1256" s="14" t="str">
        <f aca="false">IF($B1256="","",$B1256&amp;"|"&amp;$N1256)</f>
        <v/>
      </c>
    </row>
    <row r="1257" customFormat="false" ht="15" hidden="false" customHeight="false" outlineLevel="0" collapsed="false">
      <c r="A1257" s="12"/>
      <c r="B1257" s="9"/>
      <c r="C1257" s="9"/>
      <c r="D1257" s="9"/>
      <c r="E1257" s="9"/>
      <c r="F1257" s="9"/>
      <c r="G1257" s="9"/>
      <c r="H1257" s="7"/>
      <c r="I1257" s="13" t="str">
        <f aca="false">IF(OR($G1257="",$H1257=""),"",ROUND($G1257*$H1257,0))</f>
        <v/>
      </c>
      <c r="J1257" s="8"/>
      <c r="K1257" s="13" t="str">
        <f aca="false">IF($B1257="","",SUMIFS($I$3:$I$2002,$B$3:$B$2002,$B1257))</f>
        <v/>
      </c>
      <c r="L1257" s="13" t="str">
        <f aca="false">IF($B1257="","",IF(COUNTIFS($B$3:$B1257,$B1257)&gt;1,0,IFERROR(LOOKUP($K1257,배송비규정!$A$3:$A$32,배송비규정!$B$3:$B$32),0)+IFERROR(INDEX(지역추가비!$B$3:$B$42,MATCH($J1257,지역추가비!$A$3:$A$42,0)),0)))</f>
        <v/>
      </c>
      <c r="M1257" s="13" t="str">
        <f aca="false">IF($B1257="","",IF(COUNTIFS($B$3:$B1257,$B1257)&gt;1,"",$K1257+$L1257))</f>
        <v/>
      </c>
      <c r="N1257" s="14" t="str">
        <f aca="false">IF($B1257="","",COUNTIFS($B$3:$B1257,$B1257))</f>
        <v/>
      </c>
      <c r="O1257" s="14" t="str">
        <f aca="false">IF($B1257="","",$B1257&amp;"|"&amp;$N1257)</f>
        <v/>
      </c>
    </row>
    <row r="1258" customFormat="false" ht="15" hidden="false" customHeight="false" outlineLevel="0" collapsed="false">
      <c r="A1258" s="12"/>
      <c r="B1258" s="9"/>
      <c r="C1258" s="9"/>
      <c r="D1258" s="9"/>
      <c r="E1258" s="9"/>
      <c r="F1258" s="9"/>
      <c r="G1258" s="9"/>
      <c r="H1258" s="7"/>
      <c r="I1258" s="13" t="str">
        <f aca="false">IF(OR($G1258="",$H1258=""),"",ROUND($G1258*$H1258,0))</f>
        <v/>
      </c>
      <c r="J1258" s="8"/>
      <c r="K1258" s="13" t="str">
        <f aca="false">IF($B1258="","",SUMIFS($I$3:$I$2002,$B$3:$B$2002,$B1258))</f>
        <v/>
      </c>
      <c r="L1258" s="13" t="str">
        <f aca="false">IF($B1258="","",IF(COUNTIFS($B$3:$B1258,$B1258)&gt;1,0,IFERROR(LOOKUP($K1258,배송비규정!$A$3:$A$32,배송비규정!$B$3:$B$32),0)+IFERROR(INDEX(지역추가비!$B$3:$B$42,MATCH($J1258,지역추가비!$A$3:$A$42,0)),0)))</f>
        <v/>
      </c>
      <c r="M1258" s="13" t="str">
        <f aca="false">IF($B1258="","",IF(COUNTIFS($B$3:$B1258,$B1258)&gt;1,"",$K1258+$L1258))</f>
        <v/>
      </c>
      <c r="N1258" s="14" t="str">
        <f aca="false">IF($B1258="","",COUNTIFS($B$3:$B1258,$B1258))</f>
        <v/>
      </c>
      <c r="O1258" s="14" t="str">
        <f aca="false">IF($B1258="","",$B1258&amp;"|"&amp;$N1258)</f>
        <v/>
      </c>
    </row>
    <row r="1259" customFormat="false" ht="15" hidden="false" customHeight="false" outlineLevel="0" collapsed="false">
      <c r="A1259" s="12"/>
      <c r="B1259" s="9"/>
      <c r="C1259" s="9"/>
      <c r="D1259" s="9"/>
      <c r="E1259" s="9"/>
      <c r="F1259" s="9"/>
      <c r="G1259" s="9"/>
      <c r="H1259" s="7"/>
      <c r="I1259" s="13" t="str">
        <f aca="false">IF(OR($G1259="",$H1259=""),"",ROUND($G1259*$H1259,0))</f>
        <v/>
      </c>
      <c r="J1259" s="8"/>
      <c r="K1259" s="13" t="str">
        <f aca="false">IF($B1259="","",SUMIFS($I$3:$I$2002,$B$3:$B$2002,$B1259))</f>
        <v/>
      </c>
      <c r="L1259" s="13" t="str">
        <f aca="false">IF($B1259="","",IF(COUNTIFS($B$3:$B1259,$B1259)&gt;1,0,IFERROR(LOOKUP($K1259,배송비규정!$A$3:$A$32,배송비규정!$B$3:$B$32),0)+IFERROR(INDEX(지역추가비!$B$3:$B$42,MATCH($J1259,지역추가비!$A$3:$A$42,0)),0)))</f>
        <v/>
      </c>
      <c r="M1259" s="13" t="str">
        <f aca="false">IF($B1259="","",IF(COUNTIFS($B$3:$B1259,$B1259)&gt;1,"",$K1259+$L1259))</f>
        <v/>
      </c>
      <c r="N1259" s="14" t="str">
        <f aca="false">IF($B1259="","",COUNTIFS($B$3:$B1259,$B1259))</f>
        <v/>
      </c>
      <c r="O1259" s="14" t="str">
        <f aca="false">IF($B1259="","",$B1259&amp;"|"&amp;$N1259)</f>
        <v/>
      </c>
    </row>
    <row r="1260" customFormat="false" ht="15" hidden="false" customHeight="false" outlineLevel="0" collapsed="false">
      <c r="A1260" s="12"/>
      <c r="B1260" s="9"/>
      <c r="C1260" s="9"/>
      <c r="D1260" s="9"/>
      <c r="E1260" s="9"/>
      <c r="F1260" s="9"/>
      <c r="G1260" s="9"/>
      <c r="H1260" s="7"/>
      <c r="I1260" s="13" t="str">
        <f aca="false">IF(OR($G1260="",$H1260=""),"",ROUND($G1260*$H1260,0))</f>
        <v/>
      </c>
      <c r="J1260" s="8"/>
      <c r="K1260" s="13" t="str">
        <f aca="false">IF($B1260="","",SUMIFS($I$3:$I$2002,$B$3:$B$2002,$B1260))</f>
        <v/>
      </c>
      <c r="L1260" s="13" t="str">
        <f aca="false">IF($B1260="","",IF(COUNTIFS($B$3:$B1260,$B1260)&gt;1,0,IFERROR(LOOKUP($K1260,배송비규정!$A$3:$A$32,배송비규정!$B$3:$B$32),0)+IFERROR(INDEX(지역추가비!$B$3:$B$42,MATCH($J1260,지역추가비!$A$3:$A$42,0)),0)))</f>
        <v/>
      </c>
      <c r="M1260" s="13" t="str">
        <f aca="false">IF($B1260="","",IF(COUNTIFS($B$3:$B1260,$B1260)&gt;1,"",$K1260+$L1260))</f>
        <v/>
      </c>
      <c r="N1260" s="14" t="str">
        <f aca="false">IF($B1260="","",COUNTIFS($B$3:$B1260,$B1260))</f>
        <v/>
      </c>
      <c r="O1260" s="14" t="str">
        <f aca="false">IF($B1260="","",$B1260&amp;"|"&amp;$N1260)</f>
        <v/>
      </c>
    </row>
    <row r="1261" customFormat="false" ht="15" hidden="false" customHeight="false" outlineLevel="0" collapsed="false">
      <c r="A1261" s="12"/>
      <c r="B1261" s="9"/>
      <c r="C1261" s="9"/>
      <c r="D1261" s="9"/>
      <c r="E1261" s="9"/>
      <c r="F1261" s="9"/>
      <c r="G1261" s="9"/>
      <c r="H1261" s="7"/>
      <c r="I1261" s="13" t="str">
        <f aca="false">IF(OR($G1261="",$H1261=""),"",ROUND($G1261*$H1261,0))</f>
        <v/>
      </c>
      <c r="J1261" s="8"/>
      <c r="K1261" s="13" t="str">
        <f aca="false">IF($B1261="","",SUMIFS($I$3:$I$2002,$B$3:$B$2002,$B1261))</f>
        <v/>
      </c>
      <c r="L1261" s="13" t="str">
        <f aca="false">IF($B1261="","",IF(COUNTIFS($B$3:$B1261,$B1261)&gt;1,0,IFERROR(LOOKUP($K1261,배송비규정!$A$3:$A$32,배송비규정!$B$3:$B$32),0)+IFERROR(INDEX(지역추가비!$B$3:$B$42,MATCH($J1261,지역추가비!$A$3:$A$42,0)),0)))</f>
        <v/>
      </c>
      <c r="M1261" s="13" t="str">
        <f aca="false">IF($B1261="","",IF(COUNTIFS($B$3:$B1261,$B1261)&gt;1,"",$K1261+$L1261))</f>
        <v/>
      </c>
      <c r="N1261" s="14" t="str">
        <f aca="false">IF($B1261="","",COUNTIFS($B$3:$B1261,$B1261))</f>
        <v/>
      </c>
      <c r="O1261" s="14" t="str">
        <f aca="false">IF($B1261="","",$B1261&amp;"|"&amp;$N1261)</f>
        <v/>
      </c>
    </row>
    <row r="1262" customFormat="false" ht="15" hidden="false" customHeight="false" outlineLevel="0" collapsed="false">
      <c r="A1262" s="12"/>
      <c r="B1262" s="9"/>
      <c r="C1262" s="9"/>
      <c r="D1262" s="9"/>
      <c r="E1262" s="9"/>
      <c r="F1262" s="9"/>
      <c r="G1262" s="9"/>
      <c r="H1262" s="7"/>
      <c r="I1262" s="13" t="str">
        <f aca="false">IF(OR($G1262="",$H1262=""),"",ROUND($G1262*$H1262,0))</f>
        <v/>
      </c>
      <c r="J1262" s="8"/>
      <c r="K1262" s="13" t="str">
        <f aca="false">IF($B1262="","",SUMIFS($I$3:$I$2002,$B$3:$B$2002,$B1262))</f>
        <v/>
      </c>
      <c r="L1262" s="13" t="str">
        <f aca="false">IF($B1262="","",IF(COUNTIFS($B$3:$B1262,$B1262)&gt;1,0,IFERROR(LOOKUP($K1262,배송비규정!$A$3:$A$32,배송비규정!$B$3:$B$32),0)+IFERROR(INDEX(지역추가비!$B$3:$B$42,MATCH($J1262,지역추가비!$A$3:$A$42,0)),0)))</f>
        <v/>
      </c>
      <c r="M1262" s="13" t="str">
        <f aca="false">IF($B1262="","",IF(COUNTIFS($B$3:$B1262,$B1262)&gt;1,"",$K1262+$L1262))</f>
        <v/>
      </c>
      <c r="N1262" s="14" t="str">
        <f aca="false">IF($B1262="","",COUNTIFS($B$3:$B1262,$B1262))</f>
        <v/>
      </c>
      <c r="O1262" s="14" t="str">
        <f aca="false">IF($B1262="","",$B1262&amp;"|"&amp;$N1262)</f>
        <v/>
      </c>
    </row>
    <row r="1263" customFormat="false" ht="15" hidden="false" customHeight="false" outlineLevel="0" collapsed="false">
      <c r="A1263" s="12"/>
      <c r="B1263" s="9"/>
      <c r="C1263" s="9"/>
      <c r="D1263" s="9"/>
      <c r="E1263" s="9"/>
      <c r="F1263" s="9"/>
      <c r="G1263" s="9"/>
      <c r="H1263" s="7"/>
      <c r="I1263" s="13" t="str">
        <f aca="false">IF(OR($G1263="",$H1263=""),"",ROUND($G1263*$H1263,0))</f>
        <v/>
      </c>
      <c r="J1263" s="8"/>
      <c r="K1263" s="13" t="str">
        <f aca="false">IF($B1263="","",SUMIFS($I$3:$I$2002,$B$3:$B$2002,$B1263))</f>
        <v/>
      </c>
      <c r="L1263" s="13" t="str">
        <f aca="false">IF($B1263="","",IF(COUNTIFS($B$3:$B1263,$B1263)&gt;1,0,IFERROR(LOOKUP($K1263,배송비규정!$A$3:$A$32,배송비규정!$B$3:$B$32),0)+IFERROR(INDEX(지역추가비!$B$3:$B$42,MATCH($J1263,지역추가비!$A$3:$A$42,0)),0)))</f>
        <v/>
      </c>
      <c r="M1263" s="13" t="str">
        <f aca="false">IF($B1263="","",IF(COUNTIFS($B$3:$B1263,$B1263)&gt;1,"",$K1263+$L1263))</f>
        <v/>
      </c>
      <c r="N1263" s="14" t="str">
        <f aca="false">IF($B1263="","",COUNTIFS($B$3:$B1263,$B1263))</f>
        <v/>
      </c>
      <c r="O1263" s="14" t="str">
        <f aca="false">IF($B1263="","",$B1263&amp;"|"&amp;$N1263)</f>
        <v/>
      </c>
    </row>
    <row r="1264" customFormat="false" ht="15" hidden="false" customHeight="false" outlineLevel="0" collapsed="false">
      <c r="A1264" s="12"/>
      <c r="B1264" s="9"/>
      <c r="C1264" s="9"/>
      <c r="D1264" s="9"/>
      <c r="E1264" s="9"/>
      <c r="F1264" s="9"/>
      <c r="G1264" s="9"/>
      <c r="H1264" s="7"/>
      <c r="I1264" s="13" t="str">
        <f aca="false">IF(OR($G1264="",$H1264=""),"",ROUND($G1264*$H1264,0))</f>
        <v/>
      </c>
      <c r="J1264" s="8"/>
      <c r="K1264" s="13" t="str">
        <f aca="false">IF($B1264="","",SUMIFS($I$3:$I$2002,$B$3:$B$2002,$B1264))</f>
        <v/>
      </c>
      <c r="L1264" s="13" t="str">
        <f aca="false">IF($B1264="","",IF(COUNTIFS($B$3:$B1264,$B1264)&gt;1,0,IFERROR(LOOKUP($K1264,배송비규정!$A$3:$A$32,배송비규정!$B$3:$B$32),0)+IFERROR(INDEX(지역추가비!$B$3:$B$42,MATCH($J1264,지역추가비!$A$3:$A$42,0)),0)))</f>
        <v/>
      </c>
      <c r="M1264" s="13" t="str">
        <f aca="false">IF($B1264="","",IF(COUNTIFS($B$3:$B1264,$B1264)&gt;1,"",$K1264+$L1264))</f>
        <v/>
      </c>
      <c r="N1264" s="14" t="str">
        <f aca="false">IF($B1264="","",COUNTIFS($B$3:$B1264,$B1264))</f>
        <v/>
      </c>
      <c r="O1264" s="14" t="str">
        <f aca="false">IF($B1264="","",$B1264&amp;"|"&amp;$N1264)</f>
        <v/>
      </c>
    </row>
    <row r="1265" customFormat="false" ht="15" hidden="false" customHeight="false" outlineLevel="0" collapsed="false">
      <c r="A1265" s="12"/>
      <c r="B1265" s="9"/>
      <c r="C1265" s="9"/>
      <c r="D1265" s="9"/>
      <c r="E1265" s="9"/>
      <c r="F1265" s="9"/>
      <c r="G1265" s="9"/>
      <c r="H1265" s="7"/>
      <c r="I1265" s="13" t="str">
        <f aca="false">IF(OR($G1265="",$H1265=""),"",ROUND($G1265*$H1265,0))</f>
        <v/>
      </c>
      <c r="J1265" s="8"/>
      <c r="K1265" s="13" t="str">
        <f aca="false">IF($B1265="","",SUMIFS($I$3:$I$2002,$B$3:$B$2002,$B1265))</f>
        <v/>
      </c>
      <c r="L1265" s="13" t="str">
        <f aca="false">IF($B1265="","",IF(COUNTIFS($B$3:$B1265,$B1265)&gt;1,0,IFERROR(LOOKUP($K1265,배송비규정!$A$3:$A$32,배송비규정!$B$3:$B$32),0)+IFERROR(INDEX(지역추가비!$B$3:$B$42,MATCH($J1265,지역추가비!$A$3:$A$42,0)),0)))</f>
        <v/>
      </c>
      <c r="M1265" s="13" t="str">
        <f aca="false">IF($B1265="","",IF(COUNTIFS($B$3:$B1265,$B1265)&gt;1,"",$K1265+$L1265))</f>
        <v/>
      </c>
      <c r="N1265" s="14" t="str">
        <f aca="false">IF($B1265="","",COUNTIFS($B$3:$B1265,$B1265))</f>
        <v/>
      </c>
      <c r="O1265" s="14" t="str">
        <f aca="false">IF($B1265="","",$B1265&amp;"|"&amp;$N1265)</f>
        <v/>
      </c>
    </row>
    <row r="1266" customFormat="false" ht="15" hidden="false" customHeight="false" outlineLevel="0" collapsed="false">
      <c r="A1266" s="12"/>
      <c r="B1266" s="9"/>
      <c r="C1266" s="9"/>
      <c r="D1266" s="9"/>
      <c r="E1266" s="9"/>
      <c r="F1266" s="9"/>
      <c r="G1266" s="9"/>
      <c r="H1266" s="7"/>
      <c r="I1266" s="13" t="str">
        <f aca="false">IF(OR($G1266="",$H1266=""),"",ROUND($G1266*$H1266,0))</f>
        <v/>
      </c>
      <c r="J1266" s="8"/>
      <c r="K1266" s="13" t="str">
        <f aca="false">IF($B1266="","",SUMIFS($I$3:$I$2002,$B$3:$B$2002,$B1266))</f>
        <v/>
      </c>
      <c r="L1266" s="13" t="str">
        <f aca="false">IF($B1266="","",IF(COUNTIFS($B$3:$B1266,$B1266)&gt;1,0,IFERROR(LOOKUP($K1266,배송비규정!$A$3:$A$32,배송비규정!$B$3:$B$32),0)+IFERROR(INDEX(지역추가비!$B$3:$B$42,MATCH($J1266,지역추가비!$A$3:$A$42,0)),0)))</f>
        <v/>
      </c>
      <c r="M1266" s="13" t="str">
        <f aca="false">IF($B1266="","",IF(COUNTIFS($B$3:$B1266,$B1266)&gt;1,"",$K1266+$L1266))</f>
        <v/>
      </c>
      <c r="N1266" s="14" t="str">
        <f aca="false">IF($B1266="","",COUNTIFS($B$3:$B1266,$B1266))</f>
        <v/>
      </c>
      <c r="O1266" s="14" t="str">
        <f aca="false">IF($B1266="","",$B1266&amp;"|"&amp;$N1266)</f>
        <v/>
      </c>
    </row>
    <row r="1267" customFormat="false" ht="15" hidden="false" customHeight="false" outlineLevel="0" collapsed="false">
      <c r="A1267" s="12"/>
      <c r="B1267" s="9"/>
      <c r="C1267" s="9"/>
      <c r="D1267" s="9"/>
      <c r="E1267" s="9"/>
      <c r="F1267" s="9"/>
      <c r="G1267" s="9"/>
      <c r="H1267" s="7"/>
      <c r="I1267" s="13" t="str">
        <f aca="false">IF(OR($G1267="",$H1267=""),"",ROUND($G1267*$H1267,0))</f>
        <v/>
      </c>
      <c r="J1267" s="8"/>
      <c r="K1267" s="13" t="str">
        <f aca="false">IF($B1267="","",SUMIFS($I$3:$I$2002,$B$3:$B$2002,$B1267))</f>
        <v/>
      </c>
      <c r="L1267" s="13" t="str">
        <f aca="false">IF($B1267="","",IF(COUNTIFS($B$3:$B1267,$B1267)&gt;1,0,IFERROR(LOOKUP($K1267,배송비규정!$A$3:$A$32,배송비규정!$B$3:$B$32),0)+IFERROR(INDEX(지역추가비!$B$3:$B$42,MATCH($J1267,지역추가비!$A$3:$A$42,0)),0)))</f>
        <v/>
      </c>
      <c r="M1267" s="13" t="str">
        <f aca="false">IF($B1267="","",IF(COUNTIFS($B$3:$B1267,$B1267)&gt;1,"",$K1267+$L1267))</f>
        <v/>
      </c>
      <c r="N1267" s="14" t="str">
        <f aca="false">IF($B1267="","",COUNTIFS($B$3:$B1267,$B1267))</f>
        <v/>
      </c>
      <c r="O1267" s="14" t="str">
        <f aca="false">IF($B1267="","",$B1267&amp;"|"&amp;$N1267)</f>
        <v/>
      </c>
    </row>
    <row r="1268" customFormat="false" ht="15" hidden="false" customHeight="false" outlineLevel="0" collapsed="false">
      <c r="A1268" s="12"/>
      <c r="B1268" s="9"/>
      <c r="C1268" s="9"/>
      <c r="D1268" s="9"/>
      <c r="E1268" s="9"/>
      <c r="F1268" s="9"/>
      <c r="G1268" s="9"/>
      <c r="H1268" s="7"/>
      <c r="I1268" s="13" t="str">
        <f aca="false">IF(OR($G1268="",$H1268=""),"",ROUND($G1268*$H1268,0))</f>
        <v/>
      </c>
      <c r="J1268" s="8"/>
      <c r="K1268" s="13" t="str">
        <f aca="false">IF($B1268="","",SUMIFS($I$3:$I$2002,$B$3:$B$2002,$B1268))</f>
        <v/>
      </c>
      <c r="L1268" s="13" t="str">
        <f aca="false">IF($B1268="","",IF(COUNTIFS($B$3:$B1268,$B1268)&gt;1,0,IFERROR(LOOKUP($K1268,배송비규정!$A$3:$A$32,배송비규정!$B$3:$B$32),0)+IFERROR(INDEX(지역추가비!$B$3:$B$42,MATCH($J1268,지역추가비!$A$3:$A$42,0)),0)))</f>
        <v/>
      </c>
      <c r="M1268" s="13" t="str">
        <f aca="false">IF($B1268="","",IF(COUNTIFS($B$3:$B1268,$B1268)&gt;1,"",$K1268+$L1268))</f>
        <v/>
      </c>
      <c r="N1268" s="14" t="str">
        <f aca="false">IF($B1268="","",COUNTIFS($B$3:$B1268,$B1268))</f>
        <v/>
      </c>
      <c r="O1268" s="14" t="str">
        <f aca="false">IF($B1268="","",$B1268&amp;"|"&amp;$N1268)</f>
        <v/>
      </c>
    </row>
    <row r="1269" customFormat="false" ht="15" hidden="false" customHeight="false" outlineLevel="0" collapsed="false">
      <c r="A1269" s="12"/>
      <c r="B1269" s="9"/>
      <c r="C1269" s="9"/>
      <c r="D1269" s="9"/>
      <c r="E1269" s="9"/>
      <c r="F1269" s="9"/>
      <c r="G1269" s="9"/>
      <c r="H1269" s="7"/>
      <c r="I1269" s="13" t="str">
        <f aca="false">IF(OR($G1269="",$H1269=""),"",ROUND($G1269*$H1269,0))</f>
        <v/>
      </c>
      <c r="J1269" s="8"/>
      <c r="K1269" s="13" t="str">
        <f aca="false">IF($B1269="","",SUMIFS($I$3:$I$2002,$B$3:$B$2002,$B1269))</f>
        <v/>
      </c>
      <c r="L1269" s="13" t="str">
        <f aca="false">IF($B1269="","",IF(COUNTIFS($B$3:$B1269,$B1269)&gt;1,0,IFERROR(LOOKUP($K1269,배송비규정!$A$3:$A$32,배송비규정!$B$3:$B$32),0)+IFERROR(INDEX(지역추가비!$B$3:$B$42,MATCH($J1269,지역추가비!$A$3:$A$42,0)),0)))</f>
        <v/>
      </c>
      <c r="M1269" s="13" t="str">
        <f aca="false">IF($B1269="","",IF(COUNTIFS($B$3:$B1269,$B1269)&gt;1,"",$K1269+$L1269))</f>
        <v/>
      </c>
      <c r="N1269" s="14" t="str">
        <f aca="false">IF($B1269="","",COUNTIFS($B$3:$B1269,$B1269))</f>
        <v/>
      </c>
      <c r="O1269" s="14" t="str">
        <f aca="false">IF($B1269="","",$B1269&amp;"|"&amp;$N1269)</f>
        <v/>
      </c>
    </row>
    <row r="1270" customFormat="false" ht="15" hidden="false" customHeight="false" outlineLevel="0" collapsed="false">
      <c r="A1270" s="12"/>
      <c r="B1270" s="9"/>
      <c r="C1270" s="9"/>
      <c r="D1270" s="9"/>
      <c r="E1270" s="9"/>
      <c r="F1270" s="9"/>
      <c r="G1270" s="9"/>
      <c r="H1270" s="7"/>
      <c r="I1270" s="13" t="str">
        <f aca="false">IF(OR($G1270="",$H1270=""),"",ROUND($G1270*$H1270,0))</f>
        <v/>
      </c>
      <c r="J1270" s="8"/>
      <c r="K1270" s="13" t="str">
        <f aca="false">IF($B1270="","",SUMIFS($I$3:$I$2002,$B$3:$B$2002,$B1270))</f>
        <v/>
      </c>
      <c r="L1270" s="13" t="str">
        <f aca="false">IF($B1270="","",IF(COUNTIFS($B$3:$B1270,$B1270)&gt;1,0,IFERROR(LOOKUP($K1270,배송비규정!$A$3:$A$32,배송비규정!$B$3:$B$32),0)+IFERROR(INDEX(지역추가비!$B$3:$B$42,MATCH($J1270,지역추가비!$A$3:$A$42,0)),0)))</f>
        <v/>
      </c>
      <c r="M1270" s="13" t="str">
        <f aca="false">IF($B1270="","",IF(COUNTIFS($B$3:$B1270,$B1270)&gt;1,"",$K1270+$L1270))</f>
        <v/>
      </c>
      <c r="N1270" s="14" t="str">
        <f aca="false">IF($B1270="","",COUNTIFS($B$3:$B1270,$B1270))</f>
        <v/>
      </c>
      <c r="O1270" s="14" t="str">
        <f aca="false">IF($B1270="","",$B1270&amp;"|"&amp;$N1270)</f>
        <v/>
      </c>
    </row>
    <row r="1271" customFormat="false" ht="15" hidden="false" customHeight="false" outlineLevel="0" collapsed="false">
      <c r="A1271" s="12"/>
      <c r="B1271" s="9"/>
      <c r="C1271" s="9"/>
      <c r="D1271" s="9"/>
      <c r="E1271" s="9"/>
      <c r="F1271" s="9"/>
      <c r="G1271" s="9"/>
      <c r="H1271" s="7"/>
      <c r="I1271" s="13" t="str">
        <f aca="false">IF(OR($G1271="",$H1271=""),"",ROUND($G1271*$H1271,0))</f>
        <v/>
      </c>
      <c r="J1271" s="8"/>
      <c r="K1271" s="13" t="str">
        <f aca="false">IF($B1271="","",SUMIFS($I$3:$I$2002,$B$3:$B$2002,$B1271))</f>
        <v/>
      </c>
      <c r="L1271" s="13" t="str">
        <f aca="false">IF($B1271="","",IF(COUNTIFS($B$3:$B1271,$B1271)&gt;1,0,IFERROR(LOOKUP($K1271,배송비규정!$A$3:$A$32,배송비규정!$B$3:$B$32),0)+IFERROR(INDEX(지역추가비!$B$3:$B$42,MATCH($J1271,지역추가비!$A$3:$A$42,0)),0)))</f>
        <v/>
      </c>
      <c r="M1271" s="13" t="str">
        <f aca="false">IF($B1271="","",IF(COUNTIFS($B$3:$B1271,$B1271)&gt;1,"",$K1271+$L1271))</f>
        <v/>
      </c>
      <c r="N1271" s="14" t="str">
        <f aca="false">IF($B1271="","",COUNTIFS($B$3:$B1271,$B1271))</f>
        <v/>
      </c>
      <c r="O1271" s="14" t="str">
        <f aca="false">IF($B1271="","",$B1271&amp;"|"&amp;$N1271)</f>
        <v/>
      </c>
    </row>
    <row r="1272" customFormat="false" ht="15" hidden="false" customHeight="false" outlineLevel="0" collapsed="false">
      <c r="A1272" s="12"/>
      <c r="B1272" s="9"/>
      <c r="C1272" s="9"/>
      <c r="D1272" s="9"/>
      <c r="E1272" s="9"/>
      <c r="F1272" s="9"/>
      <c r="G1272" s="9"/>
      <c r="H1272" s="7"/>
      <c r="I1272" s="13" t="str">
        <f aca="false">IF(OR($G1272="",$H1272=""),"",ROUND($G1272*$H1272,0))</f>
        <v/>
      </c>
      <c r="J1272" s="8"/>
      <c r="K1272" s="13" t="str">
        <f aca="false">IF($B1272="","",SUMIFS($I$3:$I$2002,$B$3:$B$2002,$B1272))</f>
        <v/>
      </c>
      <c r="L1272" s="13" t="str">
        <f aca="false">IF($B1272="","",IF(COUNTIFS($B$3:$B1272,$B1272)&gt;1,0,IFERROR(LOOKUP($K1272,배송비규정!$A$3:$A$32,배송비규정!$B$3:$B$32),0)+IFERROR(INDEX(지역추가비!$B$3:$B$42,MATCH($J1272,지역추가비!$A$3:$A$42,0)),0)))</f>
        <v/>
      </c>
      <c r="M1272" s="13" t="str">
        <f aca="false">IF($B1272="","",IF(COUNTIFS($B$3:$B1272,$B1272)&gt;1,"",$K1272+$L1272))</f>
        <v/>
      </c>
      <c r="N1272" s="14" t="str">
        <f aca="false">IF($B1272="","",COUNTIFS($B$3:$B1272,$B1272))</f>
        <v/>
      </c>
      <c r="O1272" s="14" t="str">
        <f aca="false">IF($B1272="","",$B1272&amp;"|"&amp;$N1272)</f>
        <v/>
      </c>
    </row>
    <row r="1273" customFormat="false" ht="15" hidden="false" customHeight="false" outlineLevel="0" collapsed="false">
      <c r="A1273" s="12"/>
      <c r="B1273" s="9"/>
      <c r="C1273" s="9"/>
      <c r="D1273" s="9"/>
      <c r="E1273" s="9"/>
      <c r="F1273" s="9"/>
      <c r="G1273" s="9"/>
      <c r="H1273" s="7"/>
      <c r="I1273" s="13" t="str">
        <f aca="false">IF(OR($G1273="",$H1273=""),"",ROUND($G1273*$H1273,0))</f>
        <v/>
      </c>
      <c r="J1273" s="8"/>
      <c r="K1273" s="13" t="str">
        <f aca="false">IF($B1273="","",SUMIFS($I$3:$I$2002,$B$3:$B$2002,$B1273))</f>
        <v/>
      </c>
      <c r="L1273" s="13" t="str">
        <f aca="false">IF($B1273="","",IF(COUNTIFS($B$3:$B1273,$B1273)&gt;1,0,IFERROR(LOOKUP($K1273,배송비규정!$A$3:$A$32,배송비규정!$B$3:$B$32),0)+IFERROR(INDEX(지역추가비!$B$3:$B$42,MATCH($J1273,지역추가비!$A$3:$A$42,0)),0)))</f>
        <v/>
      </c>
      <c r="M1273" s="13" t="str">
        <f aca="false">IF($B1273="","",IF(COUNTIFS($B$3:$B1273,$B1273)&gt;1,"",$K1273+$L1273))</f>
        <v/>
      </c>
      <c r="N1273" s="14" t="str">
        <f aca="false">IF($B1273="","",COUNTIFS($B$3:$B1273,$B1273))</f>
        <v/>
      </c>
      <c r="O1273" s="14" t="str">
        <f aca="false">IF($B1273="","",$B1273&amp;"|"&amp;$N1273)</f>
        <v/>
      </c>
    </row>
    <row r="1274" customFormat="false" ht="15" hidden="false" customHeight="false" outlineLevel="0" collapsed="false">
      <c r="A1274" s="12"/>
      <c r="B1274" s="9"/>
      <c r="C1274" s="9"/>
      <c r="D1274" s="9"/>
      <c r="E1274" s="9"/>
      <c r="F1274" s="9"/>
      <c r="G1274" s="9"/>
      <c r="H1274" s="7"/>
      <c r="I1274" s="13" t="str">
        <f aca="false">IF(OR($G1274="",$H1274=""),"",ROUND($G1274*$H1274,0))</f>
        <v/>
      </c>
      <c r="J1274" s="8"/>
      <c r="K1274" s="13" t="str">
        <f aca="false">IF($B1274="","",SUMIFS($I$3:$I$2002,$B$3:$B$2002,$B1274))</f>
        <v/>
      </c>
      <c r="L1274" s="13" t="str">
        <f aca="false">IF($B1274="","",IF(COUNTIFS($B$3:$B1274,$B1274)&gt;1,0,IFERROR(LOOKUP($K1274,배송비규정!$A$3:$A$32,배송비규정!$B$3:$B$32),0)+IFERROR(INDEX(지역추가비!$B$3:$B$42,MATCH($J1274,지역추가비!$A$3:$A$42,0)),0)))</f>
        <v/>
      </c>
      <c r="M1274" s="13" t="str">
        <f aca="false">IF($B1274="","",IF(COUNTIFS($B$3:$B1274,$B1274)&gt;1,"",$K1274+$L1274))</f>
        <v/>
      </c>
      <c r="N1274" s="14" t="str">
        <f aca="false">IF($B1274="","",COUNTIFS($B$3:$B1274,$B1274))</f>
        <v/>
      </c>
      <c r="O1274" s="14" t="str">
        <f aca="false">IF($B1274="","",$B1274&amp;"|"&amp;$N1274)</f>
        <v/>
      </c>
    </row>
    <row r="1275" customFormat="false" ht="15" hidden="false" customHeight="false" outlineLevel="0" collapsed="false">
      <c r="A1275" s="12"/>
      <c r="B1275" s="9"/>
      <c r="C1275" s="9"/>
      <c r="D1275" s="9"/>
      <c r="E1275" s="9"/>
      <c r="F1275" s="9"/>
      <c r="G1275" s="9"/>
      <c r="H1275" s="7"/>
      <c r="I1275" s="13" t="str">
        <f aca="false">IF(OR($G1275="",$H1275=""),"",ROUND($G1275*$H1275,0))</f>
        <v/>
      </c>
      <c r="J1275" s="8"/>
      <c r="K1275" s="13" t="str">
        <f aca="false">IF($B1275="","",SUMIFS($I$3:$I$2002,$B$3:$B$2002,$B1275))</f>
        <v/>
      </c>
      <c r="L1275" s="13" t="str">
        <f aca="false">IF($B1275="","",IF(COUNTIFS($B$3:$B1275,$B1275)&gt;1,0,IFERROR(LOOKUP($K1275,배송비규정!$A$3:$A$32,배송비규정!$B$3:$B$32),0)+IFERROR(INDEX(지역추가비!$B$3:$B$42,MATCH($J1275,지역추가비!$A$3:$A$42,0)),0)))</f>
        <v/>
      </c>
      <c r="M1275" s="13" t="str">
        <f aca="false">IF($B1275="","",IF(COUNTIFS($B$3:$B1275,$B1275)&gt;1,"",$K1275+$L1275))</f>
        <v/>
      </c>
      <c r="N1275" s="14" t="str">
        <f aca="false">IF($B1275="","",COUNTIFS($B$3:$B1275,$B1275))</f>
        <v/>
      </c>
      <c r="O1275" s="14" t="str">
        <f aca="false">IF($B1275="","",$B1275&amp;"|"&amp;$N1275)</f>
        <v/>
      </c>
    </row>
    <row r="1276" customFormat="false" ht="15" hidden="false" customHeight="false" outlineLevel="0" collapsed="false">
      <c r="A1276" s="12"/>
      <c r="B1276" s="9"/>
      <c r="C1276" s="9"/>
      <c r="D1276" s="9"/>
      <c r="E1276" s="9"/>
      <c r="F1276" s="9"/>
      <c r="G1276" s="9"/>
      <c r="H1276" s="7"/>
      <c r="I1276" s="13" t="str">
        <f aca="false">IF(OR($G1276="",$H1276=""),"",ROUND($G1276*$H1276,0))</f>
        <v/>
      </c>
      <c r="J1276" s="8"/>
      <c r="K1276" s="13" t="str">
        <f aca="false">IF($B1276="","",SUMIFS($I$3:$I$2002,$B$3:$B$2002,$B1276))</f>
        <v/>
      </c>
      <c r="L1276" s="13" t="str">
        <f aca="false">IF($B1276="","",IF(COUNTIFS($B$3:$B1276,$B1276)&gt;1,0,IFERROR(LOOKUP($K1276,배송비규정!$A$3:$A$32,배송비규정!$B$3:$B$32),0)+IFERROR(INDEX(지역추가비!$B$3:$B$42,MATCH($J1276,지역추가비!$A$3:$A$42,0)),0)))</f>
        <v/>
      </c>
      <c r="M1276" s="13" t="str">
        <f aca="false">IF($B1276="","",IF(COUNTIFS($B$3:$B1276,$B1276)&gt;1,"",$K1276+$L1276))</f>
        <v/>
      </c>
      <c r="N1276" s="14" t="str">
        <f aca="false">IF($B1276="","",COUNTIFS($B$3:$B1276,$B1276))</f>
        <v/>
      </c>
      <c r="O1276" s="14" t="str">
        <f aca="false">IF($B1276="","",$B1276&amp;"|"&amp;$N1276)</f>
        <v/>
      </c>
    </row>
    <row r="1277" customFormat="false" ht="15" hidden="false" customHeight="false" outlineLevel="0" collapsed="false">
      <c r="A1277" s="12"/>
      <c r="B1277" s="9"/>
      <c r="C1277" s="9"/>
      <c r="D1277" s="9"/>
      <c r="E1277" s="9"/>
      <c r="F1277" s="9"/>
      <c r="G1277" s="9"/>
      <c r="H1277" s="7"/>
      <c r="I1277" s="13" t="str">
        <f aca="false">IF(OR($G1277="",$H1277=""),"",ROUND($G1277*$H1277,0))</f>
        <v/>
      </c>
      <c r="J1277" s="8"/>
      <c r="K1277" s="13" t="str">
        <f aca="false">IF($B1277="","",SUMIFS($I$3:$I$2002,$B$3:$B$2002,$B1277))</f>
        <v/>
      </c>
      <c r="L1277" s="13" t="str">
        <f aca="false">IF($B1277="","",IF(COUNTIFS($B$3:$B1277,$B1277)&gt;1,0,IFERROR(LOOKUP($K1277,배송비규정!$A$3:$A$32,배송비규정!$B$3:$B$32),0)+IFERROR(INDEX(지역추가비!$B$3:$B$42,MATCH($J1277,지역추가비!$A$3:$A$42,0)),0)))</f>
        <v/>
      </c>
      <c r="M1277" s="13" t="str">
        <f aca="false">IF($B1277="","",IF(COUNTIFS($B$3:$B1277,$B1277)&gt;1,"",$K1277+$L1277))</f>
        <v/>
      </c>
      <c r="N1277" s="14" t="str">
        <f aca="false">IF($B1277="","",COUNTIFS($B$3:$B1277,$B1277))</f>
        <v/>
      </c>
      <c r="O1277" s="14" t="str">
        <f aca="false">IF($B1277="","",$B1277&amp;"|"&amp;$N1277)</f>
        <v/>
      </c>
    </row>
    <row r="1278" customFormat="false" ht="15" hidden="false" customHeight="false" outlineLevel="0" collapsed="false">
      <c r="A1278" s="12"/>
      <c r="B1278" s="9"/>
      <c r="C1278" s="9"/>
      <c r="D1278" s="9"/>
      <c r="E1278" s="9"/>
      <c r="F1278" s="9"/>
      <c r="G1278" s="9"/>
      <c r="H1278" s="7"/>
      <c r="I1278" s="13" t="str">
        <f aca="false">IF(OR($G1278="",$H1278=""),"",ROUND($G1278*$H1278,0))</f>
        <v/>
      </c>
      <c r="J1278" s="8"/>
      <c r="K1278" s="13" t="str">
        <f aca="false">IF($B1278="","",SUMIFS($I$3:$I$2002,$B$3:$B$2002,$B1278))</f>
        <v/>
      </c>
      <c r="L1278" s="13" t="str">
        <f aca="false">IF($B1278="","",IF(COUNTIFS($B$3:$B1278,$B1278)&gt;1,0,IFERROR(LOOKUP($K1278,배송비규정!$A$3:$A$32,배송비규정!$B$3:$B$32),0)+IFERROR(INDEX(지역추가비!$B$3:$B$42,MATCH($J1278,지역추가비!$A$3:$A$42,0)),0)))</f>
        <v/>
      </c>
      <c r="M1278" s="13" t="str">
        <f aca="false">IF($B1278="","",IF(COUNTIFS($B$3:$B1278,$B1278)&gt;1,"",$K1278+$L1278))</f>
        <v/>
      </c>
      <c r="N1278" s="14" t="str">
        <f aca="false">IF($B1278="","",COUNTIFS($B$3:$B1278,$B1278))</f>
        <v/>
      </c>
      <c r="O1278" s="14" t="str">
        <f aca="false">IF($B1278="","",$B1278&amp;"|"&amp;$N1278)</f>
        <v/>
      </c>
    </row>
    <row r="1279" customFormat="false" ht="15" hidden="false" customHeight="false" outlineLevel="0" collapsed="false">
      <c r="A1279" s="12"/>
      <c r="B1279" s="9"/>
      <c r="C1279" s="9"/>
      <c r="D1279" s="9"/>
      <c r="E1279" s="9"/>
      <c r="F1279" s="9"/>
      <c r="G1279" s="9"/>
      <c r="H1279" s="7"/>
      <c r="I1279" s="13" t="str">
        <f aca="false">IF(OR($G1279="",$H1279=""),"",ROUND($G1279*$H1279,0))</f>
        <v/>
      </c>
      <c r="J1279" s="8"/>
      <c r="K1279" s="13" t="str">
        <f aca="false">IF($B1279="","",SUMIFS($I$3:$I$2002,$B$3:$B$2002,$B1279))</f>
        <v/>
      </c>
      <c r="L1279" s="13" t="str">
        <f aca="false">IF($B1279="","",IF(COUNTIFS($B$3:$B1279,$B1279)&gt;1,0,IFERROR(LOOKUP($K1279,배송비규정!$A$3:$A$32,배송비규정!$B$3:$B$32),0)+IFERROR(INDEX(지역추가비!$B$3:$B$42,MATCH($J1279,지역추가비!$A$3:$A$42,0)),0)))</f>
        <v/>
      </c>
      <c r="M1279" s="13" t="str">
        <f aca="false">IF($B1279="","",IF(COUNTIFS($B$3:$B1279,$B1279)&gt;1,"",$K1279+$L1279))</f>
        <v/>
      </c>
      <c r="N1279" s="14" t="str">
        <f aca="false">IF($B1279="","",COUNTIFS($B$3:$B1279,$B1279))</f>
        <v/>
      </c>
      <c r="O1279" s="14" t="str">
        <f aca="false">IF($B1279="","",$B1279&amp;"|"&amp;$N1279)</f>
        <v/>
      </c>
    </row>
    <row r="1280" customFormat="false" ht="15" hidden="false" customHeight="false" outlineLevel="0" collapsed="false">
      <c r="A1280" s="12"/>
      <c r="B1280" s="9"/>
      <c r="C1280" s="9"/>
      <c r="D1280" s="9"/>
      <c r="E1280" s="9"/>
      <c r="F1280" s="9"/>
      <c r="G1280" s="9"/>
      <c r="H1280" s="7"/>
      <c r="I1280" s="13" t="str">
        <f aca="false">IF(OR($G1280="",$H1280=""),"",ROUND($G1280*$H1280,0))</f>
        <v/>
      </c>
      <c r="J1280" s="8"/>
      <c r="K1280" s="13" t="str">
        <f aca="false">IF($B1280="","",SUMIFS($I$3:$I$2002,$B$3:$B$2002,$B1280))</f>
        <v/>
      </c>
      <c r="L1280" s="13" t="str">
        <f aca="false">IF($B1280="","",IF(COUNTIFS($B$3:$B1280,$B1280)&gt;1,0,IFERROR(LOOKUP($K1280,배송비규정!$A$3:$A$32,배송비규정!$B$3:$B$32),0)+IFERROR(INDEX(지역추가비!$B$3:$B$42,MATCH($J1280,지역추가비!$A$3:$A$42,0)),0)))</f>
        <v/>
      </c>
      <c r="M1280" s="13" t="str">
        <f aca="false">IF($B1280="","",IF(COUNTIFS($B$3:$B1280,$B1280)&gt;1,"",$K1280+$L1280))</f>
        <v/>
      </c>
      <c r="N1280" s="14" t="str">
        <f aca="false">IF($B1280="","",COUNTIFS($B$3:$B1280,$B1280))</f>
        <v/>
      </c>
      <c r="O1280" s="14" t="str">
        <f aca="false">IF($B1280="","",$B1280&amp;"|"&amp;$N1280)</f>
        <v/>
      </c>
    </row>
    <row r="1281" customFormat="false" ht="15" hidden="false" customHeight="false" outlineLevel="0" collapsed="false">
      <c r="A1281" s="12"/>
      <c r="B1281" s="9"/>
      <c r="C1281" s="9"/>
      <c r="D1281" s="9"/>
      <c r="E1281" s="9"/>
      <c r="F1281" s="9"/>
      <c r="G1281" s="9"/>
      <c r="H1281" s="7"/>
      <c r="I1281" s="13" t="str">
        <f aca="false">IF(OR($G1281="",$H1281=""),"",ROUND($G1281*$H1281,0))</f>
        <v/>
      </c>
      <c r="J1281" s="8"/>
      <c r="K1281" s="13" t="str">
        <f aca="false">IF($B1281="","",SUMIFS($I$3:$I$2002,$B$3:$B$2002,$B1281))</f>
        <v/>
      </c>
      <c r="L1281" s="13" t="str">
        <f aca="false">IF($B1281="","",IF(COUNTIFS($B$3:$B1281,$B1281)&gt;1,0,IFERROR(LOOKUP($K1281,배송비규정!$A$3:$A$32,배송비규정!$B$3:$B$32),0)+IFERROR(INDEX(지역추가비!$B$3:$B$42,MATCH($J1281,지역추가비!$A$3:$A$42,0)),0)))</f>
        <v/>
      </c>
      <c r="M1281" s="13" t="str">
        <f aca="false">IF($B1281="","",IF(COUNTIFS($B$3:$B1281,$B1281)&gt;1,"",$K1281+$L1281))</f>
        <v/>
      </c>
      <c r="N1281" s="14" t="str">
        <f aca="false">IF($B1281="","",COUNTIFS($B$3:$B1281,$B1281))</f>
        <v/>
      </c>
      <c r="O1281" s="14" t="str">
        <f aca="false">IF($B1281="","",$B1281&amp;"|"&amp;$N1281)</f>
        <v/>
      </c>
    </row>
    <row r="1282" customFormat="false" ht="15" hidden="false" customHeight="false" outlineLevel="0" collapsed="false">
      <c r="A1282" s="12"/>
      <c r="B1282" s="9"/>
      <c r="C1282" s="9"/>
      <c r="D1282" s="9"/>
      <c r="E1282" s="9"/>
      <c r="F1282" s="9"/>
      <c r="G1282" s="9"/>
      <c r="H1282" s="7"/>
      <c r="I1282" s="13" t="str">
        <f aca="false">IF(OR($G1282="",$H1282=""),"",ROUND($G1282*$H1282,0))</f>
        <v/>
      </c>
      <c r="J1282" s="8"/>
      <c r="K1282" s="13" t="str">
        <f aca="false">IF($B1282="","",SUMIFS($I$3:$I$2002,$B$3:$B$2002,$B1282))</f>
        <v/>
      </c>
      <c r="L1282" s="13" t="str">
        <f aca="false">IF($B1282="","",IF(COUNTIFS($B$3:$B1282,$B1282)&gt;1,0,IFERROR(LOOKUP($K1282,배송비규정!$A$3:$A$32,배송비규정!$B$3:$B$32),0)+IFERROR(INDEX(지역추가비!$B$3:$B$42,MATCH($J1282,지역추가비!$A$3:$A$42,0)),0)))</f>
        <v/>
      </c>
      <c r="M1282" s="13" t="str">
        <f aca="false">IF($B1282="","",IF(COUNTIFS($B$3:$B1282,$B1282)&gt;1,"",$K1282+$L1282))</f>
        <v/>
      </c>
      <c r="N1282" s="14" t="str">
        <f aca="false">IF($B1282="","",COUNTIFS($B$3:$B1282,$B1282))</f>
        <v/>
      </c>
      <c r="O1282" s="14" t="str">
        <f aca="false">IF($B1282="","",$B1282&amp;"|"&amp;$N1282)</f>
        <v/>
      </c>
    </row>
    <row r="1283" customFormat="false" ht="15" hidden="false" customHeight="false" outlineLevel="0" collapsed="false">
      <c r="A1283" s="12"/>
      <c r="B1283" s="9"/>
      <c r="C1283" s="9"/>
      <c r="D1283" s="9"/>
      <c r="E1283" s="9"/>
      <c r="F1283" s="9"/>
      <c r="G1283" s="9"/>
      <c r="H1283" s="7"/>
      <c r="I1283" s="13" t="str">
        <f aca="false">IF(OR($G1283="",$H1283=""),"",ROUND($G1283*$H1283,0))</f>
        <v/>
      </c>
      <c r="J1283" s="8"/>
      <c r="K1283" s="13" t="str">
        <f aca="false">IF($B1283="","",SUMIFS($I$3:$I$2002,$B$3:$B$2002,$B1283))</f>
        <v/>
      </c>
      <c r="L1283" s="13" t="str">
        <f aca="false">IF($B1283="","",IF(COUNTIFS($B$3:$B1283,$B1283)&gt;1,0,IFERROR(LOOKUP($K1283,배송비규정!$A$3:$A$32,배송비규정!$B$3:$B$32),0)+IFERROR(INDEX(지역추가비!$B$3:$B$42,MATCH($J1283,지역추가비!$A$3:$A$42,0)),0)))</f>
        <v/>
      </c>
      <c r="M1283" s="13" t="str">
        <f aca="false">IF($B1283="","",IF(COUNTIFS($B$3:$B1283,$B1283)&gt;1,"",$K1283+$L1283))</f>
        <v/>
      </c>
      <c r="N1283" s="14" t="str">
        <f aca="false">IF($B1283="","",COUNTIFS($B$3:$B1283,$B1283))</f>
        <v/>
      </c>
      <c r="O1283" s="14" t="str">
        <f aca="false">IF($B1283="","",$B1283&amp;"|"&amp;$N1283)</f>
        <v/>
      </c>
    </row>
    <row r="1284" customFormat="false" ht="15" hidden="false" customHeight="false" outlineLevel="0" collapsed="false">
      <c r="A1284" s="12"/>
      <c r="B1284" s="9"/>
      <c r="C1284" s="9"/>
      <c r="D1284" s="9"/>
      <c r="E1284" s="9"/>
      <c r="F1284" s="9"/>
      <c r="G1284" s="9"/>
      <c r="H1284" s="7"/>
      <c r="I1284" s="13" t="str">
        <f aca="false">IF(OR($G1284="",$H1284=""),"",ROUND($G1284*$H1284,0))</f>
        <v/>
      </c>
      <c r="J1284" s="8"/>
      <c r="K1284" s="13" t="str">
        <f aca="false">IF($B1284="","",SUMIFS($I$3:$I$2002,$B$3:$B$2002,$B1284))</f>
        <v/>
      </c>
      <c r="L1284" s="13" t="str">
        <f aca="false">IF($B1284="","",IF(COUNTIFS($B$3:$B1284,$B1284)&gt;1,0,IFERROR(LOOKUP($K1284,배송비규정!$A$3:$A$32,배송비규정!$B$3:$B$32),0)+IFERROR(INDEX(지역추가비!$B$3:$B$42,MATCH($J1284,지역추가비!$A$3:$A$42,0)),0)))</f>
        <v/>
      </c>
      <c r="M1284" s="13" t="str">
        <f aca="false">IF($B1284="","",IF(COUNTIFS($B$3:$B1284,$B1284)&gt;1,"",$K1284+$L1284))</f>
        <v/>
      </c>
      <c r="N1284" s="14" t="str">
        <f aca="false">IF($B1284="","",COUNTIFS($B$3:$B1284,$B1284))</f>
        <v/>
      </c>
      <c r="O1284" s="14" t="str">
        <f aca="false">IF($B1284="","",$B1284&amp;"|"&amp;$N1284)</f>
        <v/>
      </c>
    </row>
    <row r="1285" customFormat="false" ht="15" hidden="false" customHeight="false" outlineLevel="0" collapsed="false">
      <c r="A1285" s="12"/>
      <c r="B1285" s="9"/>
      <c r="C1285" s="9"/>
      <c r="D1285" s="9"/>
      <c r="E1285" s="9"/>
      <c r="F1285" s="9"/>
      <c r="G1285" s="9"/>
      <c r="H1285" s="7"/>
      <c r="I1285" s="13" t="str">
        <f aca="false">IF(OR($G1285="",$H1285=""),"",ROUND($G1285*$H1285,0))</f>
        <v/>
      </c>
      <c r="J1285" s="8"/>
      <c r="K1285" s="13" t="str">
        <f aca="false">IF($B1285="","",SUMIFS($I$3:$I$2002,$B$3:$B$2002,$B1285))</f>
        <v/>
      </c>
      <c r="L1285" s="13" t="str">
        <f aca="false">IF($B1285="","",IF(COUNTIFS($B$3:$B1285,$B1285)&gt;1,0,IFERROR(LOOKUP($K1285,배송비규정!$A$3:$A$32,배송비규정!$B$3:$B$32),0)+IFERROR(INDEX(지역추가비!$B$3:$B$42,MATCH($J1285,지역추가비!$A$3:$A$42,0)),0)))</f>
        <v/>
      </c>
      <c r="M1285" s="13" t="str">
        <f aca="false">IF($B1285="","",IF(COUNTIFS($B$3:$B1285,$B1285)&gt;1,"",$K1285+$L1285))</f>
        <v/>
      </c>
      <c r="N1285" s="14" t="str">
        <f aca="false">IF($B1285="","",COUNTIFS($B$3:$B1285,$B1285))</f>
        <v/>
      </c>
      <c r="O1285" s="14" t="str">
        <f aca="false">IF($B1285="","",$B1285&amp;"|"&amp;$N1285)</f>
        <v/>
      </c>
    </row>
    <row r="1286" customFormat="false" ht="15" hidden="false" customHeight="false" outlineLevel="0" collapsed="false">
      <c r="A1286" s="12"/>
      <c r="B1286" s="9"/>
      <c r="C1286" s="9"/>
      <c r="D1286" s="9"/>
      <c r="E1286" s="9"/>
      <c r="F1286" s="9"/>
      <c r="G1286" s="9"/>
      <c r="H1286" s="7"/>
      <c r="I1286" s="13" t="str">
        <f aca="false">IF(OR($G1286="",$H1286=""),"",ROUND($G1286*$H1286,0))</f>
        <v/>
      </c>
      <c r="J1286" s="8"/>
      <c r="K1286" s="13" t="str">
        <f aca="false">IF($B1286="","",SUMIFS($I$3:$I$2002,$B$3:$B$2002,$B1286))</f>
        <v/>
      </c>
      <c r="L1286" s="13" t="str">
        <f aca="false">IF($B1286="","",IF(COUNTIFS($B$3:$B1286,$B1286)&gt;1,0,IFERROR(LOOKUP($K1286,배송비규정!$A$3:$A$32,배송비규정!$B$3:$B$32),0)+IFERROR(INDEX(지역추가비!$B$3:$B$42,MATCH($J1286,지역추가비!$A$3:$A$42,0)),0)))</f>
        <v/>
      </c>
      <c r="M1286" s="13" t="str">
        <f aca="false">IF($B1286="","",IF(COUNTIFS($B$3:$B1286,$B1286)&gt;1,"",$K1286+$L1286))</f>
        <v/>
      </c>
      <c r="N1286" s="14" t="str">
        <f aca="false">IF($B1286="","",COUNTIFS($B$3:$B1286,$B1286))</f>
        <v/>
      </c>
      <c r="O1286" s="14" t="str">
        <f aca="false">IF($B1286="","",$B1286&amp;"|"&amp;$N1286)</f>
        <v/>
      </c>
    </row>
    <row r="1287" customFormat="false" ht="15" hidden="false" customHeight="false" outlineLevel="0" collapsed="false">
      <c r="A1287" s="12"/>
      <c r="B1287" s="9"/>
      <c r="C1287" s="9"/>
      <c r="D1287" s="9"/>
      <c r="E1287" s="9"/>
      <c r="F1287" s="9"/>
      <c r="G1287" s="9"/>
      <c r="H1287" s="7"/>
      <c r="I1287" s="13" t="str">
        <f aca="false">IF(OR($G1287="",$H1287=""),"",ROUND($G1287*$H1287,0))</f>
        <v/>
      </c>
      <c r="J1287" s="8"/>
      <c r="K1287" s="13" t="str">
        <f aca="false">IF($B1287="","",SUMIFS($I$3:$I$2002,$B$3:$B$2002,$B1287))</f>
        <v/>
      </c>
      <c r="L1287" s="13" t="str">
        <f aca="false">IF($B1287="","",IF(COUNTIFS($B$3:$B1287,$B1287)&gt;1,0,IFERROR(LOOKUP($K1287,배송비규정!$A$3:$A$32,배송비규정!$B$3:$B$32),0)+IFERROR(INDEX(지역추가비!$B$3:$B$42,MATCH($J1287,지역추가비!$A$3:$A$42,0)),0)))</f>
        <v/>
      </c>
      <c r="M1287" s="13" t="str">
        <f aca="false">IF($B1287="","",IF(COUNTIFS($B$3:$B1287,$B1287)&gt;1,"",$K1287+$L1287))</f>
        <v/>
      </c>
      <c r="N1287" s="14" t="str">
        <f aca="false">IF($B1287="","",COUNTIFS($B$3:$B1287,$B1287))</f>
        <v/>
      </c>
      <c r="O1287" s="14" t="str">
        <f aca="false">IF($B1287="","",$B1287&amp;"|"&amp;$N1287)</f>
        <v/>
      </c>
    </row>
    <row r="1288" customFormat="false" ht="15" hidden="false" customHeight="false" outlineLevel="0" collapsed="false">
      <c r="A1288" s="12"/>
      <c r="B1288" s="9"/>
      <c r="C1288" s="9"/>
      <c r="D1288" s="9"/>
      <c r="E1288" s="9"/>
      <c r="F1288" s="9"/>
      <c r="G1288" s="9"/>
      <c r="H1288" s="7"/>
      <c r="I1288" s="13" t="str">
        <f aca="false">IF(OR($G1288="",$H1288=""),"",ROUND($G1288*$H1288,0))</f>
        <v/>
      </c>
      <c r="J1288" s="8"/>
      <c r="K1288" s="13" t="str">
        <f aca="false">IF($B1288="","",SUMIFS($I$3:$I$2002,$B$3:$B$2002,$B1288))</f>
        <v/>
      </c>
      <c r="L1288" s="13" t="str">
        <f aca="false">IF($B1288="","",IF(COUNTIFS($B$3:$B1288,$B1288)&gt;1,0,IFERROR(LOOKUP($K1288,배송비규정!$A$3:$A$32,배송비규정!$B$3:$B$32),0)+IFERROR(INDEX(지역추가비!$B$3:$B$42,MATCH($J1288,지역추가비!$A$3:$A$42,0)),0)))</f>
        <v/>
      </c>
      <c r="M1288" s="13" t="str">
        <f aca="false">IF($B1288="","",IF(COUNTIFS($B$3:$B1288,$B1288)&gt;1,"",$K1288+$L1288))</f>
        <v/>
      </c>
      <c r="N1288" s="14" t="str">
        <f aca="false">IF($B1288="","",COUNTIFS($B$3:$B1288,$B1288))</f>
        <v/>
      </c>
      <c r="O1288" s="14" t="str">
        <f aca="false">IF($B1288="","",$B1288&amp;"|"&amp;$N1288)</f>
        <v/>
      </c>
    </row>
    <row r="1289" customFormat="false" ht="15" hidden="false" customHeight="false" outlineLevel="0" collapsed="false">
      <c r="A1289" s="12"/>
      <c r="B1289" s="9"/>
      <c r="C1289" s="9"/>
      <c r="D1289" s="9"/>
      <c r="E1289" s="9"/>
      <c r="F1289" s="9"/>
      <c r="G1289" s="9"/>
      <c r="H1289" s="7"/>
      <c r="I1289" s="13" t="str">
        <f aca="false">IF(OR($G1289="",$H1289=""),"",ROUND($G1289*$H1289,0))</f>
        <v/>
      </c>
      <c r="J1289" s="8"/>
      <c r="K1289" s="13" t="str">
        <f aca="false">IF($B1289="","",SUMIFS($I$3:$I$2002,$B$3:$B$2002,$B1289))</f>
        <v/>
      </c>
      <c r="L1289" s="13" t="str">
        <f aca="false">IF($B1289="","",IF(COUNTIFS($B$3:$B1289,$B1289)&gt;1,0,IFERROR(LOOKUP($K1289,배송비규정!$A$3:$A$32,배송비규정!$B$3:$B$32),0)+IFERROR(INDEX(지역추가비!$B$3:$B$42,MATCH($J1289,지역추가비!$A$3:$A$42,0)),0)))</f>
        <v/>
      </c>
      <c r="M1289" s="13" t="str">
        <f aca="false">IF($B1289="","",IF(COUNTIFS($B$3:$B1289,$B1289)&gt;1,"",$K1289+$L1289))</f>
        <v/>
      </c>
      <c r="N1289" s="14" t="str">
        <f aca="false">IF($B1289="","",COUNTIFS($B$3:$B1289,$B1289))</f>
        <v/>
      </c>
      <c r="O1289" s="14" t="str">
        <f aca="false">IF($B1289="","",$B1289&amp;"|"&amp;$N1289)</f>
        <v/>
      </c>
    </row>
    <row r="1290" customFormat="false" ht="15" hidden="false" customHeight="false" outlineLevel="0" collapsed="false">
      <c r="A1290" s="12"/>
      <c r="B1290" s="9"/>
      <c r="C1290" s="9"/>
      <c r="D1290" s="9"/>
      <c r="E1290" s="9"/>
      <c r="F1290" s="9"/>
      <c r="G1290" s="9"/>
      <c r="H1290" s="7"/>
      <c r="I1290" s="13" t="str">
        <f aca="false">IF(OR($G1290="",$H1290=""),"",ROUND($G1290*$H1290,0))</f>
        <v/>
      </c>
      <c r="J1290" s="8"/>
      <c r="K1290" s="13" t="str">
        <f aca="false">IF($B1290="","",SUMIFS($I$3:$I$2002,$B$3:$B$2002,$B1290))</f>
        <v/>
      </c>
      <c r="L1290" s="13" t="str">
        <f aca="false">IF($B1290="","",IF(COUNTIFS($B$3:$B1290,$B1290)&gt;1,0,IFERROR(LOOKUP($K1290,배송비규정!$A$3:$A$32,배송비규정!$B$3:$B$32),0)+IFERROR(INDEX(지역추가비!$B$3:$B$42,MATCH($J1290,지역추가비!$A$3:$A$42,0)),0)))</f>
        <v/>
      </c>
      <c r="M1290" s="13" t="str">
        <f aca="false">IF($B1290="","",IF(COUNTIFS($B$3:$B1290,$B1290)&gt;1,"",$K1290+$L1290))</f>
        <v/>
      </c>
      <c r="N1290" s="14" t="str">
        <f aca="false">IF($B1290="","",COUNTIFS($B$3:$B1290,$B1290))</f>
        <v/>
      </c>
      <c r="O1290" s="14" t="str">
        <f aca="false">IF($B1290="","",$B1290&amp;"|"&amp;$N1290)</f>
        <v/>
      </c>
    </row>
    <row r="1291" customFormat="false" ht="15" hidden="false" customHeight="false" outlineLevel="0" collapsed="false">
      <c r="A1291" s="12"/>
      <c r="B1291" s="9"/>
      <c r="C1291" s="9"/>
      <c r="D1291" s="9"/>
      <c r="E1291" s="9"/>
      <c r="F1291" s="9"/>
      <c r="G1291" s="9"/>
      <c r="H1291" s="7"/>
      <c r="I1291" s="13" t="str">
        <f aca="false">IF(OR($G1291="",$H1291=""),"",ROUND($G1291*$H1291,0))</f>
        <v/>
      </c>
      <c r="J1291" s="8"/>
      <c r="K1291" s="13" t="str">
        <f aca="false">IF($B1291="","",SUMIFS($I$3:$I$2002,$B$3:$B$2002,$B1291))</f>
        <v/>
      </c>
      <c r="L1291" s="13" t="str">
        <f aca="false">IF($B1291="","",IF(COUNTIFS($B$3:$B1291,$B1291)&gt;1,0,IFERROR(LOOKUP($K1291,배송비규정!$A$3:$A$32,배송비규정!$B$3:$B$32),0)+IFERROR(INDEX(지역추가비!$B$3:$B$42,MATCH($J1291,지역추가비!$A$3:$A$42,0)),0)))</f>
        <v/>
      </c>
      <c r="M1291" s="13" t="str">
        <f aca="false">IF($B1291="","",IF(COUNTIFS($B$3:$B1291,$B1291)&gt;1,"",$K1291+$L1291))</f>
        <v/>
      </c>
      <c r="N1291" s="14" t="str">
        <f aca="false">IF($B1291="","",COUNTIFS($B$3:$B1291,$B1291))</f>
        <v/>
      </c>
      <c r="O1291" s="14" t="str">
        <f aca="false">IF($B1291="","",$B1291&amp;"|"&amp;$N1291)</f>
        <v/>
      </c>
    </row>
    <row r="1292" customFormat="false" ht="15" hidden="false" customHeight="false" outlineLevel="0" collapsed="false">
      <c r="A1292" s="12"/>
      <c r="B1292" s="9"/>
      <c r="C1292" s="9"/>
      <c r="D1292" s="9"/>
      <c r="E1292" s="9"/>
      <c r="F1292" s="9"/>
      <c r="G1292" s="9"/>
      <c r="H1292" s="7"/>
      <c r="I1292" s="13" t="str">
        <f aca="false">IF(OR($G1292="",$H1292=""),"",ROUND($G1292*$H1292,0))</f>
        <v/>
      </c>
      <c r="J1292" s="8"/>
      <c r="K1292" s="13" t="str">
        <f aca="false">IF($B1292="","",SUMIFS($I$3:$I$2002,$B$3:$B$2002,$B1292))</f>
        <v/>
      </c>
      <c r="L1292" s="13" t="str">
        <f aca="false">IF($B1292="","",IF(COUNTIFS($B$3:$B1292,$B1292)&gt;1,0,IFERROR(LOOKUP($K1292,배송비규정!$A$3:$A$32,배송비규정!$B$3:$B$32),0)+IFERROR(INDEX(지역추가비!$B$3:$B$42,MATCH($J1292,지역추가비!$A$3:$A$42,0)),0)))</f>
        <v/>
      </c>
      <c r="M1292" s="13" t="str">
        <f aca="false">IF($B1292="","",IF(COUNTIFS($B$3:$B1292,$B1292)&gt;1,"",$K1292+$L1292))</f>
        <v/>
      </c>
      <c r="N1292" s="14" t="str">
        <f aca="false">IF($B1292="","",COUNTIFS($B$3:$B1292,$B1292))</f>
        <v/>
      </c>
      <c r="O1292" s="14" t="str">
        <f aca="false">IF($B1292="","",$B1292&amp;"|"&amp;$N1292)</f>
        <v/>
      </c>
    </row>
    <row r="1293" customFormat="false" ht="15" hidden="false" customHeight="false" outlineLevel="0" collapsed="false">
      <c r="A1293" s="12"/>
      <c r="B1293" s="9"/>
      <c r="C1293" s="9"/>
      <c r="D1293" s="9"/>
      <c r="E1293" s="9"/>
      <c r="F1293" s="9"/>
      <c r="G1293" s="9"/>
      <c r="H1293" s="7"/>
      <c r="I1293" s="13" t="str">
        <f aca="false">IF(OR($G1293="",$H1293=""),"",ROUND($G1293*$H1293,0))</f>
        <v/>
      </c>
      <c r="J1293" s="8"/>
      <c r="K1293" s="13" t="str">
        <f aca="false">IF($B1293="","",SUMIFS($I$3:$I$2002,$B$3:$B$2002,$B1293))</f>
        <v/>
      </c>
      <c r="L1293" s="13" t="str">
        <f aca="false">IF($B1293="","",IF(COUNTIFS($B$3:$B1293,$B1293)&gt;1,0,IFERROR(LOOKUP($K1293,배송비규정!$A$3:$A$32,배송비규정!$B$3:$B$32),0)+IFERROR(INDEX(지역추가비!$B$3:$B$42,MATCH($J1293,지역추가비!$A$3:$A$42,0)),0)))</f>
        <v/>
      </c>
      <c r="M1293" s="13" t="str">
        <f aca="false">IF($B1293="","",IF(COUNTIFS($B$3:$B1293,$B1293)&gt;1,"",$K1293+$L1293))</f>
        <v/>
      </c>
      <c r="N1293" s="14" t="str">
        <f aca="false">IF($B1293="","",COUNTIFS($B$3:$B1293,$B1293))</f>
        <v/>
      </c>
      <c r="O1293" s="14" t="str">
        <f aca="false">IF($B1293="","",$B1293&amp;"|"&amp;$N1293)</f>
        <v/>
      </c>
    </row>
    <row r="1294" customFormat="false" ht="15" hidden="false" customHeight="false" outlineLevel="0" collapsed="false">
      <c r="A1294" s="12"/>
      <c r="B1294" s="9"/>
      <c r="C1294" s="9"/>
      <c r="D1294" s="9"/>
      <c r="E1294" s="9"/>
      <c r="F1294" s="9"/>
      <c r="G1294" s="9"/>
      <c r="H1294" s="7"/>
      <c r="I1294" s="13" t="str">
        <f aca="false">IF(OR($G1294="",$H1294=""),"",ROUND($G1294*$H1294,0))</f>
        <v/>
      </c>
      <c r="J1294" s="8"/>
      <c r="K1294" s="13" t="str">
        <f aca="false">IF($B1294="","",SUMIFS($I$3:$I$2002,$B$3:$B$2002,$B1294))</f>
        <v/>
      </c>
      <c r="L1294" s="13" t="str">
        <f aca="false">IF($B1294="","",IF(COUNTIFS($B$3:$B1294,$B1294)&gt;1,0,IFERROR(LOOKUP($K1294,배송비규정!$A$3:$A$32,배송비규정!$B$3:$B$32),0)+IFERROR(INDEX(지역추가비!$B$3:$B$42,MATCH($J1294,지역추가비!$A$3:$A$42,0)),0)))</f>
        <v/>
      </c>
      <c r="M1294" s="13" t="str">
        <f aca="false">IF($B1294="","",IF(COUNTIFS($B$3:$B1294,$B1294)&gt;1,"",$K1294+$L1294))</f>
        <v/>
      </c>
      <c r="N1294" s="14" t="str">
        <f aca="false">IF($B1294="","",COUNTIFS($B$3:$B1294,$B1294))</f>
        <v/>
      </c>
      <c r="O1294" s="14" t="str">
        <f aca="false">IF($B1294="","",$B1294&amp;"|"&amp;$N1294)</f>
        <v/>
      </c>
    </row>
    <row r="1295" customFormat="false" ht="15" hidden="false" customHeight="false" outlineLevel="0" collapsed="false">
      <c r="A1295" s="12"/>
      <c r="B1295" s="9"/>
      <c r="C1295" s="9"/>
      <c r="D1295" s="9"/>
      <c r="E1295" s="9"/>
      <c r="F1295" s="9"/>
      <c r="G1295" s="9"/>
      <c r="H1295" s="7"/>
      <c r="I1295" s="13" t="str">
        <f aca="false">IF(OR($G1295="",$H1295=""),"",ROUND($G1295*$H1295,0))</f>
        <v/>
      </c>
      <c r="J1295" s="8"/>
      <c r="K1295" s="13" t="str">
        <f aca="false">IF($B1295="","",SUMIFS($I$3:$I$2002,$B$3:$B$2002,$B1295))</f>
        <v/>
      </c>
      <c r="L1295" s="13" t="str">
        <f aca="false">IF($B1295="","",IF(COUNTIFS($B$3:$B1295,$B1295)&gt;1,0,IFERROR(LOOKUP($K1295,배송비규정!$A$3:$A$32,배송비규정!$B$3:$B$32),0)+IFERROR(INDEX(지역추가비!$B$3:$B$42,MATCH($J1295,지역추가비!$A$3:$A$42,0)),0)))</f>
        <v/>
      </c>
      <c r="M1295" s="13" t="str">
        <f aca="false">IF($B1295="","",IF(COUNTIFS($B$3:$B1295,$B1295)&gt;1,"",$K1295+$L1295))</f>
        <v/>
      </c>
      <c r="N1295" s="14" t="str">
        <f aca="false">IF($B1295="","",COUNTIFS($B$3:$B1295,$B1295))</f>
        <v/>
      </c>
      <c r="O1295" s="14" t="str">
        <f aca="false">IF($B1295="","",$B1295&amp;"|"&amp;$N1295)</f>
        <v/>
      </c>
    </row>
    <row r="1296" customFormat="false" ht="15" hidden="false" customHeight="false" outlineLevel="0" collapsed="false">
      <c r="A1296" s="12"/>
      <c r="B1296" s="9"/>
      <c r="C1296" s="9"/>
      <c r="D1296" s="9"/>
      <c r="E1296" s="9"/>
      <c r="F1296" s="9"/>
      <c r="G1296" s="9"/>
      <c r="H1296" s="7"/>
      <c r="I1296" s="13" t="str">
        <f aca="false">IF(OR($G1296="",$H1296=""),"",ROUND($G1296*$H1296,0))</f>
        <v/>
      </c>
      <c r="J1296" s="8"/>
      <c r="K1296" s="13" t="str">
        <f aca="false">IF($B1296="","",SUMIFS($I$3:$I$2002,$B$3:$B$2002,$B1296))</f>
        <v/>
      </c>
      <c r="L1296" s="13" t="str">
        <f aca="false">IF($B1296="","",IF(COUNTIFS($B$3:$B1296,$B1296)&gt;1,0,IFERROR(LOOKUP($K1296,배송비규정!$A$3:$A$32,배송비규정!$B$3:$B$32),0)+IFERROR(INDEX(지역추가비!$B$3:$B$42,MATCH($J1296,지역추가비!$A$3:$A$42,0)),0)))</f>
        <v/>
      </c>
      <c r="M1296" s="13" t="str">
        <f aca="false">IF($B1296="","",IF(COUNTIFS($B$3:$B1296,$B1296)&gt;1,"",$K1296+$L1296))</f>
        <v/>
      </c>
      <c r="N1296" s="14" t="str">
        <f aca="false">IF($B1296="","",COUNTIFS($B$3:$B1296,$B1296))</f>
        <v/>
      </c>
      <c r="O1296" s="14" t="str">
        <f aca="false">IF($B1296="","",$B1296&amp;"|"&amp;$N1296)</f>
        <v/>
      </c>
    </row>
    <row r="1297" customFormat="false" ht="15" hidden="false" customHeight="false" outlineLevel="0" collapsed="false">
      <c r="A1297" s="12"/>
      <c r="B1297" s="9"/>
      <c r="C1297" s="9"/>
      <c r="D1297" s="9"/>
      <c r="E1297" s="9"/>
      <c r="F1297" s="9"/>
      <c r="G1297" s="9"/>
      <c r="H1297" s="7"/>
      <c r="I1297" s="13" t="str">
        <f aca="false">IF(OR($G1297="",$H1297=""),"",ROUND($G1297*$H1297,0))</f>
        <v/>
      </c>
      <c r="J1297" s="8"/>
      <c r="K1297" s="13" t="str">
        <f aca="false">IF($B1297="","",SUMIFS($I$3:$I$2002,$B$3:$B$2002,$B1297))</f>
        <v/>
      </c>
      <c r="L1297" s="13" t="str">
        <f aca="false">IF($B1297="","",IF(COUNTIFS($B$3:$B1297,$B1297)&gt;1,0,IFERROR(LOOKUP($K1297,배송비규정!$A$3:$A$32,배송비규정!$B$3:$B$32),0)+IFERROR(INDEX(지역추가비!$B$3:$B$42,MATCH($J1297,지역추가비!$A$3:$A$42,0)),0)))</f>
        <v/>
      </c>
      <c r="M1297" s="13" t="str">
        <f aca="false">IF($B1297="","",IF(COUNTIFS($B$3:$B1297,$B1297)&gt;1,"",$K1297+$L1297))</f>
        <v/>
      </c>
      <c r="N1297" s="14" t="str">
        <f aca="false">IF($B1297="","",COUNTIFS($B$3:$B1297,$B1297))</f>
        <v/>
      </c>
      <c r="O1297" s="14" t="str">
        <f aca="false">IF($B1297="","",$B1297&amp;"|"&amp;$N1297)</f>
        <v/>
      </c>
    </row>
    <row r="1298" customFormat="false" ht="15" hidden="false" customHeight="false" outlineLevel="0" collapsed="false">
      <c r="A1298" s="12"/>
      <c r="B1298" s="9"/>
      <c r="C1298" s="9"/>
      <c r="D1298" s="9"/>
      <c r="E1298" s="9"/>
      <c r="F1298" s="9"/>
      <c r="G1298" s="9"/>
      <c r="H1298" s="7"/>
      <c r="I1298" s="13" t="str">
        <f aca="false">IF(OR($G1298="",$H1298=""),"",ROUND($G1298*$H1298,0))</f>
        <v/>
      </c>
      <c r="J1298" s="8"/>
      <c r="K1298" s="13" t="str">
        <f aca="false">IF($B1298="","",SUMIFS($I$3:$I$2002,$B$3:$B$2002,$B1298))</f>
        <v/>
      </c>
      <c r="L1298" s="13" t="str">
        <f aca="false">IF($B1298="","",IF(COUNTIFS($B$3:$B1298,$B1298)&gt;1,0,IFERROR(LOOKUP($K1298,배송비규정!$A$3:$A$32,배송비규정!$B$3:$B$32),0)+IFERROR(INDEX(지역추가비!$B$3:$B$42,MATCH($J1298,지역추가비!$A$3:$A$42,0)),0)))</f>
        <v/>
      </c>
      <c r="M1298" s="13" t="str">
        <f aca="false">IF($B1298="","",IF(COUNTIFS($B$3:$B1298,$B1298)&gt;1,"",$K1298+$L1298))</f>
        <v/>
      </c>
      <c r="N1298" s="14" t="str">
        <f aca="false">IF($B1298="","",COUNTIFS($B$3:$B1298,$B1298))</f>
        <v/>
      </c>
      <c r="O1298" s="14" t="str">
        <f aca="false">IF($B1298="","",$B1298&amp;"|"&amp;$N1298)</f>
        <v/>
      </c>
    </row>
    <row r="1299" customFormat="false" ht="15" hidden="false" customHeight="false" outlineLevel="0" collapsed="false">
      <c r="A1299" s="12"/>
      <c r="B1299" s="9"/>
      <c r="C1299" s="9"/>
      <c r="D1299" s="9"/>
      <c r="E1299" s="9"/>
      <c r="F1299" s="9"/>
      <c r="G1299" s="9"/>
      <c r="H1299" s="7"/>
      <c r="I1299" s="13" t="str">
        <f aca="false">IF(OR($G1299="",$H1299=""),"",ROUND($G1299*$H1299,0))</f>
        <v/>
      </c>
      <c r="J1299" s="8"/>
      <c r="K1299" s="13" t="str">
        <f aca="false">IF($B1299="","",SUMIFS($I$3:$I$2002,$B$3:$B$2002,$B1299))</f>
        <v/>
      </c>
      <c r="L1299" s="13" t="str">
        <f aca="false">IF($B1299="","",IF(COUNTIFS($B$3:$B1299,$B1299)&gt;1,0,IFERROR(LOOKUP($K1299,배송비규정!$A$3:$A$32,배송비규정!$B$3:$B$32),0)+IFERROR(INDEX(지역추가비!$B$3:$B$42,MATCH($J1299,지역추가비!$A$3:$A$42,0)),0)))</f>
        <v/>
      </c>
      <c r="M1299" s="13" t="str">
        <f aca="false">IF($B1299="","",IF(COUNTIFS($B$3:$B1299,$B1299)&gt;1,"",$K1299+$L1299))</f>
        <v/>
      </c>
      <c r="N1299" s="14" t="str">
        <f aca="false">IF($B1299="","",COUNTIFS($B$3:$B1299,$B1299))</f>
        <v/>
      </c>
      <c r="O1299" s="14" t="str">
        <f aca="false">IF($B1299="","",$B1299&amp;"|"&amp;$N1299)</f>
        <v/>
      </c>
    </row>
    <row r="1300" customFormat="false" ht="15" hidden="false" customHeight="false" outlineLevel="0" collapsed="false">
      <c r="A1300" s="12"/>
      <c r="B1300" s="9"/>
      <c r="C1300" s="9"/>
      <c r="D1300" s="9"/>
      <c r="E1300" s="9"/>
      <c r="F1300" s="9"/>
      <c r="G1300" s="9"/>
      <c r="H1300" s="7"/>
      <c r="I1300" s="13" t="str">
        <f aca="false">IF(OR($G1300="",$H1300=""),"",ROUND($G1300*$H1300,0))</f>
        <v/>
      </c>
      <c r="J1300" s="8"/>
      <c r="K1300" s="13" t="str">
        <f aca="false">IF($B1300="","",SUMIFS($I$3:$I$2002,$B$3:$B$2002,$B1300))</f>
        <v/>
      </c>
      <c r="L1300" s="13" t="str">
        <f aca="false">IF($B1300="","",IF(COUNTIFS($B$3:$B1300,$B1300)&gt;1,0,IFERROR(LOOKUP($K1300,배송비규정!$A$3:$A$32,배송비규정!$B$3:$B$32),0)+IFERROR(INDEX(지역추가비!$B$3:$B$42,MATCH($J1300,지역추가비!$A$3:$A$42,0)),0)))</f>
        <v/>
      </c>
      <c r="M1300" s="13" t="str">
        <f aca="false">IF($B1300="","",IF(COUNTIFS($B$3:$B1300,$B1300)&gt;1,"",$K1300+$L1300))</f>
        <v/>
      </c>
      <c r="N1300" s="14" t="str">
        <f aca="false">IF($B1300="","",COUNTIFS($B$3:$B1300,$B1300))</f>
        <v/>
      </c>
      <c r="O1300" s="14" t="str">
        <f aca="false">IF($B1300="","",$B1300&amp;"|"&amp;$N1300)</f>
        <v/>
      </c>
    </row>
    <row r="1301" customFormat="false" ht="15" hidden="false" customHeight="false" outlineLevel="0" collapsed="false">
      <c r="A1301" s="12"/>
      <c r="B1301" s="9"/>
      <c r="C1301" s="9"/>
      <c r="D1301" s="9"/>
      <c r="E1301" s="9"/>
      <c r="F1301" s="9"/>
      <c r="G1301" s="9"/>
      <c r="H1301" s="7"/>
      <c r="I1301" s="13" t="str">
        <f aca="false">IF(OR($G1301="",$H1301=""),"",ROUND($G1301*$H1301,0))</f>
        <v/>
      </c>
      <c r="J1301" s="8"/>
      <c r="K1301" s="13" t="str">
        <f aca="false">IF($B1301="","",SUMIFS($I$3:$I$2002,$B$3:$B$2002,$B1301))</f>
        <v/>
      </c>
      <c r="L1301" s="13" t="str">
        <f aca="false">IF($B1301="","",IF(COUNTIFS($B$3:$B1301,$B1301)&gt;1,0,IFERROR(LOOKUP($K1301,배송비규정!$A$3:$A$32,배송비규정!$B$3:$B$32),0)+IFERROR(INDEX(지역추가비!$B$3:$B$42,MATCH($J1301,지역추가비!$A$3:$A$42,0)),0)))</f>
        <v/>
      </c>
      <c r="M1301" s="13" t="str">
        <f aca="false">IF($B1301="","",IF(COUNTIFS($B$3:$B1301,$B1301)&gt;1,"",$K1301+$L1301))</f>
        <v/>
      </c>
      <c r="N1301" s="14" t="str">
        <f aca="false">IF($B1301="","",COUNTIFS($B$3:$B1301,$B1301))</f>
        <v/>
      </c>
      <c r="O1301" s="14" t="str">
        <f aca="false">IF($B1301="","",$B1301&amp;"|"&amp;$N1301)</f>
        <v/>
      </c>
    </row>
    <row r="1302" customFormat="false" ht="15" hidden="false" customHeight="false" outlineLevel="0" collapsed="false">
      <c r="A1302" s="12"/>
      <c r="B1302" s="9"/>
      <c r="C1302" s="9"/>
      <c r="D1302" s="9"/>
      <c r="E1302" s="9"/>
      <c r="F1302" s="9"/>
      <c r="G1302" s="9"/>
      <c r="H1302" s="7"/>
      <c r="I1302" s="13" t="str">
        <f aca="false">IF(OR($G1302="",$H1302=""),"",ROUND($G1302*$H1302,0))</f>
        <v/>
      </c>
      <c r="J1302" s="8"/>
      <c r="K1302" s="13" t="str">
        <f aca="false">IF($B1302="","",SUMIFS($I$3:$I$2002,$B$3:$B$2002,$B1302))</f>
        <v/>
      </c>
      <c r="L1302" s="13" t="str">
        <f aca="false">IF($B1302="","",IF(COUNTIFS($B$3:$B1302,$B1302)&gt;1,0,IFERROR(LOOKUP($K1302,배송비규정!$A$3:$A$32,배송비규정!$B$3:$B$32),0)+IFERROR(INDEX(지역추가비!$B$3:$B$42,MATCH($J1302,지역추가비!$A$3:$A$42,0)),0)))</f>
        <v/>
      </c>
      <c r="M1302" s="13" t="str">
        <f aca="false">IF($B1302="","",IF(COUNTIFS($B$3:$B1302,$B1302)&gt;1,"",$K1302+$L1302))</f>
        <v/>
      </c>
      <c r="N1302" s="14" t="str">
        <f aca="false">IF($B1302="","",COUNTIFS($B$3:$B1302,$B1302))</f>
        <v/>
      </c>
      <c r="O1302" s="14" t="str">
        <f aca="false">IF($B1302="","",$B1302&amp;"|"&amp;$N1302)</f>
        <v/>
      </c>
    </row>
    <row r="1303" customFormat="false" ht="15" hidden="false" customHeight="false" outlineLevel="0" collapsed="false">
      <c r="A1303" s="12"/>
      <c r="B1303" s="9"/>
      <c r="C1303" s="9"/>
      <c r="D1303" s="9"/>
      <c r="E1303" s="9"/>
      <c r="F1303" s="9"/>
      <c r="G1303" s="9"/>
      <c r="H1303" s="7"/>
      <c r="I1303" s="13" t="str">
        <f aca="false">IF(OR($G1303="",$H1303=""),"",ROUND($G1303*$H1303,0))</f>
        <v/>
      </c>
      <c r="J1303" s="8"/>
      <c r="K1303" s="13" t="str">
        <f aca="false">IF($B1303="","",SUMIFS($I$3:$I$2002,$B$3:$B$2002,$B1303))</f>
        <v/>
      </c>
      <c r="L1303" s="13" t="str">
        <f aca="false">IF($B1303="","",IF(COUNTIFS($B$3:$B1303,$B1303)&gt;1,0,IFERROR(LOOKUP($K1303,배송비규정!$A$3:$A$32,배송비규정!$B$3:$B$32),0)+IFERROR(INDEX(지역추가비!$B$3:$B$42,MATCH($J1303,지역추가비!$A$3:$A$42,0)),0)))</f>
        <v/>
      </c>
      <c r="M1303" s="13" t="str">
        <f aca="false">IF($B1303="","",IF(COUNTIFS($B$3:$B1303,$B1303)&gt;1,"",$K1303+$L1303))</f>
        <v/>
      </c>
      <c r="N1303" s="14" t="str">
        <f aca="false">IF($B1303="","",COUNTIFS($B$3:$B1303,$B1303))</f>
        <v/>
      </c>
      <c r="O1303" s="14" t="str">
        <f aca="false">IF($B1303="","",$B1303&amp;"|"&amp;$N1303)</f>
        <v/>
      </c>
    </row>
    <row r="1304" customFormat="false" ht="15" hidden="false" customHeight="false" outlineLevel="0" collapsed="false">
      <c r="A1304" s="12"/>
      <c r="B1304" s="9"/>
      <c r="C1304" s="9"/>
      <c r="D1304" s="9"/>
      <c r="E1304" s="9"/>
      <c r="F1304" s="9"/>
      <c r="G1304" s="9"/>
      <c r="H1304" s="7"/>
      <c r="I1304" s="13" t="str">
        <f aca="false">IF(OR($G1304="",$H1304=""),"",ROUND($G1304*$H1304,0))</f>
        <v/>
      </c>
      <c r="J1304" s="8"/>
      <c r="K1304" s="13" t="str">
        <f aca="false">IF($B1304="","",SUMIFS($I$3:$I$2002,$B$3:$B$2002,$B1304))</f>
        <v/>
      </c>
      <c r="L1304" s="13" t="str">
        <f aca="false">IF($B1304="","",IF(COUNTIFS($B$3:$B1304,$B1304)&gt;1,0,IFERROR(LOOKUP($K1304,배송비규정!$A$3:$A$32,배송비규정!$B$3:$B$32),0)+IFERROR(INDEX(지역추가비!$B$3:$B$42,MATCH($J1304,지역추가비!$A$3:$A$42,0)),0)))</f>
        <v/>
      </c>
      <c r="M1304" s="13" t="str">
        <f aca="false">IF($B1304="","",IF(COUNTIFS($B$3:$B1304,$B1304)&gt;1,"",$K1304+$L1304))</f>
        <v/>
      </c>
      <c r="N1304" s="14" t="str">
        <f aca="false">IF($B1304="","",COUNTIFS($B$3:$B1304,$B1304))</f>
        <v/>
      </c>
      <c r="O1304" s="14" t="str">
        <f aca="false">IF($B1304="","",$B1304&amp;"|"&amp;$N1304)</f>
        <v/>
      </c>
    </row>
    <row r="1305" customFormat="false" ht="15" hidden="false" customHeight="false" outlineLevel="0" collapsed="false">
      <c r="A1305" s="12"/>
      <c r="B1305" s="9"/>
      <c r="C1305" s="9"/>
      <c r="D1305" s="9"/>
      <c r="E1305" s="9"/>
      <c r="F1305" s="9"/>
      <c r="G1305" s="9"/>
      <c r="H1305" s="7"/>
      <c r="I1305" s="13" t="str">
        <f aca="false">IF(OR($G1305="",$H1305=""),"",ROUND($G1305*$H1305,0))</f>
        <v/>
      </c>
      <c r="J1305" s="8"/>
      <c r="K1305" s="13" t="str">
        <f aca="false">IF($B1305="","",SUMIFS($I$3:$I$2002,$B$3:$B$2002,$B1305))</f>
        <v/>
      </c>
      <c r="L1305" s="13" t="str">
        <f aca="false">IF($B1305="","",IF(COUNTIFS($B$3:$B1305,$B1305)&gt;1,0,IFERROR(LOOKUP($K1305,배송비규정!$A$3:$A$32,배송비규정!$B$3:$B$32),0)+IFERROR(INDEX(지역추가비!$B$3:$B$42,MATCH($J1305,지역추가비!$A$3:$A$42,0)),0)))</f>
        <v/>
      </c>
      <c r="M1305" s="13" t="str">
        <f aca="false">IF($B1305="","",IF(COUNTIFS($B$3:$B1305,$B1305)&gt;1,"",$K1305+$L1305))</f>
        <v/>
      </c>
      <c r="N1305" s="14" t="str">
        <f aca="false">IF($B1305="","",COUNTIFS($B$3:$B1305,$B1305))</f>
        <v/>
      </c>
      <c r="O1305" s="14" t="str">
        <f aca="false">IF($B1305="","",$B1305&amp;"|"&amp;$N1305)</f>
        <v/>
      </c>
    </row>
    <row r="1306" customFormat="false" ht="15" hidden="false" customHeight="false" outlineLevel="0" collapsed="false">
      <c r="A1306" s="12"/>
      <c r="B1306" s="9"/>
      <c r="C1306" s="9"/>
      <c r="D1306" s="9"/>
      <c r="E1306" s="9"/>
      <c r="F1306" s="9"/>
      <c r="G1306" s="9"/>
      <c r="H1306" s="7"/>
      <c r="I1306" s="13" t="str">
        <f aca="false">IF(OR($G1306="",$H1306=""),"",ROUND($G1306*$H1306,0))</f>
        <v/>
      </c>
      <c r="J1306" s="8"/>
      <c r="K1306" s="13" t="str">
        <f aca="false">IF($B1306="","",SUMIFS($I$3:$I$2002,$B$3:$B$2002,$B1306))</f>
        <v/>
      </c>
      <c r="L1306" s="13" t="str">
        <f aca="false">IF($B1306="","",IF(COUNTIFS($B$3:$B1306,$B1306)&gt;1,0,IFERROR(LOOKUP($K1306,배송비규정!$A$3:$A$32,배송비규정!$B$3:$B$32),0)+IFERROR(INDEX(지역추가비!$B$3:$B$42,MATCH($J1306,지역추가비!$A$3:$A$42,0)),0)))</f>
        <v/>
      </c>
      <c r="M1306" s="13" t="str">
        <f aca="false">IF($B1306="","",IF(COUNTIFS($B$3:$B1306,$B1306)&gt;1,"",$K1306+$L1306))</f>
        <v/>
      </c>
      <c r="N1306" s="14" t="str">
        <f aca="false">IF($B1306="","",COUNTIFS($B$3:$B1306,$B1306))</f>
        <v/>
      </c>
      <c r="O1306" s="14" t="str">
        <f aca="false">IF($B1306="","",$B1306&amp;"|"&amp;$N1306)</f>
        <v/>
      </c>
    </row>
    <row r="1307" customFormat="false" ht="15" hidden="false" customHeight="false" outlineLevel="0" collapsed="false">
      <c r="A1307" s="12"/>
      <c r="B1307" s="9"/>
      <c r="C1307" s="9"/>
      <c r="D1307" s="9"/>
      <c r="E1307" s="9"/>
      <c r="F1307" s="9"/>
      <c r="G1307" s="9"/>
      <c r="H1307" s="7"/>
      <c r="I1307" s="13" t="str">
        <f aca="false">IF(OR($G1307="",$H1307=""),"",ROUND($G1307*$H1307,0))</f>
        <v/>
      </c>
      <c r="J1307" s="8"/>
      <c r="K1307" s="13" t="str">
        <f aca="false">IF($B1307="","",SUMIFS($I$3:$I$2002,$B$3:$B$2002,$B1307))</f>
        <v/>
      </c>
      <c r="L1307" s="13" t="str">
        <f aca="false">IF($B1307="","",IF(COUNTIFS($B$3:$B1307,$B1307)&gt;1,0,IFERROR(LOOKUP($K1307,배송비규정!$A$3:$A$32,배송비규정!$B$3:$B$32),0)+IFERROR(INDEX(지역추가비!$B$3:$B$42,MATCH($J1307,지역추가비!$A$3:$A$42,0)),0)))</f>
        <v/>
      </c>
      <c r="M1307" s="13" t="str">
        <f aca="false">IF($B1307="","",IF(COUNTIFS($B$3:$B1307,$B1307)&gt;1,"",$K1307+$L1307))</f>
        <v/>
      </c>
      <c r="N1307" s="14" t="str">
        <f aca="false">IF($B1307="","",COUNTIFS($B$3:$B1307,$B1307))</f>
        <v/>
      </c>
      <c r="O1307" s="14" t="str">
        <f aca="false">IF($B1307="","",$B1307&amp;"|"&amp;$N1307)</f>
        <v/>
      </c>
    </row>
    <row r="1308" customFormat="false" ht="15" hidden="false" customHeight="false" outlineLevel="0" collapsed="false">
      <c r="A1308" s="12"/>
      <c r="B1308" s="9"/>
      <c r="C1308" s="9"/>
      <c r="D1308" s="9"/>
      <c r="E1308" s="9"/>
      <c r="F1308" s="9"/>
      <c r="G1308" s="9"/>
      <c r="H1308" s="7"/>
      <c r="I1308" s="13" t="str">
        <f aca="false">IF(OR($G1308="",$H1308=""),"",ROUND($G1308*$H1308,0))</f>
        <v/>
      </c>
      <c r="J1308" s="8"/>
      <c r="K1308" s="13" t="str">
        <f aca="false">IF($B1308="","",SUMIFS($I$3:$I$2002,$B$3:$B$2002,$B1308))</f>
        <v/>
      </c>
      <c r="L1308" s="13" t="str">
        <f aca="false">IF($B1308="","",IF(COUNTIFS($B$3:$B1308,$B1308)&gt;1,0,IFERROR(LOOKUP($K1308,배송비규정!$A$3:$A$32,배송비규정!$B$3:$B$32),0)+IFERROR(INDEX(지역추가비!$B$3:$B$42,MATCH($J1308,지역추가비!$A$3:$A$42,0)),0)))</f>
        <v/>
      </c>
      <c r="M1308" s="13" t="str">
        <f aca="false">IF($B1308="","",IF(COUNTIFS($B$3:$B1308,$B1308)&gt;1,"",$K1308+$L1308))</f>
        <v/>
      </c>
      <c r="N1308" s="14" t="str">
        <f aca="false">IF($B1308="","",COUNTIFS($B$3:$B1308,$B1308))</f>
        <v/>
      </c>
      <c r="O1308" s="14" t="str">
        <f aca="false">IF($B1308="","",$B1308&amp;"|"&amp;$N1308)</f>
        <v/>
      </c>
    </row>
    <row r="1309" customFormat="false" ht="15" hidden="false" customHeight="false" outlineLevel="0" collapsed="false">
      <c r="A1309" s="12"/>
      <c r="B1309" s="9"/>
      <c r="C1309" s="9"/>
      <c r="D1309" s="9"/>
      <c r="E1309" s="9"/>
      <c r="F1309" s="9"/>
      <c r="G1309" s="9"/>
      <c r="H1309" s="7"/>
      <c r="I1309" s="13" t="str">
        <f aca="false">IF(OR($G1309="",$H1309=""),"",ROUND($G1309*$H1309,0))</f>
        <v/>
      </c>
      <c r="J1309" s="8"/>
      <c r="K1309" s="13" t="str">
        <f aca="false">IF($B1309="","",SUMIFS($I$3:$I$2002,$B$3:$B$2002,$B1309))</f>
        <v/>
      </c>
      <c r="L1309" s="13" t="str">
        <f aca="false">IF($B1309="","",IF(COUNTIFS($B$3:$B1309,$B1309)&gt;1,0,IFERROR(LOOKUP($K1309,배송비규정!$A$3:$A$32,배송비규정!$B$3:$B$32),0)+IFERROR(INDEX(지역추가비!$B$3:$B$42,MATCH($J1309,지역추가비!$A$3:$A$42,0)),0)))</f>
        <v/>
      </c>
      <c r="M1309" s="13" t="str">
        <f aca="false">IF($B1309="","",IF(COUNTIFS($B$3:$B1309,$B1309)&gt;1,"",$K1309+$L1309))</f>
        <v/>
      </c>
      <c r="N1309" s="14" t="str">
        <f aca="false">IF($B1309="","",COUNTIFS($B$3:$B1309,$B1309))</f>
        <v/>
      </c>
      <c r="O1309" s="14" t="str">
        <f aca="false">IF($B1309="","",$B1309&amp;"|"&amp;$N1309)</f>
        <v/>
      </c>
    </row>
    <row r="1310" customFormat="false" ht="15" hidden="false" customHeight="false" outlineLevel="0" collapsed="false">
      <c r="A1310" s="12"/>
      <c r="B1310" s="9"/>
      <c r="C1310" s="9"/>
      <c r="D1310" s="9"/>
      <c r="E1310" s="9"/>
      <c r="F1310" s="9"/>
      <c r="G1310" s="9"/>
      <c r="H1310" s="7"/>
      <c r="I1310" s="13" t="str">
        <f aca="false">IF(OR($G1310="",$H1310=""),"",ROUND($G1310*$H1310,0))</f>
        <v/>
      </c>
      <c r="J1310" s="8"/>
      <c r="K1310" s="13" t="str">
        <f aca="false">IF($B1310="","",SUMIFS($I$3:$I$2002,$B$3:$B$2002,$B1310))</f>
        <v/>
      </c>
      <c r="L1310" s="13" t="str">
        <f aca="false">IF($B1310="","",IF(COUNTIFS($B$3:$B1310,$B1310)&gt;1,0,IFERROR(LOOKUP($K1310,배송비규정!$A$3:$A$32,배송비규정!$B$3:$B$32),0)+IFERROR(INDEX(지역추가비!$B$3:$B$42,MATCH($J1310,지역추가비!$A$3:$A$42,0)),0)))</f>
        <v/>
      </c>
      <c r="M1310" s="13" t="str">
        <f aca="false">IF($B1310="","",IF(COUNTIFS($B$3:$B1310,$B1310)&gt;1,"",$K1310+$L1310))</f>
        <v/>
      </c>
      <c r="N1310" s="14" t="str">
        <f aca="false">IF($B1310="","",COUNTIFS($B$3:$B1310,$B1310))</f>
        <v/>
      </c>
      <c r="O1310" s="14" t="str">
        <f aca="false">IF($B1310="","",$B1310&amp;"|"&amp;$N1310)</f>
        <v/>
      </c>
    </row>
    <row r="1311" customFormat="false" ht="15" hidden="false" customHeight="false" outlineLevel="0" collapsed="false">
      <c r="A1311" s="12"/>
      <c r="B1311" s="9"/>
      <c r="C1311" s="9"/>
      <c r="D1311" s="9"/>
      <c r="E1311" s="9"/>
      <c r="F1311" s="9"/>
      <c r="G1311" s="9"/>
      <c r="H1311" s="7"/>
      <c r="I1311" s="13" t="str">
        <f aca="false">IF(OR($G1311="",$H1311=""),"",ROUND($G1311*$H1311,0))</f>
        <v/>
      </c>
      <c r="J1311" s="8"/>
      <c r="K1311" s="13" t="str">
        <f aca="false">IF($B1311="","",SUMIFS($I$3:$I$2002,$B$3:$B$2002,$B1311))</f>
        <v/>
      </c>
      <c r="L1311" s="13" t="str">
        <f aca="false">IF($B1311="","",IF(COUNTIFS($B$3:$B1311,$B1311)&gt;1,0,IFERROR(LOOKUP($K1311,배송비규정!$A$3:$A$32,배송비규정!$B$3:$B$32),0)+IFERROR(INDEX(지역추가비!$B$3:$B$42,MATCH($J1311,지역추가비!$A$3:$A$42,0)),0)))</f>
        <v/>
      </c>
      <c r="M1311" s="13" t="str">
        <f aca="false">IF($B1311="","",IF(COUNTIFS($B$3:$B1311,$B1311)&gt;1,"",$K1311+$L1311))</f>
        <v/>
      </c>
      <c r="N1311" s="14" t="str">
        <f aca="false">IF($B1311="","",COUNTIFS($B$3:$B1311,$B1311))</f>
        <v/>
      </c>
      <c r="O1311" s="14" t="str">
        <f aca="false">IF($B1311="","",$B1311&amp;"|"&amp;$N1311)</f>
        <v/>
      </c>
    </row>
    <row r="1312" customFormat="false" ht="15" hidden="false" customHeight="false" outlineLevel="0" collapsed="false">
      <c r="A1312" s="12"/>
      <c r="B1312" s="9"/>
      <c r="C1312" s="9"/>
      <c r="D1312" s="9"/>
      <c r="E1312" s="9"/>
      <c r="F1312" s="9"/>
      <c r="G1312" s="9"/>
      <c r="H1312" s="7"/>
      <c r="I1312" s="13" t="str">
        <f aca="false">IF(OR($G1312="",$H1312=""),"",ROUND($G1312*$H1312,0))</f>
        <v/>
      </c>
      <c r="J1312" s="8"/>
      <c r="K1312" s="13" t="str">
        <f aca="false">IF($B1312="","",SUMIFS($I$3:$I$2002,$B$3:$B$2002,$B1312))</f>
        <v/>
      </c>
      <c r="L1312" s="13" t="str">
        <f aca="false">IF($B1312="","",IF(COUNTIFS($B$3:$B1312,$B1312)&gt;1,0,IFERROR(LOOKUP($K1312,배송비규정!$A$3:$A$32,배송비규정!$B$3:$B$32),0)+IFERROR(INDEX(지역추가비!$B$3:$B$42,MATCH($J1312,지역추가비!$A$3:$A$42,0)),0)))</f>
        <v/>
      </c>
      <c r="M1312" s="13" t="str">
        <f aca="false">IF($B1312="","",IF(COUNTIFS($B$3:$B1312,$B1312)&gt;1,"",$K1312+$L1312))</f>
        <v/>
      </c>
      <c r="N1312" s="14" t="str">
        <f aca="false">IF($B1312="","",COUNTIFS($B$3:$B1312,$B1312))</f>
        <v/>
      </c>
      <c r="O1312" s="14" t="str">
        <f aca="false">IF($B1312="","",$B1312&amp;"|"&amp;$N1312)</f>
        <v/>
      </c>
    </row>
    <row r="1313" customFormat="false" ht="15" hidden="false" customHeight="false" outlineLevel="0" collapsed="false">
      <c r="A1313" s="12"/>
      <c r="B1313" s="9"/>
      <c r="C1313" s="9"/>
      <c r="D1313" s="9"/>
      <c r="E1313" s="9"/>
      <c r="F1313" s="9"/>
      <c r="G1313" s="9"/>
      <c r="H1313" s="7"/>
      <c r="I1313" s="13" t="str">
        <f aca="false">IF(OR($G1313="",$H1313=""),"",ROUND($G1313*$H1313,0))</f>
        <v/>
      </c>
      <c r="J1313" s="8"/>
      <c r="K1313" s="13" t="str">
        <f aca="false">IF($B1313="","",SUMIFS($I$3:$I$2002,$B$3:$B$2002,$B1313))</f>
        <v/>
      </c>
      <c r="L1313" s="13" t="str">
        <f aca="false">IF($B1313="","",IF(COUNTIFS($B$3:$B1313,$B1313)&gt;1,0,IFERROR(LOOKUP($K1313,배송비규정!$A$3:$A$32,배송비규정!$B$3:$B$32),0)+IFERROR(INDEX(지역추가비!$B$3:$B$42,MATCH($J1313,지역추가비!$A$3:$A$42,0)),0)))</f>
        <v/>
      </c>
      <c r="M1313" s="13" t="str">
        <f aca="false">IF($B1313="","",IF(COUNTIFS($B$3:$B1313,$B1313)&gt;1,"",$K1313+$L1313))</f>
        <v/>
      </c>
      <c r="N1313" s="14" t="str">
        <f aca="false">IF($B1313="","",COUNTIFS($B$3:$B1313,$B1313))</f>
        <v/>
      </c>
      <c r="O1313" s="14" t="str">
        <f aca="false">IF($B1313="","",$B1313&amp;"|"&amp;$N1313)</f>
        <v/>
      </c>
    </row>
    <row r="1314" customFormat="false" ht="15" hidden="false" customHeight="false" outlineLevel="0" collapsed="false">
      <c r="A1314" s="12"/>
      <c r="B1314" s="9"/>
      <c r="C1314" s="9"/>
      <c r="D1314" s="9"/>
      <c r="E1314" s="9"/>
      <c r="F1314" s="9"/>
      <c r="G1314" s="9"/>
      <c r="H1314" s="7"/>
      <c r="I1314" s="13" t="str">
        <f aca="false">IF(OR($G1314="",$H1314=""),"",ROUND($G1314*$H1314,0))</f>
        <v/>
      </c>
      <c r="J1314" s="8"/>
      <c r="K1314" s="13" t="str">
        <f aca="false">IF($B1314="","",SUMIFS($I$3:$I$2002,$B$3:$B$2002,$B1314))</f>
        <v/>
      </c>
      <c r="L1314" s="13" t="str">
        <f aca="false">IF($B1314="","",IF(COUNTIFS($B$3:$B1314,$B1314)&gt;1,0,IFERROR(LOOKUP($K1314,배송비규정!$A$3:$A$32,배송비규정!$B$3:$B$32),0)+IFERROR(INDEX(지역추가비!$B$3:$B$42,MATCH($J1314,지역추가비!$A$3:$A$42,0)),0)))</f>
        <v/>
      </c>
      <c r="M1314" s="13" t="str">
        <f aca="false">IF($B1314="","",IF(COUNTIFS($B$3:$B1314,$B1314)&gt;1,"",$K1314+$L1314))</f>
        <v/>
      </c>
      <c r="N1314" s="14" t="str">
        <f aca="false">IF($B1314="","",COUNTIFS($B$3:$B1314,$B1314))</f>
        <v/>
      </c>
      <c r="O1314" s="14" t="str">
        <f aca="false">IF($B1314="","",$B1314&amp;"|"&amp;$N1314)</f>
        <v/>
      </c>
    </row>
    <row r="1315" customFormat="false" ht="15" hidden="false" customHeight="false" outlineLevel="0" collapsed="false">
      <c r="A1315" s="12"/>
      <c r="B1315" s="9"/>
      <c r="C1315" s="9"/>
      <c r="D1315" s="9"/>
      <c r="E1315" s="9"/>
      <c r="F1315" s="9"/>
      <c r="G1315" s="9"/>
      <c r="H1315" s="7"/>
      <c r="I1315" s="13" t="str">
        <f aca="false">IF(OR($G1315="",$H1315=""),"",ROUND($G1315*$H1315,0))</f>
        <v/>
      </c>
      <c r="J1315" s="8"/>
      <c r="K1315" s="13" t="str">
        <f aca="false">IF($B1315="","",SUMIFS($I$3:$I$2002,$B$3:$B$2002,$B1315))</f>
        <v/>
      </c>
      <c r="L1315" s="13" t="str">
        <f aca="false">IF($B1315="","",IF(COUNTIFS($B$3:$B1315,$B1315)&gt;1,0,IFERROR(LOOKUP($K1315,배송비규정!$A$3:$A$32,배송비규정!$B$3:$B$32),0)+IFERROR(INDEX(지역추가비!$B$3:$B$42,MATCH($J1315,지역추가비!$A$3:$A$42,0)),0)))</f>
        <v/>
      </c>
      <c r="M1315" s="13" t="str">
        <f aca="false">IF($B1315="","",IF(COUNTIFS($B$3:$B1315,$B1315)&gt;1,"",$K1315+$L1315))</f>
        <v/>
      </c>
      <c r="N1315" s="14" t="str">
        <f aca="false">IF($B1315="","",COUNTIFS($B$3:$B1315,$B1315))</f>
        <v/>
      </c>
      <c r="O1315" s="14" t="str">
        <f aca="false">IF($B1315="","",$B1315&amp;"|"&amp;$N1315)</f>
        <v/>
      </c>
    </row>
    <row r="1316" customFormat="false" ht="15" hidden="false" customHeight="false" outlineLevel="0" collapsed="false">
      <c r="A1316" s="12"/>
      <c r="B1316" s="9"/>
      <c r="C1316" s="9"/>
      <c r="D1316" s="9"/>
      <c r="E1316" s="9"/>
      <c r="F1316" s="9"/>
      <c r="G1316" s="9"/>
      <c r="H1316" s="7"/>
      <c r="I1316" s="13" t="str">
        <f aca="false">IF(OR($G1316="",$H1316=""),"",ROUND($G1316*$H1316,0))</f>
        <v/>
      </c>
      <c r="J1316" s="8"/>
      <c r="K1316" s="13" t="str">
        <f aca="false">IF($B1316="","",SUMIFS($I$3:$I$2002,$B$3:$B$2002,$B1316))</f>
        <v/>
      </c>
      <c r="L1316" s="13" t="str">
        <f aca="false">IF($B1316="","",IF(COUNTIFS($B$3:$B1316,$B1316)&gt;1,0,IFERROR(LOOKUP($K1316,배송비규정!$A$3:$A$32,배송비규정!$B$3:$B$32),0)+IFERROR(INDEX(지역추가비!$B$3:$B$42,MATCH($J1316,지역추가비!$A$3:$A$42,0)),0)))</f>
        <v/>
      </c>
      <c r="M1316" s="13" t="str">
        <f aca="false">IF($B1316="","",IF(COUNTIFS($B$3:$B1316,$B1316)&gt;1,"",$K1316+$L1316))</f>
        <v/>
      </c>
      <c r="N1316" s="14" t="str">
        <f aca="false">IF($B1316="","",COUNTIFS($B$3:$B1316,$B1316))</f>
        <v/>
      </c>
      <c r="O1316" s="14" t="str">
        <f aca="false">IF($B1316="","",$B1316&amp;"|"&amp;$N1316)</f>
        <v/>
      </c>
    </row>
    <row r="1317" customFormat="false" ht="15" hidden="false" customHeight="false" outlineLevel="0" collapsed="false">
      <c r="A1317" s="12"/>
      <c r="B1317" s="9"/>
      <c r="C1317" s="9"/>
      <c r="D1317" s="9"/>
      <c r="E1317" s="9"/>
      <c r="F1317" s="9"/>
      <c r="G1317" s="9"/>
      <c r="H1317" s="7"/>
      <c r="I1317" s="13" t="str">
        <f aca="false">IF(OR($G1317="",$H1317=""),"",ROUND($G1317*$H1317,0))</f>
        <v/>
      </c>
      <c r="J1317" s="8"/>
      <c r="K1317" s="13" t="str">
        <f aca="false">IF($B1317="","",SUMIFS($I$3:$I$2002,$B$3:$B$2002,$B1317))</f>
        <v/>
      </c>
      <c r="L1317" s="13" t="str">
        <f aca="false">IF($B1317="","",IF(COUNTIFS($B$3:$B1317,$B1317)&gt;1,0,IFERROR(LOOKUP($K1317,배송비규정!$A$3:$A$32,배송비규정!$B$3:$B$32),0)+IFERROR(INDEX(지역추가비!$B$3:$B$42,MATCH($J1317,지역추가비!$A$3:$A$42,0)),0)))</f>
        <v/>
      </c>
      <c r="M1317" s="13" t="str">
        <f aca="false">IF($B1317="","",IF(COUNTIFS($B$3:$B1317,$B1317)&gt;1,"",$K1317+$L1317))</f>
        <v/>
      </c>
      <c r="N1317" s="14" t="str">
        <f aca="false">IF($B1317="","",COUNTIFS($B$3:$B1317,$B1317))</f>
        <v/>
      </c>
      <c r="O1317" s="14" t="str">
        <f aca="false">IF($B1317="","",$B1317&amp;"|"&amp;$N1317)</f>
        <v/>
      </c>
    </row>
    <row r="1318" customFormat="false" ht="15" hidden="false" customHeight="false" outlineLevel="0" collapsed="false">
      <c r="A1318" s="12"/>
      <c r="B1318" s="9"/>
      <c r="C1318" s="9"/>
      <c r="D1318" s="9"/>
      <c r="E1318" s="9"/>
      <c r="F1318" s="9"/>
      <c r="G1318" s="9"/>
      <c r="H1318" s="7"/>
      <c r="I1318" s="13" t="str">
        <f aca="false">IF(OR($G1318="",$H1318=""),"",ROUND($G1318*$H1318,0))</f>
        <v/>
      </c>
      <c r="J1318" s="8"/>
      <c r="K1318" s="13" t="str">
        <f aca="false">IF($B1318="","",SUMIFS($I$3:$I$2002,$B$3:$B$2002,$B1318))</f>
        <v/>
      </c>
      <c r="L1318" s="13" t="str">
        <f aca="false">IF($B1318="","",IF(COUNTIFS($B$3:$B1318,$B1318)&gt;1,0,IFERROR(LOOKUP($K1318,배송비규정!$A$3:$A$32,배송비규정!$B$3:$B$32),0)+IFERROR(INDEX(지역추가비!$B$3:$B$42,MATCH($J1318,지역추가비!$A$3:$A$42,0)),0)))</f>
        <v/>
      </c>
      <c r="M1318" s="13" t="str">
        <f aca="false">IF($B1318="","",IF(COUNTIFS($B$3:$B1318,$B1318)&gt;1,"",$K1318+$L1318))</f>
        <v/>
      </c>
      <c r="N1318" s="14" t="str">
        <f aca="false">IF($B1318="","",COUNTIFS($B$3:$B1318,$B1318))</f>
        <v/>
      </c>
      <c r="O1318" s="14" t="str">
        <f aca="false">IF($B1318="","",$B1318&amp;"|"&amp;$N1318)</f>
        <v/>
      </c>
    </row>
    <row r="1319" customFormat="false" ht="15" hidden="false" customHeight="false" outlineLevel="0" collapsed="false">
      <c r="A1319" s="12"/>
      <c r="B1319" s="9"/>
      <c r="C1319" s="9"/>
      <c r="D1319" s="9"/>
      <c r="E1319" s="9"/>
      <c r="F1319" s="9"/>
      <c r="G1319" s="9"/>
      <c r="H1319" s="7"/>
      <c r="I1319" s="13" t="str">
        <f aca="false">IF(OR($G1319="",$H1319=""),"",ROUND($G1319*$H1319,0))</f>
        <v/>
      </c>
      <c r="J1319" s="8"/>
      <c r="K1319" s="13" t="str">
        <f aca="false">IF($B1319="","",SUMIFS($I$3:$I$2002,$B$3:$B$2002,$B1319))</f>
        <v/>
      </c>
      <c r="L1319" s="13" t="str">
        <f aca="false">IF($B1319="","",IF(COUNTIFS($B$3:$B1319,$B1319)&gt;1,0,IFERROR(LOOKUP($K1319,배송비규정!$A$3:$A$32,배송비규정!$B$3:$B$32),0)+IFERROR(INDEX(지역추가비!$B$3:$B$42,MATCH($J1319,지역추가비!$A$3:$A$42,0)),0)))</f>
        <v/>
      </c>
      <c r="M1319" s="13" t="str">
        <f aca="false">IF($B1319="","",IF(COUNTIFS($B$3:$B1319,$B1319)&gt;1,"",$K1319+$L1319))</f>
        <v/>
      </c>
      <c r="N1319" s="14" t="str">
        <f aca="false">IF($B1319="","",COUNTIFS($B$3:$B1319,$B1319))</f>
        <v/>
      </c>
      <c r="O1319" s="14" t="str">
        <f aca="false">IF($B1319="","",$B1319&amp;"|"&amp;$N1319)</f>
        <v/>
      </c>
    </row>
    <row r="1320" customFormat="false" ht="15" hidden="false" customHeight="false" outlineLevel="0" collapsed="false">
      <c r="A1320" s="12"/>
      <c r="B1320" s="9"/>
      <c r="C1320" s="9"/>
      <c r="D1320" s="9"/>
      <c r="E1320" s="9"/>
      <c r="F1320" s="9"/>
      <c r="G1320" s="9"/>
      <c r="H1320" s="7"/>
      <c r="I1320" s="13" t="str">
        <f aca="false">IF(OR($G1320="",$H1320=""),"",ROUND($G1320*$H1320,0))</f>
        <v/>
      </c>
      <c r="J1320" s="8"/>
      <c r="K1320" s="13" t="str">
        <f aca="false">IF($B1320="","",SUMIFS($I$3:$I$2002,$B$3:$B$2002,$B1320))</f>
        <v/>
      </c>
      <c r="L1320" s="13" t="str">
        <f aca="false">IF($B1320="","",IF(COUNTIFS($B$3:$B1320,$B1320)&gt;1,0,IFERROR(LOOKUP($K1320,배송비규정!$A$3:$A$32,배송비규정!$B$3:$B$32),0)+IFERROR(INDEX(지역추가비!$B$3:$B$42,MATCH($J1320,지역추가비!$A$3:$A$42,0)),0)))</f>
        <v/>
      </c>
      <c r="M1320" s="13" t="str">
        <f aca="false">IF($B1320="","",IF(COUNTIFS($B$3:$B1320,$B1320)&gt;1,"",$K1320+$L1320))</f>
        <v/>
      </c>
      <c r="N1320" s="14" t="str">
        <f aca="false">IF($B1320="","",COUNTIFS($B$3:$B1320,$B1320))</f>
        <v/>
      </c>
      <c r="O1320" s="14" t="str">
        <f aca="false">IF($B1320="","",$B1320&amp;"|"&amp;$N1320)</f>
        <v/>
      </c>
    </row>
    <row r="1321" customFormat="false" ht="15" hidden="false" customHeight="false" outlineLevel="0" collapsed="false">
      <c r="A1321" s="12"/>
      <c r="B1321" s="9"/>
      <c r="C1321" s="9"/>
      <c r="D1321" s="9"/>
      <c r="E1321" s="9"/>
      <c r="F1321" s="9"/>
      <c r="G1321" s="9"/>
      <c r="H1321" s="7"/>
      <c r="I1321" s="13" t="str">
        <f aca="false">IF(OR($G1321="",$H1321=""),"",ROUND($G1321*$H1321,0))</f>
        <v/>
      </c>
      <c r="J1321" s="8"/>
      <c r="K1321" s="13" t="str">
        <f aca="false">IF($B1321="","",SUMIFS($I$3:$I$2002,$B$3:$B$2002,$B1321))</f>
        <v/>
      </c>
      <c r="L1321" s="13" t="str">
        <f aca="false">IF($B1321="","",IF(COUNTIFS($B$3:$B1321,$B1321)&gt;1,0,IFERROR(LOOKUP($K1321,배송비규정!$A$3:$A$32,배송비규정!$B$3:$B$32),0)+IFERROR(INDEX(지역추가비!$B$3:$B$42,MATCH($J1321,지역추가비!$A$3:$A$42,0)),0)))</f>
        <v/>
      </c>
      <c r="M1321" s="13" t="str">
        <f aca="false">IF($B1321="","",IF(COUNTIFS($B$3:$B1321,$B1321)&gt;1,"",$K1321+$L1321))</f>
        <v/>
      </c>
      <c r="N1321" s="14" t="str">
        <f aca="false">IF($B1321="","",COUNTIFS($B$3:$B1321,$B1321))</f>
        <v/>
      </c>
      <c r="O1321" s="14" t="str">
        <f aca="false">IF($B1321="","",$B1321&amp;"|"&amp;$N1321)</f>
        <v/>
      </c>
    </row>
    <row r="1322" customFormat="false" ht="15" hidden="false" customHeight="false" outlineLevel="0" collapsed="false">
      <c r="A1322" s="12"/>
      <c r="B1322" s="9"/>
      <c r="C1322" s="9"/>
      <c r="D1322" s="9"/>
      <c r="E1322" s="9"/>
      <c r="F1322" s="9"/>
      <c r="G1322" s="9"/>
      <c r="H1322" s="7"/>
      <c r="I1322" s="13" t="str">
        <f aca="false">IF(OR($G1322="",$H1322=""),"",ROUND($G1322*$H1322,0))</f>
        <v/>
      </c>
      <c r="J1322" s="8"/>
      <c r="K1322" s="13" t="str">
        <f aca="false">IF($B1322="","",SUMIFS($I$3:$I$2002,$B$3:$B$2002,$B1322))</f>
        <v/>
      </c>
      <c r="L1322" s="13" t="str">
        <f aca="false">IF($B1322="","",IF(COUNTIFS($B$3:$B1322,$B1322)&gt;1,0,IFERROR(LOOKUP($K1322,배송비규정!$A$3:$A$32,배송비규정!$B$3:$B$32),0)+IFERROR(INDEX(지역추가비!$B$3:$B$42,MATCH($J1322,지역추가비!$A$3:$A$42,0)),0)))</f>
        <v/>
      </c>
      <c r="M1322" s="13" t="str">
        <f aca="false">IF($B1322="","",IF(COUNTIFS($B$3:$B1322,$B1322)&gt;1,"",$K1322+$L1322))</f>
        <v/>
      </c>
      <c r="N1322" s="14" t="str">
        <f aca="false">IF($B1322="","",COUNTIFS($B$3:$B1322,$B1322))</f>
        <v/>
      </c>
      <c r="O1322" s="14" t="str">
        <f aca="false">IF($B1322="","",$B1322&amp;"|"&amp;$N1322)</f>
        <v/>
      </c>
    </row>
    <row r="1323" customFormat="false" ht="15" hidden="false" customHeight="false" outlineLevel="0" collapsed="false">
      <c r="A1323" s="12"/>
      <c r="B1323" s="9"/>
      <c r="C1323" s="9"/>
      <c r="D1323" s="9"/>
      <c r="E1323" s="9"/>
      <c r="F1323" s="9"/>
      <c r="G1323" s="9"/>
      <c r="H1323" s="7"/>
      <c r="I1323" s="13" t="str">
        <f aca="false">IF(OR($G1323="",$H1323=""),"",ROUND($G1323*$H1323,0))</f>
        <v/>
      </c>
      <c r="J1323" s="8"/>
      <c r="K1323" s="13" t="str">
        <f aca="false">IF($B1323="","",SUMIFS($I$3:$I$2002,$B$3:$B$2002,$B1323))</f>
        <v/>
      </c>
      <c r="L1323" s="13" t="str">
        <f aca="false">IF($B1323="","",IF(COUNTIFS($B$3:$B1323,$B1323)&gt;1,0,IFERROR(LOOKUP($K1323,배송비규정!$A$3:$A$32,배송비규정!$B$3:$B$32),0)+IFERROR(INDEX(지역추가비!$B$3:$B$42,MATCH($J1323,지역추가비!$A$3:$A$42,0)),0)))</f>
        <v/>
      </c>
      <c r="M1323" s="13" t="str">
        <f aca="false">IF($B1323="","",IF(COUNTIFS($B$3:$B1323,$B1323)&gt;1,"",$K1323+$L1323))</f>
        <v/>
      </c>
      <c r="N1323" s="14" t="str">
        <f aca="false">IF($B1323="","",COUNTIFS($B$3:$B1323,$B1323))</f>
        <v/>
      </c>
      <c r="O1323" s="14" t="str">
        <f aca="false">IF($B1323="","",$B1323&amp;"|"&amp;$N1323)</f>
        <v/>
      </c>
    </row>
    <row r="1324" customFormat="false" ht="15" hidden="false" customHeight="false" outlineLevel="0" collapsed="false">
      <c r="A1324" s="12"/>
      <c r="B1324" s="9"/>
      <c r="C1324" s="9"/>
      <c r="D1324" s="9"/>
      <c r="E1324" s="9"/>
      <c r="F1324" s="9"/>
      <c r="G1324" s="9"/>
      <c r="H1324" s="7"/>
      <c r="I1324" s="13" t="str">
        <f aca="false">IF(OR($G1324="",$H1324=""),"",ROUND($G1324*$H1324,0))</f>
        <v/>
      </c>
      <c r="J1324" s="8"/>
      <c r="K1324" s="13" t="str">
        <f aca="false">IF($B1324="","",SUMIFS($I$3:$I$2002,$B$3:$B$2002,$B1324))</f>
        <v/>
      </c>
      <c r="L1324" s="13" t="str">
        <f aca="false">IF($B1324="","",IF(COUNTIFS($B$3:$B1324,$B1324)&gt;1,0,IFERROR(LOOKUP($K1324,배송비규정!$A$3:$A$32,배송비규정!$B$3:$B$32),0)+IFERROR(INDEX(지역추가비!$B$3:$B$42,MATCH($J1324,지역추가비!$A$3:$A$42,0)),0)))</f>
        <v/>
      </c>
      <c r="M1324" s="13" t="str">
        <f aca="false">IF($B1324="","",IF(COUNTIFS($B$3:$B1324,$B1324)&gt;1,"",$K1324+$L1324))</f>
        <v/>
      </c>
      <c r="N1324" s="14" t="str">
        <f aca="false">IF($B1324="","",COUNTIFS($B$3:$B1324,$B1324))</f>
        <v/>
      </c>
      <c r="O1324" s="14" t="str">
        <f aca="false">IF($B1324="","",$B1324&amp;"|"&amp;$N1324)</f>
        <v/>
      </c>
    </row>
    <row r="1325" customFormat="false" ht="15" hidden="false" customHeight="false" outlineLevel="0" collapsed="false">
      <c r="A1325" s="12"/>
      <c r="B1325" s="9"/>
      <c r="C1325" s="9"/>
      <c r="D1325" s="9"/>
      <c r="E1325" s="9"/>
      <c r="F1325" s="9"/>
      <c r="G1325" s="9"/>
      <c r="H1325" s="7"/>
      <c r="I1325" s="13" t="str">
        <f aca="false">IF(OR($G1325="",$H1325=""),"",ROUND($G1325*$H1325,0))</f>
        <v/>
      </c>
      <c r="J1325" s="8"/>
      <c r="K1325" s="13" t="str">
        <f aca="false">IF($B1325="","",SUMIFS($I$3:$I$2002,$B$3:$B$2002,$B1325))</f>
        <v/>
      </c>
      <c r="L1325" s="13" t="str">
        <f aca="false">IF($B1325="","",IF(COUNTIFS($B$3:$B1325,$B1325)&gt;1,0,IFERROR(LOOKUP($K1325,배송비규정!$A$3:$A$32,배송비규정!$B$3:$B$32),0)+IFERROR(INDEX(지역추가비!$B$3:$B$42,MATCH($J1325,지역추가비!$A$3:$A$42,0)),0)))</f>
        <v/>
      </c>
      <c r="M1325" s="13" t="str">
        <f aca="false">IF($B1325="","",IF(COUNTIFS($B$3:$B1325,$B1325)&gt;1,"",$K1325+$L1325))</f>
        <v/>
      </c>
      <c r="N1325" s="14" t="str">
        <f aca="false">IF($B1325="","",COUNTIFS($B$3:$B1325,$B1325))</f>
        <v/>
      </c>
      <c r="O1325" s="14" t="str">
        <f aca="false">IF($B1325="","",$B1325&amp;"|"&amp;$N1325)</f>
        <v/>
      </c>
    </row>
    <row r="1326" customFormat="false" ht="15" hidden="false" customHeight="false" outlineLevel="0" collapsed="false">
      <c r="A1326" s="12"/>
      <c r="B1326" s="9"/>
      <c r="C1326" s="9"/>
      <c r="D1326" s="9"/>
      <c r="E1326" s="9"/>
      <c r="F1326" s="9"/>
      <c r="G1326" s="9"/>
      <c r="H1326" s="7"/>
      <c r="I1326" s="13" t="str">
        <f aca="false">IF(OR($G1326="",$H1326=""),"",ROUND($G1326*$H1326,0))</f>
        <v/>
      </c>
      <c r="J1326" s="8"/>
      <c r="K1326" s="13" t="str">
        <f aca="false">IF($B1326="","",SUMIFS($I$3:$I$2002,$B$3:$B$2002,$B1326))</f>
        <v/>
      </c>
      <c r="L1326" s="13" t="str">
        <f aca="false">IF($B1326="","",IF(COUNTIFS($B$3:$B1326,$B1326)&gt;1,0,IFERROR(LOOKUP($K1326,배송비규정!$A$3:$A$32,배송비규정!$B$3:$B$32),0)+IFERROR(INDEX(지역추가비!$B$3:$B$42,MATCH($J1326,지역추가비!$A$3:$A$42,0)),0)))</f>
        <v/>
      </c>
      <c r="M1326" s="13" t="str">
        <f aca="false">IF($B1326="","",IF(COUNTIFS($B$3:$B1326,$B1326)&gt;1,"",$K1326+$L1326))</f>
        <v/>
      </c>
      <c r="N1326" s="14" t="str">
        <f aca="false">IF($B1326="","",COUNTIFS($B$3:$B1326,$B1326))</f>
        <v/>
      </c>
      <c r="O1326" s="14" t="str">
        <f aca="false">IF($B1326="","",$B1326&amp;"|"&amp;$N1326)</f>
        <v/>
      </c>
    </row>
    <row r="1327" customFormat="false" ht="15" hidden="false" customHeight="false" outlineLevel="0" collapsed="false">
      <c r="A1327" s="12"/>
      <c r="B1327" s="9"/>
      <c r="C1327" s="9"/>
      <c r="D1327" s="9"/>
      <c r="E1327" s="9"/>
      <c r="F1327" s="9"/>
      <c r="G1327" s="9"/>
      <c r="H1327" s="7"/>
      <c r="I1327" s="13" t="str">
        <f aca="false">IF(OR($G1327="",$H1327=""),"",ROUND($G1327*$H1327,0))</f>
        <v/>
      </c>
      <c r="J1327" s="8"/>
      <c r="K1327" s="13" t="str">
        <f aca="false">IF($B1327="","",SUMIFS($I$3:$I$2002,$B$3:$B$2002,$B1327))</f>
        <v/>
      </c>
      <c r="L1327" s="13" t="str">
        <f aca="false">IF($B1327="","",IF(COUNTIFS($B$3:$B1327,$B1327)&gt;1,0,IFERROR(LOOKUP($K1327,배송비규정!$A$3:$A$32,배송비규정!$B$3:$B$32),0)+IFERROR(INDEX(지역추가비!$B$3:$B$42,MATCH($J1327,지역추가비!$A$3:$A$42,0)),0)))</f>
        <v/>
      </c>
      <c r="M1327" s="13" t="str">
        <f aca="false">IF($B1327="","",IF(COUNTIFS($B$3:$B1327,$B1327)&gt;1,"",$K1327+$L1327))</f>
        <v/>
      </c>
      <c r="N1327" s="14" t="str">
        <f aca="false">IF($B1327="","",COUNTIFS($B$3:$B1327,$B1327))</f>
        <v/>
      </c>
      <c r="O1327" s="14" t="str">
        <f aca="false">IF($B1327="","",$B1327&amp;"|"&amp;$N1327)</f>
        <v/>
      </c>
    </row>
    <row r="1328" customFormat="false" ht="15" hidden="false" customHeight="false" outlineLevel="0" collapsed="false">
      <c r="A1328" s="12"/>
      <c r="B1328" s="9"/>
      <c r="C1328" s="9"/>
      <c r="D1328" s="9"/>
      <c r="E1328" s="9"/>
      <c r="F1328" s="9"/>
      <c r="G1328" s="9"/>
      <c r="H1328" s="7"/>
      <c r="I1328" s="13" t="str">
        <f aca="false">IF(OR($G1328="",$H1328=""),"",ROUND($G1328*$H1328,0))</f>
        <v/>
      </c>
      <c r="J1328" s="8"/>
      <c r="K1328" s="13" t="str">
        <f aca="false">IF($B1328="","",SUMIFS($I$3:$I$2002,$B$3:$B$2002,$B1328))</f>
        <v/>
      </c>
      <c r="L1328" s="13" t="str">
        <f aca="false">IF($B1328="","",IF(COUNTIFS($B$3:$B1328,$B1328)&gt;1,0,IFERROR(LOOKUP($K1328,배송비규정!$A$3:$A$32,배송비규정!$B$3:$B$32),0)+IFERROR(INDEX(지역추가비!$B$3:$B$42,MATCH($J1328,지역추가비!$A$3:$A$42,0)),0)))</f>
        <v/>
      </c>
      <c r="M1328" s="13" t="str">
        <f aca="false">IF($B1328="","",IF(COUNTIFS($B$3:$B1328,$B1328)&gt;1,"",$K1328+$L1328))</f>
        <v/>
      </c>
      <c r="N1328" s="14" t="str">
        <f aca="false">IF($B1328="","",COUNTIFS($B$3:$B1328,$B1328))</f>
        <v/>
      </c>
      <c r="O1328" s="14" t="str">
        <f aca="false">IF($B1328="","",$B1328&amp;"|"&amp;$N1328)</f>
        <v/>
      </c>
    </row>
    <row r="1329" customFormat="false" ht="15" hidden="false" customHeight="false" outlineLevel="0" collapsed="false">
      <c r="A1329" s="12"/>
      <c r="B1329" s="9"/>
      <c r="C1329" s="9"/>
      <c r="D1329" s="9"/>
      <c r="E1329" s="9"/>
      <c r="F1329" s="9"/>
      <c r="G1329" s="9"/>
      <c r="H1329" s="7"/>
      <c r="I1329" s="13" t="str">
        <f aca="false">IF(OR($G1329="",$H1329=""),"",ROUND($G1329*$H1329,0))</f>
        <v/>
      </c>
      <c r="J1329" s="8"/>
      <c r="K1329" s="13" t="str">
        <f aca="false">IF($B1329="","",SUMIFS($I$3:$I$2002,$B$3:$B$2002,$B1329))</f>
        <v/>
      </c>
      <c r="L1329" s="13" t="str">
        <f aca="false">IF($B1329="","",IF(COUNTIFS($B$3:$B1329,$B1329)&gt;1,0,IFERROR(LOOKUP($K1329,배송비규정!$A$3:$A$32,배송비규정!$B$3:$B$32),0)+IFERROR(INDEX(지역추가비!$B$3:$B$42,MATCH($J1329,지역추가비!$A$3:$A$42,0)),0)))</f>
        <v/>
      </c>
      <c r="M1329" s="13" t="str">
        <f aca="false">IF($B1329="","",IF(COUNTIFS($B$3:$B1329,$B1329)&gt;1,"",$K1329+$L1329))</f>
        <v/>
      </c>
      <c r="N1329" s="14" t="str">
        <f aca="false">IF($B1329="","",COUNTIFS($B$3:$B1329,$B1329))</f>
        <v/>
      </c>
      <c r="O1329" s="14" t="str">
        <f aca="false">IF($B1329="","",$B1329&amp;"|"&amp;$N1329)</f>
        <v/>
      </c>
    </row>
    <row r="1330" customFormat="false" ht="15" hidden="false" customHeight="false" outlineLevel="0" collapsed="false">
      <c r="A1330" s="12"/>
      <c r="B1330" s="9"/>
      <c r="C1330" s="9"/>
      <c r="D1330" s="9"/>
      <c r="E1330" s="9"/>
      <c r="F1330" s="9"/>
      <c r="G1330" s="9"/>
      <c r="H1330" s="7"/>
      <c r="I1330" s="13" t="str">
        <f aca="false">IF(OR($G1330="",$H1330=""),"",ROUND($G1330*$H1330,0))</f>
        <v/>
      </c>
      <c r="J1330" s="8"/>
      <c r="K1330" s="13" t="str">
        <f aca="false">IF($B1330="","",SUMIFS($I$3:$I$2002,$B$3:$B$2002,$B1330))</f>
        <v/>
      </c>
      <c r="L1330" s="13" t="str">
        <f aca="false">IF($B1330="","",IF(COUNTIFS($B$3:$B1330,$B1330)&gt;1,0,IFERROR(LOOKUP($K1330,배송비규정!$A$3:$A$32,배송비규정!$B$3:$B$32),0)+IFERROR(INDEX(지역추가비!$B$3:$B$42,MATCH($J1330,지역추가비!$A$3:$A$42,0)),0)))</f>
        <v/>
      </c>
      <c r="M1330" s="13" t="str">
        <f aca="false">IF($B1330="","",IF(COUNTIFS($B$3:$B1330,$B1330)&gt;1,"",$K1330+$L1330))</f>
        <v/>
      </c>
      <c r="N1330" s="14" t="str">
        <f aca="false">IF($B1330="","",COUNTIFS($B$3:$B1330,$B1330))</f>
        <v/>
      </c>
      <c r="O1330" s="14" t="str">
        <f aca="false">IF($B1330="","",$B1330&amp;"|"&amp;$N1330)</f>
        <v/>
      </c>
    </row>
    <row r="1331" customFormat="false" ht="15" hidden="false" customHeight="false" outlineLevel="0" collapsed="false">
      <c r="A1331" s="12"/>
      <c r="B1331" s="9"/>
      <c r="C1331" s="9"/>
      <c r="D1331" s="9"/>
      <c r="E1331" s="9"/>
      <c r="F1331" s="9"/>
      <c r="G1331" s="9"/>
      <c r="H1331" s="7"/>
      <c r="I1331" s="13" t="str">
        <f aca="false">IF(OR($G1331="",$H1331=""),"",ROUND($G1331*$H1331,0))</f>
        <v/>
      </c>
      <c r="J1331" s="8"/>
      <c r="K1331" s="13" t="str">
        <f aca="false">IF($B1331="","",SUMIFS($I$3:$I$2002,$B$3:$B$2002,$B1331))</f>
        <v/>
      </c>
      <c r="L1331" s="13" t="str">
        <f aca="false">IF($B1331="","",IF(COUNTIFS($B$3:$B1331,$B1331)&gt;1,0,IFERROR(LOOKUP($K1331,배송비규정!$A$3:$A$32,배송비규정!$B$3:$B$32),0)+IFERROR(INDEX(지역추가비!$B$3:$B$42,MATCH($J1331,지역추가비!$A$3:$A$42,0)),0)))</f>
        <v/>
      </c>
      <c r="M1331" s="13" t="str">
        <f aca="false">IF($B1331="","",IF(COUNTIFS($B$3:$B1331,$B1331)&gt;1,"",$K1331+$L1331))</f>
        <v/>
      </c>
      <c r="N1331" s="14" t="str">
        <f aca="false">IF($B1331="","",COUNTIFS($B$3:$B1331,$B1331))</f>
        <v/>
      </c>
      <c r="O1331" s="14" t="str">
        <f aca="false">IF($B1331="","",$B1331&amp;"|"&amp;$N1331)</f>
        <v/>
      </c>
    </row>
    <row r="1332" customFormat="false" ht="15" hidden="false" customHeight="false" outlineLevel="0" collapsed="false">
      <c r="A1332" s="12"/>
      <c r="B1332" s="9"/>
      <c r="C1332" s="9"/>
      <c r="D1332" s="9"/>
      <c r="E1332" s="9"/>
      <c r="F1332" s="9"/>
      <c r="G1332" s="9"/>
      <c r="H1332" s="7"/>
      <c r="I1332" s="13" t="str">
        <f aca="false">IF(OR($G1332="",$H1332=""),"",ROUND($G1332*$H1332,0))</f>
        <v/>
      </c>
      <c r="J1332" s="8"/>
      <c r="K1332" s="13" t="str">
        <f aca="false">IF($B1332="","",SUMIFS($I$3:$I$2002,$B$3:$B$2002,$B1332))</f>
        <v/>
      </c>
      <c r="L1332" s="13" t="str">
        <f aca="false">IF($B1332="","",IF(COUNTIFS($B$3:$B1332,$B1332)&gt;1,0,IFERROR(LOOKUP($K1332,배송비규정!$A$3:$A$32,배송비규정!$B$3:$B$32),0)+IFERROR(INDEX(지역추가비!$B$3:$B$42,MATCH($J1332,지역추가비!$A$3:$A$42,0)),0)))</f>
        <v/>
      </c>
      <c r="M1332" s="13" t="str">
        <f aca="false">IF($B1332="","",IF(COUNTIFS($B$3:$B1332,$B1332)&gt;1,"",$K1332+$L1332))</f>
        <v/>
      </c>
      <c r="N1332" s="14" t="str">
        <f aca="false">IF($B1332="","",COUNTIFS($B$3:$B1332,$B1332))</f>
        <v/>
      </c>
      <c r="O1332" s="14" t="str">
        <f aca="false">IF($B1332="","",$B1332&amp;"|"&amp;$N1332)</f>
        <v/>
      </c>
    </row>
    <row r="1333" customFormat="false" ht="15" hidden="false" customHeight="false" outlineLevel="0" collapsed="false">
      <c r="A1333" s="12"/>
      <c r="B1333" s="9"/>
      <c r="C1333" s="9"/>
      <c r="D1333" s="9"/>
      <c r="E1333" s="9"/>
      <c r="F1333" s="9"/>
      <c r="G1333" s="9"/>
      <c r="H1333" s="7"/>
      <c r="I1333" s="13" t="str">
        <f aca="false">IF(OR($G1333="",$H1333=""),"",ROUND($G1333*$H1333,0))</f>
        <v/>
      </c>
      <c r="J1333" s="8"/>
      <c r="K1333" s="13" t="str">
        <f aca="false">IF($B1333="","",SUMIFS($I$3:$I$2002,$B$3:$B$2002,$B1333))</f>
        <v/>
      </c>
      <c r="L1333" s="13" t="str">
        <f aca="false">IF($B1333="","",IF(COUNTIFS($B$3:$B1333,$B1333)&gt;1,0,IFERROR(LOOKUP($K1333,배송비규정!$A$3:$A$32,배송비규정!$B$3:$B$32),0)+IFERROR(INDEX(지역추가비!$B$3:$B$42,MATCH($J1333,지역추가비!$A$3:$A$42,0)),0)))</f>
        <v/>
      </c>
      <c r="M1333" s="13" t="str">
        <f aca="false">IF($B1333="","",IF(COUNTIFS($B$3:$B1333,$B1333)&gt;1,"",$K1333+$L1333))</f>
        <v/>
      </c>
      <c r="N1333" s="14" t="str">
        <f aca="false">IF($B1333="","",COUNTIFS($B$3:$B1333,$B1333))</f>
        <v/>
      </c>
      <c r="O1333" s="14" t="str">
        <f aca="false">IF($B1333="","",$B1333&amp;"|"&amp;$N1333)</f>
        <v/>
      </c>
    </row>
    <row r="1334" customFormat="false" ht="15" hidden="false" customHeight="false" outlineLevel="0" collapsed="false">
      <c r="A1334" s="12"/>
      <c r="B1334" s="9"/>
      <c r="C1334" s="9"/>
      <c r="D1334" s="9"/>
      <c r="E1334" s="9"/>
      <c r="F1334" s="9"/>
      <c r="G1334" s="9"/>
      <c r="H1334" s="7"/>
      <c r="I1334" s="13" t="str">
        <f aca="false">IF(OR($G1334="",$H1334=""),"",ROUND($G1334*$H1334,0))</f>
        <v/>
      </c>
      <c r="J1334" s="8"/>
      <c r="K1334" s="13" t="str">
        <f aca="false">IF($B1334="","",SUMIFS($I$3:$I$2002,$B$3:$B$2002,$B1334))</f>
        <v/>
      </c>
      <c r="L1334" s="13" t="str">
        <f aca="false">IF($B1334="","",IF(COUNTIFS($B$3:$B1334,$B1334)&gt;1,0,IFERROR(LOOKUP($K1334,배송비규정!$A$3:$A$32,배송비규정!$B$3:$B$32),0)+IFERROR(INDEX(지역추가비!$B$3:$B$42,MATCH($J1334,지역추가비!$A$3:$A$42,0)),0)))</f>
        <v/>
      </c>
      <c r="M1334" s="13" t="str">
        <f aca="false">IF($B1334="","",IF(COUNTIFS($B$3:$B1334,$B1334)&gt;1,"",$K1334+$L1334))</f>
        <v/>
      </c>
      <c r="N1334" s="14" t="str">
        <f aca="false">IF($B1334="","",COUNTIFS($B$3:$B1334,$B1334))</f>
        <v/>
      </c>
      <c r="O1334" s="14" t="str">
        <f aca="false">IF($B1334="","",$B1334&amp;"|"&amp;$N1334)</f>
        <v/>
      </c>
    </row>
    <row r="1335" customFormat="false" ht="15" hidden="false" customHeight="false" outlineLevel="0" collapsed="false">
      <c r="A1335" s="12"/>
      <c r="B1335" s="9"/>
      <c r="C1335" s="9"/>
      <c r="D1335" s="9"/>
      <c r="E1335" s="9"/>
      <c r="F1335" s="9"/>
      <c r="G1335" s="9"/>
      <c r="H1335" s="7"/>
      <c r="I1335" s="13" t="str">
        <f aca="false">IF(OR($G1335="",$H1335=""),"",ROUND($G1335*$H1335,0))</f>
        <v/>
      </c>
      <c r="J1335" s="8"/>
      <c r="K1335" s="13" t="str">
        <f aca="false">IF($B1335="","",SUMIFS($I$3:$I$2002,$B$3:$B$2002,$B1335))</f>
        <v/>
      </c>
      <c r="L1335" s="13" t="str">
        <f aca="false">IF($B1335="","",IF(COUNTIFS($B$3:$B1335,$B1335)&gt;1,0,IFERROR(LOOKUP($K1335,배송비규정!$A$3:$A$32,배송비규정!$B$3:$B$32),0)+IFERROR(INDEX(지역추가비!$B$3:$B$42,MATCH($J1335,지역추가비!$A$3:$A$42,0)),0)))</f>
        <v/>
      </c>
      <c r="M1335" s="13" t="str">
        <f aca="false">IF($B1335="","",IF(COUNTIFS($B$3:$B1335,$B1335)&gt;1,"",$K1335+$L1335))</f>
        <v/>
      </c>
      <c r="N1335" s="14" t="str">
        <f aca="false">IF($B1335="","",COUNTIFS($B$3:$B1335,$B1335))</f>
        <v/>
      </c>
      <c r="O1335" s="14" t="str">
        <f aca="false">IF($B1335="","",$B1335&amp;"|"&amp;$N1335)</f>
        <v/>
      </c>
    </row>
    <row r="1336" customFormat="false" ht="15" hidden="false" customHeight="false" outlineLevel="0" collapsed="false">
      <c r="A1336" s="12"/>
      <c r="B1336" s="9"/>
      <c r="C1336" s="9"/>
      <c r="D1336" s="9"/>
      <c r="E1336" s="9"/>
      <c r="F1336" s="9"/>
      <c r="G1336" s="9"/>
      <c r="H1336" s="7"/>
      <c r="I1336" s="13" t="str">
        <f aca="false">IF(OR($G1336="",$H1336=""),"",ROUND($G1336*$H1336,0))</f>
        <v/>
      </c>
      <c r="J1336" s="8"/>
      <c r="K1336" s="13" t="str">
        <f aca="false">IF($B1336="","",SUMIFS($I$3:$I$2002,$B$3:$B$2002,$B1336))</f>
        <v/>
      </c>
      <c r="L1336" s="13" t="str">
        <f aca="false">IF($B1336="","",IF(COUNTIFS($B$3:$B1336,$B1336)&gt;1,0,IFERROR(LOOKUP($K1336,배송비규정!$A$3:$A$32,배송비규정!$B$3:$B$32),0)+IFERROR(INDEX(지역추가비!$B$3:$B$42,MATCH($J1336,지역추가비!$A$3:$A$42,0)),0)))</f>
        <v/>
      </c>
      <c r="M1336" s="13" t="str">
        <f aca="false">IF($B1336="","",IF(COUNTIFS($B$3:$B1336,$B1336)&gt;1,"",$K1336+$L1336))</f>
        <v/>
      </c>
      <c r="N1336" s="14" t="str">
        <f aca="false">IF($B1336="","",COUNTIFS($B$3:$B1336,$B1336))</f>
        <v/>
      </c>
      <c r="O1336" s="14" t="str">
        <f aca="false">IF($B1336="","",$B1336&amp;"|"&amp;$N1336)</f>
        <v/>
      </c>
    </row>
    <row r="1337" customFormat="false" ht="15" hidden="false" customHeight="false" outlineLevel="0" collapsed="false">
      <c r="A1337" s="12"/>
      <c r="B1337" s="9"/>
      <c r="C1337" s="9"/>
      <c r="D1337" s="9"/>
      <c r="E1337" s="9"/>
      <c r="F1337" s="9"/>
      <c r="G1337" s="9"/>
      <c r="H1337" s="7"/>
      <c r="I1337" s="13" t="str">
        <f aca="false">IF(OR($G1337="",$H1337=""),"",ROUND($G1337*$H1337,0))</f>
        <v/>
      </c>
      <c r="J1337" s="8"/>
      <c r="K1337" s="13" t="str">
        <f aca="false">IF($B1337="","",SUMIFS($I$3:$I$2002,$B$3:$B$2002,$B1337))</f>
        <v/>
      </c>
      <c r="L1337" s="13" t="str">
        <f aca="false">IF($B1337="","",IF(COUNTIFS($B$3:$B1337,$B1337)&gt;1,0,IFERROR(LOOKUP($K1337,배송비규정!$A$3:$A$32,배송비규정!$B$3:$B$32),0)+IFERROR(INDEX(지역추가비!$B$3:$B$42,MATCH($J1337,지역추가비!$A$3:$A$42,0)),0)))</f>
        <v/>
      </c>
      <c r="M1337" s="13" t="str">
        <f aca="false">IF($B1337="","",IF(COUNTIFS($B$3:$B1337,$B1337)&gt;1,"",$K1337+$L1337))</f>
        <v/>
      </c>
      <c r="N1337" s="14" t="str">
        <f aca="false">IF($B1337="","",COUNTIFS($B$3:$B1337,$B1337))</f>
        <v/>
      </c>
      <c r="O1337" s="14" t="str">
        <f aca="false">IF($B1337="","",$B1337&amp;"|"&amp;$N1337)</f>
        <v/>
      </c>
    </row>
    <row r="1338" customFormat="false" ht="15" hidden="false" customHeight="false" outlineLevel="0" collapsed="false">
      <c r="A1338" s="12"/>
      <c r="B1338" s="9"/>
      <c r="C1338" s="9"/>
      <c r="D1338" s="9"/>
      <c r="E1338" s="9"/>
      <c r="F1338" s="9"/>
      <c r="G1338" s="9"/>
      <c r="H1338" s="7"/>
      <c r="I1338" s="13" t="str">
        <f aca="false">IF(OR($G1338="",$H1338=""),"",ROUND($G1338*$H1338,0))</f>
        <v/>
      </c>
      <c r="J1338" s="8"/>
      <c r="K1338" s="13" t="str">
        <f aca="false">IF($B1338="","",SUMIFS($I$3:$I$2002,$B$3:$B$2002,$B1338))</f>
        <v/>
      </c>
      <c r="L1338" s="13" t="str">
        <f aca="false">IF($B1338="","",IF(COUNTIFS($B$3:$B1338,$B1338)&gt;1,0,IFERROR(LOOKUP($K1338,배송비규정!$A$3:$A$32,배송비규정!$B$3:$B$32),0)+IFERROR(INDEX(지역추가비!$B$3:$B$42,MATCH($J1338,지역추가비!$A$3:$A$42,0)),0)))</f>
        <v/>
      </c>
      <c r="M1338" s="13" t="str">
        <f aca="false">IF($B1338="","",IF(COUNTIFS($B$3:$B1338,$B1338)&gt;1,"",$K1338+$L1338))</f>
        <v/>
      </c>
      <c r="N1338" s="14" t="str">
        <f aca="false">IF($B1338="","",COUNTIFS($B$3:$B1338,$B1338))</f>
        <v/>
      </c>
      <c r="O1338" s="14" t="str">
        <f aca="false">IF($B1338="","",$B1338&amp;"|"&amp;$N1338)</f>
        <v/>
      </c>
    </row>
    <row r="1339" customFormat="false" ht="15" hidden="false" customHeight="false" outlineLevel="0" collapsed="false">
      <c r="A1339" s="12"/>
      <c r="B1339" s="9"/>
      <c r="C1339" s="9"/>
      <c r="D1339" s="9"/>
      <c r="E1339" s="9"/>
      <c r="F1339" s="9"/>
      <c r="G1339" s="9"/>
      <c r="H1339" s="7"/>
      <c r="I1339" s="13" t="str">
        <f aca="false">IF(OR($G1339="",$H1339=""),"",ROUND($G1339*$H1339,0))</f>
        <v/>
      </c>
      <c r="J1339" s="8"/>
      <c r="K1339" s="13" t="str">
        <f aca="false">IF($B1339="","",SUMIFS($I$3:$I$2002,$B$3:$B$2002,$B1339))</f>
        <v/>
      </c>
      <c r="L1339" s="13" t="str">
        <f aca="false">IF($B1339="","",IF(COUNTIFS($B$3:$B1339,$B1339)&gt;1,0,IFERROR(LOOKUP($K1339,배송비규정!$A$3:$A$32,배송비규정!$B$3:$B$32),0)+IFERROR(INDEX(지역추가비!$B$3:$B$42,MATCH($J1339,지역추가비!$A$3:$A$42,0)),0)))</f>
        <v/>
      </c>
      <c r="M1339" s="13" t="str">
        <f aca="false">IF($B1339="","",IF(COUNTIFS($B$3:$B1339,$B1339)&gt;1,"",$K1339+$L1339))</f>
        <v/>
      </c>
      <c r="N1339" s="14" t="str">
        <f aca="false">IF($B1339="","",COUNTIFS($B$3:$B1339,$B1339))</f>
        <v/>
      </c>
      <c r="O1339" s="14" t="str">
        <f aca="false">IF($B1339="","",$B1339&amp;"|"&amp;$N1339)</f>
        <v/>
      </c>
    </row>
    <row r="1340" customFormat="false" ht="15" hidden="false" customHeight="false" outlineLevel="0" collapsed="false">
      <c r="A1340" s="12"/>
      <c r="B1340" s="9"/>
      <c r="C1340" s="9"/>
      <c r="D1340" s="9"/>
      <c r="E1340" s="9"/>
      <c r="F1340" s="9"/>
      <c r="G1340" s="9"/>
      <c r="H1340" s="7"/>
      <c r="I1340" s="13" t="str">
        <f aca="false">IF(OR($G1340="",$H1340=""),"",ROUND($G1340*$H1340,0))</f>
        <v/>
      </c>
      <c r="J1340" s="8"/>
      <c r="K1340" s="13" t="str">
        <f aca="false">IF($B1340="","",SUMIFS($I$3:$I$2002,$B$3:$B$2002,$B1340))</f>
        <v/>
      </c>
      <c r="L1340" s="13" t="str">
        <f aca="false">IF($B1340="","",IF(COUNTIFS($B$3:$B1340,$B1340)&gt;1,0,IFERROR(LOOKUP($K1340,배송비규정!$A$3:$A$32,배송비규정!$B$3:$B$32),0)+IFERROR(INDEX(지역추가비!$B$3:$B$42,MATCH($J1340,지역추가비!$A$3:$A$42,0)),0)))</f>
        <v/>
      </c>
      <c r="M1340" s="13" t="str">
        <f aca="false">IF($B1340="","",IF(COUNTIFS($B$3:$B1340,$B1340)&gt;1,"",$K1340+$L1340))</f>
        <v/>
      </c>
      <c r="N1340" s="14" t="str">
        <f aca="false">IF($B1340="","",COUNTIFS($B$3:$B1340,$B1340))</f>
        <v/>
      </c>
      <c r="O1340" s="14" t="str">
        <f aca="false">IF($B1340="","",$B1340&amp;"|"&amp;$N1340)</f>
        <v/>
      </c>
    </row>
    <row r="1341" customFormat="false" ht="15" hidden="false" customHeight="false" outlineLevel="0" collapsed="false">
      <c r="A1341" s="12"/>
      <c r="B1341" s="9"/>
      <c r="C1341" s="9"/>
      <c r="D1341" s="9"/>
      <c r="E1341" s="9"/>
      <c r="F1341" s="9"/>
      <c r="G1341" s="9"/>
      <c r="H1341" s="7"/>
      <c r="I1341" s="13" t="str">
        <f aca="false">IF(OR($G1341="",$H1341=""),"",ROUND($G1341*$H1341,0))</f>
        <v/>
      </c>
      <c r="J1341" s="8"/>
      <c r="K1341" s="13" t="str">
        <f aca="false">IF($B1341="","",SUMIFS($I$3:$I$2002,$B$3:$B$2002,$B1341))</f>
        <v/>
      </c>
      <c r="L1341" s="13" t="str">
        <f aca="false">IF($B1341="","",IF(COUNTIFS($B$3:$B1341,$B1341)&gt;1,0,IFERROR(LOOKUP($K1341,배송비규정!$A$3:$A$32,배송비규정!$B$3:$B$32),0)+IFERROR(INDEX(지역추가비!$B$3:$B$42,MATCH($J1341,지역추가비!$A$3:$A$42,0)),0)))</f>
        <v/>
      </c>
      <c r="M1341" s="13" t="str">
        <f aca="false">IF($B1341="","",IF(COUNTIFS($B$3:$B1341,$B1341)&gt;1,"",$K1341+$L1341))</f>
        <v/>
      </c>
      <c r="N1341" s="14" t="str">
        <f aca="false">IF($B1341="","",COUNTIFS($B$3:$B1341,$B1341))</f>
        <v/>
      </c>
      <c r="O1341" s="14" t="str">
        <f aca="false">IF($B1341="","",$B1341&amp;"|"&amp;$N1341)</f>
        <v/>
      </c>
    </row>
    <row r="1342" customFormat="false" ht="15" hidden="false" customHeight="false" outlineLevel="0" collapsed="false">
      <c r="A1342" s="12"/>
      <c r="B1342" s="9"/>
      <c r="C1342" s="9"/>
      <c r="D1342" s="9"/>
      <c r="E1342" s="9"/>
      <c r="F1342" s="9"/>
      <c r="G1342" s="9"/>
      <c r="H1342" s="7"/>
      <c r="I1342" s="13" t="str">
        <f aca="false">IF(OR($G1342="",$H1342=""),"",ROUND($G1342*$H1342,0))</f>
        <v/>
      </c>
      <c r="J1342" s="8"/>
      <c r="K1342" s="13" t="str">
        <f aca="false">IF($B1342="","",SUMIFS($I$3:$I$2002,$B$3:$B$2002,$B1342))</f>
        <v/>
      </c>
      <c r="L1342" s="13" t="str">
        <f aca="false">IF($B1342="","",IF(COUNTIFS($B$3:$B1342,$B1342)&gt;1,0,IFERROR(LOOKUP($K1342,배송비규정!$A$3:$A$32,배송비규정!$B$3:$B$32),0)+IFERROR(INDEX(지역추가비!$B$3:$B$42,MATCH($J1342,지역추가비!$A$3:$A$42,0)),0)))</f>
        <v/>
      </c>
      <c r="M1342" s="13" t="str">
        <f aca="false">IF($B1342="","",IF(COUNTIFS($B$3:$B1342,$B1342)&gt;1,"",$K1342+$L1342))</f>
        <v/>
      </c>
      <c r="N1342" s="14" t="str">
        <f aca="false">IF($B1342="","",COUNTIFS($B$3:$B1342,$B1342))</f>
        <v/>
      </c>
      <c r="O1342" s="14" t="str">
        <f aca="false">IF($B1342="","",$B1342&amp;"|"&amp;$N1342)</f>
        <v/>
      </c>
    </row>
    <row r="1343" customFormat="false" ht="15" hidden="false" customHeight="false" outlineLevel="0" collapsed="false">
      <c r="A1343" s="12"/>
      <c r="B1343" s="9"/>
      <c r="C1343" s="9"/>
      <c r="D1343" s="9"/>
      <c r="E1343" s="9"/>
      <c r="F1343" s="9"/>
      <c r="G1343" s="9"/>
      <c r="H1343" s="7"/>
      <c r="I1343" s="13" t="str">
        <f aca="false">IF(OR($G1343="",$H1343=""),"",ROUND($G1343*$H1343,0))</f>
        <v/>
      </c>
      <c r="J1343" s="8"/>
      <c r="K1343" s="13" t="str">
        <f aca="false">IF($B1343="","",SUMIFS($I$3:$I$2002,$B$3:$B$2002,$B1343))</f>
        <v/>
      </c>
      <c r="L1343" s="13" t="str">
        <f aca="false">IF($B1343="","",IF(COUNTIFS($B$3:$B1343,$B1343)&gt;1,0,IFERROR(LOOKUP($K1343,배송비규정!$A$3:$A$32,배송비규정!$B$3:$B$32),0)+IFERROR(INDEX(지역추가비!$B$3:$B$42,MATCH($J1343,지역추가비!$A$3:$A$42,0)),0)))</f>
        <v/>
      </c>
      <c r="M1343" s="13" t="str">
        <f aca="false">IF($B1343="","",IF(COUNTIFS($B$3:$B1343,$B1343)&gt;1,"",$K1343+$L1343))</f>
        <v/>
      </c>
      <c r="N1343" s="14" t="str">
        <f aca="false">IF($B1343="","",COUNTIFS($B$3:$B1343,$B1343))</f>
        <v/>
      </c>
      <c r="O1343" s="14" t="str">
        <f aca="false">IF($B1343="","",$B1343&amp;"|"&amp;$N1343)</f>
        <v/>
      </c>
    </row>
    <row r="1344" customFormat="false" ht="15" hidden="false" customHeight="false" outlineLevel="0" collapsed="false">
      <c r="A1344" s="12"/>
      <c r="B1344" s="9"/>
      <c r="C1344" s="9"/>
      <c r="D1344" s="9"/>
      <c r="E1344" s="9"/>
      <c r="F1344" s="9"/>
      <c r="G1344" s="9"/>
      <c r="H1344" s="7"/>
      <c r="I1344" s="13" t="str">
        <f aca="false">IF(OR($G1344="",$H1344=""),"",ROUND($G1344*$H1344,0))</f>
        <v/>
      </c>
      <c r="J1344" s="8"/>
      <c r="K1344" s="13" t="str">
        <f aca="false">IF($B1344="","",SUMIFS($I$3:$I$2002,$B$3:$B$2002,$B1344))</f>
        <v/>
      </c>
      <c r="L1344" s="13" t="str">
        <f aca="false">IF($B1344="","",IF(COUNTIFS($B$3:$B1344,$B1344)&gt;1,0,IFERROR(LOOKUP($K1344,배송비규정!$A$3:$A$32,배송비규정!$B$3:$B$32),0)+IFERROR(INDEX(지역추가비!$B$3:$B$42,MATCH($J1344,지역추가비!$A$3:$A$42,0)),0)))</f>
        <v/>
      </c>
      <c r="M1344" s="13" t="str">
        <f aca="false">IF($B1344="","",IF(COUNTIFS($B$3:$B1344,$B1344)&gt;1,"",$K1344+$L1344))</f>
        <v/>
      </c>
      <c r="N1344" s="14" t="str">
        <f aca="false">IF($B1344="","",COUNTIFS($B$3:$B1344,$B1344))</f>
        <v/>
      </c>
      <c r="O1344" s="14" t="str">
        <f aca="false">IF($B1344="","",$B1344&amp;"|"&amp;$N1344)</f>
        <v/>
      </c>
    </row>
    <row r="1345" customFormat="false" ht="15" hidden="false" customHeight="false" outlineLevel="0" collapsed="false">
      <c r="A1345" s="12"/>
      <c r="B1345" s="9"/>
      <c r="C1345" s="9"/>
      <c r="D1345" s="9"/>
      <c r="E1345" s="9"/>
      <c r="F1345" s="9"/>
      <c r="G1345" s="9"/>
      <c r="H1345" s="7"/>
      <c r="I1345" s="13" t="str">
        <f aca="false">IF(OR($G1345="",$H1345=""),"",ROUND($G1345*$H1345,0))</f>
        <v/>
      </c>
      <c r="J1345" s="8"/>
      <c r="K1345" s="13" t="str">
        <f aca="false">IF($B1345="","",SUMIFS($I$3:$I$2002,$B$3:$B$2002,$B1345))</f>
        <v/>
      </c>
      <c r="L1345" s="13" t="str">
        <f aca="false">IF($B1345="","",IF(COUNTIFS($B$3:$B1345,$B1345)&gt;1,0,IFERROR(LOOKUP($K1345,배송비규정!$A$3:$A$32,배송비규정!$B$3:$B$32),0)+IFERROR(INDEX(지역추가비!$B$3:$B$42,MATCH($J1345,지역추가비!$A$3:$A$42,0)),0)))</f>
        <v/>
      </c>
      <c r="M1345" s="13" t="str">
        <f aca="false">IF($B1345="","",IF(COUNTIFS($B$3:$B1345,$B1345)&gt;1,"",$K1345+$L1345))</f>
        <v/>
      </c>
      <c r="N1345" s="14" t="str">
        <f aca="false">IF($B1345="","",COUNTIFS($B$3:$B1345,$B1345))</f>
        <v/>
      </c>
      <c r="O1345" s="14" t="str">
        <f aca="false">IF($B1345="","",$B1345&amp;"|"&amp;$N1345)</f>
        <v/>
      </c>
    </row>
    <row r="1346" customFormat="false" ht="15" hidden="false" customHeight="false" outlineLevel="0" collapsed="false">
      <c r="A1346" s="12"/>
      <c r="B1346" s="9"/>
      <c r="C1346" s="9"/>
      <c r="D1346" s="9"/>
      <c r="E1346" s="9"/>
      <c r="F1346" s="9"/>
      <c r="G1346" s="9"/>
      <c r="H1346" s="7"/>
      <c r="I1346" s="13" t="str">
        <f aca="false">IF(OR($G1346="",$H1346=""),"",ROUND($G1346*$H1346,0))</f>
        <v/>
      </c>
      <c r="J1346" s="8"/>
      <c r="K1346" s="13" t="str">
        <f aca="false">IF($B1346="","",SUMIFS($I$3:$I$2002,$B$3:$B$2002,$B1346))</f>
        <v/>
      </c>
      <c r="L1346" s="13" t="str">
        <f aca="false">IF($B1346="","",IF(COUNTIFS($B$3:$B1346,$B1346)&gt;1,0,IFERROR(LOOKUP($K1346,배송비규정!$A$3:$A$32,배송비규정!$B$3:$B$32),0)+IFERROR(INDEX(지역추가비!$B$3:$B$42,MATCH($J1346,지역추가비!$A$3:$A$42,0)),0)))</f>
        <v/>
      </c>
      <c r="M1346" s="13" t="str">
        <f aca="false">IF($B1346="","",IF(COUNTIFS($B$3:$B1346,$B1346)&gt;1,"",$K1346+$L1346))</f>
        <v/>
      </c>
      <c r="N1346" s="14" t="str">
        <f aca="false">IF($B1346="","",COUNTIFS($B$3:$B1346,$B1346))</f>
        <v/>
      </c>
      <c r="O1346" s="14" t="str">
        <f aca="false">IF($B1346="","",$B1346&amp;"|"&amp;$N1346)</f>
        <v/>
      </c>
    </row>
    <row r="1347" customFormat="false" ht="15" hidden="false" customHeight="false" outlineLevel="0" collapsed="false">
      <c r="A1347" s="12"/>
      <c r="B1347" s="9"/>
      <c r="C1347" s="9"/>
      <c r="D1347" s="9"/>
      <c r="E1347" s="9"/>
      <c r="F1347" s="9"/>
      <c r="G1347" s="9"/>
      <c r="H1347" s="7"/>
      <c r="I1347" s="13" t="str">
        <f aca="false">IF(OR($G1347="",$H1347=""),"",ROUND($G1347*$H1347,0))</f>
        <v/>
      </c>
      <c r="J1347" s="8"/>
      <c r="K1347" s="13" t="str">
        <f aca="false">IF($B1347="","",SUMIFS($I$3:$I$2002,$B$3:$B$2002,$B1347))</f>
        <v/>
      </c>
      <c r="L1347" s="13" t="str">
        <f aca="false">IF($B1347="","",IF(COUNTIFS($B$3:$B1347,$B1347)&gt;1,0,IFERROR(LOOKUP($K1347,배송비규정!$A$3:$A$32,배송비규정!$B$3:$B$32),0)+IFERROR(INDEX(지역추가비!$B$3:$B$42,MATCH($J1347,지역추가비!$A$3:$A$42,0)),0)))</f>
        <v/>
      </c>
      <c r="M1347" s="13" t="str">
        <f aca="false">IF($B1347="","",IF(COUNTIFS($B$3:$B1347,$B1347)&gt;1,"",$K1347+$L1347))</f>
        <v/>
      </c>
      <c r="N1347" s="14" t="str">
        <f aca="false">IF($B1347="","",COUNTIFS($B$3:$B1347,$B1347))</f>
        <v/>
      </c>
      <c r="O1347" s="14" t="str">
        <f aca="false">IF($B1347="","",$B1347&amp;"|"&amp;$N1347)</f>
        <v/>
      </c>
    </row>
    <row r="1348" customFormat="false" ht="15" hidden="false" customHeight="false" outlineLevel="0" collapsed="false">
      <c r="A1348" s="12"/>
      <c r="B1348" s="9"/>
      <c r="C1348" s="9"/>
      <c r="D1348" s="9"/>
      <c r="E1348" s="9"/>
      <c r="F1348" s="9"/>
      <c r="G1348" s="9"/>
      <c r="H1348" s="7"/>
      <c r="I1348" s="13" t="str">
        <f aca="false">IF(OR($G1348="",$H1348=""),"",ROUND($G1348*$H1348,0))</f>
        <v/>
      </c>
      <c r="J1348" s="8"/>
      <c r="K1348" s="13" t="str">
        <f aca="false">IF($B1348="","",SUMIFS($I$3:$I$2002,$B$3:$B$2002,$B1348))</f>
        <v/>
      </c>
      <c r="L1348" s="13" t="str">
        <f aca="false">IF($B1348="","",IF(COUNTIFS($B$3:$B1348,$B1348)&gt;1,0,IFERROR(LOOKUP($K1348,배송비규정!$A$3:$A$32,배송비규정!$B$3:$B$32),0)+IFERROR(INDEX(지역추가비!$B$3:$B$42,MATCH($J1348,지역추가비!$A$3:$A$42,0)),0)))</f>
        <v/>
      </c>
      <c r="M1348" s="13" t="str">
        <f aca="false">IF($B1348="","",IF(COUNTIFS($B$3:$B1348,$B1348)&gt;1,"",$K1348+$L1348))</f>
        <v/>
      </c>
      <c r="N1348" s="14" t="str">
        <f aca="false">IF($B1348="","",COUNTIFS($B$3:$B1348,$B1348))</f>
        <v/>
      </c>
      <c r="O1348" s="14" t="str">
        <f aca="false">IF($B1348="","",$B1348&amp;"|"&amp;$N1348)</f>
        <v/>
      </c>
    </row>
    <row r="1349" customFormat="false" ht="15" hidden="false" customHeight="false" outlineLevel="0" collapsed="false">
      <c r="A1349" s="12"/>
      <c r="B1349" s="9"/>
      <c r="C1349" s="9"/>
      <c r="D1349" s="9"/>
      <c r="E1349" s="9"/>
      <c r="F1349" s="9"/>
      <c r="G1349" s="9"/>
      <c r="H1349" s="7"/>
      <c r="I1349" s="13" t="str">
        <f aca="false">IF(OR($G1349="",$H1349=""),"",ROUND($G1349*$H1349,0))</f>
        <v/>
      </c>
      <c r="J1349" s="8"/>
      <c r="K1349" s="13" t="str">
        <f aca="false">IF($B1349="","",SUMIFS($I$3:$I$2002,$B$3:$B$2002,$B1349))</f>
        <v/>
      </c>
      <c r="L1349" s="13" t="str">
        <f aca="false">IF($B1349="","",IF(COUNTIFS($B$3:$B1349,$B1349)&gt;1,0,IFERROR(LOOKUP($K1349,배송비규정!$A$3:$A$32,배송비규정!$B$3:$B$32),0)+IFERROR(INDEX(지역추가비!$B$3:$B$42,MATCH($J1349,지역추가비!$A$3:$A$42,0)),0)))</f>
        <v/>
      </c>
      <c r="M1349" s="13" t="str">
        <f aca="false">IF($B1349="","",IF(COUNTIFS($B$3:$B1349,$B1349)&gt;1,"",$K1349+$L1349))</f>
        <v/>
      </c>
      <c r="N1349" s="14" t="str">
        <f aca="false">IF($B1349="","",COUNTIFS($B$3:$B1349,$B1349))</f>
        <v/>
      </c>
      <c r="O1349" s="14" t="str">
        <f aca="false">IF($B1349="","",$B1349&amp;"|"&amp;$N1349)</f>
        <v/>
      </c>
    </row>
    <row r="1350" customFormat="false" ht="15" hidden="false" customHeight="false" outlineLevel="0" collapsed="false">
      <c r="A1350" s="12"/>
      <c r="B1350" s="9"/>
      <c r="C1350" s="9"/>
      <c r="D1350" s="9"/>
      <c r="E1350" s="9"/>
      <c r="F1350" s="9"/>
      <c r="G1350" s="9"/>
      <c r="H1350" s="7"/>
      <c r="I1350" s="13" t="str">
        <f aca="false">IF(OR($G1350="",$H1350=""),"",ROUND($G1350*$H1350,0))</f>
        <v/>
      </c>
      <c r="J1350" s="8"/>
      <c r="K1350" s="13" t="str">
        <f aca="false">IF($B1350="","",SUMIFS($I$3:$I$2002,$B$3:$B$2002,$B1350))</f>
        <v/>
      </c>
      <c r="L1350" s="13" t="str">
        <f aca="false">IF($B1350="","",IF(COUNTIFS($B$3:$B1350,$B1350)&gt;1,0,IFERROR(LOOKUP($K1350,배송비규정!$A$3:$A$32,배송비규정!$B$3:$B$32),0)+IFERROR(INDEX(지역추가비!$B$3:$B$42,MATCH($J1350,지역추가비!$A$3:$A$42,0)),0)))</f>
        <v/>
      </c>
      <c r="M1350" s="13" t="str">
        <f aca="false">IF($B1350="","",IF(COUNTIFS($B$3:$B1350,$B1350)&gt;1,"",$K1350+$L1350))</f>
        <v/>
      </c>
      <c r="N1350" s="14" t="str">
        <f aca="false">IF($B1350="","",COUNTIFS($B$3:$B1350,$B1350))</f>
        <v/>
      </c>
      <c r="O1350" s="14" t="str">
        <f aca="false">IF($B1350="","",$B1350&amp;"|"&amp;$N1350)</f>
        <v/>
      </c>
    </row>
    <row r="1351" customFormat="false" ht="15" hidden="false" customHeight="false" outlineLevel="0" collapsed="false">
      <c r="A1351" s="12"/>
      <c r="B1351" s="9"/>
      <c r="C1351" s="9"/>
      <c r="D1351" s="9"/>
      <c r="E1351" s="9"/>
      <c r="F1351" s="9"/>
      <c r="G1351" s="9"/>
      <c r="H1351" s="7"/>
      <c r="I1351" s="13" t="str">
        <f aca="false">IF(OR($G1351="",$H1351=""),"",ROUND($G1351*$H1351,0))</f>
        <v/>
      </c>
      <c r="J1351" s="8"/>
      <c r="K1351" s="13" t="str">
        <f aca="false">IF($B1351="","",SUMIFS($I$3:$I$2002,$B$3:$B$2002,$B1351))</f>
        <v/>
      </c>
      <c r="L1351" s="13" t="str">
        <f aca="false">IF($B1351="","",IF(COUNTIFS($B$3:$B1351,$B1351)&gt;1,0,IFERROR(LOOKUP($K1351,배송비규정!$A$3:$A$32,배송비규정!$B$3:$B$32),0)+IFERROR(INDEX(지역추가비!$B$3:$B$42,MATCH($J1351,지역추가비!$A$3:$A$42,0)),0)))</f>
        <v/>
      </c>
      <c r="M1351" s="13" t="str">
        <f aca="false">IF($B1351="","",IF(COUNTIFS($B$3:$B1351,$B1351)&gt;1,"",$K1351+$L1351))</f>
        <v/>
      </c>
      <c r="N1351" s="14" t="str">
        <f aca="false">IF($B1351="","",COUNTIFS($B$3:$B1351,$B1351))</f>
        <v/>
      </c>
      <c r="O1351" s="14" t="str">
        <f aca="false">IF($B1351="","",$B1351&amp;"|"&amp;$N1351)</f>
        <v/>
      </c>
    </row>
    <row r="1352" customFormat="false" ht="15" hidden="false" customHeight="false" outlineLevel="0" collapsed="false">
      <c r="A1352" s="12"/>
      <c r="B1352" s="9"/>
      <c r="C1352" s="9"/>
      <c r="D1352" s="9"/>
      <c r="E1352" s="9"/>
      <c r="F1352" s="9"/>
      <c r="G1352" s="9"/>
      <c r="H1352" s="7"/>
      <c r="I1352" s="13" t="str">
        <f aca="false">IF(OR($G1352="",$H1352=""),"",ROUND($G1352*$H1352,0))</f>
        <v/>
      </c>
      <c r="J1352" s="8"/>
      <c r="K1352" s="13" t="str">
        <f aca="false">IF($B1352="","",SUMIFS($I$3:$I$2002,$B$3:$B$2002,$B1352))</f>
        <v/>
      </c>
      <c r="L1352" s="13" t="str">
        <f aca="false">IF($B1352="","",IF(COUNTIFS($B$3:$B1352,$B1352)&gt;1,0,IFERROR(LOOKUP($K1352,배송비규정!$A$3:$A$32,배송비규정!$B$3:$B$32),0)+IFERROR(INDEX(지역추가비!$B$3:$B$42,MATCH($J1352,지역추가비!$A$3:$A$42,0)),0)))</f>
        <v/>
      </c>
      <c r="M1352" s="13" t="str">
        <f aca="false">IF($B1352="","",IF(COUNTIFS($B$3:$B1352,$B1352)&gt;1,"",$K1352+$L1352))</f>
        <v/>
      </c>
      <c r="N1352" s="14" t="str">
        <f aca="false">IF($B1352="","",COUNTIFS($B$3:$B1352,$B1352))</f>
        <v/>
      </c>
      <c r="O1352" s="14" t="str">
        <f aca="false">IF($B1352="","",$B1352&amp;"|"&amp;$N1352)</f>
        <v/>
      </c>
    </row>
    <row r="1353" customFormat="false" ht="15" hidden="false" customHeight="false" outlineLevel="0" collapsed="false">
      <c r="A1353" s="12"/>
      <c r="B1353" s="9"/>
      <c r="C1353" s="9"/>
      <c r="D1353" s="9"/>
      <c r="E1353" s="9"/>
      <c r="F1353" s="9"/>
      <c r="G1353" s="9"/>
      <c r="H1353" s="7"/>
      <c r="I1353" s="13" t="str">
        <f aca="false">IF(OR($G1353="",$H1353=""),"",ROUND($G1353*$H1353,0))</f>
        <v/>
      </c>
      <c r="J1353" s="8"/>
      <c r="K1353" s="13" t="str">
        <f aca="false">IF($B1353="","",SUMIFS($I$3:$I$2002,$B$3:$B$2002,$B1353))</f>
        <v/>
      </c>
      <c r="L1353" s="13" t="str">
        <f aca="false">IF($B1353="","",IF(COUNTIFS($B$3:$B1353,$B1353)&gt;1,0,IFERROR(LOOKUP($K1353,배송비규정!$A$3:$A$32,배송비규정!$B$3:$B$32),0)+IFERROR(INDEX(지역추가비!$B$3:$B$42,MATCH($J1353,지역추가비!$A$3:$A$42,0)),0)))</f>
        <v/>
      </c>
      <c r="M1353" s="13" t="str">
        <f aca="false">IF($B1353="","",IF(COUNTIFS($B$3:$B1353,$B1353)&gt;1,"",$K1353+$L1353))</f>
        <v/>
      </c>
      <c r="N1353" s="14" t="str">
        <f aca="false">IF($B1353="","",COUNTIFS($B$3:$B1353,$B1353))</f>
        <v/>
      </c>
      <c r="O1353" s="14" t="str">
        <f aca="false">IF($B1353="","",$B1353&amp;"|"&amp;$N1353)</f>
        <v/>
      </c>
    </row>
    <row r="1354" customFormat="false" ht="15" hidden="false" customHeight="false" outlineLevel="0" collapsed="false">
      <c r="A1354" s="12"/>
      <c r="B1354" s="9"/>
      <c r="C1354" s="9"/>
      <c r="D1354" s="9"/>
      <c r="E1354" s="9"/>
      <c r="F1354" s="9"/>
      <c r="G1354" s="9"/>
      <c r="H1354" s="7"/>
      <c r="I1354" s="13" t="str">
        <f aca="false">IF(OR($G1354="",$H1354=""),"",ROUND($G1354*$H1354,0))</f>
        <v/>
      </c>
      <c r="J1354" s="8"/>
      <c r="K1354" s="13" t="str">
        <f aca="false">IF($B1354="","",SUMIFS($I$3:$I$2002,$B$3:$B$2002,$B1354))</f>
        <v/>
      </c>
      <c r="L1354" s="13" t="str">
        <f aca="false">IF($B1354="","",IF(COUNTIFS($B$3:$B1354,$B1354)&gt;1,0,IFERROR(LOOKUP($K1354,배송비규정!$A$3:$A$32,배송비규정!$B$3:$B$32),0)+IFERROR(INDEX(지역추가비!$B$3:$B$42,MATCH($J1354,지역추가비!$A$3:$A$42,0)),0)))</f>
        <v/>
      </c>
      <c r="M1354" s="13" t="str">
        <f aca="false">IF($B1354="","",IF(COUNTIFS($B$3:$B1354,$B1354)&gt;1,"",$K1354+$L1354))</f>
        <v/>
      </c>
      <c r="N1354" s="14" t="str">
        <f aca="false">IF($B1354="","",COUNTIFS($B$3:$B1354,$B1354))</f>
        <v/>
      </c>
      <c r="O1354" s="14" t="str">
        <f aca="false">IF($B1354="","",$B1354&amp;"|"&amp;$N1354)</f>
        <v/>
      </c>
    </row>
    <row r="1355" customFormat="false" ht="15" hidden="false" customHeight="false" outlineLevel="0" collapsed="false">
      <c r="A1355" s="12"/>
      <c r="B1355" s="9"/>
      <c r="C1355" s="9"/>
      <c r="D1355" s="9"/>
      <c r="E1355" s="9"/>
      <c r="F1355" s="9"/>
      <c r="G1355" s="9"/>
      <c r="H1355" s="7"/>
      <c r="I1355" s="13" t="str">
        <f aca="false">IF(OR($G1355="",$H1355=""),"",ROUND($G1355*$H1355,0))</f>
        <v/>
      </c>
      <c r="J1355" s="8"/>
      <c r="K1355" s="13" t="str">
        <f aca="false">IF($B1355="","",SUMIFS($I$3:$I$2002,$B$3:$B$2002,$B1355))</f>
        <v/>
      </c>
      <c r="L1355" s="13" t="str">
        <f aca="false">IF($B1355="","",IF(COUNTIFS($B$3:$B1355,$B1355)&gt;1,0,IFERROR(LOOKUP($K1355,배송비규정!$A$3:$A$32,배송비규정!$B$3:$B$32),0)+IFERROR(INDEX(지역추가비!$B$3:$B$42,MATCH($J1355,지역추가비!$A$3:$A$42,0)),0)))</f>
        <v/>
      </c>
      <c r="M1355" s="13" t="str">
        <f aca="false">IF($B1355="","",IF(COUNTIFS($B$3:$B1355,$B1355)&gt;1,"",$K1355+$L1355))</f>
        <v/>
      </c>
      <c r="N1355" s="14" t="str">
        <f aca="false">IF($B1355="","",COUNTIFS($B$3:$B1355,$B1355))</f>
        <v/>
      </c>
      <c r="O1355" s="14" t="str">
        <f aca="false">IF($B1355="","",$B1355&amp;"|"&amp;$N1355)</f>
        <v/>
      </c>
    </row>
    <row r="1356" customFormat="false" ht="15" hidden="false" customHeight="false" outlineLevel="0" collapsed="false">
      <c r="A1356" s="12"/>
      <c r="B1356" s="9"/>
      <c r="C1356" s="9"/>
      <c r="D1356" s="9"/>
      <c r="E1356" s="9"/>
      <c r="F1356" s="9"/>
      <c r="G1356" s="9"/>
      <c r="H1356" s="7"/>
      <c r="I1356" s="13" t="str">
        <f aca="false">IF(OR($G1356="",$H1356=""),"",ROUND($G1356*$H1356,0))</f>
        <v/>
      </c>
      <c r="J1356" s="8"/>
      <c r="K1356" s="13" t="str">
        <f aca="false">IF($B1356="","",SUMIFS($I$3:$I$2002,$B$3:$B$2002,$B1356))</f>
        <v/>
      </c>
      <c r="L1356" s="13" t="str">
        <f aca="false">IF($B1356="","",IF(COUNTIFS($B$3:$B1356,$B1356)&gt;1,0,IFERROR(LOOKUP($K1356,배송비규정!$A$3:$A$32,배송비규정!$B$3:$B$32),0)+IFERROR(INDEX(지역추가비!$B$3:$B$42,MATCH($J1356,지역추가비!$A$3:$A$42,0)),0)))</f>
        <v/>
      </c>
      <c r="M1356" s="13" t="str">
        <f aca="false">IF($B1356="","",IF(COUNTIFS($B$3:$B1356,$B1356)&gt;1,"",$K1356+$L1356))</f>
        <v/>
      </c>
      <c r="N1356" s="14" t="str">
        <f aca="false">IF($B1356="","",COUNTIFS($B$3:$B1356,$B1356))</f>
        <v/>
      </c>
      <c r="O1356" s="14" t="str">
        <f aca="false">IF($B1356="","",$B1356&amp;"|"&amp;$N1356)</f>
        <v/>
      </c>
    </row>
    <row r="1357" customFormat="false" ht="15" hidden="false" customHeight="false" outlineLevel="0" collapsed="false">
      <c r="A1357" s="12"/>
      <c r="B1357" s="9"/>
      <c r="C1357" s="9"/>
      <c r="D1357" s="9"/>
      <c r="E1357" s="9"/>
      <c r="F1357" s="9"/>
      <c r="G1357" s="9"/>
      <c r="H1357" s="7"/>
      <c r="I1357" s="13" t="str">
        <f aca="false">IF(OR($G1357="",$H1357=""),"",ROUND($G1357*$H1357,0))</f>
        <v/>
      </c>
      <c r="J1357" s="8"/>
      <c r="K1357" s="13" t="str">
        <f aca="false">IF($B1357="","",SUMIFS($I$3:$I$2002,$B$3:$B$2002,$B1357))</f>
        <v/>
      </c>
      <c r="L1357" s="13" t="str">
        <f aca="false">IF($B1357="","",IF(COUNTIFS($B$3:$B1357,$B1357)&gt;1,0,IFERROR(LOOKUP($K1357,배송비규정!$A$3:$A$32,배송비규정!$B$3:$B$32),0)+IFERROR(INDEX(지역추가비!$B$3:$B$42,MATCH($J1357,지역추가비!$A$3:$A$42,0)),0)))</f>
        <v/>
      </c>
      <c r="M1357" s="13" t="str">
        <f aca="false">IF($B1357="","",IF(COUNTIFS($B$3:$B1357,$B1357)&gt;1,"",$K1357+$L1357))</f>
        <v/>
      </c>
      <c r="N1357" s="14" t="str">
        <f aca="false">IF($B1357="","",COUNTIFS($B$3:$B1357,$B1357))</f>
        <v/>
      </c>
      <c r="O1357" s="14" t="str">
        <f aca="false">IF($B1357="","",$B1357&amp;"|"&amp;$N1357)</f>
        <v/>
      </c>
    </row>
    <row r="1358" customFormat="false" ht="15" hidden="false" customHeight="false" outlineLevel="0" collapsed="false">
      <c r="A1358" s="12"/>
      <c r="B1358" s="9"/>
      <c r="C1358" s="9"/>
      <c r="D1358" s="9"/>
      <c r="E1358" s="9"/>
      <c r="F1358" s="9"/>
      <c r="G1358" s="9"/>
      <c r="H1358" s="7"/>
      <c r="I1358" s="13" t="str">
        <f aca="false">IF(OR($G1358="",$H1358=""),"",ROUND($G1358*$H1358,0))</f>
        <v/>
      </c>
      <c r="J1358" s="8"/>
      <c r="K1358" s="13" t="str">
        <f aca="false">IF($B1358="","",SUMIFS($I$3:$I$2002,$B$3:$B$2002,$B1358))</f>
        <v/>
      </c>
      <c r="L1358" s="13" t="str">
        <f aca="false">IF($B1358="","",IF(COUNTIFS($B$3:$B1358,$B1358)&gt;1,0,IFERROR(LOOKUP($K1358,배송비규정!$A$3:$A$32,배송비규정!$B$3:$B$32),0)+IFERROR(INDEX(지역추가비!$B$3:$B$42,MATCH($J1358,지역추가비!$A$3:$A$42,0)),0)))</f>
        <v/>
      </c>
      <c r="M1358" s="13" t="str">
        <f aca="false">IF($B1358="","",IF(COUNTIFS($B$3:$B1358,$B1358)&gt;1,"",$K1358+$L1358))</f>
        <v/>
      </c>
      <c r="N1358" s="14" t="str">
        <f aca="false">IF($B1358="","",COUNTIFS($B$3:$B1358,$B1358))</f>
        <v/>
      </c>
      <c r="O1358" s="14" t="str">
        <f aca="false">IF($B1358="","",$B1358&amp;"|"&amp;$N1358)</f>
        <v/>
      </c>
    </row>
    <row r="1359" customFormat="false" ht="15" hidden="false" customHeight="false" outlineLevel="0" collapsed="false">
      <c r="A1359" s="12"/>
      <c r="B1359" s="9"/>
      <c r="C1359" s="9"/>
      <c r="D1359" s="9"/>
      <c r="E1359" s="9"/>
      <c r="F1359" s="9"/>
      <c r="G1359" s="9"/>
      <c r="H1359" s="7"/>
      <c r="I1359" s="13" t="str">
        <f aca="false">IF(OR($G1359="",$H1359=""),"",ROUND($G1359*$H1359,0))</f>
        <v/>
      </c>
      <c r="J1359" s="8"/>
      <c r="K1359" s="13" t="str">
        <f aca="false">IF($B1359="","",SUMIFS($I$3:$I$2002,$B$3:$B$2002,$B1359))</f>
        <v/>
      </c>
      <c r="L1359" s="13" t="str">
        <f aca="false">IF($B1359="","",IF(COUNTIFS($B$3:$B1359,$B1359)&gt;1,0,IFERROR(LOOKUP($K1359,배송비규정!$A$3:$A$32,배송비규정!$B$3:$B$32),0)+IFERROR(INDEX(지역추가비!$B$3:$B$42,MATCH($J1359,지역추가비!$A$3:$A$42,0)),0)))</f>
        <v/>
      </c>
      <c r="M1359" s="13" t="str">
        <f aca="false">IF($B1359="","",IF(COUNTIFS($B$3:$B1359,$B1359)&gt;1,"",$K1359+$L1359))</f>
        <v/>
      </c>
      <c r="N1359" s="14" t="str">
        <f aca="false">IF($B1359="","",COUNTIFS($B$3:$B1359,$B1359))</f>
        <v/>
      </c>
      <c r="O1359" s="14" t="str">
        <f aca="false">IF($B1359="","",$B1359&amp;"|"&amp;$N1359)</f>
        <v/>
      </c>
    </row>
    <row r="1360" customFormat="false" ht="15" hidden="false" customHeight="false" outlineLevel="0" collapsed="false">
      <c r="A1360" s="12"/>
      <c r="B1360" s="9"/>
      <c r="C1360" s="9"/>
      <c r="D1360" s="9"/>
      <c r="E1360" s="9"/>
      <c r="F1360" s="9"/>
      <c r="G1360" s="9"/>
      <c r="H1360" s="7"/>
      <c r="I1360" s="13" t="str">
        <f aca="false">IF(OR($G1360="",$H1360=""),"",ROUND($G1360*$H1360,0))</f>
        <v/>
      </c>
      <c r="J1360" s="8"/>
      <c r="K1360" s="13" t="str">
        <f aca="false">IF($B1360="","",SUMIFS($I$3:$I$2002,$B$3:$B$2002,$B1360))</f>
        <v/>
      </c>
      <c r="L1360" s="13" t="str">
        <f aca="false">IF($B1360="","",IF(COUNTIFS($B$3:$B1360,$B1360)&gt;1,0,IFERROR(LOOKUP($K1360,배송비규정!$A$3:$A$32,배송비규정!$B$3:$B$32),0)+IFERROR(INDEX(지역추가비!$B$3:$B$42,MATCH($J1360,지역추가비!$A$3:$A$42,0)),0)))</f>
        <v/>
      </c>
      <c r="M1360" s="13" t="str">
        <f aca="false">IF($B1360="","",IF(COUNTIFS($B$3:$B1360,$B1360)&gt;1,"",$K1360+$L1360))</f>
        <v/>
      </c>
      <c r="N1360" s="14" t="str">
        <f aca="false">IF($B1360="","",COUNTIFS($B$3:$B1360,$B1360))</f>
        <v/>
      </c>
      <c r="O1360" s="14" t="str">
        <f aca="false">IF($B1360="","",$B1360&amp;"|"&amp;$N1360)</f>
        <v/>
      </c>
    </row>
    <row r="1361" customFormat="false" ht="15" hidden="false" customHeight="false" outlineLevel="0" collapsed="false">
      <c r="A1361" s="12"/>
      <c r="B1361" s="9"/>
      <c r="C1361" s="9"/>
      <c r="D1361" s="9"/>
      <c r="E1361" s="9"/>
      <c r="F1361" s="9"/>
      <c r="G1361" s="9"/>
      <c r="H1361" s="7"/>
      <c r="I1361" s="13" t="str">
        <f aca="false">IF(OR($G1361="",$H1361=""),"",ROUND($G1361*$H1361,0))</f>
        <v/>
      </c>
      <c r="J1361" s="8"/>
      <c r="K1361" s="13" t="str">
        <f aca="false">IF($B1361="","",SUMIFS($I$3:$I$2002,$B$3:$B$2002,$B1361))</f>
        <v/>
      </c>
      <c r="L1361" s="13" t="str">
        <f aca="false">IF($B1361="","",IF(COUNTIFS($B$3:$B1361,$B1361)&gt;1,0,IFERROR(LOOKUP($K1361,배송비규정!$A$3:$A$32,배송비규정!$B$3:$B$32),0)+IFERROR(INDEX(지역추가비!$B$3:$B$42,MATCH($J1361,지역추가비!$A$3:$A$42,0)),0)))</f>
        <v/>
      </c>
      <c r="M1361" s="13" t="str">
        <f aca="false">IF($B1361="","",IF(COUNTIFS($B$3:$B1361,$B1361)&gt;1,"",$K1361+$L1361))</f>
        <v/>
      </c>
      <c r="N1361" s="14" t="str">
        <f aca="false">IF($B1361="","",COUNTIFS($B$3:$B1361,$B1361))</f>
        <v/>
      </c>
      <c r="O1361" s="14" t="str">
        <f aca="false">IF($B1361="","",$B1361&amp;"|"&amp;$N1361)</f>
        <v/>
      </c>
    </row>
    <row r="1362" customFormat="false" ht="15" hidden="false" customHeight="false" outlineLevel="0" collapsed="false">
      <c r="A1362" s="12"/>
      <c r="B1362" s="9"/>
      <c r="C1362" s="9"/>
      <c r="D1362" s="9"/>
      <c r="E1362" s="9"/>
      <c r="F1362" s="9"/>
      <c r="G1362" s="9"/>
      <c r="H1362" s="7"/>
      <c r="I1362" s="13" t="str">
        <f aca="false">IF(OR($G1362="",$H1362=""),"",ROUND($G1362*$H1362,0))</f>
        <v/>
      </c>
      <c r="J1362" s="8"/>
      <c r="K1362" s="13" t="str">
        <f aca="false">IF($B1362="","",SUMIFS($I$3:$I$2002,$B$3:$B$2002,$B1362))</f>
        <v/>
      </c>
      <c r="L1362" s="13" t="str">
        <f aca="false">IF($B1362="","",IF(COUNTIFS($B$3:$B1362,$B1362)&gt;1,0,IFERROR(LOOKUP($K1362,배송비규정!$A$3:$A$32,배송비규정!$B$3:$B$32),0)+IFERROR(INDEX(지역추가비!$B$3:$B$42,MATCH($J1362,지역추가비!$A$3:$A$42,0)),0)))</f>
        <v/>
      </c>
      <c r="M1362" s="13" t="str">
        <f aca="false">IF($B1362="","",IF(COUNTIFS($B$3:$B1362,$B1362)&gt;1,"",$K1362+$L1362))</f>
        <v/>
      </c>
      <c r="N1362" s="14" t="str">
        <f aca="false">IF($B1362="","",COUNTIFS($B$3:$B1362,$B1362))</f>
        <v/>
      </c>
      <c r="O1362" s="14" t="str">
        <f aca="false">IF($B1362="","",$B1362&amp;"|"&amp;$N1362)</f>
        <v/>
      </c>
    </row>
    <row r="1363" customFormat="false" ht="15" hidden="false" customHeight="false" outlineLevel="0" collapsed="false">
      <c r="A1363" s="12"/>
      <c r="B1363" s="9"/>
      <c r="C1363" s="9"/>
      <c r="D1363" s="9"/>
      <c r="E1363" s="9"/>
      <c r="F1363" s="9"/>
      <c r="G1363" s="9"/>
      <c r="H1363" s="7"/>
      <c r="I1363" s="13" t="str">
        <f aca="false">IF(OR($G1363="",$H1363=""),"",ROUND($G1363*$H1363,0))</f>
        <v/>
      </c>
      <c r="J1363" s="8"/>
      <c r="K1363" s="13" t="str">
        <f aca="false">IF($B1363="","",SUMIFS($I$3:$I$2002,$B$3:$B$2002,$B1363))</f>
        <v/>
      </c>
      <c r="L1363" s="13" t="str">
        <f aca="false">IF($B1363="","",IF(COUNTIFS($B$3:$B1363,$B1363)&gt;1,0,IFERROR(LOOKUP($K1363,배송비규정!$A$3:$A$32,배송비규정!$B$3:$B$32),0)+IFERROR(INDEX(지역추가비!$B$3:$B$42,MATCH($J1363,지역추가비!$A$3:$A$42,0)),0)))</f>
        <v/>
      </c>
      <c r="M1363" s="13" t="str">
        <f aca="false">IF($B1363="","",IF(COUNTIFS($B$3:$B1363,$B1363)&gt;1,"",$K1363+$L1363))</f>
        <v/>
      </c>
      <c r="N1363" s="14" t="str">
        <f aca="false">IF($B1363="","",COUNTIFS($B$3:$B1363,$B1363))</f>
        <v/>
      </c>
      <c r="O1363" s="14" t="str">
        <f aca="false">IF($B1363="","",$B1363&amp;"|"&amp;$N1363)</f>
        <v/>
      </c>
    </row>
    <row r="1364" customFormat="false" ht="15" hidden="false" customHeight="false" outlineLevel="0" collapsed="false">
      <c r="A1364" s="12"/>
      <c r="B1364" s="9"/>
      <c r="C1364" s="9"/>
      <c r="D1364" s="9"/>
      <c r="E1364" s="9"/>
      <c r="F1364" s="9"/>
      <c r="G1364" s="9"/>
      <c r="H1364" s="7"/>
      <c r="I1364" s="13" t="str">
        <f aca="false">IF(OR($G1364="",$H1364=""),"",ROUND($G1364*$H1364,0))</f>
        <v/>
      </c>
      <c r="J1364" s="8"/>
      <c r="K1364" s="13" t="str">
        <f aca="false">IF($B1364="","",SUMIFS($I$3:$I$2002,$B$3:$B$2002,$B1364))</f>
        <v/>
      </c>
      <c r="L1364" s="13" t="str">
        <f aca="false">IF($B1364="","",IF(COUNTIFS($B$3:$B1364,$B1364)&gt;1,0,IFERROR(LOOKUP($K1364,배송비규정!$A$3:$A$32,배송비규정!$B$3:$B$32),0)+IFERROR(INDEX(지역추가비!$B$3:$B$42,MATCH($J1364,지역추가비!$A$3:$A$42,0)),0)))</f>
        <v/>
      </c>
      <c r="M1364" s="13" t="str">
        <f aca="false">IF($B1364="","",IF(COUNTIFS($B$3:$B1364,$B1364)&gt;1,"",$K1364+$L1364))</f>
        <v/>
      </c>
      <c r="N1364" s="14" t="str">
        <f aca="false">IF($B1364="","",COUNTIFS($B$3:$B1364,$B1364))</f>
        <v/>
      </c>
      <c r="O1364" s="14" t="str">
        <f aca="false">IF($B1364="","",$B1364&amp;"|"&amp;$N1364)</f>
        <v/>
      </c>
    </row>
    <row r="1365" customFormat="false" ht="15" hidden="false" customHeight="false" outlineLevel="0" collapsed="false">
      <c r="A1365" s="12"/>
      <c r="B1365" s="9"/>
      <c r="C1365" s="9"/>
      <c r="D1365" s="9"/>
      <c r="E1365" s="9"/>
      <c r="F1365" s="9"/>
      <c r="G1365" s="9"/>
      <c r="H1365" s="7"/>
      <c r="I1365" s="13" t="str">
        <f aca="false">IF(OR($G1365="",$H1365=""),"",ROUND($G1365*$H1365,0))</f>
        <v/>
      </c>
      <c r="J1365" s="8"/>
      <c r="K1365" s="13" t="str">
        <f aca="false">IF($B1365="","",SUMIFS($I$3:$I$2002,$B$3:$B$2002,$B1365))</f>
        <v/>
      </c>
      <c r="L1365" s="13" t="str">
        <f aca="false">IF($B1365="","",IF(COUNTIFS($B$3:$B1365,$B1365)&gt;1,0,IFERROR(LOOKUP($K1365,배송비규정!$A$3:$A$32,배송비규정!$B$3:$B$32),0)+IFERROR(INDEX(지역추가비!$B$3:$B$42,MATCH($J1365,지역추가비!$A$3:$A$42,0)),0)))</f>
        <v/>
      </c>
      <c r="M1365" s="13" t="str">
        <f aca="false">IF($B1365="","",IF(COUNTIFS($B$3:$B1365,$B1365)&gt;1,"",$K1365+$L1365))</f>
        <v/>
      </c>
      <c r="N1365" s="14" t="str">
        <f aca="false">IF($B1365="","",COUNTIFS($B$3:$B1365,$B1365))</f>
        <v/>
      </c>
      <c r="O1365" s="14" t="str">
        <f aca="false">IF($B1365="","",$B1365&amp;"|"&amp;$N1365)</f>
        <v/>
      </c>
    </row>
    <row r="1366" customFormat="false" ht="15" hidden="false" customHeight="false" outlineLevel="0" collapsed="false">
      <c r="A1366" s="12"/>
      <c r="B1366" s="9"/>
      <c r="C1366" s="9"/>
      <c r="D1366" s="9"/>
      <c r="E1366" s="9"/>
      <c r="F1366" s="9"/>
      <c r="G1366" s="9"/>
      <c r="H1366" s="7"/>
      <c r="I1366" s="13" t="str">
        <f aca="false">IF(OR($G1366="",$H1366=""),"",ROUND($G1366*$H1366,0))</f>
        <v/>
      </c>
      <c r="J1366" s="8"/>
      <c r="K1366" s="13" t="str">
        <f aca="false">IF($B1366="","",SUMIFS($I$3:$I$2002,$B$3:$B$2002,$B1366))</f>
        <v/>
      </c>
      <c r="L1366" s="13" t="str">
        <f aca="false">IF($B1366="","",IF(COUNTIFS($B$3:$B1366,$B1366)&gt;1,0,IFERROR(LOOKUP($K1366,배송비규정!$A$3:$A$32,배송비규정!$B$3:$B$32),0)+IFERROR(INDEX(지역추가비!$B$3:$B$42,MATCH($J1366,지역추가비!$A$3:$A$42,0)),0)))</f>
        <v/>
      </c>
      <c r="M1366" s="13" t="str">
        <f aca="false">IF($B1366="","",IF(COUNTIFS($B$3:$B1366,$B1366)&gt;1,"",$K1366+$L1366))</f>
        <v/>
      </c>
      <c r="N1366" s="14" t="str">
        <f aca="false">IF($B1366="","",COUNTIFS($B$3:$B1366,$B1366))</f>
        <v/>
      </c>
      <c r="O1366" s="14" t="str">
        <f aca="false">IF($B1366="","",$B1366&amp;"|"&amp;$N1366)</f>
        <v/>
      </c>
    </row>
    <row r="1367" customFormat="false" ht="15" hidden="false" customHeight="false" outlineLevel="0" collapsed="false">
      <c r="A1367" s="12"/>
      <c r="B1367" s="9"/>
      <c r="C1367" s="9"/>
      <c r="D1367" s="9"/>
      <c r="E1367" s="9"/>
      <c r="F1367" s="9"/>
      <c r="G1367" s="9"/>
      <c r="H1367" s="7"/>
      <c r="I1367" s="13" t="str">
        <f aca="false">IF(OR($G1367="",$H1367=""),"",ROUND($G1367*$H1367,0))</f>
        <v/>
      </c>
      <c r="J1367" s="8"/>
      <c r="K1367" s="13" t="str">
        <f aca="false">IF($B1367="","",SUMIFS($I$3:$I$2002,$B$3:$B$2002,$B1367))</f>
        <v/>
      </c>
      <c r="L1367" s="13" t="str">
        <f aca="false">IF($B1367="","",IF(COUNTIFS($B$3:$B1367,$B1367)&gt;1,0,IFERROR(LOOKUP($K1367,배송비규정!$A$3:$A$32,배송비규정!$B$3:$B$32),0)+IFERROR(INDEX(지역추가비!$B$3:$B$42,MATCH($J1367,지역추가비!$A$3:$A$42,0)),0)))</f>
        <v/>
      </c>
      <c r="M1367" s="13" t="str">
        <f aca="false">IF($B1367="","",IF(COUNTIFS($B$3:$B1367,$B1367)&gt;1,"",$K1367+$L1367))</f>
        <v/>
      </c>
      <c r="N1367" s="14" t="str">
        <f aca="false">IF($B1367="","",COUNTIFS($B$3:$B1367,$B1367))</f>
        <v/>
      </c>
      <c r="O1367" s="14" t="str">
        <f aca="false">IF($B1367="","",$B1367&amp;"|"&amp;$N1367)</f>
        <v/>
      </c>
    </row>
    <row r="1368" customFormat="false" ht="15" hidden="false" customHeight="false" outlineLevel="0" collapsed="false">
      <c r="A1368" s="12"/>
      <c r="B1368" s="9"/>
      <c r="C1368" s="9"/>
      <c r="D1368" s="9"/>
      <c r="E1368" s="9"/>
      <c r="F1368" s="9"/>
      <c r="G1368" s="9"/>
      <c r="H1368" s="7"/>
      <c r="I1368" s="13" t="str">
        <f aca="false">IF(OR($G1368="",$H1368=""),"",ROUND($G1368*$H1368,0))</f>
        <v/>
      </c>
      <c r="J1368" s="8"/>
      <c r="K1368" s="13" t="str">
        <f aca="false">IF($B1368="","",SUMIFS($I$3:$I$2002,$B$3:$B$2002,$B1368))</f>
        <v/>
      </c>
      <c r="L1368" s="13" t="str">
        <f aca="false">IF($B1368="","",IF(COUNTIFS($B$3:$B1368,$B1368)&gt;1,0,IFERROR(LOOKUP($K1368,배송비규정!$A$3:$A$32,배송비규정!$B$3:$B$32),0)+IFERROR(INDEX(지역추가비!$B$3:$B$42,MATCH($J1368,지역추가비!$A$3:$A$42,0)),0)))</f>
        <v/>
      </c>
      <c r="M1368" s="13" t="str">
        <f aca="false">IF($B1368="","",IF(COUNTIFS($B$3:$B1368,$B1368)&gt;1,"",$K1368+$L1368))</f>
        <v/>
      </c>
      <c r="N1368" s="14" t="str">
        <f aca="false">IF($B1368="","",COUNTIFS($B$3:$B1368,$B1368))</f>
        <v/>
      </c>
      <c r="O1368" s="14" t="str">
        <f aca="false">IF($B1368="","",$B1368&amp;"|"&amp;$N1368)</f>
        <v/>
      </c>
    </row>
    <row r="1369" customFormat="false" ht="15" hidden="false" customHeight="false" outlineLevel="0" collapsed="false">
      <c r="A1369" s="12"/>
      <c r="B1369" s="9"/>
      <c r="C1369" s="9"/>
      <c r="D1369" s="9"/>
      <c r="E1369" s="9"/>
      <c r="F1369" s="9"/>
      <c r="G1369" s="9"/>
      <c r="H1369" s="7"/>
      <c r="I1369" s="13" t="str">
        <f aca="false">IF(OR($G1369="",$H1369=""),"",ROUND($G1369*$H1369,0))</f>
        <v/>
      </c>
      <c r="J1369" s="8"/>
      <c r="K1369" s="13" t="str">
        <f aca="false">IF($B1369="","",SUMIFS($I$3:$I$2002,$B$3:$B$2002,$B1369))</f>
        <v/>
      </c>
      <c r="L1369" s="13" t="str">
        <f aca="false">IF($B1369="","",IF(COUNTIFS($B$3:$B1369,$B1369)&gt;1,0,IFERROR(LOOKUP($K1369,배송비규정!$A$3:$A$32,배송비규정!$B$3:$B$32),0)+IFERROR(INDEX(지역추가비!$B$3:$B$42,MATCH($J1369,지역추가비!$A$3:$A$42,0)),0)))</f>
        <v/>
      </c>
      <c r="M1369" s="13" t="str">
        <f aca="false">IF($B1369="","",IF(COUNTIFS($B$3:$B1369,$B1369)&gt;1,"",$K1369+$L1369))</f>
        <v/>
      </c>
      <c r="N1369" s="14" t="str">
        <f aca="false">IF($B1369="","",COUNTIFS($B$3:$B1369,$B1369))</f>
        <v/>
      </c>
      <c r="O1369" s="14" t="str">
        <f aca="false">IF($B1369="","",$B1369&amp;"|"&amp;$N1369)</f>
        <v/>
      </c>
    </row>
    <row r="1370" customFormat="false" ht="15" hidden="false" customHeight="false" outlineLevel="0" collapsed="false">
      <c r="A1370" s="12"/>
      <c r="B1370" s="9"/>
      <c r="C1370" s="9"/>
      <c r="D1370" s="9"/>
      <c r="E1370" s="9"/>
      <c r="F1370" s="9"/>
      <c r="G1370" s="9"/>
      <c r="H1370" s="7"/>
      <c r="I1370" s="13" t="str">
        <f aca="false">IF(OR($G1370="",$H1370=""),"",ROUND($G1370*$H1370,0))</f>
        <v/>
      </c>
      <c r="J1370" s="8"/>
      <c r="K1370" s="13" t="str">
        <f aca="false">IF($B1370="","",SUMIFS($I$3:$I$2002,$B$3:$B$2002,$B1370))</f>
        <v/>
      </c>
      <c r="L1370" s="13" t="str">
        <f aca="false">IF($B1370="","",IF(COUNTIFS($B$3:$B1370,$B1370)&gt;1,0,IFERROR(LOOKUP($K1370,배송비규정!$A$3:$A$32,배송비규정!$B$3:$B$32),0)+IFERROR(INDEX(지역추가비!$B$3:$B$42,MATCH($J1370,지역추가비!$A$3:$A$42,0)),0)))</f>
        <v/>
      </c>
      <c r="M1370" s="13" t="str">
        <f aca="false">IF($B1370="","",IF(COUNTIFS($B$3:$B1370,$B1370)&gt;1,"",$K1370+$L1370))</f>
        <v/>
      </c>
      <c r="N1370" s="14" t="str">
        <f aca="false">IF($B1370="","",COUNTIFS($B$3:$B1370,$B1370))</f>
        <v/>
      </c>
      <c r="O1370" s="14" t="str">
        <f aca="false">IF($B1370="","",$B1370&amp;"|"&amp;$N1370)</f>
        <v/>
      </c>
    </row>
    <row r="1371" customFormat="false" ht="15" hidden="false" customHeight="false" outlineLevel="0" collapsed="false">
      <c r="A1371" s="12"/>
      <c r="B1371" s="9"/>
      <c r="C1371" s="9"/>
      <c r="D1371" s="9"/>
      <c r="E1371" s="9"/>
      <c r="F1371" s="9"/>
      <c r="G1371" s="9"/>
      <c r="H1371" s="7"/>
      <c r="I1371" s="13" t="str">
        <f aca="false">IF(OR($G1371="",$H1371=""),"",ROUND($G1371*$H1371,0))</f>
        <v/>
      </c>
      <c r="J1371" s="8"/>
      <c r="K1371" s="13" t="str">
        <f aca="false">IF($B1371="","",SUMIFS($I$3:$I$2002,$B$3:$B$2002,$B1371))</f>
        <v/>
      </c>
      <c r="L1371" s="13" t="str">
        <f aca="false">IF($B1371="","",IF(COUNTIFS($B$3:$B1371,$B1371)&gt;1,0,IFERROR(LOOKUP($K1371,배송비규정!$A$3:$A$32,배송비규정!$B$3:$B$32),0)+IFERROR(INDEX(지역추가비!$B$3:$B$42,MATCH($J1371,지역추가비!$A$3:$A$42,0)),0)))</f>
        <v/>
      </c>
      <c r="M1371" s="13" t="str">
        <f aca="false">IF($B1371="","",IF(COUNTIFS($B$3:$B1371,$B1371)&gt;1,"",$K1371+$L1371))</f>
        <v/>
      </c>
      <c r="N1371" s="14" t="str">
        <f aca="false">IF($B1371="","",COUNTIFS($B$3:$B1371,$B1371))</f>
        <v/>
      </c>
      <c r="O1371" s="14" t="str">
        <f aca="false">IF($B1371="","",$B1371&amp;"|"&amp;$N1371)</f>
        <v/>
      </c>
    </row>
    <row r="1372" customFormat="false" ht="15" hidden="false" customHeight="false" outlineLevel="0" collapsed="false">
      <c r="A1372" s="12"/>
      <c r="B1372" s="9"/>
      <c r="C1372" s="9"/>
      <c r="D1372" s="9"/>
      <c r="E1372" s="9"/>
      <c r="F1372" s="9"/>
      <c r="G1372" s="9"/>
      <c r="H1372" s="7"/>
      <c r="I1372" s="13" t="str">
        <f aca="false">IF(OR($G1372="",$H1372=""),"",ROUND($G1372*$H1372,0))</f>
        <v/>
      </c>
      <c r="J1372" s="8"/>
      <c r="K1372" s="13" t="str">
        <f aca="false">IF($B1372="","",SUMIFS($I$3:$I$2002,$B$3:$B$2002,$B1372))</f>
        <v/>
      </c>
      <c r="L1372" s="13" t="str">
        <f aca="false">IF($B1372="","",IF(COUNTIFS($B$3:$B1372,$B1372)&gt;1,0,IFERROR(LOOKUP($K1372,배송비규정!$A$3:$A$32,배송비규정!$B$3:$B$32),0)+IFERROR(INDEX(지역추가비!$B$3:$B$42,MATCH($J1372,지역추가비!$A$3:$A$42,0)),0)))</f>
        <v/>
      </c>
      <c r="M1372" s="13" t="str">
        <f aca="false">IF($B1372="","",IF(COUNTIFS($B$3:$B1372,$B1372)&gt;1,"",$K1372+$L1372))</f>
        <v/>
      </c>
      <c r="N1372" s="14" t="str">
        <f aca="false">IF($B1372="","",COUNTIFS($B$3:$B1372,$B1372))</f>
        <v/>
      </c>
      <c r="O1372" s="14" t="str">
        <f aca="false">IF($B1372="","",$B1372&amp;"|"&amp;$N1372)</f>
        <v/>
      </c>
    </row>
    <row r="1373" customFormat="false" ht="15" hidden="false" customHeight="false" outlineLevel="0" collapsed="false">
      <c r="A1373" s="12"/>
      <c r="B1373" s="9"/>
      <c r="C1373" s="9"/>
      <c r="D1373" s="9"/>
      <c r="E1373" s="9"/>
      <c r="F1373" s="9"/>
      <c r="G1373" s="9"/>
      <c r="H1373" s="7"/>
      <c r="I1373" s="13" t="str">
        <f aca="false">IF(OR($G1373="",$H1373=""),"",ROUND($G1373*$H1373,0))</f>
        <v/>
      </c>
      <c r="J1373" s="8"/>
      <c r="K1373" s="13" t="str">
        <f aca="false">IF($B1373="","",SUMIFS($I$3:$I$2002,$B$3:$B$2002,$B1373))</f>
        <v/>
      </c>
      <c r="L1373" s="13" t="str">
        <f aca="false">IF($B1373="","",IF(COUNTIFS($B$3:$B1373,$B1373)&gt;1,0,IFERROR(LOOKUP($K1373,배송비규정!$A$3:$A$32,배송비규정!$B$3:$B$32),0)+IFERROR(INDEX(지역추가비!$B$3:$B$42,MATCH($J1373,지역추가비!$A$3:$A$42,0)),0)))</f>
        <v/>
      </c>
      <c r="M1373" s="13" t="str">
        <f aca="false">IF($B1373="","",IF(COUNTIFS($B$3:$B1373,$B1373)&gt;1,"",$K1373+$L1373))</f>
        <v/>
      </c>
      <c r="N1373" s="14" t="str">
        <f aca="false">IF($B1373="","",COUNTIFS($B$3:$B1373,$B1373))</f>
        <v/>
      </c>
      <c r="O1373" s="14" t="str">
        <f aca="false">IF($B1373="","",$B1373&amp;"|"&amp;$N1373)</f>
        <v/>
      </c>
    </row>
    <row r="1374" customFormat="false" ht="15" hidden="false" customHeight="false" outlineLevel="0" collapsed="false">
      <c r="A1374" s="12"/>
      <c r="B1374" s="9"/>
      <c r="C1374" s="9"/>
      <c r="D1374" s="9"/>
      <c r="E1374" s="9"/>
      <c r="F1374" s="9"/>
      <c r="G1374" s="9"/>
      <c r="H1374" s="7"/>
      <c r="I1374" s="13" t="str">
        <f aca="false">IF(OR($G1374="",$H1374=""),"",ROUND($G1374*$H1374,0))</f>
        <v/>
      </c>
      <c r="J1374" s="8"/>
      <c r="K1374" s="13" t="str">
        <f aca="false">IF($B1374="","",SUMIFS($I$3:$I$2002,$B$3:$B$2002,$B1374))</f>
        <v/>
      </c>
      <c r="L1374" s="13" t="str">
        <f aca="false">IF($B1374="","",IF(COUNTIFS($B$3:$B1374,$B1374)&gt;1,0,IFERROR(LOOKUP($K1374,배송비규정!$A$3:$A$32,배송비규정!$B$3:$B$32),0)+IFERROR(INDEX(지역추가비!$B$3:$B$42,MATCH($J1374,지역추가비!$A$3:$A$42,0)),0)))</f>
        <v/>
      </c>
      <c r="M1374" s="13" t="str">
        <f aca="false">IF($B1374="","",IF(COUNTIFS($B$3:$B1374,$B1374)&gt;1,"",$K1374+$L1374))</f>
        <v/>
      </c>
      <c r="N1374" s="14" t="str">
        <f aca="false">IF($B1374="","",COUNTIFS($B$3:$B1374,$B1374))</f>
        <v/>
      </c>
      <c r="O1374" s="14" t="str">
        <f aca="false">IF($B1374="","",$B1374&amp;"|"&amp;$N1374)</f>
        <v/>
      </c>
    </row>
    <row r="1375" customFormat="false" ht="15" hidden="false" customHeight="false" outlineLevel="0" collapsed="false">
      <c r="A1375" s="12"/>
      <c r="B1375" s="9"/>
      <c r="C1375" s="9"/>
      <c r="D1375" s="9"/>
      <c r="E1375" s="9"/>
      <c r="F1375" s="9"/>
      <c r="G1375" s="9"/>
      <c r="H1375" s="7"/>
      <c r="I1375" s="13" t="str">
        <f aca="false">IF(OR($G1375="",$H1375=""),"",ROUND($G1375*$H1375,0))</f>
        <v/>
      </c>
      <c r="J1375" s="8"/>
      <c r="K1375" s="13" t="str">
        <f aca="false">IF($B1375="","",SUMIFS($I$3:$I$2002,$B$3:$B$2002,$B1375))</f>
        <v/>
      </c>
      <c r="L1375" s="13" t="str">
        <f aca="false">IF($B1375="","",IF(COUNTIFS($B$3:$B1375,$B1375)&gt;1,0,IFERROR(LOOKUP($K1375,배송비규정!$A$3:$A$32,배송비규정!$B$3:$B$32),0)+IFERROR(INDEX(지역추가비!$B$3:$B$42,MATCH($J1375,지역추가비!$A$3:$A$42,0)),0)))</f>
        <v/>
      </c>
      <c r="M1375" s="13" t="str">
        <f aca="false">IF($B1375="","",IF(COUNTIFS($B$3:$B1375,$B1375)&gt;1,"",$K1375+$L1375))</f>
        <v/>
      </c>
      <c r="N1375" s="14" t="str">
        <f aca="false">IF($B1375="","",COUNTIFS($B$3:$B1375,$B1375))</f>
        <v/>
      </c>
      <c r="O1375" s="14" t="str">
        <f aca="false">IF($B1375="","",$B1375&amp;"|"&amp;$N1375)</f>
        <v/>
      </c>
    </row>
    <row r="1376" customFormat="false" ht="15" hidden="false" customHeight="false" outlineLevel="0" collapsed="false">
      <c r="A1376" s="12"/>
      <c r="B1376" s="9"/>
      <c r="C1376" s="9"/>
      <c r="D1376" s="9"/>
      <c r="E1376" s="9"/>
      <c r="F1376" s="9"/>
      <c r="G1376" s="9"/>
      <c r="H1376" s="7"/>
      <c r="I1376" s="13" t="str">
        <f aca="false">IF(OR($G1376="",$H1376=""),"",ROUND($G1376*$H1376,0))</f>
        <v/>
      </c>
      <c r="J1376" s="8"/>
      <c r="K1376" s="13" t="str">
        <f aca="false">IF($B1376="","",SUMIFS($I$3:$I$2002,$B$3:$B$2002,$B1376))</f>
        <v/>
      </c>
      <c r="L1376" s="13" t="str">
        <f aca="false">IF($B1376="","",IF(COUNTIFS($B$3:$B1376,$B1376)&gt;1,0,IFERROR(LOOKUP($K1376,배송비규정!$A$3:$A$32,배송비규정!$B$3:$B$32),0)+IFERROR(INDEX(지역추가비!$B$3:$B$42,MATCH($J1376,지역추가비!$A$3:$A$42,0)),0)))</f>
        <v/>
      </c>
      <c r="M1376" s="13" t="str">
        <f aca="false">IF($B1376="","",IF(COUNTIFS($B$3:$B1376,$B1376)&gt;1,"",$K1376+$L1376))</f>
        <v/>
      </c>
      <c r="N1376" s="14" t="str">
        <f aca="false">IF($B1376="","",COUNTIFS($B$3:$B1376,$B1376))</f>
        <v/>
      </c>
      <c r="O1376" s="14" t="str">
        <f aca="false">IF($B1376="","",$B1376&amp;"|"&amp;$N1376)</f>
        <v/>
      </c>
    </row>
    <row r="1377" customFormat="false" ht="15" hidden="false" customHeight="false" outlineLevel="0" collapsed="false">
      <c r="A1377" s="12"/>
      <c r="B1377" s="9"/>
      <c r="C1377" s="9"/>
      <c r="D1377" s="9"/>
      <c r="E1377" s="9"/>
      <c r="F1377" s="9"/>
      <c r="G1377" s="9"/>
      <c r="H1377" s="7"/>
      <c r="I1377" s="13" t="str">
        <f aca="false">IF(OR($G1377="",$H1377=""),"",ROUND($G1377*$H1377,0))</f>
        <v/>
      </c>
      <c r="J1377" s="8"/>
      <c r="K1377" s="13" t="str">
        <f aca="false">IF($B1377="","",SUMIFS($I$3:$I$2002,$B$3:$B$2002,$B1377))</f>
        <v/>
      </c>
      <c r="L1377" s="13" t="str">
        <f aca="false">IF($B1377="","",IF(COUNTIFS($B$3:$B1377,$B1377)&gt;1,0,IFERROR(LOOKUP($K1377,배송비규정!$A$3:$A$32,배송비규정!$B$3:$B$32),0)+IFERROR(INDEX(지역추가비!$B$3:$B$42,MATCH($J1377,지역추가비!$A$3:$A$42,0)),0)))</f>
        <v/>
      </c>
      <c r="M1377" s="13" t="str">
        <f aca="false">IF($B1377="","",IF(COUNTIFS($B$3:$B1377,$B1377)&gt;1,"",$K1377+$L1377))</f>
        <v/>
      </c>
      <c r="N1377" s="14" t="str">
        <f aca="false">IF($B1377="","",COUNTIFS($B$3:$B1377,$B1377))</f>
        <v/>
      </c>
      <c r="O1377" s="14" t="str">
        <f aca="false">IF($B1377="","",$B1377&amp;"|"&amp;$N1377)</f>
        <v/>
      </c>
    </row>
    <row r="1378" customFormat="false" ht="15" hidden="false" customHeight="false" outlineLevel="0" collapsed="false">
      <c r="A1378" s="12"/>
      <c r="B1378" s="9"/>
      <c r="C1378" s="9"/>
      <c r="D1378" s="9"/>
      <c r="E1378" s="9"/>
      <c r="F1378" s="9"/>
      <c r="G1378" s="9"/>
      <c r="H1378" s="7"/>
      <c r="I1378" s="13" t="str">
        <f aca="false">IF(OR($G1378="",$H1378=""),"",ROUND($G1378*$H1378,0))</f>
        <v/>
      </c>
      <c r="J1378" s="8"/>
      <c r="K1378" s="13" t="str">
        <f aca="false">IF($B1378="","",SUMIFS($I$3:$I$2002,$B$3:$B$2002,$B1378))</f>
        <v/>
      </c>
      <c r="L1378" s="13" t="str">
        <f aca="false">IF($B1378="","",IF(COUNTIFS($B$3:$B1378,$B1378)&gt;1,0,IFERROR(LOOKUP($K1378,배송비규정!$A$3:$A$32,배송비규정!$B$3:$B$32),0)+IFERROR(INDEX(지역추가비!$B$3:$B$42,MATCH($J1378,지역추가비!$A$3:$A$42,0)),0)))</f>
        <v/>
      </c>
      <c r="M1378" s="13" t="str">
        <f aca="false">IF($B1378="","",IF(COUNTIFS($B$3:$B1378,$B1378)&gt;1,"",$K1378+$L1378))</f>
        <v/>
      </c>
      <c r="N1378" s="14" t="str">
        <f aca="false">IF($B1378="","",COUNTIFS($B$3:$B1378,$B1378))</f>
        <v/>
      </c>
      <c r="O1378" s="14" t="str">
        <f aca="false">IF($B1378="","",$B1378&amp;"|"&amp;$N1378)</f>
        <v/>
      </c>
    </row>
    <row r="1379" customFormat="false" ht="15" hidden="false" customHeight="false" outlineLevel="0" collapsed="false">
      <c r="A1379" s="12"/>
      <c r="B1379" s="9"/>
      <c r="C1379" s="9"/>
      <c r="D1379" s="9"/>
      <c r="E1379" s="9"/>
      <c r="F1379" s="9"/>
      <c r="G1379" s="9"/>
      <c r="H1379" s="7"/>
      <c r="I1379" s="13" t="str">
        <f aca="false">IF(OR($G1379="",$H1379=""),"",ROUND($G1379*$H1379,0))</f>
        <v/>
      </c>
      <c r="J1379" s="8"/>
      <c r="K1379" s="13" t="str">
        <f aca="false">IF($B1379="","",SUMIFS($I$3:$I$2002,$B$3:$B$2002,$B1379))</f>
        <v/>
      </c>
      <c r="L1379" s="13" t="str">
        <f aca="false">IF($B1379="","",IF(COUNTIFS($B$3:$B1379,$B1379)&gt;1,0,IFERROR(LOOKUP($K1379,배송비규정!$A$3:$A$32,배송비규정!$B$3:$B$32),0)+IFERROR(INDEX(지역추가비!$B$3:$B$42,MATCH($J1379,지역추가비!$A$3:$A$42,0)),0)))</f>
        <v/>
      </c>
      <c r="M1379" s="13" t="str">
        <f aca="false">IF($B1379="","",IF(COUNTIFS($B$3:$B1379,$B1379)&gt;1,"",$K1379+$L1379))</f>
        <v/>
      </c>
      <c r="N1379" s="14" t="str">
        <f aca="false">IF($B1379="","",COUNTIFS($B$3:$B1379,$B1379))</f>
        <v/>
      </c>
      <c r="O1379" s="14" t="str">
        <f aca="false">IF($B1379="","",$B1379&amp;"|"&amp;$N1379)</f>
        <v/>
      </c>
    </row>
    <row r="1380" customFormat="false" ht="15" hidden="false" customHeight="false" outlineLevel="0" collapsed="false">
      <c r="A1380" s="12"/>
      <c r="B1380" s="9"/>
      <c r="C1380" s="9"/>
      <c r="D1380" s="9"/>
      <c r="E1380" s="9"/>
      <c r="F1380" s="9"/>
      <c r="G1380" s="9"/>
      <c r="H1380" s="7"/>
      <c r="I1380" s="13" t="str">
        <f aca="false">IF(OR($G1380="",$H1380=""),"",ROUND($G1380*$H1380,0))</f>
        <v/>
      </c>
      <c r="J1380" s="8"/>
      <c r="K1380" s="13" t="str">
        <f aca="false">IF($B1380="","",SUMIFS($I$3:$I$2002,$B$3:$B$2002,$B1380))</f>
        <v/>
      </c>
      <c r="L1380" s="13" t="str">
        <f aca="false">IF($B1380="","",IF(COUNTIFS($B$3:$B1380,$B1380)&gt;1,0,IFERROR(LOOKUP($K1380,배송비규정!$A$3:$A$32,배송비규정!$B$3:$B$32),0)+IFERROR(INDEX(지역추가비!$B$3:$B$42,MATCH($J1380,지역추가비!$A$3:$A$42,0)),0)))</f>
        <v/>
      </c>
      <c r="M1380" s="13" t="str">
        <f aca="false">IF($B1380="","",IF(COUNTIFS($B$3:$B1380,$B1380)&gt;1,"",$K1380+$L1380))</f>
        <v/>
      </c>
      <c r="N1380" s="14" t="str">
        <f aca="false">IF($B1380="","",COUNTIFS($B$3:$B1380,$B1380))</f>
        <v/>
      </c>
      <c r="O1380" s="14" t="str">
        <f aca="false">IF($B1380="","",$B1380&amp;"|"&amp;$N1380)</f>
        <v/>
      </c>
    </row>
    <row r="1381" customFormat="false" ht="15" hidden="false" customHeight="false" outlineLevel="0" collapsed="false">
      <c r="A1381" s="12"/>
      <c r="B1381" s="9"/>
      <c r="C1381" s="9"/>
      <c r="D1381" s="9"/>
      <c r="E1381" s="9"/>
      <c r="F1381" s="9"/>
      <c r="G1381" s="9"/>
      <c r="H1381" s="7"/>
      <c r="I1381" s="13" t="str">
        <f aca="false">IF(OR($G1381="",$H1381=""),"",ROUND($G1381*$H1381,0))</f>
        <v/>
      </c>
      <c r="J1381" s="8"/>
      <c r="K1381" s="13" t="str">
        <f aca="false">IF($B1381="","",SUMIFS($I$3:$I$2002,$B$3:$B$2002,$B1381))</f>
        <v/>
      </c>
      <c r="L1381" s="13" t="str">
        <f aca="false">IF($B1381="","",IF(COUNTIFS($B$3:$B1381,$B1381)&gt;1,0,IFERROR(LOOKUP($K1381,배송비규정!$A$3:$A$32,배송비규정!$B$3:$B$32),0)+IFERROR(INDEX(지역추가비!$B$3:$B$42,MATCH($J1381,지역추가비!$A$3:$A$42,0)),0)))</f>
        <v/>
      </c>
      <c r="M1381" s="13" t="str">
        <f aca="false">IF($B1381="","",IF(COUNTIFS($B$3:$B1381,$B1381)&gt;1,"",$K1381+$L1381))</f>
        <v/>
      </c>
      <c r="N1381" s="14" t="str">
        <f aca="false">IF($B1381="","",COUNTIFS($B$3:$B1381,$B1381))</f>
        <v/>
      </c>
      <c r="O1381" s="14" t="str">
        <f aca="false">IF($B1381="","",$B1381&amp;"|"&amp;$N1381)</f>
        <v/>
      </c>
    </row>
    <row r="1382" customFormat="false" ht="15" hidden="false" customHeight="false" outlineLevel="0" collapsed="false">
      <c r="A1382" s="12"/>
      <c r="B1382" s="9"/>
      <c r="C1382" s="9"/>
      <c r="D1382" s="9"/>
      <c r="E1382" s="9"/>
      <c r="F1382" s="9"/>
      <c r="G1382" s="9"/>
      <c r="H1382" s="7"/>
      <c r="I1382" s="13" t="str">
        <f aca="false">IF(OR($G1382="",$H1382=""),"",ROUND($G1382*$H1382,0))</f>
        <v/>
      </c>
      <c r="J1382" s="8"/>
      <c r="K1382" s="13" t="str">
        <f aca="false">IF($B1382="","",SUMIFS($I$3:$I$2002,$B$3:$B$2002,$B1382))</f>
        <v/>
      </c>
      <c r="L1382" s="13" t="str">
        <f aca="false">IF($B1382="","",IF(COUNTIFS($B$3:$B1382,$B1382)&gt;1,0,IFERROR(LOOKUP($K1382,배송비규정!$A$3:$A$32,배송비규정!$B$3:$B$32),0)+IFERROR(INDEX(지역추가비!$B$3:$B$42,MATCH($J1382,지역추가비!$A$3:$A$42,0)),0)))</f>
        <v/>
      </c>
      <c r="M1382" s="13" t="str">
        <f aca="false">IF($B1382="","",IF(COUNTIFS($B$3:$B1382,$B1382)&gt;1,"",$K1382+$L1382))</f>
        <v/>
      </c>
      <c r="N1382" s="14" t="str">
        <f aca="false">IF($B1382="","",COUNTIFS($B$3:$B1382,$B1382))</f>
        <v/>
      </c>
      <c r="O1382" s="14" t="str">
        <f aca="false">IF($B1382="","",$B1382&amp;"|"&amp;$N1382)</f>
        <v/>
      </c>
    </row>
    <row r="1383" customFormat="false" ht="15" hidden="false" customHeight="false" outlineLevel="0" collapsed="false">
      <c r="A1383" s="12"/>
      <c r="B1383" s="9"/>
      <c r="C1383" s="9"/>
      <c r="D1383" s="9"/>
      <c r="E1383" s="9"/>
      <c r="F1383" s="9"/>
      <c r="G1383" s="9"/>
      <c r="H1383" s="7"/>
      <c r="I1383" s="13" t="str">
        <f aca="false">IF(OR($G1383="",$H1383=""),"",ROUND($G1383*$H1383,0))</f>
        <v/>
      </c>
      <c r="J1383" s="8"/>
      <c r="K1383" s="13" t="str">
        <f aca="false">IF($B1383="","",SUMIFS($I$3:$I$2002,$B$3:$B$2002,$B1383))</f>
        <v/>
      </c>
      <c r="L1383" s="13" t="str">
        <f aca="false">IF($B1383="","",IF(COUNTIFS($B$3:$B1383,$B1383)&gt;1,0,IFERROR(LOOKUP($K1383,배송비규정!$A$3:$A$32,배송비규정!$B$3:$B$32),0)+IFERROR(INDEX(지역추가비!$B$3:$B$42,MATCH($J1383,지역추가비!$A$3:$A$42,0)),0)))</f>
        <v/>
      </c>
      <c r="M1383" s="13" t="str">
        <f aca="false">IF($B1383="","",IF(COUNTIFS($B$3:$B1383,$B1383)&gt;1,"",$K1383+$L1383))</f>
        <v/>
      </c>
      <c r="N1383" s="14" t="str">
        <f aca="false">IF($B1383="","",COUNTIFS($B$3:$B1383,$B1383))</f>
        <v/>
      </c>
      <c r="O1383" s="14" t="str">
        <f aca="false">IF($B1383="","",$B1383&amp;"|"&amp;$N1383)</f>
        <v/>
      </c>
    </row>
    <row r="1384" customFormat="false" ht="15" hidden="false" customHeight="false" outlineLevel="0" collapsed="false">
      <c r="A1384" s="12"/>
      <c r="B1384" s="9"/>
      <c r="C1384" s="9"/>
      <c r="D1384" s="9"/>
      <c r="E1384" s="9"/>
      <c r="F1384" s="9"/>
      <c r="G1384" s="9"/>
      <c r="H1384" s="7"/>
      <c r="I1384" s="13" t="str">
        <f aca="false">IF(OR($G1384="",$H1384=""),"",ROUND($G1384*$H1384,0))</f>
        <v/>
      </c>
      <c r="J1384" s="8"/>
      <c r="K1384" s="13" t="str">
        <f aca="false">IF($B1384="","",SUMIFS($I$3:$I$2002,$B$3:$B$2002,$B1384))</f>
        <v/>
      </c>
      <c r="L1384" s="13" t="str">
        <f aca="false">IF($B1384="","",IF(COUNTIFS($B$3:$B1384,$B1384)&gt;1,0,IFERROR(LOOKUP($K1384,배송비규정!$A$3:$A$32,배송비규정!$B$3:$B$32),0)+IFERROR(INDEX(지역추가비!$B$3:$B$42,MATCH($J1384,지역추가비!$A$3:$A$42,0)),0)))</f>
        <v/>
      </c>
      <c r="M1384" s="13" t="str">
        <f aca="false">IF($B1384="","",IF(COUNTIFS($B$3:$B1384,$B1384)&gt;1,"",$K1384+$L1384))</f>
        <v/>
      </c>
      <c r="N1384" s="14" t="str">
        <f aca="false">IF($B1384="","",COUNTIFS($B$3:$B1384,$B1384))</f>
        <v/>
      </c>
      <c r="O1384" s="14" t="str">
        <f aca="false">IF($B1384="","",$B1384&amp;"|"&amp;$N1384)</f>
        <v/>
      </c>
    </row>
    <row r="1385" customFormat="false" ht="15" hidden="false" customHeight="false" outlineLevel="0" collapsed="false">
      <c r="A1385" s="12"/>
      <c r="B1385" s="9"/>
      <c r="C1385" s="9"/>
      <c r="D1385" s="9"/>
      <c r="E1385" s="9"/>
      <c r="F1385" s="9"/>
      <c r="G1385" s="9"/>
      <c r="H1385" s="7"/>
      <c r="I1385" s="13" t="str">
        <f aca="false">IF(OR($G1385="",$H1385=""),"",ROUND($G1385*$H1385,0))</f>
        <v/>
      </c>
      <c r="J1385" s="8"/>
      <c r="K1385" s="13" t="str">
        <f aca="false">IF($B1385="","",SUMIFS($I$3:$I$2002,$B$3:$B$2002,$B1385))</f>
        <v/>
      </c>
      <c r="L1385" s="13" t="str">
        <f aca="false">IF($B1385="","",IF(COUNTIFS($B$3:$B1385,$B1385)&gt;1,0,IFERROR(LOOKUP($K1385,배송비규정!$A$3:$A$32,배송비규정!$B$3:$B$32),0)+IFERROR(INDEX(지역추가비!$B$3:$B$42,MATCH($J1385,지역추가비!$A$3:$A$42,0)),0)))</f>
        <v/>
      </c>
      <c r="M1385" s="13" t="str">
        <f aca="false">IF($B1385="","",IF(COUNTIFS($B$3:$B1385,$B1385)&gt;1,"",$K1385+$L1385))</f>
        <v/>
      </c>
      <c r="N1385" s="14" t="str">
        <f aca="false">IF($B1385="","",COUNTIFS($B$3:$B1385,$B1385))</f>
        <v/>
      </c>
      <c r="O1385" s="14" t="str">
        <f aca="false">IF($B1385="","",$B1385&amp;"|"&amp;$N1385)</f>
        <v/>
      </c>
    </row>
    <row r="1386" customFormat="false" ht="15" hidden="false" customHeight="false" outlineLevel="0" collapsed="false">
      <c r="A1386" s="12"/>
      <c r="B1386" s="9"/>
      <c r="C1386" s="9"/>
      <c r="D1386" s="9"/>
      <c r="E1386" s="9"/>
      <c r="F1386" s="9"/>
      <c r="G1386" s="9"/>
      <c r="H1386" s="7"/>
      <c r="I1386" s="13" t="str">
        <f aca="false">IF(OR($G1386="",$H1386=""),"",ROUND($G1386*$H1386,0))</f>
        <v/>
      </c>
      <c r="J1386" s="8"/>
      <c r="K1386" s="13" t="str">
        <f aca="false">IF($B1386="","",SUMIFS($I$3:$I$2002,$B$3:$B$2002,$B1386))</f>
        <v/>
      </c>
      <c r="L1386" s="13" t="str">
        <f aca="false">IF($B1386="","",IF(COUNTIFS($B$3:$B1386,$B1386)&gt;1,0,IFERROR(LOOKUP($K1386,배송비규정!$A$3:$A$32,배송비규정!$B$3:$B$32),0)+IFERROR(INDEX(지역추가비!$B$3:$B$42,MATCH($J1386,지역추가비!$A$3:$A$42,0)),0)))</f>
        <v/>
      </c>
      <c r="M1386" s="13" t="str">
        <f aca="false">IF($B1386="","",IF(COUNTIFS($B$3:$B1386,$B1386)&gt;1,"",$K1386+$L1386))</f>
        <v/>
      </c>
      <c r="N1386" s="14" t="str">
        <f aca="false">IF($B1386="","",COUNTIFS($B$3:$B1386,$B1386))</f>
        <v/>
      </c>
      <c r="O1386" s="14" t="str">
        <f aca="false">IF($B1386="","",$B1386&amp;"|"&amp;$N1386)</f>
        <v/>
      </c>
    </row>
    <row r="1387" customFormat="false" ht="15" hidden="false" customHeight="false" outlineLevel="0" collapsed="false">
      <c r="A1387" s="12"/>
      <c r="B1387" s="9"/>
      <c r="C1387" s="9"/>
      <c r="D1387" s="9"/>
      <c r="E1387" s="9"/>
      <c r="F1387" s="9"/>
      <c r="G1387" s="9"/>
      <c r="H1387" s="7"/>
      <c r="I1387" s="13" t="str">
        <f aca="false">IF(OR($G1387="",$H1387=""),"",ROUND($G1387*$H1387,0))</f>
        <v/>
      </c>
      <c r="J1387" s="8"/>
      <c r="K1387" s="13" t="str">
        <f aca="false">IF($B1387="","",SUMIFS($I$3:$I$2002,$B$3:$B$2002,$B1387))</f>
        <v/>
      </c>
      <c r="L1387" s="13" t="str">
        <f aca="false">IF($B1387="","",IF(COUNTIFS($B$3:$B1387,$B1387)&gt;1,0,IFERROR(LOOKUP($K1387,배송비규정!$A$3:$A$32,배송비규정!$B$3:$B$32),0)+IFERROR(INDEX(지역추가비!$B$3:$B$42,MATCH($J1387,지역추가비!$A$3:$A$42,0)),0)))</f>
        <v/>
      </c>
      <c r="M1387" s="13" t="str">
        <f aca="false">IF($B1387="","",IF(COUNTIFS($B$3:$B1387,$B1387)&gt;1,"",$K1387+$L1387))</f>
        <v/>
      </c>
      <c r="N1387" s="14" t="str">
        <f aca="false">IF($B1387="","",COUNTIFS($B$3:$B1387,$B1387))</f>
        <v/>
      </c>
      <c r="O1387" s="14" t="str">
        <f aca="false">IF($B1387="","",$B1387&amp;"|"&amp;$N1387)</f>
        <v/>
      </c>
    </row>
    <row r="1388" customFormat="false" ht="15" hidden="false" customHeight="false" outlineLevel="0" collapsed="false">
      <c r="A1388" s="12"/>
      <c r="B1388" s="9"/>
      <c r="C1388" s="9"/>
      <c r="D1388" s="9"/>
      <c r="E1388" s="9"/>
      <c r="F1388" s="9"/>
      <c r="G1388" s="9"/>
      <c r="H1388" s="7"/>
      <c r="I1388" s="13" t="str">
        <f aca="false">IF(OR($G1388="",$H1388=""),"",ROUND($G1388*$H1388,0))</f>
        <v/>
      </c>
      <c r="J1388" s="8"/>
      <c r="K1388" s="13" t="str">
        <f aca="false">IF($B1388="","",SUMIFS($I$3:$I$2002,$B$3:$B$2002,$B1388))</f>
        <v/>
      </c>
      <c r="L1388" s="13" t="str">
        <f aca="false">IF($B1388="","",IF(COUNTIFS($B$3:$B1388,$B1388)&gt;1,0,IFERROR(LOOKUP($K1388,배송비규정!$A$3:$A$32,배송비규정!$B$3:$B$32),0)+IFERROR(INDEX(지역추가비!$B$3:$B$42,MATCH($J1388,지역추가비!$A$3:$A$42,0)),0)))</f>
        <v/>
      </c>
      <c r="M1388" s="13" t="str">
        <f aca="false">IF($B1388="","",IF(COUNTIFS($B$3:$B1388,$B1388)&gt;1,"",$K1388+$L1388))</f>
        <v/>
      </c>
      <c r="N1388" s="14" t="str">
        <f aca="false">IF($B1388="","",COUNTIFS($B$3:$B1388,$B1388))</f>
        <v/>
      </c>
      <c r="O1388" s="14" t="str">
        <f aca="false">IF($B1388="","",$B1388&amp;"|"&amp;$N1388)</f>
        <v/>
      </c>
    </row>
    <row r="1389" customFormat="false" ht="15" hidden="false" customHeight="false" outlineLevel="0" collapsed="false">
      <c r="A1389" s="12"/>
      <c r="B1389" s="9"/>
      <c r="C1389" s="9"/>
      <c r="D1389" s="9"/>
      <c r="E1389" s="9"/>
      <c r="F1389" s="9"/>
      <c r="G1389" s="9"/>
      <c r="H1389" s="7"/>
      <c r="I1389" s="13" t="str">
        <f aca="false">IF(OR($G1389="",$H1389=""),"",ROUND($G1389*$H1389,0))</f>
        <v/>
      </c>
      <c r="J1389" s="8"/>
      <c r="K1389" s="13" t="str">
        <f aca="false">IF($B1389="","",SUMIFS($I$3:$I$2002,$B$3:$B$2002,$B1389))</f>
        <v/>
      </c>
      <c r="L1389" s="13" t="str">
        <f aca="false">IF($B1389="","",IF(COUNTIFS($B$3:$B1389,$B1389)&gt;1,0,IFERROR(LOOKUP($K1389,배송비규정!$A$3:$A$32,배송비규정!$B$3:$B$32),0)+IFERROR(INDEX(지역추가비!$B$3:$B$42,MATCH($J1389,지역추가비!$A$3:$A$42,0)),0)))</f>
        <v/>
      </c>
      <c r="M1389" s="13" t="str">
        <f aca="false">IF($B1389="","",IF(COUNTIFS($B$3:$B1389,$B1389)&gt;1,"",$K1389+$L1389))</f>
        <v/>
      </c>
      <c r="N1389" s="14" t="str">
        <f aca="false">IF($B1389="","",COUNTIFS($B$3:$B1389,$B1389))</f>
        <v/>
      </c>
      <c r="O1389" s="14" t="str">
        <f aca="false">IF($B1389="","",$B1389&amp;"|"&amp;$N1389)</f>
        <v/>
      </c>
    </row>
    <row r="1390" customFormat="false" ht="15" hidden="false" customHeight="false" outlineLevel="0" collapsed="false">
      <c r="A1390" s="12"/>
      <c r="B1390" s="9"/>
      <c r="C1390" s="9"/>
      <c r="D1390" s="9"/>
      <c r="E1390" s="9"/>
      <c r="F1390" s="9"/>
      <c r="G1390" s="9"/>
      <c r="H1390" s="7"/>
      <c r="I1390" s="13" t="str">
        <f aca="false">IF(OR($G1390="",$H1390=""),"",ROUND($G1390*$H1390,0))</f>
        <v/>
      </c>
      <c r="J1390" s="8"/>
      <c r="K1390" s="13" t="str">
        <f aca="false">IF($B1390="","",SUMIFS($I$3:$I$2002,$B$3:$B$2002,$B1390))</f>
        <v/>
      </c>
      <c r="L1390" s="13" t="str">
        <f aca="false">IF($B1390="","",IF(COUNTIFS($B$3:$B1390,$B1390)&gt;1,0,IFERROR(LOOKUP($K1390,배송비규정!$A$3:$A$32,배송비규정!$B$3:$B$32),0)+IFERROR(INDEX(지역추가비!$B$3:$B$42,MATCH($J1390,지역추가비!$A$3:$A$42,0)),0)))</f>
        <v/>
      </c>
      <c r="M1390" s="13" t="str">
        <f aca="false">IF($B1390="","",IF(COUNTIFS($B$3:$B1390,$B1390)&gt;1,"",$K1390+$L1390))</f>
        <v/>
      </c>
      <c r="N1390" s="14" t="str">
        <f aca="false">IF($B1390="","",COUNTIFS($B$3:$B1390,$B1390))</f>
        <v/>
      </c>
      <c r="O1390" s="14" t="str">
        <f aca="false">IF($B1390="","",$B1390&amp;"|"&amp;$N1390)</f>
        <v/>
      </c>
    </row>
    <row r="1391" customFormat="false" ht="15" hidden="false" customHeight="false" outlineLevel="0" collapsed="false">
      <c r="A1391" s="12"/>
      <c r="B1391" s="9"/>
      <c r="C1391" s="9"/>
      <c r="D1391" s="9"/>
      <c r="E1391" s="9"/>
      <c r="F1391" s="9"/>
      <c r="G1391" s="9"/>
      <c r="H1391" s="7"/>
      <c r="I1391" s="13" t="str">
        <f aca="false">IF(OR($G1391="",$H1391=""),"",ROUND($G1391*$H1391,0))</f>
        <v/>
      </c>
      <c r="J1391" s="8"/>
      <c r="K1391" s="13" t="str">
        <f aca="false">IF($B1391="","",SUMIFS($I$3:$I$2002,$B$3:$B$2002,$B1391))</f>
        <v/>
      </c>
      <c r="L1391" s="13" t="str">
        <f aca="false">IF($B1391="","",IF(COUNTIFS($B$3:$B1391,$B1391)&gt;1,0,IFERROR(LOOKUP($K1391,배송비규정!$A$3:$A$32,배송비규정!$B$3:$B$32),0)+IFERROR(INDEX(지역추가비!$B$3:$B$42,MATCH($J1391,지역추가비!$A$3:$A$42,0)),0)))</f>
        <v/>
      </c>
      <c r="M1391" s="13" t="str">
        <f aca="false">IF($B1391="","",IF(COUNTIFS($B$3:$B1391,$B1391)&gt;1,"",$K1391+$L1391))</f>
        <v/>
      </c>
      <c r="N1391" s="14" t="str">
        <f aca="false">IF($B1391="","",COUNTIFS($B$3:$B1391,$B1391))</f>
        <v/>
      </c>
      <c r="O1391" s="14" t="str">
        <f aca="false">IF($B1391="","",$B1391&amp;"|"&amp;$N1391)</f>
        <v/>
      </c>
    </row>
    <row r="1392" customFormat="false" ht="15" hidden="false" customHeight="false" outlineLevel="0" collapsed="false">
      <c r="A1392" s="12"/>
      <c r="B1392" s="9"/>
      <c r="C1392" s="9"/>
      <c r="D1392" s="9"/>
      <c r="E1392" s="9"/>
      <c r="F1392" s="9"/>
      <c r="G1392" s="9"/>
      <c r="H1392" s="7"/>
      <c r="I1392" s="13" t="str">
        <f aca="false">IF(OR($G1392="",$H1392=""),"",ROUND($G1392*$H1392,0))</f>
        <v/>
      </c>
      <c r="J1392" s="8"/>
      <c r="K1392" s="13" t="str">
        <f aca="false">IF($B1392="","",SUMIFS($I$3:$I$2002,$B$3:$B$2002,$B1392))</f>
        <v/>
      </c>
      <c r="L1392" s="13" t="str">
        <f aca="false">IF($B1392="","",IF(COUNTIFS($B$3:$B1392,$B1392)&gt;1,0,IFERROR(LOOKUP($K1392,배송비규정!$A$3:$A$32,배송비규정!$B$3:$B$32),0)+IFERROR(INDEX(지역추가비!$B$3:$B$42,MATCH($J1392,지역추가비!$A$3:$A$42,0)),0)))</f>
        <v/>
      </c>
      <c r="M1392" s="13" t="str">
        <f aca="false">IF($B1392="","",IF(COUNTIFS($B$3:$B1392,$B1392)&gt;1,"",$K1392+$L1392))</f>
        <v/>
      </c>
      <c r="N1392" s="14" t="str">
        <f aca="false">IF($B1392="","",COUNTIFS($B$3:$B1392,$B1392))</f>
        <v/>
      </c>
      <c r="O1392" s="14" t="str">
        <f aca="false">IF($B1392="","",$B1392&amp;"|"&amp;$N1392)</f>
        <v/>
      </c>
    </row>
    <row r="1393" customFormat="false" ht="15" hidden="false" customHeight="false" outlineLevel="0" collapsed="false">
      <c r="A1393" s="12"/>
      <c r="B1393" s="9"/>
      <c r="C1393" s="9"/>
      <c r="D1393" s="9"/>
      <c r="E1393" s="9"/>
      <c r="F1393" s="9"/>
      <c r="G1393" s="9"/>
      <c r="H1393" s="7"/>
      <c r="I1393" s="13" t="str">
        <f aca="false">IF(OR($G1393="",$H1393=""),"",ROUND($G1393*$H1393,0))</f>
        <v/>
      </c>
      <c r="J1393" s="8"/>
      <c r="K1393" s="13" t="str">
        <f aca="false">IF($B1393="","",SUMIFS($I$3:$I$2002,$B$3:$B$2002,$B1393))</f>
        <v/>
      </c>
      <c r="L1393" s="13" t="str">
        <f aca="false">IF($B1393="","",IF(COUNTIFS($B$3:$B1393,$B1393)&gt;1,0,IFERROR(LOOKUP($K1393,배송비규정!$A$3:$A$32,배송비규정!$B$3:$B$32),0)+IFERROR(INDEX(지역추가비!$B$3:$B$42,MATCH($J1393,지역추가비!$A$3:$A$42,0)),0)))</f>
        <v/>
      </c>
      <c r="M1393" s="13" t="str">
        <f aca="false">IF($B1393="","",IF(COUNTIFS($B$3:$B1393,$B1393)&gt;1,"",$K1393+$L1393))</f>
        <v/>
      </c>
      <c r="N1393" s="14" t="str">
        <f aca="false">IF($B1393="","",COUNTIFS($B$3:$B1393,$B1393))</f>
        <v/>
      </c>
      <c r="O1393" s="14" t="str">
        <f aca="false">IF($B1393="","",$B1393&amp;"|"&amp;$N1393)</f>
        <v/>
      </c>
    </row>
    <row r="1394" customFormat="false" ht="15" hidden="false" customHeight="false" outlineLevel="0" collapsed="false">
      <c r="A1394" s="12"/>
      <c r="B1394" s="9"/>
      <c r="C1394" s="9"/>
      <c r="D1394" s="9"/>
      <c r="E1394" s="9"/>
      <c r="F1394" s="9"/>
      <c r="G1394" s="9"/>
      <c r="H1394" s="7"/>
      <c r="I1394" s="13" t="str">
        <f aca="false">IF(OR($G1394="",$H1394=""),"",ROUND($G1394*$H1394,0))</f>
        <v/>
      </c>
      <c r="J1394" s="8"/>
      <c r="K1394" s="13" t="str">
        <f aca="false">IF($B1394="","",SUMIFS($I$3:$I$2002,$B$3:$B$2002,$B1394))</f>
        <v/>
      </c>
      <c r="L1394" s="13" t="str">
        <f aca="false">IF($B1394="","",IF(COUNTIFS($B$3:$B1394,$B1394)&gt;1,0,IFERROR(LOOKUP($K1394,배송비규정!$A$3:$A$32,배송비규정!$B$3:$B$32),0)+IFERROR(INDEX(지역추가비!$B$3:$B$42,MATCH($J1394,지역추가비!$A$3:$A$42,0)),0)))</f>
        <v/>
      </c>
      <c r="M1394" s="13" t="str">
        <f aca="false">IF($B1394="","",IF(COUNTIFS($B$3:$B1394,$B1394)&gt;1,"",$K1394+$L1394))</f>
        <v/>
      </c>
      <c r="N1394" s="14" t="str">
        <f aca="false">IF($B1394="","",COUNTIFS($B$3:$B1394,$B1394))</f>
        <v/>
      </c>
      <c r="O1394" s="14" t="str">
        <f aca="false">IF($B1394="","",$B1394&amp;"|"&amp;$N1394)</f>
        <v/>
      </c>
    </row>
    <row r="1395" customFormat="false" ht="15" hidden="false" customHeight="false" outlineLevel="0" collapsed="false">
      <c r="A1395" s="12"/>
      <c r="B1395" s="9"/>
      <c r="C1395" s="9"/>
      <c r="D1395" s="9"/>
      <c r="E1395" s="9"/>
      <c r="F1395" s="9"/>
      <c r="G1395" s="9"/>
      <c r="H1395" s="7"/>
      <c r="I1395" s="13" t="str">
        <f aca="false">IF(OR($G1395="",$H1395=""),"",ROUND($G1395*$H1395,0))</f>
        <v/>
      </c>
      <c r="J1395" s="8"/>
      <c r="K1395" s="13" t="str">
        <f aca="false">IF($B1395="","",SUMIFS($I$3:$I$2002,$B$3:$B$2002,$B1395))</f>
        <v/>
      </c>
      <c r="L1395" s="13" t="str">
        <f aca="false">IF($B1395="","",IF(COUNTIFS($B$3:$B1395,$B1395)&gt;1,0,IFERROR(LOOKUP($K1395,배송비규정!$A$3:$A$32,배송비규정!$B$3:$B$32),0)+IFERROR(INDEX(지역추가비!$B$3:$B$42,MATCH($J1395,지역추가비!$A$3:$A$42,0)),0)))</f>
        <v/>
      </c>
      <c r="M1395" s="13" t="str">
        <f aca="false">IF($B1395="","",IF(COUNTIFS($B$3:$B1395,$B1395)&gt;1,"",$K1395+$L1395))</f>
        <v/>
      </c>
      <c r="N1395" s="14" t="str">
        <f aca="false">IF($B1395="","",COUNTIFS($B$3:$B1395,$B1395))</f>
        <v/>
      </c>
      <c r="O1395" s="14" t="str">
        <f aca="false">IF($B1395="","",$B1395&amp;"|"&amp;$N1395)</f>
        <v/>
      </c>
    </row>
    <row r="1396" customFormat="false" ht="15" hidden="false" customHeight="false" outlineLevel="0" collapsed="false">
      <c r="A1396" s="12"/>
      <c r="B1396" s="9"/>
      <c r="C1396" s="9"/>
      <c r="D1396" s="9"/>
      <c r="E1396" s="9"/>
      <c r="F1396" s="9"/>
      <c r="G1396" s="9"/>
      <c r="H1396" s="7"/>
      <c r="I1396" s="13" t="str">
        <f aca="false">IF(OR($G1396="",$H1396=""),"",ROUND($G1396*$H1396,0))</f>
        <v/>
      </c>
      <c r="J1396" s="8"/>
      <c r="K1396" s="13" t="str">
        <f aca="false">IF($B1396="","",SUMIFS($I$3:$I$2002,$B$3:$B$2002,$B1396))</f>
        <v/>
      </c>
      <c r="L1396" s="13" t="str">
        <f aca="false">IF($B1396="","",IF(COUNTIFS($B$3:$B1396,$B1396)&gt;1,0,IFERROR(LOOKUP($K1396,배송비규정!$A$3:$A$32,배송비규정!$B$3:$B$32),0)+IFERROR(INDEX(지역추가비!$B$3:$B$42,MATCH($J1396,지역추가비!$A$3:$A$42,0)),0)))</f>
        <v/>
      </c>
      <c r="M1396" s="13" t="str">
        <f aca="false">IF($B1396="","",IF(COUNTIFS($B$3:$B1396,$B1396)&gt;1,"",$K1396+$L1396))</f>
        <v/>
      </c>
      <c r="N1396" s="14" t="str">
        <f aca="false">IF($B1396="","",COUNTIFS($B$3:$B1396,$B1396))</f>
        <v/>
      </c>
      <c r="O1396" s="14" t="str">
        <f aca="false">IF($B1396="","",$B1396&amp;"|"&amp;$N1396)</f>
        <v/>
      </c>
    </row>
    <row r="1397" customFormat="false" ht="15" hidden="false" customHeight="false" outlineLevel="0" collapsed="false">
      <c r="A1397" s="12"/>
      <c r="B1397" s="9"/>
      <c r="C1397" s="9"/>
      <c r="D1397" s="9"/>
      <c r="E1397" s="9"/>
      <c r="F1397" s="9"/>
      <c r="G1397" s="9"/>
      <c r="H1397" s="7"/>
      <c r="I1397" s="13" t="str">
        <f aca="false">IF(OR($G1397="",$H1397=""),"",ROUND($G1397*$H1397,0))</f>
        <v/>
      </c>
      <c r="J1397" s="8"/>
      <c r="K1397" s="13" t="str">
        <f aca="false">IF($B1397="","",SUMIFS($I$3:$I$2002,$B$3:$B$2002,$B1397))</f>
        <v/>
      </c>
      <c r="L1397" s="13" t="str">
        <f aca="false">IF($B1397="","",IF(COUNTIFS($B$3:$B1397,$B1397)&gt;1,0,IFERROR(LOOKUP($K1397,배송비규정!$A$3:$A$32,배송비규정!$B$3:$B$32),0)+IFERROR(INDEX(지역추가비!$B$3:$B$42,MATCH($J1397,지역추가비!$A$3:$A$42,0)),0)))</f>
        <v/>
      </c>
      <c r="M1397" s="13" t="str">
        <f aca="false">IF($B1397="","",IF(COUNTIFS($B$3:$B1397,$B1397)&gt;1,"",$K1397+$L1397))</f>
        <v/>
      </c>
      <c r="N1397" s="14" t="str">
        <f aca="false">IF($B1397="","",COUNTIFS($B$3:$B1397,$B1397))</f>
        <v/>
      </c>
      <c r="O1397" s="14" t="str">
        <f aca="false">IF($B1397="","",$B1397&amp;"|"&amp;$N1397)</f>
        <v/>
      </c>
    </row>
    <row r="1398" customFormat="false" ht="15" hidden="false" customHeight="false" outlineLevel="0" collapsed="false">
      <c r="A1398" s="12"/>
      <c r="B1398" s="9"/>
      <c r="C1398" s="9"/>
      <c r="D1398" s="9"/>
      <c r="E1398" s="9"/>
      <c r="F1398" s="9"/>
      <c r="G1398" s="9"/>
      <c r="H1398" s="7"/>
      <c r="I1398" s="13" t="str">
        <f aca="false">IF(OR($G1398="",$H1398=""),"",ROUND($G1398*$H1398,0))</f>
        <v/>
      </c>
      <c r="J1398" s="8"/>
      <c r="K1398" s="13" t="str">
        <f aca="false">IF($B1398="","",SUMIFS($I$3:$I$2002,$B$3:$B$2002,$B1398))</f>
        <v/>
      </c>
      <c r="L1398" s="13" t="str">
        <f aca="false">IF($B1398="","",IF(COUNTIFS($B$3:$B1398,$B1398)&gt;1,0,IFERROR(LOOKUP($K1398,배송비규정!$A$3:$A$32,배송비규정!$B$3:$B$32),0)+IFERROR(INDEX(지역추가비!$B$3:$B$42,MATCH($J1398,지역추가비!$A$3:$A$42,0)),0)))</f>
        <v/>
      </c>
      <c r="M1398" s="13" t="str">
        <f aca="false">IF($B1398="","",IF(COUNTIFS($B$3:$B1398,$B1398)&gt;1,"",$K1398+$L1398))</f>
        <v/>
      </c>
      <c r="N1398" s="14" t="str">
        <f aca="false">IF($B1398="","",COUNTIFS($B$3:$B1398,$B1398))</f>
        <v/>
      </c>
      <c r="O1398" s="14" t="str">
        <f aca="false">IF($B1398="","",$B1398&amp;"|"&amp;$N1398)</f>
        <v/>
      </c>
    </row>
    <row r="1399" customFormat="false" ht="15" hidden="false" customHeight="false" outlineLevel="0" collapsed="false">
      <c r="A1399" s="12"/>
      <c r="B1399" s="9"/>
      <c r="C1399" s="9"/>
      <c r="D1399" s="9"/>
      <c r="E1399" s="9"/>
      <c r="F1399" s="9"/>
      <c r="G1399" s="9"/>
      <c r="H1399" s="7"/>
      <c r="I1399" s="13" t="str">
        <f aca="false">IF(OR($G1399="",$H1399=""),"",ROUND($G1399*$H1399,0))</f>
        <v/>
      </c>
      <c r="J1399" s="8"/>
      <c r="K1399" s="13" t="str">
        <f aca="false">IF($B1399="","",SUMIFS($I$3:$I$2002,$B$3:$B$2002,$B1399))</f>
        <v/>
      </c>
      <c r="L1399" s="13" t="str">
        <f aca="false">IF($B1399="","",IF(COUNTIFS($B$3:$B1399,$B1399)&gt;1,0,IFERROR(LOOKUP($K1399,배송비규정!$A$3:$A$32,배송비규정!$B$3:$B$32),0)+IFERROR(INDEX(지역추가비!$B$3:$B$42,MATCH($J1399,지역추가비!$A$3:$A$42,0)),0)))</f>
        <v/>
      </c>
      <c r="M1399" s="13" t="str">
        <f aca="false">IF($B1399="","",IF(COUNTIFS($B$3:$B1399,$B1399)&gt;1,"",$K1399+$L1399))</f>
        <v/>
      </c>
      <c r="N1399" s="14" t="str">
        <f aca="false">IF($B1399="","",COUNTIFS($B$3:$B1399,$B1399))</f>
        <v/>
      </c>
      <c r="O1399" s="14" t="str">
        <f aca="false">IF($B1399="","",$B1399&amp;"|"&amp;$N1399)</f>
        <v/>
      </c>
    </row>
    <row r="1400" customFormat="false" ht="15" hidden="false" customHeight="false" outlineLevel="0" collapsed="false">
      <c r="A1400" s="12"/>
      <c r="B1400" s="9"/>
      <c r="C1400" s="9"/>
      <c r="D1400" s="9"/>
      <c r="E1400" s="9"/>
      <c r="F1400" s="9"/>
      <c r="G1400" s="9"/>
      <c r="H1400" s="7"/>
      <c r="I1400" s="13" t="str">
        <f aca="false">IF(OR($G1400="",$H1400=""),"",ROUND($G1400*$H1400,0))</f>
        <v/>
      </c>
      <c r="J1400" s="8"/>
      <c r="K1400" s="13" t="str">
        <f aca="false">IF($B1400="","",SUMIFS($I$3:$I$2002,$B$3:$B$2002,$B1400))</f>
        <v/>
      </c>
      <c r="L1400" s="13" t="str">
        <f aca="false">IF($B1400="","",IF(COUNTIFS($B$3:$B1400,$B1400)&gt;1,0,IFERROR(LOOKUP($K1400,배송비규정!$A$3:$A$32,배송비규정!$B$3:$B$32),0)+IFERROR(INDEX(지역추가비!$B$3:$B$42,MATCH($J1400,지역추가비!$A$3:$A$42,0)),0)))</f>
        <v/>
      </c>
      <c r="M1400" s="13" t="str">
        <f aca="false">IF($B1400="","",IF(COUNTIFS($B$3:$B1400,$B1400)&gt;1,"",$K1400+$L1400))</f>
        <v/>
      </c>
      <c r="N1400" s="14" t="str">
        <f aca="false">IF($B1400="","",COUNTIFS($B$3:$B1400,$B1400))</f>
        <v/>
      </c>
      <c r="O1400" s="14" t="str">
        <f aca="false">IF($B1400="","",$B1400&amp;"|"&amp;$N1400)</f>
        <v/>
      </c>
    </row>
    <row r="1401" customFormat="false" ht="15" hidden="false" customHeight="false" outlineLevel="0" collapsed="false">
      <c r="A1401" s="12"/>
      <c r="B1401" s="9"/>
      <c r="C1401" s="9"/>
      <c r="D1401" s="9"/>
      <c r="E1401" s="9"/>
      <c r="F1401" s="9"/>
      <c r="G1401" s="9"/>
      <c r="H1401" s="7"/>
      <c r="I1401" s="13" t="str">
        <f aca="false">IF(OR($G1401="",$H1401=""),"",ROUND($G1401*$H1401,0))</f>
        <v/>
      </c>
      <c r="J1401" s="8"/>
      <c r="K1401" s="13" t="str">
        <f aca="false">IF($B1401="","",SUMIFS($I$3:$I$2002,$B$3:$B$2002,$B1401))</f>
        <v/>
      </c>
      <c r="L1401" s="13" t="str">
        <f aca="false">IF($B1401="","",IF(COUNTIFS($B$3:$B1401,$B1401)&gt;1,0,IFERROR(LOOKUP($K1401,배송비규정!$A$3:$A$32,배송비규정!$B$3:$B$32),0)+IFERROR(INDEX(지역추가비!$B$3:$B$42,MATCH($J1401,지역추가비!$A$3:$A$42,0)),0)))</f>
        <v/>
      </c>
      <c r="M1401" s="13" t="str">
        <f aca="false">IF($B1401="","",IF(COUNTIFS($B$3:$B1401,$B1401)&gt;1,"",$K1401+$L1401))</f>
        <v/>
      </c>
      <c r="N1401" s="14" t="str">
        <f aca="false">IF($B1401="","",COUNTIFS($B$3:$B1401,$B1401))</f>
        <v/>
      </c>
      <c r="O1401" s="14" t="str">
        <f aca="false">IF($B1401="","",$B1401&amp;"|"&amp;$N1401)</f>
        <v/>
      </c>
    </row>
    <row r="1402" customFormat="false" ht="15" hidden="false" customHeight="false" outlineLevel="0" collapsed="false">
      <c r="A1402" s="12"/>
      <c r="B1402" s="9"/>
      <c r="C1402" s="9"/>
      <c r="D1402" s="9"/>
      <c r="E1402" s="9"/>
      <c r="F1402" s="9"/>
      <c r="G1402" s="9"/>
      <c r="H1402" s="7"/>
      <c r="I1402" s="13" t="str">
        <f aca="false">IF(OR($G1402="",$H1402=""),"",ROUND($G1402*$H1402,0))</f>
        <v/>
      </c>
      <c r="J1402" s="8"/>
      <c r="K1402" s="13" t="str">
        <f aca="false">IF($B1402="","",SUMIFS($I$3:$I$2002,$B$3:$B$2002,$B1402))</f>
        <v/>
      </c>
      <c r="L1402" s="13" t="str">
        <f aca="false">IF($B1402="","",IF(COUNTIFS($B$3:$B1402,$B1402)&gt;1,0,IFERROR(LOOKUP($K1402,배송비규정!$A$3:$A$32,배송비규정!$B$3:$B$32),0)+IFERROR(INDEX(지역추가비!$B$3:$B$42,MATCH($J1402,지역추가비!$A$3:$A$42,0)),0)))</f>
        <v/>
      </c>
      <c r="M1402" s="13" t="str">
        <f aca="false">IF($B1402="","",IF(COUNTIFS($B$3:$B1402,$B1402)&gt;1,"",$K1402+$L1402))</f>
        <v/>
      </c>
      <c r="N1402" s="14" t="str">
        <f aca="false">IF($B1402="","",COUNTIFS($B$3:$B1402,$B1402))</f>
        <v/>
      </c>
      <c r="O1402" s="14" t="str">
        <f aca="false">IF($B1402="","",$B1402&amp;"|"&amp;$N1402)</f>
        <v/>
      </c>
    </row>
    <row r="1403" customFormat="false" ht="15" hidden="false" customHeight="false" outlineLevel="0" collapsed="false">
      <c r="A1403" s="12"/>
      <c r="B1403" s="9"/>
      <c r="C1403" s="9"/>
      <c r="D1403" s="9"/>
      <c r="E1403" s="9"/>
      <c r="F1403" s="9"/>
      <c r="G1403" s="9"/>
      <c r="H1403" s="7"/>
      <c r="I1403" s="13" t="str">
        <f aca="false">IF(OR($G1403="",$H1403=""),"",ROUND($G1403*$H1403,0))</f>
        <v/>
      </c>
      <c r="J1403" s="8"/>
      <c r="K1403" s="13" t="str">
        <f aca="false">IF($B1403="","",SUMIFS($I$3:$I$2002,$B$3:$B$2002,$B1403))</f>
        <v/>
      </c>
      <c r="L1403" s="13" t="str">
        <f aca="false">IF($B1403="","",IF(COUNTIFS($B$3:$B1403,$B1403)&gt;1,0,IFERROR(LOOKUP($K1403,배송비규정!$A$3:$A$32,배송비규정!$B$3:$B$32),0)+IFERROR(INDEX(지역추가비!$B$3:$B$42,MATCH($J1403,지역추가비!$A$3:$A$42,0)),0)))</f>
        <v/>
      </c>
      <c r="M1403" s="13" t="str">
        <f aca="false">IF($B1403="","",IF(COUNTIFS($B$3:$B1403,$B1403)&gt;1,"",$K1403+$L1403))</f>
        <v/>
      </c>
      <c r="N1403" s="14" t="str">
        <f aca="false">IF($B1403="","",COUNTIFS($B$3:$B1403,$B1403))</f>
        <v/>
      </c>
      <c r="O1403" s="14" t="str">
        <f aca="false">IF($B1403="","",$B1403&amp;"|"&amp;$N1403)</f>
        <v/>
      </c>
    </row>
    <row r="1404" customFormat="false" ht="15" hidden="false" customHeight="false" outlineLevel="0" collapsed="false">
      <c r="A1404" s="12"/>
      <c r="B1404" s="9"/>
      <c r="C1404" s="9"/>
      <c r="D1404" s="9"/>
      <c r="E1404" s="9"/>
      <c r="F1404" s="9"/>
      <c r="G1404" s="9"/>
      <c r="H1404" s="7"/>
      <c r="I1404" s="13" t="str">
        <f aca="false">IF(OR($G1404="",$H1404=""),"",ROUND($G1404*$H1404,0))</f>
        <v/>
      </c>
      <c r="J1404" s="8"/>
      <c r="K1404" s="13" t="str">
        <f aca="false">IF($B1404="","",SUMIFS($I$3:$I$2002,$B$3:$B$2002,$B1404))</f>
        <v/>
      </c>
      <c r="L1404" s="13" t="str">
        <f aca="false">IF($B1404="","",IF(COUNTIFS($B$3:$B1404,$B1404)&gt;1,0,IFERROR(LOOKUP($K1404,배송비규정!$A$3:$A$32,배송비규정!$B$3:$B$32),0)+IFERROR(INDEX(지역추가비!$B$3:$B$42,MATCH($J1404,지역추가비!$A$3:$A$42,0)),0)))</f>
        <v/>
      </c>
      <c r="M1404" s="13" t="str">
        <f aca="false">IF($B1404="","",IF(COUNTIFS($B$3:$B1404,$B1404)&gt;1,"",$K1404+$L1404))</f>
        <v/>
      </c>
      <c r="N1404" s="14" t="str">
        <f aca="false">IF($B1404="","",COUNTIFS($B$3:$B1404,$B1404))</f>
        <v/>
      </c>
      <c r="O1404" s="14" t="str">
        <f aca="false">IF($B1404="","",$B1404&amp;"|"&amp;$N1404)</f>
        <v/>
      </c>
    </row>
    <row r="1405" customFormat="false" ht="15" hidden="false" customHeight="false" outlineLevel="0" collapsed="false">
      <c r="A1405" s="12"/>
      <c r="B1405" s="9"/>
      <c r="C1405" s="9"/>
      <c r="D1405" s="9"/>
      <c r="E1405" s="9"/>
      <c r="F1405" s="9"/>
      <c r="G1405" s="9"/>
      <c r="H1405" s="7"/>
      <c r="I1405" s="13" t="str">
        <f aca="false">IF(OR($G1405="",$H1405=""),"",ROUND($G1405*$H1405,0))</f>
        <v/>
      </c>
      <c r="J1405" s="8"/>
      <c r="K1405" s="13" t="str">
        <f aca="false">IF($B1405="","",SUMIFS($I$3:$I$2002,$B$3:$B$2002,$B1405))</f>
        <v/>
      </c>
      <c r="L1405" s="13" t="str">
        <f aca="false">IF($B1405="","",IF(COUNTIFS($B$3:$B1405,$B1405)&gt;1,0,IFERROR(LOOKUP($K1405,배송비규정!$A$3:$A$32,배송비규정!$B$3:$B$32),0)+IFERROR(INDEX(지역추가비!$B$3:$B$42,MATCH($J1405,지역추가비!$A$3:$A$42,0)),0)))</f>
        <v/>
      </c>
      <c r="M1405" s="13" t="str">
        <f aca="false">IF($B1405="","",IF(COUNTIFS($B$3:$B1405,$B1405)&gt;1,"",$K1405+$L1405))</f>
        <v/>
      </c>
      <c r="N1405" s="14" t="str">
        <f aca="false">IF($B1405="","",COUNTIFS($B$3:$B1405,$B1405))</f>
        <v/>
      </c>
      <c r="O1405" s="14" t="str">
        <f aca="false">IF($B1405="","",$B1405&amp;"|"&amp;$N1405)</f>
        <v/>
      </c>
    </row>
    <row r="1406" customFormat="false" ht="15" hidden="false" customHeight="false" outlineLevel="0" collapsed="false">
      <c r="A1406" s="12"/>
      <c r="B1406" s="9"/>
      <c r="C1406" s="9"/>
      <c r="D1406" s="9"/>
      <c r="E1406" s="9"/>
      <c r="F1406" s="9"/>
      <c r="G1406" s="9"/>
      <c r="H1406" s="7"/>
      <c r="I1406" s="13" t="str">
        <f aca="false">IF(OR($G1406="",$H1406=""),"",ROUND($G1406*$H1406,0))</f>
        <v/>
      </c>
      <c r="J1406" s="8"/>
      <c r="K1406" s="13" t="str">
        <f aca="false">IF($B1406="","",SUMIFS($I$3:$I$2002,$B$3:$B$2002,$B1406))</f>
        <v/>
      </c>
      <c r="L1406" s="13" t="str">
        <f aca="false">IF($B1406="","",IF(COUNTIFS($B$3:$B1406,$B1406)&gt;1,0,IFERROR(LOOKUP($K1406,배송비규정!$A$3:$A$32,배송비규정!$B$3:$B$32),0)+IFERROR(INDEX(지역추가비!$B$3:$B$42,MATCH($J1406,지역추가비!$A$3:$A$42,0)),0)))</f>
        <v/>
      </c>
      <c r="M1406" s="13" t="str">
        <f aca="false">IF($B1406="","",IF(COUNTIFS($B$3:$B1406,$B1406)&gt;1,"",$K1406+$L1406))</f>
        <v/>
      </c>
      <c r="N1406" s="14" t="str">
        <f aca="false">IF($B1406="","",COUNTIFS($B$3:$B1406,$B1406))</f>
        <v/>
      </c>
      <c r="O1406" s="14" t="str">
        <f aca="false">IF($B1406="","",$B1406&amp;"|"&amp;$N1406)</f>
        <v/>
      </c>
    </row>
    <row r="1407" customFormat="false" ht="15" hidden="false" customHeight="false" outlineLevel="0" collapsed="false">
      <c r="A1407" s="12"/>
      <c r="B1407" s="9"/>
      <c r="C1407" s="9"/>
      <c r="D1407" s="9"/>
      <c r="E1407" s="9"/>
      <c r="F1407" s="9"/>
      <c r="G1407" s="9"/>
      <c r="H1407" s="7"/>
      <c r="I1407" s="13" t="str">
        <f aca="false">IF(OR($G1407="",$H1407=""),"",ROUND($G1407*$H1407,0))</f>
        <v/>
      </c>
      <c r="J1407" s="8"/>
      <c r="K1407" s="13" t="str">
        <f aca="false">IF($B1407="","",SUMIFS($I$3:$I$2002,$B$3:$B$2002,$B1407))</f>
        <v/>
      </c>
      <c r="L1407" s="13" t="str">
        <f aca="false">IF($B1407="","",IF(COUNTIFS($B$3:$B1407,$B1407)&gt;1,0,IFERROR(LOOKUP($K1407,배송비규정!$A$3:$A$32,배송비규정!$B$3:$B$32),0)+IFERROR(INDEX(지역추가비!$B$3:$B$42,MATCH($J1407,지역추가비!$A$3:$A$42,0)),0)))</f>
        <v/>
      </c>
      <c r="M1407" s="13" t="str">
        <f aca="false">IF($B1407="","",IF(COUNTIFS($B$3:$B1407,$B1407)&gt;1,"",$K1407+$L1407))</f>
        <v/>
      </c>
      <c r="N1407" s="14" t="str">
        <f aca="false">IF($B1407="","",COUNTIFS($B$3:$B1407,$B1407))</f>
        <v/>
      </c>
      <c r="O1407" s="14" t="str">
        <f aca="false">IF($B1407="","",$B1407&amp;"|"&amp;$N1407)</f>
        <v/>
      </c>
    </row>
    <row r="1408" customFormat="false" ht="15" hidden="false" customHeight="false" outlineLevel="0" collapsed="false">
      <c r="A1408" s="12"/>
      <c r="B1408" s="9"/>
      <c r="C1408" s="9"/>
      <c r="D1408" s="9"/>
      <c r="E1408" s="9"/>
      <c r="F1408" s="9"/>
      <c r="G1408" s="9"/>
      <c r="H1408" s="7"/>
      <c r="I1408" s="13" t="str">
        <f aca="false">IF(OR($G1408="",$H1408=""),"",ROUND($G1408*$H1408,0))</f>
        <v/>
      </c>
      <c r="J1408" s="8"/>
      <c r="K1408" s="13" t="str">
        <f aca="false">IF($B1408="","",SUMIFS($I$3:$I$2002,$B$3:$B$2002,$B1408))</f>
        <v/>
      </c>
      <c r="L1408" s="13" t="str">
        <f aca="false">IF($B1408="","",IF(COUNTIFS($B$3:$B1408,$B1408)&gt;1,0,IFERROR(LOOKUP($K1408,배송비규정!$A$3:$A$32,배송비규정!$B$3:$B$32),0)+IFERROR(INDEX(지역추가비!$B$3:$B$42,MATCH($J1408,지역추가비!$A$3:$A$42,0)),0)))</f>
        <v/>
      </c>
      <c r="M1408" s="13" t="str">
        <f aca="false">IF($B1408="","",IF(COUNTIFS($B$3:$B1408,$B1408)&gt;1,"",$K1408+$L1408))</f>
        <v/>
      </c>
      <c r="N1408" s="14" t="str">
        <f aca="false">IF($B1408="","",COUNTIFS($B$3:$B1408,$B1408))</f>
        <v/>
      </c>
      <c r="O1408" s="14" t="str">
        <f aca="false">IF($B1408="","",$B1408&amp;"|"&amp;$N1408)</f>
        <v/>
      </c>
    </row>
    <row r="1409" customFormat="false" ht="15" hidden="false" customHeight="false" outlineLevel="0" collapsed="false">
      <c r="A1409" s="12"/>
      <c r="B1409" s="9"/>
      <c r="C1409" s="9"/>
      <c r="D1409" s="9"/>
      <c r="E1409" s="9"/>
      <c r="F1409" s="9"/>
      <c r="G1409" s="9"/>
      <c r="H1409" s="7"/>
      <c r="I1409" s="13" t="str">
        <f aca="false">IF(OR($G1409="",$H1409=""),"",ROUND($G1409*$H1409,0))</f>
        <v/>
      </c>
      <c r="J1409" s="8"/>
      <c r="K1409" s="13" t="str">
        <f aca="false">IF($B1409="","",SUMIFS($I$3:$I$2002,$B$3:$B$2002,$B1409))</f>
        <v/>
      </c>
      <c r="L1409" s="13" t="str">
        <f aca="false">IF($B1409="","",IF(COUNTIFS($B$3:$B1409,$B1409)&gt;1,0,IFERROR(LOOKUP($K1409,배송비규정!$A$3:$A$32,배송비규정!$B$3:$B$32),0)+IFERROR(INDEX(지역추가비!$B$3:$B$42,MATCH($J1409,지역추가비!$A$3:$A$42,0)),0)))</f>
        <v/>
      </c>
      <c r="M1409" s="13" t="str">
        <f aca="false">IF($B1409="","",IF(COUNTIFS($B$3:$B1409,$B1409)&gt;1,"",$K1409+$L1409))</f>
        <v/>
      </c>
      <c r="N1409" s="14" t="str">
        <f aca="false">IF($B1409="","",COUNTIFS($B$3:$B1409,$B1409))</f>
        <v/>
      </c>
      <c r="O1409" s="14" t="str">
        <f aca="false">IF($B1409="","",$B1409&amp;"|"&amp;$N1409)</f>
        <v/>
      </c>
    </row>
    <row r="1410" customFormat="false" ht="15" hidden="false" customHeight="false" outlineLevel="0" collapsed="false">
      <c r="A1410" s="12"/>
      <c r="B1410" s="9"/>
      <c r="C1410" s="9"/>
      <c r="D1410" s="9"/>
      <c r="E1410" s="9"/>
      <c r="F1410" s="9"/>
      <c r="G1410" s="9"/>
      <c r="H1410" s="7"/>
      <c r="I1410" s="13" t="str">
        <f aca="false">IF(OR($G1410="",$H1410=""),"",ROUND($G1410*$H1410,0))</f>
        <v/>
      </c>
      <c r="J1410" s="8"/>
      <c r="K1410" s="13" t="str">
        <f aca="false">IF($B1410="","",SUMIFS($I$3:$I$2002,$B$3:$B$2002,$B1410))</f>
        <v/>
      </c>
      <c r="L1410" s="13" t="str">
        <f aca="false">IF($B1410="","",IF(COUNTIFS($B$3:$B1410,$B1410)&gt;1,0,IFERROR(LOOKUP($K1410,배송비규정!$A$3:$A$32,배송비규정!$B$3:$B$32),0)+IFERROR(INDEX(지역추가비!$B$3:$B$42,MATCH($J1410,지역추가비!$A$3:$A$42,0)),0)))</f>
        <v/>
      </c>
      <c r="M1410" s="13" t="str">
        <f aca="false">IF($B1410="","",IF(COUNTIFS($B$3:$B1410,$B1410)&gt;1,"",$K1410+$L1410))</f>
        <v/>
      </c>
      <c r="N1410" s="14" t="str">
        <f aca="false">IF($B1410="","",COUNTIFS($B$3:$B1410,$B1410))</f>
        <v/>
      </c>
      <c r="O1410" s="14" t="str">
        <f aca="false">IF($B1410="","",$B1410&amp;"|"&amp;$N1410)</f>
        <v/>
      </c>
    </row>
    <row r="1411" customFormat="false" ht="15" hidden="false" customHeight="false" outlineLevel="0" collapsed="false">
      <c r="A1411" s="12"/>
      <c r="B1411" s="9"/>
      <c r="C1411" s="9"/>
      <c r="D1411" s="9"/>
      <c r="E1411" s="9"/>
      <c r="F1411" s="9"/>
      <c r="G1411" s="9"/>
      <c r="H1411" s="7"/>
      <c r="I1411" s="13" t="str">
        <f aca="false">IF(OR($G1411="",$H1411=""),"",ROUND($G1411*$H1411,0))</f>
        <v/>
      </c>
      <c r="J1411" s="8"/>
      <c r="K1411" s="13" t="str">
        <f aca="false">IF($B1411="","",SUMIFS($I$3:$I$2002,$B$3:$B$2002,$B1411))</f>
        <v/>
      </c>
      <c r="L1411" s="13" t="str">
        <f aca="false">IF($B1411="","",IF(COUNTIFS($B$3:$B1411,$B1411)&gt;1,0,IFERROR(LOOKUP($K1411,배송비규정!$A$3:$A$32,배송비규정!$B$3:$B$32),0)+IFERROR(INDEX(지역추가비!$B$3:$B$42,MATCH($J1411,지역추가비!$A$3:$A$42,0)),0)))</f>
        <v/>
      </c>
      <c r="M1411" s="13" t="str">
        <f aca="false">IF($B1411="","",IF(COUNTIFS($B$3:$B1411,$B1411)&gt;1,"",$K1411+$L1411))</f>
        <v/>
      </c>
      <c r="N1411" s="14" t="str">
        <f aca="false">IF($B1411="","",COUNTIFS($B$3:$B1411,$B1411))</f>
        <v/>
      </c>
      <c r="O1411" s="14" t="str">
        <f aca="false">IF($B1411="","",$B1411&amp;"|"&amp;$N1411)</f>
        <v/>
      </c>
    </row>
    <row r="1412" customFormat="false" ht="15" hidden="false" customHeight="false" outlineLevel="0" collapsed="false">
      <c r="A1412" s="12"/>
      <c r="B1412" s="9"/>
      <c r="C1412" s="9"/>
      <c r="D1412" s="9"/>
      <c r="E1412" s="9"/>
      <c r="F1412" s="9"/>
      <c r="G1412" s="9"/>
      <c r="H1412" s="7"/>
      <c r="I1412" s="13" t="str">
        <f aca="false">IF(OR($G1412="",$H1412=""),"",ROUND($G1412*$H1412,0))</f>
        <v/>
      </c>
      <c r="J1412" s="8"/>
      <c r="K1412" s="13" t="str">
        <f aca="false">IF($B1412="","",SUMIFS($I$3:$I$2002,$B$3:$B$2002,$B1412))</f>
        <v/>
      </c>
      <c r="L1412" s="13" t="str">
        <f aca="false">IF($B1412="","",IF(COUNTIFS($B$3:$B1412,$B1412)&gt;1,0,IFERROR(LOOKUP($K1412,배송비규정!$A$3:$A$32,배송비규정!$B$3:$B$32),0)+IFERROR(INDEX(지역추가비!$B$3:$B$42,MATCH($J1412,지역추가비!$A$3:$A$42,0)),0)))</f>
        <v/>
      </c>
      <c r="M1412" s="13" t="str">
        <f aca="false">IF($B1412="","",IF(COUNTIFS($B$3:$B1412,$B1412)&gt;1,"",$K1412+$L1412))</f>
        <v/>
      </c>
      <c r="N1412" s="14" t="str">
        <f aca="false">IF($B1412="","",COUNTIFS($B$3:$B1412,$B1412))</f>
        <v/>
      </c>
      <c r="O1412" s="14" t="str">
        <f aca="false">IF($B1412="","",$B1412&amp;"|"&amp;$N1412)</f>
        <v/>
      </c>
    </row>
    <row r="1413" customFormat="false" ht="15" hidden="false" customHeight="false" outlineLevel="0" collapsed="false">
      <c r="A1413" s="12"/>
      <c r="B1413" s="9"/>
      <c r="C1413" s="9"/>
      <c r="D1413" s="9"/>
      <c r="E1413" s="9"/>
      <c r="F1413" s="9"/>
      <c r="G1413" s="9"/>
      <c r="H1413" s="7"/>
      <c r="I1413" s="13" t="str">
        <f aca="false">IF(OR($G1413="",$H1413=""),"",ROUND($G1413*$H1413,0))</f>
        <v/>
      </c>
      <c r="J1413" s="8"/>
      <c r="K1413" s="13" t="str">
        <f aca="false">IF($B1413="","",SUMIFS($I$3:$I$2002,$B$3:$B$2002,$B1413))</f>
        <v/>
      </c>
      <c r="L1413" s="13" t="str">
        <f aca="false">IF($B1413="","",IF(COUNTIFS($B$3:$B1413,$B1413)&gt;1,0,IFERROR(LOOKUP($K1413,배송비규정!$A$3:$A$32,배송비규정!$B$3:$B$32),0)+IFERROR(INDEX(지역추가비!$B$3:$B$42,MATCH($J1413,지역추가비!$A$3:$A$42,0)),0)))</f>
        <v/>
      </c>
      <c r="M1413" s="13" t="str">
        <f aca="false">IF($B1413="","",IF(COUNTIFS($B$3:$B1413,$B1413)&gt;1,"",$K1413+$L1413))</f>
        <v/>
      </c>
      <c r="N1413" s="14" t="str">
        <f aca="false">IF($B1413="","",COUNTIFS($B$3:$B1413,$B1413))</f>
        <v/>
      </c>
      <c r="O1413" s="14" t="str">
        <f aca="false">IF($B1413="","",$B1413&amp;"|"&amp;$N1413)</f>
        <v/>
      </c>
    </row>
    <row r="1414" customFormat="false" ht="15" hidden="false" customHeight="false" outlineLevel="0" collapsed="false">
      <c r="A1414" s="12"/>
      <c r="B1414" s="9"/>
      <c r="C1414" s="9"/>
      <c r="D1414" s="9"/>
      <c r="E1414" s="9"/>
      <c r="F1414" s="9"/>
      <c r="G1414" s="9"/>
      <c r="H1414" s="7"/>
      <c r="I1414" s="13" t="str">
        <f aca="false">IF(OR($G1414="",$H1414=""),"",ROUND($G1414*$H1414,0))</f>
        <v/>
      </c>
      <c r="J1414" s="8"/>
      <c r="K1414" s="13" t="str">
        <f aca="false">IF($B1414="","",SUMIFS($I$3:$I$2002,$B$3:$B$2002,$B1414))</f>
        <v/>
      </c>
      <c r="L1414" s="13" t="str">
        <f aca="false">IF($B1414="","",IF(COUNTIFS($B$3:$B1414,$B1414)&gt;1,0,IFERROR(LOOKUP($K1414,배송비규정!$A$3:$A$32,배송비규정!$B$3:$B$32),0)+IFERROR(INDEX(지역추가비!$B$3:$B$42,MATCH($J1414,지역추가비!$A$3:$A$42,0)),0)))</f>
        <v/>
      </c>
      <c r="M1414" s="13" t="str">
        <f aca="false">IF($B1414="","",IF(COUNTIFS($B$3:$B1414,$B1414)&gt;1,"",$K1414+$L1414))</f>
        <v/>
      </c>
      <c r="N1414" s="14" t="str">
        <f aca="false">IF($B1414="","",COUNTIFS($B$3:$B1414,$B1414))</f>
        <v/>
      </c>
      <c r="O1414" s="14" t="str">
        <f aca="false">IF($B1414="","",$B1414&amp;"|"&amp;$N1414)</f>
        <v/>
      </c>
    </row>
    <row r="1415" customFormat="false" ht="15" hidden="false" customHeight="false" outlineLevel="0" collapsed="false">
      <c r="A1415" s="12"/>
      <c r="B1415" s="9"/>
      <c r="C1415" s="9"/>
      <c r="D1415" s="9"/>
      <c r="E1415" s="9"/>
      <c r="F1415" s="9"/>
      <c r="G1415" s="9"/>
      <c r="H1415" s="7"/>
      <c r="I1415" s="13" t="str">
        <f aca="false">IF(OR($G1415="",$H1415=""),"",ROUND($G1415*$H1415,0))</f>
        <v/>
      </c>
      <c r="J1415" s="8"/>
      <c r="K1415" s="13" t="str">
        <f aca="false">IF($B1415="","",SUMIFS($I$3:$I$2002,$B$3:$B$2002,$B1415))</f>
        <v/>
      </c>
      <c r="L1415" s="13" t="str">
        <f aca="false">IF($B1415="","",IF(COUNTIFS($B$3:$B1415,$B1415)&gt;1,0,IFERROR(LOOKUP($K1415,배송비규정!$A$3:$A$32,배송비규정!$B$3:$B$32),0)+IFERROR(INDEX(지역추가비!$B$3:$B$42,MATCH($J1415,지역추가비!$A$3:$A$42,0)),0)))</f>
        <v/>
      </c>
      <c r="M1415" s="13" t="str">
        <f aca="false">IF($B1415="","",IF(COUNTIFS($B$3:$B1415,$B1415)&gt;1,"",$K1415+$L1415))</f>
        <v/>
      </c>
      <c r="N1415" s="14" t="str">
        <f aca="false">IF($B1415="","",COUNTIFS($B$3:$B1415,$B1415))</f>
        <v/>
      </c>
      <c r="O1415" s="14" t="str">
        <f aca="false">IF($B1415="","",$B1415&amp;"|"&amp;$N1415)</f>
        <v/>
      </c>
    </row>
    <row r="1416" customFormat="false" ht="15" hidden="false" customHeight="false" outlineLevel="0" collapsed="false">
      <c r="A1416" s="12"/>
      <c r="B1416" s="9"/>
      <c r="C1416" s="9"/>
      <c r="D1416" s="9"/>
      <c r="E1416" s="9"/>
      <c r="F1416" s="9"/>
      <c r="G1416" s="9"/>
      <c r="H1416" s="7"/>
      <c r="I1416" s="13" t="str">
        <f aca="false">IF(OR($G1416="",$H1416=""),"",ROUND($G1416*$H1416,0))</f>
        <v/>
      </c>
      <c r="J1416" s="8"/>
      <c r="K1416" s="13" t="str">
        <f aca="false">IF($B1416="","",SUMIFS($I$3:$I$2002,$B$3:$B$2002,$B1416))</f>
        <v/>
      </c>
      <c r="L1416" s="13" t="str">
        <f aca="false">IF($B1416="","",IF(COUNTIFS($B$3:$B1416,$B1416)&gt;1,0,IFERROR(LOOKUP($K1416,배송비규정!$A$3:$A$32,배송비규정!$B$3:$B$32),0)+IFERROR(INDEX(지역추가비!$B$3:$B$42,MATCH($J1416,지역추가비!$A$3:$A$42,0)),0)))</f>
        <v/>
      </c>
      <c r="M1416" s="13" t="str">
        <f aca="false">IF($B1416="","",IF(COUNTIFS($B$3:$B1416,$B1416)&gt;1,"",$K1416+$L1416))</f>
        <v/>
      </c>
      <c r="N1416" s="14" t="str">
        <f aca="false">IF($B1416="","",COUNTIFS($B$3:$B1416,$B1416))</f>
        <v/>
      </c>
      <c r="O1416" s="14" t="str">
        <f aca="false">IF($B1416="","",$B1416&amp;"|"&amp;$N1416)</f>
        <v/>
      </c>
    </row>
    <row r="1417" customFormat="false" ht="15" hidden="false" customHeight="false" outlineLevel="0" collapsed="false">
      <c r="A1417" s="12"/>
      <c r="B1417" s="9"/>
      <c r="C1417" s="9"/>
      <c r="D1417" s="9"/>
      <c r="E1417" s="9"/>
      <c r="F1417" s="9"/>
      <c r="G1417" s="9"/>
      <c r="H1417" s="7"/>
      <c r="I1417" s="13" t="str">
        <f aca="false">IF(OR($G1417="",$H1417=""),"",ROUND($G1417*$H1417,0))</f>
        <v/>
      </c>
      <c r="J1417" s="8"/>
      <c r="K1417" s="13" t="str">
        <f aca="false">IF($B1417="","",SUMIFS($I$3:$I$2002,$B$3:$B$2002,$B1417))</f>
        <v/>
      </c>
      <c r="L1417" s="13" t="str">
        <f aca="false">IF($B1417="","",IF(COUNTIFS($B$3:$B1417,$B1417)&gt;1,0,IFERROR(LOOKUP($K1417,배송비규정!$A$3:$A$32,배송비규정!$B$3:$B$32),0)+IFERROR(INDEX(지역추가비!$B$3:$B$42,MATCH($J1417,지역추가비!$A$3:$A$42,0)),0)))</f>
        <v/>
      </c>
      <c r="M1417" s="13" t="str">
        <f aca="false">IF($B1417="","",IF(COUNTIFS($B$3:$B1417,$B1417)&gt;1,"",$K1417+$L1417))</f>
        <v/>
      </c>
      <c r="N1417" s="14" t="str">
        <f aca="false">IF($B1417="","",COUNTIFS($B$3:$B1417,$B1417))</f>
        <v/>
      </c>
      <c r="O1417" s="14" t="str">
        <f aca="false">IF($B1417="","",$B1417&amp;"|"&amp;$N1417)</f>
        <v/>
      </c>
    </row>
    <row r="1418" customFormat="false" ht="15" hidden="false" customHeight="false" outlineLevel="0" collapsed="false">
      <c r="A1418" s="12"/>
      <c r="B1418" s="9"/>
      <c r="C1418" s="9"/>
      <c r="D1418" s="9"/>
      <c r="E1418" s="9"/>
      <c r="F1418" s="9"/>
      <c r="G1418" s="9"/>
      <c r="H1418" s="7"/>
      <c r="I1418" s="13" t="str">
        <f aca="false">IF(OR($G1418="",$H1418=""),"",ROUND($G1418*$H1418,0))</f>
        <v/>
      </c>
      <c r="J1418" s="8"/>
      <c r="K1418" s="13" t="str">
        <f aca="false">IF($B1418="","",SUMIFS($I$3:$I$2002,$B$3:$B$2002,$B1418))</f>
        <v/>
      </c>
      <c r="L1418" s="13" t="str">
        <f aca="false">IF($B1418="","",IF(COUNTIFS($B$3:$B1418,$B1418)&gt;1,0,IFERROR(LOOKUP($K1418,배송비규정!$A$3:$A$32,배송비규정!$B$3:$B$32),0)+IFERROR(INDEX(지역추가비!$B$3:$B$42,MATCH($J1418,지역추가비!$A$3:$A$42,0)),0)))</f>
        <v/>
      </c>
      <c r="M1418" s="13" t="str">
        <f aca="false">IF($B1418="","",IF(COUNTIFS($B$3:$B1418,$B1418)&gt;1,"",$K1418+$L1418))</f>
        <v/>
      </c>
      <c r="N1418" s="14" t="str">
        <f aca="false">IF($B1418="","",COUNTIFS($B$3:$B1418,$B1418))</f>
        <v/>
      </c>
      <c r="O1418" s="14" t="str">
        <f aca="false">IF($B1418="","",$B1418&amp;"|"&amp;$N1418)</f>
        <v/>
      </c>
    </row>
    <row r="1419" customFormat="false" ht="15" hidden="false" customHeight="false" outlineLevel="0" collapsed="false">
      <c r="A1419" s="12"/>
      <c r="B1419" s="9"/>
      <c r="C1419" s="9"/>
      <c r="D1419" s="9"/>
      <c r="E1419" s="9"/>
      <c r="F1419" s="9"/>
      <c r="G1419" s="9"/>
      <c r="H1419" s="7"/>
      <c r="I1419" s="13" t="str">
        <f aca="false">IF(OR($G1419="",$H1419=""),"",ROUND($G1419*$H1419,0))</f>
        <v/>
      </c>
      <c r="J1419" s="8"/>
      <c r="K1419" s="13" t="str">
        <f aca="false">IF($B1419="","",SUMIFS($I$3:$I$2002,$B$3:$B$2002,$B1419))</f>
        <v/>
      </c>
      <c r="L1419" s="13" t="str">
        <f aca="false">IF($B1419="","",IF(COUNTIFS($B$3:$B1419,$B1419)&gt;1,0,IFERROR(LOOKUP($K1419,배송비규정!$A$3:$A$32,배송비규정!$B$3:$B$32),0)+IFERROR(INDEX(지역추가비!$B$3:$B$42,MATCH($J1419,지역추가비!$A$3:$A$42,0)),0)))</f>
        <v/>
      </c>
      <c r="M1419" s="13" t="str">
        <f aca="false">IF($B1419="","",IF(COUNTIFS($B$3:$B1419,$B1419)&gt;1,"",$K1419+$L1419))</f>
        <v/>
      </c>
      <c r="N1419" s="14" t="str">
        <f aca="false">IF($B1419="","",COUNTIFS($B$3:$B1419,$B1419))</f>
        <v/>
      </c>
      <c r="O1419" s="14" t="str">
        <f aca="false">IF($B1419="","",$B1419&amp;"|"&amp;$N1419)</f>
        <v/>
      </c>
    </row>
    <row r="1420" customFormat="false" ht="15" hidden="false" customHeight="false" outlineLevel="0" collapsed="false">
      <c r="A1420" s="12"/>
      <c r="B1420" s="9"/>
      <c r="C1420" s="9"/>
      <c r="D1420" s="9"/>
      <c r="E1420" s="9"/>
      <c r="F1420" s="9"/>
      <c r="G1420" s="9"/>
      <c r="H1420" s="7"/>
      <c r="I1420" s="13" t="str">
        <f aca="false">IF(OR($G1420="",$H1420=""),"",ROUND($G1420*$H1420,0))</f>
        <v/>
      </c>
      <c r="J1420" s="8"/>
      <c r="K1420" s="13" t="str">
        <f aca="false">IF($B1420="","",SUMIFS($I$3:$I$2002,$B$3:$B$2002,$B1420))</f>
        <v/>
      </c>
      <c r="L1420" s="13" t="str">
        <f aca="false">IF($B1420="","",IF(COUNTIFS($B$3:$B1420,$B1420)&gt;1,0,IFERROR(LOOKUP($K1420,배송비규정!$A$3:$A$32,배송비규정!$B$3:$B$32),0)+IFERROR(INDEX(지역추가비!$B$3:$B$42,MATCH($J1420,지역추가비!$A$3:$A$42,0)),0)))</f>
        <v/>
      </c>
      <c r="M1420" s="13" t="str">
        <f aca="false">IF($B1420="","",IF(COUNTIFS($B$3:$B1420,$B1420)&gt;1,"",$K1420+$L1420))</f>
        <v/>
      </c>
      <c r="N1420" s="14" t="str">
        <f aca="false">IF($B1420="","",COUNTIFS($B$3:$B1420,$B1420))</f>
        <v/>
      </c>
      <c r="O1420" s="14" t="str">
        <f aca="false">IF($B1420="","",$B1420&amp;"|"&amp;$N1420)</f>
        <v/>
      </c>
    </row>
    <row r="1421" customFormat="false" ht="15" hidden="false" customHeight="false" outlineLevel="0" collapsed="false">
      <c r="A1421" s="12"/>
      <c r="B1421" s="9"/>
      <c r="C1421" s="9"/>
      <c r="D1421" s="9"/>
      <c r="E1421" s="9"/>
      <c r="F1421" s="9"/>
      <c r="G1421" s="9"/>
      <c r="H1421" s="7"/>
      <c r="I1421" s="13" t="str">
        <f aca="false">IF(OR($G1421="",$H1421=""),"",ROUND($G1421*$H1421,0))</f>
        <v/>
      </c>
      <c r="J1421" s="8"/>
      <c r="K1421" s="13" t="str">
        <f aca="false">IF($B1421="","",SUMIFS($I$3:$I$2002,$B$3:$B$2002,$B1421))</f>
        <v/>
      </c>
      <c r="L1421" s="13" t="str">
        <f aca="false">IF($B1421="","",IF(COUNTIFS($B$3:$B1421,$B1421)&gt;1,0,IFERROR(LOOKUP($K1421,배송비규정!$A$3:$A$32,배송비규정!$B$3:$B$32),0)+IFERROR(INDEX(지역추가비!$B$3:$B$42,MATCH($J1421,지역추가비!$A$3:$A$42,0)),0)))</f>
        <v/>
      </c>
      <c r="M1421" s="13" t="str">
        <f aca="false">IF($B1421="","",IF(COUNTIFS($B$3:$B1421,$B1421)&gt;1,"",$K1421+$L1421))</f>
        <v/>
      </c>
      <c r="N1421" s="14" t="str">
        <f aca="false">IF($B1421="","",COUNTIFS($B$3:$B1421,$B1421))</f>
        <v/>
      </c>
      <c r="O1421" s="14" t="str">
        <f aca="false">IF($B1421="","",$B1421&amp;"|"&amp;$N1421)</f>
        <v/>
      </c>
    </row>
    <row r="1422" customFormat="false" ht="15" hidden="false" customHeight="false" outlineLevel="0" collapsed="false">
      <c r="A1422" s="12"/>
      <c r="B1422" s="9"/>
      <c r="C1422" s="9"/>
      <c r="D1422" s="9"/>
      <c r="E1422" s="9"/>
      <c r="F1422" s="9"/>
      <c r="G1422" s="9"/>
      <c r="H1422" s="7"/>
      <c r="I1422" s="13" t="str">
        <f aca="false">IF(OR($G1422="",$H1422=""),"",ROUND($G1422*$H1422,0))</f>
        <v/>
      </c>
      <c r="J1422" s="8"/>
      <c r="K1422" s="13" t="str">
        <f aca="false">IF($B1422="","",SUMIFS($I$3:$I$2002,$B$3:$B$2002,$B1422))</f>
        <v/>
      </c>
      <c r="L1422" s="13" t="str">
        <f aca="false">IF($B1422="","",IF(COUNTIFS($B$3:$B1422,$B1422)&gt;1,0,IFERROR(LOOKUP($K1422,배송비규정!$A$3:$A$32,배송비규정!$B$3:$B$32),0)+IFERROR(INDEX(지역추가비!$B$3:$B$42,MATCH($J1422,지역추가비!$A$3:$A$42,0)),0)))</f>
        <v/>
      </c>
      <c r="M1422" s="13" t="str">
        <f aca="false">IF($B1422="","",IF(COUNTIFS($B$3:$B1422,$B1422)&gt;1,"",$K1422+$L1422))</f>
        <v/>
      </c>
      <c r="N1422" s="14" t="str">
        <f aca="false">IF($B1422="","",COUNTIFS($B$3:$B1422,$B1422))</f>
        <v/>
      </c>
      <c r="O1422" s="14" t="str">
        <f aca="false">IF($B1422="","",$B1422&amp;"|"&amp;$N1422)</f>
        <v/>
      </c>
    </row>
    <row r="1423" customFormat="false" ht="15" hidden="false" customHeight="false" outlineLevel="0" collapsed="false">
      <c r="A1423" s="12"/>
      <c r="B1423" s="9"/>
      <c r="C1423" s="9"/>
      <c r="D1423" s="9"/>
      <c r="E1423" s="9"/>
      <c r="F1423" s="9"/>
      <c r="G1423" s="9"/>
      <c r="H1423" s="7"/>
      <c r="I1423" s="13" t="str">
        <f aca="false">IF(OR($G1423="",$H1423=""),"",ROUND($G1423*$H1423,0))</f>
        <v/>
      </c>
      <c r="J1423" s="8"/>
      <c r="K1423" s="13" t="str">
        <f aca="false">IF($B1423="","",SUMIFS($I$3:$I$2002,$B$3:$B$2002,$B1423))</f>
        <v/>
      </c>
      <c r="L1423" s="13" t="str">
        <f aca="false">IF($B1423="","",IF(COUNTIFS($B$3:$B1423,$B1423)&gt;1,0,IFERROR(LOOKUP($K1423,배송비규정!$A$3:$A$32,배송비규정!$B$3:$B$32),0)+IFERROR(INDEX(지역추가비!$B$3:$B$42,MATCH($J1423,지역추가비!$A$3:$A$42,0)),0)))</f>
        <v/>
      </c>
      <c r="M1423" s="13" t="str">
        <f aca="false">IF($B1423="","",IF(COUNTIFS($B$3:$B1423,$B1423)&gt;1,"",$K1423+$L1423))</f>
        <v/>
      </c>
      <c r="N1423" s="14" t="str">
        <f aca="false">IF($B1423="","",COUNTIFS($B$3:$B1423,$B1423))</f>
        <v/>
      </c>
      <c r="O1423" s="14" t="str">
        <f aca="false">IF($B1423="","",$B1423&amp;"|"&amp;$N1423)</f>
        <v/>
      </c>
    </row>
    <row r="1424" customFormat="false" ht="15" hidden="false" customHeight="false" outlineLevel="0" collapsed="false">
      <c r="A1424" s="12"/>
      <c r="B1424" s="9"/>
      <c r="C1424" s="9"/>
      <c r="D1424" s="9"/>
      <c r="E1424" s="9"/>
      <c r="F1424" s="9"/>
      <c r="G1424" s="9"/>
      <c r="H1424" s="7"/>
      <c r="I1424" s="13" t="str">
        <f aca="false">IF(OR($G1424="",$H1424=""),"",ROUND($G1424*$H1424,0))</f>
        <v/>
      </c>
      <c r="J1424" s="8"/>
      <c r="K1424" s="13" t="str">
        <f aca="false">IF($B1424="","",SUMIFS($I$3:$I$2002,$B$3:$B$2002,$B1424))</f>
        <v/>
      </c>
      <c r="L1424" s="13" t="str">
        <f aca="false">IF($B1424="","",IF(COUNTIFS($B$3:$B1424,$B1424)&gt;1,0,IFERROR(LOOKUP($K1424,배송비규정!$A$3:$A$32,배송비규정!$B$3:$B$32),0)+IFERROR(INDEX(지역추가비!$B$3:$B$42,MATCH($J1424,지역추가비!$A$3:$A$42,0)),0)))</f>
        <v/>
      </c>
      <c r="M1424" s="13" t="str">
        <f aca="false">IF($B1424="","",IF(COUNTIFS($B$3:$B1424,$B1424)&gt;1,"",$K1424+$L1424))</f>
        <v/>
      </c>
      <c r="N1424" s="14" t="str">
        <f aca="false">IF($B1424="","",COUNTIFS($B$3:$B1424,$B1424))</f>
        <v/>
      </c>
      <c r="O1424" s="14" t="str">
        <f aca="false">IF($B1424="","",$B1424&amp;"|"&amp;$N1424)</f>
        <v/>
      </c>
    </row>
    <row r="1425" customFormat="false" ht="15" hidden="false" customHeight="false" outlineLevel="0" collapsed="false">
      <c r="A1425" s="12"/>
      <c r="B1425" s="9"/>
      <c r="C1425" s="9"/>
      <c r="D1425" s="9"/>
      <c r="E1425" s="9"/>
      <c r="F1425" s="9"/>
      <c r="G1425" s="9"/>
      <c r="H1425" s="7"/>
      <c r="I1425" s="13" t="str">
        <f aca="false">IF(OR($G1425="",$H1425=""),"",ROUND($G1425*$H1425,0))</f>
        <v/>
      </c>
      <c r="J1425" s="8"/>
      <c r="K1425" s="13" t="str">
        <f aca="false">IF($B1425="","",SUMIFS($I$3:$I$2002,$B$3:$B$2002,$B1425))</f>
        <v/>
      </c>
      <c r="L1425" s="13" t="str">
        <f aca="false">IF($B1425="","",IF(COUNTIFS($B$3:$B1425,$B1425)&gt;1,0,IFERROR(LOOKUP($K1425,배송비규정!$A$3:$A$32,배송비규정!$B$3:$B$32),0)+IFERROR(INDEX(지역추가비!$B$3:$B$42,MATCH($J1425,지역추가비!$A$3:$A$42,0)),0)))</f>
        <v/>
      </c>
      <c r="M1425" s="13" t="str">
        <f aca="false">IF($B1425="","",IF(COUNTIFS($B$3:$B1425,$B1425)&gt;1,"",$K1425+$L1425))</f>
        <v/>
      </c>
      <c r="N1425" s="14" t="str">
        <f aca="false">IF($B1425="","",COUNTIFS($B$3:$B1425,$B1425))</f>
        <v/>
      </c>
      <c r="O1425" s="14" t="str">
        <f aca="false">IF($B1425="","",$B1425&amp;"|"&amp;$N1425)</f>
        <v/>
      </c>
    </row>
    <row r="1426" customFormat="false" ht="15" hidden="false" customHeight="false" outlineLevel="0" collapsed="false">
      <c r="A1426" s="12"/>
      <c r="B1426" s="9"/>
      <c r="C1426" s="9"/>
      <c r="D1426" s="9"/>
      <c r="E1426" s="9"/>
      <c r="F1426" s="9"/>
      <c r="G1426" s="9"/>
      <c r="H1426" s="7"/>
      <c r="I1426" s="13" t="str">
        <f aca="false">IF(OR($G1426="",$H1426=""),"",ROUND($G1426*$H1426,0))</f>
        <v/>
      </c>
      <c r="J1426" s="8"/>
      <c r="K1426" s="13" t="str">
        <f aca="false">IF($B1426="","",SUMIFS($I$3:$I$2002,$B$3:$B$2002,$B1426))</f>
        <v/>
      </c>
      <c r="L1426" s="13" t="str">
        <f aca="false">IF($B1426="","",IF(COUNTIFS($B$3:$B1426,$B1426)&gt;1,0,IFERROR(LOOKUP($K1426,배송비규정!$A$3:$A$32,배송비규정!$B$3:$B$32),0)+IFERROR(INDEX(지역추가비!$B$3:$B$42,MATCH($J1426,지역추가비!$A$3:$A$42,0)),0)))</f>
        <v/>
      </c>
      <c r="M1426" s="13" t="str">
        <f aca="false">IF($B1426="","",IF(COUNTIFS($B$3:$B1426,$B1426)&gt;1,"",$K1426+$L1426))</f>
        <v/>
      </c>
      <c r="N1426" s="14" t="str">
        <f aca="false">IF($B1426="","",COUNTIFS($B$3:$B1426,$B1426))</f>
        <v/>
      </c>
      <c r="O1426" s="14" t="str">
        <f aca="false">IF($B1426="","",$B1426&amp;"|"&amp;$N1426)</f>
        <v/>
      </c>
    </row>
    <row r="1427" customFormat="false" ht="15" hidden="false" customHeight="false" outlineLevel="0" collapsed="false">
      <c r="A1427" s="12"/>
      <c r="B1427" s="9"/>
      <c r="C1427" s="9"/>
      <c r="D1427" s="9"/>
      <c r="E1427" s="9"/>
      <c r="F1427" s="9"/>
      <c r="G1427" s="9"/>
      <c r="H1427" s="7"/>
      <c r="I1427" s="13" t="str">
        <f aca="false">IF(OR($G1427="",$H1427=""),"",ROUND($G1427*$H1427,0))</f>
        <v/>
      </c>
      <c r="J1427" s="8"/>
      <c r="K1427" s="13" t="str">
        <f aca="false">IF($B1427="","",SUMIFS($I$3:$I$2002,$B$3:$B$2002,$B1427))</f>
        <v/>
      </c>
      <c r="L1427" s="13" t="str">
        <f aca="false">IF($B1427="","",IF(COUNTIFS($B$3:$B1427,$B1427)&gt;1,0,IFERROR(LOOKUP($K1427,배송비규정!$A$3:$A$32,배송비규정!$B$3:$B$32),0)+IFERROR(INDEX(지역추가비!$B$3:$B$42,MATCH($J1427,지역추가비!$A$3:$A$42,0)),0)))</f>
        <v/>
      </c>
      <c r="M1427" s="13" t="str">
        <f aca="false">IF($B1427="","",IF(COUNTIFS($B$3:$B1427,$B1427)&gt;1,"",$K1427+$L1427))</f>
        <v/>
      </c>
      <c r="N1427" s="14" t="str">
        <f aca="false">IF($B1427="","",COUNTIFS($B$3:$B1427,$B1427))</f>
        <v/>
      </c>
      <c r="O1427" s="14" t="str">
        <f aca="false">IF($B1427="","",$B1427&amp;"|"&amp;$N1427)</f>
        <v/>
      </c>
    </row>
    <row r="1428" customFormat="false" ht="15" hidden="false" customHeight="false" outlineLevel="0" collapsed="false">
      <c r="A1428" s="12"/>
      <c r="B1428" s="9"/>
      <c r="C1428" s="9"/>
      <c r="D1428" s="9"/>
      <c r="E1428" s="9"/>
      <c r="F1428" s="9"/>
      <c r="G1428" s="9"/>
      <c r="H1428" s="7"/>
      <c r="I1428" s="13" t="str">
        <f aca="false">IF(OR($G1428="",$H1428=""),"",ROUND($G1428*$H1428,0))</f>
        <v/>
      </c>
      <c r="J1428" s="8"/>
      <c r="K1428" s="13" t="str">
        <f aca="false">IF($B1428="","",SUMIFS($I$3:$I$2002,$B$3:$B$2002,$B1428))</f>
        <v/>
      </c>
      <c r="L1428" s="13" t="str">
        <f aca="false">IF($B1428="","",IF(COUNTIFS($B$3:$B1428,$B1428)&gt;1,0,IFERROR(LOOKUP($K1428,배송비규정!$A$3:$A$32,배송비규정!$B$3:$B$32),0)+IFERROR(INDEX(지역추가비!$B$3:$B$42,MATCH($J1428,지역추가비!$A$3:$A$42,0)),0)))</f>
        <v/>
      </c>
      <c r="M1428" s="13" t="str">
        <f aca="false">IF($B1428="","",IF(COUNTIFS($B$3:$B1428,$B1428)&gt;1,"",$K1428+$L1428))</f>
        <v/>
      </c>
      <c r="N1428" s="14" t="str">
        <f aca="false">IF($B1428="","",COUNTIFS($B$3:$B1428,$B1428))</f>
        <v/>
      </c>
      <c r="O1428" s="14" t="str">
        <f aca="false">IF($B1428="","",$B1428&amp;"|"&amp;$N1428)</f>
        <v/>
      </c>
    </row>
    <row r="1429" customFormat="false" ht="15" hidden="false" customHeight="false" outlineLevel="0" collapsed="false">
      <c r="A1429" s="12"/>
      <c r="B1429" s="9"/>
      <c r="C1429" s="9"/>
      <c r="D1429" s="9"/>
      <c r="E1429" s="9"/>
      <c r="F1429" s="9"/>
      <c r="G1429" s="9"/>
      <c r="H1429" s="7"/>
      <c r="I1429" s="13" t="str">
        <f aca="false">IF(OR($G1429="",$H1429=""),"",ROUND($G1429*$H1429,0))</f>
        <v/>
      </c>
      <c r="J1429" s="8"/>
      <c r="K1429" s="13" t="str">
        <f aca="false">IF($B1429="","",SUMIFS($I$3:$I$2002,$B$3:$B$2002,$B1429))</f>
        <v/>
      </c>
      <c r="L1429" s="13" t="str">
        <f aca="false">IF($B1429="","",IF(COUNTIFS($B$3:$B1429,$B1429)&gt;1,0,IFERROR(LOOKUP($K1429,배송비규정!$A$3:$A$32,배송비규정!$B$3:$B$32),0)+IFERROR(INDEX(지역추가비!$B$3:$B$42,MATCH($J1429,지역추가비!$A$3:$A$42,0)),0)))</f>
        <v/>
      </c>
      <c r="M1429" s="13" t="str">
        <f aca="false">IF($B1429="","",IF(COUNTIFS($B$3:$B1429,$B1429)&gt;1,"",$K1429+$L1429))</f>
        <v/>
      </c>
      <c r="N1429" s="14" t="str">
        <f aca="false">IF($B1429="","",COUNTIFS($B$3:$B1429,$B1429))</f>
        <v/>
      </c>
      <c r="O1429" s="14" t="str">
        <f aca="false">IF($B1429="","",$B1429&amp;"|"&amp;$N1429)</f>
        <v/>
      </c>
    </row>
    <row r="1430" customFormat="false" ht="15" hidden="false" customHeight="false" outlineLevel="0" collapsed="false">
      <c r="A1430" s="12"/>
      <c r="B1430" s="9"/>
      <c r="C1430" s="9"/>
      <c r="D1430" s="9"/>
      <c r="E1430" s="9"/>
      <c r="F1430" s="9"/>
      <c r="G1430" s="9"/>
      <c r="H1430" s="7"/>
      <c r="I1430" s="13" t="str">
        <f aca="false">IF(OR($G1430="",$H1430=""),"",ROUND($G1430*$H1430,0))</f>
        <v/>
      </c>
      <c r="J1430" s="8"/>
      <c r="K1430" s="13" t="str">
        <f aca="false">IF($B1430="","",SUMIFS($I$3:$I$2002,$B$3:$B$2002,$B1430))</f>
        <v/>
      </c>
      <c r="L1430" s="13" t="str">
        <f aca="false">IF($B1430="","",IF(COUNTIFS($B$3:$B1430,$B1430)&gt;1,0,IFERROR(LOOKUP($K1430,배송비규정!$A$3:$A$32,배송비규정!$B$3:$B$32),0)+IFERROR(INDEX(지역추가비!$B$3:$B$42,MATCH($J1430,지역추가비!$A$3:$A$42,0)),0)))</f>
        <v/>
      </c>
      <c r="M1430" s="13" t="str">
        <f aca="false">IF($B1430="","",IF(COUNTIFS($B$3:$B1430,$B1430)&gt;1,"",$K1430+$L1430))</f>
        <v/>
      </c>
      <c r="N1430" s="14" t="str">
        <f aca="false">IF($B1430="","",COUNTIFS($B$3:$B1430,$B1430))</f>
        <v/>
      </c>
      <c r="O1430" s="14" t="str">
        <f aca="false">IF($B1430="","",$B1430&amp;"|"&amp;$N1430)</f>
        <v/>
      </c>
    </row>
    <row r="1431" customFormat="false" ht="15" hidden="false" customHeight="false" outlineLevel="0" collapsed="false">
      <c r="A1431" s="12"/>
      <c r="B1431" s="9"/>
      <c r="C1431" s="9"/>
      <c r="D1431" s="9"/>
      <c r="E1431" s="9"/>
      <c r="F1431" s="9"/>
      <c r="G1431" s="9"/>
      <c r="H1431" s="7"/>
      <c r="I1431" s="13" t="str">
        <f aca="false">IF(OR($G1431="",$H1431=""),"",ROUND($G1431*$H1431,0))</f>
        <v/>
      </c>
      <c r="J1431" s="8"/>
      <c r="K1431" s="13" t="str">
        <f aca="false">IF($B1431="","",SUMIFS($I$3:$I$2002,$B$3:$B$2002,$B1431))</f>
        <v/>
      </c>
      <c r="L1431" s="13" t="str">
        <f aca="false">IF($B1431="","",IF(COUNTIFS($B$3:$B1431,$B1431)&gt;1,0,IFERROR(LOOKUP($K1431,배송비규정!$A$3:$A$32,배송비규정!$B$3:$B$32),0)+IFERROR(INDEX(지역추가비!$B$3:$B$42,MATCH($J1431,지역추가비!$A$3:$A$42,0)),0)))</f>
        <v/>
      </c>
      <c r="M1431" s="13" t="str">
        <f aca="false">IF($B1431="","",IF(COUNTIFS($B$3:$B1431,$B1431)&gt;1,"",$K1431+$L1431))</f>
        <v/>
      </c>
      <c r="N1431" s="14" t="str">
        <f aca="false">IF($B1431="","",COUNTIFS($B$3:$B1431,$B1431))</f>
        <v/>
      </c>
      <c r="O1431" s="14" t="str">
        <f aca="false">IF($B1431="","",$B1431&amp;"|"&amp;$N1431)</f>
        <v/>
      </c>
    </row>
    <row r="1432" customFormat="false" ht="15" hidden="false" customHeight="false" outlineLevel="0" collapsed="false">
      <c r="A1432" s="12"/>
      <c r="B1432" s="9"/>
      <c r="C1432" s="9"/>
      <c r="D1432" s="9"/>
      <c r="E1432" s="9"/>
      <c r="F1432" s="9"/>
      <c r="G1432" s="9"/>
      <c r="H1432" s="7"/>
      <c r="I1432" s="13" t="str">
        <f aca="false">IF(OR($G1432="",$H1432=""),"",ROUND($G1432*$H1432,0))</f>
        <v/>
      </c>
      <c r="J1432" s="8"/>
      <c r="K1432" s="13" t="str">
        <f aca="false">IF($B1432="","",SUMIFS($I$3:$I$2002,$B$3:$B$2002,$B1432))</f>
        <v/>
      </c>
      <c r="L1432" s="13" t="str">
        <f aca="false">IF($B1432="","",IF(COUNTIFS($B$3:$B1432,$B1432)&gt;1,0,IFERROR(LOOKUP($K1432,배송비규정!$A$3:$A$32,배송비규정!$B$3:$B$32),0)+IFERROR(INDEX(지역추가비!$B$3:$B$42,MATCH($J1432,지역추가비!$A$3:$A$42,0)),0)))</f>
        <v/>
      </c>
      <c r="M1432" s="13" t="str">
        <f aca="false">IF($B1432="","",IF(COUNTIFS($B$3:$B1432,$B1432)&gt;1,"",$K1432+$L1432))</f>
        <v/>
      </c>
      <c r="N1432" s="14" t="str">
        <f aca="false">IF($B1432="","",COUNTIFS($B$3:$B1432,$B1432))</f>
        <v/>
      </c>
      <c r="O1432" s="14" t="str">
        <f aca="false">IF($B1432="","",$B1432&amp;"|"&amp;$N1432)</f>
        <v/>
      </c>
    </row>
    <row r="1433" customFormat="false" ht="15" hidden="false" customHeight="false" outlineLevel="0" collapsed="false">
      <c r="A1433" s="12"/>
      <c r="B1433" s="9"/>
      <c r="C1433" s="9"/>
      <c r="D1433" s="9"/>
      <c r="E1433" s="9"/>
      <c r="F1433" s="9"/>
      <c r="G1433" s="9"/>
      <c r="H1433" s="7"/>
      <c r="I1433" s="13" t="str">
        <f aca="false">IF(OR($G1433="",$H1433=""),"",ROUND($G1433*$H1433,0))</f>
        <v/>
      </c>
      <c r="J1433" s="8"/>
      <c r="K1433" s="13" t="str">
        <f aca="false">IF($B1433="","",SUMIFS($I$3:$I$2002,$B$3:$B$2002,$B1433))</f>
        <v/>
      </c>
      <c r="L1433" s="13" t="str">
        <f aca="false">IF($B1433="","",IF(COUNTIFS($B$3:$B1433,$B1433)&gt;1,0,IFERROR(LOOKUP($K1433,배송비규정!$A$3:$A$32,배송비규정!$B$3:$B$32),0)+IFERROR(INDEX(지역추가비!$B$3:$B$42,MATCH($J1433,지역추가비!$A$3:$A$42,0)),0)))</f>
        <v/>
      </c>
      <c r="M1433" s="13" t="str">
        <f aca="false">IF($B1433="","",IF(COUNTIFS($B$3:$B1433,$B1433)&gt;1,"",$K1433+$L1433))</f>
        <v/>
      </c>
      <c r="N1433" s="14" t="str">
        <f aca="false">IF($B1433="","",COUNTIFS($B$3:$B1433,$B1433))</f>
        <v/>
      </c>
      <c r="O1433" s="14" t="str">
        <f aca="false">IF($B1433="","",$B1433&amp;"|"&amp;$N1433)</f>
        <v/>
      </c>
    </row>
    <row r="1434" customFormat="false" ht="15" hidden="false" customHeight="false" outlineLevel="0" collapsed="false">
      <c r="A1434" s="12"/>
      <c r="B1434" s="9"/>
      <c r="C1434" s="9"/>
      <c r="D1434" s="9"/>
      <c r="E1434" s="9"/>
      <c r="F1434" s="9"/>
      <c r="G1434" s="9"/>
      <c r="H1434" s="7"/>
      <c r="I1434" s="13" t="str">
        <f aca="false">IF(OR($G1434="",$H1434=""),"",ROUND($G1434*$H1434,0))</f>
        <v/>
      </c>
      <c r="J1434" s="8"/>
      <c r="K1434" s="13" t="str">
        <f aca="false">IF($B1434="","",SUMIFS($I$3:$I$2002,$B$3:$B$2002,$B1434))</f>
        <v/>
      </c>
      <c r="L1434" s="13" t="str">
        <f aca="false">IF($B1434="","",IF(COUNTIFS($B$3:$B1434,$B1434)&gt;1,0,IFERROR(LOOKUP($K1434,배송비규정!$A$3:$A$32,배송비규정!$B$3:$B$32),0)+IFERROR(INDEX(지역추가비!$B$3:$B$42,MATCH($J1434,지역추가비!$A$3:$A$42,0)),0)))</f>
        <v/>
      </c>
      <c r="M1434" s="13" t="str">
        <f aca="false">IF($B1434="","",IF(COUNTIFS($B$3:$B1434,$B1434)&gt;1,"",$K1434+$L1434))</f>
        <v/>
      </c>
      <c r="N1434" s="14" t="str">
        <f aca="false">IF($B1434="","",COUNTIFS($B$3:$B1434,$B1434))</f>
        <v/>
      </c>
      <c r="O1434" s="14" t="str">
        <f aca="false">IF($B1434="","",$B1434&amp;"|"&amp;$N1434)</f>
        <v/>
      </c>
    </row>
    <row r="1435" customFormat="false" ht="15" hidden="false" customHeight="false" outlineLevel="0" collapsed="false">
      <c r="A1435" s="12"/>
      <c r="B1435" s="9"/>
      <c r="C1435" s="9"/>
      <c r="D1435" s="9"/>
      <c r="E1435" s="9"/>
      <c r="F1435" s="9"/>
      <c r="G1435" s="9"/>
      <c r="H1435" s="7"/>
      <c r="I1435" s="13" t="str">
        <f aca="false">IF(OR($G1435="",$H1435=""),"",ROUND($G1435*$H1435,0))</f>
        <v/>
      </c>
      <c r="J1435" s="8"/>
      <c r="K1435" s="13" t="str">
        <f aca="false">IF($B1435="","",SUMIFS($I$3:$I$2002,$B$3:$B$2002,$B1435))</f>
        <v/>
      </c>
      <c r="L1435" s="13" t="str">
        <f aca="false">IF($B1435="","",IF(COUNTIFS($B$3:$B1435,$B1435)&gt;1,0,IFERROR(LOOKUP($K1435,배송비규정!$A$3:$A$32,배송비규정!$B$3:$B$32),0)+IFERROR(INDEX(지역추가비!$B$3:$B$42,MATCH($J1435,지역추가비!$A$3:$A$42,0)),0)))</f>
        <v/>
      </c>
      <c r="M1435" s="13" t="str">
        <f aca="false">IF($B1435="","",IF(COUNTIFS($B$3:$B1435,$B1435)&gt;1,"",$K1435+$L1435))</f>
        <v/>
      </c>
      <c r="N1435" s="14" t="str">
        <f aca="false">IF($B1435="","",COUNTIFS($B$3:$B1435,$B1435))</f>
        <v/>
      </c>
      <c r="O1435" s="14" t="str">
        <f aca="false">IF($B1435="","",$B1435&amp;"|"&amp;$N1435)</f>
        <v/>
      </c>
    </row>
    <row r="1436" customFormat="false" ht="15" hidden="false" customHeight="false" outlineLevel="0" collapsed="false">
      <c r="A1436" s="12"/>
      <c r="B1436" s="9"/>
      <c r="C1436" s="9"/>
      <c r="D1436" s="9"/>
      <c r="E1436" s="9"/>
      <c r="F1436" s="9"/>
      <c r="G1436" s="9"/>
      <c r="H1436" s="7"/>
      <c r="I1436" s="13" t="str">
        <f aca="false">IF(OR($G1436="",$H1436=""),"",ROUND($G1436*$H1436,0))</f>
        <v/>
      </c>
      <c r="J1436" s="8"/>
      <c r="K1436" s="13" t="str">
        <f aca="false">IF($B1436="","",SUMIFS($I$3:$I$2002,$B$3:$B$2002,$B1436))</f>
        <v/>
      </c>
      <c r="L1436" s="13" t="str">
        <f aca="false">IF($B1436="","",IF(COUNTIFS($B$3:$B1436,$B1436)&gt;1,0,IFERROR(LOOKUP($K1436,배송비규정!$A$3:$A$32,배송비규정!$B$3:$B$32),0)+IFERROR(INDEX(지역추가비!$B$3:$B$42,MATCH($J1436,지역추가비!$A$3:$A$42,0)),0)))</f>
        <v/>
      </c>
      <c r="M1436" s="13" t="str">
        <f aca="false">IF($B1436="","",IF(COUNTIFS($B$3:$B1436,$B1436)&gt;1,"",$K1436+$L1436))</f>
        <v/>
      </c>
      <c r="N1436" s="14" t="str">
        <f aca="false">IF($B1436="","",COUNTIFS($B$3:$B1436,$B1436))</f>
        <v/>
      </c>
      <c r="O1436" s="14" t="str">
        <f aca="false">IF($B1436="","",$B1436&amp;"|"&amp;$N1436)</f>
        <v/>
      </c>
    </row>
    <row r="1437" customFormat="false" ht="15" hidden="false" customHeight="false" outlineLevel="0" collapsed="false">
      <c r="A1437" s="12"/>
      <c r="B1437" s="9"/>
      <c r="C1437" s="9"/>
      <c r="D1437" s="9"/>
      <c r="E1437" s="9"/>
      <c r="F1437" s="9"/>
      <c r="G1437" s="9"/>
      <c r="H1437" s="7"/>
      <c r="I1437" s="13" t="str">
        <f aca="false">IF(OR($G1437="",$H1437=""),"",ROUND($G1437*$H1437,0))</f>
        <v/>
      </c>
      <c r="J1437" s="8"/>
      <c r="K1437" s="13" t="str">
        <f aca="false">IF($B1437="","",SUMIFS($I$3:$I$2002,$B$3:$B$2002,$B1437))</f>
        <v/>
      </c>
      <c r="L1437" s="13" t="str">
        <f aca="false">IF($B1437="","",IF(COUNTIFS($B$3:$B1437,$B1437)&gt;1,0,IFERROR(LOOKUP($K1437,배송비규정!$A$3:$A$32,배송비규정!$B$3:$B$32),0)+IFERROR(INDEX(지역추가비!$B$3:$B$42,MATCH($J1437,지역추가비!$A$3:$A$42,0)),0)))</f>
        <v/>
      </c>
      <c r="M1437" s="13" t="str">
        <f aca="false">IF($B1437="","",IF(COUNTIFS($B$3:$B1437,$B1437)&gt;1,"",$K1437+$L1437))</f>
        <v/>
      </c>
      <c r="N1437" s="14" t="str">
        <f aca="false">IF($B1437="","",COUNTIFS($B$3:$B1437,$B1437))</f>
        <v/>
      </c>
      <c r="O1437" s="14" t="str">
        <f aca="false">IF($B1437="","",$B1437&amp;"|"&amp;$N1437)</f>
        <v/>
      </c>
    </row>
    <row r="1438" customFormat="false" ht="15" hidden="false" customHeight="false" outlineLevel="0" collapsed="false">
      <c r="A1438" s="12"/>
      <c r="B1438" s="9"/>
      <c r="C1438" s="9"/>
      <c r="D1438" s="9"/>
      <c r="E1438" s="9"/>
      <c r="F1438" s="9"/>
      <c r="G1438" s="9"/>
      <c r="H1438" s="7"/>
      <c r="I1438" s="13" t="str">
        <f aca="false">IF(OR($G1438="",$H1438=""),"",ROUND($G1438*$H1438,0))</f>
        <v/>
      </c>
      <c r="J1438" s="8"/>
      <c r="K1438" s="13" t="str">
        <f aca="false">IF($B1438="","",SUMIFS($I$3:$I$2002,$B$3:$B$2002,$B1438))</f>
        <v/>
      </c>
      <c r="L1438" s="13" t="str">
        <f aca="false">IF($B1438="","",IF(COUNTIFS($B$3:$B1438,$B1438)&gt;1,0,IFERROR(LOOKUP($K1438,배송비규정!$A$3:$A$32,배송비규정!$B$3:$B$32),0)+IFERROR(INDEX(지역추가비!$B$3:$B$42,MATCH($J1438,지역추가비!$A$3:$A$42,0)),0)))</f>
        <v/>
      </c>
      <c r="M1438" s="13" t="str">
        <f aca="false">IF($B1438="","",IF(COUNTIFS($B$3:$B1438,$B1438)&gt;1,"",$K1438+$L1438))</f>
        <v/>
      </c>
      <c r="N1438" s="14" t="str">
        <f aca="false">IF($B1438="","",COUNTIFS($B$3:$B1438,$B1438))</f>
        <v/>
      </c>
      <c r="O1438" s="14" t="str">
        <f aca="false">IF($B1438="","",$B1438&amp;"|"&amp;$N1438)</f>
        <v/>
      </c>
    </row>
    <row r="1439" customFormat="false" ht="15" hidden="false" customHeight="false" outlineLevel="0" collapsed="false">
      <c r="A1439" s="12"/>
      <c r="B1439" s="9"/>
      <c r="C1439" s="9"/>
      <c r="D1439" s="9"/>
      <c r="E1439" s="9"/>
      <c r="F1439" s="9"/>
      <c r="G1439" s="9"/>
      <c r="H1439" s="7"/>
      <c r="I1439" s="13" t="str">
        <f aca="false">IF(OR($G1439="",$H1439=""),"",ROUND($G1439*$H1439,0))</f>
        <v/>
      </c>
      <c r="J1439" s="8"/>
      <c r="K1439" s="13" t="str">
        <f aca="false">IF($B1439="","",SUMIFS($I$3:$I$2002,$B$3:$B$2002,$B1439))</f>
        <v/>
      </c>
      <c r="L1439" s="13" t="str">
        <f aca="false">IF($B1439="","",IF(COUNTIFS($B$3:$B1439,$B1439)&gt;1,0,IFERROR(LOOKUP($K1439,배송비규정!$A$3:$A$32,배송비규정!$B$3:$B$32),0)+IFERROR(INDEX(지역추가비!$B$3:$B$42,MATCH($J1439,지역추가비!$A$3:$A$42,0)),0)))</f>
        <v/>
      </c>
      <c r="M1439" s="13" t="str">
        <f aca="false">IF($B1439="","",IF(COUNTIFS($B$3:$B1439,$B1439)&gt;1,"",$K1439+$L1439))</f>
        <v/>
      </c>
      <c r="N1439" s="14" t="str">
        <f aca="false">IF($B1439="","",COUNTIFS($B$3:$B1439,$B1439))</f>
        <v/>
      </c>
      <c r="O1439" s="14" t="str">
        <f aca="false">IF($B1439="","",$B1439&amp;"|"&amp;$N1439)</f>
        <v/>
      </c>
    </row>
    <row r="1440" customFormat="false" ht="15" hidden="false" customHeight="false" outlineLevel="0" collapsed="false">
      <c r="A1440" s="12"/>
      <c r="B1440" s="9"/>
      <c r="C1440" s="9"/>
      <c r="D1440" s="9"/>
      <c r="E1440" s="9"/>
      <c r="F1440" s="9"/>
      <c r="G1440" s="9"/>
      <c r="H1440" s="7"/>
      <c r="I1440" s="13" t="str">
        <f aca="false">IF(OR($G1440="",$H1440=""),"",ROUND($G1440*$H1440,0))</f>
        <v/>
      </c>
      <c r="J1440" s="8"/>
      <c r="K1440" s="13" t="str">
        <f aca="false">IF($B1440="","",SUMIFS($I$3:$I$2002,$B$3:$B$2002,$B1440))</f>
        <v/>
      </c>
      <c r="L1440" s="13" t="str">
        <f aca="false">IF($B1440="","",IF(COUNTIFS($B$3:$B1440,$B1440)&gt;1,0,IFERROR(LOOKUP($K1440,배송비규정!$A$3:$A$32,배송비규정!$B$3:$B$32),0)+IFERROR(INDEX(지역추가비!$B$3:$B$42,MATCH($J1440,지역추가비!$A$3:$A$42,0)),0)))</f>
        <v/>
      </c>
      <c r="M1440" s="13" t="str">
        <f aca="false">IF($B1440="","",IF(COUNTIFS($B$3:$B1440,$B1440)&gt;1,"",$K1440+$L1440))</f>
        <v/>
      </c>
      <c r="N1440" s="14" t="str">
        <f aca="false">IF($B1440="","",COUNTIFS($B$3:$B1440,$B1440))</f>
        <v/>
      </c>
      <c r="O1440" s="14" t="str">
        <f aca="false">IF($B1440="","",$B1440&amp;"|"&amp;$N1440)</f>
        <v/>
      </c>
    </row>
    <row r="1441" customFormat="false" ht="15" hidden="false" customHeight="false" outlineLevel="0" collapsed="false">
      <c r="A1441" s="12"/>
      <c r="B1441" s="9"/>
      <c r="C1441" s="9"/>
      <c r="D1441" s="9"/>
      <c r="E1441" s="9"/>
      <c r="F1441" s="9"/>
      <c r="G1441" s="9"/>
      <c r="H1441" s="7"/>
      <c r="I1441" s="13" t="str">
        <f aca="false">IF(OR($G1441="",$H1441=""),"",ROUND($G1441*$H1441,0))</f>
        <v/>
      </c>
      <c r="J1441" s="8"/>
      <c r="K1441" s="13" t="str">
        <f aca="false">IF($B1441="","",SUMIFS($I$3:$I$2002,$B$3:$B$2002,$B1441))</f>
        <v/>
      </c>
      <c r="L1441" s="13" t="str">
        <f aca="false">IF($B1441="","",IF(COUNTIFS($B$3:$B1441,$B1441)&gt;1,0,IFERROR(LOOKUP($K1441,배송비규정!$A$3:$A$32,배송비규정!$B$3:$B$32),0)+IFERROR(INDEX(지역추가비!$B$3:$B$42,MATCH($J1441,지역추가비!$A$3:$A$42,0)),0)))</f>
        <v/>
      </c>
      <c r="M1441" s="13" t="str">
        <f aca="false">IF($B1441="","",IF(COUNTIFS($B$3:$B1441,$B1441)&gt;1,"",$K1441+$L1441))</f>
        <v/>
      </c>
      <c r="N1441" s="14" t="str">
        <f aca="false">IF($B1441="","",COUNTIFS($B$3:$B1441,$B1441))</f>
        <v/>
      </c>
      <c r="O1441" s="14" t="str">
        <f aca="false">IF($B1441="","",$B1441&amp;"|"&amp;$N1441)</f>
        <v/>
      </c>
    </row>
    <row r="1442" customFormat="false" ht="15" hidden="false" customHeight="false" outlineLevel="0" collapsed="false">
      <c r="A1442" s="12"/>
      <c r="B1442" s="9"/>
      <c r="C1442" s="9"/>
      <c r="D1442" s="9"/>
      <c r="E1442" s="9"/>
      <c r="F1442" s="9"/>
      <c r="G1442" s="9"/>
      <c r="H1442" s="7"/>
      <c r="I1442" s="13" t="str">
        <f aca="false">IF(OR($G1442="",$H1442=""),"",ROUND($G1442*$H1442,0))</f>
        <v/>
      </c>
      <c r="J1442" s="8"/>
      <c r="K1442" s="13" t="str">
        <f aca="false">IF($B1442="","",SUMIFS($I$3:$I$2002,$B$3:$B$2002,$B1442))</f>
        <v/>
      </c>
      <c r="L1442" s="13" t="str">
        <f aca="false">IF($B1442="","",IF(COUNTIFS($B$3:$B1442,$B1442)&gt;1,0,IFERROR(LOOKUP($K1442,배송비규정!$A$3:$A$32,배송비규정!$B$3:$B$32),0)+IFERROR(INDEX(지역추가비!$B$3:$B$42,MATCH($J1442,지역추가비!$A$3:$A$42,0)),0)))</f>
        <v/>
      </c>
      <c r="M1442" s="13" t="str">
        <f aca="false">IF($B1442="","",IF(COUNTIFS($B$3:$B1442,$B1442)&gt;1,"",$K1442+$L1442))</f>
        <v/>
      </c>
      <c r="N1442" s="14" t="str">
        <f aca="false">IF($B1442="","",COUNTIFS($B$3:$B1442,$B1442))</f>
        <v/>
      </c>
      <c r="O1442" s="14" t="str">
        <f aca="false">IF($B1442="","",$B1442&amp;"|"&amp;$N1442)</f>
        <v/>
      </c>
    </row>
    <row r="1443" customFormat="false" ht="15" hidden="false" customHeight="false" outlineLevel="0" collapsed="false">
      <c r="A1443" s="12"/>
      <c r="B1443" s="9"/>
      <c r="C1443" s="9"/>
      <c r="D1443" s="9"/>
      <c r="E1443" s="9"/>
      <c r="F1443" s="9"/>
      <c r="G1443" s="9"/>
      <c r="H1443" s="7"/>
      <c r="I1443" s="13" t="str">
        <f aca="false">IF(OR($G1443="",$H1443=""),"",ROUND($G1443*$H1443,0))</f>
        <v/>
      </c>
      <c r="J1443" s="8"/>
      <c r="K1443" s="13" t="str">
        <f aca="false">IF($B1443="","",SUMIFS($I$3:$I$2002,$B$3:$B$2002,$B1443))</f>
        <v/>
      </c>
      <c r="L1443" s="13" t="str">
        <f aca="false">IF($B1443="","",IF(COUNTIFS($B$3:$B1443,$B1443)&gt;1,0,IFERROR(LOOKUP($K1443,배송비규정!$A$3:$A$32,배송비규정!$B$3:$B$32),0)+IFERROR(INDEX(지역추가비!$B$3:$B$42,MATCH($J1443,지역추가비!$A$3:$A$42,0)),0)))</f>
        <v/>
      </c>
      <c r="M1443" s="13" t="str">
        <f aca="false">IF($B1443="","",IF(COUNTIFS($B$3:$B1443,$B1443)&gt;1,"",$K1443+$L1443))</f>
        <v/>
      </c>
      <c r="N1443" s="14" t="str">
        <f aca="false">IF($B1443="","",COUNTIFS($B$3:$B1443,$B1443))</f>
        <v/>
      </c>
      <c r="O1443" s="14" t="str">
        <f aca="false">IF($B1443="","",$B1443&amp;"|"&amp;$N1443)</f>
        <v/>
      </c>
    </row>
    <row r="1444" customFormat="false" ht="15" hidden="false" customHeight="false" outlineLevel="0" collapsed="false">
      <c r="A1444" s="12"/>
      <c r="B1444" s="9"/>
      <c r="C1444" s="9"/>
      <c r="D1444" s="9"/>
      <c r="E1444" s="9"/>
      <c r="F1444" s="9"/>
      <c r="G1444" s="9"/>
      <c r="H1444" s="7"/>
      <c r="I1444" s="13" t="str">
        <f aca="false">IF(OR($G1444="",$H1444=""),"",ROUND($G1444*$H1444,0))</f>
        <v/>
      </c>
      <c r="J1444" s="8"/>
      <c r="K1444" s="13" t="str">
        <f aca="false">IF($B1444="","",SUMIFS($I$3:$I$2002,$B$3:$B$2002,$B1444))</f>
        <v/>
      </c>
      <c r="L1444" s="13" t="str">
        <f aca="false">IF($B1444="","",IF(COUNTIFS($B$3:$B1444,$B1444)&gt;1,0,IFERROR(LOOKUP($K1444,배송비규정!$A$3:$A$32,배송비규정!$B$3:$B$32),0)+IFERROR(INDEX(지역추가비!$B$3:$B$42,MATCH($J1444,지역추가비!$A$3:$A$42,0)),0)))</f>
        <v/>
      </c>
      <c r="M1444" s="13" t="str">
        <f aca="false">IF($B1444="","",IF(COUNTIFS($B$3:$B1444,$B1444)&gt;1,"",$K1444+$L1444))</f>
        <v/>
      </c>
      <c r="N1444" s="14" t="str">
        <f aca="false">IF($B1444="","",COUNTIFS($B$3:$B1444,$B1444))</f>
        <v/>
      </c>
      <c r="O1444" s="14" t="str">
        <f aca="false">IF($B1444="","",$B1444&amp;"|"&amp;$N1444)</f>
        <v/>
      </c>
    </row>
    <row r="1445" customFormat="false" ht="15" hidden="false" customHeight="false" outlineLevel="0" collapsed="false">
      <c r="A1445" s="12"/>
      <c r="B1445" s="9"/>
      <c r="C1445" s="9"/>
      <c r="D1445" s="9"/>
      <c r="E1445" s="9"/>
      <c r="F1445" s="9"/>
      <c r="G1445" s="9"/>
      <c r="H1445" s="7"/>
      <c r="I1445" s="13" t="str">
        <f aca="false">IF(OR($G1445="",$H1445=""),"",ROUND($G1445*$H1445,0))</f>
        <v/>
      </c>
      <c r="J1445" s="8"/>
      <c r="K1445" s="13" t="str">
        <f aca="false">IF($B1445="","",SUMIFS($I$3:$I$2002,$B$3:$B$2002,$B1445))</f>
        <v/>
      </c>
      <c r="L1445" s="13" t="str">
        <f aca="false">IF($B1445="","",IF(COUNTIFS($B$3:$B1445,$B1445)&gt;1,0,IFERROR(LOOKUP($K1445,배송비규정!$A$3:$A$32,배송비규정!$B$3:$B$32),0)+IFERROR(INDEX(지역추가비!$B$3:$B$42,MATCH($J1445,지역추가비!$A$3:$A$42,0)),0)))</f>
        <v/>
      </c>
      <c r="M1445" s="13" t="str">
        <f aca="false">IF($B1445="","",IF(COUNTIFS($B$3:$B1445,$B1445)&gt;1,"",$K1445+$L1445))</f>
        <v/>
      </c>
      <c r="N1445" s="14" t="str">
        <f aca="false">IF($B1445="","",COUNTIFS($B$3:$B1445,$B1445))</f>
        <v/>
      </c>
      <c r="O1445" s="14" t="str">
        <f aca="false">IF($B1445="","",$B1445&amp;"|"&amp;$N1445)</f>
        <v/>
      </c>
    </row>
    <row r="1446" customFormat="false" ht="15" hidden="false" customHeight="false" outlineLevel="0" collapsed="false">
      <c r="A1446" s="12"/>
      <c r="B1446" s="9"/>
      <c r="C1446" s="9"/>
      <c r="D1446" s="9"/>
      <c r="E1446" s="9"/>
      <c r="F1446" s="9"/>
      <c r="G1446" s="9"/>
      <c r="H1446" s="7"/>
      <c r="I1446" s="13" t="str">
        <f aca="false">IF(OR($G1446="",$H1446=""),"",ROUND($G1446*$H1446,0))</f>
        <v/>
      </c>
      <c r="J1446" s="8"/>
      <c r="K1446" s="13" t="str">
        <f aca="false">IF($B1446="","",SUMIFS($I$3:$I$2002,$B$3:$B$2002,$B1446))</f>
        <v/>
      </c>
      <c r="L1446" s="13" t="str">
        <f aca="false">IF($B1446="","",IF(COUNTIFS($B$3:$B1446,$B1446)&gt;1,0,IFERROR(LOOKUP($K1446,배송비규정!$A$3:$A$32,배송비규정!$B$3:$B$32),0)+IFERROR(INDEX(지역추가비!$B$3:$B$42,MATCH($J1446,지역추가비!$A$3:$A$42,0)),0)))</f>
        <v/>
      </c>
      <c r="M1446" s="13" t="str">
        <f aca="false">IF($B1446="","",IF(COUNTIFS($B$3:$B1446,$B1446)&gt;1,"",$K1446+$L1446))</f>
        <v/>
      </c>
      <c r="N1446" s="14" t="str">
        <f aca="false">IF($B1446="","",COUNTIFS($B$3:$B1446,$B1446))</f>
        <v/>
      </c>
      <c r="O1446" s="14" t="str">
        <f aca="false">IF($B1446="","",$B1446&amp;"|"&amp;$N1446)</f>
        <v/>
      </c>
    </row>
    <row r="1447" customFormat="false" ht="15" hidden="false" customHeight="false" outlineLevel="0" collapsed="false">
      <c r="A1447" s="12"/>
      <c r="B1447" s="9"/>
      <c r="C1447" s="9"/>
      <c r="D1447" s="9"/>
      <c r="E1447" s="9"/>
      <c r="F1447" s="9"/>
      <c r="G1447" s="9"/>
      <c r="H1447" s="7"/>
      <c r="I1447" s="13" t="str">
        <f aca="false">IF(OR($G1447="",$H1447=""),"",ROUND($G1447*$H1447,0))</f>
        <v/>
      </c>
      <c r="J1447" s="8"/>
      <c r="K1447" s="13" t="str">
        <f aca="false">IF($B1447="","",SUMIFS($I$3:$I$2002,$B$3:$B$2002,$B1447))</f>
        <v/>
      </c>
      <c r="L1447" s="13" t="str">
        <f aca="false">IF($B1447="","",IF(COUNTIFS($B$3:$B1447,$B1447)&gt;1,0,IFERROR(LOOKUP($K1447,배송비규정!$A$3:$A$32,배송비규정!$B$3:$B$32),0)+IFERROR(INDEX(지역추가비!$B$3:$B$42,MATCH($J1447,지역추가비!$A$3:$A$42,0)),0)))</f>
        <v/>
      </c>
      <c r="M1447" s="13" t="str">
        <f aca="false">IF($B1447="","",IF(COUNTIFS($B$3:$B1447,$B1447)&gt;1,"",$K1447+$L1447))</f>
        <v/>
      </c>
      <c r="N1447" s="14" t="str">
        <f aca="false">IF($B1447="","",COUNTIFS($B$3:$B1447,$B1447))</f>
        <v/>
      </c>
      <c r="O1447" s="14" t="str">
        <f aca="false">IF($B1447="","",$B1447&amp;"|"&amp;$N1447)</f>
        <v/>
      </c>
    </row>
    <row r="1448" customFormat="false" ht="15" hidden="false" customHeight="false" outlineLevel="0" collapsed="false">
      <c r="A1448" s="12"/>
      <c r="B1448" s="9"/>
      <c r="C1448" s="9"/>
      <c r="D1448" s="9"/>
      <c r="E1448" s="9"/>
      <c r="F1448" s="9"/>
      <c r="G1448" s="9"/>
      <c r="H1448" s="7"/>
      <c r="I1448" s="13" t="str">
        <f aca="false">IF(OR($G1448="",$H1448=""),"",ROUND($G1448*$H1448,0))</f>
        <v/>
      </c>
      <c r="J1448" s="8"/>
      <c r="K1448" s="13" t="str">
        <f aca="false">IF($B1448="","",SUMIFS($I$3:$I$2002,$B$3:$B$2002,$B1448))</f>
        <v/>
      </c>
      <c r="L1448" s="13" t="str">
        <f aca="false">IF($B1448="","",IF(COUNTIFS($B$3:$B1448,$B1448)&gt;1,0,IFERROR(LOOKUP($K1448,배송비규정!$A$3:$A$32,배송비규정!$B$3:$B$32),0)+IFERROR(INDEX(지역추가비!$B$3:$B$42,MATCH($J1448,지역추가비!$A$3:$A$42,0)),0)))</f>
        <v/>
      </c>
      <c r="M1448" s="13" t="str">
        <f aca="false">IF($B1448="","",IF(COUNTIFS($B$3:$B1448,$B1448)&gt;1,"",$K1448+$L1448))</f>
        <v/>
      </c>
      <c r="N1448" s="14" t="str">
        <f aca="false">IF($B1448="","",COUNTIFS($B$3:$B1448,$B1448))</f>
        <v/>
      </c>
      <c r="O1448" s="14" t="str">
        <f aca="false">IF($B1448="","",$B1448&amp;"|"&amp;$N1448)</f>
        <v/>
      </c>
    </row>
    <row r="1449" customFormat="false" ht="15" hidden="false" customHeight="false" outlineLevel="0" collapsed="false">
      <c r="A1449" s="12"/>
      <c r="B1449" s="9"/>
      <c r="C1449" s="9"/>
      <c r="D1449" s="9"/>
      <c r="E1449" s="9"/>
      <c r="F1449" s="9"/>
      <c r="G1449" s="9"/>
      <c r="H1449" s="7"/>
      <c r="I1449" s="13" t="str">
        <f aca="false">IF(OR($G1449="",$H1449=""),"",ROUND($G1449*$H1449,0))</f>
        <v/>
      </c>
      <c r="J1449" s="8"/>
      <c r="K1449" s="13" t="str">
        <f aca="false">IF($B1449="","",SUMIFS($I$3:$I$2002,$B$3:$B$2002,$B1449))</f>
        <v/>
      </c>
      <c r="L1449" s="13" t="str">
        <f aca="false">IF($B1449="","",IF(COUNTIFS($B$3:$B1449,$B1449)&gt;1,0,IFERROR(LOOKUP($K1449,배송비규정!$A$3:$A$32,배송비규정!$B$3:$B$32),0)+IFERROR(INDEX(지역추가비!$B$3:$B$42,MATCH($J1449,지역추가비!$A$3:$A$42,0)),0)))</f>
        <v/>
      </c>
      <c r="M1449" s="13" t="str">
        <f aca="false">IF($B1449="","",IF(COUNTIFS($B$3:$B1449,$B1449)&gt;1,"",$K1449+$L1449))</f>
        <v/>
      </c>
      <c r="N1449" s="14" t="str">
        <f aca="false">IF($B1449="","",COUNTIFS($B$3:$B1449,$B1449))</f>
        <v/>
      </c>
      <c r="O1449" s="14" t="str">
        <f aca="false">IF($B1449="","",$B1449&amp;"|"&amp;$N1449)</f>
        <v/>
      </c>
    </row>
    <row r="1450" customFormat="false" ht="15" hidden="false" customHeight="false" outlineLevel="0" collapsed="false">
      <c r="A1450" s="12"/>
      <c r="B1450" s="9"/>
      <c r="C1450" s="9"/>
      <c r="D1450" s="9"/>
      <c r="E1450" s="9"/>
      <c r="F1450" s="9"/>
      <c r="G1450" s="9"/>
      <c r="H1450" s="7"/>
      <c r="I1450" s="13" t="str">
        <f aca="false">IF(OR($G1450="",$H1450=""),"",ROUND($G1450*$H1450,0))</f>
        <v/>
      </c>
      <c r="J1450" s="8"/>
      <c r="K1450" s="13" t="str">
        <f aca="false">IF($B1450="","",SUMIFS($I$3:$I$2002,$B$3:$B$2002,$B1450))</f>
        <v/>
      </c>
      <c r="L1450" s="13" t="str">
        <f aca="false">IF($B1450="","",IF(COUNTIFS($B$3:$B1450,$B1450)&gt;1,0,IFERROR(LOOKUP($K1450,배송비규정!$A$3:$A$32,배송비규정!$B$3:$B$32),0)+IFERROR(INDEX(지역추가비!$B$3:$B$42,MATCH($J1450,지역추가비!$A$3:$A$42,0)),0)))</f>
        <v/>
      </c>
      <c r="M1450" s="13" t="str">
        <f aca="false">IF($B1450="","",IF(COUNTIFS($B$3:$B1450,$B1450)&gt;1,"",$K1450+$L1450))</f>
        <v/>
      </c>
      <c r="N1450" s="14" t="str">
        <f aca="false">IF($B1450="","",COUNTIFS($B$3:$B1450,$B1450))</f>
        <v/>
      </c>
      <c r="O1450" s="14" t="str">
        <f aca="false">IF($B1450="","",$B1450&amp;"|"&amp;$N1450)</f>
        <v/>
      </c>
    </row>
    <row r="1451" customFormat="false" ht="15" hidden="false" customHeight="false" outlineLevel="0" collapsed="false">
      <c r="A1451" s="12"/>
      <c r="B1451" s="9"/>
      <c r="C1451" s="9"/>
      <c r="D1451" s="9"/>
      <c r="E1451" s="9"/>
      <c r="F1451" s="9"/>
      <c r="G1451" s="9"/>
      <c r="H1451" s="7"/>
      <c r="I1451" s="13" t="str">
        <f aca="false">IF(OR($G1451="",$H1451=""),"",ROUND($G1451*$H1451,0))</f>
        <v/>
      </c>
      <c r="J1451" s="8"/>
      <c r="K1451" s="13" t="str">
        <f aca="false">IF($B1451="","",SUMIFS($I$3:$I$2002,$B$3:$B$2002,$B1451))</f>
        <v/>
      </c>
      <c r="L1451" s="13" t="str">
        <f aca="false">IF($B1451="","",IF(COUNTIFS($B$3:$B1451,$B1451)&gt;1,0,IFERROR(LOOKUP($K1451,배송비규정!$A$3:$A$32,배송비규정!$B$3:$B$32),0)+IFERROR(INDEX(지역추가비!$B$3:$B$42,MATCH($J1451,지역추가비!$A$3:$A$42,0)),0)))</f>
        <v/>
      </c>
      <c r="M1451" s="13" t="str">
        <f aca="false">IF($B1451="","",IF(COUNTIFS($B$3:$B1451,$B1451)&gt;1,"",$K1451+$L1451))</f>
        <v/>
      </c>
      <c r="N1451" s="14" t="str">
        <f aca="false">IF($B1451="","",COUNTIFS($B$3:$B1451,$B1451))</f>
        <v/>
      </c>
      <c r="O1451" s="14" t="str">
        <f aca="false">IF($B1451="","",$B1451&amp;"|"&amp;$N1451)</f>
        <v/>
      </c>
    </row>
    <row r="1452" customFormat="false" ht="15" hidden="false" customHeight="false" outlineLevel="0" collapsed="false">
      <c r="A1452" s="12"/>
      <c r="B1452" s="9"/>
      <c r="C1452" s="9"/>
      <c r="D1452" s="9"/>
      <c r="E1452" s="9"/>
      <c r="F1452" s="9"/>
      <c r="G1452" s="9"/>
      <c r="H1452" s="7"/>
      <c r="I1452" s="13" t="str">
        <f aca="false">IF(OR($G1452="",$H1452=""),"",ROUND($G1452*$H1452,0))</f>
        <v/>
      </c>
      <c r="J1452" s="8"/>
      <c r="K1452" s="13" t="str">
        <f aca="false">IF($B1452="","",SUMIFS($I$3:$I$2002,$B$3:$B$2002,$B1452))</f>
        <v/>
      </c>
      <c r="L1452" s="13" t="str">
        <f aca="false">IF($B1452="","",IF(COUNTIFS($B$3:$B1452,$B1452)&gt;1,0,IFERROR(LOOKUP($K1452,배송비규정!$A$3:$A$32,배송비규정!$B$3:$B$32),0)+IFERROR(INDEX(지역추가비!$B$3:$B$42,MATCH($J1452,지역추가비!$A$3:$A$42,0)),0)))</f>
        <v/>
      </c>
      <c r="M1452" s="13" t="str">
        <f aca="false">IF($B1452="","",IF(COUNTIFS($B$3:$B1452,$B1452)&gt;1,"",$K1452+$L1452))</f>
        <v/>
      </c>
      <c r="N1452" s="14" t="str">
        <f aca="false">IF($B1452="","",COUNTIFS($B$3:$B1452,$B1452))</f>
        <v/>
      </c>
      <c r="O1452" s="14" t="str">
        <f aca="false">IF($B1452="","",$B1452&amp;"|"&amp;$N1452)</f>
        <v/>
      </c>
    </row>
    <row r="1453" customFormat="false" ht="15" hidden="false" customHeight="false" outlineLevel="0" collapsed="false">
      <c r="A1453" s="12"/>
      <c r="B1453" s="9"/>
      <c r="C1453" s="9"/>
      <c r="D1453" s="9"/>
      <c r="E1453" s="9"/>
      <c r="F1453" s="9"/>
      <c r="G1453" s="9"/>
      <c r="H1453" s="7"/>
      <c r="I1453" s="13" t="str">
        <f aca="false">IF(OR($G1453="",$H1453=""),"",ROUND($G1453*$H1453,0))</f>
        <v/>
      </c>
      <c r="J1453" s="8"/>
      <c r="K1453" s="13" t="str">
        <f aca="false">IF($B1453="","",SUMIFS($I$3:$I$2002,$B$3:$B$2002,$B1453))</f>
        <v/>
      </c>
      <c r="L1453" s="13" t="str">
        <f aca="false">IF($B1453="","",IF(COUNTIFS($B$3:$B1453,$B1453)&gt;1,0,IFERROR(LOOKUP($K1453,배송비규정!$A$3:$A$32,배송비규정!$B$3:$B$32),0)+IFERROR(INDEX(지역추가비!$B$3:$B$42,MATCH($J1453,지역추가비!$A$3:$A$42,0)),0)))</f>
        <v/>
      </c>
      <c r="M1453" s="13" t="str">
        <f aca="false">IF($B1453="","",IF(COUNTIFS($B$3:$B1453,$B1453)&gt;1,"",$K1453+$L1453))</f>
        <v/>
      </c>
      <c r="N1453" s="14" t="str">
        <f aca="false">IF($B1453="","",COUNTIFS($B$3:$B1453,$B1453))</f>
        <v/>
      </c>
      <c r="O1453" s="14" t="str">
        <f aca="false">IF($B1453="","",$B1453&amp;"|"&amp;$N1453)</f>
        <v/>
      </c>
    </row>
    <row r="1454" customFormat="false" ht="15" hidden="false" customHeight="false" outlineLevel="0" collapsed="false">
      <c r="A1454" s="12"/>
      <c r="B1454" s="9"/>
      <c r="C1454" s="9"/>
      <c r="D1454" s="9"/>
      <c r="E1454" s="9"/>
      <c r="F1454" s="9"/>
      <c r="G1454" s="9"/>
      <c r="H1454" s="7"/>
      <c r="I1454" s="13" t="str">
        <f aca="false">IF(OR($G1454="",$H1454=""),"",ROUND($G1454*$H1454,0))</f>
        <v/>
      </c>
      <c r="J1454" s="8"/>
      <c r="K1454" s="13" t="str">
        <f aca="false">IF($B1454="","",SUMIFS($I$3:$I$2002,$B$3:$B$2002,$B1454))</f>
        <v/>
      </c>
      <c r="L1454" s="13" t="str">
        <f aca="false">IF($B1454="","",IF(COUNTIFS($B$3:$B1454,$B1454)&gt;1,0,IFERROR(LOOKUP($K1454,배송비규정!$A$3:$A$32,배송비규정!$B$3:$B$32),0)+IFERROR(INDEX(지역추가비!$B$3:$B$42,MATCH($J1454,지역추가비!$A$3:$A$42,0)),0)))</f>
        <v/>
      </c>
      <c r="M1454" s="13" t="str">
        <f aca="false">IF($B1454="","",IF(COUNTIFS($B$3:$B1454,$B1454)&gt;1,"",$K1454+$L1454))</f>
        <v/>
      </c>
      <c r="N1454" s="14" t="str">
        <f aca="false">IF($B1454="","",COUNTIFS($B$3:$B1454,$B1454))</f>
        <v/>
      </c>
      <c r="O1454" s="14" t="str">
        <f aca="false">IF($B1454="","",$B1454&amp;"|"&amp;$N1454)</f>
        <v/>
      </c>
    </row>
    <row r="1455" customFormat="false" ht="15" hidden="false" customHeight="false" outlineLevel="0" collapsed="false">
      <c r="A1455" s="12"/>
      <c r="B1455" s="9"/>
      <c r="C1455" s="9"/>
      <c r="D1455" s="9"/>
      <c r="E1455" s="9"/>
      <c r="F1455" s="9"/>
      <c r="G1455" s="9"/>
      <c r="H1455" s="7"/>
      <c r="I1455" s="13" t="str">
        <f aca="false">IF(OR($G1455="",$H1455=""),"",ROUND($G1455*$H1455,0))</f>
        <v/>
      </c>
      <c r="J1455" s="8"/>
      <c r="K1455" s="13" t="str">
        <f aca="false">IF($B1455="","",SUMIFS($I$3:$I$2002,$B$3:$B$2002,$B1455))</f>
        <v/>
      </c>
      <c r="L1455" s="13" t="str">
        <f aca="false">IF($B1455="","",IF(COUNTIFS($B$3:$B1455,$B1455)&gt;1,0,IFERROR(LOOKUP($K1455,배송비규정!$A$3:$A$32,배송비규정!$B$3:$B$32),0)+IFERROR(INDEX(지역추가비!$B$3:$B$42,MATCH($J1455,지역추가비!$A$3:$A$42,0)),0)))</f>
        <v/>
      </c>
      <c r="M1455" s="13" t="str">
        <f aca="false">IF($B1455="","",IF(COUNTIFS($B$3:$B1455,$B1455)&gt;1,"",$K1455+$L1455))</f>
        <v/>
      </c>
      <c r="N1455" s="14" t="str">
        <f aca="false">IF($B1455="","",COUNTIFS($B$3:$B1455,$B1455))</f>
        <v/>
      </c>
      <c r="O1455" s="14" t="str">
        <f aca="false">IF($B1455="","",$B1455&amp;"|"&amp;$N1455)</f>
        <v/>
      </c>
    </row>
    <row r="1456" customFormat="false" ht="15" hidden="false" customHeight="false" outlineLevel="0" collapsed="false">
      <c r="A1456" s="12"/>
      <c r="B1456" s="9"/>
      <c r="C1456" s="9"/>
      <c r="D1456" s="9"/>
      <c r="E1456" s="9"/>
      <c r="F1456" s="9"/>
      <c r="G1456" s="9"/>
      <c r="H1456" s="7"/>
      <c r="I1456" s="13" t="str">
        <f aca="false">IF(OR($G1456="",$H1456=""),"",ROUND($G1456*$H1456,0))</f>
        <v/>
      </c>
      <c r="J1456" s="8"/>
      <c r="K1456" s="13" t="str">
        <f aca="false">IF($B1456="","",SUMIFS($I$3:$I$2002,$B$3:$B$2002,$B1456))</f>
        <v/>
      </c>
      <c r="L1456" s="13" t="str">
        <f aca="false">IF($B1456="","",IF(COUNTIFS($B$3:$B1456,$B1456)&gt;1,0,IFERROR(LOOKUP($K1456,배송비규정!$A$3:$A$32,배송비규정!$B$3:$B$32),0)+IFERROR(INDEX(지역추가비!$B$3:$B$42,MATCH($J1456,지역추가비!$A$3:$A$42,0)),0)))</f>
        <v/>
      </c>
      <c r="M1456" s="13" t="str">
        <f aca="false">IF($B1456="","",IF(COUNTIFS($B$3:$B1456,$B1456)&gt;1,"",$K1456+$L1456))</f>
        <v/>
      </c>
      <c r="N1456" s="14" t="str">
        <f aca="false">IF($B1456="","",COUNTIFS($B$3:$B1456,$B1456))</f>
        <v/>
      </c>
      <c r="O1456" s="14" t="str">
        <f aca="false">IF($B1456="","",$B1456&amp;"|"&amp;$N1456)</f>
        <v/>
      </c>
    </row>
    <row r="1457" customFormat="false" ht="15" hidden="false" customHeight="false" outlineLevel="0" collapsed="false">
      <c r="A1457" s="12"/>
      <c r="B1457" s="9"/>
      <c r="C1457" s="9"/>
      <c r="D1457" s="9"/>
      <c r="E1457" s="9"/>
      <c r="F1457" s="9"/>
      <c r="G1457" s="9"/>
      <c r="H1457" s="7"/>
      <c r="I1457" s="13" t="str">
        <f aca="false">IF(OR($G1457="",$H1457=""),"",ROUND($G1457*$H1457,0))</f>
        <v/>
      </c>
      <c r="J1457" s="8"/>
      <c r="K1457" s="13" t="str">
        <f aca="false">IF($B1457="","",SUMIFS($I$3:$I$2002,$B$3:$B$2002,$B1457))</f>
        <v/>
      </c>
      <c r="L1457" s="13" t="str">
        <f aca="false">IF($B1457="","",IF(COUNTIFS($B$3:$B1457,$B1457)&gt;1,0,IFERROR(LOOKUP($K1457,배송비규정!$A$3:$A$32,배송비규정!$B$3:$B$32),0)+IFERROR(INDEX(지역추가비!$B$3:$B$42,MATCH($J1457,지역추가비!$A$3:$A$42,0)),0)))</f>
        <v/>
      </c>
      <c r="M1457" s="13" t="str">
        <f aca="false">IF($B1457="","",IF(COUNTIFS($B$3:$B1457,$B1457)&gt;1,"",$K1457+$L1457))</f>
        <v/>
      </c>
      <c r="N1457" s="14" t="str">
        <f aca="false">IF($B1457="","",COUNTIFS($B$3:$B1457,$B1457))</f>
        <v/>
      </c>
      <c r="O1457" s="14" t="str">
        <f aca="false">IF($B1457="","",$B1457&amp;"|"&amp;$N1457)</f>
        <v/>
      </c>
    </row>
    <row r="1458" customFormat="false" ht="15" hidden="false" customHeight="false" outlineLevel="0" collapsed="false">
      <c r="A1458" s="12"/>
      <c r="B1458" s="9"/>
      <c r="C1458" s="9"/>
      <c r="D1458" s="9"/>
      <c r="E1458" s="9"/>
      <c r="F1458" s="9"/>
      <c r="G1458" s="9"/>
      <c r="H1458" s="7"/>
      <c r="I1458" s="13" t="str">
        <f aca="false">IF(OR($G1458="",$H1458=""),"",ROUND($G1458*$H1458,0))</f>
        <v/>
      </c>
      <c r="J1458" s="8"/>
      <c r="K1458" s="13" t="str">
        <f aca="false">IF($B1458="","",SUMIFS($I$3:$I$2002,$B$3:$B$2002,$B1458))</f>
        <v/>
      </c>
      <c r="L1458" s="13" t="str">
        <f aca="false">IF($B1458="","",IF(COUNTIFS($B$3:$B1458,$B1458)&gt;1,0,IFERROR(LOOKUP($K1458,배송비규정!$A$3:$A$32,배송비규정!$B$3:$B$32),0)+IFERROR(INDEX(지역추가비!$B$3:$B$42,MATCH($J1458,지역추가비!$A$3:$A$42,0)),0)))</f>
        <v/>
      </c>
      <c r="M1458" s="13" t="str">
        <f aca="false">IF($B1458="","",IF(COUNTIFS($B$3:$B1458,$B1458)&gt;1,"",$K1458+$L1458))</f>
        <v/>
      </c>
      <c r="N1458" s="14" t="str">
        <f aca="false">IF($B1458="","",COUNTIFS($B$3:$B1458,$B1458))</f>
        <v/>
      </c>
      <c r="O1458" s="14" t="str">
        <f aca="false">IF($B1458="","",$B1458&amp;"|"&amp;$N1458)</f>
        <v/>
      </c>
    </row>
    <row r="1459" customFormat="false" ht="15" hidden="false" customHeight="false" outlineLevel="0" collapsed="false">
      <c r="A1459" s="12"/>
      <c r="B1459" s="9"/>
      <c r="C1459" s="9"/>
      <c r="D1459" s="9"/>
      <c r="E1459" s="9"/>
      <c r="F1459" s="9"/>
      <c r="G1459" s="9"/>
      <c r="H1459" s="7"/>
      <c r="I1459" s="13" t="str">
        <f aca="false">IF(OR($G1459="",$H1459=""),"",ROUND($G1459*$H1459,0))</f>
        <v/>
      </c>
      <c r="J1459" s="8"/>
      <c r="K1459" s="13" t="str">
        <f aca="false">IF($B1459="","",SUMIFS($I$3:$I$2002,$B$3:$B$2002,$B1459))</f>
        <v/>
      </c>
      <c r="L1459" s="13" t="str">
        <f aca="false">IF($B1459="","",IF(COUNTIFS($B$3:$B1459,$B1459)&gt;1,0,IFERROR(LOOKUP($K1459,배송비규정!$A$3:$A$32,배송비규정!$B$3:$B$32),0)+IFERROR(INDEX(지역추가비!$B$3:$B$42,MATCH($J1459,지역추가비!$A$3:$A$42,0)),0)))</f>
        <v/>
      </c>
      <c r="M1459" s="13" t="str">
        <f aca="false">IF($B1459="","",IF(COUNTIFS($B$3:$B1459,$B1459)&gt;1,"",$K1459+$L1459))</f>
        <v/>
      </c>
      <c r="N1459" s="14" t="str">
        <f aca="false">IF($B1459="","",COUNTIFS($B$3:$B1459,$B1459))</f>
        <v/>
      </c>
      <c r="O1459" s="14" t="str">
        <f aca="false">IF($B1459="","",$B1459&amp;"|"&amp;$N1459)</f>
        <v/>
      </c>
    </row>
    <row r="1460" customFormat="false" ht="15" hidden="false" customHeight="false" outlineLevel="0" collapsed="false">
      <c r="A1460" s="12"/>
      <c r="B1460" s="9"/>
      <c r="C1460" s="9"/>
      <c r="D1460" s="9"/>
      <c r="E1460" s="9"/>
      <c r="F1460" s="9"/>
      <c r="G1460" s="9"/>
      <c r="H1460" s="7"/>
      <c r="I1460" s="13" t="str">
        <f aca="false">IF(OR($G1460="",$H1460=""),"",ROUND($G1460*$H1460,0))</f>
        <v/>
      </c>
      <c r="J1460" s="8"/>
      <c r="K1460" s="13" t="str">
        <f aca="false">IF($B1460="","",SUMIFS($I$3:$I$2002,$B$3:$B$2002,$B1460))</f>
        <v/>
      </c>
      <c r="L1460" s="13" t="str">
        <f aca="false">IF($B1460="","",IF(COUNTIFS($B$3:$B1460,$B1460)&gt;1,0,IFERROR(LOOKUP($K1460,배송비규정!$A$3:$A$32,배송비규정!$B$3:$B$32),0)+IFERROR(INDEX(지역추가비!$B$3:$B$42,MATCH($J1460,지역추가비!$A$3:$A$42,0)),0)))</f>
        <v/>
      </c>
      <c r="M1460" s="13" t="str">
        <f aca="false">IF($B1460="","",IF(COUNTIFS($B$3:$B1460,$B1460)&gt;1,"",$K1460+$L1460))</f>
        <v/>
      </c>
      <c r="N1460" s="14" t="str">
        <f aca="false">IF($B1460="","",COUNTIFS($B$3:$B1460,$B1460))</f>
        <v/>
      </c>
      <c r="O1460" s="14" t="str">
        <f aca="false">IF($B1460="","",$B1460&amp;"|"&amp;$N1460)</f>
        <v/>
      </c>
    </row>
    <row r="1461" customFormat="false" ht="15" hidden="false" customHeight="false" outlineLevel="0" collapsed="false">
      <c r="A1461" s="12"/>
      <c r="B1461" s="9"/>
      <c r="C1461" s="9"/>
      <c r="D1461" s="9"/>
      <c r="E1461" s="9"/>
      <c r="F1461" s="9"/>
      <c r="G1461" s="9"/>
      <c r="H1461" s="7"/>
      <c r="I1461" s="13" t="str">
        <f aca="false">IF(OR($G1461="",$H1461=""),"",ROUND($G1461*$H1461,0))</f>
        <v/>
      </c>
      <c r="J1461" s="8"/>
      <c r="K1461" s="13" t="str">
        <f aca="false">IF($B1461="","",SUMIFS($I$3:$I$2002,$B$3:$B$2002,$B1461))</f>
        <v/>
      </c>
      <c r="L1461" s="13" t="str">
        <f aca="false">IF($B1461="","",IF(COUNTIFS($B$3:$B1461,$B1461)&gt;1,0,IFERROR(LOOKUP($K1461,배송비규정!$A$3:$A$32,배송비규정!$B$3:$B$32),0)+IFERROR(INDEX(지역추가비!$B$3:$B$42,MATCH($J1461,지역추가비!$A$3:$A$42,0)),0)))</f>
        <v/>
      </c>
      <c r="M1461" s="13" t="str">
        <f aca="false">IF($B1461="","",IF(COUNTIFS($B$3:$B1461,$B1461)&gt;1,"",$K1461+$L1461))</f>
        <v/>
      </c>
      <c r="N1461" s="14" t="str">
        <f aca="false">IF($B1461="","",COUNTIFS($B$3:$B1461,$B1461))</f>
        <v/>
      </c>
      <c r="O1461" s="14" t="str">
        <f aca="false">IF($B1461="","",$B1461&amp;"|"&amp;$N1461)</f>
        <v/>
      </c>
    </row>
    <row r="1462" customFormat="false" ht="15" hidden="false" customHeight="false" outlineLevel="0" collapsed="false">
      <c r="A1462" s="12"/>
      <c r="B1462" s="9"/>
      <c r="C1462" s="9"/>
      <c r="D1462" s="9"/>
      <c r="E1462" s="9"/>
      <c r="F1462" s="9"/>
      <c r="G1462" s="9"/>
      <c r="H1462" s="7"/>
      <c r="I1462" s="13" t="str">
        <f aca="false">IF(OR($G1462="",$H1462=""),"",ROUND($G1462*$H1462,0))</f>
        <v/>
      </c>
      <c r="J1462" s="8"/>
      <c r="K1462" s="13" t="str">
        <f aca="false">IF($B1462="","",SUMIFS($I$3:$I$2002,$B$3:$B$2002,$B1462))</f>
        <v/>
      </c>
      <c r="L1462" s="13" t="str">
        <f aca="false">IF($B1462="","",IF(COUNTIFS($B$3:$B1462,$B1462)&gt;1,0,IFERROR(LOOKUP($K1462,배송비규정!$A$3:$A$32,배송비규정!$B$3:$B$32),0)+IFERROR(INDEX(지역추가비!$B$3:$B$42,MATCH($J1462,지역추가비!$A$3:$A$42,0)),0)))</f>
        <v/>
      </c>
      <c r="M1462" s="13" t="str">
        <f aca="false">IF($B1462="","",IF(COUNTIFS($B$3:$B1462,$B1462)&gt;1,"",$K1462+$L1462))</f>
        <v/>
      </c>
      <c r="N1462" s="14" t="str">
        <f aca="false">IF($B1462="","",COUNTIFS($B$3:$B1462,$B1462))</f>
        <v/>
      </c>
      <c r="O1462" s="14" t="str">
        <f aca="false">IF($B1462="","",$B1462&amp;"|"&amp;$N1462)</f>
        <v/>
      </c>
    </row>
    <row r="1463" customFormat="false" ht="15" hidden="false" customHeight="false" outlineLevel="0" collapsed="false">
      <c r="A1463" s="12"/>
      <c r="B1463" s="9"/>
      <c r="C1463" s="9"/>
      <c r="D1463" s="9"/>
      <c r="E1463" s="9"/>
      <c r="F1463" s="9"/>
      <c r="G1463" s="9"/>
      <c r="H1463" s="7"/>
      <c r="I1463" s="13" t="str">
        <f aca="false">IF(OR($G1463="",$H1463=""),"",ROUND($G1463*$H1463,0))</f>
        <v/>
      </c>
      <c r="J1463" s="8"/>
      <c r="K1463" s="13" t="str">
        <f aca="false">IF($B1463="","",SUMIFS($I$3:$I$2002,$B$3:$B$2002,$B1463))</f>
        <v/>
      </c>
      <c r="L1463" s="13" t="str">
        <f aca="false">IF($B1463="","",IF(COUNTIFS($B$3:$B1463,$B1463)&gt;1,0,IFERROR(LOOKUP($K1463,배송비규정!$A$3:$A$32,배송비규정!$B$3:$B$32),0)+IFERROR(INDEX(지역추가비!$B$3:$B$42,MATCH($J1463,지역추가비!$A$3:$A$42,0)),0)))</f>
        <v/>
      </c>
      <c r="M1463" s="13" t="str">
        <f aca="false">IF($B1463="","",IF(COUNTIFS($B$3:$B1463,$B1463)&gt;1,"",$K1463+$L1463))</f>
        <v/>
      </c>
      <c r="N1463" s="14" t="str">
        <f aca="false">IF($B1463="","",COUNTIFS($B$3:$B1463,$B1463))</f>
        <v/>
      </c>
      <c r="O1463" s="14" t="str">
        <f aca="false">IF($B1463="","",$B1463&amp;"|"&amp;$N1463)</f>
        <v/>
      </c>
    </row>
    <row r="1464" customFormat="false" ht="15" hidden="false" customHeight="false" outlineLevel="0" collapsed="false">
      <c r="A1464" s="12"/>
      <c r="B1464" s="9"/>
      <c r="C1464" s="9"/>
      <c r="D1464" s="9"/>
      <c r="E1464" s="9"/>
      <c r="F1464" s="9"/>
      <c r="G1464" s="9"/>
      <c r="H1464" s="7"/>
      <c r="I1464" s="13" t="str">
        <f aca="false">IF(OR($G1464="",$H1464=""),"",ROUND($G1464*$H1464,0))</f>
        <v/>
      </c>
      <c r="J1464" s="8"/>
      <c r="K1464" s="13" t="str">
        <f aca="false">IF($B1464="","",SUMIFS($I$3:$I$2002,$B$3:$B$2002,$B1464))</f>
        <v/>
      </c>
      <c r="L1464" s="13" t="str">
        <f aca="false">IF($B1464="","",IF(COUNTIFS($B$3:$B1464,$B1464)&gt;1,0,IFERROR(LOOKUP($K1464,배송비규정!$A$3:$A$32,배송비규정!$B$3:$B$32),0)+IFERROR(INDEX(지역추가비!$B$3:$B$42,MATCH($J1464,지역추가비!$A$3:$A$42,0)),0)))</f>
        <v/>
      </c>
      <c r="M1464" s="13" t="str">
        <f aca="false">IF($B1464="","",IF(COUNTIFS($B$3:$B1464,$B1464)&gt;1,"",$K1464+$L1464))</f>
        <v/>
      </c>
      <c r="N1464" s="14" t="str">
        <f aca="false">IF($B1464="","",COUNTIFS($B$3:$B1464,$B1464))</f>
        <v/>
      </c>
      <c r="O1464" s="14" t="str">
        <f aca="false">IF($B1464="","",$B1464&amp;"|"&amp;$N1464)</f>
        <v/>
      </c>
    </row>
    <row r="1465" customFormat="false" ht="15" hidden="false" customHeight="false" outlineLevel="0" collapsed="false">
      <c r="A1465" s="12"/>
      <c r="B1465" s="9"/>
      <c r="C1465" s="9"/>
      <c r="D1465" s="9"/>
      <c r="E1465" s="9"/>
      <c r="F1465" s="9"/>
      <c r="G1465" s="9"/>
      <c r="H1465" s="7"/>
      <c r="I1465" s="13" t="str">
        <f aca="false">IF(OR($G1465="",$H1465=""),"",ROUND($G1465*$H1465,0))</f>
        <v/>
      </c>
      <c r="J1465" s="8"/>
      <c r="K1465" s="13" t="str">
        <f aca="false">IF($B1465="","",SUMIFS($I$3:$I$2002,$B$3:$B$2002,$B1465))</f>
        <v/>
      </c>
      <c r="L1465" s="13" t="str">
        <f aca="false">IF($B1465="","",IF(COUNTIFS($B$3:$B1465,$B1465)&gt;1,0,IFERROR(LOOKUP($K1465,배송비규정!$A$3:$A$32,배송비규정!$B$3:$B$32),0)+IFERROR(INDEX(지역추가비!$B$3:$B$42,MATCH($J1465,지역추가비!$A$3:$A$42,0)),0)))</f>
        <v/>
      </c>
      <c r="M1465" s="13" t="str">
        <f aca="false">IF($B1465="","",IF(COUNTIFS($B$3:$B1465,$B1465)&gt;1,"",$K1465+$L1465))</f>
        <v/>
      </c>
      <c r="N1465" s="14" t="str">
        <f aca="false">IF($B1465="","",COUNTIFS($B$3:$B1465,$B1465))</f>
        <v/>
      </c>
      <c r="O1465" s="14" t="str">
        <f aca="false">IF($B1465="","",$B1465&amp;"|"&amp;$N1465)</f>
        <v/>
      </c>
    </row>
    <row r="1466" customFormat="false" ht="15" hidden="false" customHeight="false" outlineLevel="0" collapsed="false">
      <c r="A1466" s="12"/>
      <c r="B1466" s="9"/>
      <c r="C1466" s="9"/>
      <c r="D1466" s="9"/>
      <c r="E1466" s="9"/>
      <c r="F1466" s="9"/>
      <c r="G1466" s="9"/>
      <c r="H1466" s="7"/>
      <c r="I1466" s="13" t="str">
        <f aca="false">IF(OR($G1466="",$H1466=""),"",ROUND($G1466*$H1466,0))</f>
        <v/>
      </c>
      <c r="J1466" s="8"/>
      <c r="K1466" s="13" t="str">
        <f aca="false">IF($B1466="","",SUMIFS($I$3:$I$2002,$B$3:$B$2002,$B1466))</f>
        <v/>
      </c>
      <c r="L1466" s="13" t="str">
        <f aca="false">IF($B1466="","",IF(COUNTIFS($B$3:$B1466,$B1466)&gt;1,0,IFERROR(LOOKUP($K1466,배송비규정!$A$3:$A$32,배송비규정!$B$3:$B$32),0)+IFERROR(INDEX(지역추가비!$B$3:$B$42,MATCH($J1466,지역추가비!$A$3:$A$42,0)),0)))</f>
        <v/>
      </c>
      <c r="M1466" s="13" t="str">
        <f aca="false">IF($B1466="","",IF(COUNTIFS($B$3:$B1466,$B1466)&gt;1,"",$K1466+$L1466))</f>
        <v/>
      </c>
      <c r="N1466" s="14" t="str">
        <f aca="false">IF($B1466="","",COUNTIFS($B$3:$B1466,$B1466))</f>
        <v/>
      </c>
      <c r="O1466" s="14" t="str">
        <f aca="false">IF($B1466="","",$B1466&amp;"|"&amp;$N1466)</f>
        <v/>
      </c>
    </row>
    <row r="1467" customFormat="false" ht="15" hidden="false" customHeight="false" outlineLevel="0" collapsed="false">
      <c r="A1467" s="12"/>
      <c r="B1467" s="9"/>
      <c r="C1467" s="9"/>
      <c r="D1467" s="9"/>
      <c r="E1467" s="9"/>
      <c r="F1467" s="9"/>
      <c r="G1467" s="9"/>
      <c r="H1467" s="7"/>
      <c r="I1467" s="13" t="str">
        <f aca="false">IF(OR($G1467="",$H1467=""),"",ROUND($G1467*$H1467,0))</f>
        <v/>
      </c>
      <c r="J1467" s="8"/>
      <c r="K1467" s="13" t="str">
        <f aca="false">IF($B1467="","",SUMIFS($I$3:$I$2002,$B$3:$B$2002,$B1467))</f>
        <v/>
      </c>
      <c r="L1467" s="13" t="str">
        <f aca="false">IF($B1467="","",IF(COUNTIFS($B$3:$B1467,$B1467)&gt;1,0,IFERROR(LOOKUP($K1467,배송비규정!$A$3:$A$32,배송비규정!$B$3:$B$32),0)+IFERROR(INDEX(지역추가비!$B$3:$B$42,MATCH($J1467,지역추가비!$A$3:$A$42,0)),0)))</f>
        <v/>
      </c>
      <c r="M1467" s="13" t="str">
        <f aca="false">IF($B1467="","",IF(COUNTIFS($B$3:$B1467,$B1467)&gt;1,"",$K1467+$L1467))</f>
        <v/>
      </c>
      <c r="N1467" s="14" t="str">
        <f aca="false">IF($B1467="","",COUNTIFS($B$3:$B1467,$B1467))</f>
        <v/>
      </c>
      <c r="O1467" s="14" t="str">
        <f aca="false">IF($B1467="","",$B1467&amp;"|"&amp;$N1467)</f>
        <v/>
      </c>
    </row>
    <row r="1468" customFormat="false" ht="15" hidden="false" customHeight="false" outlineLevel="0" collapsed="false">
      <c r="A1468" s="12"/>
      <c r="B1468" s="9"/>
      <c r="C1468" s="9"/>
      <c r="D1468" s="9"/>
      <c r="E1468" s="9"/>
      <c r="F1468" s="9"/>
      <c r="G1468" s="9"/>
      <c r="H1468" s="7"/>
      <c r="I1468" s="13" t="str">
        <f aca="false">IF(OR($G1468="",$H1468=""),"",ROUND($G1468*$H1468,0))</f>
        <v/>
      </c>
      <c r="J1468" s="8"/>
      <c r="K1468" s="13" t="str">
        <f aca="false">IF($B1468="","",SUMIFS($I$3:$I$2002,$B$3:$B$2002,$B1468))</f>
        <v/>
      </c>
      <c r="L1468" s="13" t="str">
        <f aca="false">IF($B1468="","",IF(COUNTIFS($B$3:$B1468,$B1468)&gt;1,0,IFERROR(LOOKUP($K1468,배송비규정!$A$3:$A$32,배송비규정!$B$3:$B$32),0)+IFERROR(INDEX(지역추가비!$B$3:$B$42,MATCH($J1468,지역추가비!$A$3:$A$42,0)),0)))</f>
        <v/>
      </c>
      <c r="M1468" s="13" t="str">
        <f aca="false">IF($B1468="","",IF(COUNTIFS($B$3:$B1468,$B1468)&gt;1,"",$K1468+$L1468))</f>
        <v/>
      </c>
      <c r="N1468" s="14" t="str">
        <f aca="false">IF($B1468="","",COUNTIFS($B$3:$B1468,$B1468))</f>
        <v/>
      </c>
      <c r="O1468" s="14" t="str">
        <f aca="false">IF($B1468="","",$B1468&amp;"|"&amp;$N1468)</f>
        <v/>
      </c>
    </row>
    <row r="1469" customFormat="false" ht="15" hidden="false" customHeight="false" outlineLevel="0" collapsed="false">
      <c r="A1469" s="12"/>
      <c r="B1469" s="9"/>
      <c r="C1469" s="9"/>
      <c r="D1469" s="9"/>
      <c r="E1469" s="9"/>
      <c r="F1469" s="9"/>
      <c r="G1469" s="9"/>
      <c r="H1469" s="7"/>
      <c r="I1469" s="13" t="str">
        <f aca="false">IF(OR($G1469="",$H1469=""),"",ROUND($G1469*$H1469,0))</f>
        <v/>
      </c>
      <c r="J1469" s="8"/>
      <c r="K1469" s="13" t="str">
        <f aca="false">IF($B1469="","",SUMIFS($I$3:$I$2002,$B$3:$B$2002,$B1469))</f>
        <v/>
      </c>
      <c r="L1469" s="13" t="str">
        <f aca="false">IF($B1469="","",IF(COUNTIFS($B$3:$B1469,$B1469)&gt;1,0,IFERROR(LOOKUP($K1469,배송비규정!$A$3:$A$32,배송비규정!$B$3:$B$32),0)+IFERROR(INDEX(지역추가비!$B$3:$B$42,MATCH($J1469,지역추가비!$A$3:$A$42,0)),0)))</f>
        <v/>
      </c>
      <c r="M1469" s="13" t="str">
        <f aca="false">IF($B1469="","",IF(COUNTIFS($B$3:$B1469,$B1469)&gt;1,"",$K1469+$L1469))</f>
        <v/>
      </c>
      <c r="N1469" s="14" t="str">
        <f aca="false">IF($B1469="","",COUNTIFS($B$3:$B1469,$B1469))</f>
        <v/>
      </c>
      <c r="O1469" s="14" t="str">
        <f aca="false">IF($B1469="","",$B1469&amp;"|"&amp;$N1469)</f>
        <v/>
      </c>
    </row>
    <row r="1470" customFormat="false" ht="15" hidden="false" customHeight="false" outlineLevel="0" collapsed="false">
      <c r="A1470" s="12"/>
      <c r="B1470" s="9"/>
      <c r="C1470" s="9"/>
      <c r="D1470" s="9"/>
      <c r="E1470" s="9"/>
      <c r="F1470" s="9"/>
      <c r="G1470" s="9"/>
      <c r="H1470" s="7"/>
      <c r="I1470" s="13" t="str">
        <f aca="false">IF(OR($G1470="",$H1470=""),"",ROUND($G1470*$H1470,0))</f>
        <v/>
      </c>
      <c r="J1470" s="8"/>
      <c r="K1470" s="13" t="str">
        <f aca="false">IF($B1470="","",SUMIFS($I$3:$I$2002,$B$3:$B$2002,$B1470))</f>
        <v/>
      </c>
      <c r="L1470" s="13" t="str">
        <f aca="false">IF($B1470="","",IF(COUNTIFS($B$3:$B1470,$B1470)&gt;1,0,IFERROR(LOOKUP($K1470,배송비규정!$A$3:$A$32,배송비규정!$B$3:$B$32),0)+IFERROR(INDEX(지역추가비!$B$3:$B$42,MATCH($J1470,지역추가비!$A$3:$A$42,0)),0)))</f>
        <v/>
      </c>
      <c r="M1470" s="13" t="str">
        <f aca="false">IF($B1470="","",IF(COUNTIFS($B$3:$B1470,$B1470)&gt;1,"",$K1470+$L1470))</f>
        <v/>
      </c>
      <c r="N1470" s="14" t="str">
        <f aca="false">IF($B1470="","",COUNTIFS($B$3:$B1470,$B1470))</f>
        <v/>
      </c>
      <c r="O1470" s="14" t="str">
        <f aca="false">IF($B1470="","",$B1470&amp;"|"&amp;$N1470)</f>
        <v/>
      </c>
    </row>
    <row r="1471" customFormat="false" ht="15" hidden="false" customHeight="false" outlineLevel="0" collapsed="false">
      <c r="A1471" s="12"/>
      <c r="B1471" s="9"/>
      <c r="C1471" s="9"/>
      <c r="D1471" s="9"/>
      <c r="E1471" s="9"/>
      <c r="F1471" s="9"/>
      <c r="G1471" s="9"/>
      <c r="H1471" s="7"/>
      <c r="I1471" s="13" t="str">
        <f aca="false">IF(OR($G1471="",$H1471=""),"",ROUND($G1471*$H1471,0))</f>
        <v/>
      </c>
      <c r="J1471" s="8"/>
      <c r="K1471" s="13" t="str">
        <f aca="false">IF($B1471="","",SUMIFS($I$3:$I$2002,$B$3:$B$2002,$B1471))</f>
        <v/>
      </c>
      <c r="L1471" s="13" t="str">
        <f aca="false">IF($B1471="","",IF(COUNTIFS($B$3:$B1471,$B1471)&gt;1,0,IFERROR(LOOKUP($K1471,배송비규정!$A$3:$A$32,배송비규정!$B$3:$B$32),0)+IFERROR(INDEX(지역추가비!$B$3:$B$42,MATCH($J1471,지역추가비!$A$3:$A$42,0)),0)))</f>
        <v/>
      </c>
      <c r="M1471" s="13" t="str">
        <f aca="false">IF($B1471="","",IF(COUNTIFS($B$3:$B1471,$B1471)&gt;1,"",$K1471+$L1471))</f>
        <v/>
      </c>
      <c r="N1471" s="14" t="str">
        <f aca="false">IF($B1471="","",COUNTIFS($B$3:$B1471,$B1471))</f>
        <v/>
      </c>
      <c r="O1471" s="14" t="str">
        <f aca="false">IF($B1471="","",$B1471&amp;"|"&amp;$N1471)</f>
        <v/>
      </c>
    </row>
    <row r="1472" customFormat="false" ht="15" hidden="false" customHeight="false" outlineLevel="0" collapsed="false">
      <c r="A1472" s="12"/>
      <c r="B1472" s="9"/>
      <c r="C1472" s="9"/>
      <c r="D1472" s="9"/>
      <c r="E1472" s="9"/>
      <c r="F1472" s="9"/>
      <c r="G1472" s="9"/>
      <c r="H1472" s="7"/>
      <c r="I1472" s="13" t="str">
        <f aca="false">IF(OR($G1472="",$H1472=""),"",ROUND($G1472*$H1472,0))</f>
        <v/>
      </c>
      <c r="J1472" s="8"/>
      <c r="K1472" s="13" t="str">
        <f aca="false">IF($B1472="","",SUMIFS($I$3:$I$2002,$B$3:$B$2002,$B1472))</f>
        <v/>
      </c>
      <c r="L1472" s="13" t="str">
        <f aca="false">IF($B1472="","",IF(COUNTIFS($B$3:$B1472,$B1472)&gt;1,0,IFERROR(LOOKUP($K1472,배송비규정!$A$3:$A$32,배송비규정!$B$3:$B$32),0)+IFERROR(INDEX(지역추가비!$B$3:$B$42,MATCH($J1472,지역추가비!$A$3:$A$42,0)),0)))</f>
        <v/>
      </c>
      <c r="M1472" s="13" t="str">
        <f aca="false">IF($B1472="","",IF(COUNTIFS($B$3:$B1472,$B1472)&gt;1,"",$K1472+$L1472))</f>
        <v/>
      </c>
      <c r="N1472" s="14" t="str">
        <f aca="false">IF($B1472="","",COUNTIFS($B$3:$B1472,$B1472))</f>
        <v/>
      </c>
      <c r="O1472" s="14" t="str">
        <f aca="false">IF($B1472="","",$B1472&amp;"|"&amp;$N1472)</f>
        <v/>
      </c>
    </row>
    <row r="1473" customFormat="false" ht="15" hidden="false" customHeight="false" outlineLevel="0" collapsed="false">
      <c r="A1473" s="12"/>
      <c r="B1473" s="9"/>
      <c r="C1473" s="9"/>
      <c r="D1473" s="9"/>
      <c r="E1473" s="9"/>
      <c r="F1473" s="9"/>
      <c r="G1473" s="9"/>
      <c r="H1473" s="7"/>
      <c r="I1473" s="13" t="str">
        <f aca="false">IF(OR($G1473="",$H1473=""),"",ROUND($G1473*$H1473,0))</f>
        <v/>
      </c>
      <c r="J1473" s="8"/>
      <c r="K1473" s="13" t="str">
        <f aca="false">IF($B1473="","",SUMIFS($I$3:$I$2002,$B$3:$B$2002,$B1473))</f>
        <v/>
      </c>
      <c r="L1473" s="13" t="str">
        <f aca="false">IF($B1473="","",IF(COUNTIFS($B$3:$B1473,$B1473)&gt;1,0,IFERROR(LOOKUP($K1473,배송비규정!$A$3:$A$32,배송비규정!$B$3:$B$32),0)+IFERROR(INDEX(지역추가비!$B$3:$B$42,MATCH($J1473,지역추가비!$A$3:$A$42,0)),0)))</f>
        <v/>
      </c>
      <c r="M1473" s="13" t="str">
        <f aca="false">IF($B1473="","",IF(COUNTIFS($B$3:$B1473,$B1473)&gt;1,"",$K1473+$L1473))</f>
        <v/>
      </c>
      <c r="N1473" s="14" t="str">
        <f aca="false">IF($B1473="","",COUNTIFS($B$3:$B1473,$B1473))</f>
        <v/>
      </c>
      <c r="O1473" s="14" t="str">
        <f aca="false">IF($B1473="","",$B1473&amp;"|"&amp;$N1473)</f>
        <v/>
      </c>
    </row>
    <row r="1474" customFormat="false" ht="15" hidden="false" customHeight="false" outlineLevel="0" collapsed="false">
      <c r="A1474" s="12"/>
      <c r="B1474" s="9"/>
      <c r="C1474" s="9"/>
      <c r="D1474" s="9"/>
      <c r="E1474" s="9"/>
      <c r="F1474" s="9"/>
      <c r="G1474" s="9"/>
      <c r="H1474" s="7"/>
      <c r="I1474" s="13" t="str">
        <f aca="false">IF(OR($G1474="",$H1474=""),"",ROUND($G1474*$H1474,0))</f>
        <v/>
      </c>
      <c r="J1474" s="8"/>
      <c r="K1474" s="13" t="str">
        <f aca="false">IF($B1474="","",SUMIFS($I$3:$I$2002,$B$3:$B$2002,$B1474))</f>
        <v/>
      </c>
      <c r="L1474" s="13" t="str">
        <f aca="false">IF($B1474="","",IF(COUNTIFS($B$3:$B1474,$B1474)&gt;1,0,IFERROR(LOOKUP($K1474,배송비규정!$A$3:$A$32,배송비규정!$B$3:$B$32),0)+IFERROR(INDEX(지역추가비!$B$3:$B$42,MATCH($J1474,지역추가비!$A$3:$A$42,0)),0)))</f>
        <v/>
      </c>
      <c r="M1474" s="13" t="str">
        <f aca="false">IF($B1474="","",IF(COUNTIFS($B$3:$B1474,$B1474)&gt;1,"",$K1474+$L1474))</f>
        <v/>
      </c>
      <c r="N1474" s="14" t="str">
        <f aca="false">IF($B1474="","",COUNTIFS($B$3:$B1474,$B1474))</f>
        <v/>
      </c>
      <c r="O1474" s="14" t="str">
        <f aca="false">IF($B1474="","",$B1474&amp;"|"&amp;$N1474)</f>
        <v/>
      </c>
    </row>
    <row r="1475" customFormat="false" ht="15" hidden="false" customHeight="false" outlineLevel="0" collapsed="false">
      <c r="A1475" s="12"/>
      <c r="B1475" s="9"/>
      <c r="C1475" s="9"/>
      <c r="D1475" s="9"/>
      <c r="E1475" s="9"/>
      <c r="F1475" s="9"/>
      <c r="G1475" s="9"/>
      <c r="H1475" s="7"/>
      <c r="I1475" s="13" t="str">
        <f aca="false">IF(OR($G1475="",$H1475=""),"",ROUND($G1475*$H1475,0))</f>
        <v/>
      </c>
      <c r="J1475" s="8"/>
      <c r="K1475" s="13" t="str">
        <f aca="false">IF($B1475="","",SUMIFS($I$3:$I$2002,$B$3:$B$2002,$B1475))</f>
        <v/>
      </c>
      <c r="L1475" s="13" t="str">
        <f aca="false">IF($B1475="","",IF(COUNTIFS($B$3:$B1475,$B1475)&gt;1,0,IFERROR(LOOKUP($K1475,배송비규정!$A$3:$A$32,배송비규정!$B$3:$B$32),0)+IFERROR(INDEX(지역추가비!$B$3:$B$42,MATCH($J1475,지역추가비!$A$3:$A$42,0)),0)))</f>
        <v/>
      </c>
      <c r="M1475" s="13" t="str">
        <f aca="false">IF($B1475="","",IF(COUNTIFS($B$3:$B1475,$B1475)&gt;1,"",$K1475+$L1475))</f>
        <v/>
      </c>
      <c r="N1475" s="14" t="str">
        <f aca="false">IF($B1475="","",COUNTIFS($B$3:$B1475,$B1475))</f>
        <v/>
      </c>
      <c r="O1475" s="14" t="str">
        <f aca="false">IF($B1475="","",$B1475&amp;"|"&amp;$N1475)</f>
        <v/>
      </c>
    </row>
    <row r="1476" customFormat="false" ht="15" hidden="false" customHeight="false" outlineLevel="0" collapsed="false">
      <c r="A1476" s="12"/>
      <c r="B1476" s="9"/>
      <c r="C1476" s="9"/>
      <c r="D1476" s="9"/>
      <c r="E1476" s="9"/>
      <c r="F1476" s="9"/>
      <c r="G1476" s="9"/>
      <c r="H1476" s="7"/>
      <c r="I1476" s="13" t="str">
        <f aca="false">IF(OR($G1476="",$H1476=""),"",ROUND($G1476*$H1476,0))</f>
        <v/>
      </c>
      <c r="J1476" s="8"/>
      <c r="K1476" s="13" t="str">
        <f aca="false">IF($B1476="","",SUMIFS($I$3:$I$2002,$B$3:$B$2002,$B1476))</f>
        <v/>
      </c>
      <c r="L1476" s="13" t="str">
        <f aca="false">IF($B1476="","",IF(COUNTIFS($B$3:$B1476,$B1476)&gt;1,0,IFERROR(LOOKUP($K1476,배송비규정!$A$3:$A$32,배송비규정!$B$3:$B$32),0)+IFERROR(INDEX(지역추가비!$B$3:$B$42,MATCH($J1476,지역추가비!$A$3:$A$42,0)),0)))</f>
        <v/>
      </c>
      <c r="M1476" s="13" t="str">
        <f aca="false">IF($B1476="","",IF(COUNTIFS($B$3:$B1476,$B1476)&gt;1,"",$K1476+$L1476))</f>
        <v/>
      </c>
      <c r="N1476" s="14" t="str">
        <f aca="false">IF($B1476="","",COUNTIFS($B$3:$B1476,$B1476))</f>
        <v/>
      </c>
      <c r="O1476" s="14" t="str">
        <f aca="false">IF($B1476="","",$B1476&amp;"|"&amp;$N1476)</f>
        <v/>
      </c>
    </row>
    <row r="1477" customFormat="false" ht="15" hidden="false" customHeight="false" outlineLevel="0" collapsed="false">
      <c r="A1477" s="12"/>
      <c r="B1477" s="9"/>
      <c r="C1477" s="9"/>
      <c r="D1477" s="9"/>
      <c r="E1477" s="9"/>
      <c r="F1477" s="9"/>
      <c r="G1477" s="9"/>
      <c r="H1477" s="7"/>
      <c r="I1477" s="13" t="str">
        <f aca="false">IF(OR($G1477="",$H1477=""),"",ROUND($G1477*$H1477,0))</f>
        <v/>
      </c>
      <c r="J1477" s="8"/>
      <c r="K1477" s="13" t="str">
        <f aca="false">IF($B1477="","",SUMIFS($I$3:$I$2002,$B$3:$B$2002,$B1477))</f>
        <v/>
      </c>
      <c r="L1477" s="13" t="str">
        <f aca="false">IF($B1477="","",IF(COUNTIFS($B$3:$B1477,$B1477)&gt;1,0,IFERROR(LOOKUP($K1477,배송비규정!$A$3:$A$32,배송비규정!$B$3:$B$32),0)+IFERROR(INDEX(지역추가비!$B$3:$B$42,MATCH($J1477,지역추가비!$A$3:$A$42,0)),0)))</f>
        <v/>
      </c>
      <c r="M1477" s="13" t="str">
        <f aca="false">IF($B1477="","",IF(COUNTIFS($B$3:$B1477,$B1477)&gt;1,"",$K1477+$L1477))</f>
        <v/>
      </c>
      <c r="N1477" s="14" t="str">
        <f aca="false">IF($B1477="","",COUNTIFS($B$3:$B1477,$B1477))</f>
        <v/>
      </c>
      <c r="O1477" s="14" t="str">
        <f aca="false">IF($B1477="","",$B1477&amp;"|"&amp;$N1477)</f>
        <v/>
      </c>
    </row>
    <row r="1478" customFormat="false" ht="15" hidden="false" customHeight="false" outlineLevel="0" collapsed="false">
      <c r="A1478" s="12"/>
      <c r="B1478" s="9"/>
      <c r="C1478" s="9"/>
      <c r="D1478" s="9"/>
      <c r="E1478" s="9"/>
      <c r="F1478" s="9"/>
      <c r="G1478" s="9"/>
      <c r="H1478" s="7"/>
      <c r="I1478" s="13" t="str">
        <f aca="false">IF(OR($G1478="",$H1478=""),"",ROUND($G1478*$H1478,0))</f>
        <v/>
      </c>
      <c r="J1478" s="8"/>
      <c r="K1478" s="13" t="str">
        <f aca="false">IF($B1478="","",SUMIFS($I$3:$I$2002,$B$3:$B$2002,$B1478))</f>
        <v/>
      </c>
      <c r="L1478" s="13" t="str">
        <f aca="false">IF($B1478="","",IF(COUNTIFS($B$3:$B1478,$B1478)&gt;1,0,IFERROR(LOOKUP($K1478,배송비규정!$A$3:$A$32,배송비규정!$B$3:$B$32),0)+IFERROR(INDEX(지역추가비!$B$3:$B$42,MATCH($J1478,지역추가비!$A$3:$A$42,0)),0)))</f>
        <v/>
      </c>
      <c r="M1478" s="13" t="str">
        <f aca="false">IF($B1478="","",IF(COUNTIFS($B$3:$B1478,$B1478)&gt;1,"",$K1478+$L1478))</f>
        <v/>
      </c>
      <c r="N1478" s="14" t="str">
        <f aca="false">IF($B1478="","",COUNTIFS($B$3:$B1478,$B1478))</f>
        <v/>
      </c>
      <c r="O1478" s="14" t="str">
        <f aca="false">IF($B1478="","",$B1478&amp;"|"&amp;$N1478)</f>
        <v/>
      </c>
    </row>
    <row r="1479" customFormat="false" ht="15" hidden="false" customHeight="false" outlineLevel="0" collapsed="false">
      <c r="A1479" s="12"/>
      <c r="B1479" s="9"/>
      <c r="C1479" s="9"/>
      <c r="D1479" s="9"/>
      <c r="E1479" s="9"/>
      <c r="F1479" s="9"/>
      <c r="G1479" s="9"/>
      <c r="H1479" s="7"/>
      <c r="I1479" s="13" t="str">
        <f aca="false">IF(OR($G1479="",$H1479=""),"",ROUND($G1479*$H1479,0))</f>
        <v/>
      </c>
      <c r="J1479" s="8"/>
      <c r="K1479" s="13" t="str">
        <f aca="false">IF($B1479="","",SUMIFS($I$3:$I$2002,$B$3:$B$2002,$B1479))</f>
        <v/>
      </c>
      <c r="L1479" s="13" t="str">
        <f aca="false">IF($B1479="","",IF(COUNTIFS($B$3:$B1479,$B1479)&gt;1,0,IFERROR(LOOKUP($K1479,배송비규정!$A$3:$A$32,배송비규정!$B$3:$B$32),0)+IFERROR(INDEX(지역추가비!$B$3:$B$42,MATCH($J1479,지역추가비!$A$3:$A$42,0)),0)))</f>
        <v/>
      </c>
      <c r="M1479" s="13" t="str">
        <f aca="false">IF($B1479="","",IF(COUNTIFS($B$3:$B1479,$B1479)&gt;1,"",$K1479+$L1479))</f>
        <v/>
      </c>
      <c r="N1479" s="14" t="str">
        <f aca="false">IF($B1479="","",COUNTIFS($B$3:$B1479,$B1479))</f>
        <v/>
      </c>
      <c r="O1479" s="14" t="str">
        <f aca="false">IF($B1479="","",$B1479&amp;"|"&amp;$N1479)</f>
        <v/>
      </c>
    </row>
    <row r="1480" customFormat="false" ht="15" hidden="false" customHeight="false" outlineLevel="0" collapsed="false">
      <c r="A1480" s="12"/>
      <c r="B1480" s="9"/>
      <c r="C1480" s="9"/>
      <c r="D1480" s="9"/>
      <c r="E1480" s="9"/>
      <c r="F1480" s="9"/>
      <c r="G1480" s="9"/>
      <c r="H1480" s="7"/>
      <c r="I1480" s="13" t="str">
        <f aca="false">IF(OR($G1480="",$H1480=""),"",ROUND($G1480*$H1480,0))</f>
        <v/>
      </c>
      <c r="J1480" s="8"/>
      <c r="K1480" s="13" t="str">
        <f aca="false">IF($B1480="","",SUMIFS($I$3:$I$2002,$B$3:$B$2002,$B1480))</f>
        <v/>
      </c>
      <c r="L1480" s="13" t="str">
        <f aca="false">IF($B1480="","",IF(COUNTIFS($B$3:$B1480,$B1480)&gt;1,0,IFERROR(LOOKUP($K1480,배송비규정!$A$3:$A$32,배송비규정!$B$3:$B$32),0)+IFERROR(INDEX(지역추가비!$B$3:$B$42,MATCH($J1480,지역추가비!$A$3:$A$42,0)),0)))</f>
        <v/>
      </c>
      <c r="M1480" s="13" t="str">
        <f aca="false">IF($B1480="","",IF(COUNTIFS($B$3:$B1480,$B1480)&gt;1,"",$K1480+$L1480))</f>
        <v/>
      </c>
      <c r="N1480" s="14" t="str">
        <f aca="false">IF($B1480="","",COUNTIFS($B$3:$B1480,$B1480))</f>
        <v/>
      </c>
      <c r="O1480" s="14" t="str">
        <f aca="false">IF($B1480="","",$B1480&amp;"|"&amp;$N1480)</f>
        <v/>
      </c>
    </row>
    <row r="1481" customFormat="false" ht="15" hidden="false" customHeight="false" outlineLevel="0" collapsed="false">
      <c r="A1481" s="12"/>
      <c r="B1481" s="9"/>
      <c r="C1481" s="9"/>
      <c r="D1481" s="9"/>
      <c r="E1481" s="9"/>
      <c r="F1481" s="9"/>
      <c r="G1481" s="9"/>
      <c r="H1481" s="7"/>
      <c r="I1481" s="13" t="str">
        <f aca="false">IF(OR($G1481="",$H1481=""),"",ROUND($G1481*$H1481,0))</f>
        <v/>
      </c>
      <c r="J1481" s="8"/>
      <c r="K1481" s="13" t="str">
        <f aca="false">IF($B1481="","",SUMIFS($I$3:$I$2002,$B$3:$B$2002,$B1481))</f>
        <v/>
      </c>
      <c r="L1481" s="13" t="str">
        <f aca="false">IF($B1481="","",IF(COUNTIFS($B$3:$B1481,$B1481)&gt;1,0,IFERROR(LOOKUP($K1481,배송비규정!$A$3:$A$32,배송비규정!$B$3:$B$32),0)+IFERROR(INDEX(지역추가비!$B$3:$B$42,MATCH($J1481,지역추가비!$A$3:$A$42,0)),0)))</f>
        <v/>
      </c>
      <c r="M1481" s="13" t="str">
        <f aca="false">IF($B1481="","",IF(COUNTIFS($B$3:$B1481,$B1481)&gt;1,"",$K1481+$L1481))</f>
        <v/>
      </c>
      <c r="N1481" s="14" t="str">
        <f aca="false">IF($B1481="","",COUNTIFS($B$3:$B1481,$B1481))</f>
        <v/>
      </c>
      <c r="O1481" s="14" t="str">
        <f aca="false">IF($B1481="","",$B1481&amp;"|"&amp;$N1481)</f>
        <v/>
      </c>
    </row>
    <row r="1482" customFormat="false" ht="15" hidden="false" customHeight="false" outlineLevel="0" collapsed="false">
      <c r="A1482" s="12"/>
      <c r="B1482" s="9"/>
      <c r="C1482" s="9"/>
      <c r="D1482" s="9"/>
      <c r="E1482" s="9"/>
      <c r="F1482" s="9"/>
      <c r="G1482" s="9"/>
      <c r="H1482" s="7"/>
      <c r="I1482" s="13" t="str">
        <f aca="false">IF(OR($G1482="",$H1482=""),"",ROUND($G1482*$H1482,0))</f>
        <v/>
      </c>
      <c r="J1482" s="8"/>
      <c r="K1482" s="13" t="str">
        <f aca="false">IF($B1482="","",SUMIFS($I$3:$I$2002,$B$3:$B$2002,$B1482))</f>
        <v/>
      </c>
      <c r="L1482" s="13" t="str">
        <f aca="false">IF($B1482="","",IF(COUNTIFS($B$3:$B1482,$B1482)&gt;1,0,IFERROR(LOOKUP($K1482,배송비규정!$A$3:$A$32,배송비규정!$B$3:$B$32),0)+IFERROR(INDEX(지역추가비!$B$3:$B$42,MATCH($J1482,지역추가비!$A$3:$A$42,0)),0)))</f>
        <v/>
      </c>
      <c r="M1482" s="13" t="str">
        <f aca="false">IF($B1482="","",IF(COUNTIFS($B$3:$B1482,$B1482)&gt;1,"",$K1482+$L1482))</f>
        <v/>
      </c>
      <c r="N1482" s="14" t="str">
        <f aca="false">IF($B1482="","",COUNTIFS($B$3:$B1482,$B1482))</f>
        <v/>
      </c>
      <c r="O1482" s="14" t="str">
        <f aca="false">IF($B1482="","",$B1482&amp;"|"&amp;$N1482)</f>
        <v/>
      </c>
    </row>
    <row r="1483" customFormat="false" ht="15" hidden="false" customHeight="false" outlineLevel="0" collapsed="false">
      <c r="A1483" s="12"/>
      <c r="B1483" s="9"/>
      <c r="C1483" s="9"/>
      <c r="D1483" s="9"/>
      <c r="E1483" s="9"/>
      <c r="F1483" s="9"/>
      <c r="G1483" s="9"/>
      <c r="H1483" s="7"/>
      <c r="I1483" s="13" t="str">
        <f aca="false">IF(OR($G1483="",$H1483=""),"",ROUND($G1483*$H1483,0))</f>
        <v/>
      </c>
      <c r="J1483" s="8"/>
      <c r="K1483" s="13" t="str">
        <f aca="false">IF($B1483="","",SUMIFS($I$3:$I$2002,$B$3:$B$2002,$B1483))</f>
        <v/>
      </c>
      <c r="L1483" s="13" t="str">
        <f aca="false">IF($B1483="","",IF(COUNTIFS($B$3:$B1483,$B1483)&gt;1,0,IFERROR(LOOKUP($K1483,배송비규정!$A$3:$A$32,배송비규정!$B$3:$B$32),0)+IFERROR(INDEX(지역추가비!$B$3:$B$42,MATCH($J1483,지역추가비!$A$3:$A$42,0)),0)))</f>
        <v/>
      </c>
      <c r="M1483" s="13" t="str">
        <f aca="false">IF($B1483="","",IF(COUNTIFS($B$3:$B1483,$B1483)&gt;1,"",$K1483+$L1483))</f>
        <v/>
      </c>
      <c r="N1483" s="14" t="str">
        <f aca="false">IF($B1483="","",COUNTIFS($B$3:$B1483,$B1483))</f>
        <v/>
      </c>
      <c r="O1483" s="14" t="str">
        <f aca="false">IF($B1483="","",$B1483&amp;"|"&amp;$N1483)</f>
        <v/>
      </c>
    </row>
    <row r="1484" customFormat="false" ht="15" hidden="false" customHeight="false" outlineLevel="0" collapsed="false">
      <c r="A1484" s="12"/>
      <c r="B1484" s="9"/>
      <c r="C1484" s="9"/>
      <c r="D1484" s="9"/>
      <c r="E1484" s="9"/>
      <c r="F1484" s="9"/>
      <c r="G1484" s="9"/>
      <c r="H1484" s="7"/>
      <c r="I1484" s="13" t="str">
        <f aca="false">IF(OR($G1484="",$H1484=""),"",ROUND($G1484*$H1484,0))</f>
        <v/>
      </c>
      <c r="J1484" s="8"/>
      <c r="K1484" s="13" t="str">
        <f aca="false">IF($B1484="","",SUMIFS($I$3:$I$2002,$B$3:$B$2002,$B1484))</f>
        <v/>
      </c>
      <c r="L1484" s="13" t="str">
        <f aca="false">IF($B1484="","",IF(COUNTIFS($B$3:$B1484,$B1484)&gt;1,0,IFERROR(LOOKUP($K1484,배송비규정!$A$3:$A$32,배송비규정!$B$3:$B$32),0)+IFERROR(INDEX(지역추가비!$B$3:$B$42,MATCH($J1484,지역추가비!$A$3:$A$42,0)),0)))</f>
        <v/>
      </c>
      <c r="M1484" s="13" t="str">
        <f aca="false">IF($B1484="","",IF(COUNTIFS($B$3:$B1484,$B1484)&gt;1,"",$K1484+$L1484))</f>
        <v/>
      </c>
      <c r="N1484" s="14" t="str">
        <f aca="false">IF($B1484="","",COUNTIFS($B$3:$B1484,$B1484))</f>
        <v/>
      </c>
      <c r="O1484" s="14" t="str">
        <f aca="false">IF($B1484="","",$B1484&amp;"|"&amp;$N1484)</f>
        <v/>
      </c>
    </row>
    <row r="1485" customFormat="false" ht="15" hidden="false" customHeight="false" outlineLevel="0" collapsed="false">
      <c r="A1485" s="12"/>
      <c r="B1485" s="9"/>
      <c r="C1485" s="9"/>
      <c r="D1485" s="9"/>
      <c r="E1485" s="9"/>
      <c r="F1485" s="9"/>
      <c r="G1485" s="9"/>
      <c r="H1485" s="7"/>
      <c r="I1485" s="13" t="str">
        <f aca="false">IF(OR($G1485="",$H1485=""),"",ROUND($G1485*$H1485,0))</f>
        <v/>
      </c>
      <c r="J1485" s="8"/>
      <c r="K1485" s="13" t="str">
        <f aca="false">IF($B1485="","",SUMIFS($I$3:$I$2002,$B$3:$B$2002,$B1485))</f>
        <v/>
      </c>
      <c r="L1485" s="13" t="str">
        <f aca="false">IF($B1485="","",IF(COUNTIFS($B$3:$B1485,$B1485)&gt;1,0,IFERROR(LOOKUP($K1485,배송비규정!$A$3:$A$32,배송비규정!$B$3:$B$32),0)+IFERROR(INDEX(지역추가비!$B$3:$B$42,MATCH($J1485,지역추가비!$A$3:$A$42,0)),0)))</f>
        <v/>
      </c>
      <c r="M1485" s="13" t="str">
        <f aca="false">IF($B1485="","",IF(COUNTIFS($B$3:$B1485,$B1485)&gt;1,"",$K1485+$L1485))</f>
        <v/>
      </c>
      <c r="N1485" s="14" t="str">
        <f aca="false">IF($B1485="","",COUNTIFS($B$3:$B1485,$B1485))</f>
        <v/>
      </c>
      <c r="O1485" s="14" t="str">
        <f aca="false">IF($B1485="","",$B1485&amp;"|"&amp;$N1485)</f>
        <v/>
      </c>
    </row>
    <row r="1486" customFormat="false" ht="15" hidden="false" customHeight="false" outlineLevel="0" collapsed="false">
      <c r="A1486" s="12"/>
      <c r="B1486" s="9"/>
      <c r="C1486" s="9"/>
      <c r="D1486" s="9"/>
      <c r="E1486" s="9"/>
      <c r="F1486" s="9"/>
      <c r="G1486" s="9"/>
      <c r="H1486" s="7"/>
      <c r="I1486" s="13" t="str">
        <f aca="false">IF(OR($G1486="",$H1486=""),"",ROUND($G1486*$H1486,0))</f>
        <v/>
      </c>
      <c r="J1486" s="8"/>
      <c r="K1486" s="13" t="str">
        <f aca="false">IF($B1486="","",SUMIFS($I$3:$I$2002,$B$3:$B$2002,$B1486))</f>
        <v/>
      </c>
      <c r="L1486" s="13" t="str">
        <f aca="false">IF($B1486="","",IF(COUNTIFS($B$3:$B1486,$B1486)&gt;1,0,IFERROR(LOOKUP($K1486,배송비규정!$A$3:$A$32,배송비규정!$B$3:$B$32),0)+IFERROR(INDEX(지역추가비!$B$3:$B$42,MATCH($J1486,지역추가비!$A$3:$A$42,0)),0)))</f>
        <v/>
      </c>
      <c r="M1486" s="13" t="str">
        <f aca="false">IF($B1486="","",IF(COUNTIFS($B$3:$B1486,$B1486)&gt;1,"",$K1486+$L1486))</f>
        <v/>
      </c>
      <c r="N1486" s="14" t="str">
        <f aca="false">IF($B1486="","",COUNTIFS($B$3:$B1486,$B1486))</f>
        <v/>
      </c>
      <c r="O1486" s="14" t="str">
        <f aca="false">IF($B1486="","",$B1486&amp;"|"&amp;$N1486)</f>
        <v/>
      </c>
    </row>
    <row r="1487" customFormat="false" ht="15" hidden="false" customHeight="false" outlineLevel="0" collapsed="false">
      <c r="A1487" s="12"/>
      <c r="B1487" s="9"/>
      <c r="C1487" s="9"/>
      <c r="D1487" s="9"/>
      <c r="E1487" s="9"/>
      <c r="F1487" s="9"/>
      <c r="G1487" s="9"/>
      <c r="H1487" s="7"/>
      <c r="I1487" s="13" t="str">
        <f aca="false">IF(OR($G1487="",$H1487=""),"",ROUND($G1487*$H1487,0))</f>
        <v/>
      </c>
      <c r="J1487" s="8"/>
      <c r="K1487" s="13" t="str">
        <f aca="false">IF($B1487="","",SUMIFS($I$3:$I$2002,$B$3:$B$2002,$B1487))</f>
        <v/>
      </c>
      <c r="L1487" s="13" t="str">
        <f aca="false">IF($B1487="","",IF(COUNTIFS($B$3:$B1487,$B1487)&gt;1,0,IFERROR(LOOKUP($K1487,배송비규정!$A$3:$A$32,배송비규정!$B$3:$B$32),0)+IFERROR(INDEX(지역추가비!$B$3:$B$42,MATCH($J1487,지역추가비!$A$3:$A$42,0)),0)))</f>
        <v/>
      </c>
      <c r="M1487" s="13" t="str">
        <f aca="false">IF($B1487="","",IF(COUNTIFS($B$3:$B1487,$B1487)&gt;1,"",$K1487+$L1487))</f>
        <v/>
      </c>
      <c r="N1487" s="14" t="str">
        <f aca="false">IF($B1487="","",COUNTIFS($B$3:$B1487,$B1487))</f>
        <v/>
      </c>
      <c r="O1487" s="14" t="str">
        <f aca="false">IF($B1487="","",$B1487&amp;"|"&amp;$N1487)</f>
        <v/>
      </c>
    </row>
    <row r="1488" customFormat="false" ht="15" hidden="false" customHeight="false" outlineLevel="0" collapsed="false">
      <c r="A1488" s="12"/>
      <c r="B1488" s="9"/>
      <c r="C1488" s="9"/>
      <c r="D1488" s="9"/>
      <c r="E1488" s="9"/>
      <c r="F1488" s="9"/>
      <c r="G1488" s="9"/>
      <c r="H1488" s="7"/>
      <c r="I1488" s="13" t="str">
        <f aca="false">IF(OR($G1488="",$H1488=""),"",ROUND($G1488*$H1488,0))</f>
        <v/>
      </c>
      <c r="J1488" s="8"/>
      <c r="K1488" s="13" t="str">
        <f aca="false">IF($B1488="","",SUMIFS($I$3:$I$2002,$B$3:$B$2002,$B1488))</f>
        <v/>
      </c>
      <c r="L1488" s="13" t="str">
        <f aca="false">IF($B1488="","",IF(COUNTIFS($B$3:$B1488,$B1488)&gt;1,0,IFERROR(LOOKUP($K1488,배송비규정!$A$3:$A$32,배송비규정!$B$3:$B$32),0)+IFERROR(INDEX(지역추가비!$B$3:$B$42,MATCH($J1488,지역추가비!$A$3:$A$42,0)),0)))</f>
        <v/>
      </c>
      <c r="M1488" s="13" t="str">
        <f aca="false">IF($B1488="","",IF(COUNTIFS($B$3:$B1488,$B1488)&gt;1,"",$K1488+$L1488))</f>
        <v/>
      </c>
      <c r="N1488" s="14" t="str">
        <f aca="false">IF($B1488="","",COUNTIFS($B$3:$B1488,$B1488))</f>
        <v/>
      </c>
      <c r="O1488" s="14" t="str">
        <f aca="false">IF($B1488="","",$B1488&amp;"|"&amp;$N1488)</f>
        <v/>
      </c>
    </row>
    <row r="1489" customFormat="false" ht="15" hidden="false" customHeight="false" outlineLevel="0" collapsed="false">
      <c r="A1489" s="12"/>
      <c r="B1489" s="9"/>
      <c r="C1489" s="9"/>
      <c r="D1489" s="9"/>
      <c r="E1489" s="9"/>
      <c r="F1489" s="9"/>
      <c r="G1489" s="9"/>
      <c r="H1489" s="7"/>
      <c r="I1489" s="13" t="str">
        <f aca="false">IF(OR($G1489="",$H1489=""),"",ROUND($G1489*$H1489,0))</f>
        <v/>
      </c>
      <c r="J1489" s="8"/>
      <c r="K1489" s="13" t="str">
        <f aca="false">IF($B1489="","",SUMIFS($I$3:$I$2002,$B$3:$B$2002,$B1489))</f>
        <v/>
      </c>
      <c r="L1489" s="13" t="str">
        <f aca="false">IF($B1489="","",IF(COUNTIFS($B$3:$B1489,$B1489)&gt;1,0,IFERROR(LOOKUP($K1489,배송비규정!$A$3:$A$32,배송비규정!$B$3:$B$32),0)+IFERROR(INDEX(지역추가비!$B$3:$B$42,MATCH($J1489,지역추가비!$A$3:$A$42,0)),0)))</f>
        <v/>
      </c>
      <c r="M1489" s="13" t="str">
        <f aca="false">IF($B1489="","",IF(COUNTIFS($B$3:$B1489,$B1489)&gt;1,"",$K1489+$L1489))</f>
        <v/>
      </c>
      <c r="N1489" s="14" t="str">
        <f aca="false">IF($B1489="","",COUNTIFS($B$3:$B1489,$B1489))</f>
        <v/>
      </c>
      <c r="O1489" s="14" t="str">
        <f aca="false">IF($B1489="","",$B1489&amp;"|"&amp;$N1489)</f>
        <v/>
      </c>
    </row>
    <row r="1490" customFormat="false" ht="15" hidden="false" customHeight="false" outlineLevel="0" collapsed="false">
      <c r="A1490" s="12"/>
      <c r="B1490" s="9"/>
      <c r="C1490" s="9"/>
      <c r="D1490" s="9"/>
      <c r="E1490" s="9"/>
      <c r="F1490" s="9"/>
      <c r="G1490" s="9"/>
      <c r="H1490" s="7"/>
      <c r="I1490" s="13" t="str">
        <f aca="false">IF(OR($G1490="",$H1490=""),"",ROUND($G1490*$H1490,0))</f>
        <v/>
      </c>
      <c r="J1490" s="8"/>
      <c r="K1490" s="13" t="str">
        <f aca="false">IF($B1490="","",SUMIFS($I$3:$I$2002,$B$3:$B$2002,$B1490))</f>
        <v/>
      </c>
      <c r="L1490" s="13" t="str">
        <f aca="false">IF($B1490="","",IF(COUNTIFS($B$3:$B1490,$B1490)&gt;1,0,IFERROR(LOOKUP($K1490,배송비규정!$A$3:$A$32,배송비규정!$B$3:$B$32),0)+IFERROR(INDEX(지역추가비!$B$3:$B$42,MATCH($J1490,지역추가비!$A$3:$A$42,0)),0)))</f>
        <v/>
      </c>
      <c r="M1490" s="13" t="str">
        <f aca="false">IF($B1490="","",IF(COUNTIFS($B$3:$B1490,$B1490)&gt;1,"",$K1490+$L1490))</f>
        <v/>
      </c>
      <c r="N1490" s="14" t="str">
        <f aca="false">IF($B1490="","",COUNTIFS($B$3:$B1490,$B1490))</f>
        <v/>
      </c>
      <c r="O1490" s="14" t="str">
        <f aca="false">IF($B1490="","",$B1490&amp;"|"&amp;$N1490)</f>
        <v/>
      </c>
    </row>
    <row r="1491" customFormat="false" ht="15" hidden="false" customHeight="false" outlineLevel="0" collapsed="false">
      <c r="A1491" s="12"/>
      <c r="B1491" s="9"/>
      <c r="C1491" s="9"/>
      <c r="D1491" s="9"/>
      <c r="E1491" s="9"/>
      <c r="F1491" s="9"/>
      <c r="G1491" s="9"/>
      <c r="H1491" s="7"/>
      <c r="I1491" s="13" t="str">
        <f aca="false">IF(OR($G1491="",$H1491=""),"",ROUND($G1491*$H1491,0))</f>
        <v/>
      </c>
      <c r="J1491" s="8"/>
      <c r="K1491" s="13" t="str">
        <f aca="false">IF($B1491="","",SUMIFS($I$3:$I$2002,$B$3:$B$2002,$B1491))</f>
        <v/>
      </c>
      <c r="L1491" s="13" t="str">
        <f aca="false">IF($B1491="","",IF(COUNTIFS($B$3:$B1491,$B1491)&gt;1,0,IFERROR(LOOKUP($K1491,배송비규정!$A$3:$A$32,배송비규정!$B$3:$B$32),0)+IFERROR(INDEX(지역추가비!$B$3:$B$42,MATCH($J1491,지역추가비!$A$3:$A$42,0)),0)))</f>
        <v/>
      </c>
      <c r="M1491" s="13" t="str">
        <f aca="false">IF($B1491="","",IF(COUNTIFS($B$3:$B1491,$B1491)&gt;1,"",$K1491+$L1491))</f>
        <v/>
      </c>
      <c r="N1491" s="14" t="str">
        <f aca="false">IF($B1491="","",COUNTIFS($B$3:$B1491,$B1491))</f>
        <v/>
      </c>
      <c r="O1491" s="14" t="str">
        <f aca="false">IF($B1491="","",$B1491&amp;"|"&amp;$N1491)</f>
        <v/>
      </c>
    </row>
    <row r="1492" customFormat="false" ht="15" hidden="false" customHeight="false" outlineLevel="0" collapsed="false">
      <c r="A1492" s="12"/>
      <c r="B1492" s="9"/>
      <c r="C1492" s="9"/>
      <c r="D1492" s="9"/>
      <c r="E1492" s="9"/>
      <c r="F1492" s="9"/>
      <c r="G1492" s="9"/>
      <c r="H1492" s="7"/>
      <c r="I1492" s="13" t="str">
        <f aca="false">IF(OR($G1492="",$H1492=""),"",ROUND($G1492*$H1492,0))</f>
        <v/>
      </c>
      <c r="J1492" s="8"/>
      <c r="K1492" s="13" t="str">
        <f aca="false">IF($B1492="","",SUMIFS($I$3:$I$2002,$B$3:$B$2002,$B1492))</f>
        <v/>
      </c>
      <c r="L1492" s="13" t="str">
        <f aca="false">IF($B1492="","",IF(COUNTIFS($B$3:$B1492,$B1492)&gt;1,0,IFERROR(LOOKUP($K1492,배송비규정!$A$3:$A$32,배송비규정!$B$3:$B$32),0)+IFERROR(INDEX(지역추가비!$B$3:$B$42,MATCH($J1492,지역추가비!$A$3:$A$42,0)),0)))</f>
        <v/>
      </c>
      <c r="M1492" s="13" t="str">
        <f aca="false">IF($B1492="","",IF(COUNTIFS($B$3:$B1492,$B1492)&gt;1,"",$K1492+$L1492))</f>
        <v/>
      </c>
      <c r="N1492" s="14" t="str">
        <f aca="false">IF($B1492="","",COUNTIFS($B$3:$B1492,$B1492))</f>
        <v/>
      </c>
      <c r="O1492" s="14" t="str">
        <f aca="false">IF($B1492="","",$B1492&amp;"|"&amp;$N1492)</f>
        <v/>
      </c>
    </row>
    <row r="1493" customFormat="false" ht="15" hidden="false" customHeight="false" outlineLevel="0" collapsed="false">
      <c r="A1493" s="12"/>
      <c r="B1493" s="9"/>
      <c r="C1493" s="9"/>
      <c r="D1493" s="9"/>
      <c r="E1493" s="9"/>
      <c r="F1493" s="9"/>
      <c r="G1493" s="9"/>
      <c r="H1493" s="7"/>
      <c r="I1493" s="13" t="str">
        <f aca="false">IF(OR($G1493="",$H1493=""),"",ROUND($G1493*$H1493,0))</f>
        <v/>
      </c>
      <c r="J1493" s="8"/>
      <c r="K1493" s="13" t="str">
        <f aca="false">IF($B1493="","",SUMIFS($I$3:$I$2002,$B$3:$B$2002,$B1493))</f>
        <v/>
      </c>
      <c r="L1493" s="13" t="str">
        <f aca="false">IF($B1493="","",IF(COUNTIFS($B$3:$B1493,$B1493)&gt;1,0,IFERROR(LOOKUP($K1493,배송비규정!$A$3:$A$32,배송비규정!$B$3:$B$32),0)+IFERROR(INDEX(지역추가비!$B$3:$B$42,MATCH($J1493,지역추가비!$A$3:$A$42,0)),0)))</f>
        <v/>
      </c>
      <c r="M1493" s="13" t="str">
        <f aca="false">IF($B1493="","",IF(COUNTIFS($B$3:$B1493,$B1493)&gt;1,"",$K1493+$L1493))</f>
        <v/>
      </c>
      <c r="N1493" s="14" t="str">
        <f aca="false">IF($B1493="","",COUNTIFS($B$3:$B1493,$B1493))</f>
        <v/>
      </c>
      <c r="O1493" s="14" t="str">
        <f aca="false">IF($B1493="","",$B1493&amp;"|"&amp;$N1493)</f>
        <v/>
      </c>
    </row>
    <row r="1494" customFormat="false" ht="15" hidden="false" customHeight="false" outlineLevel="0" collapsed="false">
      <c r="A1494" s="12"/>
      <c r="B1494" s="9"/>
      <c r="C1494" s="9"/>
      <c r="D1494" s="9"/>
      <c r="E1494" s="9"/>
      <c r="F1494" s="9"/>
      <c r="G1494" s="9"/>
      <c r="H1494" s="7"/>
      <c r="I1494" s="13" t="str">
        <f aca="false">IF(OR($G1494="",$H1494=""),"",ROUND($G1494*$H1494,0))</f>
        <v/>
      </c>
      <c r="J1494" s="8"/>
      <c r="K1494" s="13" t="str">
        <f aca="false">IF($B1494="","",SUMIFS($I$3:$I$2002,$B$3:$B$2002,$B1494))</f>
        <v/>
      </c>
      <c r="L1494" s="13" t="str">
        <f aca="false">IF($B1494="","",IF(COUNTIFS($B$3:$B1494,$B1494)&gt;1,0,IFERROR(LOOKUP($K1494,배송비규정!$A$3:$A$32,배송비규정!$B$3:$B$32),0)+IFERROR(INDEX(지역추가비!$B$3:$B$42,MATCH($J1494,지역추가비!$A$3:$A$42,0)),0)))</f>
        <v/>
      </c>
      <c r="M1494" s="13" t="str">
        <f aca="false">IF($B1494="","",IF(COUNTIFS($B$3:$B1494,$B1494)&gt;1,"",$K1494+$L1494))</f>
        <v/>
      </c>
      <c r="N1494" s="14" t="str">
        <f aca="false">IF($B1494="","",COUNTIFS($B$3:$B1494,$B1494))</f>
        <v/>
      </c>
      <c r="O1494" s="14" t="str">
        <f aca="false">IF($B1494="","",$B1494&amp;"|"&amp;$N1494)</f>
        <v/>
      </c>
    </row>
    <row r="1495" customFormat="false" ht="15" hidden="false" customHeight="false" outlineLevel="0" collapsed="false">
      <c r="A1495" s="12"/>
      <c r="B1495" s="9"/>
      <c r="C1495" s="9"/>
      <c r="D1495" s="9"/>
      <c r="E1495" s="9"/>
      <c r="F1495" s="9"/>
      <c r="G1495" s="9"/>
      <c r="H1495" s="7"/>
      <c r="I1495" s="13" t="str">
        <f aca="false">IF(OR($G1495="",$H1495=""),"",ROUND($G1495*$H1495,0))</f>
        <v/>
      </c>
      <c r="J1495" s="8"/>
      <c r="K1495" s="13" t="str">
        <f aca="false">IF($B1495="","",SUMIFS($I$3:$I$2002,$B$3:$B$2002,$B1495))</f>
        <v/>
      </c>
      <c r="L1495" s="13" t="str">
        <f aca="false">IF($B1495="","",IF(COUNTIFS($B$3:$B1495,$B1495)&gt;1,0,IFERROR(LOOKUP($K1495,배송비규정!$A$3:$A$32,배송비규정!$B$3:$B$32),0)+IFERROR(INDEX(지역추가비!$B$3:$B$42,MATCH($J1495,지역추가비!$A$3:$A$42,0)),0)))</f>
        <v/>
      </c>
      <c r="M1495" s="13" t="str">
        <f aca="false">IF($B1495="","",IF(COUNTIFS($B$3:$B1495,$B1495)&gt;1,"",$K1495+$L1495))</f>
        <v/>
      </c>
      <c r="N1495" s="14" t="str">
        <f aca="false">IF($B1495="","",COUNTIFS($B$3:$B1495,$B1495))</f>
        <v/>
      </c>
      <c r="O1495" s="14" t="str">
        <f aca="false">IF($B1495="","",$B1495&amp;"|"&amp;$N1495)</f>
        <v/>
      </c>
    </row>
    <row r="1496" customFormat="false" ht="15" hidden="false" customHeight="false" outlineLevel="0" collapsed="false">
      <c r="A1496" s="12"/>
      <c r="B1496" s="9"/>
      <c r="C1496" s="9"/>
      <c r="D1496" s="9"/>
      <c r="E1496" s="9"/>
      <c r="F1496" s="9"/>
      <c r="G1496" s="9"/>
      <c r="H1496" s="7"/>
      <c r="I1496" s="13" t="str">
        <f aca="false">IF(OR($G1496="",$H1496=""),"",ROUND($G1496*$H1496,0))</f>
        <v/>
      </c>
      <c r="J1496" s="8"/>
      <c r="K1496" s="13" t="str">
        <f aca="false">IF($B1496="","",SUMIFS($I$3:$I$2002,$B$3:$B$2002,$B1496))</f>
        <v/>
      </c>
      <c r="L1496" s="13" t="str">
        <f aca="false">IF($B1496="","",IF(COUNTIFS($B$3:$B1496,$B1496)&gt;1,0,IFERROR(LOOKUP($K1496,배송비규정!$A$3:$A$32,배송비규정!$B$3:$B$32),0)+IFERROR(INDEX(지역추가비!$B$3:$B$42,MATCH($J1496,지역추가비!$A$3:$A$42,0)),0)))</f>
        <v/>
      </c>
      <c r="M1496" s="13" t="str">
        <f aca="false">IF($B1496="","",IF(COUNTIFS($B$3:$B1496,$B1496)&gt;1,"",$K1496+$L1496))</f>
        <v/>
      </c>
      <c r="N1496" s="14" t="str">
        <f aca="false">IF($B1496="","",COUNTIFS($B$3:$B1496,$B1496))</f>
        <v/>
      </c>
      <c r="O1496" s="14" t="str">
        <f aca="false">IF($B1496="","",$B1496&amp;"|"&amp;$N1496)</f>
        <v/>
      </c>
    </row>
    <row r="1497" customFormat="false" ht="15" hidden="false" customHeight="false" outlineLevel="0" collapsed="false">
      <c r="A1497" s="12"/>
      <c r="B1497" s="9"/>
      <c r="C1497" s="9"/>
      <c r="D1497" s="9"/>
      <c r="E1497" s="9"/>
      <c r="F1497" s="9"/>
      <c r="G1497" s="9"/>
      <c r="H1497" s="7"/>
      <c r="I1497" s="13" t="str">
        <f aca="false">IF(OR($G1497="",$H1497=""),"",ROUND($G1497*$H1497,0))</f>
        <v/>
      </c>
      <c r="J1497" s="8"/>
      <c r="K1497" s="13" t="str">
        <f aca="false">IF($B1497="","",SUMIFS($I$3:$I$2002,$B$3:$B$2002,$B1497))</f>
        <v/>
      </c>
      <c r="L1497" s="13" t="str">
        <f aca="false">IF($B1497="","",IF(COUNTIFS($B$3:$B1497,$B1497)&gt;1,0,IFERROR(LOOKUP($K1497,배송비규정!$A$3:$A$32,배송비규정!$B$3:$B$32),0)+IFERROR(INDEX(지역추가비!$B$3:$B$42,MATCH($J1497,지역추가비!$A$3:$A$42,0)),0)))</f>
        <v/>
      </c>
      <c r="M1497" s="13" t="str">
        <f aca="false">IF($B1497="","",IF(COUNTIFS($B$3:$B1497,$B1497)&gt;1,"",$K1497+$L1497))</f>
        <v/>
      </c>
      <c r="N1497" s="14" t="str">
        <f aca="false">IF($B1497="","",COUNTIFS($B$3:$B1497,$B1497))</f>
        <v/>
      </c>
      <c r="O1497" s="14" t="str">
        <f aca="false">IF($B1497="","",$B1497&amp;"|"&amp;$N1497)</f>
        <v/>
      </c>
    </row>
    <row r="1498" customFormat="false" ht="15" hidden="false" customHeight="false" outlineLevel="0" collapsed="false">
      <c r="A1498" s="12"/>
      <c r="B1498" s="9"/>
      <c r="C1498" s="9"/>
      <c r="D1498" s="9"/>
      <c r="E1498" s="9"/>
      <c r="F1498" s="9"/>
      <c r="G1498" s="9"/>
      <c r="H1498" s="7"/>
      <c r="I1498" s="13" t="str">
        <f aca="false">IF(OR($G1498="",$H1498=""),"",ROUND($G1498*$H1498,0))</f>
        <v/>
      </c>
      <c r="J1498" s="8"/>
      <c r="K1498" s="13" t="str">
        <f aca="false">IF($B1498="","",SUMIFS($I$3:$I$2002,$B$3:$B$2002,$B1498))</f>
        <v/>
      </c>
      <c r="L1498" s="13" t="str">
        <f aca="false">IF($B1498="","",IF(COUNTIFS($B$3:$B1498,$B1498)&gt;1,0,IFERROR(LOOKUP($K1498,배송비규정!$A$3:$A$32,배송비규정!$B$3:$B$32),0)+IFERROR(INDEX(지역추가비!$B$3:$B$42,MATCH($J1498,지역추가비!$A$3:$A$42,0)),0)))</f>
        <v/>
      </c>
      <c r="M1498" s="13" t="str">
        <f aca="false">IF($B1498="","",IF(COUNTIFS($B$3:$B1498,$B1498)&gt;1,"",$K1498+$L1498))</f>
        <v/>
      </c>
      <c r="N1498" s="14" t="str">
        <f aca="false">IF($B1498="","",COUNTIFS($B$3:$B1498,$B1498))</f>
        <v/>
      </c>
      <c r="O1498" s="14" t="str">
        <f aca="false">IF($B1498="","",$B1498&amp;"|"&amp;$N1498)</f>
        <v/>
      </c>
    </row>
    <row r="1499" customFormat="false" ht="15" hidden="false" customHeight="false" outlineLevel="0" collapsed="false">
      <c r="A1499" s="12"/>
      <c r="B1499" s="9"/>
      <c r="C1499" s="9"/>
      <c r="D1499" s="9"/>
      <c r="E1499" s="9"/>
      <c r="F1499" s="9"/>
      <c r="G1499" s="9"/>
      <c r="H1499" s="7"/>
      <c r="I1499" s="13" t="str">
        <f aca="false">IF(OR($G1499="",$H1499=""),"",ROUND($G1499*$H1499,0))</f>
        <v/>
      </c>
      <c r="J1499" s="8"/>
      <c r="K1499" s="13" t="str">
        <f aca="false">IF($B1499="","",SUMIFS($I$3:$I$2002,$B$3:$B$2002,$B1499))</f>
        <v/>
      </c>
      <c r="L1499" s="13" t="str">
        <f aca="false">IF($B1499="","",IF(COUNTIFS($B$3:$B1499,$B1499)&gt;1,0,IFERROR(LOOKUP($K1499,배송비규정!$A$3:$A$32,배송비규정!$B$3:$B$32),0)+IFERROR(INDEX(지역추가비!$B$3:$B$42,MATCH($J1499,지역추가비!$A$3:$A$42,0)),0)))</f>
        <v/>
      </c>
      <c r="M1499" s="13" t="str">
        <f aca="false">IF($B1499="","",IF(COUNTIFS($B$3:$B1499,$B1499)&gt;1,"",$K1499+$L1499))</f>
        <v/>
      </c>
      <c r="N1499" s="14" t="str">
        <f aca="false">IF($B1499="","",COUNTIFS($B$3:$B1499,$B1499))</f>
        <v/>
      </c>
      <c r="O1499" s="14" t="str">
        <f aca="false">IF($B1499="","",$B1499&amp;"|"&amp;$N1499)</f>
        <v/>
      </c>
    </row>
    <row r="1500" customFormat="false" ht="15" hidden="false" customHeight="false" outlineLevel="0" collapsed="false">
      <c r="A1500" s="12"/>
      <c r="B1500" s="9"/>
      <c r="C1500" s="9"/>
      <c r="D1500" s="9"/>
      <c r="E1500" s="9"/>
      <c r="F1500" s="9"/>
      <c r="G1500" s="9"/>
      <c r="H1500" s="7"/>
      <c r="I1500" s="13" t="str">
        <f aca="false">IF(OR($G1500="",$H1500=""),"",ROUND($G1500*$H1500,0))</f>
        <v/>
      </c>
      <c r="J1500" s="8"/>
      <c r="K1500" s="13" t="str">
        <f aca="false">IF($B1500="","",SUMIFS($I$3:$I$2002,$B$3:$B$2002,$B1500))</f>
        <v/>
      </c>
      <c r="L1500" s="13" t="str">
        <f aca="false">IF($B1500="","",IF(COUNTIFS($B$3:$B1500,$B1500)&gt;1,0,IFERROR(LOOKUP($K1500,배송비규정!$A$3:$A$32,배송비규정!$B$3:$B$32),0)+IFERROR(INDEX(지역추가비!$B$3:$B$42,MATCH($J1500,지역추가비!$A$3:$A$42,0)),0)))</f>
        <v/>
      </c>
      <c r="M1500" s="13" t="str">
        <f aca="false">IF($B1500="","",IF(COUNTIFS($B$3:$B1500,$B1500)&gt;1,"",$K1500+$L1500))</f>
        <v/>
      </c>
      <c r="N1500" s="14" t="str">
        <f aca="false">IF($B1500="","",COUNTIFS($B$3:$B1500,$B1500))</f>
        <v/>
      </c>
      <c r="O1500" s="14" t="str">
        <f aca="false">IF($B1500="","",$B1500&amp;"|"&amp;$N1500)</f>
        <v/>
      </c>
    </row>
    <row r="1501" customFormat="false" ht="15" hidden="false" customHeight="false" outlineLevel="0" collapsed="false">
      <c r="A1501" s="12"/>
      <c r="B1501" s="9"/>
      <c r="C1501" s="9"/>
      <c r="D1501" s="9"/>
      <c r="E1501" s="9"/>
      <c r="F1501" s="9"/>
      <c r="G1501" s="9"/>
      <c r="H1501" s="7"/>
      <c r="I1501" s="13" t="str">
        <f aca="false">IF(OR($G1501="",$H1501=""),"",ROUND($G1501*$H1501,0))</f>
        <v/>
      </c>
      <c r="J1501" s="8"/>
      <c r="K1501" s="13" t="str">
        <f aca="false">IF($B1501="","",SUMIFS($I$3:$I$2002,$B$3:$B$2002,$B1501))</f>
        <v/>
      </c>
      <c r="L1501" s="13" t="str">
        <f aca="false">IF($B1501="","",IF(COUNTIFS($B$3:$B1501,$B1501)&gt;1,0,IFERROR(LOOKUP($K1501,배송비규정!$A$3:$A$32,배송비규정!$B$3:$B$32),0)+IFERROR(INDEX(지역추가비!$B$3:$B$42,MATCH($J1501,지역추가비!$A$3:$A$42,0)),0)))</f>
        <v/>
      </c>
      <c r="M1501" s="13" t="str">
        <f aca="false">IF($B1501="","",IF(COUNTIFS($B$3:$B1501,$B1501)&gt;1,"",$K1501+$L1501))</f>
        <v/>
      </c>
      <c r="N1501" s="14" t="str">
        <f aca="false">IF($B1501="","",COUNTIFS($B$3:$B1501,$B1501))</f>
        <v/>
      </c>
      <c r="O1501" s="14" t="str">
        <f aca="false">IF($B1501="","",$B1501&amp;"|"&amp;$N1501)</f>
        <v/>
      </c>
    </row>
    <row r="1502" customFormat="false" ht="15" hidden="false" customHeight="false" outlineLevel="0" collapsed="false">
      <c r="A1502" s="12"/>
      <c r="B1502" s="9"/>
      <c r="C1502" s="9"/>
      <c r="D1502" s="9"/>
      <c r="E1502" s="9"/>
      <c r="F1502" s="9"/>
      <c r="G1502" s="9"/>
      <c r="H1502" s="7"/>
      <c r="I1502" s="13" t="str">
        <f aca="false">IF(OR($G1502="",$H1502=""),"",ROUND($G1502*$H1502,0))</f>
        <v/>
      </c>
      <c r="J1502" s="8"/>
      <c r="K1502" s="13" t="str">
        <f aca="false">IF($B1502="","",SUMIFS($I$3:$I$2002,$B$3:$B$2002,$B1502))</f>
        <v/>
      </c>
      <c r="L1502" s="13" t="str">
        <f aca="false">IF($B1502="","",IF(COUNTIFS($B$3:$B1502,$B1502)&gt;1,0,IFERROR(LOOKUP($K1502,배송비규정!$A$3:$A$32,배송비규정!$B$3:$B$32),0)+IFERROR(INDEX(지역추가비!$B$3:$B$42,MATCH($J1502,지역추가비!$A$3:$A$42,0)),0)))</f>
        <v/>
      </c>
      <c r="M1502" s="13" t="str">
        <f aca="false">IF($B1502="","",IF(COUNTIFS($B$3:$B1502,$B1502)&gt;1,"",$K1502+$L1502))</f>
        <v/>
      </c>
      <c r="N1502" s="14" t="str">
        <f aca="false">IF($B1502="","",COUNTIFS($B$3:$B1502,$B1502))</f>
        <v/>
      </c>
      <c r="O1502" s="14" t="str">
        <f aca="false">IF($B1502="","",$B1502&amp;"|"&amp;$N1502)</f>
        <v/>
      </c>
    </row>
    <row r="1503" customFormat="false" ht="15" hidden="false" customHeight="false" outlineLevel="0" collapsed="false">
      <c r="A1503" s="12"/>
      <c r="B1503" s="9"/>
      <c r="C1503" s="9"/>
      <c r="D1503" s="9"/>
      <c r="E1503" s="9"/>
      <c r="F1503" s="9"/>
      <c r="G1503" s="9"/>
      <c r="H1503" s="7"/>
      <c r="I1503" s="13" t="str">
        <f aca="false">IF(OR($G1503="",$H1503=""),"",ROUND($G1503*$H1503,0))</f>
        <v/>
      </c>
      <c r="J1503" s="8"/>
      <c r="K1503" s="13" t="str">
        <f aca="false">IF($B1503="","",SUMIFS($I$3:$I$2002,$B$3:$B$2002,$B1503))</f>
        <v/>
      </c>
      <c r="L1503" s="13" t="str">
        <f aca="false">IF($B1503="","",IF(COUNTIFS($B$3:$B1503,$B1503)&gt;1,0,IFERROR(LOOKUP($K1503,배송비규정!$A$3:$A$32,배송비규정!$B$3:$B$32),0)+IFERROR(INDEX(지역추가비!$B$3:$B$42,MATCH($J1503,지역추가비!$A$3:$A$42,0)),0)))</f>
        <v/>
      </c>
      <c r="M1503" s="13" t="str">
        <f aca="false">IF($B1503="","",IF(COUNTIFS($B$3:$B1503,$B1503)&gt;1,"",$K1503+$L1503))</f>
        <v/>
      </c>
      <c r="N1503" s="14" t="str">
        <f aca="false">IF($B1503="","",COUNTIFS($B$3:$B1503,$B1503))</f>
        <v/>
      </c>
      <c r="O1503" s="14" t="str">
        <f aca="false">IF($B1503="","",$B1503&amp;"|"&amp;$N1503)</f>
        <v/>
      </c>
    </row>
    <row r="1504" customFormat="false" ht="15" hidden="false" customHeight="false" outlineLevel="0" collapsed="false">
      <c r="A1504" s="12"/>
      <c r="B1504" s="9"/>
      <c r="C1504" s="9"/>
      <c r="D1504" s="9"/>
      <c r="E1504" s="9"/>
      <c r="F1504" s="9"/>
      <c r="G1504" s="9"/>
      <c r="H1504" s="7"/>
      <c r="I1504" s="13" t="str">
        <f aca="false">IF(OR($G1504="",$H1504=""),"",ROUND($G1504*$H1504,0))</f>
        <v/>
      </c>
      <c r="J1504" s="8"/>
      <c r="K1504" s="13" t="str">
        <f aca="false">IF($B1504="","",SUMIFS($I$3:$I$2002,$B$3:$B$2002,$B1504))</f>
        <v/>
      </c>
      <c r="L1504" s="13" t="str">
        <f aca="false">IF($B1504="","",IF(COUNTIFS($B$3:$B1504,$B1504)&gt;1,0,IFERROR(LOOKUP($K1504,배송비규정!$A$3:$A$32,배송비규정!$B$3:$B$32),0)+IFERROR(INDEX(지역추가비!$B$3:$B$42,MATCH($J1504,지역추가비!$A$3:$A$42,0)),0)))</f>
        <v/>
      </c>
      <c r="M1504" s="13" t="str">
        <f aca="false">IF($B1504="","",IF(COUNTIFS($B$3:$B1504,$B1504)&gt;1,"",$K1504+$L1504))</f>
        <v/>
      </c>
      <c r="N1504" s="14" t="str">
        <f aca="false">IF($B1504="","",COUNTIFS($B$3:$B1504,$B1504))</f>
        <v/>
      </c>
      <c r="O1504" s="14" t="str">
        <f aca="false">IF($B1504="","",$B1504&amp;"|"&amp;$N1504)</f>
        <v/>
      </c>
    </row>
    <row r="1505" customFormat="false" ht="15" hidden="false" customHeight="false" outlineLevel="0" collapsed="false">
      <c r="A1505" s="12"/>
      <c r="B1505" s="9"/>
      <c r="C1505" s="9"/>
      <c r="D1505" s="9"/>
      <c r="E1505" s="9"/>
      <c r="F1505" s="9"/>
      <c r="G1505" s="9"/>
      <c r="H1505" s="7"/>
      <c r="I1505" s="13" t="str">
        <f aca="false">IF(OR($G1505="",$H1505=""),"",ROUND($G1505*$H1505,0))</f>
        <v/>
      </c>
      <c r="J1505" s="8"/>
      <c r="K1505" s="13" t="str">
        <f aca="false">IF($B1505="","",SUMIFS($I$3:$I$2002,$B$3:$B$2002,$B1505))</f>
        <v/>
      </c>
      <c r="L1505" s="13" t="str">
        <f aca="false">IF($B1505="","",IF(COUNTIFS($B$3:$B1505,$B1505)&gt;1,0,IFERROR(LOOKUP($K1505,배송비규정!$A$3:$A$32,배송비규정!$B$3:$B$32),0)+IFERROR(INDEX(지역추가비!$B$3:$B$42,MATCH($J1505,지역추가비!$A$3:$A$42,0)),0)))</f>
        <v/>
      </c>
      <c r="M1505" s="13" t="str">
        <f aca="false">IF($B1505="","",IF(COUNTIFS($B$3:$B1505,$B1505)&gt;1,"",$K1505+$L1505))</f>
        <v/>
      </c>
      <c r="N1505" s="14" t="str">
        <f aca="false">IF($B1505="","",COUNTIFS($B$3:$B1505,$B1505))</f>
        <v/>
      </c>
      <c r="O1505" s="14" t="str">
        <f aca="false">IF($B1505="","",$B1505&amp;"|"&amp;$N1505)</f>
        <v/>
      </c>
    </row>
    <row r="1506" customFormat="false" ht="15" hidden="false" customHeight="false" outlineLevel="0" collapsed="false">
      <c r="A1506" s="12"/>
      <c r="B1506" s="9"/>
      <c r="C1506" s="9"/>
      <c r="D1506" s="9"/>
      <c r="E1506" s="9"/>
      <c r="F1506" s="9"/>
      <c r="G1506" s="9"/>
      <c r="H1506" s="7"/>
      <c r="I1506" s="13" t="str">
        <f aca="false">IF(OR($G1506="",$H1506=""),"",ROUND($G1506*$H1506,0))</f>
        <v/>
      </c>
      <c r="J1506" s="8"/>
      <c r="K1506" s="13" t="str">
        <f aca="false">IF($B1506="","",SUMIFS($I$3:$I$2002,$B$3:$B$2002,$B1506))</f>
        <v/>
      </c>
      <c r="L1506" s="13" t="str">
        <f aca="false">IF($B1506="","",IF(COUNTIFS($B$3:$B1506,$B1506)&gt;1,0,IFERROR(LOOKUP($K1506,배송비규정!$A$3:$A$32,배송비규정!$B$3:$B$32),0)+IFERROR(INDEX(지역추가비!$B$3:$B$42,MATCH($J1506,지역추가비!$A$3:$A$42,0)),0)))</f>
        <v/>
      </c>
      <c r="M1506" s="13" t="str">
        <f aca="false">IF($B1506="","",IF(COUNTIFS($B$3:$B1506,$B1506)&gt;1,"",$K1506+$L1506))</f>
        <v/>
      </c>
      <c r="N1506" s="14" t="str">
        <f aca="false">IF($B1506="","",COUNTIFS($B$3:$B1506,$B1506))</f>
        <v/>
      </c>
      <c r="O1506" s="14" t="str">
        <f aca="false">IF($B1506="","",$B1506&amp;"|"&amp;$N1506)</f>
        <v/>
      </c>
    </row>
    <row r="1507" customFormat="false" ht="15" hidden="false" customHeight="false" outlineLevel="0" collapsed="false">
      <c r="A1507" s="12"/>
      <c r="B1507" s="9"/>
      <c r="C1507" s="9"/>
      <c r="D1507" s="9"/>
      <c r="E1507" s="9"/>
      <c r="F1507" s="9"/>
      <c r="G1507" s="9"/>
      <c r="H1507" s="7"/>
      <c r="I1507" s="13" t="str">
        <f aca="false">IF(OR($G1507="",$H1507=""),"",ROUND($G1507*$H1507,0))</f>
        <v/>
      </c>
      <c r="J1507" s="8"/>
      <c r="K1507" s="13" t="str">
        <f aca="false">IF($B1507="","",SUMIFS($I$3:$I$2002,$B$3:$B$2002,$B1507))</f>
        <v/>
      </c>
      <c r="L1507" s="13" t="str">
        <f aca="false">IF($B1507="","",IF(COUNTIFS($B$3:$B1507,$B1507)&gt;1,0,IFERROR(LOOKUP($K1507,배송비규정!$A$3:$A$32,배송비규정!$B$3:$B$32),0)+IFERROR(INDEX(지역추가비!$B$3:$B$42,MATCH($J1507,지역추가비!$A$3:$A$42,0)),0)))</f>
        <v/>
      </c>
      <c r="M1507" s="13" t="str">
        <f aca="false">IF($B1507="","",IF(COUNTIFS($B$3:$B1507,$B1507)&gt;1,"",$K1507+$L1507))</f>
        <v/>
      </c>
      <c r="N1507" s="14" t="str">
        <f aca="false">IF($B1507="","",COUNTIFS($B$3:$B1507,$B1507))</f>
        <v/>
      </c>
      <c r="O1507" s="14" t="str">
        <f aca="false">IF($B1507="","",$B1507&amp;"|"&amp;$N1507)</f>
        <v/>
      </c>
    </row>
    <row r="1508" customFormat="false" ht="15" hidden="false" customHeight="false" outlineLevel="0" collapsed="false">
      <c r="A1508" s="12"/>
      <c r="B1508" s="9"/>
      <c r="C1508" s="9"/>
      <c r="D1508" s="9"/>
      <c r="E1508" s="9"/>
      <c r="F1508" s="9"/>
      <c r="G1508" s="9"/>
      <c r="H1508" s="7"/>
      <c r="I1508" s="13" t="str">
        <f aca="false">IF(OR($G1508="",$H1508=""),"",ROUND($G1508*$H1508,0))</f>
        <v/>
      </c>
      <c r="J1508" s="8"/>
      <c r="K1508" s="13" t="str">
        <f aca="false">IF($B1508="","",SUMIFS($I$3:$I$2002,$B$3:$B$2002,$B1508))</f>
        <v/>
      </c>
      <c r="L1508" s="13" t="str">
        <f aca="false">IF($B1508="","",IF(COUNTIFS($B$3:$B1508,$B1508)&gt;1,0,IFERROR(LOOKUP($K1508,배송비규정!$A$3:$A$32,배송비규정!$B$3:$B$32),0)+IFERROR(INDEX(지역추가비!$B$3:$B$42,MATCH($J1508,지역추가비!$A$3:$A$42,0)),0)))</f>
        <v/>
      </c>
      <c r="M1508" s="13" t="str">
        <f aca="false">IF($B1508="","",IF(COUNTIFS($B$3:$B1508,$B1508)&gt;1,"",$K1508+$L1508))</f>
        <v/>
      </c>
      <c r="N1508" s="14" t="str">
        <f aca="false">IF($B1508="","",COUNTIFS($B$3:$B1508,$B1508))</f>
        <v/>
      </c>
      <c r="O1508" s="14" t="str">
        <f aca="false">IF($B1508="","",$B1508&amp;"|"&amp;$N1508)</f>
        <v/>
      </c>
    </row>
    <row r="1509" customFormat="false" ht="15" hidden="false" customHeight="false" outlineLevel="0" collapsed="false">
      <c r="A1509" s="12"/>
      <c r="B1509" s="9"/>
      <c r="C1509" s="9"/>
      <c r="D1509" s="9"/>
      <c r="E1509" s="9"/>
      <c r="F1509" s="9"/>
      <c r="G1509" s="9"/>
      <c r="H1509" s="7"/>
      <c r="I1509" s="13" t="str">
        <f aca="false">IF(OR($G1509="",$H1509=""),"",ROUND($G1509*$H1509,0))</f>
        <v/>
      </c>
      <c r="J1509" s="8"/>
      <c r="K1509" s="13" t="str">
        <f aca="false">IF($B1509="","",SUMIFS($I$3:$I$2002,$B$3:$B$2002,$B1509))</f>
        <v/>
      </c>
      <c r="L1509" s="13" t="str">
        <f aca="false">IF($B1509="","",IF(COUNTIFS($B$3:$B1509,$B1509)&gt;1,0,IFERROR(LOOKUP($K1509,배송비규정!$A$3:$A$32,배송비규정!$B$3:$B$32),0)+IFERROR(INDEX(지역추가비!$B$3:$B$42,MATCH($J1509,지역추가비!$A$3:$A$42,0)),0)))</f>
        <v/>
      </c>
      <c r="M1509" s="13" t="str">
        <f aca="false">IF($B1509="","",IF(COUNTIFS($B$3:$B1509,$B1509)&gt;1,"",$K1509+$L1509))</f>
        <v/>
      </c>
      <c r="N1509" s="14" t="str">
        <f aca="false">IF($B1509="","",COUNTIFS($B$3:$B1509,$B1509))</f>
        <v/>
      </c>
      <c r="O1509" s="14" t="str">
        <f aca="false">IF($B1509="","",$B1509&amp;"|"&amp;$N1509)</f>
        <v/>
      </c>
    </row>
    <row r="1510" customFormat="false" ht="15" hidden="false" customHeight="false" outlineLevel="0" collapsed="false">
      <c r="A1510" s="12"/>
      <c r="B1510" s="9"/>
      <c r="C1510" s="9"/>
      <c r="D1510" s="9"/>
      <c r="E1510" s="9"/>
      <c r="F1510" s="9"/>
      <c r="G1510" s="9"/>
      <c r="H1510" s="7"/>
      <c r="I1510" s="13" t="str">
        <f aca="false">IF(OR($G1510="",$H1510=""),"",ROUND($G1510*$H1510,0))</f>
        <v/>
      </c>
      <c r="J1510" s="8"/>
      <c r="K1510" s="13" t="str">
        <f aca="false">IF($B1510="","",SUMIFS($I$3:$I$2002,$B$3:$B$2002,$B1510))</f>
        <v/>
      </c>
      <c r="L1510" s="13" t="str">
        <f aca="false">IF($B1510="","",IF(COUNTIFS($B$3:$B1510,$B1510)&gt;1,0,IFERROR(LOOKUP($K1510,배송비규정!$A$3:$A$32,배송비규정!$B$3:$B$32),0)+IFERROR(INDEX(지역추가비!$B$3:$B$42,MATCH($J1510,지역추가비!$A$3:$A$42,0)),0)))</f>
        <v/>
      </c>
      <c r="M1510" s="13" t="str">
        <f aca="false">IF($B1510="","",IF(COUNTIFS($B$3:$B1510,$B1510)&gt;1,"",$K1510+$L1510))</f>
        <v/>
      </c>
      <c r="N1510" s="14" t="str">
        <f aca="false">IF($B1510="","",COUNTIFS($B$3:$B1510,$B1510))</f>
        <v/>
      </c>
      <c r="O1510" s="14" t="str">
        <f aca="false">IF($B1510="","",$B1510&amp;"|"&amp;$N1510)</f>
        <v/>
      </c>
    </row>
    <row r="1511" customFormat="false" ht="15" hidden="false" customHeight="false" outlineLevel="0" collapsed="false">
      <c r="A1511" s="12"/>
      <c r="B1511" s="9"/>
      <c r="C1511" s="9"/>
      <c r="D1511" s="9"/>
      <c r="E1511" s="9"/>
      <c r="F1511" s="9"/>
      <c r="G1511" s="9"/>
      <c r="H1511" s="7"/>
      <c r="I1511" s="13" t="str">
        <f aca="false">IF(OR($G1511="",$H1511=""),"",ROUND($G1511*$H1511,0))</f>
        <v/>
      </c>
      <c r="J1511" s="8"/>
      <c r="K1511" s="13" t="str">
        <f aca="false">IF($B1511="","",SUMIFS($I$3:$I$2002,$B$3:$B$2002,$B1511))</f>
        <v/>
      </c>
      <c r="L1511" s="13" t="str">
        <f aca="false">IF($B1511="","",IF(COUNTIFS($B$3:$B1511,$B1511)&gt;1,0,IFERROR(LOOKUP($K1511,배송비규정!$A$3:$A$32,배송비규정!$B$3:$B$32),0)+IFERROR(INDEX(지역추가비!$B$3:$B$42,MATCH($J1511,지역추가비!$A$3:$A$42,0)),0)))</f>
        <v/>
      </c>
      <c r="M1511" s="13" t="str">
        <f aca="false">IF($B1511="","",IF(COUNTIFS($B$3:$B1511,$B1511)&gt;1,"",$K1511+$L1511))</f>
        <v/>
      </c>
      <c r="N1511" s="14" t="str">
        <f aca="false">IF($B1511="","",COUNTIFS($B$3:$B1511,$B1511))</f>
        <v/>
      </c>
      <c r="O1511" s="14" t="str">
        <f aca="false">IF($B1511="","",$B1511&amp;"|"&amp;$N1511)</f>
        <v/>
      </c>
    </row>
    <row r="1512" customFormat="false" ht="15" hidden="false" customHeight="false" outlineLevel="0" collapsed="false">
      <c r="A1512" s="12"/>
      <c r="B1512" s="9"/>
      <c r="C1512" s="9"/>
      <c r="D1512" s="9"/>
      <c r="E1512" s="9"/>
      <c r="F1512" s="9"/>
      <c r="G1512" s="9"/>
      <c r="H1512" s="7"/>
      <c r="I1512" s="13" t="str">
        <f aca="false">IF(OR($G1512="",$H1512=""),"",ROUND($G1512*$H1512,0))</f>
        <v/>
      </c>
      <c r="J1512" s="8"/>
      <c r="K1512" s="13" t="str">
        <f aca="false">IF($B1512="","",SUMIFS($I$3:$I$2002,$B$3:$B$2002,$B1512))</f>
        <v/>
      </c>
      <c r="L1512" s="13" t="str">
        <f aca="false">IF($B1512="","",IF(COUNTIFS($B$3:$B1512,$B1512)&gt;1,0,IFERROR(LOOKUP($K1512,배송비규정!$A$3:$A$32,배송비규정!$B$3:$B$32),0)+IFERROR(INDEX(지역추가비!$B$3:$B$42,MATCH($J1512,지역추가비!$A$3:$A$42,0)),0)))</f>
        <v/>
      </c>
      <c r="M1512" s="13" t="str">
        <f aca="false">IF($B1512="","",IF(COUNTIFS($B$3:$B1512,$B1512)&gt;1,"",$K1512+$L1512))</f>
        <v/>
      </c>
      <c r="N1512" s="14" t="str">
        <f aca="false">IF($B1512="","",COUNTIFS($B$3:$B1512,$B1512))</f>
        <v/>
      </c>
      <c r="O1512" s="14" t="str">
        <f aca="false">IF($B1512="","",$B1512&amp;"|"&amp;$N1512)</f>
        <v/>
      </c>
    </row>
    <row r="1513" customFormat="false" ht="15" hidden="false" customHeight="false" outlineLevel="0" collapsed="false">
      <c r="A1513" s="12"/>
      <c r="B1513" s="9"/>
      <c r="C1513" s="9"/>
      <c r="D1513" s="9"/>
      <c r="E1513" s="9"/>
      <c r="F1513" s="9"/>
      <c r="G1513" s="9"/>
      <c r="H1513" s="7"/>
      <c r="I1513" s="13" t="str">
        <f aca="false">IF(OR($G1513="",$H1513=""),"",ROUND($G1513*$H1513,0))</f>
        <v/>
      </c>
      <c r="J1513" s="8"/>
      <c r="K1513" s="13" t="str">
        <f aca="false">IF($B1513="","",SUMIFS($I$3:$I$2002,$B$3:$B$2002,$B1513))</f>
        <v/>
      </c>
      <c r="L1513" s="13" t="str">
        <f aca="false">IF($B1513="","",IF(COUNTIFS($B$3:$B1513,$B1513)&gt;1,0,IFERROR(LOOKUP($K1513,배송비규정!$A$3:$A$32,배송비규정!$B$3:$B$32),0)+IFERROR(INDEX(지역추가비!$B$3:$B$42,MATCH($J1513,지역추가비!$A$3:$A$42,0)),0)))</f>
        <v/>
      </c>
      <c r="M1513" s="13" t="str">
        <f aca="false">IF($B1513="","",IF(COUNTIFS($B$3:$B1513,$B1513)&gt;1,"",$K1513+$L1513))</f>
        <v/>
      </c>
      <c r="N1513" s="14" t="str">
        <f aca="false">IF($B1513="","",COUNTIFS($B$3:$B1513,$B1513))</f>
        <v/>
      </c>
      <c r="O1513" s="14" t="str">
        <f aca="false">IF($B1513="","",$B1513&amp;"|"&amp;$N1513)</f>
        <v/>
      </c>
    </row>
    <row r="1514" customFormat="false" ht="15" hidden="false" customHeight="false" outlineLevel="0" collapsed="false">
      <c r="A1514" s="12"/>
      <c r="B1514" s="9"/>
      <c r="C1514" s="9"/>
      <c r="D1514" s="9"/>
      <c r="E1514" s="9"/>
      <c r="F1514" s="9"/>
      <c r="G1514" s="9"/>
      <c r="H1514" s="7"/>
      <c r="I1514" s="13" t="str">
        <f aca="false">IF(OR($G1514="",$H1514=""),"",ROUND($G1514*$H1514,0))</f>
        <v/>
      </c>
      <c r="J1514" s="8"/>
      <c r="K1514" s="13" t="str">
        <f aca="false">IF($B1514="","",SUMIFS($I$3:$I$2002,$B$3:$B$2002,$B1514))</f>
        <v/>
      </c>
      <c r="L1514" s="13" t="str">
        <f aca="false">IF($B1514="","",IF(COUNTIFS($B$3:$B1514,$B1514)&gt;1,0,IFERROR(LOOKUP($K1514,배송비규정!$A$3:$A$32,배송비규정!$B$3:$B$32),0)+IFERROR(INDEX(지역추가비!$B$3:$B$42,MATCH($J1514,지역추가비!$A$3:$A$42,0)),0)))</f>
        <v/>
      </c>
      <c r="M1514" s="13" t="str">
        <f aca="false">IF($B1514="","",IF(COUNTIFS($B$3:$B1514,$B1514)&gt;1,"",$K1514+$L1514))</f>
        <v/>
      </c>
      <c r="N1514" s="14" t="str">
        <f aca="false">IF($B1514="","",COUNTIFS($B$3:$B1514,$B1514))</f>
        <v/>
      </c>
      <c r="O1514" s="14" t="str">
        <f aca="false">IF($B1514="","",$B1514&amp;"|"&amp;$N1514)</f>
        <v/>
      </c>
    </row>
    <row r="1515" customFormat="false" ht="15" hidden="false" customHeight="false" outlineLevel="0" collapsed="false">
      <c r="A1515" s="12"/>
      <c r="B1515" s="9"/>
      <c r="C1515" s="9"/>
      <c r="D1515" s="9"/>
      <c r="E1515" s="9"/>
      <c r="F1515" s="9"/>
      <c r="G1515" s="9"/>
      <c r="H1515" s="7"/>
      <c r="I1515" s="13" t="str">
        <f aca="false">IF(OR($G1515="",$H1515=""),"",ROUND($G1515*$H1515,0))</f>
        <v/>
      </c>
      <c r="J1515" s="8"/>
      <c r="K1515" s="13" t="str">
        <f aca="false">IF($B1515="","",SUMIFS($I$3:$I$2002,$B$3:$B$2002,$B1515))</f>
        <v/>
      </c>
      <c r="L1515" s="13" t="str">
        <f aca="false">IF($B1515="","",IF(COUNTIFS($B$3:$B1515,$B1515)&gt;1,0,IFERROR(LOOKUP($K1515,배송비규정!$A$3:$A$32,배송비규정!$B$3:$B$32),0)+IFERROR(INDEX(지역추가비!$B$3:$B$42,MATCH($J1515,지역추가비!$A$3:$A$42,0)),0)))</f>
        <v/>
      </c>
      <c r="M1515" s="13" t="str">
        <f aca="false">IF($B1515="","",IF(COUNTIFS($B$3:$B1515,$B1515)&gt;1,"",$K1515+$L1515))</f>
        <v/>
      </c>
      <c r="N1515" s="14" t="str">
        <f aca="false">IF($B1515="","",COUNTIFS($B$3:$B1515,$B1515))</f>
        <v/>
      </c>
      <c r="O1515" s="14" t="str">
        <f aca="false">IF($B1515="","",$B1515&amp;"|"&amp;$N1515)</f>
        <v/>
      </c>
    </row>
    <row r="1516" customFormat="false" ht="15" hidden="false" customHeight="false" outlineLevel="0" collapsed="false">
      <c r="A1516" s="12"/>
      <c r="B1516" s="9"/>
      <c r="C1516" s="9"/>
      <c r="D1516" s="9"/>
      <c r="E1516" s="9"/>
      <c r="F1516" s="9"/>
      <c r="G1516" s="9"/>
      <c r="H1516" s="7"/>
      <c r="I1516" s="13" t="str">
        <f aca="false">IF(OR($G1516="",$H1516=""),"",ROUND($G1516*$H1516,0))</f>
        <v/>
      </c>
      <c r="J1516" s="8"/>
      <c r="K1516" s="13" t="str">
        <f aca="false">IF($B1516="","",SUMIFS($I$3:$I$2002,$B$3:$B$2002,$B1516))</f>
        <v/>
      </c>
      <c r="L1516" s="13" t="str">
        <f aca="false">IF($B1516="","",IF(COUNTIFS($B$3:$B1516,$B1516)&gt;1,0,IFERROR(LOOKUP($K1516,배송비규정!$A$3:$A$32,배송비규정!$B$3:$B$32),0)+IFERROR(INDEX(지역추가비!$B$3:$B$42,MATCH($J1516,지역추가비!$A$3:$A$42,0)),0)))</f>
        <v/>
      </c>
      <c r="M1516" s="13" t="str">
        <f aca="false">IF($B1516="","",IF(COUNTIFS($B$3:$B1516,$B1516)&gt;1,"",$K1516+$L1516))</f>
        <v/>
      </c>
      <c r="N1516" s="14" t="str">
        <f aca="false">IF($B1516="","",COUNTIFS($B$3:$B1516,$B1516))</f>
        <v/>
      </c>
      <c r="O1516" s="14" t="str">
        <f aca="false">IF($B1516="","",$B1516&amp;"|"&amp;$N1516)</f>
        <v/>
      </c>
    </row>
    <row r="1517" customFormat="false" ht="15" hidden="false" customHeight="false" outlineLevel="0" collapsed="false">
      <c r="A1517" s="12"/>
      <c r="B1517" s="9"/>
      <c r="C1517" s="9"/>
      <c r="D1517" s="9"/>
      <c r="E1517" s="9"/>
      <c r="F1517" s="9"/>
      <c r="G1517" s="9"/>
      <c r="H1517" s="7"/>
      <c r="I1517" s="13" t="str">
        <f aca="false">IF(OR($G1517="",$H1517=""),"",ROUND($G1517*$H1517,0))</f>
        <v/>
      </c>
      <c r="J1517" s="8"/>
      <c r="K1517" s="13" t="str">
        <f aca="false">IF($B1517="","",SUMIFS($I$3:$I$2002,$B$3:$B$2002,$B1517))</f>
        <v/>
      </c>
      <c r="L1517" s="13" t="str">
        <f aca="false">IF($B1517="","",IF(COUNTIFS($B$3:$B1517,$B1517)&gt;1,0,IFERROR(LOOKUP($K1517,배송비규정!$A$3:$A$32,배송비규정!$B$3:$B$32),0)+IFERROR(INDEX(지역추가비!$B$3:$B$42,MATCH($J1517,지역추가비!$A$3:$A$42,0)),0)))</f>
        <v/>
      </c>
      <c r="M1517" s="13" t="str">
        <f aca="false">IF($B1517="","",IF(COUNTIFS($B$3:$B1517,$B1517)&gt;1,"",$K1517+$L1517))</f>
        <v/>
      </c>
      <c r="N1517" s="14" t="str">
        <f aca="false">IF($B1517="","",COUNTIFS($B$3:$B1517,$B1517))</f>
        <v/>
      </c>
      <c r="O1517" s="14" t="str">
        <f aca="false">IF($B1517="","",$B1517&amp;"|"&amp;$N1517)</f>
        <v/>
      </c>
    </row>
    <row r="1518" customFormat="false" ht="15" hidden="false" customHeight="false" outlineLevel="0" collapsed="false">
      <c r="A1518" s="12"/>
      <c r="B1518" s="9"/>
      <c r="C1518" s="9"/>
      <c r="D1518" s="9"/>
      <c r="E1518" s="9"/>
      <c r="F1518" s="9"/>
      <c r="G1518" s="9"/>
      <c r="H1518" s="7"/>
      <c r="I1518" s="13" t="str">
        <f aca="false">IF(OR($G1518="",$H1518=""),"",ROUND($G1518*$H1518,0))</f>
        <v/>
      </c>
      <c r="J1518" s="8"/>
      <c r="K1518" s="13" t="str">
        <f aca="false">IF($B1518="","",SUMIFS($I$3:$I$2002,$B$3:$B$2002,$B1518))</f>
        <v/>
      </c>
      <c r="L1518" s="13" t="str">
        <f aca="false">IF($B1518="","",IF(COUNTIFS($B$3:$B1518,$B1518)&gt;1,0,IFERROR(LOOKUP($K1518,배송비규정!$A$3:$A$32,배송비규정!$B$3:$B$32),0)+IFERROR(INDEX(지역추가비!$B$3:$B$42,MATCH($J1518,지역추가비!$A$3:$A$42,0)),0)))</f>
        <v/>
      </c>
      <c r="M1518" s="13" t="str">
        <f aca="false">IF($B1518="","",IF(COUNTIFS($B$3:$B1518,$B1518)&gt;1,"",$K1518+$L1518))</f>
        <v/>
      </c>
      <c r="N1518" s="14" t="str">
        <f aca="false">IF($B1518="","",COUNTIFS($B$3:$B1518,$B1518))</f>
        <v/>
      </c>
      <c r="O1518" s="14" t="str">
        <f aca="false">IF($B1518="","",$B1518&amp;"|"&amp;$N1518)</f>
        <v/>
      </c>
    </row>
    <row r="1519" customFormat="false" ht="15" hidden="false" customHeight="false" outlineLevel="0" collapsed="false">
      <c r="A1519" s="12"/>
      <c r="B1519" s="9"/>
      <c r="C1519" s="9"/>
      <c r="D1519" s="9"/>
      <c r="E1519" s="9"/>
      <c r="F1519" s="9"/>
      <c r="G1519" s="9"/>
      <c r="H1519" s="7"/>
      <c r="I1519" s="13" t="str">
        <f aca="false">IF(OR($G1519="",$H1519=""),"",ROUND($G1519*$H1519,0))</f>
        <v/>
      </c>
      <c r="J1519" s="8"/>
      <c r="K1519" s="13" t="str">
        <f aca="false">IF($B1519="","",SUMIFS($I$3:$I$2002,$B$3:$B$2002,$B1519))</f>
        <v/>
      </c>
      <c r="L1519" s="13" t="str">
        <f aca="false">IF($B1519="","",IF(COUNTIFS($B$3:$B1519,$B1519)&gt;1,0,IFERROR(LOOKUP($K1519,배송비규정!$A$3:$A$32,배송비규정!$B$3:$B$32),0)+IFERROR(INDEX(지역추가비!$B$3:$B$42,MATCH($J1519,지역추가비!$A$3:$A$42,0)),0)))</f>
        <v/>
      </c>
      <c r="M1519" s="13" t="str">
        <f aca="false">IF($B1519="","",IF(COUNTIFS($B$3:$B1519,$B1519)&gt;1,"",$K1519+$L1519))</f>
        <v/>
      </c>
      <c r="N1519" s="14" t="str">
        <f aca="false">IF($B1519="","",COUNTIFS($B$3:$B1519,$B1519))</f>
        <v/>
      </c>
      <c r="O1519" s="14" t="str">
        <f aca="false">IF($B1519="","",$B1519&amp;"|"&amp;$N1519)</f>
        <v/>
      </c>
    </row>
    <row r="1520" customFormat="false" ht="15" hidden="false" customHeight="false" outlineLevel="0" collapsed="false">
      <c r="A1520" s="12"/>
      <c r="B1520" s="9"/>
      <c r="C1520" s="9"/>
      <c r="D1520" s="9"/>
      <c r="E1520" s="9"/>
      <c r="F1520" s="9"/>
      <c r="G1520" s="9"/>
      <c r="H1520" s="7"/>
      <c r="I1520" s="13" t="str">
        <f aca="false">IF(OR($G1520="",$H1520=""),"",ROUND($G1520*$H1520,0))</f>
        <v/>
      </c>
      <c r="J1520" s="8"/>
      <c r="K1520" s="13" t="str">
        <f aca="false">IF($B1520="","",SUMIFS($I$3:$I$2002,$B$3:$B$2002,$B1520))</f>
        <v/>
      </c>
      <c r="L1520" s="13" t="str">
        <f aca="false">IF($B1520="","",IF(COUNTIFS($B$3:$B1520,$B1520)&gt;1,0,IFERROR(LOOKUP($K1520,배송비규정!$A$3:$A$32,배송비규정!$B$3:$B$32),0)+IFERROR(INDEX(지역추가비!$B$3:$B$42,MATCH($J1520,지역추가비!$A$3:$A$42,0)),0)))</f>
        <v/>
      </c>
      <c r="M1520" s="13" t="str">
        <f aca="false">IF($B1520="","",IF(COUNTIFS($B$3:$B1520,$B1520)&gt;1,"",$K1520+$L1520))</f>
        <v/>
      </c>
      <c r="N1520" s="14" t="str">
        <f aca="false">IF($B1520="","",COUNTIFS($B$3:$B1520,$B1520))</f>
        <v/>
      </c>
      <c r="O1520" s="14" t="str">
        <f aca="false">IF($B1520="","",$B1520&amp;"|"&amp;$N1520)</f>
        <v/>
      </c>
    </row>
    <row r="1521" customFormat="false" ht="15" hidden="false" customHeight="false" outlineLevel="0" collapsed="false">
      <c r="A1521" s="12"/>
      <c r="B1521" s="9"/>
      <c r="C1521" s="9"/>
      <c r="D1521" s="9"/>
      <c r="E1521" s="9"/>
      <c r="F1521" s="9"/>
      <c r="G1521" s="9"/>
      <c r="H1521" s="7"/>
      <c r="I1521" s="13" t="str">
        <f aca="false">IF(OR($G1521="",$H1521=""),"",ROUND($G1521*$H1521,0))</f>
        <v/>
      </c>
      <c r="J1521" s="8"/>
      <c r="K1521" s="13" t="str">
        <f aca="false">IF($B1521="","",SUMIFS($I$3:$I$2002,$B$3:$B$2002,$B1521))</f>
        <v/>
      </c>
      <c r="L1521" s="13" t="str">
        <f aca="false">IF($B1521="","",IF(COUNTIFS($B$3:$B1521,$B1521)&gt;1,0,IFERROR(LOOKUP($K1521,배송비규정!$A$3:$A$32,배송비규정!$B$3:$B$32),0)+IFERROR(INDEX(지역추가비!$B$3:$B$42,MATCH($J1521,지역추가비!$A$3:$A$42,0)),0)))</f>
        <v/>
      </c>
      <c r="M1521" s="13" t="str">
        <f aca="false">IF($B1521="","",IF(COUNTIFS($B$3:$B1521,$B1521)&gt;1,"",$K1521+$L1521))</f>
        <v/>
      </c>
      <c r="N1521" s="14" t="str">
        <f aca="false">IF($B1521="","",COUNTIFS($B$3:$B1521,$B1521))</f>
        <v/>
      </c>
      <c r="O1521" s="14" t="str">
        <f aca="false">IF($B1521="","",$B1521&amp;"|"&amp;$N1521)</f>
        <v/>
      </c>
    </row>
    <row r="1522" customFormat="false" ht="15" hidden="false" customHeight="false" outlineLevel="0" collapsed="false">
      <c r="A1522" s="12"/>
      <c r="B1522" s="9"/>
      <c r="C1522" s="9"/>
      <c r="D1522" s="9"/>
      <c r="E1522" s="9"/>
      <c r="F1522" s="9"/>
      <c r="G1522" s="9"/>
      <c r="H1522" s="7"/>
      <c r="I1522" s="13" t="str">
        <f aca="false">IF(OR($G1522="",$H1522=""),"",ROUND($G1522*$H1522,0))</f>
        <v/>
      </c>
      <c r="J1522" s="8"/>
      <c r="K1522" s="13" t="str">
        <f aca="false">IF($B1522="","",SUMIFS($I$3:$I$2002,$B$3:$B$2002,$B1522))</f>
        <v/>
      </c>
      <c r="L1522" s="13" t="str">
        <f aca="false">IF($B1522="","",IF(COUNTIFS($B$3:$B1522,$B1522)&gt;1,0,IFERROR(LOOKUP($K1522,배송비규정!$A$3:$A$32,배송비규정!$B$3:$B$32),0)+IFERROR(INDEX(지역추가비!$B$3:$B$42,MATCH($J1522,지역추가비!$A$3:$A$42,0)),0)))</f>
        <v/>
      </c>
      <c r="M1522" s="13" t="str">
        <f aca="false">IF($B1522="","",IF(COUNTIFS($B$3:$B1522,$B1522)&gt;1,"",$K1522+$L1522))</f>
        <v/>
      </c>
      <c r="N1522" s="14" t="str">
        <f aca="false">IF($B1522="","",COUNTIFS($B$3:$B1522,$B1522))</f>
        <v/>
      </c>
      <c r="O1522" s="14" t="str">
        <f aca="false">IF($B1522="","",$B1522&amp;"|"&amp;$N1522)</f>
        <v/>
      </c>
    </row>
    <row r="1523" customFormat="false" ht="15" hidden="false" customHeight="false" outlineLevel="0" collapsed="false">
      <c r="A1523" s="12"/>
      <c r="B1523" s="9"/>
      <c r="C1523" s="9"/>
      <c r="D1523" s="9"/>
      <c r="E1523" s="9"/>
      <c r="F1523" s="9"/>
      <c r="G1523" s="9"/>
      <c r="H1523" s="7"/>
      <c r="I1523" s="13" t="str">
        <f aca="false">IF(OR($G1523="",$H1523=""),"",ROUND($G1523*$H1523,0))</f>
        <v/>
      </c>
      <c r="J1523" s="8"/>
      <c r="K1523" s="13" t="str">
        <f aca="false">IF($B1523="","",SUMIFS($I$3:$I$2002,$B$3:$B$2002,$B1523))</f>
        <v/>
      </c>
      <c r="L1523" s="13" t="str">
        <f aca="false">IF($B1523="","",IF(COUNTIFS($B$3:$B1523,$B1523)&gt;1,0,IFERROR(LOOKUP($K1523,배송비규정!$A$3:$A$32,배송비규정!$B$3:$B$32),0)+IFERROR(INDEX(지역추가비!$B$3:$B$42,MATCH($J1523,지역추가비!$A$3:$A$42,0)),0)))</f>
        <v/>
      </c>
      <c r="M1523" s="13" t="str">
        <f aca="false">IF($B1523="","",IF(COUNTIFS($B$3:$B1523,$B1523)&gt;1,"",$K1523+$L1523))</f>
        <v/>
      </c>
      <c r="N1523" s="14" t="str">
        <f aca="false">IF($B1523="","",COUNTIFS($B$3:$B1523,$B1523))</f>
        <v/>
      </c>
      <c r="O1523" s="14" t="str">
        <f aca="false">IF($B1523="","",$B1523&amp;"|"&amp;$N1523)</f>
        <v/>
      </c>
    </row>
    <row r="1524" customFormat="false" ht="15" hidden="false" customHeight="false" outlineLevel="0" collapsed="false">
      <c r="A1524" s="12"/>
      <c r="B1524" s="9"/>
      <c r="C1524" s="9"/>
      <c r="D1524" s="9"/>
      <c r="E1524" s="9"/>
      <c r="F1524" s="9"/>
      <c r="G1524" s="9"/>
      <c r="H1524" s="7"/>
      <c r="I1524" s="13" t="str">
        <f aca="false">IF(OR($G1524="",$H1524=""),"",ROUND($G1524*$H1524,0))</f>
        <v/>
      </c>
      <c r="J1524" s="8"/>
      <c r="K1524" s="13" t="str">
        <f aca="false">IF($B1524="","",SUMIFS($I$3:$I$2002,$B$3:$B$2002,$B1524))</f>
        <v/>
      </c>
      <c r="L1524" s="13" t="str">
        <f aca="false">IF($B1524="","",IF(COUNTIFS($B$3:$B1524,$B1524)&gt;1,0,IFERROR(LOOKUP($K1524,배송비규정!$A$3:$A$32,배송비규정!$B$3:$B$32),0)+IFERROR(INDEX(지역추가비!$B$3:$B$42,MATCH($J1524,지역추가비!$A$3:$A$42,0)),0)))</f>
        <v/>
      </c>
      <c r="M1524" s="13" t="str">
        <f aca="false">IF($B1524="","",IF(COUNTIFS($B$3:$B1524,$B1524)&gt;1,"",$K1524+$L1524))</f>
        <v/>
      </c>
      <c r="N1524" s="14" t="str">
        <f aca="false">IF($B1524="","",COUNTIFS($B$3:$B1524,$B1524))</f>
        <v/>
      </c>
      <c r="O1524" s="14" t="str">
        <f aca="false">IF($B1524="","",$B1524&amp;"|"&amp;$N1524)</f>
        <v/>
      </c>
    </row>
    <row r="1525" customFormat="false" ht="15" hidden="false" customHeight="false" outlineLevel="0" collapsed="false">
      <c r="A1525" s="12"/>
      <c r="B1525" s="9"/>
      <c r="C1525" s="9"/>
      <c r="D1525" s="9"/>
      <c r="E1525" s="9"/>
      <c r="F1525" s="9"/>
      <c r="G1525" s="9"/>
      <c r="H1525" s="7"/>
      <c r="I1525" s="13" t="str">
        <f aca="false">IF(OR($G1525="",$H1525=""),"",ROUND($G1525*$H1525,0))</f>
        <v/>
      </c>
      <c r="J1525" s="8"/>
      <c r="K1525" s="13" t="str">
        <f aca="false">IF($B1525="","",SUMIFS($I$3:$I$2002,$B$3:$B$2002,$B1525))</f>
        <v/>
      </c>
      <c r="L1525" s="13" t="str">
        <f aca="false">IF($B1525="","",IF(COUNTIFS($B$3:$B1525,$B1525)&gt;1,0,IFERROR(LOOKUP($K1525,배송비규정!$A$3:$A$32,배송비규정!$B$3:$B$32),0)+IFERROR(INDEX(지역추가비!$B$3:$B$42,MATCH($J1525,지역추가비!$A$3:$A$42,0)),0)))</f>
        <v/>
      </c>
      <c r="M1525" s="13" t="str">
        <f aca="false">IF($B1525="","",IF(COUNTIFS($B$3:$B1525,$B1525)&gt;1,"",$K1525+$L1525))</f>
        <v/>
      </c>
      <c r="N1525" s="14" t="str">
        <f aca="false">IF($B1525="","",COUNTIFS($B$3:$B1525,$B1525))</f>
        <v/>
      </c>
      <c r="O1525" s="14" t="str">
        <f aca="false">IF($B1525="","",$B1525&amp;"|"&amp;$N1525)</f>
        <v/>
      </c>
    </row>
    <row r="1526" customFormat="false" ht="15" hidden="false" customHeight="false" outlineLevel="0" collapsed="false">
      <c r="A1526" s="12"/>
      <c r="B1526" s="9"/>
      <c r="C1526" s="9"/>
      <c r="D1526" s="9"/>
      <c r="E1526" s="9"/>
      <c r="F1526" s="9"/>
      <c r="G1526" s="9"/>
      <c r="H1526" s="7"/>
      <c r="I1526" s="13" t="str">
        <f aca="false">IF(OR($G1526="",$H1526=""),"",ROUND($G1526*$H1526,0))</f>
        <v/>
      </c>
      <c r="J1526" s="8"/>
      <c r="K1526" s="13" t="str">
        <f aca="false">IF($B1526="","",SUMIFS($I$3:$I$2002,$B$3:$B$2002,$B1526))</f>
        <v/>
      </c>
      <c r="L1526" s="13" t="str">
        <f aca="false">IF($B1526="","",IF(COUNTIFS($B$3:$B1526,$B1526)&gt;1,0,IFERROR(LOOKUP($K1526,배송비규정!$A$3:$A$32,배송비규정!$B$3:$B$32),0)+IFERROR(INDEX(지역추가비!$B$3:$B$42,MATCH($J1526,지역추가비!$A$3:$A$42,0)),0)))</f>
        <v/>
      </c>
      <c r="M1526" s="13" t="str">
        <f aca="false">IF($B1526="","",IF(COUNTIFS($B$3:$B1526,$B1526)&gt;1,"",$K1526+$L1526))</f>
        <v/>
      </c>
      <c r="N1526" s="14" t="str">
        <f aca="false">IF($B1526="","",COUNTIFS($B$3:$B1526,$B1526))</f>
        <v/>
      </c>
      <c r="O1526" s="14" t="str">
        <f aca="false">IF($B1526="","",$B1526&amp;"|"&amp;$N1526)</f>
        <v/>
      </c>
    </row>
    <row r="1527" customFormat="false" ht="15" hidden="false" customHeight="false" outlineLevel="0" collapsed="false">
      <c r="A1527" s="12"/>
      <c r="B1527" s="9"/>
      <c r="C1527" s="9"/>
      <c r="D1527" s="9"/>
      <c r="E1527" s="9"/>
      <c r="F1527" s="9"/>
      <c r="G1527" s="9"/>
      <c r="H1527" s="7"/>
      <c r="I1527" s="13" t="str">
        <f aca="false">IF(OR($G1527="",$H1527=""),"",ROUND($G1527*$H1527,0))</f>
        <v/>
      </c>
      <c r="J1527" s="8"/>
      <c r="K1527" s="13" t="str">
        <f aca="false">IF($B1527="","",SUMIFS($I$3:$I$2002,$B$3:$B$2002,$B1527))</f>
        <v/>
      </c>
      <c r="L1527" s="13" t="str">
        <f aca="false">IF($B1527="","",IF(COUNTIFS($B$3:$B1527,$B1527)&gt;1,0,IFERROR(LOOKUP($K1527,배송비규정!$A$3:$A$32,배송비규정!$B$3:$B$32),0)+IFERROR(INDEX(지역추가비!$B$3:$B$42,MATCH($J1527,지역추가비!$A$3:$A$42,0)),0)))</f>
        <v/>
      </c>
      <c r="M1527" s="13" t="str">
        <f aca="false">IF($B1527="","",IF(COUNTIFS($B$3:$B1527,$B1527)&gt;1,"",$K1527+$L1527))</f>
        <v/>
      </c>
      <c r="N1527" s="14" t="str">
        <f aca="false">IF($B1527="","",COUNTIFS($B$3:$B1527,$B1527))</f>
        <v/>
      </c>
      <c r="O1527" s="14" t="str">
        <f aca="false">IF($B1527="","",$B1527&amp;"|"&amp;$N1527)</f>
        <v/>
      </c>
    </row>
    <row r="1528" customFormat="false" ht="15" hidden="false" customHeight="false" outlineLevel="0" collapsed="false">
      <c r="A1528" s="12"/>
      <c r="B1528" s="9"/>
      <c r="C1528" s="9"/>
      <c r="D1528" s="9"/>
      <c r="E1528" s="9"/>
      <c r="F1528" s="9"/>
      <c r="G1528" s="9"/>
      <c r="H1528" s="7"/>
      <c r="I1528" s="13" t="str">
        <f aca="false">IF(OR($G1528="",$H1528=""),"",ROUND($G1528*$H1528,0))</f>
        <v/>
      </c>
      <c r="J1528" s="8"/>
      <c r="K1528" s="13" t="str">
        <f aca="false">IF($B1528="","",SUMIFS($I$3:$I$2002,$B$3:$B$2002,$B1528))</f>
        <v/>
      </c>
      <c r="L1528" s="13" t="str">
        <f aca="false">IF($B1528="","",IF(COUNTIFS($B$3:$B1528,$B1528)&gt;1,0,IFERROR(LOOKUP($K1528,배송비규정!$A$3:$A$32,배송비규정!$B$3:$B$32),0)+IFERROR(INDEX(지역추가비!$B$3:$B$42,MATCH($J1528,지역추가비!$A$3:$A$42,0)),0)))</f>
        <v/>
      </c>
      <c r="M1528" s="13" t="str">
        <f aca="false">IF($B1528="","",IF(COUNTIFS($B$3:$B1528,$B1528)&gt;1,"",$K1528+$L1528))</f>
        <v/>
      </c>
      <c r="N1528" s="14" t="str">
        <f aca="false">IF($B1528="","",COUNTIFS($B$3:$B1528,$B1528))</f>
        <v/>
      </c>
      <c r="O1528" s="14" t="str">
        <f aca="false">IF($B1528="","",$B1528&amp;"|"&amp;$N1528)</f>
        <v/>
      </c>
    </row>
    <row r="1529" customFormat="false" ht="15" hidden="false" customHeight="false" outlineLevel="0" collapsed="false">
      <c r="A1529" s="12"/>
      <c r="B1529" s="9"/>
      <c r="C1529" s="9"/>
      <c r="D1529" s="9"/>
      <c r="E1529" s="9"/>
      <c r="F1529" s="9"/>
      <c r="G1529" s="9"/>
      <c r="H1529" s="7"/>
      <c r="I1529" s="13" t="str">
        <f aca="false">IF(OR($G1529="",$H1529=""),"",ROUND($G1529*$H1529,0))</f>
        <v/>
      </c>
      <c r="J1529" s="8"/>
      <c r="K1529" s="13" t="str">
        <f aca="false">IF($B1529="","",SUMIFS($I$3:$I$2002,$B$3:$B$2002,$B1529))</f>
        <v/>
      </c>
      <c r="L1529" s="13" t="str">
        <f aca="false">IF($B1529="","",IF(COUNTIFS($B$3:$B1529,$B1529)&gt;1,0,IFERROR(LOOKUP($K1529,배송비규정!$A$3:$A$32,배송비규정!$B$3:$B$32),0)+IFERROR(INDEX(지역추가비!$B$3:$B$42,MATCH($J1529,지역추가비!$A$3:$A$42,0)),0)))</f>
        <v/>
      </c>
      <c r="M1529" s="13" t="str">
        <f aca="false">IF($B1529="","",IF(COUNTIFS($B$3:$B1529,$B1529)&gt;1,"",$K1529+$L1529))</f>
        <v/>
      </c>
      <c r="N1529" s="14" t="str">
        <f aca="false">IF($B1529="","",COUNTIFS($B$3:$B1529,$B1529))</f>
        <v/>
      </c>
      <c r="O1529" s="14" t="str">
        <f aca="false">IF($B1529="","",$B1529&amp;"|"&amp;$N1529)</f>
        <v/>
      </c>
    </row>
    <row r="1530" customFormat="false" ht="15" hidden="false" customHeight="false" outlineLevel="0" collapsed="false">
      <c r="A1530" s="12"/>
      <c r="B1530" s="9"/>
      <c r="C1530" s="9"/>
      <c r="D1530" s="9"/>
      <c r="E1530" s="9"/>
      <c r="F1530" s="9"/>
      <c r="G1530" s="9"/>
      <c r="H1530" s="7"/>
      <c r="I1530" s="13" t="str">
        <f aca="false">IF(OR($G1530="",$H1530=""),"",ROUND($G1530*$H1530,0))</f>
        <v/>
      </c>
      <c r="J1530" s="8"/>
      <c r="K1530" s="13" t="str">
        <f aca="false">IF($B1530="","",SUMIFS($I$3:$I$2002,$B$3:$B$2002,$B1530))</f>
        <v/>
      </c>
      <c r="L1530" s="13" t="str">
        <f aca="false">IF($B1530="","",IF(COUNTIFS($B$3:$B1530,$B1530)&gt;1,0,IFERROR(LOOKUP($K1530,배송비규정!$A$3:$A$32,배송비규정!$B$3:$B$32),0)+IFERROR(INDEX(지역추가비!$B$3:$B$42,MATCH($J1530,지역추가비!$A$3:$A$42,0)),0)))</f>
        <v/>
      </c>
      <c r="M1530" s="13" t="str">
        <f aca="false">IF($B1530="","",IF(COUNTIFS($B$3:$B1530,$B1530)&gt;1,"",$K1530+$L1530))</f>
        <v/>
      </c>
      <c r="N1530" s="14" t="str">
        <f aca="false">IF($B1530="","",COUNTIFS($B$3:$B1530,$B1530))</f>
        <v/>
      </c>
      <c r="O1530" s="14" t="str">
        <f aca="false">IF($B1530="","",$B1530&amp;"|"&amp;$N1530)</f>
        <v/>
      </c>
    </row>
    <row r="1531" customFormat="false" ht="15" hidden="false" customHeight="false" outlineLevel="0" collapsed="false">
      <c r="A1531" s="12"/>
      <c r="B1531" s="9"/>
      <c r="C1531" s="9"/>
      <c r="D1531" s="9"/>
      <c r="E1531" s="9"/>
      <c r="F1531" s="9"/>
      <c r="G1531" s="9"/>
      <c r="H1531" s="7"/>
      <c r="I1531" s="13" t="str">
        <f aca="false">IF(OR($G1531="",$H1531=""),"",ROUND($G1531*$H1531,0))</f>
        <v/>
      </c>
      <c r="J1531" s="8"/>
      <c r="K1531" s="13" t="str">
        <f aca="false">IF($B1531="","",SUMIFS($I$3:$I$2002,$B$3:$B$2002,$B1531))</f>
        <v/>
      </c>
      <c r="L1531" s="13" t="str">
        <f aca="false">IF($B1531="","",IF(COUNTIFS($B$3:$B1531,$B1531)&gt;1,0,IFERROR(LOOKUP($K1531,배송비규정!$A$3:$A$32,배송비규정!$B$3:$B$32),0)+IFERROR(INDEX(지역추가비!$B$3:$B$42,MATCH($J1531,지역추가비!$A$3:$A$42,0)),0)))</f>
        <v/>
      </c>
      <c r="M1531" s="13" t="str">
        <f aca="false">IF($B1531="","",IF(COUNTIFS($B$3:$B1531,$B1531)&gt;1,"",$K1531+$L1531))</f>
        <v/>
      </c>
      <c r="N1531" s="14" t="str">
        <f aca="false">IF($B1531="","",COUNTIFS($B$3:$B1531,$B1531))</f>
        <v/>
      </c>
      <c r="O1531" s="14" t="str">
        <f aca="false">IF($B1531="","",$B1531&amp;"|"&amp;$N1531)</f>
        <v/>
      </c>
    </row>
    <row r="1532" customFormat="false" ht="15" hidden="false" customHeight="false" outlineLevel="0" collapsed="false">
      <c r="A1532" s="12"/>
      <c r="B1532" s="9"/>
      <c r="C1532" s="9"/>
      <c r="D1532" s="9"/>
      <c r="E1532" s="9"/>
      <c r="F1532" s="9"/>
      <c r="G1532" s="9"/>
      <c r="H1532" s="7"/>
      <c r="I1532" s="13" t="str">
        <f aca="false">IF(OR($G1532="",$H1532=""),"",ROUND($G1532*$H1532,0))</f>
        <v/>
      </c>
      <c r="J1532" s="8"/>
      <c r="K1532" s="13" t="str">
        <f aca="false">IF($B1532="","",SUMIFS($I$3:$I$2002,$B$3:$B$2002,$B1532))</f>
        <v/>
      </c>
      <c r="L1532" s="13" t="str">
        <f aca="false">IF($B1532="","",IF(COUNTIFS($B$3:$B1532,$B1532)&gt;1,0,IFERROR(LOOKUP($K1532,배송비규정!$A$3:$A$32,배송비규정!$B$3:$B$32),0)+IFERROR(INDEX(지역추가비!$B$3:$B$42,MATCH($J1532,지역추가비!$A$3:$A$42,0)),0)))</f>
        <v/>
      </c>
      <c r="M1532" s="13" t="str">
        <f aca="false">IF($B1532="","",IF(COUNTIFS($B$3:$B1532,$B1532)&gt;1,"",$K1532+$L1532))</f>
        <v/>
      </c>
      <c r="N1532" s="14" t="str">
        <f aca="false">IF($B1532="","",COUNTIFS($B$3:$B1532,$B1532))</f>
        <v/>
      </c>
      <c r="O1532" s="14" t="str">
        <f aca="false">IF($B1532="","",$B1532&amp;"|"&amp;$N1532)</f>
        <v/>
      </c>
    </row>
    <row r="1533" customFormat="false" ht="15" hidden="false" customHeight="false" outlineLevel="0" collapsed="false">
      <c r="A1533" s="12"/>
      <c r="B1533" s="9"/>
      <c r="C1533" s="9"/>
      <c r="D1533" s="9"/>
      <c r="E1533" s="9"/>
      <c r="F1533" s="9"/>
      <c r="G1533" s="9"/>
      <c r="H1533" s="7"/>
      <c r="I1533" s="13" t="str">
        <f aca="false">IF(OR($G1533="",$H1533=""),"",ROUND($G1533*$H1533,0))</f>
        <v/>
      </c>
      <c r="J1533" s="8"/>
      <c r="K1533" s="13" t="str">
        <f aca="false">IF($B1533="","",SUMIFS($I$3:$I$2002,$B$3:$B$2002,$B1533))</f>
        <v/>
      </c>
      <c r="L1533" s="13" t="str">
        <f aca="false">IF($B1533="","",IF(COUNTIFS($B$3:$B1533,$B1533)&gt;1,0,IFERROR(LOOKUP($K1533,배송비규정!$A$3:$A$32,배송비규정!$B$3:$B$32),0)+IFERROR(INDEX(지역추가비!$B$3:$B$42,MATCH($J1533,지역추가비!$A$3:$A$42,0)),0)))</f>
        <v/>
      </c>
      <c r="M1533" s="13" t="str">
        <f aca="false">IF($B1533="","",IF(COUNTIFS($B$3:$B1533,$B1533)&gt;1,"",$K1533+$L1533))</f>
        <v/>
      </c>
      <c r="N1533" s="14" t="str">
        <f aca="false">IF($B1533="","",COUNTIFS($B$3:$B1533,$B1533))</f>
        <v/>
      </c>
      <c r="O1533" s="14" t="str">
        <f aca="false">IF($B1533="","",$B1533&amp;"|"&amp;$N1533)</f>
        <v/>
      </c>
    </row>
    <row r="1534" customFormat="false" ht="15" hidden="false" customHeight="false" outlineLevel="0" collapsed="false">
      <c r="A1534" s="12"/>
      <c r="B1534" s="9"/>
      <c r="C1534" s="9"/>
      <c r="D1534" s="9"/>
      <c r="E1534" s="9"/>
      <c r="F1534" s="9"/>
      <c r="G1534" s="9"/>
      <c r="H1534" s="7"/>
      <c r="I1534" s="13" t="str">
        <f aca="false">IF(OR($G1534="",$H1534=""),"",ROUND($G1534*$H1534,0))</f>
        <v/>
      </c>
      <c r="J1534" s="8"/>
      <c r="K1534" s="13" t="str">
        <f aca="false">IF($B1534="","",SUMIFS($I$3:$I$2002,$B$3:$B$2002,$B1534))</f>
        <v/>
      </c>
      <c r="L1534" s="13" t="str">
        <f aca="false">IF($B1534="","",IF(COUNTIFS($B$3:$B1534,$B1534)&gt;1,0,IFERROR(LOOKUP($K1534,배송비규정!$A$3:$A$32,배송비규정!$B$3:$B$32),0)+IFERROR(INDEX(지역추가비!$B$3:$B$42,MATCH($J1534,지역추가비!$A$3:$A$42,0)),0)))</f>
        <v/>
      </c>
      <c r="M1534" s="13" t="str">
        <f aca="false">IF($B1534="","",IF(COUNTIFS($B$3:$B1534,$B1534)&gt;1,"",$K1534+$L1534))</f>
        <v/>
      </c>
      <c r="N1534" s="14" t="str">
        <f aca="false">IF($B1534="","",COUNTIFS($B$3:$B1534,$B1534))</f>
        <v/>
      </c>
      <c r="O1534" s="14" t="str">
        <f aca="false">IF($B1534="","",$B1534&amp;"|"&amp;$N1534)</f>
        <v/>
      </c>
    </row>
    <row r="1535" customFormat="false" ht="15" hidden="false" customHeight="false" outlineLevel="0" collapsed="false">
      <c r="A1535" s="12"/>
      <c r="B1535" s="9"/>
      <c r="C1535" s="9"/>
      <c r="D1535" s="9"/>
      <c r="E1535" s="9"/>
      <c r="F1535" s="9"/>
      <c r="G1535" s="9"/>
      <c r="H1535" s="7"/>
      <c r="I1535" s="13" t="str">
        <f aca="false">IF(OR($G1535="",$H1535=""),"",ROUND($G1535*$H1535,0))</f>
        <v/>
      </c>
      <c r="J1535" s="8"/>
      <c r="K1535" s="13" t="str">
        <f aca="false">IF($B1535="","",SUMIFS($I$3:$I$2002,$B$3:$B$2002,$B1535))</f>
        <v/>
      </c>
      <c r="L1535" s="13" t="str">
        <f aca="false">IF($B1535="","",IF(COUNTIFS($B$3:$B1535,$B1535)&gt;1,0,IFERROR(LOOKUP($K1535,배송비규정!$A$3:$A$32,배송비규정!$B$3:$B$32),0)+IFERROR(INDEX(지역추가비!$B$3:$B$42,MATCH($J1535,지역추가비!$A$3:$A$42,0)),0)))</f>
        <v/>
      </c>
      <c r="M1535" s="13" t="str">
        <f aca="false">IF($B1535="","",IF(COUNTIFS($B$3:$B1535,$B1535)&gt;1,"",$K1535+$L1535))</f>
        <v/>
      </c>
      <c r="N1535" s="14" t="str">
        <f aca="false">IF($B1535="","",COUNTIFS($B$3:$B1535,$B1535))</f>
        <v/>
      </c>
      <c r="O1535" s="14" t="str">
        <f aca="false">IF($B1535="","",$B1535&amp;"|"&amp;$N1535)</f>
        <v/>
      </c>
    </row>
    <row r="1536" customFormat="false" ht="15" hidden="false" customHeight="false" outlineLevel="0" collapsed="false">
      <c r="A1536" s="12"/>
      <c r="B1536" s="9"/>
      <c r="C1536" s="9"/>
      <c r="D1536" s="9"/>
      <c r="E1536" s="9"/>
      <c r="F1536" s="9"/>
      <c r="G1536" s="9"/>
      <c r="H1536" s="7"/>
      <c r="I1536" s="13" t="str">
        <f aca="false">IF(OR($G1536="",$H1536=""),"",ROUND($G1536*$H1536,0))</f>
        <v/>
      </c>
      <c r="J1536" s="8"/>
      <c r="K1536" s="13" t="str">
        <f aca="false">IF($B1536="","",SUMIFS($I$3:$I$2002,$B$3:$B$2002,$B1536))</f>
        <v/>
      </c>
      <c r="L1536" s="13" t="str">
        <f aca="false">IF($B1536="","",IF(COUNTIFS($B$3:$B1536,$B1536)&gt;1,0,IFERROR(LOOKUP($K1536,배송비규정!$A$3:$A$32,배송비규정!$B$3:$B$32),0)+IFERROR(INDEX(지역추가비!$B$3:$B$42,MATCH($J1536,지역추가비!$A$3:$A$42,0)),0)))</f>
        <v/>
      </c>
      <c r="M1536" s="13" t="str">
        <f aca="false">IF($B1536="","",IF(COUNTIFS($B$3:$B1536,$B1536)&gt;1,"",$K1536+$L1536))</f>
        <v/>
      </c>
      <c r="N1536" s="14" t="str">
        <f aca="false">IF($B1536="","",COUNTIFS($B$3:$B1536,$B1536))</f>
        <v/>
      </c>
      <c r="O1536" s="14" t="str">
        <f aca="false">IF($B1536="","",$B1536&amp;"|"&amp;$N1536)</f>
        <v/>
      </c>
    </row>
    <row r="1537" customFormat="false" ht="15" hidden="false" customHeight="false" outlineLevel="0" collapsed="false">
      <c r="A1537" s="12"/>
      <c r="B1537" s="9"/>
      <c r="C1537" s="9"/>
      <c r="D1537" s="9"/>
      <c r="E1537" s="9"/>
      <c r="F1537" s="9"/>
      <c r="G1537" s="9"/>
      <c r="H1537" s="7"/>
      <c r="I1537" s="13" t="str">
        <f aca="false">IF(OR($G1537="",$H1537=""),"",ROUND($G1537*$H1537,0))</f>
        <v/>
      </c>
      <c r="J1537" s="8"/>
      <c r="K1537" s="13" t="str">
        <f aca="false">IF($B1537="","",SUMIFS($I$3:$I$2002,$B$3:$B$2002,$B1537))</f>
        <v/>
      </c>
      <c r="L1537" s="13" t="str">
        <f aca="false">IF($B1537="","",IF(COUNTIFS($B$3:$B1537,$B1537)&gt;1,0,IFERROR(LOOKUP($K1537,배송비규정!$A$3:$A$32,배송비규정!$B$3:$B$32),0)+IFERROR(INDEX(지역추가비!$B$3:$B$42,MATCH($J1537,지역추가비!$A$3:$A$42,0)),0)))</f>
        <v/>
      </c>
      <c r="M1537" s="13" t="str">
        <f aca="false">IF($B1537="","",IF(COUNTIFS($B$3:$B1537,$B1537)&gt;1,"",$K1537+$L1537))</f>
        <v/>
      </c>
      <c r="N1537" s="14" t="str">
        <f aca="false">IF($B1537="","",COUNTIFS($B$3:$B1537,$B1537))</f>
        <v/>
      </c>
      <c r="O1537" s="14" t="str">
        <f aca="false">IF($B1537="","",$B1537&amp;"|"&amp;$N1537)</f>
        <v/>
      </c>
    </row>
    <row r="1538" customFormat="false" ht="15" hidden="false" customHeight="false" outlineLevel="0" collapsed="false">
      <c r="A1538" s="12"/>
      <c r="B1538" s="9"/>
      <c r="C1538" s="9"/>
      <c r="D1538" s="9"/>
      <c r="E1538" s="9"/>
      <c r="F1538" s="9"/>
      <c r="G1538" s="9"/>
      <c r="H1538" s="7"/>
      <c r="I1538" s="13" t="str">
        <f aca="false">IF(OR($G1538="",$H1538=""),"",ROUND($G1538*$H1538,0))</f>
        <v/>
      </c>
      <c r="J1538" s="8"/>
      <c r="K1538" s="13" t="str">
        <f aca="false">IF($B1538="","",SUMIFS($I$3:$I$2002,$B$3:$B$2002,$B1538))</f>
        <v/>
      </c>
      <c r="L1538" s="13" t="str">
        <f aca="false">IF($B1538="","",IF(COUNTIFS($B$3:$B1538,$B1538)&gt;1,0,IFERROR(LOOKUP($K1538,배송비규정!$A$3:$A$32,배송비규정!$B$3:$B$32),0)+IFERROR(INDEX(지역추가비!$B$3:$B$42,MATCH($J1538,지역추가비!$A$3:$A$42,0)),0)))</f>
        <v/>
      </c>
      <c r="M1538" s="13" t="str">
        <f aca="false">IF($B1538="","",IF(COUNTIFS($B$3:$B1538,$B1538)&gt;1,"",$K1538+$L1538))</f>
        <v/>
      </c>
      <c r="N1538" s="14" t="str">
        <f aca="false">IF($B1538="","",COUNTIFS($B$3:$B1538,$B1538))</f>
        <v/>
      </c>
      <c r="O1538" s="14" t="str">
        <f aca="false">IF($B1538="","",$B1538&amp;"|"&amp;$N1538)</f>
        <v/>
      </c>
    </row>
    <row r="1539" customFormat="false" ht="15" hidden="false" customHeight="false" outlineLevel="0" collapsed="false">
      <c r="A1539" s="12"/>
      <c r="B1539" s="9"/>
      <c r="C1539" s="9"/>
      <c r="D1539" s="9"/>
      <c r="E1539" s="9"/>
      <c r="F1539" s="9"/>
      <c r="G1539" s="9"/>
      <c r="H1539" s="7"/>
      <c r="I1539" s="13" t="str">
        <f aca="false">IF(OR($G1539="",$H1539=""),"",ROUND($G1539*$H1539,0))</f>
        <v/>
      </c>
      <c r="J1539" s="8"/>
      <c r="K1539" s="13" t="str">
        <f aca="false">IF($B1539="","",SUMIFS($I$3:$I$2002,$B$3:$B$2002,$B1539))</f>
        <v/>
      </c>
      <c r="L1539" s="13" t="str">
        <f aca="false">IF($B1539="","",IF(COUNTIFS($B$3:$B1539,$B1539)&gt;1,0,IFERROR(LOOKUP($K1539,배송비규정!$A$3:$A$32,배송비규정!$B$3:$B$32),0)+IFERROR(INDEX(지역추가비!$B$3:$B$42,MATCH($J1539,지역추가비!$A$3:$A$42,0)),0)))</f>
        <v/>
      </c>
      <c r="M1539" s="13" t="str">
        <f aca="false">IF($B1539="","",IF(COUNTIFS($B$3:$B1539,$B1539)&gt;1,"",$K1539+$L1539))</f>
        <v/>
      </c>
      <c r="N1539" s="14" t="str">
        <f aca="false">IF($B1539="","",COUNTIFS($B$3:$B1539,$B1539))</f>
        <v/>
      </c>
      <c r="O1539" s="14" t="str">
        <f aca="false">IF($B1539="","",$B1539&amp;"|"&amp;$N1539)</f>
        <v/>
      </c>
    </row>
    <row r="1540" customFormat="false" ht="15" hidden="false" customHeight="false" outlineLevel="0" collapsed="false">
      <c r="A1540" s="12"/>
      <c r="B1540" s="9"/>
      <c r="C1540" s="9"/>
      <c r="D1540" s="9"/>
      <c r="E1540" s="9"/>
      <c r="F1540" s="9"/>
      <c r="G1540" s="9"/>
      <c r="H1540" s="7"/>
      <c r="I1540" s="13" t="str">
        <f aca="false">IF(OR($G1540="",$H1540=""),"",ROUND($G1540*$H1540,0))</f>
        <v/>
      </c>
      <c r="J1540" s="8"/>
      <c r="K1540" s="13" t="str">
        <f aca="false">IF($B1540="","",SUMIFS($I$3:$I$2002,$B$3:$B$2002,$B1540))</f>
        <v/>
      </c>
      <c r="L1540" s="13" t="str">
        <f aca="false">IF($B1540="","",IF(COUNTIFS($B$3:$B1540,$B1540)&gt;1,0,IFERROR(LOOKUP($K1540,배송비규정!$A$3:$A$32,배송비규정!$B$3:$B$32),0)+IFERROR(INDEX(지역추가비!$B$3:$B$42,MATCH($J1540,지역추가비!$A$3:$A$42,0)),0)))</f>
        <v/>
      </c>
      <c r="M1540" s="13" t="str">
        <f aca="false">IF($B1540="","",IF(COUNTIFS($B$3:$B1540,$B1540)&gt;1,"",$K1540+$L1540))</f>
        <v/>
      </c>
      <c r="N1540" s="14" t="str">
        <f aca="false">IF($B1540="","",COUNTIFS($B$3:$B1540,$B1540))</f>
        <v/>
      </c>
      <c r="O1540" s="14" t="str">
        <f aca="false">IF($B1540="","",$B1540&amp;"|"&amp;$N1540)</f>
        <v/>
      </c>
    </row>
    <row r="1541" customFormat="false" ht="15" hidden="false" customHeight="false" outlineLevel="0" collapsed="false">
      <c r="A1541" s="12"/>
      <c r="B1541" s="9"/>
      <c r="C1541" s="9"/>
      <c r="D1541" s="9"/>
      <c r="E1541" s="9"/>
      <c r="F1541" s="9"/>
      <c r="G1541" s="9"/>
      <c r="H1541" s="7"/>
      <c r="I1541" s="13" t="str">
        <f aca="false">IF(OR($G1541="",$H1541=""),"",ROUND($G1541*$H1541,0))</f>
        <v/>
      </c>
      <c r="J1541" s="8"/>
      <c r="K1541" s="13" t="str">
        <f aca="false">IF($B1541="","",SUMIFS($I$3:$I$2002,$B$3:$B$2002,$B1541))</f>
        <v/>
      </c>
      <c r="L1541" s="13" t="str">
        <f aca="false">IF($B1541="","",IF(COUNTIFS($B$3:$B1541,$B1541)&gt;1,0,IFERROR(LOOKUP($K1541,배송비규정!$A$3:$A$32,배송비규정!$B$3:$B$32),0)+IFERROR(INDEX(지역추가비!$B$3:$B$42,MATCH($J1541,지역추가비!$A$3:$A$42,0)),0)))</f>
        <v/>
      </c>
      <c r="M1541" s="13" t="str">
        <f aca="false">IF($B1541="","",IF(COUNTIFS($B$3:$B1541,$B1541)&gt;1,"",$K1541+$L1541))</f>
        <v/>
      </c>
      <c r="N1541" s="14" t="str">
        <f aca="false">IF($B1541="","",COUNTIFS($B$3:$B1541,$B1541))</f>
        <v/>
      </c>
      <c r="O1541" s="14" t="str">
        <f aca="false">IF($B1541="","",$B1541&amp;"|"&amp;$N1541)</f>
        <v/>
      </c>
    </row>
    <row r="1542" customFormat="false" ht="15" hidden="false" customHeight="false" outlineLevel="0" collapsed="false">
      <c r="A1542" s="12"/>
      <c r="B1542" s="9"/>
      <c r="C1542" s="9"/>
      <c r="D1542" s="9"/>
      <c r="E1542" s="9"/>
      <c r="F1542" s="9"/>
      <c r="G1542" s="9"/>
      <c r="H1542" s="7"/>
      <c r="I1542" s="13" t="str">
        <f aca="false">IF(OR($G1542="",$H1542=""),"",ROUND($G1542*$H1542,0))</f>
        <v/>
      </c>
      <c r="J1542" s="8"/>
      <c r="K1542" s="13" t="str">
        <f aca="false">IF($B1542="","",SUMIFS($I$3:$I$2002,$B$3:$B$2002,$B1542))</f>
        <v/>
      </c>
      <c r="L1542" s="13" t="str">
        <f aca="false">IF($B1542="","",IF(COUNTIFS($B$3:$B1542,$B1542)&gt;1,0,IFERROR(LOOKUP($K1542,배송비규정!$A$3:$A$32,배송비규정!$B$3:$B$32),0)+IFERROR(INDEX(지역추가비!$B$3:$B$42,MATCH($J1542,지역추가비!$A$3:$A$42,0)),0)))</f>
        <v/>
      </c>
      <c r="M1542" s="13" t="str">
        <f aca="false">IF($B1542="","",IF(COUNTIFS($B$3:$B1542,$B1542)&gt;1,"",$K1542+$L1542))</f>
        <v/>
      </c>
      <c r="N1542" s="14" t="str">
        <f aca="false">IF($B1542="","",COUNTIFS($B$3:$B1542,$B1542))</f>
        <v/>
      </c>
      <c r="O1542" s="14" t="str">
        <f aca="false">IF($B1542="","",$B1542&amp;"|"&amp;$N1542)</f>
        <v/>
      </c>
    </row>
    <row r="1543" customFormat="false" ht="15" hidden="false" customHeight="false" outlineLevel="0" collapsed="false">
      <c r="A1543" s="12"/>
      <c r="B1543" s="9"/>
      <c r="C1543" s="9"/>
      <c r="D1543" s="9"/>
      <c r="E1543" s="9"/>
      <c r="F1543" s="9"/>
      <c r="G1543" s="9"/>
      <c r="H1543" s="7"/>
      <c r="I1543" s="13" t="str">
        <f aca="false">IF(OR($G1543="",$H1543=""),"",ROUND($G1543*$H1543,0))</f>
        <v/>
      </c>
      <c r="J1543" s="8"/>
      <c r="K1543" s="13" t="str">
        <f aca="false">IF($B1543="","",SUMIFS($I$3:$I$2002,$B$3:$B$2002,$B1543))</f>
        <v/>
      </c>
      <c r="L1543" s="13" t="str">
        <f aca="false">IF($B1543="","",IF(COUNTIFS($B$3:$B1543,$B1543)&gt;1,0,IFERROR(LOOKUP($K1543,배송비규정!$A$3:$A$32,배송비규정!$B$3:$B$32),0)+IFERROR(INDEX(지역추가비!$B$3:$B$42,MATCH($J1543,지역추가비!$A$3:$A$42,0)),0)))</f>
        <v/>
      </c>
      <c r="M1543" s="13" t="str">
        <f aca="false">IF($B1543="","",IF(COUNTIFS($B$3:$B1543,$B1543)&gt;1,"",$K1543+$L1543))</f>
        <v/>
      </c>
      <c r="N1543" s="14" t="str">
        <f aca="false">IF($B1543="","",COUNTIFS($B$3:$B1543,$B1543))</f>
        <v/>
      </c>
      <c r="O1543" s="14" t="str">
        <f aca="false">IF($B1543="","",$B1543&amp;"|"&amp;$N1543)</f>
        <v/>
      </c>
    </row>
    <row r="1544" customFormat="false" ht="15" hidden="false" customHeight="false" outlineLevel="0" collapsed="false">
      <c r="A1544" s="12"/>
      <c r="B1544" s="9"/>
      <c r="C1544" s="9"/>
      <c r="D1544" s="9"/>
      <c r="E1544" s="9"/>
      <c r="F1544" s="9"/>
      <c r="G1544" s="9"/>
      <c r="H1544" s="7"/>
      <c r="I1544" s="13" t="str">
        <f aca="false">IF(OR($G1544="",$H1544=""),"",ROUND($G1544*$H1544,0))</f>
        <v/>
      </c>
      <c r="J1544" s="8"/>
      <c r="K1544" s="13" t="str">
        <f aca="false">IF($B1544="","",SUMIFS($I$3:$I$2002,$B$3:$B$2002,$B1544))</f>
        <v/>
      </c>
      <c r="L1544" s="13" t="str">
        <f aca="false">IF($B1544="","",IF(COUNTIFS($B$3:$B1544,$B1544)&gt;1,0,IFERROR(LOOKUP($K1544,배송비규정!$A$3:$A$32,배송비규정!$B$3:$B$32),0)+IFERROR(INDEX(지역추가비!$B$3:$B$42,MATCH($J1544,지역추가비!$A$3:$A$42,0)),0)))</f>
        <v/>
      </c>
      <c r="M1544" s="13" t="str">
        <f aca="false">IF($B1544="","",IF(COUNTIFS($B$3:$B1544,$B1544)&gt;1,"",$K1544+$L1544))</f>
        <v/>
      </c>
      <c r="N1544" s="14" t="str">
        <f aca="false">IF($B1544="","",COUNTIFS($B$3:$B1544,$B1544))</f>
        <v/>
      </c>
      <c r="O1544" s="14" t="str">
        <f aca="false">IF($B1544="","",$B1544&amp;"|"&amp;$N1544)</f>
        <v/>
      </c>
    </row>
    <row r="1545" customFormat="false" ht="15" hidden="false" customHeight="false" outlineLevel="0" collapsed="false">
      <c r="A1545" s="12"/>
      <c r="B1545" s="9"/>
      <c r="C1545" s="9"/>
      <c r="D1545" s="9"/>
      <c r="E1545" s="9"/>
      <c r="F1545" s="9"/>
      <c r="G1545" s="9"/>
      <c r="H1545" s="7"/>
      <c r="I1545" s="13" t="str">
        <f aca="false">IF(OR($G1545="",$H1545=""),"",ROUND($G1545*$H1545,0))</f>
        <v/>
      </c>
      <c r="J1545" s="8"/>
      <c r="K1545" s="13" t="str">
        <f aca="false">IF($B1545="","",SUMIFS($I$3:$I$2002,$B$3:$B$2002,$B1545))</f>
        <v/>
      </c>
      <c r="L1545" s="13" t="str">
        <f aca="false">IF($B1545="","",IF(COUNTIFS($B$3:$B1545,$B1545)&gt;1,0,IFERROR(LOOKUP($K1545,배송비규정!$A$3:$A$32,배송비규정!$B$3:$B$32),0)+IFERROR(INDEX(지역추가비!$B$3:$B$42,MATCH($J1545,지역추가비!$A$3:$A$42,0)),0)))</f>
        <v/>
      </c>
      <c r="M1545" s="13" t="str">
        <f aca="false">IF($B1545="","",IF(COUNTIFS($B$3:$B1545,$B1545)&gt;1,"",$K1545+$L1545))</f>
        <v/>
      </c>
      <c r="N1545" s="14" t="str">
        <f aca="false">IF($B1545="","",COUNTIFS($B$3:$B1545,$B1545))</f>
        <v/>
      </c>
      <c r="O1545" s="14" t="str">
        <f aca="false">IF($B1545="","",$B1545&amp;"|"&amp;$N1545)</f>
        <v/>
      </c>
    </row>
    <row r="1546" customFormat="false" ht="15" hidden="false" customHeight="false" outlineLevel="0" collapsed="false">
      <c r="A1546" s="12"/>
      <c r="B1546" s="9"/>
      <c r="C1546" s="9"/>
      <c r="D1546" s="9"/>
      <c r="E1546" s="9"/>
      <c r="F1546" s="9"/>
      <c r="G1546" s="9"/>
      <c r="H1546" s="7"/>
      <c r="I1546" s="13" t="str">
        <f aca="false">IF(OR($G1546="",$H1546=""),"",ROUND($G1546*$H1546,0))</f>
        <v/>
      </c>
      <c r="J1546" s="8"/>
      <c r="K1546" s="13" t="str">
        <f aca="false">IF($B1546="","",SUMIFS($I$3:$I$2002,$B$3:$B$2002,$B1546))</f>
        <v/>
      </c>
      <c r="L1546" s="13" t="str">
        <f aca="false">IF($B1546="","",IF(COUNTIFS($B$3:$B1546,$B1546)&gt;1,0,IFERROR(LOOKUP($K1546,배송비규정!$A$3:$A$32,배송비규정!$B$3:$B$32),0)+IFERROR(INDEX(지역추가비!$B$3:$B$42,MATCH($J1546,지역추가비!$A$3:$A$42,0)),0)))</f>
        <v/>
      </c>
      <c r="M1546" s="13" t="str">
        <f aca="false">IF($B1546="","",IF(COUNTIFS($B$3:$B1546,$B1546)&gt;1,"",$K1546+$L1546))</f>
        <v/>
      </c>
      <c r="N1546" s="14" t="str">
        <f aca="false">IF($B1546="","",COUNTIFS($B$3:$B1546,$B1546))</f>
        <v/>
      </c>
      <c r="O1546" s="14" t="str">
        <f aca="false">IF($B1546="","",$B1546&amp;"|"&amp;$N1546)</f>
        <v/>
      </c>
    </row>
    <row r="1547" customFormat="false" ht="15" hidden="false" customHeight="false" outlineLevel="0" collapsed="false">
      <c r="A1547" s="12"/>
      <c r="B1547" s="9"/>
      <c r="C1547" s="9"/>
      <c r="D1547" s="9"/>
      <c r="E1547" s="9"/>
      <c r="F1547" s="9"/>
      <c r="G1547" s="9"/>
      <c r="H1547" s="7"/>
      <c r="I1547" s="13" t="str">
        <f aca="false">IF(OR($G1547="",$H1547=""),"",ROUND($G1547*$H1547,0))</f>
        <v/>
      </c>
      <c r="J1547" s="8"/>
      <c r="K1547" s="13" t="str">
        <f aca="false">IF($B1547="","",SUMIFS($I$3:$I$2002,$B$3:$B$2002,$B1547))</f>
        <v/>
      </c>
      <c r="L1547" s="13" t="str">
        <f aca="false">IF($B1547="","",IF(COUNTIFS($B$3:$B1547,$B1547)&gt;1,0,IFERROR(LOOKUP($K1547,배송비규정!$A$3:$A$32,배송비규정!$B$3:$B$32),0)+IFERROR(INDEX(지역추가비!$B$3:$B$42,MATCH($J1547,지역추가비!$A$3:$A$42,0)),0)))</f>
        <v/>
      </c>
      <c r="M1547" s="13" t="str">
        <f aca="false">IF($B1547="","",IF(COUNTIFS($B$3:$B1547,$B1547)&gt;1,"",$K1547+$L1547))</f>
        <v/>
      </c>
      <c r="N1547" s="14" t="str">
        <f aca="false">IF($B1547="","",COUNTIFS($B$3:$B1547,$B1547))</f>
        <v/>
      </c>
      <c r="O1547" s="14" t="str">
        <f aca="false">IF($B1547="","",$B1547&amp;"|"&amp;$N1547)</f>
        <v/>
      </c>
    </row>
    <row r="1548" customFormat="false" ht="15" hidden="false" customHeight="false" outlineLevel="0" collapsed="false">
      <c r="A1548" s="12"/>
      <c r="B1548" s="9"/>
      <c r="C1548" s="9"/>
      <c r="D1548" s="9"/>
      <c r="E1548" s="9"/>
      <c r="F1548" s="9"/>
      <c r="G1548" s="9"/>
      <c r="H1548" s="7"/>
      <c r="I1548" s="13" t="str">
        <f aca="false">IF(OR($G1548="",$H1548=""),"",ROUND($G1548*$H1548,0))</f>
        <v/>
      </c>
      <c r="J1548" s="8"/>
      <c r="K1548" s="13" t="str">
        <f aca="false">IF($B1548="","",SUMIFS($I$3:$I$2002,$B$3:$B$2002,$B1548))</f>
        <v/>
      </c>
      <c r="L1548" s="13" t="str">
        <f aca="false">IF($B1548="","",IF(COUNTIFS($B$3:$B1548,$B1548)&gt;1,0,IFERROR(LOOKUP($K1548,배송비규정!$A$3:$A$32,배송비규정!$B$3:$B$32),0)+IFERROR(INDEX(지역추가비!$B$3:$B$42,MATCH($J1548,지역추가비!$A$3:$A$42,0)),0)))</f>
        <v/>
      </c>
      <c r="M1548" s="13" t="str">
        <f aca="false">IF($B1548="","",IF(COUNTIFS($B$3:$B1548,$B1548)&gt;1,"",$K1548+$L1548))</f>
        <v/>
      </c>
      <c r="N1548" s="14" t="str">
        <f aca="false">IF($B1548="","",COUNTIFS($B$3:$B1548,$B1548))</f>
        <v/>
      </c>
      <c r="O1548" s="14" t="str">
        <f aca="false">IF($B1548="","",$B1548&amp;"|"&amp;$N1548)</f>
        <v/>
      </c>
    </row>
    <row r="1549" customFormat="false" ht="15" hidden="false" customHeight="false" outlineLevel="0" collapsed="false">
      <c r="A1549" s="12"/>
      <c r="B1549" s="9"/>
      <c r="C1549" s="9"/>
      <c r="D1549" s="9"/>
      <c r="E1549" s="9"/>
      <c r="F1549" s="9"/>
      <c r="G1549" s="9"/>
      <c r="H1549" s="7"/>
      <c r="I1549" s="13" t="str">
        <f aca="false">IF(OR($G1549="",$H1549=""),"",ROUND($G1549*$H1549,0))</f>
        <v/>
      </c>
      <c r="J1549" s="8"/>
      <c r="K1549" s="13" t="str">
        <f aca="false">IF($B1549="","",SUMIFS($I$3:$I$2002,$B$3:$B$2002,$B1549))</f>
        <v/>
      </c>
      <c r="L1549" s="13" t="str">
        <f aca="false">IF($B1549="","",IF(COUNTIFS($B$3:$B1549,$B1549)&gt;1,0,IFERROR(LOOKUP($K1549,배송비규정!$A$3:$A$32,배송비규정!$B$3:$B$32),0)+IFERROR(INDEX(지역추가비!$B$3:$B$42,MATCH($J1549,지역추가비!$A$3:$A$42,0)),0)))</f>
        <v/>
      </c>
      <c r="M1549" s="13" t="str">
        <f aca="false">IF($B1549="","",IF(COUNTIFS($B$3:$B1549,$B1549)&gt;1,"",$K1549+$L1549))</f>
        <v/>
      </c>
      <c r="N1549" s="14" t="str">
        <f aca="false">IF($B1549="","",COUNTIFS($B$3:$B1549,$B1549))</f>
        <v/>
      </c>
      <c r="O1549" s="14" t="str">
        <f aca="false">IF($B1549="","",$B1549&amp;"|"&amp;$N1549)</f>
        <v/>
      </c>
    </row>
    <row r="1550" customFormat="false" ht="15" hidden="false" customHeight="false" outlineLevel="0" collapsed="false">
      <c r="A1550" s="12"/>
      <c r="B1550" s="9"/>
      <c r="C1550" s="9"/>
      <c r="D1550" s="9"/>
      <c r="E1550" s="9"/>
      <c r="F1550" s="9"/>
      <c r="G1550" s="9"/>
      <c r="H1550" s="7"/>
      <c r="I1550" s="13" t="str">
        <f aca="false">IF(OR($G1550="",$H1550=""),"",ROUND($G1550*$H1550,0))</f>
        <v/>
      </c>
      <c r="J1550" s="8"/>
      <c r="K1550" s="13" t="str">
        <f aca="false">IF($B1550="","",SUMIFS($I$3:$I$2002,$B$3:$B$2002,$B1550))</f>
        <v/>
      </c>
      <c r="L1550" s="13" t="str">
        <f aca="false">IF($B1550="","",IF(COUNTIFS($B$3:$B1550,$B1550)&gt;1,0,IFERROR(LOOKUP($K1550,배송비규정!$A$3:$A$32,배송비규정!$B$3:$B$32),0)+IFERROR(INDEX(지역추가비!$B$3:$B$42,MATCH($J1550,지역추가비!$A$3:$A$42,0)),0)))</f>
        <v/>
      </c>
      <c r="M1550" s="13" t="str">
        <f aca="false">IF($B1550="","",IF(COUNTIFS($B$3:$B1550,$B1550)&gt;1,"",$K1550+$L1550))</f>
        <v/>
      </c>
      <c r="N1550" s="14" t="str">
        <f aca="false">IF($B1550="","",COUNTIFS($B$3:$B1550,$B1550))</f>
        <v/>
      </c>
      <c r="O1550" s="14" t="str">
        <f aca="false">IF($B1550="","",$B1550&amp;"|"&amp;$N1550)</f>
        <v/>
      </c>
    </row>
    <row r="1551" customFormat="false" ht="15" hidden="false" customHeight="false" outlineLevel="0" collapsed="false">
      <c r="A1551" s="12"/>
      <c r="B1551" s="9"/>
      <c r="C1551" s="9"/>
      <c r="D1551" s="9"/>
      <c r="E1551" s="9"/>
      <c r="F1551" s="9"/>
      <c r="G1551" s="9"/>
      <c r="H1551" s="7"/>
      <c r="I1551" s="13" t="str">
        <f aca="false">IF(OR($G1551="",$H1551=""),"",ROUND($G1551*$H1551,0))</f>
        <v/>
      </c>
      <c r="J1551" s="8"/>
      <c r="K1551" s="13" t="str">
        <f aca="false">IF($B1551="","",SUMIFS($I$3:$I$2002,$B$3:$B$2002,$B1551))</f>
        <v/>
      </c>
      <c r="L1551" s="13" t="str">
        <f aca="false">IF($B1551="","",IF(COUNTIFS($B$3:$B1551,$B1551)&gt;1,0,IFERROR(LOOKUP($K1551,배송비규정!$A$3:$A$32,배송비규정!$B$3:$B$32),0)+IFERROR(INDEX(지역추가비!$B$3:$B$42,MATCH($J1551,지역추가비!$A$3:$A$42,0)),0)))</f>
        <v/>
      </c>
      <c r="M1551" s="13" t="str">
        <f aca="false">IF($B1551="","",IF(COUNTIFS($B$3:$B1551,$B1551)&gt;1,"",$K1551+$L1551))</f>
        <v/>
      </c>
      <c r="N1551" s="14" t="str">
        <f aca="false">IF($B1551="","",COUNTIFS($B$3:$B1551,$B1551))</f>
        <v/>
      </c>
      <c r="O1551" s="14" t="str">
        <f aca="false">IF($B1551="","",$B1551&amp;"|"&amp;$N1551)</f>
        <v/>
      </c>
    </row>
    <row r="1552" customFormat="false" ht="15" hidden="false" customHeight="false" outlineLevel="0" collapsed="false">
      <c r="A1552" s="12"/>
      <c r="B1552" s="9"/>
      <c r="C1552" s="9"/>
      <c r="D1552" s="9"/>
      <c r="E1552" s="9"/>
      <c r="F1552" s="9"/>
      <c r="G1552" s="9"/>
      <c r="H1552" s="7"/>
      <c r="I1552" s="13" t="str">
        <f aca="false">IF(OR($G1552="",$H1552=""),"",ROUND($G1552*$H1552,0))</f>
        <v/>
      </c>
      <c r="J1552" s="8"/>
      <c r="K1552" s="13" t="str">
        <f aca="false">IF($B1552="","",SUMIFS($I$3:$I$2002,$B$3:$B$2002,$B1552))</f>
        <v/>
      </c>
      <c r="L1552" s="13" t="str">
        <f aca="false">IF($B1552="","",IF(COUNTIFS($B$3:$B1552,$B1552)&gt;1,0,IFERROR(LOOKUP($K1552,배송비규정!$A$3:$A$32,배송비규정!$B$3:$B$32),0)+IFERROR(INDEX(지역추가비!$B$3:$B$42,MATCH($J1552,지역추가비!$A$3:$A$42,0)),0)))</f>
        <v/>
      </c>
      <c r="M1552" s="13" t="str">
        <f aca="false">IF($B1552="","",IF(COUNTIFS($B$3:$B1552,$B1552)&gt;1,"",$K1552+$L1552))</f>
        <v/>
      </c>
      <c r="N1552" s="14" t="str">
        <f aca="false">IF($B1552="","",COUNTIFS($B$3:$B1552,$B1552))</f>
        <v/>
      </c>
      <c r="O1552" s="14" t="str">
        <f aca="false">IF($B1552="","",$B1552&amp;"|"&amp;$N1552)</f>
        <v/>
      </c>
    </row>
    <row r="1553" customFormat="false" ht="15" hidden="false" customHeight="false" outlineLevel="0" collapsed="false">
      <c r="A1553" s="12"/>
      <c r="B1553" s="9"/>
      <c r="C1553" s="9"/>
      <c r="D1553" s="9"/>
      <c r="E1553" s="9"/>
      <c r="F1553" s="9"/>
      <c r="G1553" s="9"/>
      <c r="H1553" s="7"/>
      <c r="I1553" s="13" t="str">
        <f aca="false">IF(OR($G1553="",$H1553=""),"",ROUND($G1553*$H1553,0))</f>
        <v/>
      </c>
      <c r="J1553" s="8"/>
      <c r="K1553" s="13" t="str">
        <f aca="false">IF($B1553="","",SUMIFS($I$3:$I$2002,$B$3:$B$2002,$B1553))</f>
        <v/>
      </c>
      <c r="L1553" s="13" t="str">
        <f aca="false">IF($B1553="","",IF(COUNTIFS($B$3:$B1553,$B1553)&gt;1,0,IFERROR(LOOKUP($K1553,배송비규정!$A$3:$A$32,배송비규정!$B$3:$B$32),0)+IFERROR(INDEX(지역추가비!$B$3:$B$42,MATCH($J1553,지역추가비!$A$3:$A$42,0)),0)))</f>
        <v/>
      </c>
      <c r="M1553" s="13" t="str">
        <f aca="false">IF($B1553="","",IF(COUNTIFS($B$3:$B1553,$B1553)&gt;1,"",$K1553+$L1553))</f>
        <v/>
      </c>
      <c r="N1553" s="14" t="str">
        <f aca="false">IF($B1553="","",COUNTIFS($B$3:$B1553,$B1553))</f>
        <v/>
      </c>
      <c r="O1553" s="14" t="str">
        <f aca="false">IF($B1553="","",$B1553&amp;"|"&amp;$N1553)</f>
        <v/>
      </c>
    </row>
    <row r="1554" customFormat="false" ht="15" hidden="false" customHeight="false" outlineLevel="0" collapsed="false">
      <c r="A1554" s="12"/>
      <c r="B1554" s="9"/>
      <c r="C1554" s="9"/>
      <c r="D1554" s="9"/>
      <c r="E1554" s="9"/>
      <c r="F1554" s="9"/>
      <c r="G1554" s="9"/>
      <c r="H1554" s="7"/>
      <c r="I1554" s="13" t="str">
        <f aca="false">IF(OR($G1554="",$H1554=""),"",ROUND($G1554*$H1554,0))</f>
        <v/>
      </c>
      <c r="J1554" s="8"/>
      <c r="K1554" s="13" t="str">
        <f aca="false">IF($B1554="","",SUMIFS($I$3:$I$2002,$B$3:$B$2002,$B1554))</f>
        <v/>
      </c>
      <c r="L1554" s="13" t="str">
        <f aca="false">IF($B1554="","",IF(COUNTIFS($B$3:$B1554,$B1554)&gt;1,0,IFERROR(LOOKUP($K1554,배송비규정!$A$3:$A$32,배송비규정!$B$3:$B$32),0)+IFERROR(INDEX(지역추가비!$B$3:$B$42,MATCH($J1554,지역추가비!$A$3:$A$42,0)),0)))</f>
        <v/>
      </c>
      <c r="M1554" s="13" t="str">
        <f aca="false">IF($B1554="","",IF(COUNTIFS($B$3:$B1554,$B1554)&gt;1,"",$K1554+$L1554))</f>
        <v/>
      </c>
      <c r="N1554" s="14" t="str">
        <f aca="false">IF($B1554="","",COUNTIFS($B$3:$B1554,$B1554))</f>
        <v/>
      </c>
      <c r="O1554" s="14" t="str">
        <f aca="false">IF($B1554="","",$B1554&amp;"|"&amp;$N1554)</f>
        <v/>
      </c>
    </row>
    <row r="1555" customFormat="false" ht="15" hidden="false" customHeight="false" outlineLevel="0" collapsed="false">
      <c r="A1555" s="12"/>
      <c r="B1555" s="9"/>
      <c r="C1555" s="9"/>
      <c r="D1555" s="9"/>
      <c r="E1555" s="9"/>
      <c r="F1555" s="9"/>
      <c r="G1555" s="9"/>
      <c r="H1555" s="7"/>
      <c r="I1555" s="13" t="str">
        <f aca="false">IF(OR($G1555="",$H1555=""),"",ROUND($G1555*$H1555,0))</f>
        <v/>
      </c>
      <c r="J1555" s="8"/>
      <c r="K1555" s="13" t="str">
        <f aca="false">IF($B1555="","",SUMIFS($I$3:$I$2002,$B$3:$B$2002,$B1555))</f>
        <v/>
      </c>
      <c r="L1555" s="13" t="str">
        <f aca="false">IF($B1555="","",IF(COUNTIFS($B$3:$B1555,$B1555)&gt;1,0,IFERROR(LOOKUP($K1555,배송비규정!$A$3:$A$32,배송비규정!$B$3:$B$32),0)+IFERROR(INDEX(지역추가비!$B$3:$B$42,MATCH($J1555,지역추가비!$A$3:$A$42,0)),0)))</f>
        <v/>
      </c>
      <c r="M1555" s="13" t="str">
        <f aca="false">IF($B1555="","",IF(COUNTIFS($B$3:$B1555,$B1555)&gt;1,"",$K1555+$L1555))</f>
        <v/>
      </c>
      <c r="N1555" s="14" t="str">
        <f aca="false">IF($B1555="","",COUNTIFS($B$3:$B1555,$B1555))</f>
        <v/>
      </c>
      <c r="O1555" s="14" t="str">
        <f aca="false">IF($B1555="","",$B1555&amp;"|"&amp;$N1555)</f>
        <v/>
      </c>
    </row>
    <row r="1556" customFormat="false" ht="15" hidden="false" customHeight="false" outlineLevel="0" collapsed="false">
      <c r="A1556" s="12"/>
      <c r="B1556" s="9"/>
      <c r="C1556" s="9"/>
      <c r="D1556" s="9"/>
      <c r="E1556" s="9"/>
      <c r="F1556" s="9"/>
      <c r="G1556" s="9"/>
      <c r="H1556" s="7"/>
      <c r="I1556" s="13" t="str">
        <f aca="false">IF(OR($G1556="",$H1556=""),"",ROUND($G1556*$H1556,0))</f>
        <v/>
      </c>
      <c r="J1556" s="8"/>
      <c r="K1556" s="13" t="str">
        <f aca="false">IF($B1556="","",SUMIFS($I$3:$I$2002,$B$3:$B$2002,$B1556))</f>
        <v/>
      </c>
      <c r="L1556" s="13" t="str">
        <f aca="false">IF($B1556="","",IF(COUNTIFS($B$3:$B1556,$B1556)&gt;1,0,IFERROR(LOOKUP($K1556,배송비규정!$A$3:$A$32,배송비규정!$B$3:$B$32),0)+IFERROR(INDEX(지역추가비!$B$3:$B$42,MATCH($J1556,지역추가비!$A$3:$A$42,0)),0)))</f>
        <v/>
      </c>
      <c r="M1556" s="13" t="str">
        <f aca="false">IF($B1556="","",IF(COUNTIFS($B$3:$B1556,$B1556)&gt;1,"",$K1556+$L1556))</f>
        <v/>
      </c>
      <c r="N1556" s="14" t="str">
        <f aca="false">IF($B1556="","",COUNTIFS($B$3:$B1556,$B1556))</f>
        <v/>
      </c>
      <c r="O1556" s="14" t="str">
        <f aca="false">IF($B1556="","",$B1556&amp;"|"&amp;$N1556)</f>
        <v/>
      </c>
    </row>
    <row r="1557" customFormat="false" ht="15" hidden="false" customHeight="false" outlineLevel="0" collapsed="false">
      <c r="A1557" s="12"/>
      <c r="B1557" s="9"/>
      <c r="C1557" s="9"/>
      <c r="D1557" s="9"/>
      <c r="E1557" s="9"/>
      <c r="F1557" s="9"/>
      <c r="G1557" s="9"/>
      <c r="H1557" s="7"/>
      <c r="I1557" s="13" t="str">
        <f aca="false">IF(OR($G1557="",$H1557=""),"",ROUND($G1557*$H1557,0))</f>
        <v/>
      </c>
      <c r="J1557" s="8"/>
      <c r="K1557" s="13" t="str">
        <f aca="false">IF($B1557="","",SUMIFS($I$3:$I$2002,$B$3:$B$2002,$B1557))</f>
        <v/>
      </c>
      <c r="L1557" s="13" t="str">
        <f aca="false">IF($B1557="","",IF(COUNTIFS($B$3:$B1557,$B1557)&gt;1,0,IFERROR(LOOKUP($K1557,배송비규정!$A$3:$A$32,배송비규정!$B$3:$B$32),0)+IFERROR(INDEX(지역추가비!$B$3:$B$42,MATCH($J1557,지역추가비!$A$3:$A$42,0)),0)))</f>
        <v/>
      </c>
      <c r="M1557" s="13" t="str">
        <f aca="false">IF($B1557="","",IF(COUNTIFS($B$3:$B1557,$B1557)&gt;1,"",$K1557+$L1557))</f>
        <v/>
      </c>
      <c r="N1557" s="14" t="str">
        <f aca="false">IF($B1557="","",COUNTIFS($B$3:$B1557,$B1557))</f>
        <v/>
      </c>
      <c r="O1557" s="14" t="str">
        <f aca="false">IF($B1557="","",$B1557&amp;"|"&amp;$N1557)</f>
        <v/>
      </c>
    </row>
    <row r="1558" customFormat="false" ht="15" hidden="false" customHeight="false" outlineLevel="0" collapsed="false">
      <c r="A1558" s="12"/>
      <c r="B1558" s="9"/>
      <c r="C1558" s="9"/>
      <c r="D1558" s="9"/>
      <c r="E1558" s="9"/>
      <c r="F1558" s="9"/>
      <c r="G1558" s="9"/>
      <c r="H1558" s="7"/>
      <c r="I1558" s="13" t="str">
        <f aca="false">IF(OR($G1558="",$H1558=""),"",ROUND($G1558*$H1558,0))</f>
        <v/>
      </c>
      <c r="J1558" s="8"/>
      <c r="K1558" s="13" t="str">
        <f aca="false">IF($B1558="","",SUMIFS($I$3:$I$2002,$B$3:$B$2002,$B1558))</f>
        <v/>
      </c>
      <c r="L1558" s="13" t="str">
        <f aca="false">IF($B1558="","",IF(COUNTIFS($B$3:$B1558,$B1558)&gt;1,0,IFERROR(LOOKUP($K1558,배송비규정!$A$3:$A$32,배송비규정!$B$3:$B$32),0)+IFERROR(INDEX(지역추가비!$B$3:$B$42,MATCH($J1558,지역추가비!$A$3:$A$42,0)),0)))</f>
        <v/>
      </c>
      <c r="M1558" s="13" t="str">
        <f aca="false">IF($B1558="","",IF(COUNTIFS($B$3:$B1558,$B1558)&gt;1,"",$K1558+$L1558))</f>
        <v/>
      </c>
      <c r="N1558" s="14" t="str">
        <f aca="false">IF($B1558="","",COUNTIFS($B$3:$B1558,$B1558))</f>
        <v/>
      </c>
      <c r="O1558" s="14" t="str">
        <f aca="false">IF($B1558="","",$B1558&amp;"|"&amp;$N1558)</f>
        <v/>
      </c>
    </row>
    <row r="1559" customFormat="false" ht="15" hidden="false" customHeight="false" outlineLevel="0" collapsed="false">
      <c r="A1559" s="12"/>
      <c r="B1559" s="9"/>
      <c r="C1559" s="9"/>
      <c r="D1559" s="9"/>
      <c r="E1559" s="9"/>
      <c r="F1559" s="9"/>
      <c r="G1559" s="9"/>
      <c r="H1559" s="7"/>
      <c r="I1559" s="13" t="str">
        <f aca="false">IF(OR($G1559="",$H1559=""),"",ROUND($G1559*$H1559,0))</f>
        <v/>
      </c>
      <c r="J1559" s="8"/>
      <c r="K1559" s="13" t="str">
        <f aca="false">IF($B1559="","",SUMIFS($I$3:$I$2002,$B$3:$B$2002,$B1559))</f>
        <v/>
      </c>
      <c r="L1559" s="13" t="str">
        <f aca="false">IF($B1559="","",IF(COUNTIFS($B$3:$B1559,$B1559)&gt;1,0,IFERROR(LOOKUP($K1559,배송비규정!$A$3:$A$32,배송비규정!$B$3:$B$32),0)+IFERROR(INDEX(지역추가비!$B$3:$B$42,MATCH($J1559,지역추가비!$A$3:$A$42,0)),0)))</f>
        <v/>
      </c>
      <c r="M1559" s="13" t="str">
        <f aca="false">IF($B1559="","",IF(COUNTIFS($B$3:$B1559,$B1559)&gt;1,"",$K1559+$L1559))</f>
        <v/>
      </c>
      <c r="N1559" s="14" t="str">
        <f aca="false">IF($B1559="","",COUNTIFS($B$3:$B1559,$B1559))</f>
        <v/>
      </c>
      <c r="O1559" s="14" t="str">
        <f aca="false">IF($B1559="","",$B1559&amp;"|"&amp;$N1559)</f>
        <v/>
      </c>
    </row>
    <row r="1560" customFormat="false" ht="15" hidden="false" customHeight="false" outlineLevel="0" collapsed="false">
      <c r="A1560" s="12"/>
      <c r="B1560" s="9"/>
      <c r="C1560" s="9"/>
      <c r="D1560" s="9"/>
      <c r="E1560" s="9"/>
      <c r="F1560" s="9"/>
      <c r="G1560" s="9"/>
      <c r="H1560" s="7"/>
      <c r="I1560" s="13" t="str">
        <f aca="false">IF(OR($G1560="",$H1560=""),"",ROUND($G1560*$H1560,0))</f>
        <v/>
      </c>
      <c r="J1560" s="8"/>
      <c r="K1560" s="13" t="str">
        <f aca="false">IF($B1560="","",SUMIFS($I$3:$I$2002,$B$3:$B$2002,$B1560))</f>
        <v/>
      </c>
      <c r="L1560" s="13" t="str">
        <f aca="false">IF($B1560="","",IF(COUNTIFS($B$3:$B1560,$B1560)&gt;1,0,IFERROR(LOOKUP($K1560,배송비규정!$A$3:$A$32,배송비규정!$B$3:$B$32),0)+IFERROR(INDEX(지역추가비!$B$3:$B$42,MATCH($J1560,지역추가비!$A$3:$A$42,0)),0)))</f>
        <v/>
      </c>
      <c r="M1560" s="13" t="str">
        <f aca="false">IF($B1560="","",IF(COUNTIFS($B$3:$B1560,$B1560)&gt;1,"",$K1560+$L1560))</f>
        <v/>
      </c>
      <c r="N1560" s="14" t="str">
        <f aca="false">IF($B1560="","",COUNTIFS($B$3:$B1560,$B1560))</f>
        <v/>
      </c>
      <c r="O1560" s="14" t="str">
        <f aca="false">IF($B1560="","",$B1560&amp;"|"&amp;$N1560)</f>
        <v/>
      </c>
    </row>
    <row r="1561" customFormat="false" ht="15" hidden="false" customHeight="false" outlineLevel="0" collapsed="false">
      <c r="A1561" s="12"/>
      <c r="B1561" s="9"/>
      <c r="C1561" s="9"/>
      <c r="D1561" s="9"/>
      <c r="E1561" s="9"/>
      <c r="F1561" s="9"/>
      <c r="G1561" s="9"/>
      <c r="H1561" s="7"/>
      <c r="I1561" s="13" t="str">
        <f aca="false">IF(OR($G1561="",$H1561=""),"",ROUND($G1561*$H1561,0))</f>
        <v/>
      </c>
      <c r="J1561" s="8"/>
      <c r="K1561" s="13" t="str">
        <f aca="false">IF($B1561="","",SUMIFS($I$3:$I$2002,$B$3:$B$2002,$B1561))</f>
        <v/>
      </c>
      <c r="L1561" s="13" t="str">
        <f aca="false">IF($B1561="","",IF(COUNTIFS($B$3:$B1561,$B1561)&gt;1,0,IFERROR(LOOKUP($K1561,배송비규정!$A$3:$A$32,배송비규정!$B$3:$B$32),0)+IFERROR(INDEX(지역추가비!$B$3:$B$42,MATCH($J1561,지역추가비!$A$3:$A$42,0)),0)))</f>
        <v/>
      </c>
      <c r="M1561" s="13" t="str">
        <f aca="false">IF($B1561="","",IF(COUNTIFS($B$3:$B1561,$B1561)&gt;1,"",$K1561+$L1561))</f>
        <v/>
      </c>
      <c r="N1561" s="14" t="str">
        <f aca="false">IF($B1561="","",COUNTIFS($B$3:$B1561,$B1561))</f>
        <v/>
      </c>
      <c r="O1561" s="14" t="str">
        <f aca="false">IF($B1561="","",$B1561&amp;"|"&amp;$N1561)</f>
        <v/>
      </c>
    </row>
    <row r="1562" customFormat="false" ht="15" hidden="false" customHeight="false" outlineLevel="0" collapsed="false">
      <c r="A1562" s="12"/>
      <c r="B1562" s="9"/>
      <c r="C1562" s="9"/>
      <c r="D1562" s="9"/>
      <c r="E1562" s="9"/>
      <c r="F1562" s="9"/>
      <c r="G1562" s="9"/>
      <c r="H1562" s="7"/>
      <c r="I1562" s="13" t="str">
        <f aca="false">IF(OR($G1562="",$H1562=""),"",ROUND($G1562*$H1562,0))</f>
        <v/>
      </c>
      <c r="J1562" s="8"/>
      <c r="K1562" s="13" t="str">
        <f aca="false">IF($B1562="","",SUMIFS($I$3:$I$2002,$B$3:$B$2002,$B1562))</f>
        <v/>
      </c>
      <c r="L1562" s="13" t="str">
        <f aca="false">IF($B1562="","",IF(COUNTIFS($B$3:$B1562,$B1562)&gt;1,0,IFERROR(LOOKUP($K1562,배송비규정!$A$3:$A$32,배송비규정!$B$3:$B$32),0)+IFERROR(INDEX(지역추가비!$B$3:$B$42,MATCH($J1562,지역추가비!$A$3:$A$42,0)),0)))</f>
        <v/>
      </c>
      <c r="M1562" s="13" t="str">
        <f aca="false">IF($B1562="","",IF(COUNTIFS($B$3:$B1562,$B1562)&gt;1,"",$K1562+$L1562))</f>
        <v/>
      </c>
      <c r="N1562" s="14" t="str">
        <f aca="false">IF($B1562="","",COUNTIFS($B$3:$B1562,$B1562))</f>
        <v/>
      </c>
      <c r="O1562" s="14" t="str">
        <f aca="false">IF($B1562="","",$B1562&amp;"|"&amp;$N1562)</f>
        <v/>
      </c>
    </row>
    <row r="1563" customFormat="false" ht="15" hidden="false" customHeight="false" outlineLevel="0" collapsed="false">
      <c r="A1563" s="12"/>
      <c r="B1563" s="9"/>
      <c r="C1563" s="9"/>
      <c r="D1563" s="9"/>
      <c r="E1563" s="9"/>
      <c r="F1563" s="9"/>
      <c r="G1563" s="9"/>
      <c r="H1563" s="7"/>
      <c r="I1563" s="13" t="str">
        <f aca="false">IF(OR($G1563="",$H1563=""),"",ROUND($G1563*$H1563,0))</f>
        <v/>
      </c>
      <c r="J1563" s="8"/>
      <c r="K1563" s="13" t="str">
        <f aca="false">IF($B1563="","",SUMIFS($I$3:$I$2002,$B$3:$B$2002,$B1563))</f>
        <v/>
      </c>
      <c r="L1563" s="13" t="str">
        <f aca="false">IF($B1563="","",IF(COUNTIFS($B$3:$B1563,$B1563)&gt;1,0,IFERROR(LOOKUP($K1563,배송비규정!$A$3:$A$32,배송비규정!$B$3:$B$32),0)+IFERROR(INDEX(지역추가비!$B$3:$B$42,MATCH($J1563,지역추가비!$A$3:$A$42,0)),0)))</f>
        <v/>
      </c>
      <c r="M1563" s="13" t="str">
        <f aca="false">IF($B1563="","",IF(COUNTIFS($B$3:$B1563,$B1563)&gt;1,"",$K1563+$L1563))</f>
        <v/>
      </c>
      <c r="N1563" s="14" t="str">
        <f aca="false">IF($B1563="","",COUNTIFS($B$3:$B1563,$B1563))</f>
        <v/>
      </c>
      <c r="O1563" s="14" t="str">
        <f aca="false">IF($B1563="","",$B1563&amp;"|"&amp;$N1563)</f>
        <v/>
      </c>
    </row>
    <row r="1564" customFormat="false" ht="15" hidden="false" customHeight="false" outlineLevel="0" collapsed="false">
      <c r="A1564" s="12"/>
      <c r="B1564" s="9"/>
      <c r="C1564" s="9"/>
      <c r="D1564" s="9"/>
      <c r="E1564" s="9"/>
      <c r="F1564" s="9"/>
      <c r="G1564" s="9"/>
      <c r="H1564" s="7"/>
      <c r="I1564" s="13" t="str">
        <f aca="false">IF(OR($G1564="",$H1564=""),"",ROUND($G1564*$H1564,0))</f>
        <v/>
      </c>
      <c r="J1564" s="8"/>
      <c r="K1564" s="13" t="str">
        <f aca="false">IF($B1564="","",SUMIFS($I$3:$I$2002,$B$3:$B$2002,$B1564))</f>
        <v/>
      </c>
      <c r="L1564" s="13" t="str">
        <f aca="false">IF($B1564="","",IF(COUNTIFS($B$3:$B1564,$B1564)&gt;1,0,IFERROR(LOOKUP($K1564,배송비규정!$A$3:$A$32,배송비규정!$B$3:$B$32),0)+IFERROR(INDEX(지역추가비!$B$3:$B$42,MATCH($J1564,지역추가비!$A$3:$A$42,0)),0)))</f>
        <v/>
      </c>
      <c r="M1564" s="13" t="str">
        <f aca="false">IF($B1564="","",IF(COUNTIFS($B$3:$B1564,$B1564)&gt;1,"",$K1564+$L1564))</f>
        <v/>
      </c>
      <c r="N1564" s="14" t="str">
        <f aca="false">IF($B1564="","",COUNTIFS($B$3:$B1564,$B1564))</f>
        <v/>
      </c>
      <c r="O1564" s="14" t="str">
        <f aca="false">IF($B1564="","",$B1564&amp;"|"&amp;$N1564)</f>
        <v/>
      </c>
    </row>
    <row r="1565" customFormat="false" ht="15" hidden="false" customHeight="false" outlineLevel="0" collapsed="false">
      <c r="A1565" s="12"/>
      <c r="B1565" s="9"/>
      <c r="C1565" s="9"/>
      <c r="D1565" s="9"/>
      <c r="E1565" s="9"/>
      <c r="F1565" s="9"/>
      <c r="G1565" s="9"/>
      <c r="H1565" s="7"/>
      <c r="I1565" s="13" t="str">
        <f aca="false">IF(OR($G1565="",$H1565=""),"",ROUND($G1565*$H1565,0))</f>
        <v/>
      </c>
      <c r="J1565" s="8"/>
      <c r="K1565" s="13" t="str">
        <f aca="false">IF($B1565="","",SUMIFS($I$3:$I$2002,$B$3:$B$2002,$B1565))</f>
        <v/>
      </c>
      <c r="L1565" s="13" t="str">
        <f aca="false">IF($B1565="","",IF(COUNTIFS($B$3:$B1565,$B1565)&gt;1,0,IFERROR(LOOKUP($K1565,배송비규정!$A$3:$A$32,배송비규정!$B$3:$B$32),0)+IFERROR(INDEX(지역추가비!$B$3:$B$42,MATCH($J1565,지역추가비!$A$3:$A$42,0)),0)))</f>
        <v/>
      </c>
      <c r="M1565" s="13" t="str">
        <f aca="false">IF($B1565="","",IF(COUNTIFS($B$3:$B1565,$B1565)&gt;1,"",$K1565+$L1565))</f>
        <v/>
      </c>
      <c r="N1565" s="14" t="str">
        <f aca="false">IF($B1565="","",COUNTIFS($B$3:$B1565,$B1565))</f>
        <v/>
      </c>
      <c r="O1565" s="14" t="str">
        <f aca="false">IF($B1565="","",$B1565&amp;"|"&amp;$N1565)</f>
        <v/>
      </c>
    </row>
    <row r="1566" customFormat="false" ht="15" hidden="false" customHeight="false" outlineLevel="0" collapsed="false">
      <c r="A1566" s="12"/>
      <c r="B1566" s="9"/>
      <c r="C1566" s="9"/>
      <c r="D1566" s="9"/>
      <c r="E1566" s="9"/>
      <c r="F1566" s="9"/>
      <c r="G1566" s="9"/>
      <c r="H1566" s="7"/>
      <c r="I1566" s="13" t="str">
        <f aca="false">IF(OR($G1566="",$H1566=""),"",ROUND($G1566*$H1566,0))</f>
        <v/>
      </c>
      <c r="J1566" s="8"/>
      <c r="K1566" s="13" t="str">
        <f aca="false">IF($B1566="","",SUMIFS($I$3:$I$2002,$B$3:$B$2002,$B1566))</f>
        <v/>
      </c>
      <c r="L1566" s="13" t="str">
        <f aca="false">IF($B1566="","",IF(COUNTIFS($B$3:$B1566,$B1566)&gt;1,0,IFERROR(LOOKUP($K1566,배송비규정!$A$3:$A$32,배송비규정!$B$3:$B$32),0)+IFERROR(INDEX(지역추가비!$B$3:$B$42,MATCH($J1566,지역추가비!$A$3:$A$42,0)),0)))</f>
        <v/>
      </c>
      <c r="M1566" s="13" t="str">
        <f aca="false">IF($B1566="","",IF(COUNTIFS($B$3:$B1566,$B1566)&gt;1,"",$K1566+$L1566))</f>
        <v/>
      </c>
      <c r="N1566" s="14" t="str">
        <f aca="false">IF($B1566="","",COUNTIFS($B$3:$B1566,$B1566))</f>
        <v/>
      </c>
      <c r="O1566" s="14" t="str">
        <f aca="false">IF($B1566="","",$B1566&amp;"|"&amp;$N1566)</f>
        <v/>
      </c>
    </row>
    <row r="1567" customFormat="false" ht="15" hidden="false" customHeight="false" outlineLevel="0" collapsed="false">
      <c r="A1567" s="12"/>
      <c r="B1567" s="9"/>
      <c r="C1567" s="9"/>
      <c r="D1567" s="9"/>
      <c r="E1567" s="9"/>
      <c r="F1567" s="9"/>
      <c r="G1567" s="9"/>
      <c r="H1567" s="7"/>
      <c r="I1567" s="13" t="str">
        <f aca="false">IF(OR($G1567="",$H1567=""),"",ROUND($G1567*$H1567,0))</f>
        <v/>
      </c>
      <c r="J1567" s="8"/>
      <c r="K1567" s="13" t="str">
        <f aca="false">IF($B1567="","",SUMIFS($I$3:$I$2002,$B$3:$B$2002,$B1567))</f>
        <v/>
      </c>
      <c r="L1567" s="13" t="str">
        <f aca="false">IF($B1567="","",IF(COUNTIFS($B$3:$B1567,$B1567)&gt;1,0,IFERROR(LOOKUP($K1567,배송비규정!$A$3:$A$32,배송비규정!$B$3:$B$32),0)+IFERROR(INDEX(지역추가비!$B$3:$B$42,MATCH($J1567,지역추가비!$A$3:$A$42,0)),0)))</f>
        <v/>
      </c>
      <c r="M1567" s="13" t="str">
        <f aca="false">IF($B1567="","",IF(COUNTIFS($B$3:$B1567,$B1567)&gt;1,"",$K1567+$L1567))</f>
        <v/>
      </c>
      <c r="N1567" s="14" t="str">
        <f aca="false">IF($B1567="","",COUNTIFS($B$3:$B1567,$B1567))</f>
        <v/>
      </c>
      <c r="O1567" s="14" t="str">
        <f aca="false">IF($B1567="","",$B1567&amp;"|"&amp;$N1567)</f>
        <v/>
      </c>
    </row>
    <row r="1568" customFormat="false" ht="15" hidden="false" customHeight="false" outlineLevel="0" collapsed="false">
      <c r="A1568" s="12"/>
      <c r="B1568" s="9"/>
      <c r="C1568" s="9"/>
      <c r="D1568" s="9"/>
      <c r="E1568" s="9"/>
      <c r="F1568" s="9"/>
      <c r="G1568" s="9"/>
      <c r="H1568" s="7"/>
      <c r="I1568" s="13" t="str">
        <f aca="false">IF(OR($G1568="",$H1568=""),"",ROUND($G1568*$H1568,0))</f>
        <v/>
      </c>
      <c r="J1568" s="8"/>
      <c r="K1568" s="13" t="str">
        <f aca="false">IF($B1568="","",SUMIFS($I$3:$I$2002,$B$3:$B$2002,$B1568))</f>
        <v/>
      </c>
      <c r="L1568" s="13" t="str">
        <f aca="false">IF($B1568="","",IF(COUNTIFS($B$3:$B1568,$B1568)&gt;1,0,IFERROR(LOOKUP($K1568,배송비규정!$A$3:$A$32,배송비규정!$B$3:$B$32),0)+IFERROR(INDEX(지역추가비!$B$3:$B$42,MATCH($J1568,지역추가비!$A$3:$A$42,0)),0)))</f>
        <v/>
      </c>
      <c r="M1568" s="13" t="str">
        <f aca="false">IF($B1568="","",IF(COUNTIFS($B$3:$B1568,$B1568)&gt;1,"",$K1568+$L1568))</f>
        <v/>
      </c>
      <c r="N1568" s="14" t="str">
        <f aca="false">IF($B1568="","",COUNTIFS($B$3:$B1568,$B1568))</f>
        <v/>
      </c>
      <c r="O1568" s="14" t="str">
        <f aca="false">IF($B1568="","",$B1568&amp;"|"&amp;$N1568)</f>
        <v/>
      </c>
    </row>
    <row r="1569" customFormat="false" ht="15" hidden="false" customHeight="false" outlineLevel="0" collapsed="false">
      <c r="A1569" s="12"/>
      <c r="B1569" s="9"/>
      <c r="C1569" s="9"/>
      <c r="D1569" s="9"/>
      <c r="E1569" s="9"/>
      <c r="F1569" s="9"/>
      <c r="G1569" s="9"/>
      <c r="H1569" s="7"/>
      <c r="I1569" s="13" t="str">
        <f aca="false">IF(OR($G1569="",$H1569=""),"",ROUND($G1569*$H1569,0))</f>
        <v/>
      </c>
      <c r="J1569" s="8"/>
      <c r="K1569" s="13" t="str">
        <f aca="false">IF($B1569="","",SUMIFS($I$3:$I$2002,$B$3:$B$2002,$B1569))</f>
        <v/>
      </c>
      <c r="L1569" s="13" t="str">
        <f aca="false">IF($B1569="","",IF(COUNTIFS($B$3:$B1569,$B1569)&gt;1,0,IFERROR(LOOKUP($K1569,배송비규정!$A$3:$A$32,배송비규정!$B$3:$B$32),0)+IFERROR(INDEX(지역추가비!$B$3:$B$42,MATCH($J1569,지역추가비!$A$3:$A$42,0)),0)))</f>
        <v/>
      </c>
      <c r="M1569" s="13" t="str">
        <f aca="false">IF($B1569="","",IF(COUNTIFS($B$3:$B1569,$B1569)&gt;1,"",$K1569+$L1569))</f>
        <v/>
      </c>
      <c r="N1569" s="14" t="str">
        <f aca="false">IF($B1569="","",COUNTIFS($B$3:$B1569,$B1569))</f>
        <v/>
      </c>
      <c r="O1569" s="14" t="str">
        <f aca="false">IF($B1569="","",$B1569&amp;"|"&amp;$N1569)</f>
        <v/>
      </c>
    </row>
    <row r="1570" customFormat="false" ht="15" hidden="false" customHeight="false" outlineLevel="0" collapsed="false">
      <c r="A1570" s="12"/>
      <c r="B1570" s="9"/>
      <c r="C1570" s="9"/>
      <c r="D1570" s="9"/>
      <c r="E1570" s="9"/>
      <c r="F1570" s="9"/>
      <c r="G1570" s="9"/>
      <c r="H1570" s="7"/>
      <c r="I1570" s="13" t="str">
        <f aca="false">IF(OR($G1570="",$H1570=""),"",ROUND($G1570*$H1570,0))</f>
        <v/>
      </c>
      <c r="J1570" s="8"/>
      <c r="K1570" s="13" t="str">
        <f aca="false">IF($B1570="","",SUMIFS($I$3:$I$2002,$B$3:$B$2002,$B1570))</f>
        <v/>
      </c>
      <c r="L1570" s="13" t="str">
        <f aca="false">IF($B1570="","",IF(COUNTIFS($B$3:$B1570,$B1570)&gt;1,0,IFERROR(LOOKUP($K1570,배송비규정!$A$3:$A$32,배송비규정!$B$3:$B$32),0)+IFERROR(INDEX(지역추가비!$B$3:$B$42,MATCH($J1570,지역추가비!$A$3:$A$42,0)),0)))</f>
        <v/>
      </c>
      <c r="M1570" s="13" t="str">
        <f aca="false">IF($B1570="","",IF(COUNTIFS($B$3:$B1570,$B1570)&gt;1,"",$K1570+$L1570))</f>
        <v/>
      </c>
      <c r="N1570" s="14" t="str">
        <f aca="false">IF($B1570="","",COUNTIFS($B$3:$B1570,$B1570))</f>
        <v/>
      </c>
      <c r="O1570" s="14" t="str">
        <f aca="false">IF($B1570="","",$B1570&amp;"|"&amp;$N1570)</f>
        <v/>
      </c>
    </row>
    <row r="1571" customFormat="false" ht="15" hidden="false" customHeight="false" outlineLevel="0" collapsed="false">
      <c r="A1571" s="12"/>
      <c r="B1571" s="9"/>
      <c r="C1571" s="9"/>
      <c r="D1571" s="9"/>
      <c r="E1571" s="9"/>
      <c r="F1571" s="9"/>
      <c r="G1571" s="9"/>
      <c r="H1571" s="7"/>
      <c r="I1571" s="13" t="str">
        <f aca="false">IF(OR($G1571="",$H1571=""),"",ROUND($G1571*$H1571,0))</f>
        <v/>
      </c>
      <c r="J1571" s="8"/>
      <c r="K1571" s="13" t="str">
        <f aca="false">IF($B1571="","",SUMIFS($I$3:$I$2002,$B$3:$B$2002,$B1571))</f>
        <v/>
      </c>
      <c r="L1571" s="13" t="str">
        <f aca="false">IF($B1571="","",IF(COUNTIFS($B$3:$B1571,$B1571)&gt;1,0,IFERROR(LOOKUP($K1571,배송비규정!$A$3:$A$32,배송비규정!$B$3:$B$32),0)+IFERROR(INDEX(지역추가비!$B$3:$B$42,MATCH($J1571,지역추가비!$A$3:$A$42,0)),0)))</f>
        <v/>
      </c>
      <c r="M1571" s="13" t="str">
        <f aca="false">IF($B1571="","",IF(COUNTIFS($B$3:$B1571,$B1571)&gt;1,"",$K1571+$L1571))</f>
        <v/>
      </c>
      <c r="N1571" s="14" t="str">
        <f aca="false">IF($B1571="","",COUNTIFS($B$3:$B1571,$B1571))</f>
        <v/>
      </c>
      <c r="O1571" s="14" t="str">
        <f aca="false">IF($B1571="","",$B1571&amp;"|"&amp;$N1571)</f>
        <v/>
      </c>
    </row>
    <row r="1572" customFormat="false" ht="15" hidden="false" customHeight="false" outlineLevel="0" collapsed="false">
      <c r="A1572" s="12"/>
      <c r="B1572" s="9"/>
      <c r="C1572" s="9"/>
      <c r="D1572" s="9"/>
      <c r="E1572" s="9"/>
      <c r="F1572" s="9"/>
      <c r="G1572" s="9"/>
      <c r="H1572" s="7"/>
      <c r="I1572" s="13" t="str">
        <f aca="false">IF(OR($G1572="",$H1572=""),"",ROUND($G1572*$H1572,0))</f>
        <v/>
      </c>
      <c r="J1572" s="8"/>
      <c r="K1572" s="13" t="str">
        <f aca="false">IF($B1572="","",SUMIFS($I$3:$I$2002,$B$3:$B$2002,$B1572))</f>
        <v/>
      </c>
      <c r="L1572" s="13" t="str">
        <f aca="false">IF($B1572="","",IF(COUNTIFS($B$3:$B1572,$B1572)&gt;1,0,IFERROR(LOOKUP($K1572,배송비규정!$A$3:$A$32,배송비규정!$B$3:$B$32),0)+IFERROR(INDEX(지역추가비!$B$3:$B$42,MATCH($J1572,지역추가비!$A$3:$A$42,0)),0)))</f>
        <v/>
      </c>
      <c r="M1572" s="13" t="str">
        <f aca="false">IF($B1572="","",IF(COUNTIFS($B$3:$B1572,$B1572)&gt;1,"",$K1572+$L1572))</f>
        <v/>
      </c>
      <c r="N1572" s="14" t="str">
        <f aca="false">IF($B1572="","",COUNTIFS($B$3:$B1572,$B1572))</f>
        <v/>
      </c>
      <c r="O1572" s="14" t="str">
        <f aca="false">IF($B1572="","",$B1572&amp;"|"&amp;$N1572)</f>
        <v/>
      </c>
    </row>
    <row r="1573" customFormat="false" ht="15" hidden="false" customHeight="false" outlineLevel="0" collapsed="false">
      <c r="A1573" s="12"/>
      <c r="B1573" s="9"/>
      <c r="C1573" s="9"/>
      <c r="D1573" s="9"/>
      <c r="E1573" s="9"/>
      <c r="F1573" s="9"/>
      <c r="G1573" s="9"/>
      <c r="H1573" s="7"/>
      <c r="I1573" s="13" t="str">
        <f aca="false">IF(OR($G1573="",$H1573=""),"",ROUND($G1573*$H1573,0))</f>
        <v/>
      </c>
      <c r="J1573" s="8"/>
      <c r="K1573" s="13" t="str">
        <f aca="false">IF($B1573="","",SUMIFS($I$3:$I$2002,$B$3:$B$2002,$B1573))</f>
        <v/>
      </c>
      <c r="L1573" s="13" t="str">
        <f aca="false">IF($B1573="","",IF(COUNTIFS($B$3:$B1573,$B1573)&gt;1,0,IFERROR(LOOKUP($K1573,배송비규정!$A$3:$A$32,배송비규정!$B$3:$B$32),0)+IFERROR(INDEX(지역추가비!$B$3:$B$42,MATCH($J1573,지역추가비!$A$3:$A$42,0)),0)))</f>
        <v/>
      </c>
      <c r="M1573" s="13" t="str">
        <f aca="false">IF($B1573="","",IF(COUNTIFS($B$3:$B1573,$B1573)&gt;1,"",$K1573+$L1573))</f>
        <v/>
      </c>
      <c r="N1573" s="14" t="str">
        <f aca="false">IF($B1573="","",COUNTIFS($B$3:$B1573,$B1573))</f>
        <v/>
      </c>
      <c r="O1573" s="14" t="str">
        <f aca="false">IF($B1573="","",$B1573&amp;"|"&amp;$N1573)</f>
        <v/>
      </c>
    </row>
    <row r="1574" customFormat="false" ht="15" hidden="false" customHeight="false" outlineLevel="0" collapsed="false">
      <c r="A1574" s="12"/>
      <c r="B1574" s="9"/>
      <c r="C1574" s="9"/>
      <c r="D1574" s="9"/>
      <c r="E1574" s="9"/>
      <c r="F1574" s="9"/>
      <c r="G1574" s="9"/>
      <c r="H1574" s="7"/>
      <c r="I1574" s="13" t="str">
        <f aca="false">IF(OR($G1574="",$H1574=""),"",ROUND($G1574*$H1574,0))</f>
        <v/>
      </c>
      <c r="J1574" s="8"/>
      <c r="K1574" s="13" t="str">
        <f aca="false">IF($B1574="","",SUMIFS($I$3:$I$2002,$B$3:$B$2002,$B1574))</f>
        <v/>
      </c>
      <c r="L1574" s="13" t="str">
        <f aca="false">IF($B1574="","",IF(COUNTIFS($B$3:$B1574,$B1574)&gt;1,0,IFERROR(LOOKUP($K1574,배송비규정!$A$3:$A$32,배송비규정!$B$3:$B$32),0)+IFERROR(INDEX(지역추가비!$B$3:$B$42,MATCH($J1574,지역추가비!$A$3:$A$42,0)),0)))</f>
        <v/>
      </c>
      <c r="M1574" s="13" t="str">
        <f aca="false">IF($B1574="","",IF(COUNTIFS($B$3:$B1574,$B1574)&gt;1,"",$K1574+$L1574))</f>
        <v/>
      </c>
      <c r="N1574" s="14" t="str">
        <f aca="false">IF($B1574="","",COUNTIFS($B$3:$B1574,$B1574))</f>
        <v/>
      </c>
      <c r="O1574" s="14" t="str">
        <f aca="false">IF($B1574="","",$B1574&amp;"|"&amp;$N1574)</f>
        <v/>
      </c>
    </row>
    <row r="1575" customFormat="false" ht="15" hidden="false" customHeight="false" outlineLevel="0" collapsed="false">
      <c r="A1575" s="12"/>
      <c r="B1575" s="9"/>
      <c r="C1575" s="9"/>
      <c r="D1575" s="9"/>
      <c r="E1575" s="9"/>
      <c r="F1575" s="9"/>
      <c r="G1575" s="9"/>
      <c r="H1575" s="7"/>
      <c r="I1575" s="13" t="str">
        <f aca="false">IF(OR($G1575="",$H1575=""),"",ROUND($G1575*$H1575,0))</f>
        <v/>
      </c>
      <c r="J1575" s="8"/>
      <c r="K1575" s="13" t="str">
        <f aca="false">IF($B1575="","",SUMIFS($I$3:$I$2002,$B$3:$B$2002,$B1575))</f>
        <v/>
      </c>
      <c r="L1575" s="13" t="str">
        <f aca="false">IF($B1575="","",IF(COUNTIFS($B$3:$B1575,$B1575)&gt;1,0,IFERROR(LOOKUP($K1575,배송비규정!$A$3:$A$32,배송비규정!$B$3:$B$32),0)+IFERROR(INDEX(지역추가비!$B$3:$B$42,MATCH($J1575,지역추가비!$A$3:$A$42,0)),0)))</f>
        <v/>
      </c>
      <c r="M1575" s="13" t="str">
        <f aca="false">IF($B1575="","",IF(COUNTIFS($B$3:$B1575,$B1575)&gt;1,"",$K1575+$L1575))</f>
        <v/>
      </c>
      <c r="N1575" s="14" t="str">
        <f aca="false">IF($B1575="","",COUNTIFS($B$3:$B1575,$B1575))</f>
        <v/>
      </c>
      <c r="O1575" s="14" t="str">
        <f aca="false">IF($B1575="","",$B1575&amp;"|"&amp;$N1575)</f>
        <v/>
      </c>
    </row>
    <row r="1576" customFormat="false" ht="15" hidden="false" customHeight="false" outlineLevel="0" collapsed="false">
      <c r="A1576" s="12"/>
      <c r="B1576" s="9"/>
      <c r="C1576" s="9"/>
      <c r="D1576" s="9"/>
      <c r="E1576" s="9"/>
      <c r="F1576" s="9"/>
      <c r="G1576" s="9"/>
      <c r="H1576" s="7"/>
      <c r="I1576" s="13" t="str">
        <f aca="false">IF(OR($G1576="",$H1576=""),"",ROUND($G1576*$H1576,0))</f>
        <v/>
      </c>
      <c r="J1576" s="8"/>
      <c r="K1576" s="13" t="str">
        <f aca="false">IF($B1576="","",SUMIFS($I$3:$I$2002,$B$3:$B$2002,$B1576))</f>
        <v/>
      </c>
      <c r="L1576" s="13" t="str">
        <f aca="false">IF($B1576="","",IF(COUNTIFS($B$3:$B1576,$B1576)&gt;1,0,IFERROR(LOOKUP($K1576,배송비규정!$A$3:$A$32,배송비규정!$B$3:$B$32),0)+IFERROR(INDEX(지역추가비!$B$3:$B$42,MATCH($J1576,지역추가비!$A$3:$A$42,0)),0)))</f>
        <v/>
      </c>
      <c r="M1576" s="13" t="str">
        <f aca="false">IF($B1576="","",IF(COUNTIFS($B$3:$B1576,$B1576)&gt;1,"",$K1576+$L1576))</f>
        <v/>
      </c>
      <c r="N1576" s="14" t="str">
        <f aca="false">IF($B1576="","",COUNTIFS($B$3:$B1576,$B1576))</f>
        <v/>
      </c>
      <c r="O1576" s="14" t="str">
        <f aca="false">IF($B1576="","",$B1576&amp;"|"&amp;$N1576)</f>
        <v/>
      </c>
    </row>
    <row r="1577" customFormat="false" ht="15" hidden="false" customHeight="false" outlineLevel="0" collapsed="false">
      <c r="A1577" s="12"/>
      <c r="B1577" s="9"/>
      <c r="C1577" s="9"/>
      <c r="D1577" s="9"/>
      <c r="E1577" s="9"/>
      <c r="F1577" s="9"/>
      <c r="G1577" s="9"/>
      <c r="H1577" s="7"/>
      <c r="I1577" s="13" t="str">
        <f aca="false">IF(OR($G1577="",$H1577=""),"",ROUND($G1577*$H1577,0))</f>
        <v/>
      </c>
      <c r="J1577" s="8"/>
      <c r="K1577" s="13" t="str">
        <f aca="false">IF($B1577="","",SUMIFS($I$3:$I$2002,$B$3:$B$2002,$B1577))</f>
        <v/>
      </c>
      <c r="L1577" s="13" t="str">
        <f aca="false">IF($B1577="","",IF(COUNTIFS($B$3:$B1577,$B1577)&gt;1,0,IFERROR(LOOKUP($K1577,배송비규정!$A$3:$A$32,배송비규정!$B$3:$B$32),0)+IFERROR(INDEX(지역추가비!$B$3:$B$42,MATCH($J1577,지역추가비!$A$3:$A$42,0)),0)))</f>
        <v/>
      </c>
      <c r="M1577" s="13" t="str">
        <f aca="false">IF($B1577="","",IF(COUNTIFS($B$3:$B1577,$B1577)&gt;1,"",$K1577+$L1577))</f>
        <v/>
      </c>
      <c r="N1577" s="14" t="str">
        <f aca="false">IF($B1577="","",COUNTIFS($B$3:$B1577,$B1577))</f>
        <v/>
      </c>
      <c r="O1577" s="14" t="str">
        <f aca="false">IF($B1577="","",$B1577&amp;"|"&amp;$N1577)</f>
        <v/>
      </c>
    </row>
    <row r="1578" customFormat="false" ht="15" hidden="false" customHeight="false" outlineLevel="0" collapsed="false">
      <c r="A1578" s="12"/>
      <c r="B1578" s="9"/>
      <c r="C1578" s="9"/>
      <c r="D1578" s="9"/>
      <c r="E1578" s="9"/>
      <c r="F1578" s="9"/>
      <c r="G1578" s="9"/>
      <c r="H1578" s="7"/>
      <c r="I1578" s="13" t="str">
        <f aca="false">IF(OR($G1578="",$H1578=""),"",ROUND($G1578*$H1578,0))</f>
        <v/>
      </c>
      <c r="J1578" s="8"/>
      <c r="K1578" s="13" t="str">
        <f aca="false">IF($B1578="","",SUMIFS($I$3:$I$2002,$B$3:$B$2002,$B1578))</f>
        <v/>
      </c>
      <c r="L1578" s="13" t="str">
        <f aca="false">IF($B1578="","",IF(COUNTIFS($B$3:$B1578,$B1578)&gt;1,0,IFERROR(LOOKUP($K1578,배송비규정!$A$3:$A$32,배송비규정!$B$3:$B$32),0)+IFERROR(INDEX(지역추가비!$B$3:$B$42,MATCH($J1578,지역추가비!$A$3:$A$42,0)),0)))</f>
        <v/>
      </c>
      <c r="M1578" s="13" t="str">
        <f aca="false">IF($B1578="","",IF(COUNTIFS($B$3:$B1578,$B1578)&gt;1,"",$K1578+$L1578))</f>
        <v/>
      </c>
      <c r="N1578" s="14" t="str">
        <f aca="false">IF($B1578="","",COUNTIFS($B$3:$B1578,$B1578))</f>
        <v/>
      </c>
      <c r="O1578" s="14" t="str">
        <f aca="false">IF($B1578="","",$B1578&amp;"|"&amp;$N1578)</f>
        <v/>
      </c>
    </row>
    <row r="1579" customFormat="false" ht="15" hidden="false" customHeight="false" outlineLevel="0" collapsed="false">
      <c r="A1579" s="12"/>
      <c r="B1579" s="9"/>
      <c r="C1579" s="9"/>
      <c r="D1579" s="9"/>
      <c r="E1579" s="9"/>
      <c r="F1579" s="9"/>
      <c r="G1579" s="9"/>
      <c r="H1579" s="7"/>
      <c r="I1579" s="13" t="str">
        <f aca="false">IF(OR($G1579="",$H1579=""),"",ROUND($G1579*$H1579,0))</f>
        <v/>
      </c>
      <c r="J1579" s="8"/>
      <c r="K1579" s="13" t="str">
        <f aca="false">IF($B1579="","",SUMIFS($I$3:$I$2002,$B$3:$B$2002,$B1579))</f>
        <v/>
      </c>
      <c r="L1579" s="13" t="str">
        <f aca="false">IF($B1579="","",IF(COUNTIFS($B$3:$B1579,$B1579)&gt;1,0,IFERROR(LOOKUP($K1579,배송비규정!$A$3:$A$32,배송비규정!$B$3:$B$32),0)+IFERROR(INDEX(지역추가비!$B$3:$B$42,MATCH($J1579,지역추가비!$A$3:$A$42,0)),0)))</f>
        <v/>
      </c>
      <c r="M1579" s="13" t="str">
        <f aca="false">IF($B1579="","",IF(COUNTIFS($B$3:$B1579,$B1579)&gt;1,"",$K1579+$L1579))</f>
        <v/>
      </c>
      <c r="N1579" s="14" t="str">
        <f aca="false">IF($B1579="","",COUNTIFS($B$3:$B1579,$B1579))</f>
        <v/>
      </c>
      <c r="O1579" s="14" t="str">
        <f aca="false">IF($B1579="","",$B1579&amp;"|"&amp;$N1579)</f>
        <v/>
      </c>
    </row>
    <row r="1580" customFormat="false" ht="15" hidden="false" customHeight="false" outlineLevel="0" collapsed="false">
      <c r="A1580" s="12"/>
      <c r="B1580" s="9"/>
      <c r="C1580" s="9"/>
      <c r="D1580" s="9"/>
      <c r="E1580" s="9"/>
      <c r="F1580" s="9"/>
      <c r="G1580" s="9"/>
      <c r="H1580" s="7"/>
      <c r="I1580" s="13" t="str">
        <f aca="false">IF(OR($G1580="",$H1580=""),"",ROUND($G1580*$H1580,0))</f>
        <v/>
      </c>
      <c r="J1580" s="8"/>
      <c r="K1580" s="13" t="str">
        <f aca="false">IF($B1580="","",SUMIFS($I$3:$I$2002,$B$3:$B$2002,$B1580))</f>
        <v/>
      </c>
      <c r="L1580" s="13" t="str">
        <f aca="false">IF($B1580="","",IF(COUNTIFS($B$3:$B1580,$B1580)&gt;1,0,IFERROR(LOOKUP($K1580,배송비규정!$A$3:$A$32,배송비규정!$B$3:$B$32),0)+IFERROR(INDEX(지역추가비!$B$3:$B$42,MATCH($J1580,지역추가비!$A$3:$A$42,0)),0)))</f>
        <v/>
      </c>
      <c r="M1580" s="13" t="str">
        <f aca="false">IF($B1580="","",IF(COUNTIFS($B$3:$B1580,$B1580)&gt;1,"",$K1580+$L1580))</f>
        <v/>
      </c>
      <c r="N1580" s="14" t="str">
        <f aca="false">IF($B1580="","",COUNTIFS($B$3:$B1580,$B1580))</f>
        <v/>
      </c>
      <c r="O1580" s="14" t="str">
        <f aca="false">IF($B1580="","",$B1580&amp;"|"&amp;$N1580)</f>
        <v/>
      </c>
    </row>
    <row r="1581" customFormat="false" ht="15" hidden="false" customHeight="false" outlineLevel="0" collapsed="false">
      <c r="A1581" s="12"/>
      <c r="B1581" s="9"/>
      <c r="C1581" s="9"/>
      <c r="D1581" s="9"/>
      <c r="E1581" s="9"/>
      <c r="F1581" s="9"/>
      <c r="G1581" s="9"/>
      <c r="H1581" s="7"/>
      <c r="I1581" s="13" t="str">
        <f aca="false">IF(OR($G1581="",$H1581=""),"",ROUND($G1581*$H1581,0))</f>
        <v/>
      </c>
      <c r="J1581" s="8"/>
      <c r="K1581" s="13" t="str">
        <f aca="false">IF($B1581="","",SUMIFS($I$3:$I$2002,$B$3:$B$2002,$B1581))</f>
        <v/>
      </c>
      <c r="L1581" s="13" t="str">
        <f aca="false">IF($B1581="","",IF(COUNTIFS($B$3:$B1581,$B1581)&gt;1,0,IFERROR(LOOKUP($K1581,배송비규정!$A$3:$A$32,배송비규정!$B$3:$B$32),0)+IFERROR(INDEX(지역추가비!$B$3:$B$42,MATCH($J1581,지역추가비!$A$3:$A$42,0)),0)))</f>
        <v/>
      </c>
      <c r="M1581" s="13" t="str">
        <f aca="false">IF($B1581="","",IF(COUNTIFS($B$3:$B1581,$B1581)&gt;1,"",$K1581+$L1581))</f>
        <v/>
      </c>
      <c r="N1581" s="14" t="str">
        <f aca="false">IF($B1581="","",COUNTIFS($B$3:$B1581,$B1581))</f>
        <v/>
      </c>
      <c r="O1581" s="14" t="str">
        <f aca="false">IF($B1581="","",$B1581&amp;"|"&amp;$N1581)</f>
        <v/>
      </c>
    </row>
    <row r="1582" customFormat="false" ht="15" hidden="false" customHeight="false" outlineLevel="0" collapsed="false">
      <c r="A1582" s="12"/>
      <c r="B1582" s="9"/>
      <c r="C1582" s="9"/>
      <c r="D1582" s="9"/>
      <c r="E1582" s="9"/>
      <c r="F1582" s="9"/>
      <c r="G1582" s="9"/>
      <c r="H1582" s="7"/>
      <c r="I1582" s="13" t="str">
        <f aca="false">IF(OR($G1582="",$H1582=""),"",ROUND($G1582*$H1582,0))</f>
        <v/>
      </c>
      <c r="J1582" s="8"/>
      <c r="K1582" s="13" t="str">
        <f aca="false">IF($B1582="","",SUMIFS($I$3:$I$2002,$B$3:$B$2002,$B1582))</f>
        <v/>
      </c>
      <c r="L1582" s="13" t="str">
        <f aca="false">IF($B1582="","",IF(COUNTIFS($B$3:$B1582,$B1582)&gt;1,0,IFERROR(LOOKUP($K1582,배송비규정!$A$3:$A$32,배송비규정!$B$3:$B$32),0)+IFERROR(INDEX(지역추가비!$B$3:$B$42,MATCH($J1582,지역추가비!$A$3:$A$42,0)),0)))</f>
        <v/>
      </c>
      <c r="M1582" s="13" t="str">
        <f aca="false">IF($B1582="","",IF(COUNTIFS($B$3:$B1582,$B1582)&gt;1,"",$K1582+$L1582))</f>
        <v/>
      </c>
      <c r="N1582" s="14" t="str">
        <f aca="false">IF($B1582="","",COUNTIFS($B$3:$B1582,$B1582))</f>
        <v/>
      </c>
      <c r="O1582" s="14" t="str">
        <f aca="false">IF($B1582="","",$B1582&amp;"|"&amp;$N1582)</f>
        <v/>
      </c>
    </row>
    <row r="1583" customFormat="false" ht="15" hidden="false" customHeight="false" outlineLevel="0" collapsed="false">
      <c r="A1583" s="12"/>
      <c r="B1583" s="9"/>
      <c r="C1583" s="9"/>
      <c r="D1583" s="9"/>
      <c r="E1583" s="9"/>
      <c r="F1583" s="9"/>
      <c r="G1583" s="9"/>
      <c r="H1583" s="7"/>
      <c r="I1583" s="13" t="str">
        <f aca="false">IF(OR($G1583="",$H1583=""),"",ROUND($G1583*$H1583,0))</f>
        <v/>
      </c>
      <c r="J1583" s="8"/>
      <c r="K1583" s="13" t="str">
        <f aca="false">IF($B1583="","",SUMIFS($I$3:$I$2002,$B$3:$B$2002,$B1583))</f>
        <v/>
      </c>
      <c r="L1583" s="13" t="str">
        <f aca="false">IF($B1583="","",IF(COUNTIFS($B$3:$B1583,$B1583)&gt;1,0,IFERROR(LOOKUP($K1583,배송비규정!$A$3:$A$32,배송비규정!$B$3:$B$32),0)+IFERROR(INDEX(지역추가비!$B$3:$B$42,MATCH($J1583,지역추가비!$A$3:$A$42,0)),0)))</f>
        <v/>
      </c>
      <c r="M1583" s="13" t="str">
        <f aca="false">IF($B1583="","",IF(COUNTIFS($B$3:$B1583,$B1583)&gt;1,"",$K1583+$L1583))</f>
        <v/>
      </c>
      <c r="N1583" s="14" t="str">
        <f aca="false">IF($B1583="","",COUNTIFS($B$3:$B1583,$B1583))</f>
        <v/>
      </c>
      <c r="O1583" s="14" t="str">
        <f aca="false">IF($B1583="","",$B1583&amp;"|"&amp;$N1583)</f>
        <v/>
      </c>
    </row>
    <row r="1584" customFormat="false" ht="15" hidden="false" customHeight="false" outlineLevel="0" collapsed="false">
      <c r="A1584" s="12"/>
      <c r="B1584" s="9"/>
      <c r="C1584" s="9"/>
      <c r="D1584" s="9"/>
      <c r="E1584" s="9"/>
      <c r="F1584" s="9"/>
      <c r="G1584" s="9"/>
      <c r="H1584" s="7"/>
      <c r="I1584" s="13" t="str">
        <f aca="false">IF(OR($G1584="",$H1584=""),"",ROUND($G1584*$H1584,0))</f>
        <v/>
      </c>
      <c r="J1584" s="8"/>
      <c r="K1584" s="13" t="str">
        <f aca="false">IF($B1584="","",SUMIFS($I$3:$I$2002,$B$3:$B$2002,$B1584))</f>
        <v/>
      </c>
      <c r="L1584" s="13" t="str">
        <f aca="false">IF($B1584="","",IF(COUNTIFS($B$3:$B1584,$B1584)&gt;1,0,IFERROR(LOOKUP($K1584,배송비규정!$A$3:$A$32,배송비규정!$B$3:$B$32),0)+IFERROR(INDEX(지역추가비!$B$3:$B$42,MATCH($J1584,지역추가비!$A$3:$A$42,0)),0)))</f>
        <v/>
      </c>
      <c r="M1584" s="13" t="str">
        <f aca="false">IF($B1584="","",IF(COUNTIFS($B$3:$B1584,$B1584)&gt;1,"",$K1584+$L1584))</f>
        <v/>
      </c>
      <c r="N1584" s="14" t="str">
        <f aca="false">IF($B1584="","",COUNTIFS($B$3:$B1584,$B1584))</f>
        <v/>
      </c>
      <c r="O1584" s="14" t="str">
        <f aca="false">IF($B1584="","",$B1584&amp;"|"&amp;$N1584)</f>
        <v/>
      </c>
    </row>
    <row r="1585" customFormat="false" ht="15" hidden="false" customHeight="false" outlineLevel="0" collapsed="false">
      <c r="A1585" s="12"/>
      <c r="B1585" s="9"/>
      <c r="C1585" s="9"/>
      <c r="D1585" s="9"/>
      <c r="E1585" s="9"/>
      <c r="F1585" s="9"/>
      <c r="G1585" s="9"/>
      <c r="H1585" s="7"/>
      <c r="I1585" s="13" t="str">
        <f aca="false">IF(OR($G1585="",$H1585=""),"",ROUND($G1585*$H1585,0))</f>
        <v/>
      </c>
      <c r="J1585" s="8"/>
      <c r="K1585" s="13" t="str">
        <f aca="false">IF($B1585="","",SUMIFS($I$3:$I$2002,$B$3:$B$2002,$B1585))</f>
        <v/>
      </c>
      <c r="L1585" s="13" t="str">
        <f aca="false">IF($B1585="","",IF(COUNTIFS($B$3:$B1585,$B1585)&gt;1,0,IFERROR(LOOKUP($K1585,배송비규정!$A$3:$A$32,배송비규정!$B$3:$B$32),0)+IFERROR(INDEX(지역추가비!$B$3:$B$42,MATCH($J1585,지역추가비!$A$3:$A$42,0)),0)))</f>
        <v/>
      </c>
      <c r="M1585" s="13" t="str">
        <f aca="false">IF($B1585="","",IF(COUNTIFS($B$3:$B1585,$B1585)&gt;1,"",$K1585+$L1585))</f>
        <v/>
      </c>
      <c r="N1585" s="14" t="str">
        <f aca="false">IF($B1585="","",COUNTIFS($B$3:$B1585,$B1585))</f>
        <v/>
      </c>
      <c r="O1585" s="14" t="str">
        <f aca="false">IF($B1585="","",$B1585&amp;"|"&amp;$N1585)</f>
        <v/>
      </c>
    </row>
    <row r="1586" customFormat="false" ht="15" hidden="false" customHeight="false" outlineLevel="0" collapsed="false">
      <c r="A1586" s="12"/>
      <c r="B1586" s="9"/>
      <c r="C1586" s="9"/>
      <c r="D1586" s="9"/>
      <c r="E1586" s="9"/>
      <c r="F1586" s="9"/>
      <c r="G1586" s="9"/>
      <c r="H1586" s="7"/>
      <c r="I1586" s="13" t="str">
        <f aca="false">IF(OR($G1586="",$H1586=""),"",ROUND($G1586*$H1586,0))</f>
        <v/>
      </c>
      <c r="J1586" s="8"/>
      <c r="K1586" s="13" t="str">
        <f aca="false">IF($B1586="","",SUMIFS($I$3:$I$2002,$B$3:$B$2002,$B1586))</f>
        <v/>
      </c>
      <c r="L1586" s="13" t="str">
        <f aca="false">IF($B1586="","",IF(COUNTIFS($B$3:$B1586,$B1586)&gt;1,0,IFERROR(LOOKUP($K1586,배송비규정!$A$3:$A$32,배송비규정!$B$3:$B$32),0)+IFERROR(INDEX(지역추가비!$B$3:$B$42,MATCH($J1586,지역추가비!$A$3:$A$42,0)),0)))</f>
        <v/>
      </c>
      <c r="M1586" s="13" t="str">
        <f aca="false">IF($B1586="","",IF(COUNTIFS($B$3:$B1586,$B1586)&gt;1,"",$K1586+$L1586))</f>
        <v/>
      </c>
      <c r="N1586" s="14" t="str">
        <f aca="false">IF($B1586="","",COUNTIFS($B$3:$B1586,$B1586))</f>
        <v/>
      </c>
      <c r="O1586" s="14" t="str">
        <f aca="false">IF($B1586="","",$B1586&amp;"|"&amp;$N1586)</f>
        <v/>
      </c>
    </row>
    <row r="1587" customFormat="false" ht="15" hidden="false" customHeight="false" outlineLevel="0" collapsed="false">
      <c r="A1587" s="12"/>
      <c r="B1587" s="9"/>
      <c r="C1587" s="9"/>
      <c r="D1587" s="9"/>
      <c r="E1587" s="9"/>
      <c r="F1587" s="9"/>
      <c r="G1587" s="9"/>
      <c r="H1587" s="7"/>
      <c r="I1587" s="13" t="str">
        <f aca="false">IF(OR($G1587="",$H1587=""),"",ROUND($G1587*$H1587,0))</f>
        <v/>
      </c>
      <c r="J1587" s="8"/>
      <c r="K1587" s="13" t="str">
        <f aca="false">IF($B1587="","",SUMIFS($I$3:$I$2002,$B$3:$B$2002,$B1587))</f>
        <v/>
      </c>
      <c r="L1587" s="13" t="str">
        <f aca="false">IF($B1587="","",IF(COUNTIFS($B$3:$B1587,$B1587)&gt;1,0,IFERROR(LOOKUP($K1587,배송비규정!$A$3:$A$32,배송비규정!$B$3:$B$32),0)+IFERROR(INDEX(지역추가비!$B$3:$B$42,MATCH($J1587,지역추가비!$A$3:$A$42,0)),0)))</f>
        <v/>
      </c>
      <c r="M1587" s="13" t="str">
        <f aca="false">IF($B1587="","",IF(COUNTIFS($B$3:$B1587,$B1587)&gt;1,"",$K1587+$L1587))</f>
        <v/>
      </c>
      <c r="N1587" s="14" t="str">
        <f aca="false">IF($B1587="","",COUNTIFS($B$3:$B1587,$B1587))</f>
        <v/>
      </c>
      <c r="O1587" s="14" t="str">
        <f aca="false">IF($B1587="","",$B1587&amp;"|"&amp;$N1587)</f>
        <v/>
      </c>
    </row>
    <row r="1588" customFormat="false" ht="15" hidden="false" customHeight="false" outlineLevel="0" collapsed="false">
      <c r="A1588" s="12"/>
      <c r="B1588" s="9"/>
      <c r="C1588" s="9"/>
      <c r="D1588" s="9"/>
      <c r="E1588" s="9"/>
      <c r="F1588" s="9"/>
      <c r="G1588" s="9"/>
      <c r="H1588" s="7"/>
      <c r="I1588" s="13" t="str">
        <f aca="false">IF(OR($G1588="",$H1588=""),"",ROUND($G1588*$H1588,0))</f>
        <v/>
      </c>
      <c r="J1588" s="8"/>
      <c r="K1588" s="13" t="str">
        <f aca="false">IF($B1588="","",SUMIFS($I$3:$I$2002,$B$3:$B$2002,$B1588))</f>
        <v/>
      </c>
      <c r="L1588" s="13" t="str">
        <f aca="false">IF($B1588="","",IF(COUNTIFS($B$3:$B1588,$B1588)&gt;1,0,IFERROR(LOOKUP($K1588,배송비규정!$A$3:$A$32,배송비규정!$B$3:$B$32),0)+IFERROR(INDEX(지역추가비!$B$3:$B$42,MATCH($J1588,지역추가비!$A$3:$A$42,0)),0)))</f>
        <v/>
      </c>
      <c r="M1588" s="13" t="str">
        <f aca="false">IF($B1588="","",IF(COUNTIFS($B$3:$B1588,$B1588)&gt;1,"",$K1588+$L1588))</f>
        <v/>
      </c>
      <c r="N1588" s="14" t="str">
        <f aca="false">IF($B1588="","",COUNTIFS($B$3:$B1588,$B1588))</f>
        <v/>
      </c>
      <c r="O1588" s="14" t="str">
        <f aca="false">IF($B1588="","",$B1588&amp;"|"&amp;$N1588)</f>
        <v/>
      </c>
    </row>
    <row r="1589" customFormat="false" ht="15" hidden="false" customHeight="false" outlineLevel="0" collapsed="false">
      <c r="A1589" s="12"/>
      <c r="B1589" s="9"/>
      <c r="C1589" s="9"/>
      <c r="D1589" s="9"/>
      <c r="E1589" s="9"/>
      <c r="F1589" s="9"/>
      <c r="G1589" s="9"/>
      <c r="H1589" s="7"/>
      <c r="I1589" s="13" t="str">
        <f aca="false">IF(OR($G1589="",$H1589=""),"",ROUND($G1589*$H1589,0))</f>
        <v/>
      </c>
      <c r="J1589" s="8"/>
      <c r="K1589" s="13" t="str">
        <f aca="false">IF($B1589="","",SUMIFS($I$3:$I$2002,$B$3:$B$2002,$B1589))</f>
        <v/>
      </c>
      <c r="L1589" s="13" t="str">
        <f aca="false">IF($B1589="","",IF(COUNTIFS($B$3:$B1589,$B1589)&gt;1,0,IFERROR(LOOKUP($K1589,배송비규정!$A$3:$A$32,배송비규정!$B$3:$B$32),0)+IFERROR(INDEX(지역추가비!$B$3:$B$42,MATCH($J1589,지역추가비!$A$3:$A$42,0)),0)))</f>
        <v/>
      </c>
      <c r="M1589" s="13" t="str">
        <f aca="false">IF($B1589="","",IF(COUNTIFS($B$3:$B1589,$B1589)&gt;1,"",$K1589+$L1589))</f>
        <v/>
      </c>
      <c r="N1589" s="14" t="str">
        <f aca="false">IF($B1589="","",COUNTIFS($B$3:$B1589,$B1589))</f>
        <v/>
      </c>
      <c r="O1589" s="14" t="str">
        <f aca="false">IF($B1589="","",$B1589&amp;"|"&amp;$N1589)</f>
        <v/>
      </c>
    </row>
    <row r="1590" customFormat="false" ht="15" hidden="false" customHeight="false" outlineLevel="0" collapsed="false">
      <c r="A1590" s="12"/>
      <c r="B1590" s="9"/>
      <c r="C1590" s="9"/>
      <c r="D1590" s="9"/>
      <c r="E1590" s="9"/>
      <c r="F1590" s="9"/>
      <c r="G1590" s="9"/>
      <c r="H1590" s="7"/>
      <c r="I1590" s="13" t="str">
        <f aca="false">IF(OR($G1590="",$H1590=""),"",ROUND($G1590*$H1590,0))</f>
        <v/>
      </c>
      <c r="J1590" s="8"/>
      <c r="K1590" s="13" t="str">
        <f aca="false">IF($B1590="","",SUMIFS($I$3:$I$2002,$B$3:$B$2002,$B1590))</f>
        <v/>
      </c>
      <c r="L1590" s="13" t="str">
        <f aca="false">IF($B1590="","",IF(COUNTIFS($B$3:$B1590,$B1590)&gt;1,0,IFERROR(LOOKUP($K1590,배송비규정!$A$3:$A$32,배송비규정!$B$3:$B$32),0)+IFERROR(INDEX(지역추가비!$B$3:$B$42,MATCH($J1590,지역추가비!$A$3:$A$42,0)),0)))</f>
        <v/>
      </c>
      <c r="M1590" s="13" t="str">
        <f aca="false">IF($B1590="","",IF(COUNTIFS($B$3:$B1590,$B1590)&gt;1,"",$K1590+$L1590))</f>
        <v/>
      </c>
      <c r="N1590" s="14" t="str">
        <f aca="false">IF($B1590="","",COUNTIFS($B$3:$B1590,$B1590))</f>
        <v/>
      </c>
      <c r="O1590" s="14" t="str">
        <f aca="false">IF($B1590="","",$B1590&amp;"|"&amp;$N1590)</f>
        <v/>
      </c>
    </row>
    <row r="1591" customFormat="false" ht="15" hidden="false" customHeight="false" outlineLevel="0" collapsed="false">
      <c r="A1591" s="12"/>
      <c r="B1591" s="9"/>
      <c r="C1591" s="9"/>
      <c r="D1591" s="9"/>
      <c r="E1591" s="9"/>
      <c r="F1591" s="9"/>
      <c r="G1591" s="9"/>
      <c r="H1591" s="7"/>
      <c r="I1591" s="13" t="str">
        <f aca="false">IF(OR($G1591="",$H1591=""),"",ROUND($G1591*$H1591,0))</f>
        <v/>
      </c>
      <c r="J1591" s="8"/>
      <c r="K1591" s="13" t="str">
        <f aca="false">IF($B1591="","",SUMIFS($I$3:$I$2002,$B$3:$B$2002,$B1591))</f>
        <v/>
      </c>
      <c r="L1591" s="13" t="str">
        <f aca="false">IF($B1591="","",IF(COUNTIFS($B$3:$B1591,$B1591)&gt;1,0,IFERROR(LOOKUP($K1591,배송비규정!$A$3:$A$32,배송비규정!$B$3:$B$32),0)+IFERROR(INDEX(지역추가비!$B$3:$B$42,MATCH($J1591,지역추가비!$A$3:$A$42,0)),0)))</f>
        <v/>
      </c>
      <c r="M1591" s="13" t="str">
        <f aca="false">IF($B1591="","",IF(COUNTIFS($B$3:$B1591,$B1591)&gt;1,"",$K1591+$L1591))</f>
        <v/>
      </c>
      <c r="N1591" s="14" t="str">
        <f aca="false">IF($B1591="","",COUNTIFS($B$3:$B1591,$B1591))</f>
        <v/>
      </c>
      <c r="O1591" s="14" t="str">
        <f aca="false">IF($B1591="","",$B1591&amp;"|"&amp;$N1591)</f>
        <v/>
      </c>
    </row>
    <row r="1592" customFormat="false" ht="15" hidden="false" customHeight="false" outlineLevel="0" collapsed="false">
      <c r="A1592" s="12"/>
      <c r="B1592" s="9"/>
      <c r="C1592" s="9"/>
      <c r="D1592" s="9"/>
      <c r="E1592" s="9"/>
      <c r="F1592" s="9"/>
      <c r="G1592" s="9"/>
      <c r="H1592" s="7"/>
      <c r="I1592" s="13" t="str">
        <f aca="false">IF(OR($G1592="",$H1592=""),"",ROUND($G1592*$H1592,0))</f>
        <v/>
      </c>
      <c r="J1592" s="8"/>
      <c r="K1592" s="13" t="str">
        <f aca="false">IF($B1592="","",SUMIFS($I$3:$I$2002,$B$3:$B$2002,$B1592))</f>
        <v/>
      </c>
      <c r="L1592" s="13" t="str">
        <f aca="false">IF($B1592="","",IF(COUNTIFS($B$3:$B1592,$B1592)&gt;1,0,IFERROR(LOOKUP($K1592,배송비규정!$A$3:$A$32,배송비규정!$B$3:$B$32),0)+IFERROR(INDEX(지역추가비!$B$3:$B$42,MATCH($J1592,지역추가비!$A$3:$A$42,0)),0)))</f>
        <v/>
      </c>
      <c r="M1592" s="13" t="str">
        <f aca="false">IF($B1592="","",IF(COUNTIFS($B$3:$B1592,$B1592)&gt;1,"",$K1592+$L1592))</f>
        <v/>
      </c>
      <c r="N1592" s="14" t="str">
        <f aca="false">IF($B1592="","",COUNTIFS($B$3:$B1592,$B1592))</f>
        <v/>
      </c>
      <c r="O1592" s="14" t="str">
        <f aca="false">IF($B1592="","",$B1592&amp;"|"&amp;$N1592)</f>
        <v/>
      </c>
    </row>
    <row r="1593" customFormat="false" ht="15" hidden="false" customHeight="false" outlineLevel="0" collapsed="false">
      <c r="A1593" s="12"/>
      <c r="B1593" s="9"/>
      <c r="C1593" s="9"/>
      <c r="D1593" s="9"/>
      <c r="E1593" s="9"/>
      <c r="F1593" s="9"/>
      <c r="G1593" s="9"/>
      <c r="H1593" s="7"/>
      <c r="I1593" s="13" t="str">
        <f aca="false">IF(OR($G1593="",$H1593=""),"",ROUND($G1593*$H1593,0))</f>
        <v/>
      </c>
      <c r="J1593" s="8"/>
      <c r="K1593" s="13" t="str">
        <f aca="false">IF($B1593="","",SUMIFS($I$3:$I$2002,$B$3:$B$2002,$B1593))</f>
        <v/>
      </c>
      <c r="L1593" s="13" t="str">
        <f aca="false">IF($B1593="","",IF(COUNTIFS($B$3:$B1593,$B1593)&gt;1,0,IFERROR(LOOKUP($K1593,배송비규정!$A$3:$A$32,배송비규정!$B$3:$B$32),0)+IFERROR(INDEX(지역추가비!$B$3:$B$42,MATCH($J1593,지역추가비!$A$3:$A$42,0)),0)))</f>
        <v/>
      </c>
      <c r="M1593" s="13" t="str">
        <f aca="false">IF($B1593="","",IF(COUNTIFS($B$3:$B1593,$B1593)&gt;1,"",$K1593+$L1593))</f>
        <v/>
      </c>
      <c r="N1593" s="14" t="str">
        <f aca="false">IF($B1593="","",COUNTIFS($B$3:$B1593,$B1593))</f>
        <v/>
      </c>
      <c r="O1593" s="14" t="str">
        <f aca="false">IF($B1593="","",$B1593&amp;"|"&amp;$N1593)</f>
        <v/>
      </c>
    </row>
    <row r="1594" customFormat="false" ht="15" hidden="false" customHeight="false" outlineLevel="0" collapsed="false">
      <c r="A1594" s="12"/>
      <c r="B1594" s="9"/>
      <c r="C1594" s="9"/>
      <c r="D1594" s="9"/>
      <c r="E1594" s="9"/>
      <c r="F1594" s="9"/>
      <c r="G1594" s="9"/>
      <c r="H1594" s="7"/>
      <c r="I1594" s="13" t="str">
        <f aca="false">IF(OR($G1594="",$H1594=""),"",ROUND($G1594*$H1594,0))</f>
        <v/>
      </c>
      <c r="J1594" s="8"/>
      <c r="K1594" s="13" t="str">
        <f aca="false">IF($B1594="","",SUMIFS($I$3:$I$2002,$B$3:$B$2002,$B1594))</f>
        <v/>
      </c>
      <c r="L1594" s="13" t="str">
        <f aca="false">IF($B1594="","",IF(COUNTIFS($B$3:$B1594,$B1594)&gt;1,0,IFERROR(LOOKUP($K1594,배송비규정!$A$3:$A$32,배송비규정!$B$3:$B$32),0)+IFERROR(INDEX(지역추가비!$B$3:$B$42,MATCH($J1594,지역추가비!$A$3:$A$42,0)),0)))</f>
        <v/>
      </c>
      <c r="M1594" s="13" t="str">
        <f aca="false">IF($B1594="","",IF(COUNTIFS($B$3:$B1594,$B1594)&gt;1,"",$K1594+$L1594))</f>
        <v/>
      </c>
      <c r="N1594" s="14" t="str">
        <f aca="false">IF($B1594="","",COUNTIFS($B$3:$B1594,$B1594))</f>
        <v/>
      </c>
      <c r="O1594" s="14" t="str">
        <f aca="false">IF($B1594="","",$B1594&amp;"|"&amp;$N1594)</f>
        <v/>
      </c>
    </row>
    <row r="1595" customFormat="false" ht="15" hidden="false" customHeight="false" outlineLevel="0" collapsed="false">
      <c r="A1595" s="12"/>
      <c r="B1595" s="9"/>
      <c r="C1595" s="9"/>
      <c r="D1595" s="9"/>
      <c r="E1595" s="9"/>
      <c r="F1595" s="9"/>
      <c r="G1595" s="9"/>
      <c r="H1595" s="7"/>
      <c r="I1595" s="13" t="str">
        <f aca="false">IF(OR($G1595="",$H1595=""),"",ROUND($G1595*$H1595,0))</f>
        <v/>
      </c>
      <c r="J1595" s="8"/>
      <c r="K1595" s="13" t="str">
        <f aca="false">IF($B1595="","",SUMIFS($I$3:$I$2002,$B$3:$B$2002,$B1595))</f>
        <v/>
      </c>
      <c r="L1595" s="13" t="str">
        <f aca="false">IF($B1595="","",IF(COUNTIFS($B$3:$B1595,$B1595)&gt;1,0,IFERROR(LOOKUP($K1595,배송비규정!$A$3:$A$32,배송비규정!$B$3:$B$32),0)+IFERROR(INDEX(지역추가비!$B$3:$B$42,MATCH($J1595,지역추가비!$A$3:$A$42,0)),0)))</f>
        <v/>
      </c>
      <c r="M1595" s="13" t="str">
        <f aca="false">IF($B1595="","",IF(COUNTIFS($B$3:$B1595,$B1595)&gt;1,"",$K1595+$L1595))</f>
        <v/>
      </c>
      <c r="N1595" s="14" t="str">
        <f aca="false">IF($B1595="","",COUNTIFS($B$3:$B1595,$B1595))</f>
        <v/>
      </c>
      <c r="O1595" s="14" t="str">
        <f aca="false">IF($B1595="","",$B1595&amp;"|"&amp;$N1595)</f>
        <v/>
      </c>
    </row>
    <row r="1596" customFormat="false" ht="15" hidden="false" customHeight="false" outlineLevel="0" collapsed="false">
      <c r="A1596" s="12"/>
      <c r="B1596" s="9"/>
      <c r="C1596" s="9"/>
      <c r="D1596" s="9"/>
      <c r="E1596" s="9"/>
      <c r="F1596" s="9"/>
      <c r="G1596" s="9"/>
      <c r="H1596" s="7"/>
      <c r="I1596" s="13" t="str">
        <f aca="false">IF(OR($G1596="",$H1596=""),"",ROUND($G1596*$H1596,0))</f>
        <v/>
      </c>
      <c r="J1596" s="8"/>
      <c r="K1596" s="13" t="str">
        <f aca="false">IF($B1596="","",SUMIFS($I$3:$I$2002,$B$3:$B$2002,$B1596))</f>
        <v/>
      </c>
      <c r="L1596" s="13" t="str">
        <f aca="false">IF($B1596="","",IF(COUNTIFS($B$3:$B1596,$B1596)&gt;1,0,IFERROR(LOOKUP($K1596,배송비규정!$A$3:$A$32,배송비규정!$B$3:$B$32),0)+IFERROR(INDEX(지역추가비!$B$3:$B$42,MATCH($J1596,지역추가비!$A$3:$A$42,0)),0)))</f>
        <v/>
      </c>
      <c r="M1596" s="13" t="str">
        <f aca="false">IF($B1596="","",IF(COUNTIFS($B$3:$B1596,$B1596)&gt;1,"",$K1596+$L1596))</f>
        <v/>
      </c>
      <c r="N1596" s="14" t="str">
        <f aca="false">IF($B1596="","",COUNTIFS($B$3:$B1596,$B1596))</f>
        <v/>
      </c>
      <c r="O1596" s="14" t="str">
        <f aca="false">IF($B1596="","",$B1596&amp;"|"&amp;$N1596)</f>
        <v/>
      </c>
    </row>
    <row r="1597" customFormat="false" ht="15" hidden="false" customHeight="false" outlineLevel="0" collapsed="false">
      <c r="A1597" s="12"/>
      <c r="B1597" s="9"/>
      <c r="C1597" s="9"/>
      <c r="D1597" s="9"/>
      <c r="E1597" s="9"/>
      <c r="F1597" s="9"/>
      <c r="G1597" s="9"/>
      <c r="H1597" s="7"/>
      <c r="I1597" s="13" t="str">
        <f aca="false">IF(OR($G1597="",$H1597=""),"",ROUND($G1597*$H1597,0))</f>
        <v/>
      </c>
      <c r="J1597" s="8"/>
      <c r="K1597" s="13" t="str">
        <f aca="false">IF($B1597="","",SUMIFS($I$3:$I$2002,$B$3:$B$2002,$B1597))</f>
        <v/>
      </c>
      <c r="L1597" s="13" t="str">
        <f aca="false">IF($B1597="","",IF(COUNTIFS($B$3:$B1597,$B1597)&gt;1,0,IFERROR(LOOKUP($K1597,배송비규정!$A$3:$A$32,배송비규정!$B$3:$B$32),0)+IFERROR(INDEX(지역추가비!$B$3:$B$42,MATCH($J1597,지역추가비!$A$3:$A$42,0)),0)))</f>
        <v/>
      </c>
      <c r="M1597" s="13" t="str">
        <f aca="false">IF($B1597="","",IF(COUNTIFS($B$3:$B1597,$B1597)&gt;1,"",$K1597+$L1597))</f>
        <v/>
      </c>
      <c r="N1597" s="14" t="str">
        <f aca="false">IF($B1597="","",COUNTIFS($B$3:$B1597,$B1597))</f>
        <v/>
      </c>
      <c r="O1597" s="14" t="str">
        <f aca="false">IF($B1597="","",$B1597&amp;"|"&amp;$N1597)</f>
        <v/>
      </c>
    </row>
    <row r="1598" customFormat="false" ht="15" hidden="false" customHeight="false" outlineLevel="0" collapsed="false">
      <c r="A1598" s="12"/>
      <c r="B1598" s="9"/>
      <c r="C1598" s="9"/>
      <c r="D1598" s="9"/>
      <c r="E1598" s="9"/>
      <c r="F1598" s="9"/>
      <c r="G1598" s="9"/>
      <c r="H1598" s="7"/>
      <c r="I1598" s="13" t="str">
        <f aca="false">IF(OR($G1598="",$H1598=""),"",ROUND($G1598*$H1598,0))</f>
        <v/>
      </c>
      <c r="J1598" s="8"/>
      <c r="K1598" s="13" t="str">
        <f aca="false">IF($B1598="","",SUMIFS($I$3:$I$2002,$B$3:$B$2002,$B1598))</f>
        <v/>
      </c>
      <c r="L1598" s="13" t="str">
        <f aca="false">IF($B1598="","",IF(COUNTIFS($B$3:$B1598,$B1598)&gt;1,0,IFERROR(LOOKUP($K1598,배송비규정!$A$3:$A$32,배송비규정!$B$3:$B$32),0)+IFERROR(INDEX(지역추가비!$B$3:$B$42,MATCH($J1598,지역추가비!$A$3:$A$42,0)),0)))</f>
        <v/>
      </c>
      <c r="M1598" s="13" t="str">
        <f aca="false">IF($B1598="","",IF(COUNTIFS($B$3:$B1598,$B1598)&gt;1,"",$K1598+$L1598))</f>
        <v/>
      </c>
      <c r="N1598" s="14" t="str">
        <f aca="false">IF($B1598="","",COUNTIFS($B$3:$B1598,$B1598))</f>
        <v/>
      </c>
      <c r="O1598" s="14" t="str">
        <f aca="false">IF($B1598="","",$B1598&amp;"|"&amp;$N1598)</f>
        <v/>
      </c>
    </row>
    <row r="1599" customFormat="false" ht="15" hidden="false" customHeight="false" outlineLevel="0" collapsed="false">
      <c r="A1599" s="12"/>
      <c r="B1599" s="9"/>
      <c r="C1599" s="9"/>
      <c r="D1599" s="9"/>
      <c r="E1599" s="9"/>
      <c r="F1599" s="9"/>
      <c r="G1599" s="9"/>
      <c r="H1599" s="7"/>
      <c r="I1599" s="13" t="str">
        <f aca="false">IF(OR($G1599="",$H1599=""),"",ROUND($G1599*$H1599,0))</f>
        <v/>
      </c>
      <c r="J1599" s="8"/>
      <c r="K1599" s="13" t="str">
        <f aca="false">IF($B1599="","",SUMIFS($I$3:$I$2002,$B$3:$B$2002,$B1599))</f>
        <v/>
      </c>
      <c r="L1599" s="13" t="str">
        <f aca="false">IF($B1599="","",IF(COUNTIFS($B$3:$B1599,$B1599)&gt;1,0,IFERROR(LOOKUP($K1599,배송비규정!$A$3:$A$32,배송비규정!$B$3:$B$32),0)+IFERROR(INDEX(지역추가비!$B$3:$B$42,MATCH($J1599,지역추가비!$A$3:$A$42,0)),0)))</f>
        <v/>
      </c>
      <c r="M1599" s="13" t="str">
        <f aca="false">IF($B1599="","",IF(COUNTIFS($B$3:$B1599,$B1599)&gt;1,"",$K1599+$L1599))</f>
        <v/>
      </c>
      <c r="N1599" s="14" t="str">
        <f aca="false">IF($B1599="","",COUNTIFS($B$3:$B1599,$B1599))</f>
        <v/>
      </c>
      <c r="O1599" s="14" t="str">
        <f aca="false">IF($B1599="","",$B1599&amp;"|"&amp;$N1599)</f>
        <v/>
      </c>
    </row>
    <row r="1600" customFormat="false" ht="15" hidden="false" customHeight="false" outlineLevel="0" collapsed="false">
      <c r="A1600" s="12"/>
      <c r="B1600" s="9"/>
      <c r="C1600" s="9"/>
      <c r="D1600" s="9"/>
      <c r="E1600" s="9"/>
      <c r="F1600" s="9"/>
      <c r="G1600" s="9"/>
      <c r="H1600" s="7"/>
      <c r="I1600" s="13" t="str">
        <f aca="false">IF(OR($G1600="",$H1600=""),"",ROUND($G1600*$H1600,0))</f>
        <v/>
      </c>
      <c r="J1600" s="8"/>
      <c r="K1600" s="13" t="str">
        <f aca="false">IF($B1600="","",SUMIFS($I$3:$I$2002,$B$3:$B$2002,$B1600))</f>
        <v/>
      </c>
      <c r="L1600" s="13" t="str">
        <f aca="false">IF($B1600="","",IF(COUNTIFS($B$3:$B1600,$B1600)&gt;1,0,IFERROR(LOOKUP($K1600,배송비규정!$A$3:$A$32,배송비규정!$B$3:$B$32),0)+IFERROR(INDEX(지역추가비!$B$3:$B$42,MATCH($J1600,지역추가비!$A$3:$A$42,0)),0)))</f>
        <v/>
      </c>
      <c r="M1600" s="13" t="str">
        <f aca="false">IF($B1600="","",IF(COUNTIFS($B$3:$B1600,$B1600)&gt;1,"",$K1600+$L1600))</f>
        <v/>
      </c>
      <c r="N1600" s="14" t="str">
        <f aca="false">IF($B1600="","",COUNTIFS($B$3:$B1600,$B1600))</f>
        <v/>
      </c>
      <c r="O1600" s="14" t="str">
        <f aca="false">IF($B1600="","",$B1600&amp;"|"&amp;$N1600)</f>
        <v/>
      </c>
    </row>
    <row r="1601" customFormat="false" ht="15" hidden="false" customHeight="false" outlineLevel="0" collapsed="false">
      <c r="A1601" s="12"/>
      <c r="B1601" s="9"/>
      <c r="C1601" s="9"/>
      <c r="D1601" s="9"/>
      <c r="E1601" s="9"/>
      <c r="F1601" s="9"/>
      <c r="G1601" s="9"/>
      <c r="H1601" s="7"/>
      <c r="I1601" s="13" t="str">
        <f aca="false">IF(OR($G1601="",$H1601=""),"",ROUND($G1601*$H1601,0))</f>
        <v/>
      </c>
      <c r="J1601" s="8"/>
      <c r="K1601" s="13" t="str">
        <f aca="false">IF($B1601="","",SUMIFS($I$3:$I$2002,$B$3:$B$2002,$B1601))</f>
        <v/>
      </c>
      <c r="L1601" s="13" t="str">
        <f aca="false">IF($B1601="","",IF(COUNTIFS($B$3:$B1601,$B1601)&gt;1,0,IFERROR(LOOKUP($K1601,배송비규정!$A$3:$A$32,배송비규정!$B$3:$B$32),0)+IFERROR(INDEX(지역추가비!$B$3:$B$42,MATCH($J1601,지역추가비!$A$3:$A$42,0)),0)))</f>
        <v/>
      </c>
      <c r="M1601" s="13" t="str">
        <f aca="false">IF($B1601="","",IF(COUNTIFS($B$3:$B1601,$B1601)&gt;1,"",$K1601+$L1601))</f>
        <v/>
      </c>
      <c r="N1601" s="14" t="str">
        <f aca="false">IF($B1601="","",COUNTIFS($B$3:$B1601,$B1601))</f>
        <v/>
      </c>
      <c r="O1601" s="14" t="str">
        <f aca="false">IF($B1601="","",$B1601&amp;"|"&amp;$N1601)</f>
        <v/>
      </c>
    </row>
    <row r="1602" customFormat="false" ht="15" hidden="false" customHeight="false" outlineLevel="0" collapsed="false">
      <c r="A1602" s="12"/>
      <c r="B1602" s="9"/>
      <c r="C1602" s="9"/>
      <c r="D1602" s="9"/>
      <c r="E1602" s="9"/>
      <c r="F1602" s="9"/>
      <c r="G1602" s="9"/>
      <c r="H1602" s="7"/>
      <c r="I1602" s="13" t="str">
        <f aca="false">IF(OR($G1602="",$H1602=""),"",ROUND($G1602*$H1602,0))</f>
        <v/>
      </c>
      <c r="J1602" s="8"/>
      <c r="K1602" s="13" t="str">
        <f aca="false">IF($B1602="","",SUMIFS($I$3:$I$2002,$B$3:$B$2002,$B1602))</f>
        <v/>
      </c>
      <c r="L1602" s="13" t="str">
        <f aca="false">IF($B1602="","",IF(COUNTIFS($B$3:$B1602,$B1602)&gt;1,0,IFERROR(LOOKUP($K1602,배송비규정!$A$3:$A$32,배송비규정!$B$3:$B$32),0)+IFERROR(INDEX(지역추가비!$B$3:$B$42,MATCH($J1602,지역추가비!$A$3:$A$42,0)),0)))</f>
        <v/>
      </c>
      <c r="M1602" s="13" t="str">
        <f aca="false">IF($B1602="","",IF(COUNTIFS($B$3:$B1602,$B1602)&gt;1,"",$K1602+$L1602))</f>
        <v/>
      </c>
      <c r="N1602" s="14" t="str">
        <f aca="false">IF($B1602="","",COUNTIFS($B$3:$B1602,$B1602))</f>
        <v/>
      </c>
      <c r="O1602" s="14" t="str">
        <f aca="false">IF($B1602="","",$B1602&amp;"|"&amp;$N1602)</f>
        <v/>
      </c>
    </row>
    <row r="1603" customFormat="false" ht="15" hidden="false" customHeight="false" outlineLevel="0" collapsed="false">
      <c r="A1603" s="12"/>
      <c r="B1603" s="9"/>
      <c r="C1603" s="9"/>
      <c r="D1603" s="9"/>
      <c r="E1603" s="9"/>
      <c r="F1603" s="9"/>
      <c r="G1603" s="9"/>
      <c r="H1603" s="7"/>
      <c r="I1603" s="13" t="str">
        <f aca="false">IF(OR($G1603="",$H1603=""),"",ROUND($G1603*$H1603,0))</f>
        <v/>
      </c>
      <c r="J1603" s="8"/>
      <c r="K1603" s="13" t="str">
        <f aca="false">IF($B1603="","",SUMIFS($I$3:$I$2002,$B$3:$B$2002,$B1603))</f>
        <v/>
      </c>
      <c r="L1603" s="13" t="str">
        <f aca="false">IF($B1603="","",IF(COUNTIFS($B$3:$B1603,$B1603)&gt;1,0,IFERROR(LOOKUP($K1603,배송비규정!$A$3:$A$32,배송비규정!$B$3:$B$32),0)+IFERROR(INDEX(지역추가비!$B$3:$B$42,MATCH($J1603,지역추가비!$A$3:$A$42,0)),0)))</f>
        <v/>
      </c>
      <c r="M1603" s="13" t="str">
        <f aca="false">IF($B1603="","",IF(COUNTIFS($B$3:$B1603,$B1603)&gt;1,"",$K1603+$L1603))</f>
        <v/>
      </c>
      <c r="N1603" s="14" t="str">
        <f aca="false">IF($B1603="","",COUNTIFS($B$3:$B1603,$B1603))</f>
        <v/>
      </c>
      <c r="O1603" s="14" t="str">
        <f aca="false">IF($B1603="","",$B1603&amp;"|"&amp;$N1603)</f>
        <v/>
      </c>
    </row>
    <row r="1604" customFormat="false" ht="15" hidden="false" customHeight="false" outlineLevel="0" collapsed="false">
      <c r="A1604" s="12"/>
      <c r="B1604" s="9"/>
      <c r="C1604" s="9"/>
      <c r="D1604" s="9"/>
      <c r="E1604" s="9"/>
      <c r="F1604" s="9"/>
      <c r="G1604" s="9"/>
      <c r="H1604" s="7"/>
      <c r="I1604" s="13" t="str">
        <f aca="false">IF(OR($G1604="",$H1604=""),"",ROUND($G1604*$H1604,0))</f>
        <v/>
      </c>
      <c r="J1604" s="8"/>
      <c r="K1604" s="13" t="str">
        <f aca="false">IF($B1604="","",SUMIFS($I$3:$I$2002,$B$3:$B$2002,$B1604))</f>
        <v/>
      </c>
      <c r="L1604" s="13" t="str">
        <f aca="false">IF($B1604="","",IF(COUNTIFS($B$3:$B1604,$B1604)&gt;1,0,IFERROR(LOOKUP($K1604,배송비규정!$A$3:$A$32,배송비규정!$B$3:$B$32),0)+IFERROR(INDEX(지역추가비!$B$3:$B$42,MATCH($J1604,지역추가비!$A$3:$A$42,0)),0)))</f>
        <v/>
      </c>
      <c r="M1604" s="13" t="str">
        <f aca="false">IF($B1604="","",IF(COUNTIFS($B$3:$B1604,$B1604)&gt;1,"",$K1604+$L1604))</f>
        <v/>
      </c>
      <c r="N1604" s="14" t="str">
        <f aca="false">IF($B1604="","",COUNTIFS($B$3:$B1604,$B1604))</f>
        <v/>
      </c>
      <c r="O1604" s="14" t="str">
        <f aca="false">IF($B1604="","",$B1604&amp;"|"&amp;$N1604)</f>
        <v/>
      </c>
    </row>
    <row r="1605" customFormat="false" ht="15" hidden="false" customHeight="false" outlineLevel="0" collapsed="false">
      <c r="A1605" s="12"/>
      <c r="B1605" s="9"/>
      <c r="C1605" s="9"/>
      <c r="D1605" s="9"/>
      <c r="E1605" s="9"/>
      <c r="F1605" s="9"/>
      <c r="G1605" s="9"/>
      <c r="H1605" s="7"/>
      <c r="I1605" s="13" t="str">
        <f aca="false">IF(OR($G1605="",$H1605=""),"",ROUND($G1605*$H1605,0))</f>
        <v/>
      </c>
      <c r="J1605" s="8"/>
      <c r="K1605" s="13" t="str">
        <f aca="false">IF($B1605="","",SUMIFS($I$3:$I$2002,$B$3:$B$2002,$B1605))</f>
        <v/>
      </c>
      <c r="L1605" s="13" t="str">
        <f aca="false">IF($B1605="","",IF(COUNTIFS($B$3:$B1605,$B1605)&gt;1,0,IFERROR(LOOKUP($K1605,배송비규정!$A$3:$A$32,배송비규정!$B$3:$B$32),0)+IFERROR(INDEX(지역추가비!$B$3:$B$42,MATCH($J1605,지역추가비!$A$3:$A$42,0)),0)))</f>
        <v/>
      </c>
      <c r="M1605" s="13" t="str">
        <f aca="false">IF($B1605="","",IF(COUNTIFS($B$3:$B1605,$B1605)&gt;1,"",$K1605+$L1605))</f>
        <v/>
      </c>
      <c r="N1605" s="14" t="str">
        <f aca="false">IF($B1605="","",COUNTIFS($B$3:$B1605,$B1605))</f>
        <v/>
      </c>
      <c r="O1605" s="14" t="str">
        <f aca="false">IF($B1605="","",$B1605&amp;"|"&amp;$N1605)</f>
        <v/>
      </c>
    </row>
    <row r="1606" customFormat="false" ht="15" hidden="false" customHeight="false" outlineLevel="0" collapsed="false">
      <c r="A1606" s="12"/>
      <c r="B1606" s="9"/>
      <c r="C1606" s="9"/>
      <c r="D1606" s="9"/>
      <c r="E1606" s="9"/>
      <c r="F1606" s="9"/>
      <c r="G1606" s="9"/>
      <c r="H1606" s="7"/>
      <c r="I1606" s="13" t="str">
        <f aca="false">IF(OR($G1606="",$H1606=""),"",ROUND($G1606*$H1606,0))</f>
        <v/>
      </c>
      <c r="J1606" s="8"/>
      <c r="K1606" s="13" t="str">
        <f aca="false">IF($B1606="","",SUMIFS($I$3:$I$2002,$B$3:$B$2002,$B1606))</f>
        <v/>
      </c>
      <c r="L1606" s="13" t="str">
        <f aca="false">IF($B1606="","",IF(COUNTIFS($B$3:$B1606,$B1606)&gt;1,0,IFERROR(LOOKUP($K1606,배송비규정!$A$3:$A$32,배송비규정!$B$3:$B$32),0)+IFERROR(INDEX(지역추가비!$B$3:$B$42,MATCH($J1606,지역추가비!$A$3:$A$42,0)),0)))</f>
        <v/>
      </c>
      <c r="M1606" s="13" t="str">
        <f aca="false">IF($B1606="","",IF(COUNTIFS($B$3:$B1606,$B1606)&gt;1,"",$K1606+$L1606))</f>
        <v/>
      </c>
      <c r="N1606" s="14" t="str">
        <f aca="false">IF($B1606="","",COUNTIFS($B$3:$B1606,$B1606))</f>
        <v/>
      </c>
      <c r="O1606" s="14" t="str">
        <f aca="false">IF($B1606="","",$B1606&amp;"|"&amp;$N1606)</f>
        <v/>
      </c>
    </row>
    <row r="1607" customFormat="false" ht="15" hidden="false" customHeight="false" outlineLevel="0" collapsed="false">
      <c r="A1607" s="12"/>
      <c r="B1607" s="9"/>
      <c r="C1607" s="9"/>
      <c r="D1607" s="9"/>
      <c r="E1607" s="9"/>
      <c r="F1607" s="9"/>
      <c r="G1607" s="9"/>
      <c r="H1607" s="7"/>
      <c r="I1607" s="13" t="str">
        <f aca="false">IF(OR($G1607="",$H1607=""),"",ROUND($G1607*$H1607,0))</f>
        <v/>
      </c>
      <c r="J1607" s="8"/>
      <c r="K1607" s="13" t="str">
        <f aca="false">IF($B1607="","",SUMIFS($I$3:$I$2002,$B$3:$B$2002,$B1607))</f>
        <v/>
      </c>
      <c r="L1607" s="13" t="str">
        <f aca="false">IF($B1607="","",IF(COUNTIFS($B$3:$B1607,$B1607)&gt;1,0,IFERROR(LOOKUP($K1607,배송비규정!$A$3:$A$32,배송비규정!$B$3:$B$32),0)+IFERROR(INDEX(지역추가비!$B$3:$B$42,MATCH($J1607,지역추가비!$A$3:$A$42,0)),0)))</f>
        <v/>
      </c>
      <c r="M1607" s="13" t="str">
        <f aca="false">IF($B1607="","",IF(COUNTIFS($B$3:$B1607,$B1607)&gt;1,"",$K1607+$L1607))</f>
        <v/>
      </c>
      <c r="N1607" s="14" t="str">
        <f aca="false">IF($B1607="","",COUNTIFS($B$3:$B1607,$B1607))</f>
        <v/>
      </c>
      <c r="O1607" s="14" t="str">
        <f aca="false">IF($B1607="","",$B1607&amp;"|"&amp;$N1607)</f>
        <v/>
      </c>
    </row>
    <row r="1608" customFormat="false" ht="15" hidden="false" customHeight="false" outlineLevel="0" collapsed="false">
      <c r="A1608" s="12"/>
      <c r="B1608" s="9"/>
      <c r="C1608" s="9"/>
      <c r="D1608" s="9"/>
      <c r="E1608" s="9"/>
      <c r="F1608" s="9"/>
      <c r="G1608" s="9"/>
      <c r="H1608" s="7"/>
      <c r="I1608" s="13" t="str">
        <f aca="false">IF(OR($G1608="",$H1608=""),"",ROUND($G1608*$H1608,0))</f>
        <v/>
      </c>
      <c r="J1608" s="8"/>
      <c r="K1608" s="13" t="str">
        <f aca="false">IF($B1608="","",SUMIFS($I$3:$I$2002,$B$3:$B$2002,$B1608))</f>
        <v/>
      </c>
      <c r="L1608" s="13" t="str">
        <f aca="false">IF($B1608="","",IF(COUNTIFS($B$3:$B1608,$B1608)&gt;1,0,IFERROR(LOOKUP($K1608,배송비규정!$A$3:$A$32,배송비규정!$B$3:$B$32),0)+IFERROR(INDEX(지역추가비!$B$3:$B$42,MATCH($J1608,지역추가비!$A$3:$A$42,0)),0)))</f>
        <v/>
      </c>
      <c r="M1608" s="13" t="str">
        <f aca="false">IF($B1608="","",IF(COUNTIFS($B$3:$B1608,$B1608)&gt;1,"",$K1608+$L1608))</f>
        <v/>
      </c>
      <c r="N1608" s="14" t="str">
        <f aca="false">IF($B1608="","",COUNTIFS($B$3:$B1608,$B1608))</f>
        <v/>
      </c>
      <c r="O1608" s="14" t="str">
        <f aca="false">IF($B1608="","",$B1608&amp;"|"&amp;$N1608)</f>
        <v/>
      </c>
    </row>
    <row r="1609" customFormat="false" ht="15" hidden="false" customHeight="false" outlineLevel="0" collapsed="false">
      <c r="A1609" s="12"/>
      <c r="B1609" s="9"/>
      <c r="C1609" s="9"/>
      <c r="D1609" s="9"/>
      <c r="E1609" s="9"/>
      <c r="F1609" s="9"/>
      <c r="G1609" s="9"/>
      <c r="H1609" s="7"/>
      <c r="I1609" s="13" t="str">
        <f aca="false">IF(OR($G1609="",$H1609=""),"",ROUND($G1609*$H1609,0))</f>
        <v/>
      </c>
      <c r="J1609" s="8"/>
      <c r="K1609" s="13" t="str">
        <f aca="false">IF($B1609="","",SUMIFS($I$3:$I$2002,$B$3:$B$2002,$B1609))</f>
        <v/>
      </c>
      <c r="L1609" s="13" t="str">
        <f aca="false">IF($B1609="","",IF(COUNTIFS($B$3:$B1609,$B1609)&gt;1,0,IFERROR(LOOKUP($K1609,배송비규정!$A$3:$A$32,배송비규정!$B$3:$B$32),0)+IFERROR(INDEX(지역추가비!$B$3:$B$42,MATCH($J1609,지역추가비!$A$3:$A$42,0)),0)))</f>
        <v/>
      </c>
      <c r="M1609" s="13" t="str">
        <f aca="false">IF($B1609="","",IF(COUNTIFS($B$3:$B1609,$B1609)&gt;1,"",$K1609+$L1609))</f>
        <v/>
      </c>
      <c r="N1609" s="14" t="str">
        <f aca="false">IF($B1609="","",COUNTIFS($B$3:$B1609,$B1609))</f>
        <v/>
      </c>
      <c r="O1609" s="14" t="str">
        <f aca="false">IF($B1609="","",$B1609&amp;"|"&amp;$N1609)</f>
        <v/>
      </c>
    </row>
    <row r="1610" customFormat="false" ht="15" hidden="false" customHeight="false" outlineLevel="0" collapsed="false">
      <c r="A1610" s="12"/>
      <c r="B1610" s="9"/>
      <c r="C1610" s="9"/>
      <c r="D1610" s="9"/>
      <c r="E1610" s="9"/>
      <c r="F1610" s="9"/>
      <c r="G1610" s="9"/>
      <c r="H1610" s="7"/>
      <c r="I1610" s="13" t="str">
        <f aca="false">IF(OR($G1610="",$H1610=""),"",ROUND($G1610*$H1610,0))</f>
        <v/>
      </c>
      <c r="J1610" s="8"/>
      <c r="K1610" s="13" t="str">
        <f aca="false">IF($B1610="","",SUMIFS($I$3:$I$2002,$B$3:$B$2002,$B1610))</f>
        <v/>
      </c>
      <c r="L1610" s="13" t="str">
        <f aca="false">IF($B1610="","",IF(COUNTIFS($B$3:$B1610,$B1610)&gt;1,0,IFERROR(LOOKUP($K1610,배송비규정!$A$3:$A$32,배송비규정!$B$3:$B$32),0)+IFERROR(INDEX(지역추가비!$B$3:$B$42,MATCH($J1610,지역추가비!$A$3:$A$42,0)),0)))</f>
        <v/>
      </c>
      <c r="M1610" s="13" t="str">
        <f aca="false">IF($B1610="","",IF(COUNTIFS($B$3:$B1610,$B1610)&gt;1,"",$K1610+$L1610))</f>
        <v/>
      </c>
      <c r="N1610" s="14" t="str">
        <f aca="false">IF($B1610="","",COUNTIFS($B$3:$B1610,$B1610))</f>
        <v/>
      </c>
      <c r="O1610" s="14" t="str">
        <f aca="false">IF($B1610="","",$B1610&amp;"|"&amp;$N1610)</f>
        <v/>
      </c>
    </row>
    <row r="1611" customFormat="false" ht="15" hidden="false" customHeight="false" outlineLevel="0" collapsed="false">
      <c r="A1611" s="12"/>
      <c r="B1611" s="9"/>
      <c r="C1611" s="9"/>
      <c r="D1611" s="9"/>
      <c r="E1611" s="9"/>
      <c r="F1611" s="9"/>
      <c r="G1611" s="9"/>
      <c r="H1611" s="7"/>
      <c r="I1611" s="13" t="str">
        <f aca="false">IF(OR($G1611="",$H1611=""),"",ROUND($G1611*$H1611,0))</f>
        <v/>
      </c>
      <c r="J1611" s="8"/>
      <c r="K1611" s="13" t="str">
        <f aca="false">IF($B1611="","",SUMIFS($I$3:$I$2002,$B$3:$B$2002,$B1611))</f>
        <v/>
      </c>
      <c r="L1611" s="13" t="str">
        <f aca="false">IF($B1611="","",IF(COUNTIFS($B$3:$B1611,$B1611)&gt;1,0,IFERROR(LOOKUP($K1611,배송비규정!$A$3:$A$32,배송비규정!$B$3:$B$32),0)+IFERROR(INDEX(지역추가비!$B$3:$B$42,MATCH($J1611,지역추가비!$A$3:$A$42,0)),0)))</f>
        <v/>
      </c>
      <c r="M1611" s="13" t="str">
        <f aca="false">IF($B1611="","",IF(COUNTIFS($B$3:$B1611,$B1611)&gt;1,"",$K1611+$L1611))</f>
        <v/>
      </c>
      <c r="N1611" s="14" t="str">
        <f aca="false">IF($B1611="","",COUNTIFS($B$3:$B1611,$B1611))</f>
        <v/>
      </c>
      <c r="O1611" s="14" t="str">
        <f aca="false">IF($B1611="","",$B1611&amp;"|"&amp;$N1611)</f>
        <v/>
      </c>
    </row>
    <row r="1612" customFormat="false" ht="15" hidden="false" customHeight="false" outlineLevel="0" collapsed="false">
      <c r="A1612" s="12"/>
      <c r="B1612" s="9"/>
      <c r="C1612" s="9"/>
      <c r="D1612" s="9"/>
      <c r="E1612" s="9"/>
      <c r="F1612" s="9"/>
      <c r="G1612" s="9"/>
      <c r="H1612" s="7"/>
      <c r="I1612" s="13" t="str">
        <f aca="false">IF(OR($G1612="",$H1612=""),"",ROUND($G1612*$H1612,0))</f>
        <v/>
      </c>
      <c r="J1612" s="8"/>
      <c r="K1612" s="13" t="str">
        <f aca="false">IF($B1612="","",SUMIFS($I$3:$I$2002,$B$3:$B$2002,$B1612))</f>
        <v/>
      </c>
      <c r="L1612" s="13" t="str">
        <f aca="false">IF($B1612="","",IF(COUNTIFS($B$3:$B1612,$B1612)&gt;1,0,IFERROR(LOOKUP($K1612,배송비규정!$A$3:$A$32,배송비규정!$B$3:$B$32),0)+IFERROR(INDEX(지역추가비!$B$3:$B$42,MATCH($J1612,지역추가비!$A$3:$A$42,0)),0)))</f>
        <v/>
      </c>
      <c r="M1612" s="13" t="str">
        <f aca="false">IF($B1612="","",IF(COUNTIFS($B$3:$B1612,$B1612)&gt;1,"",$K1612+$L1612))</f>
        <v/>
      </c>
      <c r="N1612" s="14" t="str">
        <f aca="false">IF($B1612="","",COUNTIFS($B$3:$B1612,$B1612))</f>
        <v/>
      </c>
      <c r="O1612" s="14" t="str">
        <f aca="false">IF($B1612="","",$B1612&amp;"|"&amp;$N1612)</f>
        <v/>
      </c>
    </row>
    <row r="1613" customFormat="false" ht="15" hidden="false" customHeight="false" outlineLevel="0" collapsed="false">
      <c r="A1613" s="12"/>
      <c r="B1613" s="9"/>
      <c r="C1613" s="9"/>
      <c r="D1613" s="9"/>
      <c r="E1613" s="9"/>
      <c r="F1613" s="9"/>
      <c r="G1613" s="9"/>
      <c r="H1613" s="7"/>
      <c r="I1613" s="13" t="str">
        <f aca="false">IF(OR($G1613="",$H1613=""),"",ROUND($G1613*$H1613,0))</f>
        <v/>
      </c>
      <c r="J1613" s="8"/>
      <c r="K1613" s="13" t="str">
        <f aca="false">IF($B1613="","",SUMIFS($I$3:$I$2002,$B$3:$B$2002,$B1613))</f>
        <v/>
      </c>
      <c r="L1613" s="13" t="str">
        <f aca="false">IF($B1613="","",IF(COUNTIFS($B$3:$B1613,$B1613)&gt;1,0,IFERROR(LOOKUP($K1613,배송비규정!$A$3:$A$32,배송비규정!$B$3:$B$32),0)+IFERROR(INDEX(지역추가비!$B$3:$B$42,MATCH($J1613,지역추가비!$A$3:$A$42,0)),0)))</f>
        <v/>
      </c>
      <c r="M1613" s="13" t="str">
        <f aca="false">IF($B1613="","",IF(COUNTIFS($B$3:$B1613,$B1613)&gt;1,"",$K1613+$L1613))</f>
        <v/>
      </c>
      <c r="N1613" s="14" t="str">
        <f aca="false">IF($B1613="","",COUNTIFS($B$3:$B1613,$B1613))</f>
        <v/>
      </c>
      <c r="O1613" s="14" t="str">
        <f aca="false">IF($B1613="","",$B1613&amp;"|"&amp;$N1613)</f>
        <v/>
      </c>
    </row>
    <row r="1614" customFormat="false" ht="15" hidden="false" customHeight="false" outlineLevel="0" collapsed="false">
      <c r="A1614" s="12"/>
      <c r="B1614" s="9"/>
      <c r="C1614" s="9"/>
      <c r="D1614" s="9"/>
      <c r="E1614" s="9"/>
      <c r="F1614" s="9"/>
      <c r="G1614" s="9"/>
      <c r="H1614" s="7"/>
      <c r="I1614" s="13" t="str">
        <f aca="false">IF(OR($G1614="",$H1614=""),"",ROUND($G1614*$H1614,0))</f>
        <v/>
      </c>
      <c r="J1614" s="8"/>
      <c r="K1614" s="13" t="str">
        <f aca="false">IF($B1614="","",SUMIFS($I$3:$I$2002,$B$3:$B$2002,$B1614))</f>
        <v/>
      </c>
      <c r="L1614" s="13" t="str">
        <f aca="false">IF($B1614="","",IF(COUNTIFS($B$3:$B1614,$B1614)&gt;1,0,IFERROR(LOOKUP($K1614,배송비규정!$A$3:$A$32,배송비규정!$B$3:$B$32),0)+IFERROR(INDEX(지역추가비!$B$3:$B$42,MATCH($J1614,지역추가비!$A$3:$A$42,0)),0)))</f>
        <v/>
      </c>
      <c r="M1614" s="13" t="str">
        <f aca="false">IF($B1614="","",IF(COUNTIFS($B$3:$B1614,$B1614)&gt;1,"",$K1614+$L1614))</f>
        <v/>
      </c>
      <c r="N1614" s="14" t="str">
        <f aca="false">IF($B1614="","",COUNTIFS($B$3:$B1614,$B1614))</f>
        <v/>
      </c>
      <c r="O1614" s="14" t="str">
        <f aca="false">IF($B1614="","",$B1614&amp;"|"&amp;$N1614)</f>
        <v/>
      </c>
    </row>
    <row r="1615" customFormat="false" ht="15" hidden="false" customHeight="false" outlineLevel="0" collapsed="false">
      <c r="A1615" s="12"/>
      <c r="B1615" s="9"/>
      <c r="C1615" s="9"/>
      <c r="D1615" s="9"/>
      <c r="E1615" s="9"/>
      <c r="F1615" s="9"/>
      <c r="G1615" s="9"/>
      <c r="H1615" s="7"/>
      <c r="I1615" s="13" t="str">
        <f aca="false">IF(OR($G1615="",$H1615=""),"",ROUND($G1615*$H1615,0))</f>
        <v/>
      </c>
      <c r="J1615" s="8"/>
      <c r="K1615" s="13" t="str">
        <f aca="false">IF($B1615="","",SUMIFS($I$3:$I$2002,$B$3:$B$2002,$B1615))</f>
        <v/>
      </c>
      <c r="L1615" s="13" t="str">
        <f aca="false">IF($B1615="","",IF(COUNTIFS($B$3:$B1615,$B1615)&gt;1,0,IFERROR(LOOKUP($K1615,배송비규정!$A$3:$A$32,배송비규정!$B$3:$B$32),0)+IFERROR(INDEX(지역추가비!$B$3:$B$42,MATCH($J1615,지역추가비!$A$3:$A$42,0)),0)))</f>
        <v/>
      </c>
      <c r="M1615" s="13" t="str">
        <f aca="false">IF($B1615="","",IF(COUNTIFS($B$3:$B1615,$B1615)&gt;1,"",$K1615+$L1615))</f>
        <v/>
      </c>
      <c r="N1615" s="14" t="str">
        <f aca="false">IF($B1615="","",COUNTIFS($B$3:$B1615,$B1615))</f>
        <v/>
      </c>
      <c r="O1615" s="14" t="str">
        <f aca="false">IF($B1615="","",$B1615&amp;"|"&amp;$N1615)</f>
        <v/>
      </c>
    </row>
    <row r="1616" customFormat="false" ht="15" hidden="false" customHeight="false" outlineLevel="0" collapsed="false">
      <c r="A1616" s="12"/>
      <c r="B1616" s="9"/>
      <c r="C1616" s="9"/>
      <c r="D1616" s="9"/>
      <c r="E1616" s="9"/>
      <c r="F1616" s="9"/>
      <c r="G1616" s="9"/>
      <c r="H1616" s="7"/>
      <c r="I1616" s="13" t="str">
        <f aca="false">IF(OR($G1616="",$H1616=""),"",ROUND($G1616*$H1616,0))</f>
        <v/>
      </c>
      <c r="J1616" s="8"/>
      <c r="K1616" s="13" t="str">
        <f aca="false">IF($B1616="","",SUMIFS($I$3:$I$2002,$B$3:$B$2002,$B1616))</f>
        <v/>
      </c>
      <c r="L1616" s="13" t="str">
        <f aca="false">IF($B1616="","",IF(COUNTIFS($B$3:$B1616,$B1616)&gt;1,0,IFERROR(LOOKUP($K1616,배송비규정!$A$3:$A$32,배송비규정!$B$3:$B$32),0)+IFERROR(INDEX(지역추가비!$B$3:$B$42,MATCH($J1616,지역추가비!$A$3:$A$42,0)),0)))</f>
        <v/>
      </c>
      <c r="M1616" s="13" t="str">
        <f aca="false">IF($B1616="","",IF(COUNTIFS($B$3:$B1616,$B1616)&gt;1,"",$K1616+$L1616))</f>
        <v/>
      </c>
      <c r="N1616" s="14" t="str">
        <f aca="false">IF($B1616="","",COUNTIFS($B$3:$B1616,$B1616))</f>
        <v/>
      </c>
      <c r="O1616" s="14" t="str">
        <f aca="false">IF($B1616="","",$B1616&amp;"|"&amp;$N1616)</f>
        <v/>
      </c>
    </row>
    <row r="1617" customFormat="false" ht="15" hidden="false" customHeight="false" outlineLevel="0" collapsed="false">
      <c r="A1617" s="12"/>
      <c r="B1617" s="9"/>
      <c r="C1617" s="9"/>
      <c r="D1617" s="9"/>
      <c r="E1617" s="9"/>
      <c r="F1617" s="9"/>
      <c r="G1617" s="9"/>
      <c r="H1617" s="7"/>
      <c r="I1617" s="13" t="str">
        <f aca="false">IF(OR($G1617="",$H1617=""),"",ROUND($G1617*$H1617,0))</f>
        <v/>
      </c>
      <c r="J1617" s="8"/>
      <c r="K1617" s="13" t="str">
        <f aca="false">IF($B1617="","",SUMIFS($I$3:$I$2002,$B$3:$B$2002,$B1617))</f>
        <v/>
      </c>
      <c r="L1617" s="13" t="str">
        <f aca="false">IF($B1617="","",IF(COUNTIFS($B$3:$B1617,$B1617)&gt;1,0,IFERROR(LOOKUP($K1617,배송비규정!$A$3:$A$32,배송비규정!$B$3:$B$32),0)+IFERROR(INDEX(지역추가비!$B$3:$B$42,MATCH($J1617,지역추가비!$A$3:$A$42,0)),0)))</f>
        <v/>
      </c>
      <c r="M1617" s="13" t="str">
        <f aca="false">IF($B1617="","",IF(COUNTIFS($B$3:$B1617,$B1617)&gt;1,"",$K1617+$L1617))</f>
        <v/>
      </c>
      <c r="N1617" s="14" t="str">
        <f aca="false">IF($B1617="","",COUNTIFS($B$3:$B1617,$B1617))</f>
        <v/>
      </c>
      <c r="O1617" s="14" t="str">
        <f aca="false">IF($B1617="","",$B1617&amp;"|"&amp;$N1617)</f>
        <v/>
      </c>
    </row>
    <row r="1618" customFormat="false" ht="15" hidden="false" customHeight="false" outlineLevel="0" collapsed="false">
      <c r="A1618" s="12"/>
      <c r="B1618" s="9"/>
      <c r="C1618" s="9"/>
      <c r="D1618" s="9"/>
      <c r="E1618" s="9"/>
      <c r="F1618" s="9"/>
      <c r="G1618" s="9"/>
      <c r="H1618" s="7"/>
      <c r="I1618" s="13" t="str">
        <f aca="false">IF(OR($G1618="",$H1618=""),"",ROUND($G1618*$H1618,0))</f>
        <v/>
      </c>
      <c r="J1618" s="8"/>
      <c r="K1618" s="13" t="str">
        <f aca="false">IF($B1618="","",SUMIFS($I$3:$I$2002,$B$3:$B$2002,$B1618))</f>
        <v/>
      </c>
      <c r="L1618" s="13" t="str">
        <f aca="false">IF($B1618="","",IF(COUNTIFS($B$3:$B1618,$B1618)&gt;1,0,IFERROR(LOOKUP($K1618,배송비규정!$A$3:$A$32,배송비규정!$B$3:$B$32),0)+IFERROR(INDEX(지역추가비!$B$3:$B$42,MATCH($J1618,지역추가비!$A$3:$A$42,0)),0)))</f>
        <v/>
      </c>
      <c r="M1618" s="13" t="str">
        <f aca="false">IF($B1618="","",IF(COUNTIFS($B$3:$B1618,$B1618)&gt;1,"",$K1618+$L1618))</f>
        <v/>
      </c>
      <c r="N1618" s="14" t="str">
        <f aca="false">IF($B1618="","",COUNTIFS($B$3:$B1618,$B1618))</f>
        <v/>
      </c>
      <c r="O1618" s="14" t="str">
        <f aca="false">IF($B1618="","",$B1618&amp;"|"&amp;$N1618)</f>
        <v/>
      </c>
    </row>
    <row r="1619" customFormat="false" ht="15" hidden="false" customHeight="false" outlineLevel="0" collapsed="false">
      <c r="A1619" s="12"/>
      <c r="B1619" s="9"/>
      <c r="C1619" s="9"/>
      <c r="D1619" s="9"/>
      <c r="E1619" s="9"/>
      <c r="F1619" s="9"/>
      <c r="G1619" s="9"/>
      <c r="H1619" s="7"/>
      <c r="I1619" s="13" t="str">
        <f aca="false">IF(OR($G1619="",$H1619=""),"",ROUND($G1619*$H1619,0))</f>
        <v/>
      </c>
      <c r="J1619" s="8"/>
      <c r="K1619" s="13" t="str">
        <f aca="false">IF($B1619="","",SUMIFS($I$3:$I$2002,$B$3:$B$2002,$B1619))</f>
        <v/>
      </c>
      <c r="L1619" s="13" t="str">
        <f aca="false">IF($B1619="","",IF(COUNTIFS($B$3:$B1619,$B1619)&gt;1,0,IFERROR(LOOKUP($K1619,배송비규정!$A$3:$A$32,배송비규정!$B$3:$B$32),0)+IFERROR(INDEX(지역추가비!$B$3:$B$42,MATCH($J1619,지역추가비!$A$3:$A$42,0)),0)))</f>
        <v/>
      </c>
      <c r="M1619" s="13" t="str">
        <f aca="false">IF($B1619="","",IF(COUNTIFS($B$3:$B1619,$B1619)&gt;1,"",$K1619+$L1619))</f>
        <v/>
      </c>
      <c r="N1619" s="14" t="str">
        <f aca="false">IF($B1619="","",COUNTIFS($B$3:$B1619,$B1619))</f>
        <v/>
      </c>
      <c r="O1619" s="14" t="str">
        <f aca="false">IF($B1619="","",$B1619&amp;"|"&amp;$N1619)</f>
        <v/>
      </c>
    </row>
    <row r="1620" customFormat="false" ht="15" hidden="false" customHeight="false" outlineLevel="0" collapsed="false">
      <c r="A1620" s="12"/>
      <c r="B1620" s="9"/>
      <c r="C1620" s="9"/>
      <c r="D1620" s="9"/>
      <c r="E1620" s="9"/>
      <c r="F1620" s="9"/>
      <c r="G1620" s="9"/>
      <c r="H1620" s="7"/>
      <c r="I1620" s="13" t="str">
        <f aca="false">IF(OR($G1620="",$H1620=""),"",ROUND($G1620*$H1620,0))</f>
        <v/>
      </c>
      <c r="J1620" s="8"/>
      <c r="K1620" s="13" t="str">
        <f aca="false">IF($B1620="","",SUMIFS($I$3:$I$2002,$B$3:$B$2002,$B1620))</f>
        <v/>
      </c>
      <c r="L1620" s="13" t="str">
        <f aca="false">IF($B1620="","",IF(COUNTIFS($B$3:$B1620,$B1620)&gt;1,0,IFERROR(LOOKUP($K1620,배송비규정!$A$3:$A$32,배송비규정!$B$3:$B$32),0)+IFERROR(INDEX(지역추가비!$B$3:$B$42,MATCH($J1620,지역추가비!$A$3:$A$42,0)),0)))</f>
        <v/>
      </c>
      <c r="M1620" s="13" t="str">
        <f aca="false">IF($B1620="","",IF(COUNTIFS($B$3:$B1620,$B1620)&gt;1,"",$K1620+$L1620))</f>
        <v/>
      </c>
      <c r="N1620" s="14" t="str">
        <f aca="false">IF($B1620="","",COUNTIFS($B$3:$B1620,$B1620))</f>
        <v/>
      </c>
      <c r="O1620" s="14" t="str">
        <f aca="false">IF($B1620="","",$B1620&amp;"|"&amp;$N1620)</f>
        <v/>
      </c>
    </row>
    <row r="1621" customFormat="false" ht="15" hidden="false" customHeight="false" outlineLevel="0" collapsed="false">
      <c r="A1621" s="12"/>
      <c r="B1621" s="9"/>
      <c r="C1621" s="9"/>
      <c r="D1621" s="9"/>
      <c r="E1621" s="9"/>
      <c r="F1621" s="9"/>
      <c r="G1621" s="9"/>
      <c r="H1621" s="7"/>
      <c r="I1621" s="13" t="str">
        <f aca="false">IF(OR($G1621="",$H1621=""),"",ROUND($G1621*$H1621,0))</f>
        <v/>
      </c>
      <c r="J1621" s="8"/>
      <c r="K1621" s="13" t="str">
        <f aca="false">IF($B1621="","",SUMIFS($I$3:$I$2002,$B$3:$B$2002,$B1621))</f>
        <v/>
      </c>
      <c r="L1621" s="13" t="str">
        <f aca="false">IF($B1621="","",IF(COUNTIFS($B$3:$B1621,$B1621)&gt;1,0,IFERROR(LOOKUP($K1621,배송비규정!$A$3:$A$32,배송비규정!$B$3:$B$32),0)+IFERROR(INDEX(지역추가비!$B$3:$B$42,MATCH($J1621,지역추가비!$A$3:$A$42,0)),0)))</f>
        <v/>
      </c>
      <c r="M1621" s="13" t="str">
        <f aca="false">IF($B1621="","",IF(COUNTIFS($B$3:$B1621,$B1621)&gt;1,"",$K1621+$L1621))</f>
        <v/>
      </c>
      <c r="N1621" s="14" t="str">
        <f aca="false">IF($B1621="","",COUNTIFS($B$3:$B1621,$B1621))</f>
        <v/>
      </c>
      <c r="O1621" s="14" t="str">
        <f aca="false">IF($B1621="","",$B1621&amp;"|"&amp;$N1621)</f>
        <v/>
      </c>
    </row>
    <row r="1622" customFormat="false" ht="15" hidden="false" customHeight="false" outlineLevel="0" collapsed="false">
      <c r="A1622" s="12"/>
      <c r="B1622" s="9"/>
      <c r="C1622" s="9"/>
      <c r="D1622" s="9"/>
      <c r="E1622" s="9"/>
      <c r="F1622" s="9"/>
      <c r="G1622" s="9"/>
      <c r="H1622" s="7"/>
      <c r="I1622" s="13" t="str">
        <f aca="false">IF(OR($G1622="",$H1622=""),"",ROUND($G1622*$H1622,0))</f>
        <v/>
      </c>
      <c r="J1622" s="8"/>
      <c r="K1622" s="13" t="str">
        <f aca="false">IF($B1622="","",SUMIFS($I$3:$I$2002,$B$3:$B$2002,$B1622))</f>
        <v/>
      </c>
      <c r="L1622" s="13" t="str">
        <f aca="false">IF($B1622="","",IF(COUNTIFS($B$3:$B1622,$B1622)&gt;1,0,IFERROR(LOOKUP($K1622,배송비규정!$A$3:$A$32,배송비규정!$B$3:$B$32),0)+IFERROR(INDEX(지역추가비!$B$3:$B$42,MATCH($J1622,지역추가비!$A$3:$A$42,0)),0)))</f>
        <v/>
      </c>
      <c r="M1622" s="13" t="str">
        <f aca="false">IF($B1622="","",IF(COUNTIFS($B$3:$B1622,$B1622)&gt;1,"",$K1622+$L1622))</f>
        <v/>
      </c>
      <c r="N1622" s="14" t="str">
        <f aca="false">IF($B1622="","",COUNTIFS($B$3:$B1622,$B1622))</f>
        <v/>
      </c>
      <c r="O1622" s="14" t="str">
        <f aca="false">IF($B1622="","",$B1622&amp;"|"&amp;$N1622)</f>
        <v/>
      </c>
    </row>
    <row r="1623" customFormat="false" ht="15" hidden="false" customHeight="false" outlineLevel="0" collapsed="false">
      <c r="A1623" s="12"/>
      <c r="B1623" s="9"/>
      <c r="C1623" s="9"/>
      <c r="D1623" s="9"/>
      <c r="E1623" s="9"/>
      <c r="F1623" s="9"/>
      <c r="G1623" s="9"/>
      <c r="H1623" s="7"/>
      <c r="I1623" s="13" t="str">
        <f aca="false">IF(OR($G1623="",$H1623=""),"",ROUND($G1623*$H1623,0))</f>
        <v/>
      </c>
      <c r="J1623" s="8"/>
      <c r="K1623" s="13" t="str">
        <f aca="false">IF($B1623="","",SUMIFS($I$3:$I$2002,$B$3:$B$2002,$B1623))</f>
        <v/>
      </c>
      <c r="L1623" s="13" t="str">
        <f aca="false">IF($B1623="","",IF(COUNTIFS($B$3:$B1623,$B1623)&gt;1,0,IFERROR(LOOKUP($K1623,배송비규정!$A$3:$A$32,배송비규정!$B$3:$B$32),0)+IFERROR(INDEX(지역추가비!$B$3:$B$42,MATCH($J1623,지역추가비!$A$3:$A$42,0)),0)))</f>
        <v/>
      </c>
      <c r="M1623" s="13" t="str">
        <f aca="false">IF($B1623="","",IF(COUNTIFS($B$3:$B1623,$B1623)&gt;1,"",$K1623+$L1623))</f>
        <v/>
      </c>
      <c r="N1623" s="14" t="str">
        <f aca="false">IF($B1623="","",COUNTIFS($B$3:$B1623,$B1623))</f>
        <v/>
      </c>
      <c r="O1623" s="14" t="str">
        <f aca="false">IF($B1623="","",$B1623&amp;"|"&amp;$N1623)</f>
        <v/>
      </c>
    </row>
    <row r="1624" customFormat="false" ht="15" hidden="false" customHeight="false" outlineLevel="0" collapsed="false">
      <c r="A1624" s="12"/>
      <c r="B1624" s="9"/>
      <c r="C1624" s="9"/>
      <c r="D1624" s="9"/>
      <c r="E1624" s="9"/>
      <c r="F1624" s="9"/>
      <c r="G1624" s="9"/>
      <c r="H1624" s="7"/>
      <c r="I1624" s="13" t="str">
        <f aca="false">IF(OR($G1624="",$H1624=""),"",ROUND($G1624*$H1624,0))</f>
        <v/>
      </c>
      <c r="J1624" s="8"/>
      <c r="K1624" s="13" t="str">
        <f aca="false">IF($B1624="","",SUMIFS($I$3:$I$2002,$B$3:$B$2002,$B1624))</f>
        <v/>
      </c>
      <c r="L1624" s="13" t="str">
        <f aca="false">IF($B1624="","",IF(COUNTIFS($B$3:$B1624,$B1624)&gt;1,0,IFERROR(LOOKUP($K1624,배송비규정!$A$3:$A$32,배송비규정!$B$3:$B$32),0)+IFERROR(INDEX(지역추가비!$B$3:$B$42,MATCH($J1624,지역추가비!$A$3:$A$42,0)),0)))</f>
        <v/>
      </c>
      <c r="M1624" s="13" t="str">
        <f aca="false">IF($B1624="","",IF(COUNTIFS($B$3:$B1624,$B1624)&gt;1,"",$K1624+$L1624))</f>
        <v/>
      </c>
      <c r="N1624" s="14" t="str">
        <f aca="false">IF($B1624="","",COUNTIFS($B$3:$B1624,$B1624))</f>
        <v/>
      </c>
      <c r="O1624" s="14" t="str">
        <f aca="false">IF($B1624="","",$B1624&amp;"|"&amp;$N1624)</f>
        <v/>
      </c>
    </row>
    <row r="1625" customFormat="false" ht="15" hidden="false" customHeight="false" outlineLevel="0" collapsed="false">
      <c r="A1625" s="12"/>
      <c r="B1625" s="9"/>
      <c r="C1625" s="9"/>
      <c r="D1625" s="9"/>
      <c r="E1625" s="9"/>
      <c r="F1625" s="9"/>
      <c r="G1625" s="9"/>
      <c r="H1625" s="7"/>
      <c r="I1625" s="13" t="str">
        <f aca="false">IF(OR($G1625="",$H1625=""),"",ROUND($G1625*$H1625,0))</f>
        <v/>
      </c>
      <c r="J1625" s="8"/>
      <c r="K1625" s="13" t="str">
        <f aca="false">IF($B1625="","",SUMIFS($I$3:$I$2002,$B$3:$B$2002,$B1625))</f>
        <v/>
      </c>
      <c r="L1625" s="13" t="str">
        <f aca="false">IF($B1625="","",IF(COUNTIFS($B$3:$B1625,$B1625)&gt;1,0,IFERROR(LOOKUP($K1625,배송비규정!$A$3:$A$32,배송비규정!$B$3:$B$32),0)+IFERROR(INDEX(지역추가비!$B$3:$B$42,MATCH($J1625,지역추가비!$A$3:$A$42,0)),0)))</f>
        <v/>
      </c>
      <c r="M1625" s="13" t="str">
        <f aca="false">IF($B1625="","",IF(COUNTIFS($B$3:$B1625,$B1625)&gt;1,"",$K1625+$L1625))</f>
        <v/>
      </c>
      <c r="N1625" s="14" t="str">
        <f aca="false">IF($B1625="","",COUNTIFS($B$3:$B1625,$B1625))</f>
        <v/>
      </c>
      <c r="O1625" s="14" t="str">
        <f aca="false">IF($B1625="","",$B1625&amp;"|"&amp;$N1625)</f>
        <v/>
      </c>
    </row>
    <row r="1626" customFormat="false" ht="15" hidden="false" customHeight="false" outlineLevel="0" collapsed="false">
      <c r="A1626" s="12"/>
      <c r="B1626" s="9"/>
      <c r="C1626" s="9"/>
      <c r="D1626" s="9"/>
      <c r="E1626" s="9"/>
      <c r="F1626" s="9"/>
      <c r="G1626" s="9"/>
      <c r="H1626" s="7"/>
      <c r="I1626" s="13" t="str">
        <f aca="false">IF(OR($G1626="",$H1626=""),"",ROUND($G1626*$H1626,0))</f>
        <v/>
      </c>
      <c r="J1626" s="8"/>
      <c r="K1626" s="13" t="str">
        <f aca="false">IF($B1626="","",SUMIFS($I$3:$I$2002,$B$3:$B$2002,$B1626))</f>
        <v/>
      </c>
      <c r="L1626" s="13" t="str">
        <f aca="false">IF($B1626="","",IF(COUNTIFS($B$3:$B1626,$B1626)&gt;1,0,IFERROR(LOOKUP($K1626,배송비규정!$A$3:$A$32,배송비규정!$B$3:$B$32),0)+IFERROR(INDEX(지역추가비!$B$3:$B$42,MATCH($J1626,지역추가비!$A$3:$A$42,0)),0)))</f>
        <v/>
      </c>
      <c r="M1626" s="13" t="str">
        <f aca="false">IF($B1626="","",IF(COUNTIFS($B$3:$B1626,$B1626)&gt;1,"",$K1626+$L1626))</f>
        <v/>
      </c>
      <c r="N1626" s="14" t="str">
        <f aca="false">IF($B1626="","",COUNTIFS($B$3:$B1626,$B1626))</f>
        <v/>
      </c>
      <c r="O1626" s="14" t="str">
        <f aca="false">IF($B1626="","",$B1626&amp;"|"&amp;$N1626)</f>
        <v/>
      </c>
    </row>
    <row r="1627" customFormat="false" ht="15" hidden="false" customHeight="false" outlineLevel="0" collapsed="false">
      <c r="A1627" s="12"/>
      <c r="B1627" s="9"/>
      <c r="C1627" s="9"/>
      <c r="D1627" s="9"/>
      <c r="E1627" s="9"/>
      <c r="F1627" s="9"/>
      <c r="G1627" s="9"/>
      <c r="H1627" s="7"/>
      <c r="I1627" s="13" t="str">
        <f aca="false">IF(OR($G1627="",$H1627=""),"",ROUND($G1627*$H1627,0))</f>
        <v/>
      </c>
      <c r="J1627" s="8"/>
      <c r="K1627" s="13" t="str">
        <f aca="false">IF($B1627="","",SUMIFS($I$3:$I$2002,$B$3:$B$2002,$B1627))</f>
        <v/>
      </c>
      <c r="L1627" s="13" t="str">
        <f aca="false">IF($B1627="","",IF(COUNTIFS($B$3:$B1627,$B1627)&gt;1,0,IFERROR(LOOKUP($K1627,배송비규정!$A$3:$A$32,배송비규정!$B$3:$B$32),0)+IFERROR(INDEX(지역추가비!$B$3:$B$42,MATCH($J1627,지역추가비!$A$3:$A$42,0)),0)))</f>
        <v/>
      </c>
      <c r="M1627" s="13" t="str">
        <f aca="false">IF($B1627="","",IF(COUNTIFS($B$3:$B1627,$B1627)&gt;1,"",$K1627+$L1627))</f>
        <v/>
      </c>
      <c r="N1627" s="14" t="str">
        <f aca="false">IF($B1627="","",COUNTIFS($B$3:$B1627,$B1627))</f>
        <v/>
      </c>
      <c r="O1627" s="14" t="str">
        <f aca="false">IF($B1627="","",$B1627&amp;"|"&amp;$N1627)</f>
        <v/>
      </c>
    </row>
    <row r="1628" customFormat="false" ht="15" hidden="false" customHeight="false" outlineLevel="0" collapsed="false">
      <c r="A1628" s="12"/>
      <c r="B1628" s="9"/>
      <c r="C1628" s="9"/>
      <c r="D1628" s="9"/>
      <c r="E1628" s="9"/>
      <c r="F1628" s="9"/>
      <c r="G1628" s="9"/>
      <c r="H1628" s="7"/>
      <c r="I1628" s="13" t="str">
        <f aca="false">IF(OR($G1628="",$H1628=""),"",ROUND($G1628*$H1628,0))</f>
        <v/>
      </c>
      <c r="J1628" s="8"/>
      <c r="K1628" s="13" t="str">
        <f aca="false">IF($B1628="","",SUMIFS($I$3:$I$2002,$B$3:$B$2002,$B1628))</f>
        <v/>
      </c>
      <c r="L1628" s="13" t="str">
        <f aca="false">IF($B1628="","",IF(COUNTIFS($B$3:$B1628,$B1628)&gt;1,0,IFERROR(LOOKUP($K1628,배송비규정!$A$3:$A$32,배송비규정!$B$3:$B$32),0)+IFERROR(INDEX(지역추가비!$B$3:$B$42,MATCH($J1628,지역추가비!$A$3:$A$42,0)),0)))</f>
        <v/>
      </c>
      <c r="M1628" s="13" t="str">
        <f aca="false">IF($B1628="","",IF(COUNTIFS($B$3:$B1628,$B1628)&gt;1,"",$K1628+$L1628))</f>
        <v/>
      </c>
      <c r="N1628" s="14" t="str">
        <f aca="false">IF($B1628="","",COUNTIFS($B$3:$B1628,$B1628))</f>
        <v/>
      </c>
      <c r="O1628" s="14" t="str">
        <f aca="false">IF($B1628="","",$B1628&amp;"|"&amp;$N1628)</f>
        <v/>
      </c>
    </row>
    <row r="1629" customFormat="false" ht="15" hidden="false" customHeight="false" outlineLevel="0" collapsed="false">
      <c r="A1629" s="12"/>
      <c r="B1629" s="9"/>
      <c r="C1629" s="9"/>
      <c r="D1629" s="9"/>
      <c r="E1629" s="9"/>
      <c r="F1629" s="9"/>
      <c r="G1629" s="9"/>
      <c r="H1629" s="7"/>
      <c r="I1629" s="13" t="str">
        <f aca="false">IF(OR($G1629="",$H1629=""),"",ROUND($G1629*$H1629,0))</f>
        <v/>
      </c>
      <c r="J1629" s="8"/>
      <c r="K1629" s="13" t="str">
        <f aca="false">IF($B1629="","",SUMIFS($I$3:$I$2002,$B$3:$B$2002,$B1629))</f>
        <v/>
      </c>
      <c r="L1629" s="13" t="str">
        <f aca="false">IF($B1629="","",IF(COUNTIFS($B$3:$B1629,$B1629)&gt;1,0,IFERROR(LOOKUP($K1629,배송비규정!$A$3:$A$32,배송비규정!$B$3:$B$32),0)+IFERROR(INDEX(지역추가비!$B$3:$B$42,MATCH($J1629,지역추가비!$A$3:$A$42,0)),0)))</f>
        <v/>
      </c>
      <c r="M1629" s="13" t="str">
        <f aca="false">IF($B1629="","",IF(COUNTIFS($B$3:$B1629,$B1629)&gt;1,"",$K1629+$L1629))</f>
        <v/>
      </c>
      <c r="N1629" s="14" t="str">
        <f aca="false">IF($B1629="","",COUNTIFS($B$3:$B1629,$B1629))</f>
        <v/>
      </c>
      <c r="O1629" s="14" t="str">
        <f aca="false">IF($B1629="","",$B1629&amp;"|"&amp;$N1629)</f>
        <v/>
      </c>
    </row>
    <row r="1630" customFormat="false" ht="15" hidden="false" customHeight="false" outlineLevel="0" collapsed="false">
      <c r="A1630" s="12"/>
      <c r="B1630" s="9"/>
      <c r="C1630" s="9"/>
      <c r="D1630" s="9"/>
      <c r="E1630" s="9"/>
      <c r="F1630" s="9"/>
      <c r="G1630" s="9"/>
      <c r="H1630" s="7"/>
      <c r="I1630" s="13" t="str">
        <f aca="false">IF(OR($G1630="",$H1630=""),"",ROUND($G1630*$H1630,0))</f>
        <v/>
      </c>
      <c r="J1630" s="8"/>
      <c r="K1630" s="13" t="str">
        <f aca="false">IF($B1630="","",SUMIFS($I$3:$I$2002,$B$3:$B$2002,$B1630))</f>
        <v/>
      </c>
      <c r="L1630" s="13" t="str">
        <f aca="false">IF($B1630="","",IF(COUNTIFS($B$3:$B1630,$B1630)&gt;1,0,IFERROR(LOOKUP($K1630,배송비규정!$A$3:$A$32,배송비규정!$B$3:$B$32),0)+IFERROR(INDEX(지역추가비!$B$3:$B$42,MATCH($J1630,지역추가비!$A$3:$A$42,0)),0)))</f>
        <v/>
      </c>
      <c r="M1630" s="13" t="str">
        <f aca="false">IF($B1630="","",IF(COUNTIFS($B$3:$B1630,$B1630)&gt;1,"",$K1630+$L1630))</f>
        <v/>
      </c>
      <c r="N1630" s="14" t="str">
        <f aca="false">IF($B1630="","",COUNTIFS($B$3:$B1630,$B1630))</f>
        <v/>
      </c>
      <c r="O1630" s="14" t="str">
        <f aca="false">IF($B1630="","",$B1630&amp;"|"&amp;$N1630)</f>
        <v/>
      </c>
    </row>
    <row r="1631" customFormat="false" ht="15" hidden="false" customHeight="false" outlineLevel="0" collapsed="false">
      <c r="A1631" s="12"/>
      <c r="B1631" s="9"/>
      <c r="C1631" s="9"/>
      <c r="D1631" s="9"/>
      <c r="E1631" s="9"/>
      <c r="F1631" s="9"/>
      <c r="G1631" s="9"/>
      <c r="H1631" s="7"/>
      <c r="I1631" s="13" t="str">
        <f aca="false">IF(OR($G1631="",$H1631=""),"",ROUND($G1631*$H1631,0))</f>
        <v/>
      </c>
      <c r="J1631" s="8"/>
      <c r="K1631" s="13" t="str">
        <f aca="false">IF($B1631="","",SUMIFS($I$3:$I$2002,$B$3:$B$2002,$B1631))</f>
        <v/>
      </c>
      <c r="L1631" s="13" t="str">
        <f aca="false">IF($B1631="","",IF(COUNTIFS($B$3:$B1631,$B1631)&gt;1,0,IFERROR(LOOKUP($K1631,배송비규정!$A$3:$A$32,배송비규정!$B$3:$B$32),0)+IFERROR(INDEX(지역추가비!$B$3:$B$42,MATCH($J1631,지역추가비!$A$3:$A$42,0)),0)))</f>
        <v/>
      </c>
      <c r="M1631" s="13" t="str">
        <f aca="false">IF($B1631="","",IF(COUNTIFS($B$3:$B1631,$B1631)&gt;1,"",$K1631+$L1631))</f>
        <v/>
      </c>
      <c r="N1631" s="14" t="str">
        <f aca="false">IF($B1631="","",COUNTIFS($B$3:$B1631,$B1631))</f>
        <v/>
      </c>
      <c r="O1631" s="14" t="str">
        <f aca="false">IF($B1631="","",$B1631&amp;"|"&amp;$N1631)</f>
        <v/>
      </c>
    </row>
    <row r="1632" customFormat="false" ht="15" hidden="false" customHeight="false" outlineLevel="0" collapsed="false">
      <c r="A1632" s="12"/>
      <c r="B1632" s="9"/>
      <c r="C1632" s="9"/>
      <c r="D1632" s="9"/>
      <c r="E1632" s="9"/>
      <c r="F1632" s="9"/>
      <c r="G1632" s="9"/>
      <c r="H1632" s="7"/>
      <c r="I1632" s="13" t="str">
        <f aca="false">IF(OR($G1632="",$H1632=""),"",ROUND($G1632*$H1632,0))</f>
        <v/>
      </c>
      <c r="J1632" s="8"/>
      <c r="K1632" s="13" t="str">
        <f aca="false">IF($B1632="","",SUMIFS($I$3:$I$2002,$B$3:$B$2002,$B1632))</f>
        <v/>
      </c>
      <c r="L1632" s="13" t="str">
        <f aca="false">IF($B1632="","",IF(COUNTIFS($B$3:$B1632,$B1632)&gt;1,0,IFERROR(LOOKUP($K1632,배송비규정!$A$3:$A$32,배송비규정!$B$3:$B$32),0)+IFERROR(INDEX(지역추가비!$B$3:$B$42,MATCH($J1632,지역추가비!$A$3:$A$42,0)),0)))</f>
        <v/>
      </c>
      <c r="M1632" s="13" t="str">
        <f aca="false">IF($B1632="","",IF(COUNTIFS($B$3:$B1632,$B1632)&gt;1,"",$K1632+$L1632))</f>
        <v/>
      </c>
      <c r="N1632" s="14" t="str">
        <f aca="false">IF($B1632="","",COUNTIFS($B$3:$B1632,$B1632))</f>
        <v/>
      </c>
      <c r="O1632" s="14" t="str">
        <f aca="false">IF($B1632="","",$B1632&amp;"|"&amp;$N1632)</f>
        <v/>
      </c>
    </row>
    <row r="1633" customFormat="false" ht="15" hidden="false" customHeight="false" outlineLevel="0" collapsed="false">
      <c r="A1633" s="12"/>
      <c r="B1633" s="9"/>
      <c r="C1633" s="9"/>
      <c r="D1633" s="9"/>
      <c r="E1633" s="9"/>
      <c r="F1633" s="9"/>
      <c r="G1633" s="9"/>
      <c r="H1633" s="7"/>
      <c r="I1633" s="13" t="str">
        <f aca="false">IF(OR($G1633="",$H1633=""),"",ROUND($G1633*$H1633,0))</f>
        <v/>
      </c>
      <c r="J1633" s="8"/>
      <c r="K1633" s="13" t="str">
        <f aca="false">IF($B1633="","",SUMIFS($I$3:$I$2002,$B$3:$B$2002,$B1633))</f>
        <v/>
      </c>
      <c r="L1633" s="13" t="str">
        <f aca="false">IF($B1633="","",IF(COUNTIFS($B$3:$B1633,$B1633)&gt;1,0,IFERROR(LOOKUP($K1633,배송비규정!$A$3:$A$32,배송비규정!$B$3:$B$32),0)+IFERROR(INDEX(지역추가비!$B$3:$B$42,MATCH($J1633,지역추가비!$A$3:$A$42,0)),0)))</f>
        <v/>
      </c>
      <c r="M1633" s="13" t="str">
        <f aca="false">IF($B1633="","",IF(COUNTIFS($B$3:$B1633,$B1633)&gt;1,"",$K1633+$L1633))</f>
        <v/>
      </c>
      <c r="N1633" s="14" t="str">
        <f aca="false">IF($B1633="","",COUNTIFS($B$3:$B1633,$B1633))</f>
        <v/>
      </c>
      <c r="O1633" s="14" t="str">
        <f aca="false">IF($B1633="","",$B1633&amp;"|"&amp;$N1633)</f>
        <v/>
      </c>
    </row>
    <row r="1634" customFormat="false" ht="15" hidden="false" customHeight="false" outlineLevel="0" collapsed="false">
      <c r="A1634" s="12"/>
      <c r="B1634" s="9"/>
      <c r="C1634" s="9"/>
      <c r="D1634" s="9"/>
      <c r="E1634" s="9"/>
      <c r="F1634" s="9"/>
      <c r="G1634" s="9"/>
      <c r="H1634" s="7"/>
      <c r="I1634" s="13" t="str">
        <f aca="false">IF(OR($G1634="",$H1634=""),"",ROUND($G1634*$H1634,0))</f>
        <v/>
      </c>
      <c r="J1634" s="8"/>
      <c r="K1634" s="13" t="str">
        <f aca="false">IF($B1634="","",SUMIFS($I$3:$I$2002,$B$3:$B$2002,$B1634))</f>
        <v/>
      </c>
      <c r="L1634" s="13" t="str">
        <f aca="false">IF($B1634="","",IF(COUNTIFS($B$3:$B1634,$B1634)&gt;1,0,IFERROR(LOOKUP($K1634,배송비규정!$A$3:$A$32,배송비규정!$B$3:$B$32),0)+IFERROR(INDEX(지역추가비!$B$3:$B$42,MATCH($J1634,지역추가비!$A$3:$A$42,0)),0)))</f>
        <v/>
      </c>
      <c r="M1634" s="13" t="str">
        <f aca="false">IF($B1634="","",IF(COUNTIFS($B$3:$B1634,$B1634)&gt;1,"",$K1634+$L1634))</f>
        <v/>
      </c>
      <c r="N1634" s="14" t="str">
        <f aca="false">IF($B1634="","",COUNTIFS($B$3:$B1634,$B1634))</f>
        <v/>
      </c>
      <c r="O1634" s="14" t="str">
        <f aca="false">IF($B1634="","",$B1634&amp;"|"&amp;$N1634)</f>
        <v/>
      </c>
    </row>
    <row r="1635" customFormat="false" ht="15" hidden="false" customHeight="false" outlineLevel="0" collapsed="false">
      <c r="A1635" s="12"/>
      <c r="B1635" s="9"/>
      <c r="C1635" s="9"/>
      <c r="D1635" s="9"/>
      <c r="E1635" s="9"/>
      <c r="F1635" s="9"/>
      <c r="G1635" s="9"/>
      <c r="H1635" s="7"/>
      <c r="I1635" s="13" t="str">
        <f aca="false">IF(OR($G1635="",$H1635=""),"",ROUND($G1635*$H1635,0))</f>
        <v/>
      </c>
      <c r="J1635" s="8"/>
      <c r="K1635" s="13" t="str">
        <f aca="false">IF($B1635="","",SUMIFS($I$3:$I$2002,$B$3:$B$2002,$B1635))</f>
        <v/>
      </c>
      <c r="L1635" s="13" t="str">
        <f aca="false">IF($B1635="","",IF(COUNTIFS($B$3:$B1635,$B1635)&gt;1,0,IFERROR(LOOKUP($K1635,배송비규정!$A$3:$A$32,배송비규정!$B$3:$B$32),0)+IFERROR(INDEX(지역추가비!$B$3:$B$42,MATCH($J1635,지역추가비!$A$3:$A$42,0)),0)))</f>
        <v/>
      </c>
      <c r="M1635" s="13" t="str">
        <f aca="false">IF($B1635="","",IF(COUNTIFS($B$3:$B1635,$B1635)&gt;1,"",$K1635+$L1635))</f>
        <v/>
      </c>
      <c r="N1635" s="14" t="str">
        <f aca="false">IF($B1635="","",COUNTIFS($B$3:$B1635,$B1635))</f>
        <v/>
      </c>
      <c r="O1635" s="14" t="str">
        <f aca="false">IF($B1635="","",$B1635&amp;"|"&amp;$N1635)</f>
        <v/>
      </c>
    </row>
    <row r="1636" customFormat="false" ht="15" hidden="false" customHeight="false" outlineLevel="0" collapsed="false">
      <c r="A1636" s="12"/>
      <c r="B1636" s="9"/>
      <c r="C1636" s="9"/>
      <c r="D1636" s="9"/>
      <c r="E1636" s="9"/>
      <c r="F1636" s="9"/>
      <c r="G1636" s="9"/>
      <c r="H1636" s="7"/>
      <c r="I1636" s="13" t="str">
        <f aca="false">IF(OR($G1636="",$H1636=""),"",ROUND($G1636*$H1636,0))</f>
        <v/>
      </c>
      <c r="J1636" s="8"/>
      <c r="K1636" s="13" t="str">
        <f aca="false">IF($B1636="","",SUMIFS($I$3:$I$2002,$B$3:$B$2002,$B1636))</f>
        <v/>
      </c>
      <c r="L1636" s="13" t="str">
        <f aca="false">IF($B1636="","",IF(COUNTIFS($B$3:$B1636,$B1636)&gt;1,0,IFERROR(LOOKUP($K1636,배송비규정!$A$3:$A$32,배송비규정!$B$3:$B$32),0)+IFERROR(INDEX(지역추가비!$B$3:$B$42,MATCH($J1636,지역추가비!$A$3:$A$42,0)),0)))</f>
        <v/>
      </c>
      <c r="M1636" s="13" t="str">
        <f aca="false">IF($B1636="","",IF(COUNTIFS($B$3:$B1636,$B1636)&gt;1,"",$K1636+$L1636))</f>
        <v/>
      </c>
      <c r="N1636" s="14" t="str">
        <f aca="false">IF($B1636="","",COUNTIFS($B$3:$B1636,$B1636))</f>
        <v/>
      </c>
      <c r="O1636" s="14" t="str">
        <f aca="false">IF($B1636="","",$B1636&amp;"|"&amp;$N1636)</f>
        <v/>
      </c>
    </row>
    <row r="1637" customFormat="false" ht="15" hidden="false" customHeight="false" outlineLevel="0" collapsed="false">
      <c r="A1637" s="12"/>
      <c r="B1637" s="9"/>
      <c r="C1637" s="9"/>
      <c r="D1637" s="9"/>
      <c r="E1637" s="9"/>
      <c r="F1637" s="9"/>
      <c r="G1637" s="9"/>
      <c r="H1637" s="7"/>
      <c r="I1637" s="13" t="str">
        <f aca="false">IF(OR($G1637="",$H1637=""),"",ROUND($G1637*$H1637,0))</f>
        <v/>
      </c>
      <c r="J1637" s="8"/>
      <c r="K1637" s="13" t="str">
        <f aca="false">IF($B1637="","",SUMIFS($I$3:$I$2002,$B$3:$B$2002,$B1637))</f>
        <v/>
      </c>
      <c r="L1637" s="13" t="str">
        <f aca="false">IF($B1637="","",IF(COUNTIFS($B$3:$B1637,$B1637)&gt;1,0,IFERROR(LOOKUP($K1637,배송비규정!$A$3:$A$32,배송비규정!$B$3:$B$32),0)+IFERROR(INDEX(지역추가비!$B$3:$B$42,MATCH($J1637,지역추가비!$A$3:$A$42,0)),0)))</f>
        <v/>
      </c>
      <c r="M1637" s="13" t="str">
        <f aca="false">IF($B1637="","",IF(COUNTIFS($B$3:$B1637,$B1637)&gt;1,"",$K1637+$L1637))</f>
        <v/>
      </c>
      <c r="N1637" s="14" t="str">
        <f aca="false">IF($B1637="","",COUNTIFS($B$3:$B1637,$B1637))</f>
        <v/>
      </c>
      <c r="O1637" s="14" t="str">
        <f aca="false">IF($B1637="","",$B1637&amp;"|"&amp;$N1637)</f>
        <v/>
      </c>
    </row>
    <row r="1638" customFormat="false" ht="15" hidden="false" customHeight="false" outlineLevel="0" collapsed="false">
      <c r="A1638" s="12"/>
      <c r="B1638" s="9"/>
      <c r="C1638" s="9"/>
      <c r="D1638" s="9"/>
      <c r="E1638" s="9"/>
      <c r="F1638" s="9"/>
      <c r="G1638" s="9"/>
      <c r="H1638" s="7"/>
      <c r="I1638" s="13" t="str">
        <f aca="false">IF(OR($G1638="",$H1638=""),"",ROUND($G1638*$H1638,0))</f>
        <v/>
      </c>
      <c r="J1638" s="8"/>
      <c r="K1638" s="13" t="str">
        <f aca="false">IF($B1638="","",SUMIFS($I$3:$I$2002,$B$3:$B$2002,$B1638))</f>
        <v/>
      </c>
      <c r="L1638" s="13" t="str">
        <f aca="false">IF($B1638="","",IF(COUNTIFS($B$3:$B1638,$B1638)&gt;1,0,IFERROR(LOOKUP($K1638,배송비규정!$A$3:$A$32,배송비규정!$B$3:$B$32),0)+IFERROR(INDEX(지역추가비!$B$3:$B$42,MATCH($J1638,지역추가비!$A$3:$A$42,0)),0)))</f>
        <v/>
      </c>
      <c r="M1638" s="13" t="str">
        <f aca="false">IF($B1638="","",IF(COUNTIFS($B$3:$B1638,$B1638)&gt;1,"",$K1638+$L1638))</f>
        <v/>
      </c>
      <c r="N1638" s="14" t="str">
        <f aca="false">IF($B1638="","",COUNTIFS($B$3:$B1638,$B1638))</f>
        <v/>
      </c>
      <c r="O1638" s="14" t="str">
        <f aca="false">IF($B1638="","",$B1638&amp;"|"&amp;$N1638)</f>
        <v/>
      </c>
    </row>
    <row r="1639" customFormat="false" ht="15" hidden="false" customHeight="false" outlineLevel="0" collapsed="false">
      <c r="A1639" s="12"/>
      <c r="B1639" s="9"/>
      <c r="C1639" s="9"/>
      <c r="D1639" s="9"/>
      <c r="E1639" s="9"/>
      <c r="F1639" s="9"/>
      <c r="G1639" s="9"/>
      <c r="H1639" s="7"/>
      <c r="I1639" s="13" t="str">
        <f aca="false">IF(OR($G1639="",$H1639=""),"",ROUND($G1639*$H1639,0))</f>
        <v/>
      </c>
      <c r="J1639" s="8"/>
      <c r="K1639" s="13" t="str">
        <f aca="false">IF($B1639="","",SUMIFS($I$3:$I$2002,$B$3:$B$2002,$B1639))</f>
        <v/>
      </c>
      <c r="L1639" s="13" t="str">
        <f aca="false">IF($B1639="","",IF(COUNTIFS($B$3:$B1639,$B1639)&gt;1,0,IFERROR(LOOKUP($K1639,배송비규정!$A$3:$A$32,배송비규정!$B$3:$B$32),0)+IFERROR(INDEX(지역추가비!$B$3:$B$42,MATCH($J1639,지역추가비!$A$3:$A$42,0)),0)))</f>
        <v/>
      </c>
      <c r="M1639" s="13" t="str">
        <f aca="false">IF($B1639="","",IF(COUNTIFS($B$3:$B1639,$B1639)&gt;1,"",$K1639+$L1639))</f>
        <v/>
      </c>
      <c r="N1639" s="14" t="str">
        <f aca="false">IF($B1639="","",COUNTIFS($B$3:$B1639,$B1639))</f>
        <v/>
      </c>
      <c r="O1639" s="14" t="str">
        <f aca="false">IF($B1639="","",$B1639&amp;"|"&amp;$N1639)</f>
        <v/>
      </c>
    </row>
    <row r="1640" customFormat="false" ht="15" hidden="false" customHeight="false" outlineLevel="0" collapsed="false">
      <c r="A1640" s="12"/>
      <c r="B1640" s="9"/>
      <c r="C1640" s="9"/>
      <c r="D1640" s="9"/>
      <c r="E1640" s="9"/>
      <c r="F1640" s="9"/>
      <c r="G1640" s="9"/>
      <c r="H1640" s="7"/>
      <c r="I1640" s="13" t="str">
        <f aca="false">IF(OR($G1640="",$H1640=""),"",ROUND($G1640*$H1640,0))</f>
        <v/>
      </c>
      <c r="J1640" s="8"/>
      <c r="K1640" s="13" t="str">
        <f aca="false">IF($B1640="","",SUMIFS($I$3:$I$2002,$B$3:$B$2002,$B1640))</f>
        <v/>
      </c>
      <c r="L1640" s="13" t="str">
        <f aca="false">IF($B1640="","",IF(COUNTIFS($B$3:$B1640,$B1640)&gt;1,0,IFERROR(LOOKUP($K1640,배송비규정!$A$3:$A$32,배송비규정!$B$3:$B$32),0)+IFERROR(INDEX(지역추가비!$B$3:$B$42,MATCH($J1640,지역추가비!$A$3:$A$42,0)),0)))</f>
        <v/>
      </c>
      <c r="M1640" s="13" t="str">
        <f aca="false">IF($B1640="","",IF(COUNTIFS($B$3:$B1640,$B1640)&gt;1,"",$K1640+$L1640))</f>
        <v/>
      </c>
      <c r="N1640" s="14" t="str">
        <f aca="false">IF($B1640="","",COUNTIFS($B$3:$B1640,$B1640))</f>
        <v/>
      </c>
      <c r="O1640" s="14" t="str">
        <f aca="false">IF($B1640="","",$B1640&amp;"|"&amp;$N1640)</f>
        <v/>
      </c>
    </row>
    <row r="1641" customFormat="false" ht="15" hidden="false" customHeight="false" outlineLevel="0" collapsed="false">
      <c r="A1641" s="12"/>
      <c r="B1641" s="9"/>
      <c r="C1641" s="9"/>
      <c r="D1641" s="9"/>
      <c r="E1641" s="9"/>
      <c r="F1641" s="9"/>
      <c r="G1641" s="9"/>
      <c r="H1641" s="7"/>
      <c r="I1641" s="13" t="str">
        <f aca="false">IF(OR($G1641="",$H1641=""),"",ROUND($G1641*$H1641,0))</f>
        <v/>
      </c>
      <c r="J1641" s="8"/>
      <c r="K1641" s="13" t="str">
        <f aca="false">IF($B1641="","",SUMIFS($I$3:$I$2002,$B$3:$B$2002,$B1641))</f>
        <v/>
      </c>
      <c r="L1641" s="13" t="str">
        <f aca="false">IF($B1641="","",IF(COUNTIFS($B$3:$B1641,$B1641)&gt;1,0,IFERROR(LOOKUP($K1641,배송비규정!$A$3:$A$32,배송비규정!$B$3:$B$32),0)+IFERROR(INDEX(지역추가비!$B$3:$B$42,MATCH($J1641,지역추가비!$A$3:$A$42,0)),0)))</f>
        <v/>
      </c>
      <c r="M1641" s="13" t="str">
        <f aca="false">IF($B1641="","",IF(COUNTIFS($B$3:$B1641,$B1641)&gt;1,"",$K1641+$L1641))</f>
        <v/>
      </c>
      <c r="N1641" s="14" t="str">
        <f aca="false">IF($B1641="","",COUNTIFS($B$3:$B1641,$B1641))</f>
        <v/>
      </c>
      <c r="O1641" s="14" t="str">
        <f aca="false">IF($B1641="","",$B1641&amp;"|"&amp;$N1641)</f>
        <v/>
      </c>
    </row>
    <row r="1642" customFormat="false" ht="15" hidden="false" customHeight="false" outlineLevel="0" collapsed="false">
      <c r="A1642" s="12"/>
      <c r="B1642" s="9"/>
      <c r="C1642" s="9"/>
      <c r="D1642" s="9"/>
      <c r="E1642" s="9"/>
      <c r="F1642" s="9"/>
      <c r="G1642" s="9"/>
      <c r="H1642" s="7"/>
      <c r="I1642" s="13" t="str">
        <f aca="false">IF(OR($G1642="",$H1642=""),"",ROUND($G1642*$H1642,0))</f>
        <v/>
      </c>
      <c r="J1642" s="8"/>
      <c r="K1642" s="13" t="str">
        <f aca="false">IF($B1642="","",SUMIFS($I$3:$I$2002,$B$3:$B$2002,$B1642))</f>
        <v/>
      </c>
      <c r="L1642" s="13" t="str">
        <f aca="false">IF($B1642="","",IF(COUNTIFS($B$3:$B1642,$B1642)&gt;1,0,IFERROR(LOOKUP($K1642,배송비규정!$A$3:$A$32,배송비규정!$B$3:$B$32),0)+IFERROR(INDEX(지역추가비!$B$3:$B$42,MATCH($J1642,지역추가비!$A$3:$A$42,0)),0)))</f>
        <v/>
      </c>
      <c r="M1642" s="13" t="str">
        <f aca="false">IF($B1642="","",IF(COUNTIFS($B$3:$B1642,$B1642)&gt;1,"",$K1642+$L1642))</f>
        <v/>
      </c>
      <c r="N1642" s="14" t="str">
        <f aca="false">IF($B1642="","",COUNTIFS($B$3:$B1642,$B1642))</f>
        <v/>
      </c>
      <c r="O1642" s="14" t="str">
        <f aca="false">IF($B1642="","",$B1642&amp;"|"&amp;$N1642)</f>
        <v/>
      </c>
    </row>
    <row r="1643" customFormat="false" ht="15" hidden="false" customHeight="false" outlineLevel="0" collapsed="false">
      <c r="A1643" s="12"/>
      <c r="B1643" s="9"/>
      <c r="C1643" s="9"/>
      <c r="D1643" s="9"/>
      <c r="E1643" s="9"/>
      <c r="F1643" s="9"/>
      <c r="G1643" s="9"/>
      <c r="H1643" s="7"/>
      <c r="I1643" s="13" t="str">
        <f aca="false">IF(OR($G1643="",$H1643=""),"",ROUND($G1643*$H1643,0))</f>
        <v/>
      </c>
      <c r="J1643" s="8"/>
      <c r="K1643" s="13" t="str">
        <f aca="false">IF($B1643="","",SUMIFS($I$3:$I$2002,$B$3:$B$2002,$B1643))</f>
        <v/>
      </c>
      <c r="L1643" s="13" t="str">
        <f aca="false">IF($B1643="","",IF(COUNTIFS($B$3:$B1643,$B1643)&gt;1,0,IFERROR(LOOKUP($K1643,배송비규정!$A$3:$A$32,배송비규정!$B$3:$B$32),0)+IFERROR(INDEX(지역추가비!$B$3:$B$42,MATCH($J1643,지역추가비!$A$3:$A$42,0)),0)))</f>
        <v/>
      </c>
      <c r="M1643" s="13" t="str">
        <f aca="false">IF($B1643="","",IF(COUNTIFS($B$3:$B1643,$B1643)&gt;1,"",$K1643+$L1643))</f>
        <v/>
      </c>
      <c r="N1643" s="14" t="str">
        <f aca="false">IF($B1643="","",COUNTIFS($B$3:$B1643,$B1643))</f>
        <v/>
      </c>
      <c r="O1643" s="14" t="str">
        <f aca="false">IF($B1643="","",$B1643&amp;"|"&amp;$N1643)</f>
        <v/>
      </c>
    </row>
    <row r="1644" customFormat="false" ht="15" hidden="false" customHeight="false" outlineLevel="0" collapsed="false">
      <c r="A1644" s="12"/>
      <c r="B1644" s="9"/>
      <c r="C1644" s="9"/>
      <c r="D1644" s="9"/>
      <c r="E1644" s="9"/>
      <c r="F1644" s="9"/>
      <c r="G1644" s="9"/>
      <c r="H1644" s="7"/>
      <c r="I1644" s="13" t="str">
        <f aca="false">IF(OR($G1644="",$H1644=""),"",ROUND($G1644*$H1644,0))</f>
        <v/>
      </c>
      <c r="J1644" s="8"/>
      <c r="K1644" s="13" t="str">
        <f aca="false">IF($B1644="","",SUMIFS($I$3:$I$2002,$B$3:$B$2002,$B1644))</f>
        <v/>
      </c>
      <c r="L1644" s="13" t="str">
        <f aca="false">IF($B1644="","",IF(COUNTIFS($B$3:$B1644,$B1644)&gt;1,0,IFERROR(LOOKUP($K1644,배송비규정!$A$3:$A$32,배송비규정!$B$3:$B$32),0)+IFERROR(INDEX(지역추가비!$B$3:$B$42,MATCH($J1644,지역추가비!$A$3:$A$42,0)),0)))</f>
        <v/>
      </c>
      <c r="M1644" s="13" t="str">
        <f aca="false">IF($B1644="","",IF(COUNTIFS($B$3:$B1644,$B1644)&gt;1,"",$K1644+$L1644))</f>
        <v/>
      </c>
      <c r="N1644" s="14" t="str">
        <f aca="false">IF($B1644="","",COUNTIFS($B$3:$B1644,$B1644))</f>
        <v/>
      </c>
      <c r="O1644" s="14" t="str">
        <f aca="false">IF($B1644="","",$B1644&amp;"|"&amp;$N1644)</f>
        <v/>
      </c>
    </row>
    <row r="1645" customFormat="false" ht="15" hidden="false" customHeight="false" outlineLevel="0" collapsed="false">
      <c r="A1645" s="12"/>
      <c r="B1645" s="9"/>
      <c r="C1645" s="9"/>
      <c r="D1645" s="9"/>
      <c r="E1645" s="9"/>
      <c r="F1645" s="9"/>
      <c r="G1645" s="9"/>
      <c r="H1645" s="7"/>
      <c r="I1645" s="13" t="str">
        <f aca="false">IF(OR($G1645="",$H1645=""),"",ROUND($G1645*$H1645,0))</f>
        <v/>
      </c>
      <c r="J1645" s="8"/>
      <c r="K1645" s="13" t="str">
        <f aca="false">IF($B1645="","",SUMIFS($I$3:$I$2002,$B$3:$B$2002,$B1645))</f>
        <v/>
      </c>
      <c r="L1645" s="13" t="str">
        <f aca="false">IF($B1645="","",IF(COUNTIFS($B$3:$B1645,$B1645)&gt;1,0,IFERROR(LOOKUP($K1645,배송비규정!$A$3:$A$32,배송비규정!$B$3:$B$32),0)+IFERROR(INDEX(지역추가비!$B$3:$B$42,MATCH($J1645,지역추가비!$A$3:$A$42,0)),0)))</f>
        <v/>
      </c>
      <c r="M1645" s="13" t="str">
        <f aca="false">IF($B1645="","",IF(COUNTIFS($B$3:$B1645,$B1645)&gt;1,"",$K1645+$L1645))</f>
        <v/>
      </c>
      <c r="N1645" s="14" t="str">
        <f aca="false">IF($B1645="","",COUNTIFS($B$3:$B1645,$B1645))</f>
        <v/>
      </c>
      <c r="O1645" s="14" t="str">
        <f aca="false">IF($B1645="","",$B1645&amp;"|"&amp;$N1645)</f>
        <v/>
      </c>
    </row>
    <row r="1646" customFormat="false" ht="15" hidden="false" customHeight="false" outlineLevel="0" collapsed="false">
      <c r="A1646" s="12"/>
      <c r="B1646" s="9"/>
      <c r="C1646" s="9"/>
      <c r="D1646" s="9"/>
      <c r="E1646" s="9"/>
      <c r="F1646" s="9"/>
      <c r="G1646" s="9"/>
      <c r="H1646" s="7"/>
      <c r="I1646" s="13" t="str">
        <f aca="false">IF(OR($G1646="",$H1646=""),"",ROUND($G1646*$H1646,0))</f>
        <v/>
      </c>
      <c r="J1646" s="8"/>
      <c r="K1646" s="13" t="str">
        <f aca="false">IF($B1646="","",SUMIFS($I$3:$I$2002,$B$3:$B$2002,$B1646))</f>
        <v/>
      </c>
      <c r="L1646" s="13" t="str">
        <f aca="false">IF($B1646="","",IF(COUNTIFS($B$3:$B1646,$B1646)&gt;1,0,IFERROR(LOOKUP($K1646,배송비규정!$A$3:$A$32,배송비규정!$B$3:$B$32),0)+IFERROR(INDEX(지역추가비!$B$3:$B$42,MATCH($J1646,지역추가비!$A$3:$A$42,0)),0)))</f>
        <v/>
      </c>
      <c r="M1646" s="13" t="str">
        <f aca="false">IF($B1646="","",IF(COUNTIFS($B$3:$B1646,$B1646)&gt;1,"",$K1646+$L1646))</f>
        <v/>
      </c>
      <c r="N1646" s="14" t="str">
        <f aca="false">IF($B1646="","",COUNTIFS($B$3:$B1646,$B1646))</f>
        <v/>
      </c>
      <c r="O1646" s="14" t="str">
        <f aca="false">IF($B1646="","",$B1646&amp;"|"&amp;$N1646)</f>
        <v/>
      </c>
    </row>
    <row r="1647" customFormat="false" ht="15" hidden="false" customHeight="false" outlineLevel="0" collapsed="false">
      <c r="A1647" s="12"/>
      <c r="B1647" s="9"/>
      <c r="C1647" s="9"/>
      <c r="D1647" s="9"/>
      <c r="E1647" s="9"/>
      <c r="F1647" s="9"/>
      <c r="G1647" s="9"/>
      <c r="H1647" s="7"/>
      <c r="I1647" s="13" t="str">
        <f aca="false">IF(OR($G1647="",$H1647=""),"",ROUND($G1647*$H1647,0))</f>
        <v/>
      </c>
      <c r="J1647" s="8"/>
      <c r="K1647" s="13" t="str">
        <f aca="false">IF($B1647="","",SUMIFS($I$3:$I$2002,$B$3:$B$2002,$B1647))</f>
        <v/>
      </c>
      <c r="L1647" s="13" t="str">
        <f aca="false">IF($B1647="","",IF(COUNTIFS($B$3:$B1647,$B1647)&gt;1,0,IFERROR(LOOKUP($K1647,배송비규정!$A$3:$A$32,배송비규정!$B$3:$B$32),0)+IFERROR(INDEX(지역추가비!$B$3:$B$42,MATCH($J1647,지역추가비!$A$3:$A$42,0)),0)))</f>
        <v/>
      </c>
      <c r="M1647" s="13" t="str">
        <f aca="false">IF($B1647="","",IF(COUNTIFS($B$3:$B1647,$B1647)&gt;1,"",$K1647+$L1647))</f>
        <v/>
      </c>
      <c r="N1647" s="14" t="str">
        <f aca="false">IF($B1647="","",COUNTIFS($B$3:$B1647,$B1647))</f>
        <v/>
      </c>
      <c r="O1647" s="14" t="str">
        <f aca="false">IF($B1647="","",$B1647&amp;"|"&amp;$N1647)</f>
        <v/>
      </c>
    </row>
    <row r="1648" customFormat="false" ht="15" hidden="false" customHeight="false" outlineLevel="0" collapsed="false">
      <c r="A1648" s="12"/>
      <c r="B1648" s="9"/>
      <c r="C1648" s="9"/>
      <c r="D1648" s="9"/>
      <c r="E1648" s="9"/>
      <c r="F1648" s="9"/>
      <c r="G1648" s="9"/>
      <c r="H1648" s="7"/>
      <c r="I1648" s="13" t="str">
        <f aca="false">IF(OR($G1648="",$H1648=""),"",ROUND($G1648*$H1648,0))</f>
        <v/>
      </c>
      <c r="J1648" s="8"/>
      <c r="K1648" s="13" t="str">
        <f aca="false">IF($B1648="","",SUMIFS($I$3:$I$2002,$B$3:$B$2002,$B1648))</f>
        <v/>
      </c>
      <c r="L1648" s="13" t="str">
        <f aca="false">IF($B1648="","",IF(COUNTIFS($B$3:$B1648,$B1648)&gt;1,0,IFERROR(LOOKUP($K1648,배송비규정!$A$3:$A$32,배송비규정!$B$3:$B$32),0)+IFERROR(INDEX(지역추가비!$B$3:$B$42,MATCH($J1648,지역추가비!$A$3:$A$42,0)),0)))</f>
        <v/>
      </c>
      <c r="M1648" s="13" t="str">
        <f aca="false">IF($B1648="","",IF(COUNTIFS($B$3:$B1648,$B1648)&gt;1,"",$K1648+$L1648))</f>
        <v/>
      </c>
      <c r="N1648" s="14" t="str">
        <f aca="false">IF($B1648="","",COUNTIFS($B$3:$B1648,$B1648))</f>
        <v/>
      </c>
      <c r="O1648" s="14" t="str">
        <f aca="false">IF($B1648="","",$B1648&amp;"|"&amp;$N1648)</f>
        <v/>
      </c>
    </row>
    <row r="1649" customFormat="false" ht="15" hidden="false" customHeight="false" outlineLevel="0" collapsed="false">
      <c r="A1649" s="12"/>
      <c r="B1649" s="9"/>
      <c r="C1649" s="9"/>
      <c r="D1649" s="9"/>
      <c r="E1649" s="9"/>
      <c r="F1649" s="9"/>
      <c r="G1649" s="9"/>
      <c r="H1649" s="7"/>
      <c r="I1649" s="13" t="str">
        <f aca="false">IF(OR($G1649="",$H1649=""),"",ROUND($G1649*$H1649,0))</f>
        <v/>
      </c>
      <c r="J1649" s="8"/>
      <c r="K1649" s="13" t="str">
        <f aca="false">IF($B1649="","",SUMIFS($I$3:$I$2002,$B$3:$B$2002,$B1649))</f>
        <v/>
      </c>
      <c r="L1649" s="13" t="str">
        <f aca="false">IF($B1649="","",IF(COUNTIFS($B$3:$B1649,$B1649)&gt;1,0,IFERROR(LOOKUP($K1649,배송비규정!$A$3:$A$32,배송비규정!$B$3:$B$32),0)+IFERROR(INDEX(지역추가비!$B$3:$B$42,MATCH($J1649,지역추가비!$A$3:$A$42,0)),0)))</f>
        <v/>
      </c>
      <c r="M1649" s="13" t="str">
        <f aca="false">IF($B1649="","",IF(COUNTIFS($B$3:$B1649,$B1649)&gt;1,"",$K1649+$L1649))</f>
        <v/>
      </c>
      <c r="N1649" s="14" t="str">
        <f aca="false">IF($B1649="","",COUNTIFS($B$3:$B1649,$B1649))</f>
        <v/>
      </c>
      <c r="O1649" s="14" t="str">
        <f aca="false">IF($B1649="","",$B1649&amp;"|"&amp;$N1649)</f>
        <v/>
      </c>
    </row>
    <row r="1650" customFormat="false" ht="15" hidden="false" customHeight="false" outlineLevel="0" collapsed="false">
      <c r="A1650" s="12"/>
      <c r="B1650" s="9"/>
      <c r="C1650" s="9"/>
      <c r="D1650" s="9"/>
      <c r="E1650" s="9"/>
      <c r="F1650" s="9"/>
      <c r="G1650" s="9"/>
      <c r="H1650" s="7"/>
      <c r="I1650" s="13" t="str">
        <f aca="false">IF(OR($G1650="",$H1650=""),"",ROUND($G1650*$H1650,0))</f>
        <v/>
      </c>
      <c r="J1650" s="8"/>
      <c r="K1650" s="13" t="str">
        <f aca="false">IF($B1650="","",SUMIFS($I$3:$I$2002,$B$3:$B$2002,$B1650))</f>
        <v/>
      </c>
      <c r="L1650" s="13" t="str">
        <f aca="false">IF($B1650="","",IF(COUNTIFS($B$3:$B1650,$B1650)&gt;1,0,IFERROR(LOOKUP($K1650,배송비규정!$A$3:$A$32,배송비규정!$B$3:$B$32),0)+IFERROR(INDEX(지역추가비!$B$3:$B$42,MATCH($J1650,지역추가비!$A$3:$A$42,0)),0)))</f>
        <v/>
      </c>
      <c r="M1650" s="13" t="str">
        <f aca="false">IF($B1650="","",IF(COUNTIFS($B$3:$B1650,$B1650)&gt;1,"",$K1650+$L1650))</f>
        <v/>
      </c>
      <c r="N1650" s="14" t="str">
        <f aca="false">IF($B1650="","",COUNTIFS($B$3:$B1650,$B1650))</f>
        <v/>
      </c>
      <c r="O1650" s="14" t="str">
        <f aca="false">IF($B1650="","",$B1650&amp;"|"&amp;$N1650)</f>
        <v/>
      </c>
    </row>
    <row r="1651" customFormat="false" ht="15" hidden="false" customHeight="false" outlineLevel="0" collapsed="false">
      <c r="A1651" s="12"/>
      <c r="B1651" s="9"/>
      <c r="C1651" s="9"/>
      <c r="D1651" s="9"/>
      <c r="E1651" s="9"/>
      <c r="F1651" s="9"/>
      <c r="G1651" s="9"/>
      <c r="H1651" s="7"/>
      <c r="I1651" s="13" t="str">
        <f aca="false">IF(OR($G1651="",$H1651=""),"",ROUND($G1651*$H1651,0))</f>
        <v/>
      </c>
      <c r="J1651" s="8"/>
      <c r="K1651" s="13" t="str">
        <f aca="false">IF($B1651="","",SUMIFS($I$3:$I$2002,$B$3:$B$2002,$B1651))</f>
        <v/>
      </c>
      <c r="L1651" s="13" t="str">
        <f aca="false">IF($B1651="","",IF(COUNTIFS($B$3:$B1651,$B1651)&gt;1,0,IFERROR(LOOKUP($K1651,배송비규정!$A$3:$A$32,배송비규정!$B$3:$B$32),0)+IFERROR(INDEX(지역추가비!$B$3:$B$42,MATCH($J1651,지역추가비!$A$3:$A$42,0)),0)))</f>
        <v/>
      </c>
      <c r="M1651" s="13" t="str">
        <f aca="false">IF($B1651="","",IF(COUNTIFS($B$3:$B1651,$B1651)&gt;1,"",$K1651+$L1651))</f>
        <v/>
      </c>
      <c r="N1651" s="14" t="str">
        <f aca="false">IF($B1651="","",COUNTIFS($B$3:$B1651,$B1651))</f>
        <v/>
      </c>
      <c r="O1651" s="14" t="str">
        <f aca="false">IF($B1651="","",$B1651&amp;"|"&amp;$N1651)</f>
        <v/>
      </c>
    </row>
    <row r="1652" customFormat="false" ht="15" hidden="false" customHeight="false" outlineLevel="0" collapsed="false">
      <c r="A1652" s="12"/>
      <c r="B1652" s="9"/>
      <c r="C1652" s="9"/>
      <c r="D1652" s="9"/>
      <c r="E1652" s="9"/>
      <c r="F1652" s="9"/>
      <c r="G1652" s="9"/>
      <c r="H1652" s="7"/>
      <c r="I1652" s="13" t="str">
        <f aca="false">IF(OR($G1652="",$H1652=""),"",ROUND($G1652*$H1652,0))</f>
        <v/>
      </c>
      <c r="J1652" s="8"/>
      <c r="K1652" s="13" t="str">
        <f aca="false">IF($B1652="","",SUMIFS($I$3:$I$2002,$B$3:$B$2002,$B1652))</f>
        <v/>
      </c>
      <c r="L1652" s="13" t="str">
        <f aca="false">IF($B1652="","",IF(COUNTIFS($B$3:$B1652,$B1652)&gt;1,0,IFERROR(LOOKUP($K1652,배송비규정!$A$3:$A$32,배송비규정!$B$3:$B$32),0)+IFERROR(INDEX(지역추가비!$B$3:$B$42,MATCH($J1652,지역추가비!$A$3:$A$42,0)),0)))</f>
        <v/>
      </c>
      <c r="M1652" s="13" t="str">
        <f aca="false">IF($B1652="","",IF(COUNTIFS($B$3:$B1652,$B1652)&gt;1,"",$K1652+$L1652))</f>
        <v/>
      </c>
      <c r="N1652" s="14" t="str">
        <f aca="false">IF($B1652="","",COUNTIFS($B$3:$B1652,$B1652))</f>
        <v/>
      </c>
      <c r="O1652" s="14" t="str">
        <f aca="false">IF($B1652="","",$B1652&amp;"|"&amp;$N1652)</f>
        <v/>
      </c>
    </row>
    <row r="1653" customFormat="false" ht="15" hidden="false" customHeight="false" outlineLevel="0" collapsed="false">
      <c r="A1653" s="12"/>
      <c r="B1653" s="9"/>
      <c r="C1653" s="9"/>
      <c r="D1653" s="9"/>
      <c r="E1653" s="9"/>
      <c r="F1653" s="9"/>
      <c r="G1653" s="9"/>
      <c r="H1653" s="7"/>
      <c r="I1653" s="13" t="str">
        <f aca="false">IF(OR($G1653="",$H1653=""),"",ROUND($G1653*$H1653,0))</f>
        <v/>
      </c>
      <c r="J1653" s="8"/>
      <c r="K1653" s="13" t="str">
        <f aca="false">IF($B1653="","",SUMIFS($I$3:$I$2002,$B$3:$B$2002,$B1653))</f>
        <v/>
      </c>
      <c r="L1653" s="13" t="str">
        <f aca="false">IF($B1653="","",IF(COUNTIFS($B$3:$B1653,$B1653)&gt;1,0,IFERROR(LOOKUP($K1653,배송비규정!$A$3:$A$32,배송비규정!$B$3:$B$32),0)+IFERROR(INDEX(지역추가비!$B$3:$B$42,MATCH($J1653,지역추가비!$A$3:$A$42,0)),0)))</f>
        <v/>
      </c>
      <c r="M1653" s="13" t="str">
        <f aca="false">IF($B1653="","",IF(COUNTIFS($B$3:$B1653,$B1653)&gt;1,"",$K1653+$L1653))</f>
        <v/>
      </c>
      <c r="N1653" s="14" t="str">
        <f aca="false">IF($B1653="","",COUNTIFS($B$3:$B1653,$B1653))</f>
        <v/>
      </c>
      <c r="O1653" s="14" t="str">
        <f aca="false">IF($B1653="","",$B1653&amp;"|"&amp;$N1653)</f>
        <v/>
      </c>
    </row>
    <row r="1654" customFormat="false" ht="15" hidden="false" customHeight="false" outlineLevel="0" collapsed="false">
      <c r="A1654" s="12"/>
      <c r="B1654" s="9"/>
      <c r="C1654" s="9"/>
      <c r="D1654" s="9"/>
      <c r="E1654" s="9"/>
      <c r="F1654" s="9"/>
      <c r="G1654" s="9"/>
      <c r="H1654" s="7"/>
      <c r="I1654" s="13" t="str">
        <f aca="false">IF(OR($G1654="",$H1654=""),"",ROUND($G1654*$H1654,0))</f>
        <v/>
      </c>
      <c r="J1654" s="8"/>
      <c r="K1654" s="13" t="str">
        <f aca="false">IF($B1654="","",SUMIFS($I$3:$I$2002,$B$3:$B$2002,$B1654))</f>
        <v/>
      </c>
      <c r="L1654" s="13" t="str">
        <f aca="false">IF($B1654="","",IF(COUNTIFS($B$3:$B1654,$B1654)&gt;1,0,IFERROR(LOOKUP($K1654,배송비규정!$A$3:$A$32,배송비규정!$B$3:$B$32),0)+IFERROR(INDEX(지역추가비!$B$3:$B$42,MATCH($J1654,지역추가비!$A$3:$A$42,0)),0)))</f>
        <v/>
      </c>
      <c r="M1654" s="13" t="str">
        <f aca="false">IF($B1654="","",IF(COUNTIFS($B$3:$B1654,$B1654)&gt;1,"",$K1654+$L1654))</f>
        <v/>
      </c>
      <c r="N1654" s="14" t="str">
        <f aca="false">IF($B1654="","",COUNTIFS($B$3:$B1654,$B1654))</f>
        <v/>
      </c>
      <c r="O1654" s="14" t="str">
        <f aca="false">IF($B1654="","",$B1654&amp;"|"&amp;$N1654)</f>
        <v/>
      </c>
    </row>
    <row r="1655" customFormat="false" ht="15" hidden="false" customHeight="false" outlineLevel="0" collapsed="false">
      <c r="A1655" s="12"/>
      <c r="B1655" s="9"/>
      <c r="C1655" s="9"/>
      <c r="D1655" s="9"/>
      <c r="E1655" s="9"/>
      <c r="F1655" s="9"/>
      <c r="G1655" s="9"/>
      <c r="H1655" s="7"/>
      <c r="I1655" s="13" t="str">
        <f aca="false">IF(OR($G1655="",$H1655=""),"",ROUND($G1655*$H1655,0))</f>
        <v/>
      </c>
      <c r="J1655" s="8"/>
      <c r="K1655" s="13" t="str">
        <f aca="false">IF($B1655="","",SUMIFS($I$3:$I$2002,$B$3:$B$2002,$B1655))</f>
        <v/>
      </c>
      <c r="L1655" s="13" t="str">
        <f aca="false">IF($B1655="","",IF(COUNTIFS($B$3:$B1655,$B1655)&gt;1,0,IFERROR(LOOKUP($K1655,배송비규정!$A$3:$A$32,배송비규정!$B$3:$B$32),0)+IFERROR(INDEX(지역추가비!$B$3:$B$42,MATCH($J1655,지역추가비!$A$3:$A$42,0)),0)))</f>
        <v/>
      </c>
      <c r="M1655" s="13" t="str">
        <f aca="false">IF($B1655="","",IF(COUNTIFS($B$3:$B1655,$B1655)&gt;1,"",$K1655+$L1655))</f>
        <v/>
      </c>
      <c r="N1655" s="14" t="str">
        <f aca="false">IF($B1655="","",COUNTIFS($B$3:$B1655,$B1655))</f>
        <v/>
      </c>
      <c r="O1655" s="14" t="str">
        <f aca="false">IF($B1655="","",$B1655&amp;"|"&amp;$N1655)</f>
        <v/>
      </c>
    </row>
    <row r="1656" customFormat="false" ht="15" hidden="false" customHeight="false" outlineLevel="0" collapsed="false">
      <c r="A1656" s="12"/>
      <c r="B1656" s="9"/>
      <c r="C1656" s="9"/>
      <c r="D1656" s="9"/>
      <c r="E1656" s="9"/>
      <c r="F1656" s="9"/>
      <c r="G1656" s="9"/>
      <c r="H1656" s="7"/>
      <c r="I1656" s="13" t="str">
        <f aca="false">IF(OR($G1656="",$H1656=""),"",ROUND($G1656*$H1656,0))</f>
        <v/>
      </c>
      <c r="J1656" s="8"/>
      <c r="K1656" s="13" t="str">
        <f aca="false">IF($B1656="","",SUMIFS($I$3:$I$2002,$B$3:$B$2002,$B1656))</f>
        <v/>
      </c>
      <c r="L1656" s="13" t="str">
        <f aca="false">IF($B1656="","",IF(COUNTIFS($B$3:$B1656,$B1656)&gt;1,0,IFERROR(LOOKUP($K1656,배송비규정!$A$3:$A$32,배송비규정!$B$3:$B$32),0)+IFERROR(INDEX(지역추가비!$B$3:$B$42,MATCH($J1656,지역추가비!$A$3:$A$42,0)),0)))</f>
        <v/>
      </c>
      <c r="M1656" s="13" t="str">
        <f aca="false">IF($B1656="","",IF(COUNTIFS($B$3:$B1656,$B1656)&gt;1,"",$K1656+$L1656))</f>
        <v/>
      </c>
      <c r="N1656" s="14" t="str">
        <f aca="false">IF($B1656="","",COUNTIFS($B$3:$B1656,$B1656))</f>
        <v/>
      </c>
      <c r="O1656" s="14" t="str">
        <f aca="false">IF($B1656="","",$B1656&amp;"|"&amp;$N1656)</f>
        <v/>
      </c>
    </row>
    <row r="1657" customFormat="false" ht="15" hidden="false" customHeight="false" outlineLevel="0" collapsed="false">
      <c r="A1657" s="12"/>
      <c r="B1657" s="9"/>
      <c r="C1657" s="9"/>
      <c r="D1657" s="9"/>
      <c r="E1657" s="9"/>
      <c r="F1657" s="9"/>
      <c r="G1657" s="9"/>
      <c r="H1657" s="7"/>
      <c r="I1657" s="13" t="str">
        <f aca="false">IF(OR($G1657="",$H1657=""),"",ROUND($G1657*$H1657,0))</f>
        <v/>
      </c>
      <c r="J1657" s="8"/>
      <c r="K1657" s="13" t="str">
        <f aca="false">IF($B1657="","",SUMIFS($I$3:$I$2002,$B$3:$B$2002,$B1657))</f>
        <v/>
      </c>
      <c r="L1657" s="13" t="str">
        <f aca="false">IF($B1657="","",IF(COUNTIFS($B$3:$B1657,$B1657)&gt;1,0,IFERROR(LOOKUP($K1657,배송비규정!$A$3:$A$32,배송비규정!$B$3:$B$32),0)+IFERROR(INDEX(지역추가비!$B$3:$B$42,MATCH($J1657,지역추가비!$A$3:$A$42,0)),0)))</f>
        <v/>
      </c>
      <c r="M1657" s="13" t="str">
        <f aca="false">IF($B1657="","",IF(COUNTIFS($B$3:$B1657,$B1657)&gt;1,"",$K1657+$L1657))</f>
        <v/>
      </c>
      <c r="N1657" s="14" t="str">
        <f aca="false">IF($B1657="","",COUNTIFS($B$3:$B1657,$B1657))</f>
        <v/>
      </c>
      <c r="O1657" s="14" t="str">
        <f aca="false">IF($B1657="","",$B1657&amp;"|"&amp;$N1657)</f>
        <v/>
      </c>
    </row>
    <row r="1658" customFormat="false" ht="15" hidden="false" customHeight="false" outlineLevel="0" collapsed="false">
      <c r="A1658" s="12"/>
      <c r="B1658" s="9"/>
      <c r="C1658" s="9"/>
      <c r="D1658" s="9"/>
      <c r="E1658" s="9"/>
      <c r="F1658" s="9"/>
      <c r="G1658" s="9"/>
      <c r="H1658" s="7"/>
      <c r="I1658" s="13" t="str">
        <f aca="false">IF(OR($G1658="",$H1658=""),"",ROUND($G1658*$H1658,0))</f>
        <v/>
      </c>
      <c r="J1658" s="8"/>
      <c r="K1658" s="13" t="str">
        <f aca="false">IF($B1658="","",SUMIFS($I$3:$I$2002,$B$3:$B$2002,$B1658))</f>
        <v/>
      </c>
      <c r="L1658" s="13" t="str">
        <f aca="false">IF($B1658="","",IF(COUNTIFS($B$3:$B1658,$B1658)&gt;1,0,IFERROR(LOOKUP($K1658,배송비규정!$A$3:$A$32,배송비규정!$B$3:$B$32),0)+IFERROR(INDEX(지역추가비!$B$3:$B$42,MATCH($J1658,지역추가비!$A$3:$A$42,0)),0)))</f>
        <v/>
      </c>
      <c r="M1658" s="13" t="str">
        <f aca="false">IF($B1658="","",IF(COUNTIFS($B$3:$B1658,$B1658)&gt;1,"",$K1658+$L1658))</f>
        <v/>
      </c>
      <c r="N1658" s="14" t="str">
        <f aca="false">IF($B1658="","",COUNTIFS($B$3:$B1658,$B1658))</f>
        <v/>
      </c>
      <c r="O1658" s="14" t="str">
        <f aca="false">IF($B1658="","",$B1658&amp;"|"&amp;$N1658)</f>
        <v/>
      </c>
    </row>
    <row r="1659" customFormat="false" ht="15" hidden="false" customHeight="false" outlineLevel="0" collapsed="false">
      <c r="A1659" s="12"/>
      <c r="B1659" s="9"/>
      <c r="C1659" s="9"/>
      <c r="D1659" s="9"/>
      <c r="E1659" s="9"/>
      <c r="F1659" s="9"/>
      <c r="G1659" s="9"/>
      <c r="H1659" s="7"/>
      <c r="I1659" s="13" t="str">
        <f aca="false">IF(OR($G1659="",$H1659=""),"",ROUND($G1659*$H1659,0))</f>
        <v/>
      </c>
      <c r="J1659" s="8"/>
      <c r="K1659" s="13" t="str">
        <f aca="false">IF($B1659="","",SUMIFS($I$3:$I$2002,$B$3:$B$2002,$B1659))</f>
        <v/>
      </c>
      <c r="L1659" s="13" t="str">
        <f aca="false">IF($B1659="","",IF(COUNTIFS($B$3:$B1659,$B1659)&gt;1,0,IFERROR(LOOKUP($K1659,배송비규정!$A$3:$A$32,배송비규정!$B$3:$B$32),0)+IFERROR(INDEX(지역추가비!$B$3:$B$42,MATCH($J1659,지역추가비!$A$3:$A$42,0)),0)))</f>
        <v/>
      </c>
      <c r="M1659" s="13" t="str">
        <f aca="false">IF($B1659="","",IF(COUNTIFS($B$3:$B1659,$B1659)&gt;1,"",$K1659+$L1659))</f>
        <v/>
      </c>
      <c r="N1659" s="14" t="str">
        <f aca="false">IF($B1659="","",COUNTIFS($B$3:$B1659,$B1659))</f>
        <v/>
      </c>
      <c r="O1659" s="14" t="str">
        <f aca="false">IF($B1659="","",$B1659&amp;"|"&amp;$N1659)</f>
        <v/>
      </c>
    </row>
    <row r="1660" customFormat="false" ht="15" hidden="false" customHeight="false" outlineLevel="0" collapsed="false">
      <c r="A1660" s="12"/>
      <c r="B1660" s="9"/>
      <c r="C1660" s="9"/>
      <c r="D1660" s="9"/>
      <c r="E1660" s="9"/>
      <c r="F1660" s="9"/>
      <c r="G1660" s="9"/>
      <c r="H1660" s="7"/>
      <c r="I1660" s="13" t="str">
        <f aca="false">IF(OR($G1660="",$H1660=""),"",ROUND($G1660*$H1660,0))</f>
        <v/>
      </c>
      <c r="J1660" s="8"/>
      <c r="K1660" s="13" t="str">
        <f aca="false">IF($B1660="","",SUMIFS($I$3:$I$2002,$B$3:$B$2002,$B1660))</f>
        <v/>
      </c>
      <c r="L1660" s="13" t="str">
        <f aca="false">IF($B1660="","",IF(COUNTIFS($B$3:$B1660,$B1660)&gt;1,0,IFERROR(LOOKUP($K1660,배송비규정!$A$3:$A$32,배송비규정!$B$3:$B$32),0)+IFERROR(INDEX(지역추가비!$B$3:$B$42,MATCH($J1660,지역추가비!$A$3:$A$42,0)),0)))</f>
        <v/>
      </c>
      <c r="M1660" s="13" t="str">
        <f aca="false">IF($B1660="","",IF(COUNTIFS($B$3:$B1660,$B1660)&gt;1,"",$K1660+$L1660))</f>
        <v/>
      </c>
      <c r="N1660" s="14" t="str">
        <f aca="false">IF($B1660="","",COUNTIFS($B$3:$B1660,$B1660))</f>
        <v/>
      </c>
      <c r="O1660" s="14" t="str">
        <f aca="false">IF($B1660="","",$B1660&amp;"|"&amp;$N1660)</f>
        <v/>
      </c>
    </row>
    <row r="1661" customFormat="false" ht="15" hidden="false" customHeight="false" outlineLevel="0" collapsed="false">
      <c r="A1661" s="12"/>
      <c r="B1661" s="9"/>
      <c r="C1661" s="9"/>
      <c r="D1661" s="9"/>
      <c r="E1661" s="9"/>
      <c r="F1661" s="9"/>
      <c r="G1661" s="9"/>
      <c r="H1661" s="7"/>
      <c r="I1661" s="13" t="str">
        <f aca="false">IF(OR($G1661="",$H1661=""),"",ROUND($G1661*$H1661,0))</f>
        <v/>
      </c>
      <c r="J1661" s="8"/>
      <c r="K1661" s="13" t="str">
        <f aca="false">IF($B1661="","",SUMIFS($I$3:$I$2002,$B$3:$B$2002,$B1661))</f>
        <v/>
      </c>
      <c r="L1661" s="13" t="str">
        <f aca="false">IF($B1661="","",IF(COUNTIFS($B$3:$B1661,$B1661)&gt;1,0,IFERROR(LOOKUP($K1661,배송비규정!$A$3:$A$32,배송비규정!$B$3:$B$32),0)+IFERROR(INDEX(지역추가비!$B$3:$B$42,MATCH($J1661,지역추가비!$A$3:$A$42,0)),0)))</f>
        <v/>
      </c>
      <c r="M1661" s="13" t="str">
        <f aca="false">IF($B1661="","",IF(COUNTIFS($B$3:$B1661,$B1661)&gt;1,"",$K1661+$L1661))</f>
        <v/>
      </c>
      <c r="N1661" s="14" t="str">
        <f aca="false">IF($B1661="","",COUNTIFS($B$3:$B1661,$B1661))</f>
        <v/>
      </c>
      <c r="O1661" s="14" t="str">
        <f aca="false">IF($B1661="","",$B1661&amp;"|"&amp;$N1661)</f>
        <v/>
      </c>
    </row>
    <row r="1662" customFormat="false" ht="15" hidden="false" customHeight="false" outlineLevel="0" collapsed="false">
      <c r="A1662" s="12"/>
      <c r="B1662" s="9"/>
      <c r="C1662" s="9"/>
      <c r="D1662" s="9"/>
      <c r="E1662" s="9"/>
      <c r="F1662" s="9"/>
      <c r="G1662" s="9"/>
      <c r="H1662" s="7"/>
      <c r="I1662" s="13" t="str">
        <f aca="false">IF(OR($G1662="",$H1662=""),"",ROUND($G1662*$H1662,0))</f>
        <v/>
      </c>
      <c r="J1662" s="8"/>
      <c r="K1662" s="13" t="str">
        <f aca="false">IF($B1662="","",SUMIFS($I$3:$I$2002,$B$3:$B$2002,$B1662))</f>
        <v/>
      </c>
      <c r="L1662" s="13" t="str">
        <f aca="false">IF($B1662="","",IF(COUNTIFS($B$3:$B1662,$B1662)&gt;1,0,IFERROR(LOOKUP($K1662,배송비규정!$A$3:$A$32,배송비규정!$B$3:$B$32),0)+IFERROR(INDEX(지역추가비!$B$3:$B$42,MATCH($J1662,지역추가비!$A$3:$A$42,0)),0)))</f>
        <v/>
      </c>
      <c r="M1662" s="13" t="str">
        <f aca="false">IF($B1662="","",IF(COUNTIFS($B$3:$B1662,$B1662)&gt;1,"",$K1662+$L1662))</f>
        <v/>
      </c>
      <c r="N1662" s="14" t="str">
        <f aca="false">IF($B1662="","",COUNTIFS($B$3:$B1662,$B1662))</f>
        <v/>
      </c>
      <c r="O1662" s="14" t="str">
        <f aca="false">IF($B1662="","",$B1662&amp;"|"&amp;$N1662)</f>
        <v/>
      </c>
    </row>
    <row r="1663" customFormat="false" ht="15" hidden="false" customHeight="false" outlineLevel="0" collapsed="false">
      <c r="A1663" s="12"/>
      <c r="B1663" s="9"/>
      <c r="C1663" s="9"/>
      <c r="D1663" s="9"/>
      <c r="E1663" s="9"/>
      <c r="F1663" s="9"/>
      <c r="G1663" s="9"/>
      <c r="H1663" s="7"/>
      <c r="I1663" s="13" t="str">
        <f aca="false">IF(OR($G1663="",$H1663=""),"",ROUND($G1663*$H1663,0))</f>
        <v/>
      </c>
      <c r="J1663" s="8"/>
      <c r="K1663" s="13" t="str">
        <f aca="false">IF($B1663="","",SUMIFS($I$3:$I$2002,$B$3:$B$2002,$B1663))</f>
        <v/>
      </c>
      <c r="L1663" s="13" t="str">
        <f aca="false">IF($B1663="","",IF(COUNTIFS($B$3:$B1663,$B1663)&gt;1,0,IFERROR(LOOKUP($K1663,배송비규정!$A$3:$A$32,배송비규정!$B$3:$B$32),0)+IFERROR(INDEX(지역추가비!$B$3:$B$42,MATCH($J1663,지역추가비!$A$3:$A$42,0)),0)))</f>
        <v/>
      </c>
      <c r="M1663" s="13" t="str">
        <f aca="false">IF($B1663="","",IF(COUNTIFS($B$3:$B1663,$B1663)&gt;1,"",$K1663+$L1663))</f>
        <v/>
      </c>
      <c r="N1663" s="14" t="str">
        <f aca="false">IF($B1663="","",COUNTIFS($B$3:$B1663,$B1663))</f>
        <v/>
      </c>
      <c r="O1663" s="14" t="str">
        <f aca="false">IF($B1663="","",$B1663&amp;"|"&amp;$N1663)</f>
        <v/>
      </c>
    </row>
    <row r="1664" customFormat="false" ht="15" hidden="false" customHeight="false" outlineLevel="0" collapsed="false">
      <c r="A1664" s="12"/>
      <c r="B1664" s="9"/>
      <c r="C1664" s="9"/>
      <c r="D1664" s="9"/>
      <c r="E1664" s="9"/>
      <c r="F1664" s="9"/>
      <c r="G1664" s="9"/>
      <c r="H1664" s="7"/>
      <c r="I1664" s="13" t="str">
        <f aca="false">IF(OR($G1664="",$H1664=""),"",ROUND($G1664*$H1664,0))</f>
        <v/>
      </c>
      <c r="J1664" s="8"/>
      <c r="K1664" s="13" t="str">
        <f aca="false">IF($B1664="","",SUMIFS($I$3:$I$2002,$B$3:$B$2002,$B1664))</f>
        <v/>
      </c>
      <c r="L1664" s="13" t="str">
        <f aca="false">IF($B1664="","",IF(COUNTIFS($B$3:$B1664,$B1664)&gt;1,0,IFERROR(LOOKUP($K1664,배송비규정!$A$3:$A$32,배송비규정!$B$3:$B$32),0)+IFERROR(INDEX(지역추가비!$B$3:$B$42,MATCH($J1664,지역추가비!$A$3:$A$42,0)),0)))</f>
        <v/>
      </c>
      <c r="M1664" s="13" t="str">
        <f aca="false">IF($B1664="","",IF(COUNTIFS($B$3:$B1664,$B1664)&gt;1,"",$K1664+$L1664))</f>
        <v/>
      </c>
      <c r="N1664" s="14" t="str">
        <f aca="false">IF($B1664="","",COUNTIFS($B$3:$B1664,$B1664))</f>
        <v/>
      </c>
      <c r="O1664" s="14" t="str">
        <f aca="false">IF($B1664="","",$B1664&amp;"|"&amp;$N1664)</f>
        <v/>
      </c>
    </row>
    <row r="1665" customFormat="false" ht="15" hidden="false" customHeight="false" outlineLevel="0" collapsed="false">
      <c r="A1665" s="12"/>
      <c r="B1665" s="9"/>
      <c r="C1665" s="9"/>
      <c r="D1665" s="9"/>
      <c r="E1665" s="9"/>
      <c r="F1665" s="9"/>
      <c r="G1665" s="9"/>
      <c r="H1665" s="7"/>
      <c r="I1665" s="13" t="str">
        <f aca="false">IF(OR($G1665="",$H1665=""),"",ROUND($G1665*$H1665,0))</f>
        <v/>
      </c>
      <c r="J1665" s="8"/>
      <c r="K1665" s="13" t="str">
        <f aca="false">IF($B1665="","",SUMIFS($I$3:$I$2002,$B$3:$B$2002,$B1665))</f>
        <v/>
      </c>
      <c r="L1665" s="13" t="str">
        <f aca="false">IF($B1665="","",IF(COUNTIFS($B$3:$B1665,$B1665)&gt;1,0,IFERROR(LOOKUP($K1665,배송비규정!$A$3:$A$32,배송비규정!$B$3:$B$32),0)+IFERROR(INDEX(지역추가비!$B$3:$B$42,MATCH($J1665,지역추가비!$A$3:$A$42,0)),0)))</f>
        <v/>
      </c>
      <c r="M1665" s="13" t="str">
        <f aca="false">IF($B1665="","",IF(COUNTIFS($B$3:$B1665,$B1665)&gt;1,"",$K1665+$L1665))</f>
        <v/>
      </c>
      <c r="N1665" s="14" t="str">
        <f aca="false">IF($B1665="","",COUNTIFS($B$3:$B1665,$B1665))</f>
        <v/>
      </c>
      <c r="O1665" s="14" t="str">
        <f aca="false">IF($B1665="","",$B1665&amp;"|"&amp;$N1665)</f>
        <v/>
      </c>
    </row>
    <row r="1666" customFormat="false" ht="15" hidden="false" customHeight="false" outlineLevel="0" collapsed="false">
      <c r="A1666" s="12"/>
      <c r="B1666" s="9"/>
      <c r="C1666" s="9"/>
      <c r="D1666" s="9"/>
      <c r="E1666" s="9"/>
      <c r="F1666" s="9"/>
      <c r="G1666" s="9"/>
      <c r="H1666" s="7"/>
      <c r="I1666" s="13" t="str">
        <f aca="false">IF(OR($G1666="",$H1666=""),"",ROUND($G1666*$H1666,0))</f>
        <v/>
      </c>
      <c r="J1666" s="8"/>
      <c r="K1666" s="13" t="str">
        <f aca="false">IF($B1666="","",SUMIFS($I$3:$I$2002,$B$3:$B$2002,$B1666))</f>
        <v/>
      </c>
      <c r="L1666" s="13" t="str">
        <f aca="false">IF($B1666="","",IF(COUNTIFS($B$3:$B1666,$B1666)&gt;1,0,IFERROR(LOOKUP($K1666,배송비규정!$A$3:$A$32,배송비규정!$B$3:$B$32),0)+IFERROR(INDEX(지역추가비!$B$3:$B$42,MATCH($J1666,지역추가비!$A$3:$A$42,0)),0)))</f>
        <v/>
      </c>
      <c r="M1666" s="13" t="str">
        <f aca="false">IF($B1666="","",IF(COUNTIFS($B$3:$B1666,$B1666)&gt;1,"",$K1666+$L1666))</f>
        <v/>
      </c>
      <c r="N1666" s="14" t="str">
        <f aca="false">IF($B1666="","",COUNTIFS($B$3:$B1666,$B1666))</f>
        <v/>
      </c>
      <c r="O1666" s="14" t="str">
        <f aca="false">IF($B1666="","",$B1666&amp;"|"&amp;$N1666)</f>
        <v/>
      </c>
    </row>
    <row r="1667" customFormat="false" ht="15" hidden="false" customHeight="false" outlineLevel="0" collapsed="false">
      <c r="A1667" s="12"/>
      <c r="B1667" s="9"/>
      <c r="C1667" s="9"/>
      <c r="D1667" s="9"/>
      <c r="E1667" s="9"/>
      <c r="F1667" s="9"/>
      <c r="G1667" s="9"/>
      <c r="H1667" s="7"/>
      <c r="I1667" s="13" t="str">
        <f aca="false">IF(OR($G1667="",$H1667=""),"",ROUND($G1667*$H1667,0))</f>
        <v/>
      </c>
      <c r="J1667" s="8"/>
      <c r="K1667" s="13" t="str">
        <f aca="false">IF($B1667="","",SUMIFS($I$3:$I$2002,$B$3:$B$2002,$B1667))</f>
        <v/>
      </c>
      <c r="L1667" s="13" t="str">
        <f aca="false">IF($B1667="","",IF(COUNTIFS($B$3:$B1667,$B1667)&gt;1,0,IFERROR(LOOKUP($K1667,배송비규정!$A$3:$A$32,배송비규정!$B$3:$B$32),0)+IFERROR(INDEX(지역추가비!$B$3:$B$42,MATCH($J1667,지역추가비!$A$3:$A$42,0)),0)))</f>
        <v/>
      </c>
      <c r="M1667" s="13" t="str">
        <f aca="false">IF($B1667="","",IF(COUNTIFS($B$3:$B1667,$B1667)&gt;1,"",$K1667+$L1667))</f>
        <v/>
      </c>
      <c r="N1667" s="14" t="str">
        <f aca="false">IF($B1667="","",COUNTIFS($B$3:$B1667,$B1667))</f>
        <v/>
      </c>
      <c r="O1667" s="14" t="str">
        <f aca="false">IF($B1667="","",$B1667&amp;"|"&amp;$N1667)</f>
        <v/>
      </c>
    </row>
    <row r="1668" customFormat="false" ht="15" hidden="false" customHeight="false" outlineLevel="0" collapsed="false">
      <c r="A1668" s="12"/>
      <c r="B1668" s="9"/>
      <c r="C1668" s="9"/>
      <c r="D1668" s="9"/>
      <c r="E1668" s="9"/>
      <c r="F1668" s="9"/>
      <c r="G1668" s="9"/>
      <c r="H1668" s="7"/>
      <c r="I1668" s="13" t="str">
        <f aca="false">IF(OR($G1668="",$H1668=""),"",ROUND($G1668*$H1668,0))</f>
        <v/>
      </c>
      <c r="J1668" s="8"/>
      <c r="K1668" s="13" t="str">
        <f aca="false">IF($B1668="","",SUMIFS($I$3:$I$2002,$B$3:$B$2002,$B1668))</f>
        <v/>
      </c>
      <c r="L1668" s="13" t="str">
        <f aca="false">IF($B1668="","",IF(COUNTIFS($B$3:$B1668,$B1668)&gt;1,0,IFERROR(LOOKUP($K1668,배송비규정!$A$3:$A$32,배송비규정!$B$3:$B$32),0)+IFERROR(INDEX(지역추가비!$B$3:$B$42,MATCH($J1668,지역추가비!$A$3:$A$42,0)),0)))</f>
        <v/>
      </c>
      <c r="M1668" s="13" t="str">
        <f aca="false">IF($B1668="","",IF(COUNTIFS($B$3:$B1668,$B1668)&gt;1,"",$K1668+$L1668))</f>
        <v/>
      </c>
      <c r="N1668" s="14" t="str">
        <f aca="false">IF($B1668="","",COUNTIFS($B$3:$B1668,$B1668))</f>
        <v/>
      </c>
      <c r="O1668" s="14" t="str">
        <f aca="false">IF($B1668="","",$B1668&amp;"|"&amp;$N1668)</f>
        <v/>
      </c>
    </row>
    <row r="1669" customFormat="false" ht="15" hidden="false" customHeight="false" outlineLevel="0" collapsed="false">
      <c r="A1669" s="12"/>
      <c r="B1669" s="9"/>
      <c r="C1669" s="9"/>
      <c r="D1669" s="9"/>
      <c r="E1669" s="9"/>
      <c r="F1669" s="9"/>
      <c r="G1669" s="9"/>
      <c r="H1669" s="7"/>
      <c r="I1669" s="13" t="str">
        <f aca="false">IF(OR($G1669="",$H1669=""),"",ROUND($G1669*$H1669,0))</f>
        <v/>
      </c>
      <c r="J1669" s="8"/>
      <c r="K1669" s="13" t="str">
        <f aca="false">IF($B1669="","",SUMIFS($I$3:$I$2002,$B$3:$B$2002,$B1669))</f>
        <v/>
      </c>
      <c r="L1669" s="13" t="str">
        <f aca="false">IF($B1669="","",IF(COUNTIFS($B$3:$B1669,$B1669)&gt;1,0,IFERROR(LOOKUP($K1669,배송비규정!$A$3:$A$32,배송비규정!$B$3:$B$32),0)+IFERROR(INDEX(지역추가비!$B$3:$B$42,MATCH($J1669,지역추가비!$A$3:$A$42,0)),0)))</f>
        <v/>
      </c>
      <c r="M1669" s="13" t="str">
        <f aca="false">IF($B1669="","",IF(COUNTIFS($B$3:$B1669,$B1669)&gt;1,"",$K1669+$L1669))</f>
        <v/>
      </c>
      <c r="N1669" s="14" t="str">
        <f aca="false">IF($B1669="","",COUNTIFS($B$3:$B1669,$B1669))</f>
        <v/>
      </c>
      <c r="O1669" s="14" t="str">
        <f aca="false">IF($B1669="","",$B1669&amp;"|"&amp;$N1669)</f>
        <v/>
      </c>
    </row>
    <row r="1670" customFormat="false" ht="15" hidden="false" customHeight="false" outlineLevel="0" collapsed="false">
      <c r="A1670" s="12"/>
      <c r="B1670" s="9"/>
      <c r="C1670" s="9"/>
      <c r="D1670" s="9"/>
      <c r="E1670" s="9"/>
      <c r="F1670" s="9"/>
      <c r="G1670" s="9"/>
      <c r="H1670" s="7"/>
      <c r="I1670" s="13" t="str">
        <f aca="false">IF(OR($G1670="",$H1670=""),"",ROUND($G1670*$H1670,0))</f>
        <v/>
      </c>
      <c r="J1670" s="8"/>
      <c r="K1670" s="13" t="str">
        <f aca="false">IF($B1670="","",SUMIFS($I$3:$I$2002,$B$3:$B$2002,$B1670))</f>
        <v/>
      </c>
      <c r="L1670" s="13" t="str">
        <f aca="false">IF($B1670="","",IF(COUNTIFS($B$3:$B1670,$B1670)&gt;1,0,IFERROR(LOOKUP($K1670,배송비규정!$A$3:$A$32,배송비규정!$B$3:$B$32),0)+IFERROR(INDEX(지역추가비!$B$3:$B$42,MATCH($J1670,지역추가비!$A$3:$A$42,0)),0)))</f>
        <v/>
      </c>
      <c r="M1670" s="13" t="str">
        <f aca="false">IF($B1670="","",IF(COUNTIFS($B$3:$B1670,$B1670)&gt;1,"",$K1670+$L1670))</f>
        <v/>
      </c>
      <c r="N1670" s="14" t="str">
        <f aca="false">IF($B1670="","",COUNTIFS($B$3:$B1670,$B1670))</f>
        <v/>
      </c>
      <c r="O1670" s="14" t="str">
        <f aca="false">IF($B1670="","",$B1670&amp;"|"&amp;$N1670)</f>
        <v/>
      </c>
    </row>
    <row r="1671" customFormat="false" ht="15" hidden="false" customHeight="false" outlineLevel="0" collapsed="false">
      <c r="A1671" s="12"/>
      <c r="B1671" s="9"/>
      <c r="C1671" s="9"/>
      <c r="D1671" s="9"/>
      <c r="E1671" s="9"/>
      <c r="F1671" s="9"/>
      <c r="G1671" s="9"/>
      <c r="H1671" s="7"/>
      <c r="I1671" s="13" t="str">
        <f aca="false">IF(OR($G1671="",$H1671=""),"",ROUND($G1671*$H1671,0))</f>
        <v/>
      </c>
      <c r="J1671" s="8"/>
      <c r="K1671" s="13" t="str">
        <f aca="false">IF($B1671="","",SUMIFS($I$3:$I$2002,$B$3:$B$2002,$B1671))</f>
        <v/>
      </c>
      <c r="L1671" s="13" t="str">
        <f aca="false">IF($B1671="","",IF(COUNTIFS($B$3:$B1671,$B1671)&gt;1,0,IFERROR(LOOKUP($K1671,배송비규정!$A$3:$A$32,배송비규정!$B$3:$B$32),0)+IFERROR(INDEX(지역추가비!$B$3:$B$42,MATCH($J1671,지역추가비!$A$3:$A$42,0)),0)))</f>
        <v/>
      </c>
      <c r="M1671" s="13" t="str">
        <f aca="false">IF($B1671="","",IF(COUNTIFS($B$3:$B1671,$B1671)&gt;1,"",$K1671+$L1671))</f>
        <v/>
      </c>
      <c r="N1671" s="14" t="str">
        <f aca="false">IF($B1671="","",COUNTIFS($B$3:$B1671,$B1671))</f>
        <v/>
      </c>
      <c r="O1671" s="14" t="str">
        <f aca="false">IF($B1671="","",$B1671&amp;"|"&amp;$N1671)</f>
        <v/>
      </c>
    </row>
    <row r="1672" customFormat="false" ht="15" hidden="false" customHeight="false" outlineLevel="0" collapsed="false">
      <c r="A1672" s="12"/>
      <c r="B1672" s="9"/>
      <c r="C1672" s="9"/>
      <c r="D1672" s="9"/>
      <c r="E1672" s="9"/>
      <c r="F1672" s="9"/>
      <c r="G1672" s="9"/>
      <c r="H1672" s="7"/>
      <c r="I1672" s="13" t="str">
        <f aca="false">IF(OR($G1672="",$H1672=""),"",ROUND($G1672*$H1672,0))</f>
        <v/>
      </c>
      <c r="J1672" s="8"/>
      <c r="K1672" s="13" t="str">
        <f aca="false">IF($B1672="","",SUMIFS($I$3:$I$2002,$B$3:$B$2002,$B1672))</f>
        <v/>
      </c>
      <c r="L1672" s="13" t="str">
        <f aca="false">IF($B1672="","",IF(COUNTIFS($B$3:$B1672,$B1672)&gt;1,0,IFERROR(LOOKUP($K1672,배송비규정!$A$3:$A$32,배송비규정!$B$3:$B$32),0)+IFERROR(INDEX(지역추가비!$B$3:$B$42,MATCH($J1672,지역추가비!$A$3:$A$42,0)),0)))</f>
        <v/>
      </c>
      <c r="M1672" s="13" t="str">
        <f aca="false">IF($B1672="","",IF(COUNTIFS($B$3:$B1672,$B1672)&gt;1,"",$K1672+$L1672))</f>
        <v/>
      </c>
      <c r="N1672" s="14" t="str">
        <f aca="false">IF($B1672="","",COUNTIFS($B$3:$B1672,$B1672))</f>
        <v/>
      </c>
      <c r="O1672" s="14" t="str">
        <f aca="false">IF($B1672="","",$B1672&amp;"|"&amp;$N1672)</f>
        <v/>
      </c>
    </row>
    <row r="1673" customFormat="false" ht="15" hidden="false" customHeight="false" outlineLevel="0" collapsed="false">
      <c r="A1673" s="12"/>
      <c r="B1673" s="9"/>
      <c r="C1673" s="9"/>
      <c r="D1673" s="9"/>
      <c r="E1673" s="9"/>
      <c r="F1673" s="9"/>
      <c r="G1673" s="9"/>
      <c r="H1673" s="7"/>
      <c r="I1673" s="13" t="str">
        <f aca="false">IF(OR($G1673="",$H1673=""),"",ROUND($G1673*$H1673,0))</f>
        <v/>
      </c>
      <c r="J1673" s="8"/>
      <c r="K1673" s="13" t="str">
        <f aca="false">IF($B1673="","",SUMIFS($I$3:$I$2002,$B$3:$B$2002,$B1673))</f>
        <v/>
      </c>
      <c r="L1673" s="13" t="str">
        <f aca="false">IF($B1673="","",IF(COUNTIFS($B$3:$B1673,$B1673)&gt;1,0,IFERROR(LOOKUP($K1673,배송비규정!$A$3:$A$32,배송비규정!$B$3:$B$32),0)+IFERROR(INDEX(지역추가비!$B$3:$B$42,MATCH($J1673,지역추가비!$A$3:$A$42,0)),0)))</f>
        <v/>
      </c>
      <c r="M1673" s="13" t="str">
        <f aca="false">IF($B1673="","",IF(COUNTIFS($B$3:$B1673,$B1673)&gt;1,"",$K1673+$L1673))</f>
        <v/>
      </c>
      <c r="N1673" s="14" t="str">
        <f aca="false">IF($B1673="","",COUNTIFS($B$3:$B1673,$B1673))</f>
        <v/>
      </c>
      <c r="O1673" s="14" t="str">
        <f aca="false">IF($B1673="","",$B1673&amp;"|"&amp;$N1673)</f>
        <v/>
      </c>
    </row>
    <row r="1674" customFormat="false" ht="15" hidden="false" customHeight="false" outlineLevel="0" collapsed="false">
      <c r="A1674" s="12"/>
      <c r="B1674" s="9"/>
      <c r="C1674" s="9"/>
      <c r="D1674" s="9"/>
      <c r="E1674" s="9"/>
      <c r="F1674" s="9"/>
      <c r="G1674" s="9"/>
      <c r="H1674" s="7"/>
      <c r="I1674" s="13" t="str">
        <f aca="false">IF(OR($G1674="",$H1674=""),"",ROUND($G1674*$H1674,0))</f>
        <v/>
      </c>
      <c r="J1674" s="8"/>
      <c r="K1674" s="13" t="str">
        <f aca="false">IF($B1674="","",SUMIFS($I$3:$I$2002,$B$3:$B$2002,$B1674))</f>
        <v/>
      </c>
      <c r="L1674" s="13" t="str">
        <f aca="false">IF($B1674="","",IF(COUNTIFS($B$3:$B1674,$B1674)&gt;1,0,IFERROR(LOOKUP($K1674,배송비규정!$A$3:$A$32,배송비규정!$B$3:$B$32),0)+IFERROR(INDEX(지역추가비!$B$3:$B$42,MATCH($J1674,지역추가비!$A$3:$A$42,0)),0)))</f>
        <v/>
      </c>
      <c r="M1674" s="13" t="str">
        <f aca="false">IF($B1674="","",IF(COUNTIFS($B$3:$B1674,$B1674)&gt;1,"",$K1674+$L1674))</f>
        <v/>
      </c>
      <c r="N1674" s="14" t="str">
        <f aca="false">IF($B1674="","",COUNTIFS($B$3:$B1674,$B1674))</f>
        <v/>
      </c>
      <c r="O1674" s="14" t="str">
        <f aca="false">IF($B1674="","",$B1674&amp;"|"&amp;$N1674)</f>
        <v/>
      </c>
    </row>
    <row r="1675" customFormat="false" ht="15" hidden="false" customHeight="false" outlineLevel="0" collapsed="false">
      <c r="A1675" s="12"/>
      <c r="B1675" s="9"/>
      <c r="C1675" s="9"/>
      <c r="D1675" s="9"/>
      <c r="E1675" s="9"/>
      <c r="F1675" s="9"/>
      <c r="G1675" s="9"/>
      <c r="H1675" s="7"/>
      <c r="I1675" s="13" t="str">
        <f aca="false">IF(OR($G1675="",$H1675=""),"",ROUND($G1675*$H1675,0))</f>
        <v/>
      </c>
      <c r="J1675" s="8"/>
      <c r="K1675" s="13" t="str">
        <f aca="false">IF($B1675="","",SUMIFS($I$3:$I$2002,$B$3:$B$2002,$B1675))</f>
        <v/>
      </c>
      <c r="L1675" s="13" t="str">
        <f aca="false">IF($B1675="","",IF(COUNTIFS($B$3:$B1675,$B1675)&gt;1,0,IFERROR(LOOKUP($K1675,배송비규정!$A$3:$A$32,배송비규정!$B$3:$B$32),0)+IFERROR(INDEX(지역추가비!$B$3:$B$42,MATCH($J1675,지역추가비!$A$3:$A$42,0)),0)))</f>
        <v/>
      </c>
      <c r="M1675" s="13" t="str">
        <f aca="false">IF($B1675="","",IF(COUNTIFS($B$3:$B1675,$B1675)&gt;1,"",$K1675+$L1675))</f>
        <v/>
      </c>
      <c r="N1675" s="14" t="str">
        <f aca="false">IF($B1675="","",COUNTIFS($B$3:$B1675,$B1675))</f>
        <v/>
      </c>
      <c r="O1675" s="14" t="str">
        <f aca="false">IF($B1675="","",$B1675&amp;"|"&amp;$N1675)</f>
        <v/>
      </c>
    </row>
    <row r="1676" customFormat="false" ht="15" hidden="false" customHeight="false" outlineLevel="0" collapsed="false">
      <c r="A1676" s="12"/>
      <c r="B1676" s="9"/>
      <c r="C1676" s="9"/>
      <c r="D1676" s="9"/>
      <c r="E1676" s="9"/>
      <c r="F1676" s="9"/>
      <c r="G1676" s="9"/>
      <c r="H1676" s="7"/>
      <c r="I1676" s="13" t="str">
        <f aca="false">IF(OR($G1676="",$H1676=""),"",ROUND($G1676*$H1676,0))</f>
        <v/>
      </c>
      <c r="J1676" s="8"/>
      <c r="K1676" s="13" t="str">
        <f aca="false">IF($B1676="","",SUMIFS($I$3:$I$2002,$B$3:$B$2002,$B1676))</f>
        <v/>
      </c>
      <c r="L1676" s="13" t="str">
        <f aca="false">IF($B1676="","",IF(COUNTIFS($B$3:$B1676,$B1676)&gt;1,0,IFERROR(LOOKUP($K1676,배송비규정!$A$3:$A$32,배송비규정!$B$3:$B$32),0)+IFERROR(INDEX(지역추가비!$B$3:$B$42,MATCH($J1676,지역추가비!$A$3:$A$42,0)),0)))</f>
        <v/>
      </c>
      <c r="M1676" s="13" t="str">
        <f aca="false">IF($B1676="","",IF(COUNTIFS($B$3:$B1676,$B1676)&gt;1,"",$K1676+$L1676))</f>
        <v/>
      </c>
      <c r="N1676" s="14" t="str">
        <f aca="false">IF($B1676="","",COUNTIFS($B$3:$B1676,$B1676))</f>
        <v/>
      </c>
      <c r="O1676" s="14" t="str">
        <f aca="false">IF($B1676="","",$B1676&amp;"|"&amp;$N1676)</f>
        <v/>
      </c>
    </row>
    <row r="1677" customFormat="false" ht="15" hidden="false" customHeight="false" outlineLevel="0" collapsed="false">
      <c r="A1677" s="12"/>
      <c r="B1677" s="9"/>
      <c r="C1677" s="9"/>
      <c r="D1677" s="9"/>
      <c r="E1677" s="9"/>
      <c r="F1677" s="9"/>
      <c r="G1677" s="9"/>
      <c r="H1677" s="7"/>
      <c r="I1677" s="13" t="str">
        <f aca="false">IF(OR($G1677="",$H1677=""),"",ROUND($G1677*$H1677,0))</f>
        <v/>
      </c>
      <c r="J1677" s="8"/>
      <c r="K1677" s="13" t="str">
        <f aca="false">IF($B1677="","",SUMIFS($I$3:$I$2002,$B$3:$B$2002,$B1677))</f>
        <v/>
      </c>
      <c r="L1677" s="13" t="str">
        <f aca="false">IF($B1677="","",IF(COUNTIFS($B$3:$B1677,$B1677)&gt;1,0,IFERROR(LOOKUP($K1677,배송비규정!$A$3:$A$32,배송비규정!$B$3:$B$32),0)+IFERROR(INDEX(지역추가비!$B$3:$B$42,MATCH($J1677,지역추가비!$A$3:$A$42,0)),0)))</f>
        <v/>
      </c>
      <c r="M1677" s="13" t="str">
        <f aca="false">IF($B1677="","",IF(COUNTIFS($B$3:$B1677,$B1677)&gt;1,"",$K1677+$L1677))</f>
        <v/>
      </c>
      <c r="N1677" s="14" t="str">
        <f aca="false">IF($B1677="","",COUNTIFS($B$3:$B1677,$B1677))</f>
        <v/>
      </c>
      <c r="O1677" s="14" t="str">
        <f aca="false">IF($B1677="","",$B1677&amp;"|"&amp;$N1677)</f>
        <v/>
      </c>
    </row>
    <row r="1678" customFormat="false" ht="15" hidden="false" customHeight="false" outlineLevel="0" collapsed="false">
      <c r="A1678" s="12"/>
      <c r="B1678" s="9"/>
      <c r="C1678" s="9"/>
      <c r="D1678" s="9"/>
      <c r="E1678" s="9"/>
      <c r="F1678" s="9"/>
      <c r="G1678" s="9"/>
      <c r="H1678" s="7"/>
      <c r="I1678" s="13" t="str">
        <f aca="false">IF(OR($G1678="",$H1678=""),"",ROUND($G1678*$H1678,0))</f>
        <v/>
      </c>
      <c r="J1678" s="8"/>
      <c r="K1678" s="13" t="str">
        <f aca="false">IF($B1678="","",SUMIFS($I$3:$I$2002,$B$3:$B$2002,$B1678))</f>
        <v/>
      </c>
      <c r="L1678" s="13" t="str">
        <f aca="false">IF($B1678="","",IF(COUNTIFS($B$3:$B1678,$B1678)&gt;1,0,IFERROR(LOOKUP($K1678,배송비규정!$A$3:$A$32,배송비규정!$B$3:$B$32),0)+IFERROR(INDEX(지역추가비!$B$3:$B$42,MATCH($J1678,지역추가비!$A$3:$A$42,0)),0)))</f>
        <v/>
      </c>
      <c r="M1678" s="13" t="str">
        <f aca="false">IF($B1678="","",IF(COUNTIFS($B$3:$B1678,$B1678)&gt;1,"",$K1678+$L1678))</f>
        <v/>
      </c>
      <c r="N1678" s="14" t="str">
        <f aca="false">IF($B1678="","",COUNTIFS($B$3:$B1678,$B1678))</f>
        <v/>
      </c>
      <c r="O1678" s="14" t="str">
        <f aca="false">IF($B1678="","",$B1678&amp;"|"&amp;$N1678)</f>
        <v/>
      </c>
    </row>
    <row r="1679" customFormat="false" ht="15" hidden="false" customHeight="false" outlineLevel="0" collapsed="false">
      <c r="A1679" s="12"/>
      <c r="B1679" s="9"/>
      <c r="C1679" s="9"/>
      <c r="D1679" s="9"/>
      <c r="E1679" s="9"/>
      <c r="F1679" s="9"/>
      <c r="G1679" s="9"/>
      <c r="H1679" s="7"/>
      <c r="I1679" s="13" t="str">
        <f aca="false">IF(OR($G1679="",$H1679=""),"",ROUND($G1679*$H1679,0))</f>
        <v/>
      </c>
      <c r="J1679" s="8"/>
      <c r="K1679" s="13" t="str">
        <f aca="false">IF($B1679="","",SUMIFS($I$3:$I$2002,$B$3:$B$2002,$B1679))</f>
        <v/>
      </c>
      <c r="L1679" s="13" t="str">
        <f aca="false">IF($B1679="","",IF(COUNTIFS($B$3:$B1679,$B1679)&gt;1,0,IFERROR(LOOKUP($K1679,배송비규정!$A$3:$A$32,배송비규정!$B$3:$B$32),0)+IFERROR(INDEX(지역추가비!$B$3:$B$42,MATCH($J1679,지역추가비!$A$3:$A$42,0)),0)))</f>
        <v/>
      </c>
      <c r="M1679" s="13" t="str">
        <f aca="false">IF($B1679="","",IF(COUNTIFS($B$3:$B1679,$B1679)&gt;1,"",$K1679+$L1679))</f>
        <v/>
      </c>
      <c r="N1679" s="14" t="str">
        <f aca="false">IF($B1679="","",COUNTIFS($B$3:$B1679,$B1679))</f>
        <v/>
      </c>
      <c r="O1679" s="14" t="str">
        <f aca="false">IF($B1679="","",$B1679&amp;"|"&amp;$N1679)</f>
        <v/>
      </c>
    </row>
    <row r="1680" customFormat="false" ht="15" hidden="false" customHeight="false" outlineLevel="0" collapsed="false">
      <c r="A1680" s="12"/>
      <c r="B1680" s="9"/>
      <c r="C1680" s="9"/>
      <c r="D1680" s="9"/>
      <c r="E1680" s="9"/>
      <c r="F1680" s="9"/>
      <c r="G1680" s="9"/>
      <c r="H1680" s="7"/>
      <c r="I1680" s="13" t="str">
        <f aca="false">IF(OR($G1680="",$H1680=""),"",ROUND($G1680*$H1680,0))</f>
        <v/>
      </c>
      <c r="J1680" s="8"/>
      <c r="K1680" s="13" t="str">
        <f aca="false">IF($B1680="","",SUMIFS($I$3:$I$2002,$B$3:$B$2002,$B1680))</f>
        <v/>
      </c>
      <c r="L1680" s="13" t="str">
        <f aca="false">IF($B1680="","",IF(COUNTIFS($B$3:$B1680,$B1680)&gt;1,0,IFERROR(LOOKUP($K1680,배송비규정!$A$3:$A$32,배송비규정!$B$3:$B$32),0)+IFERROR(INDEX(지역추가비!$B$3:$B$42,MATCH($J1680,지역추가비!$A$3:$A$42,0)),0)))</f>
        <v/>
      </c>
      <c r="M1680" s="13" t="str">
        <f aca="false">IF($B1680="","",IF(COUNTIFS($B$3:$B1680,$B1680)&gt;1,"",$K1680+$L1680))</f>
        <v/>
      </c>
      <c r="N1680" s="14" t="str">
        <f aca="false">IF($B1680="","",COUNTIFS($B$3:$B1680,$B1680))</f>
        <v/>
      </c>
      <c r="O1680" s="14" t="str">
        <f aca="false">IF($B1680="","",$B1680&amp;"|"&amp;$N1680)</f>
        <v/>
      </c>
    </row>
    <row r="1681" customFormat="false" ht="15" hidden="false" customHeight="false" outlineLevel="0" collapsed="false">
      <c r="A1681" s="12"/>
      <c r="B1681" s="9"/>
      <c r="C1681" s="9"/>
      <c r="D1681" s="9"/>
      <c r="E1681" s="9"/>
      <c r="F1681" s="9"/>
      <c r="G1681" s="9"/>
      <c r="H1681" s="7"/>
      <c r="I1681" s="13" t="str">
        <f aca="false">IF(OR($G1681="",$H1681=""),"",ROUND($G1681*$H1681,0))</f>
        <v/>
      </c>
      <c r="J1681" s="8"/>
      <c r="K1681" s="13" t="str">
        <f aca="false">IF($B1681="","",SUMIFS($I$3:$I$2002,$B$3:$B$2002,$B1681))</f>
        <v/>
      </c>
      <c r="L1681" s="13" t="str">
        <f aca="false">IF($B1681="","",IF(COUNTIFS($B$3:$B1681,$B1681)&gt;1,0,IFERROR(LOOKUP($K1681,배송비규정!$A$3:$A$32,배송비규정!$B$3:$B$32),0)+IFERROR(INDEX(지역추가비!$B$3:$B$42,MATCH($J1681,지역추가비!$A$3:$A$42,0)),0)))</f>
        <v/>
      </c>
      <c r="M1681" s="13" t="str">
        <f aca="false">IF($B1681="","",IF(COUNTIFS($B$3:$B1681,$B1681)&gt;1,"",$K1681+$L1681))</f>
        <v/>
      </c>
      <c r="N1681" s="14" t="str">
        <f aca="false">IF($B1681="","",COUNTIFS($B$3:$B1681,$B1681))</f>
        <v/>
      </c>
      <c r="O1681" s="14" t="str">
        <f aca="false">IF($B1681="","",$B1681&amp;"|"&amp;$N1681)</f>
        <v/>
      </c>
    </row>
    <row r="1682" customFormat="false" ht="15" hidden="false" customHeight="false" outlineLevel="0" collapsed="false">
      <c r="A1682" s="12"/>
      <c r="B1682" s="9"/>
      <c r="C1682" s="9"/>
      <c r="D1682" s="9"/>
      <c r="E1682" s="9"/>
      <c r="F1682" s="9"/>
      <c r="G1682" s="9"/>
      <c r="H1682" s="7"/>
      <c r="I1682" s="13" t="str">
        <f aca="false">IF(OR($G1682="",$H1682=""),"",ROUND($G1682*$H1682,0))</f>
        <v/>
      </c>
      <c r="J1682" s="8"/>
      <c r="K1682" s="13" t="str">
        <f aca="false">IF($B1682="","",SUMIFS($I$3:$I$2002,$B$3:$B$2002,$B1682))</f>
        <v/>
      </c>
      <c r="L1682" s="13" t="str">
        <f aca="false">IF($B1682="","",IF(COUNTIFS($B$3:$B1682,$B1682)&gt;1,0,IFERROR(LOOKUP($K1682,배송비규정!$A$3:$A$32,배송비규정!$B$3:$B$32),0)+IFERROR(INDEX(지역추가비!$B$3:$B$42,MATCH($J1682,지역추가비!$A$3:$A$42,0)),0)))</f>
        <v/>
      </c>
      <c r="M1682" s="13" t="str">
        <f aca="false">IF($B1682="","",IF(COUNTIFS($B$3:$B1682,$B1682)&gt;1,"",$K1682+$L1682))</f>
        <v/>
      </c>
      <c r="N1682" s="14" t="str">
        <f aca="false">IF($B1682="","",COUNTIFS($B$3:$B1682,$B1682))</f>
        <v/>
      </c>
      <c r="O1682" s="14" t="str">
        <f aca="false">IF($B1682="","",$B1682&amp;"|"&amp;$N1682)</f>
        <v/>
      </c>
    </row>
    <row r="1683" customFormat="false" ht="15" hidden="false" customHeight="false" outlineLevel="0" collapsed="false">
      <c r="A1683" s="12"/>
      <c r="B1683" s="9"/>
      <c r="C1683" s="9"/>
      <c r="D1683" s="9"/>
      <c r="E1683" s="9"/>
      <c r="F1683" s="9"/>
      <c r="G1683" s="9"/>
      <c r="H1683" s="7"/>
      <c r="I1683" s="13" t="str">
        <f aca="false">IF(OR($G1683="",$H1683=""),"",ROUND($G1683*$H1683,0))</f>
        <v/>
      </c>
      <c r="J1683" s="8"/>
      <c r="K1683" s="13" t="str">
        <f aca="false">IF($B1683="","",SUMIFS($I$3:$I$2002,$B$3:$B$2002,$B1683))</f>
        <v/>
      </c>
      <c r="L1683" s="13" t="str">
        <f aca="false">IF($B1683="","",IF(COUNTIFS($B$3:$B1683,$B1683)&gt;1,0,IFERROR(LOOKUP($K1683,배송비규정!$A$3:$A$32,배송비규정!$B$3:$B$32),0)+IFERROR(INDEX(지역추가비!$B$3:$B$42,MATCH($J1683,지역추가비!$A$3:$A$42,0)),0)))</f>
        <v/>
      </c>
      <c r="M1683" s="13" t="str">
        <f aca="false">IF($B1683="","",IF(COUNTIFS($B$3:$B1683,$B1683)&gt;1,"",$K1683+$L1683))</f>
        <v/>
      </c>
      <c r="N1683" s="14" t="str">
        <f aca="false">IF($B1683="","",COUNTIFS($B$3:$B1683,$B1683))</f>
        <v/>
      </c>
      <c r="O1683" s="14" t="str">
        <f aca="false">IF($B1683="","",$B1683&amp;"|"&amp;$N1683)</f>
        <v/>
      </c>
    </row>
    <row r="1684" customFormat="false" ht="15" hidden="false" customHeight="false" outlineLevel="0" collapsed="false">
      <c r="A1684" s="12"/>
      <c r="B1684" s="9"/>
      <c r="C1684" s="9"/>
      <c r="D1684" s="9"/>
      <c r="E1684" s="9"/>
      <c r="F1684" s="9"/>
      <c r="G1684" s="9"/>
      <c r="H1684" s="7"/>
      <c r="I1684" s="13" t="str">
        <f aca="false">IF(OR($G1684="",$H1684=""),"",ROUND($G1684*$H1684,0))</f>
        <v/>
      </c>
      <c r="J1684" s="8"/>
      <c r="K1684" s="13" t="str">
        <f aca="false">IF($B1684="","",SUMIFS($I$3:$I$2002,$B$3:$B$2002,$B1684))</f>
        <v/>
      </c>
      <c r="L1684" s="13" t="str">
        <f aca="false">IF($B1684="","",IF(COUNTIFS($B$3:$B1684,$B1684)&gt;1,0,IFERROR(LOOKUP($K1684,배송비규정!$A$3:$A$32,배송비규정!$B$3:$B$32),0)+IFERROR(INDEX(지역추가비!$B$3:$B$42,MATCH($J1684,지역추가비!$A$3:$A$42,0)),0)))</f>
        <v/>
      </c>
      <c r="M1684" s="13" t="str">
        <f aca="false">IF($B1684="","",IF(COUNTIFS($B$3:$B1684,$B1684)&gt;1,"",$K1684+$L1684))</f>
        <v/>
      </c>
      <c r="N1684" s="14" t="str">
        <f aca="false">IF($B1684="","",COUNTIFS($B$3:$B1684,$B1684))</f>
        <v/>
      </c>
      <c r="O1684" s="14" t="str">
        <f aca="false">IF($B1684="","",$B1684&amp;"|"&amp;$N1684)</f>
        <v/>
      </c>
    </row>
    <row r="1685" customFormat="false" ht="15" hidden="false" customHeight="false" outlineLevel="0" collapsed="false">
      <c r="A1685" s="12"/>
      <c r="B1685" s="9"/>
      <c r="C1685" s="9"/>
      <c r="D1685" s="9"/>
      <c r="E1685" s="9"/>
      <c r="F1685" s="9"/>
      <c r="G1685" s="9"/>
      <c r="H1685" s="7"/>
      <c r="I1685" s="13" t="str">
        <f aca="false">IF(OR($G1685="",$H1685=""),"",ROUND($G1685*$H1685,0))</f>
        <v/>
      </c>
      <c r="J1685" s="8"/>
      <c r="K1685" s="13" t="str">
        <f aca="false">IF($B1685="","",SUMIFS($I$3:$I$2002,$B$3:$B$2002,$B1685))</f>
        <v/>
      </c>
      <c r="L1685" s="13" t="str">
        <f aca="false">IF($B1685="","",IF(COUNTIFS($B$3:$B1685,$B1685)&gt;1,0,IFERROR(LOOKUP($K1685,배송비규정!$A$3:$A$32,배송비규정!$B$3:$B$32),0)+IFERROR(INDEX(지역추가비!$B$3:$B$42,MATCH($J1685,지역추가비!$A$3:$A$42,0)),0)))</f>
        <v/>
      </c>
      <c r="M1685" s="13" t="str">
        <f aca="false">IF($B1685="","",IF(COUNTIFS($B$3:$B1685,$B1685)&gt;1,"",$K1685+$L1685))</f>
        <v/>
      </c>
      <c r="N1685" s="14" t="str">
        <f aca="false">IF($B1685="","",COUNTIFS($B$3:$B1685,$B1685))</f>
        <v/>
      </c>
      <c r="O1685" s="14" t="str">
        <f aca="false">IF($B1685="","",$B1685&amp;"|"&amp;$N1685)</f>
        <v/>
      </c>
    </row>
    <row r="1686" customFormat="false" ht="15" hidden="false" customHeight="false" outlineLevel="0" collapsed="false">
      <c r="A1686" s="12"/>
      <c r="B1686" s="9"/>
      <c r="C1686" s="9"/>
      <c r="D1686" s="9"/>
      <c r="E1686" s="9"/>
      <c r="F1686" s="9"/>
      <c r="G1686" s="9"/>
      <c r="H1686" s="7"/>
      <c r="I1686" s="13" t="str">
        <f aca="false">IF(OR($G1686="",$H1686=""),"",ROUND($G1686*$H1686,0))</f>
        <v/>
      </c>
      <c r="J1686" s="8"/>
      <c r="K1686" s="13" t="str">
        <f aca="false">IF($B1686="","",SUMIFS($I$3:$I$2002,$B$3:$B$2002,$B1686))</f>
        <v/>
      </c>
      <c r="L1686" s="13" t="str">
        <f aca="false">IF($B1686="","",IF(COUNTIFS($B$3:$B1686,$B1686)&gt;1,0,IFERROR(LOOKUP($K1686,배송비규정!$A$3:$A$32,배송비규정!$B$3:$B$32),0)+IFERROR(INDEX(지역추가비!$B$3:$B$42,MATCH($J1686,지역추가비!$A$3:$A$42,0)),0)))</f>
        <v/>
      </c>
      <c r="M1686" s="13" t="str">
        <f aca="false">IF($B1686="","",IF(COUNTIFS($B$3:$B1686,$B1686)&gt;1,"",$K1686+$L1686))</f>
        <v/>
      </c>
      <c r="N1686" s="14" t="str">
        <f aca="false">IF($B1686="","",COUNTIFS($B$3:$B1686,$B1686))</f>
        <v/>
      </c>
      <c r="O1686" s="14" t="str">
        <f aca="false">IF($B1686="","",$B1686&amp;"|"&amp;$N1686)</f>
        <v/>
      </c>
    </row>
    <row r="1687" customFormat="false" ht="15" hidden="false" customHeight="false" outlineLevel="0" collapsed="false">
      <c r="A1687" s="12"/>
      <c r="B1687" s="9"/>
      <c r="C1687" s="9"/>
      <c r="D1687" s="9"/>
      <c r="E1687" s="9"/>
      <c r="F1687" s="9"/>
      <c r="G1687" s="9"/>
      <c r="H1687" s="7"/>
      <c r="I1687" s="13" t="str">
        <f aca="false">IF(OR($G1687="",$H1687=""),"",ROUND($G1687*$H1687,0))</f>
        <v/>
      </c>
      <c r="J1687" s="8"/>
      <c r="K1687" s="13" t="str">
        <f aca="false">IF($B1687="","",SUMIFS($I$3:$I$2002,$B$3:$B$2002,$B1687))</f>
        <v/>
      </c>
      <c r="L1687" s="13" t="str">
        <f aca="false">IF($B1687="","",IF(COUNTIFS($B$3:$B1687,$B1687)&gt;1,0,IFERROR(LOOKUP($K1687,배송비규정!$A$3:$A$32,배송비규정!$B$3:$B$32),0)+IFERROR(INDEX(지역추가비!$B$3:$B$42,MATCH($J1687,지역추가비!$A$3:$A$42,0)),0)))</f>
        <v/>
      </c>
      <c r="M1687" s="13" t="str">
        <f aca="false">IF($B1687="","",IF(COUNTIFS($B$3:$B1687,$B1687)&gt;1,"",$K1687+$L1687))</f>
        <v/>
      </c>
      <c r="N1687" s="14" t="str">
        <f aca="false">IF($B1687="","",COUNTIFS($B$3:$B1687,$B1687))</f>
        <v/>
      </c>
      <c r="O1687" s="14" t="str">
        <f aca="false">IF($B1687="","",$B1687&amp;"|"&amp;$N1687)</f>
        <v/>
      </c>
    </row>
    <row r="1688" customFormat="false" ht="15" hidden="false" customHeight="false" outlineLevel="0" collapsed="false">
      <c r="A1688" s="12"/>
      <c r="B1688" s="9"/>
      <c r="C1688" s="9"/>
      <c r="D1688" s="9"/>
      <c r="E1688" s="9"/>
      <c r="F1688" s="9"/>
      <c r="G1688" s="9"/>
      <c r="H1688" s="7"/>
      <c r="I1688" s="13" t="str">
        <f aca="false">IF(OR($G1688="",$H1688=""),"",ROUND($G1688*$H1688,0))</f>
        <v/>
      </c>
      <c r="J1688" s="8"/>
      <c r="K1688" s="13" t="str">
        <f aca="false">IF($B1688="","",SUMIFS($I$3:$I$2002,$B$3:$B$2002,$B1688))</f>
        <v/>
      </c>
      <c r="L1688" s="13" t="str">
        <f aca="false">IF($B1688="","",IF(COUNTIFS($B$3:$B1688,$B1688)&gt;1,0,IFERROR(LOOKUP($K1688,배송비규정!$A$3:$A$32,배송비규정!$B$3:$B$32),0)+IFERROR(INDEX(지역추가비!$B$3:$B$42,MATCH($J1688,지역추가비!$A$3:$A$42,0)),0)))</f>
        <v/>
      </c>
      <c r="M1688" s="13" t="str">
        <f aca="false">IF($B1688="","",IF(COUNTIFS($B$3:$B1688,$B1688)&gt;1,"",$K1688+$L1688))</f>
        <v/>
      </c>
      <c r="N1688" s="14" t="str">
        <f aca="false">IF($B1688="","",COUNTIFS($B$3:$B1688,$B1688))</f>
        <v/>
      </c>
      <c r="O1688" s="14" t="str">
        <f aca="false">IF($B1688="","",$B1688&amp;"|"&amp;$N1688)</f>
        <v/>
      </c>
    </row>
    <row r="1689" customFormat="false" ht="15" hidden="false" customHeight="false" outlineLevel="0" collapsed="false">
      <c r="A1689" s="12"/>
      <c r="B1689" s="9"/>
      <c r="C1689" s="9"/>
      <c r="D1689" s="9"/>
      <c r="E1689" s="9"/>
      <c r="F1689" s="9"/>
      <c r="G1689" s="9"/>
      <c r="H1689" s="7"/>
      <c r="I1689" s="13" t="str">
        <f aca="false">IF(OR($G1689="",$H1689=""),"",ROUND($G1689*$H1689,0))</f>
        <v/>
      </c>
      <c r="J1689" s="8"/>
      <c r="K1689" s="13" t="str">
        <f aca="false">IF($B1689="","",SUMIFS($I$3:$I$2002,$B$3:$B$2002,$B1689))</f>
        <v/>
      </c>
      <c r="L1689" s="13" t="str">
        <f aca="false">IF($B1689="","",IF(COUNTIFS($B$3:$B1689,$B1689)&gt;1,0,IFERROR(LOOKUP($K1689,배송비규정!$A$3:$A$32,배송비규정!$B$3:$B$32),0)+IFERROR(INDEX(지역추가비!$B$3:$B$42,MATCH($J1689,지역추가비!$A$3:$A$42,0)),0)))</f>
        <v/>
      </c>
      <c r="M1689" s="13" t="str">
        <f aca="false">IF($B1689="","",IF(COUNTIFS($B$3:$B1689,$B1689)&gt;1,"",$K1689+$L1689))</f>
        <v/>
      </c>
      <c r="N1689" s="14" t="str">
        <f aca="false">IF($B1689="","",COUNTIFS($B$3:$B1689,$B1689))</f>
        <v/>
      </c>
      <c r="O1689" s="14" t="str">
        <f aca="false">IF($B1689="","",$B1689&amp;"|"&amp;$N1689)</f>
        <v/>
      </c>
    </row>
    <row r="1690" customFormat="false" ht="15" hidden="false" customHeight="false" outlineLevel="0" collapsed="false">
      <c r="A1690" s="12"/>
      <c r="B1690" s="9"/>
      <c r="C1690" s="9"/>
      <c r="D1690" s="9"/>
      <c r="E1690" s="9"/>
      <c r="F1690" s="9"/>
      <c r="G1690" s="9"/>
      <c r="H1690" s="7"/>
      <c r="I1690" s="13" t="str">
        <f aca="false">IF(OR($G1690="",$H1690=""),"",ROUND($G1690*$H1690,0))</f>
        <v/>
      </c>
      <c r="J1690" s="8"/>
      <c r="K1690" s="13" t="str">
        <f aca="false">IF($B1690="","",SUMIFS($I$3:$I$2002,$B$3:$B$2002,$B1690))</f>
        <v/>
      </c>
      <c r="L1690" s="13" t="str">
        <f aca="false">IF($B1690="","",IF(COUNTIFS($B$3:$B1690,$B1690)&gt;1,0,IFERROR(LOOKUP($K1690,배송비규정!$A$3:$A$32,배송비규정!$B$3:$B$32),0)+IFERROR(INDEX(지역추가비!$B$3:$B$42,MATCH($J1690,지역추가비!$A$3:$A$42,0)),0)))</f>
        <v/>
      </c>
      <c r="M1690" s="13" t="str">
        <f aca="false">IF($B1690="","",IF(COUNTIFS($B$3:$B1690,$B1690)&gt;1,"",$K1690+$L1690))</f>
        <v/>
      </c>
      <c r="N1690" s="14" t="str">
        <f aca="false">IF($B1690="","",COUNTIFS($B$3:$B1690,$B1690))</f>
        <v/>
      </c>
      <c r="O1690" s="14" t="str">
        <f aca="false">IF($B1690="","",$B1690&amp;"|"&amp;$N1690)</f>
        <v/>
      </c>
    </row>
    <row r="1691" customFormat="false" ht="15" hidden="false" customHeight="false" outlineLevel="0" collapsed="false">
      <c r="A1691" s="12"/>
      <c r="B1691" s="9"/>
      <c r="C1691" s="9"/>
      <c r="D1691" s="9"/>
      <c r="E1691" s="9"/>
      <c r="F1691" s="9"/>
      <c r="G1691" s="9"/>
      <c r="H1691" s="7"/>
      <c r="I1691" s="13" t="str">
        <f aca="false">IF(OR($G1691="",$H1691=""),"",ROUND($G1691*$H1691,0))</f>
        <v/>
      </c>
      <c r="J1691" s="8"/>
      <c r="K1691" s="13" t="str">
        <f aca="false">IF($B1691="","",SUMIFS($I$3:$I$2002,$B$3:$B$2002,$B1691))</f>
        <v/>
      </c>
      <c r="L1691" s="13" t="str">
        <f aca="false">IF($B1691="","",IF(COUNTIFS($B$3:$B1691,$B1691)&gt;1,0,IFERROR(LOOKUP($K1691,배송비규정!$A$3:$A$32,배송비규정!$B$3:$B$32),0)+IFERROR(INDEX(지역추가비!$B$3:$B$42,MATCH($J1691,지역추가비!$A$3:$A$42,0)),0)))</f>
        <v/>
      </c>
      <c r="M1691" s="13" t="str">
        <f aca="false">IF($B1691="","",IF(COUNTIFS($B$3:$B1691,$B1691)&gt;1,"",$K1691+$L1691))</f>
        <v/>
      </c>
      <c r="N1691" s="14" t="str">
        <f aca="false">IF($B1691="","",COUNTIFS($B$3:$B1691,$B1691))</f>
        <v/>
      </c>
      <c r="O1691" s="14" t="str">
        <f aca="false">IF($B1691="","",$B1691&amp;"|"&amp;$N1691)</f>
        <v/>
      </c>
    </row>
    <row r="1692" customFormat="false" ht="15" hidden="false" customHeight="false" outlineLevel="0" collapsed="false">
      <c r="A1692" s="12"/>
      <c r="B1692" s="9"/>
      <c r="C1692" s="9"/>
      <c r="D1692" s="9"/>
      <c r="E1692" s="9"/>
      <c r="F1692" s="9"/>
      <c r="G1692" s="9"/>
      <c r="H1692" s="7"/>
      <c r="I1692" s="13" t="str">
        <f aca="false">IF(OR($G1692="",$H1692=""),"",ROUND($G1692*$H1692,0))</f>
        <v/>
      </c>
      <c r="J1692" s="8"/>
      <c r="K1692" s="13" t="str">
        <f aca="false">IF($B1692="","",SUMIFS($I$3:$I$2002,$B$3:$B$2002,$B1692))</f>
        <v/>
      </c>
      <c r="L1692" s="13" t="str">
        <f aca="false">IF($B1692="","",IF(COUNTIFS($B$3:$B1692,$B1692)&gt;1,0,IFERROR(LOOKUP($K1692,배송비규정!$A$3:$A$32,배송비규정!$B$3:$B$32),0)+IFERROR(INDEX(지역추가비!$B$3:$B$42,MATCH($J1692,지역추가비!$A$3:$A$42,0)),0)))</f>
        <v/>
      </c>
      <c r="M1692" s="13" t="str">
        <f aca="false">IF($B1692="","",IF(COUNTIFS($B$3:$B1692,$B1692)&gt;1,"",$K1692+$L1692))</f>
        <v/>
      </c>
      <c r="N1692" s="14" t="str">
        <f aca="false">IF($B1692="","",COUNTIFS($B$3:$B1692,$B1692))</f>
        <v/>
      </c>
      <c r="O1692" s="14" t="str">
        <f aca="false">IF($B1692="","",$B1692&amp;"|"&amp;$N1692)</f>
        <v/>
      </c>
    </row>
    <row r="1693" customFormat="false" ht="15" hidden="false" customHeight="false" outlineLevel="0" collapsed="false">
      <c r="A1693" s="12"/>
      <c r="B1693" s="9"/>
      <c r="C1693" s="9"/>
      <c r="D1693" s="9"/>
      <c r="E1693" s="9"/>
      <c r="F1693" s="9"/>
      <c r="G1693" s="9"/>
      <c r="H1693" s="7"/>
      <c r="I1693" s="13" t="str">
        <f aca="false">IF(OR($G1693="",$H1693=""),"",ROUND($G1693*$H1693,0))</f>
        <v/>
      </c>
      <c r="J1693" s="8"/>
      <c r="K1693" s="13" t="str">
        <f aca="false">IF($B1693="","",SUMIFS($I$3:$I$2002,$B$3:$B$2002,$B1693))</f>
        <v/>
      </c>
      <c r="L1693" s="13" t="str">
        <f aca="false">IF($B1693="","",IF(COUNTIFS($B$3:$B1693,$B1693)&gt;1,0,IFERROR(LOOKUP($K1693,배송비규정!$A$3:$A$32,배송비규정!$B$3:$B$32),0)+IFERROR(INDEX(지역추가비!$B$3:$B$42,MATCH($J1693,지역추가비!$A$3:$A$42,0)),0)))</f>
        <v/>
      </c>
      <c r="M1693" s="13" t="str">
        <f aca="false">IF($B1693="","",IF(COUNTIFS($B$3:$B1693,$B1693)&gt;1,"",$K1693+$L1693))</f>
        <v/>
      </c>
      <c r="N1693" s="14" t="str">
        <f aca="false">IF($B1693="","",COUNTIFS($B$3:$B1693,$B1693))</f>
        <v/>
      </c>
      <c r="O1693" s="14" t="str">
        <f aca="false">IF($B1693="","",$B1693&amp;"|"&amp;$N1693)</f>
        <v/>
      </c>
    </row>
    <row r="1694" customFormat="false" ht="15" hidden="false" customHeight="false" outlineLevel="0" collapsed="false">
      <c r="A1694" s="12"/>
      <c r="B1694" s="9"/>
      <c r="C1694" s="9"/>
      <c r="D1694" s="9"/>
      <c r="E1694" s="9"/>
      <c r="F1694" s="9"/>
      <c r="G1694" s="9"/>
      <c r="H1694" s="7"/>
      <c r="I1694" s="13" t="str">
        <f aca="false">IF(OR($G1694="",$H1694=""),"",ROUND($G1694*$H1694,0))</f>
        <v/>
      </c>
      <c r="J1694" s="8"/>
      <c r="K1694" s="13" t="str">
        <f aca="false">IF($B1694="","",SUMIFS($I$3:$I$2002,$B$3:$B$2002,$B1694))</f>
        <v/>
      </c>
      <c r="L1694" s="13" t="str">
        <f aca="false">IF($B1694="","",IF(COUNTIFS($B$3:$B1694,$B1694)&gt;1,0,IFERROR(LOOKUP($K1694,배송비규정!$A$3:$A$32,배송비규정!$B$3:$B$32),0)+IFERROR(INDEX(지역추가비!$B$3:$B$42,MATCH($J1694,지역추가비!$A$3:$A$42,0)),0)))</f>
        <v/>
      </c>
      <c r="M1694" s="13" t="str">
        <f aca="false">IF($B1694="","",IF(COUNTIFS($B$3:$B1694,$B1694)&gt;1,"",$K1694+$L1694))</f>
        <v/>
      </c>
      <c r="N1694" s="14" t="str">
        <f aca="false">IF($B1694="","",COUNTIFS($B$3:$B1694,$B1694))</f>
        <v/>
      </c>
      <c r="O1694" s="14" t="str">
        <f aca="false">IF($B1694="","",$B1694&amp;"|"&amp;$N1694)</f>
        <v/>
      </c>
    </row>
    <row r="1695" customFormat="false" ht="15" hidden="false" customHeight="false" outlineLevel="0" collapsed="false">
      <c r="A1695" s="12"/>
      <c r="B1695" s="9"/>
      <c r="C1695" s="9"/>
      <c r="D1695" s="9"/>
      <c r="E1695" s="9"/>
      <c r="F1695" s="9"/>
      <c r="G1695" s="9"/>
      <c r="H1695" s="7"/>
      <c r="I1695" s="13" t="str">
        <f aca="false">IF(OR($G1695="",$H1695=""),"",ROUND($G1695*$H1695,0))</f>
        <v/>
      </c>
      <c r="J1695" s="8"/>
      <c r="K1695" s="13" t="str">
        <f aca="false">IF($B1695="","",SUMIFS($I$3:$I$2002,$B$3:$B$2002,$B1695))</f>
        <v/>
      </c>
      <c r="L1695" s="13" t="str">
        <f aca="false">IF($B1695="","",IF(COUNTIFS($B$3:$B1695,$B1695)&gt;1,0,IFERROR(LOOKUP($K1695,배송비규정!$A$3:$A$32,배송비규정!$B$3:$B$32),0)+IFERROR(INDEX(지역추가비!$B$3:$B$42,MATCH($J1695,지역추가비!$A$3:$A$42,0)),0)))</f>
        <v/>
      </c>
      <c r="M1695" s="13" t="str">
        <f aca="false">IF($B1695="","",IF(COUNTIFS($B$3:$B1695,$B1695)&gt;1,"",$K1695+$L1695))</f>
        <v/>
      </c>
      <c r="N1695" s="14" t="str">
        <f aca="false">IF($B1695="","",COUNTIFS($B$3:$B1695,$B1695))</f>
        <v/>
      </c>
      <c r="O1695" s="14" t="str">
        <f aca="false">IF($B1695="","",$B1695&amp;"|"&amp;$N1695)</f>
        <v/>
      </c>
    </row>
    <row r="1696" customFormat="false" ht="15" hidden="false" customHeight="false" outlineLevel="0" collapsed="false">
      <c r="A1696" s="12"/>
      <c r="B1696" s="9"/>
      <c r="C1696" s="9"/>
      <c r="D1696" s="9"/>
      <c r="E1696" s="9"/>
      <c r="F1696" s="9"/>
      <c r="G1696" s="9"/>
      <c r="H1696" s="7"/>
      <c r="I1696" s="13" t="str">
        <f aca="false">IF(OR($G1696="",$H1696=""),"",ROUND($G1696*$H1696,0))</f>
        <v/>
      </c>
      <c r="J1696" s="8"/>
      <c r="K1696" s="13" t="str">
        <f aca="false">IF($B1696="","",SUMIFS($I$3:$I$2002,$B$3:$B$2002,$B1696))</f>
        <v/>
      </c>
      <c r="L1696" s="13" t="str">
        <f aca="false">IF($B1696="","",IF(COUNTIFS($B$3:$B1696,$B1696)&gt;1,0,IFERROR(LOOKUP($K1696,배송비규정!$A$3:$A$32,배송비규정!$B$3:$B$32),0)+IFERROR(INDEX(지역추가비!$B$3:$B$42,MATCH($J1696,지역추가비!$A$3:$A$42,0)),0)))</f>
        <v/>
      </c>
      <c r="M1696" s="13" t="str">
        <f aca="false">IF($B1696="","",IF(COUNTIFS($B$3:$B1696,$B1696)&gt;1,"",$K1696+$L1696))</f>
        <v/>
      </c>
      <c r="N1696" s="14" t="str">
        <f aca="false">IF($B1696="","",COUNTIFS($B$3:$B1696,$B1696))</f>
        <v/>
      </c>
      <c r="O1696" s="14" t="str">
        <f aca="false">IF($B1696="","",$B1696&amp;"|"&amp;$N1696)</f>
        <v/>
      </c>
    </row>
    <row r="1697" customFormat="false" ht="15" hidden="false" customHeight="false" outlineLevel="0" collapsed="false">
      <c r="A1697" s="12"/>
      <c r="B1697" s="9"/>
      <c r="C1697" s="9"/>
      <c r="D1697" s="9"/>
      <c r="E1697" s="9"/>
      <c r="F1697" s="9"/>
      <c r="G1697" s="9"/>
      <c r="H1697" s="7"/>
      <c r="I1697" s="13" t="str">
        <f aca="false">IF(OR($G1697="",$H1697=""),"",ROUND($G1697*$H1697,0))</f>
        <v/>
      </c>
      <c r="J1697" s="8"/>
      <c r="K1697" s="13" t="str">
        <f aca="false">IF($B1697="","",SUMIFS($I$3:$I$2002,$B$3:$B$2002,$B1697))</f>
        <v/>
      </c>
      <c r="L1697" s="13" t="str">
        <f aca="false">IF($B1697="","",IF(COUNTIFS($B$3:$B1697,$B1697)&gt;1,0,IFERROR(LOOKUP($K1697,배송비규정!$A$3:$A$32,배송비규정!$B$3:$B$32),0)+IFERROR(INDEX(지역추가비!$B$3:$B$42,MATCH($J1697,지역추가비!$A$3:$A$42,0)),0)))</f>
        <v/>
      </c>
      <c r="M1697" s="13" t="str">
        <f aca="false">IF($B1697="","",IF(COUNTIFS($B$3:$B1697,$B1697)&gt;1,"",$K1697+$L1697))</f>
        <v/>
      </c>
      <c r="N1697" s="14" t="str">
        <f aca="false">IF($B1697="","",COUNTIFS($B$3:$B1697,$B1697))</f>
        <v/>
      </c>
      <c r="O1697" s="14" t="str">
        <f aca="false">IF($B1697="","",$B1697&amp;"|"&amp;$N1697)</f>
        <v/>
      </c>
    </row>
    <row r="1698" customFormat="false" ht="15" hidden="false" customHeight="false" outlineLevel="0" collapsed="false">
      <c r="A1698" s="12"/>
      <c r="B1698" s="9"/>
      <c r="C1698" s="9"/>
      <c r="D1698" s="9"/>
      <c r="E1698" s="9"/>
      <c r="F1698" s="9"/>
      <c r="G1698" s="9"/>
      <c r="H1698" s="7"/>
      <c r="I1698" s="13" t="str">
        <f aca="false">IF(OR($G1698="",$H1698=""),"",ROUND($G1698*$H1698,0))</f>
        <v/>
      </c>
      <c r="J1698" s="8"/>
      <c r="K1698" s="13" t="str">
        <f aca="false">IF($B1698="","",SUMIFS($I$3:$I$2002,$B$3:$B$2002,$B1698))</f>
        <v/>
      </c>
      <c r="L1698" s="13" t="str">
        <f aca="false">IF($B1698="","",IF(COUNTIFS($B$3:$B1698,$B1698)&gt;1,0,IFERROR(LOOKUP($K1698,배송비규정!$A$3:$A$32,배송비규정!$B$3:$B$32),0)+IFERROR(INDEX(지역추가비!$B$3:$B$42,MATCH($J1698,지역추가비!$A$3:$A$42,0)),0)))</f>
        <v/>
      </c>
      <c r="M1698" s="13" t="str">
        <f aca="false">IF($B1698="","",IF(COUNTIFS($B$3:$B1698,$B1698)&gt;1,"",$K1698+$L1698))</f>
        <v/>
      </c>
      <c r="N1698" s="14" t="str">
        <f aca="false">IF($B1698="","",COUNTIFS($B$3:$B1698,$B1698))</f>
        <v/>
      </c>
      <c r="O1698" s="14" t="str">
        <f aca="false">IF($B1698="","",$B1698&amp;"|"&amp;$N1698)</f>
        <v/>
      </c>
    </row>
    <row r="1699" customFormat="false" ht="15" hidden="false" customHeight="false" outlineLevel="0" collapsed="false">
      <c r="A1699" s="12"/>
      <c r="B1699" s="9"/>
      <c r="C1699" s="9"/>
      <c r="D1699" s="9"/>
      <c r="E1699" s="9"/>
      <c r="F1699" s="9"/>
      <c r="G1699" s="9"/>
      <c r="H1699" s="7"/>
      <c r="I1699" s="13" t="str">
        <f aca="false">IF(OR($G1699="",$H1699=""),"",ROUND($G1699*$H1699,0))</f>
        <v/>
      </c>
      <c r="J1699" s="8"/>
      <c r="K1699" s="13" t="str">
        <f aca="false">IF($B1699="","",SUMIFS($I$3:$I$2002,$B$3:$B$2002,$B1699))</f>
        <v/>
      </c>
      <c r="L1699" s="13" t="str">
        <f aca="false">IF($B1699="","",IF(COUNTIFS($B$3:$B1699,$B1699)&gt;1,0,IFERROR(LOOKUP($K1699,배송비규정!$A$3:$A$32,배송비규정!$B$3:$B$32),0)+IFERROR(INDEX(지역추가비!$B$3:$B$42,MATCH($J1699,지역추가비!$A$3:$A$42,0)),0)))</f>
        <v/>
      </c>
      <c r="M1699" s="13" t="str">
        <f aca="false">IF($B1699="","",IF(COUNTIFS($B$3:$B1699,$B1699)&gt;1,"",$K1699+$L1699))</f>
        <v/>
      </c>
      <c r="N1699" s="14" t="str">
        <f aca="false">IF($B1699="","",COUNTIFS($B$3:$B1699,$B1699))</f>
        <v/>
      </c>
      <c r="O1699" s="14" t="str">
        <f aca="false">IF($B1699="","",$B1699&amp;"|"&amp;$N1699)</f>
        <v/>
      </c>
    </row>
    <row r="1700" customFormat="false" ht="15" hidden="false" customHeight="false" outlineLevel="0" collapsed="false">
      <c r="A1700" s="12"/>
      <c r="B1700" s="9"/>
      <c r="C1700" s="9"/>
      <c r="D1700" s="9"/>
      <c r="E1700" s="9"/>
      <c r="F1700" s="9"/>
      <c r="G1700" s="9"/>
      <c r="H1700" s="7"/>
      <c r="I1700" s="13" t="str">
        <f aca="false">IF(OR($G1700="",$H1700=""),"",ROUND($G1700*$H1700,0))</f>
        <v/>
      </c>
      <c r="J1700" s="8"/>
      <c r="K1700" s="13" t="str">
        <f aca="false">IF($B1700="","",SUMIFS($I$3:$I$2002,$B$3:$B$2002,$B1700))</f>
        <v/>
      </c>
      <c r="L1700" s="13" t="str">
        <f aca="false">IF($B1700="","",IF(COUNTIFS($B$3:$B1700,$B1700)&gt;1,0,IFERROR(LOOKUP($K1700,배송비규정!$A$3:$A$32,배송비규정!$B$3:$B$32),0)+IFERROR(INDEX(지역추가비!$B$3:$B$42,MATCH($J1700,지역추가비!$A$3:$A$42,0)),0)))</f>
        <v/>
      </c>
      <c r="M1700" s="13" t="str">
        <f aca="false">IF($B1700="","",IF(COUNTIFS($B$3:$B1700,$B1700)&gt;1,"",$K1700+$L1700))</f>
        <v/>
      </c>
      <c r="N1700" s="14" t="str">
        <f aca="false">IF($B1700="","",COUNTIFS($B$3:$B1700,$B1700))</f>
        <v/>
      </c>
      <c r="O1700" s="14" t="str">
        <f aca="false">IF($B1700="","",$B1700&amp;"|"&amp;$N1700)</f>
        <v/>
      </c>
    </row>
    <row r="1701" customFormat="false" ht="15" hidden="false" customHeight="false" outlineLevel="0" collapsed="false">
      <c r="A1701" s="12"/>
      <c r="B1701" s="9"/>
      <c r="C1701" s="9"/>
      <c r="D1701" s="9"/>
      <c r="E1701" s="9"/>
      <c r="F1701" s="9"/>
      <c r="G1701" s="9"/>
      <c r="H1701" s="7"/>
      <c r="I1701" s="13" t="str">
        <f aca="false">IF(OR($G1701="",$H1701=""),"",ROUND($G1701*$H1701,0))</f>
        <v/>
      </c>
      <c r="J1701" s="8"/>
      <c r="K1701" s="13" t="str">
        <f aca="false">IF($B1701="","",SUMIFS($I$3:$I$2002,$B$3:$B$2002,$B1701))</f>
        <v/>
      </c>
      <c r="L1701" s="13" t="str">
        <f aca="false">IF($B1701="","",IF(COUNTIFS($B$3:$B1701,$B1701)&gt;1,0,IFERROR(LOOKUP($K1701,배송비규정!$A$3:$A$32,배송비규정!$B$3:$B$32),0)+IFERROR(INDEX(지역추가비!$B$3:$B$42,MATCH($J1701,지역추가비!$A$3:$A$42,0)),0)))</f>
        <v/>
      </c>
      <c r="M1701" s="13" t="str">
        <f aca="false">IF($B1701="","",IF(COUNTIFS($B$3:$B1701,$B1701)&gt;1,"",$K1701+$L1701))</f>
        <v/>
      </c>
      <c r="N1701" s="14" t="str">
        <f aca="false">IF($B1701="","",COUNTIFS($B$3:$B1701,$B1701))</f>
        <v/>
      </c>
      <c r="O1701" s="14" t="str">
        <f aca="false">IF($B1701="","",$B1701&amp;"|"&amp;$N1701)</f>
        <v/>
      </c>
    </row>
    <row r="1702" customFormat="false" ht="15" hidden="false" customHeight="false" outlineLevel="0" collapsed="false">
      <c r="A1702" s="12"/>
      <c r="B1702" s="9"/>
      <c r="C1702" s="9"/>
      <c r="D1702" s="9"/>
      <c r="E1702" s="9"/>
      <c r="F1702" s="9"/>
      <c r="G1702" s="9"/>
      <c r="H1702" s="7"/>
      <c r="I1702" s="13" t="str">
        <f aca="false">IF(OR($G1702="",$H1702=""),"",ROUND($G1702*$H1702,0))</f>
        <v/>
      </c>
      <c r="J1702" s="8"/>
      <c r="K1702" s="13" t="str">
        <f aca="false">IF($B1702="","",SUMIFS($I$3:$I$2002,$B$3:$B$2002,$B1702))</f>
        <v/>
      </c>
      <c r="L1702" s="13" t="str">
        <f aca="false">IF($B1702="","",IF(COUNTIFS($B$3:$B1702,$B1702)&gt;1,0,IFERROR(LOOKUP($K1702,배송비규정!$A$3:$A$32,배송비규정!$B$3:$B$32),0)+IFERROR(INDEX(지역추가비!$B$3:$B$42,MATCH($J1702,지역추가비!$A$3:$A$42,0)),0)))</f>
        <v/>
      </c>
      <c r="M1702" s="13" t="str">
        <f aca="false">IF($B1702="","",IF(COUNTIFS($B$3:$B1702,$B1702)&gt;1,"",$K1702+$L1702))</f>
        <v/>
      </c>
      <c r="N1702" s="14" t="str">
        <f aca="false">IF($B1702="","",COUNTIFS($B$3:$B1702,$B1702))</f>
        <v/>
      </c>
      <c r="O1702" s="14" t="str">
        <f aca="false">IF($B1702="","",$B1702&amp;"|"&amp;$N1702)</f>
        <v/>
      </c>
    </row>
    <row r="1703" customFormat="false" ht="15" hidden="false" customHeight="false" outlineLevel="0" collapsed="false">
      <c r="A1703" s="12"/>
      <c r="B1703" s="9"/>
      <c r="C1703" s="9"/>
      <c r="D1703" s="9"/>
      <c r="E1703" s="9"/>
      <c r="F1703" s="9"/>
      <c r="G1703" s="9"/>
      <c r="H1703" s="7"/>
      <c r="I1703" s="13" t="str">
        <f aca="false">IF(OR($G1703="",$H1703=""),"",ROUND($G1703*$H1703,0))</f>
        <v/>
      </c>
      <c r="J1703" s="8"/>
      <c r="K1703" s="13" t="str">
        <f aca="false">IF($B1703="","",SUMIFS($I$3:$I$2002,$B$3:$B$2002,$B1703))</f>
        <v/>
      </c>
      <c r="L1703" s="13" t="str">
        <f aca="false">IF($B1703="","",IF(COUNTIFS($B$3:$B1703,$B1703)&gt;1,0,IFERROR(LOOKUP($K1703,배송비규정!$A$3:$A$32,배송비규정!$B$3:$B$32),0)+IFERROR(INDEX(지역추가비!$B$3:$B$42,MATCH($J1703,지역추가비!$A$3:$A$42,0)),0)))</f>
        <v/>
      </c>
      <c r="M1703" s="13" t="str">
        <f aca="false">IF($B1703="","",IF(COUNTIFS($B$3:$B1703,$B1703)&gt;1,"",$K1703+$L1703))</f>
        <v/>
      </c>
      <c r="N1703" s="14" t="str">
        <f aca="false">IF($B1703="","",COUNTIFS($B$3:$B1703,$B1703))</f>
        <v/>
      </c>
      <c r="O1703" s="14" t="str">
        <f aca="false">IF($B1703="","",$B1703&amp;"|"&amp;$N1703)</f>
        <v/>
      </c>
    </row>
    <row r="1704" customFormat="false" ht="15" hidden="false" customHeight="false" outlineLevel="0" collapsed="false">
      <c r="A1704" s="12"/>
      <c r="B1704" s="9"/>
      <c r="C1704" s="9"/>
      <c r="D1704" s="9"/>
      <c r="E1704" s="9"/>
      <c r="F1704" s="9"/>
      <c r="G1704" s="9"/>
      <c r="H1704" s="7"/>
      <c r="I1704" s="13" t="str">
        <f aca="false">IF(OR($G1704="",$H1704=""),"",ROUND($G1704*$H1704,0))</f>
        <v/>
      </c>
      <c r="J1704" s="8"/>
      <c r="K1704" s="13" t="str">
        <f aca="false">IF($B1704="","",SUMIFS($I$3:$I$2002,$B$3:$B$2002,$B1704))</f>
        <v/>
      </c>
      <c r="L1704" s="13" t="str">
        <f aca="false">IF($B1704="","",IF(COUNTIFS($B$3:$B1704,$B1704)&gt;1,0,IFERROR(LOOKUP($K1704,배송비규정!$A$3:$A$32,배송비규정!$B$3:$B$32),0)+IFERROR(INDEX(지역추가비!$B$3:$B$42,MATCH($J1704,지역추가비!$A$3:$A$42,0)),0)))</f>
        <v/>
      </c>
      <c r="M1704" s="13" t="str">
        <f aca="false">IF($B1704="","",IF(COUNTIFS($B$3:$B1704,$B1704)&gt;1,"",$K1704+$L1704))</f>
        <v/>
      </c>
      <c r="N1704" s="14" t="str">
        <f aca="false">IF($B1704="","",COUNTIFS($B$3:$B1704,$B1704))</f>
        <v/>
      </c>
      <c r="O1704" s="14" t="str">
        <f aca="false">IF($B1704="","",$B1704&amp;"|"&amp;$N1704)</f>
        <v/>
      </c>
    </row>
    <row r="1705" customFormat="false" ht="15" hidden="false" customHeight="false" outlineLevel="0" collapsed="false">
      <c r="A1705" s="12"/>
      <c r="B1705" s="9"/>
      <c r="C1705" s="9"/>
      <c r="D1705" s="9"/>
      <c r="E1705" s="9"/>
      <c r="F1705" s="9"/>
      <c r="G1705" s="9"/>
      <c r="H1705" s="7"/>
      <c r="I1705" s="13" t="str">
        <f aca="false">IF(OR($G1705="",$H1705=""),"",ROUND($G1705*$H1705,0))</f>
        <v/>
      </c>
      <c r="J1705" s="8"/>
      <c r="K1705" s="13" t="str">
        <f aca="false">IF($B1705="","",SUMIFS($I$3:$I$2002,$B$3:$B$2002,$B1705))</f>
        <v/>
      </c>
      <c r="L1705" s="13" t="str">
        <f aca="false">IF($B1705="","",IF(COUNTIFS($B$3:$B1705,$B1705)&gt;1,0,IFERROR(LOOKUP($K1705,배송비규정!$A$3:$A$32,배송비규정!$B$3:$B$32),0)+IFERROR(INDEX(지역추가비!$B$3:$B$42,MATCH($J1705,지역추가비!$A$3:$A$42,0)),0)))</f>
        <v/>
      </c>
      <c r="M1705" s="13" t="str">
        <f aca="false">IF($B1705="","",IF(COUNTIFS($B$3:$B1705,$B1705)&gt;1,"",$K1705+$L1705))</f>
        <v/>
      </c>
      <c r="N1705" s="14" t="str">
        <f aca="false">IF($B1705="","",COUNTIFS($B$3:$B1705,$B1705))</f>
        <v/>
      </c>
      <c r="O1705" s="14" t="str">
        <f aca="false">IF($B1705="","",$B1705&amp;"|"&amp;$N1705)</f>
        <v/>
      </c>
    </row>
    <row r="1706" customFormat="false" ht="15" hidden="false" customHeight="false" outlineLevel="0" collapsed="false">
      <c r="A1706" s="12"/>
      <c r="B1706" s="9"/>
      <c r="C1706" s="9"/>
      <c r="D1706" s="9"/>
      <c r="E1706" s="9"/>
      <c r="F1706" s="9"/>
      <c r="G1706" s="9"/>
      <c r="H1706" s="7"/>
      <c r="I1706" s="13" t="str">
        <f aca="false">IF(OR($G1706="",$H1706=""),"",ROUND($G1706*$H1706,0))</f>
        <v/>
      </c>
      <c r="J1706" s="8"/>
      <c r="K1706" s="13" t="str">
        <f aca="false">IF($B1706="","",SUMIFS($I$3:$I$2002,$B$3:$B$2002,$B1706))</f>
        <v/>
      </c>
      <c r="L1706" s="13" t="str">
        <f aca="false">IF($B1706="","",IF(COUNTIFS($B$3:$B1706,$B1706)&gt;1,0,IFERROR(LOOKUP($K1706,배송비규정!$A$3:$A$32,배송비규정!$B$3:$B$32),0)+IFERROR(INDEX(지역추가비!$B$3:$B$42,MATCH($J1706,지역추가비!$A$3:$A$42,0)),0)))</f>
        <v/>
      </c>
      <c r="M1706" s="13" t="str">
        <f aca="false">IF($B1706="","",IF(COUNTIFS($B$3:$B1706,$B1706)&gt;1,"",$K1706+$L1706))</f>
        <v/>
      </c>
      <c r="N1706" s="14" t="str">
        <f aca="false">IF($B1706="","",COUNTIFS($B$3:$B1706,$B1706))</f>
        <v/>
      </c>
      <c r="O1706" s="14" t="str">
        <f aca="false">IF($B1706="","",$B1706&amp;"|"&amp;$N1706)</f>
        <v/>
      </c>
    </row>
    <row r="1707" customFormat="false" ht="15" hidden="false" customHeight="false" outlineLevel="0" collapsed="false">
      <c r="A1707" s="12"/>
      <c r="B1707" s="9"/>
      <c r="C1707" s="9"/>
      <c r="D1707" s="9"/>
      <c r="E1707" s="9"/>
      <c r="F1707" s="9"/>
      <c r="G1707" s="9"/>
      <c r="H1707" s="7"/>
      <c r="I1707" s="13" t="str">
        <f aca="false">IF(OR($G1707="",$H1707=""),"",ROUND($G1707*$H1707,0))</f>
        <v/>
      </c>
      <c r="J1707" s="8"/>
      <c r="K1707" s="13" t="str">
        <f aca="false">IF($B1707="","",SUMIFS($I$3:$I$2002,$B$3:$B$2002,$B1707))</f>
        <v/>
      </c>
      <c r="L1707" s="13" t="str">
        <f aca="false">IF($B1707="","",IF(COUNTIFS($B$3:$B1707,$B1707)&gt;1,0,IFERROR(LOOKUP($K1707,배송비규정!$A$3:$A$32,배송비규정!$B$3:$B$32),0)+IFERROR(INDEX(지역추가비!$B$3:$B$42,MATCH($J1707,지역추가비!$A$3:$A$42,0)),0)))</f>
        <v/>
      </c>
      <c r="M1707" s="13" t="str">
        <f aca="false">IF($B1707="","",IF(COUNTIFS($B$3:$B1707,$B1707)&gt;1,"",$K1707+$L1707))</f>
        <v/>
      </c>
      <c r="N1707" s="14" t="str">
        <f aca="false">IF($B1707="","",COUNTIFS($B$3:$B1707,$B1707))</f>
        <v/>
      </c>
      <c r="O1707" s="14" t="str">
        <f aca="false">IF($B1707="","",$B1707&amp;"|"&amp;$N1707)</f>
        <v/>
      </c>
    </row>
    <row r="1708" customFormat="false" ht="15" hidden="false" customHeight="false" outlineLevel="0" collapsed="false">
      <c r="A1708" s="12"/>
      <c r="B1708" s="9"/>
      <c r="C1708" s="9"/>
      <c r="D1708" s="9"/>
      <c r="E1708" s="9"/>
      <c r="F1708" s="9"/>
      <c r="G1708" s="9"/>
      <c r="H1708" s="7"/>
      <c r="I1708" s="13" t="str">
        <f aca="false">IF(OR($G1708="",$H1708=""),"",ROUND($G1708*$H1708,0))</f>
        <v/>
      </c>
      <c r="J1708" s="8"/>
      <c r="K1708" s="13" t="str">
        <f aca="false">IF($B1708="","",SUMIFS($I$3:$I$2002,$B$3:$B$2002,$B1708))</f>
        <v/>
      </c>
      <c r="L1708" s="13" t="str">
        <f aca="false">IF($B1708="","",IF(COUNTIFS($B$3:$B1708,$B1708)&gt;1,0,IFERROR(LOOKUP($K1708,배송비규정!$A$3:$A$32,배송비규정!$B$3:$B$32),0)+IFERROR(INDEX(지역추가비!$B$3:$B$42,MATCH($J1708,지역추가비!$A$3:$A$42,0)),0)))</f>
        <v/>
      </c>
      <c r="M1708" s="13" t="str">
        <f aca="false">IF($B1708="","",IF(COUNTIFS($B$3:$B1708,$B1708)&gt;1,"",$K1708+$L1708))</f>
        <v/>
      </c>
      <c r="N1708" s="14" t="str">
        <f aca="false">IF($B1708="","",COUNTIFS($B$3:$B1708,$B1708))</f>
        <v/>
      </c>
      <c r="O1708" s="14" t="str">
        <f aca="false">IF($B1708="","",$B1708&amp;"|"&amp;$N1708)</f>
        <v/>
      </c>
    </row>
    <row r="1709" customFormat="false" ht="15" hidden="false" customHeight="false" outlineLevel="0" collapsed="false">
      <c r="A1709" s="12"/>
      <c r="B1709" s="9"/>
      <c r="C1709" s="9"/>
      <c r="D1709" s="9"/>
      <c r="E1709" s="9"/>
      <c r="F1709" s="9"/>
      <c r="G1709" s="9"/>
      <c r="H1709" s="7"/>
      <c r="I1709" s="13" t="str">
        <f aca="false">IF(OR($G1709="",$H1709=""),"",ROUND($G1709*$H1709,0))</f>
        <v/>
      </c>
      <c r="J1709" s="8"/>
      <c r="K1709" s="13" t="str">
        <f aca="false">IF($B1709="","",SUMIFS($I$3:$I$2002,$B$3:$B$2002,$B1709))</f>
        <v/>
      </c>
      <c r="L1709" s="13" t="str">
        <f aca="false">IF($B1709="","",IF(COUNTIFS($B$3:$B1709,$B1709)&gt;1,0,IFERROR(LOOKUP($K1709,배송비규정!$A$3:$A$32,배송비규정!$B$3:$B$32),0)+IFERROR(INDEX(지역추가비!$B$3:$B$42,MATCH($J1709,지역추가비!$A$3:$A$42,0)),0)))</f>
        <v/>
      </c>
      <c r="M1709" s="13" t="str">
        <f aca="false">IF($B1709="","",IF(COUNTIFS($B$3:$B1709,$B1709)&gt;1,"",$K1709+$L1709))</f>
        <v/>
      </c>
      <c r="N1709" s="14" t="str">
        <f aca="false">IF($B1709="","",COUNTIFS($B$3:$B1709,$B1709))</f>
        <v/>
      </c>
      <c r="O1709" s="14" t="str">
        <f aca="false">IF($B1709="","",$B1709&amp;"|"&amp;$N1709)</f>
        <v/>
      </c>
    </row>
    <row r="1710" customFormat="false" ht="15" hidden="false" customHeight="false" outlineLevel="0" collapsed="false">
      <c r="A1710" s="12"/>
      <c r="B1710" s="9"/>
      <c r="C1710" s="9"/>
      <c r="D1710" s="9"/>
      <c r="E1710" s="9"/>
      <c r="F1710" s="9"/>
      <c r="G1710" s="9"/>
      <c r="H1710" s="7"/>
      <c r="I1710" s="13" t="str">
        <f aca="false">IF(OR($G1710="",$H1710=""),"",ROUND($G1710*$H1710,0))</f>
        <v/>
      </c>
      <c r="J1710" s="8"/>
      <c r="K1710" s="13" t="str">
        <f aca="false">IF($B1710="","",SUMIFS($I$3:$I$2002,$B$3:$B$2002,$B1710))</f>
        <v/>
      </c>
      <c r="L1710" s="13" t="str">
        <f aca="false">IF($B1710="","",IF(COUNTIFS($B$3:$B1710,$B1710)&gt;1,0,IFERROR(LOOKUP($K1710,배송비규정!$A$3:$A$32,배송비규정!$B$3:$B$32),0)+IFERROR(INDEX(지역추가비!$B$3:$B$42,MATCH($J1710,지역추가비!$A$3:$A$42,0)),0)))</f>
        <v/>
      </c>
      <c r="M1710" s="13" t="str">
        <f aca="false">IF($B1710="","",IF(COUNTIFS($B$3:$B1710,$B1710)&gt;1,"",$K1710+$L1710))</f>
        <v/>
      </c>
      <c r="N1710" s="14" t="str">
        <f aca="false">IF($B1710="","",COUNTIFS($B$3:$B1710,$B1710))</f>
        <v/>
      </c>
      <c r="O1710" s="14" t="str">
        <f aca="false">IF($B1710="","",$B1710&amp;"|"&amp;$N1710)</f>
        <v/>
      </c>
    </row>
    <row r="1711" customFormat="false" ht="15" hidden="false" customHeight="false" outlineLevel="0" collapsed="false">
      <c r="A1711" s="12"/>
      <c r="B1711" s="9"/>
      <c r="C1711" s="9"/>
      <c r="D1711" s="9"/>
      <c r="E1711" s="9"/>
      <c r="F1711" s="9"/>
      <c r="G1711" s="9"/>
      <c r="H1711" s="7"/>
      <c r="I1711" s="13" t="str">
        <f aca="false">IF(OR($G1711="",$H1711=""),"",ROUND($G1711*$H1711,0))</f>
        <v/>
      </c>
      <c r="J1711" s="8"/>
      <c r="K1711" s="13" t="str">
        <f aca="false">IF($B1711="","",SUMIFS($I$3:$I$2002,$B$3:$B$2002,$B1711))</f>
        <v/>
      </c>
      <c r="L1711" s="13" t="str">
        <f aca="false">IF($B1711="","",IF(COUNTIFS($B$3:$B1711,$B1711)&gt;1,0,IFERROR(LOOKUP($K1711,배송비규정!$A$3:$A$32,배송비규정!$B$3:$B$32),0)+IFERROR(INDEX(지역추가비!$B$3:$B$42,MATCH($J1711,지역추가비!$A$3:$A$42,0)),0)))</f>
        <v/>
      </c>
      <c r="M1711" s="13" t="str">
        <f aca="false">IF($B1711="","",IF(COUNTIFS($B$3:$B1711,$B1711)&gt;1,"",$K1711+$L1711))</f>
        <v/>
      </c>
      <c r="N1711" s="14" t="str">
        <f aca="false">IF($B1711="","",COUNTIFS($B$3:$B1711,$B1711))</f>
        <v/>
      </c>
      <c r="O1711" s="14" t="str">
        <f aca="false">IF($B1711="","",$B1711&amp;"|"&amp;$N1711)</f>
        <v/>
      </c>
    </row>
    <row r="1712" customFormat="false" ht="15" hidden="false" customHeight="false" outlineLevel="0" collapsed="false">
      <c r="A1712" s="12"/>
      <c r="B1712" s="9"/>
      <c r="C1712" s="9"/>
      <c r="D1712" s="9"/>
      <c r="E1712" s="9"/>
      <c r="F1712" s="9"/>
      <c r="G1712" s="9"/>
      <c r="H1712" s="7"/>
      <c r="I1712" s="13" t="str">
        <f aca="false">IF(OR($G1712="",$H1712=""),"",ROUND($G1712*$H1712,0))</f>
        <v/>
      </c>
      <c r="J1712" s="8"/>
      <c r="K1712" s="13" t="str">
        <f aca="false">IF($B1712="","",SUMIFS($I$3:$I$2002,$B$3:$B$2002,$B1712))</f>
        <v/>
      </c>
      <c r="L1712" s="13" t="str">
        <f aca="false">IF($B1712="","",IF(COUNTIFS($B$3:$B1712,$B1712)&gt;1,0,IFERROR(LOOKUP($K1712,배송비규정!$A$3:$A$32,배송비규정!$B$3:$B$32),0)+IFERROR(INDEX(지역추가비!$B$3:$B$42,MATCH($J1712,지역추가비!$A$3:$A$42,0)),0)))</f>
        <v/>
      </c>
      <c r="M1712" s="13" t="str">
        <f aca="false">IF($B1712="","",IF(COUNTIFS($B$3:$B1712,$B1712)&gt;1,"",$K1712+$L1712))</f>
        <v/>
      </c>
      <c r="N1712" s="14" t="str">
        <f aca="false">IF($B1712="","",COUNTIFS($B$3:$B1712,$B1712))</f>
        <v/>
      </c>
      <c r="O1712" s="14" t="str">
        <f aca="false">IF($B1712="","",$B1712&amp;"|"&amp;$N1712)</f>
        <v/>
      </c>
    </row>
    <row r="1713" customFormat="false" ht="15" hidden="false" customHeight="false" outlineLevel="0" collapsed="false">
      <c r="A1713" s="12"/>
      <c r="B1713" s="9"/>
      <c r="C1713" s="9"/>
      <c r="D1713" s="9"/>
      <c r="E1713" s="9"/>
      <c r="F1713" s="9"/>
      <c r="G1713" s="9"/>
      <c r="H1713" s="7"/>
      <c r="I1713" s="13" t="str">
        <f aca="false">IF(OR($G1713="",$H1713=""),"",ROUND($G1713*$H1713,0))</f>
        <v/>
      </c>
      <c r="J1713" s="8"/>
      <c r="K1713" s="13" t="str">
        <f aca="false">IF($B1713="","",SUMIFS($I$3:$I$2002,$B$3:$B$2002,$B1713))</f>
        <v/>
      </c>
      <c r="L1713" s="13" t="str">
        <f aca="false">IF($B1713="","",IF(COUNTIFS($B$3:$B1713,$B1713)&gt;1,0,IFERROR(LOOKUP($K1713,배송비규정!$A$3:$A$32,배송비규정!$B$3:$B$32),0)+IFERROR(INDEX(지역추가비!$B$3:$B$42,MATCH($J1713,지역추가비!$A$3:$A$42,0)),0)))</f>
        <v/>
      </c>
      <c r="M1713" s="13" t="str">
        <f aca="false">IF($B1713="","",IF(COUNTIFS($B$3:$B1713,$B1713)&gt;1,"",$K1713+$L1713))</f>
        <v/>
      </c>
      <c r="N1713" s="14" t="str">
        <f aca="false">IF($B1713="","",COUNTIFS($B$3:$B1713,$B1713))</f>
        <v/>
      </c>
      <c r="O1713" s="14" t="str">
        <f aca="false">IF($B1713="","",$B1713&amp;"|"&amp;$N1713)</f>
        <v/>
      </c>
    </row>
    <row r="1714" customFormat="false" ht="15" hidden="false" customHeight="false" outlineLevel="0" collapsed="false">
      <c r="A1714" s="12"/>
      <c r="B1714" s="9"/>
      <c r="C1714" s="9"/>
      <c r="D1714" s="9"/>
      <c r="E1714" s="9"/>
      <c r="F1714" s="9"/>
      <c r="G1714" s="9"/>
      <c r="H1714" s="7"/>
      <c r="I1714" s="13" t="str">
        <f aca="false">IF(OR($G1714="",$H1714=""),"",ROUND($G1714*$H1714,0))</f>
        <v/>
      </c>
      <c r="J1714" s="8"/>
      <c r="K1714" s="13" t="str">
        <f aca="false">IF($B1714="","",SUMIFS($I$3:$I$2002,$B$3:$B$2002,$B1714))</f>
        <v/>
      </c>
      <c r="L1714" s="13" t="str">
        <f aca="false">IF($B1714="","",IF(COUNTIFS($B$3:$B1714,$B1714)&gt;1,0,IFERROR(LOOKUP($K1714,배송비규정!$A$3:$A$32,배송비규정!$B$3:$B$32),0)+IFERROR(INDEX(지역추가비!$B$3:$B$42,MATCH($J1714,지역추가비!$A$3:$A$42,0)),0)))</f>
        <v/>
      </c>
      <c r="M1714" s="13" t="str">
        <f aca="false">IF($B1714="","",IF(COUNTIFS($B$3:$B1714,$B1714)&gt;1,"",$K1714+$L1714))</f>
        <v/>
      </c>
      <c r="N1714" s="14" t="str">
        <f aca="false">IF($B1714="","",COUNTIFS($B$3:$B1714,$B1714))</f>
        <v/>
      </c>
      <c r="O1714" s="14" t="str">
        <f aca="false">IF($B1714="","",$B1714&amp;"|"&amp;$N1714)</f>
        <v/>
      </c>
    </row>
    <row r="1715" customFormat="false" ht="15" hidden="false" customHeight="false" outlineLevel="0" collapsed="false">
      <c r="A1715" s="12"/>
      <c r="B1715" s="9"/>
      <c r="C1715" s="9"/>
      <c r="D1715" s="9"/>
      <c r="E1715" s="9"/>
      <c r="F1715" s="9"/>
      <c r="G1715" s="9"/>
      <c r="H1715" s="7"/>
      <c r="I1715" s="13" t="str">
        <f aca="false">IF(OR($G1715="",$H1715=""),"",ROUND($G1715*$H1715,0))</f>
        <v/>
      </c>
      <c r="J1715" s="8"/>
      <c r="K1715" s="13" t="str">
        <f aca="false">IF($B1715="","",SUMIFS($I$3:$I$2002,$B$3:$B$2002,$B1715))</f>
        <v/>
      </c>
      <c r="L1715" s="13" t="str">
        <f aca="false">IF($B1715="","",IF(COUNTIFS($B$3:$B1715,$B1715)&gt;1,0,IFERROR(LOOKUP($K1715,배송비규정!$A$3:$A$32,배송비규정!$B$3:$B$32),0)+IFERROR(INDEX(지역추가비!$B$3:$B$42,MATCH($J1715,지역추가비!$A$3:$A$42,0)),0)))</f>
        <v/>
      </c>
      <c r="M1715" s="13" t="str">
        <f aca="false">IF($B1715="","",IF(COUNTIFS($B$3:$B1715,$B1715)&gt;1,"",$K1715+$L1715))</f>
        <v/>
      </c>
      <c r="N1715" s="14" t="str">
        <f aca="false">IF($B1715="","",COUNTIFS($B$3:$B1715,$B1715))</f>
        <v/>
      </c>
      <c r="O1715" s="14" t="str">
        <f aca="false">IF($B1715="","",$B1715&amp;"|"&amp;$N1715)</f>
        <v/>
      </c>
    </row>
    <row r="1716" customFormat="false" ht="15" hidden="false" customHeight="false" outlineLevel="0" collapsed="false">
      <c r="A1716" s="12"/>
      <c r="B1716" s="9"/>
      <c r="C1716" s="9"/>
      <c r="D1716" s="9"/>
      <c r="E1716" s="9"/>
      <c r="F1716" s="9"/>
      <c r="G1716" s="9"/>
      <c r="H1716" s="7"/>
      <c r="I1716" s="13" t="str">
        <f aca="false">IF(OR($G1716="",$H1716=""),"",ROUND($G1716*$H1716,0))</f>
        <v/>
      </c>
      <c r="J1716" s="8"/>
      <c r="K1716" s="13" t="str">
        <f aca="false">IF($B1716="","",SUMIFS($I$3:$I$2002,$B$3:$B$2002,$B1716))</f>
        <v/>
      </c>
      <c r="L1716" s="13" t="str">
        <f aca="false">IF($B1716="","",IF(COUNTIFS($B$3:$B1716,$B1716)&gt;1,0,IFERROR(LOOKUP($K1716,배송비규정!$A$3:$A$32,배송비규정!$B$3:$B$32),0)+IFERROR(INDEX(지역추가비!$B$3:$B$42,MATCH($J1716,지역추가비!$A$3:$A$42,0)),0)))</f>
        <v/>
      </c>
      <c r="M1716" s="13" t="str">
        <f aca="false">IF($B1716="","",IF(COUNTIFS($B$3:$B1716,$B1716)&gt;1,"",$K1716+$L1716))</f>
        <v/>
      </c>
      <c r="N1716" s="14" t="str">
        <f aca="false">IF($B1716="","",COUNTIFS($B$3:$B1716,$B1716))</f>
        <v/>
      </c>
      <c r="O1716" s="14" t="str">
        <f aca="false">IF($B1716="","",$B1716&amp;"|"&amp;$N1716)</f>
        <v/>
      </c>
    </row>
    <row r="1717" customFormat="false" ht="15" hidden="false" customHeight="false" outlineLevel="0" collapsed="false">
      <c r="A1717" s="12"/>
      <c r="B1717" s="9"/>
      <c r="C1717" s="9"/>
      <c r="D1717" s="9"/>
      <c r="E1717" s="9"/>
      <c r="F1717" s="9"/>
      <c r="G1717" s="9"/>
      <c r="H1717" s="7"/>
      <c r="I1717" s="13" t="str">
        <f aca="false">IF(OR($G1717="",$H1717=""),"",ROUND($G1717*$H1717,0))</f>
        <v/>
      </c>
      <c r="J1717" s="8"/>
      <c r="K1717" s="13" t="str">
        <f aca="false">IF($B1717="","",SUMIFS($I$3:$I$2002,$B$3:$B$2002,$B1717))</f>
        <v/>
      </c>
      <c r="L1717" s="13" t="str">
        <f aca="false">IF($B1717="","",IF(COUNTIFS($B$3:$B1717,$B1717)&gt;1,0,IFERROR(LOOKUP($K1717,배송비규정!$A$3:$A$32,배송비규정!$B$3:$B$32),0)+IFERROR(INDEX(지역추가비!$B$3:$B$42,MATCH($J1717,지역추가비!$A$3:$A$42,0)),0)))</f>
        <v/>
      </c>
      <c r="M1717" s="13" t="str">
        <f aca="false">IF($B1717="","",IF(COUNTIFS($B$3:$B1717,$B1717)&gt;1,"",$K1717+$L1717))</f>
        <v/>
      </c>
      <c r="N1717" s="14" t="str">
        <f aca="false">IF($B1717="","",COUNTIFS($B$3:$B1717,$B1717))</f>
        <v/>
      </c>
      <c r="O1717" s="14" t="str">
        <f aca="false">IF($B1717="","",$B1717&amp;"|"&amp;$N1717)</f>
        <v/>
      </c>
    </row>
    <row r="1718" customFormat="false" ht="15" hidden="false" customHeight="false" outlineLevel="0" collapsed="false">
      <c r="A1718" s="12"/>
      <c r="B1718" s="9"/>
      <c r="C1718" s="9"/>
      <c r="D1718" s="9"/>
      <c r="E1718" s="9"/>
      <c r="F1718" s="9"/>
      <c r="G1718" s="9"/>
      <c r="H1718" s="7"/>
      <c r="I1718" s="13" t="str">
        <f aca="false">IF(OR($G1718="",$H1718=""),"",ROUND($G1718*$H1718,0))</f>
        <v/>
      </c>
      <c r="J1718" s="8"/>
      <c r="K1718" s="13" t="str">
        <f aca="false">IF($B1718="","",SUMIFS($I$3:$I$2002,$B$3:$B$2002,$B1718))</f>
        <v/>
      </c>
      <c r="L1718" s="13" t="str">
        <f aca="false">IF($B1718="","",IF(COUNTIFS($B$3:$B1718,$B1718)&gt;1,0,IFERROR(LOOKUP($K1718,배송비규정!$A$3:$A$32,배송비규정!$B$3:$B$32),0)+IFERROR(INDEX(지역추가비!$B$3:$B$42,MATCH($J1718,지역추가비!$A$3:$A$42,0)),0)))</f>
        <v/>
      </c>
      <c r="M1718" s="13" t="str">
        <f aca="false">IF($B1718="","",IF(COUNTIFS($B$3:$B1718,$B1718)&gt;1,"",$K1718+$L1718))</f>
        <v/>
      </c>
      <c r="N1718" s="14" t="str">
        <f aca="false">IF($B1718="","",COUNTIFS($B$3:$B1718,$B1718))</f>
        <v/>
      </c>
      <c r="O1718" s="14" t="str">
        <f aca="false">IF($B1718="","",$B1718&amp;"|"&amp;$N1718)</f>
        <v/>
      </c>
    </row>
    <row r="1719" customFormat="false" ht="15" hidden="false" customHeight="false" outlineLevel="0" collapsed="false">
      <c r="A1719" s="12"/>
      <c r="B1719" s="9"/>
      <c r="C1719" s="9"/>
      <c r="D1719" s="9"/>
      <c r="E1719" s="9"/>
      <c r="F1719" s="9"/>
      <c r="G1719" s="9"/>
      <c r="H1719" s="7"/>
      <c r="I1719" s="13" t="str">
        <f aca="false">IF(OR($G1719="",$H1719=""),"",ROUND($G1719*$H1719,0))</f>
        <v/>
      </c>
      <c r="J1719" s="8"/>
      <c r="K1719" s="13" t="str">
        <f aca="false">IF($B1719="","",SUMIFS($I$3:$I$2002,$B$3:$B$2002,$B1719))</f>
        <v/>
      </c>
      <c r="L1719" s="13" t="str">
        <f aca="false">IF($B1719="","",IF(COUNTIFS($B$3:$B1719,$B1719)&gt;1,0,IFERROR(LOOKUP($K1719,배송비규정!$A$3:$A$32,배송비규정!$B$3:$B$32),0)+IFERROR(INDEX(지역추가비!$B$3:$B$42,MATCH($J1719,지역추가비!$A$3:$A$42,0)),0)))</f>
        <v/>
      </c>
      <c r="M1719" s="13" t="str">
        <f aca="false">IF($B1719="","",IF(COUNTIFS($B$3:$B1719,$B1719)&gt;1,"",$K1719+$L1719))</f>
        <v/>
      </c>
      <c r="N1719" s="14" t="str">
        <f aca="false">IF($B1719="","",COUNTIFS($B$3:$B1719,$B1719))</f>
        <v/>
      </c>
      <c r="O1719" s="14" t="str">
        <f aca="false">IF($B1719="","",$B1719&amp;"|"&amp;$N1719)</f>
        <v/>
      </c>
    </row>
    <row r="1720" customFormat="false" ht="15" hidden="false" customHeight="false" outlineLevel="0" collapsed="false">
      <c r="A1720" s="12"/>
      <c r="B1720" s="9"/>
      <c r="C1720" s="9"/>
      <c r="D1720" s="9"/>
      <c r="E1720" s="9"/>
      <c r="F1720" s="9"/>
      <c r="G1720" s="9"/>
      <c r="H1720" s="7"/>
      <c r="I1720" s="13" t="str">
        <f aca="false">IF(OR($G1720="",$H1720=""),"",ROUND($G1720*$H1720,0))</f>
        <v/>
      </c>
      <c r="J1720" s="8"/>
      <c r="K1720" s="13" t="str">
        <f aca="false">IF($B1720="","",SUMIFS($I$3:$I$2002,$B$3:$B$2002,$B1720))</f>
        <v/>
      </c>
      <c r="L1720" s="13" t="str">
        <f aca="false">IF($B1720="","",IF(COUNTIFS($B$3:$B1720,$B1720)&gt;1,0,IFERROR(LOOKUP($K1720,배송비규정!$A$3:$A$32,배송비규정!$B$3:$B$32),0)+IFERROR(INDEX(지역추가비!$B$3:$B$42,MATCH($J1720,지역추가비!$A$3:$A$42,0)),0)))</f>
        <v/>
      </c>
      <c r="M1720" s="13" t="str">
        <f aca="false">IF($B1720="","",IF(COUNTIFS($B$3:$B1720,$B1720)&gt;1,"",$K1720+$L1720))</f>
        <v/>
      </c>
      <c r="N1720" s="14" t="str">
        <f aca="false">IF($B1720="","",COUNTIFS($B$3:$B1720,$B1720))</f>
        <v/>
      </c>
      <c r="O1720" s="14" t="str">
        <f aca="false">IF($B1720="","",$B1720&amp;"|"&amp;$N1720)</f>
        <v/>
      </c>
    </row>
    <row r="1721" customFormat="false" ht="15" hidden="false" customHeight="false" outlineLevel="0" collapsed="false">
      <c r="A1721" s="12"/>
      <c r="B1721" s="9"/>
      <c r="C1721" s="9"/>
      <c r="D1721" s="9"/>
      <c r="E1721" s="9"/>
      <c r="F1721" s="9"/>
      <c r="G1721" s="9"/>
      <c r="H1721" s="7"/>
      <c r="I1721" s="13" t="str">
        <f aca="false">IF(OR($G1721="",$H1721=""),"",ROUND($G1721*$H1721,0))</f>
        <v/>
      </c>
      <c r="J1721" s="8"/>
      <c r="K1721" s="13" t="str">
        <f aca="false">IF($B1721="","",SUMIFS($I$3:$I$2002,$B$3:$B$2002,$B1721))</f>
        <v/>
      </c>
      <c r="L1721" s="13" t="str">
        <f aca="false">IF($B1721="","",IF(COUNTIFS($B$3:$B1721,$B1721)&gt;1,0,IFERROR(LOOKUP($K1721,배송비규정!$A$3:$A$32,배송비규정!$B$3:$B$32),0)+IFERROR(INDEX(지역추가비!$B$3:$B$42,MATCH($J1721,지역추가비!$A$3:$A$42,0)),0)))</f>
        <v/>
      </c>
      <c r="M1721" s="13" t="str">
        <f aca="false">IF($B1721="","",IF(COUNTIFS($B$3:$B1721,$B1721)&gt;1,"",$K1721+$L1721))</f>
        <v/>
      </c>
      <c r="N1721" s="14" t="str">
        <f aca="false">IF($B1721="","",COUNTIFS($B$3:$B1721,$B1721))</f>
        <v/>
      </c>
      <c r="O1721" s="14" t="str">
        <f aca="false">IF($B1721="","",$B1721&amp;"|"&amp;$N1721)</f>
        <v/>
      </c>
    </row>
    <row r="1722" customFormat="false" ht="15" hidden="false" customHeight="false" outlineLevel="0" collapsed="false">
      <c r="A1722" s="12"/>
      <c r="B1722" s="9"/>
      <c r="C1722" s="9"/>
      <c r="D1722" s="9"/>
      <c r="E1722" s="9"/>
      <c r="F1722" s="9"/>
      <c r="G1722" s="9"/>
      <c r="H1722" s="7"/>
      <c r="I1722" s="13" t="str">
        <f aca="false">IF(OR($G1722="",$H1722=""),"",ROUND($G1722*$H1722,0))</f>
        <v/>
      </c>
      <c r="J1722" s="8"/>
      <c r="K1722" s="13" t="str">
        <f aca="false">IF($B1722="","",SUMIFS($I$3:$I$2002,$B$3:$B$2002,$B1722))</f>
        <v/>
      </c>
      <c r="L1722" s="13" t="str">
        <f aca="false">IF($B1722="","",IF(COUNTIFS($B$3:$B1722,$B1722)&gt;1,0,IFERROR(LOOKUP($K1722,배송비규정!$A$3:$A$32,배송비규정!$B$3:$B$32),0)+IFERROR(INDEX(지역추가비!$B$3:$B$42,MATCH($J1722,지역추가비!$A$3:$A$42,0)),0)))</f>
        <v/>
      </c>
      <c r="M1722" s="13" t="str">
        <f aca="false">IF($B1722="","",IF(COUNTIFS($B$3:$B1722,$B1722)&gt;1,"",$K1722+$L1722))</f>
        <v/>
      </c>
      <c r="N1722" s="14" t="str">
        <f aca="false">IF($B1722="","",COUNTIFS($B$3:$B1722,$B1722))</f>
        <v/>
      </c>
      <c r="O1722" s="14" t="str">
        <f aca="false">IF($B1722="","",$B1722&amp;"|"&amp;$N1722)</f>
        <v/>
      </c>
    </row>
    <row r="1723" customFormat="false" ht="15" hidden="false" customHeight="false" outlineLevel="0" collapsed="false">
      <c r="A1723" s="12"/>
      <c r="B1723" s="9"/>
      <c r="C1723" s="9"/>
      <c r="D1723" s="9"/>
      <c r="E1723" s="9"/>
      <c r="F1723" s="9"/>
      <c r="G1723" s="9"/>
      <c r="H1723" s="7"/>
      <c r="I1723" s="13" t="str">
        <f aca="false">IF(OR($G1723="",$H1723=""),"",ROUND($G1723*$H1723,0))</f>
        <v/>
      </c>
      <c r="J1723" s="8"/>
      <c r="K1723" s="13" t="str">
        <f aca="false">IF($B1723="","",SUMIFS($I$3:$I$2002,$B$3:$B$2002,$B1723))</f>
        <v/>
      </c>
      <c r="L1723" s="13" t="str">
        <f aca="false">IF($B1723="","",IF(COUNTIFS($B$3:$B1723,$B1723)&gt;1,0,IFERROR(LOOKUP($K1723,배송비규정!$A$3:$A$32,배송비규정!$B$3:$B$32),0)+IFERROR(INDEX(지역추가비!$B$3:$B$42,MATCH($J1723,지역추가비!$A$3:$A$42,0)),0)))</f>
        <v/>
      </c>
      <c r="M1723" s="13" t="str">
        <f aca="false">IF($B1723="","",IF(COUNTIFS($B$3:$B1723,$B1723)&gt;1,"",$K1723+$L1723))</f>
        <v/>
      </c>
      <c r="N1723" s="14" t="str">
        <f aca="false">IF($B1723="","",COUNTIFS($B$3:$B1723,$B1723))</f>
        <v/>
      </c>
      <c r="O1723" s="14" t="str">
        <f aca="false">IF($B1723="","",$B1723&amp;"|"&amp;$N1723)</f>
        <v/>
      </c>
    </row>
    <row r="1724" customFormat="false" ht="15" hidden="false" customHeight="false" outlineLevel="0" collapsed="false">
      <c r="A1724" s="12"/>
      <c r="B1724" s="9"/>
      <c r="C1724" s="9"/>
      <c r="D1724" s="9"/>
      <c r="E1724" s="9"/>
      <c r="F1724" s="9"/>
      <c r="G1724" s="9"/>
      <c r="H1724" s="7"/>
      <c r="I1724" s="13" t="str">
        <f aca="false">IF(OR($G1724="",$H1724=""),"",ROUND($G1724*$H1724,0))</f>
        <v/>
      </c>
      <c r="J1724" s="8"/>
      <c r="K1724" s="13" t="str">
        <f aca="false">IF($B1724="","",SUMIFS($I$3:$I$2002,$B$3:$B$2002,$B1724))</f>
        <v/>
      </c>
      <c r="L1724" s="13" t="str">
        <f aca="false">IF($B1724="","",IF(COUNTIFS($B$3:$B1724,$B1724)&gt;1,0,IFERROR(LOOKUP($K1724,배송비규정!$A$3:$A$32,배송비규정!$B$3:$B$32),0)+IFERROR(INDEX(지역추가비!$B$3:$B$42,MATCH($J1724,지역추가비!$A$3:$A$42,0)),0)))</f>
        <v/>
      </c>
      <c r="M1724" s="13" t="str">
        <f aca="false">IF($B1724="","",IF(COUNTIFS($B$3:$B1724,$B1724)&gt;1,"",$K1724+$L1724))</f>
        <v/>
      </c>
      <c r="N1724" s="14" t="str">
        <f aca="false">IF($B1724="","",COUNTIFS($B$3:$B1724,$B1724))</f>
        <v/>
      </c>
      <c r="O1724" s="14" t="str">
        <f aca="false">IF($B1724="","",$B1724&amp;"|"&amp;$N1724)</f>
        <v/>
      </c>
    </row>
    <row r="1725" customFormat="false" ht="15" hidden="false" customHeight="false" outlineLevel="0" collapsed="false">
      <c r="A1725" s="12"/>
      <c r="B1725" s="9"/>
      <c r="C1725" s="9"/>
      <c r="D1725" s="9"/>
      <c r="E1725" s="9"/>
      <c r="F1725" s="9"/>
      <c r="G1725" s="9"/>
      <c r="H1725" s="7"/>
      <c r="I1725" s="13" t="str">
        <f aca="false">IF(OR($G1725="",$H1725=""),"",ROUND($G1725*$H1725,0))</f>
        <v/>
      </c>
      <c r="J1725" s="8"/>
      <c r="K1725" s="13" t="str">
        <f aca="false">IF($B1725="","",SUMIFS($I$3:$I$2002,$B$3:$B$2002,$B1725))</f>
        <v/>
      </c>
      <c r="L1725" s="13" t="str">
        <f aca="false">IF($B1725="","",IF(COUNTIFS($B$3:$B1725,$B1725)&gt;1,0,IFERROR(LOOKUP($K1725,배송비규정!$A$3:$A$32,배송비규정!$B$3:$B$32),0)+IFERROR(INDEX(지역추가비!$B$3:$B$42,MATCH($J1725,지역추가비!$A$3:$A$42,0)),0)))</f>
        <v/>
      </c>
      <c r="M1725" s="13" t="str">
        <f aca="false">IF($B1725="","",IF(COUNTIFS($B$3:$B1725,$B1725)&gt;1,"",$K1725+$L1725))</f>
        <v/>
      </c>
      <c r="N1725" s="14" t="str">
        <f aca="false">IF($B1725="","",COUNTIFS($B$3:$B1725,$B1725))</f>
        <v/>
      </c>
      <c r="O1725" s="14" t="str">
        <f aca="false">IF($B1725="","",$B1725&amp;"|"&amp;$N1725)</f>
        <v/>
      </c>
    </row>
    <row r="1726" customFormat="false" ht="15" hidden="false" customHeight="false" outlineLevel="0" collapsed="false">
      <c r="A1726" s="12"/>
      <c r="B1726" s="9"/>
      <c r="C1726" s="9"/>
      <c r="D1726" s="9"/>
      <c r="E1726" s="9"/>
      <c r="F1726" s="9"/>
      <c r="G1726" s="9"/>
      <c r="H1726" s="7"/>
      <c r="I1726" s="13" t="str">
        <f aca="false">IF(OR($G1726="",$H1726=""),"",ROUND($G1726*$H1726,0))</f>
        <v/>
      </c>
      <c r="J1726" s="8"/>
      <c r="K1726" s="13" t="str">
        <f aca="false">IF($B1726="","",SUMIFS($I$3:$I$2002,$B$3:$B$2002,$B1726))</f>
        <v/>
      </c>
      <c r="L1726" s="13" t="str">
        <f aca="false">IF($B1726="","",IF(COUNTIFS($B$3:$B1726,$B1726)&gt;1,0,IFERROR(LOOKUP($K1726,배송비규정!$A$3:$A$32,배송비규정!$B$3:$B$32),0)+IFERROR(INDEX(지역추가비!$B$3:$B$42,MATCH($J1726,지역추가비!$A$3:$A$42,0)),0)))</f>
        <v/>
      </c>
      <c r="M1726" s="13" t="str">
        <f aca="false">IF($B1726="","",IF(COUNTIFS($B$3:$B1726,$B1726)&gt;1,"",$K1726+$L1726))</f>
        <v/>
      </c>
      <c r="N1726" s="14" t="str">
        <f aca="false">IF($B1726="","",COUNTIFS($B$3:$B1726,$B1726))</f>
        <v/>
      </c>
      <c r="O1726" s="14" t="str">
        <f aca="false">IF($B1726="","",$B1726&amp;"|"&amp;$N1726)</f>
        <v/>
      </c>
    </row>
    <row r="1727" customFormat="false" ht="15" hidden="false" customHeight="false" outlineLevel="0" collapsed="false">
      <c r="A1727" s="12"/>
      <c r="B1727" s="9"/>
      <c r="C1727" s="9"/>
      <c r="D1727" s="9"/>
      <c r="E1727" s="9"/>
      <c r="F1727" s="9"/>
      <c r="G1727" s="9"/>
      <c r="H1727" s="7"/>
      <c r="I1727" s="13" t="str">
        <f aca="false">IF(OR($G1727="",$H1727=""),"",ROUND($G1727*$H1727,0))</f>
        <v/>
      </c>
      <c r="J1727" s="8"/>
      <c r="K1727" s="13" t="str">
        <f aca="false">IF($B1727="","",SUMIFS($I$3:$I$2002,$B$3:$B$2002,$B1727))</f>
        <v/>
      </c>
      <c r="L1727" s="13" t="str">
        <f aca="false">IF($B1727="","",IF(COUNTIFS($B$3:$B1727,$B1727)&gt;1,0,IFERROR(LOOKUP($K1727,배송비규정!$A$3:$A$32,배송비규정!$B$3:$B$32),0)+IFERROR(INDEX(지역추가비!$B$3:$B$42,MATCH($J1727,지역추가비!$A$3:$A$42,0)),0)))</f>
        <v/>
      </c>
      <c r="M1727" s="13" t="str">
        <f aca="false">IF($B1727="","",IF(COUNTIFS($B$3:$B1727,$B1727)&gt;1,"",$K1727+$L1727))</f>
        <v/>
      </c>
      <c r="N1727" s="14" t="str">
        <f aca="false">IF($B1727="","",COUNTIFS($B$3:$B1727,$B1727))</f>
        <v/>
      </c>
      <c r="O1727" s="14" t="str">
        <f aca="false">IF($B1727="","",$B1727&amp;"|"&amp;$N1727)</f>
        <v/>
      </c>
    </row>
    <row r="1728" customFormat="false" ht="15" hidden="false" customHeight="false" outlineLevel="0" collapsed="false">
      <c r="A1728" s="12"/>
      <c r="B1728" s="9"/>
      <c r="C1728" s="9"/>
      <c r="D1728" s="9"/>
      <c r="E1728" s="9"/>
      <c r="F1728" s="9"/>
      <c r="G1728" s="9"/>
      <c r="H1728" s="7"/>
      <c r="I1728" s="13" t="str">
        <f aca="false">IF(OR($G1728="",$H1728=""),"",ROUND($G1728*$H1728,0))</f>
        <v/>
      </c>
      <c r="J1728" s="8"/>
      <c r="K1728" s="13" t="str">
        <f aca="false">IF($B1728="","",SUMIFS($I$3:$I$2002,$B$3:$B$2002,$B1728))</f>
        <v/>
      </c>
      <c r="L1728" s="13" t="str">
        <f aca="false">IF($B1728="","",IF(COUNTIFS($B$3:$B1728,$B1728)&gt;1,0,IFERROR(LOOKUP($K1728,배송비규정!$A$3:$A$32,배송비규정!$B$3:$B$32),0)+IFERROR(INDEX(지역추가비!$B$3:$B$42,MATCH($J1728,지역추가비!$A$3:$A$42,0)),0)))</f>
        <v/>
      </c>
      <c r="M1728" s="13" t="str">
        <f aca="false">IF($B1728="","",IF(COUNTIFS($B$3:$B1728,$B1728)&gt;1,"",$K1728+$L1728))</f>
        <v/>
      </c>
      <c r="N1728" s="14" t="str">
        <f aca="false">IF($B1728="","",COUNTIFS($B$3:$B1728,$B1728))</f>
        <v/>
      </c>
      <c r="O1728" s="14" t="str">
        <f aca="false">IF($B1728="","",$B1728&amp;"|"&amp;$N1728)</f>
        <v/>
      </c>
    </row>
    <row r="1729" customFormat="false" ht="15" hidden="false" customHeight="false" outlineLevel="0" collapsed="false">
      <c r="A1729" s="12"/>
      <c r="B1729" s="9"/>
      <c r="C1729" s="9"/>
      <c r="D1729" s="9"/>
      <c r="E1729" s="9"/>
      <c r="F1729" s="9"/>
      <c r="G1729" s="9"/>
      <c r="H1729" s="7"/>
      <c r="I1729" s="13" t="str">
        <f aca="false">IF(OR($G1729="",$H1729=""),"",ROUND($G1729*$H1729,0))</f>
        <v/>
      </c>
      <c r="J1729" s="8"/>
      <c r="K1729" s="13" t="str">
        <f aca="false">IF($B1729="","",SUMIFS($I$3:$I$2002,$B$3:$B$2002,$B1729))</f>
        <v/>
      </c>
      <c r="L1729" s="13" t="str">
        <f aca="false">IF($B1729="","",IF(COUNTIFS($B$3:$B1729,$B1729)&gt;1,0,IFERROR(LOOKUP($K1729,배송비규정!$A$3:$A$32,배송비규정!$B$3:$B$32),0)+IFERROR(INDEX(지역추가비!$B$3:$B$42,MATCH($J1729,지역추가비!$A$3:$A$42,0)),0)))</f>
        <v/>
      </c>
      <c r="M1729" s="13" t="str">
        <f aca="false">IF($B1729="","",IF(COUNTIFS($B$3:$B1729,$B1729)&gt;1,"",$K1729+$L1729))</f>
        <v/>
      </c>
      <c r="N1729" s="14" t="str">
        <f aca="false">IF($B1729="","",COUNTIFS($B$3:$B1729,$B1729))</f>
        <v/>
      </c>
      <c r="O1729" s="14" t="str">
        <f aca="false">IF($B1729="","",$B1729&amp;"|"&amp;$N1729)</f>
        <v/>
      </c>
    </row>
    <row r="1730" customFormat="false" ht="15" hidden="false" customHeight="false" outlineLevel="0" collapsed="false">
      <c r="A1730" s="12"/>
      <c r="B1730" s="9"/>
      <c r="C1730" s="9"/>
      <c r="D1730" s="9"/>
      <c r="E1730" s="9"/>
      <c r="F1730" s="9"/>
      <c r="G1730" s="9"/>
      <c r="H1730" s="7"/>
      <c r="I1730" s="13" t="str">
        <f aca="false">IF(OR($G1730="",$H1730=""),"",ROUND($G1730*$H1730,0))</f>
        <v/>
      </c>
      <c r="J1730" s="8"/>
      <c r="K1730" s="13" t="str">
        <f aca="false">IF($B1730="","",SUMIFS($I$3:$I$2002,$B$3:$B$2002,$B1730))</f>
        <v/>
      </c>
      <c r="L1730" s="13" t="str">
        <f aca="false">IF($B1730="","",IF(COUNTIFS($B$3:$B1730,$B1730)&gt;1,0,IFERROR(LOOKUP($K1730,배송비규정!$A$3:$A$32,배송비규정!$B$3:$B$32),0)+IFERROR(INDEX(지역추가비!$B$3:$B$42,MATCH($J1730,지역추가비!$A$3:$A$42,0)),0)))</f>
        <v/>
      </c>
      <c r="M1730" s="13" t="str">
        <f aca="false">IF($B1730="","",IF(COUNTIFS($B$3:$B1730,$B1730)&gt;1,"",$K1730+$L1730))</f>
        <v/>
      </c>
      <c r="N1730" s="14" t="str">
        <f aca="false">IF($B1730="","",COUNTIFS($B$3:$B1730,$B1730))</f>
        <v/>
      </c>
      <c r="O1730" s="14" t="str">
        <f aca="false">IF($B1730="","",$B1730&amp;"|"&amp;$N1730)</f>
        <v/>
      </c>
    </row>
    <row r="1731" customFormat="false" ht="15" hidden="false" customHeight="false" outlineLevel="0" collapsed="false">
      <c r="A1731" s="12"/>
      <c r="B1731" s="9"/>
      <c r="C1731" s="9"/>
      <c r="D1731" s="9"/>
      <c r="E1731" s="9"/>
      <c r="F1731" s="9"/>
      <c r="G1731" s="9"/>
      <c r="H1731" s="7"/>
      <c r="I1731" s="13" t="str">
        <f aca="false">IF(OR($G1731="",$H1731=""),"",ROUND($G1731*$H1731,0))</f>
        <v/>
      </c>
      <c r="J1731" s="8"/>
      <c r="K1731" s="13" t="str">
        <f aca="false">IF($B1731="","",SUMIFS($I$3:$I$2002,$B$3:$B$2002,$B1731))</f>
        <v/>
      </c>
      <c r="L1731" s="13" t="str">
        <f aca="false">IF($B1731="","",IF(COUNTIFS($B$3:$B1731,$B1731)&gt;1,0,IFERROR(LOOKUP($K1731,배송비규정!$A$3:$A$32,배송비규정!$B$3:$B$32),0)+IFERROR(INDEX(지역추가비!$B$3:$B$42,MATCH($J1731,지역추가비!$A$3:$A$42,0)),0)))</f>
        <v/>
      </c>
      <c r="M1731" s="13" t="str">
        <f aca="false">IF($B1731="","",IF(COUNTIFS($B$3:$B1731,$B1731)&gt;1,"",$K1731+$L1731))</f>
        <v/>
      </c>
      <c r="N1731" s="14" t="str">
        <f aca="false">IF($B1731="","",COUNTIFS($B$3:$B1731,$B1731))</f>
        <v/>
      </c>
      <c r="O1731" s="14" t="str">
        <f aca="false">IF($B1731="","",$B1731&amp;"|"&amp;$N1731)</f>
        <v/>
      </c>
    </row>
    <row r="1732" customFormat="false" ht="15" hidden="false" customHeight="false" outlineLevel="0" collapsed="false">
      <c r="A1732" s="12"/>
      <c r="B1732" s="9"/>
      <c r="C1732" s="9"/>
      <c r="D1732" s="9"/>
      <c r="E1732" s="9"/>
      <c r="F1732" s="9"/>
      <c r="G1732" s="9"/>
      <c r="H1732" s="7"/>
      <c r="I1732" s="13" t="str">
        <f aca="false">IF(OR($G1732="",$H1732=""),"",ROUND($G1732*$H1732,0))</f>
        <v/>
      </c>
      <c r="J1732" s="8"/>
      <c r="K1732" s="13" t="str">
        <f aca="false">IF($B1732="","",SUMIFS($I$3:$I$2002,$B$3:$B$2002,$B1732))</f>
        <v/>
      </c>
      <c r="L1732" s="13" t="str">
        <f aca="false">IF($B1732="","",IF(COUNTIFS($B$3:$B1732,$B1732)&gt;1,0,IFERROR(LOOKUP($K1732,배송비규정!$A$3:$A$32,배송비규정!$B$3:$B$32),0)+IFERROR(INDEX(지역추가비!$B$3:$B$42,MATCH($J1732,지역추가비!$A$3:$A$42,0)),0)))</f>
        <v/>
      </c>
      <c r="M1732" s="13" t="str">
        <f aca="false">IF($B1732="","",IF(COUNTIFS($B$3:$B1732,$B1732)&gt;1,"",$K1732+$L1732))</f>
        <v/>
      </c>
      <c r="N1732" s="14" t="str">
        <f aca="false">IF($B1732="","",COUNTIFS($B$3:$B1732,$B1732))</f>
        <v/>
      </c>
      <c r="O1732" s="14" t="str">
        <f aca="false">IF($B1732="","",$B1732&amp;"|"&amp;$N1732)</f>
        <v/>
      </c>
    </row>
    <row r="1733" customFormat="false" ht="15" hidden="false" customHeight="false" outlineLevel="0" collapsed="false">
      <c r="A1733" s="12"/>
      <c r="B1733" s="9"/>
      <c r="C1733" s="9"/>
      <c r="D1733" s="9"/>
      <c r="E1733" s="9"/>
      <c r="F1733" s="9"/>
      <c r="G1733" s="9"/>
      <c r="H1733" s="7"/>
      <c r="I1733" s="13" t="str">
        <f aca="false">IF(OR($G1733="",$H1733=""),"",ROUND($G1733*$H1733,0))</f>
        <v/>
      </c>
      <c r="J1733" s="8"/>
      <c r="K1733" s="13" t="str">
        <f aca="false">IF($B1733="","",SUMIFS($I$3:$I$2002,$B$3:$B$2002,$B1733))</f>
        <v/>
      </c>
      <c r="L1733" s="13" t="str">
        <f aca="false">IF($B1733="","",IF(COUNTIFS($B$3:$B1733,$B1733)&gt;1,0,IFERROR(LOOKUP($K1733,배송비규정!$A$3:$A$32,배송비규정!$B$3:$B$32),0)+IFERROR(INDEX(지역추가비!$B$3:$B$42,MATCH($J1733,지역추가비!$A$3:$A$42,0)),0)))</f>
        <v/>
      </c>
      <c r="M1733" s="13" t="str">
        <f aca="false">IF($B1733="","",IF(COUNTIFS($B$3:$B1733,$B1733)&gt;1,"",$K1733+$L1733))</f>
        <v/>
      </c>
      <c r="N1733" s="14" t="str">
        <f aca="false">IF($B1733="","",COUNTIFS($B$3:$B1733,$B1733))</f>
        <v/>
      </c>
      <c r="O1733" s="14" t="str">
        <f aca="false">IF($B1733="","",$B1733&amp;"|"&amp;$N1733)</f>
        <v/>
      </c>
    </row>
    <row r="1734" customFormat="false" ht="15" hidden="false" customHeight="false" outlineLevel="0" collapsed="false">
      <c r="A1734" s="12"/>
      <c r="B1734" s="9"/>
      <c r="C1734" s="9"/>
      <c r="D1734" s="9"/>
      <c r="E1734" s="9"/>
      <c r="F1734" s="9"/>
      <c r="G1734" s="9"/>
      <c r="H1734" s="7"/>
      <c r="I1734" s="13" t="str">
        <f aca="false">IF(OR($G1734="",$H1734=""),"",ROUND($G1734*$H1734,0))</f>
        <v/>
      </c>
      <c r="J1734" s="8"/>
      <c r="K1734" s="13" t="str">
        <f aca="false">IF($B1734="","",SUMIFS($I$3:$I$2002,$B$3:$B$2002,$B1734))</f>
        <v/>
      </c>
      <c r="L1734" s="13" t="str">
        <f aca="false">IF($B1734="","",IF(COUNTIFS($B$3:$B1734,$B1734)&gt;1,0,IFERROR(LOOKUP($K1734,배송비규정!$A$3:$A$32,배송비규정!$B$3:$B$32),0)+IFERROR(INDEX(지역추가비!$B$3:$B$42,MATCH($J1734,지역추가비!$A$3:$A$42,0)),0)))</f>
        <v/>
      </c>
      <c r="M1734" s="13" t="str">
        <f aca="false">IF($B1734="","",IF(COUNTIFS($B$3:$B1734,$B1734)&gt;1,"",$K1734+$L1734))</f>
        <v/>
      </c>
      <c r="N1734" s="14" t="str">
        <f aca="false">IF($B1734="","",COUNTIFS($B$3:$B1734,$B1734))</f>
        <v/>
      </c>
      <c r="O1734" s="14" t="str">
        <f aca="false">IF($B1734="","",$B1734&amp;"|"&amp;$N1734)</f>
        <v/>
      </c>
    </row>
    <row r="1735" customFormat="false" ht="15" hidden="false" customHeight="false" outlineLevel="0" collapsed="false">
      <c r="A1735" s="12"/>
      <c r="B1735" s="9"/>
      <c r="C1735" s="9"/>
      <c r="D1735" s="9"/>
      <c r="E1735" s="9"/>
      <c r="F1735" s="9"/>
      <c r="G1735" s="9"/>
      <c r="H1735" s="7"/>
      <c r="I1735" s="13" t="str">
        <f aca="false">IF(OR($G1735="",$H1735=""),"",ROUND($G1735*$H1735,0))</f>
        <v/>
      </c>
      <c r="J1735" s="8"/>
      <c r="K1735" s="13" t="str">
        <f aca="false">IF($B1735="","",SUMIFS($I$3:$I$2002,$B$3:$B$2002,$B1735))</f>
        <v/>
      </c>
      <c r="L1735" s="13" t="str">
        <f aca="false">IF($B1735="","",IF(COUNTIFS($B$3:$B1735,$B1735)&gt;1,0,IFERROR(LOOKUP($K1735,배송비규정!$A$3:$A$32,배송비규정!$B$3:$B$32),0)+IFERROR(INDEX(지역추가비!$B$3:$B$42,MATCH($J1735,지역추가비!$A$3:$A$42,0)),0)))</f>
        <v/>
      </c>
      <c r="M1735" s="13" t="str">
        <f aca="false">IF($B1735="","",IF(COUNTIFS($B$3:$B1735,$B1735)&gt;1,"",$K1735+$L1735))</f>
        <v/>
      </c>
      <c r="N1735" s="14" t="str">
        <f aca="false">IF($B1735="","",COUNTIFS($B$3:$B1735,$B1735))</f>
        <v/>
      </c>
      <c r="O1735" s="14" t="str">
        <f aca="false">IF($B1735="","",$B1735&amp;"|"&amp;$N1735)</f>
        <v/>
      </c>
    </row>
    <row r="1736" customFormat="false" ht="15" hidden="false" customHeight="false" outlineLevel="0" collapsed="false">
      <c r="A1736" s="12"/>
      <c r="B1736" s="9"/>
      <c r="C1736" s="9"/>
      <c r="D1736" s="9"/>
      <c r="E1736" s="9"/>
      <c r="F1736" s="9"/>
      <c r="G1736" s="9"/>
      <c r="H1736" s="7"/>
      <c r="I1736" s="13" t="str">
        <f aca="false">IF(OR($G1736="",$H1736=""),"",ROUND($G1736*$H1736,0))</f>
        <v/>
      </c>
      <c r="J1736" s="8"/>
      <c r="K1736" s="13" t="str">
        <f aca="false">IF($B1736="","",SUMIFS($I$3:$I$2002,$B$3:$B$2002,$B1736))</f>
        <v/>
      </c>
      <c r="L1736" s="13" t="str">
        <f aca="false">IF($B1736="","",IF(COUNTIFS($B$3:$B1736,$B1736)&gt;1,0,IFERROR(LOOKUP($K1736,배송비규정!$A$3:$A$32,배송비규정!$B$3:$B$32),0)+IFERROR(INDEX(지역추가비!$B$3:$B$42,MATCH($J1736,지역추가비!$A$3:$A$42,0)),0)))</f>
        <v/>
      </c>
      <c r="M1736" s="13" t="str">
        <f aca="false">IF($B1736="","",IF(COUNTIFS($B$3:$B1736,$B1736)&gt;1,"",$K1736+$L1736))</f>
        <v/>
      </c>
      <c r="N1736" s="14" t="str">
        <f aca="false">IF($B1736="","",COUNTIFS($B$3:$B1736,$B1736))</f>
        <v/>
      </c>
      <c r="O1736" s="14" t="str">
        <f aca="false">IF($B1736="","",$B1736&amp;"|"&amp;$N1736)</f>
        <v/>
      </c>
    </row>
    <row r="1737" customFormat="false" ht="15" hidden="false" customHeight="false" outlineLevel="0" collapsed="false">
      <c r="A1737" s="12"/>
      <c r="B1737" s="9"/>
      <c r="C1737" s="9"/>
      <c r="D1737" s="9"/>
      <c r="E1737" s="9"/>
      <c r="F1737" s="9"/>
      <c r="G1737" s="9"/>
      <c r="H1737" s="7"/>
      <c r="I1737" s="13" t="str">
        <f aca="false">IF(OR($G1737="",$H1737=""),"",ROUND($G1737*$H1737,0))</f>
        <v/>
      </c>
      <c r="J1737" s="8"/>
      <c r="K1737" s="13" t="str">
        <f aca="false">IF($B1737="","",SUMIFS($I$3:$I$2002,$B$3:$B$2002,$B1737))</f>
        <v/>
      </c>
      <c r="L1737" s="13" t="str">
        <f aca="false">IF($B1737="","",IF(COUNTIFS($B$3:$B1737,$B1737)&gt;1,0,IFERROR(LOOKUP($K1737,배송비규정!$A$3:$A$32,배송비규정!$B$3:$B$32),0)+IFERROR(INDEX(지역추가비!$B$3:$B$42,MATCH($J1737,지역추가비!$A$3:$A$42,0)),0)))</f>
        <v/>
      </c>
      <c r="M1737" s="13" t="str">
        <f aca="false">IF($B1737="","",IF(COUNTIFS($B$3:$B1737,$B1737)&gt;1,"",$K1737+$L1737))</f>
        <v/>
      </c>
      <c r="N1737" s="14" t="str">
        <f aca="false">IF($B1737="","",COUNTIFS($B$3:$B1737,$B1737))</f>
        <v/>
      </c>
      <c r="O1737" s="14" t="str">
        <f aca="false">IF($B1737="","",$B1737&amp;"|"&amp;$N1737)</f>
        <v/>
      </c>
    </row>
    <row r="1738" customFormat="false" ht="15" hidden="false" customHeight="false" outlineLevel="0" collapsed="false">
      <c r="A1738" s="12"/>
      <c r="B1738" s="9"/>
      <c r="C1738" s="9"/>
      <c r="D1738" s="9"/>
      <c r="E1738" s="9"/>
      <c r="F1738" s="9"/>
      <c r="G1738" s="9"/>
      <c r="H1738" s="7"/>
      <c r="I1738" s="13" t="str">
        <f aca="false">IF(OR($G1738="",$H1738=""),"",ROUND($G1738*$H1738,0))</f>
        <v/>
      </c>
      <c r="J1738" s="8"/>
      <c r="K1738" s="13" t="str">
        <f aca="false">IF($B1738="","",SUMIFS($I$3:$I$2002,$B$3:$B$2002,$B1738))</f>
        <v/>
      </c>
      <c r="L1738" s="13" t="str">
        <f aca="false">IF($B1738="","",IF(COUNTIFS($B$3:$B1738,$B1738)&gt;1,0,IFERROR(LOOKUP($K1738,배송비규정!$A$3:$A$32,배송비규정!$B$3:$B$32),0)+IFERROR(INDEX(지역추가비!$B$3:$B$42,MATCH($J1738,지역추가비!$A$3:$A$42,0)),0)))</f>
        <v/>
      </c>
      <c r="M1738" s="13" t="str">
        <f aca="false">IF($B1738="","",IF(COUNTIFS($B$3:$B1738,$B1738)&gt;1,"",$K1738+$L1738))</f>
        <v/>
      </c>
      <c r="N1738" s="14" t="str">
        <f aca="false">IF($B1738="","",COUNTIFS($B$3:$B1738,$B1738))</f>
        <v/>
      </c>
      <c r="O1738" s="14" t="str">
        <f aca="false">IF($B1738="","",$B1738&amp;"|"&amp;$N1738)</f>
        <v/>
      </c>
    </row>
    <row r="1739" customFormat="false" ht="15" hidden="false" customHeight="false" outlineLevel="0" collapsed="false">
      <c r="A1739" s="12"/>
      <c r="B1739" s="9"/>
      <c r="C1739" s="9"/>
      <c r="D1739" s="9"/>
      <c r="E1739" s="9"/>
      <c r="F1739" s="9"/>
      <c r="G1739" s="9"/>
      <c r="H1739" s="7"/>
      <c r="I1739" s="13" t="str">
        <f aca="false">IF(OR($G1739="",$H1739=""),"",ROUND($G1739*$H1739,0))</f>
        <v/>
      </c>
      <c r="J1739" s="8"/>
      <c r="K1739" s="13" t="str">
        <f aca="false">IF($B1739="","",SUMIFS($I$3:$I$2002,$B$3:$B$2002,$B1739))</f>
        <v/>
      </c>
      <c r="L1739" s="13" t="str">
        <f aca="false">IF($B1739="","",IF(COUNTIFS($B$3:$B1739,$B1739)&gt;1,0,IFERROR(LOOKUP($K1739,배송비규정!$A$3:$A$32,배송비규정!$B$3:$B$32),0)+IFERROR(INDEX(지역추가비!$B$3:$B$42,MATCH($J1739,지역추가비!$A$3:$A$42,0)),0)))</f>
        <v/>
      </c>
      <c r="M1739" s="13" t="str">
        <f aca="false">IF($B1739="","",IF(COUNTIFS($B$3:$B1739,$B1739)&gt;1,"",$K1739+$L1739))</f>
        <v/>
      </c>
      <c r="N1739" s="14" t="str">
        <f aca="false">IF($B1739="","",COUNTIFS($B$3:$B1739,$B1739))</f>
        <v/>
      </c>
      <c r="O1739" s="14" t="str">
        <f aca="false">IF($B1739="","",$B1739&amp;"|"&amp;$N1739)</f>
        <v/>
      </c>
    </row>
    <row r="1740" customFormat="false" ht="15" hidden="false" customHeight="false" outlineLevel="0" collapsed="false">
      <c r="A1740" s="12"/>
      <c r="B1740" s="9"/>
      <c r="C1740" s="9"/>
      <c r="D1740" s="9"/>
      <c r="E1740" s="9"/>
      <c r="F1740" s="9"/>
      <c r="G1740" s="9"/>
      <c r="H1740" s="7"/>
      <c r="I1740" s="13" t="str">
        <f aca="false">IF(OR($G1740="",$H1740=""),"",ROUND($G1740*$H1740,0))</f>
        <v/>
      </c>
      <c r="J1740" s="8"/>
      <c r="K1740" s="13" t="str">
        <f aca="false">IF($B1740="","",SUMIFS($I$3:$I$2002,$B$3:$B$2002,$B1740))</f>
        <v/>
      </c>
      <c r="L1740" s="13" t="str">
        <f aca="false">IF($B1740="","",IF(COUNTIFS($B$3:$B1740,$B1740)&gt;1,0,IFERROR(LOOKUP($K1740,배송비규정!$A$3:$A$32,배송비규정!$B$3:$B$32),0)+IFERROR(INDEX(지역추가비!$B$3:$B$42,MATCH($J1740,지역추가비!$A$3:$A$42,0)),0)))</f>
        <v/>
      </c>
      <c r="M1740" s="13" t="str">
        <f aca="false">IF($B1740="","",IF(COUNTIFS($B$3:$B1740,$B1740)&gt;1,"",$K1740+$L1740))</f>
        <v/>
      </c>
      <c r="N1740" s="14" t="str">
        <f aca="false">IF($B1740="","",COUNTIFS($B$3:$B1740,$B1740))</f>
        <v/>
      </c>
      <c r="O1740" s="14" t="str">
        <f aca="false">IF($B1740="","",$B1740&amp;"|"&amp;$N1740)</f>
        <v/>
      </c>
    </row>
    <row r="1741" customFormat="false" ht="15" hidden="false" customHeight="false" outlineLevel="0" collapsed="false">
      <c r="A1741" s="12"/>
      <c r="B1741" s="9"/>
      <c r="C1741" s="9"/>
      <c r="D1741" s="9"/>
      <c r="E1741" s="9"/>
      <c r="F1741" s="9"/>
      <c r="G1741" s="9"/>
      <c r="H1741" s="7"/>
      <c r="I1741" s="13" t="str">
        <f aca="false">IF(OR($G1741="",$H1741=""),"",ROUND($G1741*$H1741,0))</f>
        <v/>
      </c>
      <c r="J1741" s="8"/>
      <c r="K1741" s="13" t="str">
        <f aca="false">IF($B1741="","",SUMIFS($I$3:$I$2002,$B$3:$B$2002,$B1741))</f>
        <v/>
      </c>
      <c r="L1741" s="13" t="str">
        <f aca="false">IF($B1741="","",IF(COUNTIFS($B$3:$B1741,$B1741)&gt;1,0,IFERROR(LOOKUP($K1741,배송비규정!$A$3:$A$32,배송비규정!$B$3:$B$32),0)+IFERROR(INDEX(지역추가비!$B$3:$B$42,MATCH($J1741,지역추가비!$A$3:$A$42,0)),0)))</f>
        <v/>
      </c>
      <c r="M1741" s="13" t="str">
        <f aca="false">IF($B1741="","",IF(COUNTIFS($B$3:$B1741,$B1741)&gt;1,"",$K1741+$L1741))</f>
        <v/>
      </c>
      <c r="N1741" s="14" t="str">
        <f aca="false">IF($B1741="","",COUNTIFS($B$3:$B1741,$B1741))</f>
        <v/>
      </c>
      <c r="O1741" s="14" t="str">
        <f aca="false">IF($B1741="","",$B1741&amp;"|"&amp;$N1741)</f>
        <v/>
      </c>
    </row>
    <row r="1742" customFormat="false" ht="15" hidden="false" customHeight="false" outlineLevel="0" collapsed="false">
      <c r="A1742" s="12"/>
      <c r="B1742" s="9"/>
      <c r="C1742" s="9"/>
      <c r="D1742" s="9"/>
      <c r="E1742" s="9"/>
      <c r="F1742" s="9"/>
      <c r="G1742" s="9"/>
      <c r="H1742" s="7"/>
      <c r="I1742" s="13" t="str">
        <f aca="false">IF(OR($G1742="",$H1742=""),"",ROUND($G1742*$H1742,0))</f>
        <v/>
      </c>
      <c r="J1742" s="8"/>
      <c r="K1742" s="13" t="str">
        <f aca="false">IF($B1742="","",SUMIFS($I$3:$I$2002,$B$3:$B$2002,$B1742))</f>
        <v/>
      </c>
      <c r="L1742" s="13" t="str">
        <f aca="false">IF($B1742="","",IF(COUNTIFS($B$3:$B1742,$B1742)&gt;1,0,IFERROR(LOOKUP($K1742,배송비규정!$A$3:$A$32,배송비규정!$B$3:$B$32),0)+IFERROR(INDEX(지역추가비!$B$3:$B$42,MATCH($J1742,지역추가비!$A$3:$A$42,0)),0)))</f>
        <v/>
      </c>
      <c r="M1742" s="13" t="str">
        <f aca="false">IF($B1742="","",IF(COUNTIFS($B$3:$B1742,$B1742)&gt;1,"",$K1742+$L1742))</f>
        <v/>
      </c>
      <c r="N1742" s="14" t="str">
        <f aca="false">IF($B1742="","",COUNTIFS($B$3:$B1742,$B1742))</f>
        <v/>
      </c>
      <c r="O1742" s="14" t="str">
        <f aca="false">IF($B1742="","",$B1742&amp;"|"&amp;$N1742)</f>
        <v/>
      </c>
    </row>
    <row r="1743" customFormat="false" ht="15" hidden="false" customHeight="false" outlineLevel="0" collapsed="false">
      <c r="A1743" s="12"/>
      <c r="B1743" s="9"/>
      <c r="C1743" s="9"/>
      <c r="D1743" s="9"/>
      <c r="E1743" s="9"/>
      <c r="F1743" s="9"/>
      <c r="G1743" s="9"/>
      <c r="H1743" s="7"/>
      <c r="I1743" s="13" t="str">
        <f aca="false">IF(OR($G1743="",$H1743=""),"",ROUND($G1743*$H1743,0))</f>
        <v/>
      </c>
      <c r="J1743" s="8"/>
      <c r="K1743" s="13" t="str">
        <f aca="false">IF($B1743="","",SUMIFS($I$3:$I$2002,$B$3:$B$2002,$B1743))</f>
        <v/>
      </c>
      <c r="L1743" s="13" t="str">
        <f aca="false">IF($B1743="","",IF(COUNTIFS($B$3:$B1743,$B1743)&gt;1,0,IFERROR(LOOKUP($K1743,배송비규정!$A$3:$A$32,배송비규정!$B$3:$B$32),0)+IFERROR(INDEX(지역추가비!$B$3:$B$42,MATCH($J1743,지역추가비!$A$3:$A$42,0)),0)))</f>
        <v/>
      </c>
      <c r="M1743" s="13" t="str">
        <f aca="false">IF($B1743="","",IF(COUNTIFS($B$3:$B1743,$B1743)&gt;1,"",$K1743+$L1743))</f>
        <v/>
      </c>
      <c r="N1743" s="14" t="str">
        <f aca="false">IF($B1743="","",COUNTIFS($B$3:$B1743,$B1743))</f>
        <v/>
      </c>
      <c r="O1743" s="14" t="str">
        <f aca="false">IF($B1743="","",$B1743&amp;"|"&amp;$N1743)</f>
        <v/>
      </c>
    </row>
    <row r="1744" customFormat="false" ht="15" hidden="false" customHeight="false" outlineLevel="0" collapsed="false">
      <c r="A1744" s="12"/>
      <c r="B1744" s="9"/>
      <c r="C1744" s="9"/>
      <c r="D1744" s="9"/>
      <c r="E1744" s="9"/>
      <c r="F1744" s="9"/>
      <c r="G1744" s="9"/>
      <c r="H1744" s="7"/>
      <c r="I1744" s="13" t="str">
        <f aca="false">IF(OR($G1744="",$H1744=""),"",ROUND($G1744*$H1744,0))</f>
        <v/>
      </c>
      <c r="J1744" s="8"/>
      <c r="K1744" s="13" t="str">
        <f aca="false">IF($B1744="","",SUMIFS($I$3:$I$2002,$B$3:$B$2002,$B1744))</f>
        <v/>
      </c>
      <c r="L1744" s="13" t="str">
        <f aca="false">IF($B1744="","",IF(COUNTIFS($B$3:$B1744,$B1744)&gt;1,0,IFERROR(LOOKUP($K1744,배송비규정!$A$3:$A$32,배송비규정!$B$3:$B$32),0)+IFERROR(INDEX(지역추가비!$B$3:$B$42,MATCH($J1744,지역추가비!$A$3:$A$42,0)),0)))</f>
        <v/>
      </c>
      <c r="M1744" s="13" t="str">
        <f aca="false">IF($B1744="","",IF(COUNTIFS($B$3:$B1744,$B1744)&gt;1,"",$K1744+$L1744))</f>
        <v/>
      </c>
      <c r="N1744" s="14" t="str">
        <f aca="false">IF($B1744="","",COUNTIFS($B$3:$B1744,$B1744))</f>
        <v/>
      </c>
      <c r="O1744" s="14" t="str">
        <f aca="false">IF($B1744="","",$B1744&amp;"|"&amp;$N1744)</f>
        <v/>
      </c>
    </row>
    <row r="1745" customFormat="false" ht="15" hidden="false" customHeight="false" outlineLevel="0" collapsed="false">
      <c r="A1745" s="12"/>
      <c r="B1745" s="9"/>
      <c r="C1745" s="9"/>
      <c r="D1745" s="9"/>
      <c r="E1745" s="9"/>
      <c r="F1745" s="9"/>
      <c r="G1745" s="9"/>
      <c r="H1745" s="7"/>
      <c r="I1745" s="13" t="str">
        <f aca="false">IF(OR($G1745="",$H1745=""),"",ROUND($G1745*$H1745,0))</f>
        <v/>
      </c>
      <c r="J1745" s="8"/>
      <c r="K1745" s="13" t="str">
        <f aca="false">IF($B1745="","",SUMIFS($I$3:$I$2002,$B$3:$B$2002,$B1745))</f>
        <v/>
      </c>
      <c r="L1745" s="13" t="str">
        <f aca="false">IF($B1745="","",IF(COUNTIFS($B$3:$B1745,$B1745)&gt;1,0,IFERROR(LOOKUP($K1745,배송비규정!$A$3:$A$32,배송비규정!$B$3:$B$32),0)+IFERROR(INDEX(지역추가비!$B$3:$B$42,MATCH($J1745,지역추가비!$A$3:$A$42,0)),0)))</f>
        <v/>
      </c>
      <c r="M1745" s="13" t="str">
        <f aca="false">IF($B1745="","",IF(COUNTIFS($B$3:$B1745,$B1745)&gt;1,"",$K1745+$L1745))</f>
        <v/>
      </c>
      <c r="N1745" s="14" t="str">
        <f aca="false">IF($B1745="","",COUNTIFS($B$3:$B1745,$B1745))</f>
        <v/>
      </c>
      <c r="O1745" s="14" t="str">
        <f aca="false">IF($B1745="","",$B1745&amp;"|"&amp;$N1745)</f>
        <v/>
      </c>
    </row>
    <row r="1746" customFormat="false" ht="15" hidden="false" customHeight="false" outlineLevel="0" collapsed="false">
      <c r="A1746" s="12"/>
      <c r="B1746" s="9"/>
      <c r="C1746" s="9"/>
      <c r="D1746" s="9"/>
      <c r="E1746" s="9"/>
      <c r="F1746" s="9"/>
      <c r="G1746" s="9"/>
      <c r="H1746" s="7"/>
      <c r="I1746" s="13" t="str">
        <f aca="false">IF(OR($G1746="",$H1746=""),"",ROUND($G1746*$H1746,0))</f>
        <v/>
      </c>
      <c r="J1746" s="8"/>
      <c r="K1746" s="13" t="str">
        <f aca="false">IF($B1746="","",SUMIFS($I$3:$I$2002,$B$3:$B$2002,$B1746))</f>
        <v/>
      </c>
      <c r="L1746" s="13" t="str">
        <f aca="false">IF($B1746="","",IF(COUNTIFS($B$3:$B1746,$B1746)&gt;1,0,IFERROR(LOOKUP($K1746,배송비규정!$A$3:$A$32,배송비규정!$B$3:$B$32),0)+IFERROR(INDEX(지역추가비!$B$3:$B$42,MATCH($J1746,지역추가비!$A$3:$A$42,0)),0)))</f>
        <v/>
      </c>
      <c r="M1746" s="13" t="str">
        <f aca="false">IF($B1746="","",IF(COUNTIFS($B$3:$B1746,$B1746)&gt;1,"",$K1746+$L1746))</f>
        <v/>
      </c>
      <c r="N1746" s="14" t="str">
        <f aca="false">IF($B1746="","",COUNTIFS($B$3:$B1746,$B1746))</f>
        <v/>
      </c>
      <c r="O1746" s="14" t="str">
        <f aca="false">IF($B1746="","",$B1746&amp;"|"&amp;$N1746)</f>
        <v/>
      </c>
    </row>
    <row r="1747" customFormat="false" ht="15" hidden="false" customHeight="false" outlineLevel="0" collapsed="false">
      <c r="A1747" s="12"/>
      <c r="B1747" s="9"/>
      <c r="C1747" s="9"/>
      <c r="D1747" s="9"/>
      <c r="E1747" s="9"/>
      <c r="F1747" s="9"/>
      <c r="G1747" s="9"/>
      <c r="H1747" s="7"/>
      <c r="I1747" s="13" t="str">
        <f aca="false">IF(OR($G1747="",$H1747=""),"",ROUND($G1747*$H1747,0))</f>
        <v/>
      </c>
      <c r="J1747" s="8"/>
      <c r="K1747" s="13" t="str">
        <f aca="false">IF($B1747="","",SUMIFS($I$3:$I$2002,$B$3:$B$2002,$B1747))</f>
        <v/>
      </c>
      <c r="L1747" s="13" t="str">
        <f aca="false">IF($B1747="","",IF(COUNTIFS($B$3:$B1747,$B1747)&gt;1,0,IFERROR(LOOKUP($K1747,배송비규정!$A$3:$A$32,배송비규정!$B$3:$B$32),0)+IFERROR(INDEX(지역추가비!$B$3:$B$42,MATCH($J1747,지역추가비!$A$3:$A$42,0)),0)))</f>
        <v/>
      </c>
      <c r="M1747" s="13" t="str">
        <f aca="false">IF($B1747="","",IF(COUNTIFS($B$3:$B1747,$B1747)&gt;1,"",$K1747+$L1747))</f>
        <v/>
      </c>
      <c r="N1747" s="14" t="str">
        <f aca="false">IF($B1747="","",COUNTIFS($B$3:$B1747,$B1747))</f>
        <v/>
      </c>
      <c r="O1747" s="14" t="str">
        <f aca="false">IF($B1747="","",$B1747&amp;"|"&amp;$N1747)</f>
        <v/>
      </c>
    </row>
    <row r="1748" customFormat="false" ht="15" hidden="false" customHeight="false" outlineLevel="0" collapsed="false">
      <c r="A1748" s="12"/>
      <c r="B1748" s="9"/>
      <c r="C1748" s="9"/>
      <c r="D1748" s="9"/>
      <c r="E1748" s="9"/>
      <c r="F1748" s="9"/>
      <c r="G1748" s="9"/>
      <c r="H1748" s="7"/>
      <c r="I1748" s="13" t="str">
        <f aca="false">IF(OR($G1748="",$H1748=""),"",ROUND($G1748*$H1748,0))</f>
        <v/>
      </c>
      <c r="J1748" s="8"/>
      <c r="K1748" s="13" t="str">
        <f aca="false">IF($B1748="","",SUMIFS($I$3:$I$2002,$B$3:$B$2002,$B1748))</f>
        <v/>
      </c>
      <c r="L1748" s="13" t="str">
        <f aca="false">IF($B1748="","",IF(COUNTIFS($B$3:$B1748,$B1748)&gt;1,0,IFERROR(LOOKUP($K1748,배송비규정!$A$3:$A$32,배송비규정!$B$3:$B$32),0)+IFERROR(INDEX(지역추가비!$B$3:$B$42,MATCH($J1748,지역추가비!$A$3:$A$42,0)),0)))</f>
        <v/>
      </c>
      <c r="M1748" s="13" t="str">
        <f aca="false">IF($B1748="","",IF(COUNTIFS($B$3:$B1748,$B1748)&gt;1,"",$K1748+$L1748))</f>
        <v/>
      </c>
      <c r="N1748" s="14" t="str">
        <f aca="false">IF($B1748="","",COUNTIFS($B$3:$B1748,$B1748))</f>
        <v/>
      </c>
      <c r="O1748" s="14" t="str">
        <f aca="false">IF($B1748="","",$B1748&amp;"|"&amp;$N1748)</f>
        <v/>
      </c>
    </row>
    <row r="1749" customFormat="false" ht="15" hidden="false" customHeight="false" outlineLevel="0" collapsed="false">
      <c r="A1749" s="12"/>
      <c r="B1749" s="9"/>
      <c r="C1749" s="9"/>
      <c r="D1749" s="9"/>
      <c r="E1749" s="9"/>
      <c r="F1749" s="9"/>
      <c r="G1749" s="9"/>
      <c r="H1749" s="7"/>
      <c r="I1749" s="13" t="str">
        <f aca="false">IF(OR($G1749="",$H1749=""),"",ROUND($G1749*$H1749,0))</f>
        <v/>
      </c>
      <c r="J1749" s="8"/>
      <c r="K1749" s="13" t="str">
        <f aca="false">IF($B1749="","",SUMIFS($I$3:$I$2002,$B$3:$B$2002,$B1749))</f>
        <v/>
      </c>
      <c r="L1749" s="13" t="str">
        <f aca="false">IF($B1749="","",IF(COUNTIFS($B$3:$B1749,$B1749)&gt;1,0,IFERROR(LOOKUP($K1749,배송비규정!$A$3:$A$32,배송비규정!$B$3:$B$32),0)+IFERROR(INDEX(지역추가비!$B$3:$B$42,MATCH($J1749,지역추가비!$A$3:$A$42,0)),0)))</f>
        <v/>
      </c>
      <c r="M1749" s="13" t="str">
        <f aca="false">IF($B1749="","",IF(COUNTIFS($B$3:$B1749,$B1749)&gt;1,"",$K1749+$L1749))</f>
        <v/>
      </c>
      <c r="N1749" s="14" t="str">
        <f aca="false">IF($B1749="","",COUNTIFS($B$3:$B1749,$B1749))</f>
        <v/>
      </c>
      <c r="O1749" s="14" t="str">
        <f aca="false">IF($B1749="","",$B1749&amp;"|"&amp;$N1749)</f>
        <v/>
      </c>
    </row>
    <row r="1750" customFormat="false" ht="15" hidden="false" customHeight="false" outlineLevel="0" collapsed="false">
      <c r="A1750" s="12"/>
      <c r="B1750" s="9"/>
      <c r="C1750" s="9"/>
      <c r="D1750" s="9"/>
      <c r="E1750" s="9"/>
      <c r="F1750" s="9"/>
      <c r="G1750" s="9"/>
      <c r="H1750" s="7"/>
      <c r="I1750" s="13" t="str">
        <f aca="false">IF(OR($G1750="",$H1750=""),"",ROUND($G1750*$H1750,0))</f>
        <v/>
      </c>
      <c r="J1750" s="8"/>
      <c r="K1750" s="13" t="str">
        <f aca="false">IF($B1750="","",SUMIFS($I$3:$I$2002,$B$3:$B$2002,$B1750))</f>
        <v/>
      </c>
      <c r="L1750" s="13" t="str">
        <f aca="false">IF($B1750="","",IF(COUNTIFS($B$3:$B1750,$B1750)&gt;1,0,IFERROR(LOOKUP($K1750,배송비규정!$A$3:$A$32,배송비규정!$B$3:$B$32),0)+IFERROR(INDEX(지역추가비!$B$3:$B$42,MATCH($J1750,지역추가비!$A$3:$A$42,0)),0)))</f>
        <v/>
      </c>
      <c r="M1750" s="13" t="str">
        <f aca="false">IF($B1750="","",IF(COUNTIFS($B$3:$B1750,$B1750)&gt;1,"",$K1750+$L1750))</f>
        <v/>
      </c>
      <c r="N1750" s="14" t="str">
        <f aca="false">IF($B1750="","",COUNTIFS($B$3:$B1750,$B1750))</f>
        <v/>
      </c>
      <c r="O1750" s="14" t="str">
        <f aca="false">IF($B1750="","",$B1750&amp;"|"&amp;$N1750)</f>
        <v/>
      </c>
    </row>
    <row r="1751" customFormat="false" ht="15" hidden="false" customHeight="false" outlineLevel="0" collapsed="false">
      <c r="A1751" s="12"/>
      <c r="B1751" s="9"/>
      <c r="C1751" s="9"/>
      <c r="D1751" s="9"/>
      <c r="E1751" s="9"/>
      <c r="F1751" s="9"/>
      <c r="G1751" s="9"/>
      <c r="H1751" s="7"/>
      <c r="I1751" s="13" t="str">
        <f aca="false">IF(OR($G1751="",$H1751=""),"",ROUND($G1751*$H1751,0))</f>
        <v/>
      </c>
      <c r="J1751" s="8"/>
      <c r="K1751" s="13" t="str">
        <f aca="false">IF($B1751="","",SUMIFS($I$3:$I$2002,$B$3:$B$2002,$B1751))</f>
        <v/>
      </c>
      <c r="L1751" s="13" t="str">
        <f aca="false">IF($B1751="","",IF(COUNTIFS($B$3:$B1751,$B1751)&gt;1,0,IFERROR(LOOKUP($K1751,배송비규정!$A$3:$A$32,배송비규정!$B$3:$B$32),0)+IFERROR(INDEX(지역추가비!$B$3:$B$42,MATCH($J1751,지역추가비!$A$3:$A$42,0)),0)))</f>
        <v/>
      </c>
      <c r="M1751" s="13" t="str">
        <f aca="false">IF($B1751="","",IF(COUNTIFS($B$3:$B1751,$B1751)&gt;1,"",$K1751+$L1751))</f>
        <v/>
      </c>
      <c r="N1751" s="14" t="str">
        <f aca="false">IF($B1751="","",COUNTIFS($B$3:$B1751,$B1751))</f>
        <v/>
      </c>
      <c r="O1751" s="14" t="str">
        <f aca="false">IF($B1751="","",$B1751&amp;"|"&amp;$N1751)</f>
        <v/>
      </c>
    </row>
    <row r="1752" customFormat="false" ht="15" hidden="false" customHeight="false" outlineLevel="0" collapsed="false">
      <c r="A1752" s="12"/>
      <c r="B1752" s="9"/>
      <c r="C1752" s="9"/>
      <c r="D1752" s="9"/>
      <c r="E1752" s="9"/>
      <c r="F1752" s="9"/>
      <c r="G1752" s="9"/>
      <c r="H1752" s="7"/>
      <c r="I1752" s="13" t="str">
        <f aca="false">IF(OR($G1752="",$H1752=""),"",ROUND($G1752*$H1752,0))</f>
        <v/>
      </c>
      <c r="J1752" s="8"/>
      <c r="K1752" s="13" t="str">
        <f aca="false">IF($B1752="","",SUMIFS($I$3:$I$2002,$B$3:$B$2002,$B1752))</f>
        <v/>
      </c>
      <c r="L1752" s="13" t="str">
        <f aca="false">IF($B1752="","",IF(COUNTIFS($B$3:$B1752,$B1752)&gt;1,0,IFERROR(LOOKUP($K1752,배송비규정!$A$3:$A$32,배송비규정!$B$3:$B$32),0)+IFERROR(INDEX(지역추가비!$B$3:$B$42,MATCH($J1752,지역추가비!$A$3:$A$42,0)),0)))</f>
        <v/>
      </c>
      <c r="M1752" s="13" t="str">
        <f aca="false">IF($B1752="","",IF(COUNTIFS($B$3:$B1752,$B1752)&gt;1,"",$K1752+$L1752))</f>
        <v/>
      </c>
      <c r="N1752" s="14" t="str">
        <f aca="false">IF($B1752="","",COUNTIFS($B$3:$B1752,$B1752))</f>
        <v/>
      </c>
      <c r="O1752" s="14" t="str">
        <f aca="false">IF($B1752="","",$B1752&amp;"|"&amp;$N1752)</f>
        <v/>
      </c>
    </row>
    <row r="1753" customFormat="false" ht="15" hidden="false" customHeight="false" outlineLevel="0" collapsed="false">
      <c r="A1753" s="12"/>
      <c r="B1753" s="9"/>
      <c r="C1753" s="9"/>
      <c r="D1753" s="9"/>
      <c r="E1753" s="9"/>
      <c r="F1753" s="9"/>
      <c r="G1753" s="9"/>
      <c r="H1753" s="7"/>
      <c r="I1753" s="13" t="str">
        <f aca="false">IF(OR($G1753="",$H1753=""),"",ROUND($G1753*$H1753,0))</f>
        <v/>
      </c>
      <c r="J1753" s="8"/>
      <c r="K1753" s="13" t="str">
        <f aca="false">IF($B1753="","",SUMIFS($I$3:$I$2002,$B$3:$B$2002,$B1753))</f>
        <v/>
      </c>
      <c r="L1753" s="13" t="str">
        <f aca="false">IF($B1753="","",IF(COUNTIFS($B$3:$B1753,$B1753)&gt;1,0,IFERROR(LOOKUP($K1753,배송비규정!$A$3:$A$32,배송비규정!$B$3:$B$32),0)+IFERROR(INDEX(지역추가비!$B$3:$B$42,MATCH($J1753,지역추가비!$A$3:$A$42,0)),0)))</f>
        <v/>
      </c>
      <c r="M1753" s="13" t="str">
        <f aca="false">IF($B1753="","",IF(COUNTIFS($B$3:$B1753,$B1753)&gt;1,"",$K1753+$L1753))</f>
        <v/>
      </c>
      <c r="N1753" s="14" t="str">
        <f aca="false">IF($B1753="","",COUNTIFS($B$3:$B1753,$B1753))</f>
        <v/>
      </c>
      <c r="O1753" s="14" t="str">
        <f aca="false">IF($B1753="","",$B1753&amp;"|"&amp;$N1753)</f>
        <v/>
      </c>
    </row>
    <row r="1754" customFormat="false" ht="15" hidden="false" customHeight="false" outlineLevel="0" collapsed="false">
      <c r="A1754" s="12"/>
      <c r="B1754" s="9"/>
      <c r="C1754" s="9"/>
      <c r="D1754" s="9"/>
      <c r="E1754" s="9"/>
      <c r="F1754" s="9"/>
      <c r="G1754" s="9"/>
      <c r="H1754" s="7"/>
      <c r="I1754" s="13" t="str">
        <f aca="false">IF(OR($G1754="",$H1754=""),"",ROUND($G1754*$H1754,0))</f>
        <v/>
      </c>
      <c r="J1754" s="8"/>
      <c r="K1754" s="13" t="str">
        <f aca="false">IF($B1754="","",SUMIFS($I$3:$I$2002,$B$3:$B$2002,$B1754))</f>
        <v/>
      </c>
      <c r="L1754" s="13" t="str">
        <f aca="false">IF($B1754="","",IF(COUNTIFS($B$3:$B1754,$B1754)&gt;1,0,IFERROR(LOOKUP($K1754,배송비규정!$A$3:$A$32,배송비규정!$B$3:$B$32),0)+IFERROR(INDEX(지역추가비!$B$3:$B$42,MATCH($J1754,지역추가비!$A$3:$A$42,0)),0)))</f>
        <v/>
      </c>
      <c r="M1754" s="13" t="str">
        <f aca="false">IF($B1754="","",IF(COUNTIFS($B$3:$B1754,$B1754)&gt;1,"",$K1754+$L1754))</f>
        <v/>
      </c>
      <c r="N1754" s="14" t="str">
        <f aca="false">IF($B1754="","",COUNTIFS($B$3:$B1754,$B1754))</f>
        <v/>
      </c>
      <c r="O1754" s="14" t="str">
        <f aca="false">IF($B1754="","",$B1754&amp;"|"&amp;$N1754)</f>
        <v/>
      </c>
    </row>
    <row r="1755" customFormat="false" ht="15" hidden="false" customHeight="false" outlineLevel="0" collapsed="false">
      <c r="A1755" s="12"/>
      <c r="B1755" s="9"/>
      <c r="C1755" s="9"/>
      <c r="D1755" s="9"/>
      <c r="E1755" s="9"/>
      <c r="F1755" s="9"/>
      <c r="G1755" s="9"/>
      <c r="H1755" s="7"/>
      <c r="I1755" s="13" t="str">
        <f aca="false">IF(OR($G1755="",$H1755=""),"",ROUND($G1755*$H1755,0))</f>
        <v/>
      </c>
      <c r="J1755" s="8"/>
      <c r="K1755" s="13" t="str">
        <f aca="false">IF($B1755="","",SUMIFS($I$3:$I$2002,$B$3:$B$2002,$B1755))</f>
        <v/>
      </c>
      <c r="L1755" s="13" t="str">
        <f aca="false">IF($B1755="","",IF(COUNTIFS($B$3:$B1755,$B1755)&gt;1,0,IFERROR(LOOKUP($K1755,배송비규정!$A$3:$A$32,배송비규정!$B$3:$B$32),0)+IFERROR(INDEX(지역추가비!$B$3:$B$42,MATCH($J1755,지역추가비!$A$3:$A$42,0)),0)))</f>
        <v/>
      </c>
      <c r="M1755" s="13" t="str">
        <f aca="false">IF($B1755="","",IF(COUNTIFS($B$3:$B1755,$B1755)&gt;1,"",$K1755+$L1755))</f>
        <v/>
      </c>
      <c r="N1755" s="14" t="str">
        <f aca="false">IF($B1755="","",COUNTIFS($B$3:$B1755,$B1755))</f>
        <v/>
      </c>
      <c r="O1755" s="14" t="str">
        <f aca="false">IF($B1755="","",$B1755&amp;"|"&amp;$N1755)</f>
        <v/>
      </c>
    </row>
    <row r="1756" customFormat="false" ht="15" hidden="false" customHeight="false" outlineLevel="0" collapsed="false">
      <c r="A1756" s="12"/>
      <c r="B1756" s="9"/>
      <c r="C1756" s="9"/>
      <c r="D1756" s="9"/>
      <c r="E1756" s="9"/>
      <c r="F1756" s="9"/>
      <c r="G1756" s="9"/>
      <c r="H1756" s="7"/>
      <c r="I1756" s="13" t="str">
        <f aca="false">IF(OR($G1756="",$H1756=""),"",ROUND($G1756*$H1756,0))</f>
        <v/>
      </c>
      <c r="J1756" s="8"/>
      <c r="K1756" s="13" t="str">
        <f aca="false">IF($B1756="","",SUMIFS($I$3:$I$2002,$B$3:$B$2002,$B1756))</f>
        <v/>
      </c>
      <c r="L1756" s="13" t="str">
        <f aca="false">IF($B1756="","",IF(COUNTIFS($B$3:$B1756,$B1756)&gt;1,0,IFERROR(LOOKUP($K1756,배송비규정!$A$3:$A$32,배송비규정!$B$3:$B$32),0)+IFERROR(INDEX(지역추가비!$B$3:$B$42,MATCH($J1756,지역추가비!$A$3:$A$42,0)),0)))</f>
        <v/>
      </c>
      <c r="M1756" s="13" t="str">
        <f aca="false">IF($B1756="","",IF(COUNTIFS($B$3:$B1756,$B1756)&gt;1,"",$K1756+$L1756))</f>
        <v/>
      </c>
      <c r="N1756" s="14" t="str">
        <f aca="false">IF($B1756="","",COUNTIFS($B$3:$B1756,$B1756))</f>
        <v/>
      </c>
      <c r="O1756" s="14" t="str">
        <f aca="false">IF($B1756="","",$B1756&amp;"|"&amp;$N1756)</f>
        <v/>
      </c>
    </row>
    <row r="1757" customFormat="false" ht="15" hidden="false" customHeight="false" outlineLevel="0" collapsed="false">
      <c r="A1757" s="12"/>
      <c r="B1757" s="9"/>
      <c r="C1757" s="9"/>
      <c r="D1757" s="9"/>
      <c r="E1757" s="9"/>
      <c r="F1757" s="9"/>
      <c r="G1757" s="9"/>
      <c r="H1757" s="7"/>
      <c r="I1757" s="13" t="str">
        <f aca="false">IF(OR($G1757="",$H1757=""),"",ROUND($G1757*$H1757,0))</f>
        <v/>
      </c>
      <c r="J1757" s="8"/>
      <c r="K1757" s="13" t="str">
        <f aca="false">IF($B1757="","",SUMIFS($I$3:$I$2002,$B$3:$B$2002,$B1757))</f>
        <v/>
      </c>
      <c r="L1757" s="13" t="str">
        <f aca="false">IF($B1757="","",IF(COUNTIFS($B$3:$B1757,$B1757)&gt;1,0,IFERROR(LOOKUP($K1757,배송비규정!$A$3:$A$32,배송비규정!$B$3:$B$32),0)+IFERROR(INDEX(지역추가비!$B$3:$B$42,MATCH($J1757,지역추가비!$A$3:$A$42,0)),0)))</f>
        <v/>
      </c>
      <c r="M1757" s="13" t="str">
        <f aca="false">IF($B1757="","",IF(COUNTIFS($B$3:$B1757,$B1757)&gt;1,"",$K1757+$L1757))</f>
        <v/>
      </c>
      <c r="N1757" s="14" t="str">
        <f aca="false">IF($B1757="","",COUNTIFS($B$3:$B1757,$B1757))</f>
        <v/>
      </c>
      <c r="O1757" s="14" t="str">
        <f aca="false">IF($B1757="","",$B1757&amp;"|"&amp;$N1757)</f>
        <v/>
      </c>
    </row>
    <row r="1758" customFormat="false" ht="15" hidden="false" customHeight="false" outlineLevel="0" collapsed="false">
      <c r="A1758" s="12"/>
      <c r="B1758" s="9"/>
      <c r="C1758" s="9"/>
      <c r="D1758" s="9"/>
      <c r="E1758" s="9"/>
      <c r="F1758" s="9"/>
      <c r="G1758" s="9"/>
      <c r="H1758" s="7"/>
      <c r="I1758" s="13" t="str">
        <f aca="false">IF(OR($G1758="",$H1758=""),"",ROUND($G1758*$H1758,0))</f>
        <v/>
      </c>
      <c r="J1758" s="8"/>
      <c r="K1758" s="13" t="str">
        <f aca="false">IF($B1758="","",SUMIFS($I$3:$I$2002,$B$3:$B$2002,$B1758))</f>
        <v/>
      </c>
      <c r="L1758" s="13" t="str">
        <f aca="false">IF($B1758="","",IF(COUNTIFS($B$3:$B1758,$B1758)&gt;1,0,IFERROR(LOOKUP($K1758,배송비규정!$A$3:$A$32,배송비규정!$B$3:$B$32),0)+IFERROR(INDEX(지역추가비!$B$3:$B$42,MATCH($J1758,지역추가비!$A$3:$A$42,0)),0)))</f>
        <v/>
      </c>
      <c r="M1758" s="13" t="str">
        <f aca="false">IF($B1758="","",IF(COUNTIFS($B$3:$B1758,$B1758)&gt;1,"",$K1758+$L1758))</f>
        <v/>
      </c>
      <c r="N1758" s="14" t="str">
        <f aca="false">IF($B1758="","",COUNTIFS($B$3:$B1758,$B1758))</f>
        <v/>
      </c>
      <c r="O1758" s="14" t="str">
        <f aca="false">IF($B1758="","",$B1758&amp;"|"&amp;$N1758)</f>
        <v/>
      </c>
    </row>
    <row r="1759" customFormat="false" ht="15" hidden="false" customHeight="false" outlineLevel="0" collapsed="false">
      <c r="A1759" s="12"/>
      <c r="B1759" s="9"/>
      <c r="C1759" s="9"/>
      <c r="D1759" s="9"/>
      <c r="E1759" s="9"/>
      <c r="F1759" s="9"/>
      <c r="G1759" s="9"/>
      <c r="H1759" s="7"/>
      <c r="I1759" s="13" t="str">
        <f aca="false">IF(OR($G1759="",$H1759=""),"",ROUND($G1759*$H1759,0))</f>
        <v/>
      </c>
      <c r="J1759" s="8"/>
      <c r="K1759" s="13" t="str">
        <f aca="false">IF($B1759="","",SUMIFS($I$3:$I$2002,$B$3:$B$2002,$B1759))</f>
        <v/>
      </c>
      <c r="L1759" s="13" t="str">
        <f aca="false">IF($B1759="","",IF(COUNTIFS($B$3:$B1759,$B1759)&gt;1,0,IFERROR(LOOKUP($K1759,배송비규정!$A$3:$A$32,배송비규정!$B$3:$B$32),0)+IFERROR(INDEX(지역추가비!$B$3:$B$42,MATCH($J1759,지역추가비!$A$3:$A$42,0)),0)))</f>
        <v/>
      </c>
      <c r="M1759" s="13" t="str">
        <f aca="false">IF($B1759="","",IF(COUNTIFS($B$3:$B1759,$B1759)&gt;1,"",$K1759+$L1759))</f>
        <v/>
      </c>
      <c r="N1759" s="14" t="str">
        <f aca="false">IF($B1759="","",COUNTIFS($B$3:$B1759,$B1759))</f>
        <v/>
      </c>
      <c r="O1759" s="14" t="str">
        <f aca="false">IF($B1759="","",$B1759&amp;"|"&amp;$N1759)</f>
        <v/>
      </c>
    </row>
    <row r="1760" customFormat="false" ht="15" hidden="false" customHeight="false" outlineLevel="0" collapsed="false">
      <c r="A1760" s="12"/>
      <c r="B1760" s="9"/>
      <c r="C1760" s="9"/>
      <c r="D1760" s="9"/>
      <c r="E1760" s="9"/>
      <c r="F1760" s="9"/>
      <c r="G1760" s="9"/>
      <c r="H1760" s="7"/>
      <c r="I1760" s="13" t="str">
        <f aca="false">IF(OR($G1760="",$H1760=""),"",ROUND($G1760*$H1760,0))</f>
        <v/>
      </c>
      <c r="J1760" s="8"/>
      <c r="K1760" s="13" t="str">
        <f aca="false">IF($B1760="","",SUMIFS($I$3:$I$2002,$B$3:$B$2002,$B1760))</f>
        <v/>
      </c>
      <c r="L1760" s="13" t="str">
        <f aca="false">IF($B1760="","",IF(COUNTIFS($B$3:$B1760,$B1760)&gt;1,0,IFERROR(LOOKUP($K1760,배송비규정!$A$3:$A$32,배송비규정!$B$3:$B$32),0)+IFERROR(INDEX(지역추가비!$B$3:$B$42,MATCH($J1760,지역추가비!$A$3:$A$42,0)),0)))</f>
        <v/>
      </c>
      <c r="M1760" s="13" t="str">
        <f aca="false">IF($B1760="","",IF(COUNTIFS($B$3:$B1760,$B1760)&gt;1,"",$K1760+$L1760))</f>
        <v/>
      </c>
      <c r="N1760" s="14" t="str">
        <f aca="false">IF($B1760="","",COUNTIFS($B$3:$B1760,$B1760))</f>
        <v/>
      </c>
      <c r="O1760" s="14" t="str">
        <f aca="false">IF($B1760="","",$B1760&amp;"|"&amp;$N1760)</f>
        <v/>
      </c>
    </row>
    <row r="1761" customFormat="false" ht="15" hidden="false" customHeight="false" outlineLevel="0" collapsed="false">
      <c r="A1761" s="12"/>
      <c r="B1761" s="9"/>
      <c r="C1761" s="9"/>
      <c r="D1761" s="9"/>
      <c r="E1761" s="9"/>
      <c r="F1761" s="9"/>
      <c r="G1761" s="9"/>
      <c r="H1761" s="7"/>
      <c r="I1761" s="13" t="str">
        <f aca="false">IF(OR($G1761="",$H1761=""),"",ROUND($G1761*$H1761,0))</f>
        <v/>
      </c>
      <c r="J1761" s="8"/>
      <c r="K1761" s="13" t="str">
        <f aca="false">IF($B1761="","",SUMIFS($I$3:$I$2002,$B$3:$B$2002,$B1761))</f>
        <v/>
      </c>
      <c r="L1761" s="13" t="str">
        <f aca="false">IF($B1761="","",IF(COUNTIFS($B$3:$B1761,$B1761)&gt;1,0,IFERROR(LOOKUP($K1761,배송비규정!$A$3:$A$32,배송비규정!$B$3:$B$32),0)+IFERROR(INDEX(지역추가비!$B$3:$B$42,MATCH($J1761,지역추가비!$A$3:$A$42,0)),0)))</f>
        <v/>
      </c>
      <c r="M1761" s="13" t="str">
        <f aca="false">IF($B1761="","",IF(COUNTIFS($B$3:$B1761,$B1761)&gt;1,"",$K1761+$L1761))</f>
        <v/>
      </c>
      <c r="N1761" s="14" t="str">
        <f aca="false">IF($B1761="","",COUNTIFS($B$3:$B1761,$B1761))</f>
        <v/>
      </c>
      <c r="O1761" s="14" t="str">
        <f aca="false">IF($B1761="","",$B1761&amp;"|"&amp;$N1761)</f>
        <v/>
      </c>
    </row>
    <row r="1762" customFormat="false" ht="15" hidden="false" customHeight="false" outlineLevel="0" collapsed="false">
      <c r="A1762" s="12"/>
      <c r="B1762" s="9"/>
      <c r="C1762" s="9"/>
      <c r="D1762" s="9"/>
      <c r="E1762" s="9"/>
      <c r="F1762" s="9"/>
      <c r="G1762" s="9"/>
      <c r="H1762" s="7"/>
      <c r="I1762" s="13" t="str">
        <f aca="false">IF(OR($G1762="",$H1762=""),"",ROUND($G1762*$H1762,0))</f>
        <v/>
      </c>
      <c r="J1762" s="8"/>
      <c r="K1762" s="13" t="str">
        <f aca="false">IF($B1762="","",SUMIFS($I$3:$I$2002,$B$3:$B$2002,$B1762))</f>
        <v/>
      </c>
      <c r="L1762" s="13" t="str">
        <f aca="false">IF($B1762="","",IF(COUNTIFS($B$3:$B1762,$B1762)&gt;1,0,IFERROR(LOOKUP($K1762,배송비규정!$A$3:$A$32,배송비규정!$B$3:$B$32),0)+IFERROR(INDEX(지역추가비!$B$3:$B$42,MATCH($J1762,지역추가비!$A$3:$A$42,0)),0)))</f>
        <v/>
      </c>
      <c r="M1762" s="13" t="str">
        <f aca="false">IF($B1762="","",IF(COUNTIFS($B$3:$B1762,$B1762)&gt;1,"",$K1762+$L1762))</f>
        <v/>
      </c>
      <c r="N1762" s="14" t="str">
        <f aca="false">IF($B1762="","",COUNTIFS($B$3:$B1762,$B1762))</f>
        <v/>
      </c>
      <c r="O1762" s="14" t="str">
        <f aca="false">IF($B1762="","",$B1762&amp;"|"&amp;$N1762)</f>
        <v/>
      </c>
    </row>
    <row r="1763" customFormat="false" ht="15" hidden="false" customHeight="false" outlineLevel="0" collapsed="false">
      <c r="A1763" s="12"/>
      <c r="B1763" s="9"/>
      <c r="C1763" s="9"/>
      <c r="D1763" s="9"/>
      <c r="E1763" s="9"/>
      <c r="F1763" s="9"/>
      <c r="G1763" s="9"/>
      <c r="H1763" s="7"/>
      <c r="I1763" s="13" t="str">
        <f aca="false">IF(OR($G1763="",$H1763=""),"",ROUND($G1763*$H1763,0))</f>
        <v/>
      </c>
      <c r="J1763" s="8"/>
      <c r="K1763" s="13" t="str">
        <f aca="false">IF($B1763="","",SUMIFS($I$3:$I$2002,$B$3:$B$2002,$B1763))</f>
        <v/>
      </c>
      <c r="L1763" s="13" t="str">
        <f aca="false">IF($B1763="","",IF(COUNTIFS($B$3:$B1763,$B1763)&gt;1,0,IFERROR(LOOKUP($K1763,배송비규정!$A$3:$A$32,배송비규정!$B$3:$B$32),0)+IFERROR(INDEX(지역추가비!$B$3:$B$42,MATCH($J1763,지역추가비!$A$3:$A$42,0)),0)))</f>
        <v/>
      </c>
      <c r="M1763" s="13" t="str">
        <f aca="false">IF($B1763="","",IF(COUNTIFS($B$3:$B1763,$B1763)&gt;1,"",$K1763+$L1763))</f>
        <v/>
      </c>
      <c r="N1763" s="14" t="str">
        <f aca="false">IF($B1763="","",COUNTIFS($B$3:$B1763,$B1763))</f>
        <v/>
      </c>
      <c r="O1763" s="14" t="str">
        <f aca="false">IF($B1763="","",$B1763&amp;"|"&amp;$N1763)</f>
        <v/>
      </c>
    </row>
    <row r="1764" customFormat="false" ht="15" hidden="false" customHeight="false" outlineLevel="0" collapsed="false">
      <c r="A1764" s="12"/>
      <c r="B1764" s="9"/>
      <c r="C1764" s="9"/>
      <c r="D1764" s="9"/>
      <c r="E1764" s="9"/>
      <c r="F1764" s="9"/>
      <c r="G1764" s="9"/>
      <c r="H1764" s="7"/>
      <c r="I1764" s="13" t="str">
        <f aca="false">IF(OR($G1764="",$H1764=""),"",ROUND($G1764*$H1764,0))</f>
        <v/>
      </c>
      <c r="J1764" s="8"/>
      <c r="K1764" s="13" t="str">
        <f aca="false">IF($B1764="","",SUMIFS($I$3:$I$2002,$B$3:$B$2002,$B1764))</f>
        <v/>
      </c>
      <c r="L1764" s="13" t="str">
        <f aca="false">IF($B1764="","",IF(COUNTIFS($B$3:$B1764,$B1764)&gt;1,0,IFERROR(LOOKUP($K1764,배송비규정!$A$3:$A$32,배송비규정!$B$3:$B$32),0)+IFERROR(INDEX(지역추가비!$B$3:$B$42,MATCH($J1764,지역추가비!$A$3:$A$42,0)),0)))</f>
        <v/>
      </c>
      <c r="M1764" s="13" t="str">
        <f aca="false">IF($B1764="","",IF(COUNTIFS($B$3:$B1764,$B1764)&gt;1,"",$K1764+$L1764))</f>
        <v/>
      </c>
      <c r="N1764" s="14" t="str">
        <f aca="false">IF($B1764="","",COUNTIFS($B$3:$B1764,$B1764))</f>
        <v/>
      </c>
      <c r="O1764" s="14" t="str">
        <f aca="false">IF($B1764="","",$B1764&amp;"|"&amp;$N1764)</f>
        <v/>
      </c>
    </row>
    <row r="1765" customFormat="false" ht="15" hidden="false" customHeight="false" outlineLevel="0" collapsed="false">
      <c r="A1765" s="12"/>
      <c r="B1765" s="9"/>
      <c r="C1765" s="9"/>
      <c r="D1765" s="9"/>
      <c r="E1765" s="9"/>
      <c r="F1765" s="9"/>
      <c r="G1765" s="9"/>
      <c r="H1765" s="7"/>
      <c r="I1765" s="13" t="str">
        <f aca="false">IF(OR($G1765="",$H1765=""),"",ROUND($G1765*$H1765,0))</f>
        <v/>
      </c>
      <c r="J1765" s="8"/>
      <c r="K1765" s="13" t="str">
        <f aca="false">IF($B1765="","",SUMIFS($I$3:$I$2002,$B$3:$B$2002,$B1765))</f>
        <v/>
      </c>
      <c r="L1765" s="13" t="str">
        <f aca="false">IF($B1765="","",IF(COUNTIFS($B$3:$B1765,$B1765)&gt;1,0,IFERROR(LOOKUP($K1765,배송비규정!$A$3:$A$32,배송비규정!$B$3:$B$32),0)+IFERROR(INDEX(지역추가비!$B$3:$B$42,MATCH($J1765,지역추가비!$A$3:$A$42,0)),0)))</f>
        <v/>
      </c>
      <c r="M1765" s="13" t="str">
        <f aca="false">IF($B1765="","",IF(COUNTIFS($B$3:$B1765,$B1765)&gt;1,"",$K1765+$L1765))</f>
        <v/>
      </c>
      <c r="N1765" s="14" t="str">
        <f aca="false">IF($B1765="","",COUNTIFS($B$3:$B1765,$B1765))</f>
        <v/>
      </c>
      <c r="O1765" s="14" t="str">
        <f aca="false">IF($B1765="","",$B1765&amp;"|"&amp;$N1765)</f>
        <v/>
      </c>
    </row>
    <row r="1766" customFormat="false" ht="15" hidden="false" customHeight="false" outlineLevel="0" collapsed="false">
      <c r="A1766" s="12"/>
      <c r="B1766" s="9"/>
      <c r="C1766" s="9"/>
      <c r="D1766" s="9"/>
      <c r="E1766" s="9"/>
      <c r="F1766" s="9"/>
      <c r="G1766" s="9"/>
      <c r="H1766" s="7"/>
      <c r="I1766" s="13" t="str">
        <f aca="false">IF(OR($G1766="",$H1766=""),"",ROUND($G1766*$H1766,0))</f>
        <v/>
      </c>
      <c r="J1766" s="8"/>
      <c r="K1766" s="13" t="str">
        <f aca="false">IF($B1766="","",SUMIFS($I$3:$I$2002,$B$3:$B$2002,$B1766))</f>
        <v/>
      </c>
      <c r="L1766" s="13" t="str">
        <f aca="false">IF($B1766="","",IF(COUNTIFS($B$3:$B1766,$B1766)&gt;1,0,IFERROR(LOOKUP($K1766,배송비규정!$A$3:$A$32,배송비규정!$B$3:$B$32),0)+IFERROR(INDEX(지역추가비!$B$3:$B$42,MATCH($J1766,지역추가비!$A$3:$A$42,0)),0)))</f>
        <v/>
      </c>
      <c r="M1766" s="13" t="str">
        <f aca="false">IF($B1766="","",IF(COUNTIFS($B$3:$B1766,$B1766)&gt;1,"",$K1766+$L1766))</f>
        <v/>
      </c>
      <c r="N1766" s="14" t="str">
        <f aca="false">IF($B1766="","",COUNTIFS($B$3:$B1766,$B1766))</f>
        <v/>
      </c>
      <c r="O1766" s="14" t="str">
        <f aca="false">IF($B1766="","",$B1766&amp;"|"&amp;$N1766)</f>
        <v/>
      </c>
    </row>
    <row r="1767" customFormat="false" ht="15" hidden="false" customHeight="false" outlineLevel="0" collapsed="false">
      <c r="A1767" s="12"/>
      <c r="B1767" s="9"/>
      <c r="C1767" s="9"/>
      <c r="D1767" s="9"/>
      <c r="E1767" s="9"/>
      <c r="F1767" s="9"/>
      <c r="G1767" s="9"/>
      <c r="H1767" s="7"/>
      <c r="I1767" s="13" t="str">
        <f aca="false">IF(OR($G1767="",$H1767=""),"",ROUND($G1767*$H1767,0))</f>
        <v/>
      </c>
      <c r="J1767" s="8"/>
      <c r="K1767" s="13" t="str">
        <f aca="false">IF($B1767="","",SUMIFS($I$3:$I$2002,$B$3:$B$2002,$B1767))</f>
        <v/>
      </c>
      <c r="L1767" s="13" t="str">
        <f aca="false">IF($B1767="","",IF(COUNTIFS($B$3:$B1767,$B1767)&gt;1,0,IFERROR(LOOKUP($K1767,배송비규정!$A$3:$A$32,배송비규정!$B$3:$B$32),0)+IFERROR(INDEX(지역추가비!$B$3:$B$42,MATCH($J1767,지역추가비!$A$3:$A$42,0)),0)))</f>
        <v/>
      </c>
      <c r="M1767" s="13" t="str">
        <f aca="false">IF($B1767="","",IF(COUNTIFS($B$3:$B1767,$B1767)&gt;1,"",$K1767+$L1767))</f>
        <v/>
      </c>
      <c r="N1767" s="14" t="str">
        <f aca="false">IF($B1767="","",COUNTIFS($B$3:$B1767,$B1767))</f>
        <v/>
      </c>
      <c r="O1767" s="14" t="str">
        <f aca="false">IF($B1767="","",$B1767&amp;"|"&amp;$N1767)</f>
        <v/>
      </c>
    </row>
    <row r="1768" customFormat="false" ht="15" hidden="false" customHeight="false" outlineLevel="0" collapsed="false">
      <c r="A1768" s="12"/>
      <c r="B1768" s="9"/>
      <c r="C1768" s="9"/>
      <c r="D1768" s="9"/>
      <c r="E1768" s="9"/>
      <c r="F1768" s="9"/>
      <c r="G1768" s="9"/>
      <c r="H1768" s="7"/>
      <c r="I1768" s="13" t="str">
        <f aca="false">IF(OR($G1768="",$H1768=""),"",ROUND($G1768*$H1768,0))</f>
        <v/>
      </c>
      <c r="J1768" s="8"/>
      <c r="K1768" s="13" t="str">
        <f aca="false">IF($B1768="","",SUMIFS($I$3:$I$2002,$B$3:$B$2002,$B1768))</f>
        <v/>
      </c>
      <c r="L1768" s="13" t="str">
        <f aca="false">IF($B1768="","",IF(COUNTIFS($B$3:$B1768,$B1768)&gt;1,0,IFERROR(LOOKUP($K1768,배송비규정!$A$3:$A$32,배송비규정!$B$3:$B$32),0)+IFERROR(INDEX(지역추가비!$B$3:$B$42,MATCH($J1768,지역추가비!$A$3:$A$42,0)),0)))</f>
        <v/>
      </c>
      <c r="M1768" s="13" t="str">
        <f aca="false">IF($B1768="","",IF(COUNTIFS($B$3:$B1768,$B1768)&gt;1,"",$K1768+$L1768))</f>
        <v/>
      </c>
      <c r="N1768" s="14" t="str">
        <f aca="false">IF($B1768="","",COUNTIFS($B$3:$B1768,$B1768))</f>
        <v/>
      </c>
      <c r="O1768" s="14" t="str">
        <f aca="false">IF($B1768="","",$B1768&amp;"|"&amp;$N1768)</f>
        <v/>
      </c>
    </row>
    <row r="1769" customFormat="false" ht="15" hidden="false" customHeight="false" outlineLevel="0" collapsed="false">
      <c r="A1769" s="12"/>
      <c r="B1769" s="9"/>
      <c r="C1769" s="9"/>
      <c r="D1769" s="9"/>
      <c r="E1769" s="9"/>
      <c r="F1769" s="9"/>
      <c r="G1769" s="9"/>
      <c r="H1769" s="7"/>
      <c r="I1769" s="13" t="str">
        <f aca="false">IF(OR($G1769="",$H1769=""),"",ROUND($G1769*$H1769,0))</f>
        <v/>
      </c>
      <c r="J1769" s="8"/>
      <c r="K1769" s="13" t="str">
        <f aca="false">IF($B1769="","",SUMIFS($I$3:$I$2002,$B$3:$B$2002,$B1769))</f>
        <v/>
      </c>
      <c r="L1769" s="13" t="str">
        <f aca="false">IF($B1769="","",IF(COUNTIFS($B$3:$B1769,$B1769)&gt;1,0,IFERROR(LOOKUP($K1769,배송비규정!$A$3:$A$32,배송비규정!$B$3:$B$32),0)+IFERROR(INDEX(지역추가비!$B$3:$B$42,MATCH($J1769,지역추가비!$A$3:$A$42,0)),0)))</f>
        <v/>
      </c>
      <c r="M1769" s="13" t="str">
        <f aca="false">IF($B1769="","",IF(COUNTIFS($B$3:$B1769,$B1769)&gt;1,"",$K1769+$L1769))</f>
        <v/>
      </c>
      <c r="N1769" s="14" t="str">
        <f aca="false">IF($B1769="","",COUNTIFS($B$3:$B1769,$B1769))</f>
        <v/>
      </c>
      <c r="O1769" s="14" t="str">
        <f aca="false">IF($B1769="","",$B1769&amp;"|"&amp;$N1769)</f>
        <v/>
      </c>
    </row>
    <row r="1770" customFormat="false" ht="15" hidden="false" customHeight="false" outlineLevel="0" collapsed="false">
      <c r="A1770" s="12"/>
      <c r="B1770" s="9"/>
      <c r="C1770" s="9"/>
      <c r="D1770" s="9"/>
      <c r="E1770" s="9"/>
      <c r="F1770" s="9"/>
      <c r="G1770" s="9"/>
      <c r="H1770" s="7"/>
      <c r="I1770" s="13" t="str">
        <f aca="false">IF(OR($G1770="",$H1770=""),"",ROUND($G1770*$H1770,0))</f>
        <v/>
      </c>
      <c r="J1770" s="8"/>
      <c r="K1770" s="13" t="str">
        <f aca="false">IF($B1770="","",SUMIFS($I$3:$I$2002,$B$3:$B$2002,$B1770))</f>
        <v/>
      </c>
      <c r="L1770" s="13" t="str">
        <f aca="false">IF($B1770="","",IF(COUNTIFS($B$3:$B1770,$B1770)&gt;1,0,IFERROR(LOOKUP($K1770,배송비규정!$A$3:$A$32,배송비규정!$B$3:$B$32),0)+IFERROR(INDEX(지역추가비!$B$3:$B$42,MATCH($J1770,지역추가비!$A$3:$A$42,0)),0)))</f>
        <v/>
      </c>
      <c r="M1770" s="13" t="str">
        <f aca="false">IF($B1770="","",IF(COUNTIFS($B$3:$B1770,$B1770)&gt;1,"",$K1770+$L1770))</f>
        <v/>
      </c>
      <c r="N1770" s="14" t="str">
        <f aca="false">IF($B1770="","",COUNTIFS($B$3:$B1770,$B1770))</f>
        <v/>
      </c>
      <c r="O1770" s="14" t="str">
        <f aca="false">IF($B1770="","",$B1770&amp;"|"&amp;$N1770)</f>
        <v/>
      </c>
    </row>
    <row r="1771" customFormat="false" ht="15" hidden="false" customHeight="false" outlineLevel="0" collapsed="false">
      <c r="A1771" s="12"/>
      <c r="B1771" s="9"/>
      <c r="C1771" s="9"/>
      <c r="D1771" s="9"/>
      <c r="E1771" s="9"/>
      <c r="F1771" s="9"/>
      <c r="G1771" s="9"/>
      <c r="H1771" s="7"/>
      <c r="I1771" s="13" t="str">
        <f aca="false">IF(OR($G1771="",$H1771=""),"",ROUND($G1771*$H1771,0))</f>
        <v/>
      </c>
      <c r="J1771" s="8"/>
      <c r="K1771" s="13" t="str">
        <f aca="false">IF($B1771="","",SUMIFS($I$3:$I$2002,$B$3:$B$2002,$B1771))</f>
        <v/>
      </c>
      <c r="L1771" s="13" t="str">
        <f aca="false">IF($B1771="","",IF(COUNTIFS($B$3:$B1771,$B1771)&gt;1,0,IFERROR(LOOKUP($K1771,배송비규정!$A$3:$A$32,배송비규정!$B$3:$B$32),0)+IFERROR(INDEX(지역추가비!$B$3:$B$42,MATCH($J1771,지역추가비!$A$3:$A$42,0)),0)))</f>
        <v/>
      </c>
      <c r="M1771" s="13" t="str">
        <f aca="false">IF($B1771="","",IF(COUNTIFS($B$3:$B1771,$B1771)&gt;1,"",$K1771+$L1771))</f>
        <v/>
      </c>
      <c r="N1771" s="14" t="str">
        <f aca="false">IF($B1771="","",COUNTIFS($B$3:$B1771,$B1771))</f>
        <v/>
      </c>
      <c r="O1771" s="14" t="str">
        <f aca="false">IF($B1771="","",$B1771&amp;"|"&amp;$N1771)</f>
        <v/>
      </c>
    </row>
    <row r="1772" customFormat="false" ht="15" hidden="false" customHeight="false" outlineLevel="0" collapsed="false">
      <c r="A1772" s="12"/>
      <c r="B1772" s="9"/>
      <c r="C1772" s="9"/>
      <c r="D1772" s="9"/>
      <c r="E1772" s="9"/>
      <c r="F1772" s="9"/>
      <c r="G1772" s="9"/>
      <c r="H1772" s="7"/>
      <c r="I1772" s="13" t="str">
        <f aca="false">IF(OR($G1772="",$H1772=""),"",ROUND($G1772*$H1772,0))</f>
        <v/>
      </c>
      <c r="J1772" s="8"/>
      <c r="K1772" s="13" t="str">
        <f aca="false">IF($B1772="","",SUMIFS($I$3:$I$2002,$B$3:$B$2002,$B1772))</f>
        <v/>
      </c>
      <c r="L1772" s="13" t="str">
        <f aca="false">IF($B1772="","",IF(COUNTIFS($B$3:$B1772,$B1772)&gt;1,0,IFERROR(LOOKUP($K1772,배송비규정!$A$3:$A$32,배송비규정!$B$3:$B$32),0)+IFERROR(INDEX(지역추가비!$B$3:$B$42,MATCH($J1772,지역추가비!$A$3:$A$42,0)),0)))</f>
        <v/>
      </c>
      <c r="M1772" s="13" t="str">
        <f aca="false">IF($B1772="","",IF(COUNTIFS($B$3:$B1772,$B1772)&gt;1,"",$K1772+$L1772))</f>
        <v/>
      </c>
      <c r="N1772" s="14" t="str">
        <f aca="false">IF($B1772="","",COUNTIFS($B$3:$B1772,$B1772))</f>
        <v/>
      </c>
      <c r="O1772" s="14" t="str">
        <f aca="false">IF($B1772="","",$B1772&amp;"|"&amp;$N1772)</f>
        <v/>
      </c>
    </row>
    <row r="1773" customFormat="false" ht="15" hidden="false" customHeight="false" outlineLevel="0" collapsed="false">
      <c r="A1773" s="12"/>
      <c r="B1773" s="9"/>
      <c r="C1773" s="9"/>
      <c r="D1773" s="9"/>
      <c r="E1773" s="9"/>
      <c r="F1773" s="9"/>
      <c r="G1773" s="9"/>
      <c r="H1773" s="7"/>
      <c r="I1773" s="13" t="str">
        <f aca="false">IF(OR($G1773="",$H1773=""),"",ROUND($G1773*$H1773,0))</f>
        <v/>
      </c>
      <c r="J1773" s="8"/>
      <c r="K1773" s="13" t="str">
        <f aca="false">IF($B1773="","",SUMIFS($I$3:$I$2002,$B$3:$B$2002,$B1773))</f>
        <v/>
      </c>
      <c r="L1773" s="13" t="str">
        <f aca="false">IF($B1773="","",IF(COUNTIFS($B$3:$B1773,$B1773)&gt;1,0,IFERROR(LOOKUP($K1773,배송비규정!$A$3:$A$32,배송비규정!$B$3:$B$32),0)+IFERROR(INDEX(지역추가비!$B$3:$B$42,MATCH($J1773,지역추가비!$A$3:$A$42,0)),0)))</f>
        <v/>
      </c>
      <c r="M1773" s="13" t="str">
        <f aca="false">IF($B1773="","",IF(COUNTIFS($B$3:$B1773,$B1773)&gt;1,"",$K1773+$L1773))</f>
        <v/>
      </c>
      <c r="N1773" s="14" t="str">
        <f aca="false">IF($B1773="","",COUNTIFS($B$3:$B1773,$B1773))</f>
        <v/>
      </c>
      <c r="O1773" s="14" t="str">
        <f aca="false">IF($B1773="","",$B1773&amp;"|"&amp;$N1773)</f>
        <v/>
      </c>
    </row>
    <row r="1774" customFormat="false" ht="15" hidden="false" customHeight="false" outlineLevel="0" collapsed="false">
      <c r="A1774" s="12"/>
      <c r="B1774" s="9"/>
      <c r="C1774" s="9"/>
      <c r="D1774" s="9"/>
      <c r="E1774" s="9"/>
      <c r="F1774" s="9"/>
      <c r="G1774" s="9"/>
      <c r="H1774" s="7"/>
      <c r="I1774" s="13" t="str">
        <f aca="false">IF(OR($G1774="",$H1774=""),"",ROUND($G1774*$H1774,0))</f>
        <v/>
      </c>
      <c r="J1774" s="8"/>
      <c r="K1774" s="13" t="str">
        <f aca="false">IF($B1774="","",SUMIFS($I$3:$I$2002,$B$3:$B$2002,$B1774))</f>
        <v/>
      </c>
      <c r="L1774" s="13" t="str">
        <f aca="false">IF($B1774="","",IF(COUNTIFS($B$3:$B1774,$B1774)&gt;1,0,IFERROR(LOOKUP($K1774,배송비규정!$A$3:$A$32,배송비규정!$B$3:$B$32),0)+IFERROR(INDEX(지역추가비!$B$3:$B$42,MATCH($J1774,지역추가비!$A$3:$A$42,0)),0)))</f>
        <v/>
      </c>
      <c r="M1774" s="13" t="str">
        <f aca="false">IF($B1774="","",IF(COUNTIFS($B$3:$B1774,$B1774)&gt;1,"",$K1774+$L1774))</f>
        <v/>
      </c>
      <c r="N1774" s="14" t="str">
        <f aca="false">IF($B1774="","",COUNTIFS($B$3:$B1774,$B1774))</f>
        <v/>
      </c>
      <c r="O1774" s="14" t="str">
        <f aca="false">IF($B1774="","",$B1774&amp;"|"&amp;$N1774)</f>
        <v/>
      </c>
    </row>
    <row r="1775" customFormat="false" ht="15" hidden="false" customHeight="false" outlineLevel="0" collapsed="false">
      <c r="A1775" s="12"/>
      <c r="B1775" s="9"/>
      <c r="C1775" s="9"/>
      <c r="D1775" s="9"/>
      <c r="E1775" s="9"/>
      <c r="F1775" s="9"/>
      <c r="G1775" s="9"/>
      <c r="H1775" s="7"/>
      <c r="I1775" s="13" t="str">
        <f aca="false">IF(OR($G1775="",$H1775=""),"",ROUND($G1775*$H1775,0))</f>
        <v/>
      </c>
      <c r="J1775" s="8"/>
      <c r="K1775" s="13" t="str">
        <f aca="false">IF($B1775="","",SUMIFS($I$3:$I$2002,$B$3:$B$2002,$B1775))</f>
        <v/>
      </c>
      <c r="L1775" s="13" t="str">
        <f aca="false">IF($B1775="","",IF(COUNTIFS($B$3:$B1775,$B1775)&gt;1,0,IFERROR(LOOKUP($K1775,배송비규정!$A$3:$A$32,배송비규정!$B$3:$B$32),0)+IFERROR(INDEX(지역추가비!$B$3:$B$42,MATCH($J1775,지역추가비!$A$3:$A$42,0)),0)))</f>
        <v/>
      </c>
      <c r="M1775" s="13" t="str">
        <f aca="false">IF($B1775="","",IF(COUNTIFS($B$3:$B1775,$B1775)&gt;1,"",$K1775+$L1775))</f>
        <v/>
      </c>
      <c r="N1775" s="14" t="str">
        <f aca="false">IF($B1775="","",COUNTIFS($B$3:$B1775,$B1775))</f>
        <v/>
      </c>
      <c r="O1775" s="14" t="str">
        <f aca="false">IF($B1775="","",$B1775&amp;"|"&amp;$N1775)</f>
        <v/>
      </c>
    </row>
    <row r="1776" customFormat="false" ht="15" hidden="false" customHeight="false" outlineLevel="0" collapsed="false">
      <c r="A1776" s="12"/>
      <c r="B1776" s="9"/>
      <c r="C1776" s="9"/>
      <c r="D1776" s="9"/>
      <c r="E1776" s="9"/>
      <c r="F1776" s="9"/>
      <c r="G1776" s="9"/>
      <c r="H1776" s="7"/>
      <c r="I1776" s="13" t="str">
        <f aca="false">IF(OR($G1776="",$H1776=""),"",ROUND($G1776*$H1776,0))</f>
        <v/>
      </c>
      <c r="J1776" s="8"/>
      <c r="K1776" s="13" t="str">
        <f aca="false">IF($B1776="","",SUMIFS($I$3:$I$2002,$B$3:$B$2002,$B1776))</f>
        <v/>
      </c>
      <c r="L1776" s="13" t="str">
        <f aca="false">IF($B1776="","",IF(COUNTIFS($B$3:$B1776,$B1776)&gt;1,0,IFERROR(LOOKUP($K1776,배송비규정!$A$3:$A$32,배송비규정!$B$3:$B$32),0)+IFERROR(INDEX(지역추가비!$B$3:$B$42,MATCH($J1776,지역추가비!$A$3:$A$42,0)),0)))</f>
        <v/>
      </c>
      <c r="M1776" s="13" t="str">
        <f aca="false">IF($B1776="","",IF(COUNTIFS($B$3:$B1776,$B1776)&gt;1,"",$K1776+$L1776))</f>
        <v/>
      </c>
      <c r="N1776" s="14" t="str">
        <f aca="false">IF($B1776="","",COUNTIFS($B$3:$B1776,$B1776))</f>
        <v/>
      </c>
      <c r="O1776" s="14" t="str">
        <f aca="false">IF($B1776="","",$B1776&amp;"|"&amp;$N1776)</f>
        <v/>
      </c>
    </row>
    <row r="1777" customFormat="false" ht="15" hidden="false" customHeight="false" outlineLevel="0" collapsed="false">
      <c r="A1777" s="12"/>
      <c r="B1777" s="9"/>
      <c r="C1777" s="9"/>
      <c r="D1777" s="9"/>
      <c r="E1777" s="9"/>
      <c r="F1777" s="9"/>
      <c r="G1777" s="9"/>
      <c r="H1777" s="7"/>
      <c r="I1777" s="13" t="str">
        <f aca="false">IF(OR($G1777="",$H1777=""),"",ROUND($G1777*$H1777,0))</f>
        <v/>
      </c>
      <c r="J1777" s="8"/>
      <c r="K1777" s="13" t="str">
        <f aca="false">IF($B1777="","",SUMIFS($I$3:$I$2002,$B$3:$B$2002,$B1777))</f>
        <v/>
      </c>
      <c r="L1777" s="13" t="str">
        <f aca="false">IF($B1777="","",IF(COUNTIFS($B$3:$B1777,$B1777)&gt;1,0,IFERROR(LOOKUP($K1777,배송비규정!$A$3:$A$32,배송비규정!$B$3:$B$32),0)+IFERROR(INDEX(지역추가비!$B$3:$B$42,MATCH($J1777,지역추가비!$A$3:$A$42,0)),0)))</f>
        <v/>
      </c>
      <c r="M1777" s="13" t="str">
        <f aca="false">IF($B1777="","",IF(COUNTIFS($B$3:$B1777,$B1777)&gt;1,"",$K1777+$L1777))</f>
        <v/>
      </c>
      <c r="N1777" s="14" t="str">
        <f aca="false">IF($B1777="","",COUNTIFS($B$3:$B1777,$B1777))</f>
        <v/>
      </c>
      <c r="O1777" s="14" t="str">
        <f aca="false">IF($B1777="","",$B1777&amp;"|"&amp;$N1777)</f>
        <v/>
      </c>
    </row>
    <row r="1778" customFormat="false" ht="15" hidden="false" customHeight="false" outlineLevel="0" collapsed="false">
      <c r="A1778" s="12"/>
      <c r="B1778" s="9"/>
      <c r="C1778" s="9"/>
      <c r="D1778" s="9"/>
      <c r="E1778" s="9"/>
      <c r="F1778" s="9"/>
      <c r="G1778" s="9"/>
      <c r="H1778" s="7"/>
      <c r="I1778" s="13" t="str">
        <f aca="false">IF(OR($G1778="",$H1778=""),"",ROUND($G1778*$H1778,0))</f>
        <v/>
      </c>
      <c r="J1778" s="8"/>
      <c r="K1778" s="13" t="str">
        <f aca="false">IF($B1778="","",SUMIFS($I$3:$I$2002,$B$3:$B$2002,$B1778))</f>
        <v/>
      </c>
      <c r="L1778" s="13" t="str">
        <f aca="false">IF($B1778="","",IF(COUNTIFS($B$3:$B1778,$B1778)&gt;1,0,IFERROR(LOOKUP($K1778,배송비규정!$A$3:$A$32,배송비규정!$B$3:$B$32),0)+IFERROR(INDEX(지역추가비!$B$3:$B$42,MATCH($J1778,지역추가비!$A$3:$A$42,0)),0)))</f>
        <v/>
      </c>
      <c r="M1778" s="13" t="str">
        <f aca="false">IF($B1778="","",IF(COUNTIFS($B$3:$B1778,$B1778)&gt;1,"",$K1778+$L1778))</f>
        <v/>
      </c>
      <c r="N1778" s="14" t="str">
        <f aca="false">IF($B1778="","",COUNTIFS($B$3:$B1778,$B1778))</f>
        <v/>
      </c>
      <c r="O1778" s="14" t="str">
        <f aca="false">IF($B1778="","",$B1778&amp;"|"&amp;$N1778)</f>
        <v/>
      </c>
    </row>
    <row r="1779" customFormat="false" ht="15" hidden="false" customHeight="false" outlineLevel="0" collapsed="false">
      <c r="A1779" s="12"/>
      <c r="B1779" s="9"/>
      <c r="C1779" s="9"/>
      <c r="D1779" s="9"/>
      <c r="E1779" s="9"/>
      <c r="F1779" s="9"/>
      <c r="G1779" s="9"/>
      <c r="H1779" s="7"/>
      <c r="I1779" s="13" t="str">
        <f aca="false">IF(OR($G1779="",$H1779=""),"",ROUND($G1779*$H1779,0))</f>
        <v/>
      </c>
      <c r="J1779" s="8"/>
      <c r="K1779" s="13" t="str">
        <f aca="false">IF($B1779="","",SUMIFS($I$3:$I$2002,$B$3:$B$2002,$B1779))</f>
        <v/>
      </c>
      <c r="L1779" s="13" t="str">
        <f aca="false">IF($B1779="","",IF(COUNTIFS($B$3:$B1779,$B1779)&gt;1,0,IFERROR(LOOKUP($K1779,배송비규정!$A$3:$A$32,배송비규정!$B$3:$B$32),0)+IFERROR(INDEX(지역추가비!$B$3:$B$42,MATCH($J1779,지역추가비!$A$3:$A$42,0)),0)))</f>
        <v/>
      </c>
      <c r="M1779" s="13" t="str">
        <f aca="false">IF($B1779="","",IF(COUNTIFS($B$3:$B1779,$B1779)&gt;1,"",$K1779+$L1779))</f>
        <v/>
      </c>
      <c r="N1779" s="14" t="str">
        <f aca="false">IF($B1779="","",COUNTIFS($B$3:$B1779,$B1779))</f>
        <v/>
      </c>
      <c r="O1779" s="14" t="str">
        <f aca="false">IF($B1779="","",$B1779&amp;"|"&amp;$N1779)</f>
        <v/>
      </c>
    </row>
    <row r="1780" customFormat="false" ht="15" hidden="false" customHeight="false" outlineLevel="0" collapsed="false">
      <c r="A1780" s="12"/>
      <c r="B1780" s="9"/>
      <c r="C1780" s="9"/>
      <c r="D1780" s="9"/>
      <c r="E1780" s="9"/>
      <c r="F1780" s="9"/>
      <c r="G1780" s="9"/>
      <c r="H1780" s="7"/>
      <c r="I1780" s="13" t="str">
        <f aca="false">IF(OR($G1780="",$H1780=""),"",ROUND($G1780*$H1780,0))</f>
        <v/>
      </c>
      <c r="J1780" s="8"/>
      <c r="K1780" s="13" t="str">
        <f aca="false">IF($B1780="","",SUMIFS($I$3:$I$2002,$B$3:$B$2002,$B1780))</f>
        <v/>
      </c>
      <c r="L1780" s="13" t="str">
        <f aca="false">IF($B1780="","",IF(COUNTIFS($B$3:$B1780,$B1780)&gt;1,0,IFERROR(LOOKUP($K1780,배송비규정!$A$3:$A$32,배송비규정!$B$3:$B$32),0)+IFERROR(INDEX(지역추가비!$B$3:$B$42,MATCH($J1780,지역추가비!$A$3:$A$42,0)),0)))</f>
        <v/>
      </c>
      <c r="M1780" s="13" t="str">
        <f aca="false">IF($B1780="","",IF(COUNTIFS($B$3:$B1780,$B1780)&gt;1,"",$K1780+$L1780))</f>
        <v/>
      </c>
      <c r="N1780" s="14" t="str">
        <f aca="false">IF($B1780="","",COUNTIFS($B$3:$B1780,$B1780))</f>
        <v/>
      </c>
      <c r="O1780" s="14" t="str">
        <f aca="false">IF($B1780="","",$B1780&amp;"|"&amp;$N1780)</f>
        <v/>
      </c>
    </row>
    <row r="1781" customFormat="false" ht="15" hidden="false" customHeight="false" outlineLevel="0" collapsed="false">
      <c r="A1781" s="12"/>
      <c r="B1781" s="9"/>
      <c r="C1781" s="9"/>
      <c r="D1781" s="9"/>
      <c r="E1781" s="9"/>
      <c r="F1781" s="9"/>
      <c r="G1781" s="9"/>
      <c r="H1781" s="7"/>
      <c r="I1781" s="13" t="str">
        <f aca="false">IF(OR($G1781="",$H1781=""),"",ROUND($G1781*$H1781,0))</f>
        <v/>
      </c>
      <c r="J1781" s="8"/>
      <c r="K1781" s="13" t="str">
        <f aca="false">IF($B1781="","",SUMIFS($I$3:$I$2002,$B$3:$B$2002,$B1781))</f>
        <v/>
      </c>
      <c r="L1781" s="13" t="str">
        <f aca="false">IF($B1781="","",IF(COUNTIFS($B$3:$B1781,$B1781)&gt;1,0,IFERROR(LOOKUP($K1781,배송비규정!$A$3:$A$32,배송비규정!$B$3:$B$32),0)+IFERROR(INDEX(지역추가비!$B$3:$B$42,MATCH($J1781,지역추가비!$A$3:$A$42,0)),0)))</f>
        <v/>
      </c>
      <c r="M1781" s="13" t="str">
        <f aca="false">IF($B1781="","",IF(COUNTIFS($B$3:$B1781,$B1781)&gt;1,"",$K1781+$L1781))</f>
        <v/>
      </c>
      <c r="N1781" s="14" t="str">
        <f aca="false">IF($B1781="","",COUNTIFS($B$3:$B1781,$B1781))</f>
        <v/>
      </c>
      <c r="O1781" s="14" t="str">
        <f aca="false">IF($B1781="","",$B1781&amp;"|"&amp;$N1781)</f>
        <v/>
      </c>
    </row>
    <row r="1782" customFormat="false" ht="15" hidden="false" customHeight="false" outlineLevel="0" collapsed="false">
      <c r="A1782" s="12"/>
      <c r="B1782" s="9"/>
      <c r="C1782" s="9"/>
      <c r="D1782" s="9"/>
      <c r="E1782" s="9"/>
      <c r="F1782" s="9"/>
      <c r="G1782" s="9"/>
      <c r="H1782" s="7"/>
      <c r="I1782" s="13" t="str">
        <f aca="false">IF(OR($G1782="",$H1782=""),"",ROUND($G1782*$H1782,0))</f>
        <v/>
      </c>
      <c r="J1782" s="8"/>
      <c r="K1782" s="13" t="str">
        <f aca="false">IF($B1782="","",SUMIFS($I$3:$I$2002,$B$3:$B$2002,$B1782))</f>
        <v/>
      </c>
      <c r="L1782" s="13" t="str">
        <f aca="false">IF($B1782="","",IF(COUNTIFS($B$3:$B1782,$B1782)&gt;1,0,IFERROR(LOOKUP($K1782,배송비규정!$A$3:$A$32,배송비규정!$B$3:$B$32),0)+IFERROR(INDEX(지역추가비!$B$3:$B$42,MATCH($J1782,지역추가비!$A$3:$A$42,0)),0)))</f>
        <v/>
      </c>
      <c r="M1782" s="13" t="str">
        <f aca="false">IF($B1782="","",IF(COUNTIFS($B$3:$B1782,$B1782)&gt;1,"",$K1782+$L1782))</f>
        <v/>
      </c>
      <c r="N1782" s="14" t="str">
        <f aca="false">IF($B1782="","",COUNTIFS($B$3:$B1782,$B1782))</f>
        <v/>
      </c>
      <c r="O1782" s="14" t="str">
        <f aca="false">IF($B1782="","",$B1782&amp;"|"&amp;$N1782)</f>
        <v/>
      </c>
    </row>
    <row r="1783" customFormat="false" ht="15" hidden="false" customHeight="false" outlineLevel="0" collapsed="false">
      <c r="A1783" s="12"/>
      <c r="B1783" s="9"/>
      <c r="C1783" s="9"/>
      <c r="D1783" s="9"/>
      <c r="E1783" s="9"/>
      <c r="F1783" s="9"/>
      <c r="G1783" s="9"/>
      <c r="H1783" s="7"/>
      <c r="I1783" s="13" t="str">
        <f aca="false">IF(OR($G1783="",$H1783=""),"",ROUND($G1783*$H1783,0))</f>
        <v/>
      </c>
      <c r="J1783" s="8"/>
      <c r="K1783" s="13" t="str">
        <f aca="false">IF($B1783="","",SUMIFS($I$3:$I$2002,$B$3:$B$2002,$B1783))</f>
        <v/>
      </c>
      <c r="L1783" s="13" t="str">
        <f aca="false">IF($B1783="","",IF(COUNTIFS($B$3:$B1783,$B1783)&gt;1,0,IFERROR(LOOKUP($K1783,배송비규정!$A$3:$A$32,배송비규정!$B$3:$B$32),0)+IFERROR(INDEX(지역추가비!$B$3:$B$42,MATCH($J1783,지역추가비!$A$3:$A$42,0)),0)))</f>
        <v/>
      </c>
      <c r="M1783" s="13" t="str">
        <f aca="false">IF($B1783="","",IF(COUNTIFS($B$3:$B1783,$B1783)&gt;1,"",$K1783+$L1783))</f>
        <v/>
      </c>
      <c r="N1783" s="14" t="str">
        <f aca="false">IF($B1783="","",COUNTIFS($B$3:$B1783,$B1783))</f>
        <v/>
      </c>
      <c r="O1783" s="14" t="str">
        <f aca="false">IF($B1783="","",$B1783&amp;"|"&amp;$N1783)</f>
        <v/>
      </c>
    </row>
    <row r="1784" customFormat="false" ht="15" hidden="false" customHeight="false" outlineLevel="0" collapsed="false">
      <c r="A1784" s="12"/>
      <c r="B1784" s="9"/>
      <c r="C1784" s="9"/>
      <c r="D1784" s="9"/>
      <c r="E1784" s="9"/>
      <c r="F1784" s="9"/>
      <c r="G1784" s="9"/>
      <c r="H1784" s="7"/>
      <c r="I1784" s="13" t="str">
        <f aca="false">IF(OR($G1784="",$H1784=""),"",ROUND($G1784*$H1784,0))</f>
        <v/>
      </c>
      <c r="J1784" s="8"/>
      <c r="K1784" s="13" t="str">
        <f aca="false">IF($B1784="","",SUMIFS($I$3:$I$2002,$B$3:$B$2002,$B1784))</f>
        <v/>
      </c>
      <c r="L1784" s="13" t="str">
        <f aca="false">IF($B1784="","",IF(COUNTIFS($B$3:$B1784,$B1784)&gt;1,0,IFERROR(LOOKUP($K1784,배송비규정!$A$3:$A$32,배송비규정!$B$3:$B$32),0)+IFERROR(INDEX(지역추가비!$B$3:$B$42,MATCH($J1784,지역추가비!$A$3:$A$42,0)),0)))</f>
        <v/>
      </c>
      <c r="M1784" s="13" t="str">
        <f aca="false">IF($B1784="","",IF(COUNTIFS($B$3:$B1784,$B1784)&gt;1,"",$K1784+$L1784))</f>
        <v/>
      </c>
      <c r="N1784" s="14" t="str">
        <f aca="false">IF($B1784="","",COUNTIFS($B$3:$B1784,$B1784))</f>
        <v/>
      </c>
      <c r="O1784" s="14" t="str">
        <f aca="false">IF($B1784="","",$B1784&amp;"|"&amp;$N1784)</f>
        <v/>
      </c>
    </row>
    <row r="1785" customFormat="false" ht="15" hidden="false" customHeight="false" outlineLevel="0" collapsed="false">
      <c r="A1785" s="12"/>
      <c r="B1785" s="9"/>
      <c r="C1785" s="9"/>
      <c r="D1785" s="9"/>
      <c r="E1785" s="9"/>
      <c r="F1785" s="9"/>
      <c r="G1785" s="9"/>
      <c r="H1785" s="7"/>
      <c r="I1785" s="13" t="str">
        <f aca="false">IF(OR($G1785="",$H1785=""),"",ROUND($G1785*$H1785,0))</f>
        <v/>
      </c>
      <c r="J1785" s="8"/>
      <c r="K1785" s="13" t="str">
        <f aca="false">IF($B1785="","",SUMIFS($I$3:$I$2002,$B$3:$B$2002,$B1785))</f>
        <v/>
      </c>
      <c r="L1785" s="13" t="str">
        <f aca="false">IF($B1785="","",IF(COUNTIFS($B$3:$B1785,$B1785)&gt;1,0,IFERROR(LOOKUP($K1785,배송비규정!$A$3:$A$32,배송비규정!$B$3:$B$32),0)+IFERROR(INDEX(지역추가비!$B$3:$B$42,MATCH($J1785,지역추가비!$A$3:$A$42,0)),0)))</f>
        <v/>
      </c>
      <c r="M1785" s="13" t="str">
        <f aca="false">IF($B1785="","",IF(COUNTIFS($B$3:$B1785,$B1785)&gt;1,"",$K1785+$L1785))</f>
        <v/>
      </c>
      <c r="N1785" s="14" t="str">
        <f aca="false">IF($B1785="","",COUNTIFS($B$3:$B1785,$B1785))</f>
        <v/>
      </c>
      <c r="O1785" s="14" t="str">
        <f aca="false">IF($B1785="","",$B1785&amp;"|"&amp;$N1785)</f>
        <v/>
      </c>
    </row>
    <row r="1786" customFormat="false" ht="15" hidden="false" customHeight="false" outlineLevel="0" collapsed="false">
      <c r="A1786" s="12"/>
      <c r="B1786" s="9"/>
      <c r="C1786" s="9"/>
      <c r="D1786" s="9"/>
      <c r="E1786" s="9"/>
      <c r="F1786" s="9"/>
      <c r="G1786" s="9"/>
      <c r="H1786" s="7"/>
      <c r="I1786" s="13" t="str">
        <f aca="false">IF(OR($G1786="",$H1786=""),"",ROUND($G1786*$H1786,0))</f>
        <v/>
      </c>
      <c r="J1786" s="8"/>
      <c r="K1786" s="13" t="str">
        <f aca="false">IF($B1786="","",SUMIFS($I$3:$I$2002,$B$3:$B$2002,$B1786))</f>
        <v/>
      </c>
      <c r="L1786" s="13" t="str">
        <f aca="false">IF($B1786="","",IF(COUNTIFS($B$3:$B1786,$B1786)&gt;1,0,IFERROR(LOOKUP($K1786,배송비규정!$A$3:$A$32,배송비규정!$B$3:$B$32),0)+IFERROR(INDEX(지역추가비!$B$3:$B$42,MATCH($J1786,지역추가비!$A$3:$A$42,0)),0)))</f>
        <v/>
      </c>
      <c r="M1786" s="13" t="str">
        <f aca="false">IF($B1786="","",IF(COUNTIFS($B$3:$B1786,$B1786)&gt;1,"",$K1786+$L1786))</f>
        <v/>
      </c>
      <c r="N1786" s="14" t="str">
        <f aca="false">IF($B1786="","",COUNTIFS($B$3:$B1786,$B1786))</f>
        <v/>
      </c>
      <c r="O1786" s="14" t="str">
        <f aca="false">IF($B1786="","",$B1786&amp;"|"&amp;$N1786)</f>
        <v/>
      </c>
    </row>
    <row r="1787" customFormat="false" ht="15" hidden="false" customHeight="false" outlineLevel="0" collapsed="false">
      <c r="A1787" s="12"/>
      <c r="B1787" s="9"/>
      <c r="C1787" s="9"/>
      <c r="D1787" s="9"/>
      <c r="E1787" s="9"/>
      <c r="F1787" s="9"/>
      <c r="G1787" s="9"/>
      <c r="H1787" s="7"/>
      <c r="I1787" s="13" t="str">
        <f aca="false">IF(OR($G1787="",$H1787=""),"",ROUND($G1787*$H1787,0))</f>
        <v/>
      </c>
      <c r="J1787" s="8"/>
      <c r="K1787" s="13" t="str">
        <f aca="false">IF($B1787="","",SUMIFS($I$3:$I$2002,$B$3:$B$2002,$B1787))</f>
        <v/>
      </c>
      <c r="L1787" s="13" t="str">
        <f aca="false">IF($B1787="","",IF(COUNTIFS($B$3:$B1787,$B1787)&gt;1,0,IFERROR(LOOKUP($K1787,배송비규정!$A$3:$A$32,배송비규정!$B$3:$B$32),0)+IFERROR(INDEX(지역추가비!$B$3:$B$42,MATCH($J1787,지역추가비!$A$3:$A$42,0)),0)))</f>
        <v/>
      </c>
      <c r="M1787" s="13" t="str">
        <f aca="false">IF($B1787="","",IF(COUNTIFS($B$3:$B1787,$B1787)&gt;1,"",$K1787+$L1787))</f>
        <v/>
      </c>
      <c r="N1787" s="14" t="str">
        <f aca="false">IF($B1787="","",COUNTIFS($B$3:$B1787,$B1787))</f>
        <v/>
      </c>
      <c r="O1787" s="14" t="str">
        <f aca="false">IF($B1787="","",$B1787&amp;"|"&amp;$N1787)</f>
        <v/>
      </c>
    </row>
    <row r="1788" customFormat="false" ht="15" hidden="false" customHeight="false" outlineLevel="0" collapsed="false">
      <c r="A1788" s="12"/>
      <c r="B1788" s="9"/>
      <c r="C1788" s="9"/>
      <c r="D1788" s="9"/>
      <c r="E1788" s="9"/>
      <c r="F1788" s="9"/>
      <c r="G1788" s="9"/>
      <c r="H1788" s="7"/>
      <c r="I1788" s="13" t="str">
        <f aca="false">IF(OR($G1788="",$H1788=""),"",ROUND($G1788*$H1788,0))</f>
        <v/>
      </c>
      <c r="J1788" s="8"/>
      <c r="K1788" s="13" t="str">
        <f aca="false">IF($B1788="","",SUMIFS($I$3:$I$2002,$B$3:$B$2002,$B1788))</f>
        <v/>
      </c>
      <c r="L1788" s="13" t="str">
        <f aca="false">IF($B1788="","",IF(COUNTIFS($B$3:$B1788,$B1788)&gt;1,0,IFERROR(LOOKUP($K1788,배송비규정!$A$3:$A$32,배송비규정!$B$3:$B$32),0)+IFERROR(INDEX(지역추가비!$B$3:$B$42,MATCH($J1788,지역추가비!$A$3:$A$42,0)),0)))</f>
        <v/>
      </c>
      <c r="M1788" s="13" t="str">
        <f aca="false">IF($B1788="","",IF(COUNTIFS($B$3:$B1788,$B1788)&gt;1,"",$K1788+$L1788))</f>
        <v/>
      </c>
      <c r="N1788" s="14" t="str">
        <f aca="false">IF($B1788="","",COUNTIFS($B$3:$B1788,$B1788))</f>
        <v/>
      </c>
      <c r="O1788" s="14" t="str">
        <f aca="false">IF($B1788="","",$B1788&amp;"|"&amp;$N1788)</f>
        <v/>
      </c>
    </row>
    <row r="1789" customFormat="false" ht="15" hidden="false" customHeight="false" outlineLevel="0" collapsed="false">
      <c r="A1789" s="12"/>
      <c r="B1789" s="9"/>
      <c r="C1789" s="9"/>
      <c r="D1789" s="9"/>
      <c r="E1789" s="9"/>
      <c r="F1789" s="9"/>
      <c r="G1789" s="9"/>
      <c r="H1789" s="7"/>
      <c r="I1789" s="13" t="str">
        <f aca="false">IF(OR($G1789="",$H1789=""),"",ROUND($G1789*$H1789,0))</f>
        <v/>
      </c>
      <c r="J1789" s="8"/>
      <c r="K1789" s="13" t="str">
        <f aca="false">IF($B1789="","",SUMIFS($I$3:$I$2002,$B$3:$B$2002,$B1789))</f>
        <v/>
      </c>
      <c r="L1789" s="13" t="str">
        <f aca="false">IF($B1789="","",IF(COUNTIFS($B$3:$B1789,$B1789)&gt;1,0,IFERROR(LOOKUP($K1789,배송비규정!$A$3:$A$32,배송비규정!$B$3:$B$32),0)+IFERROR(INDEX(지역추가비!$B$3:$B$42,MATCH($J1789,지역추가비!$A$3:$A$42,0)),0)))</f>
        <v/>
      </c>
      <c r="M1789" s="13" t="str">
        <f aca="false">IF($B1789="","",IF(COUNTIFS($B$3:$B1789,$B1789)&gt;1,"",$K1789+$L1789))</f>
        <v/>
      </c>
      <c r="N1789" s="14" t="str">
        <f aca="false">IF($B1789="","",COUNTIFS($B$3:$B1789,$B1789))</f>
        <v/>
      </c>
      <c r="O1789" s="14" t="str">
        <f aca="false">IF($B1789="","",$B1789&amp;"|"&amp;$N1789)</f>
        <v/>
      </c>
    </row>
    <row r="1790" customFormat="false" ht="15" hidden="false" customHeight="false" outlineLevel="0" collapsed="false">
      <c r="A1790" s="12"/>
      <c r="B1790" s="9"/>
      <c r="C1790" s="9"/>
      <c r="D1790" s="9"/>
      <c r="E1790" s="9"/>
      <c r="F1790" s="9"/>
      <c r="G1790" s="9"/>
      <c r="H1790" s="7"/>
      <c r="I1790" s="13" t="str">
        <f aca="false">IF(OR($G1790="",$H1790=""),"",ROUND($G1790*$H1790,0))</f>
        <v/>
      </c>
      <c r="J1790" s="8"/>
      <c r="K1790" s="13" t="str">
        <f aca="false">IF($B1790="","",SUMIFS($I$3:$I$2002,$B$3:$B$2002,$B1790))</f>
        <v/>
      </c>
      <c r="L1790" s="13" t="str">
        <f aca="false">IF($B1790="","",IF(COUNTIFS($B$3:$B1790,$B1790)&gt;1,0,IFERROR(LOOKUP($K1790,배송비규정!$A$3:$A$32,배송비규정!$B$3:$B$32),0)+IFERROR(INDEX(지역추가비!$B$3:$B$42,MATCH($J1790,지역추가비!$A$3:$A$42,0)),0)))</f>
        <v/>
      </c>
      <c r="M1790" s="13" t="str">
        <f aca="false">IF($B1790="","",IF(COUNTIFS($B$3:$B1790,$B1790)&gt;1,"",$K1790+$L1790))</f>
        <v/>
      </c>
      <c r="N1790" s="14" t="str">
        <f aca="false">IF($B1790="","",COUNTIFS($B$3:$B1790,$B1790))</f>
        <v/>
      </c>
      <c r="O1790" s="14" t="str">
        <f aca="false">IF($B1790="","",$B1790&amp;"|"&amp;$N1790)</f>
        <v/>
      </c>
    </row>
    <row r="1791" customFormat="false" ht="15" hidden="false" customHeight="false" outlineLevel="0" collapsed="false">
      <c r="A1791" s="12"/>
      <c r="B1791" s="9"/>
      <c r="C1791" s="9"/>
      <c r="D1791" s="9"/>
      <c r="E1791" s="9"/>
      <c r="F1791" s="9"/>
      <c r="G1791" s="9"/>
      <c r="H1791" s="7"/>
      <c r="I1791" s="13" t="str">
        <f aca="false">IF(OR($G1791="",$H1791=""),"",ROUND($G1791*$H1791,0))</f>
        <v/>
      </c>
      <c r="J1791" s="8"/>
      <c r="K1791" s="13" t="str">
        <f aca="false">IF($B1791="","",SUMIFS($I$3:$I$2002,$B$3:$B$2002,$B1791))</f>
        <v/>
      </c>
      <c r="L1791" s="13" t="str">
        <f aca="false">IF($B1791="","",IF(COUNTIFS($B$3:$B1791,$B1791)&gt;1,0,IFERROR(LOOKUP($K1791,배송비규정!$A$3:$A$32,배송비규정!$B$3:$B$32),0)+IFERROR(INDEX(지역추가비!$B$3:$B$42,MATCH($J1791,지역추가비!$A$3:$A$42,0)),0)))</f>
        <v/>
      </c>
      <c r="M1791" s="13" t="str">
        <f aca="false">IF($B1791="","",IF(COUNTIFS($B$3:$B1791,$B1791)&gt;1,"",$K1791+$L1791))</f>
        <v/>
      </c>
      <c r="N1791" s="14" t="str">
        <f aca="false">IF($B1791="","",COUNTIFS($B$3:$B1791,$B1791))</f>
        <v/>
      </c>
      <c r="O1791" s="14" t="str">
        <f aca="false">IF($B1791="","",$B1791&amp;"|"&amp;$N1791)</f>
        <v/>
      </c>
    </row>
    <row r="1792" customFormat="false" ht="15" hidden="false" customHeight="false" outlineLevel="0" collapsed="false">
      <c r="A1792" s="12"/>
      <c r="B1792" s="9"/>
      <c r="C1792" s="9"/>
      <c r="D1792" s="9"/>
      <c r="E1792" s="9"/>
      <c r="F1792" s="9"/>
      <c r="G1792" s="9"/>
      <c r="H1792" s="7"/>
      <c r="I1792" s="13" t="str">
        <f aca="false">IF(OR($G1792="",$H1792=""),"",ROUND($G1792*$H1792,0))</f>
        <v/>
      </c>
      <c r="J1792" s="8"/>
      <c r="K1792" s="13" t="str">
        <f aca="false">IF($B1792="","",SUMIFS($I$3:$I$2002,$B$3:$B$2002,$B1792))</f>
        <v/>
      </c>
      <c r="L1792" s="13" t="str">
        <f aca="false">IF($B1792="","",IF(COUNTIFS($B$3:$B1792,$B1792)&gt;1,0,IFERROR(LOOKUP($K1792,배송비규정!$A$3:$A$32,배송비규정!$B$3:$B$32),0)+IFERROR(INDEX(지역추가비!$B$3:$B$42,MATCH($J1792,지역추가비!$A$3:$A$42,0)),0)))</f>
        <v/>
      </c>
      <c r="M1792" s="13" t="str">
        <f aca="false">IF($B1792="","",IF(COUNTIFS($B$3:$B1792,$B1792)&gt;1,"",$K1792+$L1792))</f>
        <v/>
      </c>
      <c r="N1792" s="14" t="str">
        <f aca="false">IF($B1792="","",COUNTIFS($B$3:$B1792,$B1792))</f>
        <v/>
      </c>
      <c r="O1792" s="14" t="str">
        <f aca="false">IF($B1792="","",$B1792&amp;"|"&amp;$N1792)</f>
        <v/>
      </c>
    </row>
    <row r="1793" customFormat="false" ht="15" hidden="false" customHeight="false" outlineLevel="0" collapsed="false">
      <c r="A1793" s="12"/>
      <c r="B1793" s="9"/>
      <c r="C1793" s="9"/>
      <c r="D1793" s="9"/>
      <c r="E1793" s="9"/>
      <c r="F1793" s="9"/>
      <c r="G1793" s="9"/>
      <c r="H1793" s="7"/>
      <c r="I1793" s="13" t="str">
        <f aca="false">IF(OR($G1793="",$H1793=""),"",ROUND($G1793*$H1793,0))</f>
        <v/>
      </c>
      <c r="J1793" s="8"/>
      <c r="K1793" s="13" t="str">
        <f aca="false">IF($B1793="","",SUMIFS($I$3:$I$2002,$B$3:$B$2002,$B1793))</f>
        <v/>
      </c>
      <c r="L1793" s="13" t="str">
        <f aca="false">IF($B1793="","",IF(COUNTIFS($B$3:$B1793,$B1793)&gt;1,0,IFERROR(LOOKUP($K1793,배송비규정!$A$3:$A$32,배송비규정!$B$3:$B$32),0)+IFERROR(INDEX(지역추가비!$B$3:$B$42,MATCH($J1793,지역추가비!$A$3:$A$42,0)),0)))</f>
        <v/>
      </c>
      <c r="M1793" s="13" t="str">
        <f aca="false">IF($B1793="","",IF(COUNTIFS($B$3:$B1793,$B1793)&gt;1,"",$K1793+$L1793))</f>
        <v/>
      </c>
      <c r="N1793" s="14" t="str">
        <f aca="false">IF($B1793="","",COUNTIFS($B$3:$B1793,$B1793))</f>
        <v/>
      </c>
      <c r="O1793" s="14" t="str">
        <f aca="false">IF($B1793="","",$B1793&amp;"|"&amp;$N1793)</f>
        <v/>
      </c>
    </row>
    <row r="1794" customFormat="false" ht="15" hidden="false" customHeight="false" outlineLevel="0" collapsed="false">
      <c r="A1794" s="12"/>
      <c r="B1794" s="9"/>
      <c r="C1794" s="9"/>
      <c r="D1794" s="9"/>
      <c r="E1794" s="9"/>
      <c r="F1794" s="9"/>
      <c r="G1794" s="9"/>
      <c r="H1794" s="7"/>
      <c r="I1794" s="13" t="str">
        <f aca="false">IF(OR($G1794="",$H1794=""),"",ROUND($G1794*$H1794,0))</f>
        <v/>
      </c>
      <c r="J1794" s="8"/>
      <c r="K1794" s="13" t="str">
        <f aca="false">IF($B1794="","",SUMIFS($I$3:$I$2002,$B$3:$B$2002,$B1794))</f>
        <v/>
      </c>
      <c r="L1794" s="13" t="str">
        <f aca="false">IF($B1794="","",IF(COUNTIFS($B$3:$B1794,$B1794)&gt;1,0,IFERROR(LOOKUP($K1794,배송비규정!$A$3:$A$32,배송비규정!$B$3:$B$32),0)+IFERROR(INDEX(지역추가비!$B$3:$B$42,MATCH($J1794,지역추가비!$A$3:$A$42,0)),0)))</f>
        <v/>
      </c>
      <c r="M1794" s="13" t="str">
        <f aca="false">IF($B1794="","",IF(COUNTIFS($B$3:$B1794,$B1794)&gt;1,"",$K1794+$L1794))</f>
        <v/>
      </c>
      <c r="N1794" s="14" t="str">
        <f aca="false">IF($B1794="","",COUNTIFS($B$3:$B1794,$B1794))</f>
        <v/>
      </c>
      <c r="O1794" s="14" t="str">
        <f aca="false">IF($B1794="","",$B1794&amp;"|"&amp;$N1794)</f>
        <v/>
      </c>
    </row>
    <row r="1795" customFormat="false" ht="15" hidden="false" customHeight="false" outlineLevel="0" collapsed="false">
      <c r="A1795" s="12"/>
      <c r="B1795" s="9"/>
      <c r="C1795" s="9"/>
      <c r="D1795" s="9"/>
      <c r="E1795" s="9"/>
      <c r="F1795" s="9"/>
      <c r="G1795" s="9"/>
      <c r="H1795" s="7"/>
      <c r="I1795" s="13" t="str">
        <f aca="false">IF(OR($G1795="",$H1795=""),"",ROUND($G1795*$H1795,0))</f>
        <v/>
      </c>
      <c r="J1795" s="8"/>
      <c r="K1795" s="13" t="str">
        <f aca="false">IF($B1795="","",SUMIFS($I$3:$I$2002,$B$3:$B$2002,$B1795))</f>
        <v/>
      </c>
      <c r="L1795" s="13" t="str">
        <f aca="false">IF($B1795="","",IF(COUNTIFS($B$3:$B1795,$B1795)&gt;1,0,IFERROR(LOOKUP($K1795,배송비규정!$A$3:$A$32,배송비규정!$B$3:$B$32),0)+IFERROR(INDEX(지역추가비!$B$3:$B$42,MATCH($J1795,지역추가비!$A$3:$A$42,0)),0)))</f>
        <v/>
      </c>
      <c r="M1795" s="13" t="str">
        <f aca="false">IF($B1795="","",IF(COUNTIFS($B$3:$B1795,$B1795)&gt;1,"",$K1795+$L1795))</f>
        <v/>
      </c>
      <c r="N1795" s="14" t="str">
        <f aca="false">IF($B1795="","",COUNTIFS($B$3:$B1795,$B1795))</f>
        <v/>
      </c>
      <c r="O1795" s="14" t="str">
        <f aca="false">IF($B1795="","",$B1795&amp;"|"&amp;$N1795)</f>
        <v/>
      </c>
    </row>
    <row r="1796" customFormat="false" ht="15" hidden="false" customHeight="false" outlineLevel="0" collapsed="false">
      <c r="A1796" s="12"/>
      <c r="B1796" s="9"/>
      <c r="C1796" s="9"/>
      <c r="D1796" s="9"/>
      <c r="E1796" s="9"/>
      <c r="F1796" s="9"/>
      <c r="G1796" s="9"/>
      <c r="H1796" s="7"/>
      <c r="I1796" s="13" t="str">
        <f aca="false">IF(OR($G1796="",$H1796=""),"",ROUND($G1796*$H1796,0))</f>
        <v/>
      </c>
      <c r="J1796" s="8"/>
      <c r="K1796" s="13" t="str">
        <f aca="false">IF($B1796="","",SUMIFS($I$3:$I$2002,$B$3:$B$2002,$B1796))</f>
        <v/>
      </c>
      <c r="L1796" s="13" t="str">
        <f aca="false">IF($B1796="","",IF(COUNTIFS($B$3:$B1796,$B1796)&gt;1,0,IFERROR(LOOKUP($K1796,배송비규정!$A$3:$A$32,배송비규정!$B$3:$B$32),0)+IFERROR(INDEX(지역추가비!$B$3:$B$42,MATCH($J1796,지역추가비!$A$3:$A$42,0)),0)))</f>
        <v/>
      </c>
      <c r="M1796" s="13" t="str">
        <f aca="false">IF($B1796="","",IF(COUNTIFS($B$3:$B1796,$B1796)&gt;1,"",$K1796+$L1796))</f>
        <v/>
      </c>
      <c r="N1796" s="14" t="str">
        <f aca="false">IF($B1796="","",COUNTIFS($B$3:$B1796,$B1796))</f>
        <v/>
      </c>
      <c r="O1796" s="14" t="str">
        <f aca="false">IF($B1796="","",$B1796&amp;"|"&amp;$N1796)</f>
        <v/>
      </c>
    </row>
    <row r="1797" customFormat="false" ht="15" hidden="false" customHeight="false" outlineLevel="0" collapsed="false">
      <c r="A1797" s="12"/>
      <c r="B1797" s="9"/>
      <c r="C1797" s="9"/>
      <c r="D1797" s="9"/>
      <c r="E1797" s="9"/>
      <c r="F1797" s="9"/>
      <c r="G1797" s="9"/>
      <c r="H1797" s="7"/>
      <c r="I1797" s="13" t="str">
        <f aca="false">IF(OR($G1797="",$H1797=""),"",ROUND($G1797*$H1797,0))</f>
        <v/>
      </c>
      <c r="J1797" s="8"/>
      <c r="K1797" s="13" t="str">
        <f aca="false">IF($B1797="","",SUMIFS($I$3:$I$2002,$B$3:$B$2002,$B1797))</f>
        <v/>
      </c>
      <c r="L1797" s="13" t="str">
        <f aca="false">IF($B1797="","",IF(COUNTIFS($B$3:$B1797,$B1797)&gt;1,0,IFERROR(LOOKUP($K1797,배송비규정!$A$3:$A$32,배송비규정!$B$3:$B$32),0)+IFERROR(INDEX(지역추가비!$B$3:$B$42,MATCH($J1797,지역추가비!$A$3:$A$42,0)),0)))</f>
        <v/>
      </c>
      <c r="M1797" s="13" t="str">
        <f aca="false">IF($B1797="","",IF(COUNTIFS($B$3:$B1797,$B1797)&gt;1,"",$K1797+$L1797))</f>
        <v/>
      </c>
      <c r="N1797" s="14" t="str">
        <f aca="false">IF($B1797="","",COUNTIFS($B$3:$B1797,$B1797))</f>
        <v/>
      </c>
      <c r="O1797" s="14" t="str">
        <f aca="false">IF($B1797="","",$B1797&amp;"|"&amp;$N1797)</f>
        <v/>
      </c>
    </row>
    <row r="1798" customFormat="false" ht="15" hidden="false" customHeight="false" outlineLevel="0" collapsed="false">
      <c r="A1798" s="12"/>
      <c r="B1798" s="9"/>
      <c r="C1798" s="9"/>
      <c r="D1798" s="9"/>
      <c r="E1798" s="9"/>
      <c r="F1798" s="9"/>
      <c r="G1798" s="9"/>
      <c r="H1798" s="7"/>
      <c r="I1798" s="13" t="str">
        <f aca="false">IF(OR($G1798="",$H1798=""),"",ROUND($G1798*$H1798,0))</f>
        <v/>
      </c>
      <c r="J1798" s="8"/>
      <c r="K1798" s="13" t="str">
        <f aca="false">IF($B1798="","",SUMIFS($I$3:$I$2002,$B$3:$B$2002,$B1798))</f>
        <v/>
      </c>
      <c r="L1798" s="13" t="str">
        <f aca="false">IF($B1798="","",IF(COUNTIFS($B$3:$B1798,$B1798)&gt;1,0,IFERROR(LOOKUP($K1798,배송비규정!$A$3:$A$32,배송비규정!$B$3:$B$32),0)+IFERROR(INDEX(지역추가비!$B$3:$B$42,MATCH($J1798,지역추가비!$A$3:$A$42,0)),0)))</f>
        <v/>
      </c>
      <c r="M1798" s="13" t="str">
        <f aca="false">IF($B1798="","",IF(COUNTIFS($B$3:$B1798,$B1798)&gt;1,"",$K1798+$L1798))</f>
        <v/>
      </c>
      <c r="N1798" s="14" t="str">
        <f aca="false">IF($B1798="","",COUNTIFS($B$3:$B1798,$B1798))</f>
        <v/>
      </c>
      <c r="O1798" s="14" t="str">
        <f aca="false">IF($B1798="","",$B1798&amp;"|"&amp;$N1798)</f>
        <v/>
      </c>
    </row>
    <row r="1799" customFormat="false" ht="15" hidden="false" customHeight="false" outlineLevel="0" collapsed="false">
      <c r="A1799" s="12"/>
      <c r="B1799" s="9"/>
      <c r="C1799" s="9"/>
      <c r="D1799" s="9"/>
      <c r="E1799" s="9"/>
      <c r="F1799" s="9"/>
      <c r="G1799" s="9"/>
      <c r="H1799" s="7"/>
      <c r="I1799" s="13" t="str">
        <f aca="false">IF(OR($G1799="",$H1799=""),"",ROUND($G1799*$H1799,0))</f>
        <v/>
      </c>
      <c r="J1799" s="8"/>
      <c r="K1799" s="13" t="str">
        <f aca="false">IF($B1799="","",SUMIFS($I$3:$I$2002,$B$3:$B$2002,$B1799))</f>
        <v/>
      </c>
      <c r="L1799" s="13" t="str">
        <f aca="false">IF($B1799="","",IF(COUNTIFS($B$3:$B1799,$B1799)&gt;1,0,IFERROR(LOOKUP($K1799,배송비규정!$A$3:$A$32,배송비규정!$B$3:$B$32),0)+IFERROR(INDEX(지역추가비!$B$3:$B$42,MATCH($J1799,지역추가비!$A$3:$A$42,0)),0)))</f>
        <v/>
      </c>
      <c r="M1799" s="13" t="str">
        <f aca="false">IF($B1799="","",IF(COUNTIFS($B$3:$B1799,$B1799)&gt;1,"",$K1799+$L1799))</f>
        <v/>
      </c>
      <c r="N1799" s="14" t="str">
        <f aca="false">IF($B1799="","",COUNTIFS($B$3:$B1799,$B1799))</f>
        <v/>
      </c>
      <c r="O1799" s="14" t="str">
        <f aca="false">IF($B1799="","",$B1799&amp;"|"&amp;$N1799)</f>
        <v/>
      </c>
    </row>
    <row r="1800" customFormat="false" ht="15" hidden="false" customHeight="false" outlineLevel="0" collapsed="false">
      <c r="A1800" s="12"/>
      <c r="B1800" s="9"/>
      <c r="C1800" s="9"/>
      <c r="D1800" s="9"/>
      <c r="E1800" s="9"/>
      <c r="F1800" s="9"/>
      <c r="G1800" s="9"/>
      <c r="H1800" s="7"/>
      <c r="I1800" s="13" t="str">
        <f aca="false">IF(OR($G1800="",$H1800=""),"",ROUND($G1800*$H1800,0))</f>
        <v/>
      </c>
      <c r="J1800" s="8"/>
      <c r="K1800" s="13" t="str">
        <f aca="false">IF($B1800="","",SUMIFS($I$3:$I$2002,$B$3:$B$2002,$B1800))</f>
        <v/>
      </c>
      <c r="L1800" s="13" t="str">
        <f aca="false">IF($B1800="","",IF(COUNTIFS($B$3:$B1800,$B1800)&gt;1,0,IFERROR(LOOKUP($K1800,배송비규정!$A$3:$A$32,배송비규정!$B$3:$B$32),0)+IFERROR(INDEX(지역추가비!$B$3:$B$42,MATCH($J1800,지역추가비!$A$3:$A$42,0)),0)))</f>
        <v/>
      </c>
      <c r="M1800" s="13" t="str">
        <f aca="false">IF($B1800="","",IF(COUNTIFS($B$3:$B1800,$B1800)&gt;1,"",$K1800+$L1800))</f>
        <v/>
      </c>
      <c r="N1800" s="14" t="str">
        <f aca="false">IF($B1800="","",COUNTIFS($B$3:$B1800,$B1800))</f>
        <v/>
      </c>
      <c r="O1800" s="14" t="str">
        <f aca="false">IF($B1800="","",$B1800&amp;"|"&amp;$N1800)</f>
        <v/>
      </c>
    </row>
    <row r="1801" customFormat="false" ht="15" hidden="false" customHeight="false" outlineLevel="0" collapsed="false">
      <c r="A1801" s="12"/>
      <c r="B1801" s="9"/>
      <c r="C1801" s="9"/>
      <c r="D1801" s="9"/>
      <c r="E1801" s="9"/>
      <c r="F1801" s="9"/>
      <c r="G1801" s="9"/>
      <c r="H1801" s="7"/>
      <c r="I1801" s="13" t="str">
        <f aca="false">IF(OR($G1801="",$H1801=""),"",ROUND($G1801*$H1801,0))</f>
        <v/>
      </c>
      <c r="J1801" s="8"/>
      <c r="K1801" s="13" t="str">
        <f aca="false">IF($B1801="","",SUMIFS($I$3:$I$2002,$B$3:$B$2002,$B1801))</f>
        <v/>
      </c>
      <c r="L1801" s="13" t="str">
        <f aca="false">IF($B1801="","",IF(COUNTIFS($B$3:$B1801,$B1801)&gt;1,0,IFERROR(LOOKUP($K1801,배송비규정!$A$3:$A$32,배송비규정!$B$3:$B$32),0)+IFERROR(INDEX(지역추가비!$B$3:$B$42,MATCH($J1801,지역추가비!$A$3:$A$42,0)),0)))</f>
        <v/>
      </c>
      <c r="M1801" s="13" t="str">
        <f aca="false">IF($B1801="","",IF(COUNTIFS($B$3:$B1801,$B1801)&gt;1,"",$K1801+$L1801))</f>
        <v/>
      </c>
      <c r="N1801" s="14" t="str">
        <f aca="false">IF($B1801="","",COUNTIFS($B$3:$B1801,$B1801))</f>
        <v/>
      </c>
      <c r="O1801" s="14" t="str">
        <f aca="false">IF($B1801="","",$B1801&amp;"|"&amp;$N1801)</f>
        <v/>
      </c>
    </row>
    <row r="1802" customFormat="false" ht="15" hidden="false" customHeight="false" outlineLevel="0" collapsed="false">
      <c r="A1802" s="12"/>
      <c r="B1802" s="9"/>
      <c r="C1802" s="9"/>
      <c r="D1802" s="9"/>
      <c r="E1802" s="9"/>
      <c r="F1802" s="9"/>
      <c r="G1802" s="9"/>
      <c r="H1802" s="7"/>
      <c r="I1802" s="13" t="str">
        <f aca="false">IF(OR($G1802="",$H1802=""),"",ROUND($G1802*$H1802,0))</f>
        <v/>
      </c>
      <c r="J1802" s="8"/>
      <c r="K1802" s="13" t="str">
        <f aca="false">IF($B1802="","",SUMIFS($I$3:$I$2002,$B$3:$B$2002,$B1802))</f>
        <v/>
      </c>
      <c r="L1802" s="13" t="str">
        <f aca="false">IF($B1802="","",IF(COUNTIFS($B$3:$B1802,$B1802)&gt;1,0,IFERROR(LOOKUP($K1802,배송비규정!$A$3:$A$32,배송비규정!$B$3:$B$32),0)+IFERROR(INDEX(지역추가비!$B$3:$B$42,MATCH($J1802,지역추가비!$A$3:$A$42,0)),0)))</f>
        <v/>
      </c>
      <c r="M1802" s="13" t="str">
        <f aca="false">IF($B1802="","",IF(COUNTIFS($B$3:$B1802,$B1802)&gt;1,"",$K1802+$L1802))</f>
        <v/>
      </c>
      <c r="N1802" s="14" t="str">
        <f aca="false">IF($B1802="","",COUNTIFS($B$3:$B1802,$B1802))</f>
        <v/>
      </c>
      <c r="O1802" s="14" t="str">
        <f aca="false">IF($B1802="","",$B1802&amp;"|"&amp;$N1802)</f>
        <v/>
      </c>
    </row>
    <row r="1803" customFormat="false" ht="15" hidden="false" customHeight="false" outlineLevel="0" collapsed="false">
      <c r="A1803" s="12"/>
      <c r="B1803" s="9"/>
      <c r="C1803" s="9"/>
      <c r="D1803" s="9"/>
      <c r="E1803" s="9"/>
      <c r="F1803" s="9"/>
      <c r="G1803" s="9"/>
      <c r="H1803" s="7"/>
      <c r="I1803" s="13" t="str">
        <f aca="false">IF(OR($G1803="",$H1803=""),"",ROUND($G1803*$H1803,0))</f>
        <v/>
      </c>
      <c r="J1803" s="8"/>
      <c r="K1803" s="13" t="str">
        <f aca="false">IF($B1803="","",SUMIFS($I$3:$I$2002,$B$3:$B$2002,$B1803))</f>
        <v/>
      </c>
      <c r="L1803" s="13" t="str">
        <f aca="false">IF($B1803="","",IF(COUNTIFS($B$3:$B1803,$B1803)&gt;1,0,IFERROR(LOOKUP($K1803,배송비규정!$A$3:$A$32,배송비규정!$B$3:$B$32),0)+IFERROR(INDEX(지역추가비!$B$3:$B$42,MATCH($J1803,지역추가비!$A$3:$A$42,0)),0)))</f>
        <v/>
      </c>
      <c r="M1803" s="13" t="str">
        <f aca="false">IF($B1803="","",IF(COUNTIFS($B$3:$B1803,$B1803)&gt;1,"",$K1803+$L1803))</f>
        <v/>
      </c>
      <c r="N1803" s="14" t="str">
        <f aca="false">IF($B1803="","",COUNTIFS($B$3:$B1803,$B1803))</f>
        <v/>
      </c>
      <c r="O1803" s="14" t="str">
        <f aca="false">IF($B1803="","",$B1803&amp;"|"&amp;$N1803)</f>
        <v/>
      </c>
    </row>
    <row r="1804" customFormat="false" ht="15" hidden="false" customHeight="false" outlineLevel="0" collapsed="false">
      <c r="A1804" s="12"/>
      <c r="B1804" s="9"/>
      <c r="C1804" s="9"/>
      <c r="D1804" s="9"/>
      <c r="E1804" s="9"/>
      <c r="F1804" s="9"/>
      <c r="G1804" s="9"/>
      <c r="H1804" s="7"/>
      <c r="I1804" s="13" t="str">
        <f aca="false">IF(OR($G1804="",$H1804=""),"",ROUND($G1804*$H1804,0))</f>
        <v/>
      </c>
      <c r="J1804" s="8"/>
      <c r="K1804" s="13" t="str">
        <f aca="false">IF($B1804="","",SUMIFS($I$3:$I$2002,$B$3:$B$2002,$B1804))</f>
        <v/>
      </c>
      <c r="L1804" s="13" t="str">
        <f aca="false">IF($B1804="","",IF(COUNTIFS($B$3:$B1804,$B1804)&gt;1,0,IFERROR(LOOKUP($K1804,배송비규정!$A$3:$A$32,배송비규정!$B$3:$B$32),0)+IFERROR(INDEX(지역추가비!$B$3:$B$42,MATCH($J1804,지역추가비!$A$3:$A$42,0)),0)))</f>
        <v/>
      </c>
      <c r="M1804" s="13" t="str">
        <f aca="false">IF($B1804="","",IF(COUNTIFS($B$3:$B1804,$B1804)&gt;1,"",$K1804+$L1804))</f>
        <v/>
      </c>
      <c r="N1804" s="14" t="str">
        <f aca="false">IF($B1804="","",COUNTIFS($B$3:$B1804,$B1804))</f>
        <v/>
      </c>
      <c r="O1804" s="14" t="str">
        <f aca="false">IF($B1804="","",$B1804&amp;"|"&amp;$N1804)</f>
        <v/>
      </c>
    </row>
    <row r="1805" customFormat="false" ht="15" hidden="false" customHeight="false" outlineLevel="0" collapsed="false">
      <c r="A1805" s="12"/>
      <c r="B1805" s="9"/>
      <c r="C1805" s="9"/>
      <c r="D1805" s="9"/>
      <c r="E1805" s="9"/>
      <c r="F1805" s="9"/>
      <c r="G1805" s="9"/>
      <c r="H1805" s="7"/>
      <c r="I1805" s="13" t="str">
        <f aca="false">IF(OR($G1805="",$H1805=""),"",ROUND($G1805*$H1805,0))</f>
        <v/>
      </c>
      <c r="J1805" s="8"/>
      <c r="K1805" s="13" t="str">
        <f aca="false">IF($B1805="","",SUMIFS($I$3:$I$2002,$B$3:$B$2002,$B1805))</f>
        <v/>
      </c>
      <c r="L1805" s="13" t="str">
        <f aca="false">IF($B1805="","",IF(COUNTIFS($B$3:$B1805,$B1805)&gt;1,0,IFERROR(LOOKUP($K1805,배송비규정!$A$3:$A$32,배송비규정!$B$3:$B$32),0)+IFERROR(INDEX(지역추가비!$B$3:$B$42,MATCH($J1805,지역추가비!$A$3:$A$42,0)),0)))</f>
        <v/>
      </c>
      <c r="M1805" s="13" t="str">
        <f aca="false">IF($B1805="","",IF(COUNTIFS($B$3:$B1805,$B1805)&gt;1,"",$K1805+$L1805))</f>
        <v/>
      </c>
      <c r="N1805" s="14" t="str">
        <f aca="false">IF($B1805="","",COUNTIFS($B$3:$B1805,$B1805))</f>
        <v/>
      </c>
      <c r="O1805" s="14" t="str">
        <f aca="false">IF($B1805="","",$B1805&amp;"|"&amp;$N1805)</f>
        <v/>
      </c>
    </row>
    <row r="1806" customFormat="false" ht="15" hidden="false" customHeight="false" outlineLevel="0" collapsed="false">
      <c r="A1806" s="12"/>
      <c r="B1806" s="9"/>
      <c r="C1806" s="9"/>
      <c r="D1806" s="9"/>
      <c r="E1806" s="9"/>
      <c r="F1806" s="9"/>
      <c r="G1806" s="9"/>
      <c r="H1806" s="7"/>
      <c r="I1806" s="13" t="str">
        <f aca="false">IF(OR($G1806="",$H1806=""),"",ROUND($G1806*$H1806,0))</f>
        <v/>
      </c>
      <c r="J1806" s="8"/>
      <c r="K1806" s="13" t="str">
        <f aca="false">IF($B1806="","",SUMIFS($I$3:$I$2002,$B$3:$B$2002,$B1806))</f>
        <v/>
      </c>
      <c r="L1806" s="13" t="str">
        <f aca="false">IF($B1806="","",IF(COUNTIFS($B$3:$B1806,$B1806)&gt;1,0,IFERROR(LOOKUP($K1806,배송비규정!$A$3:$A$32,배송비규정!$B$3:$B$32),0)+IFERROR(INDEX(지역추가비!$B$3:$B$42,MATCH($J1806,지역추가비!$A$3:$A$42,0)),0)))</f>
        <v/>
      </c>
      <c r="M1806" s="13" t="str">
        <f aca="false">IF($B1806="","",IF(COUNTIFS($B$3:$B1806,$B1806)&gt;1,"",$K1806+$L1806))</f>
        <v/>
      </c>
      <c r="N1806" s="14" t="str">
        <f aca="false">IF($B1806="","",COUNTIFS($B$3:$B1806,$B1806))</f>
        <v/>
      </c>
      <c r="O1806" s="14" t="str">
        <f aca="false">IF($B1806="","",$B1806&amp;"|"&amp;$N1806)</f>
        <v/>
      </c>
    </row>
    <row r="1807" customFormat="false" ht="15" hidden="false" customHeight="false" outlineLevel="0" collapsed="false">
      <c r="A1807" s="12"/>
      <c r="B1807" s="9"/>
      <c r="C1807" s="9"/>
      <c r="D1807" s="9"/>
      <c r="E1807" s="9"/>
      <c r="F1807" s="9"/>
      <c r="G1807" s="9"/>
      <c r="H1807" s="7"/>
      <c r="I1807" s="13" t="str">
        <f aca="false">IF(OR($G1807="",$H1807=""),"",ROUND($G1807*$H1807,0))</f>
        <v/>
      </c>
      <c r="J1807" s="8"/>
      <c r="K1807" s="13" t="str">
        <f aca="false">IF($B1807="","",SUMIFS($I$3:$I$2002,$B$3:$B$2002,$B1807))</f>
        <v/>
      </c>
      <c r="L1807" s="13" t="str">
        <f aca="false">IF($B1807="","",IF(COUNTIFS($B$3:$B1807,$B1807)&gt;1,0,IFERROR(LOOKUP($K1807,배송비규정!$A$3:$A$32,배송비규정!$B$3:$B$32),0)+IFERROR(INDEX(지역추가비!$B$3:$B$42,MATCH($J1807,지역추가비!$A$3:$A$42,0)),0)))</f>
        <v/>
      </c>
      <c r="M1807" s="13" t="str">
        <f aca="false">IF($B1807="","",IF(COUNTIFS($B$3:$B1807,$B1807)&gt;1,"",$K1807+$L1807))</f>
        <v/>
      </c>
      <c r="N1807" s="14" t="str">
        <f aca="false">IF($B1807="","",COUNTIFS($B$3:$B1807,$B1807))</f>
        <v/>
      </c>
      <c r="O1807" s="14" t="str">
        <f aca="false">IF($B1807="","",$B1807&amp;"|"&amp;$N1807)</f>
        <v/>
      </c>
    </row>
    <row r="1808" customFormat="false" ht="15" hidden="false" customHeight="false" outlineLevel="0" collapsed="false">
      <c r="A1808" s="12"/>
      <c r="B1808" s="9"/>
      <c r="C1808" s="9"/>
      <c r="D1808" s="9"/>
      <c r="E1808" s="9"/>
      <c r="F1808" s="9"/>
      <c r="G1808" s="9"/>
      <c r="H1808" s="7"/>
      <c r="I1808" s="13" t="str">
        <f aca="false">IF(OR($G1808="",$H1808=""),"",ROUND($G1808*$H1808,0))</f>
        <v/>
      </c>
      <c r="J1808" s="8"/>
      <c r="K1808" s="13" t="str">
        <f aca="false">IF($B1808="","",SUMIFS($I$3:$I$2002,$B$3:$B$2002,$B1808))</f>
        <v/>
      </c>
      <c r="L1808" s="13" t="str">
        <f aca="false">IF($B1808="","",IF(COUNTIFS($B$3:$B1808,$B1808)&gt;1,0,IFERROR(LOOKUP($K1808,배송비규정!$A$3:$A$32,배송비규정!$B$3:$B$32),0)+IFERROR(INDEX(지역추가비!$B$3:$B$42,MATCH($J1808,지역추가비!$A$3:$A$42,0)),0)))</f>
        <v/>
      </c>
      <c r="M1808" s="13" t="str">
        <f aca="false">IF($B1808="","",IF(COUNTIFS($B$3:$B1808,$B1808)&gt;1,"",$K1808+$L1808))</f>
        <v/>
      </c>
      <c r="N1808" s="14" t="str">
        <f aca="false">IF($B1808="","",COUNTIFS($B$3:$B1808,$B1808))</f>
        <v/>
      </c>
      <c r="O1808" s="14" t="str">
        <f aca="false">IF($B1808="","",$B1808&amp;"|"&amp;$N1808)</f>
        <v/>
      </c>
    </row>
    <row r="1809" customFormat="false" ht="15" hidden="false" customHeight="false" outlineLevel="0" collapsed="false">
      <c r="A1809" s="12"/>
      <c r="B1809" s="9"/>
      <c r="C1809" s="9"/>
      <c r="D1809" s="9"/>
      <c r="E1809" s="9"/>
      <c r="F1809" s="9"/>
      <c r="G1809" s="9"/>
      <c r="H1809" s="7"/>
      <c r="I1809" s="13" t="str">
        <f aca="false">IF(OR($G1809="",$H1809=""),"",ROUND($G1809*$H1809,0))</f>
        <v/>
      </c>
      <c r="J1809" s="8"/>
      <c r="K1809" s="13" t="str">
        <f aca="false">IF($B1809="","",SUMIFS($I$3:$I$2002,$B$3:$B$2002,$B1809))</f>
        <v/>
      </c>
      <c r="L1809" s="13" t="str">
        <f aca="false">IF($B1809="","",IF(COUNTIFS($B$3:$B1809,$B1809)&gt;1,0,IFERROR(LOOKUP($K1809,배송비규정!$A$3:$A$32,배송비규정!$B$3:$B$32),0)+IFERROR(INDEX(지역추가비!$B$3:$B$42,MATCH($J1809,지역추가비!$A$3:$A$42,0)),0)))</f>
        <v/>
      </c>
      <c r="M1809" s="13" t="str">
        <f aca="false">IF($B1809="","",IF(COUNTIFS($B$3:$B1809,$B1809)&gt;1,"",$K1809+$L1809))</f>
        <v/>
      </c>
      <c r="N1809" s="14" t="str">
        <f aca="false">IF($B1809="","",COUNTIFS($B$3:$B1809,$B1809))</f>
        <v/>
      </c>
      <c r="O1809" s="14" t="str">
        <f aca="false">IF($B1809="","",$B1809&amp;"|"&amp;$N1809)</f>
        <v/>
      </c>
    </row>
    <row r="1810" customFormat="false" ht="15" hidden="false" customHeight="false" outlineLevel="0" collapsed="false">
      <c r="A1810" s="12"/>
      <c r="B1810" s="9"/>
      <c r="C1810" s="9"/>
      <c r="D1810" s="9"/>
      <c r="E1810" s="9"/>
      <c r="F1810" s="9"/>
      <c r="G1810" s="9"/>
      <c r="H1810" s="7"/>
      <c r="I1810" s="13" t="str">
        <f aca="false">IF(OR($G1810="",$H1810=""),"",ROUND($G1810*$H1810,0))</f>
        <v/>
      </c>
      <c r="J1810" s="8"/>
      <c r="K1810" s="13" t="str">
        <f aca="false">IF($B1810="","",SUMIFS($I$3:$I$2002,$B$3:$B$2002,$B1810))</f>
        <v/>
      </c>
      <c r="L1810" s="13" t="str">
        <f aca="false">IF($B1810="","",IF(COUNTIFS($B$3:$B1810,$B1810)&gt;1,0,IFERROR(LOOKUP($K1810,배송비규정!$A$3:$A$32,배송비규정!$B$3:$B$32),0)+IFERROR(INDEX(지역추가비!$B$3:$B$42,MATCH($J1810,지역추가비!$A$3:$A$42,0)),0)))</f>
        <v/>
      </c>
      <c r="M1810" s="13" t="str">
        <f aca="false">IF($B1810="","",IF(COUNTIFS($B$3:$B1810,$B1810)&gt;1,"",$K1810+$L1810))</f>
        <v/>
      </c>
      <c r="N1810" s="14" t="str">
        <f aca="false">IF($B1810="","",COUNTIFS($B$3:$B1810,$B1810))</f>
        <v/>
      </c>
      <c r="O1810" s="14" t="str">
        <f aca="false">IF($B1810="","",$B1810&amp;"|"&amp;$N1810)</f>
        <v/>
      </c>
    </row>
    <row r="1811" customFormat="false" ht="15" hidden="false" customHeight="false" outlineLevel="0" collapsed="false">
      <c r="A1811" s="12"/>
      <c r="B1811" s="9"/>
      <c r="C1811" s="9"/>
      <c r="D1811" s="9"/>
      <c r="E1811" s="9"/>
      <c r="F1811" s="9"/>
      <c r="G1811" s="9"/>
      <c r="H1811" s="7"/>
      <c r="I1811" s="13" t="str">
        <f aca="false">IF(OR($G1811="",$H1811=""),"",ROUND($G1811*$H1811,0))</f>
        <v/>
      </c>
      <c r="J1811" s="8"/>
      <c r="K1811" s="13" t="str">
        <f aca="false">IF($B1811="","",SUMIFS($I$3:$I$2002,$B$3:$B$2002,$B1811))</f>
        <v/>
      </c>
      <c r="L1811" s="13" t="str">
        <f aca="false">IF($B1811="","",IF(COUNTIFS($B$3:$B1811,$B1811)&gt;1,0,IFERROR(LOOKUP($K1811,배송비규정!$A$3:$A$32,배송비규정!$B$3:$B$32),0)+IFERROR(INDEX(지역추가비!$B$3:$B$42,MATCH($J1811,지역추가비!$A$3:$A$42,0)),0)))</f>
        <v/>
      </c>
      <c r="M1811" s="13" t="str">
        <f aca="false">IF($B1811="","",IF(COUNTIFS($B$3:$B1811,$B1811)&gt;1,"",$K1811+$L1811))</f>
        <v/>
      </c>
      <c r="N1811" s="14" t="str">
        <f aca="false">IF($B1811="","",COUNTIFS($B$3:$B1811,$B1811))</f>
        <v/>
      </c>
      <c r="O1811" s="14" t="str">
        <f aca="false">IF($B1811="","",$B1811&amp;"|"&amp;$N1811)</f>
        <v/>
      </c>
    </row>
    <row r="1812" customFormat="false" ht="15" hidden="false" customHeight="false" outlineLevel="0" collapsed="false">
      <c r="A1812" s="12"/>
      <c r="B1812" s="9"/>
      <c r="C1812" s="9"/>
      <c r="D1812" s="9"/>
      <c r="E1812" s="9"/>
      <c r="F1812" s="9"/>
      <c r="G1812" s="9"/>
      <c r="H1812" s="7"/>
      <c r="I1812" s="13" t="str">
        <f aca="false">IF(OR($G1812="",$H1812=""),"",ROUND($G1812*$H1812,0))</f>
        <v/>
      </c>
      <c r="J1812" s="8"/>
      <c r="K1812" s="13" t="str">
        <f aca="false">IF($B1812="","",SUMIFS($I$3:$I$2002,$B$3:$B$2002,$B1812))</f>
        <v/>
      </c>
      <c r="L1812" s="13" t="str">
        <f aca="false">IF($B1812="","",IF(COUNTIFS($B$3:$B1812,$B1812)&gt;1,0,IFERROR(LOOKUP($K1812,배송비규정!$A$3:$A$32,배송비규정!$B$3:$B$32),0)+IFERROR(INDEX(지역추가비!$B$3:$B$42,MATCH($J1812,지역추가비!$A$3:$A$42,0)),0)))</f>
        <v/>
      </c>
      <c r="M1812" s="13" t="str">
        <f aca="false">IF($B1812="","",IF(COUNTIFS($B$3:$B1812,$B1812)&gt;1,"",$K1812+$L1812))</f>
        <v/>
      </c>
      <c r="N1812" s="14" t="str">
        <f aca="false">IF($B1812="","",COUNTIFS($B$3:$B1812,$B1812))</f>
        <v/>
      </c>
      <c r="O1812" s="14" t="str">
        <f aca="false">IF($B1812="","",$B1812&amp;"|"&amp;$N1812)</f>
        <v/>
      </c>
    </row>
    <row r="1813" customFormat="false" ht="15" hidden="false" customHeight="false" outlineLevel="0" collapsed="false">
      <c r="A1813" s="12"/>
      <c r="B1813" s="9"/>
      <c r="C1813" s="9"/>
      <c r="D1813" s="9"/>
      <c r="E1813" s="9"/>
      <c r="F1813" s="9"/>
      <c r="G1813" s="9"/>
      <c r="H1813" s="7"/>
      <c r="I1813" s="13" t="str">
        <f aca="false">IF(OR($G1813="",$H1813=""),"",ROUND($G1813*$H1813,0))</f>
        <v/>
      </c>
      <c r="J1813" s="8"/>
      <c r="K1813" s="13" t="str">
        <f aca="false">IF($B1813="","",SUMIFS($I$3:$I$2002,$B$3:$B$2002,$B1813))</f>
        <v/>
      </c>
      <c r="L1813" s="13" t="str">
        <f aca="false">IF($B1813="","",IF(COUNTIFS($B$3:$B1813,$B1813)&gt;1,0,IFERROR(LOOKUP($K1813,배송비규정!$A$3:$A$32,배송비규정!$B$3:$B$32),0)+IFERROR(INDEX(지역추가비!$B$3:$B$42,MATCH($J1813,지역추가비!$A$3:$A$42,0)),0)))</f>
        <v/>
      </c>
      <c r="M1813" s="13" t="str">
        <f aca="false">IF($B1813="","",IF(COUNTIFS($B$3:$B1813,$B1813)&gt;1,"",$K1813+$L1813))</f>
        <v/>
      </c>
      <c r="N1813" s="14" t="str">
        <f aca="false">IF($B1813="","",COUNTIFS($B$3:$B1813,$B1813))</f>
        <v/>
      </c>
      <c r="O1813" s="14" t="str">
        <f aca="false">IF($B1813="","",$B1813&amp;"|"&amp;$N1813)</f>
        <v/>
      </c>
    </row>
    <row r="1814" customFormat="false" ht="15" hidden="false" customHeight="false" outlineLevel="0" collapsed="false">
      <c r="A1814" s="12"/>
      <c r="B1814" s="9"/>
      <c r="C1814" s="9"/>
      <c r="D1814" s="9"/>
      <c r="E1814" s="9"/>
      <c r="F1814" s="9"/>
      <c r="G1814" s="9"/>
      <c r="H1814" s="7"/>
      <c r="I1814" s="13" t="str">
        <f aca="false">IF(OR($G1814="",$H1814=""),"",ROUND($G1814*$H1814,0))</f>
        <v/>
      </c>
      <c r="J1814" s="8"/>
      <c r="K1814" s="13" t="str">
        <f aca="false">IF($B1814="","",SUMIFS($I$3:$I$2002,$B$3:$B$2002,$B1814))</f>
        <v/>
      </c>
      <c r="L1814" s="13" t="str">
        <f aca="false">IF($B1814="","",IF(COUNTIFS($B$3:$B1814,$B1814)&gt;1,0,IFERROR(LOOKUP($K1814,배송비규정!$A$3:$A$32,배송비규정!$B$3:$B$32),0)+IFERROR(INDEX(지역추가비!$B$3:$B$42,MATCH($J1814,지역추가비!$A$3:$A$42,0)),0)))</f>
        <v/>
      </c>
      <c r="M1814" s="13" t="str">
        <f aca="false">IF($B1814="","",IF(COUNTIFS($B$3:$B1814,$B1814)&gt;1,"",$K1814+$L1814))</f>
        <v/>
      </c>
      <c r="N1814" s="14" t="str">
        <f aca="false">IF($B1814="","",COUNTIFS($B$3:$B1814,$B1814))</f>
        <v/>
      </c>
      <c r="O1814" s="14" t="str">
        <f aca="false">IF($B1814="","",$B1814&amp;"|"&amp;$N1814)</f>
        <v/>
      </c>
    </row>
    <row r="1815" customFormat="false" ht="15" hidden="false" customHeight="false" outlineLevel="0" collapsed="false">
      <c r="A1815" s="12"/>
      <c r="B1815" s="9"/>
      <c r="C1815" s="9"/>
      <c r="D1815" s="9"/>
      <c r="E1815" s="9"/>
      <c r="F1815" s="9"/>
      <c r="G1815" s="9"/>
      <c r="H1815" s="7"/>
      <c r="I1815" s="13" t="str">
        <f aca="false">IF(OR($G1815="",$H1815=""),"",ROUND($G1815*$H1815,0))</f>
        <v/>
      </c>
      <c r="J1815" s="8"/>
      <c r="K1815" s="13" t="str">
        <f aca="false">IF($B1815="","",SUMIFS($I$3:$I$2002,$B$3:$B$2002,$B1815))</f>
        <v/>
      </c>
      <c r="L1815" s="13" t="str">
        <f aca="false">IF($B1815="","",IF(COUNTIFS($B$3:$B1815,$B1815)&gt;1,0,IFERROR(LOOKUP($K1815,배송비규정!$A$3:$A$32,배송비규정!$B$3:$B$32),0)+IFERROR(INDEX(지역추가비!$B$3:$B$42,MATCH($J1815,지역추가비!$A$3:$A$42,0)),0)))</f>
        <v/>
      </c>
      <c r="M1815" s="13" t="str">
        <f aca="false">IF($B1815="","",IF(COUNTIFS($B$3:$B1815,$B1815)&gt;1,"",$K1815+$L1815))</f>
        <v/>
      </c>
      <c r="N1815" s="14" t="str">
        <f aca="false">IF($B1815="","",COUNTIFS($B$3:$B1815,$B1815))</f>
        <v/>
      </c>
      <c r="O1815" s="14" t="str">
        <f aca="false">IF($B1815="","",$B1815&amp;"|"&amp;$N1815)</f>
        <v/>
      </c>
    </row>
    <row r="1816" customFormat="false" ht="15" hidden="false" customHeight="false" outlineLevel="0" collapsed="false">
      <c r="A1816" s="12"/>
      <c r="B1816" s="9"/>
      <c r="C1816" s="9"/>
      <c r="D1816" s="9"/>
      <c r="E1816" s="9"/>
      <c r="F1816" s="9"/>
      <c r="G1816" s="9"/>
      <c r="H1816" s="7"/>
      <c r="I1816" s="13" t="str">
        <f aca="false">IF(OR($G1816="",$H1816=""),"",ROUND($G1816*$H1816,0))</f>
        <v/>
      </c>
      <c r="J1816" s="8"/>
      <c r="K1816" s="13" t="str">
        <f aca="false">IF($B1816="","",SUMIFS($I$3:$I$2002,$B$3:$B$2002,$B1816))</f>
        <v/>
      </c>
      <c r="L1816" s="13" t="str">
        <f aca="false">IF($B1816="","",IF(COUNTIFS($B$3:$B1816,$B1816)&gt;1,0,IFERROR(LOOKUP($K1816,배송비규정!$A$3:$A$32,배송비규정!$B$3:$B$32),0)+IFERROR(INDEX(지역추가비!$B$3:$B$42,MATCH($J1816,지역추가비!$A$3:$A$42,0)),0)))</f>
        <v/>
      </c>
      <c r="M1816" s="13" t="str">
        <f aca="false">IF($B1816="","",IF(COUNTIFS($B$3:$B1816,$B1816)&gt;1,"",$K1816+$L1816))</f>
        <v/>
      </c>
      <c r="N1816" s="14" t="str">
        <f aca="false">IF($B1816="","",COUNTIFS($B$3:$B1816,$B1816))</f>
        <v/>
      </c>
      <c r="O1816" s="14" t="str">
        <f aca="false">IF($B1816="","",$B1816&amp;"|"&amp;$N1816)</f>
        <v/>
      </c>
    </row>
    <row r="1817" customFormat="false" ht="15" hidden="false" customHeight="false" outlineLevel="0" collapsed="false">
      <c r="A1817" s="12"/>
      <c r="B1817" s="9"/>
      <c r="C1817" s="9"/>
      <c r="D1817" s="9"/>
      <c r="E1817" s="9"/>
      <c r="F1817" s="9"/>
      <c r="G1817" s="9"/>
      <c r="H1817" s="7"/>
      <c r="I1817" s="13" t="str">
        <f aca="false">IF(OR($G1817="",$H1817=""),"",ROUND($G1817*$H1817,0))</f>
        <v/>
      </c>
      <c r="J1817" s="8"/>
      <c r="K1817" s="13" t="str">
        <f aca="false">IF($B1817="","",SUMIFS($I$3:$I$2002,$B$3:$B$2002,$B1817))</f>
        <v/>
      </c>
      <c r="L1817" s="13" t="str">
        <f aca="false">IF($B1817="","",IF(COUNTIFS($B$3:$B1817,$B1817)&gt;1,0,IFERROR(LOOKUP($K1817,배송비규정!$A$3:$A$32,배송비규정!$B$3:$B$32),0)+IFERROR(INDEX(지역추가비!$B$3:$B$42,MATCH($J1817,지역추가비!$A$3:$A$42,0)),0)))</f>
        <v/>
      </c>
      <c r="M1817" s="13" t="str">
        <f aca="false">IF($B1817="","",IF(COUNTIFS($B$3:$B1817,$B1817)&gt;1,"",$K1817+$L1817))</f>
        <v/>
      </c>
      <c r="N1817" s="14" t="str">
        <f aca="false">IF($B1817="","",COUNTIFS($B$3:$B1817,$B1817))</f>
        <v/>
      </c>
      <c r="O1817" s="14" t="str">
        <f aca="false">IF($B1817="","",$B1817&amp;"|"&amp;$N1817)</f>
        <v/>
      </c>
    </row>
    <row r="1818" customFormat="false" ht="15" hidden="false" customHeight="false" outlineLevel="0" collapsed="false">
      <c r="A1818" s="12"/>
      <c r="B1818" s="9"/>
      <c r="C1818" s="9"/>
      <c r="D1818" s="9"/>
      <c r="E1818" s="9"/>
      <c r="F1818" s="9"/>
      <c r="G1818" s="9"/>
      <c r="H1818" s="7"/>
      <c r="I1818" s="13" t="str">
        <f aca="false">IF(OR($G1818="",$H1818=""),"",ROUND($G1818*$H1818,0))</f>
        <v/>
      </c>
      <c r="J1818" s="8"/>
      <c r="K1818" s="13" t="str">
        <f aca="false">IF($B1818="","",SUMIFS($I$3:$I$2002,$B$3:$B$2002,$B1818))</f>
        <v/>
      </c>
      <c r="L1818" s="13" t="str">
        <f aca="false">IF($B1818="","",IF(COUNTIFS($B$3:$B1818,$B1818)&gt;1,0,IFERROR(LOOKUP($K1818,배송비규정!$A$3:$A$32,배송비규정!$B$3:$B$32),0)+IFERROR(INDEX(지역추가비!$B$3:$B$42,MATCH($J1818,지역추가비!$A$3:$A$42,0)),0)))</f>
        <v/>
      </c>
      <c r="M1818" s="13" t="str">
        <f aca="false">IF($B1818="","",IF(COUNTIFS($B$3:$B1818,$B1818)&gt;1,"",$K1818+$L1818))</f>
        <v/>
      </c>
      <c r="N1818" s="14" t="str">
        <f aca="false">IF($B1818="","",COUNTIFS($B$3:$B1818,$B1818))</f>
        <v/>
      </c>
      <c r="O1818" s="14" t="str">
        <f aca="false">IF($B1818="","",$B1818&amp;"|"&amp;$N1818)</f>
        <v/>
      </c>
    </row>
    <row r="1819" customFormat="false" ht="15" hidden="false" customHeight="false" outlineLevel="0" collapsed="false">
      <c r="A1819" s="12"/>
      <c r="B1819" s="9"/>
      <c r="C1819" s="9"/>
      <c r="D1819" s="9"/>
      <c r="E1819" s="9"/>
      <c r="F1819" s="9"/>
      <c r="G1819" s="9"/>
      <c r="H1819" s="7"/>
      <c r="I1819" s="13" t="str">
        <f aca="false">IF(OR($G1819="",$H1819=""),"",ROUND($G1819*$H1819,0))</f>
        <v/>
      </c>
      <c r="J1819" s="8"/>
      <c r="K1819" s="13" t="str">
        <f aca="false">IF($B1819="","",SUMIFS($I$3:$I$2002,$B$3:$B$2002,$B1819))</f>
        <v/>
      </c>
      <c r="L1819" s="13" t="str">
        <f aca="false">IF($B1819="","",IF(COUNTIFS($B$3:$B1819,$B1819)&gt;1,0,IFERROR(LOOKUP($K1819,배송비규정!$A$3:$A$32,배송비규정!$B$3:$B$32),0)+IFERROR(INDEX(지역추가비!$B$3:$B$42,MATCH($J1819,지역추가비!$A$3:$A$42,0)),0)))</f>
        <v/>
      </c>
      <c r="M1819" s="13" t="str">
        <f aca="false">IF($B1819="","",IF(COUNTIFS($B$3:$B1819,$B1819)&gt;1,"",$K1819+$L1819))</f>
        <v/>
      </c>
      <c r="N1819" s="14" t="str">
        <f aca="false">IF($B1819="","",COUNTIFS($B$3:$B1819,$B1819))</f>
        <v/>
      </c>
      <c r="O1819" s="14" t="str">
        <f aca="false">IF($B1819="","",$B1819&amp;"|"&amp;$N1819)</f>
        <v/>
      </c>
    </row>
    <row r="1820" customFormat="false" ht="15" hidden="false" customHeight="false" outlineLevel="0" collapsed="false">
      <c r="A1820" s="12"/>
      <c r="B1820" s="9"/>
      <c r="C1820" s="9"/>
      <c r="D1820" s="9"/>
      <c r="E1820" s="9"/>
      <c r="F1820" s="9"/>
      <c r="G1820" s="9"/>
      <c r="H1820" s="7"/>
      <c r="I1820" s="13" t="str">
        <f aca="false">IF(OR($G1820="",$H1820=""),"",ROUND($G1820*$H1820,0))</f>
        <v/>
      </c>
      <c r="J1820" s="8"/>
      <c r="K1820" s="13" t="str">
        <f aca="false">IF($B1820="","",SUMIFS($I$3:$I$2002,$B$3:$B$2002,$B1820))</f>
        <v/>
      </c>
      <c r="L1820" s="13" t="str">
        <f aca="false">IF($B1820="","",IF(COUNTIFS($B$3:$B1820,$B1820)&gt;1,0,IFERROR(LOOKUP($K1820,배송비규정!$A$3:$A$32,배송비규정!$B$3:$B$32),0)+IFERROR(INDEX(지역추가비!$B$3:$B$42,MATCH($J1820,지역추가비!$A$3:$A$42,0)),0)))</f>
        <v/>
      </c>
      <c r="M1820" s="13" t="str">
        <f aca="false">IF($B1820="","",IF(COUNTIFS($B$3:$B1820,$B1820)&gt;1,"",$K1820+$L1820))</f>
        <v/>
      </c>
      <c r="N1820" s="14" t="str">
        <f aca="false">IF($B1820="","",COUNTIFS($B$3:$B1820,$B1820))</f>
        <v/>
      </c>
      <c r="O1820" s="14" t="str">
        <f aca="false">IF($B1820="","",$B1820&amp;"|"&amp;$N1820)</f>
        <v/>
      </c>
    </row>
    <row r="1821" customFormat="false" ht="15" hidden="false" customHeight="false" outlineLevel="0" collapsed="false">
      <c r="A1821" s="12"/>
      <c r="B1821" s="9"/>
      <c r="C1821" s="9"/>
      <c r="D1821" s="9"/>
      <c r="E1821" s="9"/>
      <c r="F1821" s="9"/>
      <c r="G1821" s="9"/>
      <c r="H1821" s="7"/>
      <c r="I1821" s="13" t="str">
        <f aca="false">IF(OR($G1821="",$H1821=""),"",ROUND($G1821*$H1821,0))</f>
        <v/>
      </c>
      <c r="J1821" s="8"/>
      <c r="K1821" s="13" t="str">
        <f aca="false">IF($B1821="","",SUMIFS($I$3:$I$2002,$B$3:$B$2002,$B1821))</f>
        <v/>
      </c>
      <c r="L1821" s="13" t="str">
        <f aca="false">IF($B1821="","",IF(COUNTIFS($B$3:$B1821,$B1821)&gt;1,0,IFERROR(LOOKUP($K1821,배송비규정!$A$3:$A$32,배송비규정!$B$3:$B$32),0)+IFERROR(INDEX(지역추가비!$B$3:$B$42,MATCH($J1821,지역추가비!$A$3:$A$42,0)),0)))</f>
        <v/>
      </c>
      <c r="M1821" s="13" t="str">
        <f aca="false">IF($B1821="","",IF(COUNTIFS($B$3:$B1821,$B1821)&gt;1,"",$K1821+$L1821))</f>
        <v/>
      </c>
      <c r="N1821" s="14" t="str">
        <f aca="false">IF($B1821="","",COUNTIFS($B$3:$B1821,$B1821))</f>
        <v/>
      </c>
      <c r="O1821" s="14" t="str">
        <f aca="false">IF($B1821="","",$B1821&amp;"|"&amp;$N1821)</f>
        <v/>
      </c>
    </row>
    <row r="1822" customFormat="false" ht="15" hidden="false" customHeight="false" outlineLevel="0" collapsed="false">
      <c r="A1822" s="12"/>
      <c r="B1822" s="9"/>
      <c r="C1822" s="9"/>
      <c r="D1822" s="9"/>
      <c r="E1822" s="9"/>
      <c r="F1822" s="9"/>
      <c r="G1822" s="9"/>
      <c r="H1822" s="7"/>
      <c r="I1822" s="13" t="str">
        <f aca="false">IF(OR($G1822="",$H1822=""),"",ROUND($G1822*$H1822,0))</f>
        <v/>
      </c>
      <c r="J1822" s="8"/>
      <c r="K1822" s="13" t="str">
        <f aca="false">IF($B1822="","",SUMIFS($I$3:$I$2002,$B$3:$B$2002,$B1822))</f>
        <v/>
      </c>
      <c r="L1822" s="13" t="str">
        <f aca="false">IF($B1822="","",IF(COUNTIFS($B$3:$B1822,$B1822)&gt;1,0,IFERROR(LOOKUP($K1822,배송비규정!$A$3:$A$32,배송비규정!$B$3:$B$32),0)+IFERROR(INDEX(지역추가비!$B$3:$B$42,MATCH($J1822,지역추가비!$A$3:$A$42,0)),0)))</f>
        <v/>
      </c>
      <c r="M1822" s="13" t="str">
        <f aca="false">IF($B1822="","",IF(COUNTIFS($B$3:$B1822,$B1822)&gt;1,"",$K1822+$L1822))</f>
        <v/>
      </c>
      <c r="N1822" s="14" t="str">
        <f aca="false">IF($B1822="","",COUNTIFS($B$3:$B1822,$B1822))</f>
        <v/>
      </c>
      <c r="O1822" s="14" t="str">
        <f aca="false">IF($B1822="","",$B1822&amp;"|"&amp;$N1822)</f>
        <v/>
      </c>
    </row>
    <row r="1823" customFormat="false" ht="15" hidden="false" customHeight="false" outlineLevel="0" collapsed="false">
      <c r="A1823" s="12"/>
      <c r="B1823" s="9"/>
      <c r="C1823" s="9"/>
      <c r="D1823" s="9"/>
      <c r="E1823" s="9"/>
      <c r="F1823" s="9"/>
      <c r="G1823" s="9"/>
      <c r="H1823" s="7"/>
      <c r="I1823" s="13" t="str">
        <f aca="false">IF(OR($G1823="",$H1823=""),"",ROUND($G1823*$H1823,0))</f>
        <v/>
      </c>
      <c r="J1823" s="8"/>
      <c r="K1823" s="13" t="str">
        <f aca="false">IF($B1823="","",SUMIFS($I$3:$I$2002,$B$3:$B$2002,$B1823))</f>
        <v/>
      </c>
      <c r="L1823" s="13" t="str">
        <f aca="false">IF($B1823="","",IF(COUNTIFS($B$3:$B1823,$B1823)&gt;1,0,IFERROR(LOOKUP($K1823,배송비규정!$A$3:$A$32,배송비규정!$B$3:$B$32),0)+IFERROR(INDEX(지역추가비!$B$3:$B$42,MATCH($J1823,지역추가비!$A$3:$A$42,0)),0)))</f>
        <v/>
      </c>
      <c r="M1823" s="13" t="str">
        <f aca="false">IF($B1823="","",IF(COUNTIFS($B$3:$B1823,$B1823)&gt;1,"",$K1823+$L1823))</f>
        <v/>
      </c>
      <c r="N1823" s="14" t="str">
        <f aca="false">IF($B1823="","",COUNTIFS($B$3:$B1823,$B1823))</f>
        <v/>
      </c>
      <c r="O1823" s="14" t="str">
        <f aca="false">IF($B1823="","",$B1823&amp;"|"&amp;$N1823)</f>
        <v/>
      </c>
    </row>
    <row r="1824" customFormat="false" ht="15" hidden="false" customHeight="false" outlineLevel="0" collapsed="false">
      <c r="A1824" s="12"/>
      <c r="B1824" s="9"/>
      <c r="C1824" s="9"/>
      <c r="D1824" s="9"/>
      <c r="E1824" s="9"/>
      <c r="F1824" s="9"/>
      <c r="G1824" s="9"/>
      <c r="H1824" s="7"/>
      <c r="I1824" s="13" t="str">
        <f aca="false">IF(OR($G1824="",$H1824=""),"",ROUND($G1824*$H1824,0))</f>
        <v/>
      </c>
      <c r="J1824" s="8"/>
      <c r="K1824" s="13" t="str">
        <f aca="false">IF($B1824="","",SUMIFS($I$3:$I$2002,$B$3:$B$2002,$B1824))</f>
        <v/>
      </c>
      <c r="L1824" s="13" t="str">
        <f aca="false">IF($B1824="","",IF(COUNTIFS($B$3:$B1824,$B1824)&gt;1,0,IFERROR(LOOKUP($K1824,배송비규정!$A$3:$A$32,배송비규정!$B$3:$B$32),0)+IFERROR(INDEX(지역추가비!$B$3:$B$42,MATCH($J1824,지역추가비!$A$3:$A$42,0)),0)))</f>
        <v/>
      </c>
      <c r="M1824" s="13" t="str">
        <f aca="false">IF($B1824="","",IF(COUNTIFS($B$3:$B1824,$B1824)&gt;1,"",$K1824+$L1824))</f>
        <v/>
      </c>
      <c r="N1824" s="14" t="str">
        <f aca="false">IF($B1824="","",COUNTIFS($B$3:$B1824,$B1824))</f>
        <v/>
      </c>
      <c r="O1824" s="14" t="str">
        <f aca="false">IF($B1824="","",$B1824&amp;"|"&amp;$N1824)</f>
        <v/>
      </c>
    </row>
    <row r="1825" customFormat="false" ht="15" hidden="false" customHeight="false" outlineLevel="0" collapsed="false">
      <c r="A1825" s="12"/>
      <c r="B1825" s="9"/>
      <c r="C1825" s="9"/>
      <c r="D1825" s="9"/>
      <c r="E1825" s="9"/>
      <c r="F1825" s="9"/>
      <c r="G1825" s="9"/>
      <c r="H1825" s="7"/>
      <c r="I1825" s="13" t="str">
        <f aca="false">IF(OR($G1825="",$H1825=""),"",ROUND($G1825*$H1825,0))</f>
        <v/>
      </c>
      <c r="J1825" s="8"/>
      <c r="K1825" s="13" t="str">
        <f aca="false">IF($B1825="","",SUMIFS($I$3:$I$2002,$B$3:$B$2002,$B1825))</f>
        <v/>
      </c>
      <c r="L1825" s="13" t="str">
        <f aca="false">IF($B1825="","",IF(COUNTIFS($B$3:$B1825,$B1825)&gt;1,0,IFERROR(LOOKUP($K1825,배송비규정!$A$3:$A$32,배송비규정!$B$3:$B$32),0)+IFERROR(INDEX(지역추가비!$B$3:$B$42,MATCH($J1825,지역추가비!$A$3:$A$42,0)),0)))</f>
        <v/>
      </c>
      <c r="M1825" s="13" t="str">
        <f aca="false">IF($B1825="","",IF(COUNTIFS($B$3:$B1825,$B1825)&gt;1,"",$K1825+$L1825))</f>
        <v/>
      </c>
      <c r="N1825" s="14" t="str">
        <f aca="false">IF($B1825="","",COUNTIFS($B$3:$B1825,$B1825))</f>
        <v/>
      </c>
      <c r="O1825" s="14" t="str">
        <f aca="false">IF($B1825="","",$B1825&amp;"|"&amp;$N1825)</f>
        <v/>
      </c>
    </row>
    <row r="1826" customFormat="false" ht="15" hidden="false" customHeight="false" outlineLevel="0" collapsed="false">
      <c r="A1826" s="12"/>
      <c r="B1826" s="9"/>
      <c r="C1826" s="9"/>
      <c r="D1826" s="9"/>
      <c r="E1826" s="9"/>
      <c r="F1826" s="9"/>
      <c r="G1826" s="9"/>
      <c r="H1826" s="7"/>
      <c r="I1826" s="13" t="str">
        <f aca="false">IF(OR($G1826="",$H1826=""),"",ROUND($G1826*$H1826,0))</f>
        <v/>
      </c>
      <c r="J1826" s="8"/>
      <c r="K1826" s="13" t="str">
        <f aca="false">IF($B1826="","",SUMIFS($I$3:$I$2002,$B$3:$B$2002,$B1826))</f>
        <v/>
      </c>
      <c r="L1826" s="13" t="str">
        <f aca="false">IF($B1826="","",IF(COUNTIFS($B$3:$B1826,$B1826)&gt;1,0,IFERROR(LOOKUP($K1826,배송비규정!$A$3:$A$32,배송비규정!$B$3:$B$32),0)+IFERROR(INDEX(지역추가비!$B$3:$B$42,MATCH($J1826,지역추가비!$A$3:$A$42,0)),0)))</f>
        <v/>
      </c>
      <c r="M1826" s="13" t="str">
        <f aca="false">IF($B1826="","",IF(COUNTIFS($B$3:$B1826,$B1826)&gt;1,"",$K1826+$L1826))</f>
        <v/>
      </c>
      <c r="N1826" s="14" t="str">
        <f aca="false">IF($B1826="","",COUNTIFS($B$3:$B1826,$B1826))</f>
        <v/>
      </c>
      <c r="O1826" s="14" t="str">
        <f aca="false">IF($B1826="","",$B1826&amp;"|"&amp;$N1826)</f>
        <v/>
      </c>
    </row>
    <row r="1827" customFormat="false" ht="15" hidden="false" customHeight="false" outlineLevel="0" collapsed="false">
      <c r="A1827" s="12"/>
      <c r="B1827" s="9"/>
      <c r="C1827" s="9"/>
      <c r="D1827" s="9"/>
      <c r="E1827" s="9"/>
      <c r="F1827" s="9"/>
      <c r="G1827" s="9"/>
      <c r="H1827" s="7"/>
      <c r="I1827" s="13" t="str">
        <f aca="false">IF(OR($G1827="",$H1827=""),"",ROUND($G1827*$H1827,0))</f>
        <v/>
      </c>
      <c r="J1827" s="8"/>
      <c r="K1827" s="13" t="str">
        <f aca="false">IF($B1827="","",SUMIFS($I$3:$I$2002,$B$3:$B$2002,$B1827))</f>
        <v/>
      </c>
      <c r="L1827" s="13" t="str">
        <f aca="false">IF($B1827="","",IF(COUNTIFS($B$3:$B1827,$B1827)&gt;1,0,IFERROR(LOOKUP($K1827,배송비규정!$A$3:$A$32,배송비규정!$B$3:$B$32),0)+IFERROR(INDEX(지역추가비!$B$3:$B$42,MATCH($J1827,지역추가비!$A$3:$A$42,0)),0)))</f>
        <v/>
      </c>
      <c r="M1827" s="13" t="str">
        <f aca="false">IF($B1827="","",IF(COUNTIFS($B$3:$B1827,$B1827)&gt;1,"",$K1827+$L1827))</f>
        <v/>
      </c>
      <c r="N1827" s="14" t="str">
        <f aca="false">IF($B1827="","",COUNTIFS($B$3:$B1827,$B1827))</f>
        <v/>
      </c>
      <c r="O1827" s="14" t="str">
        <f aca="false">IF($B1827="","",$B1827&amp;"|"&amp;$N1827)</f>
        <v/>
      </c>
    </row>
    <row r="1828" customFormat="false" ht="15" hidden="false" customHeight="false" outlineLevel="0" collapsed="false">
      <c r="A1828" s="12"/>
      <c r="B1828" s="9"/>
      <c r="C1828" s="9"/>
      <c r="D1828" s="9"/>
      <c r="E1828" s="9"/>
      <c r="F1828" s="9"/>
      <c r="G1828" s="9"/>
      <c r="H1828" s="7"/>
      <c r="I1828" s="13" t="str">
        <f aca="false">IF(OR($G1828="",$H1828=""),"",ROUND($G1828*$H1828,0))</f>
        <v/>
      </c>
      <c r="J1828" s="8"/>
      <c r="K1828" s="13" t="str">
        <f aca="false">IF($B1828="","",SUMIFS($I$3:$I$2002,$B$3:$B$2002,$B1828))</f>
        <v/>
      </c>
      <c r="L1828" s="13" t="str">
        <f aca="false">IF($B1828="","",IF(COUNTIFS($B$3:$B1828,$B1828)&gt;1,0,IFERROR(LOOKUP($K1828,배송비규정!$A$3:$A$32,배송비규정!$B$3:$B$32),0)+IFERROR(INDEX(지역추가비!$B$3:$B$42,MATCH($J1828,지역추가비!$A$3:$A$42,0)),0)))</f>
        <v/>
      </c>
      <c r="M1828" s="13" t="str">
        <f aca="false">IF($B1828="","",IF(COUNTIFS($B$3:$B1828,$B1828)&gt;1,"",$K1828+$L1828))</f>
        <v/>
      </c>
      <c r="N1828" s="14" t="str">
        <f aca="false">IF($B1828="","",COUNTIFS($B$3:$B1828,$B1828))</f>
        <v/>
      </c>
      <c r="O1828" s="14" t="str">
        <f aca="false">IF($B1828="","",$B1828&amp;"|"&amp;$N1828)</f>
        <v/>
      </c>
    </row>
    <row r="1829" customFormat="false" ht="15" hidden="false" customHeight="false" outlineLevel="0" collapsed="false">
      <c r="A1829" s="12"/>
      <c r="B1829" s="9"/>
      <c r="C1829" s="9"/>
      <c r="D1829" s="9"/>
      <c r="E1829" s="9"/>
      <c r="F1829" s="9"/>
      <c r="G1829" s="9"/>
      <c r="H1829" s="7"/>
      <c r="I1829" s="13" t="str">
        <f aca="false">IF(OR($G1829="",$H1829=""),"",ROUND($G1829*$H1829,0))</f>
        <v/>
      </c>
      <c r="J1829" s="8"/>
      <c r="K1829" s="13" t="str">
        <f aca="false">IF($B1829="","",SUMIFS($I$3:$I$2002,$B$3:$B$2002,$B1829))</f>
        <v/>
      </c>
      <c r="L1829" s="13" t="str">
        <f aca="false">IF($B1829="","",IF(COUNTIFS($B$3:$B1829,$B1829)&gt;1,0,IFERROR(LOOKUP($K1829,배송비규정!$A$3:$A$32,배송비규정!$B$3:$B$32),0)+IFERROR(INDEX(지역추가비!$B$3:$B$42,MATCH($J1829,지역추가비!$A$3:$A$42,0)),0)))</f>
        <v/>
      </c>
      <c r="M1829" s="13" t="str">
        <f aca="false">IF($B1829="","",IF(COUNTIFS($B$3:$B1829,$B1829)&gt;1,"",$K1829+$L1829))</f>
        <v/>
      </c>
      <c r="N1829" s="14" t="str">
        <f aca="false">IF($B1829="","",COUNTIFS($B$3:$B1829,$B1829))</f>
        <v/>
      </c>
      <c r="O1829" s="14" t="str">
        <f aca="false">IF($B1829="","",$B1829&amp;"|"&amp;$N1829)</f>
        <v/>
      </c>
    </row>
    <row r="1830" customFormat="false" ht="15" hidden="false" customHeight="false" outlineLevel="0" collapsed="false">
      <c r="A1830" s="12"/>
      <c r="B1830" s="9"/>
      <c r="C1830" s="9"/>
      <c r="D1830" s="9"/>
      <c r="E1830" s="9"/>
      <c r="F1830" s="9"/>
      <c r="G1830" s="9"/>
      <c r="H1830" s="7"/>
      <c r="I1830" s="13" t="str">
        <f aca="false">IF(OR($G1830="",$H1830=""),"",ROUND($G1830*$H1830,0))</f>
        <v/>
      </c>
      <c r="J1830" s="8"/>
      <c r="K1830" s="13" t="str">
        <f aca="false">IF($B1830="","",SUMIFS($I$3:$I$2002,$B$3:$B$2002,$B1830))</f>
        <v/>
      </c>
      <c r="L1830" s="13" t="str">
        <f aca="false">IF($B1830="","",IF(COUNTIFS($B$3:$B1830,$B1830)&gt;1,0,IFERROR(LOOKUP($K1830,배송비규정!$A$3:$A$32,배송비규정!$B$3:$B$32),0)+IFERROR(INDEX(지역추가비!$B$3:$B$42,MATCH($J1830,지역추가비!$A$3:$A$42,0)),0)))</f>
        <v/>
      </c>
      <c r="M1830" s="13" t="str">
        <f aca="false">IF($B1830="","",IF(COUNTIFS($B$3:$B1830,$B1830)&gt;1,"",$K1830+$L1830))</f>
        <v/>
      </c>
      <c r="N1830" s="14" t="str">
        <f aca="false">IF($B1830="","",COUNTIFS($B$3:$B1830,$B1830))</f>
        <v/>
      </c>
      <c r="O1830" s="14" t="str">
        <f aca="false">IF($B1830="","",$B1830&amp;"|"&amp;$N1830)</f>
        <v/>
      </c>
    </row>
    <row r="1831" customFormat="false" ht="15" hidden="false" customHeight="false" outlineLevel="0" collapsed="false">
      <c r="A1831" s="12"/>
      <c r="B1831" s="9"/>
      <c r="C1831" s="9"/>
      <c r="D1831" s="9"/>
      <c r="E1831" s="9"/>
      <c r="F1831" s="9"/>
      <c r="G1831" s="9"/>
      <c r="H1831" s="7"/>
      <c r="I1831" s="13" t="str">
        <f aca="false">IF(OR($G1831="",$H1831=""),"",ROUND($G1831*$H1831,0))</f>
        <v/>
      </c>
      <c r="J1831" s="8"/>
      <c r="K1831" s="13" t="str">
        <f aca="false">IF($B1831="","",SUMIFS($I$3:$I$2002,$B$3:$B$2002,$B1831))</f>
        <v/>
      </c>
      <c r="L1831" s="13" t="str">
        <f aca="false">IF($B1831="","",IF(COUNTIFS($B$3:$B1831,$B1831)&gt;1,0,IFERROR(LOOKUP($K1831,배송비규정!$A$3:$A$32,배송비규정!$B$3:$B$32),0)+IFERROR(INDEX(지역추가비!$B$3:$B$42,MATCH($J1831,지역추가비!$A$3:$A$42,0)),0)))</f>
        <v/>
      </c>
      <c r="M1831" s="13" t="str">
        <f aca="false">IF($B1831="","",IF(COUNTIFS($B$3:$B1831,$B1831)&gt;1,"",$K1831+$L1831))</f>
        <v/>
      </c>
      <c r="N1831" s="14" t="str">
        <f aca="false">IF($B1831="","",COUNTIFS($B$3:$B1831,$B1831))</f>
        <v/>
      </c>
      <c r="O1831" s="14" t="str">
        <f aca="false">IF($B1831="","",$B1831&amp;"|"&amp;$N1831)</f>
        <v/>
      </c>
    </row>
    <row r="1832" customFormat="false" ht="15" hidden="false" customHeight="false" outlineLevel="0" collapsed="false">
      <c r="A1832" s="12"/>
      <c r="B1832" s="9"/>
      <c r="C1832" s="9"/>
      <c r="D1832" s="9"/>
      <c r="E1832" s="9"/>
      <c r="F1832" s="9"/>
      <c r="G1832" s="9"/>
      <c r="H1832" s="7"/>
      <c r="I1832" s="13" t="str">
        <f aca="false">IF(OR($G1832="",$H1832=""),"",ROUND($G1832*$H1832,0))</f>
        <v/>
      </c>
      <c r="J1832" s="8"/>
      <c r="K1832" s="13" t="str">
        <f aca="false">IF($B1832="","",SUMIFS($I$3:$I$2002,$B$3:$B$2002,$B1832))</f>
        <v/>
      </c>
      <c r="L1832" s="13" t="str">
        <f aca="false">IF($B1832="","",IF(COUNTIFS($B$3:$B1832,$B1832)&gt;1,0,IFERROR(LOOKUP($K1832,배송비규정!$A$3:$A$32,배송비규정!$B$3:$B$32),0)+IFERROR(INDEX(지역추가비!$B$3:$B$42,MATCH($J1832,지역추가비!$A$3:$A$42,0)),0)))</f>
        <v/>
      </c>
      <c r="M1832" s="13" t="str">
        <f aca="false">IF($B1832="","",IF(COUNTIFS($B$3:$B1832,$B1832)&gt;1,"",$K1832+$L1832))</f>
        <v/>
      </c>
      <c r="N1832" s="14" t="str">
        <f aca="false">IF($B1832="","",COUNTIFS($B$3:$B1832,$B1832))</f>
        <v/>
      </c>
      <c r="O1832" s="14" t="str">
        <f aca="false">IF($B1832="","",$B1832&amp;"|"&amp;$N1832)</f>
        <v/>
      </c>
    </row>
    <row r="1833" customFormat="false" ht="15" hidden="false" customHeight="false" outlineLevel="0" collapsed="false">
      <c r="A1833" s="12"/>
      <c r="B1833" s="9"/>
      <c r="C1833" s="9"/>
      <c r="D1833" s="9"/>
      <c r="E1833" s="9"/>
      <c r="F1833" s="9"/>
      <c r="G1833" s="9"/>
      <c r="H1833" s="7"/>
      <c r="I1833" s="13" t="str">
        <f aca="false">IF(OR($G1833="",$H1833=""),"",ROUND($G1833*$H1833,0))</f>
        <v/>
      </c>
      <c r="J1833" s="8"/>
      <c r="K1833" s="13" t="str">
        <f aca="false">IF($B1833="","",SUMIFS($I$3:$I$2002,$B$3:$B$2002,$B1833))</f>
        <v/>
      </c>
      <c r="L1833" s="13" t="str">
        <f aca="false">IF($B1833="","",IF(COUNTIFS($B$3:$B1833,$B1833)&gt;1,0,IFERROR(LOOKUP($K1833,배송비규정!$A$3:$A$32,배송비규정!$B$3:$B$32),0)+IFERROR(INDEX(지역추가비!$B$3:$B$42,MATCH($J1833,지역추가비!$A$3:$A$42,0)),0)))</f>
        <v/>
      </c>
      <c r="M1833" s="13" t="str">
        <f aca="false">IF($B1833="","",IF(COUNTIFS($B$3:$B1833,$B1833)&gt;1,"",$K1833+$L1833))</f>
        <v/>
      </c>
      <c r="N1833" s="14" t="str">
        <f aca="false">IF($B1833="","",COUNTIFS($B$3:$B1833,$B1833))</f>
        <v/>
      </c>
      <c r="O1833" s="14" t="str">
        <f aca="false">IF($B1833="","",$B1833&amp;"|"&amp;$N1833)</f>
        <v/>
      </c>
    </row>
    <row r="1834" customFormat="false" ht="15" hidden="false" customHeight="false" outlineLevel="0" collapsed="false">
      <c r="A1834" s="12"/>
      <c r="B1834" s="9"/>
      <c r="C1834" s="9"/>
      <c r="D1834" s="9"/>
      <c r="E1834" s="9"/>
      <c r="F1834" s="9"/>
      <c r="G1834" s="9"/>
      <c r="H1834" s="7"/>
      <c r="I1834" s="13" t="str">
        <f aca="false">IF(OR($G1834="",$H1834=""),"",ROUND($G1834*$H1834,0))</f>
        <v/>
      </c>
      <c r="J1834" s="8"/>
      <c r="K1834" s="13" t="str">
        <f aca="false">IF($B1834="","",SUMIFS($I$3:$I$2002,$B$3:$B$2002,$B1834))</f>
        <v/>
      </c>
      <c r="L1834" s="13" t="str">
        <f aca="false">IF($B1834="","",IF(COUNTIFS($B$3:$B1834,$B1834)&gt;1,0,IFERROR(LOOKUP($K1834,배송비규정!$A$3:$A$32,배송비규정!$B$3:$B$32),0)+IFERROR(INDEX(지역추가비!$B$3:$B$42,MATCH($J1834,지역추가비!$A$3:$A$42,0)),0)))</f>
        <v/>
      </c>
      <c r="M1834" s="13" t="str">
        <f aca="false">IF($B1834="","",IF(COUNTIFS($B$3:$B1834,$B1834)&gt;1,"",$K1834+$L1834))</f>
        <v/>
      </c>
      <c r="N1834" s="14" t="str">
        <f aca="false">IF($B1834="","",COUNTIFS($B$3:$B1834,$B1834))</f>
        <v/>
      </c>
      <c r="O1834" s="14" t="str">
        <f aca="false">IF($B1834="","",$B1834&amp;"|"&amp;$N1834)</f>
        <v/>
      </c>
    </row>
    <row r="1835" customFormat="false" ht="15" hidden="false" customHeight="false" outlineLevel="0" collapsed="false">
      <c r="A1835" s="12"/>
      <c r="B1835" s="9"/>
      <c r="C1835" s="9"/>
      <c r="D1835" s="9"/>
      <c r="E1835" s="9"/>
      <c r="F1835" s="9"/>
      <c r="G1835" s="9"/>
      <c r="H1835" s="7"/>
      <c r="I1835" s="13" t="str">
        <f aca="false">IF(OR($G1835="",$H1835=""),"",ROUND($G1835*$H1835,0))</f>
        <v/>
      </c>
      <c r="J1835" s="8"/>
      <c r="K1835" s="13" t="str">
        <f aca="false">IF($B1835="","",SUMIFS($I$3:$I$2002,$B$3:$B$2002,$B1835))</f>
        <v/>
      </c>
      <c r="L1835" s="13" t="str">
        <f aca="false">IF($B1835="","",IF(COUNTIFS($B$3:$B1835,$B1835)&gt;1,0,IFERROR(LOOKUP($K1835,배송비규정!$A$3:$A$32,배송비규정!$B$3:$B$32),0)+IFERROR(INDEX(지역추가비!$B$3:$B$42,MATCH($J1835,지역추가비!$A$3:$A$42,0)),0)))</f>
        <v/>
      </c>
      <c r="M1835" s="13" t="str">
        <f aca="false">IF($B1835="","",IF(COUNTIFS($B$3:$B1835,$B1835)&gt;1,"",$K1835+$L1835))</f>
        <v/>
      </c>
      <c r="N1835" s="14" t="str">
        <f aca="false">IF($B1835="","",COUNTIFS($B$3:$B1835,$B1835))</f>
        <v/>
      </c>
      <c r="O1835" s="14" t="str">
        <f aca="false">IF($B1835="","",$B1835&amp;"|"&amp;$N1835)</f>
        <v/>
      </c>
    </row>
    <row r="1836" customFormat="false" ht="15" hidden="false" customHeight="false" outlineLevel="0" collapsed="false">
      <c r="A1836" s="12"/>
      <c r="B1836" s="9"/>
      <c r="C1836" s="9"/>
      <c r="D1836" s="9"/>
      <c r="E1836" s="9"/>
      <c r="F1836" s="9"/>
      <c r="G1836" s="9"/>
      <c r="H1836" s="7"/>
      <c r="I1836" s="13" t="str">
        <f aca="false">IF(OR($G1836="",$H1836=""),"",ROUND($G1836*$H1836,0))</f>
        <v/>
      </c>
      <c r="J1836" s="8"/>
      <c r="K1836" s="13" t="str">
        <f aca="false">IF($B1836="","",SUMIFS($I$3:$I$2002,$B$3:$B$2002,$B1836))</f>
        <v/>
      </c>
      <c r="L1836" s="13" t="str">
        <f aca="false">IF($B1836="","",IF(COUNTIFS($B$3:$B1836,$B1836)&gt;1,0,IFERROR(LOOKUP($K1836,배송비규정!$A$3:$A$32,배송비규정!$B$3:$B$32),0)+IFERROR(INDEX(지역추가비!$B$3:$B$42,MATCH($J1836,지역추가비!$A$3:$A$42,0)),0)))</f>
        <v/>
      </c>
      <c r="M1836" s="13" t="str">
        <f aca="false">IF($B1836="","",IF(COUNTIFS($B$3:$B1836,$B1836)&gt;1,"",$K1836+$L1836))</f>
        <v/>
      </c>
      <c r="N1836" s="14" t="str">
        <f aca="false">IF($B1836="","",COUNTIFS($B$3:$B1836,$B1836))</f>
        <v/>
      </c>
      <c r="O1836" s="14" t="str">
        <f aca="false">IF($B1836="","",$B1836&amp;"|"&amp;$N1836)</f>
        <v/>
      </c>
    </row>
    <row r="1837" customFormat="false" ht="15" hidden="false" customHeight="false" outlineLevel="0" collapsed="false">
      <c r="A1837" s="12"/>
      <c r="B1837" s="9"/>
      <c r="C1837" s="9"/>
      <c r="D1837" s="9"/>
      <c r="E1837" s="9"/>
      <c r="F1837" s="9"/>
      <c r="G1837" s="9"/>
      <c r="H1837" s="7"/>
      <c r="I1837" s="13" t="str">
        <f aca="false">IF(OR($G1837="",$H1837=""),"",ROUND($G1837*$H1837,0))</f>
        <v/>
      </c>
      <c r="J1837" s="8"/>
      <c r="K1837" s="13" t="str">
        <f aca="false">IF($B1837="","",SUMIFS($I$3:$I$2002,$B$3:$B$2002,$B1837))</f>
        <v/>
      </c>
      <c r="L1837" s="13" t="str">
        <f aca="false">IF($B1837="","",IF(COUNTIFS($B$3:$B1837,$B1837)&gt;1,0,IFERROR(LOOKUP($K1837,배송비규정!$A$3:$A$32,배송비규정!$B$3:$B$32),0)+IFERROR(INDEX(지역추가비!$B$3:$B$42,MATCH($J1837,지역추가비!$A$3:$A$42,0)),0)))</f>
        <v/>
      </c>
      <c r="M1837" s="13" t="str">
        <f aca="false">IF($B1837="","",IF(COUNTIFS($B$3:$B1837,$B1837)&gt;1,"",$K1837+$L1837))</f>
        <v/>
      </c>
      <c r="N1837" s="14" t="str">
        <f aca="false">IF($B1837="","",COUNTIFS($B$3:$B1837,$B1837))</f>
        <v/>
      </c>
      <c r="O1837" s="14" t="str">
        <f aca="false">IF($B1837="","",$B1837&amp;"|"&amp;$N1837)</f>
        <v/>
      </c>
    </row>
    <row r="1838" customFormat="false" ht="15" hidden="false" customHeight="false" outlineLevel="0" collapsed="false">
      <c r="A1838" s="12"/>
      <c r="B1838" s="9"/>
      <c r="C1838" s="9"/>
      <c r="D1838" s="9"/>
      <c r="E1838" s="9"/>
      <c r="F1838" s="9"/>
      <c r="G1838" s="9"/>
      <c r="H1838" s="7"/>
      <c r="I1838" s="13" t="str">
        <f aca="false">IF(OR($G1838="",$H1838=""),"",ROUND($G1838*$H1838,0))</f>
        <v/>
      </c>
      <c r="J1838" s="8"/>
      <c r="K1838" s="13" t="str">
        <f aca="false">IF($B1838="","",SUMIFS($I$3:$I$2002,$B$3:$B$2002,$B1838))</f>
        <v/>
      </c>
      <c r="L1838" s="13" t="str">
        <f aca="false">IF($B1838="","",IF(COUNTIFS($B$3:$B1838,$B1838)&gt;1,0,IFERROR(LOOKUP($K1838,배송비규정!$A$3:$A$32,배송비규정!$B$3:$B$32),0)+IFERROR(INDEX(지역추가비!$B$3:$B$42,MATCH($J1838,지역추가비!$A$3:$A$42,0)),0)))</f>
        <v/>
      </c>
      <c r="M1838" s="13" t="str">
        <f aca="false">IF($B1838="","",IF(COUNTIFS($B$3:$B1838,$B1838)&gt;1,"",$K1838+$L1838))</f>
        <v/>
      </c>
      <c r="N1838" s="14" t="str">
        <f aca="false">IF($B1838="","",COUNTIFS($B$3:$B1838,$B1838))</f>
        <v/>
      </c>
      <c r="O1838" s="14" t="str">
        <f aca="false">IF($B1838="","",$B1838&amp;"|"&amp;$N1838)</f>
        <v/>
      </c>
    </row>
    <row r="1839" customFormat="false" ht="15" hidden="false" customHeight="false" outlineLevel="0" collapsed="false">
      <c r="A1839" s="12"/>
      <c r="B1839" s="9"/>
      <c r="C1839" s="9"/>
      <c r="D1839" s="9"/>
      <c r="E1839" s="9"/>
      <c r="F1839" s="9"/>
      <c r="G1839" s="9"/>
      <c r="H1839" s="7"/>
      <c r="I1839" s="13" t="str">
        <f aca="false">IF(OR($G1839="",$H1839=""),"",ROUND($G1839*$H1839,0))</f>
        <v/>
      </c>
      <c r="J1839" s="8"/>
      <c r="K1839" s="13" t="str">
        <f aca="false">IF($B1839="","",SUMIFS($I$3:$I$2002,$B$3:$B$2002,$B1839))</f>
        <v/>
      </c>
      <c r="L1839" s="13" t="str">
        <f aca="false">IF($B1839="","",IF(COUNTIFS($B$3:$B1839,$B1839)&gt;1,0,IFERROR(LOOKUP($K1839,배송비규정!$A$3:$A$32,배송비규정!$B$3:$B$32),0)+IFERROR(INDEX(지역추가비!$B$3:$B$42,MATCH($J1839,지역추가비!$A$3:$A$42,0)),0)))</f>
        <v/>
      </c>
      <c r="M1839" s="13" t="str">
        <f aca="false">IF($B1839="","",IF(COUNTIFS($B$3:$B1839,$B1839)&gt;1,"",$K1839+$L1839))</f>
        <v/>
      </c>
      <c r="N1839" s="14" t="str">
        <f aca="false">IF($B1839="","",COUNTIFS($B$3:$B1839,$B1839))</f>
        <v/>
      </c>
      <c r="O1839" s="14" t="str">
        <f aca="false">IF($B1839="","",$B1839&amp;"|"&amp;$N1839)</f>
        <v/>
      </c>
    </row>
    <row r="1840" customFormat="false" ht="15" hidden="false" customHeight="false" outlineLevel="0" collapsed="false">
      <c r="A1840" s="12"/>
      <c r="B1840" s="9"/>
      <c r="C1840" s="9"/>
      <c r="D1840" s="9"/>
      <c r="E1840" s="9"/>
      <c r="F1840" s="9"/>
      <c r="G1840" s="9"/>
      <c r="H1840" s="7"/>
      <c r="I1840" s="13" t="str">
        <f aca="false">IF(OR($G1840="",$H1840=""),"",ROUND($G1840*$H1840,0))</f>
        <v/>
      </c>
      <c r="J1840" s="8"/>
      <c r="K1840" s="13" t="str">
        <f aca="false">IF($B1840="","",SUMIFS($I$3:$I$2002,$B$3:$B$2002,$B1840))</f>
        <v/>
      </c>
      <c r="L1840" s="13" t="str">
        <f aca="false">IF($B1840="","",IF(COUNTIFS($B$3:$B1840,$B1840)&gt;1,0,IFERROR(LOOKUP($K1840,배송비규정!$A$3:$A$32,배송비규정!$B$3:$B$32),0)+IFERROR(INDEX(지역추가비!$B$3:$B$42,MATCH($J1840,지역추가비!$A$3:$A$42,0)),0)))</f>
        <v/>
      </c>
      <c r="M1840" s="13" t="str">
        <f aca="false">IF($B1840="","",IF(COUNTIFS($B$3:$B1840,$B1840)&gt;1,"",$K1840+$L1840))</f>
        <v/>
      </c>
      <c r="N1840" s="14" t="str">
        <f aca="false">IF($B1840="","",COUNTIFS($B$3:$B1840,$B1840))</f>
        <v/>
      </c>
      <c r="O1840" s="14" t="str">
        <f aca="false">IF($B1840="","",$B1840&amp;"|"&amp;$N1840)</f>
        <v/>
      </c>
    </row>
    <row r="1841" customFormat="false" ht="15" hidden="false" customHeight="false" outlineLevel="0" collapsed="false">
      <c r="A1841" s="12"/>
      <c r="B1841" s="9"/>
      <c r="C1841" s="9"/>
      <c r="D1841" s="9"/>
      <c r="E1841" s="9"/>
      <c r="F1841" s="9"/>
      <c r="G1841" s="9"/>
      <c r="H1841" s="7"/>
      <c r="I1841" s="13" t="str">
        <f aca="false">IF(OR($G1841="",$H1841=""),"",ROUND($G1841*$H1841,0))</f>
        <v/>
      </c>
      <c r="J1841" s="8"/>
      <c r="K1841" s="13" t="str">
        <f aca="false">IF($B1841="","",SUMIFS($I$3:$I$2002,$B$3:$B$2002,$B1841))</f>
        <v/>
      </c>
      <c r="L1841" s="13" t="str">
        <f aca="false">IF($B1841="","",IF(COUNTIFS($B$3:$B1841,$B1841)&gt;1,0,IFERROR(LOOKUP($K1841,배송비규정!$A$3:$A$32,배송비규정!$B$3:$B$32),0)+IFERROR(INDEX(지역추가비!$B$3:$B$42,MATCH($J1841,지역추가비!$A$3:$A$42,0)),0)))</f>
        <v/>
      </c>
      <c r="M1841" s="13" t="str">
        <f aca="false">IF($B1841="","",IF(COUNTIFS($B$3:$B1841,$B1841)&gt;1,"",$K1841+$L1841))</f>
        <v/>
      </c>
      <c r="N1841" s="14" t="str">
        <f aca="false">IF($B1841="","",COUNTIFS($B$3:$B1841,$B1841))</f>
        <v/>
      </c>
      <c r="O1841" s="14" t="str">
        <f aca="false">IF($B1841="","",$B1841&amp;"|"&amp;$N1841)</f>
        <v/>
      </c>
    </row>
    <row r="1842" customFormat="false" ht="15" hidden="false" customHeight="false" outlineLevel="0" collapsed="false">
      <c r="A1842" s="12"/>
      <c r="B1842" s="9"/>
      <c r="C1842" s="9"/>
      <c r="D1842" s="9"/>
      <c r="E1842" s="9"/>
      <c r="F1842" s="9"/>
      <c r="G1842" s="9"/>
      <c r="H1842" s="7"/>
      <c r="I1842" s="13" t="str">
        <f aca="false">IF(OR($G1842="",$H1842=""),"",ROUND($G1842*$H1842,0))</f>
        <v/>
      </c>
      <c r="J1842" s="8"/>
      <c r="K1842" s="13" t="str">
        <f aca="false">IF($B1842="","",SUMIFS($I$3:$I$2002,$B$3:$B$2002,$B1842))</f>
        <v/>
      </c>
      <c r="L1842" s="13" t="str">
        <f aca="false">IF($B1842="","",IF(COUNTIFS($B$3:$B1842,$B1842)&gt;1,0,IFERROR(LOOKUP($K1842,배송비규정!$A$3:$A$32,배송비규정!$B$3:$B$32),0)+IFERROR(INDEX(지역추가비!$B$3:$B$42,MATCH($J1842,지역추가비!$A$3:$A$42,0)),0)))</f>
        <v/>
      </c>
      <c r="M1842" s="13" t="str">
        <f aca="false">IF($B1842="","",IF(COUNTIFS($B$3:$B1842,$B1842)&gt;1,"",$K1842+$L1842))</f>
        <v/>
      </c>
      <c r="N1842" s="14" t="str">
        <f aca="false">IF($B1842="","",COUNTIFS($B$3:$B1842,$B1842))</f>
        <v/>
      </c>
      <c r="O1842" s="14" t="str">
        <f aca="false">IF($B1842="","",$B1842&amp;"|"&amp;$N1842)</f>
        <v/>
      </c>
    </row>
    <row r="1843" customFormat="false" ht="15" hidden="false" customHeight="false" outlineLevel="0" collapsed="false">
      <c r="A1843" s="12"/>
      <c r="B1843" s="9"/>
      <c r="C1843" s="9"/>
      <c r="D1843" s="9"/>
      <c r="E1843" s="9"/>
      <c r="F1843" s="9"/>
      <c r="G1843" s="9"/>
      <c r="H1843" s="7"/>
      <c r="I1843" s="13" t="str">
        <f aca="false">IF(OR($G1843="",$H1843=""),"",ROUND($G1843*$H1843,0))</f>
        <v/>
      </c>
      <c r="J1843" s="8"/>
      <c r="K1843" s="13" t="str">
        <f aca="false">IF($B1843="","",SUMIFS($I$3:$I$2002,$B$3:$B$2002,$B1843))</f>
        <v/>
      </c>
      <c r="L1843" s="13" t="str">
        <f aca="false">IF($B1843="","",IF(COUNTIFS($B$3:$B1843,$B1843)&gt;1,0,IFERROR(LOOKUP($K1843,배송비규정!$A$3:$A$32,배송비규정!$B$3:$B$32),0)+IFERROR(INDEX(지역추가비!$B$3:$B$42,MATCH($J1843,지역추가비!$A$3:$A$42,0)),0)))</f>
        <v/>
      </c>
      <c r="M1843" s="13" t="str">
        <f aca="false">IF($B1843="","",IF(COUNTIFS($B$3:$B1843,$B1843)&gt;1,"",$K1843+$L1843))</f>
        <v/>
      </c>
      <c r="N1843" s="14" t="str">
        <f aca="false">IF($B1843="","",COUNTIFS($B$3:$B1843,$B1843))</f>
        <v/>
      </c>
      <c r="O1843" s="14" t="str">
        <f aca="false">IF($B1843="","",$B1843&amp;"|"&amp;$N1843)</f>
        <v/>
      </c>
    </row>
    <row r="1844" customFormat="false" ht="15" hidden="false" customHeight="false" outlineLevel="0" collapsed="false">
      <c r="A1844" s="12"/>
      <c r="B1844" s="9"/>
      <c r="C1844" s="9"/>
      <c r="D1844" s="9"/>
      <c r="E1844" s="9"/>
      <c r="F1844" s="9"/>
      <c r="G1844" s="9"/>
      <c r="H1844" s="7"/>
      <c r="I1844" s="13" t="str">
        <f aca="false">IF(OR($G1844="",$H1844=""),"",ROUND($G1844*$H1844,0))</f>
        <v/>
      </c>
      <c r="J1844" s="8"/>
      <c r="K1844" s="13" t="str">
        <f aca="false">IF($B1844="","",SUMIFS($I$3:$I$2002,$B$3:$B$2002,$B1844))</f>
        <v/>
      </c>
      <c r="L1844" s="13" t="str">
        <f aca="false">IF($B1844="","",IF(COUNTIFS($B$3:$B1844,$B1844)&gt;1,0,IFERROR(LOOKUP($K1844,배송비규정!$A$3:$A$32,배송비규정!$B$3:$B$32),0)+IFERROR(INDEX(지역추가비!$B$3:$B$42,MATCH($J1844,지역추가비!$A$3:$A$42,0)),0)))</f>
        <v/>
      </c>
      <c r="M1844" s="13" t="str">
        <f aca="false">IF($B1844="","",IF(COUNTIFS($B$3:$B1844,$B1844)&gt;1,"",$K1844+$L1844))</f>
        <v/>
      </c>
      <c r="N1844" s="14" t="str">
        <f aca="false">IF($B1844="","",COUNTIFS($B$3:$B1844,$B1844))</f>
        <v/>
      </c>
      <c r="O1844" s="14" t="str">
        <f aca="false">IF($B1844="","",$B1844&amp;"|"&amp;$N1844)</f>
        <v/>
      </c>
    </row>
    <row r="1845" customFormat="false" ht="15" hidden="false" customHeight="false" outlineLevel="0" collapsed="false">
      <c r="A1845" s="12"/>
      <c r="B1845" s="9"/>
      <c r="C1845" s="9"/>
      <c r="D1845" s="9"/>
      <c r="E1845" s="9"/>
      <c r="F1845" s="9"/>
      <c r="G1845" s="9"/>
      <c r="H1845" s="7"/>
      <c r="I1845" s="13" t="str">
        <f aca="false">IF(OR($G1845="",$H1845=""),"",ROUND($G1845*$H1845,0))</f>
        <v/>
      </c>
      <c r="J1845" s="8"/>
      <c r="K1845" s="13" t="str">
        <f aca="false">IF($B1845="","",SUMIFS($I$3:$I$2002,$B$3:$B$2002,$B1845))</f>
        <v/>
      </c>
      <c r="L1845" s="13" t="str">
        <f aca="false">IF($B1845="","",IF(COUNTIFS($B$3:$B1845,$B1845)&gt;1,0,IFERROR(LOOKUP($K1845,배송비규정!$A$3:$A$32,배송비규정!$B$3:$B$32),0)+IFERROR(INDEX(지역추가비!$B$3:$B$42,MATCH($J1845,지역추가비!$A$3:$A$42,0)),0)))</f>
        <v/>
      </c>
      <c r="M1845" s="13" t="str">
        <f aca="false">IF($B1845="","",IF(COUNTIFS($B$3:$B1845,$B1845)&gt;1,"",$K1845+$L1845))</f>
        <v/>
      </c>
      <c r="N1845" s="14" t="str">
        <f aca="false">IF($B1845="","",COUNTIFS($B$3:$B1845,$B1845))</f>
        <v/>
      </c>
      <c r="O1845" s="14" t="str">
        <f aca="false">IF($B1845="","",$B1845&amp;"|"&amp;$N1845)</f>
        <v/>
      </c>
    </row>
    <row r="1846" customFormat="false" ht="15" hidden="false" customHeight="false" outlineLevel="0" collapsed="false">
      <c r="A1846" s="12"/>
      <c r="B1846" s="9"/>
      <c r="C1846" s="9"/>
      <c r="D1846" s="9"/>
      <c r="E1846" s="9"/>
      <c r="F1846" s="9"/>
      <c r="G1846" s="9"/>
      <c r="H1846" s="7"/>
      <c r="I1846" s="13" t="str">
        <f aca="false">IF(OR($G1846="",$H1846=""),"",ROUND($G1846*$H1846,0))</f>
        <v/>
      </c>
      <c r="J1846" s="8"/>
      <c r="K1846" s="13" t="str">
        <f aca="false">IF($B1846="","",SUMIFS($I$3:$I$2002,$B$3:$B$2002,$B1846))</f>
        <v/>
      </c>
      <c r="L1846" s="13" t="str">
        <f aca="false">IF($B1846="","",IF(COUNTIFS($B$3:$B1846,$B1846)&gt;1,0,IFERROR(LOOKUP($K1846,배송비규정!$A$3:$A$32,배송비규정!$B$3:$B$32),0)+IFERROR(INDEX(지역추가비!$B$3:$B$42,MATCH($J1846,지역추가비!$A$3:$A$42,0)),0)))</f>
        <v/>
      </c>
      <c r="M1846" s="13" t="str">
        <f aca="false">IF($B1846="","",IF(COUNTIFS($B$3:$B1846,$B1846)&gt;1,"",$K1846+$L1846))</f>
        <v/>
      </c>
      <c r="N1846" s="14" t="str">
        <f aca="false">IF($B1846="","",COUNTIFS($B$3:$B1846,$B1846))</f>
        <v/>
      </c>
      <c r="O1846" s="14" t="str">
        <f aca="false">IF($B1846="","",$B1846&amp;"|"&amp;$N1846)</f>
        <v/>
      </c>
    </row>
    <row r="1847" customFormat="false" ht="15" hidden="false" customHeight="false" outlineLevel="0" collapsed="false">
      <c r="A1847" s="12"/>
      <c r="B1847" s="9"/>
      <c r="C1847" s="9"/>
      <c r="D1847" s="9"/>
      <c r="E1847" s="9"/>
      <c r="F1847" s="9"/>
      <c r="G1847" s="9"/>
      <c r="H1847" s="7"/>
      <c r="I1847" s="13" t="str">
        <f aca="false">IF(OR($G1847="",$H1847=""),"",ROUND($G1847*$H1847,0))</f>
        <v/>
      </c>
      <c r="J1847" s="8"/>
      <c r="K1847" s="13" t="str">
        <f aca="false">IF($B1847="","",SUMIFS($I$3:$I$2002,$B$3:$B$2002,$B1847))</f>
        <v/>
      </c>
      <c r="L1847" s="13" t="str">
        <f aca="false">IF($B1847="","",IF(COUNTIFS($B$3:$B1847,$B1847)&gt;1,0,IFERROR(LOOKUP($K1847,배송비규정!$A$3:$A$32,배송비규정!$B$3:$B$32),0)+IFERROR(INDEX(지역추가비!$B$3:$B$42,MATCH($J1847,지역추가비!$A$3:$A$42,0)),0)))</f>
        <v/>
      </c>
      <c r="M1847" s="13" t="str">
        <f aca="false">IF($B1847="","",IF(COUNTIFS($B$3:$B1847,$B1847)&gt;1,"",$K1847+$L1847))</f>
        <v/>
      </c>
      <c r="N1847" s="14" t="str">
        <f aca="false">IF($B1847="","",COUNTIFS($B$3:$B1847,$B1847))</f>
        <v/>
      </c>
      <c r="O1847" s="14" t="str">
        <f aca="false">IF($B1847="","",$B1847&amp;"|"&amp;$N1847)</f>
        <v/>
      </c>
    </row>
    <row r="1848" customFormat="false" ht="15" hidden="false" customHeight="false" outlineLevel="0" collapsed="false">
      <c r="A1848" s="12"/>
      <c r="B1848" s="9"/>
      <c r="C1848" s="9"/>
      <c r="D1848" s="9"/>
      <c r="E1848" s="9"/>
      <c r="F1848" s="9"/>
      <c r="G1848" s="9"/>
      <c r="H1848" s="7"/>
      <c r="I1848" s="13" t="str">
        <f aca="false">IF(OR($G1848="",$H1848=""),"",ROUND($G1848*$H1848,0))</f>
        <v/>
      </c>
      <c r="J1848" s="8"/>
      <c r="K1848" s="13" t="str">
        <f aca="false">IF($B1848="","",SUMIFS($I$3:$I$2002,$B$3:$B$2002,$B1848))</f>
        <v/>
      </c>
      <c r="L1848" s="13" t="str">
        <f aca="false">IF($B1848="","",IF(COUNTIFS($B$3:$B1848,$B1848)&gt;1,0,IFERROR(LOOKUP($K1848,배송비규정!$A$3:$A$32,배송비규정!$B$3:$B$32),0)+IFERROR(INDEX(지역추가비!$B$3:$B$42,MATCH($J1848,지역추가비!$A$3:$A$42,0)),0)))</f>
        <v/>
      </c>
      <c r="M1848" s="13" t="str">
        <f aca="false">IF($B1848="","",IF(COUNTIFS($B$3:$B1848,$B1848)&gt;1,"",$K1848+$L1848))</f>
        <v/>
      </c>
      <c r="N1848" s="14" t="str">
        <f aca="false">IF($B1848="","",COUNTIFS($B$3:$B1848,$B1848))</f>
        <v/>
      </c>
      <c r="O1848" s="14" t="str">
        <f aca="false">IF($B1848="","",$B1848&amp;"|"&amp;$N1848)</f>
        <v/>
      </c>
    </row>
    <row r="1849" customFormat="false" ht="15" hidden="false" customHeight="false" outlineLevel="0" collapsed="false">
      <c r="A1849" s="12"/>
      <c r="B1849" s="9"/>
      <c r="C1849" s="9"/>
      <c r="D1849" s="9"/>
      <c r="E1849" s="9"/>
      <c r="F1849" s="9"/>
      <c r="G1849" s="9"/>
      <c r="H1849" s="7"/>
      <c r="I1849" s="13" t="str">
        <f aca="false">IF(OR($G1849="",$H1849=""),"",ROUND($G1849*$H1849,0))</f>
        <v/>
      </c>
      <c r="J1849" s="8"/>
      <c r="K1849" s="13" t="str">
        <f aca="false">IF($B1849="","",SUMIFS($I$3:$I$2002,$B$3:$B$2002,$B1849))</f>
        <v/>
      </c>
      <c r="L1849" s="13" t="str">
        <f aca="false">IF($B1849="","",IF(COUNTIFS($B$3:$B1849,$B1849)&gt;1,0,IFERROR(LOOKUP($K1849,배송비규정!$A$3:$A$32,배송비규정!$B$3:$B$32),0)+IFERROR(INDEX(지역추가비!$B$3:$B$42,MATCH($J1849,지역추가비!$A$3:$A$42,0)),0)))</f>
        <v/>
      </c>
      <c r="M1849" s="13" t="str">
        <f aca="false">IF($B1849="","",IF(COUNTIFS($B$3:$B1849,$B1849)&gt;1,"",$K1849+$L1849))</f>
        <v/>
      </c>
      <c r="N1849" s="14" t="str">
        <f aca="false">IF($B1849="","",COUNTIFS($B$3:$B1849,$B1849))</f>
        <v/>
      </c>
      <c r="O1849" s="14" t="str">
        <f aca="false">IF($B1849="","",$B1849&amp;"|"&amp;$N1849)</f>
        <v/>
      </c>
    </row>
    <row r="1850" customFormat="false" ht="15" hidden="false" customHeight="false" outlineLevel="0" collapsed="false">
      <c r="A1850" s="12"/>
      <c r="B1850" s="9"/>
      <c r="C1850" s="9"/>
      <c r="D1850" s="9"/>
      <c r="E1850" s="9"/>
      <c r="F1850" s="9"/>
      <c r="G1850" s="9"/>
      <c r="H1850" s="7"/>
      <c r="I1850" s="13" t="str">
        <f aca="false">IF(OR($G1850="",$H1850=""),"",ROUND($G1850*$H1850,0))</f>
        <v/>
      </c>
      <c r="J1850" s="8"/>
      <c r="K1850" s="13" t="str">
        <f aca="false">IF($B1850="","",SUMIFS($I$3:$I$2002,$B$3:$B$2002,$B1850))</f>
        <v/>
      </c>
      <c r="L1850" s="13" t="str">
        <f aca="false">IF($B1850="","",IF(COUNTIFS($B$3:$B1850,$B1850)&gt;1,0,IFERROR(LOOKUP($K1850,배송비규정!$A$3:$A$32,배송비규정!$B$3:$B$32),0)+IFERROR(INDEX(지역추가비!$B$3:$B$42,MATCH($J1850,지역추가비!$A$3:$A$42,0)),0)))</f>
        <v/>
      </c>
      <c r="M1850" s="13" t="str">
        <f aca="false">IF($B1850="","",IF(COUNTIFS($B$3:$B1850,$B1850)&gt;1,"",$K1850+$L1850))</f>
        <v/>
      </c>
      <c r="N1850" s="14" t="str">
        <f aca="false">IF($B1850="","",COUNTIFS($B$3:$B1850,$B1850))</f>
        <v/>
      </c>
      <c r="O1850" s="14" t="str">
        <f aca="false">IF($B1850="","",$B1850&amp;"|"&amp;$N1850)</f>
        <v/>
      </c>
    </row>
    <row r="1851" customFormat="false" ht="15" hidden="false" customHeight="false" outlineLevel="0" collapsed="false">
      <c r="A1851" s="12"/>
      <c r="B1851" s="9"/>
      <c r="C1851" s="9"/>
      <c r="D1851" s="9"/>
      <c r="E1851" s="9"/>
      <c r="F1851" s="9"/>
      <c r="G1851" s="9"/>
      <c r="H1851" s="7"/>
      <c r="I1851" s="13" t="str">
        <f aca="false">IF(OR($G1851="",$H1851=""),"",ROUND($G1851*$H1851,0))</f>
        <v/>
      </c>
      <c r="J1851" s="8"/>
      <c r="K1851" s="13" t="str">
        <f aca="false">IF($B1851="","",SUMIFS($I$3:$I$2002,$B$3:$B$2002,$B1851))</f>
        <v/>
      </c>
      <c r="L1851" s="13" t="str">
        <f aca="false">IF($B1851="","",IF(COUNTIFS($B$3:$B1851,$B1851)&gt;1,0,IFERROR(LOOKUP($K1851,배송비규정!$A$3:$A$32,배송비규정!$B$3:$B$32),0)+IFERROR(INDEX(지역추가비!$B$3:$B$42,MATCH($J1851,지역추가비!$A$3:$A$42,0)),0)))</f>
        <v/>
      </c>
      <c r="M1851" s="13" t="str">
        <f aca="false">IF($B1851="","",IF(COUNTIFS($B$3:$B1851,$B1851)&gt;1,"",$K1851+$L1851))</f>
        <v/>
      </c>
      <c r="N1851" s="14" t="str">
        <f aca="false">IF($B1851="","",COUNTIFS($B$3:$B1851,$B1851))</f>
        <v/>
      </c>
      <c r="O1851" s="14" t="str">
        <f aca="false">IF($B1851="","",$B1851&amp;"|"&amp;$N1851)</f>
        <v/>
      </c>
    </row>
    <row r="1852" customFormat="false" ht="15" hidden="false" customHeight="false" outlineLevel="0" collapsed="false">
      <c r="A1852" s="12"/>
      <c r="B1852" s="9"/>
      <c r="C1852" s="9"/>
      <c r="D1852" s="9"/>
      <c r="E1852" s="9"/>
      <c r="F1852" s="9"/>
      <c r="G1852" s="9"/>
      <c r="H1852" s="7"/>
      <c r="I1852" s="13" t="str">
        <f aca="false">IF(OR($G1852="",$H1852=""),"",ROUND($G1852*$H1852,0))</f>
        <v/>
      </c>
      <c r="J1852" s="8"/>
      <c r="K1852" s="13" t="str">
        <f aca="false">IF($B1852="","",SUMIFS($I$3:$I$2002,$B$3:$B$2002,$B1852))</f>
        <v/>
      </c>
      <c r="L1852" s="13" t="str">
        <f aca="false">IF($B1852="","",IF(COUNTIFS($B$3:$B1852,$B1852)&gt;1,0,IFERROR(LOOKUP($K1852,배송비규정!$A$3:$A$32,배송비규정!$B$3:$B$32),0)+IFERROR(INDEX(지역추가비!$B$3:$B$42,MATCH($J1852,지역추가비!$A$3:$A$42,0)),0)))</f>
        <v/>
      </c>
      <c r="M1852" s="13" t="str">
        <f aca="false">IF($B1852="","",IF(COUNTIFS($B$3:$B1852,$B1852)&gt;1,"",$K1852+$L1852))</f>
        <v/>
      </c>
      <c r="N1852" s="14" t="str">
        <f aca="false">IF($B1852="","",COUNTIFS($B$3:$B1852,$B1852))</f>
        <v/>
      </c>
      <c r="O1852" s="14" t="str">
        <f aca="false">IF($B1852="","",$B1852&amp;"|"&amp;$N1852)</f>
        <v/>
      </c>
    </row>
    <row r="1853" customFormat="false" ht="15" hidden="false" customHeight="false" outlineLevel="0" collapsed="false">
      <c r="A1853" s="12"/>
      <c r="B1853" s="9"/>
      <c r="C1853" s="9"/>
      <c r="D1853" s="9"/>
      <c r="E1853" s="9"/>
      <c r="F1853" s="9"/>
      <c r="G1853" s="9"/>
      <c r="H1853" s="7"/>
      <c r="I1853" s="13" t="str">
        <f aca="false">IF(OR($G1853="",$H1853=""),"",ROUND($G1853*$H1853,0))</f>
        <v/>
      </c>
      <c r="J1853" s="8"/>
      <c r="K1853" s="13" t="str">
        <f aca="false">IF($B1853="","",SUMIFS($I$3:$I$2002,$B$3:$B$2002,$B1853))</f>
        <v/>
      </c>
      <c r="L1853" s="13" t="str">
        <f aca="false">IF($B1853="","",IF(COUNTIFS($B$3:$B1853,$B1853)&gt;1,0,IFERROR(LOOKUP($K1853,배송비규정!$A$3:$A$32,배송비규정!$B$3:$B$32),0)+IFERROR(INDEX(지역추가비!$B$3:$B$42,MATCH($J1853,지역추가비!$A$3:$A$42,0)),0)))</f>
        <v/>
      </c>
      <c r="M1853" s="13" t="str">
        <f aca="false">IF($B1853="","",IF(COUNTIFS($B$3:$B1853,$B1853)&gt;1,"",$K1853+$L1853))</f>
        <v/>
      </c>
      <c r="N1853" s="14" t="str">
        <f aca="false">IF($B1853="","",COUNTIFS($B$3:$B1853,$B1853))</f>
        <v/>
      </c>
      <c r="O1853" s="14" t="str">
        <f aca="false">IF($B1853="","",$B1853&amp;"|"&amp;$N1853)</f>
        <v/>
      </c>
    </row>
    <row r="1854" customFormat="false" ht="15" hidden="false" customHeight="false" outlineLevel="0" collapsed="false">
      <c r="A1854" s="12"/>
      <c r="B1854" s="9"/>
      <c r="C1854" s="9"/>
      <c r="D1854" s="9"/>
      <c r="E1854" s="9"/>
      <c r="F1854" s="9"/>
      <c r="G1854" s="9"/>
      <c r="H1854" s="7"/>
      <c r="I1854" s="13" t="str">
        <f aca="false">IF(OR($G1854="",$H1854=""),"",ROUND($G1854*$H1854,0))</f>
        <v/>
      </c>
      <c r="J1854" s="8"/>
      <c r="K1854" s="13" t="str">
        <f aca="false">IF($B1854="","",SUMIFS($I$3:$I$2002,$B$3:$B$2002,$B1854))</f>
        <v/>
      </c>
      <c r="L1854" s="13" t="str">
        <f aca="false">IF($B1854="","",IF(COUNTIFS($B$3:$B1854,$B1854)&gt;1,0,IFERROR(LOOKUP($K1854,배송비규정!$A$3:$A$32,배송비규정!$B$3:$B$32),0)+IFERROR(INDEX(지역추가비!$B$3:$B$42,MATCH($J1854,지역추가비!$A$3:$A$42,0)),0)))</f>
        <v/>
      </c>
      <c r="M1854" s="13" t="str">
        <f aca="false">IF($B1854="","",IF(COUNTIFS($B$3:$B1854,$B1854)&gt;1,"",$K1854+$L1854))</f>
        <v/>
      </c>
      <c r="N1854" s="14" t="str">
        <f aca="false">IF($B1854="","",COUNTIFS($B$3:$B1854,$B1854))</f>
        <v/>
      </c>
      <c r="O1854" s="14" t="str">
        <f aca="false">IF($B1854="","",$B1854&amp;"|"&amp;$N1854)</f>
        <v/>
      </c>
    </row>
    <row r="1855" customFormat="false" ht="15" hidden="false" customHeight="false" outlineLevel="0" collapsed="false">
      <c r="A1855" s="12"/>
      <c r="B1855" s="9"/>
      <c r="C1855" s="9"/>
      <c r="D1855" s="9"/>
      <c r="E1855" s="9"/>
      <c r="F1855" s="9"/>
      <c r="G1855" s="9"/>
      <c r="H1855" s="7"/>
      <c r="I1855" s="13" t="str">
        <f aca="false">IF(OR($G1855="",$H1855=""),"",ROUND($G1855*$H1855,0))</f>
        <v/>
      </c>
      <c r="J1855" s="8"/>
      <c r="K1855" s="13" t="str">
        <f aca="false">IF($B1855="","",SUMIFS($I$3:$I$2002,$B$3:$B$2002,$B1855))</f>
        <v/>
      </c>
      <c r="L1855" s="13" t="str">
        <f aca="false">IF($B1855="","",IF(COUNTIFS($B$3:$B1855,$B1855)&gt;1,0,IFERROR(LOOKUP($K1855,배송비규정!$A$3:$A$32,배송비규정!$B$3:$B$32),0)+IFERROR(INDEX(지역추가비!$B$3:$B$42,MATCH($J1855,지역추가비!$A$3:$A$42,0)),0)))</f>
        <v/>
      </c>
      <c r="M1855" s="13" t="str">
        <f aca="false">IF($B1855="","",IF(COUNTIFS($B$3:$B1855,$B1855)&gt;1,"",$K1855+$L1855))</f>
        <v/>
      </c>
      <c r="N1855" s="14" t="str">
        <f aca="false">IF($B1855="","",COUNTIFS($B$3:$B1855,$B1855))</f>
        <v/>
      </c>
      <c r="O1855" s="14" t="str">
        <f aca="false">IF($B1855="","",$B1855&amp;"|"&amp;$N1855)</f>
        <v/>
      </c>
    </row>
    <row r="1856" customFormat="false" ht="15" hidden="false" customHeight="false" outlineLevel="0" collapsed="false">
      <c r="A1856" s="12"/>
      <c r="B1856" s="9"/>
      <c r="C1856" s="9"/>
      <c r="D1856" s="9"/>
      <c r="E1856" s="9"/>
      <c r="F1856" s="9"/>
      <c r="G1856" s="9"/>
      <c r="H1856" s="7"/>
      <c r="I1856" s="13" t="str">
        <f aca="false">IF(OR($G1856="",$H1856=""),"",ROUND($G1856*$H1856,0))</f>
        <v/>
      </c>
      <c r="J1856" s="8"/>
      <c r="K1856" s="13" t="str">
        <f aca="false">IF($B1856="","",SUMIFS($I$3:$I$2002,$B$3:$B$2002,$B1856))</f>
        <v/>
      </c>
      <c r="L1856" s="13" t="str">
        <f aca="false">IF($B1856="","",IF(COUNTIFS($B$3:$B1856,$B1856)&gt;1,0,IFERROR(LOOKUP($K1856,배송비규정!$A$3:$A$32,배송비규정!$B$3:$B$32),0)+IFERROR(INDEX(지역추가비!$B$3:$B$42,MATCH($J1856,지역추가비!$A$3:$A$42,0)),0)))</f>
        <v/>
      </c>
      <c r="M1856" s="13" t="str">
        <f aca="false">IF($B1856="","",IF(COUNTIFS($B$3:$B1856,$B1856)&gt;1,"",$K1856+$L1856))</f>
        <v/>
      </c>
      <c r="N1856" s="14" t="str">
        <f aca="false">IF($B1856="","",COUNTIFS($B$3:$B1856,$B1856))</f>
        <v/>
      </c>
      <c r="O1856" s="14" t="str">
        <f aca="false">IF($B1856="","",$B1856&amp;"|"&amp;$N1856)</f>
        <v/>
      </c>
    </row>
    <row r="1857" customFormat="false" ht="15" hidden="false" customHeight="false" outlineLevel="0" collapsed="false">
      <c r="A1857" s="12"/>
      <c r="B1857" s="9"/>
      <c r="C1857" s="9"/>
      <c r="D1857" s="9"/>
      <c r="E1857" s="9"/>
      <c r="F1857" s="9"/>
      <c r="G1857" s="9"/>
      <c r="H1857" s="7"/>
      <c r="I1857" s="13" t="str">
        <f aca="false">IF(OR($G1857="",$H1857=""),"",ROUND($G1857*$H1857,0))</f>
        <v/>
      </c>
      <c r="J1857" s="8"/>
      <c r="K1857" s="13" t="str">
        <f aca="false">IF($B1857="","",SUMIFS($I$3:$I$2002,$B$3:$B$2002,$B1857))</f>
        <v/>
      </c>
      <c r="L1857" s="13" t="str">
        <f aca="false">IF($B1857="","",IF(COUNTIFS($B$3:$B1857,$B1857)&gt;1,0,IFERROR(LOOKUP($K1857,배송비규정!$A$3:$A$32,배송비규정!$B$3:$B$32),0)+IFERROR(INDEX(지역추가비!$B$3:$B$42,MATCH($J1857,지역추가비!$A$3:$A$42,0)),0)))</f>
        <v/>
      </c>
      <c r="M1857" s="13" t="str">
        <f aca="false">IF($B1857="","",IF(COUNTIFS($B$3:$B1857,$B1857)&gt;1,"",$K1857+$L1857))</f>
        <v/>
      </c>
      <c r="N1857" s="14" t="str">
        <f aca="false">IF($B1857="","",COUNTIFS($B$3:$B1857,$B1857))</f>
        <v/>
      </c>
      <c r="O1857" s="14" t="str">
        <f aca="false">IF($B1857="","",$B1857&amp;"|"&amp;$N1857)</f>
        <v/>
      </c>
    </row>
    <row r="1858" customFormat="false" ht="15" hidden="false" customHeight="false" outlineLevel="0" collapsed="false">
      <c r="A1858" s="12"/>
      <c r="B1858" s="9"/>
      <c r="C1858" s="9"/>
      <c r="D1858" s="9"/>
      <c r="E1858" s="9"/>
      <c r="F1858" s="9"/>
      <c r="G1858" s="9"/>
      <c r="H1858" s="7"/>
      <c r="I1858" s="13" t="str">
        <f aca="false">IF(OR($G1858="",$H1858=""),"",ROUND($G1858*$H1858,0))</f>
        <v/>
      </c>
      <c r="J1858" s="8"/>
      <c r="K1858" s="13" t="str">
        <f aca="false">IF($B1858="","",SUMIFS($I$3:$I$2002,$B$3:$B$2002,$B1858))</f>
        <v/>
      </c>
      <c r="L1858" s="13" t="str">
        <f aca="false">IF($B1858="","",IF(COUNTIFS($B$3:$B1858,$B1858)&gt;1,0,IFERROR(LOOKUP($K1858,배송비규정!$A$3:$A$32,배송비규정!$B$3:$B$32),0)+IFERROR(INDEX(지역추가비!$B$3:$B$42,MATCH($J1858,지역추가비!$A$3:$A$42,0)),0)))</f>
        <v/>
      </c>
      <c r="M1858" s="13" t="str">
        <f aca="false">IF($B1858="","",IF(COUNTIFS($B$3:$B1858,$B1858)&gt;1,"",$K1858+$L1858))</f>
        <v/>
      </c>
      <c r="N1858" s="14" t="str">
        <f aca="false">IF($B1858="","",COUNTIFS($B$3:$B1858,$B1858))</f>
        <v/>
      </c>
      <c r="O1858" s="14" t="str">
        <f aca="false">IF($B1858="","",$B1858&amp;"|"&amp;$N1858)</f>
        <v/>
      </c>
    </row>
    <row r="1859" customFormat="false" ht="15" hidden="false" customHeight="false" outlineLevel="0" collapsed="false">
      <c r="A1859" s="12"/>
      <c r="B1859" s="9"/>
      <c r="C1859" s="9"/>
      <c r="D1859" s="9"/>
      <c r="E1859" s="9"/>
      <c r="F1859" s="9"/>
      <c r="G1859" s="9"/>
      <c r="H1859" s="7"/>
      <c r="I1859" s="13" t="str">
        <f aca="false">IF(OR($G1859="",$H1859=""),"",ROUND($G1859*$H1859,0))</f>
        <v/>
      </c>
      <c r="J1859" s="8"/>
      <c r="K1859" s="13" t="str">
        <f aca="false">IF($B1859="","",SUMIFS($I$3:$I$2002,$B$3:$B$2002,$B1859))</f>
        <v/>
      </c>
      <c r="L1859" s="13" t="str">
        <f aca="false">IF($B1859="","",IF(COUNTIFS($B$3:$B1859,$B1859)&gt;1,0,IFERROR(LOOKUP($K1859,배송비규정!$A$3:$A$32,배송비규정!$B$3:$B$32),0)+IFERROR(INDEX(지역추가비!$B$3:$B$42,MATCH($J1859,지역추가비!$A$3:$A$42,0)),0)))</f>
        <v/>
      </c>
      <c r="M1859" s="13" t="str">
        <f aca="false">IF($B1859="","",IF(COUNTIFS($B$3:$B1859,$B1859)&gt;1,"",$K1859+$L1859))</f>
        <v/>
      </c>
      <c r="N1859" s="14" t="str">
        <f aca="false">IF($B1859="","",COUNTIFS($B$3:$B1859,$B1859))</f>
        <v/>
      </c>
      <c r="O1859" s="14" t="str">
        <f aca="false">IF($B1859="","",$B1859&amp;"|"&amp;$N1859)</f>
        <v/>
      </c>
    </row>
    <row r="1860" customFormat="false" ht="15" hidden="false" customHeight="false" outlineLevel="0" collapsed="false">
      <c r="A1860" s="12"/>
      <c r="B1860" s="9"/>
      <c r="C1860" s="9"/>
      <c r="D1860" s="9"/>
      <c r="E1860" s="9"/>
      <c r="F1860" s="9"/>
      <c r="G1860" s="9"/>
      <c r="H1860" s="7"/>
      <c r="I1860" s="13" t="str">
        <f aca="false">IF(OR($G1860="",$H1860=""),"",ROUND($G1860*$H1860,0))</f>
        <v/>
      </c>
      <c r="J1860" s="8"/>
      <c r="K1860" s="13" t="str">
        <f aca="false">IF($B1860="","",SUMIFS($I$3:$I$2002,$B$3:$B$2002,$B1860))</f>
        <v/>
      </c>
      <c r="L1860" s="13" t="str">
        <f aca="false">IF($B1860="","",IF(COUNTIFS($B$3:$B1860,$B1860)&gt;1,0,IFERROR(LOOKUP($K1860,배송비규정!$A$3:$A$32,배송비규정!$B$3:$B$32),0)+IFERROR(INDEX(지역추가비!$B$3:$B$42,MATCH($J1860,지역추가비!$A$3:$A$42,0)),0)))</f>
        <v/>
      </c>
      <c r="M1860" s="13" t="str">
        <f aca="false">IF($B1860="","",IF(COUNTIFS($B$3:$B1860,$B1860)&gt;1,"",$K1860+$L1860))</f>
        <v/>
      </c>
      <c r="N1860" s="14" t="str">
        <f aca="false">IF($B1860="","",COUNTIFS($B$3:$B1860,$B1860))</f>
        <v/>
      </c>
      <c r="O1860" s="14" t="str">
        <f aca="false">IF($B1860="","",$B1860&amp;"|"&amp;$N1860)</f>
        <v/>
      </c>
    </row>
    <row r="1861" customFormat="false" ht="15" hidden="false" customHeight="false" outlineLevel="0" collapsed="false">
      <c r="A1861" s="12"/>
      <c r="B1861" s="9"/>
      <c r="C1861" s="9"/>
      <c r="D1861" s="9"/>
      <c r="E1861" s="9"/>
      <c r="F1861" s="9"/>
      <c r="G1861" s="9"/>
      <c r="H1861" s="7"/>
      <c r="I1861" s="13" t="str">
        <f aca="false">IF(OR($G1861="",$H1861=""),"",ROUND($G1861*$H1861,0))</f>
        <v/>
      </c>
      <c r="J1861" s="8"/>
      <c r="K1861" s="13" t="str">
        <f aca="false">IF($B1861="","",SUMIFS($I$3:$I$2002,$B$3:$B$2002,$B1861))</f>
        <v/>
      </c>
      <c r="L1861" s="13" t="str">
        <f aca="false">IF($B1861="","",IF(COUNTIFS($B$3:$B1861,$B1861)&gt;1,0,IFERROR(LOOKUP($K1861,배송비규정!$A$3:$A$32,배송비규정!$B$3:$B$32),0)+IFERROR(INDEX(지역추가비!$B$3:$B$42,MATCH($J1861,지역추가비!$A$3:$A$42,0)),0)))</f>
        <v/>
      </c>
      <c r="M1861" s="13" t="str">
        <f aca="false">IF($B1861="","",IF(COUNTIFS($B$3:$B1861,$B1861)&gt;1,"",$K1861+$L1861))</f>
        <v/>
      </c>
      <c r="N1861" s="14" t="str">
        <f aca="false">IF($B1861="","",COUNTIFS($B$3:$B1861,$B1861))</f>
        <v/>
      </c>
      <c r="O1861" s="14" t="str">
        <f aca="false">IF($B1861="","",$B1861&amp;"|"&amp;$N1861)</f>
        <v/>
      </c>
    </row>
    <row r="1862" customFormat="false" ht="15" hidden="false" customHeight="false" outlineLevel="0" collapsed="false">
      <c r="A1862" s="12"/>
      <c r="B1862" s="9"/>
      <c r="C1862" s="9"/>
      <c r="D1862" s="9"/>
      <c r="E1862" s="9"/>
      <c r="F1862" s="9"/>
      <c r="G1862" s="9"/>
      <c r="H1862" s="7"/>
      <c r="I1862" s="13" t="str">
        <f aca="false">IF(OR($G1862="",$H1862=""),"",ROUND($G1862*$H1862,0))</f>
        <v/>
      </c>
      <c r="J1862" s="8"/>
      <c r="K1862" s="13" t="str">
        <f aca="false">IF($B1862="","",SUMIFS($I$3:$I$2002,$B$3:$B$2002,$B1862))</f>
        <v/>
      </c>
      <c r="L1862" s="13" t="str">
        <f aca="false">IF($B1862="","",IF(COUNTIFS($B$3:$B1862,$B1862)&gt;1,0,IFERROR(LOOKUP($K1862,배송비규정!$A$3:$A$32,배송비규정!$B$3:$B$32),0)+IFERROR(INDEX(지역추가비!$B$3:$B$42,MATCH($J1862,지역추가비!$A$3:$A$42,0)),0)))</f>
        <v/>
      </c>
      <c r="M1862" s="13" t="str">
        <f aca="false">IF($B1862="","",IF(COUNTIFS($B$3:$B1862,$B1862)&gt;1,"",$K1862+$L1862))</f>
        <v/>
      </c>
      <c r="N1862" s="14" t="str">
        <f aca="false">IF($B1862="","",COUNTIFS($B$3:$B1862,$B1862))</f>
        <v/>
      </c>
      <c r="O1862" s="14" t="str">
        <f aca="false">IF($B1862="","",$B1862&amp;"|"&amp;$N1862)</f>
        <v/>
      </c>
    </row>
    <row r="1863" customFormat="false" ht="15" hidden="false" customHeight="false" outlineLevel="0" collapsed="false">
      <c r="A1863" s="12"/>
      <c r="B1863" s="9"/>
      <c r="C1863" s="9"/>
      <c r="D1863" s="9"/>
      <c r="E1863" s="9"/>
      <c r="F1863" s="9"/>
      <c r="G1863" s="9"/>
      <c r="H1863" s="7"/>
      <c r="I1863" s="13" t="str">
        <f aca="false">IF(OR($G1863="",$H1863=""),"",ROUND($G1863*$H1863,0))</f>
        <v/>
      </c>
      <c r="J1863" s="8"/>
      <c r="K1863" s="13" t="str">
        <f aca="false">IF($B1863="","",SUMIFS($I$3:$I$2002,$B$3:$B$2002,$B1863))</f>
        <v/>
      </c>
      <c r="L1863" s="13" t="str">
        <f aca="false">IF($B1863="","",IF(COUNTIFS($B$3:$B1863,$B1863)&gt;1,0,IFERROR(LOOKUP($K1863,배송비규정!$A$3:$A$32,배송비규정!$B$3:$B$32),0)+IFERROR(INDEX(지역추가비!$B$3:$B$42,MATCH($J1863,지역추가비!$A$3:$A$42,0)),0)))</f>
        <v/>
      </c>
      <c r="M1863" s="13" t="str">
        <f aca="false">IF($B1863="","",IF(COUNTIFS($B$3:$B1863,$B1863)&gt;1,"",$K1863+$L1863))</f>
        <v/>
      </c>
      <c r="N1863" s="14" t="str">
        <f aca="false">IF($B1863="","",COUNTIFS($B$3:$B1863,$B1863))</f>
        <v/>
      </c>
      <c r="O1863" s="14" t="str">
        <f aca="false">IF($B1863="","",$B1863&amp;"|"&amp;$N1863)</f>
        <v/>
      </c>
    </row>
    <row r="1864" customFormat="false" ht="15" hidden="false" customHeight="false" outlineLevel="0" collapsed="false">
      <c r="A1864" s="12"/>
      <c r="B1864" s="9"/>
      <c r="C1864" s="9"/>
      <c r="D1864" s="9"/>
      <c r="E1864" s="9"/>
      <c r="F1864" s="9"/>
      <c r="G1864" s="9"/>
      <c r="H1864" s="7"/>
      <c r="I1864" s="13" t="str">
        <f aca="false">IF(OR($G1864="",$H1864=""),"",ROUND($G1864*$H1864,0))</f>
        <v/>
      </c>
      <c r="J1864" s="8"/>
      <c r="K1864" s="13" t="str">
        <f aca="false">IF($B1864="","",SUMIFS($I$3:$I$2002,$B$3:$B$2002,$B1864))</f>
        <v/>
      </c>
      <c r="L1864" s="13" t="str">
        <f aca="false">IF($B1864="","",IF(COUNTIFS($B$3:$B1864,$B1864)&gt;1,0,IFERROR(LOOKUP($K1864,배송비규정!$A$3:$A$32,배송비규정!$B$3:$B$32),0)+IFERROR(INDEX(지역추가비!$B$3:$B$42,MATCH($J1864,지역추가비!$A$3:$A$42,0)),0)))</f>
        <v/>
      </c>
      <c r="M1864" s="13" t="str">
        <f aca="false">IF($B1864="","",IF(COUNTIFS($B$3:$B1864,$B1864)&gt;1,"",$K1864+$L1864))</f>
        <v/>
      </c>
      <c r="N1864" s="14" t="str">
        <f aca="false">IF($B1864="","",COUNTIFS($B$3:$B1864,$B1864))</f>
        <v/>
      </c>
      <c r="O1864" s="14" t="str">
        <f aca="false">IF($B1864="","",$B1864&amp;"|"&amp;$N1864)</f>
        <v/>
      </c>
    </row>
    <row r="1865" customFormat="false" ht="15" hidden="false" customHeight="false" outlineLevel="0" collapsed="false">
      <c r="A1865" s="12"/>
      <c r="B1865" s="9"/>
      <c r="C1865" s="9"/>
      <c r="D1865" s="9"/>
      <c r="E1865" s="9"/>
      <c r="F1865" s="9"/>
      <c r="G1865" s="9"/>
      <c r="H1865" s="7"/>
      <c r="I1865" s="13" t="str">
        <f aca="false">IF(OR($G1865="",$H1865=""),"",ROUND($G1865*$H1865,0))</f>
        <v/>
      </c>
      <c r="J1865" s="8"/>
      <c r="K1865" s="13" t="str">
        <f aca="false">IF($B1865="","",SUMIFS($I$3:$I$2002,$B$3:$B$2002,$B1865))</f>
        <v/>
      </c>
      <c r="L1865" s="13" t="str">
        <f aca="false">IF($B1865="","",IF(COUNTIFS($B$3:$B1865,$B1865)&gt;1,0,IFERROR(LOOKUP($K1865,배송비규정!$A$3:$A$32,배송비규정!$B$3:$B$32),0)+IFERROR(INDEX(지역추가비!$B$3:$B$42,MATCH($J1865,지역추가비!$A$3:$A$42,0)),0)))</f>
        <v/>
      </c>
      <c r="M1865" s="13" t="str">
        <f aca="false">IF($B1865="","",IF(COUNTIFS($B$3:$B1865,$B1865)&gt;1,"",$K1865+$L1865))</f>
        <v/>
      </c>
      <c r="N1865" s="14" t="str">
        <f aca="false">IF($B1865="","",COUNTIFS($B$3:$B1865,$B1865))</f>
        <v/>
      </c>
      <c r="O1865" s="14" t="str">
        <f aca="false">IF($B1865="","",$B1865&amp;"|"&amp;$N1865)</f>
        <v/>
      </c>
    </row>
    <row r="1866" customFormat="false" ht="15" hidden="false" customHeight="false" outlineLevel="0" collapsed="false">
      <c r="A1866" s="12"/>
      <c r="B1866" s="9"/>
      <c r="C1866" s="9"/>
      <c r="D1866" s="9"/>
      <c r="E1866" s="9"/>
      <c r="F1866" s="9"/>
      <c r="G1866" s="9"/>
      <c r="H1866" s="7"/>
      <c r="I1866" s="13" t="str">
        <f aca="false">IF(OR($G1866="",$H1866=""),"",ROUND($G1866*$H1866,0))</f>
        <v/>
      </c>
      <c r="J1866" s="8"/>
      <c r="K1866" s="13" t="str">
        <f aca="false">IF($B1866="","",SUMIFS($I$3:$I$2002,$B$3:$B$2002,$B1866))</f>
        <v/>
      </c>
      <c r="L1866" s="13" t="str">
        <f aca="false">IF($B1866="","",IF(COUNTIFS($B$3:$B1866,$B1866)&gt;1,0,IFERROR(LOOKUP($K1866,배송비규정!$A$3:$A$32,배송비규정!$B$3:$B$32),0)+IFERROR(INDEX(지역추가비!$B$3:$B$42,MATCH($J1866,지역추가비!$A$3:$A$42,0)),0)))</f>
        <v/>
      </c>
      <c r="M1866" s="13" t="str">
        <f aca="false">IF($B1866="","",IF(COUNTIFS($B$3:$B1866,$B1866)&gt;1,"",$K1866+$L1866))</f>
        <v/>
      </c>
      <c r="N1866" s="14" t="str">
        <f aca="false">IF($B1866="","",COUNTIFS($B$3:$B1866,$B1866))</f>
        <v/>
      </c>
      <c r="O1866" s="14" t="str">
        <f aca="false">IF($B1866="","",$B1866&amp;"|"&amp;$N1866)</f>
        <v/>
      </c>
    </row>
    <row r="1867" customFormat="false" ht="15" hidden="false" customHeight="false" outlineLevel="0" collapsed="false">
      <c r="A1867" s="12"/>
      <c r="B1867" s="9"/>
      <c r="C1867" s="9"/>
      <c r="D1867" s="9"/>
      <c r="E1867" s="9"/>
      <c r="F1867" s="9"/>
      <c r="G1867" s="9"/>
      <c r="H1867" s="7"/>
      <c r="I1867" s="13" t="str">
        <f aca="false">IF(OR($G1867="",$H1867=""),"",ROUND($G1867*$H1867,0))</f>
        <v/>
      </c>
      <c r="J1867" s="8"/>
      <c r="K1867" s="13" t="str">
        <f aca="false">IF($B1867="","",SUMIFS($I$3:$I$2002,$B$3:$B$2002,$B1867))</f>
        <v/>
      </c>
      <c r="L1867" s="13" t="str">
        <f aca="false">IF($B1867="","",IF(COUNTIFS($B$3:$B1867,$B1867)&gt;1,0,IFERROR(LOOKUP($K1867,배송비규정!$A$3:$A$32,배송비규정!$B$3:$B$32),0)+IFERROR(INDEX(지역추가비!$B$3:$B$42,MATCH($J1867,지역추가비!$A$3:$A$42,0)),0)))</f>
        <v/>
      </c>
      <c r="M1867" s="13" t="str">
        <f aca="false">IF($B1867="","",IF(COUNTIFS($B$3:$B1867,$B1867)&gt;1,"",$K1867+$L1867))</f>
        <v/>
      </c>
      <c r="N1867" s="14" t="str">
        <f aca="false">IF($B1867="","",COUNTIFS($B$3:$B1867,$B1867))</f>
        <v/>
      </c>
      <c r="O1867" s="14" t="str">
        <f aca="false">IF($B1867="","",$B1867&amp;"|"&amp;$N1867)</f>
        <v/>
      </c>
    </row>
    <row r="1868" customFormat="false" ht="15" hidden="false" customHeight="false" outlineLevel="0" collapsed="false">
      <c r="A1868" s="12"/>
      <c r="B1868" s="9"/>
      <c r="C1868" s="9"/>
      <c r="D1868" s="9"/>
      <c r="E1868" s="9"/>
      <c r="F1868" s="9"/>
      <c r="G1868" s="9"/>
      <c r="H1868" s="7"/>
      <c r="I1868" s="13" t="str">
        <f aca="false">IF(OR($G1868="",$H1868=""),"",ROUND($G1868*$H1868,0))</f>
        <v/>
      </c>
      <c r="J1868" s="8"/>
      <c r="K1868" s="13" t="str">
        <f aca="false">IF($B1868="","",SUMIFS($I$3:$I$2002,$B$3:$B$2002,$B1868))</f>
        <v/>
      </c>
      <c r="L1868" s="13" t="str">
        <f aca="false">IF($B1868="","",IF(COUNTIFS($B$3:$B1868,$B1868)&gt;1,0,IFERROR(LOOKUP($K1868,배송비규정!$A$3:$A$32,배송비규정!$B$3:$B$32),0)+IFERROR(INDEX(지역추가비!$B$3:$B$42,MATCH($J1868,지역추가비!$A$3:$A$42,0)),0)))</f>
        <v/>
      </c>
      <c r="M1868" s="13" t="str">
        <f aca="false">IF($B1868="","",IF(COUNTIFS($B$3:$B1868,$B1868)&gt;1,"",$K1868+$L1868))</f>
        <v/>
      </c>
      <c r="N1868" s="14" t="str">
        <f aca="false">IF($B1868="","",COUNTIFS($B$3:$B1868,$B1868))</f>
        <v/>
      </c>
      <c r="O1868" s="14" t="str">
        <f aca="false">IF($B1868="","",$B1868&amp;"|"&amp;$N1868)</f>
        <v/>
      </c>
    </row>
    <row r="1869" customFormat="false" ht="15" hidden="false" customHeight="false" outlineLevel="0" collapsed="false">
      <c r="A1869" s="12"/>
      <c r="B1869" s="9"/>
      <c r="C1869" s="9"/>
      <c r="D1869" s="9"/>
      <c r="E1869" s="9"/>
      <c r="F1869" s="9"/>
      <c r="G1869" s="9"/>
      <c r="H1869" s="7"/>
      <c r="I1869" s="13" t="str">
        <f aca="false">IF(OR($G1869="",$H1869=""),"",ROUND($G1869*$H1869,0))</f>
        <v/>
      </c>
      <c r="J1869" s="8"/>
      <c r="K1869" s="13" t="str">
        <f aca="false">IF($B1869="","",SUMIFS($I$3:$I$2002,$B$3:$B$2002,$B1869))</f>
        <v/>
      </c>
      <c r="L1869" s="13" t="str">
        <f aca="false">IF($B1869="","",IF(COUNTIFS($B$3:$B1869,$B1869)&gt;1,0,IFERROR(LOOKUP($K1869,배송비규정!$A$3:$A$32,배송비규정!$B$3:$B$32),0)+IFERROR(INDEX(지역추가비!$B$3:$B$42,MATCH($J1869,지역추가비!$A$3:$A$42,0)),0)))</f>
        <v/>
      </c>
      <c r="M1869" s="13" t="str">
        <f aca="false">IF($B1869="","",IF(COUNTIFS($B$3:$B1869,$B1869)&gt;1,"",$K1869+$L1869))</f>
        <v/>
      </c>
      <c r="N1869" s="14" t="str">
        <f aca="false">IF($B1869="","",COUNTIFS($B$3:$B1869,$B1869))</f>
        <v/>
      </c>
      <c r="O1869" s="14" t="str">
        <f aca="false">IF($B1869="","",$B1869&amp;"|"&amp;$N1869)</f>
        <v/>
      </c>
    </row>
    <row r="1870" customFormat="false" ht="15" hidden="false" customHeight="false" outlineLevel="0" collapsed="false">
      <c r="A1870" s="12"/>
      <c r="B1870" s="9"/>
      <c r="C1870" s="9"/>
      <c r="D1870" s="9"/>
      <c r="E1870" s="9"/>
      <c r="F1870" s="9"/>
      <c r="G1870" s="9"/>
      <c r="H1870" s="7"/>
      <c r="I1870" s="13" t="str">
        <f aca="false">IF(OR($G1870="",$H1870=""),"",ROUND($G1870*$H1870,0))</f>
        <v/>
      </c>
      <c r="J1870" s="8"/>
      <c r="K1870" s="13" t="str">
        <f aca="false">IF($B1870="","",SUMIFS($I$3:$I$2002,$B$3:$B$2002,$B1870))</f>
        <v/>
      </c>
      <c r="L1870" s="13" t="str">
        <f aca="false">IF($B1870="","",IF(COUNTIFS($B$3:$B1870,$B1870)&gt;1,0,IFERROR(LOOKUP($K1870,배송비규정!$A$3:$A$32,배송비규정!$B$3:$B$32),0)+IFERROR(INDEX(지역추가비!$B$3:$B$42,MATCH($J1870,지역추가비!$A$3:$A$42,0)),0)))</f>
        <v/>
      </c>
      <c r="M1870" s="13" t="str">
        <f aca="false">IF($B1870="","",IF(COUNTIFS($B$3:$B1870,$B1870)&gt;1,"",$K1870+$L1870))</f>
        <v/>
      </c>
      <c r="N1870" s="14" t="str">
        <f aca="false">IF($B1870="","",COUNTIFS($B$3:$B1870,$B1870))</f>
        <v/>
      </c>
      <c r="O1870" s="14" t="str">
        <f aca="false">IF($B1870="","",$B1870&amp;"|"&amp;$N1870)</f>
        <v/>
      </c>
    </row>
    <row r="1871" customFormat="false" ht="15" hidden="false" customHeight="false" outlineLevel="0" collapsed="false">
      <c r="A1871" s="12"/>
      <c r="B1871" s="9"/>
      <c r="C1871" s="9"/>
      <c r="D1871" s="9"/>
      <c r="E1871" s="9"/>
      <c r="F1871" s="9"/>
      <c r="G1871" s="9"/>
      <c r="H1871" s="7"/>
      <c r="I1871" s="13" t="str">
        <f aca="false">IF(OR($G1871="",$H1871=""),"",ROUND($G1871*$H1871,0))</f>
        <v/>
      </c>
      <c r="J1871" s="8"/>
      <c r="K1871" s="13" t="str">
        <f aca="false">IF($B1871="","",SUMIFS($I$3:$I$2002,$B$3:$B$2002,$B1871))</f>
        <v/>
      </c>
      <c r="L1871" s="13" t="str">
        <f aca="false">IF($B1871="","",IF(COUNTIFS($B$3:$B1871,$B1871)&gt;1,0,IFERROR(LOOKUP($K1871,배송비규정!$A$3:$A$32,배송비규정!$B$3:$B$32),0)+IFERROR(INDEX(지역추가비!$B$3:$B$42,MATCH($J1871,지역추가비!$A$3:$A$42,0)),0)))</f>
        <v/>
      </c>
      <c r="M1871" s="13" t="str">
        <f aca="false">IF($B1871="","",IF(COUNTIFS($B$3:$B1871,$B1871)&gt;1,"",$K1871+$L1871))</f>
        <v/>
      </c>
      <c r="N1871" s="14" t="str">
        <f aca="false">IF($B1871="","",COUNTIFS($B$3:$B1871,$B1871))</f>
        <v/>
      </c>
      <c r="O1871" s="14" t="str">
        <f aca="false">IF($B1871="","",$B1871&amp;"|"&amp;$N1871)</f>
        <v/>
      </c>
    </row>
    <row r="1872" customFormat="false" ht="15" hidden="false" customHeight="false" outlineLevel="0" collapsed="false">
      <c r="A1872" s="12"/>
      <c r="B1872" s="9"/>
      <c r="C1872" s="9"/>
      <c r="D1872" s="9"/>
      <c r="E1872" s="9"/>
      <c r="F1872" s="9"/>
      <c r="G1872" s="9"/>
      <c r="H1872" s="7"/>
      <c r="I1872" s="13" t="str">
        <f aca="false">IF(OR($G1872="",$H1872=""),"",ROUND($G1872*$H1872,0))</f>
        <v/>
      </c>
      <c r="J1872" s="8"/>
      <c r="K1872" s="13" t="str">
        <f aca="false">IF($B1872="","",SUMIFS($I$3:$I$2002,$B$3:$B$2002,$B1872))</f>
        <v/>
      </c>
      <c r="L1872" s="13" t="str">
        <f aca="false">IF($B1872="","",IF(COUNTIFS($B$3:$B1872,$B1872)&gt;1,0,IFERROR(LOOKUP($K1872,배송비규정!$A$3:$A$32,배송비규정!$B$3:$B$32),0)+IFERROR(INDEX(지역추가비!$B$3:$B$42,MATCH($J1872,지역추가비!$A$3:$A$42,0)),0)))</f>
        <v/>
      </c>
      <c r="M1872" s="13" t="str">
        <f aca="false">IF($B1872="","",IF(COUNTIFS($B$3:$B1872,$B1872)&gt;1,"",$K1872+$L1872))</f>
        <v/>
      </c>
      <c r="N1872" s="14" t="str">
        <f aca="false">IF($B1872="","",COUNTIFS($B$3:$B1872,$B1872))</f>
        <v/>
      </c>
      <c r="O1872" s="14" t="str">
        <f aca="false">IF($B1872="","",$B1872&amp;"|"&amp;$N1872)</f>
        <v/>
      </c>
    </row>
    <row r="1873" customFormat="false" ht="15" hidden="false" customHeight="false" outlineLevel="0" collapsed="false">
      <c r="A1873" s="12"/>
      <c r="B1873" s="9"/>
      <c r="C1873" s="9"/>
      <c r="D1873" s="9"/>
      <c r="E1873" s="9"/>
      <c r="F1873" s="9"/>
      <c r="G1873" s="9"/>
      <c r="H1873" s="7"/>
      <c r="I1873" s="13" t="str">
        <f aca="false">IF(OR($G1873="",$H1873=""),"",ROUND($G1873*$H1873,0))</f>
        <v/>
      </c>
      <c r="J1873" s="8"/>
      <c r="K1873" s="13" t="str">
        <f aca="false">IF($B1873="","",SUMIFS($I$3:$I$2002,$B$3:$B$2002,$B1873))</f>
        <v/>
      </c>
      <c r="L1873" s="13" t="str">
        <f aca="false">IF($B1873="","",IF(COUNTIFS($B$3:$B1873,$B1873)&gt;1,0,IFERROR(LOOKUP($K1873,배송비규정!$A$3:$A$32,배송비규정!$B$3:$B$32),0)+IFERROR(INDEX(지역추가비!$B$3:$B$42,MATCH($J1873,지역추가비!$A$3:$A$42,0)),0)))</f>
        <v/>
      </c>
      <c r="M1873" s="13" t="str">
        <f aca="false">IF($B1873="","",IF(COUNTIFS($B$3:$B1873,$B1873)&gt;1,"",$K1873+$L1873))</f>
        <v/>
      </c>
      <c r="N1873" s="14" t="str">
        <f aca="false">IF($B1873="","",COUNTIFS($B$3:$B1873,$B1873))</f>
        <v/>
      </c>
      <c r="O1873" s="14" t="str">
        <f aca="false">IF($B1873="","",$B1873&amp;"|"&amp;$N1873)</f>
        <v/>
      </c>
    </row>
    <row r="1874" customFormat="false" ht="15" hidden="false" customHeight="false" outlineLevel="0" collapsed="false">
      <c r="A1874" s="12"/>
      <c r="B1874" s="9"/>
      <c r="C1874" s="9"/>
      <c r="D1874" s="9"/>
      <c r="E1874" s="9"/>
      <c r="F1874" s="9"/>
      <c r="G1874" s="9"/>
      <c r="H1874" s="7"/>
      <c r="I1874" s="13" t="str">
        <f aca="false">IF(OR($G1874="",$H1874=""),"",ROUND($G1874*$H1874,0))</f>
        <v/>
      </c>
      <c r="J1874" s="8"/>
      <c r="K1874" s="13" t="str">
        <f aca="false">IF($B1874="","",SUMIFS($I$3:$I$2002,$B$3:$B$2002,$B1874))</f>
        <v/>
      </c>
      <c r="L1874" s="13" t="str">
        <f aca="false">IF($B1874="","",IF(COUNTIFS($B$3:$B1874,$B1874)&gt;1,0,IFERROR(LOOKUP($K1874,배송비규정!$A$3:$A$32,배송비규정!$B$3:$B$32),0)+IFERROR(INDEX(지역추가비!$B$3:$B$42,MATCH($J1874,지역추가비!$A$3:$A$42,0)),0)))</f>
        <v/>
      </c>
      <c r="M1874" s="13" t="str">
        <f aca="false">IF($B1874="","",IF(COUNTIFS($B$3:$B1874,$B1874)&gt;1,"",$K1874+$L1874))</f>
        <v/>
      </c>
      <c r="N1874" s="14" t="str">
        <f aca="false">IF($B1874="","",COUNTIFS($B$3:$B1874,$B1874))</f>
        <v/>
      </c>
      <c r="O1874" s="14" t="str">
        <f aca="false">IF($B1874="","",$B1874&amp;"|"&amp;$N1874)</f>
        <v/>
      </c>
    </row>
    <row r="1875" customFormat="false" ht="15" hidden="false" customHeight="false" outlineLevel="0" collapsed="false">
      <c r="A1875" s="12"/>
      <c r="B1875" s="9"/>
      <c r="C1875" s="9"/>
      <c r="D1875" s="9"/>
      <c r="E1875" s="9"/>
      <c r="F1875" s="9"/>
      <c r="G1875" s="9"/>
      <c r="H1875" s="7"/>
      <c r="I1875" s="13" t="str">
        <f aca="false">IF(OR($G1875="",$H1875=""),"",ROUND($G1875*$H1875,0))</f>
        <v/>
      </c>
      <c r="J1875" s="8"/>
      <c r="K1875" s="13" t="str">
        <f aca="false">IF($B1875="","",SUMIFS($I$3:$I$2002,$B$3:$B$2002,$B1875))</f>
        <v/>
      </c>
      <c r="L1875" s="13" t="str">
        <f aca="false">IF($B1875="","",IF(COUNTIFS($B$3:$B1875,$B1875)&gt;1,0,IFERROR(LOOKUP($K1875,배송비규정!$A$3:$A$32,배송비규정!$B$3:$B$32),0)+IFERROR(INDEX(지역추가비!$B$3:$B$42,MATCH($J1875,지역추가비!$A$3:$A$42,0)),0)))</f>
        <v/>
      </c>
      <c r="M1875" s="13" t="str">
        <f aca="false">IF($B1875="","",IF(COUNTIFS($B$3:$B1875,$B1875)&gt;1,"",$K1875+$L1875))</f>
        <v/>
      </c>
      <c r="N1875" s="14" t="str">
        <f aca="false">IF($B1875="","",COUNTIFS($B$3:$B1875,$B1875))</f>
        <v/>
      </c>
      <c r="O1875" s="14" t="str">
        <f aca="false">IF($B1875="","",$B1875&amp;"|"&amp;$N1875)</f>
        <v/>
      </c>
    </row>
    <row r="1876" customFormat="false" ht="15" hidden="false" customHeight="false" outlineLevel="0" collapsed="false">
      <c r="A1876" s="12"/>
      <c r="B1876" s="9"/>
      <c r="C1876" s="9"/>
      <c r="D1876" s="9"/>
      <c r="E1876" s="9"/>
      <c r="F1876" s="9"/>
      <c r="G1876" s="9"/>
      <c r="H1876" s="7"/>
      <c r="I1876" s="13" t="str">
        <f aca="false">IF(OR($G1876="",$H1876=""),"",ROUND($G1876*$H1876,0))</f>
        <v/>
      </c>
      <c r="J1876" s="8"/>
      <c r="K1876" s="13" t="str">
        <f aca="false">IF($B1876="","",SUMIFS($I$3:$I$2002,$B$3:$B$2002,$B1876))</f>
        <v/>
      </c>
      <c r="L1876" s="13" t="str">
        <f aca="false">IF($B1876="","",IF(COUNTIFS($B$3:$B1876,$B1876)&gt;1,0,IFERROR(LOOKUP($K1876,배송비규정!$A$3:$A$32,배송비규정!$B$3:$B$32),0)+IFERROR(INDEX(지역추가비!$B$3:$B$42,MATCH($J1876,지역추가비!$A$3:$A$42,0)),0)))</f>
        <v/>
      </c>
      <c r="M1876" s="13" t="str">
        <f aca="false">IF($B1876="","",IF(COUNTIFS($B$3:$B1876,$B1876)&gt;1,"",$K1876+$L1876))</f>
        <v/>
      </c>
      <c r="N1876" s="14" t="str">
        <f aca="false">IF($B1876="","",COUNTIFS($B$3:$B1876,$B1876))</f>
        <v/>
      </c>
      <c r="O1876" s="14" t="str">
        <f aca="false">IF($B1876="","",$B1876&amp;"|"&amp;$N1876)</f>
        <v/>
      </c>
    </row>
    <row r="1877" customFormat="false" ht="15" hidden="false" customHeight="false" outlineLevel="0" collapsed="false">
      <c r="A1877" s="12"/>
      <c r="B1877" s="9"/>
      <c r="C1877" s="9"/>
      <c r="D1877" s="9"/>
      <c r="E1877" s="9"/>
      <c r="F1877" s="9"/>
      <c r="G1877" s="9"/>
      <c r="H1877" s="7"/>
      <c r="I1877" s="13" t="str">
        <f aca="false">IF(OR($G1877="",$H1877=""),"",ROUND($G1877*$H1877,0))</f>
        <v/>
      </c>
      <c r="J1877" s="8"/>
      <c r="K1877" s="13" t="str">
        <f aca="false">IF($B1877="","",SUMIFS($I$3:$I$2002,$B$3:$B$2002,$B1877))</f>
        <v/>
      </c>
      <c r="L1877" s="13" t="str">
        <f aca="false">IF($B1877="","",IF(COUNTIFS($B$3:$B1877,$B1877)&gt;1,0,IFERROR(LOOKUP($K1877,배송비규정!$A$3:$A$32,배송비규정!$B$3:$B$32),0)+IFERROR(INDEX(지역추가비!$B$3:$B$42,MATCH($J1877,지역추가비!$A$3:$A$42,0)),0)))</f>
        <v/>
      </c>
      <c r="M1877" s="13" t="str">
        <f aca="false">IF($B1877="","",IF(COUNTIFS($B$3:$B1877,$B1877)&gt;1,"",$K1877+$L1877))</f>
        <v/>
      </c>
      <c r="N1877" s="14" t="str">
        <f aca="false">IF($B1877="","",COUNTIFS($B$3:$B1877,$B1877))</f>
        <v/>
      </c>
      <c r="O1877" s="14" t="str">
        <f aca="false">IF($B1877="","",$B1877&amp;"|"&amp;$N1877)</f>
        <v/>
      </c>
    </row>
    <row r="1878" customFormat="false" ht="15" hidden="false" customHeight="false" outlineLevel="0" collapsed="false">
      <c r="A1878" s="12"/>
      <c r="B1878" s="9"/>
      <c r="C1878" s="9"/>
      <c r="D1878" s="9"/>
      <c r="E1878" s="9"/>
      <c r="F1878" s="9"/>
      <c r="G1878" s="9"/>
      <c r="H1878" s="7"/>
      <c r="I1878" s="13" t="str">
        <f aca="false">IF(OR($G1878="",$H1878=""),"",ROUND($G1878*$H1878,0))</f>
        <v/>
      </c>
      <c r="J1878" s="8"/>
      <c r="K1878" s="13" t="str">
        <f aca="false">IF($B1878="","",SUMIFS($I$3:$I$2002,$B$3:$B$2002,$B1878))</f>
        <v/>
      </c>
      <c r="L1878" s="13" t="str">
        <f aca="false">IF($B1878="","",IF(COUNTIFS($B$3:$B1878,$B1878)&gt;1,0,IFERROR(LOOKUP($K1878,배송비규정!$A$3:$A$32,배송비규정!$B$3:$B$32),0)+IFERROR(INDEX(지역추가비!$B$3:$B$42,MATCH($J1878,지역추가비!$A$3:$A$42,0)),0)))</f>
        <v/>
      </c>
      <c r="M1878" s="13" t="str">
        <f aca="false">IF($B1878="","",IF(COUNTIFS($B$3:$B1878,$B1878)&gt;1,"",$K1878+$L1878))</f>
        <v/>
      </c>
      <c r="N1878" s="14" t="str">
        <f aca="false">IF($B1878="","",COUNTIFS($B$3:$B1878,$B1878))</f>
        <v/>
      </c>
      <c r="O1878" s="14" t="str">
        <f aca="false">IF($B1878="","",$B1878&amp;"|"&amp;$N1878)</f>
        <v/>
      </c>
    </row>
    <row r="1879" customFormat="false" ht="15" hidden="false" customHeight="false" outlineLevel="0" collapsed="false">
      <c r="A1879" s="12"/>
      <c r="B1879" s="9"/>
      <c r="C1879" s="9"/>
      <c r="D1879" s="9"/>
      <c r="E1879" s="9"/>
      <c r="F1879" s="9"/>
      <c r="G1879" s="9"/>
      <c r="H1879" s="7"/>
      <c r="I1879" s="13" t="str">
        <f aca="false">IF(OR($G1879="",$H1879=""),"",ROUND($G1879*$H1879,0))</f>
        <v/>
      </c>
      <c r="J1879" s="8"/>
      <c r="K1879" s="13" t="str">
        <f aca="false">IF($B1879="","",SUMIFS($I$3:$I$2002,$B$3:$B$2002,$B1879))</f>
        <v/>
      </c>
      <c r="L1879" s="13" t="str">
        <f aca="false">IF($B1879="","",IF(COUNTIFS($B$3:$B1879,$B1879)&gt;1,0,IFERROR(LOOKUP($K1879,배송비규정!$A$3:$A$32,배송비규정!$B$3:$B$32),0)+IFERROR(INDEX(지역추가비!$B$3:$B$42,MATCH($J1879,지역추가비!$A$3:$A$42,0)),0)))</f>
        <v/>
      </c>
      <c r="M1879" s="13" t="str">
        <f aca="false">IF($B1879="","",IF(COUNTIFS($B$3:$B1879,$B1879)&gt;1,"",$K1879+$L1879))</f>
        <v/>
      </c>
      <c r="N1879" s="14" t="str">
        <f aca="false">IF($B1879="","",COUNTIFS($B$3:$B1879,$B1879))</f>
        <v/>
      </c>
      <c r="O1879" s="14" t="str">
        <f aca="false">IF($B1879="","",$B1879&amp;"|"&amp;$N1879)</f>
        <v/>
      </c>
    </row>
    <row r="1880" customFormat="false" ht="15" hidden="false" customHeight="false" outlineLevel="0" collapsed="false">
      <c r="A1880" s="12"/>
      <c r="B1880" s="9"/>
      <c r="C1880" s="9"/>
      <c r="D1880" s="9"/>
      <c r="E1880" s="9"/>
      <c r="F1880" s="9"/>
      <c r="G1880" s="9"/>
      <c r="H1880" s="7"/>
      <c r="I1880" s="13" t="str">
        <f aca="false">IF(OR($G1880="",$H1880=""),"",ROUND($G1880*$H1880,0))</f>
        <v/>
      </c>
      <c r="J1880" s="8"/>
      <c r="K1880" s="13" t="str">
        <f aca="false">IF($B1880="","",SUMIFS($I$3:$I$2002,$B$3:$B$2002,$B1880))</f>
        <v/>
      </c>
      <c r="L1880" s="13" t="str">
        <f aca="false">IF($B1880="","",IF(COUNTIFS($B$3:$B1880,$B1880)&gt;1,0,IFERROR(LOOKUP($K1880,배송비규정!$A$3:$A$32,배송비규정!$B$3:$B$32),0)+IFERROR(INDEX(지역추가비!$B$3:$B$42,MATCH($J1880,지역추가비!$A$3:$A$42,0)),0)))</f>
        <v/>
      </c>
      <c r="M1880" s="13" t="str">
        <f aca="false">IF($B1880="","",IF(COUNTIFS($B$3:$B1880,$B1880)&gt;1,"",$K1880+$L1880))</f>
        <v/>
      </c>
      <c r="N1880" s="14" t="str">
        <f aca="false">IF($B1880="","",COUNTIFS($B$3:$B1880,$B1880))</f>
        <v/>
      </c>
      <c r="O1880" s="14" t="str">
        <f aca="false">IF($B1880="","",$B1880&amp;"|"&amp;$N1880)</f>
        <v/>
      </c>
    </row>
    <row r="1881" customFormat="false" ht="15" hidden="false" customHeight="false" outlineLevel="0" collapsed="false">
      <c r="A1881" s="12"/>
      <c r="B1881" s="9"/>
      <c r="C1881" s="9"/>
      <c r="D1881" s="9"/>
      <c r="E1881" s="9"/>
      <c r="F1881" s="9"/>
      <c r="G1881" s="9"/>
      <c r="H1881" s="7"/>
      <c r="I1881" s="13" t="str">
        <f aca="false">IF(OR($G1881="",$H1881=""),"",ROUND($G1881*$H1881,0))</f>
        <v/>
      </c>
      <c r="J1881" s="8"/>
      <c r="K1881" s="13" t="str">
        <f aca="false">IF($B1881="","",SUMIFS($I$3:$I$2002,$B$3:$B$2002,$B1881))</f>
        <v/>
      </c>
      <c r="L1881" s="13" t="str">
        <f aca="false">IF($B1881="","",IF(COUNTIFS($B$3:$B1881,$B1881)&gt;1,0,IFERROR(LOOKUP($K1881,배송비규정!$A$3:$A$32,배송비규정!$B$3:$B$32),0)+IFERROR(INDEX(지역추가비!$B$3:$B$42,MATCH($J1881,지역추가비!$A$3:$A$42,0)),0)))</f>
        <v/>
      </c>
      <c r="M1881" s="13" t="str">
        <f aca="false">IF($B1881="","",IF(COUNTIFS($B$3:$B1881,$B1881)&gt;1,"",$K1881+$L1881))</f>
        <v/>
      </c>
      <c r="N1881" s="14" t="str">
        <f aca="false">IF($B1881="","",COUNTIFS($B$3:$B1881,$B1881))</f>
        <v/>
      </c>
      <c r="O1881" s="14" t="str">
        <f aca="false">IF($B1881="","",$B1881&amp;"|"&amp;$N1881)</f>
        <v/>
      </c>
    </row>
    <row r="1882" customFormat="false" ht="15" hidden="false" customHeight="false" outlineLevel="0" collapsed="false">
      <c r="A1882" s="12"/>
      <c r="B1882" s="9"/>
      <c r="C1882" s="9"/>
      <c r="D1882" s="9"/>
      <c r="E1882" s="9"/>
      <c r="F1882" s="9"/>
      <c r="G1882" s="9"/>
      <c r="H1882" s="7"/>
      <c r="I1882" s="13" t="str">
        <f aca="false">IF(OR($G1882="",$H1882=""),"",ROUND($G1882*$H1882,0))</f>
        <v/>
      </c>
      <c r="J1882" s="8"/>
      <c r="K1882" s="13" t="str">
        <f aca="false">IF($B1882="","",SUMIFS($I$3:$I$2002,$B$3:$B$2002,$B1882))</f>
        <v/>
      </c>
      <c r="L1882" s="13" t="str">
        <f aca="false">IF($B1882="","",IF(COUNTIFS($B$3:$B1882,$B1882)&gt;1,0,IFERROR(LOOKUP($K1882,배송비규정!$A$3:$A$32,배송비규정!$B$3:$B$32),0)+IFERROR(INDEX(지역추가비!$B$3:$B$42,MATCH($J1882,지역추가비!$A$3:$A$42,0)),0)))</f>
        <v/>
      </c>
      <c r="M1882" s="13" t="str">
        <f aca="false">IF($B1882="","",IF(COUNTIFS($B$3:$B1882,$B1882)&gt;1,"",$K1882+$L1882))</f>
        <v/>
      </c>
      <c r="N1882" s="14" t="str">
        <f aca="false">IF($B1882="","",COUNTIFS($B$3:$B1882,$B1882))</f>
        <v/>
      </c>
      <c r="O1882" s="14" t="str">
        <f aca="false">IF($B1882="","",$B1882&amp;"|"&amp;$N1882)</f>
        <v/>
      </c>
    </row>
    <row r="1883" customFormat="false" ht="15" hidden="false" customHeight="false" outlineLevel="0" collapsed="false">
      <c r="A1883" s="12"/>
      <c r="B1883" s="9"/>
      <c r="C1883" s="9"/>
      <c r="D1883" s="9"/>
      <c r="E1883" s="9"/>
      <c r="F1883" s="9"/>
      <c r="G1883" s="9"/>
      <c r="H1883" s="7"/>
      <c r="I1883" s="13" t="str">
        <f aca="false">IF(OR($G1883="",$H1883=""),"",ROUND($G1883*$H1883,0))</f>
        <v/>
      </c>
      <c r="J1883" s="8"/>
      <c r="K1883" s="13" t="str">
        <f aca="false">IF($B1883="","",SUMIFS($I$3:$I$2002,$B$3:$B$2002,$B1883))</f>
        <v/>
      </c>
      <c r="L1883" s="13" t="str">
        <f aca="false">IF($B1883="","",IF(COUNTIFS($B$3:$B1883,$B1883)&gt;1,0,IFERROR(LOOKUP($K1883,배송비규정!$A$3:$A$32,배송비규정!$B$3:$B$32),0)+IFERROR(INDEX(지역추가비!$B$3:$B$42,MATCH($J1883,지역추가비!$A$3:$A$42,0)),0)))</f>
        <v/>
      </c>
      <c r="M1883" s="13" t="str">
        <f aca="false">IF($B1883="","",IF(COUNTIFS($B$3:$B1883,$B1883)&gt;1,"",$K1883+$L1883))</f>
        <v/>
      </c>
      <c r="N1883" s="14" t="str">
        <f aca="false">IF($B1883="","",COUNTIFS($B$3:$B1883,$B1883))</f>
        <v/>
      </c>
      <c r="O1883" s="14" t="str">
        <f aca="false">IF($B1883="","",$B1883&amp;"|"&amp;$N1883)</f>
        <v/>
      </c>
    </row>
    <row r="1884" customFormat="false" ht="15" hidden="false" customHeight="false" outlineLevel="0" collapsed="false">
      <c r="A1884" s="12"/>
      <c r="B1884" s="9"/>
      <c r="C1884" s="9"/>
      <c r="D1884" s="9"/>
      <c r="E1884" s="9"/>
      <c r="F1884" s="9"/>
      <c r="G1884" s="9"/>
      <c r="H1884" s="7"/>
      <c r="I1884" s="13" t="str">
        <f aca="false">IF(OR($G1884="",$H1884=""),"",ROUND($G1884*$H1884,0))</f>
        <v/>
      </c>
      <c r="J1884" s="8"/>
      <c r="K1884" s="13" t="str">
        <f aca="false">IF($B1884="","",SUMIFS($I$3:$I$2002,$B$3:$B$2002,$B1884))</f>
        <v/>
      </c>
      <c r="L1884" s="13" t="str">
        <f aca="false">IF($B1884="","",IF(COUNTIFS($B$3:$B1884,$B1884)&gt;1,0,IFERROR(LOOKUP($K1884,배송비규정!$A$3:$A$32,배송비규정!$B$3:$B$32),0)+IFERROR(INDEX(지역추가비!$B$3:$B$42,MATCH($J1884,지역추가비!$A$3:$A$42,0)),0)))</f>
        <v/>
      </c>
      <c r="M1884" s="13" t="str">
        <f aca="false">IF($B1884="","",IF(COUNTIFS($B$3:$B1884,$B1884)&gt;1,"",$K1884+$L1884))</f>
        <v/>
      </c>
      <c r="N1884" s="14" t="str">
        <f aca="false">IF($B1884="","",COUNTIFS($B$3:$B1884,$B1884))</f>
        <v/>
      </c>
      <c r="O1884" s="14" t="str">
        <f aca="false">IF($B1884="","",$B1884&amp;"|"&amp;$N1884)</f>
        <v/>
      </c>
    </row>
    <row r="1885" customFormat="false" ht="15" hidden="false" customHeight="false" outlineLevel="0" collapsed="false">
      <c r="A1885" s="12"/>
      <c r="B1885" s="9"/>
      <c r="C1885" s="9"/>
      <c r="D1885" s="9"/>
      <c r="E1885" s="9"/>
      <c r="F1885" s="9"/>
      <c r="G1885" s="9"/>
      <c r="H1885" s="7"/>
      <c r="I1885" s="13" t="str">
        <f aca="false">IF(OR($G1885="",$H1885=""),"",ROUND($G1885*$H1885,0))</f>
        <v/>
      </c>
      <c r="J1885" s="8"/>
      <c r="K1885" s="13" t="str">
        <f aca="false">IF($B1885="","",SUMIFS($I$3:$I$2002,$B$3:$B$2002,$B1885))</f>
        <v/>
      </c>
      <c r="L1885" s="13" t="str">
        <f aca="false">IF($B1885="","",IF(COUNTIFS($B$3:$B1885,$B1885)&gt;1,0,IFERROR(LOOKUP($K1885,배송비규정!$A$3:$A$32,배송비규정!$B$3:$B$32),0)+IFERROR(INDEX(지역추가비!$B$3:$B$42,MATCH($J1885,지역추가비!$A$3:$A$42,0)),0)))</f>
        <v/>
      </c>
      <c r="M1885" s="13" t="str">
        <f aca="false">IF($B1885="","",IF(COUNTIFS($B$3:$B1885,$B1885)&gt;1,"",$K1885+$L1885))</f>
        <v/>
      </c>
      <c r="N1885" s="14" t="str">
        <f aca="false">IF($B1885="","",COUNTIFS($B$3:$B1885,$B1885))</f>
        <v/>
      </c>
      <c r="O1885" s="14" t="str">
        <f aca="false">IF($B1885="","",$B1885&amp;"|"&amp;$N1885)</f>
        <v/>
      </c>
    </row>
    <row r="1886" customFormat="false" ht="15" hidden="false" customHeight="false" outlineLevel="0" collapsed="false">
      <c r="A1886" s="12"/>
      <c r="B1886" s="9"/>
      <c r="C1886" s="9"/>
      <c r="D1886" s="9"/>
      <c r="E1886" s="9"/>
      <c r="F1886" s="9"/>
      <c r="G1886" s="9"/>
      <c r="H1886" s="7"/>
      <c r="I1886" s="13" t="str">
        <f aca="false">IF(OR($G1886="",$H1886=""),"",ROUND($G1886*$H1886,0))</f>
        <v/>
      </c>
      <c r="J1886" s="8"/>
      <c r="K1886" s="13" t="str">
        <f aca="false">IF($B1886="","",SUMIFS($I$3:$I$2002,$B$3:$B$2002,$B1886))</f>
        <v/>
      </c>
      <c r="L1886" s="13" t="str">
        <f aca="false">IF($B1886="","",IF(COUNTIFS($B$3:$B1886,$B1886)&gt;1,0,IFERROR(LOOKUP($K1886,배송비규정!$A$3:$A$32,배송비규정!$B$3:$B$32),0)+IFERROR(INDEX(지역추가비!$B$3:$B$42,MATCH($J1886,지역추가비!$A$3:$A$42,0)),0)))</f>
        <v/>
      </c>
      <c r="M1886" s="13" t="str">
        <f aca="false">IF($B1886="","",IF(COUNTIFS($B$3:$B1886,$B1886)&gt;1,"",$K1886+$L1886))</f>
        <v/>
      </c>
      <c r="N1886" s="14" t="str">
        <f aca="false">IF($B1886="","",COUNTIFS($B$3:$B1886,$B1886))</f>
        <v/>
      </c>
      <c r="O1886" s="14" t="str">
        <f aca="false">IF($B1886="","",$B1886&amp;"|"&amp;$N1886)</f>
        <v/>
      </c>
    </row>
    <row r="1887" customFormat="false" ht="15" hidden="false" customHeight="false" outlineLevel="0" collapsed="false">
      <c r="A1887" s="12"/>
      <c r="B1887" s="9"/>
      <c r="C1887" s="9"/>
      <c r="D1887" s="9"/>
      <c r="E1887" s="9"/>
      <c r="F1887" s="9"/>
      <c r="G1887" s="9"/>
      <c r="H1887" s="7"/>
      <c r="I1887" s="13" t="str">
        <f aca="false">IF(OR($G1887="",$H1887=""),"",ROUND($G1887*$H1887,0))</f>
        <v/>
      </c>
      <c r="J1887" s="8"/>
      <c r="K1887" s="13" t="str">
        <f aca="false">IF($B1887="","",SUMIFS($I$3:$I$2002,$B$3:$B$2002,$B1887))</f>
        <v/>
      </c>
      <c r="L1887" s="13" t="str">
        <f aca="false">IF($B1887="","",IF(COUNTIFS($B$3:$B1887,$B1887)&gt;1,0,IFERROR(LOOKUP($K1887,배송비규정!$A$3:$A$32,배송비규정!$B$3:$B$32),0)+IFERROR(INDEX(지역추가비!$B$3:$B$42,MATCH($J1887,지역추가비!$A$3:$A$42,0)),0)))</f>
        <v/>
      </c>
      <c r="M1887" s="13" t="str">
        <f aca="false">IF($B1887="","",IF(COUNTIFS($B$3:$B1887,$B1887)&gt;1,"",$K1887+$L1887))</f>
        <v/>
      </c>
      <c r="N1887" s="14" t="str">
        <f aca="false">IF($B1887="","",COUNTIFS($B$3:$B1887,$B1887))</f>
        <v/>
      </c>
      <c r="O1887" s="14" t="str">
        <f aca="false">IF($B1887="","",$B1887&amp;"|"&amp;$N1887)</f>
        <v/>
      </c>
    </row>
    <row r="1888" customFormat="false" ht="15" hidden="false" customHeight="false" outlineLevel="0" collapsed="false">
      <c r="A1888" s="12"/>
      <c r="B1888" s="9"/>
      <c r="C1888" s="9"/>
      <c r="D1888" s="9"/>
      <c r="E1888" s="9"/>
      <c r="F1888" s="9"/>
      <c r="G1888" s="9"/>
      <c r="H1888" s="7"/>
      <c r="I1888" s="13" t="str">
        <f aca="false">IF(OR($G1888="",$H1888=""),"",ROUND($G1888*$H1888,0))</f>
        <v/>
      </c>
      <c r="J1888" s="8"/>
      <c r="K1888" s="13" t="str">
        <f aca="false">IF($B1888="","",SUMIFS($I$3:$I$2002,$B$3:$B$2002,$B1888))</f>
        <v/>
      </c>
      <c r="L1888" s="13" t="str">
        <f aca="false">IF($B1888="","",IF(COUNTIFS($B$3:$B1888,$B1888)&gt;1,0,IFERROR(LOOKUP($K1888,배송비규정!$A$3:$A$32,배송비규정!$B$3:$B$32),0)+IFERROR(INDEX(지역추가비!$B$3:$B$42,MATCH($J1888,지역추가비!$A$3:$A$42,0)),0)))</f>
        <v/>
      </c>
      <c r="M1888" s="13" t="str">
        <f aca="false">IF($B1888="","",IF(COUNTIFS($B$3:$B1888,$B1888)&gt;1,"",$K1888+$L1888))</f>
        <v/>
      </c>
      <c r="N1888" s="14" t="str">
        <f aca="false">IF($B1888="","",COUNTIFS($B$3:$B1888,$B1888))</f>
        <v/>
      </c>
      <c r="O1888" s="14" t="str">
        <f aca="false">IF($B1888="","",$B1888&amp;"|"&amp;$N1888)</f>
        <v/>
      </c>
    </row>
    <row r="1889" customFormat="false" ht="15" hidden="false" customHeight="false" outlineLevel="0" collapsed="false">
      <c r="A1889" s="12"/>
      <c r="B1889" s="9"/>
      <c r="C1889" s="9"/>
      <c r="D1889" s="9"/>
      <c r="E1889" s="9"/>
      <c r="F1889" s="9"/>
      <c r="G1889" s="9"/>
      <c r="H1889" s="7"/>
      <c r="I1889" s="13" t="str">
        <f aca="false">IF(OR($G1889="",$H1889=""),"",ROUND($G1889*$H1889,0))</f>
        <v/>
      </c>
      <c r="J1889" s="8"/>
      <c r="K1889" s="13" t="str">
        <f aca="false">IF($B1889="","",SUMIFS($I$3:$I$2002,$B$3:$B$2002,$B1889))</f>
        <v/>
      </c>
      <c r="L1889" s="13" t="str">
        <f aca="false">IF($B1889="","",IF(COUNTIFS($B$3:$B1889,$B1889)&gt;1,0,IFERROR(LOOKUP($K1889,배송비규정!$A$3:$A$32,배송비규정!$B$3:$B$32),0)+IFERROR(INDEX(지역추가비!$B$3:$B$42,MATCH($J1889,지역추가비!$A$3:$A$42,0)),0)))</f>
        <v/>
      </c>
      <c r="M1889" s="13" t="str">
        <f aca="false">IF($B1889="","",IF(COUNTIFS($B$3:$B1889,$B1889)&gt;1,"",$K1889+$L1889))</f>
        <v/>
      </c>
      <c r="N1889" s="14" t="str">
        <f aca="false">IF($B1889="","",COUNTIFS($B$3:$B1889,$B1889))</f>
        <v/>
      </c>
      <c r="O1889" s="14" t="str">
        <f aca="false">IF($B1889="","",$B1889&amp;"|"&amp;$N1889)</f>
        <v/>
      </c>
    </row>
    <row r="1890" customFormat="false" ht="15" hidden="false" customHeight="false" outlineLevel="0" collapsed="false">
      <c r="A1890" s="12"/>
      <c r="B1890" s="9"/>
      <c r="C1890" s="9"/>
      <c r="D1890" s="9"/>
      <c r="E1890" s="9"/>
      <c r="F1890" s="9"/>
      <c r="G1890" s="9"/>
      <c r="H1890" s="7"/>
      <c r="I1890" s="13" t="str">
        <f aca="false">IF(OR($G1890="",$H1890=""),"",ROUND($G1890*$H1890,0))</f>
        <v/>
      </c>
      <c r="J1890" s="8"/>
      <c r="K1890" s="13" t="str">
        <f aca="false">IF($B1890="","",SUMIFS($I$3:$I$2002,$B$3:$B$2002,$B1890))</f>
        <v/>
      </c>
      <c r="L1890" s="13" t="str">
        <f aca="false">IF($B1890="","",IF(COUNTIFS($B$3:$B1890,$B1890)&gt;1,0,IFERROR(LOOKUP($K1890,배송비규정!$A$3:$A$32,배송비규정!$B$3:$B$32),0)+IFERROR(INDEX(지역추가비!$B$3:$B$42,MATCH($J1890,지역추가비!$A$3:$A$42,0)),0)))</f>
        <v/>
      </c>
      <c r="M1890" s="13" t="str">
        <f aca="false">IF($B1890="","",IF(COUNTIFS($B$3:$B1890,$B1890)&gt;1,"",$K1890+$L1890))</f>
        <v/>
      </c>
      <c r="N1890" s="14" t="str">
        <f aca="false">IF($B1890="","",COUNTIFS($B$3:$B1890,$B1890))</f>
        <v/>
      </c>
      <c r="O1890" s="14" t="str">
        <f aca="false">IF($B1890="","",$B1890&amp;"|"&amp;$N1890)</f>
        <v/>
      </c>
    </row>
    <row r="1891" customFormat="false" ht="15" hidden="false" customHeight="false" outlineLevel="0" collapsed="false">
      <c r="A1891" s="12"/>
      <c r="B1891" s="9"/>
      <c r="C1891" s="9"/>
      <c r="D1891" s="9"/>
      <c r="E1891" s="9"/>
      <c r="F1891" s="9"/>
      <c r="G1891" s="9"/>
      <c r="H1891" s="7"/>
      <c r="I1891" s="13" t="str">
        <f aca="false">IF(OR($G1891="",$H1891=""),"",ROUND($G1891*$H1891,0))</f>
        <v/>
      </c>
      <c r="J1891" s="8"/>
      <c r="K1891" s="13" t="str">
        <f aca="false">IF($B1891="","",SUMIFS($I$3:$I$2002,$B$3:$B$2002,$B1891))</f>
        <v/>
      </c>
      <c r="L1891" s="13" t="str">
        <f aca="false">IF($B1891="","",IF(COUNTIFS($B$3:$B1891,$B1891)&gt;1,0,IFERROR(LOOKUP($K1891,배송비규정!$A$3:$A$32,배송비규정!$B$3:$B$32),0)+IFERROR(INDEX(지역추가비!$B$3:$B$42,MATCH($J1891,지역추가비!$A$3:$A$42,0)),0)))</f>
        <v/>
      </c>
      <c r="M1891" s="13" t="str">
        <f aca="false">IF($B1891="","",IF(COUNTIFS($B$3:$B1891,$B1891)&gt;1,"",$K1891+$L1891))</f>
        <v/>
      </c>
      <c r="N1891" s="14" t="str">
        <f aca="false">IF($B1891="","",COUNTIFS($B$3:$B1891,$B1891))</f>
        <v/>
      </c>
      <c r="O1891" s="14" t="str">
        <f aca="false">IF($B1891="","",$B1891&amp;"|"&amp;$N1891)</f>
        <v/>
      </c>
    </row>
    <row r="1892" customFormat="false" ht="15" hidden="false" customHeight="false" outlineLevel="0" collapsed="false">
      <c r="A1892" s="12"/>
      <c r="B1892" s="9"/>
      <c r="C1892" s="9"/>
      <c r="D1892" s="9"/>
      <c r="E1892" s="9"/>
      <c r="F1892" s="9"/>
      <c r="G1892" s="9"/>
      <c r="H1892" s="7"/>
      <c r="I1892" s="13" t="str">
        <f aca="false">IF(OR($G1892="",$H1892=""),"",ROUND($G1892*$H1892,0))</f>
        <v/>
      </c>
      <c r="J1892" s="8"/>
      <c r="K1892" s="13" t="str">
        <f aca="false">IF($B1892="","",SUMIFS($I$3:$I$2002,$B$3:$B$2002,$B1892))</f>
        <v/>
      </c>
      <c r="L1892" s="13" t="str">
        <f aca="false">IF($B1892="","",IF(COUNTIFS($B$3:$B1892,$B1892)&gt;1,0,IFERROR(LOOKUP($K1892,배송비규정!$A$3:$A$32,배송비규정!$B$3:$B$32),0)+IFERROR(INDEX(지역추가비!$B$3:$B$42,MATCH($J1892,지역추가비!$A$3:$A$42,0)),0)))</f>
        <v/>
      </c>
      <c r="M1892" s="13" t="str">
        <f aca="false">IF($B1892="","",IF(COUNTIFS($B$3:$B1892,$B1892)&gt;1,"",$K1892+$L1892))</f>
        <v/>
      </c>
      <c r="N1892" s="14" t="str">
        <f aca="false">IF($B1892="","",COUNTIFS($B$3:$B1892,$B1892))</f>
        <v/>
      </c>
      <c r="O1892" s="14" t="str">
        <f aca="false">IF($B1892="","",$B1892&amp;"|"&amp;$N1892)</f>
        <v/>
      </c>
    </row>
    <row r="1893" customFormat="false" ht="15" hidden="false" customHeight="false" outlineLevel="0" collapsed="false">
      <c r="A1893" s="12"/>
      <c r="B1893" s="9"/>
      <c r="C1893" s="9"/>
      <c r="D1893" s="9"/>
      <c r="E1893" s="9"/>
      <c r="F1893" s="9"/>
      <c r="G1893" s="9"/>
      <c r="H1893" s="7"/>
      <c r="I1893" s="13" t="str">
        <f aca="false">IF(OR($G1893="",$H1893=""),"",ROUND($G1893*$H1893,0))</f>
        <v/>
      </c>
      <c r="J1893" s="8"/>
      <c r="K1893" s="13" t="str">
        <f aca="false">IF($B1893="","",SUMIFS($I$3:$I$2002,$B$3:$B$2002,$B1893))</f>
        <v/>
      </c>
      <c r="L1893" s="13" t="str">
        <f aca="false">IF($B1893="","",IF(COUNTIFS($B$3:$B1893,$B1893)&gt;1,0,IFERROR(LOOKUP($K1893,배송비규정!$A$3:$A$32,배송비규정!$B$3:$B$32),0)+IFERROR(INDEX(지역추가비!$B$3:$B$42,MATCH($J1893,지역추가비!$A$3:$A$42,0)),0)))</f>
        <v/>
      </c>
      <c r="M1893" s="13" t="str">
        <f aca="false">IF($B1893="","",IF(COUNTIFS($B$3:$B1893,$B1893)&gt;1,"",$K1893+$L1893))</f>
        <v/>
      </c>
      <c r="N1893" s="14" t="str">
        <f aca="false">IF($B1893="","",COUNTIFS($B$3:$B1893,$B1893))</f>
        <v/>
      </c>
      <c r="O1893" s="14" t="str">
        <f aca="false">IF($B1893="","",$B1893&amp;"|"&amp;$N1893)</f>
        <v/>
      </c>
    </row>
    <row r="1894" customFormat="false" ht="15" hidden="false" customHeight="false" outlineLevel="0" collapsed="false">
      <c r="A1894" s="12"/>
      <c r="B1894" s="9"/>
      <c r="C1894" s="9"/>
      <c r="D1894" s="9"/>
      <c r="E1894" s="9"/>
      <c r="F1894" s="9"/>
      <c r="G1894" s="9"/>
      <c r="H1894" s="7"/>
      <c r="I1894" s="13" t="str">
        <f aca="false">IF(OR($G1894="",$H1894=""),"",ROUND($G1894*$H1894,0))</f>
        <v/>
      </c>
      <c r="J1894" s="8"/>
      <c r="K1894" s="13" t="str">
        <f aca="false">IF($B1894="","",SUMIFS($I$3:$I$2002,$B$3:$B$2002,$B1894))</f>
        <v/>
      </c>
      <c r="L1894" s="13" t="str">
        <f aca="false">IF($B1894="","",IF(COUNTIFS($B$3:$B1894,$B1894)&gt;1,0,IFERROR(LOOKUP($K1894,배송비규정!$A$3:$A$32,배송비규정!$B$3:$B$32),0)+IFERROR(INDEX(지역추가비!$B$3:$B$42,MATCH($J1894,지역추가비!$A$3:$A$42,0)),0)))</f>
        <v/>
      </c>
      <c r="M1894" s="13" t="str">
        <f aca="false">IF($B1894="","",IF(COUNTIFS($B$3:$B1894,$B1894)&gt;1,"",$K1894+$L1894))</f>
        <v/>
      </c>
      <c r="N1894" s="14" t="str">
        <f aca="false">IF($B1894="","",COUNTIFS($B$3:$B1894,$B1894))</f>
        <v/>
      </c>
      <c r="O1894" s="14" t="str">
        <f aca="false">IF($B1894="","",$B1894&amp;"|"&amp;$N1894)</f>
        <v/>
      </c>
    </row>
    <row r="1895" customFormat="false" ht="15" hidden="false" customHeight="false" outlineLevel="0" collapsed="false">
      <c r="A1895" s="12"/>
      <c r="B1895" s="9"/>
      <c r="C1895" s="9"/>
      <c r="D1895" s="9"/>
      <c r="E1895" s="9"/>
      <c r="F1895" s="9"/>
      <c r="G1895" s="9"/>
      <c r="H1895" s="7"/>
      <c r="I1895" s="13" t="str">
        <f aca="false">IF(OR($G1895="",$H1895=""),"",ROUND($G1895*$H1895,0))</f>
        <v/>
      </c>
      <c r="J1895" s="8"/>
      <c r="K1895" s="13" t="str">
        <f aca="false">IF($B1895="","",SUMIFS($I$3:$I$2002,$B$3:$B$2002,$B1895))</f>
        <v/>
      </c>
      <c r="L1895" s="13" t="str">
        <f aca="false">IF($B1895="","",IF(COUNTIFS($B$3:$B1895,$B1895)&gt;1,0,IFERROR(LOOKUP($K1895,배송비규정!$A$3:$A$32,배송비규정!$B$3:$B$32),0)+IFERROR(INDEX(지역추가비!$B$3:$B$42,MATCH($J1895,지역추가비!$A$3:$A$42,0)),0)))</f>
        <v/>
      </c>
      <c r="M1895" s="13" t="str">
        <f aca="false">IF($B1895="","",IF(COUNTIFS($B$3:$B1895,$B1895)&gt;1,"",$K1895+$L1895))</f>
        <v/>
      </c>
      <c r="N1895" s="14" t="str">
        <f aca="false">IF($B1895="","",COUNTIFS($B$3:$B1895,$B1895))</f>
        <v/>
      </c>
      <c r="O1895" s="14" t="str">
        <f aca="false">IF($B1895="","",$B1895&amp;"|"&amp;$N1895)</f>
        <v/>
      </c>
    </row>
    <row r="1896" customFormat="false" ht="15" hidden="false" customHeight="false" outlineLevel="0" collapsed="false">
      <c r="A1896" s="12"/>
      <c r="B1896" s="9"/>
      <c r="C1896" s="9"/>
      <c r="D1896" s="9"/>
      <c r="E1896" s="9"/>
      <c r="F1896" s="9"/>
      <c r="G1896" s="9"/>
      <c r="H1896" s="7"/>
      <c r="I1896" s="13" t="str">
        <f aca="false">IF(OR($G1896="",$H1896=""),"",ROUND($G1896*$H1896,0))</f>
        <v/>
      </c>
      <c r="J1896" s="8"/>
      <c r="K1896" s="13" t="str">
        <f aca="false">IF($B1896="","",SUMIFS($I$3:$I$2002,$B$3:$B$2002,$B1896))</f>
        <v/>
      </c>
      <c r="L1896" s="13" t="str">
        <f aca="false">IF($B1896="","",IF(COUNTIFS($B$3:$B1896,$B1896)&gt;1,0,IFERROR(LOOKUP($K1896,배송비규정!$A$3:$A$32,배송비규정!$B$3:$B$32),0)+IFERROR(INDEX(지역추가비!$B$3:$B$42,MATCH($J1896,지역추가비!$A$3:$A$42,0)),0)))</f>
        <v/>
      </c>
      <c r="M1896" s="13" t="str">
        <f aca="false">IF($B1896="","",IF(COUNTIFS($B$3:$B1896,$B1896)&gt;1,"",$K1896+$L1896))</f>
        <v/>
      </c>
      <c r="N1896" s="14" t="str">
        <f aca="false">IF($B1896="","",COUNTIFS($B$3:$B1896,$B1896))</f>
        <v/>
      </c>
      <c r="O1896" s="14" t="str">
        <f aca="false">IF($B1896="","",$B1896&amp;"|"&amp;$N1896)</f>
        <v/>
      </c>
    </row>
    <row r="1897" customFormat="false" ht="15" hidden="false" customHeight="false" outlineLevel="0" collapsed="false">
      <c r="A1897" s="12"/>
      <c r="B1897" s="9"/>
      <c r="C1897" s="9"/>
      <c r="D1897" s="9"/>
      <c r="E1897" s="9"/>
      <c r="F1897" s="9"/>
      <c r="G1897" s="9"/>
      <c r="H1897" s="7"/>
      <c r="I1897" s="13" t="str">
        <f aca="false">IF(OR($G1897="",$H1897=""),"",ROUND($G1897*$H1897,0))</f>
        <v/>
      </c>
      <c r="J1897" s="8"/>
      <c r="K1897" s="13" t="str">
        <f aca="false">IF($B1897="","",SUMIFS($I$3:$I$2002,$B$3:$B$2002,$B1897))</f>
        <v/>
      </c>
      <c r="L1897" s="13" t="str">
        <f aca="false">IF($B1897="","",IF(COUNTIFS($B$3:$B1897,$B1897)&gt;1,0,IFERROR(LOOKUP($K1897,배송비규정!$A$3:$A$32,배송비규정!$B$3:$B$32),0)+IFERROR(INDEX(지역추가비!$B$3:$B$42,MATCH($J1897,지역추가비!$A$3:$A$42,0)),0)))</f>
        <v/>
      </c>
      <c r="M1897" s="13" t="str">
        <f aca="false">IF($B1897="","",IF(COUNTIFS($B$3:$B1897,$B1897)&gt;1,"",$K1897+$L1897))</f>
        <v/>
      </c>
      <c r="N1897" s="14" t="str">
        <f aca="false">IF($B1897="","",COUNTIFS($B$3:$B1897,$B1897))</f>
        <v/>
      </c>
      <c r="O1897" s="14" t="str">
        <f aca="false">IF($B1897="","",$B1897&amp;"|"&amp;$N1897)</f>
        <v/>
      </c>
    </row>
    <row r="1898" customFormat="false" ht="15" hidden="false" customHeight="false" outlineLevel="0" collapsed="false">
      <c r="A1898" s="12"/>
      <c r="B1898" s="9"/>
      <c r="C1898" s="9"/>
      <c r="D1898" s="9"/>
      <c r="E1898" s="9"/>
      <c r="F1898" s="9"/>
      <c r="G1898" s="9"/>
      <c r="H1898" s="7"/>
      <c r="I1898" s="13" t="str">
        <f aca="false">IF(OR($G1898="",$H1898=""),"",ROUND($G1898*$H1898,0))</f>
        <v/>
      </c>
      <c r="J1898" s="8"/>
      <c r="K1898" s="13" t="str">
        <f aca="false">IF($B1898="","",SUMIFS($I$3:$I$2002,$B$3:$B$2002,$B1898))</f>
        <v/>
      </c>
      <c r="L1898" s="13" t="str">
        <f aca="false">IF($B1898="","",IF(COUNTIFS($B$3:$B1898,$B1898)&gt;1,0,IFERROR(LOOKUP($K1898,배송비규정!$A$3:$A$32,배송비규정!$B$3:$B$32),0)+IFERROR(INDEX(지역추가비!$B$3:$B$42,MATCH($J1898,지역추가비!$A$3:$A$42,0)),0)))</f>
        <v/>
      </c>
      <c r="M1898" s="13" t="str">
        <f aca="false">IF($B1898="","",IF(COUNTIFS($B$3:$B1898,$B1898)&gt;1,"",$K1898+$L1898))</f>
        <v/>
      </c>
      <c r="N1898" s="14" t="str">
        <f aca="false">IF($B1898="","",COUNTIFS($B$3:$B1898,$B1898))</f>
        <v/>
      </c>
      <c r="O1898" s="14" t="str">
        <f aca="false">IF($B1898="","",$B1898&amp;"|"&amp;$N1898)</f>
        <v/>
      </c>
    </row>
    <row r="1899" customFormat="false" ht="15" hidden="false" customHeight="false" outlineLevel="0" collapsed="false">
      <c r="A1899" s="12"/>
      <c r="B1899" s="9"/>
      <c r="C1899" s="9"/>
      <c r="D1899" s="9"/>
      <c r="E1899" s="9"/>
      <c r="F1899" s="9"/>
      <c r="G1899" s="9"/>
      <c r="H1899" s="7"/>
      <c r="I1899" s="13" t="str">
        <f aca="false">IF(OR($G1899="",$H1899=""),"",ROUND($G1899*$H1899,0))</f>
        <v/>
      </c>
      <c r="J1899" s="8"/>
      <c r="K1899" s="13" t="str">
        <f aca="false">IF($B1899="","",SUMIFS($I$3:$I$2002,$B$3:$B$2002,$B1899))</f>
        <v/>
      </c>
      <c r="L1899" s="13" t="str">
        <f aca="false">IF($B1899="","",IF(COUNTIFS($B$3:$B1899,$B1899)&gt;1,0,IFERROR(LOOKUP($K1899,배송비규정!$A$3:$A$32,배송비규정!$B$3:$B$32),0)+IFERROR(INDEX(지역추가비!$B$3:$B$42,MATCH($J1899,지역추가비!$A$3:$A$42,0)),0)))</f>
        <v/>
      </c>
      <c r="M1899" s="13" t="str">
        <f aca="false">IF($B1899="","",IF(COUNTIFS($B$3:$B1899,$B1899)&gt;1,"",$K1899+$L1899))</f>
        <v/>
      </c>
      <c r="N1899" s="14" t="str">
        <f aca="false">IF($B1899="","",COUNTIFS($B$3:$B1899,$B1899))</f>
        <v/>
      </c>
      <c r="O1899" s="14" t="str">
        <f aca="false">IF($B1899="","",$B1899&amp;"|"&amp;$N1899)</f>
        <v/>
      </c>
    </row>
    <row r="1900" customFormat="false" ht="15" hidden="false" customHeight="false" outlineLevel="0" collapsed="false">
      <c r="A1900" s="12"/>
      <c r="B1900" s="9"/>
      <c r="C1900" s="9"/>
      <c r="D1900" s="9"/>
      <c r="E1900" s="9"/>
      <c r="F1900" s="9"/>
      <c r="G1900" s="9"/>
      <c r="H1900" s="7"/>
      <c r="I1900" s="13" t="str">
        <f aca="false">IF(OR($G1900="",$H1900=""),"",ROUND($G1900*$H1900,0))</f>
        <v/>
      </c>
      <c r="J1900" s="8"/>
      <c r="K1900" s="13" t="str">
        <f aca="false">IF($B1900="","",SUMIFS($I$3:$I$2002,$B$3:$B$2002,$B1900))</f>
        <v/>
      </c>
      <c r="L1900" s="13" t="str">
        <f aca="false">IF($B1900="","",IF(COUNTIFS($B$3:$B1900,$B1900)&gt;1,0,IFERROR(LOOKUP($K1900,배송비규정!$A$3:$A$32,배송비규정!$B$3:$B$32),0)+IFERROR(INDEX(지역추가비!$B$3:$B$42,MATCH($J1900,지역추가비!$A$3:$A$42,0)),0)))</f>
        <v/>
      </c>
      <c r="M1900" s="13" t="str">
        <f aca="false">IF($B1900="","",IF(COUNTIFS($B$3:$B1900,$B1900)&gt;1,"",$K1900+$L1900))</f>
        <v/>
      </c>
      <c r="N1900" s="14" t="str">
        <f aca="false">IF($B1900="","",COUNTIFS($B$3:$B1900,$B1900))</f>
        <v/>
      </c>
      <c r="O1900" s="14" t="str">
        <f aca="false">IF($B1900="","",$B1900&amp;"|"&amp;$N1900)</f>
        <v/>
      </c>
    </row>
    <row r="1901" customFormat="false" ht="15" hidden="false" customHeight="false" outlineLevel="0" collapsed="false">
      <c r="A1901" s="12"/>
      <c r="B1901" s="9"/>
      <c r="C1901" s="9"/>
      <c r="D1901" s="9"/>
      <c r="E1901" s="9"/>
      <c r="F1901" s="9"/>
      <c r="G1901" s="9"/>
      <c r="H1901" s="7"/>
      <c r="I1901" s="13" t="str">
        <f aca="false">IF(OR($G1901="",$H1901=""),"",ROUND($G1901*$H1901,0))</f>
        <v/>
      </c>
      <c r="J1901" s="8"/>
      <c r="K1901" s="13" t="str">
        <f aca="false">IF($B1901="","",SUMIFS($I$3:$I$2002,$B$3:$B$2002,$B1901))</f>
        <v/>
      </c>
      <c r="L1901" s="13" t="str">
        <f aca="false">IF($B1901="","",IF(COUNTIFS($B$3:$B1901,$B1901)&gt;1,0,IFERROR(LOOKUP($K1901,배송비규정!$A$3:$A$32,배송비규정!$B$3:$B$32),0)+IFERROR(INDEX(지역추가비!$B$3:$B$42,MATCH($J1901,지역추가비!$A$3:$A$42,0)),0)))</f>
        <v/>
      </c>
      <c r="M1901" s="13" t="str">
        <f aca="false">IF($B1901="","",IF(COUNTIFS($B$3:$B1901,$B1901)&gt;1,"",$K1901+$L1901))</f>
        <v/>
      </c>
      <c r="N1901" s="14" t="str">
        <f aca="false">IF($B1901="","",COUNTIFS($B$3:$B1901,$B1901))</f>
        <v/>
      </c>
      <c r="O1901" s="14" t="str">
        <f aca="false">IF($B1901="","",$B1901&amp;"|"&amp;$N1901)</f>
        <v/>
      </c>
    </row>
    <row r="1902" customFormat="false" ht="15" hidden="false" customHeight="false" outlineLevel="0" collapsed="false">
      <c r="A1902" s="12"/>
      <c r="B1902" s="9"/>
      <c r="C1902" s="9"/>
      <c r="D1902" s="9"/>
      <c r="E1902" s="9"/>
      <c r="F1902" s="9"/>
      <c r="G1902" s="9"/>
      <c r="H1902" s="7"/>
      <c r="I1902" s="13" t="str">
        <f aca="false">IF(OR($G1902="",$H1902=""),"",ROUND($G1902*$H1902,0))</f>
        <v/>
      </c>
      <c r="J1902" s="8"/>
      <c r="K1902" s="13" t="str">
        <f aca="false">IF($B1902="","",SUMIFS($I$3:$I$2002,$B$3:$B$2002,$B1902))</f>
        <v/>
      </c>
      <c r="L1902" s="13" t="str">
        <f aca="false">IF($B1902="","",IF(COUNTIFS($B$3:$B1902,$B1902)&gt;1,0,IFERROR(LOOKUP($K1902,배송비규정!$A$3:$A$32,배송비규정!$B$3:$B$32),0)+IFERROR(INDEX(지역추가비!$B$3:$B$42,MATCH($J1902,지역추가비!$A$3:$A$42,0)),0)))</f>
        <v/>
      </c>
      <c r="M1902" s="13" t="str">
        <f aca="false">IF($B1902="","",IF(COUNTIFS($B$3:$B1902,$B1902)&gt;1,"",$K1902+$L1902))</f>
        <v/>
      </c>
      <c r="N1902" s="14" t="str">
        <f aca="false">IF($B1902="","",COUNTIFS($B$3:$B1902,$B1902))</f>
        <v/>
      </c>
      <c r="O1902" s="14" t="str">
        <f aca="false">IF($B1902="","",$B1902&amp;"|"&amp;$N1902)</f>
        <v/>
      </c>
    </row>
    <row r="1903" customFormat="false" ht="15" hidden="false" customHeight="false" outlineLevel="0" collapsed="false">
      <c r="A1903" s="12"/>
      <c r="B1903" s="9"/>
      <c r="C1903" s="9"/>
      <c r="D1903" s="9"/>
      <c r="E1903" s="9"/>
      <c r="F1903" s="9"/>
      <c r="G1903" s="9"/>
      <c r="H1903" s="7"/>
      <c r="I1903" s="13" t="str">
        <f aca="false">IF(OR($G1903="",$H1903=""),"",ROUND($G1903*$H1903,0))</f>
        <v/>
      </c>
      <c r="J1903" s="8"/>
      <c r="K1903" s="13" t="str">
        <f aca="false">IF($B1903="","",SUMIFS($I$3:$I$2002,$B$3:$B$2002,$B1903))</f>
        <v/>
      </c>
      <c r="L1903" s="13" t="str">
        <f aca="false">IF($B1903="","",IF(COUNTIFS($B$3:$B1903,$B1903)&gt;1,0,IFERROR(LOOKUP($K1903,배송비규정!$A$3:$A$32,배송비규정!$B$3:$B$32),0)+IFERROR(INDEX(지역추가비!$B$3:$B$42,MATCH($J1903,지역추가비!$A$3:$A$42,0)),0)))</f>
        <v/>
      </c>
      <c r="M1903" s="13" t="str">
        <f aca="false">IF($B1903="","",IF(COUNTIFS($B$3:$B1903,$B1903)&gt;1,"",$K1903+$L1903))</f>
        <v/>
      </c>
      <c r="N1903" s="14" t="str">
        <f aca="false">IF($B1903="","",COUNTIFS($B$3:$B1903,$B1903))</f>
        <v/>
      </c>
      <c r="O1903" s="14" t="str">
        <f aca="false">IF($B1903="","",$B1903&amp;"|"&amp;$N1903)</f>
        <v/>
      </c>
    </row>
    <row r="1904" customFormat="false" ht="15" hidden="false" customHeight="false" outlineLevel="0" collapsed="false">
      <c r="A1904" s="12"/>
      <c r="B1904" s="9"/>
      <c r="C1904" s="9"/>
      <c r="D1904" s="9"/>
      <c r="E1904" s="9"/>
      <c r="F1904" s="9"/>
      <c r="G1904" s="9"/>
      <c r="H1904" s="7"/>
      <c r="I1904" s="13" t="str">
        <f aca="false">IF(OR($G1904="",$H1904=""),"",ROUND($G1904*$H1904,0))</f>
        <v/>
      </c>
      <c r="J1904" s="8"/>
      <c r="K1904" s="13" t="str">
        <f aca="false">IF($B1904="","",SUMIFS($I$3:$I$2002,$B$3:$B$2002,$B1904))</f>
        <v/>
      </c>
      <c r="L1904" s="13" t="str">
        <f aca="false">IF($B1904="","",IF(COUNTIFS($B$3:$B1904,$B1904)&gt;1,0,IFERROR(LOOKUP($K1904,배송비규정!$A$3:$A$32,배송비규정!$B$3:$B$32),0)+IFERROR(INDEX(지역추가비!$B$3:$B$42,MATCH($J1904,지역추가비!$A$3:$A$42,0)),0)))</f>
        <v/>
      </c>
      <c r="M1904" s="13" t="str">
        <f aca="false">IF($B1904="","",IF(COUNTIFS($B$3:$B1904,$B1904)&gt;1,"",$K1904+$L1904))</f>
        <v/>
      </c>
      <c r="N1904" s="14" t="str">
        <f aca="false">IF($B1904="","",COUNTIFS($B$3:$B1904,$B1904))</f>
        <v/>
      </c>
      <c r="O1904" s="14" t="str">
        <f aca="false">IF($B1904="","",$B1904&amp;"|"&amp;$N1904)</f>
        <v/>
      </c>
    </row>
    <row r="1905" customFormat="false" ht="15" hidden="false" customHeight="false" outlineLevel="0" collapsed="false">
      <c r="A1905" s="12"/>
      <c r="B1905" s="9"/>
      <c r="C1905" s="9"/>
      <c r="D1905" s="9"/>
      <c r="E1905" s="9"/>
      <c r="F1905" s="9"/>
      <c r="G1905" s="9"/>
      <c r="H1905" s="7"/>
      <c r="I1905" s="13" t="str">
        <f aca="false">IF(OR($G1905="",$H1905=""),"",ROUND($G1905*$H1905,0))</f>
        <v/>
      </c>
      <c r="J1905" s="8"/>
      <c r="K1905" s="13" t="str">
        <f aca="false">IF($B1905="","",SUMIFS($I$3:$I$2002,$B$3:$B$2002,$B1905))</f>
        <v/>
      </c>
      <c r="L1905" s="13" t="str">
        <f aca="false">IF($B1905="","",IF(COUNTIFS($B$3:$B1905,$B1905)&gt;1,0,IFERROR(LOOKUP($K1905,배송비규정!$A$3:$A$32,배송비규정!$B$3:$B$32),0)+IFERROR(INDEX(지역추가비!$B$3:$B$42,MATCH($J1905,지역추가비!$A$3:$A$42,0)),0)))</f>
        <v/>
      </c>
      <c r="M1905" s="13" t="str">
        <f aca="false">IF($B1905="","",IF(COUNTIFS($B$3:$B1905,$B1905)&gt;1,"",$K1905+$L1905))</f>
        <v/>
      </c>
      <c r="N1905" s="14" t="str">
        <f aca="false">IF($B1905="","",COUNTIFS($B$3:$B1905,$B1905))</f>
        <v/>
      </c>
      <c r="O1905" s="14" t="str">
        <f aca="false">IF($B1905="","",$B1905&amp;"|"&amp;$N1905)</f>
        <v/>
      </c>
    </row>
    <row r="1906" customFormat="false" ht="15" hidden="false" customHeight="false" outlineLevel="0" collapsed="false">
      <c r="A1906" s="12"/>
      <c r="B1906" s="9"/>
      <c r="C1906" s="9"/>
      <c r="D1906" s="9"/>
      <c r="E1906" s="9"/>
      <c r="F1906" s="9"/>
      <c r="G1906" s="9"/>
      <c r="H1906" s="7"/>
      <c r="I1906" s="13" t="str">
        <f aca="false">IF(OR($G1906="",$H1906=""),"",ROUND($G1906*$H1906,0))</f>
        <v/>
      </c>
      <c r="J1906" s="8"/>
      <c r="K1906" s="13" t="str">
        <f aca="false">IF($B1906="","",SUMIFS($I$3:$I$2002,$B$3:$B$2002,$B1906))</f>
        <v/>
      </c>
      <c r="L1906" s="13" t="str">
        <f aca="false">IF($B1906="","",IF(COUNTIFS($B$3:$B1906,$B1906)&gt;1,0,IFERROR(LOOKUP($K1906,배송비규정!$A$3:$A$32,배송비규정!$B$3:$B$32),0)+IFERROR(INDEX(지역추가비!$B$3:$B$42,MATCH($J1906,지역추가비!$A$3:$A$42,0)),0)))</f>
        <v/>
      </c>
      <c r="M1906" s="13" t="str">
        <f aca="false">IF($B1906="","",IF(COUNTIFS($B$3:$B1906,$B1906)&gt;1,"",$K1906+$L1906))</f>
        <v/>
      </c>
      <c r="N1906" s="14" t="str">
        <f aca="false">IF($B1906="","",COUNTIFS($B$3:$B1906,$B1906))</f>
        <v/>
      </c>
      <c r="O1906" s="14" t="str">
        <f aca="false">IF($B1906="","",$B1906&amp;"|"&amp;$N1906)</f>
        <v/>
      </c>
    </row>
    <row r="1907" customFormat="false" ht="15" hidden="false" customHeight="false" outlineLevel="0" collapsed="false">
      <c r="A1907" s="12"/>
      <c r="B1907" s="9"/>
      <c r="C1907" s="9"/>
      <c r="D1907" s="9"/>
      <c r="E1907" s="9"/>
      <c r="F1907" s="9"/>
      <c r="G1907" s="9"/>
      <c r="H1907" s="7"/>
      <c r="I1907" s="13" t="str">
        <f aca="false">IF(OR($G1907="",$H1907=""),"",ROUND($G1907*$H1907,0))</f>
        <v/>
      </c>
      <c r="J1907" s="8"/>
      <c r="K1907" s="13" t="str">
        <f aca="false">IF($B1907="","",SUMIFS($I$3:$I$2002,$B$3:$B$2002,$B1907))</f>
        <v/>
      </c>
      <c r="L1907" s="13" t="str">
        <f aca="false">IF($B1907="","",IF(COUNTIFS($B$3:$B1907,$B1907)&gt;1,0,IFERROR(LOOKUP($K1907,배송비규정!$A$3:$A$32,배송비규정!$B$3:$B$32),0)+IFERROR(INDEX(지역추가비!$B$3:$B$42,MATCH($J1907,지역추가비!$A$3:$A$42,0)),0)))</f>
        <v/>
      </c>
      <c r="M1907" s="13" t="str">
        <f aca="false">IF($B1907="","",IF(COUNTIFS($B$3:$B1907,$B1907)&gt;1,"",$K1907+$L1907))</f>
        <v/>
      </c>
      <c r="N1907" s="14" t="str">
        <f aca="false">IF($B1907="","",COUNTIFS($B$3:$B1907,$B1907))</f>
        <v/>
      </c>
      <c r="O1907" s="14" t="str">
        <f aca="false">IF($B1907="","",$B1907&amp;"|"&amp;$N1907)</f>
        <v/>
      </c>
    </row>
    <row r="1908" customFormat="false" ht="15" hidden="false" customHeight="false" outlineLevel="0" collapsed="false">
      <c r="A1908" s="12"/>
      <c r="B1908" s="9"/>
      <c r="C1908" s="9"/>
      <c r="D1908" s="9"/>
      <c r="E1908" s="9"/>
      <c r="F1908" s="9"/>
      <c r="G1908" s="9"/>
      <c r="H1908" s="7"/>
      <c r="I1908" s="13" t="str">
        <f aca="false">IF(OR($G1908="",$H1908=""),"",ROUND($G1908*$H1908,0))</f>
        <v/>
      </c>
      <c r="J1908" s="8"/>
      <c r="K1908" s="13" t="str">
        <f aca="false">IF($B1908="","",SUMIFS($I$3:$I$2002,$B$3:$B$2002,$B1908))</f>
        <v/>
      </c>
      <c r="L1908" s="13" t="str">
        <f aca="false">IF($B1908="","",IF(COUNTIFS($B$3:$B1908,$B1908)&gt;1,0,IFERROR(LOOKUP($K1908,배송비규정!$A$3:$A$32,배송비규정!$B$3:$B$32),0)+IFERROR(INDEX(지역추가비!$B$3:$B$42,MATCH($J1908,지역추가비!$A$3:$A$42,0)),0)))</f>
        <v/>
      </c>
      <c r="M1908" s="13" t="str">
        <f aca="false">IF($B1908="","",IF(COUNTIFS($B$3:$B1908,$B1908)&gt;1,"",$K1908+$L1908))</f>
        <v/>
      </c>
      <c r="N1908" s="14" t="str">
        <f aca="false">IF($B1908="","",COUNTIFS($B$3:$B1908,$B1908))</f>
        <v/>
      </c>
      <c r="O1908" s="14" t="str">
        <f aca="false">IF($B1908="","",$B1908&amp;"|"&amp;$N1908)</f>
        <v/>
      </c>
    </row>
    <row r="1909" customFormat="false" ht="15" hidden="false" customHeight="false" outlineLevel="0" collapsed="false">
      <c r="A1909" s="12"/>
      <c r="B1909" s="9"/>
      <c r="C1909" s="9"/>
      <c r="D1909" s="9"/>
      <c r="E1909" s="9"/>
      <c r="F1909" s="9"/>
      <c r="G1909" s="9"/>
      <c r="H1909" s="7"/>
      <c r="I1909" s="13" t="str">
        <f aca="false">IF(OR($G1909="",$H1909=""),"",ROUND($G1909*$H1909,0))</f>
        <v/>
      </c>
      <c r="J1909" s="8"/>
      <c r="K1909" s="13" t="str">
        <f aca="false">IF($B1909="","",SUMIFS($I$3:$I$2002,$B$3:$B$2002,$B1909))</f>
        <v/>
      </c>
      <c r="L1909" s="13" t="str">
        <f aca="false">IF($B1909="","",IF(COUNTIFS($B$3:$B1909,$B1909)&gt;1,0,IFERROR(LOOKUP($K1909,배송비규정!$A$3:$A$32,배송비규정!$B$3:$B$32),0)+IFERROR(INDEX(지역추가비!$B$3:$B$42,MATCH($J1909,지역추가비!$A$3:$A$42,0)),0)))</f>
        <v/>
      </c>
      <c r="M1909" s="13" t="str">
        <f aca="false">IF($B1909="","",IF(COUNTIFS($B$3:$B1909,$B1909)&gt;1,"",$K1909+$L1909))</f>
        <v/>
      </c>
      <c r="N1909" s="14" t="str">
        <f aca="false">IF($B1909="","",COUNTIFS($B$3:$B1909,$B1909))</f>
        <v/>
      </c>
      <c r="O1909" s="14" t="str">
        <f aca="false">IF($B1909="","",$B1909&amp;"|"&amp;$N1909)</f>
        <v/>
      </c>
    </row>
    <row r="1910" customFormat="false" ht="15" hidden="false" customHeight="false" outlineLevel="0" collapsed="false">
      <c r="A1910" s="12"/>
      <c r="B1910" s="9"/>
      <c r="C1910" s="9"/>
      <c r="D1910" s="9"/>
      <c r="E1910" s="9"/>
      <c r="F1910" s="9"/>
      <c r="G1910" s="9"/>
      <c r="H1910" s="7"/>
      <c r="I1910" s="13" t="str">
        <f aca="false">IF(OR($G1910="",$H1910=""),"",ROUND($G1910*$H1910,0))</f>
        <v/>
      </c>
      <c r="J1910" s="8"/>
      <c r="K1910" s="13" t="str">
        <f aca="false">IF($B1910="","",SUMIFS($I$3:$I$2002,$B$3:$B$2002,$B1910))</f>
        <v/>
      </c>
      <c r="L1910" s="13" t="str">
        <f aca="false">IF($B1910="","",IF(COUNTIFS($B$3:$B1910,$B1910)&gt;1,0,IFERROR(LOOKUP($K1910,배송비규정!$A$3:$A$32,배송비규정!$B$3:$B$32),0)+IFERROR(INDEX(지역추가비!$B$3:$B$42,MATCH($J1910,지역추가비!$A$3:$A$42,0)),0)))</f>
        <v/>
      </c>
      <c r="M1910" s="13" t="str">
        <f aca="false">IF($B1910="","",IF(COUNTIFS($B$3:$B1910,$B1910)&gt;1,"",$K1910+$L1910))</f>
        <v/>
      </c>
      <c r="N1910" s="14" t="str">
        <f aca="false">IF($B1910="","",COUNTIFS($B$3:$B1910,$B1910))</f>
        <v/>
      </c>
      <c r="O1910" s="14" t="str">
        <f aca="false">IF($B1910="","",$B1910&amp;"|"&amp;$N1910)</f>
        <v/>
      </c>
    </row>
    <row r="1911" customFormat="false" ht="15" hidden="false" customHeight="false" outlineLevel="0" collapsed="false">
      <c r="A1911" s="12"/>
      <c r="B1911" s="9"/>
      <c r="C1911" s="9"/>
      <c r="D1911" s="9"/>
      <c r="E1911" s="9"/>
      <c r="F1911" s="9"/>
      <c r="G1911" s="9"/>
      <c r="H1911" s="7"/>
      <c r="I1911" s="13" t="str">
        <f aca="false">IF(OR($G1911="",$H1911=""),"",ROUND($G1911*$H1911,0))</f>
        <v/>
      </c>
      <c r="J1911" s="8"/>
      <c r="K1911" s="13" t="str">
        <f aca="false">IF($B1911="","",SUMIFS($I$3:$I$2002,$B$3:$B$2002,$B1911))</f>
        <v/>
      </c>
      <c r="L1911" s="13" t="str">
        <f aca="false">IF($B1911="","",IF(COUNTIFS($B$3:$B1911,$B1911)&gt;1,0,IFERROR(LOOKUP($K1911,배송비규정!$A$3:$A$32,배송비규정!$B$3:$B$32),0)+IFERROR(INDEX(지역추가비!$B$3:$B$42,MATCH($J1911,지역추가비!$A$3:$A$42,0)),0)))</f>
        <v/>
      </c>
      <c r="M1911" s="13" t="str">
        <f aca="false">IF($B1911="","",IF(COUNTIFS($B$3:$B1911,$B1911)&gt;1,"",$K1911+$L1911))</f>
        <v/>
      </c>
      <c r="N1911" s="14" t="str">
        <f aca="false">IF($B1911="","",COUNTIFS($B$3:$B1911,$B1911))</f>
        <v/>
      </c>
      <c r="O1911" s="14" t="str">
        <f aca="false">IF($B1911="","",$B1911&amp;"|"&amp;$N1911)</f>
        <v/>
      </c>
    </row>
    <row r="1912" customFormat="false" ht="15" hidden="false" customHeight="false" outlineLevel="0" collapsed="false">
      <c r="A1912" s="12"/>
      <c r="B1912" s="9"/>
      <c r="C1912" s="9"/>
      <c r="D1912" s="9"/>
      <c r="E1912" s="9"/>
      <c r="F1912" s="9"/>
      <c r="G1912" s="9"/>
      <c r="H1912" s="7"/>
      <c r="I1912" s="13" t="str">
        <f aca="false">IF(OR($G1912="",$H1912=""),"",ROUND($G1912*$H1912,0))</f>
        <v/>
      </c>
      <c r="J1912" s="8"/>
      <c r="K1912" s="13" t="str">
        <f aca="false">IF($B1912="","",SUMIFS($I$3:$I$2002,$B$3:$B$2002,$B1912))</f>
        <v/>
      </c>
      <c r="L1912" s="13" t="str">
        <f aca="false">IF($B1912="","",IF(COUNTIFS($B$3:$B1912,$B1912)&gt;1,0,IFERROR(LOOKUP($K1912,배송비규정!$A$3:$A$32,배송비규정!$B$3:$B$32),0)+IFERROR(INDEX(지역추가비!$B$3:$B$42,MATCH($J1912,지역추가비!$A$3:$A$42,0)),0)))</f>
        <v/>
      </c>
      <c r="M1912" s="13" t="str">
        <f aca="false">IF($B1912="","",IF(COUNTIFS($B$3:$B1912,$B1912)&gt;1,"",$K1912+$L1912))</f>
        <v/>
      </c>
      <c r="N1912" s="14" t="str">
        <f aca="false">IF($B1912="","",COUNTIFS($B$3:$B1912,$B1912))</f>
        <v/>
      </c>
      <c r="O1912" s="14" t="str">
        <f aca="false">IF($B1912="","",$B1912&amp;"|"&amp;$N1912)</f>
        <v/>
      </c>
    </row>
    <row r="1913" customFormat="false" ht="15" hidden="false" customHeight="false" outlineLevel="0" collapsed="false">
      <c r="A1913" s="12"/>
      <c r="B1913" s="9"/>
      <c r="C1913" s="9"/>
      <c r="D1913" s="9"/>
      <c r="E1913" s="9"/>
      <c r="F1913" s="9"/>
      <c r="G1913" s="9"/>
      <c r="H1913" s="7"/>
      <c r="I1913" s="13" t="str">
        <f aca="false">IF(OR($G1913="",$H1913=""),"",ROUND($G1913*$H1913,0))</f>
        <v/>
      </c>
      <c r="J1913" s="8"/>
      <c r="K1913" s="13" t="str">
        <f aca="false">IF($B1913="","",SUMIFS($I$3:$I$2002,$B$3:$B$2002,$B1913))</f>
        <v/>
      </c>
      <c r="L1913" s="13" t="str">
        <f aca="false">IF($B1913="","",IF(COUNTIFS($B$3:$B1913,$B1913)&gt;1,0,IFERROR(LOOKUP($K1913,배송비규정!$A$3:$A$32,배송비규정!$B$3:$B$32),0)+IFERROR(INDEX(지역추가비!$B$3:$B$42,MATCH($J1913,지역추가비!$A$3:$A$42,0)),0)))</f>
        <v/>
      </c>
      <c r="M1913" s="13" t="str">
        <f aca="false">IF($B1913="","",IF(COUNTIFS($B$3:$B1913,$B1913)&gt;1,"",$K1913+$L1913))</f>
        <v/>
      </c>
      <c r="N1913" s="14" t="str">
        <f aca="false">IF($B1913="","",COUNTIFS($B$3:$B1913,$B1913))</f>
        <v/>
      </c>
      <c r="O1913" s="14" t="str">
        <f aca="false">IF($B1913="","",$B1913&amp;"|"&amp;$N1913)</f>
        <v/>
      </c>
    </row>
    <row r="1914" customFormat="false" ht="15" hidden="false" customHeight="false" outlineLevel="0" collapsed="false">
      <c r="A1914" s="12"/>
      <c r="B1914" s="9"/>
      <c r="C1914" s="9"/>
      <c r="D1914" s="9"/>
      <c r="E1914" s="9"/>
      <c r="F1914" s="9"/>
      <c r="G1914" s="9"/>
      <c r="H1914" s="7"/>
      <c r="I1914" s="13" t="str">
        <f aca="false">IF(OR($G1914="",$H1914=""),"",ROUND($G1914*$H1914,0))</f>
        <v/>
      </c>
      <c r="J1914" s="8"/>
      <c r="K1914" s="13" t="str">
        <f aca="false">IF($B1914="","",SUMIFS($I$3:$I$2002,$B$3:$B$2002,$B1914))</f>
        <v/>
      </c>
      <c r="L1914" s="13" t="str">
        <f aca="false">IF($B1914="","",IF(COUNTIFS($B$3:$B1914,$B1914)&gt;1,0,IFERROR(LOOKUP($K1914,배송비규정!$A$3:$A$32,배송비규정!$B$3:$B$32),0)+IFERROR(INDEX(지역추가비!$B$3:$B$42,MATCH($J1914,지역추가비!$A$3:$A$42,0)),0)))</f>
        <v/>
      </c>
      <c r="M1914" s="13" t="str">
        <f aca="false">IF($B1914="","",IF(COUNTIFS($B$3:$B1914,$B1914)&gt;1,"",$K1914+$L1914))</f>
        <v/>
      </c>
      <c r="N1914" s="14" t="str">
        <f aca="false">IF($B1914="","",COUNTIFS($B$3:$B1914,$B1914))</f>
        <v/>
      </c>
      <c r="O1914" s="14" t="str">
        <f aca="false">IF($B1914="","",$B1914&amp;"|"&amp;$N1914)</f>
        <v/>
      </c>
    </row>
    <row r="1915" customFormat="false" ht="15" hidden="false" customHeight="false" outlineLevel="0" collapsed="false">
      <c r="A1915" s="12"/>
      <c r="B1915" s="9"/>
      <c r="C1915" s="9"/>
      <c r="D1915" s="9"/>
      <c r="E1915" s="9"/>
      <c r="F1915" s="9"/>
      <c r="G1915" s="9"/>
      <c r="H1915" s="7"/>
      <c r="I1915" s="13" t="str">
        <f aca="false">IF(OR($G1915="",$H1915=""),"",ROUND($G1915*$H1915,0))</f>
        <v/>
      </c>
      <c r="J1915" s="8"/>
      <c r="K1915" s="13" t="str">
        <f aca="false">IF($B1915="","",SUMIFS($I$3:$I$2002,$B$3:$B$2002,$B1915))</f>
        <v/>
      </c>
      <c r="L1915" s="13" t="str">
        <f aca="false">IF($B1915="","",IF(COUNTIFS($B$3:$B1915,$B1915)&gt;1,0,IFERROR(LOOKUP($K1915,배송비규정!$A$3:$A$32,배송비규정!$B$3:$B$32),0)+IFERROR(INDEX(지역추가비!$B$3:$B$42,MATCH($J1915,지역추가비!$A$3:$A$42,0)),0)))</f>
        <v/>
      </c>
      <c r="M1915" s="13" t="str">
        <f aca="false">IF($B1915="","",IF(COUNTIFS($B$3:$B1915,$B1915)&gt;1,"",$K1915+$L1915))</f>
        <v/>
      </c>
      <c r="N1915" s="14" t="str">
        <f aca="false">IF($B1915="","",COUNTIFS($B$3:$B1915,$B1915))</f>
        <v/>
      </c>
      <c r="O1915" s="14" t="str">
        <f aca="false">IF($B1915="","",$B1915&amp;"|"&amp;$N1915)</f>
        <v/>
      </c>
    </row>
    <row r="1916" customFormat="false" ht="15" hidden="false" customHeight="false" outlineLevel="0" collapsed="false">
      <c r="A1916" s="12"/>
      <c r="B1916" s="9"/>
      <c r="C1916" s="9"/>
      <c r="D1916" s="9"/>
      <c r="E1916" s="9"/>
      <c r="F1916" s="9"/>
      <c r="G1916" s="9"/>
      <c r="H1916" s="7"/>
      <c r="I1916" s="13" t="str">
        <f aca="false">IF(OR($G1916="",$H1916=""),"",ROUND($G1916*$H1916,0))</f>
        <v/>
      </c>
      <c r="J1916" s="8"/>
      <c r="K1916" s="13" t="str">
        <f aca="false">IF($B1916="","",SUMIFS($I$3:$I$2002,$B$3:$B$2002,$B1916))</f>
        <v/>
      </c>
      <c r="L1916" s="13" t="str">
        <f aca="false">IF($B1916="","",IF(COUNTIFS($B$3:$B1916,$B1916)&gt;1,0,IFERROR(LOOKUP($K1916,배송비규정!$A$3:$A$32,배송비규정!$B$3:$B$32),0)+IFERROR(INDEX(지역추가비!$B$3:$B$42,MATCH($J1916,지역추가비!$A$3:$A$42,0)),0)))</f>
        <v/>
      </c>
      <c r="M1916" s="13" t="str">
        <f aca="false">IF($B1916="","",IF(COUNTIFS($B$3:$B1916,$B1916)&gt;1,"",$K1916+$L1916))</f>
        <v/>
      </c>
      <c r="N1916" s="14" t="str">
        <f aca="false">IF($B1916="","",COUNTIFS($B$3:$B1916,$B1916))</f>
        <v/>
      </c>
      <c r="O1916" s="14" t="str">
        <f aca="false">IF($B1916="","",$B1916&amp;"|"&amp;$N1916)</f>
        <v/>
      </c>
    </row>
    <row r="1917" customFormat="false" ht="15" hidden="false" customHeight="false" outlineLevel="0" collapsed="false">
      <c r="A1917" s="12"/>
      <c r="B1917" s="9"/>
      <c r="C1917" s="9"/>
      <c r="D1917" s="9"/>
      <c r="E1917" s="9"/>
      <c r="F1917" s="9"/>
      <c r="G1917" s="9"/>
      <c r="H1917" s="7"/>
      <c r="I1917" s="13" t="str">
        <f aca="false">IF(OR($G1917="",$H1917=""),"",ROUND($G1917*$H1917,0))</f>
        <v/>
      </c>
      <c r="J1917" s="8"/>
      <c r="K1917" s="13" t="str">
        <f aca="false">IF($B1917="","",SUMIFS($I$3:$I$2002,$B$3:$B$2002,$B1917))</f>
        <v/>
      </c>
      <c r="L1917" s="13" t="str">
        <f aca="false">IF($B1917="","",IF(COUNTIFS($B$3:$B1917,$B1917)&gt;1,0,IFERROR(LOOKUP($K1917,배송비규정!$A$3:$A$32,배송비규정!$B$3:$B$32),0)+IFERROR(INDEX(지역추가비!$B$3:$B$42,MATCH($J1917,지역추가비!$A$3:$A$42,0)),0)))</f>
        <v/>
      </c>
      <c r="M1917" s="13" t="str">
        <f aca="false">IF($B1917="","",IF(COUNTIFS($B$3:$B1917,$B1917)&gt;1,"",$K1917+$L1917))</f>
        <v/>
      </c>
      <c r="N1917" s="14" t="str">
        <f aca="false">IF($B1917="","",COUNTIFS($B$3:$B1917,$B1917))</f>
        <v/>
      </c>
      <c r="O1917" s="14" t="str">
        <f aca="false">IF($B1917="","",$B1917&amp;"|"&amp;$N1917)</f>
        <v/>
      </c>
    </row>
    <row r="1918" customFormat="false" ht="15" hidden="false" customHeight="false" outlineLevel="0" collapsed="false">
      <c r="A1918" s="12"/>
      <c r="B1918" s="9"/>
      <c r="C1918" s="9"/>
      <c r="D1918" s="9"/>
      <c r="E1918" s="9"/>
      <c r="F1918" s="9"/>
      <c r="G1918" s="9"/>
      <c r="H1918" s="7"/>
      <c r="I1918" s="13" t="str">
        <f aca="false">IF(OR($G1918="",$H1918=""),"",ROUND($G1918*$H1918,0))</f>
        <v/>
      </c>
      <c r="J1918" s="8"/>
      <c r="K1918" s="13" t="str">
        <f aca="false">IF($B1918="","",SUMIFS($I$3:$I$2002,$B$3:$B$2002,$B1918))</f>
        <v/>
      </c>
      <c r="L1918" s="13" t="str">
        <f aca="false">IF($B1918="","",IF(COUNTIFS($B$3:$B1918,$B1918)&gt;1,0,IFERROR(LOOKUP($K1918,배송비규정!$A$3:$A$32,배송비규정!$B$3:$B$32),0)+IFERROR(INDEX(지역추가비!$B$3:$B$42,MATCH($J1918,지역추가비!$A$3:$A$42,0)),0)))</f>
        <v/>
      </c>
      <c r="M1918" s="13" t="str">
        <f aca="false">IF($B1918="","",IF(COUNTIFS($B$3:$B1918,$B1918)&gt;1,"",$K1918+$L1918))</f>
        <v/>
      </c>
      <c r="N1918" s="14" t="str">
        <f aca="false">IF($B1918="","",COUNTIFS($B$3:$B1918,$B1918))</f>
        <v/>
      </c>
      <c r="O1918" s="14" t="str">
        <f aca="false">IF($B1918="","",$B1918&amp;"|"&amp;$N1918)</f>
        <v/>
      </c>
    </row>
    <row r="1919" customFormat="false" ht="15" hidden="false" customHeight="false" outlineLevel="0" collapsed="false">
      <c r="A1919" s="12"/>
      <c r="B1919" s="9"/>
      <c r="C1919" s="9"/>
      <c r="D1919" s="9"/>
      <c r="E1919" s="9"/>
      <c r="F1919" s="9"/>
      <c r="G1919" s="9"/>
      <c r="H1919" s="7"/>
      <c r="I1919" s="13" t="str">
        <f aca="false">IF(OR($G1919="",$H1919=""),"",ROUND($G1919*$H1919,0))</f>
        <v/>
      </c>
      <c r="J1919" s="8"/>
      <c r="K1919" s="13" t="str">
        <f aca="false">IF($B1919="","",SUMIFS($I$3:$I$2002,$B$3:$B$2002,$B1919))</f>
        <v/>
      </c>
      <c r="L1919" s="13" t="str">
        <f aca="false">IF($B1919="","",IF(COUNTIFS($B$3:$B1919,$B1919)&gt;1,0,IFERROR(LOOKUP($K1919,배송비규정!$A$3:$A$32,배송비규정!$B$3:$B$32),0)+IFERROR(INDEX(지역추가비!$B$3:$B$42,MATCH($J1919,지역추가비!$A$3:$A$42,0)),0)))</f>
        <v/>
      </c>
      <c r="M1919" s="13" t="str">
        <f aca="false">IF($B1919="","",IF(COUNTIFS($B$3:$B1919,$B1919)&gt;1,"",$K1919+$L1919))</f>
        <v/>
      </c>
      <c r="N1919" s="14" t="str">
        <f aca="false">IF($B1919="","",COUNTIFS($B$3:$B1919,$B1919))</f>
        <v/>
      </c>
      <c r="O1919" s="14" t="str">
        <f aca="false">IF($B1919="","",$B1919&amp;"|"&amp;$N1919)</f>
        <v/>
      </c>
    </row>
    <row r="1920" customFormat="false" ht="15" hidden="false" customHeight="false" outlineLevel="0" collapsed="false">
      <c r="A1920" s="12"/>
      <c r="B1920" s="9"/>
      <c r="C1920" s="9"/>
      <c r="D1920" s="9"/>
      <c r="E1920" s="9"/>
      <c r="F1920" s="9"/>
      <c r="G1920" s="9"/>
      <c r="H1920" s="7"/>
      <c r="I1920" s="13" t="str">
        <f aca="false">IF(OR($G1920="",$H1920=""),"",ROUND($G1920*$H1920,0))</f>
        <v/>
      </c>
      <c r="J1920" s="8"/>
      <c r="K1920" s="13" t="str">
        <f aca="false">IF($B1920="","",SUMIFS($I$3:$I$2002,$B$3:$B$2002,$B1920))</f>
        <v/>
      </c>
      <c r="L1920" s="13" t="str">
        <f aca="false">IF($B1920="","",IF(COUNTIFS($B$3:$B1920,$B1920)&gt;1,0,IFERROR(LOOKUP($K1920,배송비규정!$A$3:$A$32,배송비규정!$B$3:$B$32),0)+IFERROR(INDEX(지역추가비!$B$3:$B$42,MATCH($J1920,지역추가비!$A$3:$A$42,0)),0)))</f>
        <v/>
      </c>
      <c r="M1920" s="13" t="str">
        <f aca="false">IF($B1920="","",IF(COUNTIFS($B$3:$B1920,$B1920)&gt;1,"",$K1920+$L1920))</f>
        <v/>
      </c>
      <c r="N1920" s="14" t="str">
        <f aca="false">IF($B1920="","",COUNTIFS($B$3:$B1920,$B1920))</f>
        <v/>
      </c>
      <c r="O1920" s="14" t="str">
        <f aca="false">IF($B1920="","",$B1920&amp;"|"&amp;$N1920)</f>
        <v/>
      </c>
    </row>
    <row r="1921" customFormat="false" ht="15" hidden="false" customHeight="false" outlineLevel="0" collapsed="false">
      <c r="A1921" s="12"/>
      <c r="B1921" s="9"/>
      <c r="C1921" s="9"/>
      <c r="D1921" s="9"/>
      <c r="E1921" s="9"/>
      <c r="F1921" s="9"/>
      <c r="G1921" s="9"/>
      <c r="H1921" s="7"/>
      <c r="I1921" s="13" t="str">
        <f aca="false">IF(OR($G1921="",$H1921=""),"",ROUND($G1921*$H1921,0))</f>
        <v/>
      </c>
      <c r="J1921" s="8"/>
      <c r="K1921" s="13" t="str">
        <f aca="false">IF($B1921="","",SUMIFS($I$3:$I$2002,$B$3:$B$2002,$B1921))</f>
        <v/>
      </c>
      <c r="L1921" s="13" t="str">
        <f aca="false">IF($B1921="","",IF(COUNTIFS($B$3:$B1921,$B1921)&gt;1,0,IFERROR(LOOKUP($K1921,배송비규정!$A$3:$A$32,배송비규정!$B$3:$B$32),0)+IFERROR(INDEX(지역추가비!$B$3:$B$42,MATCH($J1921,지역추가비!$A$3:$A$42,0)),0)))</f>
        <v/>
      </c>
      <c r="M1921" s="13" t="str">
        <f aca="false">IF($B1921="","",IF(COUNTIFS($B$3:$B1921,$B1921)&gt;1,"",$K1921+$L1921))</f>
        <v/>
      </c>
      <c r="N1921" s="14" t="str">
        <f aca="false">IF($B1921="","",COUNTIFS($B$3:$B1921,$B1921))</f>
        <v/>
      </c>
      <c r="O1921" s="14" t="str">
        <f aca="false">IF($B1921="","",$B1921&amp;"|"&amp;$N1921)</f>
        <v/>
      </c>
    </row>
    <row r="1922" customFormat="false" ht="15" hidden="false" customHeight="false" outlineLevel="0" collapsed="false">
      <c r="A1922" s="12"/>
      <c r="B1922" s="9"/>
      <c r="C1922" s="9"/>
      <c r="D1922" s="9"/>
      <c r="E1922" s="9"/>
      <c r="F1922" s="9"/>
      <c r="G1922" s="9"/>
      <c r="H1922" s="7"/>
      <c r="I1922" s="13" t="str">
        <f aca="false">IF(OR($G1922="",$H1922=""),"",ROUND($G1922*$H1922,0))</f>
        <v/>
      </c>
      <c r="J1922" s="8"/>
      <c r="K1922" s="13" t="str">
        <f aca="false">IF($B1922="","",SUMIFS($I$3:$I$2002,$B$3:$B$2002,$B1922))</f>
        <v/>
      </c>
      <c r="L1922" s="13" t="str">
        <f aca="false">IF($B1922="","",IF(COUNTIFS($B$3:$B1922,$B1922)&gt;1,0,IFERROR(LOOKUP($K1922,배송비규정!$A$3:$A$32,배송비규정!$B$3:$B$32),0)+IFERROR(INDEX(지역추가비!$B$3:$B$42,MATCH($J1922,지역추가비!$A$3:$A$42,0)),0)))</f>
        <v/>
      </c>
      <c r="M1922" s="13" t="str">
        <f aca="false">IF($B1922="","",IF(COUNTIFS($B$3:$B1922,$B1922)&gt;1,"",$K1922+$L1922))</f>
        <v/>
      </c>
      <c r="N1922" s="14" t="str">
        <f aca="false">IF($B1922="","",COUNTIFS($B$3:$B1922,$B1922))</f>
        <v/>
      </c>
      <c r="O1922" s="14" t="str">
        <f aca="false">IF($B1922="","",$B1922&amp;"|"&amp;$N1922)</f>
        <v/>
      </c>
    </row>
    <row r="1923" customFormat="false" ht="15" hidden="false" customHeight="false" outlineLevel="0" collapsed="false">
      <c r="A1923" s="12"/>
      <c r="B1923" s="9"/>
      <c r="C1923" s="9"/>
      <c r="D1923" s="9"/>
      <c r="E1923" s="9"/>
      <c r="F1923" s="9"/>
      <c r="G1923" s="9"/>
      <c r="H1923" s="7"/>
      <c r="I1923" s="13" t="str">
        <f aca="false">IF(OR($G1923="",$H1923=""),"",ROUND($G1923*$H1923,0))</f>
        <v/>
      </c>
      <c r="J1923" s="8"/>
      <c r="K1923" s="13" t="str">
        <f aca="false">IF($B1923="","",SUMIFS($I$3:$I$2002,$B$3:$B$2002,$B1923))</f>
        <v/>
      </c>
      <c r="L1923" s="13" t="str">
        <f aca="false">IF($B1923="","",IF(COUNTIFS($B$3:$B1923,$B1923)&gt;1,0,IFERROR(LOOKUP($K1923,배송비규정!$A$3:$A$32,배송비규정!$B$3:$B$32),0)+IFERROR(INDEX(지역추가비!$B$3:$B$42,MATCH($J1923,지역추가비!$A$3:$A$42,0)),0)))</f>
        <v/>
      </c>
      <c r="M1923" s="13" t="str">
        <f aca="false">IF($B1923="","",IF(COUNTIFS($B$3:$B1923,$B1923)&gt;1,"",$K1923+$L1923))</f>
        <v/>
      </c>
      <c r="N1923" s="14" t="str">
        <f aca="false">IF($B1923="","",COUNTIFS($B$3:$B1923,$B1923))</f>
        <v/>
      </c>
      <c r="O1923" s="14" t="str">
        <f aca="false">IF($B1923="","",$B1923&amp;"|"&amp;$N1923)</f>
        <v/>
      </c>
    </row>
    <row r="1924" customFormat="false" ht="15" hidden="false" customHeight="false" outlineLevel="0" collapsed="false">
      <c r="A1924" s="12"/>
      <c r="B1924" s="9"/>
      <c r="C1924" s="9"/>
      <c r="D1924" s="9"/>
      <c r="E1924" s="9"/>
      <c r="F1924" s="9"/>
      <c r="G1924" s="9"/>
      <c r="H1924" s="7"/>
      <c r="I1924" s="13" t="str">
        <f aca="false">IF(OR($G1924="",$H1924=""),"",ROUND($G1924*$H1924,0))</f>
        <v/>
      </c>
      <c r="J1924" s="8"/>
      <c r="K1924" s="13" t="str">
        <f aca="false">IF($B1924="","",SUMIFS($I$3:$I$2002,$B$3:$B$2002,$B1924))</f>
        <v/>
      </c>
      <c r="L1924" s="13" t="str">
        <f aca="false">IF($B1924="","",IF(COUNTIFS($B$3:$B1924,$B1924)&gt;1,0,IFERROR(LOOKUP($K1924,배송비규정!$A$3:$A$32,배송비규정!$B$3:$B$32),0)+IFERROR(INDEX(지역추가비!$B$3:$B$42,MATCH($J1924,지역추가비!$A$3:$A$42,0)),0)))</f>
        <v/>
      </c>
      <c r="M1924" s="13" t="str">
        <f aca="false">IF($B1924="","",IF(COUNTIFS($B$3:$B1924,$B1924)&gt;1,"",$K1924+$L1924))</f>
        <v/>
      </c>
      <c r="N1924" s="14" t="str">
        <f aca="false">IF($B1924="","",COUNTIFS($B$3:$B1924,$B1924))</f>
        <v/>
      </c>
      <c r="O1924" s="14" t="str">
        <f aca="false">IF($B1924="","",$B1924&amp;"|"&amp;$N1924)</f>
        <v/>
      </c>
    </row>
    <row r="1925" customFormat="false" ht="15" hidden="false" customHeight="false" outlineLevel="0" collapsed="false">
      <c r="A1925" s="12"/>
      <c r="B1925" s="9"/>
      <c r="C1925" s="9"/>
      <c r="D1925" s="9"/>
      <c r="E1925" s="9"/>
      <c r="F1925" s="9"/>
      <c r="G1925" s="9"/>
      <c r="H1925" s="7"/>
      <c r="I1925" s="13" t="str">
        <f aca="false">IF(OR($G1925="",$H1925=""),"",ROUND($G1925*$H1925,0))</f>
        <v/>
      </c>
      <c r="J1925" s="8"/>
      <c r="K1925" s="13" t="str">
        <f aca="false">IF($B1925="","",SUMIFS($I$3:$I$2002,$B$3:$B$2002,$B1925))</f>
        <v/>
      </c>
      <c r="L1925" s="13" t="str">
        <f aca="false">IF($B1925="","",IF(COUNTIFS($B$3:$B1925,$B1925)&gt;1,0,IFERROR(LOOKUP($K1925,배송비규정!$A$3:$A$32,배송비규정!$B$3:$B$32),0)+IFERROR(INDEX(지역추가비!$B$3:$B$42,MATCH($J1925,지역추가비!$A$3:$A$42,0)),0)))</f>
        <v/>
      </c>
      <c r="M1925" s="13" t="str">
        <f aca="false">IF($B1925="","",IF(COUNTIFS($B$3:$B1925,$B1925)&gt;1,"",$K1925+$L1925))</f>
        <v/>
      </c>
      <c r="N1925" s="14" t="str">
        <f aca="false">IF($B1925="","",COUNTIFS($B$3:$B1925,$B1925))</f>
        <v/>
      </c>
      <c r="O1925" s="14" t="str">
        <f aca="false">IF($B1925="","",$B1925&amp;"|"&amp;$N1925)</f>
        <v/>
      </c>
    </row>
    <row r="1926" customFormat="false" ht="15" hidden="false" customHeight="false" outlineLevel="0" collapsed="false">
      <c r="A1926" s="12"/>
      <c r="B1926" s="9"/>
      <c r="C1926" s="9"/>
      <c r="D1926" s="9"/>
      <c r="E1926" s="9"/>
      <c r="F1926" s="9"/>
      <c r="G1926" s="9"/>
      <c r="H1926" s="7"/>
      <c r="I1926" s="13" t="str">
        <f aca="false">IF(OR($G1926="",$H1926=""),"",ROUND($G1926*$H1926,0))</f>
        <v/>
      </c>
      <c r="J1926" s="8"/>
      <c r="K1926" s="13" t="str">
        <f aca="false">IF($B1926="","",SUMIFS($I$3:$I$2002,$B$3:$B$2002,$B1926))</f>
        <v/>
      </c>
      <c r="L1926" s="13" t="str">
        <f aca="false">IF($B1926="","",IF(COUNTIFS($B$3:$B1926,$B1926)&gt;1,0,IFERROR(LOOKUP($K1926,배송비규정!$A$3:$A$32,배송비규정!$B$3:$B$32),0)+IFERROR(INDEX(지역추가비!$B$3:$B$42,MATCH($J1926,지역추가비!$A$3:$A$42,0)),0)))</f>
        <v/>
      </c>
      <c r="M1926" s="13" t="str">
        <f aca="false">IF($B1926="","",IF(COUNTIFS($B$3:$B1926,$B1926)&gt;1,"",$K1926+$L1926))</f>
        <v/>
      </c>
      <c r="N1926" s="14" t="str">
        <f aca="false">IF($B1926="","",COUNTIFS($B$3:$B1926,$B1926))</f>
        <v/>
      </c>
      <c r="O1926" s="14" t="str">
        <f aca="false">IF($B1926="","",$B1926&amp;"|"&amp;$N1926)</f>
        <v/>
      </c>
    </row>
    <row r="1927" customFormat="false" ht="15" hidden="false" customHeight="false" outlineLevel="0" collapsed="false">
      <c r="A1927" s="12"/>
      <c r="B1927" s="9"/>
      <c r="C1927" s="9"/>
      <c r="D1927" s="9"/>
      <c r="E1927" s="9"/>
      <c r="F1927" s="9"/>
      <c r="G1927" s="9"/>
      <c r="H1927" s="7"/>
      <c r="I1927" s="13" t="str">
        <f aca="false">IF(OR($G1927="",$H1927=""),"",ROUND($G1927*$H1927,0))</f>
        <v/>
      </c>
      <c r="J1927" s="8"/>
      <c r="K1927" s="13" t="str">
        <f aca="false">IF($B1927="","",SUMIFS($I$3:$I$2002,$B$3:$B$2002,$B1927))</f>
        <v/>
      </c>
      <c r="L1927" s="13" t="str">
        <f aca="false">IF($B1927="","",IF(COUNTIFS($B$3:$B1927,$B1927)&gt;1,0,IFERROR(LOOKUP($K1927,배송비규정!$A$3:$A$32,배송비규정!$B$3:$B$32),0)+IFERROR(INDEX(지역추가비!$B$3:$B$42,MATCH($J1927,지역추가비!$A$3:$A$42,0)),0)))</f>
        <v/>
      </c>
      <c r="M1927" s="13" t="str">
        <f aca="false">IF($B1927="","",IF(COUNTIFS($B$3:$B1927,$B1927)&gt;1,"",$K1927+$L1927))</f>
        <v/>
      </c>
      <c r="N1927" s="14" t="str">
        <f aca="false">IF($B1927="","",COUNTIFS($B$3:$B1927,$B1927))</f>
        <v/>
      </c>
      <c r="O1927" s="14" t="str">
        <f aca="false">IF($B1927="","",$B1927&amp;"|"&amp;$N1927)</f>
        <v/>
      </c>
    </row>
    <row r="1928" customFormat="false" ht="15" hidden="false" customHeight="false" outlineLevel="0" collapsed="false">
      <c r="A1928" s="12"/>
      <c r="B1928" s="9"/>
      <c r="C1928" s="9"/>
      <c r="D1928" s="9"/>
      <c r="E1928" s="9"/>
      <c r="F1928" s="9"/>
      <c r="G1928" s="9"/>
      <c r="H1928" s="7"/>
      <c r="I1928" s="13" t="str">
        <f aca="false">IF(OR($G1928="",$H1928=""),"",ROUND($G1928*$H1928,0))</f>
        <v/>
      </c>
      <c r="J1928" s="8"/>
      <c r="K1928" s="13" t="str">
        <f aca="false">IF($B1928="","",SUMIFS($I$3:$I$2002,$B$3:$B$2002,$B1928))</f>
        <v/>
      </c>
      <c r="L1928" s="13" t="str">
        <f aca="false">IF($B1928="","",IF(COUNTIFS($B$3:$B1928,$B1928)&gt;1,0,IFERROR(LOOKUP($K1928,배송비규정!$A$3:$A$32,배송비규정!$B$3:$B$32),0)+IFERROR(INDEX(지역추가비!$B$3:$B$42,MATCH($J1928,지역추가비!$A$3:$A$42,0)),0)))</f>
        <v/>
      </c>
      <c r="M1928" s="13" t="str">
        <f aca="false">IF($B1928="","",IF(COUNTIFS($B$3:$B1928,$B1928)&gt;1,"",$K1928+$L1928))</f>
        <v/>
      </c>
      <c r="N1928" s="14" t="str">
        <f aca="false">IF($B1928="","",COUNTIFS($B$3:$B1928,$B1928))</f>
        <v/>
      </c>
      <c r="O1928" s="14" t="str">
        <f aca="false">IF($B1928="","",$B1928&amp;"|"&amp;$N1928)</f>
        <v/>
      </c>
    </row>
    <row r="1929" customFormat="false" ht="15" hidden="false" customHeight="false" outlineLevel="0" collapsed="false">
      <c r="A1929" s="12"/>
      <c r="B1929" s="9"/>
      <c r="C1929" s="9"/>
      <c r="D1929" s="9"/>
      <c r="E1929" s="9"/>
      <c r="F1929" s="9"/>
      <c r="G1929" s="9"/>
      <c r="H1929" s="7"/>
      <c r="I1929" s="13" t="str">
        <f aca="false">IF(OR($G1929="",$H1929=""),"",ROUND($G1929*$H1929,0))</f>
        <v/>
      </c>
      <c r="J1929" s="8"/>
      <c r="K1929" s="13" t="str">
        <f aca="false">IF($B1929="","",SUMIFS($I$3:$I$2002,$B$3:$B$2002,$B1929))</f>
        <v/>
      </c>
      <c r="L1929" s="13" t="str">
        <f aca="false">IF($B1929="","",IF(COUNTIFS($B$3:$B1929,$B1929)&gt;1,0,IFERROR(LOOKUP($K1929,배송비규정!$A$3:$A$32,배송비규정!$B$3:$B$32),0)+IFERROR(INDEX(지역추가비!$B$3:$B$42,MATCH($J1929,지역추가비!$A$3:$A$42,0)),0)))</f>
        <v/>
      </c>
      <c r="M1929" s="13" t="str">
        <f aca="false">IF($B1929="","",IF(COUNTIFS($B$3:$B1929,$B1929)&gt;1,"",$K1929+$L1929))</f>
        <v/>
      </c>
      <c r="N1929" s="14" t="str">
        <f aca="false">IF($B1929="","",COUNTIFS($B$3:$B1929,$B1929))</f>
        <v/>
      </c>
      <c r="O1929" s="14" t="str">
        <f aca="false">IF($B1929="","",$B1929&amp;"|"&amp;$N1929)</f>
        <v/>
      </c>
    </row>
    <row r="1930" customFormat="false" ht="15" hidden="false" customHeight="false" outlineLevel="0" collapsed="false">
      <c r="A1930" s="12"/>
      <c r="B1930" s="9"/>
      <c r="C1930" s="9"/>
      <c r="D1930" s="9"/>
      <c r="E1930" s="9"/>
      <c r="F1930" s="9"/>
      <c r="G1930" s="9"/>
      <c r="H1930" s="7"/>
      <c r="I1930" s="13" t="str">
        <f aca="false">IF(OR($G1930="",$H1930=""),"",ROUND($G1930*$H1930,0))</f>
        <v/>
      </c>
      <c r="J1930" s="8"/>
      <c r="K1930" s="13" t="str">
        <f aca="false">IF($B1930="","",SUMIFS($I$3:$I$2002,$B$3:$B$2002,$B1930))</f>
        <v/>
      </c>
      <c r="L1930" s="13" t="str">
        <f aca="false">IF($B1930="","",IF(COUNTIFS($B$3:$B1930,$B1930)&gt;1,0,IFERROR(LOOKUP($K1930,배송비규정!$A$3:$A$32,배송비규정!$B$3:$B$32),0)+IFERROR(INDEX(지역추가비!$B$3:$B$42,MATCH($J1930,지역추가비!$A$3:$A$42,0)),0)))</f>
        <v/>
      </c>
      <c r="M1930" s="13" t="str">
        <f aca="false">IF($B1930="","",IF(COUNTIFS($B$3:$B1930,$B1930)&gt;1,"",$K1930+$L1930))</f>
        <v/>
      </c>
      <c r="N1930" s="14" t="str">
        <f aca="false">IF($B1930="","",COUNTIFS($B$3:$B1930,$B1930))</f>
        <v/>
      </c>
      <c r="O1930" s="14" t="str">
        <f aca="false">IF($B1930="","",$B1930&amp;"|"&amp;$N1930)</f>
        <v/>
      </c>
    </row>
    <row r="1931" customFormat="false" ht="15" hidden="false" customHeight="false" outlineLevel="0" collapsed="false">
      <c r="A1931" s="12"/>
      <c r="B1931" s="9"/>
      <c r="C1931" s="9"/>
      <c r="D1931" s="9"/>
      <c r="E1931" s="9"/>
      <c r="F1931" s="9"/>
      <c r="G1931" s="9"/>
      <c r="H1931" s="7"/>
      <c r="I1931" s="13" t="str">
        <f aca="false">IF(OR($G1931="",$H1931=""),"",ROUND($G1931*$H1931,0))</f>
        <v/>
      </c>
      <c r="J1931" s="8"/>
      <c r="K1931" s="13" t="str">
        <f aca="false">IF($B1931="","",SUMIFS($I$3:$I$2002,$B$3:$B$2002,$B1931))</f>
        <v/>
      </c>
      <c r="L1931" s="13" t="str">
        <f aca="false">IF($B1931="","",IF(COUNTIFS($B$3:$B1931,$B1931)&gt;1,0,IFERROR(LOOKUP($K1931,배송비규정!$A$3:$A$32,배송비규정!$B$3:$B$32),0)+IFERROR(INDEX(지역추가비!$B$3:$B$42,MATCH($J1931,지역추가비!$A$3:$A$42,0)),0)))</f>
        <v/>
      </c>
      <c r="M1931" s="13" t="str">
        <f aca="false">IF($B1931="","",IF(COUNTIFS($B$3:$B1931,$B1931)&gt;1,"",$K1931+$L1931))</f>
        <v/>
      </c>
      <c r="N1931" s="14" t="str">
        <f aca="false">IF($B1931="","",COUNTIFS($B$3:$B1931,$B1931))</f>
        <v/>
      </c>
      <c r="O1931" s="14" t="str">
        <f aca="false">IF($B1931="","",$B1931&amp;"|"&amp;$N1931)</f>
        <v/>
      </c>
    </row>
    <row r="1932" customFormat="false" ht="15" hidden="false" customHeight="false" outlineLevel="0" collapsed="false">
      <c r="A1932" s="12"/>
      <c r="B1932" s="9"/>
      <c r="C1932" s="9"/>
      <c r="D1932" s="9"/>
      <c r="E1932" s="9"/>
      <c r="F1932" s="9"/>
      <c r="G1932" s="9"/>
      <c r="H1932" s="7"/>
      <c r="I1932" s="13" t="str">
        <f aca="false">IF(OR($G1932="",$H1932=""),"",ROUND($G1932*$H1932,0))</f>
        <v/>
      </c>
      <c r="J1932" s="8"/>
      <c r="K1932" s="13" t="str">
        <f aca="false">IF($B1932="","",SUMIFS($I$3:$I$2002,$B$3:$B$2002,$B1932))</f>
        <v/>
      </c>
      <c r="L1932" s="13" t="str">
        <f aca="false">IF($B1932="","",IF(COUNTIFS($B$3:$B1932,$B1932)&gt;1,0,IFERROR(LOOKUP($K1932,배송비규정!$A$3:$A$32,배송비규정!$B$3:$B$32),0)+IFERROR(INDEX(지역추가비!$B$3:$B$42,MATCH($J1932,지역추가비!$A$3:$A$42,0)),0)))</f>
        <v/>
      </c>
      <c r="M1932" s="13" t="str">
        <f aca="false">IF($B1932="","",IF(COUNTIFS($B$3:$B1932,$B1932)&gt;1,"",$K1932+$L1932))</f>
        <v/>
      </c>
      <c r="N1932" s="14" t="str">
        <f aca="false">IF($B1932="","",COUNTIFS($B$3:$B1932,$B1932))</f>
        <v/>
      </c>
      <c r="O1932" s="14" t="str">
        <f aca="false">IF($B1932="","",$B1932&amp;"|"&amp;$N1932)</f>
        <v/>
      </c>
    </row>
    <row r="1933" customFormat="false" ht="15" hidden="false" customHeight="false" outlineLevel="0" collapsed="false">
      <c r="A1933" s="12"/>
      <c r="B1933" s="9"/>
      <c r="C1933" s="9"/>
      <c r="D1933" s="9"/>
      <c r="E1933" s="9"/>
      <c r="F1933" s="9"/>
      <c r="G1933" s="9"/>
      <c r="H1933" s="7"/>
      <c r="I1933" s="13" t="str">
        <f aca="false">IF(OR($G1933="",$H1933=""),"",ROUND($G1933*$H1933,0))</f>
        <v/>
      </c>
      <c r="J1933" s="8"/>
      <c r="K1933" s="13" t="str">
        <f aca="false">IF($B1933="","",SUMIFS($I$3:$I$2002,$B$3:$B$2002,$B1933))</f>
        <v/>
      </c>
      <c r="L1933" s="13" t="str">
        <f aca="false">IF($B1933="","",IF(COUNTIFS($B$3:$B1933,$B1933)&gt;1,0,IFERROR(LOOKUP($K1933,배송비규정!$A$3:$A$32,배송비규정!$B$3:$B$32),0)+IFERROR(INDEX(지역추가비!$B$3:$B$42,MATCH($J1933,지역추가비!$A$3:$A$42,0)),0)))</f>
        <v/>
      </c>
      <c r="M1933" s="13" t="str">
        <f aca="false">IF($B1933="","",IF(COUNTIFS($B$3:$B1933,$B1933)&gt;1,"",$K1933+$L1933))</f>
        <v/>
      </c>
      <c r="N1933" s="14" t="str">
        <f aca="false">IF($B1933="","",COUNTIFS($B$3:$B1933,$B1933))</f>
        <v/>
      </c>
      <c r="O1933" s="14" t="str">
        <f aca="false">IF($B1933="","",$B1933&amp;"|"&amp;$N1933)</f>
        <v/>
      </c>
    </row>
    <row r="1934" customFormat="false" ht="15" hidden="false" customHeight="false" outlineLevel="0" collapsed="false">
      <c r="A1934" s="12"/>
      <c r="B1934" s="9"/>
      <c r="C1934" s="9"/>
      <c r="D1934" s="9"/>
      <c r="E1934" s="9"/>
      <c r="F1934" s="9"/>
      <c r="G1934" s="9"/>
      <c r="H1934" s="7"/>
      <c r="I1934" s="13" t="str">
        <f aca="false">IF(OR($G1934="",$H1934=""),"",ROUND($G1934*$H1934,0))</f>
        <v/>
      </c>
      <c r="J1934" s="8"/>
      <c r="K1934" s="13" t="str">
        <f aca="false">IF($B1934="","",SUMIFS($I$3:$I$2002,$B$3:$B$2002,$B1934))</f>
        <v/>
      </c>
      <c r="L1934" s="13" t="str">
        <f aca="false">IF($B1934="","",IF(COUNTIFS($B$3:$B1934,$B1934)&gt;1,0,IFERROR(LOOKUP($K1934,배송비규정!$A$3:$A$32,배송비규정!$B$3:$B$32),0)+IFERROR(INDEX(지역추가비!$B$3:$B$42,MATCH($J1934,지역추가비!$A$3:$A$42,0)),0)))</f>
        <v/>
      </c>
      <c r="M1934" s="13" t="str">
        <f aca="false">IF($B1934="","",IF(COUNTIFS($B$3:$B1934,$B1934)&gt;1,"",$K1934+$L1934))</f>
        <v/>
      </c>
      <c r="N1934" s="14" t="str">
        <f aca="false">IF($B1934="","",COUNTIFS($B$3:$B1934,$B1934))</f>
        <v/>
      </c>
      <c r="O1934" s="14" t="str">
        <f aca="false">IF($B1934="","",$B1934&amp;"|"&amp;$N1934)</f>
        <v/>
      </c>
    </row>
    <row r="1935" customFormat="false" ht="15" hidden="false" customHeight="false" outlineLevel="0" collapsed="false">
      <c r="A1935" s="12"/>
      <c r="B1935" s="9"/>
      <c r="C1935" s="9"/>
      <c r="D1935" s="9"/>
      <c r="E1935" s="9"/>
      <c r="F1935" s="9"/>
      <c r="G1935" s="9"/>
      <c r="H1935" s="7"/>
      <c r="I1935" s="13" t="str">
        <f aca="false">IF(OR($G1935="",$H1935=""),"",ROUND($G1935*$H1935,0))</f>
        <v/>
      </c>
      <c r="J1935" s="8"/>
      <c r="K1935" s="13" t="str">
        <f aca="false">IF($B1935="","",SUMIFS($I$3:$I$2002,$B$3:$B$2002,$B1935))</f>
        <v/>
      </c>
      <c r="L1935" s="13" t="str">
        <f aca="false">IF($B1935="","",IF(COUNTIFS($B$3:$B1935,$B1935)&gt;1,0,IFERROR(LOOKUP($K1935,배송비규정!$A$3:$A$32,배송비규정!$B$3:$B$32),0)+IFERROR(INDEX(지역추가비!$B$3:$B$42,MATCH($J1935,지역추가비!$A$3:$A$42,0)),0)))</f>
        <v/>
      </c>
      <c r="M1935" s="13" t="str">
        <f aca="false">IF($B1935="","",IF(COUNTIFS($B$3:$B1935,$B1935)&gt;1,"",$K1935+$L1935))</f>
        <v/>
      </c>
      <c r="N1935" s="14" t="str">
        <f aca="false">IF($B1935="","",COUNTIFS($B$3:$B1935,$B1935))</f>
        <v/>
      </c>
      <c r="O1935" s="14" t="str">
        <f aca="false">IF($B1935="","",$B1935&amp;"|"&amp;$N1935)</f>
        <v/>
      </c>
    </row>
    <row r="1936" customFormat="false" ht="15" hidden="false" customHeight="false" outlineLevel="0" collapsed="false">
      <c r="A1936" s="12"/>
      <c r="B1936" s="9"/>
      <c r="C1936" s="9"/>
      <c r="D1936" s="9"/>
      <c r="E1936" s="9"/>
      <c r="F1936" s="9"/>
      <c r="G1936" s="9"/>
      <c r="H1936" s="7"/>
      <c r="I1936" s="13" t="str">
        <f aca="false">IF(OR($G1936="",$H1936=""),"",ROUND($G1936*$H1936,0))</f>
        <v/>
      </c>
      <c r="J1936" s="8"/>
      <c r="K1936" s="13" t="str">
        <f aca="false">IF($B1936="","",SUMIFS($I$3:$I$2002,$B$3:$B$2002,$B1936))</f>
        <v/>
      </c>
      <c r="L1936" s="13" t="str">
        <f aca="false">IF($B1936="","",IF(COUNTIFS($B$3:$B1936,$B1936)&gt;1,0,IFERROR(LOOKUP($K1936,배송비규정!$A$3:$A$32,배송비규정!$B$3:$B$32),0)+IFERROR(INDEX(지역추가비!$B$3:$B$42,MATCH($J1936,지역추가비!$A$3:$A$42,0)),0)))</f>
        <v/>
      </c>
      <c r="M1936" s="13" t="str">
        <f aca="false">IF($B1936="","",IF(COUNTIFS($B$3:$B1936,$B1936)&gt;1,"",$K1936+$L1936))</f>
        <v/>
      </c>
      <c r="N1936" s="14" t="str">
        <f aca="false">IF($B1936="","",COUNTIFS($B$3:$B1936,$B1936))</f>
        <v/>
      </c>
      <c r="O1936" s="14" t="str">
        <f aca="false">IF($B1936="","",$B1936&amp;"|"&amp;$N1936)</f>
        <v/>
      </c>
    </row>
    <row r="1937" customFormat="false" ht="15" hidden="false" customHeight="false" outlineLevel="0" collapsed="false">
      <c r="A1937" s="12"/>
      <c r="B1937" s="9"/>
      <c r="C1937" s="9"/>
      <c r="D1937" s="9"/>
      <c r="E1937" s="9"/>
      <c r="F1937" s="9"/>
      <c r="G1937" s="9"/>
      <c r="H1937" s="7"/>
      <c r="I1937" s="13" t="str">
        <f aca="false">IF(OR($G1937="",$H1937=""),"",ROUND($G1937*$H1937,0))</f>
        <v/>
      </c>
      <c r="J1937" s="8"/>
      <c r="K1937" s="13" t="str">
        <f aca="false">IF($B1937="","",SUMIFS($I$3:$I$2002,$B$3:$B$2002,$B1937))</f>
        <v/>
      </c>
      <c r="L1937" s="13" t="str">
        <f aca="false">IF($B1937="","",IF(COUNTIFS($B$3:$B1937,$B1937)&gt;1,0,IFERROR(LOOKUP($K1937,배송비규정!$A$3:$A$32,배송비규정!$B$3:$B$32),0)+IFERROR(INDEX(지역추가비!$B$3:$B$42,MATCH($J1937,지역추가비!$A$3:$A$42,0)),0)))</f>
        <v/>
      </c>
      <c r="M1937" s="13" t="str">
        <f aca="false">IF($B1937="","",IF(COUNTIFS($B$3:$B1937,$B1937)&gt;1,"",$K1937+$L1937))</f>
        <v/>
      </c>
      <c r="N1937" s="14" t="str">
        <f aca="false">IF($B1937="","",COUNTIFS($B$3:$B1937,$B1937))</f>
        <v/>
      </c>
      <c r="O1937" s="14" t="str">
        <f aca="false">IF($B1937="","",$B1937&amp;"|"&amp;$N1937)</f>
        <v/>
      </c>
    </row>
    <row r="1938" customFormat="false" ht="15" hidden="false" customHeight="false" outlineLevel="0" collapsed="false">
      <c r="A1938" s="12"/>
      <c r="B1938" s="9"/>
      <c r="C1938" s="9"/>
      <c r="D1938" s="9"/>
      <c r="E1938" s="9"/>
      <c r="F1938" s="9"/>
      <c r="G1938" s="9"/>
      <c r="H1938" s="7"/>
      <c r="I1938" s="13" t="str">
        <f aca="false">IF(OR($G1938="",$H1938=""),"",ROUND($G1938*$H1938,0))</f>
        <v/>
      </c>
      <c r="J1938" s="8"/>
      <c r="K1938" s="13" t="str">
        <f aca="false">IF($B1938="","",SUMIFS($I$3:$I$2002,$B$3:$B$2002,$B1938))</f>
        <v/>
      </c>
      <c r="L1938" s="13" t="str">
        <f aca="false">IF($B1938="","",IF(COUNTIFS($B$3:$B1938,$B1938)&gt;1,0,IFERROR(LOOKUP($K1938,배송비규정!$A$3:$A$32,배송비규정!$B$3:$B$32),0)+IFERROR(INDEX(지역추가비!$B$3:$B$42,MATCH($J1938,지역추가비!$A$3:$A$42,0)),0)))</f>
        <v/>
      </c>
      <c r="M1938" s="13" t="str">
        <f aca="false">IF($B1938="","",IF(COUNTIFS($B$3:$B1938,$B1938)&gt;1,"",$K1938+$L1938))</f>
        <v/>
      </c>
      <c r="N1938" s="14" t="str">
        <f aca="false">IF($B1938="","",COUNTIFS($B$3:$B1938,$B1938))</f>
        <v/>
      </c>
      <c r="O1938" s="14" t="str">
        <f aca="false">IF($B1938="","",$B1938&amp;"|"&amp;$N1938)</f>
        <v/>
      </c>
    </row>
    <row r="1939" customFormat="false" ht="15" hidden="false" customHeight="false" outlineLevel="0" collapsed="false">
      <c r="A1939" s="12"/>
      <c r="B1939" s="9"/>
      <c r="C1939" s="9"/>
      <c r="D1939" s="9"/>
      <c r="E1939" s="9"/>
      <c r="F1939" s="9"/>
      <c r="G1939" s="9"/>
      <c r="H1939" s="7"/>
      <c r="I1939" s="13" t="str">
        <f aca="false">IF(OR($G1939="",$H1939=""),"",ROUND($G1939*$H1939,0))</f>
        <v/>
      </c>
      <c r="J1939" s="8"/>
      <c r="K1939" s="13" t="str">
        <f aca="false">IF($B1939="","",SUMIFS($I$3:$I$2002,$B$3:$B$2002,$B1939))</f>
        <v/>
      </c>
      <c r="L1939" s="13" t="str">
        <f aca="false">IF($B1939="","",IF(COUNTIFS($B$3:$B1939,$B1939)&gt;1,0,IFERROR(LOOKUP($K1939,배송비규정!$A$3:$A$32,배송비규정!$B$3:$B$32),0)+IFERROR(INDEX(지역추가비!$B$3:$B$42,MATCH($J1939,지역추가비!$A$3:$A$42,0)),0)))</f>
        <v/>
      </c>
      <c r="M1939" s="13" t="str">
        <f aca="false">IF($B1939="","",IF(COUNTIFS($B$3:$B1939,$B1939)&gt;1,"",$K1939+$L1939))</f>
        <v/>
      </c>
      <c r="N1939" s="14" t="str">
        <f aca="false">IF($B1939="","",COUNTIFS($B$3:$B1939,$B1939))</f>
        <v/>
      </c>
      <c r="O1939" s="14" t="str">
        <f aca="false">IF($B1939="","",$B1939&amp;"|"&amp;$N1939)</f>
        <v/>
      </c>
    </row>
    <row r="1940" customFormat="false" ht="15" hidden="false" customHeight="false" outlineLevel="0" collapsed="false">
      <c r="A1940" s="12"/>
      <c r="B1940" s="9"/>
      <c r="C1940" s="9"/>
      <c r="D1940" s="9"/>
      <c r="E1940" s="9"/>
      <c r="F1940" s="9"/>
      <c r="G1940" s="9"/>
      <c r="H1940" s="7"/>
      <c r="I1940" s="13" t="str">
        <f aca="false">IF(OR($G1940="",$H1940=""),"",ROUND($G1940*$H1940,0))</f>
        <v/>
      </c>
      <c r="J1940" s="8"/>
      <c r="K1940" s="13" t="str">
        <f aca="false">IF($B1940="","",SUMIFS($I$3:$I$2002,$B$3:$B$2002,$B1940))</f>
        <v/>
      </c>
      <c r="L1940" s="13" t="str">
        <f aca="false">IF($B1940="","",IF(COUNTIFS($B$3:$B1940,$B1940)&gt;1,0,IFERROR(LOOKUP($K1940,배송비규정!$A$3:$A$32,배송비규정!$B$3:$B$32),0)+IFERROR(INDEX(지역추가비!$B$3:$B$42,MATCH($J1940,지역추가비!$A$3:$A$42,0)),0)))</f>
        <v/>
      </c>
      <c r="M1940" s="13" t="str">
        <f aca="false">IF($B1940="","",IF(COUNTIFS($B$3:$B1940,$B1940)&gt;1,"",$K1940+$L1940))</f>
        <v/>
      </c>
      <c r="N1940" s="14" t="str">
        <f aca="false">IF($B1940="","",COUNTIFS($B$3:$B1940,$B1940))</f>
        <v/>
      </c>
      <c r="O1940" s="14" t="str">
        <f aca="false">IF($B1940="","",$B1940&amp;"|"&amp;$N1940)</f>
        <v/>
      </c>
    </row>
    <row r="1941" customFormat="false" ht="15" hidden="false" customHeight="false" outlineLevel="0" collapsed="false">
      <c r="A1941" s="12"/>
      <c r="B1941" s="9"/>
      <c r="C1941" s="9"/>
      <c r="D1941" s="9"/>
      <c r="E1941" s="9"/>
      <c r="F1941" s="9"/>
      <c r="G1941" s="9"/>
      <c r="H1941" s="7"/>
      <c r="I1941" s="13" t="str">
        <f aca="false">IF(OR($G1941="",$H1941=""),"",ROUND($G1941*$H1941,0))</f>
        <v/>
      </c>
      <c r="J1941" s="8"/>
      <c r="K1941" s="13" t="str">
        <f aca="false">IF($B1941="","",SUMIFS($I$3:$I$2002,$B$3:$B$2002,$B1941))</f>
        <v/>
      </c>
      <c r="L1941" s="13" t="str">
        <f aca="false">IF($B1941="","",IF(COUNTIFS($B$3:$B1941,$B1941)&gt;1,0,IFERROR(LOOKUP($K1941,배송비규정!$A$3:$A$32,배송비규정!$B$3:$B$32),0)+IFERROR(INDEX(지역추가비!$B$3:$B$42,MATCH($J1941,지역추가비!$A$3:$A$42,0)),0)))</f>
        <v/>
      </c>
      <c r="M1941" s="13" t="str">
        <f aca="false">IF($B1941="","",IF(COUNTIFS($B$3:$B1941,$B1941)&gt;1,"",$K1941+$L1941))</f>
        <v/>
      </c>
      <c r="N1941" s="14" t="str">
        <f aca="false">IF($B1941="","",COUNTIFS($B$3:$B1941,$B1941))</f>
        <v/>
      </c>
      <c r="O1941" s="14" t="str">
        <f aca="false">IF($B1941="","",$B1941&amp;"|"&amp;$N1941)</f>
        <v/>
      </c>
    </row>
    <row r="1942" customFormat="false" ht="15" hidden="false" customHeight="false" outlineLevel="0" collapsed="false">
      <c r="A1942" s="12"/>
      <c r="B1942" s="9"/>
      <c r="C1942" s="9"/>
      <c r="D1942" s="9"/>
      <c r="E1942" s="9"/>
      <c r="F1942" s="9"/>
      <c r="G1942" s="9"/>
      <c r="H1942" s="7"/>
      <c r="I1942" s="13" t="str">
        <f aca="false">IF(OR($G1942="",$H1942=""),"",ROUND($G1942*$H1942,0))</f>
        <v/>
      </c>
      <c r="J1942" s="8"/>
      <c r="K1942" s="13" t="str">
        <f aca="false">IF($B1942="","",SUMIFS($I$3:$I$2002,$B$3:$B$2002,$B1942))</f>
        <v/>
      </c>
      <c r="L1942" s="13" t="str">
        <f aca="false">IF($B1942="","",IF(COUNTIFS($B$3:$B1942,$B1942)&gt;1,0,IFERROR(LOOKUP($K1942,배송비규정!$A$3:$A$32,배송비규정!$B$3:$B$32),0)+IFERROR(INDEX(지역추가비!$B$3:$B$42,MATCH($J1942,지역추가비!$A$3:$A$42,0)),0)))</f>
        <v/>
      </c>
      <c r="M1942" s="13" t="str">
        <f aca="false">IF($B1942="","",IF(COUNTIFS($B$3:$B1942,$B1942)&gt;1,"",$K1942+$L1942))</f>
        <v/>
      </c>
      <c r="N1942" s="14" t="str">
        <f aca="false">IF($B1942="","",COUNTIFS($B$3:$B1942,$B1942))</f>
        <v/>
      </c>
      <c r="O1942" s="14" t="str">
        <f aca="false">IF($B1942="","",$B1942&amp;"|"&amp;$N1942)</f>
        <v/>
      </c>
    </row>
    <row r="1943" customFormat="false" ht="15" hidden="false" customHeight="false" outlineLevel="0" collapsed="false">
      <c r="A1943" s="12"/>
      <c r="B1943" s="9"/>
      <c r="C1943" s="9"/>
      <c r="D1943" s="9"/>
      <c r="E1943" s="9"/>
      <c r="F1943" s="9"/>
      <c r="G1943" s="9"/>
      <c r="H1943" s="7"/>
      <c r="I1943" s="13" t="str">
        <f aca="false">IF(OR($G1943="",$H1943=""),"",ROUND($G1943*$H1943,0))</f>
        <v/>
      </c>
      <c r="J1943" s="8"/>
      <c r="K1943" s="13" t="str">
        <f aca="false">IF($B1943="","",SUMIFS($I$3:$I$2002,$B$3:$B$2002,$B1943))</f>
        <v/>
      </c>
      <c r="L1943" s="13" t="str">
        <f aca="false">IF($B1943="","",IF(COUNTIFS($B$3:$B1943,$B1943)&gt;1,0,IFERROR(LOOKUP($K1943,배송비규정!$A$3:$A$32,배송비규정!$B$3:$B$32),0)+IFERROR(INDEX(지역추가비!$B$3:$B$42,MATCH($J1943,지역추가비!$A$3:$A$42,0)),0)))</f>
        <v/>
      </c>
      <c r="M1943" s="13" t="str">
        <f aca="false">IF($B1943="","",IF(COUNTIFS($B$3:$B1943,$B1943)&gt;1,"",$K1943+$L1943))</f>
        <v/>
      </c>
      <c r="N1943" s="14" t="str">
        <f aca="false">IF($B1943="","",COUNTIFS($B$3:$B1943,$B1943))</f>
        <v/>
      </c>
      <c r="O1943" s="14" t="str">
        <f aca="false">IF($B1943="","",$B1943&amp;"|"&amp;$N1943)</f>
        <v/>
      </c>
    </row>
    <row r="1944" customFormat="false" ht="15" hidden="false" customHeight="false" outlineLevel="0" collapsed="false">
      <c r="A1944" s="12"/>
      <c r="B1944" s="9"/>
      <c r="C1944" s="9"/>
      <c r="D1944" s="9"/>
      <c r="E1944" s="9"/>
      <c r="F1944" s="9"/>
      <c r="G1944" s="9"/>
      <c r="H1944" s="7"/>
      <c r="I1944" s="13" t="str">
        <f aca="false">IF(OR($G1944="",$H1944=""),"",ROUND($G1944*$H1944,0))</f>
        <v/>
      </c>
      <c r="J1944" s="8"/>
      <c r="K1944" s="13" t="str">
        <f aca="false">IF($B1944="","",SUMIFS($I$3:$I$2002,$B$3:$B$2002,$B1944))</f>
        <v/>
      </c>
      <c r="L1944" s="13" t="str">
        <f aca="false">IF($B1944="","",IF(COUNTIFS($B$3:$B1944,$B1944)&gt;1,0,IFERROR(LOOKUP($K1944,배송비규정!$A$3:$A$32,배송비규정!$B$3:$B$32),0)+IFERROR(INDEX(지역추가비!$B$3:$B$42,MATCH($J1944,지역추가비!$A$3:$A$42,0)),0)))</f>
        <v/>
      </c>
      <c r="M1944" s="13" t="str">
        <f aca="false">IF($B1944="","",IF(COUNTIFS($B$3:$B1944,$B1944)&gt;1,"",$K1944+$L1944))</f>
        <v/>
      </c>
      <c r="N1944" s="14" t="str">
        <f aca="false">IF($B1944="","",COUNTIFS($B$3:$B1944,$B1944))</f>
        <v/>
      </c>
      <c r="O1944" s="14" t="str">
        <f aca="false">IF($B1944="","",$B1944&amp;"|"&amp;$N1944)</f>
        <v/>
      </c>
    </row>
    <row r="1945" customFormat="false" ht="15" hidden="false" customHeight="false" outlineLevel="0" collapsed="false">
      <c r="A1945" s="12"/>
      <c r="B1945" s="9"/>
      <c r="C1945" s="9"/>
      <c r="D1945" s="9"/>
      <c r="E1945" s="9"/>
      <c r="F1945" s="9"/>
      <c r="G1945" s="9"/>
      <c r="H1945" s="7"/>
      <c r="I1945" s="13" t="str">
        <f aca="false">IF(OR($G1945="",$H1945=""),"",ROUND($G1945*$H1945,0))</f>
        <v/>
      </c>
      <c r="J1945" s="8"/>
      <c r="K1945" s="13" t="str">
        <f aca="false">IF($B1945="","",SUMIFS($I$3:$I$2002,$B$3:$B$2002,$B1945))</f>
        <v/>
      </c>
      <c r="L1945" s="13" t="str">
        <f aca="false">IF($B1945="","",IF(COUNTIFS($B$3:$B1945,$B1945)&gt;1,0,IFERROR(LOOKUP($K1945,배송비규정!$A$3:$A$32,배송비규정!$B$3:$B$32),0)+IFERROR(INDEX(지역추가비!$B$3:$B$42,MATCH($J1945,지역추가비!$A$3:$A$42,0)),0)))</f>
        <v/>
      </c>
      <c r="M1945" s="13" t="str">
        <f aca="false">IF($B1945="","",IF(COUNTIFS($B$3:$B1945,$B1945)&gt;1,"",$K1945+$L1945))</f>
        <v/>
      </c>
      <c r="N1945" s="14" t="str">
        <f aca="false">IF($B1945="","",COUNTIFS($B$3:$B1945,$B1945))</f>
        <v/>
      </c>
      <c r="O1945" s="14" t="str">
        <f aca="false">IF($B1945="","",$B1945&amp;"|"&amp;$N1945)</f>
        <v/>
      </c>
    </row>
    <row r="1946" customFormat="false" ht="15" hidden="false" customHeight="false" outlineLevel="0" collapsed="false">
      <c r="A1946" s="12"/>
      <c r="B1946" s="9"/>
      <c r="C1946" s="9"/>
      <c r="D1946" s="9"/>
      <c r="E1946" s="9"/>
      <c r="F1946" s="9"/>
      <c r="G1946" s="9"/>
      <c r="H1946" s="7"/>
      <c r="I1946" s="13" t="str">
        <f aca="false">IF(OR($G1946="",$H1946=""),"",ROUND($G1946*$H1946,0))</f>
        <v/>
      </c>
      <c r="J1946" s="8"/>
      <c r="K1946" s="13" t="str">
        <f aca="false">IF($B1946="","",SUMIFS($I$3:$I$2002,$B$3:$B$2002,$B1946))</f>
        <v/>
      </c>
      <c r="L1946" s="13" t="str">
        <f aca="false">IF($B1946="","",IF(COUNTIFS($B$3:$B1946,$B1946)&gt;1,0,IFERROR(LOOKUP($K1946,배송비규정!$A$3:$A$32,배송비규정!$B$3:$B$32),0)+IFERROR(INDEX(지역추가비!$B$3:$B$42,MATCH($J1946,지역추가비!$A$3:$A$42,0)),0)))</f>
        <v/>
      </c>
      <c r="M1946" s="13" t="str">
        <f aca="false">IF($B1946="","",IF(COUNTIFS($B$3:$B1946,$B1946)&gt;1,"",$K1946+$L1946))</f>
        <v/>
      </c>
      <c r="N1946" s="14" t="str">
        <f aca="false">IF($B1946="","",COUNTIFS($B$3:$B1946,$B1946))</f>
        <v/>
      </c>
      <c r="O1946" s="14" t="str">
        <f aca="false">IF($B1946="","",$B1946&amp;"|"&amp;$N1946)</f>
        <v/>
      </c>
    </row>
    <row r="1947" customFormat="false" ht="15" hidden="false" customHeight="false" outlineLevel="0" collapsed="false">
      <c r="A1947" s="12"/>
      <c r="B1947" s="9"/>
      <c r="C1947" s="9"/>
      <c r="D1947" s="9"/>
      <c r="E1947" s="9"/>
      <c r="F1947" s="9"/>
      <c r="G1947" s="9"/>
      <c r="H1947" s="7"/>
      <c r="I1947" s="13" t="str">
        <f aca="false">IF(OR($G1947="",$H1947=""),"",ROUND($G1947*$H1947,0))</f>
        <v/>
      </c>
      <c r="J1947" s="8"/>
      <c r="K1947" s="13" t="str">
        <f aca="false">IF($B1947="","",SUMIFS($I$3:$I$2002,$B$3:$B$2002,$B1947))</f>
        <v/>
      </c>
      <c r="L1947" s="13" t="str">
        <f aca="false">IF($B1947="","",IF(COUNTIFS($B$3:$B1947,$B1947)&gt;1,0,IFERROR(LOOKUP($K1947,배송비규정!$A$3:$A$32,배송비규정!$B$3:$B$32),0)+IFERROR(INDEX(지역추가비!$B$3:$B$42,MATCH($J1947,지역추가비!$A$3:$A$42,0)),0)))</f>
        <v/>
      </c>
      <c r="M1947" s="13" t="str">
        <f aca="false">IF($B1947="","",IF(COUNTIFS($B$3:$B1947,$B1947)&gt;1,"",$K1947+$L1947))</f>
        <v/>
      </c>
      <c r="N1947" s="14" t="str">
        <f aca="false">IF($B1947="","",COUNTIFS($B$3:$B1947,$B1947))</f>
        <v/>
      </c>
      <c r="O1947" s="14" t="str">
        <f aca="false">IF($B1947="","",$B1947&amp;"|"&amp;$N1947)</f>
        <v/>
      </c>
    </row>
    <row r="1948" customFormat="false" ht="15" hidden="false" customHeight="false" outlineLevel="0" collapsed="false">
      <c r="A1948" s="12"/>
      <c r="B1948" s="9"/>
      <c r="C1948" s="9"/>
      <c r="D1948" s="9"/>
      <c r="E1948" s="9"/>
      <c r="F1948" s="9"/>
      <c r="G1948" s="9"/>
      <c r="H1948" s="7"/>
      <c r="I1948" s="13" t="str">
        <f aca="false">IF(OR($G1948="",$H1948=""),"",ROUND($G1948*$H1948,0))</f>
        <v/>
      </c>
      <c r="J1948" s="8"/>
      <c r="K1948" s="13" t="str">
        <f aca="false">IF($B1948="","",SUMIFS($I$3:$I$2002,$B$3:$B$2002,$B1948))</f>
        <v/>
      </c>
      <c r="L1948" s="13" t="str">
        <f aca="false">IF($B1948="","",IF(COUNTIFS($B$3:$B1948,$B1948)&gt;1,0,IFERROR(LOOKUP($K1948,배송비규정!$A$3:$A$32,배송비규정!$B$3:$B$32),0)+IFERROR(INDEX(지역추가비!$B$3:$B$42,MATCH($J1948,지역추가비!$A$3:$A$42,0)),0)))</f>
        <v/>
      </c>
      <c r="M1948" s="13" t="str">
        <f aca="false">IF($B1948="","",IF(COUNTIFS($B$3:$B1948,$B1948)&gt;1,"",$K1948+$L1948))</f>
        <v/>
      </c>
      <c r="N1948" s="14" t="str">
        <f aca="false">IF($B1948="","",COUNTIFS($B$3:$B1948,$B1948))</f>
        <v/>
      </c>
      <c r="O1948" s="14" t="str">
        <f aca="false">IF($B1948="","",$B1948&amp;"|"&amp;$N1948)</f>
        <v/>
      </c>
    </row>
    <row r="1949" customFormat="false" ht="15" hidden="false" customHeight="false" outlineLevel="0" collapsed="false">
      <c r="A1949" s="12"/>
      <c r="B1949" s="9"/>
      <c r="C1949" s="9"/>
      <c r="D1949" s="9"/>
      <c r="E1949" s="9"/>
      <c r="F1949" s="9"/>
      <c r="G1949" s="9"/>
      <c r="H1949" s="7"/>
      <c r="I1949" s="13" t="str">
        <f aca="false">IF(OR($G1949="",$H1949=""),"",ROUND($G1949*$H1949,0))</f>
        <v/>
      </c>
      <c r="J1949" s="8"/>
      <c r="K1949" s="13" t="str">
        <f aca="false">IF($B1949="","",SUMIFS($I$3:$I$2002,$B$3:$B$2002,$B1949))</f>
        <v/>
      </c>
      <c r="L1949" s="13" t="str">
        <f aca="false">IF($B1949="","",IF(COUNTIFS($B$3:$B1949,$B1949)&gt;1,0,IFERROR(LOOKUP($K1949,배송비규정!$A$3:$A$32,배송비규정!$B$3:$B$32),0)+IFERROR(INDEX(지역추가비!$B$3:$B$42,MATCH($J1949,지역추가비!$A$3:$A$42,0)),0)))</f>
        <v/>
      </c>
      <c r="M1949" s="13" t="str">
        <f aca="false">IF($B1949="","",IF(COUNTIFS($B$3:$B1949,$B1949)&gt;1,"",$K1949+$L1949))</f>
        <v/>
      </c>
      <c r="N1949" s="14" t="str">
        <f aca="false">IF($B1949="","",COUNTIFS($B$3:$B1949,$B1949))</f>
        <v/>
      </c>
      <c r="O1949" s="14" t="str">
        <f aca="false">IF($B1949="","",$B1949&amp;"|"&amp;$N1949)</f>
        <v/>
      </c>
    </row>
    <row r="1950" customFormat="false" ht="15" hidden="false" customHeight="false" outlineLevel="0" collapsed="false">
      <c r="A1950" s="12"/>
      <c r="B1950" s="9"/>
      <c r="C1950" s="9"/>
      <c r="D1950" s="9"/>
      <c r="E1950" s="9"/>
      <c r="F1950" s="9"/>
      <c r="G1950" s="9"/>
      <c r="H1950" s="7"/>
      <c r="I1950" s="13" t="str">
        <f aca="false">IF(OR($G1950="",$H1950=""),"",ROUND($G1950*$H1950,0))</f>
        <v/>
      </c>
      <c r="J1950" s="8"/>
      <c r="K1950" s="13" t="str">
        <f aca="false">IF($B1950="","",SUMIFS($I$3:$I$2002,$B$3:$B$2002,$B1950))</f>
        <v/>
      </c>
      <c r="L1950" s="13" t="str">
        <f aca="false">IF($B1950="","",IF(COUNTIFS($B$3:$B1950,$B1950)&gt;1,0,IFERROR(LOOKUP($K1950,배송비규정!$A$3:$A$32,배송비규정!$B$3:$B$32),0)+IFERROR(INDEX(지역추가비!$B$3:$B$42,MATCH($J1950,지역추가비!$A$3:$A$42,0)),0)))</f>
        <v/>
      </c>
      <c r="M1950" s="13" t="str">
        <f aca="false">IF($B1950="","",IF(COUNTIFS($B$3:$B1950,$B1950)&gt;1,"",$K1950+$L1950))</f>
        <v/>
      </c>
      <c r="N1950" s="14" t="str">
        <f aca="false">IF($B1950="","",COUNTIFS($B$3:$B1950,$B1950))</f>
        <v/>
      </c>
      <c r="O1950" s="14" t="str">
        <f aca="false">IF($B1950="","",$B1950&amp;"|"&amp;$N1950)</f>
        <v/>
      </c>
    </row>
    <row r="1951" customFormat="false" ht="15" hidden="false" customHeight="false" outlineLevel="0" collapsed="false">
      <c r="A1951" s="12"/>
      <c r="B1951" s="9"/>
      <c r="C1951" s="9"/>
      <c r="D1951" s="9"/>
      <c r="E1951" s="9"/>
      <c r="F1951" s="9"/>
      <c r="G1951" s="9"/>
      <c r="H1951" s="7"/>
      <c r="I1951" s="13" t="str">
        <f aca="false">IF(OR($G1951="",$H1951=""),"",ROUND($G1951*$H1951,0))</f>
        <v/>
      </c>
      <c r="J1951" s="8"/>
      <c r="K1951" s="13" t="str">
        <f aca="false">IF($B1951="","",SUMIFS($I$3:$I$2002,$B$3:$B$2002,$B1951))</f>
        <v/>
      </c>
      <c r="L1951" s="13" t="str">
        <f aca="false">IF($B1951="","",IF(COUNTIFS($B$3:$B1951,$B1951)&gt;1,0,IFERROR(LOOKUP($K1951,배송비규정!$A$3:$A$32,배송비규정!$B$3:$B$32),0)+IFERROR(INDEX(지역추가비!$B$3:$B$42,MATCH($J1951,지역추가비!$A$3:$A$42,0)),0)))</f>
        <v/>
      </c>
      <c r="M1951" s="13" t="str">
        <f aca="false">IF($B1951="","",IF(COUNTIFS($B$3:$B1951,$B1951)&gt;1,"",$K1951+$L1951))</f>
        <v/>
      </c>
      <c r="N1951" s="14" t="str">
        <f aca="false">IF($B1951="","",COUNTIFS($B$3:$B1951,$B1951))</f>
        <v/>
      </c>
      <c r="O1951" s="14" t="str">
        <f aca="false">IF($B1951="","",$B1951&amp;"|"&amp;$N1951)</f>
        <v/>
      </c>
    </row>
    <row r="1952" customFormat="false" ht="15" hidden="false" customHeight="false" outlineLevel="0" collapsed="false">
      <c r="A1952" s="12"/>
      <c r="B1952" s="9"/>
      <c r="C1952" s="9"/>
      <c r="D1952" s="9"/>
      <c r="E1952" s="9"/>
      <c r="F1952" s="9"/>
      <c r="G1952" s="9"/>
      <c r="H1952" s="7"/>
      <c r="I1952" s="13" t="str">
        <f aca="false">IF(OR($G1952="",$H1952=""),"",ROUND($G1952*$H1952,0))</f>
        <v/>
      </c>
      <c r="J1952" s="8"/>
      <c r="K1952" s="13" t="str">
        <f aca="false">IF($B1952="","",SUMIFS($I$3:$I$2002,$B$3:$B$2002,$B1952))</f>
        <v/>
      </c>
      <c r="L1952" s="13" t="str">
        <f aca="false">IF($B1952="","",IF(COUNTIFS($B$3:$B1952,$B1952)&gt;1,0,IFERROR(LOOKUP($K1952,배송비규정!$A$3:$A$32,배송비규정!$B$3:$B$32),0)+IFERROR(INDEX(지역추가비!$B$3:$B$42,MATCH($J1952,지역추가비!$A$3:$A$42,0)),0)))</f>
        <v/>
      </c>
      <c r="M1952" s="13" t="str">
        <f aca="false">IF($B1952="","",IF(COUNTIFS($B$3:$B1952,$B1952)&gt;1,"",$K1952+$L1952))</f>
        <v/>
      </c>
      <c r="N1952" s="14" t="str">
        <f aca="false">IF($B1952="","",COUNTIFS($B$3:$B1952,$B1952))</f>
        <v/>
      </c>
      <c r="O1952" s="14" t="str">
        <f aca="false">IF($B1952="","",$B1952&amp;"|"&amp;$N1952)</f>
        <v/>
      </c>
    </row>
    <row r="1953" customFormat="false" ht="15" hidden="false" customHeight="false" outlineLevel="0" collapsed="false">
      <c r="A1953" s="12"/>
      <c r="B1953" s="9"/>
      <c r="C1953" s="9"/>
      <c r="D1953" s="9"/>
      <c r="E1953" s="9"/>
      <c r="F1953" s="9"/>
      <c r="G1953" s="9"/>
      <c r="H1953" s="7"/>
      <c r="I1953" s="13" t="str">
        <f aca="false">IF(OR($G1953="",$H1953=""),"",ROUND($G1953*$H1953,0))</f>
        <v/>
      </c>
      <c r="J1953" s="8"/>
      <c r="K1953" s="13" t="str">
        <f aca="false">IF($B1953="","",SUMIFS($I$3:$I$2002,$B$3:$B$2002,$B1953))</f>
        <v/>
      </c>
      <c r="L1953" s="13" t="str">
        <f aca="false">IF($B1953="","",IF(COUNTIFS($B$3:$B1953,$B1953)&gt;1,0,IFERROR(LOOKUP($K1953,배송비규정!$A$3:$A$32,배송비규정!$B$3:$B$32),0)+IFERROR(INDEX(지역추가비!$B$3:$B$42,MATCH($J1953,지역추가비!$A$3:$A$42,0)),0)))</f>
        <v/>
      </c>
      <c r="M1953" s="13" t="str">
        <f aca="false">IF($B1953="","",IF(COUNTIFS($B$3:$B1953,$B1953)&gt;1,"",$K1953+$L1953))</f>
        <v/>
      </c>
      <c r="N1953" s="14" t="str">
        <f aca="false">IF($B1953="","",COUNTIFS($B$3:$B1953,$B1953))</f>
        <v/>
      </c>
      <c r="O1953" s="14" t="str">
        <f aca="false">IF($B1953="","",$B1953&amp;"|"&amp;$N1953)</f>
        <v/>
      </c>
    </row>
    <row r="1954" customFormat="false" ht="15" hidden="false" customHeight="false" outlineLevel="0" collapsed="false">
      <c r="A1954" s="12"/>
      <c r="B1954" s="9"/>
      <c r="C1954" s="9"/>
      <c r="D1954" s="9"/>
      <c r="E1954" s="9"/>
      <c r="F1954" s="9"/>
      <c r="G1954" s="9"/>
      <c r="H1954" s="7"/>
      <c r="I1954" s="13" t="str">
        <f aca="false">IF(OR($G1954="",$H1954=""),"",ROUND($G1954*$H1954,0))</f>
        <v/>
      </c>
      <c r="J1954" s="8"/>
      <c r="K1954" s="13" t="str">
        <f aca="false">IF($B1954="","",SUMIFS($I$3:$I$2002,$B$3:$B$2002,$B1954))</f>
        <v/>
      </c>
      <c r="L1954" s="13" t="str">
        <f aca="false">IF($B1954="","",IF(COUNTIFS($B$3:$B1954,$B1954)&gt;1,0,IFERROR(LOOKUP($K1954,배송비규정!$A$3:$A$32,배송비규정!$B$3:$B$32),0)+IFERROR(INDEX(지역추가비!$B$3:$B$42,MATCH($J1954,지역추가비!$A$3:$A$42,0)),0)))</f>
        <v/>
      </c>
      <c r="M1954" s="13" t="str">
        <f aca="false">IF($B1954="","",IF(COUNTIFS($B$3:$B1954,$B1954)&gt;1,"",$K1954+$L1954))</f>
        <v/>
      </c>
      <c r="N1954" s="14" t="str">
        <f aca="false">IF($B1954="","",COUNTIFS($B$3:$B1954,$B1954))</f>
        <v/>
      </c>
      <c r="O1954" s="14" t="str">
        <f aca="false">IF($B1954="","",$B1954&amp;"|"&amp;$N1954)</f>
        <v/>
      </c>
    </row>
    <row r="1955" customFormat="false" ht="15" hidden="false" customHeight="false" outlineLevel="0" collapsed="false">
      <c r="A1955" s="12"/>
      <c r="B1955" s="9"/>
      <c r="C1955" s="9"/>
      <c r="D1955" s="9"/>
      <c r="E1955" s="9"/>
      <c r="F1955" s="9"/>
      <c r="G1955" s="9"/>
      <c r="H1955" s="7"/>
      <c r="I1955" s="13" t="str">
        <f aca="false">IF(OR($G1955="",$H1955=""),"",ROUND($G1955*$H1955,0))</f>
        <v/>
      </c>
      <c r="J1955" s="8"/>
      <c r="K1955" s="13" t="str">
        <f aca="false">IF($B1955="","",SUMIFS($I$3:$I$2002,$B$3:$B$2002,$B1955))</f>
        <v/>
      </c>
      <c r="L1955" s="13" t="str">
        <f aca="false">IF($B1955="","",IF(COUNTIFS($B$3:$B1955,$B1955)&gt;1,0,IFERROR(LOOKUP($K1955,배송비규정!$A$3:$A$32,배송비규정!$B$3:$B$32),0)+IFERROR(INDEX(지역추가비!$B$3:$B$42,MATCH($J1955,지역추가비!$A$3:$A$42,0)),0)))</f>
        <v/>
      </c>
      <c r="M1955" s="13" t="str">
        <f aca="false">IF($B1955="","",IF(COUNTIFS($B$3:$B1955,$B1955)&gt;1,"",$K1955+$L1955))</f>
        <v/>
      </c>
      <c r="N1955" s="14" t="str">
        <f aca="false">IF($B1955="","",COUNTIFS($B$3:$B1955,$B1955))</f>
        <v/>
      </c>
      <c r="O1955" s="14" t="str">
        <f aca="false">IF($B1955="","",$B1955&amp;"|"&amp;$N1955)</f>
        <v/>
      </c>
    </row>
    <row r="1956" customFormat="false" ht="15" hidden="false" customHeight="false" outlineLevel="0" collapsed="false">
      <c r="A1956" s="12"/>
      <c r="B1956" s="9"/>
      <c r="C1956" s="9"/>
      <c r="D1956" s="9"/>
      <c r="E1956" s="9"/>
      <c r="F1956" s="9"/>
      <c r="G1956" s="9"/>
      <c r="H1956" s="7"/>
      <c r="I1956" s="13" t="str">
        <f aca="false">IF(OR($G1956="",$H1956=""),"",ROUND($G1956*$H1956,0))</f>
        <v/>
      </c>
      <c r="J1956" s="8"/>
      <c r="K1956" s="13" t="str">
        <f aca="false">IF($B1956="","",SUMIFS($I$3:$I$2002,$B$3:$B$2002,$B1956))</f>
        <v/>
      </c>
      <c r="L1956" s="13" t="str">
        <f aca="false">IF($B1956="","",IF(COUNTIFS($B$3:$B1956,$B1956)&gt;1,0,IFERROR(LOOKUP($K1956,배송비규정!$A$3:$A$32,배송비규정!$B$3:$B$32),0)+IFERROR(INDEX(지역추가비!$B$3:$B$42,MATCH($J1956,지역추가비!$A$3:$A$42,0)),0)))</f>
        <v/>
      </c>
      <c r="M1956" s="13" t="str">
        <f aca="false">IF($B1956="","",IF(COUNTIFS($B$3:$B1956,$B1956)&gt;1,"",$K1956+$L1956))</f>
        <v/>
      </c>
      <c r="N1956" s="14" t="str">
        <f aca="false">IF($B1956="","",COUNTIFS($B$3:$B1956,$B1956))</f>
        <v/>
      </c>
      <c r="O1956" s="14" t="str">
        <f aca="false">IF($B1956="","",$B1956&amp;"|"&amp;$N1956)</f>
        <v/>
      </c>
    </row>
    <row r="1957" customFormat="false" ht="15" hidden="false" customHeight="false" outlineLevel="0" collapsed="false">
      <c r="A1957" s="12"/>
      <c r="B1957" s="9"/>
      <c r="C1957" s="9"/>
      <c r="D1957" s="9"/>
      <c r="E1957" s="9"/>
      <c r="F1957" s="9"/>
      <c r="G1957" s="9"/>
      <c r="H1957" s="7"/>
      <c r="I1957" s="13" t="str">
        <f aca="false">IF(OR($G1957="",$H1957=""),"",ROUND($G1957*$H1957,0))</f>
        <v/>
      </c>
      <c r="J1957" s="8"/>
      <c r="K1957" s="13" t="str">
        <f aca="false">IF($B1957="","",SUMIFS($I$3:$I$2002,$B$3:$B$2002,$B1957))</f>
        <v/>
      </c>
      <c r="L1957" s="13" t="str">
        <f aca="false">IF($B1957="","",IF(COUNTIFS($B$3:$B1957,$B1957)&gt;1,0,IFERROR(LOOKUP($K1957,배송비규정!$A$3:$A$32,배송비규정!$B$3:$B$32),0)+IFERROR(INDEX(지역추가비!$B$3:$B$42,MATCH($J1957,지역추가비!$A$3:$A$42,0)),0)))</f>
        <v/>
      </c>
      <c r="M1957" s="13" t="str">
        <f aca="false">IF($B1957="","",IF(COUNTIFS($B$3:$B1957,$B1957)&gt;1,"",$K1957+$L1957))</f>
        <v/>
      </c>
      <c r="N1957" s="14" t="str">
        <f aca="false">IF($B1957="","",COUNTIFS($B$3:$B1957,$B1957))</f>
        <v/>
      </c>
      <c r="O1957" s="14" t="str">
        <f aca="false">IF($B1957="","",$B1957&amp;"|"&amp;$N1957)</f>
        <v/>
      </c>
    </row>
    <row r="1958" customFormat="false" ht="15" hidden="false" customHeight="false" outlineLevel="0" collapsed="false">
      <c r="A1958" s="12"/>
      <c r="B1958" s="9"/>
      <c r="C1958" s="9"/>
      <c r="D1958" s="9"/>
      <c r="E1958" s="9"/>
      <c r="F1958" s="9"/>
      <c r="G1958" s="9"/>
      <c r="H1958" s="7"/>
      <c r="I1958" s="13" t="str">
        <f aca="false">IF(OR($G1958="",$H1958=""),"",ROUND($G1958*$H1958,0))</f>
        <v/>
      </c>
      <c r="J1958" s="8"/>
      <c r="K1958" s="13" t="str">
        <f aca="false">IF($B1958="","",SUMIFS($I$3:$I$2002,$B$3:$B$2002,$B1958))</f>
        <v/>
      </c>
      <c r="L1958" s="13" t="str">
        <f aca="false">IF($B1958="","",IF(COUNTIFS($B$3:$B1958,$B1958)&gt;1,0,IFERROR(LOOKUP($K1958,배송비규정!$A$3:$A$32,배송비규정!$B$3:$B$32),0)+IFERROR(INDEX(지역추가비!$B$3:$B$42,MATCH($J1958,지역추가비!$A$3:$A$42,0)),0)))</f>
        <v/>
      </c>
      <c r="M1958" s="13" t="str">
        <f aca="false">IF($B1958="","",IF(COUNTIFS($B$3:$B1958,$B1958)&gt;1,"",$K1958+$L1958))</f>
        <v/>
      </c>
      <c r="N1958" s="14" t="str">
        <f aca="false">IF($B1958="","",COUNTIFS($B$3:$B1958,$B1958))</f>
        <v/>
      </c>
      <c r="O1958" s="14" t="str">
        <f aca="false">IF($B1958="","",$B1958&amp;"|"&amp;$N1958)</f>
        <v/>
      </c>
    </row>
    <row r="1959" customFormat="false" ht="15" hidden="false" customHeight="false" outlineLevel="0" collapsed="false">
      <c r="A1959" s="12"/>
      <c r="B1959" s="9"/>
      <c r="C1959" s="9"/>
      <c r="D1959" s="9"/>
      <c r="E1959" s="9"/>
      <c r="F1959" s="9"/>
      <c r="G1959" s="9"/>
      <c r="H1959" s="7"/>
      <c r="I1959" s="13" t="str">
        <f aca="false">IF(OR($G1959="",$H1959=""),"",ROUND($G1959*$H1959,0))</f>
        <v/>
      </c>
      <c r="J1959" s="8"/>
      <c r="K1959" s="13" t="str">
        <f aca="false">IF($B1959="","",SUMIFS($I$3:$I$2002,$B$3:$B$2002,$B1959))</f>
        <v/>
      </c>
      <c r="L1959" s="13" t="str">
        <f aca="false">IF($B1959="","",IF(COUNTIFS($B$3:$B1959,$B1959)&gt;1,0,IFERROR(LOOKUP($K1959,배송비규정!$A$3:$A$32,배송비규정!$B$3:$B$32),0)+IFERROR(INDEX(지역추가비!$B$3:$B$42,MATCH($J1959,지역추가비!$A$3:$A$42,0)),0)))</f>
        <v/>
      </c>
      <c r="M1959" s="13" t="str">
        <f aca="false">IF($B1959="","",IF(COUNTIFS($B$3:$B1959,$B1959)&gt;1,"",$K1959+$L1959))</f>
        <v/>
      </c>
      <c r="N1959" s="14" t="str">
        <f aca="false">IF($B1959="","",COUNTIFS($B$3:$B1959,$B1959))</f>
        <v/>
      </c>
      <c r="O1959" s="14" t="str">
        <f aca="false">IF($B1959="","",$B1959&amp;"|"&amp;$N1959)</f>
        <v/>
      </c>
    </row>
    <row r="1960" customFormat="false" ht="15" hidden="false" customHeight="false" outlineLevel="0" collapsed="false">
      <c r="A1960" s="12"/>
      <c r="B1960" s="9"/>
      <c r="C1960" s="9"/>
      <c r="D1960" s="9"/>
      <c r="E1960" s="9"/>
      <c r="F1960" s="9"/>
      <c r="G1960" s="9"/>
      <c r="H1960" s="7"/>
      <c r="I1960" s="13" t="str">
        <f aca="false">IF(OR($G1960="",$H1960=""),"",ROUND($G1960*$H1960,0))</f>
        <v/>
      </c>
      <c r="J1960" s="8"/>
      <c r="K1960" s="13" t="str">
        <f aca="false">IF($B1960="","",SUMIFS($I$3:$I$2002,$B$3:$B$2002,$B1960))</f>
        <v/>
      </c>
      <c r="L1960" s="13" t="str">
        <f aca="false">IF($B1960="","",IF(COUNTIFS($B$3:$B1960,$B1960)&gt;1,0,IFERROR(LOOKUP($K1960,배송비규정!$A$3:$A$32,배송비규정!$B$3:$B$32),0)+IFERROR(INDEX(지역추가비!$B$3:$B$42,MATCH($J1960,지역추가비!$A$3:$A$42,0)),0)))</f>
        <v/>
      </c>
      <c r="M1960" s="13" t="str">
        <f aca="false">IF($B1960="","",IF(COUNTIFS($B$3:$B1960,$B1960)&gt;1,"",$K1960+$L1960))</f>
        <v/>
      </c>
      <c r="N1960" s="14" t="str">
        <f aca="false">IF($B1960="","",COUNTIFS($B$3:$B1960,$B1960))</f>
        <v/>
      </c>
      <c r="O1960" s="14" t="str">
        <f aca="false">IF($B1960="","",$B1960&amp;"|"&amp;$N1960)</f>
        <v/>
      </c>
    </row>
    <row r="1961" customFormat="false" ht="15" hidden="false" customHeight="false" outlineLevel="0" collapsed="false">
      <c r="A1961" s="12"/>
      <c r="B1961" s="9"/>
      <c r="C1961" s="9"/>
      <c r="D1961" s="9"/>
      <c r="E1961" s="9"/>
      <c r="F1961" s="9"/>
      <c r="G1961" s="9"/>
      <c r="H1961" s="7"/>
      <c r="I1961" s="13" t="str">
        <f aca="false">IF(OR($G1961="",$H1961=""),"",ROUND($G1961*$H1961,0))</f>
        <v/>
      </c>
      <c r="J1961" s="8"/>
      <c r="K1961" s="13" t="str">
        <f aca="false">IF($B1961="","",SUMIFS($I$3:$I$2002,$B$3:$B$2002,$B1961))</f>
        <v/>
      </c>
      <c r="L1961" s="13" t="str">
        <f aca="false">IF($B1961="","",IF(COUNTIFS($B$3:$B1961,$B1961)&gt;1,0,IFERROR(LOOKUP($K1961,배송비규정!$A$3:$A$32,배송비규정!$B$3:$B$32),0)+IFERROR(INDEX(지역추가비!$B$3:$B$42,MATCH($J1961,지역추가비!$A$3:$A$42,0)),0)))</f>
        <v/>
      </c>
      <c r="M1961" s="13" t="str">
        <f aca="false">IF($B1961="","",IF(COUNTIFS($B$3:$B1961,$B1961)&gt;1,"",$K1961+$L1961))</f>
        <v/>
      </c>
      <c r="N1961" s="14" t="str">
        <f aca="false">IF($B1961="","",COUNTIFS($B$3:$B1961,$B1961))</f>
        <v/>
      </c>
      <c r="O1961" s="14" t="str">
        <f aca="false">IF($B1961="","",$B1961&amp;"|"&amp;$N1961)</f>
        <v/>
      </c>
    </row>
    <row r="1962" customFormat="false" ht="15" hidden="false" customHeight="false" outlineLevel="0" collapsed="false">
      <c r="A1962" s="12"/>
      <c r="B1962" s="9"/>
      <c r="C1962" s="9"/>
      <c r="D1962" s="9"/>
      <c r="E1962" s="9"/>
      <c r="F1962" s="9"/>
      <c r="G1962" s="9"/>
      <c r="H1962" s="7"/>
      <c r="I1962" s="13" t="str">
        <f aca="false">IF(OR($G1962="",$H1962=""),"",ROUND($G1962*$H1962,0))</f>
        <v/>
      </c>
      <c r="J1962" s="8"/>
      <c r="K1962" s="13" t="str">
        <f aca="false">IF($B1962="","",SUMIFS($I$3:$I$2002,$B$3:$B$2002,$B1962))</f>
        <v/>
      </c>
      <c r="L1962" s="13" t="str">
        <f aca="false">IF($B1962="","",IF(COUNTIFS($B$3:$B1962,$B1962)&gt;1,0,IFERROR(LOOKUP($K1962,배송비규정!$A$3:$A$32,배송비규정!$B$3:$B$32),0)+IFERROR(INDEX(지역추가비!$B$3:$B$42,MATCH($J1962,지역추가비!$A$3:$A$42,0)),0)))</f>
        <v/>
      </c>
      <c r="M1962" s="13" t="str">
        <f aca="false">IF($B1962="","",IF(COUNTIFS($B$3:$B1962,$B1962)&gt;1,"",$K1962+$L1962))</f>
        <v/>
      </c>
      <c r="N1962" s="14" t="str">
        <f aca="false">IF($B1962="","",COUNTIFS($B$3:$B1962,$B1962))</f>
        <v/>
      </c>
      <c r="O1962" s="14" t="str">
        <f aca="false">IF($B1962="","",$B1962&amp;"|"&amp;$N1962)</f>
        <v/>
      </c>
    </row>
    <row r="1963" customFormat="false" ht="15" hidden="false" customHeight="false" outlineLevel="0" collapsed="false">
      <c r="A1963" s="12"/>
      <c r="B1963" s="9"/>
      <c r="C1963" s="9"/>
      <c r="D1963" s="9"/>
      <c r="E1963" s="9"/>
      <c r="F1963" s="9"/>
      <c r="G1963" s="9"/>
      <c r="H1963" s="7"/>
      <c r="I1963" s="13" t="str">
        <f aca="false">IF(OR($G1963="",$H1963=""),"",ROUND($G1963*$H1963,0))</f>
        <v/>
      </c>
      <c r="J1963" s="8"/>
      <c r="K1963" s="13" t="str">
        <f aca="false">IF($B1963="","",SUMIFS($I$3:$I$2002,$B$3:$B$2002,$B1963))</f>
        <v/>
      </c>
      <c r="L1963" s="13" t="str">
        <f aca="false">IF($B1963="","",IF(COUNTIFS($B$3:$B1963,$B1963)&gt;1,0,IFERROR(LOOKUP($K1963,배송비규정!$A$3:$A$32,배송비규정!$B$3:$B$32),0)+IFERROR(INDEX(지역추가비!$B$3:$B$42,MATCH($J1963,지역추가비!$A$3:$A$42,0)),0)))</f>
        <v/>
      </c>
      <c r="M1963" s="13" t="str">
        <f aca="false">IF($B1963="","",IF(COUNTIFS($B$3:$B1963,$B1963)&gt;1,"",$K1963+$L1963))</f>
        <v/>
      </c>
      <c r="N1963" s="14" t="str">
        <f aca="false">IF($B1963="","",COUNTIFS($B$3:$B1963,$B1963))</f>
        <v/>
      </c>
      <c r="O1963" s="14" t="str">
        <f aca="false">IF($B1963="","",$B1963&amp;"|"&amp;$N1963)</f>
        <v/>
      </c>
    </row>
    <row r="1964" customFormat="false" ht="15" hidden="false" customHeight="false" outlineLevel="0" collapsed="false">
      <c r="A1964" s="12"/>
      <c r="B1964" s="9"/>
      <c r="C1964" s="9"/>
      <c r="D1964" s="9"/>
      <c r="E1964" s="9"/>
      <c r="F1964" s="9"/>
      <c r="G1964" s="9"/>
      <c r="H1964" s="7"/>
      <c r="I1964" s="13" t="str">
        <f aca="false">IF(OR($G1964="",$H1964=""),"",ROUND($G1964*$H1964,0))</f>
        <v/>
      </c>
      <c r="J1964" s="8"/>
      <c r="K1964" s="13" t="str">
        <f aca="false">IF($B1964="","",SUMIFS($I$3:$I$2002,$B$3:$B$2002,$B1964))</f>
        <v/>
      </c>
      <c r="L1964" s="13" t="str">
        <f aca="false">IF($B1964="","",IF(COUNTIFS($B$3:$B1964,$B1964)&gt;1,0,IFERROR(LOOKUP($K1964,배송비규정!$A$3:$A$32,배송비규정!$B$3:$B$32),0)+IFERROR(INDEX(지역추가비!$B$3:$B$42,MATCH($J1964,지역추가비!$A$3:$A$42,0)),0)))</f>
        <v/>
      </c>
      <c r="M1964" s="13" t="str">
        <f aca="false">IF($B1964="","",IF(COUNTIFS($B$3:$B1964,$B1964)&gt;1,"",$K1964+$L1964))</f>
        <v/>
      </c>
      <c r="N1964" s="14" t="str">
        <f aca="false">IF($B1964="","",COUNTIFS($B$3:$B1964,$B1964))</f>
        <v/>
      </c>
      <c r="O1964" s="14" t="str">
        <f aca="false">IF($B1964="","",$B1964&amp;"|"&amp;$N1964)</f>
        <v/>
      </c>
    </row>
    <row r="1965" customFormat="false" ht="15" hidden="false" customHeight="false" outlineLevel="0" collapsed="false">
      <c r="A1965" s="12"/>
      <c r="B1965" s="9"/>
      <c r="C1965" s="9"/>
      <c r="D1965" s="9"/>
      <c r="E1965" s="9"/>
      <c r="F1965" s="9"/>
      <c r="G1965" s="9"/>
      <c r="H1965" s="7"/>
      <c r="I1965" s="13" t="str">
        <f aca="false">IF(OR($G1965="",$H1965=""),"",ROUND($G1965*$H1965,0))</f>
        <v/>
      </c>
      <c r="J1965" s="8"/>
      <c r="K1965" s="13" t="str">
        <f aca="false">IF($B1965="","",SUMIFS($I$3:$I$2002,$B$3:$B$2002,$B1965))</f>
        <v/>
      </c>
      <c r="L1965" s="13" t="str">
        <f aca="false">IF($B1965="","",IF(COUNTIFS($B$3:$B1965,$B1965)&gt;1,0,IFERROR(LOOKUP($K1965,배송비규정!$A$3:$A$32,배송비규정!$B$3:$B$32),0)+IFERROR(INDEX(지역추가비!$B$3:$B$42,MATCH($J1965,지역추가비!$A$3:$A$42,0)),0)))</f>
        <v/>
      </c>
      <c r="M1965" s="13" t="str">
        <f aca="false">IF($B1965="","",IF(COUNTIFS($B$3:$B1965,$B1965)&gt;1,"",$K1965+$L1965))</f>
        <v/>
      </c>
      <c r="N1965" s="14" t="str">
        <f aca="false">IF($B1965="","",COUNTIFS($B$3:$B1965,$B1965))</f>
        <v/>
      </c>
      <c r="O1965" s="14" t="str">
        <f aca="false">IF($B1965="","",$B1965&amp;"|"&amp;$N1965)</f>
        <v/>
      </c>
    </row>
    <row r="1966" customFormat="false" ht="15" hidden="false" customHeight="false" outlineLevel="0" collapsed="false">
      <c r="A1966" s="12"/>
      <c r="B1966" s="9"/>
      <c r="C1966" s="9"/>
      <c r="D1966" s="9"/>
      <c r="E1966" s="9"/>
      <c r="F1966" s="9"/>
      <c r="G1966" s="9"/>
      <c r="H1966" s="7"/>
      <c r="I1966" s="13" t="str">
        <f aca="false">IF(OR($G1966="",$H1966=""),"",ROUND($G1966*$H1966,0))</f>
        <v/>
      </c>
      <c r="J1966" s="8"/>
      <c r="K1966" s="13" t="str">
        <f aca="false">IF($B1966="","",SUMIFS($I$3:$I$2002,$B$3:$B$2002,$B1966))</f>
        <v/>
      </c>
      <c r="L1966" s="13" t="str">
        <f aca="false">IF($B1966="","",IF(COUNTIFS($B$3:$B1966,$B1966)&gt;1,0,IFERROR(LOOKUP($K1966,배송비규정!$A$3:$A$32,배송비규정!$B$3:$B$32),0)+IFERROR(INDEX(지역추가비!$B$3:$B$42,MATCH($J1966,지역추가비!$A$3:$A$42,0)),0)))</f>
        <v/>
      </c>
      <c r="M1966" s="13" t="str">
        <f aca="false">IF($B1966="","",IF(COUNTIFS($B$3:$B1966,$B1966)&gt;1,"",$K1966+$L1966))</f>
        <v/>
      </c>
      <c r="N1966" s="14" t="str">
        <f aca="false">IF($B1966="","",COUNTIFS($B$3:$B1966,$B1966))</f>
        <v/>
      </c>
      <c r="O1966" s="14" t="str">
        <f aca="false">IF($B1966="","",$B1966&amp;"|"&amp;$N1966)</f>
        <v/>
      </c>
    </row>
    <row r="1967" customFormat="false" ht="15" hidden="false" customHeight="false" outlineLevel="0" collapsed="false">
      <c r="A1967" s="12"/>
      <c r="B1967" s="9"/>
      <c r="C1967" s="9"/>
      <c r="D1967" s="9"/>
      <c r="E1967" s="9"/>
      <c r="F1967" s="9"/>
      <c r="G1967" s="9"/>
      <c r="H1967" s="7"/>
      <c r="I1967" s="13" t="str">
        <f aca="false">IF(OR($G1967="",$H1967=""),"",ROUND($G1967*$H1967,0))</f>
        <v/>
      </c>
      <c r="J1967" s="8"/>
      <c r="K1967" s="13" t="str">
        <f aca="false">IF($B1967="","",SUMIFS($I$3:$I$2002,$B$3:$B$2002,$B1967))</f>
        <v/>
      </c>
      <c r="L1967" s="13" t="str">
        <f aca="false">IF($B1967="","",IF(COUNTIFS($B$3:$B1967,$B1967)&gt;1,0,IFERROR(LOOKUP($K1967,배송비규정!$A$3:$A$32,배송비규정!$B$3:$B$32),0)+IFERROR(INDEX(지역추가비!$B$3:$B$42,MATCH($J1967,지역추가비!$A$3:$A$42,0)),0)))</f>
        <v/>
      </c>
      <c r="M1967" s="13" t="str">
        <f aca="false">IF($B1967="","",IF(COUNTIFS($B$3:$B1967,$B1967)&gt;1,"",$K1967+$L1967))</f>
        <v/>
      </c>
      <c r="N1967" s="14" t="str">
        <f aca="false">IF($B1967="","",COUNTIFS($B$3:$B1967,$B1967))</f>
        <v/>
      </c>
      <c r="O1967" s="14" t="str">
        <f aca="false">IF($B1967="","",$B1967&amp;"|"&amp;$N1967)</f>
        <v/>
      </c>
    </row>
    <row r="1968" customFormat="false" ht="15" hidden="false" customHeight="false" outlineLevel="0" collapsed="false">
      <c r="A1968" s="12"/>
      <c r="B1968" s="9"/>
      <c r="C1968" s="9"/>
      <c r="D1968" s="9"/>
      <c r="E1968" s="9"/>
      <c r="F1968" s="9"/>
      <c r="G1968" s="9"/>
      <c r="H1968" s="7"/>
      <c r="I1968" s="13" t="str">
        <f aca="false">IF(OR($G1968="",$H1968=""),"",ROUND($G1968*$H1968,0))</f>
        <v/>
      </c>
      <c r="J1968" s="8"/>
      <c r="K1968" s="13" t="str">
        <f aca="false">IF($B1968="","",SUMIFS($I$3:$I$2002,$B$3:$B$2002,$B1968))</f>
        <v/>
      </c>
      <c r="L1968" s="13" t="str">
        <f aca="false">IF($B1968="","",IF(COUNTIFS($B$3:$B1968,$B1968)&gt;1,0,IFERROR(LOOKUP($K1968,배송비규정!$A$3:$A$32,배송비규정!$B$3:$B$32),0)+IFERROR(INDEX(지역추가비!$B$3:$B$42,MATCH($J1968,지역추가비!$A$3:$A$42,0)),0)))</f>
        <v/>
      </c>
      <c r="M1968" s="13" t="str">
        <f aca="false">IF($B1968="","",IF(COUNTIFS($B$3:$B1968,$B1968)&gt;1,"",$K1968+$L1968))</f>
        <v/>
      </c>
      <c r="N1968" s="14" t="str">
        <f aca="false">IF($B1968="","",COUNTIFS($B$3:$B1968,$B1968))</f>
        <v/>
      </c>
      <c r="O1968" s="14" t="str">
        <f aca="false">IF($B1968="","",$B1968&amp;"|"&amp;$N1968)</f>
        <v/>
      </c>
    </row>
    <row r="1969" customFormat="false" ht="15" hidden="false" customHeight="false" outlineLevel="0" collapsed="false">
      <c r="A1969" s="12"/>
      <c r="B1969" s="9"/>
      <c r="C1969" s="9"/>
      <c r="D1969" s="9"/>
      <c r="E1969" s="9"/>
      <c r="F1969" s="9"/>
      <c r="G1969" s="9"/>
      <c r="H1969" s="7"/>
      <c r="I1969" s="13" t="str">
        <f aca="false">IF(OR($G1969="",$H1969=""),"",ROUND($G1969*$H1969,0))</f>
        <v/>
      </c>
      <c r="J1969" s="8"/>
      <c r="K1969" s="13" t="str">
        <f aca="false">IF($B1969="","",SUMIFS($I$3:$I$2002,$B$3:$B$2002,$B1969))</f>
        <v/>
      </c>
      <c r="L1969" s="13" t="str">
        <f aca="false">IF($B1969="","",IF(COUNTIFS($B$3:$B1969,$B1969)&gt;1,0,IFERROR(LOOKUP($K1969,배송비규정!$A$3:$A$32,배송비규정!$B$3:$B$32),0)+IFERROR(INDEX(지역추가비!$B$3:$B$42,MATCH($J1969,지역추가비!$A$3:$A$42,0)),0)))</f>
        <v/>
      </c>
      <c r="M1969" s="13" t="str">
        <f aca="false">IF($B1969="","",IF(COUNTIFS($B$3:$B1969,$B1969)&gt;1,"",$K1969+$L1969))</f>
        <v/>
      </c>
      <c r="N1969" s="14" t="str">
        <f aca="false">IF($B1969="","",COUNTIFS($B$3:$B1969,$B1969))</f>
        <v/>
      </c>
      <c r="O1969" s="14" t="str">
        <f aca="false">IF($B1969="","",$B1969&amp;"|"&amp;$N1969)</f>
        <v/>
      </c>
    </row>
    <row r="1970" customFormat="false" ht="15" hidden="false" customHeight="false" outlineLevel="0" collapsed="false">
      <c r="A1970" s="12"/>
      <c r="B1970" s="9"/>
      <c r="C1970" s="9"/>
      <c r="D1970" s="9"/>
      <c r="E1970" s="9"/>
      <c r="F1970" s="9"/>
      <c r="G1970" s="9"/>
      <c r="H1970" s="7"/>
      <c r="I1970" s="13" t="str">
        <f aca="false">IF(OR($G1970="",$H1970=""),"",ROUND($G1970*$H1970,0))</f>
        <v/>
      </c>
      <c r="J1970" s="8"/>
      <c r="K1970" s="13" t="str">
        <f aca="false">IF($B1970="","",SUMIFS($I$3:$I$2002,$B$3:$B$2002,$B1970))</f>
        <v/>
      </c>
      <c r="L1970" s="13" t="str">
        <f aca="false">IF($B1970="","",IF(COUNTIFS($B$3:$B1970,$B1970)&gt;1,0,IFERROR(LOOKUP($K1970,배송비규정!$A$3:$A$32,배송비규정!$B$3:$B$32),0)+IFERROR(INDEX(지역추가비!$B$3:$B$42,MATCH($J1970,지역추가비!$A$3:$A$42,0)),0)))</f>
        <v/>
      </c>
      <c r="M1970" s="13" t="str">
        <f aca="false">IF($B1970="","",IF(COUNTIFS($B$3:$B1970,$B1970)&gt;1,"",$K1970+$L1970))</f>
        <v/>
      </c>
      <c r="N1970" s="14" t="str">
        <f aca="false">IF($B1970="","",COUNTIFS($B$3:$B1970,$B1970))</f>
        <v/>
      </c>
      <c r="O1970" s="14" t="str">
        <f aca="false">IF($B1970="","",$B1970&amp;"|"&amp;$N1970)</f>
        <v/>
      </c>
    </row>
    <row r="1971" customFormat="false" ht="15" hidden="false" customHeight="false" outlineLevel="0" collapsed="false">
      <c r="A1971" s="12"/>
      <c r="B1971" s="9"/>
      <c r="C1971" s="9"/>
      <c r="D1971" s="9"/>
      <c r="E1971" s="9"/>
      <c r="F1971" s="9"/>
      <c r="G1971" s="9"/>
      <c r="H1971" s="7"/>
      <c r="I1971" s="13" t="str">
        <f aca="false">IF(OR($G1971="",$H1971=""),"",ROUND($G1971*$H1971,0))</f>
        <v/>
      </c>
      <c r="J1971" s="8"/>
      <c r="K1971" s="13" t="str">
        <f aca="false">IF($B1971="","",SUMIFS($I$3:$I$2002,$B$3:$B$2002,$B1971))</f>
        <v/>
      </c>
      <c r="L1971" s="13" t="str">
        <f aca="false">IF($B1971="","",IF(COUNTIFS($B$3:$B1971,$B1971)&gt;1,0,IFERROR(LOOKUP($K1971,배송비규정!$A$3:$A$32,배송비규정!$B$3:$B$32),0)+IFERROR(INDEX(지역추가비!$B$3:$B$42,MATCH($J1971,지역추가비!$A$3:$A$42,0)),0)))</f>
        <v/>
      </c>
      <c r="M1971" s="13" t="str">
        <f aca="false">IF($B1971="","",IF(COUNTIFS($B$3:$B1971,$B1971)&gt;1,"",$K1971+$L1971))</f>
        <v/>
      </c>
      <c r="N1971" s="14" t="str">
        <f aca="false">IF($B1971="","",COUNTIFS($B$3:$B1971,$B1971))</f>
        <v/>
      </c>
      <c r="O1971" s="14" t="str">
        <f aca="false">IF($B1971="","",$B1971&amp;"|"&amp;$N1971)</f>
        <v/>
      </c>
    </row>
    <row r="1972" customFormat="false" ht="15" hidden="false" customHeight="false" outlineLevel="0" collapsed="false">
      <c r="A1972" s="12"/>
      <c r="B1972" s="9"/>
      <c r="C1972" s="9"/>
      <c r="D1972" s="9"/>
      <c r="E1972" s="9"/>
      <c r="F1972" s="9"/>
      <c r="G1972" s="9"/>
      <c r="H1972" s="7"/>
      <c r="I1972" s="13" t="str">
        <f aca="false">IF(OR($G1972="",$H1972=""),"",ROUND($G1972*$H1972,0))</f>
        <v/>
      </c>
      <c r="J1972" s="8"/>
      <c r="K1972" s="13" t="str">
        <f aca="false">IF($B1972="","",SUMIFS($I$3:$I$2002,$B$3:$B$2002,$B1972))</f>
        <v/>
      </c>
      <c r="L1972" s="13" t="str">
        <f aca="false">IF($B1972="","",IF(COUNTIFS($B$3:$B1972,$B1972)&gt;1,0,IFERROR(LOOKUP($K1972,배송비규정!$A$3:$A$32,배송비규정!$B$3:$B$32),0)+IFERROR(INDEX(지역추가비!$B$3:$B$42,MATCH($J1972,지역추가비!$A$3:$A$42,0)),0)))</f>
        <v/>
      </c>
      <c r="M1972" s="13" t="str">
        <f aca="false">IF($B1972="","",IF(COUNTIFS($B$3:$B1972,$B1972)&gt;1,"",$K1972+$L1972))</f>
        <v/>
      </c>
      <c r="N1972" s="14" t="str">
        <f aca="false">IF($B1972="","",COUNTIFS($B$3:$B1972,$B1972))</f>
        <v/>
      </c>
      <c r="O1972" s="14" t="str">
        <f aca="false">IF($B1972="","",$B1972&amp;"|"&amp;$N1972)</f>
        <v/>
      </c>
    </row>
    <row r="1973" customFormat="false" ht="15" hidden="false" customHeight="false" outlineLevel="0" collapsed="false">
      <c r="A1973" s="12"/>
      <c r="B1973" s="9"/>
      <c r="C1973" s="9"/>
      <c r="D1973" s="9"/>
      <c r="E1973" s="9"/>
      <c r="F1973" s="9"/>
      <c r="G1973" s="9"/>
      <c r="H1973" s="7"/>
      <c r="I1973" s="13" t="str">
        <f aca="false">IF(OR($G1973="",$H1973=""),"",ROUND($G1973*$H1973,0))</f>
        <v/>
      </c>
      <c r="J1973" s="8"/>
      <c r="K1973" s="13" t="str">
        <f aca="false">IF($B1973="","",SUMIFS($I$3:$I$2002,$B$3:$B$2002,$B1973))</f>
        <v/>
      </c>
      <c r="L1973" s="13" t="str">
        <f aca="false">IF($B1973="","",IF(COUNTIFS($B$3:$B1973,$B1973)&gt;1,0,IFERROR(LOOKUP($K1973,배송비규정!$A$3:$A$32,배송비규정!$B$3:$B$32),0)+IFERROR(INDEX(지역추가비!$B$3:$B$42,MATCH($J1973,지역추가비!$A$3:$A$42,0)),0)))</f>
        <v/>
      </c>
      <c r="M1973" s="13" t="str">
        <f aca="false">IF($B1973="","",IF(COUNTIFS($B$3:$B1973,$B1973)&gt;1,"",$K1973+$L1973))</f>
        <v/>
      </c>
      <c r="N1973" s="14" t="str">
        <f aca="false">IF($B1973="","",COUNTIFS($B$3:$B1973,$B1973))</f>
        <v/>
      </c>
      <c r="O1973" s="14" t="str">
        <f aca="false">IF($B1973="","",$B1973&amp;"|"&amp;$N1973)</f>
        <v/>
      </c>
    </row>
    <row r="1974" customFormat="false" ht="15" hidden="false" customHeight="false" outlineLevel="0" collapsed="false">
      <c r="A1974" s="12"/>
      <c r="B1974" s="9"/>
      <c r="C1974" s="9"/>
      <c r="D1974" s="9"/>
      <c r="E1974" s="9"/>
      <c r="F1974" s="9"/>
      <c r="G1974" s="9"/>
      <c r="H1974" s="7"/>
      <c r="I1974" s="13" t="str">
        <f aca="false">IF(OR($G1974="",$H1974=""),"",ROUND($G1974*$H1974,0))</f>
        <v/>
      </c>
      <c r="J1974" s="8"/>
      <c r="K1974" s="13" t="str">
        <f aca="false">IF($B1974="","",SUMIFS($I$3:$I$2002,$B$3:$B$2002,$B1974))</f>
        <v/>
      </c>
      <c r="L1974" s="13" t="str">
        <f aca="false">IF($B1974="","",IF(COUNTIFS($B$3:$B1974,$B1974)&gt;1,0,IFERROR(LOOKUP($K1974,배송비규정!$A$3:$A$32,배송비규정!$B$3:$B$32),0)+IFERROR(INDEX(지역추가비!$B$3:$B$42,MATCH($J1974,지역추가비!$A$3:$A$42,0)),0)))</f>
        <v/>
      </c>
      <c r="M1974" s="13" t="str">
        <f aca="false">IF($B1974="","",IF(COUNTIFS($B$3:$B1974,$B1974)&gt;1,"",$K1974+$L1974))</f>
        <v/>
      </c>
      <c r="N1974" s="14" t="str">
        <f aca="false">IF($B1974="","",COUNTIFS($B$3:$B1974,$B1974))</f>
        <v/>
      </c>
      <c r="O1974" s="14" t="str">
        <f aca="false">IF($B1974="","",$B1974&amp;"|"&amp;$N1974)</f>
        <v/>
      </c>
    </row>
    <row r="1975" customFormat="false" ht="15" hidden="false" customHeight="false" outlineLevel="0" collapsed="false">
      <c r="A1975" s="12"/>
      <c r="B1975" s="9"/>
      <c r="C1975" s="9"/>
      <c r="D1975" s="9"/>
      <c r="E1975" s="9"/>
      <c r="F1975" s="9"/>
      <c r="G1975" s="9"/>
      <c r="H1975" s="7"/>
      <c r="I1975" s="13" t="str">
        <f aca="false">IF(OR($G1975="",$H1975=""),"",ROUND($G1975*$H1975,0))</f>
        <v/>
      </c>
      <c r="J1975" s="8"/>
      <c r="K1975" s="13" t="str">
        <f aca="false">IF($B1975="","",SUMIFS($I$3:$I$2002,$B$3:$B$2002,$B1975))</f>
        <v/>
      </c>
      <c r="L1975" s="13" t="str">
        <f aca="false">IF($B1975="","",IF(COUNTIFS($B$3:$B1975,$B1975)&gt;1,0,IFERROR(LOOKUP($K1975,배송비규정!$A$3:$A$32,배송비규정!$B$3:$B$32),0)+IFERROR(INDEX(지역추가비!$B$3:$B$42,MATCH($J1975,지역추가비!$A$3:$A$42,0)),0)))</f>
        <v/>
      </c>
      <c r="M1975" s="13" t="str">
        <f aca="false">IF($B1975="","",IF(COUNTIFS($B$3:$B1975,$B1975)&gt;1,"",$K1975+$L1975))</f>
        <v/>
      </c>
      <c r="N1975" s="14" t="str">
        <f aca="false">IF($B1975="","",COUNTIFS($B$3:$B1975,$B1975))</f>
        <v/>
      </c>
      <c r="O1975" s="14" t="str">
        <f aca="false">IF($B1975="","",$B1975&amp;"|"&amp;$N1975)</f>
        <v/>
      </c>
    </row>
    <row r="1976" customFormat="false" ht="15" hidden="false" customHeight="false" outlineLevel="0" collapsed="false">
      <c r="A1976" s="12"/>
      <c r="B1976" s="9"/>
      <c r="C1976" s="9"/>
      <c r="D1976" s="9"/>
      <c r="E1976" s="9"/>
      <c r="F1976" s="9"/>
      <c r="G1976" s="9"/>
      <c r="H1976" s="7"/>
      <c r="I1976" s="13" t="str">
        <f aca="false">IF(OR($G1976="",$H1976=""),"",ROUND($G1976*$H1976,0))</f>
        <v/>
      </c>
      <c r="J1976" s="8"/>
      <c r="K1976" s="13" t="str">
        <f aca="false">IF($B1976="","",SUMIFS($I$3:$I$2002,$B$3:$B$2002,$B1976))</f>
        <v/>
      </c>
      <c r="L1976" s="13" t="str">
        <f aca="false">IF($B1976="","",IF(COUNTIFS($B$3:$B1976,$B1976)&gt;1,0,IFERROR(LOOKUP($K1976,배송비규정!$A$3:$A$32,배송비규정!$B$3:$B$32),0)+IFERROR(INDEX(지역추가비!$B$3:$B$42,MATCH($J1976,지역추가비!$A$3:$A$42,0)),0)))</f>
        <v/>
      </c>
      <c r="M1976" s="13" t="str">
        <f aca="false">IF($B1976="","",IF(COUNTIFS($B$3:$B1976,$B1976)&gt;1,"",$K1976+$L1976))</f>
        <v/>
      </c>
      <c r="N1976" s="14" t="str">
        <f aca="false">IF($B1976="","",COUNTIFS($B$3:$B1976,$B1976))</f>
        <v/>
      </c>
      <c r="O1976" s="14" t="str">
        <f aca="false">IF($B1976="","",$B1976&amp;"|"&amp;$N1976)</f>
        <v/>
      </c>
    </row>
    <row r="1977" customFormat="false" ht="15" hidden="false" customHeight="false" outlineLevel="0" collapsed="false">
      <c r="A1977" s="12"/>
      <c r="B1977" s="9"/>
      <c r="C1977" s="9"/>
      <c r="D1977" s="9"/>
      <c r="E1977" s="9"/>
      <c r="F1977" s="9"/>
      <c r="G1977" s="9"/>
      <c r="H1977" s="7"/>
      <c r="I1977" s="13" t="str">
        <f aca="false">IF(OR($G1977="",$H1977=""),"",ROUND($G1977*$H1977,0))</f>
        <v/>
      </c>
      <c r="J1977" s="8"/>
      <c r="K1977" s="13" t="str">
        <f aca="false">IF($B1977="","",SUMIFS($I$3:$I$2002,$B$3:$B$2002,$B1977))</f>
        <v/>
      </c>
      <c r="L1977" s="13" t="str">
        <f aca="false">IF($B1977="","",IF(COUNTIFS($B$3:$B1977,$B1977)&gt;1,0,IFERROR(LOOKUP($K1977,배송비규정!$A$3:$A$32,배송비규정!$B$3:$B$32),0)+IFERROR(INDEX(지역추가비!$B$3:$B$42,MATCH($J1977,지역추가비!$A$3:$A$42,0)),0)))</f>
        <v/>
      </c>
      <c r="M1977" s="13" t="str">
        <f aca="false">IF($B1977="","",IF(COUNTIFS($B$3:$B1977,$B1977)&gt;1,"",$K1977+$L1977))</f>
        <v/>
      </c>
      <c r="N1977" s="14" t="str">
        <f aca="false">IF($B1977="","",COUNTIFS($B$3:$B1977,$B1977))</f>
        <v/>
      </c>
      <c r="O1977" s="14" t="str">
        <f aca="false">IF($B1977="","",$B1977&amp;"|"&amp;$N1977)</f>
        <v/>
      </c>
    </row>
    <row r="1978" customFormat="false" ht="15" hidden="false" customHeight="false" outlineLevel="0" collapsed="false">
      <c r="A1978" s="12"/>
      <c r="B1978" s="9"/>
      <c r="C1978" s="9"/>
      <c r="D1978" s="9"/>
      <c r="E1978" s="9"/>
      <c r="F1978" s="9"/>
      <c r="G1978" s="9"/>
      <c r="H1978" s="7"/>
      <c r="I1978" s="13" t="str">
        <f aca="false">IF(OR($G1978="",$H1978=""),"",ROUND($G1978*$H1978,0))</f>
        <v/>
      </c>
      <c r="J1978" s="8"/>
      <c r="K1978" s="13" t="str">
        <f aca="false">IF($B1978="","",SUMIFS($I$3:$I$2002,$B$3:$B$2002,$B1978))</f>
        <v/>
      </c>
      <c r="L1978" s="13" t="str">
        <f aca="false">IF($B1978="","",IF(COUNTIFS($B$3:$B1978,$B1978)&gt;1,0,IFERROR(LOOKUP($K1978,배송비규정!$A$3:$A$32,배송비규정!$B$3:$B$32),0)+IFERROR(INDEX(지역추가비!$B$3:$B$42,MATCH($J1978,지역추가비!$A$3:$A$42,0)),0)))</f>
        <v/>
      </c>
      <c r="M1978" s="13" t="str">
        <f aca="false">IF($B1978="","",IF(COUNTIFS($B$3:$B1978,$B1978)&gt;1,"",$K1978+$L1978))</f>
        <v/>
      </c>
      <c r="N1978" s="14" t="str">
        <f aca="false">IF($B1978="","",COUNTIFS($B$3:$B1978,$B1978))</f>
        <v/>
      </c>
      <c r="O1978" s="14" t="str">
        <f aca="false">IF($B1978="","",$B1978&amp;"|"&amp;$N1978)</f>
        <v/>
      </c>
    </row>
    <row r="1979" customFormat="false" ht="15" hidden="false" customHeight="false" outlineLevel="0" collapsed="false">
      <c r="A1979" s="12"/>
      <c r="B1979" s="9"/>
      <c r="C1979" s="9"/>
      <c r="D1979" s="9"/>
      <c r="E1979" s="9"/>
      <c r="F1979" s="9"/>
      <c r="G1979" s="9"/>
      <c r="H1979" s="7"/>
      <c r="I1979" s="13" t="str">
        <f aca="false">IF(OR($G1979="",$H1979=""),"",ROUND($G1979*$H1979,0))</f>
        <v/>
      </c>
      <c r="J1979" s="8"/>
      <c r="K1979" s="13" t="str">
        <f aca="false">IF($B1979="","",SUMIFS($I$3:$I$2002,$B$3:$B$2002,$B1979))</f>
        <v/>
      </c>
      <c r="L1979" s="13" t="str">
        <f aca="false">IF($B1979="","",IF(COUNTIFS($B$3:$B1979,$B1979)&gt;1,0,IFERROR(LOOKUP($K1979,배송비규정!$A$3:$A$32,배송비규정!$B$3:$B$32),0)+IFERROR(INDEX(지역추가비!$B$3:$B$42,MATCH($J1979,지역추가비!$A$3:$A$42,0)),0)))</f>
        <v/>
      </c>
      <c r="M1979" s="13" t="str">
        <f aca="false">IF($B1979="","",IF(COUNTIFS($B$3:$B1979,$B1979)&gt;1,"",$K1979+$L1979))</f>
        <v/>
      </c>
      <c r="N1979" s="14" t="str">
        <f aca="false">IF($B1979="","",COUNTIFS($B$3:$B1979,$B1979))</f>
        <v/>
      </c>
      <c r="O1979" s="14" t="str">
        <f aca="false">IF($B1979="","",$B1979&amp;"|"&amp;$N1979)</f>
        <v/>
      </c>
    </row>
    <row r="1980" customFormat="false" ht="15" hidden="false" customHeight="false" outlineLevel="0" collapsed="false">
      <c r="A1980" s="12"/>
      <c r="B1980" s="9"/>
      <c r="C1980" s="9"/>
      <c r="D1980" s="9"/>
      <c r="E1980" s="9"/>
      <c r="F1980" s="9"/>
      <c r="G1980" s="9"/>
      <c r="H1980" s="7"/>
      <c r="I1980" s="13" t="str">
        <f aca="false">IF(OR($G1980="",$H1980=""),"",ROUND($G1980*$H1980,0))</f>
        <v/>
      </c>
      <c r="J1980" s="8"/>
      <c r="K1980" s="13" t="str">
        <f aca="false">IF($B1980="","",SUMIFS($I$3:$I$2002,$B$3:$B$2002,$B1980))</f>
        <v/>
      </c>
      <c r="L1980" s="13" t="str">
        <f aca="false">IF($B1980="","",IF(COUNTIFS($B$3:$B1980,$B1980)&gt;1,0,IFERROR(LOOKUP($K1980,배송비규정!$A$3:$A$32,배송비규정!$B$3:$B$32),0)+IFERROR(INDEX(지역추가비!$B$3:$B$42,MATCH($J1980,지역추가비!$A$3:$A$42,0)),0)))</f>
        <v/>
      </c>
      <c r="M1980" s="13" t="str">
        <f aca="false">IF($B1980="","",IF(COUNTIFS($B$3:$B1980,$B1980)&gt;1,"",$K1980+$L1980))</f>
        <v/>
      </c>
      <c r="N1980" s="14" t="str">
        <f aca="false">IF($B1980="","",COUNTIFS($B$3:$B1980,$B1980))</f>
        <v/>
      </c>
      <c r="O1980" s="14" t="str">
        <f aca="false">IF($B1980="","",$B1980&amp;"|"&amp;$N1980)</f>
        <v/>
      </c>
    </row>
    <row r="1981" customFormat="false" ht="15" hidden="false" customHeight="false" outlineLevel="0" collapsed="false">
      <c r="A1981" s="12"/>
      <c r="B1981" s="9"/>
      <c r="C1981" s="9"/>
      <c r="D1981" s="9"/>
      <c r="E1981" s="9"/>
      <c r="F1981" s="9"/>
      <c r="G1981" s="9"/>
      <c r="H1981" s="7"/>
      <c r="I1981" s="13" t="str">
        <f aca="false">IF(OR($G1981="",$H1981=""),"",ROUND($G1981*$H1981,0))</f>
        <v/>
      </c>
      <c r="J1981" s="8"/>
      <c r="K1981" s="13" t="str">
        <f aca="false">IF($B1981="","",SUMIFS($I$3:$I$2002,$B$3:$B$2002,$B1981))</f>
        <v/>
      </c>
      <c r="L1981" s="13" t="str">
        <f aca="false">IF($B1981="","",IF(COUNTIFS($B$3:$B1981,$B1981)&gt;1,0,IFERROR(LOOKUP($K1981,배송비규정!$A$3:$A$32,배송비규정!$B$3:$B$32),0)+IFERROR(INDEX(지역추가비!$B$3:$B$42,MATCH($J1981,지역추가비!$A$3:$A$42,0)),0)))</f>
        <v/>
      </c>
      <c r="M1981" s="13" t="str">
        <f aca="false">IF($B1981="","",IF(COUNTIFS($B$3:$B1981,$B1981)&gt;1,"",$K1981+$L1981))</f>
        <v/>
      </c>
      <c r="N1981" s="14" t="str">
        <f aca="false">IF($B1981="","",COUNTIFS($B$3:$B1981,$B1981))</f>
        <v/>
      </c>
      <c r="O1981" s="14" t="str">
        <f aca="false">IF($B1981="","",$B1981&amp;"|"&amp;$N1981)</f>
        <v/>
      </c>
    </row>
    <row r="1982" customFormat="false" ht="15" hidden="false" customHeight="false" outlineLevel="0" collapsed="false">
      <c r="A1982" s="12"/>
      <c r="B1982" s="9"/>
      <c r="C1982" s="9"/>
      <c r="D1982" s="9"/>
      <c r="E1982" s="9"/>
      <c r="F1982" s="9"/>
      <c r="G1982" s="9"/>
      <c r="H1982" s="7"/>
      <c r="I1982" s="13" t="str">
        <f aca="false">IF(OR($G1982="",$H1982=""),"",ROUND($G1982*$H1982,0))</f>
        <v/>
      </c>
      <c r="J1982" s="8"/>
      <c r="K1982" s="13" t="str">
        <f aca="false">IF($B1982="","",SUMIFS($I$3:$I$2002,$B$3:$B$2002,$B1982))</f>
        <v/>
      </c>
      <c r="L1982" s="13" t="str">
        <f aca="false">IF($B1982="","",IF(COUNTIFS($B$3:$B1982,$B1982)&gt;1,0,IFERROR(LOOKUP($K1982,배송비규정!$A$3:$A$32,배송비규정!$B$3:$B$32),0)+IFERROR(INDEX(지역추가비!$B$3:$B$42,MATCH($J1982,지역추가비!$A$3:$A$42,0)),0)))</f>
        <v/>
      </c>
      <c r="M1982" s="13" t="str">
        <f aca="false">IF($B1982="","",IF(COUNTIFS($B$3:$B1982,$B1982)&gt;1,"",$K1982+$L1982))</f>
        <v/>
      </c>
      <c r="N1982" s="14" t="str">
        <f aca="false">IF($B1982="","",COUNTIFS($B$3:$B1982,$B1982))</f>
        <v/>
      </c>
      <c r="O1982" s="14" t="str">
        <f aca="false">IF($B1982="","",$B1982&amp;"|"&amp;$N1982)</f>
        <v/>
      </c>
    </row>
    <row r="1983" customFormat="false" ht="15" hidden="false" customHeight="false" outlineLevel="0" collapsed="false">
      <c r="A1983" s="12"/>
      <c r="B1983" s="9"/>
      <c r="C1983" s="9"/>
      <c r="D1983" s="9"/>
      <c r="E1983" s="9"/>
      <c r="F1983" s="9"/>
      <c r="G1983" s="9"/>
      <c r="H1983" s="7"/>
      <c r="I1983" s="13" t="str">
        <f aca="false">IF(OR($G1983="",$H1983=""),"",ROUND($G1983*$H1983,0))</f>
        <v/>
      </c>
      <c r="J1983" s="8"/>
      <c r="K1983" s="13" t="str">
        <f aca="false">IF($B1983="","",SUMIFS($I$3:$I$2002,$B$3:$B$2002,$B1983))</f>
        <v/>
      </c>
      <c r="L1983" s="13" t="str">
        <f aca="false">IF($B1983="","",IF(COUNTIFS($B$3:$B1983,$B1983)&gt;1,0,IFERROR(LOOKUP($K1983,배송비규정!$A$3:$A$32,배송비규정!$B$3:$B$32),0)+IFERROR(INDEX(지역추가비!$B$3:$B$42,MATCH($J1983,지역추가비!$A$3:$A$42,0)),0)))</f>
        <v/>
      </c>
      <c r="M1983" s="13" t="str">
        <f aca="false">IF($B1983="","",IF(COUNTIFS($B$3:$B1983,$B1983)&gt;1,"",$K1983+$L1983))</f>
        <v/>
      </c>
      <c r="N1983" s="14" t="str">
        <f aca="false">IF($B1983="","",COUNTIFS($B$3:$B1983,$B1983))</f>
        <v/>
      </c>
      <c r="O1983" s="14" t="str">
        <f aca="false">IF($B1983="","",$B1983&amp;"|"&amp;$N1983)</f>
        <v/>
      </c>
    </row>
    <row r="1984" customFormat="false" ht="15" hidden="false" customHeight="false" outlineLevel="0" collapsed="false">
      <c r="A1984" s="12"/>
      <c r="B1984" s="9"/>
      <c r="C1984" s="9"/>
      <c r="D1984" s="9"/>
      <c r="E1984" s="9"/>
      <c r="F1984" s="9"/>
      <c r="G1984" s="9"/>
      <c r="H1984" s="7"/>
      <c r="I1984" s="13" t="str">
        <f aca="false">IF(OR($G1984="",$H1984=""),"",ROUND($G1984*$H1984,0))</f>
        <v/>
      </c>
      <c r="J1984" s="8"/>
      <c r="K1984" s="13" t="str">
        <f aca="false">IF($B1984="","",SUMIFS($I$3:$I$2002,$B$3:$B$2002,$B1984))</f>
        <v/>
      </c>
      <c r="L1984" s="13" t="str">
        <f aca="false">IF($B1984="","",IF(COUNTIFS($B$3:$B1984,$B1984)&gt;1,0,IFERROR(LOOKUP($K1984,배송비규정!$A$3:$A$32,배송비규정!$B$3:$B$32),0)+IFERROR(INDEX(지역추가비!$B$3:$B$42,MATCH($J1984,지역추가비!$A$3:$A$42,0)),0)))</f>
        <v/>
      </c>
      <c r="M1984" s="13" t="str">
        <f aca="false">IF($B1984="","",IF(COUNTIFS($B$3:$B1984,$B1984)&gt;1,"",$K1984+$L1984))</f>
        <v/>
      </c>
      <c r="N1984" s="14" t="str">
        <f aca="false">IF($B1984="","",COUNTIFS($B$3:$B1984,$B1984))</f>
        <v/>
      </c>
      <c r="O1984" s="14" t="str">
        <f aca="false">IF($B1984="","",$B1984&amp;"|"&amp;$N1984)</f>
        <v/>
      </c>
    </row>
    <row r="1985" customFormat="false" ht="15" hidden="false" customHeight="false" outlineLevel="0" collapsed="false">
      <c r="A1985" s="12"/>
      <c r="B1985" s="9"/>
      <c r="C1985" s="9"/>
      <c r="D1985" s="9"/>
      <c r="E1985" s="9"/>
      <c r="F1985" s="9"/>
      <c r="G1985" s="9"/>
      <c r="H1985" s="7"/>
      <c r="I1985" s="13" t="str">
        <f aca="false">IF(OR($G1985="",$H1985=""),"",ROUND($G1985*$H1985,0))</f>
        <v/>
      </c>
      <c r="J1985" s="8"/>
      <c r="K1985" s="13" t="str">
        <f aca="false">IF($B1985="","",SUMIFS($I$3:$I$2002,$B$3:$B$2002,$B1985))</f>
        <v/>
      </c>
      <c r="L1985" s="13" t="str">
        <f aca="false">IF($B1985="","",IF(COUNTIFS($B$3:$B1985,$B1985)&gt;1,0,IFERROR(LOOKUP($K1985,배송비규정!$A$3:$A$32,배송비규정!$B$3:$B$32),0)+IFERROR(INDEX(지역추가비!$B$3:$B$42,MATCH($J1985,지역추가비!$A$3:$A$42,0)),0)))</f>
        <v/>
      </c>
      <c r="M1985" s="13" t="str">
        <f aca="false">IF($B1985="","",IF(COUNTIFS($B$3:$B1985,$B1985)&gt;1,"",$K1985+$L1985))</f>
        <v/>
      </c>
      <c r="N1985" s="14" t="str">
        <f aca="false">IF($B1985="","",COUNTIFS($B$3:$B1985,$B1985))</f>
        <v/>
      </c>
      <c r="O1985" s="14" t="str">
        <f aca="false">IF($B1985="","",$B1985&amp;"|"&amp;$N1985)</f>
        <v/>
      </c>
    </row>
    <row r="1986" customFormat="false" ht="15" hidden="false" customHeight="false" outlineLevel="0" collapsed="false">
      <c r="A1986" s="12"/>
      <c r="B1986" s="9"/>
      <c r="C1986" s="9"/>
      <c r="D1986" s="9"/>
      <c r="E1986" s="9"/>
      <c r="F1986" s="9"/>
      <c r="G1986" s="9"/>
      <c r="H1986" s="7"/>
      <c r="I1986" s="13" t="str">
        <f aca="false">IF(OR($G1986="",$H1986=""),"",ROUND($G1986*$H1986,0))</f>
        <v/>
      </c>
      <c r="J1986" s="8"/>
      <c r="K1986" s="13" t="str">
        <f aca="false">IF($B1986="","",SUMIFS($I$3:$I$2002,$B$3:$B$2002,$B1986))</f>
        <v/>
      </c>
      <c r="L1986" s="13" t="str">
        <f aca="false">IF($B1986="","",IF(COUNTIFS($B$3:$B1986,$B1986)&gt;1,0,IFERROR(LOOKUP($K1986,배송비규정!$A$3:$A$32,배송비규정!$B$3:$B$32),0)+IFERROR(INDEX(지역추가비!$B$3:$B$42,MATCH($J1986,지역추가비!$A$3:$A$42,0)),0)))</f>
        <v/>
      </c>
      <c r="M1986" s="13" t="str">
        <f aca="false">IF($B1986="","",IF(COUNTIFS($B$3:$B1986,$B1986)&gt;1,"",$K1986+$L1986))</f>
        <v/>
      </c>
      <c r="N1986" s="14" t="str">
        <f aca="false">IF($B1986="","",COUNTIFS($B$3:$B1986,$B1986))</f>
        <v/>
      </c>
      <c r="O1986" s="14" t="str">
        <f aca="false">IF($B1986="","",$B1986&amp;"|"&amp;$N1986)</f>
        <v/>
      </c>
    </row>
    <row r="1987" customFormat="false" ht="15" hidden="false" customHeight="false" outlineLevel="0" collapsed="false">
      <c r="A1987" s="12"/>
      <c r="B1987" s="9"/>
      <c r="C1987" s="9"/>
      <c r="D1987" s="9"/>
      <c r="E1987" s="9"/>
      <c r="F1987" s="9"/>
      <c r="G1987" s="9"/>
      <c r="H1987" s="7"/>
      <c r="I1987" s="13" t="str">
        <f aca="false">IF(OR($G1987="",$H1987=""),"",ROUND($G1987*$H1987,0))</f>
        <v/>
      </c>
      <c r="J1987" s="8"/>
      <c r="K1987" s="13" t="str">
        <f aca="false">IF($B1987="","",SUMIFS($I$3:$I$2002,$B$3:$B$2002,$B1987))</f>
        <v/>
      </c>
      <c r="L1987" s="13" t="str">
        <f aca="false">IF($B1987="","",IF(COUNTIFS($B$3:$B1987,$B1987)&gt;1,0,IFERROR(LOOKUP($K1987,배송비규정!$A$3:$A$32,배송비규정!$B$3:$B$32),0)+IFERROR(INDEX(지역추가비!$B$3:$B$42,MATCH($J1987,지역추가비!$A$3:$A$42,0)),0)))</f>
        <v/>
      </c>
      <c r="M1987" s="13" t="str">
        <f aca="false">IF($B1987="","",IF(COUNTIFS($B$3:$B1987,$B1987)&gt;1,"",$K1987+$L1987))</f>
        <v/>
      </c>
      <c r="N1987" s="14" t="str">
        <f aca="false">IF($B1987="","",COUNTIFS($B$3:$B1987,$B1987))</f>
        <v/>
      </c>
      <c r="O1987" s="14" t="str">
        <f aca="false">IF($B1987="","",$B1987&amp;"|"&amp;$N1987)</f>
        <v/>
      </c>
    </row>
    <row r="1988" customFormat="false" ht="15" hidden="false" customHeight="false" outlineLevel="0" collapsed="false">
      <c r="A1988" s="12"/>
      <c r="B1988" s="9"/>
      <c r="C1988" s="9"/>
      <c r="D1988" s="9"/>
      <c r="E1988" s="9"/>
      <c r="F1988" s="9"/>
      <c r="G1988" s="9"/>
      <c r="H1988" s="7"/>
      <c r="I1988" s="13" t="str">
        <f aca="false">IF(OR($G1988="",$H1988=""),"",ROUND($G1988*$H1988,0))</f>
        <v/>
      </c>
      <c r="J1988" s="8"/>
      <c r="K1988" s="13" t="str">
        <f aca="false">IF($B1988="","",SUMIFS($I$3:$I$2002,$B$3:$B$2002,$B1988))</f>
        <v/>
      </c>
      <c r="L1988" s="13" t="str">
        <f aca="false">IF($B1988="","",IF(COUNTIFS($B$3:$B1988,$B1988)&gt;1,0,IFERROR(LOOKUP($K1988,배송비규정!$A$3:$A$32,배송비규정!$B$3:$B$32),0)+IFERROR(INDEX(지역추가비!$B$3:$B$42,MATCH($J1988,지역추가비!$A$3:$A$42,0)),0)))</f>
        <v/>
      </c>
      <c r="M1988" s="13" t="str">
        <f aca="false">IF($B1988="","",IF(COUNTIFS($B$3:$B1988,$B1988)&gt;1,"",$K1988+$L1988))</f>
        <v/>
      </c>
      <c r="N1988" s="14" t="str">
        <f aca="false">IF($B1988="","",COUNTIFS($B$3:$B1988,$B1988))</f>
        <v/>
      </c>
      <c r="O1988" s="14" t="str">
        <f aca="false">IF($B1988="","",$B1988&amp;"|"&amp;$N1988)</f>
        <v/>
      </c>
    </row>
    <row r="1989" customFormat="false" ht="15" hidden="false" customHeight="false" outlineLevel="0" collapsed="false">
      <c r="A1989" s="12"/>
      <c r="B1989" s="9"/>
      <c r="C1989" s="9"/>
      <c r="D1989" s="9"/>
      <c r="E1989" s="9"/>
      <c r="F1989" s="9"/>
      <c r="G1989" s="9"/>
      <c r="H1989" s="7"/>
      <c r="I1989" s="13" t="str">
        <f aca="false">IF(OR($G1989="",$H1989=""),"",ROUND($G1989*$H1989,0))</f>
        <v/>
      </c>
      <c r="J1989" s="8"/>
      <c r="K1989" s="13" t="str">
        <f aca="false">IF($B1989="","",SUMIFS($I$3:$I$2002,$B$3:$B$2002,$B1989))</f>
        <v/>
      </c>
      <c r="L1989" s="13" t="str">
        <f aca="false">IF($B1989="","",IF(COUNTIFS($B$3:$B1989,$B1989)&gt;1,0,IFERROR(LOOKUP($K1989,배송비규정!$A$3:$A$32,배송비규정!$B$3:$B$32),0)+IFERROR(INDEX(지역추가비!$B$3:$B$42,MATCH($J1989,지역추가비!$A$3:$A$42,0)),0)))</f>
        <v/>
      </c>
      <c r="M1989" s="13" t="str">
        <f aca="false">IF($B1989="","",IF(COUNTIFS($B$3:$B1989,$B1989)&gt;1,"",$K1989+$L1989))</f>
        <v/>
      </c>
      <c r="N1989" s="14" t="str">
        <f aca="false">IF($B1989="","",COUNTIFS($B$3:$B1989,$B1989))</f>
        <v/>
      </c>
      <c r="O1989" s="14" t="str">
        <f aca="false">IF($B1989="","",$B1989&amp;"|"&amp;$N1989)</f>
        <v/>
      </c>
    </row>
    <row r="1990" customFormat="false" ht="15" hidden="false" customHeight="false" outlineLevel="0" collapsed="false">
      <c r="A1990" s="12"/>
      <c r="B1990" s="9"/>
      <c r="C1990" s="9"/>
      <c r="D1990" s="9"/>
      <c r="E1990" s="9"/>
      <c r="F1990" s="9"/>
      <c r="G1990" s="9"/>
      <c r="H1990" s="7"/>
      <c r="I1990" s="13" t="str">
        <f aca="false">IF(OR($G1990="",$H1990=""),"",ROUND($G1990*$H1990,0))</f>
        <v/>
      </c>
      <c r="J1990" s="8"/>
      <c r="K1990" s="13" t="str">
        <f aca="false">IF($B1990="","",SUMIFS($I$3:$I$2002,$B$3:$B$2002,$B1990))</f>
        <v/>
      </c>
      <c r="L1990" s="13" t="str">
        <f aca="false">IF($B1990="","",IF(COUNTIFS($B$3:$B1990,$B1990)&gt;1,0,IFERROR(LOOKUP($K1990,배송비규정!$A$3:$A$32,배송비규정!$B$3:$B$32),0)+IFERROR(INDEX(지역추가비!$B$3:$B$42,MATCH($J1990,지역추가비!$A$3:$A$42,0)),0)))</f>
        <v/>
      </c>
      <c r="M1990" s="13" t="str">
        <f aca="false">IF($B1990="","",IF(COUNTIFS($B$3:$B1990,$B1990)&gt;1,"",$K1990+$L1990))</f>
        <v/>
      </c>
      <c r="N1990" s="14" t="str">
        <f aca="false">IF($B1990="","",COUNTIFS($B$3:$B1990,$B1990))</f>
        <v/>
      </c>
      <c r="O1990" s="14" t="str">
        <f aca="false">IF($B1990="","",$B1990&amp;"|"&amp;$N1990)</f>
        <v/>
      </c>
    </row>
    <row r="1991" customFormat="false" ht="15" hidden="false" customHeight="false" outlineLevel="0" collapsed="false">
      <c r="A1991" s="12"/>
      <c r="B1991" s="9"/>
      <c r="C1991" s="9"/>
      <c r="D1991" s="9"/>
      <c r="E1991" s="9"/>
      <c r="F1991" s="9"/>
      <c r="G1991" s="9"/>
      <c r="H1991" s="7"/>
      <c r="I1991" s="13" t="str">
        <f aca="false">IF(OR($G1991="",$H1991=""),"",ROUND($G1991*$H1991,0))</f>
        <v/>
      </c>
      <c r="J1991" s="8"/>
      <c r="K1991" s="13" t="str">
        <f aca="false">IF($B1991="","",SUMIFS($I$3:$I$2002,$B$3:$B$2002,$B1991))</f>
        <v/>
      </c>
      <c r="L1991" s="13" t="str">
        <f aca="false">IF($B1991="","",IF(COUNTIFS($B$3:$B1991,$B1991)&gt;1,0,IFERROR(LOOKUP($K1991,배송비규정!$A$3:$A$32,배송비규정!$B$3:$B$32),0)+IFERROR(INDEX(지역추가비!$B$3:$B$42,MATCH($J1991,지역추가비!$A$3:$A$42,0)),0)))</f>
        <v/>
      </c>
      <c r="M1991" s="13" t="str">
        <f aca="false">IF($B1991="","",IF(COUNTIFS($B$3:$B1991,$B1991)&gt;1,"",$K1991+$L1991))</f>
        <v/>
      </c>
      <c r="N1991" s="14" t="str">
        <f aca="false">IF($B1991="","",COUNTIFS($B$3:$B1991,$B1991))</f>
        <v/>
      </c>
      <c r="O1991" s="14" t="str">
        <f aca="false">IF($B1991="","",$B1991&amp;"|"&amp;$N1991)</f>
        <v/>
      </c>
    </row>
    <row r="1992" customFormat="false" ht="15" hidden="false" customHeight="false" outlineLevel="0" collapsed="false">
      <c r="A1992" s="12"/>
      <c r="B1992" s="9"/>
      <c r="C1992" s="9"/>
      <c r="D1992" s="9"/>
      <c r="E1992" s="9"/>
      <c r="F1992" s="9"/>
      <c r="G1992" s="9"/>
      <c r="H1992" s="7"/>
      <c r="I1992" s="13" t="str">
        <f aca="false">IF(OR($G1992="",$H1992=""),"",ROUND($G1992*$H1992,0))</f>
        <v/>
      </c>
      <c r="J1992" s="8"/>
      <c r="K1992" s="13" t="str">
        <f aca="false">IF($B1992="","",SUMIFS($I$3:$I$2002,$B$3:$B$2002,$B1992))</f>
        <v/>
      </c>
      <c r="L1992" s="13" t="str">
        <f aca="false">IF($B1992="","",IF(COUNTIFS($B$3:$B1992,$B1992)&gt;1,0,IFERROR(LOOKUP($K1992,배송비규정!$A$3:$A$32,배송비규정!$B$3:$B$32),0)+IFERROR(INDEX(지역추가비!$B$3:$B$42,MATCH($J1992,지역추가비!$A$3:$A$42,0)),0)))</f>
        <v/>
      </c>
      <c r="M1992" s="13" t="str">
        <f aca="false">IF($B1992="","",IF(COUNTIFS($B$3:$B1992,$B1992)&gt;1,"",$K1992+$L1992))</f>
        <v/>
      </c>
      <c r="N1992" s="14" t="str">
        <f aca="false">IF($B1992="","",COUNTIFS($B$3:$B1992,$B1992))</f>
        <v/>
      </c>
      <c r="O1992" s="14" t="str">
        <f aca="false">IF($B1992="","",$B1992&amp;"|"&amp;$N1992)</f>
        <v/>
      </c>
    </row>
    <row r="1993" customFormat="false" ht="15" hidden="false" customHeight="false" outlineLevel="0" collapsed="false">
      <c r="A1993" s="12"/>
      <c r="B1993" s="9"/>
      <c r="C1993" s="9"/>
      <c r="D1993" s="9"/>
      <c r="E1993" s="9"/>
      <c r="F1993" s="9"/>
      <c r="G1993" s="9"/>
      <c r="H1993" s="7"/>
      <c r="I1993" s="13" t="str">
        <f aca="false">IF(OR($G1993="",$H1993=""),"",ROUND($G1993*$H1993,0))</f>
        <v/>
      </c>
      <c r="J1993" s="8"/>
      <c r="K1993" s="13" t="str">
        <f aca="false">IF($B1993="","",SUMIFS($I$3:$I$2002,$B$3:$B$2002,$B1993))</f>
        <v/>
      </c>
      <c r="L1993" s="13" t="str">
        <f aca="false">IF($B1993="","",IF(COUNTIFS($B$3:$B1993,$B1993)&gt;1,0,IFERROR(LOOKUP($K1993,배송비규정!$A$3:$A$32,배송비규정!$B$3:$B$32),0)+IFERROR(INDEX(지역추가비!$B$3:$B$42,MATCH($J1993,지역추가비!$A$3:$A$42,0)),0)))</f>
        <v/>
      </c>
      <c r="M1993" s="13" t="str">
        <f aca="false">IF($B1993="","",IF(COUNTIFS($B$3:$B1993,$B1993)&gt;1,"",$K1993+$L1993))</f>
        <v/>
      </c>
      <c r="N1993" s="14" t="str">
        <f aca="false">IF($B1993="","",COUNTIFS($B$3:$B1993,$B1993))</f>
        <v/>
      </c>
      <c r="O1993" s="14" t="str">
        <f aca="false">IF($B1993="","",$B1993&amp;"|"&amp;$N1993)</f>
        <v/>
      </c>
    </row>
    <row r="1994" customFormat="false" ht="15" hidden="false" customHeight="false" outlineLevel="0" collapsed="false">
      <c r="A1994" s="12"/>
      <c r="B1994" s="9"/>
      <c r="C1994" s="9"/>
      <c r="D1994" s="9"/>
      <c r="E1994" s="9"/>
      <c r="F1994" s="9"/>
      <c r="G1994" s="9"/>
      <c r="H1994" s="7"/>
      <c r="I1994" s="13" t="str">
        <f aca="false">IF(OR($G1994="",$H1994=""),"",ROUND($G1994*$H1994,0))</f>
        <v/>
      </c>
      <c r="J1994" s="8"/>
      <c r="K1994" s="13" t="str">
        <f aca="false">IF($B1994="","",SUMIFS($I$3:$I$2002,$B$3:$B$2002,$B1994))</f>
        <v/>
      </c>
      <c r="L1994" s="13" t="str">
        <f aca="false">IF($B1994="","",IF(COUNTIFS($B$3:$B1994,$B1994)&gt;1,0,IFERROR(LOOKUP($K1994,배송비규정!$A$3:$A$32,배송비규정!$B$3:$B$32),0)+IFERROR(INDEX(지역추가비!$B$3:$B$42,MATCH($J1994,지역추가비!$A$3:$A$42,0)),0)))</f>
        <v/>
      </c>
      <c r="M1994" s="13" t="str">
        <f aca="false">IF($B1994="","",IF(COUNTIFS($B$3:$B1994,$B1994)&gt;1,"",$K1994+$L1994))</f>
        <v/>
      </c>
      <c r="N1994" s="14" t="str">
        <f aca="false">IF($B1994="","",COUNTIFS($B$3:$B1994,$B1994))</f>
        <v/>
      </c>
      <c r="O1994" s="14" t="str">
        <f aca="false">IF($B1994="","",$B1994&amp;"|"&amp;$N1994)</f>
        <v/>
      </c>
    </row>
    <row r="1995" customFormat="false" ht="15" hidden="false" customHeight="false" outlineLevel="0" collapsed="false">
      <c r="A1995" s="12"/>
      <c r="B1995" s="9"/>
      <c r="C1995" s="9"/>
      <c r="D1995" s="9"/>
      <c r="E1995" s="9"/>
      <c r="F1995" s="9"/>
      <c r="G1995" s="9"/>
      <c r="H1995" s="7"/>
      <c r="I1995" s="13" t="str">
        <f aca="false">IF(OR($G1995="",$H1995=""),"",ROUND($G1995*$H1995,0))</f>
        <v/>
      </c>
      <c r="J1995" s="8"/>
      <c r="K1995" s="13" t="str">
        <f aca="false">IF($B1995="","",SUMIFS($I$3:$I$2002,$B$3:$B$2002,$B1995))</f>
        <v/>
      </c>
      <c r="L1995" s="13" t="str">
        <f aca="false">IF($B1995="","",IF(COUNTIFS($B$3:$B1995,$B1995)&gt;1,0,IFERROR(LOOKUP($K1995,배송비규정!$A$3:$A$32,배송비규정!$B$3:$B$32),0)+IFERROR(INDEX(지역추가비!$B$3:$B$42,MATCH($J1995,지역추가비!$A$3:$A$42,0)),0)))</f>
        <v/>
      </c>
      <c r="M1995" s="13" t="str">
        <f aca="false">IF($B1995="","",IF(COUNTIFS($B$3:$B1995,$B1995)&gt;1,"",$K1995+$L1995))</f>
        <v/>
      </c>
      <c r="N1995" s="14" t="str">
        <f aca="false">IF($B1995="","",COUNTIFS($B$3:$B1995,$B1995))</f>
        <v/>
      </c>
      <c r="O1995" s="14" t="str">
        <f aca="false">IF($B1995="","",$B1995&amp;"|"&amp;$N1995)</f>
        <v/>
      </c>
    </row>
    <row r="1996" customFormat="false" ht="15" hidden="false" customHeight="false" outlineLevel="0" collapsed="false">
      <c r="A1996" s="12"/>
      <c r="B1996" s="9"/>
      <c r="C1996" s="9"/>
      <c r="D1996" s="9"/>
      <c r="E1996" s="9"/>
      <c r="F1996" s="9"/>
      <c r="G1996" s="9"/>
      <c r="H1996" s="7"/>
      <c r="I1996" s="13" t="str">
        <f aca="false">IF(OR($G1996="",$H1996=""),"",ROUND($G1996*$H1996,0))</f>
        <v/>
      </c>
      <c r="J1996" s="8"/>
      <c r="K1996" s="13" t="str">
        <f aca="false">IF($B1996="","",SUMIFS($I$3:$I$2002,$B$3:$B$2002,$B1996))</f>
        <v/>
      </c>
      <c r="L1996" s="13" t="str">
        <f aca="false">IF($B1996="","",IF(COUNTIFS($B$3:$B1996,$B1996)&gt;1,0,IFERROR(LOOKUP($K1996,배송비규정!$A$3:$A$32,배송비규정!$B$3:$B$32),0)+IFERROR(INDEX(지역추가비!$B$3:$B$42,MATCH($J1996,지역추가비!$A$3:$A$42,0)),0)))</f>
        <v/>
      </c>
      <c r="M1996" s="13" t="str">
        <f aca="false">IF($B1996="","",IF(COUNTIFS($B$3:$B1996,$B1996)&gt;1,"",$K1996+$L1996))</f>
        <v/>
      </c>
      <c r="N1996" s="14" t="str">
        <f aca="false">IF($B1996="","",COUNTIFS($B$3:$B1996,$B1996))</f>
        <v/>
      </c>
      <c r="O1996" s="14" t="str">
        <f aca="false">IF($B1996="","",$B1996&amp;"|"&amp;$N1996)</f>
        <v/>
      </c>
    </row>
    <row r="1997" customFormat="false" ht="15" hidden="false" customHeight="false" outlineLevel="0" collapsed="false">
      <c r="A1997" s="12"/>
      <c r="B1997" s="9"/>
      <c r="C1997" s="9"/>
      <c r="D1997" s="9"/>
      <c r="E1997" s="9"/>
      <c r="F1997" s="9"/>
      <c r="G1997" s="9"/>
      <c r="H1997" s="7"/>
      <c r="I1997" s="13" t="str">
        <f aca="false">IF(OR($G1997="",$H1997=""),"",ROUND($G1997*$H1997,0))</f>
        <v/>
      </c>
      <c r="J1997" s="8"/>
      <c r="K1997" s="13" t="str">
        <f aca="false">IF($B1997="","",SUMIFS($I$3:$I$2002,$B$3:$B$2002,$B1997))</f>
        <v/>
      </c>
      <c r="L1997" s="13" t="str">
        <f aca="false">IF($B1997="","",IF(COUNTIFS($B$3:$B1997,$B1997)&gt;1,0,IFERROR(LOOKUP($K1997,배송비규정!$A$3:$A$32,배송비규정!$B$3:$B$32),0)+IFERROR(INDEX(지역추가비!$B$3:$B$42,MATCH($J1997,지역추가비!$A$3:$A$42,0)),0)))</f>
        <v/>
      </c>
      <c r="M1997" s="13" t="str">
        <f aca="false">IF($B1997="","",IF(COUNTIFS($B$3:$B1997,$B1997)&gt;1,"",$K1997+$L1997))</f>
        <v/>
      </c>
      <c r="N1997" s="14" t="str">
        <f aca="false">IF($B1997="","",COUNTIFS($B$3:$B1997,$B1997))</f>
        <v/>
      </c>
      <c r="O1997" s="14" t="str">
        <f aca="false">IF($B1997="","",$B1997&amp;"|"&amp;$N1997)</f>
        <v/>
      </c>
    </row>
    <row r="1998" customFormat="false" ht="15" hidden="false" customHeight="false" outlineLevel="0" collapsed="false">
      <c r="A1998" s="12"/>
      <c r="B1998" s="9"/>
      <c r="C1998" s="9"/>
      <c r="D1998" s="9"/>
      <c r="E1998" s="9"/>
      <c r="F1998" s="9"/>
      <c r="G1998" s="9"/>
      <c r="H1998" s="7"/>
      <c r="I1998" s="13" t="str">
        <f aca="false">IF(OR($G1998="",$H1998=""),"",ROUND($G1998*$H1998,0))</f>
        <v/>
      </c>
      <c r="J1998" s="8"/>
      <c r="K1998" s="13" t="str">
        <f aca="false">IF($B1998="","",SUMIFS($I$3:$I$2002,$B$3:$B$2002,$B1998))</f>
        <v/>
      </c>
      <c r="L1998" s="13" t="str">
        <f aca="false">IF($B1998="","",IF(COUNTIFS($B$3:$B1998,$B1998)&gt;1,0,IFERROR(LOOKUP($K1998,배송비규정!$A$3:$A$32,배송비규정!$B$3:$B$32),0)+IFERROR(INDEX(지역추가비!$B$3:$B$42,MATCH($J1998,지역추가비!$A$3:$A$42,0)),0)))</f>
        <v/>
      </c>
      <c r="M1998" s="13" t="str">
        <f aca="false">IF($B1998="","",IF(COUNTIFS($B$3:$B1998,$B1998)&gt;1,"",$K1998+$L1998))</f>
        <v/>
      </c>
      <c r="N1998" s="14" t="str">
        <f aca="false">IF($B1998="","",COUNTIFS($B$3:$B1998,$B1998))</f>
        <v/>
      </c>
      <c r="O1998" s="14" t="str">
        <f aca="false">IF($B1998="","",$B1998&amp;"|"&amp;$N1998)</f>
        <v/>
      </c>
    </row>
    <row r="1999" customFormat="false" ht="15" hidden="false" customHeight="false" outlineLevel="0" collapsed="false">
      <c r="A1999" s="12"/>
      <c r="B1999" s="9"/>
      <c r="C1999" s="9"/>
      <c r="D1999" s="9"/>
      <c r="E1999" s="9"/>
      <c r="F1999" s="9"/>
      <c r="G1999" s="9"/>
      <c r="H1999" s="7"/>
      <c r="I1999" s="13" t="str">
        <f aca="false">IF(OR($G1999="",$H1999=""),"",ROUND($G1999*$H1999,0))</f>
        <v/>
      </c>
      <c r="J1999" s="8"/>
      <c r="K1999" s="13" t="str">
        <f aca="false">IF($B1999="","",SUMIFS($I$3:$I$2002,$B$3:$B$2002,$B1999))</f>
        <v/>
      </c>
      <c r="L1999" s="13" t="str">
        <f aca="false">IF($B1999="","",IF(COUNTIFS($B$3:$B1999,$B1999)&gt;1,0,IFERROR(LOOKUP($K1999,배송비규정!$A$3:$A$32,배송비규정!$B$3:$B$32),0)+IFERROR(INDEX(지역추가비!$B$3:$B$42,MATCH($J1999,지역추가비!$A$3:$A$42,0)),0)))</f>
        <v/>
      </c>
      <c r="M1999" s="13" t="str">
        <f aca="false">IF($B1999="","",IF(COUNTIFS($B$3:$B1999,$B1999)&gt;1,"",$K1999+$L1999))</f>
        <v/>
      </c>
      <c r="N1999" s="14" t="str">
        <f aca="false">IF($B1999="","",COUNTIFS($B$3:$B1999,$B1999))</f>
        <v/>
      </c>
      <c r="O1999" s="14" t="str">
        <f aca="false">IF($B1999="","",$B1999&amp;"|"&amp;$N1999)</f>
        <v/>
      </c>
    </row>
    <row r="2000" customFormat="false" ht="15" hidden="false" customHeight="false" outlineLevel="0" collapsed="false">
      <c r="A2000" s="12"/>
      <c r="B2000" s="9"/>
      <c r="C2000" s="9"/>
      <c r="D2000" s="9"/>
      <c r="E2000" s="9"/>
      <c r="F2000" s="9"/>
      <c r="G2000" s="9"/>
      <c r="H2000" s="7"/>
      <c r="I2000" s="13" t="str">
        <f aca="false">IF(OR($G2000="",$H2000=""),"",ROUND($G2000*$H2000,0))</f>
        <v/>
      </c>
      <c r="J2000" s="8"/>
      <c r="K2000" s="13" t="str">
        <f aca="false">IF($B2000="","",SUMIFS($I$3:$I$2002,$B$3:$B$2002,$B2000))</f>
        <v/>
      </c>
      <c r="L2000" s="13" t="str">
        <f aca="false">IF($B2000="","",IF(COUNTIFS($B$3:$B2000,$B2000)&gt;1,0,IFERROR(LOOKUP($K2000,배송비규정!$A$3:$A$32,배송비규정!$B$3:$B$32),0)+IFERROR(INDEX(지역추가비!$B$3:$B$42,MATCH($J2000,지역추가비!$A$3:$A$42,0)),0)))</f>
        <v/>
      </c>
      <c r="M2000" s="13" t="str">
        <f aca="false">IF($B2000="","",IF(COUNTIFS($B$3:$B2000,$B2000)&gt;1,"",$K2000+$L2000))</f>
        <v/>
      </c>
      <c r="N2000" s="14" t="str">
        <f aca="false">IF($B2000="","",COUNTIFS($B$3:$B2000,$B2000))</f>
        <v/>
      </c>
      <c r="O2000" s="14" t="str">
        <f aca="false">IF($B2000="","",$B2000&amp;"|"&amp;$N2000)</f>
        <v/>
      </c>
    </row>
    <row r="2001" customFormat="false" ht="15" hidden="false" customHeight="false" outlineLevel="0" collapsed="false">
      <c r="A2001" s="12"/>
      <c r="B2001" s="9"/>
      <c r="C2001" s="9"/>
      <c r="D2001" s="9"/>
      <c r="E2001" s="9"/>
      <c r="F2001" s="9"/>
      <c r="G2001" s="9"/>
      <c r="H2001" s="7"/>
      <c r="I2001" s="13" t="str">
        <f aca="false">IF(OR($G2001="",$H2001=""),"",ROUND($G2001*$H2001,0))</f>
        <v/>
      </c>
      <c r="J2001" s="8"/>
      <c r="K2001" s="13" t="str">
        <f aca="false">IF($B2001="","",SUMIFS($I$3:$I$2002,$B$3:$B$2002,$B2001))</f>
        <v/>
      </c>
      <c r="L2001" s="13" t="str">
        <f aca="false">IF($B2001="","",IF(COUNTIFS($B$3:$B2001,$B2001)&gt;1,0,IFERROR(LOOKUP($K2001,배송비규정!$A$3:$A$32,배송비규정!$B$3:$B$32),0)+IFERROR(INDEX(지역추가비!$B$3:$B$42,MATCH($J2001,지역추가비!$A$3:$A$42,0)),0)))</f>
        <v/>
      </c>
      <c r="M2001" s="13" t="str">
        <f aca="false">IF($B2001="","",IF(COUNTIFS($B$3:$B2001,$B2001)&gt;1,"",$K2001+$L2001))</f>
        <v/>
      </c>
      <c r="N2001" s="14" t="str">
        <f aca="false">IF($B2001="","",COUNTIFS($B$3:$B2001,$B2001))</f>
        <v/>
      </c>
      <c r="O2001" s="14" t="str">
        <f aca="false">IF($B2001="","",$B2001&amp;"|"&amp;$N2001)</f>
        <v/>
      </c>
    </row>
    <row r="2002" customFormat="false" ht="15" hidden="false" customHeight="false" outlineLevel="0" collapsed="false">
      <c r="A2002" s="12"/>
      <c r="B2002" s="9"/>
      <c r="C2002" s="9"/>
      <c r="D2002" s="9"/>
      <c r="E2002" s="9"/>
      <c r="F2002" s="9"/>
      <c r="G2002" s="9"/>
      <c r="H2002" s="7"/>
      <c r="I2002" s="13" t="str">
        <f aca="false">IF(OR($G2002="",$H2002=""),"",ROUND($G2002*$H2002,0))</f>
        <v/>
      </c>
      <c r="J2002" s="8"/>
      <c r="K2002" s="13" t="str">
        <f aca="false">IF($B2002="","",SUMIFS($I$3:$I$2002,$B$3:$B$2002,$B2002))</f>
        <v/>
      </c>
      <c r="L2002" s="13" t="str">
        <f aca="false">IF($B2002="","",IF(COUNTIFS($B$3:$B2002,$B2002)&gt;1,0,IFERROR(LOOKUP($K2002,배송비규정!$A$3:$A$32,배송비규정!$B$3:$B$32),0)+IFERROR(INDEX(지역추가비!$B$3:$B$42,MATCH($J2002,지역추가비!$A$3:$A$42,0)),0)))</f>
        <v/>
      </c>
      <c r="M2002" s="13" t="str">
        <f aca="false">IF($B2002="","",IF(COUNTIFS($B$3:$B2002,$B2002)&gt;1,"",$K2002+$L2002))</f>
        <v/>
      </c>
      <c r="N2002" s="14" t="str">
        <f aca="false">IF($B2002="","",COUNTIFS($B$3:$B2002,$B2002))</f>
        <v/>
      </c>
      <c r="O2002" s="14" t="str">
        <f aca="false">IF($B2002="","",$B2002&amp;"|"&amp;$N2002)</f>
        <v/>
      </c>
    </row>
    <row r="2004" customFormat="false" ht="15" hidden="false" customHeight="false" outlineLevel="0" collapsed="false">
      <c r="A2004" s="5" t="s">
        <v>66</v>
      </c>
    </row>
    <row r="2005" customFormat="false" ht="15" hidden="false" customHeight="false" outlineLevel="0" collapsed="false">
      <c r="A2005" s="5" t="s">
        <v>67</v>
      </c>
    </row>
  </sheetData>
  <mergeCells count="1">
    <mergeCell ref="A1:M1"/>
  </mergeCells>
  <conditionalFormatting sqref="A3:M2002">
    <cfRule type="expression" priority="2" aboveAverage="0" equalAverage="0" bottom="0" percent="0" rank="0" text="" dxfId="0">
      <formula>AND($B3&lt;&gt;"",COUNTIF($B$3:$B3,$B3)&gt;1)</formula>
    </cfRule>
  </conditionalFormatting>
  <dataValidations count="1">
    <dataValidation allowBlank="true" errorStyle="stop" operator="between" showDropDown="false" showErrorMessage="false" showInputMessage="false" sqref="J3:J2002" type="list">
      <formula1>지역추가비!$A$3:$A$42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5"/>
  </cols>
  <sheetData>
    <row r="2" customFormat="false" ht="39.75" hidden="false" customHeight="true" outlineLevel="0" collapsed="false">
      <c r="B2" s="15" t="s">
        <v>68</v>
      </c>
      <c r="C2" s="15"/>
      <c r="D2" s="15"/>
      <c r="E2" s="15"/>
    </row>
    <row r="4" customFormat="false" ht="15" hidden="false" customHeight="false" outlineLevel="0" collapsed="false">
      <c r="B4" s="3" t="s">
        <v>35</v>
      </c>
      <c r="C4" s="16" t="s">
        <v>61</v>
      </c>
      <c r="D4" s="5" t="s">
        <v>69</v>
      </c>
    </row>
    <row r="6" customFormat="false" ht="21.75" hidden="false" customHeight="true" outlineLevel="0" collapsed="false">
      <c r="B6" s="17" t="s">
        <v>34</v>
      </c>
      <c r="C6" s="18" t="n">
        <f aca="false">IFERROR(INDEX(주문내역!$A$3:$A$2002,MATCH($C$4,주문내역!$B$3:$B$2002,0)),"")</f>
        <v>46276</v>
      </c>
      <c r="D6" s="18"/>
      <c r="E6" s="18"/>
    </row>
    <row r="7" customFormat="false" ht="21.75" hidden="false" customHeight="true" outlineLevel="0" collapsed="false">
      <c r="B7" s="17" t="s">
        <v>36</v>
      </c>
      <c r="C7" s="19" t="str">
        <f aca="false">IFERROR(INDEX(주문내역!$C$3:$C$2002,MATCH($C$4,주문내역!$B$3:$B$2002,0)),"")</f>
        <v>최고객</v>
      </c>
      <c r="D7" s="19"/>
      <c r="E7" s="19"/>
    </row>
    <row r="8" customFormat="false" ht="21.75" hidden="false" customHeight="true" outlineLevel="0" collapsed="false">
      <c r="B8" s="17" t="s">
        <v>37</v>
      </c>
      <c r="C8" s="19" t="str">
        <f aca="false">IFERROR(INDEX(주문내역!$D$3:$D$2002,MATCH($C$4,주문내역!$B$3:$B$2002,0)),"")</f>
        <v>010-0000-0004</v>
      </c>
      <c r="D8" s="19"/>
      <c r="E8" s="19"/>
    </row>
    <row r="9" customFormat="false" ht="21.75" hidden="false" customHeight="true" outlineLevel="0" collapsed="false">
      <c r="B9" s="17" t="s">
        <v>38</v>
      </c>
      <c r="C9" s="19" t="str">
        <f aca="false">IFERROR(INDEX(주문내역!$E$3:$E$2002,MATCH($C$4,주문내역!$B$3:$B$2002,0)),"")</f>
        <v>대구시</v>
      </c>
      <c r="D9" s="19"/>
      <c r="E9" s="19"/>
    </row>
    <row r="11" customFormat="false" ht="15" hidden="false" customHeight="false" outlineLevel="0" collapsed="false">
      <c r="B11" s="20" t="s">
        <v>39</v>
      </c>
      <c r="C11" s="20" t="s">
        <v>40</v>
      </c>
      <c r="D11" s="20" t="s">
        <v>41</v>
      </c>
      <c r="E11" s="20" t="s">
        <v>70</v>
      </c>
    </row>
    <row r="12" customFormat="false" ht="15" hidden="false" customHeight="false" outlineLevel="0" collapsed="false">
      <c r="B12" s="14" t="str">
        <f aca="false">IFERROR(INDEX(주문내역!$F$3:$F$2002,MATCH($C$4&amp;"|"&amp;1,주문내역!$O$3:$O$2002,0)),"")</f>
        <v>사과 5kg</v>
      </c>
      <c r="C12" s="21" t="n">
        <f aca="false">IF($B12="","",IFERROR(INDEX(주문내역!$G$3:$G$2002,MATCH($C$4&amp;"|"&amp;1,주문내역!$O$3:$O$2002,0)),""))</f>
        <v>1</v>
      </c>
      <c r="D12" s="13" t="n">
        <f aca="false">IF($B12="","",IFERROR(INDEX(주문내역!$H$3:$H$2002,MATCH($C$4&amp;"|"&amp;1,주문내역!$O$3:$O$2002,0)),""))</f>
        <v>15000</v>
      </c>
      <c r="E12" s="13" t="n">
        <f aca="false">IF($B12="","",IFERROR(INDEX(주문내역!$I$3:$I$2002,MATCH($C$4&amp;"|"&amp;1,주문내역!$O$3:$O$2002,0)),""))</f>
        <v>15000</v>
      </c>
    </row>
    <row r="13" customFormat="false" ht="15" hidden="false" customHeight="false" outlineLevel="0" collapsed="false">
      <c r="B13" s="14" t="str">
        <f aca="false">IFERROR(INDEX(주문내역!$F$3:$F$2002,MATCH($C$4&amp;"|"&amp;2,주문내역!$O$3:$O$2002,0)),"")</f>
        <v>배 7.5kg</v>
      </c>
      <c r="C13" s="21" t="n">
        <f aca="false">IF($B13="","",IFERROR(INDEX(주문내역!$G$3:$G$2002,MATCH($C$4&amp;"|"&amp;2,주문내역!$O$3:$O$2002,0)),""))</f>
        <v>1</v>
      </c>
      <c r="D13" s="13" t="n">
        <f aca="false">IF($B13="","",IFERROR(INDEX(주문내역!$H$3:$H$2002,MATCH($C$4&amp;"|"&amp;2,주문내역!$O$3:$O$2002,0)),""))</f>
        <v>20000</v>
      </c>
      <c r="E13" s="13" t="n">
        <f aca="false">IF($B13="","",IFERROR(INDEX(주문내역!$I$3:$I$2002,MATCH($C$4&amp;"|"&amp;2,주문내역!$O$3:$O$2002,0)),""))</f>
        <v>20000</v>
      </c>
    </row>
    <row r="14" customFormat="false" ht="15" hidden="false" customHeight="false" outlineLevel="0" collapsed="false">
      <c r="B14" s="14" t="str">
        <f aca="false">IFERROR(INDEX(주문내역!$F$3:$F$2002,MATCH($C$4&amp;"|"&amp;3,주문내역!$O$3:$O$2002,0)),"")</f>
        <v/>
      </c>
      <c r="C14" s="21" t="str">
        <f aca="false">IF($B14="","",IFERROR(INDEX(주문내역!$G$3:$G$2002,MATCH($C$4&amp;"|"&amp;3,주문내역!$O$3:$O$2002,0)),""))</f>
        <v/>
      </c>
      <c r="D14" s="13" t="str">
        <f aca="false">IF($B14="","",IFERROR(INDEX(주문내역!$H$3:$H$2002,MATCH($C$4&amp;"|"&amp;3,주문내역!$O$3:$O$2002,0)),""))</f>
        <v/>
      </c>
      <c r="E14" s="13" t="str">
        <f aca="false">IF($B14="","",IFERROR(INDEX(주문내역!$I$3:$I$2002,MATCH($C$4&amp;"|"&amp;3,주문내역!$O$3:$O$2002,0)),""))</f>
        <v/>
      </c>
    </row>
    <row r="15" customFormat="false" ht="15" hidden="false" customHeight="false" outlineLevel="0" collapsed="false">
      <c r="B15" s="14" t="str">
        <f aca="false">IFERROR(INDEX(주문내역!$F$3:$F$2002,MATCH($C$4&amp;"|"&amp;4,주문내역!$O$3:$O$2002,0)),"")</f>
        <v/>
      </c>
      <c r="C15" s="21" t="str">
        <f aca="false">IF($B15="","",IFERROR(INDEX(주문내역!$G$3:$G$2002,MATCH($C$4&amp;"|"&amp;4,주문내역!$O$3:$O$2002,0)),""))</f>
        <v/>
      </c>
      <c r="D15" s="13" t="str">
        <f aca="false">IF($B15="","",IFERROR(INDEX(주문내역!$H$3:$H$2002,MATCH($C$4&amp;"|"&amp;4,주문내역!$O$3:$O$2002,0)),""))</f>
        <v/>
      </c>
      <c r="E15" s="13" t="str">
        <f aca="false">IF($B15="","",IFERROR(INDEX(주문내역!$I$3:$I$2002,MATCH($C$4&amp;"|"&amp;4,주문내역!$O$3:$O$2002,0)),""))</f>
        <v/>
      </c>
    </row>
    <row r="16" customFormat="false" ht="15" hidden="false" customHeight="false" outlineLevel="0" collapsed="false">
      <c r="B16" s="14" t="str">
        <f aca="false">IFERROR(INDEX(주문내역!$F$3:$F$2002,MATCH($C$4&amp;"|"&amp;5,주문내역!$O$3:$O$2002,0)),"")</f>
        <v/>
      </c>
      <c r="C16" s="21" t="str">
        <f aca="false">IF($B16="","",IFERROR(INDEX(주문내역!$G$3:$G$2002,MATCH($C$4&amp;"|"&amp;5,주문내역!$O$3:$O$2002,0)),""))</f>
        <v/>
      </c>
      <c r="D16" s="13" t="str">
        <f aca="false">IF($B16="","",IFERROR(INDEX(주문내역!$H$3:$H$2002,MATCH($C$4&amp;"|"&amp;5,주문내역!$O$3:$O$2002,0)),""))</f>
        <v/>
      </c>
      <c r="E16" s="13" t="str">
        <f aca="false">IF($B16="","",IFERROR(INDEX(주문내역!$I$3:$I$2002,MATCH($C$4&amp;"|"&amp;5,주문내역!$O$3:$O$2002,0)),""))</f>
        <v/>
      </c>
    </row>
    <row r="17" customFormat="false" ht="15" hidden="false" customHeight="false" outlineLevel="0" collapsed="false">
      <c r="B17" s="14" t="str">
        <f aca="false">IFERROR(INDEX(주문내역!$F$3:$F$2002,MATCH($C$4&amp;"|"&amp;6,주문내역!$O$3:$O$2002,0)),"")</f>
        <v/>
      </c>
      <c r="C17" s="21" t="str">
        <f aca="false">IF($B17="","",IFERROR(INDEX(주문내역!$G$3:$G$2002,MATCH($C$4&amp;"|"&amp;6,주문내역!$O$3:$O$2002,0)),""))</f>
        <v/>
      </c>
      <c r="D17" s="13" t="str">
        <f aca="false">IF($B17="","",IFERROR(INDEX(주문내역!$H$3:$H$2002,MATCH($C$4&amp;"|"&amp;6,주문내역!$O$3:$O$2002,0)),""))</f>
        <v/>
      </c>
      <c r="E17" s="13" t="str">
        <f aca="false">IF($B17="","",IFERROR(INDEX(주문내역!$I$3:$I$2002,MATCH($C$4&amp;"|"&amp;6,주문내역!$O$3:$O$2002,0)),""))</f>
        <v/>
      </c>
    </row>
    <row r="18" customFormat="false" ht="15" hidden="false" customHeight="false" outlineLevel="0" collapsed="false">
      <c r="B18" s="14" t="str">
        <f aca="false">IFERROR(INDEX(주문내역!$F$3:$F$2002,MATCH($C$4&amp;"|"&amp;7,주문내역!$O$3:$O$2002,0)),"")</f>
        <v/>
      </c>
      <c r="C18" s="21" t="str">
        <f aca="false">IF($B18="","",IFERROR(INDEX(주문내역!$G$3:$G$2002,MATCH($C$4&amp;"|"&amp;7,주문내역!$O$3:$O$2002,0)),""))</f>
        <v/>
      </c>
      <c r="D18" s="13" t="str">
        <f aca="false">IF($B18="","",IFERROR(INDEX(주문내역!$H$3:$H$2002,MATCH($C$4&amp;"|"&amp;7,주문내역!$O$3:$O$2002,0)),""))</f>
        <v/>
      </c>
      <c r="E18" s="13" t="str">
        <f aca="false">IF($B18="","",IFERROR(INDEX(주문내역!$I$3:$I$2002,MATCH($C$4&amp;"|"&amp;7,주문내역!$O$3:$O$2002,0)),""))</f>
        <v/>
      </c>
    </row>
    <row r="19" customFormat="false" ht="15" hidden="false" customHeight="false" outlineLevel="0" collapsed="false">
      <c r="B19" s="14" t="str">
        <f aca="false">IFERROR(INDEX(주문내역!$F$3:$F$2002,MATCH($C$4&amp;"|"&amp;8,주문내역!$O$3:$O$2002,0)),"")</f>
        <v/>
      </c>
      <c r="C19" s="21" t="str">
        <f aca="false">IF($B19="","",IFERROR(INDEX(주문내역!$G$3:$G$2002,MATCH($C$4&amp;"|"&amp;8,주문내역!$O$3:$O$2002,0)),""))</f>
        <v/>
      </c>
      <c r="D19" s="13" t="str">
        <f aca="false">IF($B19="","",IFERROR(INDEX(주문내역!$H$3:$H$2002,MATCH($C$4&amp;"|"&amp;8,주문내역!$O$3:$O$2002,0)),""))</f>
        <v/>
      </c>
      <c r="E19" s="13" t="str">
        <f aca="false">IF($B19="","",IFERROR(INDEX(주문내역!$I$3:$I$2002,MATCH($C$4&amp;"|"&amp;8,주문내역!$O$3:$O$2002,0)),""))</f>
        <v/>
      </c>
    </row>
    <row r="20" customFormat="false" ht="15" hidden="false" customHeight="false" outlineLevel="0" collapsed="false">
      <c r="B20" s="14" t="str">
        <f aca="false">IFERROR(INDEX(주문내역!$F$3:$F$2002,MATCH($C$4&amp;"|"&amp;9,주문내역!$O$3:$O$2002,0)),"")</f>
        <v/>
      </c>
      <c r="C20" s="21" t="str">
        <f aca="false">IF($B20="","",IFERROR(INDEX(주문내역!$G$3:$G$2002,MATCH($C$4&amp;"|"&amp;9,주문내역!$O$3:$O$2002,0)),""))</f>
        <v/>
      </c>
      <c r="D20" s="13" t="str">
        <f aca="false">IF($B20="","",IFERROR(INDEX(주문내역!$H$3:$H$2002,MATCH($C$4&amp;"|"&amp;9,주문내역!$O$3:$O$2002,0)),""))</f>
        <v/>
      </c>
      <c r="E20" s="13" t="str">
        <f aca="false">IF($B20="","",IFERROR(INDEX(주문내역!$I$3:$I$2002,MATCH($C$4&amp;"|"&amp;9,주문내역!$O$3:$O$2002,0)),""))</f>
        <v/>
      </c>
    </row>
    <row r="21" customFormat="false" ht="15" hidden="false" customHeight="false" outlineLevel="0" collapsed="false">
      <c r="B21" s="14" t="str">
        <f aca="false">IFERROR(INDEX(주문내역!$F$3:$F$2002,MATCH($C$4&amp;"|"&amp;10,주문내역!$O$3:$O$2002,0)),"")</f>
        <v/>
      </c>
      <c r="C21" s="21" t="str">
        <f aca="false">IF($B21="","",IFERROR(INDEX(주문내역!$G$3:$G$2002,MATCH($C$4&amp;"|"&amp;10,주문내역!$O$3:$O$2002,0)),""))</f>
        <v/>
      </c>
      <c r="D21" s="13" t="str">
        <f aca="false">IF($B21="","",IFERROR(INDEX(주문내역!$H$3:$H$2002,MATCH($C$4&amp;"|"&amp;10,주문내역!$O$3:$O$2002,0)),""))</f>
        <v/>
      </c>
      <c r="E21" s="13" t="str">
        <f aca="false">IF($B21="","",IFERROR(INDEX(주문내역!$I$3:$I$2002,MATCH($C$4&amp;"|"&amp;10,주문내역!$O$3:$O$2002,0)),""))</f>
        <v/>
      </c>
    </row>
    <row r="22" customFormat="false" ht="15" hidden="false" customHeight="false" outlineLevel="0" collapsed="false">
      <c r="B22" s="22" t="s">
        <v>71</v>
      </c>
      <c r="C22" s="22"/>
      <c r="D22" s="22"/>
      <c r="E22" s="23" t="n">
        <f aca="false">IFERROR(INDEX(주문내역!$K$3:$K$2002,MATCH($C$4,주문내역!$B$3:$B$2002,0)),0)</f>
        <v>35000</v>
      </c>
    </row>
    <row r="23" customFormat="false" ht="15" hidden="false" customHeight="false" outlineLevel="0" collapsed="false">
      <c r="B23" s="22" t="s">
        <v>72</v>
      </c>
      <c r="C23" s="22"/>
      <c r="D23" s="22"/>
      <c r="E23" s="23" t="n">
        <f aca="false">IFERROR(INDEX(주문내역!$L$3:$L$2002,MATCH($C$4,주문내역!$B$3:$B$2002,0)),0)</f>
        <v>0</v>
      </c>
    </row>
    <row r="24" customFormat="false" ht="15" hidden="false" customHeight="false" outlineLevel="0" collapsed="false">
      <c r="B24" s="24" t="s">
        <v>73</v>
      </c>
      <c r="C24" s="24"/>
      <c r="D24" s="24"/>
      <c r="E24" s="25" t="n">
        <f aca="false">E22+E23</f>
        <v>35000</v>
      </c>
    </row>
  </sheetData>
  <mergeCells count="8">
    <mergeCell ref="B2:E2"/>
    <mergeCell ref="C6:E6"/>
    <mergeCell ref="C7:E7"/>
    <mergeCell ref="C8:E8"/>
    <mergeCell ref="C9:E9"/>
    <mergeCell ref="B22:D22"/>
    <mergeCell ref="B23:D23"/>
    <mergeCell ref="B24:D24"/>
  </mergeCells>
  <dataValidations count="1">
    <dataValidation allowBlank="true" errorStyle="stop" operator="between" showDropDown="false" showErrorMessage="false" showInputMessage="false" sqref="C4" type="list">
      <formula1>주문내역!$B$3:$B$2002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17"/>
    <col collapsed="false" customWidth="true" hidden="false" outlineLevel="0" max="4" min="4" style="1" width="14"/>
    <col collapsed="false" customWidth="true" hidden="false" outlineLevel="0" max="5" min="5" style="1" width="17"/>
    <col collapsed="false" customWidth="true" hidden="false" outlineLevel="0" max="6" min="6" style="1" width="15"/>
  </cols>
  <sheetData>
    <row r="1" customFormat="false" ht="25.5" hidden="false" customHeight="true" outlineLevel="0" collapsed="false">
      <c r="A1" s="2" t="s">
        <v>74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3" t="s">
        <v>75</v>
      </c>
      <c r="B3" s="26" t="n">
        <v>46266</v>
      </c>
    </row>
    <row r="5" customFormat="false" ht="15" hidden="false" customHeight="false" outlineLevel="0" collapsed="false">
      <c r="A5" s="6" t="s">
        <v>76</v>
      </c>
      <c r="B5" s="6" t="s">
        <v>77</v>
      </c>
      <c r="C5" s="6" t="s">
        <v>78</v>
      </c>
      <c r="D5" s="6" t="s">
        <v>22</v>
      </c>
      <c r="E5" s="6" t="s">
        <v>79</v>
      </c>
      <c r="F5" s="6" t="s">
        <v>80</v>
      </c>
    </row>
    <row r="6" customFormat="false" ht="15" hidden="false" customHeight="false" outlineLevel="0" collapsed="false">
      <c r="A6" s="27" t="n">
        <f aca="false">$B$3+0</f>
        <v>46266</v>
      </c>
      <c r="B6" s="21" t="n">
        <f aca="false">SUMPRODUCT((주문내역!$A$3:$A$2002=$A6)*(주문내역!$L$3:$L$2002&lt;&gt;""))-SUMPRODUCT((주문내역!$A$3:$A$2002=$A6)*(주문내역!$L$3:$L$2002=0)*(주문내역!$K$3:$K$2002&lt;30000)*0)</f>
        <v>0</v>
      </c>
      <c r="C6" s="28" t="n">
        <f aca="false">SUMIFS(주문내역!$I$3:$I$2002,주문내역!$A$3:$A$2002,$A6)</f>
        <v>0</v>
      </c>
      <c r="D6" s="28" t="n">
        <f aca="false">SUMIFS(주문내역!$L$3:$L$2002,주문내역!$A$3:$A$2002,$A6)</f>
        <v>0</v>
      </c>
      <c r="E6" s="28" t="n">
        <f aca="false">$C6+$D6</f>
        <v>0</v>
      </c>
      <c r="F6" s="28" t="n">
        <f aca="false">IF($B6=0,0,ROUND($E6/$B6,0))</f>
        <v>0</v>
      </c>
    </row>
    <row r="7" customFormat="false" ht="15" hidden="false" customHeight="false" outlineLevel="0" collapsed="false">
      <c r="A7" s="27" t="n">
        <f aca="false">$B$3+1</f>
        <v>46267</v>
      </c>
      <c r="B7" s="21" t="n">
        <f aca="false">SUMPRODUCT((주문내역!$A$3:$A$2002=$A7)*(주문내역!$L$3:$L$2002&lt;&gt;""))-SUMPRODUCT((주문내역!$A$3:$A$2002=$A7)*(주문내역!$L$3:$L$2002=0)*(주문내역!$K$3:$K$2002&lt;30000)*0)</f>
        <v>0</v>
      </c>
      <c r="C7" s="28" t="n">
        <f aca="false">SUMIFS(주문내역!$I$3:$I$2002,주문내역!$A$3:$A$2002,$A7)</f>
        <v>0</v>
      </c>
      <c r="D7" s="28" t="n">
        <f aca="false">SUMIFS(주문내역!$L$3:$L$2002,주문내역!$A$3:$A$2002,$A7)</f>
        <v>0</v>
      </c>
      <c r="E7" s="28" t="n">
        <f aca="false">$C7+$D7</f>
        <v>0</v>
      </c>
      <c r="F7" s="28" t="n">
        <f aca="false">IF($B7=0,0,ROUND($E7/$B7,0))</f>
        <v>0</v>
      </c>
    </row>
    <row r="8" customFormat="false" ht="15" hidden="false" customHeight="false" outlineLevel="0" collapsed="false">
      <c r="A8" s="27" t="n">
        <f aca="false">$B$3+2</f>
        <v>46268</v>
      </c>
      <c r="B8" s="21" t="n">
        <f aca="false">SUMPRODUCT((주문내역!$A$3:$A$2002=$A8)*(주문내역!$L$3:$L$2002&lt;&gt;""))-SUMPRODUCT((주문내역!$A$3:$A$2002=$A8)*(주문내역!$L$3:$L$2002=0)*(주문내역!$K$3:$K$2002&lt;30000)*0)</f>
        <v>0</v>
      </c>
      <c r="C8" s="28" t="n">
        <f aca="false">SUMIFS(주문내역!$I$3:$I$2002,주문내역!$A$3:$A$2002,$A8)</f>
        <v>0</v>
      </c>
      <c r="D8" s="28" t="n">
        <f aca="false">SUMIFS(주문내역!$L$3:$L$2002,주문내역!$A$3:$A$2002,$A8)</f>
        <v>0</v>
      </c>
      <c r="E8" s="28" t="n">
        <f aca="false">$C8+$D8</f>
        <v>0</v>
      </c>
      <c r="F8" s="28" t="n">
        <f aca="false">IF($B8=0,0,ROUND($E8/$B8,0))</f>
        <v>0</v>
      </c>
    </row>
    <row r="9" customFormat="false" ht="15" hidden="false" customHeight="false" outlineLevel="0" collapsed="false">
      <c r="A9" s="27" t="n">
        <f aca="false">$B$3+3</f>
        <v>46269</v>
      </c>
      <c r="B9" s="21" t="n">
        <f aca="false">SUMPRODUCT((주문내역!$A$3:$A$2002=$A9)*(주문내역!$L$3:$L$2002&lt;&gt;""))-SUMPRODUCT((주문내역!$A$3:$A$2002=$A9)*(주문내역!$L$3:$L$2002=0)*(주문내역!$K$3:$K$2002&lt;30000)*0)</f>
        <v>0</v>
      </c>
      <c r="C9" s="28" t="n">
        <f aca="false">SUMIFS(주문내역!$I$3:$I$2002,주문내역!$A$3:$A$2002,$A9)</f>
        <v>0</v>
      </c>
      <c r="D9" s="28" t="n">
        <f aca="false">SUMIFS(주문내역!$L$3:$L$2002,주문내역!$A$3:$A$2002,$A9)</f>
        <v>0</v>
      </c>
      <c r="E9" s="28" t="n">
        <f aca="false">$C9+$D9</f>
        <v>0</v>
      </c>
      <c r="F9" s="28" t="n">
        <f aca="false">IF($B9=0,0,ROUND($E9/$B9,0))</f>
        <v>0</v>
      </c>
    </row>
    <row r="10" customFormat="false" ht="15" hidden="false" customHeight="false" outlineLevel="0" collapsed="false">
      <c r="A10" s="27" t="n">
        <f aca="false">$B$3+4</f>
        <v>46270</v>
      </c>
      <c r="B10" s="21" t="n">
        <f aca="false">SUMPRODUCT((주문내역!$A$3:$A$2002=$A10)*(주문내역!$L$3:$L$2002&lt;&gt;""))-SUMPRODUCT((주문내역!$A$3:$A$2002=$A10)*(주문내역!$L$3:$L$2002=0)*(주문내역!$K$3:$K$2002&lt;30000)*0)</f>
        <v>0</v>
      </c>
      <c r="C10" s="28" t="n">
        <f aca="false">SUMIFS(주문내역!$I$3:$I$2002,주문내역!$A$3:$A$2002,$A10)</f>
        <v>0</v>
      </c>
      <c r="D10" s="28" t="n">
        <f aca="false">SUMIFS(주문내역!$L$3:$L$2002,주문내역!$A$3:$A$2002,$A10)</f>
        <v>0</v>
      </c>
      <c r="E10" s="28" t="n">
        <f aca="false">$C10+$D10</f>
        <v>0</v>
      </c>
      <c r="F10" s="28" t="n">
        <f aca="false">IF($B10=0,0,ROUND($E10/$B10,0))</f>
        <v>0</v>
      </c>
    </row>
    <row r="11" customFormat="false" ht="15" hidden="false" customHeight="false" outlineLevel="0" collapsed="false">
      <c r="A11" s="27" t="n">
        <f aca="false">$B$3+5</f>
        <v>46271</v>
      </c>
      <c r="B11" s="21" t="n">
        <f aca="false">SUMPRODUCT((주문내역!$A$3:$A$2002=$A11)*(주문내역!$L$3:$L$2002&lt;&gt;""))-SUMPRODUCT((주문내역!$A$3:$A$2002=$A11)*(주문내역!$L$3:$L$2002=0)*(주문내역!$K$3:$K$2002&lt;30000)*0)</f>
        <v>0</v>
      </c>
      <c r="C11" s="28" t="n">
        <f aca="false">SUMIFS(주문내역!$I$3:$I$2002,주문내역!$A$3:$A$2002,$A11)</f>
        <v>0</v>
      </c>
      <c r="D11" s="28" t="n">
        <f aca="false">SUMIFS(주문내역!$L$3:$L$2002,주문내역!$A$3:$A$2002,$A11)</f>
        <v>0</v>
      </c>
      <c r="E11" s="28" t="n">
        <f aca="false">$C11+$D11</f>
        <v>0</v>
      </c>
      <c r="F11" s="28" t="n">
        <f aca="false">IF($B11=0,0,ROUND($E11/$B11,0))</f>
        <v>0</v>
      </c>
    </row>
    <row r="12" customFormat="false" ht="15" hidden="false" customHeight="false" outlineLevel="0" collapsed="false">
      <c r="A12" s="27" t="n">
        <f aca="false">$B$3+6</f>
        <v>46272</v>
      </c>
      <c r="B12" s="21" t="n">
        <f aca="false">SUMPRODUCT((주문내역!$A$3:$A$2002=$A12)*(주문내역!$L$3:$L$2002&lt;&gt;""))-SUMPRODUCT((주문내역!$A$3:$A$2002=$A12)*(주문내역!$L$3:$L$2002=0)*(주문내역!$K$3:$K$2002&lt;30000)*0)</f>
        <v>0</v>
      </c>
      <c r="C12" s="28" t="n">
        <f aca="false">SUMIFS(주문내역!$I$3:$I$2002,주문내역!$A$3:$A$2002,$A12)</f>
        <v>0</v>
      </c>
      <c r="D12" s="28" t="n">
        <f aca="false">SUMIFS(주문내역!$L$3:$L$2002,주문내역!$A$3:$A$2002,$A12)</f>
        <v>0</v>
      </c>
      <c r="E12" s="28" t="n">
        <f aca="false">$C12+$D12</f>
        <v>0</v>
      </c>
      <c r="F12" s="28" t="n">
        <f aca="false">IF($B12=0,0,ROUND($E12/$B12,0))</f>
        <v>0</v>
      </c>
    </row>
    <row r="13" customFormat="false" ht="15" hidden="false" customHeight="false" outlineLevel="0" collapsed="false">
      <c r="A13" s="27" t="n">
        <f aca="false">$B$3+7</f>
        <v>46273</v>
      </c>
      <c r="B13" s="21" t="n">
        <f aca="false">SUMPRODUCT((주문내역!$A$3:$A$2002=$A13)*(주문내역!$L$3:$L$2002&lt;&gt;""))-SUMPRODUCT((주문내역!$A$3:$A$2002=$A13)*(주문내역!$L$3:$L$2002=0)*(주문내역!$K$3:$K$2002&lt;30000)*0)</f>
        <v>0</v>
      </c>
      <c r="C13" s="28" t="n">
        <f aca="false">SUMIFS(주문내역!$I$3:$I$2002,주문내역!$A$3:$A$2002,$A13)</f>
        <v>0</v>
      </c>
      <c r="D13" s="28" t="n">
        <f aca="false">SUMIFS(주문내역!$L$3:$L$2002,주문내역!$A$3:$A$2002,$A13)</f>
        <v>0</v>
      </c>
      <c r="E13" s="28" t="n">
        <f aca="false">$C13+$D13</f>
        <v>0</v>
      </c>
      <c r="F13" s="28" t="n">
        <f aca="false">IF($B13=0,0,ROUND($E13/$B13,0))</f>
        <v>0</v>
      </c>
    </row>
    <row r="14" customFormat="false" ht="15" hidden="false" customHeight="false" outlineLevel="0" collapsed="false">
      <c r="A14" s="27" t="n">
        <f aca="false">$B$3+8</f>
        <v>46274</v>
      </c>
      <c r="B14" s="21" t="n">
        <f aca="false">SUMPRODUCT((주문내역!$A$3:$A$2002=$A14)*(주문내역!$L$3:$L$2002&lt;&gt;""))-SUMPRODUCT((주문내역!$A$3:$A$2002=$A14)*(주문내역!$L$3:$L$2002=0)*(주문내역!$K$3:$K$2002&lt;30000)*0)</f>
        <v>0</v>
      </c>
      <c r="C14" s="28" t="n">
        <f aca="false">SUMIFS(주문내역!$I$3:$I$2002,주문내역!$A$3:$A$2002,$A14)</f>
        <v>0</v>
      </c>
      <c r="D14" s="28" t="n">
        <f aca="false">SUMIFS(주문내역!$L$3:$L$2002,주문내역!$A$3:$A$2002,$A14)</f>
        <v>0</v>
      </c>
      <c r="E14" s="28" t="n">
        <f aca="false">$C14+$D14</f>
        <v>0</v>
      </c>
      <c r="F14" s="28" t="n">
        <f aca="false">IF($B14=0,0,ROUND($E14/$B14,0))</f>
        <v>0</v>
      </c>
    </row>
    <row r="15" customFormat="false" ht="15" hidden="false" customHeight="false" outlineLevel="0" collapsed="false">
      <c r="A15" s="27" t="n">
        <f aca="false">$B$3+9</f>
        <v>46275</v>
      </c>
      <c r="B15" s="21" t="n">
        <f aca="false">SUMPRODUCT((주문내역!$A$3:$A$2002=$A15)*(주문내역!$L$3:$L$2002&lt;&gt;""))-SUMPRODUCT((주문내역!$A$3:$A$2002=$A15)*(주문내역!$L$3:$L$2002=0)*(주문내역!$K$3:$K$2002&lt;30000)*0)</f>
        <v>2</v>
      </c>
      <c r="C15" s="28" t="n">
        <f aca="false">SUMIFS(주문내역!$I$3:$I$2002,주문내역!$A$3:$A$2002,$A15)</f>
        <v>58000</v>
      </c>
      <c r="D15" s="28" t="n">
        <f aca="false">SUMIFS(주문내역!$L$3:$L$2002,주문내역!$A$3:$A$2002,$A15)</f>
        <v>9000</v>
      </c>
      <c r="E15" s="28" t="n">
        <f aca="false">$C15+$D15</f>
        <v>67000</v>
      </c>
      <c r="F15" s="28" t="n">
        <f aca="false">IF($B15=0,0,ROUND($E15/$B15,0))</f>
        <v>33500</v>
      </c>
    </row>
    <row r="16" customFormat="false" ht="15" hidden="false" customHeight="false" outlineLevel="0" collapsed="false">
      <c r="A16" s="27" t="n">
        <f aca="false">$B$3+10</f>
        <v>46276</v>
      </c>
      <c r="B16" s="21" t="n">
        <f aca="false">SUMPRODUCT((주문내역!$A$3:$A$2002=$A16)*(주문내역!$L$3:$L$2002&lt;&gt;""))-SUMPRODUCT((주문내역!$A$3:$A$2002=$A16)*(주문내역!$L$3:$L$2002=0)*(주문내역!$K$3:$K$2002&lt;30000)*0)</f>
        <v>3</v>
      </c>
      <c r="C16" s="28" t="n">
        <f aca="false">SUMIFS(주문내역!$I$3:$I$2002,주문내역!$A$3:$A$2002,$A16)</f>
        <v>66000</v>
      </c>
      <c r="D16" s="28" t="n">
        <f aca="false">SUMIFS(주문내역!$L$3:$L$2002,주문내역!$A$3:$A$2002,$A16)</f>
        <v>0</v>
      </c>
      <c r="E16" s="28" t="n">
        <f aca="false">$C16+$D16</f>
        <v>66000</v>
      </c>
      <c r="F16" s="28" t="n">
        <f aca="false">IF($B16=0,0,ROUND($E16/$B16,0))</f>
        <v>22000</v>
      </c>
    </row>
    <row r="17" customFormat="false" ht="15" hidden="false" customHeight="false" outlineLevel="0" collapsed="false">
      <c r="A17" s="27" t="n">
        <f aca="false">$B$3+11</f>
        <v>46277</v>
      </c>
      <c r="B17" s="21" t="n">
        <f aca="false">SUMPRODUCT((주문내역!$A$3:$A$2002=$A17)*(주문내역!$L$3:$L$2002&lt;&gt;""))-SUMPRODUCT((주문내역!$A$3:$A$2002=$A17)*(주문내역!$L$3:$L$2002=0)*(주문내역!$K$3:$K$2002&lt;30000)*0)</f>
        <v>0</v>
      </c>
      <c r="C17" s="28" t="n">
        <f aca="false">SUMIFS(주문내역!$I$3:$I$2002,주문내역!$A$3:$A$2002,$A17)</f>
        <v>0</v>
      </c>
      <c r="D17" s="28" t="n">
        <f aca="false">SUMIFS(주문내역!$L$3:$L$2002,주문내역!$A$3:$A$2002,$A17)</f>
        <v>0</v>
      </c>
      <c r="E17" s="28" t="n">
        <f aca="false">$C17+$D17</f>
        <v>0</v>
      </c>
      <c r="F17" s="28" t="n">
        <f aca="false">IF($B17=0,0,ROUND($E17/$B17,0))</f>
        <v>0</v>
      </c>
    </row>
    <row r="18" customFormat="false" ht="15" hidden="false" customHeight="false" outlineLevel="0" collapsed="false">
      <c r="A18" s="27" t="n">
        <f aca="false">$B$3+12</f>
        <v>46278</v>
      </c>
      <c r="B18" s="21" t="n">
        <f aca="false">SUMPRODUCT((주문내역!$A$3:$A$2002=$A18)*(주문내역!$L$3:$L$2002&lt;&gt;""))-SUMPRODUCT((주문내역!$A$3:$A$2002=$A18)*(주문내역!$L$3:$L$2002=0)*(주문내역!$K$3:$K$2002&lt;30000)*0)</f>
        <v>0</v>
      </c>
      <c r="C18" s="28" t="n">
        <f aca="false">SUMIFS(주문내역!$I$3:$I$2002,주문내역!$A$3:$A$2002,$A18)</f>
        <v>0</v>
      </c>
      <c r="D18" s="28" t="n">
        <f aca="false">SUMIFS(주문내역!$L$3:$L$2002,주문내역!$A$3:$A$2002,$A18)</f>
        <v>0</v>
      </c>
      <c r="E18" s="28" t="n">
        <f aca="false">$C18+$D18</f>
        <v>0</v>
      </c>
      <c r="F18" s="28" t="n">
        <f aca="false">IF($B18=0,0,ROUND($E18/$B18,0))</f>
        <v>0</v>
      </c>
    </row>
    <row r="19" customFormat="false" ht="15" hidden="false" customHeight="false" outlineLevel="0" collapsed="false">
      <c r="A19" s="27" t="n">
        <f aca="false">$B$3+13</f>
        <v>46279</v>
      </c>
      <c r="B19" s="21" t="n">
        <f aca="false">SUMPRODUCT((주문내역!$A$3:$A$2002=$A19)*(주문내역!$L$3:$L$2002&lt;&gt;""))-SUMPRODUCT((주문내역!$A$3:$A$2002=$A19)*(주문내역!$L$3:$L$2002=0)*(주문내역!$K$3:$K$2002&lt;30000)*0)</f>
        <v>0</v>
      </c>
      <c r="C19" s="28" t="n">
        <f aca="false">SUMIFS(주문내역!$I$3:$I$2002,주문내역!$A$3:$A$2002,$A19)</f>
        <v>0</v>
      </c>
      <c r="D19" s="28" t="n">
        <f aca="false">SUMIFS(주문내역!$L$3:$L$2002,주문내역!$A$3:$A$2002,$A19)</f>
        <v>0</v>
      </c>
      <c r="E19" s="28" t="n">
        <f aca="false">$C19+$D19</f>
        <v>0</v>
      </c>
      <c r="F19" s="28" t="n">
        <f aca="false">IF($B19=0,0,ROUND($E19/$B19,0))</f>
        <v>0</v>
      </c>
    </row>
    <row r="20" customFormat="false" ht="15" hidden="false" customHeight="false" outlineLevel="0" collapsed="false">
      <c r="A20" s="27" t="n">
        <f aca="false">$B$3+14</f>
        <v>46280</v>
      </c>
      <c r="B20" s="21" t="n">
        <f aca="false">SUMPRODUCT((주문내역!$A$3:$A$2002=$A20)*(주문내역!$L$3:$L$2002&lt;&gt;""))-SUMPRODUCT((주문내역!$A$3:$A$2002=$A20)*(주문내역!$L$3:$L$2002=0)*(주문내역!$K$3:$K$2002&lt;30000)*0)</f>
        <v>0</v>
      </c>
      <c r="C20" s="28" t="n">
        <f aca="false">SUMIFS(주문내역!$I$3:$I$2002,주문내역!$A$3:$A$2002,$A20)</f>
        <v>0</v>
      </c>
      <c r="D20" s="28" t="n">
        <f aca="false">SUMIFS(주문내역!$L$3:$L$2002,주문내역!$A$3:$A$2002,$A20)</f>
        <v>0</v>
      </c>
      <c r="E20" s="28" t="n">
        <f aca="false">$C20+$D20</f>
        <v>0</v>
      </c>
      <c r="F20" s="28" t="n">
        <f aca="false">IF($B20=0,0,ROUND($E20/$B20,0))</f>
        <v>0</v>
      </c>
    </row>
    <row r="21" customFormat="false" ht="15" hidden="false" customHeight="false" outlineLevel="0" collapsed="false">
      <c r="A21" s="27" t="n">
        <f aca="false">$B$3+15</f>
        <v>46281</v>
      </c>
      <c r="B21" s="21" t="n">
        <f aca="false">SUMPRODUCT((주문내역!$A$3:$A$2002=$A21)*(주문내역!$L$3:$L$2002&lt;&gt;""))-SUMPRODUCT((주문내역!$A$3:$A$2002=$A21)*(주문내역!$L$3:$L$2002=0)*(주문내역!$K$3:$K$2002&lt;30000)*0)</f>
        <v>0</v>
      </c>
      <c r="C21" s="28" t="n">
        <f aca="false">SUMIFS(주문내역!$I$3:$I$2002,주문내역!$A$3:$A$2002,$A21)</f>
        <v>0</v>
      </c>
      <c r="D21" s="28" t="n">
        <f aca="false">SUMIFS(주문내역!$L$3:$L$2002,주문내역!$A$3:$A$2002,$A21)</f>
        <v>0</v>
      </c>
      <c r="E21" s="28" t="n">
        <f aca="false">$C21+$D21</f>
        <v>0</v>
      </c>
      <c r="F21" s="28" t="n">
        <f aca="false">IF($B21=0,0,ROUND($E21/$B21,0))</f>
        <v>0</v>
      </c>
    </row>
    <row r="22" customFormat="false" ht="15" hidden="false" customHeight="false" outlineLevel="0" collapsed="false">
      <c r="A22" s="27" t="n">
        <f aca="false">$B$3+16</f>
        <v>46282</v>
      </c>
      <c r="B22" s="21" t="n">
        <f aca="false">SUMPRODUCT((주문내역!$A$3:$A$2002=$A22)*(주문내역!$L$3:$L$2002&lt;&gt;""))-SUMPRODUCT((주문내역!$A$3:$A$2002=$A22)*(주문내역!$L$3:$L$2002=0)*(주문내역!$K$3:$K$2002&lt;30000)*0)</f>
        <v>0</v>
      </c>
      <c r="C22" s="28" t="n">
        <f aca="false">SUMIFS(주문내역!$I$3:$I$2002,주문내역!$A$3:$A$2002,$A22)</f>
        <v>0</v>
      </c>
      <c r="D22" s="28" t="n">
        <f aca="false">SUMIFS(주문내역!$L$3:$L$2002,주문내역!$A$3:$A$2002,$A22)</f>
        <v>0</v>
      </c>
      <c r="E22" s="28" t="n">
        <f aca="false">$C22+$D22</f>
        <v>0</v>
      </c>
      <c r="F22" s="28" t="n">
        <f aca="false">IF($B22=0,0,ROUND($E22/$B22,0))</f>
        <v>0</v>
      </c>
    </row>
    <row r="23" customFormat="false" ht="15" hidden="false" customHeight="false" outlineLevel="0" collapsed="false">
      <c r="A23" s="27" t="n">
        <f aca="false">$B$3+17</f>
        <v>46283</v>
      </c>
      <c r="B23" s="21" t="n">
        <f aca="false">SUMPRODUCT((주문내역!$A$3:$A$2002=$A23)*(주문내역!$L$3:$L$2002&lt;&gt;""))-SUMPRODUCT((주문내역!$A$3:$A$2002=$A23)*(주문내역!$L$3:$L$2002=0)*(주문내역!$K$3:$K$2002&lt;30000)*0)</f>
        <v>0</v>
      </c>
      <c r="C23" s="28" t="n">
        <f aca="false">SUMIFS(주문내역!$I$3:$I$2002,주문내역!$A$3:$A$2002,$A23)</f>
        <v>0</v>
      </c>
      <c r="D23" s="28" t="n">
        <f aca="false">SUMIFS(주문내역!$L$3:$L$2002,주문내역!$A$3:$A$2002,$A23)</f>
        <v>0</v>
      </c>
      <c r="E23" s="28" t="n">
        <f aca="false">$C23+$D23</f>
        <v>0</v>
      </c>
      <c r="F23" s="28" t="n">
        <f aca="false">IF($B23=0,0,ROUND($E23/$B23,0))</f>
        <v>0</v>
      </c>
    </row>
    <row r="24" customFormat="false" ht="15" hidden="false" customHeight="false" outlineLevel="0" collapsed="false">
      <c r="A24" s="27" t="n">
        <f aca="false">$B$3+18</f>
        <v>46284</v>
      </c>
      <c r="B24" s="21" t="n">
        <f aca="false">SUMPRODUCT((주문내역!$A$3:$A$2002=$A24)*(주문내역!$L$3:$L$2002&lt;&gt;""))-SUMPRODUCT((주문내역!$A$3:$A$2002=$A24)*(주문내역!$L$3:$L$2002=0)*(주문내역!$K$3:$K$2002&lt;30000)*0)</f>
        <v>0</v>
      </c>
      <c r="C24" s="28" t="n">
        <f aca="false">SUMIFS(주문내역!$I$3:$I$2002,주문내역!$A$3:$A$2002,$A24)</f>
        <v>0</v>
      </c>
      <c r="D24" s="28" t="n">
        <f aca="false">SUMIFS(주문내역!$L$3:$L$2002,주문내역!$A$3:$A$2002,$A24)</f>
        <v>0</v>
      </c>
      <c r="E24" s="28" t="n">
        <f aca="false">$C24+$D24</f>
        <v>0</v>
      </c>
      <c r="F24" s="28" t="n">
        <f aca="false">IF($B24=0,0,ROUND($E24/$B24,0))</f>
        <v>0</v>
      </c>
    </row>
    <row r="25" customFormat="false" ht="15" hidden="false" customHeight="false" outlineLevel="0" collapsed="false">
      <c r="A25" s="27" t="n">
        <f aca="false">$B$3+19</f>
        <v>46285</v>
      </c>
      <c r="B25" s="21" t="n">
        <f aca="false">SUMPRODUCT((주문내역!$A$3:$A$2002=$A25)*(주문내역!$L$3:$L$2002&lt;&gt;""))-SUMPRODUCT((주문내역!$A$3:$A$2002=$A25)*(주문내역!$L$3:$L$2002=0)*(주문내역!$K$3:$K$2002&lt;30000)*0)</f>
        <v>0</v>
      </c>
      <c r="C25" s="28" t="n">
        <f aca="false">SUMIFS(주문내역!$I$3:$I$2002,주문내역!$A$3:$A$2002,$A25)</f>
        <v>0</v>
      </c>
      <c r="D25" s="28" t="n">
        <f aca="false">SUMIFS(주문내역!$L$3:$L$2002,주문내역!$A$3:$A$2002,$A25)</f>
        <v>0</v>
      </c>
      <c r="E25" s="28" t="n">
        <f aca="false">$C25+$D25</f>
        <v>0</v>
      </c>
      <c r="F25" s="28" t="n">
        <f aca="false">IF($B25=0,0,ROUND($E25/$B25,0))</f>
        <v>0</v>
      </c>
    </row>
    <row r="26" customFormat="false" ht="15" hidden="false" customHeight="false" outlineLevel="0" collapsed="false">
      <c r="A26" s="27" t="n">
        <f aca="false">$B$3+20</f>
        <v>46286</v>
      </c>
      <c r="B26" s="21" t="n">
        <f aca="false">SUMPRODUCT((주문내역!$A$3:$A$2002=$A26)*(주문내역!$L$3:$L$2002&lt;&gt;""))-SUMPRODUCT((주문내역!$A$3:$A$2002=$A26)*(주문내역!$L$3:$L$2002=0)*(주문내역!$K$3:$K$2002&lt;30000)*0)</f>
        <v>0</v>
      </c>
      <c r="C26" s="28" t="n">
        <f aca="false">SUMIFS(주문내역!$I$3:$I$2002,주문내역!$A$3:$A$2002,$A26)</f>
        <v>0</v>
      </c>
      <c r="D26" s="28" t="n">
        <f aca="false">SUMIFS(주문내역!$L$3:$L$2002,주문내역!$A$3:$A$2002,$A26)</f>
        <v>0</v>
      </c>
      <c r="E26" s="28" t="n">
        <f aca="false">$C26+$D26</f>
        <v>0</v>
      </c>
      <c r="F26" s="28" t="n">
        <f aca="false">IF($B26=0,0,ROUND($E26/$B26,0))</f>
        <v>0</v>
      </c>
    </row>
    <row r="27" customFormat="false" ht="15" hidden="false" customHeight="false" outlineLevel="0" collapsed="false">
      <c r="A27" s="27" t="n">
        <f aca="false">$B$3+21</f>
        <v>46287</v>
      </c>
      <c r="B27" s="21" t="n">
        <f aca="false">SUMPRODUCT((주문내역!$A$3:$A$2002=$A27)*(주문내역!$L$3:$L$2002&lt;&gt;""))-SUMPRODUCT((주문내역!$A$3:$A$2002=$A27)*(주문내역!$L$3:$L$2002=0)*(주문내역!$K$3:$K$2002&lt;30000)*0)</f>
        <v>0</v>
      </c>
      <c r="C27" s="28" t="n">
        <f aca="false">SUMIFS(주문내역!$I$3:$I$2002,주문내역!$A$3:$A$2002,$A27)</f>
        <v>0</v>
      </c>
      <c r="D27" s="28" t="n">
        <f aca="false">SUMIFS(주문내역!$L$3:$L$2002,주문내역!$A$3:$A$2002,$A27)</f>
        <v>0</v>
      </c>
      <c r="E27" s="28" t="n">
        <f aca="false">$C27+$D27</f>
        <v>0</v>
      </c>
      <c r="F27" s="28" t="n">
        <f aca="false">IF($B27=0,0,ROUND($E27/$B27,0))</f>
        <v>0</v>
      </c>
    </row>
    <row r="28" customFormat="false" ht="15" hidden="false" customHeight="false" outlineLevel="0" collapsed="false">
      <c r="A28" s="27" t="n">
        <f aca="false">$B$3+22</f>
        <v>46288</v>
      </c>
      <c r="B28" s="21" t="n">
        <f aca="false">SUMPRODUCT((주문내역!$A$3:$A$2002=$A28)*(주문내역!$L$3:$L$2002&lt;&gt;""))-SUMPRODUCT((주문내역!$A$3:$A$2002=$A28)*(주문내역!$L$3:$L$2002=0)*(주문내역!$K$3:$K$2002&lt;30000)*0)</f>
        <v>0</v>
      </c>
      <c r="C28" s="28" t="n">
        <f aca="false">SUMIFS(주문내역!$I$3:$I$2002,주문내역!$A$3:$A$2002,$A28)</f>
        <v>0</v>
      </c>
      <c r="D28" s="28" t="n">
        <f aca="false">SUMIFS(주문내역!$L$3:$L$2002,주문내역!$A$3:$A$2002,$A28)</f>
        <v>0</v>
      </c>
      <c r="E28" s="28" t="n">
        <f aca="false">$C28+$D28</f>
        <v>0</v>
      </c>
      <c r="F28" s="28" t="n">
        <f aca="false">IF($B28=0,0,ROUND($E28/$B28,0))</f>
        <v>0</v>
      </c>
    </row>
    <row r="29" customFormat="false" ht="15" hidden="false" customHeight="false" outlineLevel="0" collapsed="false">
      <c r="A29" s="27" t="n">
        <f aca="false">$B$3+23</f>
        <v>46289</v>
      </c>
      <c r="B29" s="21" t="n">
        <f aca="false">SUMPRODUCT((주문내역!$A$3:$A$2002=$A29)*(주문내역!$L$3:$L$2002&lt;&gt;""))-SUMPRODUCT((주문내역!$A$3:$A$2002=$A29)*(주문내역!$L$3:$L$2002=0)*(주문내역!$K$3:$K$2002&lt;30000)*0)</f>
        <v>0</v>
      </c>
      <c r="C29" s="28" t="n">
        <f aca="false">SUMIFS(주문내역!$I$3:$I$2002,주문내역!$A$3:$A$2002,$A29)</f>
        <v>0</v>
      </c>
      <c r="D29" s="28" t="n">
        <f aca="false">SUMIFS(주문내역!$L$3:$L$2002,주문내역!$A$3:$A$2002,$A29)</f>
        <v>0</v>
      </c>
      <c r="E29" s="28" t="n">
        <f aca="false">$C29+$D29</f>
        <v>0</v>
      </c>
      <c r="F29" s="28" t="n">
        <f aca="false">IF($B29=0,0,ROUND($E29/$B29,0))</f>
        <v>0</v>
      </c>
    </row>
    <row r="30" customFormat="false" ht="15" hidden="false" customHeight="false" outlineLevel="0" collapsed="false">
      <c r="A30" s="27" t="n">
        <f aca="false">$B$3+24</f>
        <v>46290</v>
      </c>
      <c r="B30" s="21" t="n">
        <f aca="false">SUMPRODUCT((주문내역!$A$3:$A$2002=$A30)*(주문내역!$L$3:$L$2002&lt;&gt;""))-SUMPRODUCT((주문내역!$A$3:$A$2002=$A30)*(주문내역!$L$3:$L$2002=0)*(주문내역!$K$3:$K$2002&lt;30000)*0)</f>
        <v>0</v>
      </c>
      <c r="C30" s="28" t="n">
        <f aca="false">SUMIFS(주문내역!$I$3:$I$2002,주문내역!$A$3:$A$2002,$A30)</f>
        <v>0</v>
      </c>
      <c r="D30" s="28" t="n">
        <f aca="false">SUMIFS(주문내역!$L$3:$L$2002,주문내역!$A$3:$A$2002,$A30)</f>
        <v>0</v>
      </c>
      <c r="E30" s="28" t="n">
        <f aca="false">$C30+$D30</f>
        <v>0</v>
      </c>
      <c r="F30" s="28" t="n">
        <f aca="false">IF($B30=0,0,ROUND($E30/$B30,0))</f>
        <v>0</v>
      </c>
    </row>
    <row r="31" customFormat="false" ht="15" hidden="false" customHeight="false" outlineLevel="0" collapsed="false">
      <c r="A31" s="27" t="n">
        <f aca="false">$B$3+25</f>
        <v>46291</v>
      </c>
      <c r="B31" s="21" t="n">
        <f aca="false">SUMPRODUCT((주문내역!$A$3:$A$2002=$A31)*(주문내역!$L$3:$L$2002&lt;&gt;""))-SUMPRODUCT((주문내역!$A$3:$A$2002=$A31)*(주문내역!$L$3:$L$2002=0)*(주문내역!$K$3:$K$2002&lt;30000)*0)</f>
        <v>0</v>
      </c>
      <c r="C31" s="28" t="n">
        <f aca="false">SUMIFS(주문내역!$I$3:$I$2002,주문내역!$A$3:$A$2002,$A31)</f>
        <v>0</v>
      </c>
      <c r="D31" s="28" t="n">
        <f aca="false">SUMIFS(주문내역!$L$3:$L$2002,주문내역!$A$3:$A$2002,$A31)</f>
        <v>0</v>
      </c>
      <c r="E31" s="28" t="n">
        <f aca="false">$C31+$D31</f>
        <v>0</v>
      </c>
      <c r="F31" s="28" t="n">
        <f aca="false">IF($B31=0,0,ROUND($E31/$B31,0))</f>
        <v>0</v>
      </c>
    </row>
    <row r="32" customFormat="false" ht="15" hidden="false" customHeight="false" outlineLevel="0" collapsed="false">
      <c r="A32" s="27" t="n">
        <f aca="false">$B$3+26</f>
        <v>46292</v>
      </c>
      <c r="B32" s="21" t="n">
        <f aca="false">SUMPRODUCT((주문내역!$A$3:$A$2002=$A32)*(주문내역!$L$3:$L$2002&lt;&gt;""))-SUMPRODUCT((주문내역!$A$3:$A$2002=$A32)*(주문내역!$L$3:$L$2002=0)*(주문내역!$K$3:$K$2002&lt;30000)*0)</f>
        <v>0</v>
      </c>
      <c r="C32" s="28" t="n">
        <f aca="false">SUMIFS(주문내역!$I$3:$I$2002,주문내역!$A$3:$A$2002,$A32)</f>
        <v>0</v>
      </c>
      <c r="D32" s="28" t="n">
        <f aca="false">SUMIFS(주문내역!$L$3:$L$2002,주문내역!$A$3:$A$2002,$A32)</f>
        <v>0</v>
      </c>
      <c r="E32" s="28" t="n">
        <f aca="false">$C32+$D32</f>
        <v>0</v>
      </c>
      <c r="F32" s="28" t="n">
        <f aca="false">IF($B32=0,0,ROUND($E32/$B32,0))</f>
        <v>0</v>
      </c>
    </row>
    <row r="33" customFormat="false" ht="15" hidden="false" customHeight="false" outlineLevel="0" collapsed="false">
      <c r="A33" s="27" t="n">
        <f aca="false">$B$3+27</f>
        <v>46293</v>
      </c>
      <c r="B33" s="21" t="n">
        <f aca="false">SUMPRODUCT((주문내역!$A$3:$A$2002=$A33)*(주문내역!$L$3:$L$2002&lt;&gt;""))-SUMPRODUCT((주문내역!$A$3:$A$2002=$A33)*(주문내역!$L$3:$L$2002=0)*(주문내역!$K$3:$K$2002&lt;30000)*0)</f>
        <v>0</v>
      </c>
      <c r="C33" s="28" t="n">
        <f aca="false">SUMIFS(주문내역!$I$3:$I$2002,주문내역!$A$3:$A$2002,$A33)</f>
        <v>0</v>
      </c>
      <c r="D33" s="28" t="n">
        <f aca="false">SUMIFS(주문내역!$L$3:$L$2002,주문내역!$A$3:$A$2002,$A33)</f>
        <v>0</v>
      </c>
      <c r="E33" s="28" t="n">
        <f aca="false">$C33+$D33</f>
        <v>0</v>
      </c>
      <c r="F33" s="28" t="n">
        <f aca="false">IF($B33=0,0,ROUND($E33/$B33,0))</f>
        <v>0</v>
      </c>
    </row>
    <row r="34" customFormat="false" ht="15" hidden="false" customHeight="false" outlineLevel="0" collapsed="false">
      <c r="A34" s="27" t="n">
        <f aca="false">$B$3+28</f>
        <v>46294</v>
      </c>
      <c r="B34" s="21" t="n">
        <f aca="false">SUMPRODUCT((주문내역!$A$3:$A$2002=$A34)*(주문내역!$L$3:$L$2002&lt;&gt;""))-SUMPRODUCT((주문내역!$A$3:$A$2002=$A34)*(주문내역!$L$3:$L$2002=0)*(주문내역!$K$3:$K$2002&lt;30000)*0)</f>
        <v>0</v>
      </c>
      <c r="C34" s="28" t="n">
        <f aca="false">SUMIFS(주문내역!$I$3:$I$2002,주문내역!$A$3:$A$2002,$A34)</f>
        <v>0</v>
      </c>
      <c r="D34" s="28" t="n">
        <f aca="false">SUMIFS(주문내역!$L$3:$L$2002,주문내역!$A$3:$A$2002,$A34)</f>
        <v>0</v>
      </c>
      <c r="E34" s="28" t="n">
        <f aca="false">$C34+$D34</f>
        <v>0</v>
      </c>
      <c r="F34" s="28" t="n">
        <f aca="false">IF($B34=0,0,ROUND($E34/$B34,0))</f>
        <v>0</v>
      </c>
    </row>
    <row r="35" customFormat="false" ht="15" hidden="false" customHeight="false" outlineLevel="0" collapsed="false">
      <c r="A35" s="27" t="n">
        <f aca="false">$B$3+29</f>
        <v>46295</v>
      </c>
      <c r="B35" s="21" t="n">
        <f aca="false">SUMPRODUCT((주문내역!$A$3:$A$2002=$A35)*(주문내역!$L$3:$L$2002&lt;&gt;""))-SUMPRODUCT((주문내역!$A$3:$A$2002=$A35)*(주문내역!$L$3:$L$2002=0)*(주문내역!$K$3:$K$2002&lt;30000)*0)</f>
        <v>0</v>
      </c>
      <c r="C35" s="28" t="n">
        <f aca="false">SUMIFS(주문내역!$I$3:$I$2002,주문내역!$A$3:$A$2002,$A35)</f>
        <v>0</v>
      </c>
      <c r="D35" s="28" t="n">
        <f aca="false">SUMIFS(주문내역!$L$3:$L$2002,주문내역!$A$3:$A$2002,$A35)</f>
        <v>0</v>
      </c>
      <c r="E35" s="28" t="n">
        <f aca="false">$C35+$D35</f>
        <v>0</v>
      </c>
      <c r="F35" s="28" t="n">
        <f aca="false">IF($B35=0,0,ROUND($E35/$B35,0))</f>
        <v>0</v>
      </c>
    </row>
    <row r="36" customFormat="false" ht="15" hidden="false" customHeight="false" outlineLevel="0" collapsed="false">
      <c r="A36" s="27" t="n">
        <f aca="false">$B$3+30</f>
        <v>46296</v>
      </c>
      <c r="B36" s="21" t="n">
        <f aca="false">SUMPRODUCT((주문내역!$A$3:$A$2002=$A36)*(주문내역!$L$3:$L$2002&lt;&gt;""))-SUMPRODUCT((주문내역!$A$3:$A$2002=$A36)*(주문내역!$L$3:$L$2002=0)*(주문내역!$K$3:$K$2002&lt;30000)*0)</f>
        <v>0</v>
      </c>
      <c r="C36" s="28" t="n">
        <f aca="false">SUMIFS(주문내역!$I$3:$I$2002,주문내역!$A$3:$A$2002,$A36)</f>
        <v>0</v>
      </c>
      <c r="D36" s="28" t="n">
        <f aca="false">SUMIFS(주문내역!$L$3:$L$2002,주문내역!$A$3:$A$2002,$A36)</f>
        <v>0</v>
      </c>
      <c r="E36" s="28" t="n">
        <f aca="false">$C36+$D36</f>
        <v>0</v>
      </c>
      <c r="F36" s="28" t="n">
        <f aca="false">IF($B36=0,0,ROUND($E36/$B36,0))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5" min="4" style="1" width="17"/>
  </cols>
  <sheetData>
    <row r="1" customFormat="false" ht="25.5" hidden="false" customHeight="true" outlineLevel="0" collapsed="false">
      <c r="A1" s="2" t="s">
        <v>81</v>
      </c>
      <c r="B1" s="2"/>
      <c r="C1" s="2"/>
      <c r="D1" s="2"/>
      <c r="E1" s="2"/>
    </row>
    <row r="3" customFormat="false" ht="15" hidden="false" customHeight="false" outlineLevel="0" collapsed="false">
      <c r="A3" s="6" t="s">
        <v>28</v>
      </c>
      <c r="B3" s="6" t="s">
        <v>29</v>
      </c>
      <c r="C3" s="6" t="s">
        <v>77</v>
      </c>
      <c r="D3" s="6" t="s">
        <v>78</v>
      </c>
      <c r="E3" s="6" t="s">
        <v>82</v>
      </c>
    </row>
    <row r="4" customFormat="false" ht="15" hidden="false" customHeight="false" outlineLevel="0" collapsed="false">
      <c r="A4" s="14" t="str">
        <f aca="false">IF(지역추가비!$A3="","",지역추가비!$A3)</f>
        <v>일반</v>
      </c>
      <c r="B4" s="13" t="n">
        <f aca="false">IF($A4="","",지역추가비!$B3)</f>
        <v>0</v>
      </c>
      <c r="C4" s="21" t="n">
        <f aca="false">IF($A4="","",COUNTIFS(주문내역!$J$3:$J$2002,$A4))</f>
        <v>4</v>
      </c>
      <c r="D4" s="28" t="n">
        <f aca="false">IF($A4="","",SUMIFS(주문내역!$I$3:$I$2002,주문내역!$J$3:$J$2002,$A4))</f>
        <v>95000</v>
      </c>
      <c r="E4" s="28" t="n">
        <f aca="false">IF($A4="","",SUMIFS(주문내역!$L$3:$L$2002,주문내역!$J$3:$J$2002,$A4))</f>
        <v>3000</v>
      </c>
    </row>
    <row r="5" customFormat="false" ht="15" hidden="false" customHeight="false" outlineLevel="0" collapsed="false">
      <c r="A5" s="14" t="str">
        <f aca="false">IF(지역추가비!$A4="","",지역추가비!$A4)</f>
        <v>제주</v>
      </c>
      <c r="B5" s="13" t="n">
        <f aca="false">IF($A5="","",지역추가비!$B4)</f>
        <v>3000</v>
      </c>
      <c r="C5" s="21" t="n">
        <f aca="false">IF($A5="","",COUNTIFS(주문내역!$J$3:$J$2002,$A5))</f>
        <v>1</v>
      </c>
      <c r="D5" s="28" t="n">
        <f aca="false">IF($A5="","",SUMIFS(주문내역!$I$3:$I$2002,주문내역!$J$3:$J$2002,$A5))</f>
        <v>29000</v>
      </c>
      <c r="E5" s="28" t="n">
        <f aca="false">IF($A5="","",SUMIFS(주문내역!$L$3:$L$2002,주문내역!$J$3:$J$2002,$A5))</f>
        <v>6000</v>
      </c>
    </row>
    <row r="6" customFormat="false" ht="15" hidden="false" customHeight="false" outlineLevel="0" collapsed="false">
      <c r="A6" s="14" t="str">
        <f aca="false">IF(지역추가비!$A5="","",지역추가비!$A5)</f>
        <v>도서산간</v>
      </c>
      <c r="B6" s="13" t="n">
        <f aca="false">IF($A6="","",지역추가비!$B5)</f>
        <v>5000</v>
      </c>
      <c r="C6" s="21" t="n">
        <f aca="false">IF($A6="","",COUNTIFS(주문내역!$J$3:$J$2002,$A6))</f>
        <v>0</v>
      </c>
      <c r="D6" s="28" t="n">
        <f aca="false">IF($A6="","",SUMIFS(주문내역!$I$3:$I$2002,주문내역!$J$3:$J$2002,$A6))</f>
        <v>0</v>
      </c>
      <c r="E6" s="28" t="n">
        <f aca="false">IF($A6="","",SUMIFS(주문내역!$L$3:$L$2002,주문내역!$J$3:$J$2002,$A6))</f>
        <v>0</v>
      </c>
    </row>
    <row r="7" customFormat="false" ht="15" hidden="false" customHeight="false" outlineLevel="0" collapsed="false">
      <c r="A7" s="14" t="str">
        <f aca="false">IF(지역추가비!$A6="","",지역추가비!$A6)</f>
        <v/>
      </c>
      <c r="B7" s="13" t="str">
        <f aca="false">IF($A7="","",지역추가비!$B6)</f>
        <v/>
      </c>
      <c r="C7" s="21" t="str">
        <f aca="false">IF($A7="","",COUNTIFS(주문내역!$J$3:$J$2002,$A7))</f>
        <v/>
      </c>
      <c r="D7" s="28" t="str">
        <f aca="false">IF($A7="","",SUMIFS(주문내역!$I$3:$I$2002,주문내역!$J$3:$J$2002,$A7))</f>
        <v/>
      </c>
      <c r="E7" s="28" t="str">
        <f aca="false">IF($A7="","",SUMIFS(주문내역!$L$3:$L$2002,주문내역!$J$3:$J$2002,$A7))</f>
        <v/>
      </c>
    </row>
    <row r="8" customFormat="false" ht="15" hidden="false" customHeight="false" outlineLevel="0" collapsed="false">
      <c r="A8" s="14" t="str">
        <f aca="false">IF(지역추가비!$A7="","",지역추가비!$A7)</f>
        <v/>
      </c>
      <c r="B8" s="13" t="str">
        <f aca="false">IF($A8="","",지역추가비!$B7)</f>
        <v/>
      </c>
      <c r="C8" s="21" t="str">
        <f aca="false">IF($A8="","",COUNTIFS(주문내역!$J$3:$J$2002,$A8))</f>
        <v/>
      </c>
      <c r="D8" s="28" t="str">
        <f aca="false">IF($A8="","",SUMIFS(주문내역!$I$3:$I$2002,주문내역!$J$3:$J$2002,$A8))</f>
        <v/>
      </c>
      <c r="E8" s="28" t="str">
        <f aca="false">IF($A8="","",SUMIFS(주문내역!$L$3:$L$2002,주문내역!$J$3:$J$2002,$A8))</f>
        <v/>
      </c>
    </row>
    <row r="9" customFormat="false" ht="15" hidden="false" customHeight="false" outlineLevel="0" collapsed="false">
      <c r="A9" s="14" t="str">
        <f aca="false">IF(지역추가비!$A8="","",지역추가비!$A8)</f>
        <v/>
      </c>
      <c r="B9" s="13" t="str">
        <f aca="false">IF($A9="","",지역추가비!$B8)</f>
        <v/>
      </c>
      <c r="C9" s="21" t="str">
        <f aca="false">IF($A9="","",COUNTIFS(주문내역!$J$3:$J$2002,$A9))</f>
        <v/>
      </c>
      <c r="D9" s="28" t="str">
        <f aca="false">IF($A9="","",SUMIFS(주문내역!$I$3:$I$2002,주문내역!$J$3:$J$2002,$A9))</f>
        <v/>
      </c>
      <c r="E9" s="28" t="str">
        <f aca="false">IF($A9="","",SUMIFS(주문내역!$L$3:$L$2002,주문내역!$J$3:$J$2002,$A9))</f>
        <v/>
      </c>
    </row>
    <row r="10" customFormat="false" ht="15" hidden="false" customHeight="false" outlineLevel="0" collapsed="false">
      <c r="A10" s="14" t="str">
        <f aca="false">IF(지역추가비!$A9="","",지역추가비!$A9)</f>
        <v/>
      </c>
      <c r="B10" s="13" t="str">
        <f aca="false">IF($A10="","",지역추가비!$B9)</f>
        <v/>
      </c>
      <c r="C10" s="21" t="str">
        <f aca="false">IF($A10="","",COUNTIFS(주문내역!$J$3:$J$2002,$A10))</f>
        <v/>
      </c>
      <c r="D10" s="28" t="str">
        <f aca="false">IF($A10="","",SUMIFS(주문내역!$I$3:$I$2002,주문내역!$J$3:$J$2002,$A10))</f>
        <v/>
      </c>
      <c r="E10" s="28" t="str">
        <f aca="false">IF($A10="","",SUMIFS(주문내역!$L$3:$L$2002,주문내역!$J$3:$J$2002,$A10))</f>
        <v/>
      </c>
    </row>
    <row r="11" customFormat="false" ht="15" hidden="false" customHeight="false" outlineLevel="0" collapsed="false">
      <c r="A11" s="14" t="str">
        <f aca="false">IF(지역추가비!$A10="","",지역추가비!$A10)</f>
        <v/>
      </c>
      <c r="B11" s="13" t="str">
        <f aca="false">IF($A11="","",지역추가비!$B10)</f>
        <v/>
      </c>
      <c r="C11" s="21" t="str">
        <f aca="false">IF($A11="","",COUNTIFS(주문내역!$J$3:$J$2002,$A11))</f>
        <v/>
      </c>
      <c r="D11" s="28" t="str">
        <f aca="false">IF($A11="","",SUMIFS(주문내역!$I$3:$I$2002,주문내역!$J$3:$J$2002,$A11))</f>
        <v/>
      </c>
      <c r="E11" s="28" t="str">
        <f aca="false">IF($A11="","",SUMIFS(주문내역!$L$3:$L$2002,주문내역!$J$3:$J$2002,$A11))</f>
        <v/>
      </c>
    </row>
    <row r="12" customFormat="false" ht="15" hidden="false" customHeight="false" outlineLevel="0" collapsed="false">
      <c r="A12" s="14" t="str">
        <f aca="false">IF(지역추가비!$A11="","",지역추가비!$A11)</f>
        <v/>
      </c>
      <c r="B12" s="13" t="str">
        <f aca="false">IF($A12="","",지역추가비!$B11)</f>
        <v/>
      </c>
      <c r="C12" s="21" t="str">
        <f aca="false">IF($A12="","",COUNTIFS(주문내역!$J$3:$J$2002,$A12))</f>
        <v/>
      </c>
      <c r="D12" s="28" t="str">
        <f aca="false">IF($A12="","",SUMIFS(주문내역!$I$3:$I$2002,주문내역!$J$3:$J$2002,$A12))</f>
        <v/>
      </c>
      <c r="E12" s="28" t="str">
        <f aca="false">IF($A12="","",SUMIFS(주문내역!$L$3:$L$2002,주문내역!$J$3:$J$2002,$A12))</f>
        <v/>
      </c>
    </row>
    <row r="13" customFormat="false" ht="15" hidden="false" customHeight="false" outlineLevel="0" collapsed="false">
      <c r="A13" s="14" t="str">
        <f aca="false">IF(지역추가비!$A12="","",지역추가비!$A12)</f>
        <v/>
      </c>
      <c r="B13" s="13" t="str">
        <f aca="false">IF($A13="","",지역추가비!$B12)</f>
        <v/>
      </c>
      <c r="C13" s="21" t="str">
        <f aca="false">IF($A13="","",COUNTIFS(주문내역!$J$3:$J$2002,$A13))</f>
        <v/>
      </c>
      <c r="D13" s="28" t="str">
        <f aca="false">IF($A13="","",SUMIFS(주문내역!$I$3:$I$2002,주문내역!$J$3:$J$2002,$A13))</f>
        <v/>
      </c>
      <c r="E13" s="28" t="str">
        <f aca="false">IF($A13="","",SUMIFS(주문내역!$L$3:$L$2002,주문내역!$J$3:$J$2002,$A13))</f>
        <v/>
      </c>
    </row>
    <row r="14" customFormat="false" ht="15" hidden="false" customHeight="false" outlineLevel="0" collapsed="false">
      <c r="A14" s="14" t="str">
        <f aca="false">IF(지역추가비!$A13="","",지역추가비!$A13)</f>
        <v/>
      </c>
      <c r="B14" s="13" t="str">
        <f aca="false">IF($A14="","",지역추가비!$B13)</f>
        <v/>
      </c>
      <c r="C14" s="21" t="str">
        <f aca="false">IF($A14="","",COUNTIFS(주문내역!$J$3:$J$2002,$A14))</f>
        <v/>
      </c>
      <c r="D14" s="28" t="str">
        <f aca="false">IF($A14="","",SUMIFS(주문내역!$I$3:$I$2002,주문내역!$J$3:$J$2002,$A14))</f>
        <v/>
      </c>
      <c r="E14" s="28" t="str">
        <f aca="false">IF($A14="","",SUMIFS(주문내역!$L$3:$L$2002,주문내역!$J$3:$J$2002,$A14))</f>
        <v/>
      </c>
    </row>
    <row r="15" customFormat="false" ht="15" hidden="false" customHeight="false" outlineLevel="0" collapsed="false">
      <c r="A15" s="14" t="str">
        <f aca="false">IF(지역추가비!$A14="","",지역추가비!$A14)</f>
        <v/>
      </c>
      <c r="B15" s="13" t="str">
        <f aca="false">IF($A15="","",지역추가비!$B14)</f>
        <v/>
      </c>
      <c r="C15" s="21" t="str">
        <f aca="false">IF($A15="","",COUNTIFS(주문내역!$J$3:$J$2002,$A15))</f>
        <v/>
      </c>
      <c r="D15" s="28" t="str">
        <f aca="false">IF($A15="","",SUMIFS(주문내역!$I$3:$I$2002,주문내역!$J$3:$J$2002,$A15))</f>
        <v/>
      </c>
      <c r="E15" s="28" t="str">
        <f aca="false">IF($A15="","",SUMIFS(주문내역!$L$3:$L$2002,주문내역!$J$3:$J$2002,$A15))</f>
        <v/>
      </c>
    </row>
    <row r="16" customFormat="false" ht="15" hidden="false" customHeight="false" outlineLevel="0" collapsed="false">
      <c r="A16" s="14" t="str">
        <f aca="false">IF(지역추가비!$A15="","",지역추가비!$A15)</f>
        <v/>
      </c>
      <c r="B16" s="13" t="str">
        <f aca="false">IF($A16="","",지역추가비!$B15)</f>
        <v/>
      </c>
      <c r="C16" s="21" t="str">
        <f aca="false">IF($A16="","",COUNTIFS(주문내역!$J$3:$J$2002,$A16))</f>
        <v/>
      </c>
      <c r="D16" s="28" t="str">
        <f aca="false">IF($A16="","",SUMIFS(주문내역!$I$3:$I$2002,주문내역!$J$3:$J$2002,$A16))</f>
        <v/>
      </c>
      <c r="E16" s="28" t="str">
        <f aca="false">IF($A16="","",SUMIFS(주문내역!$L$3:$L$2002,주문내역!$J$3:$J$2002,$A16))</f>
        <v/>
      </c>
    </row>
    <row r="17" customFormat="false" ht="15" hidden="false" customHeight="false" outlineLevel="0" collapsed="false">
      <c r="A17" s="14" t="str">
        <f aca="false">IF(지역추가비!$A16="","",지역추가비!$A16)</f>
        <v/>
      </c>
      <c r="B17" s="13" t="str">
        <f aca="false">IF($A17="","",지역추가비!$B16)</f>
        <v/>
      </c>
      <c r="C17" s="21" t="str">
        <f aca="false">IF($A17="","",COUNTIFS(주문내역!$J$3:$J$2002,$A17))</f>
        <v/>
      </c>
      <c r="D17" s="28" t="str">
        <f aca="false">IF($A17="","",SUMIFS(주문내역!$I$3:$I$2002,주문내역!$J$3:$J$2002,$A17))</f>
        <v/>
      </c>
      <c r="E17" s="28" t="str">
        <f aca="false">IF($A17="","",SUMIFS(주문내역!$L$3:$L$2002,주문내역!$J$3:$J$2002,$A17))</f>
        <v/>
      </c>
    </row>
    <row r="18" customFormat="false" ht="15" hidden="false" customHeight="false" outlineLevel="0" collapsed="false">
      <c r="A18" s="14" t="str">
        <f aca="false">IF(지역추가비!$A17="","",지역추가비!$A17)</f>
        <v/>
      </c>
      <c r="B18" s="13" t="str">
        <f aca="false">IF($A18="","",지역추가비!$B17)</f>
        <v/>
      </c>
      <c r="C18" s="21" t="str">
        <f aca="false">IF($A18="","",COUNTIFS(주문내역!$J$3:$J$2002,$A18))</f>
        <v/>
      </c>
      <c r="D18" s="28" t="str">
        <f aca="false">IF($A18="","",SUMIFS(주문내역!$I$3:$I$2002,주문내역!$J$3:$J$2002,$A18))</f>
        <v/>
      </c>
      <c r="E18" s="28" t="str">
        <f aca="false">IF($A18="","",SUMIFS(주문내역!$L$3:$L$2002,주문내역!$J$3:$J$2002,$A18))</f>
        <v/>
      </c>
    </row>
    <row r="19" customFormat="false" ht="15" hidden="false" customHeight="false" outlineLevel="0" collapsed="false">
      <c r="A19" s="14" t="str">
        <f aca="false">IF(지역추가비!$A18="","",지역추가비!$A18)</f>
        <v/>
      </c>
      <c r="B19" s="13" t="str">
        <f aca="false">IF($A19="","",지역추가비!$B18)</f>
        <v/>
      </c>
      <c r="C19" s="21" t="str">
        <f aca="false">IF($A19="","",COUNTIFS(주문내역!$J$3:$J$2002,$A19))</f>
        <v/>
      </c>
      <c r="D19" s="28" t="str">
        <f aca="false">IF($A19="","",SUMIFS(주문내역!$I$3:$I$2002,주문내역!$J$3:$J$2002,$A19))</f>
        <v/>
      </c>
      <c r="E19" s="28" t="str">
        <f aca="false">IF($A19="","",SUMIFS(주문내역!$L$3:$L$2002,주문내역!$J$3:$J$2002,$A19))</f>
        <v/>
      </c>
    </row>
    <row r="20" customFormat="false" ht="15" hidden="false" customHeight="false" outlineLevel="0" collapsed="false">
      <c r="A20" s="14" t="str">
        <f aca="false">IF(지역추가비!$A19="","",지역추가비!$A19)</f>
        <v/>
      </c>
      <c r="B20" s="13" t="str">
        <f aca="false">IF($A20="","",지역추가비!$B19)</f>
        <v/>
      </c>
      <c r="C20" s="21" t="str">
        <f aca="false">IF($A20="","",COUNTIFS(주문내역!$J$3:$J$2002,$A20))</f>
        <v/>
      </c>
      <c r="D20" s="28" t="str">
        <f aca="false">IF($A20="","",SUMIFS(주문내역!$I$3:$I$2002,주문내역!$J$3:$J$2002,$A20))</f>
        <v/>
      </c>
      <c r="E20" s="28" t="str">
        <f aca="false">IF($A20="","",SUMIFS(주문내역!$L$3:$L$2002,주문내역!$J$3:$J$2002,$A20))</f>
        <v/>
      </c>
    </row>
    <row r="21" customFormat="false" ht="15" hidden="false" customHeight="false" outlineLevel="0" collapsed="false">
      <c r="A21" s="14" t="str">
        <f aca="false">IF(지역추가비!$A20="","",지역추가비!$A20)</f>
        <v/>
      </c>
      <c r="B21" s="13" t="str">
        <f aca="false">IF($A21="","",지역추가비!$B20)</f>
        <v/>
      </c>
      <c r="C21" s="21" t="str">
        <f aca="false">IF($A21="","",COUNTIFS(주문내역!$J$3:$J$2002,$A21))</f>
        <v/>
      </c>
      <c r="D21" s="28" t="str">
        <f aca="false">IF($A21="","",SUMIFS(주문내역!$I$3:$I$2002,주문내역!$J$3:$J$2002,$A21))</f>
        <v/>
      </c>
      <c r="E21" s="28" t="str">
        <f aca="false">IF($A21="","",SUMIFS(주문내역!$L$3:$L$2002,주문내역!$J$3:$J$2002,$A21))</f>
        <v/>
      </c>
    </row>
    <row r="22" customFormat="false" ht="15" hidden="false" customHeight="false" outlineLevel="0" collapsed="false">
      <c r="A22" s="14" t="str">
        <f aca="false">IF(지역추가비!$A21="","",지역추가비!$A21)</f>
        <v/>
      </c>
      <c r="B22" s="13" t="str">
        <f aca="false">IF($A22="","",지역추가비!$B21)</f>
        <v/>
      </c>
      <c r="C22" s="21" t="str">
        <f aca="false">IF($A22="","",COUNTIFS(주문내역!$J$3:$J$2002,$A22))</f>
        <v/>
      </c>
      <c r="D22" s="28" t="str">
        <f aca="false">IF($A22="","",SUMIFS(주문내역!$I$3:$I$2002,주문내역!$J$3:$J$2002,$A22))</f>
        <v/>
      </c>
      <c r="E22" s="28" t="str">
        <f aca="false">IF($A22="","",SUMIFS(주문내역!$L$3:$L$2002,주문내역!$J$3:$J$2002,$A22))</f>
        <v/>
      </c>
    </row>
    <row r="23" customFormat="false" ht="15" hidden="false" customHeight="false" outlineLevel="0" collapsed="false">
      <c r="A23" s="14" t="str">
        <f aca="false">IF(지역추가비!$A22="","",지역추가비!$A22)</f>
        <v/>
      </c>
      <c r="B23" s="13" t="str">
        <f aca="false">IF($A23="","",지역추가비!$B22)</f>
        <v/>
      </c>
      <c r="C23" s="21" t="str">
        <f aca="false">IF($A23="","",COUNTIFS(주문내역!$J$3:$J$2002,$A23))</f>
        <v/>
      </c>
      <c r="D23" s="28" t="str">
        <f aca="false">IF($A23="","",SUMIFS(주문내역!$I$3:$I$2002,주문내역!$J$3:$J$2002,$A23))</f>
        <v/>
      </c>
      <c r="E23" s="28" t="str">
        <f aca="false">IF($A23="","",SUMIFS(주문내역!$L$3:$L$2002,주문내역!$J$3:$J$2002,$A23))</f>
        <v/>
      </c>
    </row>
    <row r="24" customFormat="false" ht="15" hidden="false" customHeight="false" outlineLevel="0" collapsed="false">
      <c r="A24" s="14" t="str">
        <f aca="false">IF(지역추가비!$A23="","",지역추가비!$A23)</f>
        <v/>
      </c>
      <c r="B24" s="13" t="str">
        <f aca="false">IF($A24="","",지역추가비!$B23)</f>
        <v/>
      </c>
      <c r="C24" s="21" t="str">
        <f aca="false">IF($A24="","",COUNTIFS(주문내역!$J$3:$J$2002,$A24))</f>
        <v/>
      </c>
      <c r="D24" s="28" t="str">
        <f aca="false">IF($A24="","",SUMIFS(주문내역!$I$3:$I$2002,주문내역!$J$3:$J$2002,$A24))</f>
        <v/>
      </c>
      <c r="E24" s="28" t="str">
        <f aca="false">IF($A24="","",SUMIFS(주문내역!$L$3:$L$2002,주문내역!$J$3:$J$2002,$A24))</f>
        <v/>
      </c>
    </row>
    <row r="25" customFormat="false" ht="15" hidden="false" customHeight="false" outlineLevel="0" collapsed="false">
      <c r="A25" s="14" t="str">
        <f aca="false">IF(지역추가비!$A24="","",지역추가비!$A24)</f>
        <v/>
      </c>
      <c r="B25" s="13" t="str">
        <f aca="false">IF($A25="","",지역추가비!$B24)</f>
        <v/>
      </c>
      <c r="C25" s="21" t="str">
        <f aca="false">IF($A25="","",COUNTIFS(주문내역!$J$3:$J$2002,$A25))</f>
        <v/>
      </c>
      <c r="D25" s="28" t="str">
        <f aca="false">IF($A25="","",SUMIFS(주문내역!$I$3:$I$2002,주문내역!$J$3:$J$2002,$A25))</f>
        <v/>
      </c>
      <c r="E25" s="28" t="str">
        <f aca="false">IF($A25="","",SUMIFS(주문내역!$L$3:$L$2002,주문내역!$J$3:$J$2002,$A25))</f>
        <v/>
      </c>
    </row>
    <row r="26" customFormat="false" ht="15" hidden="false" customHeight="false" outlineLevel="0" collapsed="false">
      <c r="A26" s="14" t="str">
        <f aca="false">IF(지역추가비!$A25="","",지역추가비!$A25)</f>
        <v/>
      </c>
      <c r="B26" s="13" t="str">
        <f aca="false">IF($A26="","",지역추가비!$B25)</f>
        <v/>
      </c>
      <c r="C26" s="21" t="str">
        <f aca="false">IF($A26="","",COUNTIFS(주문내역!$J$3:$J$2002,$A26))</f>
        <v/>
      </c>
      <c r="D26" s="28" t="str">
        <f aca="false">IF($A26="","",SUMIFS(주문내역!$I$3:$I$2002,주문내역!$J$3:$J$2002,$A26))</f>
        <v/>
      </c>
      <c r="E26" s="28" t="str">
        <f aca="false">IF($A26="","",SUMIFS(주문내역!$L$3:$L$2002,주문내역!$J$3:$J$2002,$A26))</f>
        <v/>
      </c>
    </row>
    <row r="27" customFormat="false" ht="15" hidden="false" customHeight="false" outlineLevel="0" collapsed="false">
      <c r="A27" s="14" t="str">
        <f aca="false">IF(지역추가비!$A26="","",지역추가비!$A26)</f>
        <v/>
      </c>
      <c r="B27" s="13" t="str">
        <f aca="false">IF($A27="","",지역추가비!$B26)</f>
        <v/>
      </c>
      <c r="C27" s="21" t="str">
        <f aca="false">IF($A27="","",COUNTIFS(주문내역!$J$3:$J$2002,$A27))</f>
        <v/>
      </c>
      <c r="D27" s="28" t="str">
        <f aca="false">IF($A27="","",SUMIFS(주문내역!$I$3:$I$2002,주문내역!$J$3:$J$2002,$A27))</f>
        <v/>
      </c>
      <c r="E27" s="28" t="str">
        <f aca="false">IF($A27="","",SUMIFS(주문내역!$L$3:$L$2002,주문내역!$J$3:$J$2002,$A27))</f>
        <v/>
      </c>
    </row>
    <row r="28" customFormat="false" ht="15" hidden="false" customHeight="false" outlineLevel="0" collapsed="false">
      <c r="A28" s="14" t="str">
        <f aca="false">IF(지역추가비!$A27="","",지역추가비!$A27)</f>
        <v/>
      </c>
      <c r="B28" s="13" t="str">
        <f aca="false">IF($A28="","",지역추가비!$B27)</f>
        <v/>
      </c>
      <c r="C28" s="21" t="str">
        <f aca="false">IF($A28="","",COUNTIFS(주문내역!$J$3:$J$2002,$A28))</f>
        <v/>
      </c>
      <c r="D28" s="28" t="str">
        <f aca="false">IF($A28="","",SUMIFS(주문내역!$I$3:$I$2002,주문내역!$J$3:$J$2002,$A28))</f>
        <v/>
      </c>
      <c r="E28" s="28" t="str">
        <f aca="false">IF($A28="","",SUMIFS(주문내역!$L$3:$L$2002,주문내역!$J$3:$J$2002,$A28))</f>
        <v/>
      </c>
    </row>
    <row r="29" customFormat="false" ht="15" hidden="false" customHeight="false" outlineLevel="0" collapsed="false">
      <c r="A29" s="14" t="str">
        <f aca="false">IF(지역추가비!$A28="","",지역추가비!$A28)</f>
        <v/>
      </c>
      <c r="B29" s="13" t="str">
        <f aca="false">IF($A29="","",지역추가비!$B28)</f>
        <v/>
      </c>
      <c r="C29" s="21" t="str">
        <f aca="false">IF($A29="","",COUNTIFS(주문내역!$J$3:$J$2002,$A29))</f>
        <v/>
      </c>
      <c r="D29" s="28" t="str">
        <f aca="false">IF($A29="","",SUMIFS(주문내역!$I$3:$I$2002,주문내역!$J$3:$J$2002,$A29))</f>
        <v/>
      </c>
      <c r="E29" s="28" t="str">
        <f aca="false">IF($A29="","",SUMIFS(주문내역!$L$3:$L$2002,주문내역!$J$3:$J$2002,$A29))</f>
        <v/>
      </c>
    </row>
    <row r="30" customFormat="false" ht="15" hidden="false" customHeight="false" outlineLevel="0" collapsed="false">
      <c r="A30" s="14" t="str">
        <f aca="false">IF(지역추가비!$A29="","",지역추가비!$A29)</f>
        <v/>
      </c>
      <c r="B30" s="13" t="str">
        <f aca="false">IF($A30="","",지역추가비!$B29)</f>
        <v/>
      </c>
      <c r="C30" s="21" t="str">
        <f aca="false">IF($A30="","",COUNTIFS(주문내역!$J$3:$J$2002,$A30))</f>
        <v/>
      </c>
      <c r="D30" s="28" t="str">
        <f aca="false">IF($A30="","",SUMIFS(주문내역!$I$3:$I$2002,주문내역!$J$3:$J$2002,$A30))</f>
        <v/>
      </c>
      <c r="E30" s="28" t="str">
        <f aca="false">IF($A30="","",SUMIFS(주문내역!$L$3:$L$2002,주문내역!$J$3:$J$2002,$A30))</f>
        <v/>
      </c>
    </row>
    <row r="31" customFormat="false" ht="15" hidden="false" customHeight="false" outlineLevel="0" collapsed="false">
      <c r="A31" s="14" t="str">
        <f aca="false">IF(지역추가비!$A30="","",지역추가비!$A30)</f>
        <v/>
      </c>
      <c r="B31" s="13" t="str">
        <f aca="false">IF($A31="","",지역추가비!$B30)</f>
        <v/>
      </c>
      <c r="C31" s="21" t="str">
        <f aca="false">IF($A31="","",COUNTIFS(주문내역!$J$3:$J$2002,$A31))</f>
        <v/>
      </c>
      <c r="D31" s="28" t="str">
        <f aca="false">IF($A31="","",SUMIFS(주문내역!$I$3:$I$2002,주문내역!$J$3:$J$2002,$A31))</f>
        <v/>
      </c>
      <c r="E31" s="28" t="str">
        <f aca="false">IF($A31="","",SUMIFS(주문내역!$L$3:$L$2002,주문내역!$J$3:$J$2002,$A31))</f>
        <v/>
      </c>
    </row>
    <row r="32" customFormat="false" ht="15" hidden="false" customHeight="false" outlineLevel="0" collapsed="false">
      <c r="A32" s="14" t="str">
        <f aca="false">IF(지역추가비!$A31="","",지역추가비!$A31)</f>
        <v/>
      </c>
      <c r="B32" s="13" t="str">
        <f aca="false">IF($A32="","",지역추가비!$B31)</f>
        <v/>
      </c>
      <c r="C32" s="21" t="str">
        <f aca="false">IF($A32="","",COUNTIFS(주문내역!$J$3:$J$2002,$A32))</f>
        <v/>
      </c>
      <c r="D32" s="28" t="str">
        <f aca="false">IF($A32="","",SUMIFS(주문내역!$I$3:$I$2002,주문내역!$J$3:$J$2002,$A32))</f>
        <v/>
      </c>
      <c r="E32" s="28" t="str">
        <f aca="false">IF($A32="","",SUMIFS(주문내역!$L$3:$L$2002,주문내역!$J$3:$J$2002,$A32))</f>
        <v/>
      </c>
    </row>
    <row r="33" customFormat="false" ht="15" hidden="false" customHeight="false" outlineLevel="0" collapsed="false">
      <c r="A33" s="14" t="str">
        <f aca="false">IF(지역추가비!$A32="","",지역추가비!$A32)</f>
        <v/>
      </c>
      <c r="B33" s="13" t="str">
        <f aca="false">IF($A33="","",지역추가비!$B32)</f>
        <v/>
      </c>
      <c r="C33" s="21" t="str">
        <f aca="false">IF($A33="","",COUNTIFS(주문내역!$J$3:$J$2002,$A33))</f>
        <v/>
      </c>
      <c r="D33" s="28" t="str">
        <f aca="false">IF($A33="","",SUMIFS(주문내역!$I$3:$I$2002,주문내역!$J$3:$J$2002,$A33))</f>
        <v/>
      </c>
      <c r="E33" s="28" t="str">
        <f aca="false">IF($A33="","",SUMIFS(주문내역!$L$3:$L$2002,주문내역!$J$3:$J$2002,$A33))</f>
        <v/>
      </c>
    </row>
    <row r="34" customFormat="false" ht="15" hidden="false" customHeight="false" outlineLevel="0" collapsed="false">
      <c r="A34" s="14" t="str">
        <f aca="false">IF(지역추가비!$A33="","",지역추가비!$A33)</f>
        <v/>
      </c>
      <c r="B34" s="13" t="str">
        <f aca="false">IF($A34="","",지역추가비!$B33)</f>
        <v/>
      </c>
      <c r="C34" s="21" t="str">
        <f aca="false">IF($A34="","",COUNTIFS(주문내역!$J$3:$J$2002,$A34))</f>
        <v/>
      </c>
      <c r="D34" s="28" t="str">
        <f aca="false">IF($A34="","",SUMIFS(주문내역!$I$3:$I$2002,주문내역!$J$3:$J$2002,$A34))</f>
        <v/>
      </c>
      <c r="E34" s="28" t="str">
        <f aca="false">IF($A34="","",SUMIFS(주문내역!$L$3:$L$2002,주문내역!$J$3:$J$2002,$A34))</f>
        <v/>
      </c>
    </row>
    <row r="35" customFormat="false" ht="15" hidden="false" customHeight="false" outlineLevel="0" collapsed="false">
      <c r="A35" s="14" t="str">
        <f aca="false">IF(지역추가비!$A34="","",지역추가비!$A34)</f>
        <v/>
      </c>
      <c r="B35" s="13" t="str">
        <f aca="false">IF($A35="","",지역추가비!$B34)</f>
        <v/>
      </c>
      <c r="C35" s="21" t="str">
        <f aca="false">IF($A35="","",COUNTIFS(주문내역!$J$3:$J$2002,$A35))</f>
        <v/>
      </c>
      <c r="D35" s="28" t="str">
        <f aca="false">IF($A35="","",SUMIFS(주문내역!$I$3:$I$2002,주문내역!$J$3:$J$2002,$A35))</f>
        <v/>
      </c>
      <c r="E35" s="28" t="str">
        <f aca="false">IF($A35="","",SUMIFS(주문내역!$L$3:$L$2002,주문내역!$J$3:$J$2002,$A35))</f>
        <v/>
      </c>
    </row>
    <row r="36" customFormat="false" ht="15" hidden="false" customHeight="false" outlineLevel="0" collapsed="false">
      <c r="A36" s="14" t="str">
        <f aca="false">IF(지역추가비!$A35="","",지역추가비!$A35)</f>
        <v/>
      </c>
      <c r="B36" s="13" t="str">
        <f aca="false">IF($A36="","",지역추가비!$B35)</f>
        <v/>
      </c>
      <c r="C36" s="21" t="str">
        <f aca="false">IF($A36="","",COUNTIFS(주문내역!$J$3:$J$2002,$A36))</f>
        <v/>
      </c>
      <c r="D36" s="28" t="str">
        <f aca="false">IF($A36="","",SUMIFS(주문내역!$I$3:$I$2002,주문내역!$J$3:$J$2002,$A36))</f>
        <v/>
      </c>
      <c r="E36" s="28" t="str">
        <f aca="false">IF($A36="","",SUMIFS(주문내역!$L$3:$L$2002,주문내역!$J$3:$J$2002,$A36))</f>
        <v/>
      </c>
    </row>
    <row r="37" customFormat="false" ht="15" hidden="false" customHeight="false" outlineLevel="0" collapsed="false">
      <c r="A37" s="14" t="str">
        <f aca="false">IF(지역추가비!$A36="","",지역추가비!$A36)</f>
        <v/>
      </c>
      <c r="B37" s="13" t="str">
        <f aca="false">IF($A37="","",지역추가비!$B36)</f>
        <v/>
      </c>
      <c r="C37" s="21" t="str">
        <f aca="false">IF($A37="","",COUNTIFS(주문내역!$J$3:$J$2002,$A37))</f>
        <v/>
      </c>
      <c r="D37" s="28" t="str">
        <f aca="false">IF($A37="","",SUMIFS(주문내역!$I$3:$I$2002,주문내역!$J$3:$J$2002,$A37))</f>
        <v/>
      </c>
      <c r="E37" s="28" t="str">
        <f aca="false">IF($A37="","",SUMIFS(주문내역!$L$3:$L$2002,주문내역!$J$3:$J$2002,$A37))</f>
        <v/>
      </c>
    </row>
    <row r="38" customFormat="false" ht="15" hidden="false" customHeight="false" outlineLevel="0" collapsed="false">
      <c r="A38" s="14" t="str">
        <f aca="false">IF(지역추가비!$A37="","",지역추가비!$A37)</f>
        <v/>
      </c>
      <c r="B38" s="13" t="str">
        <f aca="false">IF($A38="","",지역추가비!$B37)</f>
        <v/>
      </c>
      <c r="C38" s="21" t="str">
        <f aca="false">IF($A38="","",COUNTIFS(주문내역!$J$3:$J$2002,$A38))</f>
        <v/>
      </c>
      <c r="D38" s="28" t="str">
        <f aca="false">IF($A38="","",SUMIFS(주문내역!$I$3:$I$2002,주문내역!$J$3:$J$2002,$A38))</f>
        <v/>
      </c>
      <c r="E38" s="28" t="str">
        <f aca="false">IF($A38="","",SUMIFS(주문내역!$L$3:$L$2002,주문내역!$J$3:$J$2002,$A38))</f>
        <v/>
      </c>
    </row>
    <row r="39" customFormat="false" ht="15" hidden="false" customHeight="false" outlineLevel="0" collapsed="false">
      <c r="A39" s="14" t="str">
        <f aca="false">IF(지역추가비!$A38="","",지역추가비!$A38)</f>
        <v/>
      </c>
      <c r="B39" s="13" t="str">
        <f aca="false">IF($A39="","",지역추가비!$B38)</f>
        <v/>
      </c>
      <c r="C39" s="21" t="str">
        <f aca="false">IF($A39="","",COUNTIFS(주문내역!$J$3:$J$2002,$A39))</f>
        <v/>
      </c>
      <c r="D39" s="28" t="str">
        <f aca="false">IF($A39="","",SUMIFS(주문내역!$I$3:$I$2002,주문내역!$J$3:$J$2002,$A39))</f>
        <v/>
      </c>
      <c r="E39" s="28" t="str">
        <f aca="false">IF($A39="","",SUMIFS(주문내역!$L$3:$L$2002,주문내역!$J$3:$J$2002,$A39))</f>
        <v/>
      </c>
    </row>
    <row r="40" customFormat="false" ht="15" hidden="false" customHeight="false" outlineLevel="0" collapsed="false">
      <c r="A40" s="14" t="str">
        <f aca="false">IF(지역추가비!$A39="","",지역추가비!$A39)</f>
        <v/>
      </c>
      <c r="B40" s="13" t="str">
        <f aca="false">IF($A40="","",지역추가비!$B39)</f>
        <v/>
      </c>
      <c r="C40" s="21" t="str">
        <f aca="false">IF($A40="","",COUNTIFS(주문내역!$J$3:$J$2002,$A40))</f>
        <v/>
      </c>
      <c r="D40" s="28" t="str">
        <f aca="false">IF($A40="","",SUMIFS(주문내역!$I$3:$I$2002,주문내역!$J$3:$J$2002,$A40))</f>
        <v/>
      </c>
      <c r="E40" s="28" t="str">
        <f aca="false">IF($A40="","",SUMIFS(주문내역!$L$3:$L$2002,주문내역!$J$3:$J$2002,$A40))</f>
        <v/>
      </c>
    </row>
    <row r="41" customFormat="false" ht="15" hidden="false" customHeight="false" outlineLevel="0" collapsed="false">
      <c r="A41" s="14" t="str">
        <f aca="false">IF(지역추가비!$A40="","",지역추가비!$A40)</f>
        <v/>
      </c>
      <c r="B41" s="13" t="str">
        <f aca="false">IF($A41="","",지역추가비!$B40)</f>
        <v/>
      </c>
      <c r="C41" s="21" t="str">
        <f aca="false">IF($A41="","",COUNTIFS(주문내역!$J$3:$J$2002,$A41))</f>
        <v/>
      </c>
      <c r="D41" s="28" t="str">
        <f aca="false">IF($A41="","",SUMIFS(주문내역!$I$3:$I$2002,주문내역!$J$3:$J$2002,$A41))</f>
        <v/>
      </c>
      <c r="E41" s="28" t="str">
        <f aca="false">IF($A41="","",SUMIFS(주문내역!$L$3:$L$2002,주문내역!$J$3:$J$2002,$A41))</f>
        <v/>
      </c>
    </row>
    <row r="42" customFormat="false" ht="15" hidden="false" customHeight="false" outlineLevel="0" collapsed="false">
      <c r="A42" s="14" t="str">
        <f aca="false">IF(지역추가비!$A41="","",지역추가비!$A41)</f>
        <v/>
      </c>
      <c r="B42" s="13" t="str">
        <f aca="false">IF($A42="","",지역추가비!$B41)</f>
        <v/>
      </c>
      <c r="C42" s="21" t="str">
        <f aca="false">IF($A42="","",COUNTIFS(주문내역!$J$3:$J$2002,$A42))</f>
        <v/>
      </c>
      <c r="D42" s="28" t="str">
        <f aca="false">IF($A42="","",SUMIFS(주문내역!$I$3:$I$2002,주문내역!$J$3:$J$2002,$A42))</f>
        <v/>
      </c>
      <c r="E42" s="28" t="str">
        <f aca="false">IF($A42="","",SUMIFS(주문내역!$L$3:$L$2002,주문내역!$J$3:$J$2002,$A42))</f>
        <v/>
      </c>
    </row>
    <row r="43" customFormat="false" ht="15" hidden="false" customHeight="false" outlineLevel="0" collapsed="false">
      <c r="A43" s="14" t="str">
        <f aca="false">IF(지역추가비!$A42="","",지역추가비!$A42)</f>
        <v/>
      </c>
      <c r="B43" s="13" t="str">
        <f aca="false">IF($A43="","",지역추가비!$B42)</f>
        <v/>
      </c>
      <c r="C43" s="21" t="str">
        <f aca="false">IF($A43="","",COUNTIFS(주문내역!$J$3:$J$2002,$A43))</f>
        <v/>
      </c>
      <c r="D43" s="28" t="str">
        <f aca="false">IF($A43="","",SUMIFS(주문내역!$I$3:$I$2002,주문내역!$J$3:$J$2002,$A43))</f>
        <v/>
      </c>
      <c r="E43" s="28" t="str">
        <f aca="false">IF($A43="","",SUMIFS(주문내역!$L$3:$L$2002,주문내역!$J$3:$J$2002,$A43))</f>
        <v/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2026-09-14T10:17:45Z</dcterms:created>
  <dc:creator>openpyxl</dc:creator>
  <dc:description/>
  <dc:language>en-US</dc:language>
  <cp:lastModifiedBy/>
  <dcterms:modified xsi:type="dcterms:W3CDTF">2026-09-14T10:21:06Z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