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고객명부" sheetId="2" state="visible" r:id="rId4"/>
    <sheet name="상품목록" sheetId="3" state="visible" r:id="rId5"/>
    <sheet name="주문접수" sheetId="4" state="visible" r:id="rId6"/>
    <sheet name="택배송장" sheetId="5" state="visible" r:id="rId7"/>
    <sheet name="고객히스토리" sheetId="6" state="visible" r:id="rId8"/>
    <sheet name="일별현황" sheetId="7" state="visible" r:id="rId9"/>
  </sheets>
  <definedNames>
    <definedName function="false" hidden="false" localSheetId="4" name="_xlnm.Print_Area" vbProcedure="false">택배송장!$A$1:$D$15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<sst xmlns="http://schemas.openxmlformats.org/spreadsheetml/2006/main" count="105" uniqueCount="91">
  <si>
    <t xml:space="preserve">농산물 전화주문 · 입금확인 · 택배송장 관리</t>
  </si>
  <si>
    <t xml:space="preserve">핵심</t>
  </si>
  <si>
    <t xml:space="preserve">고객을 한 번 등록하면 다음 주문부터 이름·연락처·주소가 자동으로 붙습니다.</t>
  </si>
  <si>
    <t xml:space="preserve">입력 규칙</t>
  </si>
  <si>
    <t xml:space="preserve">파란색 글씨 칸만 입력하세요. 검은색은 자동 계산입니다.</t>
  </si>
  <si>
    <t xml:space="preserve">① 고객명부</t>
  </si>
  <si>
    <t xml:space="preserve">전화 주문을 받으면 고객번호를 부여해 등록합니다. 단골은 한 번만 등록하면 됩니다.</t>
  </si>
  <si>
    <t xml:space="preserve">② 상품목록</t>
  </si>
  <si>
    <t xml:space="preserve">판매 상품의 규격·단가를 등록합니다.</t>
  </si>
  <si>
    <t xml:space="preserve">③ 주문접수</t>
  </si>
  <si>
    <t xml:space="preserve">주문마다 한 줄. 고객번호와 상품만 고르면 주소·단가가 자동으로 채워집니다.</t>
  </si>
  <si>
    <t xml:space="preserve">입금일을 넣으면 '입금완료'로 바뀌고, 송장번호를 넣으면 '발송완료'가 됩니다.</t>
  </si>
  <si>
    <t xml:space="preserve">④ 택배송장</t>
  </si>
  <si>
    <t xml:space="preserve">주문번호를 고르면 받는사람·주소·상품이 채워집니다. 그대로 인쇄하세요.</t>
  </si>
  <si>
    <t xml:space="preserve">⑤ 고객히스토리</t>
  </si>
  <si>
    <t xml:space="preserve">고객번호를 고르면 그 고객의 과거 주문이 전부 나옵니다.</t>
  </si>
  <si>
    <t xml:space="preserve">⑥ 일별현황</t>
  </si>
  <si>
    <t xml:space="preserve">날짜를 고르면 그날 주문·입금·발송 건수와 금액이 나옵니다.</t>
  </si>
  <si>
    <t xml:space="preserve">주문번호</t>
  </si>
  <si>
    <t xml:space="preserve">비워두면 자동으로 매겨집니다. 직접 넣어도 됩니다.</t>
  </si>
  <si>
    <r>
      <rPr>
        <sz val="9"/>
        <color rgb="FF808080"/>
        <rFont val="맑은 고딕"/>
        <family val="0"/>
        <charset val="1"/>
      </rPr>
      <t xml:space="preserve">※ PC </t>
    </r>
    <r>
      <rPr>
        <sz val="9"/>
        <color rgb="FF808080"/>
        <rFont val="Noto Sans CJK SC"/>
        <family val="2"/>
      </rPr>
      <t xml:space="preserve">두 대에서 동시에 쓰려면 이 파일을 공유 폴더</t>
    </r>
    <r>
      <rPr>
        <sz val="9"/>
        <color rgb="FF808080"/>
        <rFont val="맑은 고딕"/>
        <family val="0"/>
        <charset val="1"/>
      </rPr>
      <t xml:space="preserve">(OneDrive </t>
    </r>
    <r>
      <rPr>
        <sz val="9"/>
        <color rgb="FF808080"/>
        <rFont val="Noto Sans CJK SC"/>
        <family val="2"/>
      </rPr>
      <t xml:space="preserve">등</t>
    </r>
    <r>
      <rPr>
        <sz val="9"/>
        <color rgb="FF808080"/>
        <rFont val="맑은 고딕"/>
        <family val="0"/>
        <charset val="1"/>
      </rPr>
      <t xml:space="preserve">)</t>
    </r>
    <r>
      <rPr>
        <sz val="9"/>
        <color rgb="FF808080"/>
        <rFont val="Noto Sans CJK SC"/>
        <family val="2"/>
      </rPr>
      <t xml:space="preserve">에 두세요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Noto Sans CJK SC"/>
        <family val="2"/>
      </rPr>
      <t xml:space="preserve">다만 동시에 편집하면 충돌이 날 수 있어 한 번에 한 명만 쓰는 것을 권장합니다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</si>
  <si>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고객명부  (한 번 등록하면 다음 주문부터 자동으로 불러옵니다)</t>
  </si>
  <si>
    <t xml:space="preserve">고객번호</t>
  </si>
  <si>
    <t xml:space="preserve">고객명</t>
  </si>
  <si>
    <t xml:space="preserve">연락처</t>
  </si>
  <si>
    <t xml:space="preserve">우편번호</t>
  </si>
  <si>
    <t xml:space="preserve">주소</t>
  </si>
  <si>
    <t xml:space="preserve">상세주소</t>
  </si>
  <si>
    <t xml:space="preserve">비고</t>
  </si>
  <si>
    <t xml:space="preserve">김고객</t>
  </si>
  <si>
    <t xml:space="preserve">010-0000-0000</t>
  </si>
  <si>
    <t xml:space="preserve">12345</t>
  </si>
  <si>
    <t xml:space="preserve">서울시 ○○구 ○○로 10</t>
  </si>
  <si>
    <r>
      <rPr>
        <sz val="10"/>
        <color rgb="FF0000FF"/>
        <rFont val="맑은 고딕"/>
        <family val="0"/>
        <charset val="1"/>
      </rPr>
      <t xml:space="preserve">101</t>
    </r>
    <r>
      <rPr>
        <sz val="10"/>
        <color rgb="FF0000FF"/>
        <rFont val="Noto Sans CJK SC"/>
        <family val="2"/>
      </rPr>
      <t xml:space="preserve">동 </t>
    </r>
    <r>
      <rPr>
        <sz val="10"/>
        <color rgb="FF0000FF"/>
        <rFont val="맑은 고딕"/>
        <family val="0"/>
        <charset val="1"/>
      </rPr>
      <t xml:space="preserve">101</t>
    </r>
    <r>
      <rPr>
        <sz val="10"/>
        <color rgb="FF0000FF"/>
        <rFont val="Noto Sans CJK SC"/>
        <family val="2"/>
      </rPr>
      <t xml:space="preserve">호</t>
    </r>
  </si>
  <si>
    <t xml:space="preserve">← 예시 행</t>
  </si>
  <si>
    <t xml:space="preserve">상품목록</t>
  </si>
  <si>
    <t xml:space="preserve">상품명</t>
  </si>
  <si>
    <t xml:space="preserve">규격</t>
  </si>
  <si>
    <t xml:space="preserve">단가</t>
  </si>
  <si>
    <t xml:space="preserve">사과 부사 5kg</t>
  </si>
  <si>
    <r>
      <rPr>
        <sz val="10"/>
        <color rgb="FF0000FF"/>
        <rFont val="맑은 고딕"/>
        <family val="0"/>
        <charset val="1"/>
      </rPr>
      <t xml:space="preserve">5kg (</t>
    </r>
    <r>
      <rPr>
        <sz val="10"/>
        <color rgb="FF0000FF"/>
        <rFont val="Noto Sans CJK SC"/>
        <family val="2"/>
      </rPr>
      <t xml:space="preserve">특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</si>
  <si>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사과 부사 10kg</t>
  </si>
  <si>
    <r>
      <rPr>
        <sz val="10"/>
        <color rgb="FF0000FF"/>
        <rFont val="맑은 고딕"/>
        <family val="0"/>
        <charset val="1"/>
      </rPr>
      <t xml:space="preserve">10kg (</t>
    </r>
    <r>
      <rPr>
        <sz val="10"/>
        <color rgb="FF0000FF"/>
        <rFont val="Noto Sans CJK SC"/>
        <family val="2"/>
      </rPr>
      <t xml:space="preserve">상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</si>
  <si>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배 신고 7.5kg</t>
  </si>
  <si>
    <t xml:space="preserve">7.5kg</t>
  </si>
  <si>
    <t xml:space="preserve">주문접수  (고객번호·상품·수량만 고르면 나머지 자동)</t>
  </si>
  <si>
    <t xml:space="preserve">주문번호(자동)</t>
  </si>
  <si>
    <t xml:space="preserve">주문일</t>
  </si>
  <si>
    <t xml:space="preserve">고객명(자동)</t>
  </si>
  <si>
    <t xml:space="preserve">연락처(자동)</t>
  </si>
  <si>
    <t xml:space="preserve">우편번호(자동)</t>
  </si>
  <si>
    <t xml:space="preserve">주소(자동)</t>
  </si>
  <si>
    <t xml:space="preserve">규격(자동)</t>
  </si>
  <si>
    <t xml:space="preserve">단가(자동)</t>
  </si>
  <si>
    <t xml:space="preserve">수량</t>
  </si>
  <si>
    <t xml:space="preserve">주문금액(자동)</t>
  </si>
  <si>
    <t xml:space="preserve">택배비</t>
  </si>
  <si>
    <t xml:space="preserve">합계(자동)</t>
  </si>
  <si>
    <t xml:space="preserve">입금일</t>
  </si>
  <si>
    <t xml:space="preserve">송장번호</t>
  </si>
  <si>
    <t xml:space="preserve">상태(자동)</t>
  </si>
  <si>
    <t xml:space="preserve">고객순번(자동)</t>
  </si>
  <si>
    <t xml:space="preserve">고객키(자동)</t>
  </si>
  <si>
    <t xml:space="preserve">택 배 송 장</t>
  </si>
  <si>
    <t xml:space="preserve">260305-001</t>
  </si>
  <si>
    <t xml:space="preserve">← 이 칸만 바꾸세요</t>
  </si>
  <si>
    <t xml:space="preserve">받는 사람</t>
  </si>
  <si>
    <t xml:space="preserve">품명</t>
  </si>
  <si>
    <t xml:space="preserve">결제상태</t>
  </si>
  <si>
    <t xml:space="preserve">보내는 사람</t>
  </si>
  <si>
    <t xml:space="preserve">○○농원 / 010-0000-0000 / 경북 ○○군 ○○면 ○○리 00</t>
  </si>
  <si>
    <t xml:space="preserve">※ 보내는 사람 칸은 직접 수정하세요. 실제 택배사 송장 양식과 다를 수 있습니다.</t>
  </si>
  <si>
    <t xml:space="preserve">고객히스토리</t>
  </si>
  <si>
    <t xml:space="preserve">← 고객번호만 바꾸세요</t>
  </si>
  <si>
    <t xml:space="preserve">총 주문건수</t>
  </si>
  <si>
    <t xml:space="preserve">총 주문금액</t>
  </si>
  <si>
    <t xml:space="preserve">미입금 건수</t>
  </si>
  <si>
    <t xml:space="preserve">No</t>
  </si>
  <si>
    <t xml:space="preserve">합계금액</t>
  </si>
  <si>
    <t xml:space="preserve">상태</t>
  </si>
  <si>
    <t xml:space="preserve">※ 한 고객의 주문이 40건을 넘으면 표시되지 않습니다.</t>
  </si>
  <si>
    <t xml:space="preserve">일별현황</t>
  </si>
  <si>
    <t xml:space="preserve">기준일</t>
  </si>
  <si>
    <t xml:space="preserve">당일 주문 건수</t>
  </si>
  <si>
    <t xml:space="preserve">당일 주문 금액</t>
  </si>
  <si>
    <t xml:space="preserve">당일 입금 건수</t>
  </si>
  <si>
    <t xml:space="preserve">당일 입금 금액</t>
  </si>
  <si>
    <t xml:space="preserve">입금대기 건수 (전체)</t>
  </si>
  <si>
    <t xml:space="preserve">입금대기 금액 (전체)</t>
  </si>
  <si>
    <t xml:space="preserve">발송대기 건수 (입금완료·미발송)</t>
  </si>
  <si>
    <t xml:space="preserve">발송완료 건수 (전체)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</si>
</sst>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yyyy\-mm\-dd"/>
    <numFmt numFmtId="167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9"/>
      <color rgb="FF808080"/>
      <name val="맑은 고딕"/>
      <family val="0"/>
      <charset val="1"/>
    </font>
    <font>
      <sz val="9"/>
      <color rgb="FF808080"/>
      <name val="Noto Sans CJK SC"/>
      <family val="2"/>
    </font>
    <font>
      <b val="true"/>
      <sz val="10"/>
      <color rgb="FFFFFFFF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sz val="10"/>
      <color rgb="FF0000FF"/>
      <name val="Noto Sans CJK SC"/>
      <family val="2"/>
    </font>
    <font>
      <sz val="10"/>
      <name val="맑은 고딕"/>
      <family val="0"/>
      <charset val="1"/>
    </font>
    <font>
      <b val="true"/>
      <sz val="20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2"/>
      <name val="맑은 고딕"/>
      <family val="0"/>
      <charset val="1"/>
    </font>
    <font>
      <b val="true"/>
      <sz val="11"/>
      <name val="Noto Sans CJK SC"/>
      <family val="2"/>
      <charset val="1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b val="true"/>
      <sz val="11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E4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/>
      <c r="C9" s="4" t="s">
        <v>11</v>
      </c>
    </row>
    <row r="10" customFormat="false" ht="15" hidden="false" customHeight="true" outlineLevel="0" collapsed="false">
      <c r="B10" s="3" t="s">
        <v>12</v>
      </c>
      <c r="C10" s="4" t="s">
        <v>13</v>
      </c>
    </row>
    <row r="11" customFormat="false" ht="15" hidden="false" customHeight="true" outlineLevel="0" collapsed="false">
      <c r="B11" s="3" t="s">
        <v>14</v>
      </c>
      <c r="C11" s="4" t="s">
        <v>15</v>
      </c>
    </row>
    <row r="12" customFormat="false" ht="15" hidden="false" customHeight="true" outlineLevel="0" collapsed="false">
      <c r="B12" s="3" t="s">
        <v>16</v>
      </c>
      <c r="C12" s="4" t="s">
        <v>17</v>
      </c>
    </row>
    <row r="13" customFormat="false" ht="15" hidden="false" customHeight="true" outlineLevel="0" collapsed="false">
      <c r="B13" s="3" t="s">
        <v>18</v>
      </c>
      <c r="C13" s="4" t="s">
        <v>19</v>
      </c>
    </row>
    <row r="15" customFormat="false" ht="15" hidden="false" customHeight="true" outlineLevel="0" collapsed="false">
      <c r="B15" s="5" t="s">
        <v>20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34"/>
    <col collapsed="false" customWidth="true" hidden="false" outlineLevel="0" max="6" min="6" style="1" width="24"/>
    <col collapsed="false" customWidth="true" hidden="false" outlineLevel="0" max="7" min="7" style="1" width="20"/>
  </cols>
  <sheetData>
    <row r="1" customFormat="false" ht="25.5" hidden="false" customHeight="true" outlineLevel="0" collapsed="false">
      <c r="A1" s="2" t="s">
        <v>21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6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</row>
    <row r="3" customFormat="false" ht="15" hidden="false" customHeight="true" outlineLevel="0" collapsed="false">
      <c r="A3" s="7" t="n">
        <v>1001</v>
      </c>
      <c r="B3" s="8" t="s">
        <v>29</v>
      </c>
      <c r="C3" s="7" t="s">
        <v>30</v>
      </c>
      <c r="D3" s="7" t="s">
        <v>31</v>
      </c>
      <c r="E3" s="8" t="s">
        <v>32</v>
      </c>
      <c r="F3" s="7" t="s">
        <v>33</v>
      </c>
      <c r="G3" s="8" t="s">
        <v>34</v>
      </c>
    </row>
    <row r="4" customFormat="false" ht="15" hidden="false" customHeight="true" outlineLevel="0" collapsed="false">
      <c r="A4" s="7" t="n">
        <v>1002</v>
      </c>
      <c r="B4" s="7" t="inlineStr">
        <is>
          <t>이고객</t>
        </is>
      </c>
      <c r="C4" s="7" t="inlineStr">
        <is>
          <t>010-0000-0002</t>
        </is>
      </c>
      <c r="D4" s="7" t="inlineStr">
        <is>
          <t>54321</t>
        </is>
      </c>
      <c r="E4" s="7" t="inlineStr">
        <is>
          <t>부산시 ○○구 ○○로 20</t>
        </is>
      </c>
      <c r="F4" s="7" t="inlineStr">
        <is>
          <t>202동 303호</t>
        </is>
      </c>
      <c r="G4" s="7"/>
    </row>
    <row r="5" customFormat="false" ht="15" hidden="false" customHeight="true" outlineLevel="0" collapsed="false">
      <c r="A5" s="7"/>
      <c r="B5" s="7"/>
      <c r="C5" s="7"/>
      <c r="D5" s="7"/>
      <c r="E5" s="7"/>
      <c r="F5" s="7"/>
      <c r="G5" s="7"/>
    </row>
    <row r="6" customFormat="false" ht="15" hidden="false" customHeight="true" outlineLevel="0" collapsed="false">
      <c r="A6" s="7"/>
      <c r="B6" s="7"/>
      <c r="C6" s="7"/>
      <c r="D6" s="7"/>
      <c r="E6" s="7"/>
      <c r="F6" s="7"/>
      <c r="G6" s="7"/>
    </row>
    <row r="7" customFormat="false" ht="15" hidden="false" customHeight="true" outlineLevel="0" collapsed="false">
      <c r="A7" s="7"/>
      <c r="B7" s="7"/>
      <c r="C7" s="7"/>
      <c r="D7" s="7"/>
      <c r="E7" s="7"/>
      <c r="F7" s="7"/>
      <c r="G7" s="7"/>
    </row>
    <row r="8" customFormat="false" ht="15" hidden="false" customHeight="true" outlineLevel="0" collapsed="false">
      <c r="A8" s="7"/>
      <c r="B8" s="7"/>
      <c r="C8" s="7"/>
      <c r="D8" s="7"/>
      <c r="E8" s="7"/>
      <c r="F8" s="7"/>
      <c r="G8" s="7"/>
    </row>
    <row r="9" customFormat="false" ht="15" hidden="false" customHeight="true" outlineLevel="0" collapsed="false">
      <c r="A9" s="7"/>
      <c r="B9" s="7"/>
      <c r="C9" s="7"/>
      <c r="D9" s="7"/>
      <c r="E9" s="7"/>
      <c r="F9" s="7"/>
      <c r="G9" s="7"/>
    </row>
    <row r="10" customFormat="false" ht="15" hidden="false" customHeight="true" outlineLevel="0" collapsed="false">
      <c r="A10" s="7"/>
      <c r="B10" s="7"/>
      <c r="C10" s="7"/>
      <c r="D10" s="7"/>
      <c r="E10" s="7"/>
      <c r="F10" s="7"/>
      <c r="G10" s="7"/>
    </row>
    <row r="11" customFormat="false" ht="15" hidden="false" customHeight="true" outlineLevel="0" collapsed="false">
      <c r="A11" s="7"/>
      <c r="B11" s="7"/>
      <c r="C11" s="7"/>
      <c r="D11" s="7"/>
      <c r="E11" s="7"/>
      <c r="F11" s="7"/>
      <c r="G11" s="7"/>
    </row>
    <row r="12" customFormat="false" ht="15" hidden="false" customHeight="true" outlineLevel="0" collapsed="false">
      <c r="A12" s="7"/>
      <c r="B12" s="7"/>
      <c r="C12" s="7"/>
      <c r="D12" s="7"/>
      <c r="E12" s="7"/>
      <c r="F12" s="7"/>
      <c r="G12" s="7"/>
    </row>
    <row r="13" customFormat="false" ht="15" hidden="false" customHeight="true" outlineLevel="0" collapsed="false">
      <c r="A13" s="7"/>
      <c r="B13" s="7"/>
      <c r="C13" s="7"/>
      <c r="D13" s="7"/>
      <c r="E13" s="7"/>
      <c r="F13" s="7"/>
      <c r="G13" s="7"/>
    </row>
    <row r="14" customFormat="false" ht="15" hidden="false" customHeight="true" outlineLevel="0" collapsed="false">
      <c r="A14" s="7"/>
      <c r="B14" s="7"/>
      <c r="C14" s="7"/>
      <c r="D14" s="7"/>
      <c r="E14" s="7"/>
      <c r="F14" s="7"/>
      <c r="G14" s="7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  <c r="G15" s="7"/>
    </row>
    <row r="16" customFormat="false" ht="15" hidden="false" customHeight="true" outlineLevel="0" collapsed="false">
      <c r="A16" s="7"/>
      <c r="B16" s="7"/>
      <c r="C16" s="7"/>
      <c r="D16" s="7"/>
      <c r="E16" s="7"/>
      <c r="F16" s="7"/>
      <c r="G16" s="7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7"/>
    </row>
    <row r="18" customFormat="false" ht="15" hidden="false" customHeight="true" outlineLevel="0" collapsed="false">
      <c r="A18" s="7"/>
      <c r="B18" s="7"/>
      <c r="C18" s="7"/>
      <c r="D18" s="7"/>
      <c r="E18" s="7"/>
      <c r="F18" s="7"/>
      <c r="G18" s="7"/>
    </row>
    <row r="19" customFormat="false" ht="15" hidden="false" customHeight="true" outlineLevel="0" collapsed="false">
      <c r="A19" s="7"/>
      <c r="B19" s="7"/>
      <c r="C19" s="7"/>
      <c r="D19" s="7"/>
      <c r="E19" s="7"/>
      <c r="F19" s="7"/>
      <c r="G19" s="7"/>
    </row>
    <row r="20" customFormat="false" ht="15" hidden="false" customHeight="true" outlineLevel="0" collapsed="false">
      <c r="A20" s="7"/>
      <c r="B20" s="7"/>
      <c r="C20" s="7"/>
      <c r="D20" s="7"/>
      <c r="E20" s="7"/>
      <c r="F20" s="7"/>
      <c r="G20" s="7"/>
    </row>
    <row r="21" customFormat="false" ht="15" hidden="false" customHeight="true" outlineLevel="0" collapsed="false">
      <c r="A21" s="7"/>
      <c r="B21" s="7"/>
      <c r="C21" s="7"/>
      <c r="D21" s="7"/>
      <c r="E21" s="7"/>
      <c r="F21" s="7"/>
      <c r="G21" s="7"/>
    </row>
    <row r="22" customFormat="false" ht="15" hidden="false" customHeight="true" outlineLevel="0" collapsed="false">
      <c r="A22" s="7"/>
      <c r="B22" s="7"/>
      <c r="C22" s="7"/>
      <c r="D22" s="7"/>
      <c r="E22" s="7"/>
      <c r="F22" s="7"/>
      <c r="G22" s="7"/>
    </row>
    <row r="23" customFormat="false" ht="15" hidden="false" customHeight="true" outlineLevel="0" collapsed="false">
      <c r="A23" s="7"/>
      <c r="B23" s="7"/>
      <c r="C23" s="7"/>
      <c r="D23" s="7"/>
      <c r="E23" s="7"/>
      <c r="F23" s="7"/>
      <c r="G23" s="7"/>
    </row>
    <row r="24" customFormat="false" ht="15" hidden="false" customHeight="true" outlineLevel="0" collapsed="false">
      <c r="A24" s="7"/>
      <c r="B24" s="7"/>
      <c r="C24" s="7"/>
      <c r="D24" s="7"/>
      <c r="E24" s="7"/>
      <c r="F24" s="7"/>
      <c r="G24" s="7"/>
    </row>
    <row r="25" customFormat="false" ht="15" hidden="false" customHeight="true" outlineLevel="0" collapsed="false">
      <c r="A25" s="7"/>
      <c r="B25" s="7"/>
      <c r="C25" s="7"/>
      <c r="D25" s="7"/>
      <c r="E25" s="7"/>
      <c r="F25" s="7"/>
      <c r="G25" s="7"/>
    </row>
    <row r="26" customFormat="false" ht="15" hidden="false" customHeight="true" outlineLevel="0" collapsed="false">
      <c r="A26" s="7"/>
      <c r="B26" s="7"/>
      <c r="C26" s="7"/>
      <c r="D26" s="7"/>
      <c r="E26" s="7"/>
      <c r="F26" s="7"/>
      <c r="G26" s="7"/>
    </row>
    <row r="27" customFormat="false" ht="15" hidden="false" customHeight="true" outlineLevel="0" collapsed="false">
      <c r="A27" s="7"/>
      <c r="B27" s="7"/>
      <c r="C27" s="7"/>
      <c r="D27" s="7"/>
      <c r="E27" s="7"/>
      <c r="F27" s="7"/>
      <c r="G27" s="7"/>
    </row>
    <row r="28" customFormat="false" ht="15" hidden="false" customHeight="true" outlineLevel="0" collapsed="false">
      <c r="A28" s="7"/>
      <c r="B28" s="7"/>
      <c r="C28" s="7"/>
      <c r="D28" s="7"/>
      <c r="E28" s="7"/>
      <c r="F28" s="7"/>
      <c r="G28" s="7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  <c r="G29" s="7"/>
    </row>
    <row r="30" customFormat="false" ht="15" hidden="false" customHeight="true" outlineLevel="0" collapsed="false">
      <c r="A30" s="7"/>
      <c r="B30" s="7"/>
      <c r="C30" s="7"/>
      <c r="D30" s="7"/>
      <c r="E30" s="7"/>
      <c r="F30" s="7"/>
      <c r="G30" s="7"/>
    </row>
    <row r="31" customFormat="false" ht="15" hidden="false" customHeight="true" outlineLevel="0" collapsed="false">
      <c r="A31" s="7"/>
      <c r="B31" s="7"/>
      <c r="C31" s="7"/>
      <c r="D31" s="7"/>
      <c r="E31" s="7"/>
      <c r="F31" s="7"/>
      <c r="G31" s="7"/>
    </row>
    <row r="32" customFormat="false" ht="15" hidden="false" customHeight="true" outlineLevel="0" collapsed="false">
      <c r="A32" s="7"/>
      <c r="B32" s="7"/>
      <c r="C32" s="7"/>
      <c r="D32" s="7"/>
      <c r="E32" s="7"/>
      <c r="F32" s="7"/>
      <c r="G32" s="7"/>
    </row>
    <row r="33" customFormat="false" ht="15" hidden="false" customHeight="true" outlineLevel="0" collapsed="false">
      <c r="A33" s="7"/>
      <c r="B33" s="7"/>
      <c r="C33" s="7"/>
      <c r="D33" s="7"/>
      <c r="E33" s="7"/>
      <c r="F33" s="7"/>
      <c r="G33" s="7"/>
    </row>
    <row r="34" customFormat="false" ht="15" hidden="false" customHeight="true" outlineLevel="0" collapsed="false">
      <c r="A34" s="7"/>
      <c r="B34" s="7"/>
      <c r="C34" s="7"/>
      <c r="D34" s="7"/>
      <c r="E34" s="7"/>
      <c r="F34" s="7"/>
      <c r="G34" s="7"/>
    </row>
    <row r="35" customFormat="false" ht="15" hidden="false" customHeight="true" outlineLevel="0" collapsed="false">
      <c r="A35" s="7"/>
      <c r="B35" s="7"/>
      <c r="C35" s="7"/>
      <c r="D35" s="7"/>
      <c r="E35" s="7"/>
      <c r="F35" s="7"/>
      <c r="G35" s="7"/>
    </row>
    <row r="36" customFormat="false" ht="15" hidden="false" customHeight="true" outlineLevel="0" collapsed="false">
      <c r="A36" s="7"/>
      <c r="B36" s="7"/>
      <c r="C36" s="7"/>
      <c r="D36" s="7"/>
      <c r="E36" s="7"/>
      <c r="F36" s="7"/>
      <c r="G36" s="7"/>
    </row>
    <row r="37" customFormat="false" ht="15" hidden="false" customHeight="true" outlineLevel="0" collapsed="false">
      <c r="A37" s="7"/>
      <c r="B37" s="7"/>
      <c r="C37" s="7"/>
      <c r="D37" s="7"/>
      <c r="E37" s="7"/>
      <c r="F37" s="7"/>
      <c r="G37" s="7"/>
    </row>
    <row r="38" customFormat="false" ht="15" hidden="false" customHeight="true" outlineLevel="0" collapsed="false">
      <c r="A38" s="7"/>
      <c r="B38" s="7"/>
      <c r="C38" s="7"/>
      <c r="D38" s="7"/>
      <c r="E38" s="7"/>
      <c r="F38" s="7"/>
      <c r="G38" s="7"/>
    </row>
    <row r="39" customFormat="false" ht="15" hidden="false" customHeight="true" outlineLevel="0" collapsed="false">
      <c r="A39" s="7"/>
      <c r="B39" s="7"/>
      <c r="C39" s="7"/>
      <c r="D39" s="7"/>
      <c r="E39" s="7"/>
      <c r="F39" s="7"/>
      <c r="G39" s="7"/>
    </row>
    <row r="40" customFormat="false" ht="15" hidden="false" customHeight="true" outlineLevel="0" collapsed="false">
      <c r="A40" s="7"/>
      <c r="B40" s="7"/>
      <c r="C40" s="7"/>
      <c r="D40" s="7"/>
      <c r="E40" s="7"/>
      <c r="F40" s="7"/>
      <c r="G40" s="7"/>
    </row>
    <row r="41" customFormat="false" ht="15" hidden="false" customHeight="true" outlineLevel="0" collapsed="false">
      <c r="A41" s="7"/>
      <c r="B41" s="7"/>
      <c r="C41" s="7"/>
      <c r="D41" s="7"/>
      <c r="E41" s="7"/>
      <c r="F41" s="7"/>
      <c r="G41" s="7"/>
    </row>
    <row r="42" customFormat="false" ht="15" hidden="false" customHeight="true" outlineLevel="0" collapsed="false">
      <c r="A42" s="7"/>
      <c r="B42" s="7"/>
      <c r="C42" s="7"/>
      <c r="D42" s="7"/>
      <c r="E42" s="7"/>
      <c r="F42" s="7"/>
      <c r="G42" s="7"/>
    </row>
    <row r="43" customFormat="false" ht="15" hidden="false" customHeight="true" outlineLevel="0" collapsed="false">
      <c r="A43" s="7"/>
      <c r="B43" s="7"/>
      <c r="C43" s="7"/>
      <c r="D43" s="7"/>
      <c r="E43" s="7"/>
      <c r="F43" s="7"/>
      <c r="G43" s="7"/>
    </row>
    <row r="44" customFormat="false" ht="15" hidden="false" customHeight="true" outlineLevel="0" collapsed="false">
      <c r="A44" s="7"/>
      <c r="B44" s="7"/>
      <c r="C44" s="7"/>
      <c r="D44" s="7"/>
      <c r="E44" s="7"/>
      <c r="F44" s="7"/>
      <c r="G44" s="7"/>
    </row>
    <row r="45" customFormat="false" ht="15" hidden="false" customHeight="true" outlineLevel="0" collapsed="false">
      <c r="A45" s="7"/>
      <c r="B45" s="7"/>
      <c r="C45" s="7"/>
      <c r="D45" s="7"/>
      <c r="E45" s="7"/>
      <c r="F45" s="7"/>
      <c r="G45" s="7"/>
    </row>
    <row r="46" customFormat="false" ht="15" hidden="false" customHeight="true" outlineLevel="0" collapsed="false">
      <c r="A46" s="7"/>
      <c r="B46" s="7"/>
      <c r="C46" s="7"/>
      <c r="D46" s="7"/>
      <c r="E46" s="7"/>
      <c r="F46" s="7"/>
      <c r="G46" s="7"/>
    </row>
    <row r="47" customFormat="false" ht="15" hidden="false" customHeight="true" outlineLevel="0" collapsed="false">
      <c r="A47" s="7"/>
      <c r="B47" s="7"/>
      <c r="C47" s="7"/>
      <c r="D47" s="7"/>
      <c r="E47" s="7"/>
      <c r="F47" s="7"/>
      <c r="G47" s="7"/>
    </row>
    <row r="48" customFormat="false" ht="15" hidden="false" customHeight="true" outlineLevel="0" collapsed="false">
      <c r="A48" s="7"/>
      <c r="B48" s="7"/>
      <c r="C48" s="7"/>
      <c r="D48" s="7"/>
      <c r="E48" s="7"/>
      <c r="F48" s="7"/>
      <c r="G48" s="7"/>
    </row>
    <row r="49" customFormat="false" ht="15" hidden="false" customHeight="true" outlineLevel="0" collapsed="false">
      <c r="A49" s="7"/>
      <c r="B49" s="7"/>
      <c r="C49" s="7"/>
      <c r="D49" s="7"/>
      <c r="E49" s="7"/>
      <c r="F49" s="7"/>
      <c r="G49" s="7"/>
    </row>
    <row r="50" customFormat="false" ht="15" hidden="false" customHeight="true" outlineLevel="0" collapsed="false">
      <c r="A50" s="7"/>
      <c r="B50" s="7"/>
      <c r="C50" s="7"/>
      <c r="D50" s="7"/>
      <c r="E50" s="7"/>
      <c r="F50" s="7"/>
      <c r="G50" s="7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  <c r="G51" s="7"/>
    </row>
    <row r="52" customFormat="false" ht="15" hidden="false" customHeight="true" outlineLevel="0" collapsed="false">
      <c r="A52" s="7"/>
      <c r="B52" s="7"/>
      <c r="C52" s="7"/>
      <c r="D52" s="7"/>
      <c r="E52" s="7"/>
      <c r="F52" s="7"/>
      <c r="G52" s="7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  <c r="G53" s="7"/>
    </row>
    <row r="54" customFormat="false" ht="15" hidden="false" customHeight="true" outlineLevel="0" collapsed="false">
      <c r="A54" s="7"/>
      <c r="B54" s="7"/>
      <c r="C54" s="7"/>
      <c r="D54" s="7"/>
      <c r="E54" s="7"/>
      <c r="F54" s="7"/>
      <c r="G54" s="7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  <c r="G55" s="7"/>
    </row>
    <row r="56" customFormat="false" ht="15" hidden="false" customHeight="true" outlineLevel="0" collapsed="false">
      <c r="A56" s="7"/>
      <c r="B56" s="7"/>
      <c r="C56" s="7"/>
      <c r="D56" s="7"/>
      <c r="E56" s="7"/>
      <c r="F56" s="7"/>
      <c r="G56" s="7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  <c r="G57" s="7"/>
    </row>
    <row r="58" customFormat="false" ht="15" hidden="false" customHeight="true" outlineLevel="0" collapsed="false">
      <c r="A58" s="7"/>
      <c r="B58" s="7"/>
      <c r="C58" s="7"/>
      <c r="D58" s="7"/>
      <c r="E58" s="7"/>
      <c r="F58" s="7"/>
      <c r="G58" s="7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  <c r="G59" s="7"/>
    </row>
    <row r="60" customFormat="false" ht="15" hidden="false" customHeight="true" outlineLevel="0" collapsed="false">
      <c r="A60" s="7"/>
      <c r="B60" s="7"/>
      <c r="C60" s="7"/>
      <c r="D60" s="7"/>
      <c r="E60" s="7"/>
      <c r="F60" s="7"/>
      <c r="G60" s="7"/>
    </row>
    <row r="61" customFormat="false" ht="15" hidden="false" customHeight="true" outlineLevel="0" collapsed="false">
      <c r="A61" s="7"/>
      <c r="B61" s="7"/>
      <c r="C61" s="7"/>
      <c r="D61" s="7"/>
      <c r="E61" s="7"/>
      <c r="F61" s="7"/>
      <c r="G61" s="7"/>
    </row>
    <row r="62" customFormat="false" ht="15" hidden="false" customHeight="true" outlineLevel="0" collapsed="false">
      <c r="A62" s="7"/>
      <c r="B62" s="7"/>
      <c r="C62" s="7"/>
      <c r="D62" s="7"/>
      <c r="E62" s="7"/>
      <c r="F62" s="7"/>
      <c r="G62" s="7"/>
    </row>
    <row r="63" customFormat="false" ht="15" hidden="false" customHeight="true" outlineLevel="0" collapsed="false">
      <c r="A63" s="7"/>
      <c r="B63" s="7"/>
      <c r="C63" s="7"/>
      <c r="D63" s="7"/>
      <c r="E63" s="7"/>
      <c r="F63" s="7"/>
      <c r="G63" s="7"/>
    </row>
    <row r="64" customFormat="false" ht="15" hidden="false" customHeight="true" outlineLevel="0" collapsed="false">
      <c r="A64" s="7"/>
      <c r="B64" s="7"/>
      <c r="C64" s="7"/>
      <c r="D64" s="7"/>
      <c r="E64" s="7"/>
      <c r="F64" s="7"/>
      <c r="G64" s="7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  <c r="G65" s="7"/>
    </row>
    <row r="66" customFormat="false" ht="15" hidden="false" customHeight="true" outlineLevel="0" collapsed="false">
      <c r="A66" s="7"/>
      <c r="B66" s="7"/>
      <c r="C66" s="7"/>
      <c r="D66" s="7"/>
      <c r="E66" s="7"/>
      <c r="F66" s="7"/>
      <c r="G66" s="7"/>
    </row>
    <row r="67" customFormat="false" ht="15" hidden="false" customHeight="true" outlineLevel="0" collapsed="false">
      <c r="A67" s="7"/>
      <c r="B67" s="7"/>
      <c r="C67" s="7"/>
      <c r="D67" s="7"/>
      <c r="E67" s="7"/>
      <c r="F67" s="7"/>
      <c r="G67" s="7"/>
    </row>
    <row r="68" customFormat="false" ht="15" hidden="false" customHeight="true" outlineLevel="0" collapsed="false">
      <c r="A68" s="7"/>
      <c r="B68" s="7"/>
      <c r="C68" s="7"/>
      <c r="D68" s="7"/>
      <c r="E68" s="7"/>
      <c r="F68" s="7"/>
      <c r="G68" s="7"/>
    </row>
    <row r="69" customFormat="false" ht="15" hidden="false" customHeight="true" outlineLevel="0" collapsed="false">
      <c r="A69" s="7"/>
      <c r="B69" s="7"/>
      <c r="C69" s="7"/>
      <c r="D69" s="7"/>
      <c r="E69" s="7"/>
      <c r="F69" s="7"/>
      <c r="G69" s="7"/>
    </row>
    <row r="70" customFormat="false" ht="15" hidden="false" customHeight="true" outlineLevel="0" collapsed="false">
      <c r="A70" s="7"/>
      <c r="B70" s="7"/>
      <c r="C70" s="7"/>
      <c r="D70" s="7"/>
      <c r="E70" s="7"/>
      <c r="F70" s="7"/>
      <c r="G70" s="7"/>
    </row>
    <row r="71" customFormat="false" ht="15" hidden="false" customHeight="true" outlineLevel="0" collapsed="false">
      <c r="A71" s="7"/>
      <c r="B71" s="7"/>
      <c r="C71" s="7"/>
      <c r="D71" s="7"/>
      <c r="E71" s="7"/>
      <c r="F71" s="7"/>
      <c r="G71" s="7"/>
    </row>
    <row r="72" customFormat="false" ht="15" hidden="false" customHeight="true" outlineLevel="0" collapsed="false">
      <c r="A72" s="7"/>
      <c r="B72" s="7"/>
      <c r="C72" s="7"/>
      <c r="D72" s="7"/>
      <c r="E72" s="7"/>
      <c r="F72" s="7"/>
      <c r="G72" s="7"/>
    </row>
    <row r="73" customFormat="false" ht="15" hidden="false" customHeight="true" outlineLevel="0" collapsed="false">
      <c r="A73" s="7"/>
      <c r="B73" s="7"/>
      <c r="C73" s="7"/>
      <c r="D73" s="7"/>
      <c r="E73" s="7"/>
      <c r="F73" s="7"/>
      <c r="G73" s="7"/>
    </row>
    <row r="74" customFormat="false" ht="15" hidden="false" customHeight="true" outlineLevel="0" collapsed="false">
      <c r="A74" s="7"/>
      <c r="B74" s="7"/>
      <c r="C74" s="7"/>
      <c r="D74" s="7"/>
      <c r="E74" s="7"/>
      <c r="F74" s="7"/>
      <c r="G74" s="7"/>
    </row>
    <row r="75" customFormat="false" ht="15" hidden="false" customHeight="true" outlineLevel="0" collapsed="false">
      <c r="A75" s="7"/>
      <c r="B75" s="7"/>
      <c r="C75" s="7"/>
      <c r="D75" s="7"/>
      <c r="E75" s="7"/>
      <c r="F75" s="7"/>
      <c r="G75" s="7"/>
    </row>
    <row r="76" customFormat="false" ht="15" hidden="false" customHeight="true" outlineLevel="0" collapsed="false">
      <c r="A76" s="7"/>
      <c r="B76" s="7"/>
      <c r="C76" s="7"/>
      <c r="D76" s="7"/>
      <c r="E76" s="7"/>
      <c r="F76" s="7"/>
      <c r="G76" s="7"/>
    </row>
    <row r="77" customFormat="false" ht="15" hidden="false" customHeight="true" outlineLevel="0" collapsed="false">
      <c r="A77" s="7"/>
      <c r="B77" s="7"/>
      <c r="C77" s="7"/>
      <c r="D77" s="7"/>
      <c r="E77" s="7"/>
      <c r="F77" s="7"/>
      <c r="G77" s="7"/>
    </row>
    <row r="78" customFormat="false" ht="15" hidden="false" customHeight="true" outlineLevel="0" collapsed="false">
      <c r="A78" s="7"/>
      <c r="B78" s="7"/>
      <c r="C78" s="7"/>
      <c r="D78" s="7"/>
      <c r="E78" s="7"/>
      <c r="F78" s="7"/>
      <c r="G78" s="7"/>
    </row>
    <row r="79" customFormat="false" ht="15" hidden="false" customHeight="true" outlineLevel="0" collapsed="false">
      <c r="A79" s="7"/>
      <c r="B79" s="7"/>
      <c r="C79" s="7"/>
      <c r="D79" s="7"/>
      <c r="E79" s="7"/>
      <c r="F79" s="7"/>
      <c r="G79" s="7"/>
    </row>
    <row r="80" customFormat="false" ht="15" hidden="false" customHeight="true" outlineLevel="0" collapsed="false">
      <c r="A80" s="7"/>
      <c r="B80" s="7"/>
      <c r="C80" s="7"/>
      <c r="D80" s="7"/>
      <c r="E80" s="7"/>
      <c r="F80" s="7"/>
      <c r="G80" s="7"/>
    </row>
    <row r="81" customFormat="false" ht="15" hidden="false" customHeight="true" outlineLevel="0" collapsed="false">
      <c r="A81" s="7"/>
      <c r="B81" s="7"/>
      <c r="C81" s="7"/>
      <c r="D81" s="7"/>
      <c r="E81" s="7"/>
      <c r="F81" s="7"/>
      <c r="G81" s="7"/>
    </row>
    <row r="82" customFormat="false" ht="15" hidden="false" customHeight="true" outlineLevel="0" collapsed="false">
      <c r="A82" s="7"/>
      <c r="B82" s="7"/>
      <c r="C82" s="7"/>
      <c r="D82" s="7"/>
      <c r="E82" s="7"/>
      <c r="F82" s="7"/>
      <c r="G82" s="7"/>
    </row>
    <row r="83" customFormat="false" ht="15" hidden="false" customHeight="true" outlineLevel="0" collapsed="false">
      <c r="A83" s="7"/>
      <c r="B83" s="7"/>
      <c r="C83" s="7"/>
      <c r="D83" s="7"/>
      <c r="E83" s="7"/>
      <c r="F83" s="7"/>
      <c r="G83" s="7"/>
    </row>
    <row r="84" customFormat="false" ht="15" hidden="false" customHeight="true" outlineLevel="0" collapsed="false">
      <c r="A84" s="7"/>
      <c r="B84" s="7"/>
      <c r="C84" s="7"/>
      <c r="D84" s="7"/>
      <c r="E84" s="7"/>
      <c r="F84" s="7"/>
      <c r="G84" s="7"/>
    </row>
    <row r="85" customFormat="false" ht="15" hidden="false" customHeight="true" outlineLevel="0" collapsed="false">
      <c r="A85" s="7"/>
      <c r="B85" s="7"/>
      <c r="C85" s="7"/>
      <c r="D85" s="7"/>
      <c r="E85" s="7"/>
      <c r="F85" s="7"/>
      <c r="G85" s="7"/>
    </row>
    <row r="86" customFormat="false" ht="15" hidden="false" customHeight="true" outlineLevel="0" collapsed="false">
      <c r="A86" s="7"/>
      <c r="B86" s="7"/>
      <c r="C86" s="7"/>
      <c r="D86" s="7"/>
      <c r="E86" s="7"/>
      <c r="F86" s="7"/>
      <c r="G86" s="7"/>
    </row>
    <row r="87" customFormat="false" ht="15" hidden="false" customHeight="true" outlineLevel="0" collapsed="false">
      <c r="A87" s="7"/>
      <c r="B87" s="7"/>
      <c r="C87" s="7"/>
      <c r="D87" s="7"/>
      <c r="E87" s="7"/>
      <c r="F87" s="7"/>
      <c r="G87" s="7"/>
    </row>
    <row r="88" customFormat="false" ht="15" hidden="false" customHeight="true" outlineLevel="0" collapsed="false">
      <c r="A88" s="7"/>
      <c r="B88" s="7"/>
      <c r="C88" s="7"/>
      <c r="D88" s="7"/>
      <c r="E88" s="7"/>
      <c r="F88" s="7"/>
      <c r="G88" s="7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  <c r="G89" s="7"/>
    </row>
    <row r="90" customFormat="false" ht="15" hidden="false" customHeight="true" outlineLevel="0" collapsed="false">
      <c r="A90" s="7"/>
      <c r="B90" s="7"/>
      <c r="C90" s="7"/>
      <c r="D90" s="7"/>
      <c r="E90" s="7"/>
      <c r="F90" s="7"/>
      <c r="G90" s="7"/>
    </row>
    <row r="91" customFormat="false" ht="15" hidden="false" customHeight="true" outlineLevel="0" collapsed="false">
      <c r="A91" s="7"/>
      <c r="B91" s="7"/>
      <c r="C91" s="7"/>
      <c r="D91" s="7"/>
      <c r="E91" s="7"/>
      <c r="F91" s="7"/>
      <c r="G91" s="7"/>
    </row>
    <row r="92" customFormat="false" ht="15" hidden="false" customHeight="true" outlineLevel="0" collapsed="false">
      <c r="A92" s="7"/>
      <c r="B92" s="7"/>
      <c r="C92" s="7"/>
      <c r="D92" s="7"/>
      <c r="E92" s="7"/>
      <c r="F92" s="7"/>
      <c r="G92" s="7"/>
    </row>
    <row r="93" customFormat="false" ht="15" hidden="false" customHeight="true" outlineLevel="0" collapsed="false">
      <c r="A93" s="7"/>
      <c r="B93" s="7"/>
      <c r="C93" s="7"/>
      <c r="D93" s="7"/>
      <c r="E93" s="7"/>
      <c r="F93" s="7"/>
      <c r="G93" s="7"/>
    </row>
    <row r="94" customFormat="false" ht="15" hidden="false" customHeight="true" outlineLevel="0" collapsed="false">
      <c r="A94" s="7"/>
      <c r="B94" s="7"/>
      <c r="C94" s="7"/>
      <c r="D94" s="7"/>
      <c r="E94" s="7"/>
      <c r="F94" s="7"/>
      <c r="G94" s="7"/>
    </row>
    <row r="95" customFormat="false" ht="15" hidden="false" customHeight="true" outlineLevel="0" collapsed="false">
      <c r="A95" s="7"/>
      <c r="B95" s="7"/>
      <c r="C95" s="7"/>
      <c r="D95" s="7"/>
      <c r="E95" s="7"/>
      <c r="F95" s="7"/>
      <c r="G95" s="7"/>
    </row>
    <row r="96" customFormat="false" ht="15" hidden="false" customHeight="true" outlineLevel="0" collapsed="false">
      <c r="A96" s="7"/>
      <c r="B96" s="7"/>
      <c r="C96" s="7"/>
      <c r="D96" s="7"/>
      <c r="E96" s="7"/>
      <c r="F96" s="7"/>
      <c r="G96" s="7"/>
    </row>
    <row r="97" customFormat="false" ht="15" hidden="false" customHeight="true" outlineLevel="0" collapsed="false">
      <c r="A97" s="7"/>
      <c r="B97" s="7"/>
      <c r="C97" s="7"/>
      <c r="D97" s="7"/>
      <c r="E97" s="7"/>
      <c r="F97" s="7"/>
      <c r="G97" s="7"/>
    </row>
    <row r="98" customFormat="false" ht="15" hidden="false" customHeight="true" outlineLevel="0" collapsed="false">
      <c r="A98" s="7"/>
      <c r="B98" s="7"/>
      <c r="C98" s="7"/>
      <c r="D98" s="7"/>
      <c r="E98" s="7"/>
      <c r="F98" s="7"/>
      <c r="G98" s="7"/>
    </row>
    <row r="99" customFormat="false" ht="15" hidden="false" customHeight="true" outlineLevel="0" collapsed="false">
      <c r="A99" s="7"/>
      <c r="B99" s="7"/>
      <c r="C99" s="7"/>
      <c r="D99" s="7"/>
      <c r="E99" s="7"/>
      <c r="F99" s="7"/>
      <c r="G99" s="7"/>
    </row>
    <row r="100" customFormat="false" ht="15" hidden="false" customHeight="true" outlineLevel="0" collapsed="false">
      <c r="A100" s="7"/>
      <c r="B100" s="7"/>
      <c r="C100" s="7"/>
      <c r="D100" s="7"/>
      <c r="E100" s="7"/>
      <c r="F100" s="7"/>
      <c r="G100" s="7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  <c r="G101" s="7"/>
    </row>
    <row r="102" customFormat="false" ht="15" hidden="false" customHeight="true" outlineLevel="0" collapsed="false">
      <c r="A102" s="7"/>
      <c r="B102" s="7"/>
      <c r="C102" s="7"/>
      <c r="D102" s="7"/>
      <c r="E102" s="7"/>
      <c r="F102" s="7"/>
      <c r="G102" s="7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7"/>
      <c r="G103" s="7"/>
    </row>
    <row r="104" customFormat="false" ht="15" hidden="false" customHeight="true" outlineLevel="0" collapsed="false">
      <c r="A104" s="7"/>
      <c r="B104" s="7"/>
      <c r="C104" s="7"/>
      <c r="D104" s="7"/>
      <c r="E104" s="7"/>
      <c r="F104" s="7"/>
      <c r="G104" s="7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7"/>
      <c r="G105" s="7"/>
    </row>
    <row r="106" customFormat="false" ht="15" hidden="false" customHeight="true" outlineLevel="0" collapsed="false">
      <c r="A106" s="7"/>
      <c r="B106" s="7"/>
      <c r="C106" s="7"/>
      <c r="D106" s="7"/>
      <c r="E106" s="7"/>
      <c r="F106" s="7"/>
      <c r="G106" s="7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7"/>
      <c r="G107" s="7"/>
    </row>
    <row r="108" customFormat="false" ht="15" hidden="false" customHeight="true" outlineLevel="0" collapsed="false">
      <c r="A108" s="7"/>
      <c r="B108" s="7"/>
      <c r="C108" s="7"/>
      <c r="D108" s="7"/>
      <c r="E108" s="7"/>
      <c r="F108" s="7"/>
      <c r="G108" s="7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7"/>
      <c r="G109" s="7"/>
    </row>
    <row r="110" customFormat="false" ht="15" hidden="false" customHeight="true" outlineLevel="0" collapsed="false">
      <c r="A110" s="7"/>
      <c r="B110" s="7"/>
      <c r="C110" s="7"/>
      <c r="D110" s="7"/>
      <c r="E110" s="7"/>
      <c r="F110" s="7"/>
      <c r="G110" s="7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7"/>
      <c r="G111" s="7"/>
    </row>
    <row r="112" customFormat="false" ht="15" hidden="false" customHeight="true" outlineLevel="0" collapsed="false">
      <c r="A112" s="7"/>
      <c r="B112" s="7"/>
      <c r="C112" s="7"/>
      <c r="D112" s="7"/>
      <c r="E112" s="7"/>
      <c r="F112" s="7"/>
      <c r="G112" s="7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7"/>
      <c r="G113" s="7"/>
    </row>
    <row r="114" customFormat="false" ht="15" hidden="false" customHeight="true" outlineLevel="0" collapsed="false">
      <c r="A114" s="7"/>
      <c r="B114" s="7"/>
      <c r="C114" s="7"/>
      <c r="D114" s="7"/>
      <c r="E114" s="7"/>
      <c r="F114" s="7"/>
      <c r="G114" s="7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7"/>
      <c r="G115" s="7"/>
    </row>
    <row r="116" customFormat="false" ht="15" hidden="false" customHeight="true" outlineLevel="0" collapsed="false">
      <c r="A116" s="7"/>
      <c r="B116" s="7"/>
      <c r="C116" s="7"/>
      <c r="D116" s="7"/>
      <c r="E116" s="7"/>
      <c r="F116" s="7"/>
      <c r="G116" s="7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7"/>
      <c r="G117" s="7"/>
    </row>
    <row r="118" customFormat="false" ht="15" hidden="false" customHeight="true" outlineLevel="0" collapsed="false">
      <c r="A118" s="7"/>
      <c r="B118" s="7"/>
      <c r="C118" s="7"/>
      <c r="D118" s="7"/>
      <c r="E118" s="7"/>
      <c r="F118" s="7"/>
      <c r="G118" s="7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7"/>
      <c r="G119" s="7"/>
    </row>
    <row r="120" customFormat="false" ht="15" hidden="false" customHeight="true" outlineLevel="0" collapsed="false">
      <c r="A120" s="7"/>
      <c r="B120" s="7"/>
      <c r="C120" s="7"/>
      <c r="D120" s="7"/>
      <c r="E120" s="7"/>
      <c r="F120" s="7"/>
      <c r="G120" s="7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7"/>
      <c r="G121" s="7"/>
    </row>
    <row r="122" customFormat="false" ht="15" hidden="false" customHeight="true" outlineLevel="0" collapsed="false">
      <c r="A122" s="7"/>
      <c r="B122" s="7"/>
      <c r="C122" s="7"/>
      <c r="D122" s="7"/>
      <c r="E122" s="7"/>
      <c r="F122" s="7"/>
      <c r="G122" s="7"/>
    </row>
    <row r="123" customFormat="false" ht="15" hidden="false" customHeight="true" outlineLevel="0" collapsed="false">
      <c r="A123" s="7"/>
      <c r="B123" s="7"/>
      <c r="C123" s="7"/>
      <c r="D123" s="7"/>
      <c r="E123" s="7"/>
      <c r="F123" s="7"/>
      <c r="G123" s="7"/>
    </row>
    <row r="124" customFormat="false" ht="15" hidden="false" customHeight="true" outlineLevel="0" collapsed="false">
      <c r="A124" s="7"/>
      <c r="B124" s="7"/>
      <c r="C124" s="7"/>
      <c r="D124" s="7"/>
      <c r="E124" s="7"/>
      <c r="F124" s="7"/>
      <c r="G124" s="7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7"/>
      <c r="G125" s="7"/>
    </row>
    <row r="126" customFormat="false" ht="15" hidden="false" customHeight="true" outlineLevel="0" collapsed="false">
      <c r="A126" s="7"/>
      <c r="B126" s="7"/>
      <c r="C126" s="7"/>
      <c r="D126" s="7"/>
      <c r="E126" s="7"/>
      <c r="F126" s="7"/>
      <c r="G126" s="7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7"/>
      <c r="G127" s="7"/>
    </row>
    <row r="128" customFormat="false" ht="15" hidden="false" customHeight="true" outlineLevel="0" collapsed="false">
      <c r="A128" s="7"/>
      <c r="B128" s="7"/>
      <c r="C128" s="7"/>
      <c r="D128" s="7"/>
      <c r="E128" s="7"/>
      <c r="F128" s="7"/>
      <c r="G128" s="7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7"/>
      <c r="G129" s="7"/>
    </row>
    <row r="130" customFormat="false" ht="15" hidden="false" customHeight="true" outlineLevel="0" collapsed="false">
      <c r="A130" s="7"/>
      <c r="B130" s="7"/>
      <c r="C130" s="7"/>
      <c r="D130" s="7"/>
      <c r="E130" s="7"/>
      <c r="F130" s="7"/>
      <c r="G130" s="7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7"/>
      <c r="G131" s="7"/>
    </row>
    <row r="132" customFormat="false" ht="15" hidden="false" customHeight="true" outlineLevel="0" collapsed="false">
      <c r="A132" s="7"/>
      <c r="B132" s="7"/>
      <c r="C132" s="7"/>
      <c r="D132" s="7"/>
      <c r="E132" s="7"/>
      <c r="F132" s="7"/>
      <c r="G132" s="7"/>
    </row>
    <row r="133" customFormat="false" ht="15" hidden="false" customHeight="true" outlineLevel="0" collapsed="false">
      <c r="A133" s="7"/>
      <c r="B133" s="7"/>
      <c r="C133" s="7"/>
      <c r="D133" s="7"/>
      <c r="E133" s="7"/>
      <c r="F133" s="7"/>
      <c r="G133" s="7"/>
    </row>
    <row r="134" customFormat="false" ht="15" hidden="false" customHeight="true" outlineLevel="0" collapsed="false">
      <c r="A134" s="7"/>
      <c r="B134" s="7"/>
      <c r="C134" s="7"/>
      <c r="D134" s="7"/>
      <c r="E134" s="7"/>
      <c r="F134" s="7"/>
      <c r="G134" s="7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7"/>
      <c r="G135" s="7"/>
    </row>
    <row r="136" customFormat="false" ht="15" hidden="false" customHeight="true" outlineLevel="0" collapsed="false">
      <c r="A136" s="7"/>
      <c r="B136" s="7"/>
      <c r="C136" s="7"/>
      <c r="D136" s="7"/>
      <c r="E136" s="7"/>
      <c r="F136" s="7"/>
      <c r="G136" s="7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7"/>
      <c r="G137" s="7"/>
    </row>
    <row r="138" customFormat="false" ht="15" hidden="false" customHeight="true" outlineLevel="0" collapsed="false">
      <c r="A138" s="7"/>
      <c r="B138" s="7"/>
      <c r="C138" s="7"/>
      <c r="D138" s="7"/>
      <c r="E138" s="7"/>
      <c r="F138" s="7"/>
      <c r="G138" s="7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7"/>
      <c r="G139" s="7"/>
    </row>
    <row r="140" customFormat="false" ht="15" hidden="false" customHeight="true" outlineLevel="0" collapsed="false">
      <c r="A140" s="7"/>
      <c r="B140" s="7"/>
      <c r="C140" s="7"/>
      <c r="D140" s="7"/>
      <c r="E140" s="7"/>
      <c r="F140" s="7"/>
      <c r="G140" s="7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7"/>
      <c r="G141" s="7"/>
    </row>
    <row r="142" customFormat="false" ht="15" hidden="false" customHeight="true" outlineLevel="0" collapsed="false">
      <c r="A142" s="7"/>
      <c r="B142" s="7"/>
      <c r="C142" s="7"/>
      <c r="D142" s="7"/>
      <c r="E142" s="7"/>
      <c r="F142" s="7"/>
      <c r="G142" s="7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7"/>
      <c r="G143" s="7"/>
    </row>
    <row r="144" customFormat="false" ht="15" hidden="false" customHeight="true" outlineLevel="0" collapsed="false">
      <c r="A144" s="7"/>
      <c r="B144" s="7"/>
      <c r="C144" s="7"/>
      <c r="D144" s="7"/>
      <c r="E144" s="7"/>
      <c r="F144" s="7"/>
      <c r="G144" s="7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7"/>
      <c r="G145" s="7"/>
    </row>
    <row r="146" customFormat="false" ht="15" hidden="false" customHeight="true" outlineLevel="0" collapsed="false">
      <c r="A146" s="7"/>
      <c r="B146" s="7"/>
      <c r="C146" s="7"/>
      <c r="D146" s="7"/>
      <c r="E146" s="7"/>
      <c r="F146" s="7"/>
      <c r="G146" s="7"/>
    </row>
    <row r="147" customFormat="false" ht="15" hidden="false" customHeight="true" outlineLevel="0" collapsed="false">
      <c r="A147" s="7"/>
      <c r="B147" s="7"/>
      <c r="C147" s="7"/>
      <c r="D147" s="7"/>
      <c r="E147" s="7"/>
      <c r="F147" s="7"/>
      <c r="G147" s="7"/>
    </row>
    <row r="148" customFormat="false" ht="15" hidden="false" customHeight="true" outlineLevel="0" collapsed="false">
      <c r="A148" s="7"/>
      <c r="B148" s="7"/>
      <c r="C148" s="7"/>
      <c r="D148" s="7"/>
      <c r="E148" s="7"/>
      <c r="F148" s="7"/>
      <c r="G148" s="7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7"/>
      <c r="G149" s="7"/>
    </row>
    <row r="150" customFormat="false" ht="15" hidden="false" customHeight="true" outlineLevel="0" collapsed="false">
      <c r="A150" s="7"/>
      <c r="B150" s="7"/>
      <c r="C150" s="7"/>
      <c r="D150" s="7"/>
      <c r="E150" s="7"/>
      <c r="F150" s="7"/>
      <c r="G150" s="7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7"/>
      <c r="G151" s="7"/>
    </row>
    <row r="152" customFormat="false" ht="15" hidden="false" customHeight="true" outlineLevel="0" collapsed="false">
      <c r="A152" s="7"/>
      <c r="B152" s="7"/>
      <c r="C152" s="7"/>
      <c r="D152" s="7"/>
      <c r="E152" s="7"/>
      <c r="F152" s="7"/>
      <c r="G152" s="7"/>
    </row>
    <row r="153" customFormat="false" ht="15" hidden="false" customHeight="true" outlineLevel="0" collapsed="false">
      <c r="A153" s="7"/>
      <c r="B153" s="7"/>
      <c r="C153" s="7"/>
      <c r="D153" s="7"/>
      <c r="E153" s="7"/>
      <c r="F153" s="7"/>
      <c r="G153" s="7"/>
    </row>
    <row r="154" customFormat="false" ht="15" hidden="false" customHeight="true" outlineLevel="0" collapsed="false">
      <c r="A154" s="7"/>
      <c r="B154" s="7"/>
      <c r="C154" s="7"/>
      <c r="D154" s="7"/>
      <c r="E154" s="7"/>
      <c r="F154" s="7"/>
      <c r="G154" s="7"/>
    </row>
    <row r="155" customFormat="false" ht="15" hidden="false" customHeight="true" outlineLevel="0" collapsed="false">
      <c r="A155" s="7"/>
      <c r="B155" s="7"/>
      <c r="C155" s="7"/>
      <c r="D155" s="7"/>
      <c r="E155" s="7"/>
      <c r="F155" s="7"/>
      <c r="G155" s="7"/>
    </row>
    <row r="156" customFormat="false" ht="15" hidden="false" customHeight="true" outlineLevel="0" collapsed="false">
      <c r="A156" s="7"/>
      <c r="B156" s="7"/>
      <c r="C156" s="7"/>
      <c r="D156" s="7"/>
      <c r="E156" s="7"/>
      <c r="F156" s="7"/>
      <c r="G156" s="7"/>
    </row>
    <row r="157" customFormat="false" ht="15" hidden="false" customHeight="true" outlineLevel="0" collapsed="false">
      <c r="A157" s="7"/>
      <c r="B157" s="7"/>
      <c r="C157" s="7"/>
      <c r="D157" s="7"/>
      <c r="E157" s="7"/>
      <c r="F157" s="7"/>
      <c r="G157" s="7"/>
    </row>
    <row r="158" customFormat="false" ht="15" hidden="false" customHeight="true" outlineLevel="0" collapsed="false">
      <c r="A158" s="7"/>
      <c r="B158" s="7"/>
      <c r="C158" s="7"/>
      <c r="D158" s="7"/>
      <c r="E158" s="7"/>
      <c r="F158" s="7"/>
      <c r="G158" s="7"/>
    </row>
    <row r="159" customFormat="false" ht="15" hidden="false" customHeight="true" outlineLevel="0" collapsed="false">
      <c r="A159" s="7"/>
      <c r="B159" s="7"/>
      <c r="C159" s="7"/>
      <c r="D159" s="7"/>
      <c r="E159" s="7"/>
      <c r="F159" s="7"/>
      <c r="G159" s="7"/>
    </row>
    <row r="160" customFormat="false" ht="15" hidden="false" customHeight="true" outlineLevel="0" collapsed="false">
      <c r="A160" s="7"/>
      <c r="B160" s="7"/>
      <c r="C160" s="7"/>
      <c r="D160" s="7"/>
      <c r="E160" s="7"/>
      <c r="F160" s="7"/>
      <c r="G160" s="7"/>
    </row>
    <row r="161" customFormat="false" ht="15" hidden="false" customHeight="true" outlineLevel="0" collapsed="false">
      <c r="A161" s="7"/>
      <c r="B161" s="7"/>
      <c r="C161" s="7"/>
      <c r="D161" s="7"/>
      <c r="E161" s="7"/>
      <c r="F161" s="7"/>
      <c r="G161" s="7"/>
    </row>
    <row r="162" customFormat="false" ht="15" hidden="false" customHeight="true" outlineLevel="0" collapsed="false">
      <c r="A162" s="7"/>
      <c r="B162" s="7"/>
      <c r="C162" s="7"/>
      <c r="D162" s="7"/>
      <c r="E162" s="7"/>
      <c r="F162" s="7"/>
      <c r="G162" s="7"/>
    </row>
    <row r="163" customFormat="false" ht="15" hidden="false" customHeight="true" outlineLevel="0" collapsed="false">
      <c r="A163" s="7"/>
      <c r="B163" s="7"/>
      <c r="C163" s="7"/>
      <c r="D163" s="7"/>
      <c r="E163" s="7"/>
      <c r="F163" s="7"/>
      <c r="G163" s="7"/>
    </row>
    <row r="164" customFormat="false" ht="15" hidden="false" customHeight="true" outlineLevel="0" collapsed="false">
      <c r="A164" s="7"/>
      <c r="B164" s="7"/>
      <c r="C164" s="7"/>
      <c r="D164" s="7"/>
      <c r="E164" s="7"/>
      <c r="F164" s="7"/>
      <c r="G164" s="7"/>
    </row>
    <row r="165" customFormat="false" ht="15" hidden="false" customHeight="true" outlineLevel="0" collapsed="false">
      <c r="A165" s="7"/>
      <c r="B165" s="7"/>
      <c r="C165" s="7"/>
      <c r="D165" s="7"/>
      <c r="E165" s="7"/>
      <c r="F165" s="7"/>
      <c r="G165" s="7"/>
    </row>
    <row r="166" customFormat="false" ht="15" hidden="false" customHeight="true" outlineLevel="0" collapsed="false">
      <c r="A166" s="7"/>
      <c r="B166" s="7"/>
      <c r="C166" s="7"/>
      <c r="D166" s="7"/>
      <c r="E166" s="7"/>
      <c r="F166" s="7"/>
      <c r="G166" s="7"/>
    </row>
    <row r="167" customFormat="false" ht="15" hidden="false" customHeight="true" outlineLevel="0" collapsed="false">
      <c r="A167" s="7"/>
      <c r="B167" s="7"/>
      <c r="C167" s="7"/>
      <c r="D167" s="7"/>
      <c r="E167" s="7"/>
      <c r="F167" s="7"/>
      <c r="G167" s="7"/>
    </row>
    <row r="168" customFormat="false" ht="15" hidden="false" customHeight="true" outlineLevel="0" collapsed="false">
      <c r="A168" s="7"/>
      <c r="B168" s="7"/>
      <c r="C168" s="7"/>
      <c r="D168" s="7"/>
      <c r="E168" s="7"/>
      <c r="F168" s="7"/>
      <c r="G168" s="7"/>
    </row>
    <row r="169" customFormat="false" ht="15" hidden="false" customHeight="true" outlineLevel="0" collapsed="false">
      <c r="A169" s="7"/>
      <c r="B169" s="7"/>
      <c r="C169" s="7"/>
      <c r="D169" s="7"/>
      <c r="E169" s="7"/>
      <c r="F169" s="7"/>
      <c r="G169" s="7"/>
    </row>
    <row r="170" customFormat="false" ht="15" hidden="false" customHeight="true" outlineLevel="0" collapsed="false">
      <c r="A170" s="7"/>
      <c r="B170" s="7"/>
      <c r="C170" s="7"/>
      <c r="D170" s="7"/>
      <c r="E170" s="7"/>
      <c r="F170" s="7"/>
      <c r="G170" s="7"/>
    </row>
    <row r="171" customFormat="false" ht="15" hidden="false" customHeight="true" outlineLevel="0" collapsed="false">
      <c r="A171" s="7"/>
      <c r="B171" s="7"/>
      <c r="C171" s="7"/>
      <c r="D171" s="7"/>
      <c r="E171" s="7"/>
      <c r="F171" s="7"/>
      <c r="G171" s="7"/>
    </row>
    <row r="172" customFormat="false" ht="15" hidden="false" customHeight="true" outlineLevel="0" collapsed="false">
      <c r="A172" s="7"/>
      <c r="B172" s="7"/>
      <c r="C172" s="7"/>
      <c r="D172" s="7"/>
      <c r="E172" s="7"/>
      <c r="F172" s="7"/>
      <c r="G172" s="7"/>
    </row>
    <row r="173" customFormat="false" ht="15" hidden="false" customHeight="true" outlineLevel="0" collapsed="false">
      <c r="A173" s="7"/>
      <c r="B173" s="7"/>
      <c r="C173" s="7"/>
      <c r="D173" s="7"/>
      <c r="E173" s="7"/>
      <c r="F173" s="7"/>
      <c r="G173" s="7"/>
    </row>
    <row r="174" customFormat="false" ht="15" hidden="false" customHeight="true" outlineLevel="0" collapsed="false">
      <c r="A174" s="7"/>
      <c r="B174" s="7"/>
      <c r="C174" s="7"/>
      <c r="D174" s="7"/>
      <c r="E174" s="7"/>
      <c r="F174" s="7"/>
      <c r="G174" s="7"/>
    </row>
    <row r="175" customFormat="false" ht="15" hidden="false" customHeight="true" outlineLevel="0" collapsed="false">
      <c r="A175" s="7"/>
      <c r="B175" s="7"/>
      <c r="C175" s="7"/>
      <c r="D175" s="7"/>
      <c r="E175" s="7"/>
      <c r="F175" s="7"/>
      <c r="G175" s="7"/>
    </row>
    <row r="176" customFormat="false" ht="15" hidden="false" customHeight="true" outlineLevel="0" collapsed="false">
      <c r="A176" s="7"/>
      <c r="B176" s="7"/>
      <c r="C176" s="7"/>
      <c r="D176" s="7"/>
      <c r="E176" s="7"/>
      <c r="F176" s="7"/>
      <c r="G176" s="7"/>
    </row>
    <row r="177" customFormat="false" ht="15" hidden="false" customHeight="true" outlineLevel="0" collapsed="false">
      <c r="A177" s="7"/>
      <c r="B177" s="7"/>
      <c r="C177" s="7"/>
      <c r="D177" s="7"/>
      <c r="E177" s="7"/>
      <c r="F177" s="7"/>
      <c r="G177" s="7"/>
    </row>
    <row r="178" customFormat="false" ht="15" hidden="false" customHeight="true" outlineLevel="0" collapsed="false">
      <c r="A178" s="7"/>
      <c r="B178" s="7"/>
      <c r="C178" s="7"/>
      <c r="D178" s="7"/>
      <c r="E178" s="7"/>
      <c r="F178" s="7"/>
      <c r="G178" s="7"/>
    </row>
    <row r="179" customFormat="false" ht="15" hidden="false" customHeight="true" outlineLevel="0" collapsed="false">
      <c r="A179" s="7"/>
      <c r="B179" s="7"/>
      <c r="C179" s="7"/>
      <c r="D179" s="7"/>
      <c r="E179" s="7"/>
      <c r="F179" s="7"/>
      <c r="G179" s="7"/>
    </row>
    <row r="180" customFormat="false" ht="15" hidden="false" customHeight="true" outlineLevel="0" collapsed="false">
      <c r="A180" s="7"/>
      <c r="B180" s="7"/>
      <c r="C180" s="7"/>
      <c r="D180" s="7"/>
      <c r="E180" s="7"/>
      <c r="F180" s="7"/>
      <c r="G180" s="7"/>
    </row>
    <row r="181" customFormat="false" ht="15" hidden="false" customHeight="true" outlineLevel="0" collapsed="false">
      <c r="A181" s="7"/>
      <c r="B181" s="7"/>
      <c r="C181" s="7"/>
      <c r="D181" s="7"/>
      <c r="E181" s="7"/>
      <c r="F181" s="7"/>
      <c r="G181" s="7"/>
    </row>
    <row r="182" customFormat="false" ht="15" hidden="false" customHeight="true" outlineLevel="0" collapsed="false">
      <c r="A182" s="7"/>
      <c r="B182" s="7"/>
      <c r="C182" s="7"/>
      <c r="D182" s="7"/>
      <c r="E182" s="7"/>
      <c r="F182" s="7"/>
      <c r="G182" s="7"/>
    </row>
    <row r="183" customFormat="false" ht="15" hidden="false" customHeight="true" outlineLevel="0" collapsed="false">
      <c r="A183" s="7"/>
      <c r="B183" s="7"/>
      <c r="C183" s="7"/>
      <c r="D183" s="7"/>
      <c r="E183" s="7"/>
      <c r="F183" s="7"/>
      <c r="G183" s="7"/>
    </row>
    <row r="184" customFormat="false" ht="15" hidden="false" customHeight="true" outlineLevel="0" collapsed="false">
      <c r="A184" s="7"/>
      <c r="B184" s="7"/>
      <c r="C184" s="7"/>
      <c r="D184" s="7"/>
      <c r="E184" s="7"/>
      <c r="F184" s="7"/>
      <c r="G184" s="7"/>
    </row>
    <row r="185" customFormat="false" ht="15" hidden="false" customHeight="true" outlineLevel="0" collapsed="false">
      <c r="A185" s="7"/>
      <c r="B185" s="7"/>
      <c r="C185" s="7"/>
      <c r="D185" s="7"/>
      <c r="E185" s="7"/>
      <c r="F185" s="7"/>
      <c r="G185" s="7"/>
    </row>
    <row r="186" customFormat="false" ht="15" hidden="false" customHeight="true" outlineLevel="0" collapsed="false">
      <c r="A186" s="7"/>
      <c r="B186" s="7"/>
      <c r="C186" s="7"/>
      <c r="D186" s="7"/>
      <c r="E186" s="7"/>
      <c r="F186" s="7"/>
      <c r="G186" s="7"/>
    </row>
    <row r="187" customFormat="false" ht="15" hidden="false" customHeight="true" outlineLevel="0" collapsed="false">
      <c r="A187" s="7"/>
      <c r="B187" s="7"/>
      <c r="C187" s="7"/>
      <c r="D187" s="7"/>
      <c r="E187" s="7"/>
      <c r="F187" s="7"/>
      <c r="G187" s="7"/>
    </row>
    <row r="188" customFormat="false" ht="15" hidden="false" customHeight="true" outlineLevel="0" collapsed="false">
      <c r="A188" s="7"/>
      <c r="B188" s="7"/>
      <c r="C188" s="7"/>
      <c r="D188" s="7"/>
      <c r="E188" s="7"/>
      <c r="F188" s="7"/>
      <c r="G188" s="7"/>
    </row>
    <row r="189" customFormat="false" ht="15" hidden="false" customHeight="true" outlineLevel="0" collapsed="false">
      <c r="A189" s="7"/>
      <c r="B189" s="7"/>
      <c r="C189" s="7"/>
      <c r="D189" s="7"/>
      <c r="E189" s="7"/>
      <c r="F189" s="7"/>
      <c r="G189" s="7"/>
    </row>
    <row r="190" customFormat="false" ht="15" hidden="false" customHeight="true" outlineLevel="0" collapsed="false">
      <c r="A190" s="7"/>
      <c r="B190" s="7"/>
      <c r="C190" s="7"/>
      <c r="D190" s="7"/>
      <c r="E190" s="7"/>
      <c r="F190" s="7"/>
      <c r="G190" s="7"/>
    </row>
    <row r="191" customFormat="false" ht="15" hidden="false" customHeight="true" outlineLevel="0" collapsed="false">
      <c r="A191" s="7"/>
      <c r="B191" s="7"/>
      <c r="C191" s="7"/>
      <c r="D191" s="7"/>
      <c r="E191" s="7"/>
      <c r="F191" s="7"/>
      <c r="G191" s="7"/>
    </row>
    <row r="192" customFormat="false" ht="15" hidden="false" customHeight="true" outlineLevel="0" collapsed="false">
      <c r="A192" s="7"/>
      <c r="B192" s="7"/>
      <c r="C192" s="7"/>
      <c r="D192" s="7"/>
      <c r="E192" s="7"/>
      <c r="F192" s="7"/>
      <c r="G192" s="7"/>
    </row>
    <row r="193" customFormat="false" ht="15" hidden="false" customHeight="true" outlineLevel="0" collapsed="false">
      <c r="A193" s="7"/>
      <c r="B193" s="7"/>
      <c r="C193" s="7"/>
      <c r="D193" s="7"/>
      <c r="E193" s="7"/>
      <c r="F193" s="7"/>
      <c r="G193" s="7"/>
    </row>
    <row r="194" customFormat="false" ht="15" hidden="false" customHeight="true" outlineLevel="0" collapsed="false">
      <c r="A194" s="7"/>
      <c r="B194" s="7"/>
      <c r="C194" s="7"/>
      <c r="D194" s="7"/>
      <c r="E194" s="7"/>
      <c r="F194" s="7"/>
      <c r="G194" s="7"/>
    </row>
    <row r="195" customFormat="false" ht="15" hidden="false" customHeight="true" outlineLevel="0" collapsed="false">
      <c r="A195" s="7"/>
      <c r="B195" s="7"/>
      <c r="C195" s="7"/>
      <c r="D195" s="7"/>
      <c r="E195" s="7"/>
      <c r="F195" s="7"/>
      <c r="G195" s="7"/>
    </row>
    <row r="196" customFormat="false" ht="15" hidden="false" customHeight="true" outlineLevel="0" collapsed="false">
      <c r="A196" s="7"/>
      <c r="B196" s="7"/>
      <c r="C196" s="7"/>
      <c r="D196" s="7"/>
      <c r="E196" s="7"/>
      <c r="F196" s="7"/>
      <c r="G196" s="7"/>
    </row>
    <row r="197" customFormat="false" ht="15" hidden="false" customHeight="true" outlineLevel="0" collapsed="false">
      <c r="A197" s="7"/>
      <c r="B197" s="7"/>
      <c r="C197" s="7"/>
      <c r="D197" s="7"/>
      <c r="E197" s="7"/>
      <c r="F197" s="7"/>
      <c r="G197" s="7"/>
    </row>
    <row r="198" customFormat="false" ht="15" hidden="false" customHeight="true" outlineLevel="0" collapsed="false">
      <c r="A198" s="7"/>
      <c r="B198" s="7"/>
      <c r="C198" s="7"/>
      <c r="D198" s="7"/>
      <c r="E198" s="7"/>
      <c r="F198" s="7"/>
      <c r="G198" s="7"/>
    </row>
    <row r="199" customFormat="false" ht="15" hidden="false" customHeight="true" outlineLevel="0" collapsed="false">
      <c r="A199" s="7"/>
      <c r="B199" s="7"/>
      <c r="C199" s="7"/>
      <c r="D199" s="7"/>
      <c r="E199" s="7"/>
      <c r="F199" s="7"/>
      <c r="G199" s="7"/>
    </row>
    <row r="200" customFormat="false" ht="15" hidden="false" customHeight="true" outlineLevel="0" collapsed="false">
      <c r="A200" s="7"/>
      <c r="B200" s="7"/>
      <c r="C200" s="7"/>
      <c r="D200" s="7"/>
      <c r="E200" s="7"/>
      <c r="F200" s="7"/>
      <c r="G200" s="7"/>
    </row>
    <row r="201" customFormat="false" ht="15" hidden="false" customHeight="true" outlineLevel="0" collapsed="false">
      <c r="A201" s="7"/>
      <c r="B201" s="7"/>
      <c r="C201" s="7"/>
      <c r="D201" s="7"/>
      <c r="E201" s="7"/>
      <c r="F201" s="7"/>
      <c r="G201" s="7"/>
    </row>
    <row r="202" customFormat="false" ht="15" hidden="false" customHeight="true" outlineLevel="0" collapsed="false">
      <c r="A202" s="7"/>
      <c r="B202" s="7"/>
      <c r="C202" s="7"/>
      <c r="D202" s="7"/>
      <c r="E202" s="7"/>
      <c r="F202" s="7"/>
      <c r="G202" s="7"/>
    </row>
    <row r="203" customFormat="false" ht="15" hidden="false" customHeight="true" outlineLevel="0" collapsed="false">
      <c r="A203" s="7"/>
      <c r="B203" s="7"/>
      <c r="C203" s="7"/>
      <c r="D203" s="7"/>
      <c r="E203" s="7"/>
      <c r="F203" s="7"/>
      <c r="G203" s="7"/>
    </row>
    <row r="204" customFormat="false" ht="15" hidden="false" customHeight="true" outlineLevel="0" collapsed="false">
      <c r="A204" s="7"/>
      <c r="B204" s="7"/>
      <c r="C204" s="7"/>
      <c r="D204" s="7"/>
      <c r="E204" s="7"/>
      <c r="F204" s="7"/>
      <c r="G204" s="7"/>
    </row>
    <row r="205" customFormat="false" ht="15" hidden="false" customHeight="true" outlineLevel="0" collapsed="false">
      <c r="A205" s="7"/>
      <c r="B205" s="7"/>
      <c r="C205" s="7"/>
      <c r="D205" s="7"/>
      <c r="E205" s="7"/>
      <c r="F205" s="7"/>
      <c r="G205" s="7"/>
    </row>
    <row r="206" customFormat="false" ht="15" hidden="false" customHeight="true" outlineLevel="0" collapsed="false">
      <c r="A206" s="7"/>
      <c r="B206" s="7"/>
      <c r="C206" s="7"/>
      <c r="D206" s="7"/>
      <c r="E206" s="7"/>
      <c r="F206" s="7"/>
      <c r="G206" s="7"/>
    </row>
    <row r="207" customFormat="false" ht="15" hidden="false" customHeight="true" outlineLevel="0" collapsed="false">
      <c r="A207" s="7"/>
      <c r="B207" s="7"/>
      <c r="C207" s="7"/>
      <c r="D207" s="7"/>
      <c r="E207" s="7"/>
      <c r="F207" s="7"/>
      <c r="G207" s="7"/>
    </row>
    <row r="208" customFormat="false" ht="15" hidden="false" customHeight="true" outlineLevel="0" collapsed="false">
      <c r="A208" s="7"/>
      <c r="B208" s="7"/>
      <c r="C208" s="7"/>
      <c r="D208" s="7"/>
      <c r="E208" s="7"/>
      <c r="F208" s="7"/>
      <c r="G208" s="7"/>
    </row>
    <row r="209" customFormat="false" ht="15" hidden="false" customHeight="true" outlineLevel="0" collapsed="false">
      <c r="A209" s="7"/>
      <c r="B209" s="7"/>
      <c r="C209" s="7"/>
      <c r="D209" s="7"/>
      <c r="E209" s="7"/>
      <c r="F209" s="7"/>
      <c r="G209" s="7"/>
    </row>
    <row r="210" customFormat="false" ht="15" hidden="false" customHeight="true" outlineLevel="0" collapsed="false">
      <c r="A210" s="7"/>
      <c r="B210" s="7"/>
      <c r="C210" s="7"/>
      <c r="D210" s="7"/>
      <c r="E210" s="7"/>
      <c r="F210" s="7"/>
      <c r="G210" s="7"/>
    </row>
    <row r="211" customFormat="false" ht="15" hidden="false" customHeight="true" outlineLevel="0" collapsed="false">
      <c r="A211" s="7"/>
      <c r="B211" s="7"/>
      <c r="C211" s="7"/>
      <c r="D211" s="7"/>
      <c r="E211" s="7"/>
      <c r="F211" s="7"/>
      <c r="G211" s="7"/>
    </row>
    <row r="212" customFormat="false" ht="15" hidden="false" customHeight="true" outlineLevel="0" collapsed="false">
      <c r="A212" s="7"/>
      <c r="B212" s="7"/>
      <c r="C212" s="7"/>
      <c r="D212" s="7"/>
      <c r="E212" s="7"/>
      <c r="F212" s="7"/>
      <c r="G212" s="7"/>
    </row>
    <row r="213" customFormat="false" ht="15" hidden="false" customHeight="true" outlineLevel="0" collapsed="false">
      <c r="A213" s="7"/>
      <c r="B213" s="7"/>
      <c r="C213" s="7"/>
      <c r="D213" s="7"/>
      <c r="E213" s="7"/>
      <c r="F213" s="7"/>
      <c r="G213" s="7"/>
    </row>
    <row r="214" customFormat="false" ht="15" hidden="false" customHeight="true" outlineLevel="0" collapsed="false">
      <c r="A214" s="7"/>
      <c r="B214" s="7"/>
      <c r="C214" s="7"/>
      <c r="D214" s="7"/>
      <c r="E214" s="7"/>
      <c r="F214" s="7"/>
      <c r="G214" s="7"/>
    </row>
    <row r="215" customFormat="false" ht="15" hidden="false" customHeight="true" outlineLevel="0" collapsed="false">
      <c r="A215" s="7"/>
      <c r="B215" s="7"/>
      <c r="C215" s="7"/>
      <c r="D215" s="7"/>
      <c r="E215" s="7"/>
      <c r="F215" s="7"/>
      <c r="G215" s="7"/>
    </row>
    <row r="216" customFormat="false" ht="15" hidden="false" customHeight="true" outlineLevel="0" collapsed="false">
      <c r="A216" s="7"/>
      <c r="B216" s="7"/>
      <c r="C216" s="7"/>
      <c r="D216" s="7"/>
      <c r="E216" s="7"/>
      <c r="F216" s="7"/>
      <c r="G216" s="7"/>
    </row>
    <row r="217" customFormat="false" ht="15" hidden="false" customHeight="true" outlineLevel="0" collapsed="false">
      <c r="A217" s="7"/>
      <c r="B217" s="7"/>
      <c r="C217" s="7"/>
      <c r="D217" s="7"/>
      <c r="E217" s="7"/>
      <c r="F217" s="7"/>
      <c r="G217" s="7"/>
    </row>
    <row r="218" customFormat="false" ht="15" hidden="false" customHeight="true" outlineLevel="0" collapsed="false">
      <c r="A218" s="7"/>
      <c r="B218" s="7"/>
      <c r="C218" s="7"/>
      <c r="D218" s="7"/>
      <c r="E218" s="7"/>
      <c r="F218" s="7"/>
      <c r="G218" s="7"/>
    </row>
    <row r="219" customFormat="false" ht="15" hidden="false" customHeight="true" outlineLevel="0" collapsed="false">
      <c r="A219" s="7"/>
      <c r="B219" s="7"/>
      <c r="C219" s="7"/>
      <c r="D219" s="7"/>
      <c r="E219" s="7"/>
      <c r="F219" s="7"/>
      <c r="G219" s="7"/>
    </row>
    <row r="220" customFormat="false" ht="15" hidden="false" customHeight="true" outlineLevel="0" collapsed="false">
      <c r="A220" s="7"/>
      <c r="B220" s="7"/>
      <c r="C220" s="7"/>
      <c r="D220" s="7"/>
      <c r="E220" s="7"/>
      <c r="F220" s="7"/>
      <c r="G220" s="7"/>
    </row>
    <row r="221" customFormat="false" ht="15" hidden="false" customHeight="true" outlineLevel="0" collapsed="false">
      <c r="A221" s="7"/>
      <c r="B221" s="7"/>
      <c r="C221" s="7"/>
      <c r="D221" s="7"/>
      <c r="E221" s="7"/>
      <c r="F221" s="7"/>
      <c r="G221" s="7"/>
    </row>
    <row r="222" customFormat="false" ht="15" hidden="false" customHeight="true" outlineLevel="0" collapsed="false">
      <c r="A222" s="7"/>
      <c r="B222" s="7"/>
      <c r="C222" s="7"/>
      <c r="D222" s="7"/>
      <c r="E222" s="7"/>
      <c r="F222" s="7"/>
      <c r="G222" s="7"/>
    </row>
    <row r="223" customFormat="false" ht="15" hidden="false" customHeight="true" outlineLevel="0" collapsed="false">
      <c r="A223" s="7"/>
      <c r="B223" s="7"/>
      <c r="C223" s="7"/>
      <c r="D223" s="7"/>
      <c r="E223" s="7"/>
      <c r="F223" s="7"/>
      <c r="G223" s="7"/>
    </row>
    <row r="224" customFormat="false" ht="15" hidden="false" customHeight="true" outlineLevel="0" collapsed="false">
      <c r="A224" s="7"/>
      <c r="B224" s="7"/>
      <c r="C224" s="7"/>
      <c r="D224" s="7"/>
      <c r="E224" s="7"/>
      <c r="F224" s="7"/>
      <c r="G224" s="7"/>
    </row>
    <row r="225" customFormat="false" ht="15" hidden="false" customHeight="true" outlineLevel="0" collapsed="false">
      <c r="A225" s="7"/>
      <c r="B225" s="7"/>
      <c r="C225" s="7"/>
      <c r="D225" s="7"/>
      <c r="E225" s="7"/>
      <c r="F225" s="7"/>
      <c r="G225" s="7"/>
    </row>
    <row r="226" customFormat="false" ht="15" hidden="false" customHeight="true" outlineLevel="0" collapsed="false">
      <c r="A226" s="7"/>
      <c r="B226" s="7"/>
      <c r="C226" s="7"/>
      <c r="D226" s="7"/>
      <c r="E226" s="7"/>
      <c r="F226" s="7"/>
      <c r="G226" s="7"/>
    </row>
    <row r="227" customFormat="false" ht="15" hidden="false" customHeight="true" outlineLevel="0" collapsed="false">
      <c r="A227" s="7"/>
      <c r="B227" s="7"/>
      <c r="C227" s="7"/>
      <c r="D227" s="7"/>
      <c r="E227" s="7"/>
      <c r="F227" s="7"/>
      <c r="G227" s="7"/>
    </row>
    <row r="228" customFormat="false" ht="15" hidden="false" customHeight="true" outlineLevel="0" collapsed="false">
      <c r="A228" s="7"/>
      <c r="B228" s="7"/>
      <c r="C228" s="7"/>
      <c r="D228" s="7"/>
      <c r="E228" s="7"/>
      <c r="F228" s="7"/>
      <c r="G228" s="7"/>
    </row>
    <row r="229" customFormat="false" ht="15" hidden="false" customHeight="true" outlineLevel="0" collapsed="false">
      <c r="A229" s="7"/>
      <c r="B229" s="7"/>
      <c r="C229" s="7"/>
      <c r="D229" s="7"/>
      <c r="E229" s="7"/>
      <c r="F229" s="7"/>
      <c r="G229" s="7"/>
    </row>
    <row r="230" customFormat="false" ht="15" hidden="false" customHeight="true" outlineLevel="0" collapsed="false">
      <c r="A230" s="7"/>
      <c r="B230" s="7"/>
      <c r="C230" s="7"/>
      <c r="D230" s="7"/>
      <c r="E230" s="7"/>
      <c r="F230" s="7"/>
      <c r="G230" s="7"/>
    </row>
    <row r="231" customFormat="false" ht="15" hidden="false" customHeight="true" outlineLevel="0" collapsed="false">
      <c r="A231" s="7"/>
      <c r="B231" s="7"/>
      <c r="C231" s="7"/>
      <c r="D231" s="7"/>
      <c r="E231" s="7"/>
      <c r="F231" s="7"/>
      <c r="G231" s="7"/>
    </row>
    <row r="232" customFormat="false" ht="15" hidden="false" customHeight="true" outlineLevel="0" collapsed="false">
      <c r="A232" s="7"/>
      <c r="B232" s="7"/>
      <c r="C232" s="7"/>
      <c r="D232" s="7"/>
      <c r="E232" s="7"/>
      <c r="F232" s="7"/>
      <c r="G232" s="7"/>
    </row>
    <row r="233" customFormat="false" ht="15" hidden="false" customHeight="true" outlineLevel="0" collapsed="false">
      <c r="A233" s="7"/>
      <c r="B233" s="7"/>
      <c r="C233" s="7"/>
      <c r="D233" s="7"/>
      <c r="E233" s="7"/>
      <c r="F233" s="7"/>
      <c r="G233" s="7"/>
    </row>
    <row r="234" customFormat="false" ht="15" hidden="false" customHeight="true" outlineLevel="0" collapsed="false">
      <c r="A234" s="7"/>
      <c r="B234" s="7"/>
      <c r="C234" s="7"/>
      <c r="D234" s="7"/>
      <c r="E234" s="7"/>
      <c r="F234" s="7"/>
      <c r="G234" s="7"/>
    </row>
    <row r="235" customFormat="false" ht="15" hidden="false" customHeight="true" outlineLevel="0" collapsed="false">
      <c r="A235" s="7"/>
      <c r="B235" s="7"/>
      <c r="C235" s="7"/>
      <c r="D235" s="7"/>
      <c r="E235" s="7"/>
      <c r="F235" s="7"/>
      <c r="G235" s="7"/>
    </row>
    <row r="236" customFormat="false" ht="15" hidden="false" customHeight="true" outlineLevel="0" collapsed="false">
      <c r="A236" s="7"/>
      <c r="B236" s="7"/>
      <c r="C236" s="7"/>
      <c r="D236" s="7"/>
      <c r="E236" s="7"/>
      <c r="F236" s="7"/>
      <c r="G236" s="7"/>
    </row>
    <row r="237" customFormat="false" ht="15" hidden="false" customHeight="true" outlineLevel="0" collapsed="false">
      <c r="A237" s="7"/>
      <c r="B237" s="7"/>
      <c r="C237" s="7"/>
      <c r="D237" s="7"/>
      <c r="E237" s="7"/>
      <c r="F237" s="7"/>
      <c r="G237" s="7"/>
    </row>
    <row r="238" customFormat="false" ht="15" hidden="false" customHeight="true" outlineLevel="0" collapsed="false">
      <c r="A238" s="7"/>
      <c r="B238" s="7"/>
      <c r="C238" s="7"/>
      <c r="D238" s="7"/>
      <c r="E238" s="7"/>
      <c r="F238" s="7"/>
      <c r="G238" s="7"/>
    </row>
    <row r="239" customFormat="false" ht="15" hidden="false" customHeight="true" outlineLevel="0" collapsed="false">
      <c r="A239" s="7"/>
      <c r="B239" s="7"/>
      <c r="C239" s="7"/>
      <c r="D239" s="7"/>
      <c r="E239" s="7"/>
      <c r="F239" s="7"/>
      <c r="G239" s="7"/>
    </row>
    <row r="240" customFormat="false" ht="15" hidden="false" customHeight="true" outlineLevel="0" collapsed="false">
      <c r="A240" s="7"/>
      <c r="B240" s="7"/>
      <c r="C240" s="7"/>
      <c r="D240" s="7"/>
      <c r="E240" s="7"/>
      <c r="F240" s="7"/>
      <c r="G240" s="7"/>
    </row>
    <row r="241" customFormat="false" ht="15" hidden="false" customHeight="true" outlineLevel="0" collapsed="false">
      <c r="A241" s="7"/>
      <c r="B241" s="7"/>
      <c r="C241" s="7"/>
      <c r="D241" s="7"/>
      <c r="E241" s="7"/>
      <c r="F241" s="7"/>
      <c r="G241" s="7"/>
    </row>
    <row r="242" customFormat="false" ht="15" hidden="false" customHeight="true" outlineLevel="0" collapsed="false">
      <c r="A242" s="7"/>
      <c r="B242" s="7"/>
      <c r="C242" s="7"/>
      <c r="D242" s="7"/>
      <c r="E242" s="7"/>
      <c r="F242" s="7"/>
      <c r="G242" s="7"/>
    </row>
    <row r="243" customFormat="false" ht="15" hidden="false" customHeight="true" outlineLevel="0" collapsed="false">
      <c r="A243" s="7"/>
      <c r="B243" s="7"/>
      <c r="C243" s="7"/>
      <c r="D243" s="7"/>
      <c r="E243" s="7"/>
      <c r="F243" s="7"/>
      <c r="G243" s="7"/>
    </row>
    <row r="244" customFormat="false" ht="15" hidden="false" customHeight="true" outlineLevel="0" collapsed="false">
      <c r="A244" s="7"/>
      <c r="B244" s="7"/>
      <c r="C244" s="7"/>
      <c r="D244" s="7"/>
      <c r="E244" s="7"/>
      <c r="F244" s="7"/>
      <c r="G244" s="7"/>
    </row>
    <row r="245" customFormat="false" ht="15" hidden="false" customHeight="true" outlineLevel="0" collapsed="false">
      <c r="A245" s="7"/>
      <c r="B245" s="7"/>
      <c r="C245" s="7"/>
      <c r="D245" s="7"/>
      <c r="E245" s="7"/>
      <c r="F245" s="7"/>
      <c r="G245" s="7"/>
    </row>
    <row r="246" customFormat="false" ht="15" hidden="false" customHeight="true" outlineLevel="0" collapsed="false">
      <c r="A246" s="7"/>
      <c r="B246" s="7"/>
      <c r="C246" s="7"/>
      <c r="D246" s="7"/>
      <c r="E246" s="7"/>
      <c r="F246" s="7"/>
      <c r="G246" s="7"/>
    </row>
    <row r="247" customFormat="false" ht="15" hidden="false" customHeight="true" outlineLevel="0" collapsed="false">
      <c r="A247" s="7"/>
      <c r="B247" s="7"/>
      <c r="C247" s="7"/>
      <c r="D247" s="7"/>
      <c r="E247" s="7"/>
      <c r="F247" s="7"/>
      <c r="G247" s="7"/>
    </row>
    <row r="248" customFormat="false" ht="15" hidden="false" customHeight="true" outlineLevel="0" collapsed="false">
      <c r="A248" s="7"/>
      <c r="B248" s="7"/>
      <c r="C248" s="7"/>
      <c r="D248" s="7"/>
      <c r="E248" s="7"/>
      <c r="F248" s="7"/>
      <c r="G248" s="7"/>
    </row>
    <row r="249" customFormat="false" ht="15" hidden="false" customHeight="true" outlineLevel="0" collapsed="false">
      <c r="A249" s="7"/>
      <c r="B249" s="7"/>
      <c r="C249" s="7"/>
      <c r="D249" s="7"/>
      <c r="E249" s="7"/>
      <c r="F249" s="7"/>
      <c r="G249" s="7"/>
    </row>
    <row r="250" customFormat="false" ht="15" hidden="false" customHeight="true" outlineLevel="0" collapsed="false">
      <c r="A250" s="7"/>
      <c r="B250" s="7"/>
      <c r="C250" s="7"/>
      <c r="D250" s="7"/>
      <c r="E250" s="7"/>
      <c r="F250" s="7"/>
      <c r="G250" s="7"/>
    </row>
    <row r="251" customFormat="false" ht="15" hidden="false" customHeight="true" outlineLevel="0" collapsed="false">
      <c r="A251" s="7"/>
      <c r="B251" s="7"/>
      <c r="C251" s="7"/>
      <c r="D251" s="7"/>
      <c r="E251" s="7"/>
      <c r="F251" s="7"/>
      <c r="G251" s="7"/>
    </row>
    <row r="252" customFormat="false" ht="15" hidden="false" customHeight="true" outlineLevel="0" collapsed="false">
      <c r="A252" s="7"/>
      <c r="B252" s="7"/>
      <c r="C252" s="7"/>
      <c r="D252" s="7"/>
      <c r="E252" s="7"/>
      <c r="F252" s="7"/>
      <c r="G252" s="7"/>
    </row>
    <row r="253" customFormat="false" ht="15" hidden="false" customHeight="true" outlineLevel="0" collapsed="false">
      <c r="A253" s="7"/>
      <c r="B253" s="7"/>
      <c r="C253" s="7"/>
      <c r="D253" s="7"/>
      <c r="E253" s="7"/>
      <c r="F253" s="7"/>
      <c r="G253" s="7"/>
    </row>
    <row r="254" customFormat="false" ht="15" hidden="false" customHeight="true" outlineLevel="0" collapsed="false">
      <c r="A254" s="7"/>
      <c r="B254" s="7"/>
      <c r="C254" s="7"/>
      <c r="D254" s="7"/>
      <c r="E254" s="7"/>
      <c r="F254" s="7"/>
      <c r="G254" s="7"/>
    </row>
    <row r="255" customFormat="false" ht="15" hidden="false" customHeight="true" outlineLevel="0" collapsed="false">
      <c r="A255" s="7"/>
      <c r="B255" s="7"/>
      <c r="C255" s="7"/>
      <c r="D255" s="7"/>
      <c r="E255" s="7"/>
      <c r="F255" s="7"/>
      <c r="G255" s="7"/>
    </row>
    <row r="256" customFormat="false" ht="15" hidden="false" customHeight="true" outlineLevel="0" collapsed="false">
      <c r="A256" s="7"/>
      <c r="B256" s="7"/>
      <c r="C256" s="7"/>
      <c r="D256" s="7"/>
      <c r="E256" s="7"/>
      <c r="F256" s="7"/>
      <c r="G256" s="7"/>
    </row>
    <row r="257" customFormat="false" ht="15" hidden="false" customHeight="true" outlineLevel="0" collapsed="false">
      <c r="A257" s="7"/>
      <c r="B257" s="7"/>
      <c r="C257" s="7"/>
      <c r="D257" s="7"/>
      <c r="E257" s="7"/>
      <c r="F257" s="7"/>
      <c r="G257" s="7"/>
    </row>
    <row r="258" customFormat="false" ht="15" hidden="false" customHeight="true" outlineLevel="0" collapsed="false">
      <c r="A258" s="7"/>
      <c r="B258" s="7"/>
      <c r="C258" s="7"/>
      <c r="D258" s="7"/>
      <c r="E258" s="7"/>
      <c r="F258" s="7"/>
      <c r="G258" s="7"/>
    </row>
    <row r="259" customFormat="false" ht="15" hidden="false" customHeight="true" outlineLevel="0" collapsed="false">
      <c r="A259" s="7"/>
      <c r="B259" s="7"/>
      <c r="C259" s="7"/>
      <c r="D259" s="7"/>
      <c r="E259" s="7"/>
      <c r="F259" s="7"/>
      <c r="G259" s="7"/>
    </row>
    <row r="260" customFormat="false" ht="15" hidden="false" customHeight="true" outlineLevel="0" collapsed="false">
      <c r="A260" s="7"/>
      <c r="B260" s="7"/>
      <c r="C260" s="7"/>
      <c r="D260" s="7"/>
      <c r="E260" s="7"/>
      <c r="F260" s="7"/>
      <c r="G260" s="7"/>
    </row>
    <row r="261" customFormat="false" ht="15" hidden="false" customHeight="true" outlineLevel="0" collapsed="false">
      <c r="A261" s="7"/>
      <c r="B261" s="7"/>
      <c r="C261" s="7"/>
      <c r="D261" s="7"/>
      <c r="E261" s="7"/>
      <c r="F261" s="7"/>
      <c r="G261" s="7"/>
    </row>
    <row r="262" customFormat="false" ht="15" hidden="false" customHeight="true" outlineLevel="0" collapsed="false">
      <c r="A262" s="7"/>
      <c r="B262" s="7"/>
      <c r="C262" s="7"/>
      <c r="D262" s="7"/>
      <c r="E262" s="7"/>
      <c r="F262" s="7"/>
      <c r="G262" s="7"/>
    </row>
    <row r="263" customFormat="false" ht="15" hidden="false" customHeight="true" outlineLevel="0" collapsed="false">
      <c r="A263" s="7"/>
      <c r="B263" s="7"/>
      <c r="C263" s="7"/>
      <c r="D263" s="7"/>
      <c r="E263" s="7"/>
      <c r="F263" s="7"/>
      <c r="G263" s="7"/>
    </row>
    <row r="264" customFormat="false" ht="15" hidden="false" customHeight="true" outlineLevel="0" collapsed="false">
      <c r="A264" s="7"/>
      <c r="B264" s="7"/>
      <c r="C264" s="7"/>
      <c r="D264" s="7"/>
      <c r="E264" s="7"/>
      <c r="F264" s="7"/>
      <c r="G264" s="7"/>
    </row>
    <row r="265" customFormat="false" ht="15" hidden="false" customHeight="true" outlineLevel="0" collapsed="false">
      <c r="A265" s="7"/>
      <c r="B265" s="7"/>
      <c r="C265" s="7"/>
      <c r="D265" s="7"/>
      <c r="E265" s="7"/>
      <c r="F265" s="7"/>
      <c r="G265" s="7"/>
    </row>
    <row r="266" customFormat="false" ht="15" hidden="false" customHeight="true" outlineLevel="0" collapsed="false">
      <c r="A266" s="7"/>
      <c r="B266" s="7"/>
      <c r="C266" s="7"/>
      <c r="D266" s="7"/>
      <c r="E266" s="7"/>
      <c r="F266" s="7"/>
      <c r="G266" s="7"/>
    </row>
    <row r="267" customFormat="false" ht="15" hidden="false" customHeight="true" outlineLevel="0" collapsed="false">
      <c r="A267" s="7"/>
      <c r="B267" s="7"/>
      <c r="C267" s="7"/>
      <c r="D267" s="7"/>
      <c r="E267" s="7"/>
      <c r="F267" s="7"/>
      <c r="G267" s="7"/>
    </row>
    <row r="268" customFormat="false" ht="15" hidden="false" customHeight="true" outlineLevel="0" collapsed="false">
      <c r="A268" s="7"/>
      <c r="B268" s="7"/>
      <c r="C268" s="7"/>
      <c r="D268" s="7"/>
      <c r="E268" s="7"/>
      <c r="F268" s="7"/>
      <c r="G268" s="7"/>
    </row>
    <row r="269" customFormat="false" ht="15" hidden="false" customHeight="true" outlineLevel="0" collapsed="false">
      <c r="A269" s="7"/>
      <c r="B269" s="7"/>
      <c r="C269" s="7"/>
      <c r="D269" s="7"/>
      <c r="E269" s="7"/>
      <c r="F269" s="7"/>
      <c r="G269" s="7"/>
    </row>
    <row r="270" customFormat="false" ht="15" hidden="false" customHeight="true" outlineLevel="0" collapsed="false">
      <c r="A270" s="7"/>
      <c r="B270" s="7"/>
      <c r="C270" s="7"/>
      <c r="D270" s="7"/>
      <c r="E270" s="7"/>
      <c r="F270" s="7"/>
      <c r="G270" s="7"/>
    </row>
    <row r="271" customFormat="false" ht="15" hidden="false" customHeight="true" outlineLevel="0" collapsed="false">
      <c r="A271" s="7"/>
      <c r="B271" s="7"/>
      <c r="C271" s="7"/>
      <c r="D271" s="7"/>
      <c r="E271" s="7"/>
      <c r="F271" s="7"/>
      <c r="G271" s="7"/>
    </row>
    <row r="272" customFormat="false" ht="15" hidden="false" customHeight="true" outlineLevel="0" collapsed="false">
      <c r="A272" s="7"/>
      <c r="B272" s="7"/>
      <c r="C272" s="7"/>
      <c r="D272" s="7"/>
      <c r="E272" s="7"/>
      <c r="F272" s="7"/>
      <c r="G272" s="7"/>
    </row>
    <row r="273" customFormat="false" ht="15" hidden="false" customHeight="true" outlineLevel="0" collapsed="false">
      <c r="A273" s="7"/>
      <c r="B273" s="7"/>
      <c r="C273" s="7"/>
      <c r="D273" s="7"/>
      <c r="E273" s="7"/>
      <c r="F273" s="7"/>
      <c r="G273" s="7"/>
    </row>
    <row r="274" customFormat="false" ht="15" hidden="false" customHeight="true" outlineLevel="0" collapsed="false">
      <c r="A274" s="7"/>
      <c r="B274" s="7"/>
      <c r="C274" s="7"/>
      <c r="D274" s="7"/>
      <c r="E274" s="7"/>
      <c r="F274" s="7"/>
      <c r="G274" s="7"/>
    </row>
    <row r="275" customFormat="false" ht="15" hidden="false" customHeight="true" outlineLevel="0" collapsed="false">
      <c r="A275" s="7"/>
      <c r="B275" s="7"/>
      <c r="C275" s="7"/>
      <c r="D275" s="7"/>
      <c r="E275" s="7"/>
      <c r="F275" s="7"/>
      <c r="G275" s="7"/>
    </row>
    <row r="276" customFormat="false" ht="15" hidden="false" customHeight="true" outlineLevel="0" collapsed="false">
      <c r="A276" s="7"/>
      <c r="B276" s="7"/>
      <c r="C276" s="7"/>
      <c r="D276" s="7"/>
      <c r="E276" s="7"/>
      <c r="F276" s="7"/>
      <c r="G276" s="7"/>
    </row>
    <row r="277" customFormat="false" ht="15" hidden="false" customHeight="true" outlineLevel="0" collapsed="false">
      <c r="A277" s="7"/>
      <c r="B277" s="7"/>
      <c r="C277" s="7"/>
      <c r="D277" s="7"/>
      <c r="E277" s="7"/>
      <c r="F277" s="7"/>
      <c r="G277" s="7"/>
    </row>
    <row r="278" customFormat="false" ht="15" hidden="false" customHeight="true" outlineLevel="0" collapsed="false">
      <c r="A278" s="7"/>
      <c r="B278" s="7"/>
      <c r="C278" s="7"/>
      <c r="D278" s="7"/>
      <c r="E278" s="7"/>
      <c r="F278" s="7"/>
      <c r="G278" s="7"/>
    </row>
    <row r="279" customFormat="false" ht="15" hidden="false" customHeight="true" outlineLevel="0" collapsed="false">
      <c r="A279" s="7"/>
      <c r="B279" s="7"/>
      <c r="C279" s="7"/>
      <c r="D279" s="7"/>
      <c r="E279" s="7"/>
      <c r="F279" s="7"/>
      <c r="G279" s="7"/>
    </row>
    <row r="280" customFormat="false" ht="15" hidden="false" customHeight="true" outlineLevel="0" collapsed="false">
      <c r="A280" s="7"/>
      <c r="B280" s="7"/>
      <c r="C280" s="7"/>
      <c r="D280" s="7"/>
      <c r="E280" s="7"/>
      <c r="F280" s="7"/>
      <c r="G280" s="7"/>
    </row>
    <row r="281" customFormat="false" ht="15" hidden="false" customHeight="true" outlineLevel="0" collapsed="false">
      <c r="A281" s="7"/>
      <c r="B281" s="7"/>
      <c r="C281" s="7"/>
      <c r="D281" s="7"/>
      <c r="E281" s="7"/>
      <c r="F281" s="7"/>
      <c r="G281" s="7"/>
    </row>
    <row r="282" customFormat="false" ht="15" hidden="false" customHeight="true" outlineLevel="0" collapsed="false">
      <c r="A282" s="7"/>
      <c r="B282" s="7"/>
      <c r="C282" s="7"/>
      <c r="D282" s="7"/>
      <c r="E282" s="7"/>
      <c r="F282" s="7"/>
      <c r="G282" s="7"/>
    </row>
    <row r="283" customFormat="false" ht="15" hidden="false" customHeight="true" outlineLevel="0" collapsed="false">
      <c r="A283" s="7"/>
      <c r="B283" s="7"/>
      <c r="C283" s="7"/>
      <c r="D283" s="7"/>
      <c r="E283" s="7"/>
      <c r="F283" s="7"/>
      <c r="G283" s="7"/>
    </row>
    <row r="284" customFormat="false" ht="15" hidden="false" customHeight="true" outlineLevel="0" collapsed="false">
      <c r="A284" s="7"/>
      <c r="B284" s="7"/>
      <c r="C284" s="7"/>
      <c r="D284" s="7"/>
      <c r="E284" s="7"/>
      <c r="F284" s="7"/>
      <c r="G284" s="7"/>
    </row>
    <row r="285" customFormat="false" ht="15" hidden="false" customHeight="true" outlineLevel="0" collapsed="false">
      <c r="A285" s="7"/>
      <c r="B285" s="7"/>
      <c r="C285" s="7"/>
      <c r="D285" s="7"/>
      <c r="E285" s="7"/>
      <c r="F285" s="7"/>
      <c r="G285" s="7"/>
    </row>
    <row r="286" customFormat="false" ht="15" hidden="false" customHeight="true" outlineLevel="0" collapsed="false">
      <c r="A286" s="7"/>
      <c r="B286" s="7"/>
      <c r="C286" s="7"/>
      <c r="D286" s="7"/>
      <c r="E286" s="7"/>
      <c r="F286" s="7"/>
      <c r="G286" s="7"/>
    </row>
    <row r="287" customFormat="false" ht="15" hidden="false" customHeight="true" outlineLevel="0" collapsed="false">
      <c r="A287" s="7"/>
      <c r="B287" s="7"/>
      <c r="C287" s="7"/>
      <c r="D287" s="7"/>
      <c r="E287" s="7"/>
      <c r="F287" s="7"/>
      <c r="G287" s="7"/>
    </row>
    <row r="288" customFormat="false" ht="15" hidden="false" customHeight="true" outlineLevel="0" collapsed="false">
      <c r="A288" s="7"/>
      <c r="B288" s="7"/>
      <c r="C288" s="7"/>
      <c r="D288" s="7"/>
      <c r="E288" s="7"/>
      <c r="F288" s="7"/>
      <c r="G288" s="7"/>
    </row>
    <row r="289" customFormat="false" ht="15" hidden="false" customHeight="true" outlineLevel="0" collapsed="false">
      <c r="A289" s="7"/>
      <c r="B289" s="7"/>
      <c r="C289" s="7"/>
      <c r="D289" s="7"/>
      <c r="E289" s="7"/>
      <c r="F289" s="7"/>
      <c r="G289" s="7"/>
    </row>
    <row r="290" customFormat="false" ht="15" hidden="false" customHeight="true" outlineLevel="0" collapsed="false">
      <c r="A290" s="7"/>
      <c r="B290" s="7"/>
      <c r="C290" s="7"/>
      <c r="D290" s="7"/>
      <c r="E290" s="7"/>
      <c r="F290" s="7"/>
      <c r="G290" s="7"/>
    </row>
    <row r="291" customFormat="false" ht="15" hidden="false" customHeight="true" outlineLevel="0" collapsed="false">
      <c r="A291" s="7"/>
      <c r="B291" s="7"/>
      <c r="C291" s="7"/>
      <c r="D291" s="7"/>
      <c r="E291" s="7"/>
      <c r="F291" s="7"/>
      <c r="G291" s="7"/>
    </row>
    <row r="292" customFormat="false" ht="15" hidden="false" customHeight="true" outlineLevel="0" collapsed="false">
      <c r="A292" s="7"/>
      <c r="B292" s="7"/>
      <c r="C292" s="7"/>
      <c r="D292" s="7"/>
      <c r="E292" s="7"/>
      <c r="F292" s="7"/>
      <c r="G292" s="7"/>
    </row>
    <row r="293" customFormat="false" ht="15" hidden="false" customHeight="true" outlineLevel="0" collapsed="false">
      <c r="A293" s="7"/>
      <c r="B293" s="7"/>
      <c r="C293" s="7"/>
      <c r="D293" s="7"/>
      <c r="E293" s="7"/>
      <c r="F293" s="7"/>
      <c r="G293" s="7"/>
    </row>
    <row r="294" customFormat="false" ht="15" hidden="false" customHeight="true" outlineLevel="0" collapsed="false">
      <c r="A294" s="7"/>
      <c r="B294" s="7"/>
      <c r="C294" s="7"/>
      <c r="D294" s="7"/>
      <c r="E294" s="7"/>
      <c r="F294" s="7"/>
      <c r="G294" s="7"/>
    </row>
    <row r="295" customFormat="false" ht="15" hidden="false" customHeight="true" outlineLevel="0" collapsed="false">
      <c r="A295" s="7"/>
      <c r="B295" s="7"/>
      <c r="C295" s="7"/>
      <c r="D295" s="7"/>
      <c r="E295" s="7"/>
      <c r="F295" s="7"/>
      <c r="G295" s="7"/>
    </row>
    <row r="296" customFormat="false" ht="15" hidden="false" customHeight="true" outlineLevel="0" collapsed="false">
      <c r="A296" s="7"/>
      <c r="B296" s="7"/>
      <c r="C296" s="7"/>
      <c r="D296" s="7"/>
      <c r="E296" s="7"/>
      <c r="F296" s="7"/>
      <c r="G296" s="7"/>
    </row>
    <row r="297" customFormat="false" ht="15" hidden="false" customHeight="true" outlineLevel="0" collapsed="false">
      <c r="A297" s="7"/>
      <c r="B297" s="7"/>
      <c r="C297" s="7"/>
      <c r="D297" s="7"/>
      <c r="E297" s="7"/>
      <c r="F297" s="7"/>
      <c r="G297" s="7"/>
    </row>
    <row r="298" customFormat="false" ht="15" hidden="false" customHeight="true" outlineLevel="0" collapsed="false">
      <c r="A298" s="7"/>
      <c r="B298" s="7"/>
      <c r="C298" s="7"/>
      <c r="D298" s="7"/>
      <c r="E298" s="7"/>
      <c r="F298" s="7"/>
      <c r="G298" s="7"/>
    </row>
    <row r="299" customFormat="false" ht="15" hidden="false" customHeight="true" outlineLevel="0" collapsed="false">
      <c r="A299" s="7"/>
      <c r="B299" s="7"/>
      <c r="C299" s="7"/>
      <c r="D299" s="7"/>
      <c r="E299" s="7"/>
      <c r="F299" s="7"/>
      <c r="G299" s="7"/>
    </row>
    <row r="300" customFormat="false" ht="15" hidden="false" customHeight="true" outlineLevel="0" collapsed="false">
      <c r="A300" s="7"/>
      <c r="B300" s="7"/>
      <c r="C300" s="7"/>
      <c r="D300" s="7"/>
      <c r="E300" s="7"/>
      <c r="F300" s="7"/>
      <c r="G300" s="7"/>
    </row>
    <row r="301" customFormat="false" ht="15" hidden="false" customHeight="true" outlineLevel="0" collapsed="false">
      <c r="A301" s="7"/>
      <c r="B301" s="7"/>
      <c r="C301" s="7"/>
      <c r="D301" s="7"/>
      <c r="E301" s="7"/>
      <c r="F301" s="7"/>
      <c r="G301" s="7"/>
    </row>
    <row r="302" customFormat="false" ht="15" hidden="false" customHeight="true" outlineLevel="0" collapsed="false">
      <c r="A302" s="7"/>
      <c r="B302" s="7"/>
      <c r="C302" s="7"/>
      <c r="D302" s="7"/>
      <c r="E302" s="7"/>
      <c r="F302" s="7"/>
      <c r="G302" s="7"/>
    </row>
    <row r="303" customFormat="false" ht="15" hidden="false" customHeight="true" outlineLevel="0" collapsed="false">
      <c r="A303" s="7"/>
      <c r="B303" s="7"/>
      <c r="C303" s="7"/>
      <c r="D303" s="7"/>
      <c r="E303" s="7"/>
      <c r="F303" s="7"/>
      <c r="G303" s="7"/>
    </row>
    <row r="304" customFormat="false" ht="15" hidden="false" customHeight="true" outlineLevel="0" collapsed="false">
      <c r="A304" s="7"/>
      <c r="B304" s="7"/>
      <c r="C304" s="7"/>
      <c r="D304" s="7"/>
      <c r="E304" s="7"/>
      <c r="F304" s="7"/>
      <c r="G304" s="7"/>
    </row>
    <row r="305" customFormat="false" ht="15" hidden="false" customHeight="true" outlineLevel="0" collapsed="false">
      <c r="A305" s="7"/>
      <c r="B305" s="7"/>
      <c r="C305" s="7"/>
      <c r="D305" s="7"/>
      <c r="E305" s="7"/>
      <c r="F305" s="7"/>
      <c r="G305" s="7"/>
    </row>
    <row r="306" customFormat="false" ht="15" hidden="false" customHeight="true" outlineLevel="0" collapsed="false">
      <c r="A306" s="7"/>
      <c r="B306" s="7"/>
      <c r="C306" s="7"/>
      <c r="D306" s="7"/>
      <c r="E306" s="7"/>
      <c r="F306" s="7"/>
      <c r="G306" s="7"/>
    </row>
    <row r="307" customFormat="false" ht="15" hidden="false" customHeight="true" outlineLevel="0" collapsed="false">
      <c r="A307" s="7"/>
      <c r="B307" s="7"/>
      <c r="C307" s="7"/>
      <c r="D307" s="7"/>
      <c r="E307" s="7"/>
      <c r="F307" s="7"/>
      <c r="G307" s="7"/>
    </row>
    <row r="308" customFormat="false" ht="15" hidden="false" customHeight="true" outlineLevel="0" collapsed="false">
      <c r="A308" s="7"/>
      <c r="B308" s="7"/>
      <c r="C308" s="7"/>
      <c r="D308" s="7"/>
      <c r="E308" s="7"/>
      <c r="F308" s="7"/>
      <c r="G308" s="7"/>
    </row>
    <row r="309" customFormat="false" ht="15" hidden="false" customHeight="true" outlineLevel="0" collapsed="false">
      <c r="A309" s="7"/>
      <c r="B309" s="7"/>
      <c r="C309" s="7"/>
      <c r="D309" s="7"/>
      <c r="E309" s="7"/>
      <c r="F309" s="7"/>
      <c r="G309" s="7"/>
    </row>
    <row r="310" customFormat="false" ht="15" hidden="false" customHeight="true" outlineLevel="0" collapsed="false">
      <c r="A310" s="7"/>
      <c r="B310" s="7"/>
      <c r="C310" s="7"/>
      <c r="D310" s="7"/>
      <c r="E310" s="7"/>
      <c r="F310" s="7"/>
      <c r="G310" s="7"/>
    </row>
    <row r="311" customFormat="false" ht="15" hidden="false" customHeight="true" outlineLevel="0" collapsed="false">
      <c r="A311" s="7"/>
      <c r="B311" s="7"/>
      <c r="C311" s="7"/>
      <c r="D311" s="7"/>
      <c r="E311" s="7"/>
      <c r="F311" s="7"/>
      <c r="G311" s="7"/>
    </row>
    <row r="312" customFormat="false" ht="15" hidden="false" customHeight="true" outlineLevel="0" collapsed="false">
      <c r="A312" s="7"/>
      <c r="B312" s="7"/>
      <c r="C312" s="7"/>
      <c r="D312" s="7"/>
      <c r="E312" s="7"/>
      <c r="F312" s="7"/>
      <c r="G312" s="7"/>
    </row>
    <row r="313" customFormat="false" ht="15" hidden="false" customHeight="true" outlineLevel="0" collapsed="false">
      <c r="A313" s="7"/>
      <c r="B313" s="7"/>
      <c r="C313" s="7"/>
      <c r="D313" s="7"/>
      <c r="E313" s="7"/>
      <c r="F313" s="7"/>
      <c r="G313" s="7"/>
    </row>
    <row r="314" customFormat="false" ht="15" hidden="false" customHeight="true" outlineLevel="0" collapsed="false">
      <c r="A314" s="7"/>
      <c r="B314" s="7"/>
      <c r="C314" s="7"/>
      <c r="D314" s="7"/>
      <c r="E314" s="7"/>
      <c r="F314" s="7"/>
      <c r="G314" s="7"/>
    </row>
    <row r="315" customFormat="false" ht="15" hidden="false" customHeight="true" outlineLevel="0" collapsed="false">
      <c r="A315" s="7"/>
      <c r="B315" s="7"/>
      <c r="C315" s="7"/>
      <c r="D315" s="7"/>
      <c r="E315" s="7"/>
      <c r="F315" s="7"/>
      <c r="G315" s="7"/>
    </row>
    <row r="316" customFormat="false" ht="15" hidden="false" customHeight="true" outlineLevel="0" collapsed="false">
      <c r="A316" s="7"/>
      <c r="B316" s="7"/>
      <c r="C316" s="7"/>
      <c r="D316" s="7"/>
      <c r="E316" s="7"/>
      <c r="F316" s="7"/>
      <c r="G316" s="7"/>
    </row>
    <row r="317" customFormat="false" ht="15" hidden="false" customHeight="true" outlineLevel="0" collapsed="false">
      <c r="A317" s="7"/>
      <c r="B317" s="7"/>
      <c r="C317" s="7"/>
      <c r="D317" s="7"/>
      <c r="E317" s="7"/>
      <c r="F317" s="7"/>
      <c r="G317" s="7"/>
    </row>
    <row r="318" customFormat="false" ht="15" hidden="false" customHeight="true" outlineLevel="0" collapsed="false">
      <c r="A318" s="7"/>
      <c r="B318" s="7"/>
      <c r="C318" s="7"/>
      <c r="D318" s="7"/>
      <c r="E318" s="7"/>
      <c r="F318" s="7"/>
      <c r="G318" s="7"/>
    </row>
    <row r="319" customFormat="false" ht="15" hidden="false" customHeight="true" outlineLevel="0" collapsed="false">
      <c r="A319" s="7"/>
      <c r="B319" s="7"/>
      <c r="C319" s="7"/>
      <c r="D319" s="7"/>
      <c r="E319" s="7"/>
      <c r="F319" s="7"/>
      <c r="G319" s="7"/>
    </row>
    <row r="320" customFormat="false" ht="15" hidden="false" customHeight="true" outlineLevel="0" collapsed="false">
      <c r="A320" s="7"/>
      <c r="B320" s="7"/>
      <c r="C320" s="7"/>
      <c r="D320" s="7"/>
      <c r="E320" s="7"/>
      <c r="F320" s="7"/>
      <c r="G320" s="7"/>
    </row>
    <row r="321" customFormat="false" ht="15" hidden="false" customHeight="true" outlineLevel="0" collapsed="false">
      <c r="A321" s="7"/>
      <c r="B321" s="7"/>
      <c r="C321" s="7"/>
      <c r="D321" s="7"/>
      <c r="E321" s="7"/>
      <c r="F321" s="7"/>
      <c r="G321" s="7"/>
    </row>
    <row r="322" customFormat="false" ht="15" hidden="false" customHeight="true" outlineLevel="0" collapsed="false">
      <c r="A322" s="7"/>
      <c r="B322" s="7"/>
      <c r="C322" s="7"/>
      <c r="D322" s="7"/>
      <c r="E322" s="7"/>
      <c r="F322" s="7"/>
      <c r="G322" s="7"/>
    </row>
    <row r="323" customFormat="false" ht="15" hidden="false" customHeight="true" outlineLevel="0" collapsed="false">
      <c r="A323" s="7"/>
      <c r="B323" s="7"/>
      <c r="C323" s="7"/>
      <c r="D323" s="7"/>
      <c r="E323" s="7"/>
      <c r="F323" s="7"/>
      <c r="G323" s="7"/>
    </row>
    <row r="324" customFormat="false" ht="15" hidden="false" customHeight="true" outlineLevel="0" collapsed="false">
      <c r="A324" s="7"/>
      <c r="B324" s="7"/>
      <c r="C324" s="7"/>
      <c r="D324" s="7"/>
      <c r="E324" s="7"/>
      <c r="F324" s="7"/>
      <c r="G324" s="7"/>
    </row>
    <row r="325" customFormat="false" ht="15" hidden="false" customHeight="true" outlineLevel="0" collapsed="false">
      <c r="A325" s="7"/>
      <c r="B325" s="7"/>
      <c r="C325" s="7"/>
      <c r="D325" s="7"/>
      <c r="E325" s="7"/>
      <c r="F325" s="7"/>
      <c r="G325" s="7"/>
    </row>
    <row r="326" customFormat="false" ht="15" hidden="false" customHeight="true" outlineLevel="0" collapsed="false">
      <c r="A326" s="7"/>
      <c r="B326" s="7"/>
      <c r="C326" s="7"/>
      <c r="D326" s="7"/>
      <c r="E326" s="7"/>
      <c r="F326" s="7"/>
      <c r="G326" s="7"/>
    </row>
    <row r="327" customFormat="false" ht="15" hidden="false" customHeight="true" outlineLevel="0" collapsed="false">
      <c r="A327" s="7"/>
      <c r="B327" s="7"/>
      <c r="C327" s="7"/>
      <c r="D327" s="7"/>
      <c r="E327" s="7"/>
      <c r="F327" s="7"/>
      <c r="G327" s="7"/>
    </row>
    <row r="328" customFormat="false" ht="15" hidden="false" customHeight="true" outlineLevel="0" collapsed="false">
      <c r="A328" s="7"/>
      <c r="B328" s="7"/>
      <c r="C328" s="7"/>
      <c r="D328" s="7"/>
      <c r="E328" s="7"/>
      <c r="F328" s="7"/>
      <c r="G328" s="7"/>
    </row>
    <row r="329" customFormat="false" ht="15" hidden="false" customHeight="true" outlineLevel="0" collapsed="false">
      <c r="A329" s="7"/>
      <c r="B329" s="7"/>
      <c r="C329" s="7"/>
      <c r="D329" s="7"/>
      <c r="E329" s="7"/>
      <c r="F329" s="7"/>
      <c r="G329" s="7"/>
    </row>
    <row r="330" customFormat="false" ht="15" hidden="false" customHeight="true" outlineLevel="0" collapsed="false">
      <c r="A330" s="7"/>
      <c r="B330" s="7"/>
      <c r="C330" s="7"/>
      <c r="D330" s="7"/>
      <c r="E330" s="7"/>
      <c r="F330" s="7"/>
      <c r="G330" s="7"/>
    </row>
    <row r="331" customFormat="false" ht="15" hidden="false" customHeight="true" outlineLevel="0" collapsed="false">
      <c r="A331" s="7"/>
      <c r="B331" s="7"/>
      <c r="C331" s="7"/>
      <c r="D331" s="7"/>
      <c r="E331" s="7"/>
      <c r="F331" s="7"/>
      <c r="G331" s="7"/>
    </row>
    <row r="332" customFormat="false" ht="15" hidden="false" customHeight="true" outlineLevel="0" collapsed="false">
      <c r="A332" s="7"/>
      <c r="B332" s="7"/>
      <c r="C332" s="7"/>
      <c r="D332" s="7"/>
      <c r="E332" s="7"/>
      <c r="F332" s="7"/>
      <c r="G332" s="7"/>
    </row>
    <row r="333" customFormat="false" ht="15" hidden="false" customHeight="true" outlineLevel="0" collapsed="false">
      <c r="A333" s="7"/>
      <c r="B333" s="7"/>
      <c r="C333" s="7"/>
      <c r="D333" s="7"/>
      <c r="E333" s="7"/>
      <c r="F333" s="7"/>
      <c r="G333" s="7"/>
    </row>
    <row r="334" customFormat="false" ht="15" hidden="false" customHeight="true" outlineLevel="0" collapsed="false">
      <c r="A334" s="7"/>
      <c r="B334" s="7"/>
      <c r="C334" s="7"/>
      <c r="D334" s="7"/>
      <c r="E334" s="7"/>
      <c r="F334" s="7"/>
      <c r="G334" s="7"/>
    </row>
    <row r="335" customFormat="false" ht="15" hidden="false" customHeight="true" outlineLevel="0" collapsed="false">
      <c r="A335" s="7"/>
      <c r="B335" s="7"/>
      <c r="C335" s="7"/>
      <c r="D335" s="7"/>
      <c r="E335" s="7"/>
      <c r="F335" s="7"/>
      <c r="G335" s="7"/>
    </row>
    <row r="336" customFormat="false" ht="15" hidden="false" customHeight="true" outlineLevel="0" collapsed="false">
      <c r="A336" s="7"/>
      <c r="B336" s="7"/>
      <c r="C336" s="7"/>
      <c r="D336" s="7"/>
      <c r="E336" s="7"/>
      <c r="F336" s="7"/>
      <c r="G336" s="7"/>
    </row>
    <row r="337" customFormat="false" ht="15" hidden="false" customHeight="true" outlineLevel="0" collapsed="false">
      <c r="A337" s="7"/>
      <c r="B337" s="7"/>
      <c r="C337" s="7"/>
      <c r="D337" s="7"/>
      <c r="E337" s="7"/>
      <c r="F337" s="7"/>
      <c r="G337" s="7"/>
    </row>
    <row r="338" customFormat="false" ht="15" hidden="false" customHeight="true" outlineLevel="0" collapsed="false">
      <c r="A338" s="7"/>
      <c r="B338" s="7"/>
      <c r="C338" s="7"/>
      <c r="D338" s="7"/>
      <c r="E338" s="7"/>
      <c r="F338" s="7"/>
      <c r="G338" s="7"/>
    </row>
    <row r="339" customFormat="false" ht="15" hidden="false" customHeight="true" outlineLevel="0" collapsed="false">
      <c r="A339" s="7"/>
      <c r="B339" s="7"/>
      <c r="C339" s="7"/>
      <c r="D339" s="7"/>
      <c r="E339" s="7"/>
      <c r="F339" s="7"/>
      <c r="G339" s="7"/>
    </row>
    <row r="340" customFormat="false" ht="15" hidden="false" customHeight="true" outlineLevel="0" collapsed="false">
      <c r="A340" s="7"/>
      <c r="B340" s="7"/>
      <c r="C340" s="7"/>
      <c r="D340" s="7"/>
      <c r="E340" s="7"/>
      <c r="F340" s="7"/>
      <c r="G340" s="7"/>
    </row>
    <row r="341" customFormat="false" ht="15" hidden="false" customHeight="true" outlineLevel="0" collapsed="false">
      <c r="A341" s="7"/>
      <c r="B341" s="7"/>
      <c r="C341" s="7"/>
      <c r="D341" s="7"/>
      <c r="E341" s="7"/>
      <c r="F341" s="7"/>
      <c r="G341" s="7"/>
    </row>
    <row r="342" customFormat="false" ht="15" hidden="false" customHeight="true" outlineLevel="0" collapsed="false">
      <c r="A342" s="7"/>
      <c r="B342" s="7"/>
      <c r="C342" s="7"/>
      <c r="D342" s="7"/>
      <c r="E342" s="7"/>
      <c r="F342" s="7"/>
      <c r="G342" s="7"/>
    </row>
    <row r="343" customFormat="false" ht="15" hidden="false" customHeight="true" outlineLevel="0" collapsed="false">
      <c r="A343" s="7"/>
      <c r="B343" s="7"/>
      <c r="C343" s="7"/>
      <c r="D343" s="7"/>
      <c r="E343" s="7"/>
      <c r="F343" s="7"/>
      <c r="G343" s="7"/>
    </row>
    <row r="344" customFormat="false" ht="15" hidden="false" customHeight="true" outlineLevel="0" collapsed="false">
      <c r="A344" s="7"/>
      <c r="B344" s="7"/>
      <c r="C344" s="7"/>
      <c r="D344" s="7"/>
      <c r="E344" s="7"/>
      <c r="F344" s="7"/>
      <c r="G344" s="7"/>
    </row>
    <row r="345" customFormat="false" ht="15" hidden="false" customHeight="true" outlineLevel="0" collapsed="false">
      <c r="A345" s="7"/>
      <c r="B345" s="7"/>
      <c r="C345" s="7"/>
      <c r="D345" s="7"/>
      <c r="E345" s="7"/>
      <c r="F345" s="7"/>
      <c r="G345" s="7"/>
    </row>
    <row r="346" customFormat="false" ht="15" hidden="false" customHeight="true" outlineLevel="0" collapsed="false">
      <c r="A346" s="7"/>
      <c r="B346" s="7"/>
      <c r="C346" s="7"/>
      <c r="D346" s="7"/>
      <c r="E346" s="7"/>
      <c r="F346" s="7"/>
      <c r="G346" s="7"/>
    </row>
    <row r="347" customFormat="false" ht="15" hidden="false" customHeight="true" outlineLevel="0" collapsed="false">
      <c r="A347" s="7"/>
      <c r="B347" s="7"/>
      <c r="C347" s="7"/>
      <c r="D347" s="7"/>
      <c r="E347" s="7"/>
      <c r="F347" s="7"/>
      <c r="G347" s="7"/>
    </row>
    <row r="348" customFormat="false" ht="15" hidden="false" customHeight="true" outlineLevel="0" collapsed="false">
      <c r="A348" s="7"/>
      <c r="B348" s="7"/>
      <c r="C348" s="7"/>
      <c r="D348" s="7"/>
      <c r="E348" s="7"/>
      <c r="F348" s="7"/>
      <c r="G348" s="7"/>
    </row>
    <row r="349" customFormat="false" ht="15" hidden="false" customHeight="true" outlineLevel="0" collapsed="false">
      <c r="A349" s="7"/>
      <c r="B349" s="7"/>
      <c r="C349" s="7"/>
      <c r="D349" s="7"/>
      <c r="E349" s="7"/>
      <c r="F349" s="7"/>
      <c r="G349" s="7"/>
    </row>
    <row r="350" customFormat="false" ht="15" hidden="false" customHeight="true" outlineLevel="0" collapsed="false">
      <c r="A350" s="7"/>
      <c r="B350" s="7"/>
      <c r="C350" s="7"/>
      <c r="D350" s="7"/>
      <c r="E350" s="7"/>
      <c r="F350" s="7"/>
      <c r="G350" s="7"/>
    </row>
    <row r="351" customFormat="false" ht="15" hidden="false" customHeight="true" outlineLevel="0" collapsed="false">
      <c r="A351" s="7"/>
      <c r="B351" s="7"/>
      <c r="C351" s="7"/>
      <c r="D351" s="7"/>
      <c r="E351" s="7"/>
      <c r="F351" s="7"/>
      <c r="G351" s="7"/>
    </row>
    <row r="352" customFormat="false" ht="15" hidden="false" customHeight="true" outlineLevel="0" collapsed="false">
      <c r="A352" s="7"/>
      <c r="B352" s="7"/>
      <c r="C352" s="7"/>
      <c r="D352" s="7"/>
      <c r="E352" s="7"/>
      <c r="F352" s="7"/>
      <c r="G352" s="7"/>
    </row>
    <row r="353" customFormat="false" ht="15" hidden="false" customHeight="true" outlineLevel="0" collapsed="false">
      <c r="A353" s="7"/>
      <c r="B353" s="7"/>
      <c r="C353" s="7"/>
      <c r="D353" s="7"/>
      <c r="E353" s="7"/>
      <c r="F353" s="7"/>
      <c r="G353" s="7"/>
    </row>
    <row r="354" customFormat="false" ht="15" hidden="false" customHeight="true" outlineLevel="0" collapsed="false">
      <c r="A354" s="7"/>
      <c r="B354" s="7"/>
      <c r="C354" s="7"/>
      <c r="D354" s="7"/>
      <c r="E354" s="7"/>
      <c r="F354" s="7"/>
      <c r="G354" s="7"/>
    </row>
    <row r="355" customFormat="false" ht="15" hidden="false" customHeight="true" outlineLevel="0" collapsed="false">
      <c r="A355" s="7"/>
      <c r="B355" s="7"/>
      <c r="C355" s="7"/>
      <c r="D355" s="7"/>
      <c r="E355" s="7"/>
      <c r="F355" s="7"/>
      <c r="G355" s="7"/>
    </row>
    <row r="356" customFormat="false" ht="15" hidden="false" customHeight="true" outlineLevel="0" collapsed="false">
      <c r="A356" s="7"/>
      <c r="B356" s="7"/>
      <c r="C356" s="7"/>
      <c r="D356" s="7"/>
      <c r="E356" s="7"/>
      <c r="F356" s="7"/>
      <c r="G356" s="7"/>
    </row>
    <row r="357" customFormat="false" ht="15" hidden="false" customHeight="true" outlineLevel="0" collapsed="false">
      <c r="A357" s="7"/>
      <c r="B357" s="7"/>
      <c r="C357" s="7"/>
      <c r="D357" s="7"/>
      <c r="E357" s="7"/>
      <c r="F357" s="7"/>
      <c r="G357" s="7"/>
    </row>
    <row r="358" customFormat="false" ht="15" hidden="false" customHeight="true" outlineLevel="0" collapsed="false">
      <c r="A358" s="7"/>
      <c r="B358" s="7"/>
      <c r="C358" s="7"/>
      <c r="D358" s="7"/>
      <c r="E358" s="7"/>
      <c r="F358" s="7"/>
      <c r="G358" s="7"/>
    </row>
    <row r="359" customFormat="false" ht="15" hidden="false" customHeight="true" outlineLevel="0" collapsed="false">
      <c r="A359" s="7"/>
      <c r="B359" s="7"/>
      <c r="C359" s="7"/>
      <c r="D359" s="7"/>
      <c r="E359" s="7"/>
      <c r="F359" s="7"/>
      <c r="G359" s="7"/>
    </row>
    <row r="360" customFormat="false" ht="15" hidden="false" customHeight="true" outlineLevel="0" collapsed="false">
      <c r="A360" s="7"/>
      <c r="B360" s="7"/>
      <c r="C360" s="7"/>
      <c r="D360" s="7"/>
      <c r="E360" s="7"/>
      <c r="F360" s="7"/>
      <c r="G360" s="7"/>
    </row>
    <row r="361" customFormat="false" ht="15" hidden="false" customHeight="true" outlineLevel="0" collapsed="false">
      <c r="A361" s="7"/>
      <c r="B361" s="7"/>
      <c r="C361" s="7"/>
      <c r="D361" s="7"/>
      <c r="E361" s="7"/>
      <c r="F361" s="7"/>
      <c r="G361" s="7"/>
    </row>
    <row r="362" customFormat="false" ht="15" hidden="false" customHeight="true" outlineLevel="0" collapsed="false">
      <c r="A362" s="7"/>
      <c r="B362" s="7"/>
      <c r="C362" s="7"/>
      <c r="D362" s="7"/>
      <c r="E362" s="7"/>
      <c r="F362" s="7"/>
      <c r="G362" s="7"/>
    </row>
    <row r="363" customFormat="false" ht="15" hidden="false" customHeight="true" outlineLevel="0" collapsed="false">
      <c r="A363" s="7"/>
      <c r="B363" s="7"/>
      <c r="C363" s="7"/>
      <c r="D363" s="7"/>
      <c r="E363" s="7"/>
      <c r="F363" s="7"/>
      <c r="G363" s="7"/>
    </row>
    <row r="364" customFormat="false" ht="15" hidden="false" customHeight="true" outlineLevel="0" collapsed="false">
      <c r="A364" s="7"/>
      <c r="B364" s="7"/>
      <c r="C364" s="7"/>
      <c r="D364" s="7"/>
      <c r="E364" s="7"/>
      <c r="F364" s="7"/>
      <c r="G364" s="7"/>
    </row>
    <row r="365" customFormat="false" ht="15" hidden="false" customHeight="true" outlineLevel="0" collapsed="false">
      <c r="A365" s="7"/>
      <c r="B365" s="7"/>
      <c r="C365" s="7"/>
      <c r="D365" s="7"/>
      <c r="E365" s="7"/>
      <c r="F365" s="7"/>
      <c r="G365" s="7"/>
    </row>
    <row r="366" customFormat="false" ht="15" hidden="false" customHeight="true" outlineLevel="0" collapsed="false">
      <c r="A366" s="7"/>
      <c r="B366" s="7"/>
      <c r="C366" s="7"/>
      <c r="D366" s="7"/>
      <c r="E366" s="7"/>
      <c r="F366" s="7"/>
      <c r="G366" s="7"/>
    </row>
    <row r="367" customFormat="false" ht="15" hidden="false" customHeight="true" outlineLevel="0" collapsed="false">
      <c r="A367" s="7"/>
      <c r="B367" s="7"/>
      <c r="C367" s="7"/>
      <c r="D367" s="7"/>
      <c r="E367" s="7"/>
      <c r="F367" s="7"/>
      <c r="G367" s="7"/>
    </row>
    <row r="368" customFormat="false" ht="15" hidden="false" customHeight="true" outlineLevel="0" collapsed="false">
      <c r="A368" s="7"/>
      <c r="B368" s="7"/>
      <c r="C368" s="7"/>
      <c r="D368" s="7"/>
      <c r="E368" s="7"/>
      <c r="F368" s="7"/>
      <c r="G368" s="7"/>
    </row>
    <row r="369" customFormat="false" ht="15" hidden="false" customHeight="true" outlineLevel="0" collapsed="false">
      <c r="A369" s="7"/>
      <c r="B369" s="7"/>
      <c r="C369" s="7"/>
      <c r="D369" s="7"/>
      <c r="E369" s="7"/>
      <c r="F369" s="7"/>
      <c r="G369" s="7"/>
    </row>
    <row r="370" customFormat="false" ht="15" hidden="false" customHeight="true" outlineLevel="0" collapsed="false">
      <c r="A370" s="7"/>
      <c r="B370" s="7"/>
      <c r="C370" s="7"/>
      <c r="D370" s="7"/>
      <c r="E370" s="7"/>
      <c r="F370" s="7"/>
      <c r="G370" s="7"/>
    </row>
    <row r="371" customFormat="false" ht="15" hidden="false" customHeight="true" outlineLevel="0" collapsed="false">
      <c r="A371" s="7"/>
      <c r="B371" s="7"/>
      <c r="C371" s="7"/>
      <c r="D371" s="7"/>
      <c r="E371" s="7"/>
      <c r="F371" s="7"/>
      <c r="G371" s="7"/>
    </row>
    <row r="372" customFormat="false" ht="15" hidden="false" customHeight="true" outlineLevel="0" collapsed="false">
      <c r="A372" s="7"/>
      <c r="B372" s="7"/>
      <c r="C372" s="7"/>
      <c r="D372" s="7"/>
      <c r="E372" s="7"/>
      <c r="F372" s="7"/>
      <c r="G372" s="7"/>
    </row>
    <row r="373" customFormat="false" ht="15" hidden="false" customHeight="true" outlineLevel="0" collapsed="false">
      <c r="A373" s="7"/>
      <c r="B373" s="7"/>
      <c r="C373" s="7"/>
      <c r="D373" s="7"/>
      <c r="E373" s="7"/>
      <c r="F373" s="7"/>
      <c r="G373" s="7"/>
    </row>
    <row r="374" customFormat="false" ht="15" hidden="false" customHeight="true" outlineLevel="0" collapsed="false">
      <c r="A374" s="7"/>
      <c r="B374" s="7"/>
      <c r="C374" s="7"/>
      <c r="D374" s="7"/>
      <c r="E374" s="7"/>
      <c r="F374" s="7"/>
      <c r="G374" s="7"/>
    </row>
    <row r="375" customFormat="false" ht="15" hidden="false" customHeight="true" outlineLevel="0" collapsed="false">
      <c r="A375" s="7"/>
      <c r="B375" s="7"/>
      <c r="C375" s="7"/>
      <c r="D375" s="7"/>
      <c r="E375" s="7"/>
      <c r="F375" s="7"/>
      <c r="G375" s="7"/>
    </row>
    <row r="376" customFormat="false" ht="15" hidden="false" customHeight="true" outlineLevel="0" collapsed="false">
      <c r="A376" s="7"/>
      <c r="B376" s="7"/>
      <c r="C376" s="7"/>
      <c r="D376" s="7"/>
      <c r="E376" s="7"/>
      <c r="F376" s="7"/>
      <c r="G376" s="7"/>
    </row>
    <row r="377" customFormat="false" ht="15" hidden="false" customHeight="true" outlineLevel="0" collapsed="false">
      <c r="A377" s="7"/>
      <c r="B377" s="7"/>
      <c r="C377" s="7"/>
      <c r="D377" s="7"/>
      <c r="E377" s="7"/>
      <c r="F377" s="7"/>
      <c r="G377" s="7"/>
    </row>
    <row r="378" customFormat="false" ht="15" hidden="false" customHeight="true" outlineLevel="0" collapsed="false">
      <c r="A378" s="7"/>
      <c r="B378" s="7"/>
      <c r="C378" s="7"/>
      <c r="D378" s="7"/>
      <c r="E378" s="7"/>
      <c r="F378" s="7"/>
      <c r="G378" s="7"/>
    </row>
    <row r="379" customFormat="false" ht="15" hidden="false" customHeight="true" outlineLevel="0" collapsed="false">
      <c r="A379" s="7"/>
      <c r="B379" s="7"/>
      <c r="C379" s="7"/>
      <c r="D379" s="7"/>
      <c r="E379" s="7"/>
      <c r="F379" s="7"/>
      <c r="G379" s="7"/>
    </row>
    <row r="380" customFormat="false" ht="15" hidden="false" customHeight="true" outlineLevel="0" collapsed="false">
      <c r="A380" s="7"/>
      <c r="B380" s="7"/>
      <c r="C380" s="7"/>
      <c r="D380" s="7"/>
      <c r="E380" s="7"/>
      <c r="F380" s="7"/>
      <c r="G380" s="7"/>
    </row>
    <row r="381" customFormat="false" ht="15" hidden="false" customHeight="true" outlineLevel="0" collapsed="false">
      <c r="A381" s="7"/>
      <c r="B381" s="7"/>
      <c r="C381" s="7"/>
      <c r="D381" s="7"/>
      <c r="E381" s="7"/>
      <c r="F381" s="7"/>
      <c r="G381" s="7"/>
    </row>
    <row r="382" customFormat="false" ht="15" hidden="false" customHeight="true" outlineLevel="0" collapsed="false">
      <c r="A382" s="7"/>
      <c r="B382" s="7"/>
      <c r="C382" s="7"/>
      <c r="D382" s="7"/>
      <c r="E382" s="7"/>
      <c r="F382" s="7"/>
      <c r="G382" s="7"/>
    </row>
    <row r="383" customFormat="false" ht="15" hidden="false" customHeight="true" outlineLevel="0" collapsed="false">
      <c r="A383" s="7"/>
      <c r="B383" s="7"/>
      <c r="C383" s="7"/>
      <c r="D383" s="7"/>
      <c r="E383" s="7"/>
      <c r="F383" s="7"/>
      <c r="G383" s="7"/>
    </row>
    <row r="384" customFormat="false" ht="15" hidden="false" customHeight="true" outlineLevel="0" collapsed="false">
      <c r="A384" s="7"/>
      <c r="B384" s="7"/>
      <c r="C384" s="7"/>
      <c r="D384" s="7"/>
      <c r="E384" s="7"/>
      <c r="F384" s="7"/>
      <c r="G384" s="7"/>
    </row>
    <row r="385" customFormat="false" ht="15" hidden="false" customHeight="true" outlineLevel="0" collapsed="false">
      <c r="A385" s="7"/>
      <c r="B385" s="7"/>
      <c r="C385" s="7"/>
      <c r="D385" s="7"/>
      <c r="E385" s="7"/>
      <c r="F385" s="7"/>
      <c r="G385" s="7"/>
    </row>
    <row r="386" customFormat="false" ht="15" hidden="false" customHeight="true" outlineLevel="0" collapsed="false">
      <c r="A386" s="7"/>
      <c r="B386" s="7"/>
      <c r="C386" s="7"/>
      <c r="D386" s="7"/>
      <c r="E386" s="7"/>
      <c r="F386" s="7"/>
      <c r="G386" s="7"/>
    </row>
    <row r="387" customFormat="false" ht="15" hidden="false" customHeight="true" outlineLevel="0" collapsed="false">
      <c r="A387" s="7"/>
      <c r="B387" s="7"/>
      <c r="C387" s="7"/>
      <c r="D387" s="7"/>
      <c r="E387" s="7"/>
      <c r="F387" s="7"/>
      <c r="G387" s="7"/>
    </row>
    <row r="388" customFormat="false" ht="15" hidden="false" customHeight="true" outlineLevel="0" collapsed="false">
      <c r="A388" s="7"/>
      <c r="B388" s="7"/>
      <c r="C388" s="7"/>
      <c r="D388" s="7"/>
      <c r="E388" s="7"/>
      <c r="F388" s="7"/>
      <c r="G388" s="7"/>
    </row>
    <row r="389" customFormat="false" ht="15" hidden="false" customHeight="true" outlineLevel="0" collapsed="false">
      <c r="A389" s="7"/>
      <c r="B389" s="7"/>
      <c r="C389" s="7"/>
      <c r="D389" s="7"/>
      <c r="E389" s="7"/>
      <c r="F389" s="7"/>
      <c r="G389" s="7"/>
    </row>
    <row r="390" customFormat="false" ht="15" hidden="false" customHeight="true" outlineLevel="0" collapsed="false">
      <c r="A390" s="7"/>
      <c r="B390" s="7"/>
      <c r="C390" s="7"/>
      <c r="D390" s="7"/>
      <c r="E390" s="7"/>
      <c r="F390" s="7"/>
      <c r="G390" s="7"/>
    </row>
    <row r="391" customFormat="false" ht="15" hidden="false" customHeight="true" outlineLevel="0" collapsed="false">
      <c r="A391" s="7"/>
      <c r="B391" s="7"/>
      <c r="C391" s="7"/>
      <c r="D391" s="7"/>
      <c r="E391" s="7"/>
      <c r="F391" s="7"/>
      <c r="G391" s="7"/>
    </row>
    <row r="392" customFormat="false" ht="15" hidden="false" customHeight="true" outlineLevel="0" collapsed="false">
      <c r="A392" s="7"/>
      <c r="B392" s="7"/>
      <c r="C392" s="7"/>
      <c r="D392" s="7"/>
      <c r="E392" s="7"/>
      <c r="F392" s="7"/>
      <c r="G392" s="7"/>
    </row>
    <row r="393" customFormat="false" ht="15" hidden="false" customHeight="true" outlineLevel="0" collapsed="false">
      <c r="A393" s="7"/>
      <c r="B393" s="7"/>
      <c r="C393" s="7"/>
      <c r="D393" s="7"/>
      <c r="E393" s="7"/>
      <c r="F393" s="7"/>
      <c r="G393" s="7"/>
    </row>
    <row r="394" customFormat="false" ht="15" hidden="false" customHeight="true" outlineLevel="0" collapsed="false">
      <c r="A394" s="7"/>
      <c r="B394" s="7"/>
      <c r="C394" s="7"/>
      <c r="D394" s="7"/>
      <c r="E394" s="7"/>
      <c r="F394" s="7"/>
      <c r="G394" s="7"/>
    </row>
    <row r="395" customFormat="false" ht="15" hidden="false" customHeight="true" outlineLevel="0" collapsed="false">
      <c r="A395" s="7"/>
      <c r="B395" s="7"/>
      <c r="C395" s="7"/>
      <c r="D395" s="7"/>
      <c r="E395" s="7"/>
      <c r="F395" s="7"/>
      <c r="G395" s="7"/>
    </row>
    <row r="396" customFormat="false" ht="15" hidden="false" customHeight="true" outlineLevel="0" collapsed="false">
      <c r="A396" s="7"/>
      <c r="B396" s="7"/>
      <c r="C396" s="7"/>
      <c r="D396" s="7"/>
      <c r="E396" s="7"/>
      <c r="F396" s="7"/>
      <c r="G396" s="7"/>
    </row>
    <row r="397" customFormat="false" ht="15" hidden="false" customHeight="true" outlineLevel="0" collapsed="false">
      <c r="A397" s="7"/>
      <c r="B397" s="7"/>
      <c r="C397" s="7"/>
      <c r="D397" s="7"/>
      <c r="E397" s="7"/>
      <c r="F397" s="7"/>
      <c r="G397" s="7"/>
    </row>
    <row r="398" customFormat="false" ht="15" hidden="false" customHeight="true" outlineLevel="0" collapsed="false">
      <c r="A398" s="7"/>
      <c r="B398" s="7"/>
      <c r="C398" s="7"/>
      <c r="D398" s="7"/>
      <c r="E398" s="7"/>
      <c r="F398" s="7"/>
      <c r="G398" s="7"/>
    </row>
    <row r="399" customFormat="false" ht="15" hidden="false" customHeight="true" outlineLevel="0" collapsed="false">
      <c r="A399" s="7"/>
      <c r="B399" s="7"/>
      <c r="C399" s="7"/>
      <c r="D399" s="7"/>
      <c r="E399" s="7"/>
      <c r="F399" s="7"/>
      <c r="G399" s="7"/>
    </row>
    <row r="400" customFormat="false" ht="15" hidden="false" customHeight="true" outlineLevel="0" collapsed="false">
      <c r="A400" s="7"/>
      <c r="B400" s="7"/>
      <c r="C400" s="7"/>
      <c r="D400" s="7"/>
      <c r="E400" s="7"/>
      <c r="F400" s="7"/>
      <c r="G400" s="7"/>
    </row>
    <row r="401" customFormat="false" ht="15" hidden="false" customHeight="true" outlineLevel="0" collapsed="false">
      <c r="A401" s="7"/>
      <c r="B401" s="7"/>
      <c r="C401" s="7"/>
      <c r="D401" s="7"/>
      <c r="E401" s="7"/>
      <c r="F401" s="7"/>
      <c r="G401" s="7"/>
    </row>
    <row r="402" customFormat="false" ht="15" hidden="false" customHeight="true" outlineLevel="0" collapsed="false">
      <c r="A402" s="7"/>
      <c r="B402" s="7"/>
      <c r="C402" s="7"/>
      <c r="D402" s="7"/>
      <c r="E402" s="7"/>
      <c r="F402" s="7"/>
      <c r="G402" s="7"/>
    </row>
    <row r="403" customFormat="false" ht="15" hidden="false" customHeight="true" outlineLevel="0" collapsed="false">
      <c r="A403" s="7"/>
      <c r="B403" s="7"/>
      <c r="C403" s="7"/>
      <c r="D403" s="7"/>
      <c r="E403" s="7"/>
      <c r="F403" s="7"/>
      <c r="G403" s="7"/>
    </row>
    <row r="404" customFormat="false" ht="15" hidden="false" customHeight="true" outlineLevel="0" collapsed="false">
      <c r="A404" s="7"/>
      <c r="B404" s="7"/>
      <c r="C404" s="7"/>
      <c r="D404" s="7"/>
      <c r="E404" s="7"/>
      <c r="F404" s="7"/>
      <c r="G404" s="7"/>
    </row>
    <row r="405" customFormat="false" ht="15" hidden="false" customHeight="true" outlineLevel="0" collapsed="false">
      <c r="A405" s="7"/>
      <c r="B405" s="7"/>
      <c r="C405" s="7"/>
      <c r="D405" s="7"/>
      <c r="E405" s="7"/>
      <c r="F405" s="7"/>
      <c r="G405" s="7"/>
    </row>
    <row r="406" customFormat="false" ht="15" hidden="false" customHeight="true" outlineLevel="0" collapsed="false">
      <c r="A406" s="7"/>
      <c r="B406" s="7"/>
      <c r="C406" s="7"/>
      <c r="D406" s="7"/>
      <c r="E406" s="7"/>
      <c r="F406" s="7"/>
      <c r="G406" s="7"/>
    </row>
    <row r="407" customFormat="false" ht="15" hidden="false" customHeight="true" outlineLevel="0" collapsed="false">
      <c r="A407" s="7"/>
      <c r="B407" s="7"/>
      <c r="C407" s="7"/>
      <c r="D407" s="7"/>
      <c r="E407" s="7"/>
      <c r="F407" s="7"/>
      <c r="G407" s="7"/>
    </row>
    <row r="408" customFormat="false" ht="15" hidden="false" customHeight="true" outlineLevel="0" collapsed="false">
      <c r="A408" s="7"/>
      <c r="B408" s="7"/>
      <c r="C408" s="7"/>
      <c r="D408" s="7"/>
      <c r="E408" s="7"/>
      <c r="F408" s="7"/>
      <c r="G408" s="7"/>
    </row>
    <row r="409" customFormat="false" ht="15" hidden="false" customHeight="true" outlineLevel="0" collapsed="false">
      <c r="A409" s="7"/>
      <c r="B409" s="7"/>
      <c r="C409" s="7"/>
      <c r="D409" s="7"/>
      <c r="E409" s="7"/>
      <c r="F409" s="7"/>
      <c r="G409" s="7"/>
    </row>
    <row r="410" customFormat="false" ht="15" hidden="false" customHeight="true" outlineLevel="0" collapsed="false">
      <c r="A410" s="7"/>
      <c r="B410" s="7"/>
      <c r="C410" s="7"/>
      <c r="D410" s="7"/>
      <c r="E410" s="7"/>
      <c r="F410" s="7"/>
      <c r="G410" s="7"/>
    </row>
    <row r="411" customFormat="false" ht="15" hidden="false" customHeight="true" outlineLevel="0" collapsed="false">
      <c r="A411" s="7"/>
      <c r="B411" s="7"/>
      <c r="C411" s="7"/>
      <c r="D411" s="7"/>
      <c r="E411" s="7"/>
      <c r="F411" s="7"/>
      <c r="G411" s="7"/>
    </row>
    <row r="412" customFormat="false" ht="15" hidden="false" customHeight="true" outlineLevel="0" collapsed="false">
      <c r="A412" s="7"/>
      <c r="B412" s="7"/>
      <c r="C412" s="7"/>
      <c r="D412" s="7"/>
      <c r="E412" s="7"/>
      <c r="F412" s="7"/>
      <c r="G412" s="7"/>
    </row>
    <row r="413" customFormat="false" ht="15" hidden="false" customHeight="true" outlineLevel="0" collapsed="false">
      <c r="A413" s="7"/>
      <c r="B413" s="7"/>
      <c r="C413" s="7"/>
      <c r="D413" s="7"/>
      <c r="E413" s="7"/>
      <c r="F413" s="7"/>
      <c r="G413" s="7"/>
    </row>
    <row r="414" customFormat="false" ht="15" hidden="false" customHeight="true" outlineLevel="0" collapsed="false">
      <c r="A414" s="7"/>
      <c r="B414" s="7"/>
      <c r="C414" s="7"/>
      <c r="D414" s="7"/>
      <c r="E414" s="7"/>
      <c r="F414" s="7"/>
      <c r="G414" s="7"/>
    </row>
    <row r="415" customFormat="false" ht="15" hidden="false" customHeight="true" outlineLevel="0" collapsed="false">
      <c r="A415" s="7"/>
      <c r="B415" s="7"/>
      <c r="C415" s="7"/>
      <c r="D415" s="7"/>
      <c r="E415" s="7"/>
      <c r="F415" s="7"/>
      <c r="G415" s="7"/>
    </row>
    <row r="416" customFormat="false" ht="15" hidden="false" customHeight="true" outlineLevel="0" collapsed="false">
      <c r="A416" s="7"/>
      <c r="B416" s="7"/>
      <c r="C416" s="7"/>
      <c r="D416" s="7"/>
      <c r="E416" s="7"/>
      <c r="F416" s="7"/>
      <c r="G416" s="7"/>
    </row>
    <row r="417" customFormat="false" ht="15" hidden="false" customHeight="true" outlineLevel="0" collapsed="false">
      <c r="A417" s="7"/>
      <c r="B417" s="7"/>
      <c r="C417" s="7"/>
      <c r="D417" s="7"/>
      <c r="E417" s="7"/>
      <c r="F417" s="7"/>
      <c r="G417" s="7"/>
    </row>
    <row r="418" customFormat="false" ht="15" hidden="false" customHeight="true" outlineLevel="0" collapsed="false">
      <c r="A418" s="7"/>
      <c r="B418" s="7"/>
      <c r="C418" s="7"/>
      <c r="D418" s="7"/>
      <c r="E418" s="7"/>
      <c r="F418" s="7"/>
      <c r="G418" s="7"/>
    </row>
    <row r="419" customFormat="false" ht="15" hidden="false" customHeight="true" outlineLevel="0" collapsed="false">
      <c r="A419" s="7"/>
      <c r="B419" s="7"/>
      <c r="C419" s="7"/>
      <c r="D419" s="7"/>
      <c r="E419" s="7"/>
      <c r="F419" s="7"/>
      <c r="G419" s="7"/>
    </row>
    <row r="420" customFormat="false" ht="15" hidden="false" customHeight="true" outlineLevel="0" collapsed="false">
      <c r="A420" s="7"/>
      <c r="B420" s="7"/>
      <c r="C420" s="7"/>
      <c r="D420" s="7"/>
      <c r="E420" s="7"/>
      <c r="F420" s="7"/>
      <c r="G420" s="7"/>
    </row>
    <row r="421" customFormat="false" ht="15" hidden="false" customHeight="true" outlineLevel="0" collapsed="false">
      <c r="A421" s="7"/>
      <c r="B421" s="7"/>
      <c r="C421" s="7"/>
      <c r="D421" s="7"/>
      <c r="E421" s="7"/>
      <c r="F421" s="7"/>
      <c r="G421" s="7"/>
    </row>
    <row r="422" customFormat="false" ht="15" hidden="false" customHeight="true" outlineLevel="0" collapsed="false">
      <c r="A422" s="7"/>
      <c r="B422" s="7"/>
      <c r="C422" s="7"/>
      <c r="D422" s="7"/>
      <c r="E422" s="7"/>
      <c r="F422" s="7"/>
      <c r="G422" s="7"/>
    </row>
    <row r="423" customFormat="false" ht="15" hidden="false" customHeight="true" outlineLevel="0" collapsed="false">
      <c r="A423" s="7"/>
      <c r="B423" s="7"/>
      <c r="C423" s="7"/>
      <c r="D423" s="7"/>
      <c r="E423" s="7"/>
      <c r="F423" s="7"/>
      <c r="G423" s="7"/>
    </row>
    <row r="424" customFormat="false" ht="15" hidden="false" customHeight="true" outlineLevel="0" collapsed="false">
      <c r="A424" s="7"/>
      <c r="B424" s="7"/>
      <c r="C424" s="7"/>
      <c r="D424" s="7"/>
      <c r="E424" s="7"/>
      <c r="F424" s="7"/>
      <c r="G424" s="7"/>
    </row>
    <row r="425" customFormat="false" ht="15" hidden="false" customHeight="true" outlineLevel="0" collapsed="false">
      <c r="A425" s="7"/>
      <c r="B425" s="7"/>
      <c r="C425" s="7"/>
      <c r="D425" s="7"/>
      <c r="E425" s="7"/>
      <c r="F425" s="7"/>
      <c r="G425" s="7"/>
    </row>
    <row r="426" customFormat="false" ht="15" hidden="false" customHeight="true" outlineLevel="0" collapsed="false">
      <c r="A426" s="7"/>
      <c r="B426" s="7"/>
      <c r="C426" s="7"/>
      <c r="D426" s="7"/>
      <c r="E426" s="7"/>
      <c r="F426" s="7"/>
      <c r="G426" s="7"/>
    </row>
    <row r="427" customFormat="false" ht="15" hidden="false" customHeight="true" outlineLevel="0" collapsed="false">
      <c r="A427" s="7"/>
      <c r="B427" s="7"/>
      <c r="C427" s="7"/>
      <c r="D427" s="7"/>
      <c r="E427" s="7"/>
      <c r="F427" s="7"/>
      <c r="G427" s="7"/>
    </row>
    <row r="428" customFormat="false" ht="15" hidden="false" customHeight="true" outlineLevel="0" collapsed="false">
      <c r="A428" s="7"/>
      <c r="B428" s="7"/>
      <c r="C428" s="7"/>
      <c r="D428" s="7"/>
      <c r="E428" s="7"/>
      <c r="F428" s="7"/>
      <c r="G428" s="7"/>
    </row>
    <row r="429" customFormat="false" ht="15" hidden="false" customHeight="true" outlineLevel="0" collapsed="false">
      <c r="A429" s="7"/>
      <c r="B429" s="7"/>
      <c r="C429" s="7"/>
      <c r="D429" s="7"/>
      <c r="E429" s="7"/>
      <c r="F429" s="7"/>
      <c r="G429" s="7"/>
    </row>
    <row r="430" customFormat="false" ht="15" hidden="false" customHeight="true" outlineLevel="0" collapsed="false">
      <c r="A430" s="7"/>
      <c r="B430" s="7"/>
      <c r="C430" s="7"/>
      <c r="D430" s="7"/>
      <c r="E430" s="7"/>
      <c r="F430" s="7"/>
      <c r="G430" s="7"/>
    </row>
    <row r="431" customFormat="false" ht="15" hidden="false" customHeight="true" outlineLevel="0" collapsed="false">
      <c r="A431" s="7"/>
      <c r="B431" s="7"/>
      <c r="C431" s="7"/>
      <c r="D431" s="7"/>
      <c r="E431" s="7"/>
      <c r="F431" s="7"/>
      <c r="G431" s="7"/>
    </row>
    <row r="432" customFormat="false" ht="15" hidden="false" customHeight="true" outlineLevel="0" collapsed="false">
      <c r="A432" s="7"/>
      <c r="B432" s="7"/>
      <c r="C432" s="7"/>
      <c r="D432" s="7"/>
      <c r="E432" s="7"/>
      <c r="F432" s="7"/>
      <c r="G432" s="7"/>
    </row>
    <row r="433" customFormat="false" ht="15" hidden="false" customHeight="true" outlineLevel="0" collapsed="false">
      <c r="A433" s="7"/>
      <c r="B433" s="7"/>
      <c r="C433" s="7"/>
      <c r="D433" s="7"/>
      <c r="E433" s="7"/>
      <c r="F433" s="7"/>
      <c r="G433" s="7"/>
    </row>
    <row r="434" customFormat="false" ht="15" hidden="false" customHeight="true" outlineLevel="0" collapsed="false">
      <c r="A434" s="7"/>
      <c r="B434" s="7"/>
      <c r="C434" s="7"/>
      <c r="D434" s="7"/>
      <c r="E434" s="7"/>
      <c r="F434" s="7"/>
      <c r="G434" s="7"/>
    </row>
    <row r="435" customFormat="false" ht="15" hidden="false" customHeight="true" outlineLevel="0" collapsed="false">
      <c r="A435" s="7"/>
      <c r="B435" s="7"/>
      <c r="C435" s="7"/>
      <c r="D435" s="7"/>
      <c r="E435" s="7"/>
      <c r="F435" s="7"/>
      <c r="G435" s="7"/>
    </row>
    <row r="436" customFormat="false" ht="15" hidden="false" customHeight="true" outlineLevel="0" collapsed="false">
      <c r="A436" s="7"/>
      <c r="B436" s="7"/>
      <c r="C436" s="7"/>
      <c r="D436" s="7"/>
      <c r="E436" s="7"/>
      <c r="F436" s="7"/>
      <c r="G436" s="7"/>
    </row>
    <row r="437" customFormat="false" ht="15" hidden="false" customHeight="true" outlineLevel="0" collapsed="false">
      <c r="A437" s="7"/>
      <c r="B437" s="7"/>
      <c r="C437" s="7"/>
      <c r="D437" s="7"/>
      <c r="E437" s="7"/>
      <c r="F437" s="7"/>
      <c r="G437" s="7"/>
    </row>
    <row r="438" customFormat="false" ht="15" hidden="false" customHeight="true" outlineLevel="0" collapsed="false">
      <c r="A438" s="7"/>
      <c r="B438" s="7"/>
      <c r="C438" s="7"/>
      <c r="D438" s="7"/>
      <c r="E438" s="7"/>
      <c r="F438" s="7"/>
      <c r="G438" s="7"/>
    </row>
    <row r="439" customFormat="false" ht="15" hidden="false" customHeight="true" outlineLevel="0" collapsed="false">
      <c r="A439" s="7"/>
      <c r="B439" s="7"/>
      <c r="C439" s="7"/>
      <c r="D439" s="7"/>
      <c r="E439" s="7"/>
      <c r="F439" s="7"/>
      <c r="G439" s="7"/>
    </row>
    <row r="440" customFormat="false" ht="15" hidden="false" customHeight="true" outlineLevel="0" collapsed="false">
      <c r="A440" s="7"/>
      <c r="B440" s="7"/>
      <c r="C440" s="7"/>
      <c r="D440" s="7"/>
      <c r="E440" s="7"/>
      <c r="F440" s="7"/>
      <c r="G440" s="7"/>
    </row>
    <row r="441" customFormat="false" ht="15" hidden="false" customHeight="true" outlineLevel="0" collapsed="false">
      <c r="A441" s="7"/>
      <c r="B441" s="7"/>
      <c r="C441" s="7"/>
      <c r="D441" s="7"/>
      <c r="E441" s="7"/>
      <c r="F441" s="7"/>
      <c r="G441" s="7"/>
    </row>
    <row r="442" customFormat="false" ht="15" hidden="false" customHeight="true" outlineLevel="0" collapsed="false">
      <c r="A442" s="7"/>
      <c r="B442" s="7"/>
      <c r="C442" s="7"/>
      <c r="D442" s="7"/>
      <c r="E442" s="7"/>
      <c r="F442" s="7"/>
      <c r="G442" s="7"/>
    </row>
    <row r="443" customFormat="false" ht="15" hidden="false" customHeight="true" outlineLevel="0" collapsed="false">
      <c r="A443" s="7"/>
      <c r="B443" s="7"/>
      <c r="C443" s="7"/>
      <c r="D443" s="7"/>
      <c r="E443" s="7"/>
      <c r="F443" s="7"/>
      <c r="G443" s="7"/>
    </row>
    <row r="444" customFormat="false" ht="15" hidden="false" customHeight="true" outlineLevel="0" collapsed="false">
      <c r="A444" s="7"/>
      <c r="B444" s="7"/>
      <c r="C444" s="7"/>
      <c r="D444" s="7"/>
      <c r="E444" s="7"/>
      <c r="F444" s="7"/>
      <c r="G444" s="7"/>
    </row>
    <row r="445" customFormat="false" ht="15" hidden="false" customHeight="true" outlineLevel="0" collapsed="false">
      <c r="A445" s="7"/>
      <c r="B445" s="7"/>
      <c r="C445" s="7"/>
      <c r="D445" s="7"/>
      <c r="E445" s="7"/>
      <c r="F445" s="7"/>
      <c r="G445" s="7"/>
    </row>
    <row r="446" customFormat="false" ht="15" hidden="false" customHeight="true" outlineLevel="0" collapsed="false">
      <c r="A446" s="7"/>
      <c r="B446" s="7"/>
      <c r="C446" s="7"/>
      <c r="D446" s="7"/>
      <c r="E446" s="7"/>
      <c r="F446" s="7"/>
      <c r="G446" s="7"/>
    </row>
    <row r="447" customFormat="false" ht="15" hidden="false" customHeight="true" outlineLevel="0" collapsed="false">
      <c r="A447" s="7"/>
      <c r="B447" s="7"/>
      <c r="C447" s="7"/>
      <c r="D447" s="7"/>
      <c r="E447" s="7"/>
      <c r="F447" s="7"/>
      <c r="G447" s="7"/>
    </row>
    <row r="448" customFormat="false" ht="15" hidden="false" customHeight="true" outlineLevel="0" collapsed="false">
      <c r="A448" s="7"/>
      <c r="B448" s="7"/>
      <c r="C448" s="7"/>
      <c r="D448" s="7"/>
      <c r="E448" s="7"/>
      <c r="F448" s="7"/>
      <c r="G448" s="7"/>
    </row>
    <row r="449" customFormat="false" ht="15" hidden="false" customHeight="true" outlineLevel="0" collapsed="false">
      <c r="A449" s="7"/>
      <c r="B449" s="7"/>
      <c r="C449" s="7"/>
      <c r="D449" s="7"/>
      <c r="E449" s="7"/>
      <c r="F449" s="7"/>
      <c r="G449" s="7"/>
    </row>
    <row r="450" customFormat="false" ht="15" hidden="false" customHeight="true" outlineLevel="0" collapsed="false">
      <c r="A450" s="7"/>
      <c r="B450" s="7"/>
      <c r="C450" s="7"/>
      <c r="D450" s="7"/>
      <c r="E450" s="7"/>
      <c r="F450" s="7"/>
      <c r="G450" s="7"/>
    </row>
    <row r="451" customFormat="false" ht="15" hidden="false" customHeight="true" outlineLevel="0" collapsed="false">
      <c r="A451" s="7"/>
      <c r="B451" s="7"/>
      <c r="C451" s="7"/>
      <c r="D451" s="7"/>
      <c r="E451" s="7"/>
      <c r="F451" s="7"/>
      <c r="G451" s="7"/>
    </row>
    <row r="452" customFormat="false" ht="15" hidden="false" customHeight="true" outlineLevel="0" collapsed="false">
      <c r="A452" s="7"/>
      <c r="B452" s="7"/>
      <c r="C452" s="7"/>
      <c r="D452" s="7"/>
      <c r="E452" s="7"/>
      <c r="F452" s="7"/>
      <c r="G452" s="7"/>
    </row>
    <row r="453" customFormat="false" ht="15" hidden="false" customHeight="true" outlineLevel="0" collapsed="false">
      <c r="A453" s="7"/>
      <c r="B453" s="7"/>
      <c r="C453" s="7"/>
      <c r="D453" s="7"/>
      <c r="E453" s="7"/>
      <c r="F453" s="7"/>
      <c r="G453" s="7"/>
    </row>
    <row r="454" customFormat="false" ht="15" hidden="false" customHeight="true" outlineLevel="0" collapsed="false">
      <c r="A454" s="7"/>
      <c r="B454" s="7"/>
      <c r="C454" s="7"/>
      <c r="D454" s="7"/>
      <c r="E454" s="7"/>
      <c r="F454" s="7"/>
      <c r="G454" s="7"/>
    </row>
    <row r="455" customFormat="false" ht="15" hidden="false" customHeight="true" outlineLevel="0" collapsed="false">
      <c r="A455" s="7"/>
      <c r="B455" s="7"/>
      <c r="C455" s="7"/>
      <c r="D455" s="7"/>
      <c r="E455" s="7"/>
      <c r="F455" s="7"/>
      <c r="G455" s="7"/>
    </row>
    <row r="456" customFormat="false" ht="15" hidden="false" customHeight="true" outlineLevel="0" collapsed="false">
      <c r="A456" s="7"/>
      <c r="B456" s="7"/>
      <c r="C456" s="7"/>
      <c r="D456" s="7"/>
      <c r="E456" s="7"/>
      <c r="F456" s="7"/>
      <c r="G456" s="7"/>
    </row>
    <row r="457" customFormat="false" ht="15" hidden="false" customHeight="true" outlineLevel="0" collapsed="false">
      <c r="A457" s="7"/>
      <c r="B457" s="7"/>
      <c r="C457" s="7"/>
      <c r="D457" s="7"/>
      <c r="E457" s="7"/>
      <c r="F457" s="7"/>
      <c r="G457" s="7"/>
    </row>
    <row r="458" customFormat="false" ht="15" hidden="false" customHeight="true" outlineLevel="0" collapsed="false">
      <c r="A458" s="7"/>
      <c r="B458" s="7"/>
      <c r="C458" s="7"/>
      <c r="D458" s="7"/>
      <c r="E458" s="7"/>
      <c r="F458" s="7"/>
      <c r="G458" s="7"/>
    </row>
    <row r="459" customFormat="false" ht="15" hidden="false" customHeight="true" outlineLevel="0" collapsed="false">
      <c r="A459" s="7"/>
      <c r="B459" s="7"/>
      <c r="C459" s="7"/>
      <c r="D459" s="7"/>
      <c r="E459" s="7"/>
      <c r="F459" s="7"/>
      <c r="G459" s="7"/>
    </row>
    <row r="460" customFormat="false" ht="15" hidden="false" customHeight="true" outlineLevel="0" collapsed="false">
      <c r="A460" s="7"/>
      <c r="B460" s="7"/>
      <c r="C460" s="7"/>
      <c r="D460" s="7"/>
      <c r="E460" s="7"/>
      <c r="F460" s="7"/>
      <c r="G460" s="7"/>
    </row>
    <row r="461" customFormat="false" ht="15" hidden="false" customHeight="true" outlineLevel="0" collapsed="false">
      <c r="A461" s="7"/>
      <c r="B461" s="7"/>
      <c r="C461" s="7"/>
      <c r="D461" s="7"/>
      <c r="E461" s="7"/>
      <c r="F461" s="7"/>
      <c r="G461" s="7"/>
    </row>
    <row r="462" customFormat="false" ht="15" hidden="false" customHeight="true" outlineLevel="0" collapsed="false">
      <c r="A462" s="7"/>
      <c r="B462" s="7"/>
      <c r="C462" s="7"/>
      <c r="D462" s="7"/>
      <c r="E462" s="7"/>
      <c r="F462" s="7"/>
      <c r="G462" s="7"/>
    </row>
    <row r="463" customFormat="false" ht="15" hidden="false" customHeight="true" outlineLevel="0" collapsed="false">
      <c r="A463" s="7"/>
      <c r="B463" s="7"/>
      <c r="C463" s="7"/>
      <c r="D463" s="7"/>
      <c r="E463" s="7"/>
      <c r="F463" s="7"/>
      <c r="G463" s="7"/>
    </row>
    <row r="464" customFormat="false" ht="15" hidden="false" customHeight="true" outlineLevel="0" collapsed="false">
      <c r="A464" s="7"/>
      <c r="B464" s="7"/>
      <c r="C464" s="7"/>
      <c r="D464" s="7"/>
      <c r="E464" s="7"/>
      <c r="F464" s="7"/>
      <c r="G464" s="7"/>
    </row>
    <row r="465" customFormat="false" ht="15" hidden="false" customHeight="true" outlineLevel="0" collapsed="false">
      <c r="A465" s="7"/>
      <c r="B465" s="7"/>
      <c r="C465" s="7"/>
      <c r="D465" s="7"/>
      <c r="E465" s="7"/>
      <c r="F465" s="7"/>
      <c r="G465" s="7"/>
    </row>
    <row r="466" customFormat="false" ht="15" hidden="false" customHeight="true" outlineLevel="0" collapsed="false">
      <c r="A466" s="7"/>
      <c r="B466" s="7"/>
      <c r="C466" s="7"/>
      <c r="D466" s="7"/>
      <c r="E466" s="7"/>
      <c r="F466" s="7"/>
      <c r="G466" s="7"/>
    </row>
    <row r="467" customFormat="false" ht="15" hidden="false" customHeight="true" outlineLevel="0" collapsed="false">
      <c r="A467" s="7"/>
      <c r="B467" s="7"/>
      <c r="C467" s="7"/>
      <c r="D467" s="7"/>
      <c r="E467" s="7"/>
      <c r="F467" s="7"/>
      <c r="G467" s="7"/>
    </row>
    <row r="468" customFormat="false" ht="15" hidden="false" customHeight="true" outlineLevel="0" collapsed="false">
      <c r="A468" s="7"/>
      <c r="B468" s="7"/>
      <c r="C468" s="7"/>
      <c r="D468" s="7"/>
      <c r="E468" s="7"/>
      <c r="F468" s="7"/>
      <c r="G468" s="7"/>
    </row>
    <row r="469" customFormat="false" ht="15" hidden="false" customHeight="true" outlineLevel="0" collapsed="false">
      <c r="A469" s="7"/>
      <c r="B469" s="7"/>
      <c r="C469" s="7"/>
      <c r="D469" s="7"/>
      <c r="E469" s="7"/>
      <c r="F469" s="7"/>
      <c r="G469" s="7"/>
    </row>
    <row r="470" customFormat="false" ht="15" hidden="false" customHeight="true" outlineLevel="0" collapsed="false">
      <c r="A470" s="7"/>
      <c r="B470" s="7"/>
      <c r="C470" s="7"/>
      <c r="D470" s="7"/>
      <c r="E470" s="7"/>
      <c r="F470" s="7"/>
      <c r="G470" s="7"/>
    </row>
    <row r="471" customFormat="false" ht="15" hidden="false" customHeight="true" outlineLevel="0" collapsed="false">
      <c r="A471" s="7"/>
      <c r="B471" s="7"/>
      <c r="C471" s="7"/>
      <c r="D471" s="7"/>
      <c r="E471" s="7"/>
      <c r="F471" s="7"/>
      <c r="G471" s="7"/>
    </row>
    <row r="472" customFormat="false" ht="15" hidden="false" customHeight="true" outlineLevel="0" collapsed="false">
      <c r="A472" s="7"/>
      <c r="B472" s="7"/>
      <c r="C472" s="7"/>
      <c r="D472" s="7"/>
      <c r="E472" s="7"/>
      <c r="F472" s="7"/>
      <c r="G472" s="7"/>
    </row>
    <row r="473" customFormat="false" ht="15" hidden="false" customHeight="true" outlineLevel="0" collapsed="false">
      <c r="A473" s="7"/>
      <c r="B473" s="7"/>
      <c r="C473" s="7"/>
      <c r="D473" s="7"/>
      <c r="E473" s="7"/>
      <c r="F473" s="7"/>
      <c r="G473" s="7"/>
    </row>
    <row r="474" customFormat="false" ht="15" hidden="false" customHeight="true" outlineLevel="0" collapsed="false">
      <c r="A474" s="7"/>
      <c r="B474" s="7"/>
      <c r="C474" s="7"/>
      <c r="D474" s="7"/>
      <c r="E474" s="7"/>
      <c r="F474" s="7"/>
      <c r="G474" s="7"/>
    </row>
    <row r="475" customFormat="false" ht="15" hidden="false" customHeight="true" outlineLevel="0" collapsed="false">
      <c r="A475" s="7"/>
      <c r="B475" s="7"/>
      <c r="C475" s="7"/>
      <c r="D475" s="7"/>
      <c r="E475" s="7"/>
      <c r="F475" s="7"/>
      <c r="G475" s="7"/>
    </row>
    <row r="476" customFormat="false" ht="15" hidden="false" customHeight="true" outlineLevel="0" collapsed="false">
      <c r="A476" s="7"/>
      <c r="B476" s="7"/>
      <c r="C476" s="7"/>
      <c r="D476" s="7"/>
      <c r="E476" s="7"/>
      <c r="F476" s="7"/>
      <c r="G476" s="7"/>
    </row>
    <row r="477" customFormat="false" ht="15" hidden="false" customHeight="true" outlineLevel="0" collapsed="false">
      <c r="A477" s="7"/>
      <c r="B477" s="7"/>
      <c r="C477" s="7"/>
      <c r="D477" s="7"/>
      <c r="E477" s="7"/>
      <c r="F477" s="7"/>
      <c r="G477" s="7"/>
    </row>
    <row r="478" customFormat="false" ht="15" hidden="false" customHeight="true" outlineLevel="0" collapsed="false">
      <c r="A478" s="7"/>
      <c r="B478" s="7"/>
      <c r="C478" s="7"/>
      <c r="D478" s="7"/>
      <c r="E478" s="7"/>
      <c r="F478" s="7"/>
      <c r="G478" s="7"/>
    </row>
    <row r="479" customFormat="false" ht="15" hidden="false" customHeight="true" outlineLevel="0" collapsed="false">
      <c r="A479" s="7"/>
      <c r="B479" s="7"/>
      <c r="C479" s="7"/>
      <c r="D479" s="7"/>
      <c r="E479" s="7"/>
      <c r="F479" s="7"/>
      <c r="G479" s="7"/>
    </row>
    <row r="480" customFormat="false" ht="15" hidden="false" customHeight="true" outlineLevel="0" collapsed="false">
      <c r="A480" s="7"/>
      <c r="B480" s="7"/>
      <c r="C480" s="7"/>
      <c r="D480" s="7"/>
      <c r="E480" s="7"/>
      <c r="F480" s="7"/>
      <c r="G480" s="7"/>
    </row>
    <row r="481" customFormat="false" ht="15" hidden="false" customHeight="true" outlineLevel="0" collapsed="false">
      <c r="A481" s="7"/>
      <c r="B481" s="7"/>
      <c r="C481" s="7"/>
      <c r="D481" s="7"/>
      <c r="E481" s="7"/>
      <c r="F481" s="7"/>
      <c r="G481" s="7"/>
    </row>
    <row r="482" customFormat="false" ht="15" hidden="false" customHeight="true" outlineLevel="0" collapsed="false">
      <c r="A482" s="7"/>
      <c r="B482" s="7"/>
      <c r="C482" s="7"/>
      <c r="D482" s="7"/>
      <c r="E482" s="7"/>
      <c r="F482" s="7"/>
      <c r="G482" s="7"/>
    </row>
    <row r="483" customFormat="false" ht="15" hidden="false" customHeight="true" outlineLevel="0" collapsed="false">
      <c r="A483" s="7"/>
      <c r="B483" s="7"/>
      <c r="C483" s="7"/>
      <c r="D483" s="7"/>
      <c r="E483" s="7"/>
      <c r="F483" s="7"/>
      <c r="G483" s="7"/>
    </row>
    <row r="484" customFormat="false" ht="15" hidden="false" customHeight="true" outlineLevel="0" collapsed="false">
      <c r="A484" s="7"/>
      <c r="B484" s="7"/>
      <c r="C484" s="7"/>
      <c r="D484" s="7"/>
      <c r="E484" s="7"/>
      <c r="F484" s="7"/>
      <c r="G484" s="7"/>
    </row>
    <row r="485" customFormat="false" ht="15" hidden="false" customHeight="true" outlineLevel="0" collapsed="false">
      <c r="A485" s="7"/>
      <c r="B485" s="7"/>
      <c r="C485" s="7"/>
      <c r="D485" s="7"/>
      <c r="E485" s="7"/>
      <c r="F485" s="7"/>
      <c r="G485" s="7"/>
    </row>
    <row r="486" customFormat="false" ht="15" hidden="false" customHeight="true" outlineLevel="0" collapsed="false">
      <c r="A486" s="7"/>
      <c r="B486" s="7"/>
      <c r="C486" s="7"/>
      <c r="D486" s="7"/>
      <c r="E486" s="7"/>
      <c r="F486" s="7"/>
      <c r="G486" s="7"/>
    </row>
    <row r="487" customFormat="false" ht="15" hidden="false" customHeight="true" outlineLevel="0" collapsed="false">
      <c r="A487" s="7"/>
      <c r="B487" s="7"/>
      <c r="C487" s="7"/>
      <c r="D487" s="7"/>
      <c r="E487" s="7"/>
      <c r="F487" s="7"/>
      <c r="G487" s="7"/>
    </row>
    <row r="488" customFormat="false" ht="15" hidden="false" customHeight="true" outlineLevel="0" collapsed="false">
      <c r="A488" s="7"/>
      <c r="B488" s="7"/>
      <c r="C488" s="7"/>
      <c r="D488" s="7"/>
      <c r="E488" s="7"/>
      <c r="F488" s="7"/>
      <c r="G488" s="7"/>
    </row>
    <row r="489" customFormat="false" ht="15" hidden="false" customHeight="true" outlineLevel="0" collapsed="false">
      <c r="A489" s="7"/>
      <c r="B489" s="7"/>
      <c r="C489" s="7"/>
      <c r="D489" s="7"/>
      <c r="E489" s="7"/>
      <c r="F489" s="7"/>
      <c r="G489" s="7"/>
    </row>
    <row r="490" customFormat="false" ht="15" hidden="false" customHeight="true" outlineLevel="0" collapsed="false">
      <c r="A490" s="7"/>
      <c r="B490" s="7"/>
      <c r="C490" s="7"/>
      <c r="D490" s="7"/>
      <c r="E490" s="7"/>
      <c r="F490" s="7"/>
      <c r="G490" s="7"/>
    </row>
    <row r="491" customFormat="false" ht="15" hidden="false" customHeight="true" outlineLevel="0" collapsed="false">
      <c r="A491" s="7"/>
      <c r="B491" s="7"/>
      <c r="C491" s="7"/>
      <c r="D491" s="7"/>
      <c r="E491" s="7"/>
      <c r="F491" s="7"/>
      <c r="G491" s="7"/>
    </row>
    <row r="492" customFormat="false" ht="15" hidden="false" customHeight="true" outlineLevel="0" collapsed="false">
      <c r="A492" s="7"/>
      <c r="B492" s="7"/>
      <c r="C492" s="7"/>
      <c r="D492" s="7"/>
      <c r="E492" s="7"/>
      <c r="F492" s="7"/>
      <c r="G492" s="7"/>
    </row>
    <row r="493" customFormat="false" ht="15" hidden="false" customHeight="true" outlineLevel="0" collapsed="false">
      <c r="A493" s="7"/>
      <c r="B493" s="7"/>
      <c r="C493" s="7"/>
      <c r="D493" s="7"/>
      <c r="E493" s="7"/>
      <c r="F493" s="7"/>
      <c r="G493" s="7"/>
    </row>
    <row r="494" customFormat="false" ht="15" hidden="false" customHeight="true" outlineLevel="0" collapsed="false">
      <c r="A494" s="7"/>
      <c r="B494" s="7"/>
      <c r="C494" s="7"/>
      <c r="D494" s="7"/>
      <c r="E494" s="7"/>
      <c r="F494" s="7"/>
      <c r="G494" s="7"/>
    </row>
    <row r="495" customFormat="false" ht="15" hidden="false" customHeight="true" outlineLevel="0" collapsed="false">
      <c r="A495" s="7"/>
      <c r="B495" s="7"/>
      <c r="C495" s="7"/>
      <c r="D495" s="7"/>
      <c r="E495" s="7"/>
      <c r="F495" s="7"/>
      <c r="G495" s="7"/>
    </row>
    <row r="496" customFormat="false" ht="15" hidden="false" customHeight="true" outlineLevel="0" collapsed="false">
      <c r="A496" s="7"/>
      <c r="B496" s="7"/>
      <c r="C496" s="7"/>
      <c r="D496" s="7"/>
      <c r="E496" s="7"/>
      <c r="F496" s="7"/>
      <c r="G496" s="7"/>
    </row>
    <row r="497" customFormat="false" ht="15" hidden="false" customHeight="true" outlineLevel="0" collapsed="false">
      <c r="A497" s="7"/>
      <c r="B497" s="7"/>
      <c r="C497" s="7"/>
      <c r="D497" s="7"/>
      <c r="E497" s="7"/>
      <c r="F497" s="7"/>
      <c r="G497" s="7"/>
    </row>
    <row r="498" customFormat="false" ht="15" hidden="false" customHeight="true" outlineLevel="0" collapsed="false">
      <c r="A498" s="7"/>
      <c r="B498" s="7"/>
      <c r="C498" s="7"/>
      <c r="D498" s="7"/>
      <c r="E498" s="7"/>
      <c r="F498" s="7"/>
      <c r="G498" s="7"/>
    </row>
    <row r="499" customFormat="false" ht="15" hidden="false" customHeight="true" outlineLevel="0" collapsed="false">
      <c r="A499" s="7"/>
      <c r="B499" s="7"/>
      <c r="C499" s="7"/>
      <c r="D499" s="7"/>
      <c r="E499" s="7"/>
      <c r="F499" s="7"/>
      <c r="G499" s="7"/>
    </row>
    <row r="500" customFormat="false" ht="15" hidden="false" customHeight="true" outlineLevel="0" collapsed="false">
      <c r="A500" s="7"/>
      <c r="B500" s="7"/>
      <c r="C500" s="7"/>
      <c r="D500" s="7"/>
      <c r="E500" s="7"/>
      <c r="F500" s="7"/>
      <c r="G500" s="7"/>
    </row>
    <row r="501" customFormat="false" ht="15" hidden="false" customHeight="true" outlineLevel="0" collapsed="false">
      <c r="A501" s="7"/>
      <c r="B501" s="7"/>
      <c r="C501" s="7"/>
      <c r="D501" s="7"/>
      <c r="E501" s="7"/>
      <c r="F501" s="7"/>
      <c r="G501" s="7"/>
    </row>
    <row r="502" customFormat="false" ht="15" hidden="false" customHeight="true" outlineLevel="0" collapsed="false">
      <c r="A502" s="7"/>
      <c r="B502" s="7"/>
      <c r="C502" s="7"/>
      <c r="D502" s="7"/>
      <c r="E502" s="7"/>
      <c r="F502" s="7"/>
      <c r="G502" s="7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4"/>
  </cols>
  <sheetData>
    <row r="1" customFormat="false" ht="25.5" hidden="false" customHeight="true" outlineLevel="0" collapsed="false">
      <c r="A1" s="2" t="s">
        <v>35</v>
      </c>
      <c r="B1" s="2"/>
      <c r="C1" s="2"/>
      <c r="D1" s="2"/>
    </row>
    <row r="2" customFormat="false" ht="15" hidden="false" customHeight="true" outlineLevel="0" collapsed="false">
      <c r="A2" s="6" t="s">
        <v>36</v>
      </c>
      <c r="B2" s="6" t="s">
        <v>37</v>
      </c>
      <c r="C2" s="6" t="s">
        <v>38</v>
      </c>
      <c r="D2" s="6" t="s">
        <v>28</v>
      </c>
    </row>
    <row r="3" customFormat="false" ht="15" hidden="false" customHeight="true" outlineLevel="0" collapsed="false">
      <c r="A3" s="8" t="s">
        <v>39</v>
      </c>
      <c r="B3" s="7" t="s">
        <v>40</v>
      </c>
      <c r="C3" s="9" t="n">
        <v>35000</v>
      </c>
      <c r="D3" s="7"/>
    </row>
    <row r="4" customFormat="false" ht="15" hidden="false" customHeight="true" outlineLevel="0" collapsed="false">
      <c r="A4" s="8" t="s">
        <v>41</v>
      </c>
      <c r="B4" s="7" t="s">
        <v>42</v>
      </c>
      <c r="C4" s="9" t="n">
        <v>55000</v>
      </c>
      <c r="D4" s="7"/>
    </row>
    <row r="5" customFormat="false" ht="15" hidden="false" customHeight="true" outlineLevel="0" collapsed="false">
      <c r="A5" s="8" t="s">
        <v>43</v>
      </c>
      <c r="B5" s="7" t="s">
        <v>44</v>
      </c>
      <c r="C5" s="9" t="n">
        <v>48000</v>
      </c>
      <c r="D5" s="7"/>
    </row>
    <row r="6" customFormat="false" ht="15" hidden="false" customHeight="true" outlineLevel="0" collapsed="false">
      <c r="A6" s="7"/>
      <c r="B6" s="7"/>
      <c r="C6" s="9"/>
      <c r="D6" s="7"/>
    </row>
    <row r="7" customFormat="false" ht="15" hidden="false" customHeight="true" outlineLevel="0" collapsed="false">
      <c r="A7" s="7"/>
      <c r="B7" s="7"/>
      <c r="C7" s="9"/>
      <c r="D7" s="7"/>
    </row>
    <row r="8" customFormat="false" ht="15" hidden="false" customHeight="true" outlineLevel="0" collapsed="false">
      <c r="A8" s="7"/>
      <c r="B8" s="7"/>
      <c r="C8" s="9"/>
      <c r="D8" s="7"/>
    </row>
    <row r="9" customFormat="false" ht="15" hidden="false" customHeight="true" outlineLevel="0" collapsed="false">
      <c r="A9" s="7"/>
      <c r="B9" s="7"/>
      <c r="C9" s="9"/>
      <c r="D9" s="7"/>
    </row>
    <row r="10" customFormat="false" ht="15" hidden="false" customHeight="true" outlineLevel="0" collapsed="false">
      <c r="A10" s="7"/>
      <c r="B10" s="7"/>
      <c r="C10" s="9"/>
      <c r="D10" s="7"/>
    </row>
    <row r="11" customFormat="false" ht="15" hidden="false" customHeight="true" outlineLevel="0" collapsed="false">
      <c r="A11" s="7"/>
      <c r="B11" s="7"/>
      <c r="C11" s="9"/>
      <c r="D11" s="7"/>
    </row>
    <row r="12" customFormat="false" ht="15" hidden="false" customHeight="true" outlineLevel="0" collapsed="false">
      <c r="A12" s="7"/>
      <c r="B12" s="7"/>
      <c r="C12" s="9"/>
      <c r="D12" s="7"/>
    </row>
    <row r="13" customFormat="false" ht="15" hidden="false" customHeight="true" outlineLevel="0" collapsed="false">
      <c r="A13" s="7"/>
      <c r="B13" s="7"/>
      <c r="C13" s="9"/>
      <c r="D13" s="7"/>
    </row>
    <row r="14" customFormat="false" ht="15" hidden="false" customHeight="true" outlineLevel="0" collapsed="false">
      <c r="A14" s="7"/>
      <c r="B14" s="7"/>
      <c r="C14" s="9"/>
      <c r="D14" s="7"/>
    </row>
    <row r="15" customFormat="false" ht="15" hidden="false" customHeight="true" outlineLevel="0" collapsed="false">
      <c r="A15" s="7"/>
      <c r="B15" s="7"/>
      <c r="C15" s="9"/>
      <c r="D15" s="7"/>
    </row>
    <row r="16" customFormat="false" ht="15" hidden="false" customHeight="true" outlineLevel="0" collapsed="false">
      <c r="A16" s="7"/>
      <c r="B16" s="7"/>
      <c r="C16" s="9"/>
      <c r="D16" s="7"/>
    </row>
    <row r="17" customFormat="false" ht="15" hidden="false" customHeight="true" outlineLevel="0" collapsed="false">
      <c r="A17" s="7"/>
      <c r="B17" s="7"/>
      <c r="C17" s="9"/>
      <c r="D17" s="7"/>
    </row>
    <row r="18" customFormat="false" ht="15" hidden="false" customHeight="true" outlineLevel="0" collapsed="false">
      <c r="A18" s="7"/>
      <c r="B18" s="7"/>
      <c r="C18" s="9"/>
      <c r="D18" s="7"/>
    </row>
    <row r="19" customFormat="false" ht="15" hidden="false" customHeight="true" outlineLevel="0" collapsed="false">
      <c r="A19" s="7"/>
      <c r="B19" s="7"/>
      <c r="C19" s="9"/>
      <c r="D19" s="7"/>
    </row>
    <row r="20" customFormat="false" ht="15" hidden="false" customHeight="true" outlineLevel="0" collapsed="false">
      <c r="A20" s="7"/>
      <c r="B20" s="7"/>
      <c r="C20" s="9"/>
      <c r="D20" s="7"/>
    </row>
    <row r="21" customFormat="false" ht="15" hidden="false" customHeight="true" outlineLevel="0" collapsed="false">
      <c r="A21" s="7"/>
      <c r="B21" s="7"/>
      <c r="C21" s="9"/>
      <c r="D21" s="7"/>
    </row>
    <row r="22" customFormat="false" ht="15" hidden="false" customHeight="true" outlineLevel="0" collapsed="false">
      <c r="A22" s="7"/>
      <c r="B22" s="7"/>
      <c r="C22" s="9"/>
      <c r="D22" s="7"/>
    </row>
    <row r="23" customFormat="false" ht="15" hidden="false" customHeight="true" outlineLevel="0" collapsed="false">
      <c r="A23" s="7"/>
      <c r="B23" s="7"/>
      <c r="C23" s="9"/>
      <c r="D23" s="7"/>
    </row>
    <row r="24" customFormat="false" ht="15" hidden="false" customHeight="true" outlineLevel="0" collapsed="false">
      <c r="A24" s="7"/>
      <c r="B24" s="7"/>
      <c r="C24" s="9"/>
      <c r="D24" s="7"/>
    </row>
    <row r="25" customFormat="false" ht="15" hidden="false" customHeight="true" outlineLevel="0" collapsed="false">
      <c r="A25" s="7"/>
      <c r="B25" s="7"/>
      <c r="C25" s="9"/>
      <c r="D25" s="7"/>
    </row>
    <row r="26" customFormat="false" ht="15" hidden="false" customHeight="true" outlineLevel="0" collapsed="false">
      <c r="A26" s="7"/>
      <c r="B26" s="7"/>
      <c r="C26" s="9"/>
      <c r="D26" s="7"/>
    </row>
    <row r="27" customFormat="false" ht="15" hidden="false" customHeight="true" outlineLevel="0" collapsed="false">
      <c r="A27" s="7"/>
      <c r="B27" s="7"/>
      <c r="C27" s="9"/>
      <c r="D27" s="7"/>
    </row>
    <row r="28" customFormat="false" ht="15" hidden="false" customHeight="true" outlineLevel="0" collapsed="false">
      <c r="A28" s="7"/>
      <c r="B28" s="7"/>
      <c r="C28" s="9"/>
      <c r="D28" s="7"/>
    </row>
    <row r="29" customFormat="false" ht="15" hidden="false" customHeight="true" outlineLevel="0" collapsed="false">
      <c r="A29" s="7"/>
      <c r="B29" s="7"/>
      <c r="C29" s="9"/>
      <c r="D29" s="7"/>
    </row>
    <row r="30" customFormat="false" ht="15" hidden="false" customHeight="true" outlineLevel="0" collapsed="false">
      <c r="A30" s="7"/>
      <c r="B30" s="7"/>
      <c r="C30" s="9"/>
      <c r="D30" s="7"/>
    </row>
    <row r="31" customFormat="false" ht="15" hidden="false" customHeight="true" outlineLevel="0" collapsed="false">
      <c r="A31" s="7"/>
      <c r="B31" s="7"/>
      <c r="C31" s="9"/>
      <c r="D31" s="7"/>
    </row>
    <row r="32" customFormat="false" ht="15" hidden="false" customHeight="true" outlineLevel="0" collapsed="false">
      <c r="A32" s="7"/>
      <c r="B32" s="7"/>
      <c r="C32" s="9"/>
      <c r="D32" s="7"/>
    </row>
    <row r="33" customFormat="false" ht="15" hidden="false" customHeight="true" outlineLevel="0" collapsed="false">
      <c r="A33" s="7"/>
      <c r="B33" s="7"/>
      <c r="C33" s="9"/>
      <c r="D33" s="7"/>
    </row>
    <row r="34" customFormat="false" ht="15" hidden="false" customHeight="true" outlineLevel="0" collapsed="false">
      <c r="A34" s="7"/>
      <c r="B34" s="7"/>
      <c r="C34" s="9"/>
      <c r="D34" s="7"/>
    </row>
    <row r="35" customFormat="false" ht="15" hidden="false" customHeight="true" outlineLevel="0" collapsed="false">
      <c r="A35" s="7"/>
      <c r="B35" s="7"/>
      <c r="C35" s="9"/>
      <c r="D35" s="7"/>
    </row>
    <row r="36" customFormat="false" ht="15" hidden="false" customHeight="true" outlineLevel="0" collapsed="false">
      <c r="A36" s="7"/>
      <c r="B36" s="7"/>
      <c r="C36" s="9"/>
      <c r="D36" s="7"/>
    </row>
    <row r="37" customFormat="false" ht="15" hidden="false" customHeight="true" outlineLevel="0" collapsed="false">
      <c r="A37" s="7"/>
      <c r="B37" s="7"/>
      <c r="C37" s="9"/>
      <c r="D37" s="7"/>
    </row>
    <row r="38" customFormat="false" ht="15" hidden="false" customHeight="true" outlineLevel="0" collapsed="false">
      <c r="A38" s="7"/>
      <c r="B38" s="7"/>
      <c r="C38" s="9"/>
      <c r="D38" s="7"/>
    </row>
    <row r="39" customFormat="false" ht="15" hidden="false" customHeight="true" outlineLevel="0" collapsed="false">
      <c r="A39" s="7"/>
      <c r="B39" s="7"/>
      <c r="C39" s="9"/>
      <c r="D39" s="7"/>
    </row>
    <row r="40" customFormat="false" ht="15" hidden="false" customHeight="true" outlineLevel="0" collapsed="false">
      <c r="A40" s="7"/>
      <c r="B40" s="7"/>
      <c r="C40" s="9"/>
      <c r="D40" s="7"/>
    </row>
    <row r="41" customFormat="false" ht="15" hidden="false" customHeight="true" outlineLevel="0" collapsed="false">
      <c r="A41" s="7"/>
      <c r="B41" s="7"/>
      <c r="C41" s="9"/>
      <c r="D41" s="7"/>
    </row>
    <row r="42" customFormat="false" ht="15" hidden="false" customHeight="true" outlineLevel="0" collapsed="false">
      <c r="A42" s="7"/>
      <c r="B42" s="7"/>
      <c r="C42" s="9"/>
      <c r="D42" s="7"/>
    </row>
    <row r="43" customFormat="false" ht="15" hidden="false" customHeight="true" outlineLevel="0" collapsed="false">
      <c r="A43" s="7"/>
      <c r="B43" s="7"/>
      <c r="C43" s="9"/>
      <c r="D43" s="7"/>
    </row>
    <row r="44" customFormat="false" ht="15" hidden="false" customHeight="true" outlineLevel="0" collapsed="false">
      <c r="A44" s="7"/>
      <c r="B44" s="7"/>
      <c r="C44" s="9"/>
      <c r="D44" s="7"/>
    </row>
    <row r="45" customFormat="false" ht="15" hidden="false" customHeight="true" outlineLevel="0" collapsed="false">
      <c r="A45" s="7"/>
      <c r="B45" s="7"/>
      <c r="C45" s="9"/>
      <c r="D45" s="7"/>
    </row>
    <row r="46" customFormat="false" ht="15" hidden="false" customHeight="true" outlineLevel="0" collapsed="false">
      <c r="A46" s="7"/>
      <c r="B46" s="7"/>
      <c r="C46" s="9"/>
      <c r="D46" s="7"/>
    </row>
    <row r="47" customFormat="false" ht="15" hidden="false" customHeight="true" outlineLevel="0" collapsed="false">
      <c r="A47" s="7"/>
      <c r="B47" s="7"/>
      <c r="C47" s="9"/>
      <c r="D47" s="7"/>
    </row>
    <row r="48" customFormat="false" ht="15" hidden="false" customHeight="true" outlineLevel="0" collapsed="false">
      <c r="A48" s="7"/>
      <c r="B48" s="7"/>
      <c r="C48" s="9"/>
      <c r="D48" s="7"/>
    </row>
    <row r="49" customFormat="false" ht="15" hidden="false" customHeight="true" outlineLevel="0" collapsed="false">
      <c r="A49" s="7"/>
      <c r="B49" s="7"/>
      <c r="C49" s="9"/>
      <c r="D49" s="7"/>
    </row>
    <row r="50" customFormat="false" ht="15" hidden="false" customHeight="true" outlineLevel="0" collapsed="false">
      <c r="A50" s="7"/>
      <c r="B50" s="7"/>
      <c r="C50" s="9"/>
      <c r="D50" s="7"/>
    </row>
    <row r="51" customFormat="false" ht="15" hidden="false" customHeight="true" outlineLevel="0" collapsed="false">
      <c r="A51" s="7"/>
      <c r="B51" s="7"/>
      <c r="C51" s="9"/>
      <c r="D51" s="7"/>
    </row>
    <row r="52" customFormat="false" ht="15" hidden="false" customHeight="true" outlineLevel="0" collapsed="false">
      <c r="A52" s="7"/>
      <c r="B52" s="7"/>
      <c r="C52" s="9"/>
      <c r="D52" s="7"/>
    </row>
    <row r="53" customFormat="false" ht="15" hidden="false" customHeight="true" outlineLevel="0" collapsed="false">
      <c r="A53" s="7"/>
      <c r="B53" s="7"/>
      <c r="C53" s="9"/>
      <c r="D53" s="7"/>
    </row>
    <row r="54" customFormat="false" ht="15" hidden="false" customHeight="true" outlineLevel="0" collapsed="false">
      <c r="A54" s="7"/>
      <c r="B54" s="7"/>
      <c r="C54" s="9"/>
      <c r="D54" s="7"/>
    </row>
    <row r="55" customFormat="false" ht="15" hidden="false" customHeight="true" outlineLevel="0" collapsed="false">
      <c r="A55" s="7"/>
      <c r="B55" s="7"/>
      <c r="C55" s="9"/>
      <c r="D55" s="7"/>
    </row>
    <row r="56" customFormat="false" ht="15" hidden="false" customHeight="true" outlineLevel="0" collapsed="false">
      <c r="A56" s="7"/>
      <c r="B56" s="7"/>
      <c r="C56" s="9"/>
      <c r="D56" s="7"/>
    </row>
    <row r="57" customFormat="false" ht="15" hidden="false" customHeight="true" outlineLevel="0" collapsed="false">
      <c r="A57" s="7"/>
      <c r="B57" s="7"/>
      <c r="C57" s="9"/>
      <c r="D57" s="7"/>
    </row>
    <row r="58" customFormat="false" ht="15" hidden="false" customHeight="true" outlineLevel="0" collapsed="false">
      <c r="A58" s="7"/>
      <c r="B58" s="7"/>
      <c r="C58" s="9"/>
      <c r="D58" s="7"/>
    </row>
    <row r="59" customFormat="false" ht="15" hidden="false" customHeight="true" outlineLevel="0" collapsed="false">
      <c r="A59" s="7"/>
      <c r="B59" s="7"/>
      <c r="C59" s="9"/>
      <c r="D59" s="7"/>
    </row>
    <row r="60" customFormat="false" ht="15" hidden="false" customHeight="true" outlineLevel="0" collapsed="false">
      <c r="A60" s="7"/>
      <c r="B60" s="7"/>
      <c r="C60" s="9"/>
      <c r="D60" s="7"/>
    </row>
    <row r="61" customFormat="false" ht="15" hidden="false" customHeight="true" outlineLevel="0" collapsed="false">
      <c r="A61" s="7"/>
      <c r="B61" s="7"/>
      <c r="C61" s="9"/>
      <c r="D61" s="7"/>
    </row>
    <row r="62" customFormat="false" ht="15" hidden="false" customHeight="true" outlineLevel="0" collapsed="false">
      <c r="A62" s="7"/>
      <c r="B62" s="7"/>
      <c r="C62" s="9"/>
      <c r="D62" s="7"/>
    </row>
    <row r="63" customFormat="false" ht="15" hidden="false" customHeight="true" outlineLevel="0" collapsed="false">
      <c r="A63" s="7"/>
      <c r="B63" s="7"/>
      <c r="C63" s="9"/>
      <c r="D63" s="7"/>
    </row>
    <row r="64" customFormat="false" ht="15" hidden="false" customHeight="true" outlineLevel="0" collapsed="false">
      <c r="A64" s="7"/>
      <c r="B64" s="7"/>
      <c r="C64" s="9"/>
      <c r="D64" s="7"/>
    </row>
    <row r="65" customFormat="false" ht="15" hidden="false" customHeight="true" outlineLevel="0" collapsed="false">
      <c r="A65" s="7"/>
      <c r="B65" s="7"/>
      <c r="C65" s="9"/>
      <c r="D65" s="7"/>
    </row>
    <row r="66" customFormat="false" ht="15" hidden="false" customHeight="true" outlineLevel="0" collapsed="false">
      <c r="A66" s="7"/>
      <c r="B66" s="7"/>
      <c r="C66" s="9"/>
      <c r="D66" s="7"/>
    </row>
    <row r="67" customFormat="false" ht="15" hidden="false" customHeight="true" outlineLevel="0" collapsed="false">
      <c r="A67" s="7"/>
      <c r="B67" s="7"/>
      <c r="C67" s="9"/>
      <c r="D67" s="7"/>
    </row>
    <row r="68" customFormat="false" ht="15" hidden="false" customHeight="true" outlineLevel="0" collapsed="false">
      <c r="A68" s="7"/>
      <c r="B68" s="7"/>
      <c r="C68" s="9"/>
      <c r="D68" s="7"/>
    </row>
    <row r="69" customFormat="false" ht="15" hidden="false" customHeight="true" outlineLevel="0" collapsed="false">
      <c r="A69" s="7"/>
      <c r="B69" s="7"/>
      <c r="C69" s="9"/>
      <c r="D69" s="7"/>
    </row>
    <row r="70" customFormat="false" ht="15" hidden="false" customHeight="true" outlineLevel="0" collapsed="false">
      <c r="A70" s="7"/>
      <c r="B70" s="7"/>
      <c r="C70" s="9"/>
      <c r="D70" s="7"/>
    </row>
    <row r="71" customFormat="false" ht="15" hidden="false" customHeight="true" outlineLevel="0" collapsed="false">
      <c r="A71" s="7"/>
      <c r="B71" s="7"/>
      <c r="C71" s="9"/>
      <c r="D71" s="7"/>
    </row>
    <row r="72" customFormat="false" ht="15" hidden="false" customHeight="true" outlineLevel="0" collapsed="false">
      <c r="A72" s="7"/>
      <c r="B72" s="7"/>
      <c r="C72" s="9"/>
      <c r="D72" s="7"/>
    </row>
    <row r="73" customFormat="false" ht="15" hidden="false" customHeight="true" outlineLevel="0" collapsed="false">
      <c r="A73" s="7"/>
      <c r="B73" s="7"/>
      <c r="C73" s="9"/>
      <c r="D73" s="7"/>
    </row>
    <row r="74" customFormat="false" ht="15" hidden="false" customHeight="true" outlineLevel="0" collapsed="false">
      <c r="A74" s="7"/>
      <c r="B74" s="7"/>
      <c r="C74" s="9"/>
      <c r="D74" s="7"/>
    </row>
    <row r="75" customFormat="false" ht="15" hidden="false" customHeight="true" outlineLevel="0" collapsed="false">
      <c r="A75" s="7"/>
      <c r="B75" s="7"/>
      <c r="C75" s="9"/>
      <c r="D75" s="7"/>
    </row>
    <row r="76" customFormat="false" ht="15" hidden="false" customHeight="true" outlineLevel="0" collapsed="false">
      <c r="A76" s="7"/>
      <c r="B76" s="7"/>
      <c r="C76" s="9"/>
      <c r="D76" s="7"/>
    </row>
    <row r="77" customFormat="false" ht="15" hidden="false" customHeight="true" outlineLevel="0" collapsed="false">
      <c r="A77" s="7"/>
      <c r="B77" s="7"/>
      <c r="C77" s="9"/>
      <c r="D77" s="7"/>
    </row>
    <row r="78" customFormat="false" ht="15" hidden="false" customHeight="true" outlineLevel="0" collapsed="false">
      <c r="A78" s="7"/>
      <c r="B78" s="7"/>
      <c r="C78" s="9"/>
      <c r="D78" s="7"/>
    </row>
    <row r="79" customFormat="false" ht="15" hidden="false" customHeight="true" outlineLevel="0" collapsed="false">
      <c r="A79" s="7"/>
      <c r="B79" s="7"/>
      <c r="C79" s="9"/>
      <c r="D79" s="7"/>
    </row>
    <row r="80" customFormat="false" ht="15" hidden="false" customHeight="true" outlineLevel="0" collapsed="false">
      <c r="A80" s="7"/>
      <c r="B80" s="7"/>
      <c r="C80" s="9"/>
      <c r="D80" s="7"/>
    </row>
    <row r="81" customFormat="false" ht="15" hidden="false" customHeight="true" outlineLevel="0" collapsed="false">
      <c r="A81" s="7"/>
      <c r="B81" s="7"/>
      <c r="C81" s="9"/>
      <c r="D81" s="7"/>
    </row>
    <row r="82" customFormat="false" ht="15" hidden="false" customHeight="true" outlineLevel="0" collapsed="false">
      <c r="A82" s="7"/>
      <c r="B82" s="7"/>
      <c r="C82" s="9"/>
      <c r="D82" s="7"/>
    </row>
    <row r="83" customFormat="false" ht="15" hidden="false" customHeight="true" outlineLevel="0" collapsed="false">
      <c r="A83" s="7"/>
      <c r="B83" s="7"/>
      <c r="C83" s="9"/>
      <c r="D83" s="7"/>
    </row>
    <row r="84" customFormat="false" ht="15" hidden="false" customHeight="true" outlineLevel="0" collapsed="false">
      <c r="A84" s="7"/>
      <c r="B84" s="7"/>
      <c r="C84" s="9"/>
      <c r="D84" s="7"/>
    </row>
    <row r="85" customFormat="false" ht="15" hidden="false" customHeight="true" outlineLevel="0" collapsed="false">
      <c r="A85" s="7"/>
      <c r="B85" s="7"/>
      <c r="C85" s="9"/>
      <c r="D85" s="7"/>
    </row>
    <row r="86" customFormat="false" ht="15" hidden="false" customHeight="true" outlineLevel="0" collapsed="false">
      <c r="A86" s="7"/>
      <c r="B86" s="7"/>
      <c r="C86" s="9"/>
      <c r="D86" s="7"/>
    </row>
    <row r="87" customFormat="false" ht="15" hidden="false" customHeight="true" outlineLevel="0" collapsed="false">
      <c r="A87" s="7"/>
      <c r="B87" s="7"/>
      <c r="C87" s="9"/>
      <c r="D87" s="7"/>
    </row>
    <row r="88" customFormat="false" ht="15" hidden="false" customHeight="true" outlineLevel="0" collapsed="false">
      <c r="A88" s="7"/>
      <c r="B88" s="7"/>
      <c r="C88" s="9"/>
      <c r="D88" s="7"/>
    </row>
    <row r="89" customFormat="false" ht="15" hidden="false" customHeight="true" outlineLevel="0" collapsed="false">
      <c r="A89" s="7"/>
      <c r="B89" s="7"/>
      <c r="C89" s="9"/>
      <c r="D89" s="7"/>
    </row>
    <row r="90" customFormat="false" ht="15" hidden="false" customHeight="true" outlineLevel="0" collapsed="false">
      <c r="A90" s="7"/>
      <c r="B90" s="7"/>
      <c r="C90" s="9"/>
      <c r="D90" s="7"/>
    </row>
    <row r="91" customFormat="false" ht="15" hidden="false" customHeight="true" outlineLevel="0" collapsed="false">
      <c r="A91" s="7"/>
      <c r="B91" s="7"/>
      <c r="C91" s="9"/>
      <c r="D91" s="7"/>
    </row>
    <row r="92" customFormat="false" ht="15" hidden="false" customHeight="true" outlineLevel="0" collapsed="false">
      <c r="A92" s="7"/>
      <c r="B92" s="7"/>
      <c r="C92" s="9"/>
      <c r="D92" s="7"/>
    </row>
    <row r="93" customFormat="false" ht="15" hidden="false" customHeight="true" outlineLevel="0" collapsed="false">
      <c r="A93" s="7"/>
      <c r="B93" s="7"/>
      <c r="C93" s="9"/>
      <c r="D93" s="7"/>
    </row>
    <row r="94" customFormat="false" ht="15" hidden="false" customHeight="true" outlineLevel="0" collapsed="false">
      <c r="A94" s="7"/>
      <c r="B94" s="7"/>
      <c r="C94" s="9"/>
      <c r="D94" s="7"/>
    </row>
    <row r="95" customFormat="false" ht="15" hidden="false" customHeight="true" outlineLevel="0" collapsed="false">
      <c r="A95" s="7"/>
      <c r="B95" s="7"/>
      <c r="C95" s="9"/>
      <c r="D95" s="7"/>
    </row>
    <row r="96" customFormat="false" ht="15" hidden="false" customHeight="true" outlineLevel="0" collapsed="false">
      <c r="A96" s="7"/>
      <c r="B96" s="7"/>
      <c r="C96" s="9"/>
      <c r="D96" s="7"/>
    </row>
    <row r="97" customFormat="false" ht="15" hidden="false" customHeight="true" outlineLevel="0" collapsed="false">
      <c r="A97" s="7"/>
      <c r="B97" s="7"/>
      <c r="C97" s="9"/>
      <c r="D97" s="7"/>
    </row>
    <row r="98" customFormat="false" ht="15" hidden="false" customHeight="true" outlineLevel="0" collapsed="false">
      <c r="A98" s="7"/>
      <c r="B98" s="7"/>
      <c r="C98" s="9"/>
      <c r="D98" s="7"/>
    </row>
    <row r="99" customFormat="false" ht="15" hidden="false" customHeight="true" outlineLevel="0" collapsed="false">
      <c r="A99" s="7"/>
      <c r="B99" s="7"/>
      <c r="C99" s="9"/>
      <c r="D99" s="7"/>
    </row>
    <row r="100" customFormat="false" ht="15" hidden="false" customHeight="true" outlineLevel="0" collapsed="false">
      <c r="A100" s="7"/>
      <c r="B100" s="7"/>
      <c r="C100" s="9"/>
      <c r="D100" s="7"/>
    </row>
    <row r="101" customFormat="false" ht="15" hidden="false" customHeight="true" outlineLevel="0" collapsed="false">
      <c r="A101" s="7"/>
      <c r="B101" s="7"/>
      <c r="C101" s="9"/>
      <c r="D101" s="7"/>
    </row>
    <row r="102" customFormat="false" ht="15" hidden="false" customHeight="true" outlineLevel="0" collapsed="false">
      <c r="A102" s="7"/>
      <c r="B102" s="7"/>
      <c r="C102" s="9"/>
      <c r="D102" s="7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4"/>
    <col collapsed="false" customWidth="true" hidden="false" outlineLevel="0" max="5" min="5" style="1" width="15"/>
    <col collapsed="false" customWidth="true" hidden="false" outlineLevel="0" max="6" min="6" style="1" width="16"/>
    <col collapsed="false" customWidth="true" hidden="false" outlineLevel="0" max="7" min="7" style="1" width="40"/>
    <col collapsed="false" customWidth="true" hidden="false" outlineLevel="0" max="8" min="8" style="1" width="22"/>
    <col collapsed="false" customWidth="true" hidden="false" outlineLevel="0" max="9" min="9" style="1" width="15"/>
    <col collapsed="false" customWidth="true" hidden="false" outlineLevel="0" max="10" min="10" style="1" width="13"/>
    <col collapsed="false" customWidth="true" hidden="false" outlineLevel="0" max="11" min="11" style="1" width="8"/>
    <col collapsed="false" customWidth="true" hidden="false" outlineLevel="0" max="12" min="12" style="1" width="16"/>
    <col collapsed="false" customWidth="true" hidden="false" outlineLevel="0" max="13" min="13" style="1" width="11"/>
    <col collapsed="false" customWidth="true" hidden="false" outlineLevel="0" max="14" min="14" style="1" width="14"/>
    <col collapsed="false" customWidth="true" hidden="false" outlineLevel="0" max="15" min="15" style="1" width="12"/>
    <col collapsed="false" customWidth="true" hidden="false" outlineLevel="0" max="16" min="16" style="1" width="18"/>
    <col collapsed="false" customWidth="true" hidden="false" outlineLevel="0" max="17" min="17" style="1" width="13"/>
    <col collapsed="false" customWidth="true" hidden="false" outlineLevel="0" max="19" min="18" style="1" width="16"/>
  </cols>
  <sheetData>
    <row r="1" customFormat="false" ht="25.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26.25" hidden="false" customHeight="true" outlineLevel="0" collapsed="false">
      <c r="A2" s="10" t="s">
        <v>46</v>
      </c>
      <c r="B2" s="6" t="s">
        <v>47</v>
      </c>
      <c r="C2" s="6" t="s">
        <v>22</v>
      </c>
      <c r="D2" s="10" t="s">
        <v>48</v>
      </c>
      <c r="E2" s="10" t="s">
        <v>49</v>
      </c>
      <c r="F2" s="10" t="s">
        <v>50</v>
      </c>
      <c r="G2" s="10" t="s">
        <v>51</v>
      </c>
      <c r="H2" s="6" t="s">
        <v>36</v>
      </c>
      <c r="I2" s="10" t="s">
        <v>52</v>
      </c>
      <c r="J2" s="10" t="s">
        <v>53</v>
      </c>
      <c r="K2" s="6" t="s">
        <v>54</v>
      </c>
      <c r="L2" s="10" t="s">
        <v>55</v>
      </c>
      <c r="M2" s="6" t="s">
        <v>56</v>
      </c>
      <c r="N2" s="10" t="s">
        <v>57</v>
      </c>
      <c r="O2" s="6" t="s">
        <v>58</v>
      </c>
      <c r="P2" s="6" t="s">
        <v>59</v>
      </c>
      <c r="Q2" s="10" t="s">
        <v>60</v>
      </c>
      <c r="R2" s="11" t="s">
        <v>61</v>
      </c>
      <c r="S2" s="11" t="s">
        <v>62</v>
      </c>
    </row>
    <row r="3" customFormat="false" ht="15" hidden="false" customHeight="true" outlineLevel="0" collapsed="false">
      <c r="A3" s="12" t="str">
        <f aca="false">IF($C3="","",TEXT($B3,"yymmdd")&amp;"-"&amp;TEXT(COUNTIFS($B$3:$B3,$B3),"000"))</f>
        <v>260903-001</v>
      </c>
      <c r="B3" s="13" t="n">
        <v>46268</v>
      </c>
      <c r="C3" s="7" t="n">
        <v>1001</v>
      </c>
      <c r="D3" s="12" t="str">
        <f aca="false">IF($C3="","",IFERROR(INDEX(고객명부!$B$3:$B$502,MATCH($C3,고객명부!$A$3:$A$502,0)),"미등록고객"))</f>
        <v>김고객</v>
      </c>
      <c r="E3" s="12" t="str">
        <f aca="false">IF($C3="","",IFERROR(INDEX(고객명부!$C$3:$C$502,MATCH($C3,고객명부!$A$3:$A$502,0)),""))</f>
        <v>010-0000-0000</v>
      </c>
      <c r="F3" s="12" t="str">
        <f aca="false">IF($C3="","",IFERROR(INDEX(고객명부!$D$3:$D$502,MATCH($C3,고객명부!$A$3:$A$502,0)),""))</f>
        <v>12345</v>
      </c>
      <c r="G3" s="12" t="str">
        <f aca="false">IF($C3="","",IFERROR(INDEX(고객명부!$E$3:$E$502,MATCH($C3,고객명부!$A$3:$A$502,0))&amp;" "&amp;INDEX(고객명부!$F$3:$F$502,MATCH($C3,고객명부!$A$3:$A$502,0)),""))</f>
        <v>서울시 ○○구 ○○로 10 101동 101호</v>
      </c>
      <c r="H3" s="7" t="inlineStr">
        <is>
          <t>사과 부사 5kg</t>
        </is>
      </c>
      <c r="I3" s="12" t="str">
        <f aca="false">IF($H3="","",IFERROR(INDEX(상품목록!$B$3:$B$102,MATCH($H3,상품목록!$A$3:$A$102,0)),""))</f>
        <v>5kg (특)</v>
      </c>
      <c r="J3" s="14" t="n">
        <f aca="false">IF($H3="","",IFERROR(INDEX(상품목록!$C$3:$C$102,MATCH($H3,상품목록!$A$3:$A$102,0)),0))</f>
        <v>35000</v>
      </c>
      <c r="K3" s="7" t="n">
        <v>2</v>
      </c>
      <c r="L3" s="14" t="n">
        <f aca="false">IF(OR($J3="",$K3=""),"",ROUND($J3*$K3,0))</f>
        <v>70000</v>
      </c>
      <c r="M3" s="9" t="n">
        <v>3500</v>
      </c>
      <c r="N3" s="14" t="n">
        <f aca="false">IF($L3="","",$L3+IF($M3="",0,$M3))</f>
        <v>73500</v>
      </c>
      <c r="O3" s="13" t="n">
        <v>46268</v>
      </c>
      <c r="P3" s="7" t="inlineStr">
        <is>
          <t>1234567890</t>
        </is>
      </c>
      <c r="Q3" s="12" t="str">
        <f aca="false">IF($C3="","",IF($P3&lt;&gt;"","발송완료",IF($O3&lt;&gt;"","입금완료","입금대기")))</f>
        <v>발송완료</v>
      </c>
      <c r="R3" s="12" t="n">
        <f aca="false">IF($C3="","",COUNTIFS($C$3:$C3,$C3))</f>
        <v>1</v>
      </c>
      <c r="S3" s="12" t="str">
        <f aca="false">IF($C3="","",$C3&amp;"|"&amp;$R3)</f>
        <v>1001|1</v>
      </c>
    </row>
    <row r="4" customFormat="false" ht="15" hidden="false" customHeight="true" outlineLevel="0" collapsed="false">
      <c r="A4" s="12" t="str">
        <f aca="false">IF($C4="","",TEXT($B4,"yymmdd")&amp;"-"&amp;TEXT(COUNTIFS($B$3:$B4,$B4),"000"))</f>
        <v>260903-002</v>
      </c>
      <c r="B4" s="13" t="n">
        <v>46268</v>
      </c>
      <c r="C4" s="7" t="n">
        <v>1002</v>
      </c>
      <c r="D4" s="12" t="str">
        <f aca="false">IF($C4="","",IFERROR(INDEX(고객명부!$B$3:$B$502,MATCH($C4,고객명부!$A$3:$A$502,0)),"미등록고객"))</f>
        <v>이고객</v>
      </c>
      <c r="E4" s="12" t="str">
        <f aca="false">IF($C4="","",IFERROR(INDEX(고객명부!$C$3:$C$502,MATCH($C4,고객명부!$A$3:$A$502,0)),""))</f>
        <v>010-0000-0002</v>
      </c>
      <c r="F4" s="12" t="str">
        <f aca="false">IF($C4="","",IFERROR(INDEX(고객명부!$D$3:$D$502,MATCH($C4,고객명부!$A$3:$A$502,0)),""))</f>
        <v>54321</v>
      </c>
      <c r="G4" s="12" t="str">
        <f aca="false">IF($C4="","",IFERROR(INDEX(고객명부!$E$3:$E$502,MATCH($C4,고객명부!$A$3:$A$502,0))&amp;" "&amp;INDEX(고객명부!$F$3:$F$502,MATCH($C4,고객명부!$A$3:$A$502,0)),""))</f>
        <v>부산시 ○○구 ○○로 20 202동 303호</v>
      </c>
      <c r="H4" s="7" t="inlineStr">
        <is>
          <t>배 신고 7.5kg</t>
        </is>
      </c>
      <c r="I4" s="12" t="str">
        <f aca="false">IF($H4="","",IFERROR(INDEX(상품목록!$B$3:$B$102,MATCH($H4,상품목록!$A$3:$A$102,0)),""))</f>
        <v>7.5kg</v>
      </c>
      <c r="J4" s="14" t="n">
        <f aca="false">IF($H4="","",IFERROR(INDEX(상품목록!$C$3:$C$102,MATCH($H4,상품목록!$A$3:$A$102,0)),0))</f>
        <v>48000</v>
      </c>
      <c r="K4" s="7" t="n">
        <v>1</v>
      </c>
      <c r="L4" s="14" t="n">
        <f aca="false">IF(OR($J4="",$K4=""),"",ROUND($J4*$K4,0))</f>
        <v>48000</v>
      </c>
      <c r="M4" s="9" t="n">
        <v>3500</v>
      </c>
      <c r="N4" s="14" t="n">
        <f aca="false">IF($L4="","",$L4+IF($M4="",0,$M4))</f>
        <v>51500</v>
      </c>
      <c r="O4" s="13" t="n">
        <v>46269</v>
      </c>
      <c r="P4" s="7" t="inlineStr">
        <is>
          <t>1234567891</t>
        </is>
      </c>
      <c r="Q4" s="12" t="str">
        <f aca="false">IF($C4="","",IF($P4&lt;&gt;"","발송완료",IF($O4&lt;&gt;"","입금완료","입금대기")))</f>
        <v>발송완료</v>
      </c>
      <c r="R4" s="12" t="n">
        <f aca="false">IF($C4="","",COUNTIFS($C$3:$C4,$C4))</f>
        <v>1</v>
      </c>
      <c r="S4" s="12" t="str">
        <f aca="false">IF($C4="","",$C4&amp;"|"&amp;$R4)</f>
        <v>1002|1</v>
      </c>
    </row>
    <row r="5" customFormat="false" ht="15" hidden="false" customHeight="true" outlineLevel="0" collapsed="false">
      <c r="A5" s="12" t="str">
        <f aca="false">IF($C5="","",TEXT($B5,"yymmdd")&amp;"-"&amp;TEXT(COUNTIFS($B$3:$B5,$B5),"000"))</f>
        <v>260909-001</v>
      </c>
      <c r="B5" s="13" t="n">
        <v>46274</v>
      </c>
      <c r="C5" s="7" t="n">
        <v>1001</v>
      </c>
      <c r="D5" s="12" t="str">
        <f aca="false">IF($C5="","",IFERROR(INDEX(고객명부!$B$3:$B$502,MATCH($C5,고객명부!$A$3:$A$502,0)),"미등록고객"))</f>
        <v>김고객</v>
      </c>
      <c r="E5" s="12" t="str">
        <f aca="false">IF($C5="","",IFERROR(INDEX(고객명부!$C$3:$C$502,MATCH($C5,고객명부!$A$3:$A$502,0)),""))</f>
        <v>010-0000-0000</v>
      </c>
      <c r="F5" s="12" t="str">
        <f aca="false">IF($C5="","",IFERROR(INDEX(고객명부!$D$3:$D$502,MATCH($C5,고객명부!$A$3:$A$502,0)),""))</f>
        <v>12345</v>
      </c>
      <c r="G5" s="12" t="str">
        <f aca="false">IF($C5="","",IFERROR(INDEX(고객명부!$E$3:$E$502,MATCH($C5,고객명부!$A$3:$A$502,0))&amp;" "&amp;INDEX(고객명부!$F$3:$F$502,MATCH($C5,고객명부!$A$3:$A$502,0)),""))</f>
        <v>서울시 ○○구 ○○로 10 101동 101호</v>
      </c>
      <c r="H5" s="7" t="inlineStr">
        <is>
          <t>사과 부사 10kg</t>
        </is>
      </c>
      <c r="I5" s="12" t="str">
        <f aca="false">IF($H5="","",IFERROR(INDEX(상품목록!$B$3:$B$102,MATCH($H5,상품목록!$A$3:$A$102,0)),""))</f>
        <v>10kg (상)</v>
      </c>
      <c r="J5" s="14" t="n">
        <f aca="false">IF($H5="","",IFERROR(INDEX(상품목록!$C$3:$C$102,MATCH($H5,상품목록!$A$3:$A$102,0)),0))</f>
        <v>55000</v>
      </c>
      <c r="K5" s="7" t="n">
        <v>1</v>
      </c>
      <c r="L5" s="14" t="n">
        <f aca="false">IF(OR($J5="",$K5=""),"",ROUND($J5*$K5,0))</f>
        <v>55000</v>
      </c>
      <c r="M5" s="9" t="n">
        <v>3500</v>
      </c>
      <c r="N5" s="14" t="n">
        <f aca="false">IF($L5="","",$L5+IF($M5="",0,$M5))</f>
        <v>58500</v>
      </c>
      <c r="O5" s="13" t="n">
        <v>46274</v>
      </c>
      <c r="P5" s="7"/>
      <c r="Q5" s="12" t="str">
        <f aca="false">IF($C5="","",IF($P5&lt;&gt;"","발송완료",IF($O5&lt;&gt;"","입금완료","입금대기")))</f>
        <v>입금완료</v>
      </c>
      <c r="R5" s="12" t="n">
        <f aca="false">IF($C5="","",COUNTIFS($C$3:$C5,$C5))</f>
        <v>2</v>
      </c>
      <c r="S5" s="12" t="str">
        <f aca="false">IF($C5="","",$C5&amp;"|"&amp;$R5)</f>
        <v>1001|2</v>
      </c>
    </row>
    <row r="6" customFormat="false" ht="15" hidden="false" customHeight="true" outlineLevel="0" collapsed="false">
      <c r="A6" s="12" t="str">
        <f aca="false">IF($C6="","",TEXT($B6,"yymmdd")&amp;"-"&amp;TEXT(COUNTIFS($B$3:$B6,$B6),"000"))</f>
        <v>260912-001</v>
      </c>
      <c r="B6" s="13" t="n">
        <v>46277</v>
      </c>
      <c r="C6" s="7" t="n">
        <v>1002</v>
      </c>
      <c r="D6" s="12" t="str">
        <f aca="false">IF($C6="","",IFERROR(INDEX(고객명부!$B$3:$B$502,MATCH($C6,고객명부!$A$3:$A$502,0)),"미등록고객"))</f>
        <v>이고객</v>
      </c>
      <c r="E6" s="12" t="str">
        <f aca="false">IF($C6="","",IFERROR(INDEX(고객명부!$C$3:$C$502,MATCH($C6,고객명부!$A$3:$A$502,0)),""))</f>
        <v>010-0000-0002</v>
      </c>
      <c r="F6" s="12" t="str">
        <f aca="false">IF($C6="","",IFERROR(INDEX(고객명부!$D$3:$D$502,MATCH($C6,고객명부!$A$3:$A$502,0)),""))</f>
        <v>54321</v>
      </c>
      <c r="G6" s="12" t="str">
        <f aca="false">IF($C6="","",IFERROR(INDEX(고객명부!$E$3:$E$502,MATCH($C6,고객명부!$A$3:$A$502,0))&amp;" "&amp;INDEX(고객명부!$F$3:$F$502,MATCH($C6,고객명부!$A$3:$A$502,0)),""))</f>
        <v>부산시 ○○구 ○○로 20 202동 303호</v>
      </c>
      <c r="H6" s="7" t="inlineStr">
        <is>
          <t>사과 부사 5kg</t>
        </is>
      </c>
      <c r="I6" s="12" t="str">
        <f aca="false">IF($H6="","",IFERROR(INDEX(상품목록!$B$3:$B$102,MATCH($H6,상품목록!$A$3:$A$102,0)),""))</f>
        <v>5kg (특)</v>
      </c>
      <c r="J6" s="14" t="n">
        <f aca="false">IF($H6="","",IFERROR(INDEX(상품목록!$C$3:$C$102,MATCH($H6,상품목록!$A$3:$A$102,0)),0))</f>
        <v>35000</v>
      </c>
      <c r="K6" s="7" t="n">
        <v>3</v>
      </c>
      <c r="L6" s="14" t="n">
        <f aca="false">IF(OR($J6="",$K6=""),"",ROUND($J6*$K6,0))</f>
        <v>105000</v>
      </c>
      <c r="M6" s="9" t="n">
        <v>0</v>
      </c>
      <c r="N6" s="14" t="n">
        <f aca="false">IF($L6="","",$L6+IF($M6="",0,$M6))</f>
        <v>105000</v>
      </c>
      <c r="O6" s="13"/>
      <c r="P6" s="7"/>
      <c r="Q6" s="12" t="str">
        <f aca="false">IF($C6="","",IF($P6&lt;&gt;"","발송완료",IF($O6&lt;&gt;"","입금완료","입금대기")))</f>
        <v>입금대기</v>
      </c>
      <c r="R6" s="12" t="n">
        <f aca="false">IF($C6="","",COUNTIFS($C$3:$C6,$C6))</f>
        <v>2</v>
      </c>
      <c r="S6" s="12" t="str">
        <f aca="false">IF($C6="","",$C6&amp;"|"&amp;$R6)</f>
        <v>1002|2</v>
      </c>
    </row>
    <row r="7" customFormat="false" ht="15" hidden="false" customHeight="true" outlineLevel="0" collapsed="false">
      <c r="A7" s="12" t="str">
        <f aca="false">IF($C7="","",TEXT($B7,"yymmdd")&amp;"-"&amp;TEXT(COUNTIFS($B$3:$B7,$B7),"000"))</f>
        <v/>
      </c>
      <c r="B7" s="13"/>
      <c r="C7" s="7"/>
      <c r="D7" s="12" t="str">
        <f aca="false">IF($C7="","",IFERROR(INDEX(고객명부!$B$3:$B$502,MATCH($C7,고객명부!$A$3:$A$502,0)),"미등록고객"))</f>
        <v/>
      </c>
      <c r="E7" s="12" t="str">
        <f aca="false">IF($C7="","",IFERROR(INDEX(고객명부!$C$3:$C$502,MATCH($C7,고객명부!$A$3:$A$502,0)),""))</f>
        <v/>
      </c>
      <c r="F7" s="12" t="str">
        <f aca="false">IF($C7="","",IFERROR(INDEX(고객명부!$D$3:$D$502,MATCH($C7,고객명부!$A$3:$A$502,0)),""))</f>
        <v/>
      </c>
      <c r="G7" s="12" t="str">
        <f aca="false">IF($C7="","",IFERROR(INDEX(고객명부!$E$3:$E$502,MATCH($C7,고객명부!$A$3:$A$502,0))&amp;" "&amp;INDEX(고객명부!$F$3:$F$502,MATCH($C7,고객명부!$A$3:$A$502,0)),""))</f>
        <v/>
      </c>
      <c r="H7" s="7"/>
      <c r="I7" s="12" t="str">
        <f aca="false">IF($H7="","",IFERROR(INDEX(상품목록!$B$3:$B$102,MATCH($H7,상품목록!$A$3:$A$102,0)),""))</f>
        <v/>
      </c>
      <c r="J7" s="14" t="str">
        <f aca="false">IF($H7="","",IFERROR(INDEX(상품목록!$C$3:$C$102,MATCH($H7,상품목록!$A$3:$A$102,0)),0))</f>
        <v/>
      </c>
      <c r="K7" s="7"/>
      <c r="L7" s="14" t="str">
        <f aca="false">IF(OR($J7="",$K7=""),"",ROUND($J7*$K7,0))</f>
        <v/>
      </c>
      <c r="M7" s="9"/>
      <c r="N7" s="14" t="str">
        <f aca="false">IF($L7="","",$L7+IF($M7="",0,$M7))</f>
        <v/>
      </c>
      <c r="O7" s="13"/>
      <c r="P7" s="7"/>
      <c r="Q7" s="12" t="str">
        <f aca="false">IF($C7="","",IF($P7&lt;&gt;"","발송완료",IF($O7&lt;&gt;"","입금완료","입금대기")))</f>
        <v/>
      </c>
      <c r="R7" s="12" t="str">
        <f aca="false">IF($C7="","",COUNTIFS($C$3:$C7,$C7))</f>
        <v/>
      </c>
      <c r="S7" s="12" t="str">
        <f aca="false">IF($C7="","",$C7&amp;"|"&amp;$R7)</f>
        <v/>
      </c>
    </row>
    <row r="8" customFormat="false" ht="15" hidden="false" customHeight="true" outlineLevel="0" collapsed="false">
      <c r="A8" s="12" t="str">
        <f aca="false">IF($C8="","",TEXT($B8,"yymmdd")&amp;"-"&amp;TEXT(COUNTIFS($B$3:$B8,$B8),"000"))</f>
        <v/>
      </c>
      <c r="B8" s="13"/>
      <c r="C8" s="7"/>
      <c r="D8" s="12" t="str">
        <f aca="false">IF($C8="","",IFERROR(INDEX(고객명부!$B$3:$B$502,MATCH($C8,고객명부!$A$3:$A$502,0)),"미등록고객"))</f>
        <v/>
      </c>
      <c r="E8" s="12" t="str">
        <f aca="false">IF($C8="","",IFERROR(INDEX(고객명부!$C$3:$C$502,MATCH($C8,고객명부!$A$3:$A$502,0)),""))</f>
        <v/>
      </c>
      <c r="F8" s="12" t="str">
        <f aca="false">IF($C8="","",IFERROR(INDEX(고객명부!$D$3:$D$502,MATCH($C8,고객명부!$A$3:$A$502,0)),""))</f>
        <v/>
      </c>
      <c r="G8" s="12" t="str">
        <f aca="false">IF($C8="","",IFERROR(INDEX(고객명부!$E$3:$E$502,MATCH($C8,고객명부!$A$3:$A$502,0))&amp;" "&amp;INDEX(고객명부!$F$3:$F$502,MATCH($C8,고객명부!$A$3:$A$502,0)),""))</f>
        <v/>
      </c>
      <c r="H8" s="7"/>
      <c r="I8" s="12" t="str">
        <f aca="false">IF($H8="","",IFERROR(INDEX(상품목록!$B$3:$B$102,MATCH($H8,상품목록!$A$3:$A$102,0)),""))</f>
        <v/>
      </c>
      <c r="J8" s="14" t="str">
        <f aca="false">IF($H8="","",IFERROR(INDEX(상품목록!$C$3:$C$102,MATCH($H8,상품목록!$A$3:$A$102,0)),0))</f>
        <v/>
      </c>
      <c r="K8" s="7"/>
      <c r="L8" s="14" t="str">
        <f aca="false">IF(OR($J8="",$K8=""),"",ROUND($J8*$K8,0))</f>
        <v/>
      </c>
      <c r="M8" s="9"/>
      <c r="N8" s="14" t="str">
        <f aca="false">IF($L8="","",$L8+IF($M8="",0,$M8))</f>
        <v/>
      </c>
      <c r="O8" s="13"/>
      <c r="P8" s="7"/>
      <c r="Q8" s="12" t="str">
        <f aca="false">IF($C8="","",IF($P8&lt;&gt;"","발송완료",IF($O8&lt;&gt;"","입금완료","입금대기")))</f>
        <v/>
      </c>
      <c r="R8" s="12" t="str">
        <f aca="false">IF($C8="","",COUNTIFS($C$3:$C8,$C8))</f>
        <v/>
      </c>
      <c r="S8" s="12" t="str">
        <f aca="false">IF($C8="","",$C8&amp;"|"&amp;$R8)</f>
        <v/>
      </c>
    </row>
    <row r="9" customFormat="false" ht="15" hidden="false" customHeight="true" outlineLevel="0" collapsed="false">
      <c r="A9" s="12" t="str">
        <f aca="false">IF($C9="","",TEXT($B9,"yymmdd")&amp;"-"&amp;TEXT(COUNTIFS($B$3:$B9,$B9),"000"))</f>
        <v/>
      </c>
      <c r="B9" s="13"/>
      <c r="C9" s="7"/>
      <c r="D9" s="12" t="str">
        <f aca="false">IF($C9="","",IFERROR(INDEX(고객명부!$B$3:$B$502,MATCH($C9,고객명부!$A$3:$A$502,0)),"미등록고객"))</f>
        <v/>
      </c>
      <c r="E9" s="12" t="str">
        <f aca="false">IF($C9="","",IFERROR(INDEX(고객명부!$C$3:$C$502,MATCH($C9,고객명부!$A$3:$A$502,0)),""))</f>
        <v/>
      </c>
      <c r="F9" s="12" t="str">
        <f aca="false">IF($C9="","",IFERROR(INDEX(고객명부!$D$3:$D$502,MATCH($C9,고객명부!$A$3:$A$502,0)),""))</f>
        <v/>
      </c>
      <c r="G9" s="12" t="str">
        <f aca="false">IF($C9="","",IFERROR(INDEX(고객명부!$E$3:$E$502,MATCH($C9,고객명부!$A$3:$A$502,0))&amp;" "&amp;INDEX(고객명부!$F$3:$F$502,MATCH($C9,고객명부!$A$3:$A$502,0)),""))</f>
        <v/>
      </c>
      <c r="H9" s="7"/>
      <c r="I9" s="12" t="str">
        <f aca="false">IF($H9="","",IFERROR(INDEX(상품목록!$B$3:$B$102,MATCH($H9,상품목록!$A$3:$A$102,0)),""))</f>
        <v/>
      </c>
      <c r="J9" s="14" t="str">
        <f aca="false">IF($H9="","",IFERROR(INDEX(상품목록!$C$3:$C$102,MATCH($H9,상품목록!$A$3:$A$102,0)),0))</f>
        <v/>
      </c>
      <c r="K9" s="7"/>
      <c r="L9" s="14" t="str">
        <f aca="false">IF(OR($J9="",$K9=""),"",ROUND($J9*$K9,0))</f>
        <v/>
      </c>
      <c r="M9" s="9"/>
      <c r="N9" s="14" t="str">
        <f aca="false">IF($L9="","",$L9+IF($M9="",0,$M9))</f>
        <v/>
      </c>
      <c r="O9" s="13"/>
      <c r="P9" s="7"/>
      <c r="Q9" s="12" t="str">
        <f aca="false">IF($C9="","",IF($P9&lt;&gt;"","발송완료",IF($O9&lt;&gt;"","입금완료","입금대기")))</f>
        <v/>
      </c>
      <c r="R9" s="12" t="str">
        <f aca="false">IF($C9="","",COUNTIFS($C$3:$C9,$C9))</f>
        <v/>
      </c>
      <c r="S9" s="12" t="str">
        <f aca="false">IF($C9="","",$C9&amp;"|"&amp;$R9)</f>
        <v/>
      </c>
    </row>
    <row r="10" customFormat="false" ht="15" hidden="false" customHeight="true" outlineLevel="0" collapsed="false">
      <c r="A10" s="12" t="str">
        <f aca="false">IF($C10="","",TEXT($B10,"yymmdd")&amp;"-"&amp;TEXT(COUNTIFS($B$3:$B10,$B10),"000"))</f>
        <v/>
      </c>
      <c r="B10" s="13"/>
      <c r="C10" s="7"/>
      <c r="D10" s="12" t="str">
        <f aca="false">IF($C10="","",IFERROR(INDEX(고객명부!$B$3:$B$502,MATCH($C10,고객명부!$A$3:$A$502,0)),"미등록고객"))</f>
        <v/>
      </c>
      <c r="E10" s="12" t="str">
        <f aca="false">IF($C10="","",IFERROR(INDEX(고객명부!$C$3:$C$502,MATCH($C10,고객명부!$A$3:$A$502,0)),""))</f>
        <v/>
      </c>
      <c r="F10" s="12" t="str">
        <f aca="false">IF($C10="","",IFERROR(INDEX(고객명부!$D$3:$D$502,MATCH($C10,고객명부!$A$3:$A$502,0)),""))</f>
        <v/>
      </c>
      <c r="G10" s="12" t="str">
        <f aca="false">IF($C10="","",IFERROR(INDEX(고객명부!$E$3:$E$502,MATCH($C10,고객명부!$A$3:$A$502,0))&amp;" "&amp;INDEX(고객명부!$F$3:$F$502,MATCH($C10,고객명부!$A$3:$A$502,0)),""))</f>
        <v/>
      </c>
      <c r="H10" s="7"/>
      <c r="I10" s="12" t="str">
        <f aca="false">IF($H10="","",IFERROR(INDEX(상품목록!$B$3:$B$102,MATCH($H10,상품목록!$A$3:$A$102,0)),""))</f>
        <v/>
      </c>
      <c r="J10" s="14" t="str">
        <f aca="false">IF($H10="","",IFERROR(INDEX(상품목록!$C$3:$C$102,MATCH($H10,상품목록!$A$3:$A$102,0)),0))</f>
        <v/>
      </c>
      <c r="K10" s="7"/>
      <c r="L10" s="14" t="str">
        <f aca="false">IF(OR($J10="",$K10=""),"",ROUND($J10*$K10,0))</f>
        <v/>
      </c>
      <c r="M10" s="9"/>
      <c r="N10" s="14" t="str">
        <f aca="false">IF($L10="","",$L10+IF($M10="",0,$M10))</f>
        <v/>
      </c>
      <c r="O10" s="13"/>
      <c r="P10" s="7"/>
      <c r="Q10" s="12" t="str">
        <f aca="false">IF($C10="","",IF($P10&lt;&gt;"","발송완료",IF($O10&lt;&gt;"","입금완료","입금대기")))</f>
        <v/>
      </c>
      <c r="R10" s="12" t="str">
        <f aca="false">IF($C10="","",COUNTIFS($C$3:$C10,$C10))</f>
        <v/>
      </c>
      <c r="S10" s="12" t="str">
        <f aca="false">IF($C10="","",$C10&amp;"|"&amp;$R10)</f>
        <v/>
      </c>
    </row>
    <row r="11" customFormat="false" ht="15" hidden="false" customHeight="true" outlineLevel="0" collapsed="false">
      <c r="A11" s="12" t="str">
        <f aca="false">IF($C11="","",TEXT($B11,"yymmdd")&amp;"-"&amp;TEXT(COUNTIFS($B$3:$B11,$B11),"000"))</f>
        <v/>
      </c>
      <c r="B11" s="13"/>
      <c r="C11" s="7"/>
      <c r="D11" s="12" t="str">
        <f aca="false">IF($C11="","",IFERROR(INDEX(고객명부!$B$3:$B$502,MATCH($C11,고객명부!$A$3:$A$502,0)),"미등록고객"))</f>
        <v/>
      </c>
      <c r="E11" s="12" t="str">
        <f aca="false">IF($C11="","",IFERROR(INDEX(고객명부!$C$3:$C$502,MATCH($C11,고객명부!$A$3:$A$502,0)),""))</f>
        <v/>
      </c>
      <c r="F11" s="12" t="str">
        <f aca="false">IF($C11="","",IFERROR(INDEX(고객명부!$D$3:$D$502,MATCH($C11,고객명부!$A$3:$A$502,0)),""))</f>
        <v/>
      </c>
      <c r="G11" s="12" t="str">
        <f aca="false">IF($C11="","",IFERROR(INDEX(고객명부!$E$3:$E$502,MATCH($C11,고객명부!$A$3:$A$502,0))&amp;" "&amp;INDEX(고객명부!$F$3:$F$502,MATCH($C11,고객명부!$A$3:$A$502,0)),""))</f>
        <v/>
      </c>
      <c r="H11" s="7"/>
      <c r="I11" s="12" t="str">
        <f aca="false">IF($H11="","",IFERROR(INDEX(상품목록!$B$3:$B$102,MATCH($H11,상품목록!$A$3:$A$102,0)),""))</f>
        <v/>
      </c>
      <c r="J11" s="14" t="str">
        <f aca="false">IF($H11="","",IFERROR(INDEX(상품목록!$C$3:$C$102,MATCH($H11,상품목록!$A$3:$A$102,0)),0))</f>
        <v/>
      </c>
      <c r="K11" s="7"/>
      <c r="L11" s="14" t="str">
        <f aca="false">IF(OR($J11="",$K11=""),"",ROUND($J11*$K11,0))</f>
        <v/>
      </c>
      <c r="M11" s="9"/>
      <c r="N11" s="14" t="str">
        <f aca="false">IF($L11="","",$L11+IF($M11="",0,$M11))</f>
        <v/>
      </c>
      <c r="O11" s="13"/>
      <c r="P11" s="7"/>
      <c r="Q11" s="12" t="str">
        <f aca="false">IF($C11="","",IF($P11&lt;&gt;"","발송완료",IF($O11&lt;&gt;"","입금완료","입금대기")))</f>
        <v/>
      </c>
      <c r="R11" s="12" t="str">
        <f aca="false">IF($C11="","",COUNTIFS($C$3:$C11,$C11))</f>
        <v/>
      </c>
      <c r="S11" s="12" t="str">
        <f aca="false">IF($C11="","",$C11&amp;"|"&amp;$R11)</f>
        <v/>
      </c>
    </row>
    <row r="12" customFormat="false" ht="15" hidden="false" customHeight="true" outlineLevel="0" collapsed="false">
      <c r="A12" s="12" t="str">
        <f aca="false">IF($C12="","",TEXT($B12,"yymmdd")&amp;"-"&amp;TEXT(COUNTIFS($B$3:$B12,$B12),"000"))</f>
        <v/>
      </c>
      <c r="B12" s="13"/>
      <c r="C12" s="7"/>
      <c r="D12" s="12" t="str">
        <f aca="false">IF($C12="","",IFERROR(INDEX(고객명부!$B$3:$B$502,MATCH($C12,고객명부!$A$3:$A$502,0)),"미등록고객"))</f>
        <v/>
      </c>
      <c r="E12" s="12" t="str">
        <f aca="false">IF($C12="","",IFERROR(INDEX(고객명부!$C$3:$C$502,MATCH($C12,고객명부!$A$3:$A$502,0)),""))</f>
        <v/>
      </c>
      <c r="F12" s="12" t="str">
        <f aca="false">IF($C12="","",IFERROR(INDEX(고객명부!$D$3:$D$502,MATCH($C12,고객명부!$A$3:$A$502,0)),""))</f>
        <v/>
      </c>
      <c r="G12" s="12" t="str">
        <f aca="false">IF($C12="","",IFERROR(INDEX(고객명부!$E$3:$E$502,MATCH($C12,고객명부!$A$3:$A$502,0))&amp;" "&amp;INDEX(고객명부!$F$3:$F$502,MATCH($C12,고객명부!$A$3:$A$502,0)),""))</f>
        <v/>
      </c>
      <c r="H12" s="7"/>
      <c r="I12" s="12" t="str">
        <f aca="false">IF($H12="","",IFERROR(INDEX(상품목록!$B$3:$B$102,MATCH($H12,상품목록!$A$3:$A$102,0)),""))</f>
        <v/>
      </c>
      <c r="J12" s="14" t="str">
        <f aca="false">IF($H12="","",IFERROR(INDEX(상품목록!$C$3:$C$102,MATCH($H12,상품목록!$A$3:$A$102,0)),0))</f>
        <v/>
      </c>
      <c r="K12" s="7"/>
      <c r="L12" s="14" t="str">
        <f aca="false">IF(OR($J12="",$K12=""),"",ROUND($J12*$K12,0))</f>
        <v/>
      </c>
      <c r="M12" s="9"/>
      <c r="N12" s="14" t="str">
        <f aca="false">IF($L12="","",$L12+IF($M12="",0,$M12))</f>
        <v/>
      </c>
      <c r="O12" s="13"/>
      <c r="P12" s="7"/>
      <c r="Q12" s="12" t="str">
        <f aca="false">IF($C12="","",IF($P12&lt;&gt;"","발송완료",IF($O12&lt;&gt;"","입금완료","입금대기")))</f>
        <v/>
      </c>
      <c r="R12" s="12" t="str">
        <f aca="false">IF($C12="","",COUNTIFS($C$3:$C12,$C12))</f>
        <v/>
      </c>
      <c r="S12" s="12" t="str">
        <f aca="false">IF($C12="","",$C12&amp;"|"&amp;$R12)</f>
        <v/>
      </c>
    </row>
    <row r="13" customFormat="false" ht="15" hidden="false" customHeight="true" outlineLevel="0" collapsed="false">
      <c r="A13" s="12" t="str">
        <f aca="false">IF($C13="","",TEXT($B13,"yymmdd")&amp;"-"&amp;TEXT(COUNTIFS($B$3:$B13,$B13),"000"))</f>
        <v/>
      </c>
      <c r="B13" s="13"/>
      <c r="C13" s="7"/>
      <c r="D13" s="12" t="str">
        <f aca="false">IF($C13="","",IFERROR(INDEX(고객명부!$B$3:$B$502,MATCH($C13,고객명부!$A$3:$A$502,0)),"미등록고객"))</f>
        <v/>
      </c>
      <c r="E13" s="12" t="str">
        <f aca="false">IF($C13="","",IFERROR(INDEX(고객명부!$C$3:$C$502,MATCH($C13,고객명부!$A$3:$A$502,0)),""))</f>
        <v/>
      </c>
      <c r="F13" s="12" t="str">
        <f aca="false">IF($C13="","",IFERROR(INDEX(고객명부!$D$3:$D$502,MATCH($C13,고객명부!$A$3:$A$502,0)),""))</f>
        <v/>
      </c>
      <c r="G13" s="12" t="str">
        <f aca="false">IF($C13="","",IFERROR(INDEX(고객명부!$E$3:$E$502,MATCH($C13,고객명부!$A$3:$A$502,0))&amp;" "&amp;INDEX(고객명부!$F$3:$F$502,MATCH($C13,고객명부!$A$3:$A$502,0)),""))</f>
        <v/>
      </c>
      <c r="H13" s="7"/>
      <c r="I13" s="12" t="str">
        <f aca="false">IF($H13="","",IFERROR(INDEX(상품목록!$B$3:$B$102,MATCH($H13,상품목록!$A$3:$A$102,0)),""))</f>
        <v/>
      </c>
      <c r="J13" s="14" t="str">
        <f aca="false">IF($H13="","",IFERROR(INDEX(상품목록!$C$3:$C$102,MATCH($H13,상품목록!$A$3:$A$102,0)),0))</f>
        <v/>
      </c>
      <c r="K13" s="7"/>
      <c r="L13" s="14" t="str">
        <f aca="false">IF(OR($J13="",$K13=""),"",ROUND($J13*$K13,0))</f>
        <v/>
      </c>
      <c r="M13" s="9"/>
      <c r="N13" s="14" t="str">
        <f aca="false">IF($L13="","",$L13+IF($M13="",0,$M13))</f>
        <v/>
      </c>
      <c r="O13" s="13"/>
      <c r="P13" s="7"/>
      <c r="Q13" s="12" t="str">
        <f aca="false">IF($C13="","",IF($P13&lt;&gt;"","발송완료",IF($O13&lt;&gt;"","입금완료","입금대기")))</f>
        <v/>
      </c>
      <c r="R13" s="12" t="str">
        <f aca="false">IF($C13="","",COUNTIFS($C$3:$C13,$C13))</f>
        <v/>
      </c>
      <c r="S13" s="12" t="str">
        <f aca="false">IF($C13="","",$C13&amp;"|"&amp;$R13)</f>
        <v/>
      </c>
    </row>
    <row r="14" customFormat="false" ht="15" hidden="false" customHeight="true" outlineLevel="0" collapsed="false">
      <c r="A14" s="12" t="str">
        <f aca="false">IF($C14="","",TEXT($B14,"yymmdd")&amp;"-"&amp;TEXT(COUNTIFS($B$3:$B14,$B14),"000"))</f>
        <v/>
      </c>
      <c r="B14" s="13"/>
      <c r="C14" s="7"/>
      <c r="D14" s="12" t="str">
        <f aca="false">IF($C14="","",IFERROR(INDEX(고객명부!$B$3:$B$502,MATCH($C14,고객명부!$A$3:$A$502,0)),"미등록고객"))</f>
        <v/>
      </c>
      <c r="E14" s="12" t="str">
        <f aca="false">IF($C14="","",IFERROR(INDEX(고객명부!$C$3:$C$502,MATCH($C14,고객명부!$A$3:$A$502,0)),""))</f>
        <v/>
      </c>
      <c r="F14" s="12" t="str">
        <f aca="false">IF($C14="","",IFERROR(INDEX(고객명부!$D$3:$D$502,MATCH($C14,고객명부!$A$3:$A$502,0)),""))</f>
        <v/>
      </c>
      <c r="G14" s="12" t="str">
        <f aca="false">IF($C14="","",IFERROR(INDEX(고객명부!$E$3:$E$502,MATCH($C14,고객명부!$A$3:$A$502,0))&amp;" "&amp;INDEX(고객명부!$F$3:$F$502,MATCH($C14,고객명부!$A$3:$A$502,0)),""))</f>
        <v/>
      </c>
      <c r="H14" s="7"/>
      <c r="I14" s="12" t="str">
        <f aca="false">IF($H14="","",IFERROR(INDEX(상품목록!$B$3:$B$102,MATCH($H14,상품목록!$A$3:$A$102,0)),""))</f>
        <v/>
      </c>
      <c r="J14" s="14" t="str">
        <f aca="false">IF($H14="","",IFERROR(INDEX(상품목록!$C$3:$C$102,MATCH($H14,상품목록!$A$3:$A$102,0)),0))</f>
        <v/>
      </c>
      <c r="K14" s="7"/>
      <c r="L14" s="14" t="str">
        <f aca="false">IF(OR($J14="",$K14=""),"",ROUND($J14*$K14,0))</f>
        <v/>
      </c>
      <c r="M14" s="9"/>
      <c r="N14" s="14" t="str">
        <f aca="false">IF($L14="","",$L14+IF($M14="",0,$M14))</f>
        <v/>
      </c>
      <c r="O14" s="13"/>
      <c r="P14" s="7"/>
      <c r="Q14" s="12" t="str">
        <f aca="false">IF($C14="","",IF($P14&lt;&gt;"","발송완료",IF($O14&lt;&gt;"","입금완료","입금대기")))</f>
        <v/>
      </c>
      <c r="R14" s="12" t="str">
        <f aca="false">IF($C14="","",COUNTIFS($C$3:$C14,$C14))</f>
        <v/>
      </c>
      <c r="S14" s="12" t="str">
        <f aca="false">IF($C14="","",$C14&amp;"|"&amp;$R14)</f>
        <v/>
      </c>
    </row>
    <row r="15" customFormat="false" ht="15" hidden="false" customHeight="true" outlineLevel="0" collapsed="false">
      <c r="A15" s="12" t="str">
        <f aca="false">IF($C15="","",TEXT($B15,"yymmdd")&amp;"-"&amp;TEXT(COUNTIFS($B$3:$B15,$B15),"000"))</f>
        <v/>
      </c>
      <c r="B15" s="13"/>
      <c r="C15" s="7"/>
      <c r="D15" s="12" t="str">
        <f aca="false">IF($C15="","",IFERROR(INDEX(고객명부!$B$3:$B$502,MATCH($C15,고객명부!$A$3:$A$502,0)),"미등록고객"))</f>
        <v/>
      </c>
      <c r="E15" s="12" t="str">
        <f aca="false">IF($C15="","",IFERROR(INDEX(고객명부!$C$3:$C$502,MATCH($C15,고객명부!$A$3:$A$502,0)),""))</f>
        <v/>
      </c>
      <c r="F15" s="12" t="str">
        <f aca="false">IF($C15="","",IFERROR(INDEX(고객명부!$D$3:$D$502,MATCH($C15,고객명부!$A$3:$A$502,0)),""))</f>
        <v/>
      </c>
      <c r="G15" s="12" t="str">
        <f aca="false">IF($C15="","",IFERROR(INDEX(고객명부!$E$3:$E$502,MATCH($C15,고객명부!$A$3:$A$502,0))&amp;" "&amp;INDEX(고객명부!$F$3:$F$502,MATCH($C15,고객명부!$A$3:$A$502,0)),""))</f>
        <v/>
      </c>
      <c r="H15" s="7"/>
      <c r="I15" s="12" t="str">
        <f aca="false">IF($H15="","",IFERROR(INDEX(상품목록!$B$3:$B$102,MATCH($H15,상품목록!$A$3:$A$102,0)),""))</f>
        <v/>
      </c>
      <c r="J15" s="14" t="str">
        <f aca="false">IF($H15="","",IFERROR(INDEX(상품목록!$C$3:$C$102,MATCH($H15,상품목록!$A$3:$A$102,0)),0))</f>
        <v/>
      </c>
      <c r="K15" s="7"/>
      <c r="L15" s="14" t="str">
        <f aca="false">IF(OR($J15="",$K15=""),"",ROUND($J15*$K15,0))</f>
        <v/>
      </c>
      <c r="M15" s="9"/>
      <c r="N15" s="14" t="str">
        <f aca="false">IF($L15="","",$L15+IF($M15="",0,$M15))</f>
        <v/>
      </c>
      <c r="O15" s="13"/>
      <c r="P15" s="7"/>
      <c r="Q15" s="12" t="str">
        <f aca="false">IF($C15="","",IF($P15&lt;&gt;"","발송완료",IF($O15&lt;&gt;"","입금완료","입금대기")))</f>
        <v/>
      </c>
      <c r="R15" s="12" t="str">
        <f aca="false">IF($C15="","",COUNTIFS($C$3:$C15,$C15))</f>
        <v/>
      </c>
      <c r="S15" s="12" t="str">
        <f aca="false">IF($C15="","",$C15&amp;"|"&amp;$R15)</f>
        <v/>
      </c>
    </row>
    <row r="16" customFormat="false" ht="15" hidden="false" customHeight="true" outlineLevel="0" collapsed="false">
      <c r="A16" s="12" t="str">
        <f aca="false">IF($C16="","",TEXT($B16,"yymmdd")&amp;"-"&amp;TEXT(COUNTIFS($B$3:$B16,$B16),"000"))</f>
        <v/>
      </c>
      <c r="B16" s="13"/>
      <c r="C16" s="7"/>
      <c r="D16" s="12" t="str">
        <f aca="false">IF($C16="","",IFERROR(INDEX(고객명부!$B$3:$B$502,MATCH($C16,고객명부!$A$3:$A$502,0)),"미등록고객"))</f>
        <v/>
      </c>
      <c r="E16" s="12" t="str">
        <f aca="false">IF($C16="","",IFERROR(INDEX(고객명부!$C$3:$C$502,MATCH($C16,고객명부!$A$3:$A$502,0)),""))</f>
        <v/>
      </c>
      <c r="F16" s="12" t="str">
        <f aca="false">IF($C16="","",IFERROR(INDEX(고객명부!$D$3:$D$502,MATCH($C16,고객명부!$A$3:$A$502,0)),""))</f>
        <v/>
      </c>
      <c r="G16" s="12" t="str">
        <f aca="false">IF($C16="","",IFERROR(INDEX(고객명부!$E$3:$E$502,MATCH($C16,고객명부!$A$3:$A$502,0))&amp;" "&amp;INDEX(고객명부!$F$3:$F$502,MATCH($C16,고객명부!$A$3:$A$502,0)),""))</f>
        <v/>
      </c>
      <c r="H16" s="7"/>
      <c r="I16" s="12" t="str">
        <f aca="false">IF($H16="","",IFERROR(INDEX(상품목록!$B$3:$B$102,MATCH($H16,상품목록!$A$3:$A$102,0)),""))</f>
        <v/>
      </c>
      <c r="J16" s="14" t="str">
        <f aca="false">IF($H16="","",IFERROR(INDEX(상품목록!$C$3:$C$102,MATCH($H16,상품목록!$A$3:$A$102,0)),0))</f>
        <v/>
      </c>
      <c r="K16" s="7"/>
      <c r="L16" s="14" t="str">
        <f aca="false">IF(OR($J16="",$K16=""),"",ROUND($J16*$K16,0))</f>
        <v/>
      </c>
      <c r="M16" s="9"/>
      <c r="N16" s="14" t="str">
        <f aca="false">IF($L16="","",$L16+IF($M16="",0,$M16))</f>
        <v/>
      </c>
      <c r="O16" s="13"/>
      <c r="P16" s="7"/>
      <c r="Q16" s="12" t="str">
        <f aca="false">IF($C16="","",IF($P16&lt;&gt;"","발송완료",IF($O16&lt;&gt;"","입금완료","입금대기")))</f>
        <v/>
      </c>
      <c r="R16" s="12" t="str">
        <f aca="false">IF($C16="","",COUNTIFS($C$3:$C16,$C16))</f>
        <v/>
      </c>
      <c r="S16" s="12" t="str">
        <f aca="false">IF($C16="","",$C16&amp;"|"&amp;$R16)</f>
        <v/>
      </c>
    </row>
    <row r="17" customFormat="false" ht="15" hidden="false" customHeight="true" outlineLevel="0" collapsed="false">
      <c r="A17" s="12" t="str">
        <f aca="false">IF($C17="","",TEXT($B17,"yymmdd")&amp;"-"&amp;TEXT(COUNTIFS($B$3:$B17,$B17),"000"))</f>
        <v/>
      </c>
      <c r="B17" s="13"/>
      <c r="C17" s="7"/>
      <c r="D17" s="12" t="str">
        <f aca="false">IF($C17="","",IFERROR(INDEX(고객명부!$B$3:$B$502,MATCH($C17,고객명부!$A$3:$A$502,0)),"미등록고객"))</f>
        <v/>
      </c>
      <c r="E17" s="12" t="str">
        <f aca="false">IF($C17="","",IFERROR(INDEX(고객명부!$C$3:$C$502,MATCH($C17,고객명부!$A$3:$A$502,0)),""))</f>
        <v/>
      </c>
      <c r="F17" s="12" t="str">
        <f aca="false">IF($C17="","",IFERROR(INDEX(고객명부!$D$3:$D$502,MATCH($C17,고객명부!$A$3:$A$502,0)),""))</f>
        <v/>
      </c>
      <c r="G17" s="12" t="str">
        <f aca="false">IF($C17="","",IFERROR(INDEX(고객명부!$E$3:$E$502,MATCH($C17,고객명부!$A$3:$A$502,0))&amp;" "&amp;INDEX(고객명부!$F$3:$F$502,MATCH($C17,고객명부!$A$3:$A$502,0)),""))</f>
        <v/>
      </c>
      <c r="H17" s="7"/>
      <c r="I17" s="12" t="str">
        <f aca="false">IF($H17="","",IFERROR(INDEX(상품목록!$B$3:$B$102,MATCH($H17,상품목록!$A$3:$A$102,0)),""))</f>
        <v/>
      </c>
      <c r="J17" s="14" t="str">
        <f aca="false">IF($H17="","",IFERROR(INDEX(상품목록!$C$3:$C$102,MATCH($H17,상품목록!$A$3:$A$102,0)),0))</f>
        <v/>
      </c>
      <c r="K17" s="7"/>
      <c r="L17" s="14" t="str">
        <f aca="false">IF(OR($J17="",$K17=""),"",ROUND($J17*$K17,0))</f>
        <v/>
      </c>
      <c r="M17" s="9"/>
      <c r="N17" s="14" t="str">
        <f aca="false">IF($L17="","",$L17+IF($M17="",0,$M17))</f>
        <v/>
      </c>
      <c r="O17" s="13"/>
      <c r="P17" s="7"/>
      <c r="Q17" s="12" t="str">
        <f aca="false">IF($C17="","",IF($P17&lt;&gt;"","발송완료",IF($O17&lt;&gt;"","입금완료","입금대기")))</f>
        <v/>
      </c>
      <c r="R17" s="12" t="str">
        <f aca="false">IF($C17="","",COUNTIFS($C$3:$C17,$C17))</f>
        <v/>
      </c>
      <c r="S17" s="12" t="str">
        <f aca="false">IF($C17="","",$C17&amp;"|"&amp;$R17)</f>
        <v/>
      </c>
    </row>
    <row r="18" customFormat="false" ht="15" hidden="false" customHeight="true" outlineLevel="0" collapsed="false">
      <c r="A18" s="12" t="str">
        <f aca="false">IF($C18="","",TEXT($B18,"yymmdd")&amp;"-"&amp;TEXT(COUNTIFS($B$3:$B18,$B18),"000"))</f>
        <v/>
      </c>
      <c r="B18" s="13"/>
      <c r="C18" s="7"/>
      <c r="D18" s="12" t="str">
        <f aca="false">IF($C18="","",IFERROR(INDEX(고객명부!$B$3:$B$502,MATCH($C18,고객명부!$A$3:$A$502,0)),"미등록고객"))</f>
        <v/>
      </c>
      <c r="E18" s="12" t="str">
        <f aca="false">IF($C18="","",IFERROR(INDEX(고객명부!$C$3:$C$502,MATCH($C18,고객명부!$A$3:$A$502,0)),""))</f>
        <v/>
      </c>
      <c r="F18" s="12" t="str">
        <f aca="false">IF($C18="","",IFERROR(INDEX(고객명부!$D$3:$D$502,MATCH($C18,고객명부!$A$3:$A$502,0)),""))</f>
        <v/>
      </c>
      <c r="G18" s="12" t="str">
        <f aca="false">IF($C18="","",IFERROR(INDEX(고객명부!$E$3:$E$502,MATCH($C18,고객명부!$A$3:$A$502,0))&amp;" "&amp;INDEX(고객명부!$F$3:$F$502,MATCH($C18,고객명부!$A$3:$A$502,0)),""))</f>
        <v/>
      </c>
      <c r="H18" s="7"/>
      <c r="I18" s="12" t="str">
        <f aca="false">IF($H18="","",IFERROR(INDEX(상품목록!$B$3:$B$102,MATCH($H18,상품목록!$A$3:$A$102,0)),""))</f>
        <v/>
      </c>
      <c r="J18" s="14" t="str">
        <f aca="false">IF($H18="","",IFERROR(INDEX(상품목록!$C$3:$C$102,MATCH($H18,상품목록!$A$3:$A$102,0)),0))</f>
        <v/>
      </c>
      <c r="K18" s="7"/>
      <c r="L18" s="14" t="str">
        <f aca="false">IF(OR($J18="",$K18=""),"",ROUND($J18*$K18,0))</f>
        <v/>
      </c>
      <c r="M18" s="9"/>
      <c r="N18" s="14" t="str">
        <f aca="false">IF($L18="","",$L18+IF($M18="",0,$M18))</f>
        <v/>
      </c>
      <c r="O18" s="13"/>
      <c r="P18" s="7"/>
      <c r="Q18" s="12" t="str">
        <f aca="false">IF($C18="","",IF($P18&lt;&gt;"","발송완료",IF($O18&lt;&gt;"","입금완료","입금대기")))</f>
        <v/>
      </c>
      <c r="R18" s="12" t="str">
        <f aca="false">IF($C18="","",COUNTIFS($C$3:$C18,$C18))</f>
        <v/>
      </c>
      <c r="S18" s="12" t="str">
        <f aca="false">IF($C18="","",$C18&amp;"|"&amp;$R18)</f>
        <v/>
      </c>
    </row>
    <row r="19" customFormat="false" ht="15" hidden="false" customHeight="true" outlineLevel="0" collapsed="false">
      <c r="A19" s="12" t="str">
        <f aca="false">IF($C19="","",TEXT($B19,"yymmdd")&amp;"-"&amp;TEXT(COUNTIFS($B$3:$B19,$B19),"000"))</f>
        <v/>
      </c>
      <c r="B19" s="13"/>
      <c r="C19" s="7"/>
      <c r="D19" s="12" t="str">
        <f aca="false">IF($C19="","",IFERROR(INDEX(고객명부!$B$3:$B$502,MATCH($C19,고객명부!$A$3:$A$502,0)),"미등록고객"))</f>
        <v/>
      </c>
      <c r="E19" s="12" t="str">
        <f aca="false">IF($C19="","",IFERROR(INDEX(고객명부!$C$3:$C$502,MATCH($C19,고객명부!$A$3:$A$502,0)),""))</f>
        <v/>
      </c>
      <c r="F19" s="12" t="str">
        <f aca="false">IF($C19="","",IFERROR(INDEX(고객명부!$D$3:$D$502,MATCH($C19,고객명부!$A$3:$A$502,0)),""))</f>
        <v/>
      </c>
      <c r="G19" s="12" t="str">
        <f aca="false">IF($C19="","",IFERROR(INDEX(고객명부!$E$3:$E$502,MATCH($C19,고객명부!$A$3:$A$502,0))&amp;" "&amp;INDEX(고객명부!$F$3:$F$502,MATCH($C19,고객명부!$A$3:$A$502,0)),""))</f>
        <v/>
      </c>
      <c r="H19" s="7"/>
      <c r="I19" s="12" t="str">
        <f aca="false">IF($H19="","",IFERROR(INDEX(상품목록!$B$3:$B$102,MATCH($H19,상품목록!$A$3:$A$102,0)),""))</f>
        <v/>
      </c>
      <c r="J19" s="14" t="str">
        <f aca="false">IF($H19="","",IFERROR(INDEX(상품목록!$C$3:$C$102,MATCH($H19,상품목록!$A$3:$A$102,0)),0))</f>
        <v/>
      </c>
      <c r="K19" s="7"/>
      <c r="L19" s="14" t="str">
        <f aca="false">IF(OR($J19="",$K19=""),"",ROUND($J19*$K19,0))</f>
        <v/>
      </c>
      <c r="M19" s="9"/>
      <c r="N19" s="14" t="str">
        <f aca="false">IF($L19="","",$L19+IF($M19="",0,$M19))</f>
        <v/>
      </c>
      <c r="O19" s="13"/>
      <c r="P19" s="7"/>
      <c r="Q19" s="12" t="str">
        <f aca="false">IF($C19="","",IF($P19&lt;&gt;"","발송완료",IF($O19&lt;&gt;"","입금완료","입금대기")))</f>
        <v/>
      </c>
      <c r="R19" s="12" t="str">
        <f aca="false">IF($C19="","",COUNTIFS($C$3:$C19,$C19))</f>
        <v/>
      </c>
      <c r="S19" s="12" t="str">
        <f aca="false">IF($C19="","",$C19&amp;"|"&amp;$R19)</f>
        <v/>
      </c>
    </row>
    <row r="20" customFormat="false" ht="15" hidden="false" customHeight="true" outlineLevel="0" collapsed="false">
      <c r="A20" s="12" t="str">
        <f aca="false">IF($C20="","",TEXT($B20,"yymmdd")&amp;"-"&amp;TEXT(COUNTIFS($B$3:$B20,$B20),"000"))</f>
        <v/>
      </c>
      <c r="B20" s="13"/>
      <c r="C20" s="7"/>
      <c r="D20" s="12" t="str">
        <f aca="false">IF($C20="","",IFERROR(INDEX(고객명부!$B$3:$B$502,MATCH($C20,고객명부!$A$3:$A$502,0)),"미등록고객"))</f>
        <v/>
      </c>
      <c r="E20" s="12" t="str">
        <f aca="false">IF($C20="","",IFERROR(INDEX(고객명부!$C$3:$C$502,MATCH($C20,고객명부!$A$3:$A$502,0)),""))</f>
        <v/>
      </c>
      <c r="F20" s="12" t="str">
        <f aca="false">IF($C20="","",IFERROR(INDEX(고객명부!$D$3:$D$502,MATCH($C20,고객명부!$A$3:$A$502,0)),""))</f>
        <v/>
      </c>
      <c r="G20" s="12" t="str">
        <f aca="false">IF($C20="","",IFERROR(INDEX(고객명부!$E$3:$E$502,MATCH($C20,고객명부!$A$3:$A$502,0))&amp;" "&amp;INDEX(고객명부!$F$3:$F$502,MATCH($C20,고객명부!$A$3:$A$502,0)),""))</f>
        <v/>
      </c>
      <c r="H20" s="7"/>
      <c r="I20" s="12" t="str">
        <f aca="false">IF($H20="","",IFERROR(INDEX(상품목록!$B$3:$B$102,MATCH($H20,상품목록!$A$3:$A$102,0)),""))</f>
        <v/>
      </c>
      <c r="J20" s="14" t="str">
        <f aca="false">IF($H20="","",IFERROR(INDEX(상품목록!$C$3:$C$102,MATCH($H20,상품목록!$A$3:$A$102,0)),0))</f>
        <v/>
      </c>
      <c r="K20" s="7"/>
      <c r="L20" s="14" t="str">
        <f aca="false">IF(OR($J20="",$K20=""),"",ROUND($J20*$K20,0))</f>
        <v/>
      </c>
      <c r="M20" s="9"/>
      <c r="N20" s="14" t="str">
        <f aca="false">IF($L20="","",$L20+IF($M20="",0,$M20))</f>
        <v/>
      </c>
      <c r="O20" s="13"/>
      <c r="P20" s="7"/>
      <c r="Q20" s="12" t="str">
        <f aca="false">IF($C20="","",IF($P20&lt;&gt;"","발송완료",IF($O20&lt;&gt;"","입금완료","입금대기")))</f>
        <v/>
      </c>
      <c r="R20" s="12" t="str">
        <f aca="false">IF($C20="","",COUNTIFS($C$3:$C20,$C20))</f>
        <v/>
      </c>
      <c r="S20" s="12" t="str">
        <f aca="false">IF($C20="","",$C20&amp;"|"&amp;$R20)</f>
        <v/>
      </c>
    </row>
    <row r="21" customFormat="false" ht="15" hidden="false" customHeight="true" outlineLevel="0" collapsed="false">
      <c r="A21" s="12" t="str">
        <f aca="false">IF($C21="","",TEXT($B21,"yymmdd")&amp;"-"&amp;TEXT(COUNTIFS($B$3:$B21,$B21),"000"))</f>
        <v/>
      </c>
      <c r="B21" s="13"/>
      <c r="C21" s="7"/>
      <c r="D21" s="12" t="str">
        <f aca="false">IF($C21="","",IFERROR(INDEX(고객명부!$B$3:$B$502,MATCH($C21,고객명부!$A$3:$A$502,0)),"미등록고객"))</f>
        <v/>
      </c>
      <c r="E21" s="12" t="str">
        <f aca="false">IF($C21="","",IFERROR(INDEX(고객명부!$C$3:$C$502,MATCH($C21,고객명부!$A$3:$A$502,0)),""))</f>
        <v/>
      </c>
      <c r="F21" s="12" t="str">
        <f aca="false">IF($C21="","",IFERROR(INDEX(고객명부!$D$3:$D$502,MATCH($C21,고객명부!$A$3:$A$502,0)),""))</f>
        <v/>
      </c>
      <c r="G21" s="12" t="str">
        <f aca="false">IF($C21="","",IFERROR(INDEX(고객명부!$E$3:$E$502,MATCH($C21,고객명부!$A$3:$A$502,0))&amp;" "&amp;INDEX(고객명부!$F$3:$F$502,MATCH($C21,고객명부!$A$3:$A$502,0)),""))</f>
        <v/>
      </c>
      <c r="H21" s="7"/>
      <c r="I21" s="12" t="str">
        <f aca="false">IF($H21="","",IFERROR(INDEX(상품목록!$B$3:$B$102,MATCH($H21,상품목록!$A$3:$A$102,0)),""))</f>
        <v/>
      </c>
      <c r="J21" s="14" t="str">
        <f aca="false">IF($H21="","",IFERROR(INDEX(상품목록!$C$3:$C$102,MATCH($H21,상품목록!$A$3:$A$102,0)),0))</f>
        <v/>
      </c>
      <c r="K21" s="7"/>
      <c r="L21" s="14" t="str">
        <f aca="false">IF(OR($J21="",$K21=""),"",ROUND($J21*$K21,0))</f>
        <v/>
      </c>
      <c r="M21" s="9"/>
      <c r="N21" s="14" t="str">
        <f aca="false">IF($L21="","",$L21+IF($M21="",0,$M21))</f>
        <v/>
      </c>
      <c r="O21" s="13"/>
      <c r="P21" s="7"/>
      <c r="Q21" s="12" t="str">
        <f aca="false">IF($C21="","",IF($P21&lt;&gt;"","발송완료",IF($O21&lt;&gt;"","입금완료","입금대기")))</f>
        <v/>
      </c>
      <c r="R21" s="12" t="str">
        <f aca="false">IF($C21="","",COUNTIFS($C$3:$C21,$C21))</f>
        <v/>
      </c>
      <c r="S21" s="12" t="str">
        <f aca="false">IF($C21="","",$C21&amp;"|"&amp;$R21)</f>
        <v/>
      </c>
    </row>
    <row r="22" customFormat="false" ht="15" hidden="false" customHeight="true" outlineLevel="0" collapsed="false">
      <c r="A22" s="12" t="str">
        <f aca="false">IF($C22="","",TEXT($B22,"yymmdd")&amp;"-"&amp;TEXT(COUNTIFS($B$3:$B22,$B22),"000"))</f>
        <v/>
      </c>
      <c r="B22" s="13"/>
      <c r="C22" s="7"/>
      <c r="D22" s="12" t="str">
        <f aca="false">IF($C22="","",IFERROR(INDEX(고객명부!$B$3:$B$502,MATCH($C22,고객명부!$A$3:$A$502,0)),"미등록고객"))</f>
        <v/>
      </c>
      <c r="E22" s="12" t="str">
        <f aca="false">IF($C22="","",IFERROR(INDEX(고객명부!$C$3:$C$502,MATCH($C22,고객명부!$A$3:$A$502,0)),""))</f>
        <v/>
      </c>
      <c r="F22" s="12" t="str">
        <f aca="false">IF($C22="","",IFERROR(INDEX(고객명부!$D$3:$D$502,MATCH($C22,고객명부!$A$3:$A$502,0)),""))</f>
        <v/>
      </c>
      <c r="G22" s="12" t="str">
        <f aca="false">IF($C22="","",IFERROR(INDEX(고객명부!$E$3:$E$502,MATCH($C22,고객명부!$A$3:$A$502,0))&amp;" "&amp;INDEX(고객명부!$F$3:$F$502,MATCH($C22,고객명부!$A$3:$A$502,0)),""))</f>
        <v/>
      </c>
      <c r="H22" s="7"/>
      <c r="I22" s="12" t="str">
        <f aca="false">IF($H22="","",IFERROR(INDEX(상품목록!$B$3:$B$102,MATCH($H22,상품목록!$A$3:$A$102,0)),""))</f>
        <v/>
      </c>
      <c r="J22" s="14" t="str">
        <f aca="false">IF($H22="","",IFERROR(INDEX(상품목록!$C$3:$C$102,MATCH($H22,상품목록!$A$3:$A$102,0)),0))</f>
        <v/>
      </c>
      <c r="K22" s="7"/>
      <c r="L22" s="14" t="str">
        <f aca="false">IF(OR($J22="",$K22=""),"",ROUND($J22*$K22,0))</f>
        <v/>
      </c>
      <c r="M22" s="9"/>
      <c r="N22" s="14" t="str">
        <f aca="false">IF($L22="","",$L22+IF($M22="",0,$M22))</f>
        <v/>
      </c>
      <c r="O22" s="13"/>
      <c r="P22" s="7"/>
      <c r="Q22" s="12" t="str">
        <f aca="false">IF($C22="","",IF($P22&lt;&gt;"","발송완료",IF($O22&lt;&gt;"","입금완료","입금대기")))</f>
        <v/>
      </c>
      <c r="R22" s="12" t="str">
        <f aca="false">IF($C22="","",COUNTIFS($C$3:$C22,$C22))</f>
        <v/>
      </c>
      <c r="S22" s="12" t="str">
        <f aca="false">IF($C22="","",$C22&amp;"|"&amp;$R22)</f>
        <v/>
      </c>
    </row>
    <row r="23" customFormat="false" ht="15" hidden="false" customHeight="true" outlineLevel="0" collapsed="false">
      <c r="A23" s="12" t="str">
        <f aca="false">IF($C23="","",TEXT($B23,"yymmdd")&amp;"-"&amp;TEXT(COUNTIFS($B$3:$B23,$B23),"000"))</f>
        <v/>
      </c>
      <c r="B23" s="13"/>
      <c r="C23" s="7"/>
      <c r="D23" s="12" t="str">
        <f aca="false">IF($C23="","",IFERROR(INDEX(고객명부!$B$3:$B$502,MATCH($C23,고객명부!$A$3:$A$502,0)),"미등록고객"))</f>
        <v/>
      </c>
      <c r="E23" s="12" t="str">
        <f aca="false">IF($C23="","",IFERROR(INDEX(고객명부!$C$3:$C$502,MATCH($C23,고객명부!$A$3:$A$502,0)),""))</f>
        <v/>
      </c>
      <c r="F23" s="12" t="str">
        <f aca="false">IF($C23="","",IFERROR(INDEX(고객명부!$D$3:$D$502,MATCH($C23,고객명부!$A$3:$A$502,0)),""))</f>
        <v/>
      </c>
      <c r="G23" s="12" t="str">
        <f aca="false">IF($C23="","",IFERROR(INDEX(고객명부!$E$3:$E$502,MATCH($C23,고객명부!$A$3:$A$502,0))&amp;" "&amp;INDEX(고객명부!$F$3:$F$502,MATCH($C23,고객명부!$A$3:$A$502,0)),""))</f>
        <v/>
      </c>
      <c r="H23" s="7"/>
      <c r="I23" s="12" t="str">
        <f aca="false">IF($H23="","",IFERROR(INDEX(상품목록!$B$3:$B$102,MATCH($H23,상품목록!$A$3:$A$102,0)),""))</f>
        <v/>
      </c>
      <c r="J23" s="14" t="str">
        <f aca="false">IF($H23="","",IFERROR(INDEX(상품목록!$C$3:$C$102,MATCH($H23,상품목록!$A$3:$A$102,0)),0))</f>
        <v/>
      </c>
      <c r="K23" s="7"/>
      <c r="L23" s="14" t="str">
        <f aca="false">IF(OR($J23="",$K23=""),"",ROUND($J23*$K23,0))</f>
        <v/>
      </c>
      <c r="M23" s="9"/>
      <c r="N23" s="14" t="str">
        <f aca="false">IF($L23="","",$L23+IF($M23="",0,$M23))</f>
        <v/>
      </c>
      <c r="O23" s="13"/>
      <c r="P23" s="7"/>
      <c r="Q23" s="12" t="str">
        <f aca="false">IF($C23="","",IF($P23&lt;&gt;"","발송완료",IF($O23&lt;&gt;"","입금완료","입금대기")))</f>
        <v/>
      </c>
      <c r="R23" s="12" t="str">
        <f aca="false">IF($C23="","",COUNTIFS($C$3:$C23,$C23))</f>
        <v/>
      </c>
      <c r="S23" s="12" t="str">
        <f aca="false">IF($C23="","",$C23&amp;"|"&amp;$R23)</f>
        <v/>
      </c>
    </row>
    <row r="24" customFormat="false" ht="15" hidden="false" customHeight="true" outlineLevel="0" collapsed="false">
      <c r="A24" s="12" t="str">
        <f aca="false">IF($C24="","",TEXT($B24,"yymmdd")&amp;"-"&amp;TEXT(COUNTIFS($B$3:$B24,$B24),"000"))</f>
        <v/>
      </c>
      <c r="B24" s="13"/>
      <c r="C24" s="7"/>
      <c r="D24" s="12" t="str">
        <f aca="false">IF($C24="","",IFERROR(INDEX(고객명부!$B$3:$B$502,MATCH($C24,고객명부!$A$3:$A$502,0)),"미등록고객"))</f>
        <v/>
      </c>
      <c r="E24" s="12" t="str">
        <f aca="false">IF($C24="","",IFERROR(INDEX(고객명부!$C$3:$C$502,MATCH($C24,고객명부!$A$3:$A$502,0)),""))</f>
        <v/>
      </c>
      <c r="F24" s="12" t="str">
        <f aca="false">IF($C24="","",IFERROR(INDEX(고객명부!$D$3:$D$502,MATCH($C24,고객명부!$A$3:$A$502,0)),""))</f>
        <v/>
      </c>
      <c r="G24" s="12" t="str">
        <f aca="false">IF($C24="","",IFERROR(INDEX(고객명부!$E$3:$E$502,MATCH($C24,고객명부!$A$3:$A$502,0))&amp;" "&amp;INDEX(고객명부!$F$3:$F$502,MATCH($C24,고객명부!$A$3:$A$502,0)),""))</f>
        <v/>
      </c>
      <c r="H24" s="7"/>
      <c r="I24" s="12" t="str">
        <f aca="false">IF($H24="","",IFERROR(INDEX(상품목록!$B$3:$B$102,MATCH($H24,상품목록!$A$3:$A$102,0)),""))</f>
        <v/>
      </c>
      <c r="J24" s="14" t="str">
        <f aca="false">IF($H24="","",IFERROR(INDEX(상품목록!$C$3:$C$102,MATCH($H24,상품목록!$A$3:$A$102,0)),0))</f>
        <v/>
      </c>
      <c r="K24" s="7"/>
      <c r="L24" s="14" t="str">
        <f aca="false">IF(OR($J24="",$K24=""),"",ROUND($J24*$K24,0))</f>
        <v/>
      </c>
      <c r="M24" s="9"/>
      <c r="N24" s="14" t="str">
        <f aca="false">IF($L24="","",$L24+IF($M24="",0,$M24))</f>
        <v/>
      </c>
      <c r="O24" s="13"/>
      <c r="P24" s="7"/>
      <c r="Q24" s="12" t="str">
        <f aca="false">IF($C24="","",IF($P24&lt;&gt;"","발송완료",IF($O24&lt;&gt;"","입금완료","입금대기")))</f>
        <v/>
      </c>
      <c r="R24" s="12" t="str">
        <f aca="false">IF($C24="","",COUNTIFS($C$3:$C24,$C24))</f>
        <v/>
      </c>
      <c r="S24" s="12" t="str">
        <f aca="false">IF($C24="","",$C24&amp;"|"&amp;$R24)</f>
        <v/>
      </c>
    </row>
    <row r="25" customFormat="false" ht="15" hidden="false" customHeight="true" outlineLevel="0" collapsed="false">
      <c r="A25" s="12" t="str">
        <f aca="false">IF($C25="","",TEXT($B25,"yymmdd")&amp;"-"&amp;TEXT(COUNTIFS($B$3:$B25,$B25),"000"))</f>
        <v/>
      </c>
      <c r="B25" s="13"/>
      <c r="C25" s="7"/>
      <c r="D25" s="12" t="str">
        <f aca="false">IF($C25="","",IFERROR(INDEX(고객명부!$B$3:$B$502,MATCH($C25,고객명부!$A$3:$A$502,0)),"미등록고객"))</f>
        <v/>
      </c>
      <c r="E25" s="12" t="str">
        <f aca="false">IF($C25="","",IFERROR(INDEX(고객명부!$C$3:$C$502,MATCH($C25,고객명부!$A$3:$A$502,0)),""))</f>
        <v/>
      </c>
      <c r="F25" s="12" t="str">
        <f aca="false">IF($C25="","",IFERROR(INDEX(고객명부!$D$3:$D$502,MATCH($C25,고객명부!$A$3:$A$502,0)),""))</f>
        <v/>
      </c>
      <c r="G25" s="12" t="str">
        <f aca="false">IF($C25="","",IFERROR(INDEX(고객명부!$E$3:$E$502,MATCH($C25,고객명부!$A$3:$A$502,0))&amp;" "&amp;INDEX(고객명부!$F$3:$F$502,MATCH($C25,고객명부!$A$3:$A$502,0)),""))</f>
        <v/>
      </c>
      <c r="H25" s="7"/>
      <c r="I25" s="12" t="str">
        <f aca="false">IF($H25="","",IFERROR(INDEX(상품목록!$B$3:$B$102,MATCH($H25,상품목록!$A$3:$A$102,0)),""))</f>
        <v/>
      </c>
      <c r="J25" s="14" t="str">
        <f aca="false">IF($H25="","",IFERROR(INDEX(상품목록!$C$3:$C$102,MATCH($H25,상품목록!$A$3:$A$102,0)),0))</f>
        <v/>
      </c>
      <c r="K25" s="7"/>
      <c r="L25" s="14" t="str">
        <f aca="false">IF(OR($J25="",$K25=""),"",ROUND($J25*$K25,0))</f>
        <v/>
      </c>
      <c r="M25" s="9"/>
      <c r="N25" s="14" t="str">
        <f aca="false">IF($L25="","",$L25+IF($M25="",0,$M25))</f>
        <v/>
      </c>
      <c r="O25" s="13"/>
      <c r="P25" s="7"/>
      <c r="Q25" s="12" t="str">
        <f aca="false">IF($C25="","",IF($P25&lt;&gt;"","발송완료",IF($O25&lt;&gt;"","입금완료","입금대기")))</f>
        <v/>
      </c>
      <c r="R25" s="12" t="str">
        <f aca="false">IF($C25="","",COUNTIFS($C$3:$C25,$C25))</f>
        <v/>
      </c>
      <c r="S25" s="12" t="str">
        <f aca="false">IF($C25="","",$C25&amp;"|"&amp;$R25)</f>
        <v/>
      </c>
    </row>
    <row r="26" customFormat="false" ht="15" hidden="false" customHeight="true" outlineLevel="0" collapsed="false">
      <c r="A26" s="12" t="str">
        <f aca="false">IF($C26="","",TEXT($B26,"yymmdd")&amp;"-"&amp;TEXT(COUNTIFS($B$3:$B26,$B26),"000"))</f>
        <v/>
      </c>
      <c r="B26" s="13"/>
      <c r="C26" s="7"/>
      <c r="D26" s="12" t="str">
        <f aca="false">IF($C26="","",IFERROR(INDEX(고객명부!$B$3:$B$502,MATCH($C26,고객명부!$A$3:$A$502,0)),"미등록고객"))</f>
        <v/>
      </c>
      <c r="E26" s="12" t="str">
        <f aca="false">IF($C26="","",IFERROR(INDEX(고객명부!$C$3:$C$502,MATCH($C26,고객명부!$A$3:$A$502,0)),""))</f>
        <v/>
      </c>
      <c r="F26" s="12" t="str">
        <f aca="false">IF($C26="","",IFERROR(INDEX(고객명부!$D$3:$D$502,MATCH($C26,고객명부!$A$3:$A$502,0)),""))</f>
        <v/>
      </c>
      <c r="G26" s="12" t="str">
        <f aca="false">IF($C26="","",IFERROR(INDEX(고객명부!$E$3:$E$502,MATCH($C26,고객명부!$A$3:$A$502,0))&amp;" "&amp;INDEX(고객명부!$F$3:$F$502,MATCH($C26,고객명부!$A$3:$A$502,0)),""))</f>
        <v/>
      </c>
      <c r="H26" s="7"/>
      <c r="I26" s="12" t="str">
        <f aca="false">IF($H26="","",IFERROR(INDEX(상품목록!$B$3:$B$102,MATCH($H26,상품목록!$A$3:$A$102,0)),""))</f>
        <v/>
      </c>
      <c r="J26" s="14" t="str">
        <f aca="false">IF($H26="","",IFERROR(INDEX(상품목록!$C$3:$C$102,MATCH($H26,상품목록!$A$3:$A$102,0)),0))</f>
        <v/>
      </c>
      <c r="K26" s="7"/>
      <c r="L26" s="14" t="str">
        <f aca="false">IF(OR($J26="",$K26=""),"",ROUND($J26*$K26,0))</f>
        <v/>
      </c>
      <c r="M26" s="9"/>
      <c r="N26" s="14" t="str">
        <f aca="false">IF($L26="","",$L26+IF($M26="",0,$M26))</f>
        <v/>
      </c>
      <c r="O26" s="13"/>
      <c r="P26" s="7"/>
      <c r="Q26" s="12" t="str">
        <f aca="false">IF($C26="","",IF($P26&lt;&gt;"","발송완료",IF($O26&lt;&gt;"","입금완료","입금대기")))</f>
        <v/>
      </c>
      <c r="R26" s="12" t="str">
        <f aca="false">IF($C26="","",COUNTIFS($C$3:$C26,$C26))</f>
        <v/>
      </c>
      <c r="S26" s="12" t="str">
        <f aca="false">IF($C26="","",$C26&amp;"|"&amp;$R26)</f>
        <v/>
      </c>
    </row>
    <row r="27" customFormat="false" ht="15" hidden="false" customHeight="true" outlineLevel="0" collapsed="false">
      <c r="A27" s="12" t="str">
        <f aca="false">IF($C27="","",TEXT($B27,"yymmdd")&amp;"-"&amp;TEXT(COUNTIFS($B$3:$B27,$B27),"000"))</f>
        <v/>
      </c>
      <c r="B27" s="13"/>
      <c r="C27" s="7"/>
      <c r="D27" s="12" t="str">
        <f aca="false">IF($C27="","",IFERROR(INDEX(고객명부!$B$3:$B$502,MATCH($C27,고객명부!$A$3:$A$502,0)),"미등록고객"))</f>
        <v/>
      </c>
      <c r="E27" s="12" t="str">
        <f aca="false">IF($C27="","",IFERROR(INDEX(고객명부!$C$3:$C$502,MATCH($C27,고객명부!$A$3:$A$502,0)),""))</f>
        <v/>
      </c>
      <c r="F27" s="12" t="str">
        <f aca="false">IF($C27="","",IFERROR(INDEX(고객명부!$D$3:$D$502,MATCH($C27,고객명부!$A$3:$A$502,0)),""))</f>
        <v/>
      </c>
      <c r="G27" s="12" t="str">
        <f aca="false">IF($C27="","",IFERROR(INDEX(고객명부!$E$3:$E$502,MATCH($C27,고객명부!$A$3:$A$502,0))&amp;" "&amp;INDEX(고객명부!$F$3:$F$502,MATCH($C27,고객명부!$A$3:$A$502,0)),""))</f>
        <v/>
      </c>
      <c r="H27" s="7"/>
      <c r="I27" s="12" t="str">
        <f aca="false">IF($H27="","",IFERROR(INDEX(상품목록!$B$3:$B$102,MATCH($H27,상품목록!$A$3:$A$102,0)),""))</f>
        <v/>
      </c>
      <c r="J27" s="14" t="str">
        <f aca="false">IF($H27="","",IFERROR(INDEX(상품목록!$C$3:$C$102,MATCH($H27,상품목록!$A$3:$A$102,0)),0))</f>
        <v/>
      </c>
      <c r="K27" s="7"/>
      <c r="L27" s="14" t="str">
        <f aca="false">IF(OR($J27="",$K27=""),"",ROUND($J27*$K27,0))</f>
        <v/>
      </c>
      <c r="M27" s="9"/>
      <c r="N27" s="14" t="str">
        <f aca="false">IF($L27="","",$L27+IF($M27="",0,$M27))</f>
        <v/>
      </c>
      <c r="O27" s="13"/>
      <c r="P27" s="7"/>
      <c r="Q27" s="12" t="str">
        <f aca="false">IF($C27="","",IF($P27&lt;&gt;"","발송완료",IF($O27&lt;&gt;"","입금완료","입금대기")))</f>
        <v/>
      </c>
      <c r="R27" s="12" t="str">
        <f aca="false">IF($C27="","",COUNTIFS($C$3:$C27,$C27))</f>
        <v/>
      </c>
      <c r="S27" s="12" t="str">
        <f aca="false">IF($C27="","",$C27&amp;"|"&amp;$R27)</f>
        <v/>
      </c>
    </row>
    <row r="28" customFormat="false" ht="15" hidden="false" customHeight="true" outlineLevel="0" collapsed="false">
      <c r="A28" s="12" t="str">
        <f aca="false">IF($C28="","",TEXT($B28,"yymmdd")&amp;"-"&amp;TEXT(COUNTIFS($B$3:$B28,$B28),"000"))</f>
        <v/>
      </c>
      <c r="B28" s="13"/>
      <c r="C28" s="7"/>
      <c r="D28" s="12" t="str">
        <f aca="false">IF($C28="","",IFERROR(INDEX(고객명부!$B$3:$B$502,MATCH($C28,고객명부!$A$3:$A$502,0)),"미등록고객"))</f>
        <v/>
      </c>
      <c r="E28" s="12" t="str">
        <f aca="false">IF($C28="","",IFERROR(INDEX(고객명부!$C$3:$C$502,MATCH($C28,고객명부!$A$3:$A$502,0)),""))</f>
        <v/>
      </c>
      <c r="F28" s="12" t="str">
        <f aca="false">IF($C28="","",IFERROR(INDEX(고객명부!$D$3:$D$502,MATCH($C28,고객명부!$A$3:$A$502,0)),""))</f>
        <v/>
      </c>
      <c r="G28" s="12" t="str">
        <f aca="false">IF($C28="","",IFERROR(INDEX(고객명부!$E$3:$E$502,MATCH($C28,고객명부!$A$3:$A$502,0))&amp;" "&amp;INDEX(고객명부!$F$3:$F$502,MATCH($C28,고객명부!$A$3:$A$502,0)),""))</f>
        <v/>
      </c>
      <c r="H28" s="7"/>
      <c r="I28" s="12" t="str">
        <f aca="false">IF($H28="","",IFERROR(INDEX(상품목록!$B$3:$B$102,MATCH($H28,상품목록!$A$3:$A$102,0)),""))</f>
        <v/>
      </c>
      <c r="J28" s="14" t="str">
        <f aca="false">IF($H28="","",IFERROR(INDEX(상품목록!$C$3:$C$102,MATCH($H28,상품목록!$A$3:$A$102,0)),0))</f>
        <v/>
      </c>
      <c r="K28" s="7"/>
      <c r="L28" s="14" t="str">
        <f aca="false">IF(OR($J28="",$K28=""),"",ROUND($J28*$K28,0))</f>
        <v/>
      </c>
      <c r="M28" s="9"/>
      <c r="N28" s="14" t="str">
        <f aca="false">IF($L28="","",$L28+IF($M28="",0,$M28))</f>
        <v/>
      </c>
      <c r="O28" s="13"/>
      <c r="P28" s="7"/>
      <c r="Q28" s="12" t="str">
        <f aca="false">IF($C28="","",IF($P28&lt;&gt;"","발송완료",IF($O28&lt;&gt;"","입금완료","입금대기")))</f>
        <v/>
      </c>
      <c r="R28" s="12" t="str">
        <f aca="false">IF($C28="","",COUNTIFS($C$3:$C28,$C28))</f>
        <v/>
      </c>
      <c r="S28" s="12" t="str">
        <f aca="false">IF($C28="","",$C28&amp;"|"&amp;$R28)</f>
        <v/>
      </c>
    </row>
    <row r="29" customFormat="false" ht="15" hidden="false" customHeight="true" outlineLevel="0" collapsed="false">
      <c r="A29" s="12" t="str">
        <f aca="false">IF($C29="","",TEXT($B29,"yymmdd")&amp;"-"&amp;TEXT(COUNTIFS($B$3:$B29,$B29),"000"))</f>
        <v/>
      </c>
      <c r="B29" s="13"/>
      <c r="C29" s="7"/>
      <c r="D29" s="12" t="str">
        <f aca="false">IF($C29="","",IFERROR(INDEX(고객명부!$B$3:$B$502,MATCH($C29,고객명부!$A$3:$A$502,0)),"미등록고객"))</f>
        <v/>
      </c>
      <c r="E29" s="12" t="str">
        <f aca="false">IF($C29="","",IFERROR(INDEX(고객명부!$C$3:$C$502,MATCH($C29,고객명부!$A$3:$A$502,0)),""))</f>
        <v/>
      </c>
      <c r="F29" s="12" t="str">
        <f aca="false">IF($C29="","",IFERROR(INDEX(고객명부!$D$3:$D$502,MATCH($C29,고객명부!$A$3:$A$502,0)),""))</f>
        <v/>
      </c>
      <c r="G29" s="12" t="str">
        <f aca="false">IF($C29="","",IFERROR(INDEX(고객명부!$E$3:$E$502,MATCH($C29,고객명부!$A$3:$A$502,0))&amp;" "&amp;INDEX(고객명부!$F$3:$F$502,MATCH($C29,고객명부!$A$3:$A$502,0)),""))</f>
        <v/>
      </c>
      <c r="H29" s="7"/>
      <c r="I29" s="12" t="str">
        <f aca="false">IF($H29="","",IFERROR(INDEX(상품목록!$B$3:$B$102,MATCH($H29,상품목록!$A$3:$A$102,0)),""))</f>
        <v/>
      </c>
      <c r="J29" s="14" t="str">
        <f aca="false">IF($H29="","",IFERROR(INDEX(상품목록!$C$3:$C$102,MATCH($H29,상품목록!$A$3:$A$102,0)),0))</f>
        <v/>
      </c>
      <c r="K29" s="7"/>
      <c r="L29" s="14" t="str">
        <f aca="false">IF(OR($J29="",$K29=""),"",ROUND($J29*$K29,0))</f>
        <v/>
      </c>
      <c r="M29" s="9"/>
      <c r="N29" s="14" t="str">
        <f aca="false">IF($L29="","",$L29+IF($M29="",0,$M29))</f>
        <v/>
      </c>
      <c r="O29" s="13"/>
      <c r="P29" s="7"/>
      <c r="Q29" s="12" t="str">
        <f aca="false">IF($C29="","",IF($P29&lt;&gt;"","발송완료",IF($O29&lt;&gt;"","입금완료","입금대기")))</f>
        <v/>
      </c>
      <c r="R29" s="12" t="str">
        <f aca="false">IF($C29="","",COUNTIFS($C$3:$C29,$C29))</f>
        <v/>
      </c>
      <c r="S29" s="12" t="str">
        <f aca="false">IF($C29="","",$C29&amp;"|"&amp;$R29)</f>
        <v/>
      </c>
    </row>
    <row r="30" customFormat="false" ht="15" hidden="false" customHeight="true" outlineLevel="0" collapsed="false">
      <c r="A30" s="12" t="str">
        <f aca="false">IF($C30="","",TEXT($B30,"yymmdd")&amp;"-"&amp;TEXT(COUNTIFS($B$3:$B30,$B30),"000"))</f>
        <v/>
      </c>
      <c r="B30" s="13"/>
      <c r="C30" s="7"/>
      <c r="D30" s="12" t="str">
        <f aca="false">IF($C30="","",IFERROR(INDEX(고객명부!$B$3:$B$502,MATCH($C30,고객명부!$A$3:$A$502,0)),"미등록고객"))</f>
        <v/>
      </c>
      <c r="E30" s="12" t="str">
        <f aca="false">IF($C30="","",IFERROR(INDEX(고객명부!$C$3:$C$502,MATCH($C30,고객명부!$A$3:$A$502,0)),""))</f>
        <v/>
      </c>
      <c r="F30" s="12" t="str">
        <f aca="false">IF($C30="","",IFERROR(INDEX(고객명부!$D$3:$D$502,MATCH($C30,고객명부!$A$3:$A$502,0)),""))</f>
        <v/>
      </c>
      <c r="G30" s="12" t="str">
        <f aca="false">IF($C30="","",IFERROR(INDEX(고객명부!$E$3:$E$502,MATCH($C30,고객명부!$A$3:$A$502,0))&amp;" "&amp;INDEX(고객명부!$F$3:$F$502,MATCH($C30,고객명부!$A$3:$A$502,0)),""))</f>
        <v/>
      </c>
      <c r="H30" s="7"/>
      <c r="I30" s="12" t="str">
        <f aca="false">IF($H30="","",IFERROR(INDEX(상품목록!$B$3:$B$102,MATCH($H30,상품목록!$A$3:$A$102,0)),""))</f>
        <v/>
      </c>
      <c r="J30" s="14" t="str">
        <f aca="false">IF($H30="","",IFERROR(INDEX(상품목록!$C$3:$C$102,MATCH($H30,상품목록!$A$3:$A$102,0)),0))</f>
        <v/>
      </c>
      <c r="K30" s="7"/>
      <c r="L30" s="14" t="str">
        <f aca="false">IF(OR($J30="",$K30=""),"",ROUND($J30*$K30,0))</f>
        <v/>
      </c>
      <c r="M30" s="9"/>
      <c r="N30" s="14" t="str">
        <f aca="false">IF($L30="","",$L30+IF($M30="",0,$M30))</f>
        <v/>
      </c>
      <c r="O30" s="13"/>
      <c r="P30" s="7"/>
      <c r="Q30" s="12" t="str">
        <f aca="false">IF($C30="","",IF($P30&lt;&gt;"","발송완료",IF($O30&lt;&gt;"","입금완료","입금대기")))</f>
        <v/>
      </c>
      <c r="R30" s="12" t="str">
        <f aca="false">IF($C30="","",COUNTIFS($C$3:$C30,$C30))</f>
        <v/>
      </c>
      <c r="S30" s="12" t="str">
        <f aca="false">IF($C30="","",$C30&amp;"|"&amp;$R30)</f>
        <v/>
      </c>
    </row>
    <row r="31" customFormat="false" ht="15" hidden="false" customHeight="true" outlineLevel="0" collapsed="false">
      <c r="A31" s="12" t="str">
        <f aca="false">IF($C31="","",TEXT($B31,"yymmdd")&amp;"-"&amp;TEXT(COUNTIFS($B$3:$B31,$B31),"000"))</f>
        <v/>
      </c>
      <c r="B31" s="13"/>
      <c r="C31" s="7"/>
      <c r="D31" s="12" t="str">
        <f aca="false">IF($C31="","",IFERROR(INDEX(고객명부!$B$3:$B$502,MATCH($C31,고객명부!$A$3:$A$502,0)),"미등록고객"))</f>
        <v/>
      </c>
      <c r="E31" s="12" t="str">
        <f aca="false">IF($C31="","",IFERROR(INDEX(고객명부!$C$3:$C$502,MATCH($C31,고객명부!$A$3:$A$502,0)),""))</f>
        <v/>
      </c>
      <c r="F31" s="12" t="str">
        <f aca="false">IF($C31="","",IFERROR(INDEX(고객명부!$D$3:$D$502,MATCH($C31,고객명부!$A$3:$A$502,0)),""))</f>
        <v/>
      </c>
      <c r="G31" s="12" t="str">
        <f aca="false">IF($C31="","",IFERROR(INDEX(고객명부!$E$3:$E$502,MATCH($C31,고객명부!$A$3:$A$502,0))&amp;" "&amp;INDEX(고객명부!$F$3:$F$502,MATCH($C31,고객명부!$A$3:$A$502,0)),""))</f>
        <v/>
      </c>
      <c r="H31" s="7"/>
      <c r="I31" s="12" t="str">
        <f aca="false">IF($H31="","",IFERROR(INDEX(상품목록!$B$3:$B$102,MATCH($H31,상품목록!$A$3:$A$102,0)),""))</f>
        <v/>
      </c>
      <c r="J31" s="14" t="str">
        <f aca="false">IF($H31="","",IFERROR(INDEX(상품목록!$C$3:$C$102,MATCH($H31,상품목록!$A$3:$A$102,0)),0))</f>
        <v/>
      </c>
      <c r="K31" s="7"/>
      <c r="L31" s="14" t="str">
        <f aca="false">IF(OR($J31="",$K31=""),"",ROUND($J31*$K31,0))</f>
        <v/>
      </c>
      <c r="M31" s="9"/>
      <c r="N31" s="14" t="str">
        <f aca="false">IF($L31="","",$L31+IF($M31="",0,$M31))</f>
        <v/>
      </c>
      <c r="O31" s="13"/>
      <c r="P31" s="7"/>
      <c r="Q31" s="12" t="str">
        <f aca="false">IF($C31="","",IF($P31&lt;&gt;"","발송완료",IF($O31&lt;&gt;"","입금완료","입금대기")))</f>
        <v/>
      </c>
      <c r="R31" s="12" t="str">
        <f aca="false">IF($C31="","",COUNTIFS($C$3:$C31,$C31))</f>
        <v/>
      </c>
      <c r="S31" s="12" t="str">
        <f aca="false">IF($C31="","",$C31&amp;"|"&amp;$R31)</f>
        <v/>
      </c>
    </row>
    <row r="32" customFormat="false" ht="15" hidden="false" customHeight="true" outlineLevel="0" collapsed="false">
      <c r="A32" s="12" t="str">
        <f aca="false">IF($C32="","",TEXT($B32,"yymmdd")&amp;"-"&amp;TEXT(COUNTIFS($B$3:$B32,$B32),"000"))</f>
        <v/>
      </c>
      <c r="B32" s="13"/>
      <c r="C32" s="7"/>
      <c r="D32" s="12" t="str">
        <f aca="false">IF($C32="","",IFERROR(INDEX(고객명부!$B$3:$B$502,MATCH($C32,고객명부!$A$3:$A$502,0)),"미등록고객"))</f>
        <v/>
      </c>
      <c r="E32" s="12" t="str">
        <f aca="false">IF($C32="","",IFERROR(INDEX(고객명부!$C$3:$C$502,MATCH($C32,고객명부!$A$3:$A$502,0)),""))</f>
        <v/>
      </c>
      <c r="F32" s="12" t="str">
        <f aca="false">IF($C32="","",IFERROR(INDEX(고객명부!$D$3:$D$502,MATCH($C32,고객명부!$A$3:$A$502,0)),""))</f>
        <v/>
      </c>
      <c r="G32" s="12" t="str">
        <f aca="false">IF($C32="","",IFERROR(INDEX(고객명부!$E$3:$E$502,MATCH($C32,고객명부!$A$3:$A$502,0))&amp;" "&amp;INDEX(고객명부!$F$3:$F$502,MATCH($C32,고객명부!$A$3:$A$502,0)),""))</f>
        <v/>
      </c>
      <c r="H32" s="7"/>
      <c r="I32" s="12" t="str">
        <f aca="false">IF($H32="","",IFERROR(INDEX(상품목록!$B$3:$B$102,MATCH($H32,상품목록!$A$3:$A$102,0)),""))</f>
        <v/>
      </c>
      <c r="J32" s="14" t="str">
        <f aca="false">IF($H32="","",IFERROR(INDEX(상품목록!$C$3:$C$102,MATCH($H32,상품목록!$A$3:$A$102,0)),0))</f>
        <v/>
      </c>
      <c r="K32" s="7"/>
      <c r="L32" s="14" t="str">
        <f aca="false">IF(OR($J32="",$K32=""),"",ROUND($J32*$K32,0))</f>
        <v/>
      </c>
      <c r="M32" s="9"/>
      <c r="N32" s="14" t="str">
        <f aca="false">IF($L32="","",$L32+IF($M32="",0,$M32))</f>
        <v/>
      </c>
      <c r="O32" s="13"/>
      <c r="P32" s="7"/>
      <c r="Q32" s="12" t="str">
        <f aca="false">IF($C32="","",IF($P32&lt;&gt;"","발송완료",IF($O32&lt;&gt;"","입금완료","입금대기")))</f>
        <v/>
      </c>
      <c r="R32" s="12" t="str">
        <f aca="false">IF($C32="","",COUNTIFS($C$3:$C32,$C32))</f>
        <v/>
      </c>
      <c r="S32" s="12" t="str">
        <f aca="false">IF($C32="","",$C32&amp;"|"&amp;$R32)</f>
        <v/>
      </c>
    </row>
    <row r="33" customFormat="false" ht="15" hidden="false" customHeight="true" outlineLevel="0" collapsed="false">
      <c r="A33" s="12" t="str">
        <f aca="false">IF($C33="","",TEXT($B33,"yymmdd")&amp;"-"&amp;TEXT(COUNTIFS($B$3:$B33,$B33),"000"))</f>
        <v/>
      </c>
      <c r="B33" s="13"/>
      <c r="C33" s="7"/>
      <c r="D33" s="12" t="str">
        <f aca="false">IF($C33="","",IFERROR(INDEX(고객명부!$B$3:$B$502,MATCH($C33,고객명부!$A$3:$A$502,0)),"미등록고객"))</f>
        <v/>
      </c>
      <c r="E33" s="12" t="str">
        <f aca="false">IF($C33="","",IFERROR(INDEX(고객명부!$C$3:$C$502,MATCH($C33,고객명부!$A$3:$A$502,0)),""))</f>
        <v/>
      </c>
      <c r="F33" s="12" t="str">
        <f aca="false">IF($C33="","",IFERROR(INDEX(고객명부!$D$3:$D$502,MATCH($C33,고객명부!$A$3:$A$502,0)),""))</f>
        <v/>
      </c>
      <c r="G33" s="12" t="str">
        <f aca="false">IF($C33="","",IFERROR(INDEX(고객명부!$E$3:$E$502,MATCH($C33,고객명부!$A$3:$A$502,0))&amp;" "&amp;INDEX(고객명부!$F$3:$F$502,MATCH($C33,고객명부!$A$3:$A$502,0)),""))</f>
        <v/>
      </c>
      <c r="H33" s="7"/>
      <c r="I33" s="12" t="str">
        <f aca="false">IF($H33="","",IFERROR(INDEX(상품목록!$B$3:$B$102,MATCH($H33,상품목록!$A$3:$A$102,0)),""))</f>
        <v/>
      </c>
      <c r="J33" s="14" t="str">
        <f aca="false">IF($H33="","",IFERROR(INDEX(상품목록!$C$3:$C$102,MATCH($H33,상품목록!$A$3:$A$102,0)),0))</f>
        <v/>
      </c>
      <c r="K33" s="7"/>
      <c r="L33" s="14" t="str">
        <f aca="false">IF(OR($J33="",$K33=""),"",ROUND($J33*$K33,0))</f>
        <v/>
      </c>
      <c r="M33" s="9"/>
      <c r="N33" s="14" t="str">
        <f aca="false">IF($L33="","",$L33+IF($M33="",0,$M33))</f>
        <v/>
      </c>
      <c r="O33" s="13"/>
      <c r="P33" s="7"/>
      <c r="Q33" s="12" t="str">
        <f aca="false">IF($C33="","",IF($P33&lt;&gt;"","발송완료",IF($O33&lt;&gt;"","입금완료","입금대기")))</f>
        <v/>
      </c>
      <c r="R33" s="12" t="str">
        <f aca="false">IF($C33="","",COUNTIFS($C$3:$C33,$C33))</f>
        <v/>
      </c>
      <c r="S33" s="12" t="str">
        <f aca="false">IF($C33="","",$C33&amp;"|"&amp;$R33)</f>
        <v/>
      </c>
    </row>
    <row r="34" customFormat="false" ht="15" hidden="false" customHeight="true" outlineLevel="0" collapsed="false">
      <c r="A34" s="12" t="str">
        <f aca="false">IF($C34="","",TEXT($B34,"yymmdd")&amp;"-"&amp;TEXT(COUNTIFS($B$3:$B34,$B34),"000"))</f>
        <v/>
      </c>
      <c r="B34" s="13"/>
      <c r="C34" s="7"/>
      <c r="D34" s="12" t="str">
        <f aca="false">IF($C34="","",IFERROR(INDEX(고객명부!$B$3:$B$502,MATCH($C34,고객명부!$A$3:$A$502,0)),"미등록고객"))</f>
        <v/>
      </c>
      <c r="E34" s="12" t="str">
        <f aca="false">IF($C34="","",IFERROR(INDEX(고객명부!$C$3:$C$502,MATCH($C34,고객명부!$A$3:$A$502,0)),""))</f>
        <v/>
      </c>
      <c r="F34" s="12" t="str">
        <f aca="false">IF($C34="","",IFERROR(INDEX(고객명부!$D$3:$D$502,MATCH($C34,고객명부!$A$3:$A$502,0)),""))</f>
        <v/>
      </c>
      <c r="G34" s="12" t="str">
        <f aca="false">IF($C34="","",IFERROR(INDEX(고객명부!$E$3:$E$502,MATCH($C34,고객명부!$A$3:$A$502,0))&amp;" "&amp;INDEX(고객명부!$F$3:$F$502,MATCH($C34,고객명부!$A$3:$A$502,0)),""))</f>
        <v/>
      </c>
      <c r="H34" s="7"/>
      <c r="I34" s="12" t="str">
        <f aca="false">IF($H34="","",IFERROR(INDEX(상품목록!$B$3:$B$102,MATCH($H34,상품목록!$A$3:$A$102,0)),""))</f>
        <v/>
      </c>
      <c r="J34" s="14" t="str">
        <f aca="false">IF($H34="","",IFERROR(INDEX(상품목록!$C$3:$C$102,MATCH($H34,상품목록!$A$3:$A$102,0)),0))</f>
        <v/>
      </c>
      <c r="K34" s="7"/>
      <c r="L34" s="14" t="str">
        <f aca="false">IF(OR($J34="",$K34=""),"",ROUND($J34*$K34,0))</f>
        <v/>
      </c>
      <c r="M34" s="9"/>
      <c r="N34" s="14" t="str">
        <f aca="false">IF($L34="","",$L34+IF($M34="",0,$M34))</f>
        <v/>
      </c>
      <c r="O34" s="13"/>
      <c r="P34" s="7"/>
      <c r="Q34" s="12" t="str">
        <f aca="false">IF($C34="","",IF($P34&lt;&gt;"","발송완료",IF($O34&lt;&gt;"","입금완료","입금대기")))</f>
        <v/>
      </c>
      <c r="R34" s="12" t="str">
        <f aca="false">IF($C34="","",COUNTIFS($C$3:$C34,$C34))</f>
        <v/>
      </c>
      <c r="S34" s="12" t="str">
        <f aca="false">IF($C34="","",$C34&amp;"|"&amp;$R34)</f>
        <v/>
      </c>
    </row>
    <row r="35" customFormat="false" ht="15" hidden="false" customHeight="true" outlineLevel="0" collapsed="false">
      <c r="A35" s="12" t="str">
        <f aca="false">IF($C35="","",TEXT($B35,"yymmdd")&amp;"-"&amp;TEXT(COUNTIFS($B$3:$B35,$B35),"000"))</f>
        <v/>
      </c>
      <c r="B35" s="13"/>
      <c r="C35" s="7"/>
      <c r="D35" s="12" t="str">
        <f aca="false">IF($C35="","",IFERROR(INDEX(고객명부!$B$3:$B$502,MATCH($C35,고객명부!$A$3:$A$502,0)),"미등록고객"))</f>
        <v/>
      </c>
      <c r="E35" s="12" t="str">
        <f aca="false">IF($C35="","",IFERROR(INDEX(고객명부!$C$3:$C$502,MATCH($C35,고객명부!$A$3:$A$502,0)),""))</f>
        <v/>
      </c>
      <c r="F35" s="12" t="str">
        <f aca="false">IF($C35="","",IFERROR(INDEX(고객명부!$D$3:$D$502,MATCH($C35,고객명부!$A$3:$A$502,0)),""))</f>
        <v/>
      </c>
      <c r="G35" s="12" t="str">
        <f aca="false">IF($C35="","",IFERROR(INDEX(고객명부!$E$3:$E$502,MATCH($C35,고객명부!$A$3:$A$502,0))&amp;" "&amp;INDEX(고객명부!$F$3:$F$502,MATCH($C35,고객명부!$A$3:$A$502,0)),""))</f>
        <v/>
      </c>
      <c r="H35" s="7"/>
      <c r="I35" s="12" t="str">
        <f aca="false">IF($H35="","",IFERROR(INDEX(상품목록!$B$3:$B$102,MATCH($H35,상품목록!$A$3:$A$102,0)),""))</f>
        <v/>
      </c>
      <c r="J35" s="14" t="str">
        <f aca="false">IF($H35="","",IFERROR(INDEX(상품목록!$C$3:$C$102,MATCH($H35,상품목록!$A$3:$A$102,0)),0))</f>
        <v/>
      </c>
      <c r="K35" s="7"/>
      <c r="L35" s="14" t="str">
        <f aca="false">IF(OR($J35="",$K35=""),"",ROUND($J35*$K35,0))</f>
        <v/>
      </c>
      <c r="M35" s="9"/>
      <c r="N35" s="14" t="str">
        <f aca="false">IF($L35="","",$L35+IF($M35="",0,$M35))</f>
        <v/>
      </c>
      <c r="O35" s="13"/>
      <c r="P35" s="7"/>
      <c r="Q35" s="12" t="str">
        <f aca="false">IF($C35="","",IF($P35&lt;&gt;"","발송완료",IF($O35&lt;&gt;"","입금완료","입금대기")))</f>
        <v/>
      </c>
      <c r="R35" s="12" t="str">
        <f aca="false">IF($C35="","",COUNTIFS($C$3:$C35,$C35))</f>
        <v/>
      </c>
      <c r="S35" s="12" t="str">
        <f aca="false">IF($C35="","",$C35&amp;"|"&amp;$R35)</f>
        <v/>
      </c>
    </row>
    <row r="36" customFormat="false" ht="15" hidden="false" customHeight="true" outlineLevel="0" collapsed="false">
      <c r="A36" s="12" t="str">
        <f aca="false">IF($C36="","",TEXT($B36,"yymmdd")&amp;"-"&amp;TEXT(COUNTIFS($B$3:$B36,$B36),"000"))</f>
        <v/>
      </c>
      <c r="B36" s="13"/>
      <c r="C36" s="7"/>
      <c r="D36" s="12" t="str">
        <f aca="false">IF($C36="","",IFERROR(INDEX(고객명부!$B$3:$B$502,MATCH($C36,고객명부!$A$3:$A$502,0)),"미등록고객"))</f>
        <v/>
      </c>
      <c r="E36" s="12" t="str">
        <f aca="false">IF($C36="","",IFERROR(INDEX(고객명부!$C$3:$C$502,MATCH($C36,고객명부!$A$3:$A$502,0)),""))</f>
        <v/>
      </c>
      <c r="F36" s="12" t="str">
        <f aca="false">IF($C36="","",IFERROR(INDEX(고객명부!$D$3:$D$502,MATCH($C36,고객명부!$A$3:$A$502,0)),""))</f>
        <v/>
      </c>
      <c r="G36" s="12" t="str">
        <f aca="false">IF($C36="","",IFERROR(INDEX(고객명부!$E$3:$E$502,MATCH($C36,고객명부!$A$3:$A$502,0))&amp;" "&amp;INDEX(고객명부!$F$3:$F$502,MATCH($C36,고객명부!$A$3:$A$502,0)),""))</f>
        <v/>
      </c>
      <c r="H36" s="7"/>
      <c r="I36" s="12" t="str">
        <f aca="false">IF($H36="","",IFERROR(INDEX(상품목록!$B$3:$B$102,MATCH($H36,상품목록!$A$3:$A$102,0)),""))</f>
        <v/>
      </c>
      <c r="J36" s="14" t="str">
        <f aca="false">IF($H36="","",IFERROR(INDEX(상품목록!$C$3:$C$102,MATCH($H36,상품목록!$A$3:$A$102,0)),0))</f>
        <v/>
      </c>
      <c r="K36" s="7"/>
      <c r="L36" s="14" t="str">
        <f aca="false">IF(OR($J36="",$K36=""),"",ROUND($J36*$K36,0))</f>
        <v/>
      </c>
      <c r="M36" s="9"/>
      <c r="N36" s="14" t="str">
        <f aca="false">IF($L36="","",$L36+IF($M36="",0,$M36))</f>
        <v/>
      </c>
      <c r="O36" s="13"/>
      <c r="P36" s="7"/>
      <c r="Q36" s="12" t="str">
        <f aca="false">IF($C36="","",IF($P36&lt;&gt;"","발송완료",IF($O36&lt;&gt;"","입금완료","입금대기")))</f>
        <v/>
      </c>
      <c r="R36" s="12" t="str">
        <f aca="false">IF($C36="","",COUNTIFS($C$3:$C36,$C36))</f>
        <v/>
      </c>
      <c r="S36" s="12" t="str">
        <f aca="false">IF($C36="","",$C36&amp;"|"&amp;$R36)</f>
        <v/>
      </c>
    </row>
    <row r="37" customFormat="false" ht="15" hidden="false" customHeight="true" outlineLevel="0" collapsed="false">
      <c r="A37" s="12" t="str">
        <f aca="false">IF($C37="","",TEXT($B37,"yymmdd")&amp;"-"&amp;TEXT(COUNTIFS($B$3:$B37,$B37),"000"))</f>
        <v/>
      </c>
      <c r="B37" s="13"/>
      <c r="C37" s="7"/>
      <c r="D37" s="12" t="str">
        <f aca="false">IF($C37="","",IFERROR(INDEX(고객명부!$B$3:$B$502,MATCH($C37,고객명부!$A$3:$A$502,0)),"미등록고객"))</f>
        <v/>
      </c>
      <c r="E37" s="12" t="str">
        <f aca="false">IF($C37="","",IFERROR(INDEX(고객명부!$C$3:$C$502,MATCH($C37,고객명부!$A$3:$A$502,0)),""))</f>
        <v/>
      </c>
      <c r="F37" s="12" t="str">
        <f aca="false">IF($C37="","",IFERROR(INDEX(고객명부!$D$3:$D$502,MATCH($C37,고객명부!$A$3:$A$502,0)),""))</f>
        <v/>
      </c>
      <c r="G37" s="12" t="str">
        <f aca="false">IF($C37="","",IFERROR(INDEX(고객명부!$E$3:$E$502,MATCH($C37,고객명부!$A$3:$A$502,0))&amp;" "&amp;INDEX(고객명부!$F$3:$F$502,MATCH($C37,고객명부!$A$3:$A$502,0)),""))</f>
        <v/>
      </c>
      <c r="H37" s="7"/>
      <c r="I37" s="12" t="str">
        <f aca="false">IF($H37="","",IFERROR(INDEX(상품목록!$B$3:$B$102,MATCH($H37,상품목록!$A$3:$A$102,0)),""))</f>
        <v/>
      </c>
      <c r="J37" s="14" t="str">
        <f aca="false">IF($H37="","",IFERROR(INDEX(상품목록!$C$3:$C$102,MATCH($H37,상품목록!$A$3:$A$102,0)),0))</f>
        <v/>
      </c>
      <c r="K37" s="7"/>
      <c r="L37" s="14" t="str">
        <f aca="false">IF(OR($J37="",$K37=""),"",ROUND($J37*$K37,0))</f>
        <v/>
      </c>
      <c r="M37" s="9"/>
      <c r="N37" s="14" t="str">
        <f aca="false">IF($L37="","",$L37+IF($M37="",0,$M37))</f>
        <v/>
      </c>
      <c r="O37" s="13"/>
      <c r="P37" s="7"/>
      <c r="Q37" s="12" t="str">
        <f aca="false">IF($C37="","",IF($P37&lt;&gt;"","발송완료",IF($O37&lt;&gt;"","입금완료","입금대기")))</f>
        <v/>
      </c>
      <c r="R37" s="12" t="str">
        <f aca="false">IF($C37="","",COUNTIFS($C$3:$C37,$C37))</f>
        <v/>
      </c>
      <c r="S37" s="12" t="str">
        <f aca="false">IF($C37="","",$C37&amp;"|"&amp;$R37)</f>
        <v/>
      </c>
    </row>
    <row r="38" customFormat="false" ht="15" hidden="false" customHeight="true" outlineLevel="0" collapsed="false">
      <c r="A38" s="12" t="str">
        <f aca="false">IF($C38="","",TEXT($B38,"yymmdd")&amp;"-"&amp;TEXT(COUNTIFS($B$3:$B38,$B38),"000"))</f>
        <v/>
      </c>
      <c r="B38" s="13"/>
      <c r="C38" s="7"/>
      <c r="D38" s="12" t="str">
        <f aca="false">IF($C38="","",IFERROR(INDEX(고객명부!$B$3:$B$502,MATCH($C38,고객명부!$A$3:$A$502,0)),"미등록고객"))</f>
        <v/>
      </c>
      <c r="E38" s="12" t="str">
        <f aca="false">IF($C38="","",IFERROR(INDEX(고객명부!$C$3:$C$502,MATCH($C38,고객명부!$A$3:$A$502,0)),""))</f>
        <v/>
      </c>
      <c r="F38" s="12" t="str">
        <f aca="false">IF($C38="","",IFERROR(INDEX(고객명부!$D$3:$D$502,MATCH($C38,고객명부!$A$3:$A$502,0)),""))</f>
        <v/>
      </c>
      <c r="G38" s="12" t="str">
        <f aca="false">IF($C38="","",IFERROR(INDEX(고객명부!$E$3:$E$502,MATCH($C38,고객명부!$A$3:$A$502,0))&amp;" "&amp;INDEX(고객명부!$F$3:$F$502,MATCH($C38,고객명부!$A$3:$A$502,0)),""))</f>
        <v/>
      </c>
      <c r="H38" s="7"/>
      <c r="I38" s="12" t="str">
        <f aca="false">IF($H38="","",IFERROR(INDEX(상품목록!$B$3:$B$102,MATCH($H38,상품목록!$A$3:$A$102,0)),""))</f>
        <v/>
      </c>
      <c r="J38" s="14" t="str">
        <f aca="false">IF($H38="","",IFERROR(INDEX(상품목록!$C$3:$C$102,MATCH($H38,상품목록!$A$3:$A$102,0)),0))</f>
        <v/>
      </c>
      <c r="K38" s="7"/>
      <c r="L38" s="14" t="str">
        <f aca="false">IF(OR($J38="",$K38=""),"",ROUND($J38*$K38,0))</f>
        <v/>
      </c>
      <c r="M38" s="9"/>
      <c r="N38" s="14" t="str">
        <f aca="false">IF($L38="","",$L38+IF($M38="",0,$M38))</f>
        <v/>
      </c>
      <c r="O38" s="13"/>
      <c r="P38" s="7"/>
      <c r="Q38" s="12" t="str">
        <f aca="false">IF($C38="","",IF($P38&lt;&gt;"","발송완료",IF($O38&lt;&gt;"","입금완료","입금대기")))</f>
        <v/>
      </c>
      <c r="R38" s="12" t="str">
        <f aca="false">IF($C38="","",COUNTIFS($C$3:$C38,$C38))</f>
        <v/>
      </c>
      <c r="S38" s="12" t="str">
        <f aca="false">IF($C38="","",$C38&amp;"|"&amp;$R38)</f>
        <v/>
      </c>
    </row>
    <row r="39" customFormat="false" ht="15" hidden="false" customHeight="true" outlineLevel="0" collapsed="false">
      <c r="A39" s="12" t="str">
        <f aca="false">IF($C39="","",TEXT($B39,"yymmdd")&amp;"-"&amp;TEXT(COUNTIFS($B$3:$B39,$B39),"000"))</f>
        <v/>
      </c>
      <c r="B39" s="13"/>
      <c r="C39" s="7"/>
      <c r="D39" s="12" t="str">
        <f aca="false">IF($C39="","",IFERROR(INDEX(고객명부!$B$3:$B$502,MATCH($C39,고객명부!$A$3:$A$502,0)),"미등록고객"))</f>
        <v/>
      </c>
      <c r="E39" s="12" t="str">
        <f aca="false">IF($C39="","",IFERROR(INDEX(고객명부!$C$3:$C$502,MATCH($C39,고객명부!$A$3:$A$502,0)),""))</f>
        <v/>
      </c>
      <c r="F39" s="12" t="str">
        <f aca="false">IF($C39="","",IFERROR(INDEX(고객명부!$D$3:$D$502,MATCH($C39,고객명부!$A$3:$A$502,0)),""))</f>
        <v/>
      </c>
      <c r="G39" s="12" t="str">
        <f aca="false">IF($C39="","",IFERROR(INDEX(고객명부!$E$3:$E$502,MATCH($C39,고객명부!$A$3:$A$502,0))&amp;" "&amp;INDEX(고객명부!$F$3:$F$502,MATCH($C39,고객명부!$A$3:$A$502,0)),""))</f>
        <v/>
      </c>
      <c r="H39" s="7"/>
      <c r="I39" s="12" t="str">
        <f aca="false">IF($H39="","",IFERROR(INDEX(상품목록!$B$3:$B$102,MATCH($H39,상품목록!$A$3:$A$102,0)),""))</f>
        <v/>
      </c>
      <c r="J39" s="14" t="str">
        <f aca="false">IF($H39="","",IFERROR(INDEX(상품목록!$C$3:$C$102,MATCH($H39,상품목록!$A$3:$A$102,0)),0))</f>
        <v/>
      </c>
      <c r="K39" s="7"/>
      <c r="L39" s="14" t="str">
        <f aca="false">IF(OR($J39="",$K39=""),"",ROUND($J39*$K39,0))</f>
        <v/>
      </c>
      <c r="M39" s="9"/>
      <c r="N39" s="14" t="str">
        <f aca="false">IF($L39="","",$L39+IF($M39="",0,$M39))</f>
        <v/>
      </c>
      <c r="O39" s="13"/>
      <c r="P39" s="7"/>
      <c r="Q39" s="12" t="str">
        <f aca="false">IF($C39="","",IF($P39&lt;&gt;"","발송완료",IF($O39&lt;&gt;"","입금완료","입금대기")))</f>
        <v/>
      </c>
      <c r="R39" s="12" t="str">
        <f aca="false">IF($C39="","",COUNTIFS($C$3:$C39,$C39))</f>
        <v/>
      </c>
      <c r="S39" s="12" t="str">
        <f aca="false">IF($C39="","",$C39&amp;"|"&amp;$R39)</f>
        <v/>
      </c>
    </row>
    <row r="40" customFormat="false" ht="15" hidden="false" customHeight="true" outlineLevel="0" collapsed="false">
      <c r="A40" s="12" t="str">
        <f aca="false">IF($C40="","",TEXT($B40,"yymmdd")&amp;"-"&amp;TEXT(COUNTIFS($B$3:$B40,$B40),"000"))</f>
        <v/>
      </c>
      <c r="B40" s="13"/>
      <c r="C40" s="7"/>
      <c r="D40" s="12" t="str">
        <f aca="false">IF($C40="","",IFERROR(INDEX(고객명부!$B$3:$B$502,MATCH($C40,고객명부!$A$3:$A$502,0)),"미등록고객"))</f>
        <v/>
      </c>
      <c r="E40" s="12" t="str">
        <f aca="false">IF($C40="","",IFERROR(INDEX(고객명부!$C$3:$C$502,MATCH($C40,고객명부!$A$3:$A$502,0)),""))</f>
        <v/>
      </c>
      <c r="F40" s="12" t="str">
        <f aca="false">IF($C40="","",IFERROR(INDEX(고객명부!$D$3:$D$502,MATCH($C40,고객명부!$A$3:$A$502,0)),""))</f>
        <v/>
      </c>
      <c r="G40" s="12" t="str">
        <f aca="false">IF($C40="","",IFERROR(INDEX(고객명부!$E$3:$E$502,MATCH($C40,고객명부!$A$3:$A$502,0))&amp;" "&amp;INDEX(고객명부!$F$3:$F$502,MATCH($C40,고객명부!$A$3:$A$502,0)),""))</f>
        <v/>
      </c>
      <c r="H40" s="7"/>
      <c r="I40" s="12" t="str">
        <f aca="false">IF($H40="","",IFERROR(INDEX(상품목록!$B$3:$B$102,MATCH($H40,상품목록!$A$3:$A$102,0)),""))</f>
        <v/>
      </c>
      <c r="J40" s="14" t="str">
        <f aca="false">IF($H40="","",IFERROR(INDEX(상품목록!$C$3:$C$102,MATCH($H40,상품목록!$A$3:$A$102,0)),0))</f>
        <v/>
      </c>
      <c r="K40" s="7"/>
      <c r="L40" s="14" t="str">
        <f aca="false">IF(OR($J40="",$K40=""),"",ROUND($J40*$K40,0))</f>
        <v/>
      </c>
      <c r="M40" s="9"/>
      <c r="N40" s="14" t="str">
        <f aca="false">IF($L40="","",$L40+IF($M40="",0,$M40))</f>
        <v/>
      </c>
      <c r="O40" s="13"/>
      <c r="P40" s="7"/>
      <c r="Q40" s="12" t="str">
        <f aca="false">IF($C40="","",IF($P40&lt;&gt;"","발송완료",IF($O40&lt;&gt;"","입금완료","입금대기")))</f>
        <v/>
      </c>
      <c r="R40" s="12" t="str">
        <f aca="false">IF($C40="","",COUNTIFS($C$3:$C40,$C40))</f>
        <v/>
      </c>
      <c r="S40" s="12" t="str">
        <f aca="false">IF($C40="","",$C40&amp;"|"&amp;$R40)</f>
        <v/>
      </c>
    </row>
    <row r="41" customFormat="false" ht="15" hidden="false" customHeight="true" outlineLevel="0" collapsed="false">
      <c r="A41" s="12" t="str">
        <f aca="false">IF($C41="","",TEXT($B41,"yymmdd")&amp;"-"&amp;TEXT(COUNTIFS($B$3:$B41,$B41),"000"))</f>
        <v/>
      </c>
      <c r="B41" s="13"/>
      <c r="C41" s="7"/>
      <c r="D41" s="12" t="str">
        <f aca="false">IF($C41="","",IFERROR(INDEX(고객명부!$B$3:$B$502,MATCH($C41,고객명부!$A$3:$A$502,0)),"미등록고객"))</f>
        <v/>
      </c>
      <c r="E41" s="12" t="str">
        <f aca="false">IF($C41="","",IFERROR(INDEX(고객명부!$C$3:$C$502,MATCH($C41,고객명부!$A$3:$A$502,0)),""))</f>
        <v/>
      </c>
      <c r="F41" s="12" t="str">
        <f aca="false">IF($C41="","",IFERROR(INDEX(고객명부!$D$3:$D$502,MATCH($C41,고객명부!$A$3:$A$502,0)),""))</f>
        <v/>
      </c>
      <c r="G41" s="12" t="str">
        <f aca="false">IF($C41="","",IFERROR(INDEX(고객명부!$E$3:$E$502,MATCH($C41,고객명부!$A$3:$A$502,0))&amp;" "&amp;INDEX(고객명부!$F$3:$F$502,MATCH($C41,고객명부!$A$3:$A$502,0)),""))</f>
        <v/>
      </c>
      <c r="H41" s="7"/>
      <c r="I41" s="12" t="str">
        <f aca="false">IF($H41="","",IFERROR(INDEX(상품목록!$B$3:$B$102,MATCH($H41,상품목록!$A$3:$A$102,0)),""))</f>
        <v/>
      </c>
      <c r="J41" s="14" t="str">
        <f aca="false">IF($H41="","",IFERROR(INDEX(상품목록!$C$3:$C$102,MATCH($H41,상품목록!$A$3:$A$102,0)),0))</f>
        <v/>
      </c>
      <c r="K41" s="7"/>
      <c r="L41" s="14" t="str">
        <f aca="false">IF(OR($J41="",$K41=""),"",ROUND($J41*$K41,0))</f>
        <v/>
      </c>
      <c r="M41" s="9"/>
      <c r="N41" s="14" t="str">
        <f aca="false">IF($L41="","",$L41+IF($M41="",0,$M41))</f>
        <v/>
      </c>
      <c r="O41" s="13"/>
      <c r="P41" s="7"/>
      <c r="Q41" s="12" t="str">
        <f aca="false">IF($C41="","",IF($P41&lt;&gt;"","발송완료",IF($O41&lt;&gt;"","입금완료","입금대기")))</f>
        <v/>
      </c>
      <c r="R41" s="12" t="str">
        <f aca="false">IF($C41="","",COUNTIFS($C$3:$C41,$C41))</f>
        <v/>
      </c>
      <c r="S41" s="12" t="str">
        <f aca="false">IF($C41="","",$C41&amp;"|"&amp;$R41)</f>
        <v/>
      </c>
    </row>
    <row r="42" customFormat="false" ht="15" hidden="false" customHeight="true" outlineLevel="0" collapsed="false">
      <c r="A42" s="12" t="str">
        <f aca="false">IF($C42="","",TEXT($B42,"yymmdd")&amp;"-"&amp;TEXT(COUNTIFS($B$3:$B42,$B42),"000"))</f>
        <v/>
      </c>
      <c r="B42" s="13"/>
      <c r="C42" s="7"/>
      <c r="D42" s="12" t="str">
        <f aca="false">IF($C42="","",IFERROR(INDEX(고객명부!$B$3:$B$502,MATCH($C42,고객명부!$A$3:$A$502,0)),"미등록고객"))</f>
        <v/>
      </c>
      <c r="E42" s="12" t="str">
        <f aca="false">IF($C42="","",IFERROR(INDEX(고객명부!$C$3:$C$502,MATCH($C42,고객명부!$A$3:$A$502,0)),""))</f>
        <v/>
      </c>
      <c r="F42" s="12" t="str">
        <f aca="false">IF($C42="","",IFERROR(INDEX(고객명부!$D$3:$D$502,MATCH($C42,고객명부!$A$3:$A$502,0)),""))</f>
        <v/>
      </c>
      <c r="G42" s="12" t="str">
        <f aca="false">IF($C42="","",IFERROR(INDEX(고객명부!$E$3:$E$502,MATCH($C42,고객명부!$A$3:$A$502,0))&amp;" "&amp;INDEX(고객명부!$F$3:$F$502,MATCH($C42,고객명부!$A$3:$A$502,0)),""))</f>
        <v/>
      </c>
      <c r="H42" s="7"/>
      <c r="I42" s="12" t="str">
        <f aca="false">IF($H42="","",IFERROR(INDEX(상품목록!$B$3:$B$102,MATCH($H42,상품목록!$A$3:$A$102,0)),""))</f>
        <v/>
      </c>
      <c r="J42" s="14" t="str">
        <f aca="false">IF($H42="","",IFERROR(INDEX(상품목록!$C$3:$C$102,MATCH($H42,상품목록!$A$3:$A$102,0)),0))</f>
        <v/>
      </c>
      <c r="K42" s="7"/>
      <c r="L42" s="14" t="str">
        <f aca="false">IF(OR($J42="",$K42=""),"",ROUND($J42*$K42,0))</f>
        <v/>
      </c>
      <c r="M42" s="9"/>
      <c r="N42" s="14" t="str">
        <f aca="false">IF($L42="","",$L42+IF($M42="",0,$M42))</f>
        <v/>
      </c>
      <c r="O42" s="13"/>
      <c r="P42" s="7"/>
      <c r="Q42" s="12" t="str">
        <f aca="false">IF($C42="","",IF($P42&lt;&gt;"","발송완료",IF($O42&lt;&gt;"","입금완료","입금대기")))</f>
        <v/>
      </c>
      <c r="R42" s="12" t="str">
        <f aca="false">IF($C42="","",COUNTIFS($C$3:$C42,$C42))</f>
        <v/>
      </c>
      <c r="S42" s="12" t="str">
        <f aca="false">IF($C42="","",$C42&amp;"|"&amp;$R42)</f>
        <v/>
      </c>
    </row>
    <row r="43" customFormat="false" ht="15" hidden="false" customHeight="true" outlineLevel="0" collapsed="false">
      <c r="A43" s="12" t="str">
        <f aca="false">IF($C43="","",TEXT($B43,"yymmdd")&amp;"-"&amp;TEXT(COUNTIFS($B$3:$B43,$B43),"000"))</f>
        <v/>
      </c>
      <c r="B43" s="13"/>
      <c r="C43" s="7"/>
      <c r="D43" s="12" t="str">
        <f aca="false">IF($C43="","",IFERROR(INDEX(고객명부!$B$3:$B$502,MATCH($C43,고객명부!$A$3:$A$502,0)),"미등록고객"))</f>
        <v/>
      </c>
      <c r="E43" s="12" t="str">
        <f aca="false">IF($C43="","",IFERROR(INDEX(고객명부!$C$3:$C$502,MATCH($C43,고객명부!$A$3:$A$502,0)),""))</f>
        <v/>
      </c>
      <c r="F43" s="12" t="str">
        <f aca="false">IF($C43="","",IFERROR(INDEX(고객명부!$D$3:$D$502,MATCH($C43,고객명부!$A$3:$A$502,0)),""))</f>
        <v/>
      </c>
      <c r="G43" s="12" t="str">
        <f aca="false">IF($C43="","",IFERROR(INDEX(고객명부!$E$3:$E$502,MATCH($C43,고객명부!$A$3:$A$502,0))&amp;" "&amp;INDEX(고객명부!$F$3:$F$502,MATCH($C43,고객명부!$A$3:$A$502,0)),""))</f>
        <v/>
      </c>
      <c r="H43" s="7"/>
      <c r="I43" s="12" t="str">
        <f aca="false">IF($H43="","",IFERROR(INDEX(상품목록!$B$3:$B$102,MATCH($H43,상품목록!$A$3:$A$102,0)),""))</f>
        <v/>
      </c>
      <c r="J43" s="14" t="str">
        <f aca="false">IF($H43="","",IFERROR(INDEX(상품목록!$C$3:$C$102,MATCH($H43,상품목록!$A$3:$A$102,0)),0))</f>
        <v/>
      </c>
      <c r="K43" s="7"/>
      <c r="L43" s="14" t="str">
        <f aca="false">IF(OR($J43="",$K43=""),"",ROUND($J43*$K43,0))</f>
        <v/>
      </c>
      <c r="M43" s="9"/>
      <c r="N43" s="14" t="str">
        <f aca="false">IF($L43="","",$L43+IF($M43="",0,$M43))</f>
        <v/>
      </c>
      <c r="O43" s="13"/>
      <c r="P43" s="7"/>
      <c r="Q43" s="12" t="str">
        <f aca="false">IF($C43="","",IF($P43&lt;&gt;"","발송완료",IF($O43&lt;&gt;"","입금완료","입금대기")))</f>
        <v/>
      </c>
      <c r="R43" s="12" t="str">
        <f aca="false">IF($C43="","",COUNTIFS($C$3:$C43,$C43))</f>
        <v/>
      </c>
      <c r="S43" s="12" t="str">
        <f aca="false">IF($C43="","",$C43&amp;"|"&amp;$R43)</f>
        <v/>
      </c>
    </row>
    <row r="44" customFormat="false" ht="15" hidden="false" customHeight="true" outlineLevel="0" collapsed="false">
      <c r="A44" s="12" t="str">
        <f aca="false">IF($C44="","",TEXT($B44,"yymmdd")&amp;"-"&amp;TEXT(COUNTIFS($B$3:$B44,$B44),"000"))</f>
        <v/>
      </c>
      <c r="B44" s="13"/>
      <c r="C44" s="7"/>
      <c r="D44" s="12" t="str">
        <f aca="false">IF($C44="","",IFERROR(INDEX(고객명부!$B$3:$B$502,MATCH($C44,고객명부!$A$3:$A$502,0)),"미등록고객"))</f>
        <v/>
      </c>
      <c r="E44" s="12" t="str">
        <f aca="false">IF($C44="","",IFERROR(INDEX(고객명부!$C$3:$C$502,MATCH($C44,고객명부!$A$3:$A$502,0)),""))</f>
        <v/>
      </c>
      <c r="F44" s="12" t="str">
        <f aca="false">IF($C44="","",IFERROR(INDEX(고객명부!$D$3:$D$502,MATCH($C44,고객명부!$A$3:$A$502,0)),""))</f>
        <v/>
      </c>
      <c r="G44" s="12" t="str">
        <f aca="false">IF($C44="","",IFERROR(INDEX(고객명부!$E$3:$E$502,MATCH($C44,고객명부!$A$3:$A$502,0))&amp;" "&amp;INDEX(고객명부!$F$3:$F$502,MATCH($C44,고객명부!$A$3:$A$502,0)),""))</f>
        <v/>
      </c>
      <c r="H44" s="7"/>
      <c r="I44" s="12" t="str">
        <f aca="false">IF($H44="","",IFERROR(INDEX(상품목록!$B$3:$B$102,MATCH($H44,상품목록!$A$3:$A$102,0)),""))</f>
        <v/>
      </c>
      <c r="J44" s="14" t="str">
        <f aca="false">IF($H44="","",IFERROR(INDEX(상품목록!$C$3:$C$102,MATCH($H44,상품목록!$A$3:$A$102,0)),0))</f>
        <v/>
      </c>
      <c r="K44" s="7"/>
      <c r="L44" s="14" t="str">
        <f aca="false">IF(OR($J44="",$K44=""),"",ROUND($J44*$K44,0))</f>
        <v/>
      </c>
      <c r="M44" s="9"/>
      <c r="N44" s="14" t="str">
        <f aca="false">IF($L44="","",$L44+IF($M44="",0,$M44))</f>
        <v/>
      </c>
      <c r="O44" s="13"/>
      <c r="P44" s="7"/>
      <c r="Q44" s="12" t="str">
        <f aca="false">IF($C44="","",IF($P44&lt;&gt;"","발송완료",IF($O44&lt;&gt;"","입금완료","입금대기")))</f>
        <v/>
      </c>
      <c r="R44" s="12" t="str">
        <f aca="false">IF($C44="","",COUNTIFS($C$3:$C44,$C44))</f>
        <v/>
      </c>
      <c r="S44" s="12" t="str">
        <f aca="false">IF($C44="","",$C44&amp;"|"&amp;$R44)</f>
        <v/>
      </c>
    </row>
    <row r="45" customFormat="false" ht="15" hidden="false" customHeight="true" outlineLevel="0" collapsed="false">
      <c r="A45" s="12" t="str">
        <f aca="false">IF($C45="","",TEXT($B45,"yymmdd")&amp;"-"&amp;TEXT(COUNTIFS($B$3:$B45,$B45),"000"))</f>
        <v/>
      </c>
      <c r="B45" s="13"/>
      <c r="C45" s="7"/>
      <c r="D45" s="12" t="str">
        <f aca="false">IF($C45="","",IFERROR(INDEX(고객명부!$B$3:$B$502,MATCH($C45,고객명부!$A$3:$A$502,0)),"미등록고객"))</f>
        <v/>
      </c>
      <c r="E45" s="12" t="str">
        <f aca="false">IF($C45="","",IFERROR(INDEX(고객명부!$C$3:$C$502,MATCH($C45,고객명부!$A$3:$A$502,0)),""))</f>
        <v/>
      </c>
      <c r="F45" s="12" t="str">
        <f aca="false">IF($C45="","",IFERROR(INDEX(고객명부!$D$3:$D$502,MATCH($C45,고객명부!$A$3:$A$502,0)),""))</f>
        <v/>
      </c>
      <c r="G45" s="12" t="str">
        <f aca="false">IF($C45="","",IFERROR(INDEX(고객명부!$E$3:$E$502,MATCH($C45,고객명부!$A$3:$A$502,0))&amp;" "&amp;INDEX(고객명부!$F$3:$F$502,MATCH($C45,고객명부!$A$3:$A$502,0)),""))</f>
        <v/>
      </c>
      <c r="H45" s="7"/>
      <c r="I45" s="12" t="str">
        <f aca="false">IF($H45="","",IFERROR(INDEX(상품목록!$B$3:$B$102,MATCH($H45,상품목록!$A$3:$A$102,0)),""))</f>
        <v/>
      </c>
      <c r="J45" s="14" t="str">
        <f aca="false">IF($H45="","",IFERROR(INDEX(상품목록!$C$3:$C$102,MATCH($H45,상품목록!$A$3:$A$102,0)),0))</f>
        <v/>
      </c>
      <c r="K45" s="7"/>
      <c r="L45" s="14" t="str">
        <f aca="false">IF(OR($J45="",$K45=""),"",ROUND($J45*$K45,0))</f>
        <v/>
      </c>
      <c r="M45" s="9"/>
      <c r="N45" s="14" t="str">
        <f aca="false">IF($L45="","",$L45+IF($M45="",0,$M45))</f>
        <v/>
      </c>
      <c r="O45" s="13"/>
      <c r="P45" s="7"/>
      <c r="Q45" s="12" t="str">
        <f aca="false">IF($C45="","",IF($P45&lt;&gt;"","발송완료",IF($O45&lt;&gt;"","입금완료","입금대기")))</f>
        <v/>
      </c>
      <c r="R45" s="12" t="str">
        <f aca="false">IF($C45="","",COUNTIFS($C$3:$C45,$C45))</f>
        <v/>
      </c>
      <c r="S45" s="12" t="str">
        <f aca="false">IF($C45="","",$C45&amp;"|"&amp;$R45)</f>
        <v/>
      </c>
    </row>
    <row r="46" customFormat="false" ht="15" hidden="false" customHeight="true" outlineLevel="0" collapsed="false">
      <c r="A46" s="12" t="str">
        <f aca="false">IF($C46="","",TEXT($B46,"yymmdd")&amp;"-"&amp;TEXT(COUNTIFS($B$3:$B46,$B46),"000"))</f>
        <v/>
      </c>
      <c r="B46" s="13"/>
      <c r="C46" s="7"/>
      <c r="D46" s="12" t="str">
        <f aca="false">IF($C46="","",IFERROR(INDEX(고객명부!$B$3:$B$502,MATCH($C46,고객명부!$A$3:$A$502,0)),"미등록고객"))</f>
        <v/>
      </c>
      <c r="E46" s="12" t="str">
        <f aca="false">IF($C46="","",IFERROR(INDEX(고객명부!$C$3:$C$502,MATCH($C46,고객명부!$A$3:$A$502,0)),""))</f>
        <v/>
      </c>
      <c r="F46" s="12" t="str">
        <f aca="false">IF($C46="","",IFERROR(INDEX(고객명부!$D$3:$D$502,MATCH($C46,고객명부!$A$3:$A$502,0)),""))</f>
        <v/>
      </c>
      <c r="G46" s="12" t="str">
        <f aca="false">IF($C46="","",IFERROR(INDEX(고객명부!$E$3:$E$502,MATCH($C46,고객명부!$A$3:$A$502,0))&amp;" "&amp;INDEX(고객명부!$F$3:$F$502,MATCH($C46,고객명부!$A$3:$A$502,0)),""))</f>
        <v/>
      </c>
      <c r="H46" s="7"/>
      <c r="I46" s="12" t="str">
        <f aca="false">IF($H46="","",IFERROR(INDEX(상품목록!$B$3:$B$102,MATCH($H46,상품목록!$A$3:$A$102,0)),""))</f>
        <v/>
      </c>
      <c r="J46" s="14" t="str">
        <f aca="false">IF($H46="","",IFERROR(INDEX(상품목록!$C$3:$C$102,MATCH($H46,상품목록!$A$3:$A$102,0)),0))</f>
        <v/>
      </c>
      <c r="K46" s="7"/>
      <c r="L46" s="14" t="str">
        <f aca="false">IF(OR($J46="",$K46=""),"",ROUND($J46*$K46,0))</f>
        <v/>
      </c>
      <c r="M46" s="9"/>
      <c r="N46" s="14" t="str">
        <f aca="false">IF($L46="","",$L46+IF($M46="",0,$M46))</f>
        <v/>
      </c>
      <c r="O46" s="13"/>
      <c r="P46" s="7"/>
      <c r="Q46" s="12" t="str">
        <f aca="false">IF($C46="","",IF($P46&lt;&gt;"","발송완료",IF($O46&lt;&gt;"","입금완료","입금대기")))</f>
        <v/>
      </c>
      <c r="R46" s="12" t="str">
        <f aca="false">IF($C46="","",COUNTIFS($C$3:$C46,$C46))</f>
        <v/>
      </c>
      <c r="S46" s="12" t="str">
        <f aca="false">IF($C46="","",$C46&amp;"|"&amp;$R46)</f>
        <v/>
      </c>
    </row>
    <row r="47" customFormat="false" ht="15" hidden="false" customHeight="true" outlineLevel="0" collapsed="false">
      <c r="A47" s="12" t="str">
        <f aca="false">IF($C47="","",TEXT($B47,"yymmdd")&amp;"-"&amp;TEXT(COUNTIFS($B$3:$B47,$B47),"000"))</f>
        <v/>
      </c>
      <c r="B47" s="13"/>
      <c r="C47" s="7"/>
      <c r="D47" s="12" t="str">
        <f aca="false">IF($C47="","",IFERROR(INDEX(고객명부!$B$3:$B$502,MATCH($C47,고객명부!$A$3:$A$502,0)),"미등록고객"))</f>
        <v/>
      </c>
      <c r="E47" s="12" t="str">
        <f aca="false">IF($C47="","",IFERROR(INDEX(고객명부!$C$3:$C$502,MATCH($C47,고객명부!$A$3:$A$502,0)),""))</f>
        <v/>
      </c>
      <c r="F47" s="12" t="str">
        <f aca="false">IF($C47="","",IFERROR(INDEX(고객명부!$D$3:$D$502,MATCH($C47,고객명부!$A$3:$A$502,0)),""))</f>
        <v/>
      </c>
      <c r="G47" s="12" t="str">
        <f aca="false">IF($C47="","",IFERROR(INDEX(고객명부!$E$3:$E$502,MATCH($C47,고객명부!$A$3:$A$502,0))&amp;" "&amp;INDEX(고객명부!$F$3:$F$502,MATCH($C47,고객명부!$A$3:$A$502,0)),""))</f>
        <v/>
      </c>
      <c r="H47" s="7"/>
      <c r="I47" s="12" t="str">
        <f aca="false">IF($H47="","",IFERROR(INDEX(상품목록!$B$3:$B$102,MATCH($H47,상품목록!$A$3:$A$102,0)),""))</f>
        <v/>
      </c>
      <c r="J47" s="14" t="str">
        <f aca="false">IF($H47="","",IFERROR(INDEX(상품목록!$C$3:$C$102,MATCH($H47,상품목록!$A$3:$A$102,0)),0))</f>
        <v/>
      </c>
      <c r="K47" s="7"/>
      <c r="L47" s="14" t="str">
        <f aca="false">IF(OR($J47="",$K47=""),"",ROUND($J47*$K47,0))</f>
        <v/>
      </c>
      <c r="M47" s="9"/>
      <c r="N47" s="14" t="str">
        <f aca="false">IF($L47="","",$L47+IF($M47="",0,$M47))</f>
        <v/>
      </c>
      <c r="O47" s="13"/>
      <c r="P47" s="7"/>
      <c r="Q47" s="12" t="str">
        <f aca="false">IF($C47="","",IF($P47&lt;&gt;"","발송완료",IF($O47&lt;&gt;"","입금완료","입금대기")))</f>
        <v/>
      </c>
      <c r="R47" s="12" t="str">
        <f aca="false">IF($C47="","",COUNTIFS($C$3:$C47,$C47))</f>
        <v/>
      </c>
      <c r="S47" s="12" t="str">
        <f aca="false">IF($C47="","",$C47&amp;"|"&amp;$R47)</f>
        <v/>
      </c>
    </row>
    <row r="48" customFormat="false" ht="15" hidden="false" customHeight="true" outlineLevel="0" collapsed="false">
      <c r="A48" s="12" t="str">
        <f aca="false">IF($C48="","",TEXT($B48,"yymmdd")&amp;"-"&amp;TEXT(COUNTIFS($B$3:$B48,$B48),"000"))</f>
        <v/>
      </c>
      <c r="B48" s="13"/>
      <c r="C48" s="7"/>
      <c r="D48" s="12" t="str">
        <f aca="false">IF($C48="","",IFERROR(INDEX(고객명부!$B$3:$B$502,MATCH($C48,고객명부!$A$3:$A$502,0)),"미등록고객"))</f>
        <v/>
      </c>
      <c r="E48" s="12" t="str">
        <f aca="false">IF($C48="","",IFERROR(INDEX(고객명부!$C$3:$C$502,MATCH($C48,고객명부!$A$3:$A$502,0)),""))</f>
        <v/>
      </c>
      <c r="F48" s="12" t="str">
        <f aca="false">IF($C48="","",IFERROR(INDEX(고객명부!$D$3:$D$502,MATCH($C48,고객명부!$A$3:$A$502,0)),""))</f>
        <v/>
      </c>
      <c r="G48" s="12" t="str">
        <f aca="false">IF($C48="","",IFERROR(INDEX(고객명부!$E$3:$E$502,MATCH($C48,고객명부!$A$3:$A$502,0))&amp;" "&amp;INDEX(고객명부!$F$3:$F$502,MATCH($C48,고객명부!$A$3:$A$502,0)),""))</f>
        <v/>
      </c>
      <c r="H48" s="7"/>
      <c r="I48" s="12" t="str">
        <f aca="false">IF($H48="","",IFERROR(INDEX(상품목록!$B$3:$B$102,MATCH($H48,상품목록!$A$3:$A$102,0)),""))</f>
        <v/>
      </c>
      <c r="J48" s="14" t="str">
        <f aca="false">IF($H48="","",IFERROR(INDEX(상품목록!$C$3:$C$102,MATCH($H48,상품목록!$A$3:$A$102,0)),0))</f>
        <v/>
      </c>
      <c r="K48" s="7"/>
      <c r="L48" s="14" t="str">
        <f aca="false">IF(OR($J48="",$K48=""),"",ROUND($J48*$K48,0))</f>
        <v/>
      </c>
      <c r="M48" s="9"/>
      <c r="N48" s="14" t="str">
        <f aca="false">IF($L48="","",$L48+IF($M48="",0,$M48))</f>
        <v/>
      </c>
      <c r="O48" s="13"/>
      <c r="P48" s="7"/>
      <c r="Q48" s="12" t="str">
        <f aca="false">IF($C48="","",IF($P48&lt;&gt;"","발송완료",IF($O48&lt;&gt;"","입금완료","입금대기")))</f>
        <v/>
      </c>
      <c r="R48" s="12" t="str">
        <f aca="false">IF($C48="","",COUNTIFS($C$3:$C48,$C48))</f>
        <v/>
      </c>
      <c r="S48" s="12" t="str">
        <f aca="false">IF($C48="","",$C48&amp;"|"&amp;$R48)</f>
        <v/>
      </c>
    </row>
    <row r="49" customFormat="false" ht="15" hidden="false" customHeight="true" outlineLevel="0" collapsed="false">
      <c r="A49" s="12" t="str">
        <f aca="false">IF($C49="","",TEXT($B49,"yymmdd")&amp;"-"&amp;TEXT(COUNTIFS($B$3:$B49,$B49),"000"))</f>
        <v/>
      </c>
      <c r="B49" s="13"/>
      <c r="C49" s="7"/>
      <c r="D49" s="12" t="str">
        <f aca="false">IF($C49="","",IFERROR(INDEX(고객명부!$B$3:$B$502,MATCH($C49,고객명부!$A$3:$A$502,0)),"미등록고객"))</f>
        <v/>
      </c>
      <c r="E49" s="12" t="str">
        <f aca="false">IF($C49="","",IFERROR(INDEX(고객명부!$C$3:$C$502,MATCH($C49,고객명부!$A$3:$A$502,0)),""))</f>
        <v/>
      </c>
      <c r="F49" s="12" t="str">
        <f aca="false">IF($C49="","",IFERROR(INDEX(고객명부!$D$3:$D$502,MATCH($C49,고객명부!$A$3:$A$502,0)),""))</f>
        <v/>
      </c>
      <c r="G49" s="12" t="str">
        <f aca="false">IF($C49="","",IFERROR(INDEX(고객명부!$E$3:$E$502,MATCH($C49,고객명부!$A$3:$A$502,0))&amp;" "&amp;INDEX(고객명부!$F$3:$F$502,MATCH($C49,고객명부!$A$3:$A$502,0)),""))</f>
        <v/>
      </c>
      <c r="H49" s="7"/>
      <c r="I49" s="12" t="str">
        <f aca="false">IF($H49="","",IFERROR(INDEX(상품목록!$B$3:$B$102,MATCH($H49,상품목록!$A$3:$A$102,0)),""))</f>
        <v/>
      </c>
      <c r="J49" s="14" t="str">
        <f aca="false">IF($H49="","",IFERROR(INDEX(상품목록!$C$3:$C$102,MATCH($H49,상품목록!$A$3:$A$102,0)),0))</f>
        <v/>
      </c>
      <c r="K49" s="7"/>
      <c r="L49" s="14" t="str">
        <f aca="false">IF(OR($J49="",$K49=""),"",ROUND($J49*$K49,0))</f>
        <v/>
      </c>
      <c r="M49" s="9"/>
      <c r="N49" s="14" t="str">
        <f aca="false">IF($L49="","",$L49+IF($M49="",0,$M49))</f>
        <v/>
      </c>
      <c r="O49" s="13"/>
      <c r="P49" s="7"/>
      <c r="Q49" s="12" t="str">
        <f aca="false">IF($C49="","",IF($P49&lt;&gt;"","발송완료",IF($O49&lt;&gt;"","입금완료","입금대기")))</f>
        <v/>
      </c>
      <c r="R49" s="12" t="str">
        <f aca="false">IF($C49="","",COUNTIFS($C$3:$C49,$C49))</f>
        <v/>
      </c>
      <c r="S49" s="12" t="str">
        <f aca="false">IF($C49="","",$C49&amp;"|"&amp;$R49)</f>
        <v/>
      </c>
    </row>
    <row r="50" customFormat="false" ht="15" hidden="false" customHeight="true" outlineLevel="0" collapsed="false">
      <c r="A50" s="12" t="str">
        <f aca="false">IF($C50="","",TEXT($B50,"yymmdd")&amp;"-"&amp;TEXT(COUNTIFS($B$3:$B50,$B50),"000"))</f>
        <v/>
      </c>
      <c r="B50" s="13"/>
      <c r="C50" s="7"/>
      <c r="D50" s="12" t="str">
        <f aca="false">IF($C50="","",IFERROR(INDEX(고객명부!$B$3:$B$502,MATCH($C50,고객명부!$A$3:$A$502,0)),"미등록고객"))</f>
        <v/>
      </c>
      <c r="E50" s="12" t="str">
        <f aca="false">IF($C50="","",IFERROR(INDEX(고객명부!$C$3:$C$502,MATCH($C50,고객명부!$A$3:$A$502,0)),""))</f>
        <v/>
      </c>
      <c r="F50" s="12" t="str">
        <f aca="false">IF($C50="","",IFERROR(INDEX(고객명부!$D$3:$D$502,MATCH($C50,고객명부!$A$3:$A$502,0)),""))</f>
        <v/>
      </c>
      <c r="G50" s="12" t="str">
        <f aca="false">IF($C50="","",IFERROR(INDEX(고객명부!$E$3:$E$502,MATCH($C50,고객명부!$A$3:$A$502,0))&amp;" "&amp;INDEX(고객명부!$F$3:$F$502,MATCH($C50,고객명부!$A$3:$A$502,0)),""))</f>
        <v/>
      </c>
      <c r="H50" s="7"/>
      <c r="I50" s="12" t="str">
        <f aca="false">IF($H50="","",IFERROR(INDEX(상품목록!$B$3:$B$102,MATCH($H50,상품목록!$A$3:$A$102,0)),""))</f>
        <v/>
      </c>
      <c r="J50" s="14" t="str">
        <f aca="false">IF($H50="","",IFERROR(INDEX(상품목록!$C$3:$C$102,MATCH($H50,상품목록!$A$3:$A$102,0)),0))</f>
        <v/>
      </c>
      <c r="K50" s="7"/>
      <c r="L50" s="14" t="str">
        <f aca="false">IF(OR($J50="",$K50=""),"",ROUND($J50*$K50,0))</f>
        <v/>
      </c>
      <c r="M50" s="9"/>
      <c r="N50" s="14" t="str">
        <f aca="false">IF($L50="","",$L50+IF($M50="",0,$M50))</f>
        <v/>
      </c>
      <c r="O50" s="13"/>
      <c r="P50" s="7"/>
      <c r="Q50" s="12" t="str">
        <f aca="false">IF($C50="","",IF($P50&lt;&gt;"","발송완료",IF($O50&lt;&gt;"","입금완료","입금대기")))</f>
        <v/>
      </c>
      <c r="R50" s="12" t="str">
        <f aca="false">IF($C50="","",COUNTIFS($C$3:$C50,$C50))</f>
        <v/>
      </c>
      <c r="S50" s="12" t="str">
        <f aca="false">IF($C50="","",$C50&amp;"|"&amp;$R50)</f>
        <v/>
      </c>
    </row>
    <row r="51" customFormat="false" ht="15" hidden="false" customHeight="true" outlineLevel="0" collapsed="false">
      <c r="A51" s="12" t="str">
        <f aca="false">IF($C51="","",TEXT($B51,"yymmdd")&amp;"-"&amp;TEXT(COUNTIFS($B$3:$B51,$B51),"000"))</f>
        <v/>
      </c>
      <c r="B51" s="13"/>
      <c r="C51" s="7"/>
      <c r="D51" s="12" t="str">
        <f aca="false">IF($C51="","",IFERROR(INDEX(고객명부!$B$3:$B$502,MATCH($C51,고객명부!$A$3:$A$502,0)),"미등록고객"))</f>
        <v/>
      </c>
      <c r="E51" s="12" t="str">
        <f aca="false">IF($C51="","",IFERROR(INDEX(고객명부!$C$3:$C$502,MATCH($C51,고객명부!$A$3:$A$502,0)),""))</f>
        <v/>
      </c>
      <c r="F51" s="12" t="str">
        <f aca="false">IF($C51="","",IFERROR(INDEX(고객명부!$D$3:$D$502,MATCH($C51,고객명부!$A$3:$A$502,0)),""))</f>
        <v/>
      </c>
      <c r="G51" s="12" t="str">
        <f aca="false">IF($C51="","",IFERROR(INDEX(고객명부!$E$3:$E$502,MATCH($C51,고객명부!$A$3:$A$502,0))&amp;" "&amp;INDEX(고객명부!$F$3:$F$502,MATCH($C51,고객명부!$A$3:$A$502,0)),""))</f>
        <v/>
      </c>
      <c r="H51" s="7"/>
      <c r="I51" s="12" t="str">
        <f aca="false">IF($H51="","",IFERROR(INDEX(상품목록!$B$3:$B$102,MATCH($H51,상품목록!$A$3:$A$102,0)),""))</f>
        <v/>
      </c>
      <c r="J51" s="14" t="str">
        <f aca="false">IF($H51="","",IFERROR(INDEX(상품목록!$C$3:$C$102,MATCH($H51,상품목록!$A$3:$A$102,0)),0))</f>
        <v/>
      </c>
      <c r="K51" s="7"/>
      <c r="L51" s="14" t="str">
        <f aca="false">IF(OR($J51="",$K51=""),"",ROUND($J51*$K51,0))</f>
        <v/>
      </c>
      <c r="M51" s="9"/>
      <c r="N51" s="14" t="str">
        <f aca="false">IF($L51="","",$L51+IF($M51="",0,$M51))</f>
        <v/>
      </c>
      <c r="O51" s="13"/>
      <c r="P51" s="7"/>
      <c r="Q51" s="12" t="str">
        <f aca="false">IF($C51="","",IF($P51&lt;&gt;"","발송완료",IF($O51&lt;&gt;"","입금완료","입금대기")))</f>
        <v/>
      </c>
      <c r="R51" s="12" t="str">
        <f aca="false">IF($C51="","",COUNTIFS($C$3:$C51,$C51))</f>
        <v/>
      </c>
      <c r="S51" s="12" t="str">
        <f aca="false">IF($C51="","",$C51&amp;"|"&amp;$R51)</f>
        <v/>
      </c>
    </row>
    <row r="52" customFormat="false" ht="15" hidden="false" customHeight="true" outlineLevel="0" collapsed="false">
      <c r="A52" s="12" t="str">
        <f aca="false">IF($C52="","",TEXT($B52,"yymmdd")&amp;"-"&amp;TEXT(COUNTIFS($B$3:$B52,$B52),"000"))</f>
        <v/>
      </c>
      <c r="B52" s="13"/>
      <c r="C52" s="7"/>
      <c r="D52" s="12" t="str">
        <f aca="false">IF($C52="","",IFERROR(INDEX(고객명부!$B$3:$B$502,MATCH($C52,고객명부!$A$3:$A$502,0)),"미등록고객"))</f>
        <v/>
      </c>
      <c r="E52" s="12" t="str">
        <f aca="false">IF($C52="","",IFERROR(INDEX(고객명부!$C$3:$C$502,MATCH($C52,고객명부!$A$3:$A$502,0)),""))</f>
        <v/>
      </c>
      <c r="F52" s="12" t="str">
        <f aca="false">IF($C52="","",IFERROR(INDEX(고객명부!$D$3:$D$502,MATCH($C52,고객명부!$A$3:$A$502,0)),""))</f>
        <v/>
      </c>
      <c r="G52" s="12" t="str">
        <f aca="false">IF($C52="","",IFERROR(INDEX(고객명부!$E$3:$E$502,MATCH($C52,고객명부!$A$3:$A$502,0))&amp;" "&amp;INDEX(고객명부!$F$3:$F$502,MATCH($C52,고객명부!$A$3:$A$502,0)),""))</f>
        <v/>
      </c>
      <c r="H52" s="7"/>
      <c r="I52" s="12" t="str">
        <f aca="false">IF($H52="","",IFERROR(INDEX(상품목록!$B$3:$B$102,MATCH($H52,상품목록!$A$3:$A$102,0)),""))</f>
        <v/>
      </c>
      <c r="J52" s="14" t="str">
        <f aca="false">IF($H52="","",IFERROR(INDEX(상품목록!$C$3:$C$102,MATCH($H52,상품목록!$A$3:$A$102,0)),0))</f>
        <v/>
      </c>
      <c r="K52" s="7"/>
      <c r="L52" s="14" t="str">
        <f aca="false">IF(OR($J52="",$K52=""),"",ROUND($J52*$K52,0))</f>
        <v/>
      </c>
      <c r="M52" s="9"/>
      <c r="N52" s="14" t="str">
        <f aca="false">IF($L52="","",$L52+IF($M52="",0,$M52))</f>
        <v/>
      </c>
      <c r="O52" s="13"/>
      <c r="P52" s="7"/>
      <c r="Q52" s="12" t="str">
        <f aca="false">IF($C52="","",IF($P52&lt;&gt;"","발송완료",IF($O52&lt;&gt;"","입금완료","입금대기")))</f>
        <v/>
      </c>
      <c r="R52" s="12" t="str">
        <f aca="false">IF($C52="","",COUNTIFS($C$3:$C52,$C52))</f>
        <v/>
      </c>
      <c r="S52" s="12" t="str">
        <f aca="false">IF($C52="","",$C52&amp;"|"&amp;$R52)</f>
        <v/>
      </c>
    </row>
    <row r="53" customFormat="false" ht="15" hidden="false" customHeight="true" outlineLevel="0" collapsed="false">
      <c r="A53" s="12" t="str">
        <f aca="false">IF($C53="","",TEXT($B53,"yymmdd")&amp;"-"&amp;TEXT(COUNTIFS($B$3:$B53,$B53),"000"))</f>
        <v/>
      </c>
      <c r="B53" s="13"/>
      <c r="C53" s="7"/>
      <c r="D53" s="12" t="str">
        <f aca="false">IF($C53="","",IFERROR(INDEX(고객명부!$B$3:$B$502,MATCH($C53,고객명부!$A$3:$A$502,0)),"미등록고객"))</f>
        <v/>
      </c>
      <c r="E53" s="12" t="str">
        <f aca="false">IF($C53="","",IFERROR(INDEX(고객명부!$C$3:$C$502,MATCH($C53,고객명부!$A$3:$A$502,0)),""))</f>
        <v/>
      </c>
      <c r="F53" s="12" t="str">
        <f aca="false">IF($C53="","",IFERROR(INDEX(고객명부!$D$3:$D$502,MATCH($C53,고객명부!$A$3:$A$502,0)),""))</f>
        <v/>
      </c>
      <c r="G53" s="12" t="str">
        <f aca="false">IF($C53="","",IFERROR(INDEX(고객명부!$E$3:$E$502,MATCH($C53,고객명부!$A$3:$A$502,0))&amp;" "&amp;INDEX(고객명부!$F$3:$F$502,MATCH($C53,고객명부!$A$3:$A$502,0)),""))</f>
        <v/>
      </c>
      <c r="H53" s="7"/>
      <c r="I53" s="12" t="str">
        <f aca="false">IF($H53="","",IFERROR(INDEX(상품목록!$B$3:$B$102,MATCH($H53,상품목록!$A$3:$A$102,0)),""))</f>
        <v/>
      </c>
      <c r="J53" s="14" t="str">
        <f aca="false">IF($H53="","",IFERROR(INDEX(상품목록!$C$3:$C$102,MATCH($H53,상품목록!$A$3:$A$102,0)),0))</f>
        <v/>
      </c>
      <c r="K53" s="7"/>
      <c r="L53" s="14" t="str">
        <f aca="false">IF(OR($J53="",$K53=""),"",ROUND($J53*$K53,0))</f>
        <v/>
      </c>
      <c r="M53" s="9"/>
      <c r="N53" s="14" t="str">
        <f aca="false">IF($L53="","",$L53+IF($M53="",0,$M53))</f>
        <v/>
      </c>
      <c r="O53" s="13"/>
      <c r="P53" s="7"/>
      <c r="Q53" s="12" t="str">
        <f aca="false">IF($C53="","",IF($P53&lt;&gt;"","발송완료",IF($O53&lt;&gt;"","입금완료","입금대기")))</f>
        <v/>
      </c>
      <c r="R53" s="12" t="str">
        <f aca="false">IF($C53="","",COUNTIFS($C$3:$C53,$C53))</f>
        <v/>
      </c>
      <c r="S53" s="12" t="str">
        <f aca="false">IF($C53="","",$C53&amp;"|"&amp;$R53)</f>
        <v/>
      </c>
    </row>
    <row r="54" customFormat="false" ht="15" hidden="false" customHeight="true" outlineLevel="0" collapsed="false">
      <c r="A54" s="12" t="str">
        <f aca="false">IF($C54="","",TEXT($B54,"yymmdd")&amp;"-"&amp;TEXT(COUNTIFS($B$3:$B54,$B54),"000"))</f>
        <v/>
      </c>
      <c r="B54" s="13"/>
      <c r="C54" s="7"/>
      <c r="D54" s="12" t="str">
        <f aca="false">IF($C54="","",IFERROR(INDEX(고객명부!$B$3:$B$502,MATCH($C54,고객명부!$A$3:$A$502,0)),"미등록고객"))</f>
        <v/>
      </c>
      <c r="E54" s="12" t="str">
        <f aca="false">IF($C54="","",IFERROR(INDEX(고객명부!$C$3:$C$502,MATCH($C54,고객명부!$A$3:$A$502,0)),""))</f>
        <v/>
      </c>
      <c r="F54" s="12" t="str">
        <f aca="false">IF($C54="","",IFERROR(INDEX(고객명부!$D$3:$D$502,MATCH($C54,고객명부!$A$3:$A$502,0)),""))</f>
        <v/>
      </c>
      <c r="G54" s="12" t="str">
        <f aca="false">IF($C54="","",IFERROR(INDEX(고객명부!$E$3:$E$502,MATCH($C54,고객명부!$A$3:$A$502,0))&amp;" "&amp;INDEX(고객명부!$F$3:$F$502,MATCH($C54,고객명부!$A$3:$A$502,0)),""))</f>
        <v/>
      </c>
      <c r="H54" s="7"/>
      <c r="I54" s="12" t="str">
        <f aca="false">IF($H54="","",IFERROR(INDEX(상품목록!$B$3:$B$102,MATCH($H54,상품목록!$A$3:$A$102,0)),""))</f>
        <v/>
      </c>
      <c r="J54" s="14" t="str">
        <f aca="false">IF($H54="","",IFERROR(INDEX(상품목록!$C$3:$C$102,MATCH($H54,상품목록!$A$3:$A$102,0)),0))</f>
        <v/>
      </c>
      <c r="K54" s="7"/>
      <c r="L54" s="14" t="str">
        <f aca="false">IF(OR($J54="",$K54=""),"",ROUND($J54*$K54,0))</f>
        <v/>
      </c>
      <c r="M54" s="9"/>
      <c r="N54" s="14" t="str">
        <f aca="false">IF($L54="","",$L54+IF($M54="",0,$M54))</f>
        <v/>
      </c>
      <c r="O54" s="13"/>
      <c r="P54" s="7"/>
      <c r="Q54" s="12" t="str">
        <f aca="false">IF($C54="","",IF($P54&lt;&gt;"","발송완료",IF($O54&lt;&gt;"","입금완료","입금대기")))</f>
        <v/>
      </c>
      <c r="R54" s="12" t="str">
        <f aca="false">IF($C54="","",COUNTIFS($C$3:$C54,$C54))</f>
        <v/>
      </c>
      <c r="S54" s="12" t="str">
        <f aca="false">IF($C54="","",$C54&amp;"|"&amp;$R54)</f>
        <v/>
      </c>
    </row>
    <row r="55" customFormat="false" ht="15" hidden="false" customHeight="true" outlineLevel="0" collapsed="false">
      <c r="A55" s="12" t="str">
        <f aca="false">IF($C55="","",TEXT($B55,"yymmdd")&amp;"-"&amp;TEXT(COUNTIFS($B$3:$B55,$B55),"000"))</f>
        <v/>
      </c>
      <c r="B55" s="13"/>
      <c r="C55" s="7"/>
      <c r="D55" s="12" t="str">
        <f aca="false">IF($C55="","",IFERROR(INDEX(고객명부!$B$3:$B$502,MATCH($C55,고객명부!$A$3:$A$502,0)),"미등록고객"))</f>
        <v/>
      </c>
      <c r="E55" s="12" t="str">
        <f aca="false">IF($C55="","",IFERROR(INDEX(고객명부!$C$3:$C$502,MATCH($C55,고객명부!$A$3:$A$502,0)),""))</f>
        <v/>
      </c>
      <c r="F55" s="12" t="str">
        <f aca="false">IF($C55="","",IFERROR(INDEX(고객명부!$D$3:$D$502,MATCH($C55,고객명부!$A$3:$A$502,0)),""))</f>
        <v/>
      </c>
      <c r="G55" s="12" t="str">
        <f aca="false">IF($C55="","",IFERROR(INDEX(고객명부!$E$3:$E$502,MATCH($C55,고객명부!$A$3:$A$502,0))&amp;" "&amp;INDEX(고객명부!$F$3:$F$502,MATCH($C55,고객명부!$A$3:$A$502,0)),""))</f>
        <v/>
      </c>
      <c r="H55" s="7"/>
      <c r="I55" s="12" t="str">
        <f aca="false">IF($H55="","",IFERROR(INDEX(상품목록!$B$3:$B$102,MATCH($H55,상품목록!$A$3:$A$102,0)),""))</f>
        <v/>
      </c>
      <c r="J55" s="14" t="str">
        <f aca="false">IF($H55="","",IFERROR(INDEX(상품목록!$C$3:$C$102,MATCH($H55,상품목록!$A$3:$A$102,0)),0))</f>
        <v/>
      </c>
      <c r="K55" s="7"/>
      <c r="L55" s="14" t="str">
        <f aca="false">IF(OR($J55="",$K55=""),"",ROUND($J55*$K55,0))</f>
        <v/>
      </c>
      <c r="M55" s="9"/>
      <c r="N55" s="14" t="str">
        <f aca="false">IF($L55="","",$L55+IF($M55="",0,$M55))</f>
        <v/>
      </c>
      <c r="O55" s="13"/>
      <c r="P55" s="7"/>
      <c r="Q55" s="12" t="str">
        <f aca="false">IF($C55="","",IF($P55&lt;&gt;"","발송완료",IF($O55&lt;&gt;"","입금완료","입금대기")))</f>
        <v/>
      </c>
      <c r="R55" s="12" t="str">
        <f aca="false">IF($C55="","",COUNTIFS($C$3:$C55,$C55))</f>
        <v/>
      </c>
      <c r="S55" s="12" t="str">
        <f aca="false">IF($C55="","",$C55&amp;"|"&amp;$R55)</f>
        <v/>
      </c>
    </row>
    <row r="56" customFormat="false" ht="15" hidden="false" customHeight="true" outlineLevel="0" collapsed="false">
      <c r="A56" s="12" t="str">
        <f aca="false">IF($C56="","",TEXT($B56,"yymmdd")&amp;"-"&amp;TEXT(COUNTIFS($B$3:$B56,$B56),"000"))</f>
        <v/>
      </c>
      <c r="B56" s="13"/>
      <c r="C56" s="7"/>
      <c r="D56" s="12" t="str">
        <f aca="false">IF($C56="","",IFERROR(INDEX(고객명부!$B$3:$B$502,MATCH($C56,고객명부!$A$3:$A$502,0)),"미등록고객"))</f>
        <v/>
      </c>
      <c r="E56" s="12" t="str">
        <f aca="false">IF($C56="","",IFERROR(INDEX(고객명부!$C$3:$C$502,MATCH($C56,고객명부!$A$3:$A$502,0)),""))</f>
        <v/>
      </c>
      <c r="F56" s="12" t="str">
        <f aca="false">IF($C56="","",IFERROR(INDEX(고객명부!$D$3:$D$502,MATCH($C56,고객명부!$A$3:$A$502,0)),""))</f>
        <v/>
      </c>
      <c r="G56" s="12" t="str">
        <f aca="false">IF($C56="","",IFERROR(INDEX(고객명부!$E$3:$E$502,MATCH($C56,고객명부!$A$3:$A$502,0))&amp;" "&amp;INDEX(고객명부!$F$3:$F$502,MATCH($C56,고객명부!$A$3:$A$502,0)),""))</f>
        <v/>
      </c>
      <c r="H56" s="7"/>
      <c r="I56" s="12" t="str">
        <f aca="false">IF($H56="","",IFERROR(INDEX(상품목록!$B$3:$B$102,MATCH($H56,상품목록!$A$3:$A$102,0)),""))</f>
        <v/>
      </c>
      <c r="J56" s="14" t="str">
        <f aca="false">IF($H56="","",IFERROR(INDEX(상품목록!$C$3:$C$102,MATCH($H56,상품목록!$A$3:$A$102,0)),0))</f>
        <v/>
      </c>
      <c r="K56" s="7"/>
      <c r="L56" s="14" t="str">
        <f aca="false">IF(OR($J56="",$K56=""),"",ROUND($J56*$K56,0))</f>
        <v/>
      </c>
      <c r="M56" s="9"/>
      <c r="N56" s="14" t="str">
        <f aca="false">IF($L56="","",$L56+IF($M56="",0,$M56))</f>
        <v/>
      </c>
      <c r="O56" s="13"/>
      <c r="P56" s="7"/>
      <c r="Q56" s="12" t="str">
        <f aca="false">IF($C56="","",IF($P56&lt;&gt;"","발송완료",IF($O56&lt;&gt;"","입금완료","입금대기")))</f>
        <v/>
      </c>
      <c r="R56" s="12" t="str">
        <f aca="false">IF($C56="","",COUNTIFS($C$3:$C56,$C56))</f>
        <v/>
      </c>
      <c r="S56" s="12" t="str">
        <f aca="false">IF($C56="","",$C56&amp;"|"&amp;$R56)</f>
        <v/>
      </c>
    </row>
    <row r="57" customFormat="false" ht="15" hidden="false" customHeight="true" outlineLevel="0" collapsed="false">
      <c r="A57" s="12" t="str">
        <f aca="false">IF($C57="","",TEXT($B57,"yymmdd")&amp;"-"&amp;TEXT(COUNTIFS($B$3:$B57,$B57),"000"))</f>
        <v/>
      </c>
      <c r="B57" s="13"/>
      <c r="C57" s="7"/>
      <c r="D57" s="12" t="str">
        <f aca="false">IF($C57="","",IFERROR(INDEX(고객명부!$B$3:$B$502,MATCH($C57,고객명부!$A$3:$A$502,0)),"미등록고객"))</f>
        <v/>
      </c>
      <c r="E57" s="12" t="str">
        <f aca="false">IF($C57="","",IFERROR(INDEX(고객명부!$C$3:$C$502,MATCH($C57,고객명부!$A$3:$A$502,0)),""))</f>
        <v/>
      </c>
      <c r="F57" s="12" t="str">
        <f aca="false">IF($C57="","",IFERROR(INDEX(고객명부!$D$3:$D$502,MATCH($C57,고객명부!$A$3:$A$502,0)),""))</f>
        <v/>
      </c>
      <c r="G57" s="12" t="str">
        <f aca="false">IF($C57="","",IFERROR(INDEX(고객명부!$E$3:$E$502,MATCH($C57,고객명부!$A$3:$A$502,0))&amp;" "&amp;INDEX(고객명부!$F$3:$F$502,MATCH($C57,고객명부!$A$3:$A$502,0)),""))</f>
        <v/>
      </c>
      <c r="H57" s="7"/>
      <c r="I57" s="12" t="str">
        <f aca="false">IF($H57="","",IFERROR(INDEX(상품목록!$B$3:$B$102,MATCH($H57,상품목록!$A$3:$A$102,0)),""))</f>
        <v/>
      </c>
      <c r="J57" s="14" t="str">
        <f aca="false">IF($H57="","",IFERROR(INDEX(상품목록!$C$3:$C$102,MATCH($H57,상품목록!$A$3:$A$102,0)),0))</f>
        <v/>
      </c>
      <c r="K57" s="7"/>
      <c r="L57" s="14" t="str">
        <f aca="false">IF(OR($J57="",$K57=""),"",ROUND($J57*$K57,0))</f>
        <v/>
      </c>
      <c r="M57" s="9"/>
      <c r="N57" s="14" t="str">
        <f aca="false">IF($L57="","",$L57+IF($M57="",0,$M57))</f>
        <v/>
      </c>
      <c r="O57" s="13"/>
      <c r="P57" s="7"/>
      <c r="Q57" s="12" t="str">
        <f aca="false">IF($C57="","",IF($P57&lt;&gt;"","발송완료",IF($O57&lt;&gt;"","입금완료","입금대기")))</f>
        <v/>
      </c>
      <c r="R57" s="12" t="str">
        <f aca="false">IF($C57="","",COUNTIFS($C$3:$C57,$C57))</f>
        <v/>
      </c>
      <c r="S57" s="12" t="str">
        <f aca="false">IF($C57="","",$C57&amp;"|"&amp;$R57)</f>
        <v/>
      </c>
    </row>
    <row r="58" customFormat="false" ht="15" hidden="false" customHeight="true" outlineLevel="0" collapsed="false">
      <c r="A58" s="12" t="str">
        <f aca="false">IF($C58="","",TEXT($B58,"yymmdd")&amp;"-"&amp;TEXT(COUNTIFS($B$3:$B58,$B58),"000"))</f>
        <v/>
      </c>
      <c r="B58" s="13"/>
      <c r="C58" s="7"/>
      <c r="D58" s="12" t="str">
        <f aca="false">IF($C58="","",IFERROR(INDEX(고객명부!$B$3:$B$502,MATCH($C58,고객명부!$A$3:$A$502,0)),"미등록고객"))</f>
        <v/>
      </c>
      <c r="E58" s="12" t="str">
        <f aca="false">IF($C58="","",IFERROR(INDEX(고객명부!$C$3:$C$502,MATCH($C58,고객명부!$A$3:$A$502,0)),""))</f>
        <v/>
      </c>
      <c r="F58" s="12" t="str">
        <f aca="false">IF($C58="","",IFERROR(INDEX(고객명부!$D$3:$D$502,MATCH($C58,고객명부!$A$3:$A$502,0)),""))</f>
        <v/>
      </c>
      <c r="G58" s="12" t="str">
        <f aca="false">IF($C58="","",IFERROR(INDEX(고객명부!$E$3:$E$502,MATCH($C58,고객명부!$A$3:$A$502,0))&amp;" "&amp;INDEX(고객명부!$F$3:$F$502,MATCH($C58,고객명부!$A$3:$A$502,0)),""))</f>
        <v/>
      </c>
      <c r="H58" s="7"/>
      <c r="I58" s="12" t="str">
        <f aca="false">IF($H58="","",IFERROR(INDEX(상품목록!$B$3:$B$102,MATCH($H58,상품목록!$A$3:$A$102,0)),""))</f>
        <v/>
      </c>
      <c r="J58" s="14" t="str">
        <f aca="false">IF($H58="","",IFERROR(INDEX(상품목록!$C$3:$C$102,MATCH($H58,상품목록!$A$3:$A$102,0)),0))</f>
        <v/>
      </c>
      <c r="K58" s="7"/>
      <c r="L58" s="14" t="str">
        <f aca="false">IF(OR($J58="",$K58=""),"",ROUND($J58*$K58,0))</f>
        <v/>
      </c>
      <c r="M58" s="9"/>
      <c r="N58" s="14" t="str">
        <f aca="false">IF($L58="","",$L58+IF($M58="",0,$M58))</f>
        <v/>
      </c>
      <c r="O58" s="13"/>
      <c r="P58" s="7"/>
      <c r="Q58" s="12" t="str">
        <f aca="false">IF($C58="","",IF($P58&lt;&gt;"","발송완료",IF($O58&lt;&gt;"","입금완료","입금대기")))</f>
        <v/>
      </c>
      <c r="R58" s="12" t="str">
        <f aca="false">IF($C58="","",COUNTIFS($C$3:$C58,$C58))</f>
        <v/>
      </c>
      <c r="S58" s="12" t="str">
        <f aca="false">IF($C58="","",$C58&amp;"|"&amp;$R58)</f>
        <v/>
      </c>
    </row>
    <row r="59" customFormat="false" ht="15" hidden="false" customHeight="true" outlineLevel="0" collapsed="false">
      <c r="A59" s="12" t="str">
        <f aca="false">IF($C59="","",TEXT($B59,"yymmdd")&amp;"-"&amp;TEXT(COUNTIFS($B$3:$B59,$B59),"000"))</f>
        <v/>
      </c>
      <c r="B59" s="13"/>
      <c r="C59" s="7"/>
      <c r="D59" s="12" t="str">
        <f aca="false">IF($C59="","",IFERROR(INDEX(고객명부!$B$3:$B$502,MATCH($C59,고객명부!$A$3:$A$502,0)),"미등록고객"))</f>
        <v/>
      </c>
      <c r="E59" s="12" t="str">
        <f aca="false">IF($C59="","",IFERROR(INDEX(고객명부!$C$3:$C$502,MATCH($C59,고객명부!$A$3:$A$502,0)),""))</f>
        <v/>
      </c>
      <c r="F59" s="12" t="str">
        <f aca="false">IF($C59="","",IFERROR(INDEX(고객명부!$D$3:$D$502,MATCH($C59,고객명부!$A$3:$A$502,0)),""))</f>
        <v/>
      </c>
      <c r="G59" s="12" t="str">
        <f aca="false">IF($C59="","",IFERROR(INDEX(고객명부!$E$3:$E$502,MATCH($C59,고객명부!$A$3:$A$502,0))&amp;" "&amp;INDEX(고객명부!$F$3:$F$502,MATCH($C59,고객명부!$A$3:$A$502,0)),""))</f>
        <v/>
      </c>
      <c r="H59" s="7"/>
      <c r="I59" s="12" t="str">
        <f aca="false">IF($H59="","",IFERROR(INDEX(상품목록!$B$3:$B$102,MATCH($H59,상품목록!$A$3:$A$102,0)),""))</f>
        <v/>
      </c>
      <c r="J59" s="14" t="str">
        <f aca="false">IF($H59="","",IFERROR(INDEX(상품목록!$C$3:$C$102,MATCH($H59,상품목록!$A$3:$A$102,0)),0))</f>
        <v/>
      </c>
      <c r="K59" s="7"/>
      <c r="L59" s="14" t="str">
        <f aca="false">IF(OR($J59="",$K59=""),"",ROUND($J59*$K59,0))</f>
        <v/>
      </c>
      <c r="M59" s="9"/>
      <c r="N59" s="14" t="str">
        <f aca="false">IF($L59="","",$L59+IF($M59="",0,$M59))</f>
        <v/>
      </c>
      <c r="O59" s="13"/>
      <c r="P59" s="7"/>
      <c r="Q59" s="12" t="str">
        <f aca="false">IF($C59="","",IF($P59&lt;&gt;"","발송완료",IF($O59&lt;&gt;"","입금완료","입금대기")))</f>
        <v/>
      </c>
      <c r="R59" s="12" t="str">
        <f aca="false">IF($C59="","",COUNTIFS($C$3:$C59,$C59))</f>
        <v/>
      </c>
      <c r="S59" s="12" t="str">
        <f aca="false">IF($C59="","",$C59&amp;"|"&amp;$R59)</f>
        <v/>
      </c>
    </row>
    <row r="60" customFormat="false" ht="15" hidden="false" customHeight="true" outlineLevel="0" collapsed="false">
      <c r="A60" s="12" t="str">
        <f aca="false">IF($C60="","",TEXT($B60,"yymmdd")&amp;"-"&amp;TEXT(COUNTIFS($B$3:$B60,$B60),"000"))</f>
        <v/>
      </c>
      <c r="B60" s="13"/>
      <c r="C60" s="7"/>
      <c r="D60" s="12" t="str">
        <f aca="false">IF($C60="","",IFERROR(INDEX(고객명부!$B$3:$B$502,MATCH($C60,고객명부!$A$3:$A$502,0)),"미등록고객"))</f>
        <v/>
      </c>
      <c r="E60" s="12" t="str">
        <f aca="false">IF($C60="","",IFERROR(INDEX(고객명부!$C$3:$C$502,MATCH($C60,고객명부!$A$3:$A$502,0)),""))</f>
        <v/>
      </c>
      <c r="F60" s="12" t="str">
        <f aca="false">IF($C60="","",IFERROR(INDEX(고객명부!$D$3:$D$502,MATCH($C60,고객명부!$A$3:$A$502,0)),""))</f>
        <v/>
      </c>
      <c r="G60" s="12" t="str">
        <f aca="false">IF($C60="","",IFERROR(INDEX(고객명부!$E$3:$E$502,MATCH($C60,고객명부!$A$3:$A$502,0))&amp;" "&amp;INDEX(고객명부!$F$3:$F$502,MATCH($C60,고객명부!$A$3:$A$502,0)),""))</f>
        <v/>
      </c>
      <c r="H60" s="7"/>
      <c r="I60" s="12" t="str">
        <f aca="false">IF($H60="","",IFERROR(INDEX(상품목록!$B$3:$B$102,MATCH($H60,상품목록!$A$3:$A$102,0)),""))</f>
        <v/>
      </c>
      <c r="J60" s="14" t="str">
        <f aca="false">IF($H60="","",IFERROR(INDEX(상품목록!$C$3:$C$102,MATCH($H60,상품목록!$A$3:$A$102,0)),0))</f>
        <v/>
      </c>
      <c r="K60" s="7"/>
      <c r="L60" s="14" t="str">
        <f aca="false">IF(OR($J60="",$K60=""),"",ROUND($J60*$K60,0))</f>
        <v/>
      </c>
      <c r="M60" s="9"/>
      <c r="N60" s="14" t="str">
        <f aca="false">IF($L60="","",$L60+IF($M60="",0,$M60))</f>
        <v/>
      </c>
      <c r="O60" s="13"/>
      <c r="P60" s="7"/>
      <c r="Q60" s="12" t="str">
        <f aca="false">IF($C60="","",IF($P60&lt;&gt;"","발송완료",IF($O60&lt;&gt;"","입금완료","입금대기")))</f>
        <v/>
      </c>
      <c r="R60" s="12" t="str">
        <f aca="false">IF($C60="","",COUNTIFS($C$3:$C60,$C60))</f>
        <v/>
      </c>
      <c r="S60" s="12" t="str">
        <f aca="false">IF($C60="","",$C60&amp;"|"&amp;$R60)</f>
        <v/>
      </c>
    </row>
    <row r="61" customFormat="false" ht="15" hidden="false" customHeight="true" outlineLevel="0" collapsed="false">
      <c r="A61" s="12" t="str">
        <f aca="false">IF($C61="","",TEXT($B61,"yymmdd")&amp;"-"&amp;TEXT(COUNTIFS($B$3:$B61,$B61),"000"))</f>
        <v/>
      </c>
      <c r="B61" s="13"/>
      <c r="C61" s="7"/>
      <c r="D61" s="12" t="str">
        <f aca="false">IF($C61="","",IFERROR(INDEX(고객명부!$B$3:$B$502,MATCH($C61,고객명부!$A$3:$A$502,0)),"미등록고객"))</f>
        <v/>
      </c>
      <c r="E61" s="12" t="str">
        <f aca="false">IF($C61="","",IFERROR(INDEX(고객명부!$C$3:$C$502,MATCH($C61,고객명부!$A$3:$A$502,0)),""))</f>
        <v/>
      </c>
      <c r="F61" s="12" t="str">
        <f aca="false">IF($C61="","",IFERROR(INDEX(고객명부!$D$3:$D$502,MATCH($C61,고객명부!$A$3:$A$502,0)),""))</f>
        <v/>
      </c>
      <c r="G61" s="12" t="str">
        <f aca="false">IF($C61="","",IFERROR(INDEX(고객명부!$E$3:$E$502,MATCH($C61,고객명부!$A$3:$A$502,0))&amp;" "&amp;INDEX(고객명부!$F$3:$F$502,MATCH($C61,고객명부!$A$3:$A$502,0)),""))</f>
        <v/>
      </c>
      <c r="H61" s="7"/>
      <c r="I61" s="12" t="str">
        <f aca="false">IF($H61="","",IFERROR(INDEX(상품목록!$B$3:$B$102,MATCH($H61,상품목록!$A$3:$A$102,0)),""))</f>
        <v/>
      </c>
      <c r="J61" s="14" t="str">
        <f aca="false">IF($H61="","",IFERROR(INDEX(상품목록!$C$3:$C$102,MATCH($H61,상품목록!$A$3:$A$102,0)),0))</f>
        <v/>
      </c>
      <c r="K61" s="7"/>
      <c r="L61" s="14" t="str">
        <f aca="false">IF(OR($J61="",$K61=""),"",ROUND($J61*$K61,0))</f>
        <v/>
      </c>
      <c r="M61" s="9"/>
      <c r="N61" s="14" t="str">
        <f aca="false">IF($L61="","",$L61+IF($M61="",0,$M61))</f>
        <v/>
      </c>
      <c r="O61" s="13"/>
      <c r="P61" s="7"/>
      <c r="Q61" s="12" t="str">
        <f aca="false">IF($C61="","",IF($P61&lt;&gt;"","발송완료",IF($O61&lt;&gt;"","입금완료","입금대기")))</f>
        <v/>
      </c>
      <c r="R61" s="12" t="str">
        <f aca="false">IF($C61="","",COUNTIFS($C$3:$C61,$C61))</f>
        <v/>
      </c>
      <c r="S61" s="12" t="str">
        <f aca="false">IF($C61="","",$C61&amp;"|"&amp;$R61)</f>
        <v/>
      </c>
    </row>
    <row r="62" customFormat="false" ht="15" hidden="false" customHeight="true" outlineLevel="0" collapsed="false">
      <c r="A62" s="12" t="str">
        <f aca="false">IF($C62="","",TEXT($B62,"yymmdd")&amp;"-"&amp;TEXT(COUNTIFS($B$3:$B62,$B62),"000"))</f>
        <v/>
      </c>
      <c r="B62" s="13"/>
      <c r="C62" s="7"/>
      <c r="D62" s="12" t="str">
        <f aca="false">IF($C62="","",IFERROR(INDEX(고객명부!$B$3:$B$502,MATCH($C62,고객명부!$A$3:$A$502,0)),"미등록고객"))</f>
        <v/>
      </c>
      <c r="E62" s="12" t="str">
        <f aca="false">IF($C62="","",IFERROR(INDEX(고객명부!$C$3:$C$502,MATCH($C62,고객명부!$A$3:$A$502,0)),""))</f>
        <v/>
      </c>
      <c r="F62" s="12" t="str">
        <f aca="false">IF($C62="","",IFERROR(INDEX(고객명부!$D$3:$D$502,MATCH($C62,고객명부!$A$3:$A$502,0)),""))</f>
        <v/>
      </c>
      <c r="G62" s="12" t="str">
        <f aca="false">IF($C62="","",IFERROR(INDEX(고객명부!$E$3:$E$502,MATCH($C62,고객명부!$A$3:$A$502,0))&amp;" "&amp;INDEX(고객명부!$F$3:$F$502,MATCH($C62,고객명부!$A$3:$A$502,0)),""))</f>
        <v/>
      </c>
      <c r="H62" s="7"/>
      <c r="I62" s="12" t="str">
        <f aca="false">IF($H62="","",IFERROR(INDEX(상품목록!$B$3:$B$102,MATCH($H62,상품목록!$A$3:$A$102,0)),""))</f>
        <v/>
      </c>
      <c r="J62" s="14" t="str">
        <f aca="false">IF($H62="","",IFERROR(INDEX(상품목록!$C$3:$C$102,MATCH($H62,상품목록!$A$3:$A$102,0)),0))</f>
        <v/>
      </c>
      <c r="K62" s="7"/>
      <c r="L62" s="14" t="str">
        <f aca="false">IF(OR($J62="",$K62=""),"",ROUND($J62*$K62,0))</f>
        <v/>
      </c>
      <c r="M62" s="9"/>
      <c r="N62" s="14" t="str">
        <f aca="false">IF($L62="","",$L62+IF($M62="",0,$M62))</f>
        <v/>
      </c>
      <c r="O62" s="13"/>
      <c r="P62" s="7"/>
      <c r="Q62" s="12" t="str">
        <f aca="false">IF($C62="","",IF($P62&lt;&gt;"","발송완료",IF($O62&lt;&gt;"","입금완료","입금대기")))</f>
        <v/>
      </c>
      <c r="R62" s="12" t="str">
        <f aca="false">IF($C62="","",COUNTIFS($C$3:$C62,$C62))</f>
        <v/>
      </c>
      <c r="S62" s="12" t="str">
        <f aca="false">IF($C62="","",$C62&amp;"|"&amp;$R62)</f>
        <v/>
      </c>
    </row>
    <row r="63" customFormat="false" ht="15" hidden="false" customHeight="true" outlineLevel="0" collapsed="false">
      <c r="A63" s="12" t="str">
        <f aca="false">IF($C63="","",TEXT($B63,"yymmdd")&amp;"-"&amp;TEXT(COUNTIFS($B$3:$B63,$B63),"000"))</f>
        <v/>
      </c>
      <c r="B63" s="13"/>
      <c r="C63" s="7"/>
      <c r="D63" s="12" t="str">
        <f aca="false">IF($C63="","",IFERROR(INDEX(고객명부!$B$3:$B$502,MATCH($C63,고객명부!$A$3:$A$502,0)),"미등록고객"))</f>
        <v/>
      </c>
      <c r="E63" s="12" t="str">
        <f aca="false">IF($C63="","",IFERROR(INDEX(고객명부!$C$3:$C$502,MATCH($C63,고객명부!$A$3:$A$502,0)),""))</f>
        <v/>
      </c>
      <c r="F63" s="12" t="str">
        <f aca="false">IF($C63="","",IFERROR(INDEX(고객명부!$D$3:$D$502,MATCH($C63,고객명부!$A$3:$A$502,0)),""))</f>
        <v/>
      </c>
      <c r="G63" s="12" t="str">
        <f aca="false">IF($C63="","",IFERROR(INDEX(고객명부!$E$3:$E$502,MATCH($C63,고객명부!$A$3:$A$502,0))&amp;" "&amp;INDEX(고객명부!$F$3:$F$502,MATCH($C63,고객명부!$A$3:$A$502,0)),""))</f>
        <v/>
      </c>
      <c r="H63" s="7"/>
      <c r="I63" s="12" t="str">
        <f aca="false">IF($H63="","",IFERROR(INDEX(상품목록!$B$3:$B$102,MATCH($H63,상품목록!$A$3:$A$102,0)),""))</f>
        <v/>
      </c>
      <c r="J63" s="14" t="str">
        <f aca="false">IF($H63="","",IFERROR(INDEX(상품목록!$C$3:$C$102,MATCH($H63,상품목록!$A$3:$A$102,0)),0))</f>
        <v/>
      </c>
      <c r="K63" s="7"/>
      <c r="L63" s="14" t="str">
        <f aca="false">IF(OR($J63="",$K63=""),"",ROUND($J63*$K63,0))</f>
        <v/>
      </c>
      <c r="M63" s="9"/>
      <c r="N63" s="14" t="str">
        <f aca="false">IF($L63="","",$L63+IF($M63="",0,$M63))</f>
        <v/>
      </c>
      <c r="O63" s="13"/>
      <c r="P63" s="7"/>
      <c r="Q63" s="12" t="str">
        <f aca="false">IF($C63="","",IF($P63&lt;&gt;"","발송완료",IF($O63&lt;&gt;"","입금완료","입금대기")))</f>
        <v/>
      </c>
      <c r="R63" s="12" t="str">
        <f aca="false">IF($C63="","",COUNTIFS($C$3:$C63,$C63))</f>
        <v/>
      </c>
      <c r="S63" s="12" t="str">
        <f aca="false">IF($C63="","",$C63&amp;"|"&amp;$R63)</f>
        <v/>
      </c>
    </row>
    <row r="64" customFormat="false" ht="15" hidden="false" customHeight="true" outlineLevel="0" collapsed="false">
      <c r="A64" s="12" t="str">
        <f aca="false">IF($C64="","",TEXT($B64,"yymmdd")&amp;"-"&amp;TEXT(COUNTIFS($B$3:$B64,$B64),"000"))</f>
        <v/>
      </c>
      <c r="B64" s="13"/>
      <c r="C64" s="7"/>
      <c r="D64" s="12" t="str">
        <f aca="false">IF($C64="","",IFERROR(INDEX(고객명부!$B$3:$B$502,MATCH($C64,고객명부!$A$3:$A$502,0)),"미등록고객"))</f>
        <v/>
      </c>
      <c r="E64" s="12" t="str">
        <f aca="false">IF($C64="","",IFERROR(INDEX(고객명부!$C$3:$C$502,MATCH($C64,고객명부!$A$3:$A$502,0)),""))</f>
        <v/>
      </c>
      <c r="F64" s="12" t="str">
        <f aca="false">IF($C64="","",IFERROR(INDEX(고객명부!$D$3:$D$502,MATCH($C64,고객명부!$A$3:$A$502,0)),""))</f>
        <v/>
      </c>
      <c r="G64" s="12" t="str">
        <f aca="false">IF($C64="","",IFERROR(INDEX(고객명부!$E$3:$E$502,MATCH($C64,고객명부!$A$3:$A$502,0))&amp;" "&amp;INDEX(고객명부!$F$3:$F$502,MATCH($C64,고객명부!$A$3:$A$502,0)),""))</f>
        <v/>
      </c>
      <c r="H64" s="7"/>
      <c r="I64" s="12" t="str">
        <f aca="false">IF($H64="","",IFERROR(INDEX(상품목록!$B$3:$B$102,MATCH($H64,상품목록!$A$3:$A$102,0)),""))</f>
        <v/>
      </c>
      <c r="J64" s="14" t="str">
        <f aca="false">IF($H64="","",IFERROR(INDEX(상품목록!$C$3:$C$102,MATCH($H64,상품목록!$A$3:$A$102,0)),0))</f>
        <v/>
      </c>
      <c r="K64" s="7"/>
      <c r="L64" s="14" t="str">
        <f aca="false">IF(OR($J64="",$K64=""),"",ROUND($J64*$K64,0))</f>
        <v/>
      </c>
      <c r="M64" s="9"/>
      <c r="N64" s="14" t="str">
        <f aca="false">IF($L64="","",$L64+IF($M64="",0,$M64))</f>
        <v/>
      </c>
      <c r="O64" s="13"/>
      <c r="P64" s="7"/>
      <c r="Q64" s="12" t="str">
        <f aca="false">IF($C64="","",IF($P64&lt;&gt;"","발송완료",IF($O64&lt;&gt;"","입금완료","입금대기")))</f>
        <v/>
      </c>
      <c r="R64" s="12" t="str">
        <f aca="false">IF($C64="","",COUNTIFS($C$3:$C64,$C64))</f>
        <v/>
      </c>
      <c r="S64" s="12" t="str">
        <f aca="false">IF($C64="","",$C64&amp;"|"&amp;$R64)</f>
        <v/>
      </c>
    </row>
    <row r="65" customFormat="false" ht="15" hidden="false" customHeight="true" outlineLevel="0" collapsed="false">
      <c r="A65" s="12" t="str">
        <f aca="false">IF($C65="","",TEXT($B65,"yymmdd")&amp;"-"&amp;TEXT(COUNTIFS($B$3:$B65,$B65),"000"))</f>
        <v/>
      </c>
      <c r="B65" s="13"/>
      <c r="C65" s="7"/>
      <c r="D65" s="12" t="str">
        <f aca="false">IF($C65="","",IFERROR(INDEX(고객명부!$B$3:$B$502,MATCH($C65,고객명부!$A$3:$A$502,0)),"미등록고객"))</f>
        <v/>
      </c>
      <c r="E65" s="12" t="str">
        <f aca="false">IF($C65="","",IFERROR(INDEX(고객명부!$C$3:$C$502,MATCH($C65,고객명부!$A$3:$A$502,0)),""))</f>
        <v/>
      </c>
      <c r="F65" s="12" t="str">
        <f aca="false">IF($C65="","",IFERROR(INDEX(고객명부!$D$3:$D$502,MATCH($C65,고객명부!$A$3:$A$502,0)),""))</f>
        <v/>
      </c>
      <c r="G65" s="12" t="str">
        <f aca="false">IF($C65="","",IFERROR(INDEX(고객명부!$E$3:$E$502,MATCH($C65,고객명부!$A$3:$A$502,0))&amp;" "&amp;INDEX(고객명부!$F$3:$F$502,MATCH($C65,고객명부!$A$3:$A$502,0)),""))</f>
        <v/>
      </c>
      <c r="H65" s="7"/>
      <c r="I65" s="12" t="str">
        <f aca="false">IF($H65="","",IFERROR(INDEX(상품목록!$B$3:$B$102,MATCH($H65,상품목록!$A$3:$A$102,0)),""))</f>
        <v/>
      </c>
      <c r="J65" s="14" t="str">
        <f aca="false">IF($H65="","",IFERROR(INDEX(상품목록!$C$3:$C$102,MATCH($H65,상품목록!$A$3:$A$102,0)),0))</f>
        <v/>
      </c>
      <c r="K65" s="7"/>
      <c r="L65" s="14" t="str">
        <f aca="false">IF(OR($J65="",$K65=""),"",ROUND($J65*$K65,0))</f>
        <v/>
      </c>
      <c r="M65" s="9"/>
      <c r="N65" s="14" t="str">
        <f aca="false">IF($L65="","",$L65+IF($M65="",0,$M65))</f>
        <v/>
      </c>
      <c r="O65" s="13"/>
      <c r="P65" s="7"/>
      <c r="Q65" s="12" t="str">
        <f aca="false">IF($C65="","",IF($P65&lt;&gt;"","발송완료",IF($O65&lt;&gt;"","입금완료","입금대기")))</f>
        <v/>
      </c>
      <c r="R65" s="12" t="str">
        <f aca="false">IF($C65="","",COUNTIFS($C$3:$C65,$C65))</f>
        <v/>
      </c>
      <c r="S65" s="12" t="str">
        <f aca="false">IF($C65="","",$C65&amp;"|"&amp;$R65)</f>
        <v/>
      </c>
    </row>
    <row r="66" customFormat="false" ht="15" hidden="false" customHeight="true" outlineLevel="0" collapsed="false">
      <c r="A66" s="12" t="str">
        <f aca="false">IF($C66="","",TEXT($B66,"yymmdd")&amp;"-"&amp;TEXT(COUNTIFS($B$3:$B66,$B66),"000"))</f>
        <v/>
      </c>
      <c r="B66" s="13"/>
      <c r="C66" s="7"/>
      <c r="D66" s="12" t="str">
        <f aca="false">IF($C66="","",IFERROR(INDEX(고객명부!$B$3:$B$502,MATCH($C66,고객명부!$A$3:$A$502,0)),"미등록고객"))</f>
        <v/>
      </c>
      <c r="E66" s="12" t="str">
        <f aca="false">IF($C66="","",IFERROR(INDEX(고객명부!$C$3:$C$502,MATCH($C66,고객명부!$A$3:$A$502,0)),""))</f>
        <v/>
      </c>
      <c r="F66" s="12" t="str">
        <f aca="false">IF($C66="","",IFERROR(INDEX(고객명부!$D$3:$D$502,MATCH($C66,고객명부!$A$3:$A$502,0)),""))</f>
        <v/>
      </c>
      <c r="G66" s="12" t="str">
        <f aca="false">IF($C66="","",IFERROR(INDEX(고객명부!$E$3:$E$502,MATCH($C66,고객명부!$A$3:$A$502,0))&amp;" "&amp;INDEX(고객명부!$F$3:$F$502,MATCH($C66,고객명부!$A$3:$A$502,0)),""))</f>
        <v/>
      </c>
      <c r="H66" s="7"/>
      <c r="I66" s="12" t="str">
        <f aca="false">IF($H66="","",IFERROR(INDEX(상품목록!$B$3:$B$102,MATCH($H66,상품목록!$A$3:$A$102,0)),""))</f>
        <v/>
      </c>
      <c r="J66" s="14" t="str">
        <f aca="false">IF($H66="","",IFERROR(INDEX(상품목록!$C$3:$C$102,MATCH($H66,상품목록!$A$3:$A$102,0)),0))</f>
        <v/>
      </c>
      <c r="K66" s="7"/>
      <c r="L66" s="14" t="str">
        <f aca="false">IF(OR($J66="",$K66=""),"",ROUND($J66*$K66,0))</f>
        <v/>
      </c>
      <c r="M66" s="9"/>
      <c r="N66" s="14" t="str">
        <f aca="false">IF($L66="","",$L66+IF($M66="",0,$M66))</f>
        <v/>
      </c>
      <c r="O66" s="13"/>
      <c r="P66" s="7"/>
      <c r="Q66" s="12" t="str">
        <f aca="false">IF($C66="","",IF($P66&lt;&gt;"","발송완료",IF($O66&lt;&gt;"","입금완료","입금대기")))</f>
        <v/>
      </c>
      <c r="R66" s="12" t="str">
        <f aca="false">IF($C66="","",COUNTIFS($C$3:$C66,$C66))</f>
        <v/>
      </c>
      <c r="S66" s="12" t="str">
        <f aca="false">IF($C66="","",$C66&amp;"|"&amp;$R66)</f>
        <v/>
      </c>
    </row>
    <row r="67" customFormat="false" ht="15" hidden="false" customHeight="true" outlineLevel="0" collapsed="false">
      <c r="A67" s="12" t="str">
        <f aca="false">IF($C67="","",TEXT($B67,"yymmdd")&amp;"-"&amp;TEXT(COUNTIFS($B$3:$B67,$B67),"000"))</f>
        <v/>
      </c>
      <c r="B67" s="13"/>
      <c r="C67" s="7"/>
      <c r="D67" s="12" t="str">
        <f aca="false">IF($C67="","",IFERROR(INDEX(고객명부!$B$3:$B$502,MATCH($C67,고객명부!$A$3:$A$502,0)),"미등록고객"))</f>
        <v/>
      </c>
      <c r="E67" s="12" t="str">
        <f aca="false">IF($C67="","",IFERROR(INDEX(고객명부!$C$3:$C$502,MATCH($C67,고객명부!$A$3:$A$502,0)),""))</f>
        <v/>
      </c>
      <c r="F67" s="12" t="str">
        <f aca="false">IF($C67="","",IFERROR(INDEX(고객명부!$D$3:$D$502,MATCH($C67,고객명부!$A$3:$A$502,0)),""))</f>
        <v/>
      </c>
      <c r="G67" s="12" t="str">
        <f aca="false">IF($C67="","",IFERROR(INDEX(고객명부!$E$3:$E$502,MATCH($C67,고객명부!$A$3:$A$502,0))&amp;" "&amp;INDEX(고객명부!$F$3:$F$502,MATCH($C67,고객명부!$A$3:$A$502,0)),""))</f>
        <v/>
      </c>
      <c r="H67" s="7"/>
      <c r="I67" s="12" t="str">
        <f aca="false">IF($H67="","",IFERROR(INDEX(상품목록!$B$3:$B$102,MATCH($H67,상품목록!$A$3:$A$102,0)),""))</f>
        <v/>
      </c>
      <c r="J67" s="14" t="str">
        <f aca="false">IF($H67="","",IFERROR(INDEX(상품목록!$C$3:$C$102,MATCH($H67,상품목록!$A$3:$A$102,0)),0))</f>
        <v/>
      </c>
      <c r="K67" s="7"/>
      <c r="L67" s="14" t="str">
        <f aca="false">IF(OR($J67="",$K67=""),"",ROUND($J67*$K67,0))</f>
        <v/>
      </c>
      <c r="M67" s="9"/>
      <c r="N67" s="14" t="str">
        <f aca="false">IF($L67="","",$L67+IF($M67="",0,$M67))</f>
        <v/>
      </c>
      <c r="O67" s="13"/>
      <c r="P67" s="7"/>
      <c r="Q67" s="12" t="str">
        <f aca="false">IF($C67="","",IF($P67&lt;&gt;"","발송완료",IF($O67&lt;&gt;"","입금완료","입금대기")))</f>
        <v/>
      </c>
      <c r="R67" s="12" t="str">
        <f aca="false">IF($C67="","",COUNTIFS($C$3:$C67,$C67))</f>
        <v/>
      </c>
      <c r="S67" s="12" t="str">
        <f aca="false">IF($C67="","",$C67&amp;"|"&amp;$R67)</f>
        <v/>
      </c>
    </row>
    <row r="68" customFormat="false" ht="15" hidden="false" customHeight="true" outlineLevel="0" collapsed="false">
      <c r="A68" s="12" t="str">
        <f aca="false">IF($C68="","",TEXT($B68,"yymmdd")&amp;"-"&amp;TEXT(COUNTIFS($B$3:$B68,$B68),"000"))</f>
        <v/>
      </c>
      <c r="B68" s="13"/>
      <c r="C68" s="7"/>
      <c r="D68" s="12" t="str">
        <f aca="false">IF($C68="","",IFERROR(INDEX(고객명부!$B$3:$B$502,MATCH($C68,고객명부!$A$3:$A$502,0)),"미등록고객"))</f>
        <v/>
      </c>
      <c r="E68" s="12" t="str">
        <f aca="false">IF($C68="","",IFERROR(INDEX(고객명부!$C$3:$C$502,MATCH($C68,고객명부!$A$3:$A$502,0)),""))</f>
        <v/>
      </c>
      <c r="F68" s="12" t="str">
        <f aca="false">IF($C68="","",IFERROR(INDEX(고객명부!$D$3:$D$502,MATCH($C68,고객명부!$A$3:$A$502,0)),""))</f>
        <v/>
      </c>
      <c r="G68" s="12" t="str">
        <f aca="false">IF($C68="","",IFERROR(INDEX(고객명부!$E$3:$E$502,MATCH($C68,고객명부!$A$3:$A$502,0))&amp;" "&amp;INDEX(고객명부!$F$3:$F$502,MATCH($C68,고객명부!$A$3:$A$502,0)),""))</f>
        <v/>
      </c>
      <c r="H68" s="7"/>
      <c r="I68" s="12" t="str">
        <f aca="false">IF($H68="","",IFERROR(INDEX(상품목록!$B$3:$B$102,MATCH($H68,상품목록!$A$3:$A$102,0)),""))</f>
        <v/>
      </c>
      <c r="J68" s="14" t="str">
        <f aca="false">IF($H68="","",IFERROR(INDEX(상품목록!$C$3:$C$102,MATCH($H68,상품목록!$A$3:$A$102,0)),0))</f>
        <v/>
      </c>
      <c r="K68" s="7"/>
      <c r="L68" s="14" t="str">
        <f aca="false">IF(OR($J68="",$K68=""),"",ROUND($J68*$K68,0))</f>
        <v/>
      </c>
      <c r="M68" s="9"/>
      <c r="N68" s="14" t="str">
        <f aca="false">IF($L68="","",$L68+IF($M68="",0,$M68))</f>
        <v/>
      </c>
      <c r="O68" s="13"/>
      <c r="P68" s="7"/>
      <c r="Q68" s="12" t="str">
        <f aca="false">IF($C68="","",IF($P68&lt;&gt;"","발송완료",IF($O68&lt;&gt;"","입금완료","입금대기")))</f>
        <v/>
      </c>
      <c r="R68" s="12" t="str">
        <f aca="false">IF($C68="","",COUNTIFS($C$3:$C68,$C68))</f>
        <v/>
      </c>
      <c r="S68" s="12" t="str">
        <f aca="false">IF($C68="","",$C68&amp;"|"&amp;$R68)</f>
        <v/>
      </c>
    </row>
    <row r="69" customFormat="false" ht="15" hidden="false" customHeight="true" outlineLevel="0" collapsed="false">
      <c r="A69" s="12" t="str">
        <f aca="false">IF($C69="","",TEXT($B69,"yymmdd")&amp;"-"&amp;TEXT(COUNTIFS($B$3:$B69,$B69),"000"))</f>
        <v/>
      </c>
      <c r="B69" s="13"/>
      <c r="C69" s="7"/>
      <c r="D69" s="12" t="str">
        <f aca="false">IF($C69="","",IFERROR(INDEX(고객명부!$B$3:$B$502,MATCH($C69,고객명부!$A$3:$A$502,0)),"미등록고객"))</f>
        <v/>
      </c>
      <c r="E69" s="12" t="str">
        <f aca="false">IF($C69="","",IFERROR(INDEX(고객명부!$C$3:$C$502,MATCH($C69,고객명부!$A$3:$A$502,0)),""))</f>
        <v/>
      </c>
      <c r="F69" s="12" t="str">
        <f aca="false">IF($C69="","",IFERROR(INDEX(고객명부!$D$3:$D$502,MATCH($C69,고객명부!$A$3:$A$502,0)),""))</f>
        <v/>
      </c>
      <c r="G69" s="12" t="str">
        <f aca="false">IF($C69="","",IFERROR(INDEX(고객명부!$E$3:$E$502,MATCH($C69,고객명부!$A$3:$A$502,0))&amp;" "&amp;INDEX(고객명부!$F$3:$F$502,MATCH($C69,고객명부!$A$3:$A$502,0)),""))</f>
        <v/>
      </c>
      <c r="H69" s="7"/>
      <c r="I69" s="12" t="str">
        <f aca="false">IF($H69="","",IFERROR(INDEX(상품목록!$B$3:$B$102,MATCH($H69,상품목록!$A$3:$A$102,0)),""))</f>
        <v/>
      </c>
      <c r="J69" s="14" t="str">
        <f aca="false">IF($H69="","",IFERROR(INDEX(상품목록!$C$3:$C$102,MATCH($H69,상품목록!$A$3:$A$102,0)),0))</f>
        <v/>
      </c>
      <c r="K69" s="7"/>
      <c r="L69" s="14" t="str">
        <f aca="false">IF(OR($J69="",$K69=""),"",ROUND($J69*$K69,0))</f>
        <v/>
      </c>
      <c r="M69" s="9"/>
      <c r="N69" s="14" t="str">
        <f aca="false">IF($L69="","",$L69+IF($M69="",0,$M69))</f>
        <v/>
      </c>
      <c r="O69" s="13"/>
      <c r="P69" s="7"/>
      <c r="Q69" s="12" t="str">
        <f aca="false">IF($C69="","",IF($P69&lt;&gt;"","발송완료",IF($O69&lt;&gt;"","입금완료","입금대기")))</f>
        <v/>
      </c>
      <c r="R69" s="12" t="str">
        <f aca="false">IF($C69="","",COUNTIFS($C$3:$C69,$C69))</f>
        <v/>
      </c>
      <c r="S69" s="12" t="str">
        <f aca="false">IF($C69="","",$C69&amp;"|"&amp;$R69)</f>
        <v/>
      </c>
    </row>
    <row r="70" customFormat="false" ht="15" hidden="false" customHeight="true" outlineLevel="0" collapsed="false">
      <c r="A70" s="12" t="str">
        <f aca="false">IF($C70="","",TEXT($B70,"yymmdd")&amp;"-"&amp;TEXT(COUNTIFS($B$3:$B70,$B70),"000"))</f>
        <v/>
      </c>
      <c r="B70" s="13"/>
      <c r="C70" s="7"/>
      <c r="D70" s="12" t="str">
        <f aca="false">IF($C70="","",IFERROR(INDEX(고객명부!$B$3:$B$502,MATCH($C70,고객명부!$A$3:$A$502,0)),"미등록고객"))</f>
        <v/>
      </c>
      <c r="E70" s="12" t="str">
        <f aca="false">IF($C70="","",IFERROR(INDEX(고객명부!$C$3:$C$502,MATCH($C70,고객명부!$A$3:$A$502,0)),""))</f>
        <v/>
      </c>
      <c r="F70" s="12" t="str">
        <f aca="false">IF($C70="","",IFERROR(INDEX(고객명부!$D$3:$D$502,MATCH($C70,고객명부!$A$3:$A$502,0)),""))</f>
        <v/>
      </c>
      <c r="G70" s="12" t="str">
        <f aca="false">IF($C70="","",IFERROR(INDEX(고객명부!$E$3:$E$502,MATCH($C70,고객명부!$A$3:$A$502,0))&amp;" "&amp;INDEX(고객명부!$F$3:$F$502,MATCH($C70,고객명부!$A$3:$A$502,0)),""))</f>
        <v/>
      </c>
      <c r="H70" s="7"/>
      <c r="I70" s="12" t="str">
        <f aca="false">IF($H70="","",IFERROR(INDEX(상품목록!$B$3:$B$102,MATCH($H70,상품목록!$A$3:$A$102,0)),""))</f>
        <v/>
      </c>
      <c r="J70" s="14" t="str">
        <f aca="false">IF($H70="","",IFERROR(INDEX(상품목록!$C$3:$C$102,MATCH($H70,상품목록!$A$3:$A$102,0)),0))</f>
        <v/>
      </c>
      <c r="K70" s="7"/>
      <c r="L70" s="14" t="str">
        <f aca="false">IF(OR($J70="",$K70=""),"",ROUND($J70*$K70,0))</f>
        <v/>
      </c>
      <c r="M70" s="9"/>
      <c r="N70" s="14" t="str">
        <f aca="false">IF($L70="","",$L70+IF($M70="",0,$M70))</f>
        <v/>
      </c>
      <c r="O70" s="13"/>
      <c r="P70" s="7"/>
      <c r="Q70" s="12" t="str">
        <f aca="false">IF($C70="","",IF($P70&lt;&gt;"","발송완료",IF($O70&lt;&gt;"","입금완료","입금대기")))</f>
        <v/>
      </c>
      <c r="R70" s="12" t="str">
        <f aca="false">IF($C70="","",COUNTIFS($C$3:$C70,$C70))</f>
        <v/>
      </c>
      <c r="S70" s="12" t="str">
        <f aca="false">IF($C70="","",$C70&amp;"|"&amp;$R70)</f>
        <v/>
      </c>
    </row>
    <row r="71" customFormat="false" ht="15" hidden="false" customHeight="true" outlineLevel="0" collapsed="false">
      <c r="A71" s="12" t="str">
        <f aca="false">IF($C71="","",TEXT($B71,"yymmdd")&amp;"-"&amp;TEXT(COUNTIFS($B$3:$B71,$B71),"000"))</f>
        <v/>
      </c>
      <c r="B71" s="13"/>
      <c r="C71" s="7"/>
      <c r="D71" s="12" t="str">
        <f aca="false">IF($C71="","",IFERROR(INDEX(고객명부!$B$3:$B$502,MATCH($C71,고객명부!$A$3:$A$502,0)),"미등록고객"))</f>
        <v/>
      </c>
      <c r="E71" s="12" t="str">
        <f aca="false">IF($C71="","",IFERROR(INDEX(고객명부!$C$3:$C$502,MATCH($C71,고객명부!$A$3:$A$502,0)),""))</f>
        <v/>
      </c>
      <c r="F71" s="12" t="str">
        <f aca="false">IF($C71="","",IFERROR(INDEX(고객명부!$D$3:$D$502,MATCH($C71,고객명부!$A$3:$A$502,0)),""))</f>
        <v/>
      </c>
      <c r="G71" s="12" t="str">
        <f aca="false">IF($C71="","",IFERROR(INDEX(고객명부!$E$3:$E$502,MATCH($C71,고객명부!$A$3:$A$502,0))&amp;" "&amp;INDEX(고객명부!$F$3:$F$502,MATCH($C71,고객명부!$A$3:$A$502,0)),""))</f>
        <v/>
      </c>
      <c r="H71" s="7"/>
      <c r="I71" s="12" t="str">
        <f aca="false">IF($H71="","",IFERROR(INDEX(상품목록!$B$3:$B$102,MATCH($H71,상품목록!$A$3:$A$102,0)),""))</f>
        <v/>
      </c>
      <c r="J71" s="14" t="str">
        <f aca="false">IF($H71="","",IFERROR(INDEX(상품목록!$C$3:$C$102,MATCH($H71,상품목록!$A$3:$A$102,0)),0))</f>
        <v/>
      </c>
      <c r="K71" s="7"/>
      <c r="L71" s="14" t="str">
        <f aca="false">IF(OR($J71="",$K71=""),"",ROUND($J71*$K71,0))</f>
        <v/>
      </c>
      <c r="M71" s="9"/>
      <c r="N71" s="14" t="str">
        <f aca="false">IF($L71="","",$L71+IF($M71="",0,$M71))</f>
        <v/>
      </c>
      <c r="O71" s="13"/>
      <c r="P71" s="7"/>
      <c r="Q71" s="12" t="str">
        <f aca="false">IF($C71="","",IF($P71&lt;&gt;"","발송완료",IF($O71&lt;&gt;"","입금완료","입금대기")))</f>
        <v/>
      </c>
      <c r="R71" s="12" t="str">
        <f aca="false">IF($C71="","",COUNTIFS($C$3:$C71,$C71))</f>
        <v/>
      </c>
      <c r="S71" s="12" t="str">
        <f aca="false">IF($C71="","",$C71&amp;"|"&amp;$R71)</f>
        <v/>
      </c>
    </row>
    <row r="72" customFormat="false" ht="15" hidden="false" customHeight="true" outlineLevel="0" collapsed="false">
      <c r="A72" s="12" t="str">
        <f aca="false">IF($C72="","",TEXT($B72,"yymmdd")&amp;"-"&amp;TEXT(COUNTIFS($B$3:$B72,$B72),"000"))</f>
        <v/>
      </c>
      <c r="B72" s="13"/>
      <c r="C72" s="7"/>
      <c r="D72" s="12" t="str">
        <f aca="false">IF($C72="","",IFERROR(INDEX(고객명부!$B$3:$B$502,MATCH($C72,고객명부!$A$3:$A$502,0)),"미등록고객"))</f>
        <v/>
      </c>
      <c r="E72" s="12" t="str">
        <f aca="false">IF($C72="","",IFERROR(INDEX(고객명부!$C$3:$C$502,MATCH($C72,고객명부!$A$3:$A$502,0)),""))</f>
        <v/>
      </c>
      <c r="F72" s="12" t="str">
        <f aca="false">IF($C72="","",IFERROR(INDEX(고객명부!$D$3:$D$502,MATCH($C72,고객명부!$A$3:$A$502,0)),""))</f>
        <v/>
      </c>
      <c r="G72" s="12" t="str">
        <f aca="false">IF($C72="","",IFERROR(INDEX(고객명부!$E$3:$E$502,MATCH($C72,고객명부!$A$3:$A$502,0))&amp;" "&amp;INDEX(고객명부!$F$3:$F$502,MATCH($C72,고객명부!$A$3:$A$502,0)),""))</f>
        <v/>
      </c>
      <c r="H72" s="7"/>
      <c r="I72" s="12" t="str">
        <f aca="false">IF($H72="","",IFERROR(INDEX(상품목록!$B$3:$B$102,MATCH($H72,상품목록!$A$3:$A$102,0)),""))</f>
        <v/>
      </c>
      <c r="J72" s="14" t="str">
        <f aca="false">IF($H72="","",IFERROR(INDEX(상품목록!$C$3:$C$102,MATCH($H72,상품목록!$A$3:$A$102,0)),0))</f>
        <v/>
      </c>
      <c r="K72" s="7"/>
      <c r="L72" s="14" t="str">
        <f aca="false">IF(OR($J72="",$K72=""),"",ROUND($J72*$K72,0))</f>
        <v/>
      </c>
      <c r="M72" s="9"/>
      <c r="N72" s="14" t="str">
        <f aca="false">IF($L72="","",$L72+IF($M72="",0,$M72))</f>
        <v/>
      </c>
      <c r="O72" s="13"/>
      <c r="P72" s="7"/>
      <c r="Q72" s="12" t="str">
        <f aca="false">IF($C72="","",IF($P72&lt;&gt;"","발송완료",IF($O72&lt;&gt;"","입금완료","입금대기")))</f>
        <v/>
      </c>
      <c r="R72" s="12" t="str">
        <f aca="false">IF($C72="","",COUNTIFS($C$3:$C72,$C72))</f>
        <v/>
      </c>
      <c r="S72" s="12" t="str">
        <f aca="false">IF($C72="","",$C72&amp;"|"&amp;$R72)</f>
        <v/>
      </c>
    </row>
    <row r="73" customFormat="false" ht="15" hidden="false" customHeight="true" outlineLevel="0" collapsed="false">
      <c r="A73" s="12" t="str">
        <f aca="false">IF($C73="","",TEXT($B73,"yymmdd")&amp;"-"&amp;TEXT(COUNTIFS($B$3:$B73,$B73),"000"))</f>
        <v/>
      </c>
      <c r="B73" s="13"/>
      <c r="C73" s="7"/>
      <c r="D73" s="12" t="str">
        <f aca="false">IF($C73="","",IFERROR(INDEX(고객명부!$B$3:$B$502,MATCH($C73,고객명부!$A$3:$A$502,0)),"미등록고객"))</f>
        <v/>
      </c>
      <c r="E73" s="12" t="str">
        <f aca="false">IF($C73="","",IFERROR(INDEX(고객명부!$C$3:$C$502,MATCH($C73,고객명부!$A$3:$A$502,0)),""))</f>
        <v/>
      </c>
      <c r="F73" s="12" t="str">
        <f aca="false">IF($C73="","",IFERROR(INDEX(고객명부!$D$3:$D$502,MATCH($C73,고객명부!$A$3:$A$502,0)),""))</f>
        <v/>
      </c>
      <c r="G73" s="12" t="str">
        <f aca="false">IF($C73="","",IFERROR(INDEX(고객명부!$E$3:$E$502,MATCH($C73,고객명부!$A$3:$A$502,0))&amp;" "&amp;INDEX(고객명부!$F$3:$F$502,MATCH($C73,고객명부!$A$3:$A$502,0)),""))</f>
        <v/>
      </c>
      <c r="H73" s="7"/>
      <c r="I73" s="12" t="str">
        <f aca="false">IF($H73="","",IFERROR(INDEX(상품목록!$B$3:$B$102,MATCH($H73,상품목록!$A$3:$A$102,0)),""))</f>
        <v/>
      </c>
      <c r="J73" s="14" t="str">
        <f aca="false">IF($H73="","",IFERROR(INDEX(상품목록!$C$3:$C$102,MATCH($H73,상품목록!$A$3:$A$102,0)),0))</f>
        <v/>
      </c>
      <c r="K73" s="7"/>
      <c r="L73" s="14" t="str">
        <f aca="false">IF(OR($J73="",$K73=""),"",ROUND($J73*$K73,0))</f>
        <v/>
      </c>
      <c r="M73" s="9"/>
      <c r="N73" s="14" t="str">
        <f aca="false">IF($L73="","",$L73+IF($M73="",0,$M73))</f>
        <v/>
      </c>
      <c r="O73" s="13"/>
      <c r="P73" s="7"/>
      <c r="Q73" s="12" t="str">
        <f aca="false">IF($C73="","",IF($P73&lt;&gt;"","발송완료",IF($O73&lt;&gt;"","입금완료","입금대기")))</f>
        <v/>
      </c>
      <c r="R73" s="12" t="str">
        <f aca="false">IF($C73="","",COUNTIFS($C$3:$C73,$C73))</f>
        <v/>
      </c>
      <c r="S73" s="12" t="str">
        <f aca="false">IF($C73="","",$C73&amp;"|"&amp;$R73)</f>
        <v/>
      </c>
    </row>
    <row r="74" customFormat="false" ht="15" hidden="false" customHeight="true" outlineLevel="0" collapsed="false">
      <c r="A74" s="12" t="str">
        <f aca="false">IF($C74="","",TEXT($B74,"yymmdd")&amp;"-"&amp;TEXT(COUNTIFS($B$3:$B74,$B74),"000"))</f>
        <v/>
      </c>
      <c r="B74" s="13"/>
      <c r="C74" s="7"/>
      <c r="D74" s="12" t="str">
        <f aca="false">IF($C74="","",IFERROR(INDEX(고객명부!$B$3:$B$502,MATCH($C74,고객명부!$A$3:$A$502,0)),"미등록고객"))</f>
        <v/>
      </c>
      <c r="E74" s="12" t="str">
        <f aca="false">IF($C74="","",IFERROR(INDEX(고객명부!$C$3:$C$502,MATCH($C74,고객명부!$A$3:$A$502,0)),""))</f>
        <v/>
      </c>
      <c r="F74" s="12" t="str">
        <f aca="false">IF($C74="","",IFERROR(INDEX(고객명부!$D$3:$D$502,MATCH($C74,고객명부!$A$3:$A$502,0)),""))</f>
        <v/>
      </c>
      <c r="G74" s="12" t="str">
        <f aca="false">IF($C74="","",IFERROR(INDEX(고객명부!$E$3:$E$502,MATCH($C74,고객명부!$A$3:$A$502,0))&amp;" "&amp;INDEX(고객명부!$F$3:$F$502,MATCH($C74,고객명부!$A$3:$A$502,0)),""))</f>
        <v/>
      </c>
      <c r="H74" s="7"/>
      <c r="I74" s="12" t="str">
        <f aca="false">IF($H74="","",IFERROR(INDEX(상품목록!$B$3:$B$102,MATCH($H74,상품목록!$A$3:$A$102,0)),""))</f>
        <v/>
      </c>
      <c r="J74" s="14" t="str">
        <f aca="false">IF($H74="","",IFERROR(INDEX(상품목록!$C$3:$C$102,MATCH($H74,상품목록!$A$3:$A$102,0)),0))</f>
        <v/>
      </c>
      <c r="K74" s="7"/>
      <c r="L74" s="14" t="str">
        <f aca="false">IF(OR($J74="",$K74=""),"",ROUND($J74*$K74,0))</f>
        <v/>
      </c>
      <c r="M74" s="9"/>
      <c r="N74" s="14" t="str">
        <f aca="false">IF($L74="","",$L74+IF($M74="",0,$M74))</f>
        <v/>
      </c>
      <c r="O74" s="13"/>
      <c r="P74" s="7"/>
      <c r="Q74" s="12" t="str">
        <f aca="false">IF($C74="","",IF($P74&lt;&gt;"","발송완료",IF($O74&lt;&gt;"","입금완료","입금대기")))</f>
        <v/>
      </c>
      <c r="R74" s="12" t="str">
        <f aca="false">IF($C74="","",COUNTIFS($C$3:$C74,$C74))</f>
        <v/>
      </c>
      <c r="S74" s="12" t="str">
        <f aca="false">IF($C74="","",$C74&amp;"|"&amp;$R74)</f>
        <v/>
      </c>
    </row>
    <row r="75" customFormat="false" ht="15" hidden="false" customHeight="true" outlineLevel="0" collapsed="false">
      <c r="A75" s="12" t="str">
        <f aca="false">IF($C75="","",TEXT($B75,"yymmdd")&amp;"-"&amp;TEXT(COUNTIFS($B$3:$B75,$B75),"000"))</f>
        <v/>
      </c>
      <c r="B75" s="13"/>
      <c r="C75" s="7"/>
      <c r="D75" s="12" t="str">
        <f aca="false">IF($C75="","",IFERROR(INDEX(고객명부!$B$3:$B$502,MATCH($C75,고객명부!$A$3:$A$502,0)),"미등록고객"))</f>
        <v/>
      </c>
      <c r="E75" s="12" t="str">
        <f aca="false">IF($C75="","",IFERROR(INDEX(고객명부!$C$3:$C$502,MATCH($C75,고객명부!$A$3:$A$502,0)),""))</f>
        <v/>
      </c>
      <c r="F75" s="12" t="str">
        <f aca="false">IF($C75="","",IFERROR(INDEX(고객명부!$D$3:$D$502,MATCH($C75,고객명부!$A$3:$A$502,0)),""))</f>
        <v/>
      </c>
      <c r="G75" s="12" t="str">
        <f aca="false">IF($C75="","",IFERROR(INDEX(고객명부!$E$3:$E$502,MATCH($C75,고객명부!$A$3:$A$502,0))&amp;" "&amp;INDEX(고객명부!$F$3:$F$502,MATCH($C75,고객명부!$A$3:$A$502,0)),""))</f>
        <v/>
      </c>
      <c r="H75" s="7"/>
      <c r="I75" s="12" t="str">
        <f aca="false">IF($H75="","",IFERROR(INDEX(상품목록!$B$3:$B$102,MATCH($H75,상품목록!$A$3:$A$102,0)),""))</f>
        <v/>
      </c>
      <c r="J75" s="14" t="str">
        <f aca="false">IF($H75="","",IFERROR(INDEX(상품목록!$C$3:$C$102,MATCH($H75,상품목록!$A$3:$A$102,0)),0))</f>
        <v/>
      </c>
      <c r="K75" s="7"/>
      <c r="L75" s="14" t="str">
        <f aca="false">IF(OR($J75="",$K75=""),"",ROUND($J75*$K75,0))</f>
        <v/>
      </c>
      <c r="M75" s="9"/>
      <c r="N75" s="14" t="str">
        <f aca="false">IF($L75="","",$L75+IF($M75="",0,$M75))</f>
        <v/>
      </c>
      <c r="O75" s="13"/>
      <c r="P75" s="7"/>
      <c r="Q75" s="12" t="str">
        <f aca="false">IF($C75="","",IF($P75&lt;&gt;"","발송완료",IF($O75&lt;&gt;"","입금완료","입금대기")))</f>
        <v/>
      </c>
      <c r="R75" s="12" t="str">
        <f aca="false">IF($C75="","",COUNTIFS($C$3:$C75,$C75))</f>
        <v/>
      </c>
      <c r="S75" s="12" t="str">
        <f aca="false">IF($C75="","",$C75&amp;"|"&amp;$R75)</f>
        <v/>
      </c>
    </row>
    <row r="76" customFormat="false" ht="15" hidden="false" customHeight="true" outlineLevel="0" collapsed="false">
      <c r="A76" s="12" t="str">
        <f aca="false">IF($C76="","",TEXT($B76,"yymmdd")&amp;"-"&amp;TEXT(COUNTIFS($B$3:$B76,$B76),"000"))</f>
        <v/>
      </c>
      <c r="B76" s="13"/>
      <c r="C76" s="7"/>
      <c r="D76" s="12" t="str">
        <f aca="false">IF($C76="","",IFERROR(INDEX(고객명부!$B$3:$B$502,MATCH($C76,고객명부!$A$3:$A$502,0)),"미등록고객"))</f>
        <v/>
      </c>
      <c r="E76" s="12" t="str">
        <f aca="false">IF($C76="","",IFERROR(INDEX(고객명부!$C$3:$C$502,MATCH($C76,고객명부!$A$3:$A$502,0)),""))</f>
        <v/>
      </c>
      <c r="F76" s="12" t="str">
        <f aca="false">IF($C76="","",IFERROR(INDEX(고객명부!$D$3:$D$502,MATCH($C76,고객명부!$A$3:$A$502,0)),""))</f>
        <v/>
      </c>
      <c r="G76" s="12" t="str">
        <f aca="false">IF($C76="","",IFERROR(INDEX(고객명부!$E$3:$E$502,MATCH($C76,고객명부!$A$3:$A$502,0))&amp;" "&amp;INDEX(고객명부!$F$3:$F$502,MATCH($C76,고객명부!$A$3:$A$502,0)),""))</f>
        <v/>
      </c>
      <c r="H76" s="7"/>
      <c r="I76" s="12" t="str">
        <f aca="false">IF($H76="","",IFERROR(INDEX(상품목록!$B$3:$B$102,MATCH($H76,상품목록!$A$3:$A$102,0)),""))</f>
        <v/>
      </c>
      <c r="J76" s="14" t="str">
        <f aca="false">IF($H76="","",IFERROR(INDEX(상품목록!$C$3:$C$102,MATCH($H76,상품목록!$A$3:$A$102,0)),0))</f>
        <v/>
      </c>
      <c r="K76" s="7"/>
      <c r="L76" s="14" t="str">
        <f aca="false">IF(OR($J76="",$K76=""),"",ROUND($J76*$K76,0))</f>
        <v/>
      </c>
      <c r="M76" s="9"/>
      <c r="N76" s="14" t="str">
        <f aca="false">IF($L76="","",$L76+IF($M76="",0,$M76))</f>
        <v/>
      </c>
      <c r="O76" s="13"/>
      <c r="P76" s="7"/>
      <c r="Q76" s="12" t="str">
        <f aca="false">IF($C76="","",IF($P76&lt;&gt;"","발송완료",IF($O76&lt;&gt;"","입금완료","입금대기")))</f>
        <v/>
      </c>
      <c r="R76" s="12" t="str">
        <f aca="false">IF($C76="","",COUNTIFS($C$3:$C76,$C76))</f>
        <v/>
      </c>
      <c r="S76" s="12" t="str">
        <f aca="false">IF($C76="","",$C76&amp;"|"&amp;$R76)</f>
        <v/>
      </c>
    </row>
    <row r="77" customFormat="false" ht="15" hidden="false" customHeight="true" outlineLevel="0" collapsed="false">
      <c r="A77" s="12" t="str">
        <f aca="false">IF($C77="","",TEXT($B77,"yymmdd")&amp;"-"&amp;TEXT(COUNTIFS($B$3:$B77,$B77),"000"))</f>
        <v/>
      </c>
      <c r="B77" s="13"/>
      <c r="C77" s="7"/>
      <c r="D77" s="12" t="str">
        <f aca="false">IF($C77="","",IFERROR(INDEX(고객명부!$B$3:$B$502,MATCH($C77,고객명부!$A$3:$A$502,0)),"미등록고객"))</f>
        <v/>
      </c>
      <c r="E77" s="12" t="str">
        <f aca="false">IF($C77="","",IFERROR(INDEX(고객명부!$C$3:$C$502,MATCH($C77,고객명부!$A$3:$A$502,0)),""))</f>
        <v/>
      </c>
      <c r="F77" s="12" t="str">
        <f aca="false">IF($C77="","",IFERROR(INDEX(고객명부!$D$3:$D$502,MATCH($C77,고객명부!$A$3:$A$502,0)),""))</f>
        <v/>
      </c>
      <c r="G77" s="12" t="str">
        <f aca="false">IF($C77="","",IFERROR(INDEX(고객명부!$E$3:$E$502,MATCH($C77,고객명부!$A$3:$A$502,0))&amp;" "&amp;INDEX(고객명부!$F$3:$F$502,MATCH($C77,고객명부!$A$3:$A$502,0)),""))</f>
        <v/>
      </c>
      <c r="H77" s="7"/>
      <c r="I77" s="12" t="str">
        <f aca="false">IF($H77="","",IFERROR(INDEX(상품목록!$B$3:$B$102,MATCH($H77,상품목록!$A$3:$A$102,0)),""))</f>
        <v/>
      </c>
      <c r="J77" s="14" t="str">
        <f aca="false">IF($H77="","",IFERROR(INDEX(상품목록!$C$3:$C$102,MATCH($H77,상품목록!$A$3:$A$102,0)),0))</f>
        <v/>
      </c>
      <c r="K77" s="7"/>
      <c r="L77" s="14" t="str">
        <f aca="false">IF(OR($J77="",$K77=""),"",ROUND($J77*$K77,0))</f>
        <v/>
      </c>
      <c r="M77" s="9"/>
      <c r="N77" s="14" t="str">
        <f aca="false">IF($L77="","",$L77+IF($M77="",0,$M77))</f>
        <v/>
      </c>
      <c r="O77" s="13"/>
      <c r="P77" s="7"/>
      <c r="Q77" s="12" t="str">
        <f aca="false">IF($C77="","",IF($P77&lt;&gt;"","발송완료",IF($O77&lt;&gt;"","입금완료","입금대기")))</f>
        <v/>
      </c>
      <c r="R77" s="12" t="str">
        <f aca="false">IF($C77="","",COUNTIFS($C$3:$C77,$C77))</f>
        <v/>
      </c>
      <c r="S77" s="12" t="str">
        <f aca="false">IF($C77="","",$C77&amp;"|"&amp;$R77)</f>
        <v/>
      </c>
    </row>
    <row r="78" customFormat="false" ht="15" hidden="false" customHeight="true" outlineLevel="0" collapsed="false">
      <c r="A78" s="12" t="str">
        <f aca="false">IF($C78="","",TEXT($B78,"yymmdd")&amp;"-"&amp;TEXT(COUNTIFS($B$3:$B78,$B78),"000"))</f>
        <v/>
      </c>
      <c r="B78" s="13"/>
      <c r="C78" s="7"/>
      <c r="D78" s="12" t="str">
        <f aca="false">IF($C78="","",IFERROR(INDEX(고객명부!$B$3:$B$502,MATCH($C78,고객명부!$A$3:$A$502,0)),"미등록고객"))</f>
        <v/>
      </c>
      <c r="E78" s="12" t="str">
        <f aca="false">IF($C78="","",IFERROR(INDEX(고객명부!$C$3:$C$502,MATCH($C78,고객명부!$A$3:$A$502,0)),""))</f>
        <v/>
      </c>
      <c r="F78" s="12" t="str">
        <f aca="false">IF($C78="","",IFERROR(INDEX(고객명부!$D$3:$D$502,MATCH($C78,고객명부!$A$3:$A$502,0)),""))</f>
        <v/>
      </c>
      <c r="G78" s="12" t="str">
        <f aca="false">IF($C78="","",IFERROR(INDEX(고객명부!$E$3:$E$502,MATCH($C78,고객명부!$A$3:$A$502,0))&amp;" "&amp;INDEX(고객명부!$F$3:$F$502,MATCH($C78,고객명부!$A$3:$A$502,0)),""))</f>
        <v/>
      </c>
      <c r="H78" s="7"/>
      <c r="I78" s="12" t="str">
        <f aca="false">IF($H78="","",IFERROR(INDEX(상품목록!$B$3:$B$102,MATCH($H78,상품목록!$A$3:$A$102,0)),""))</f>
        <v/>
      </c>
      <c r="J78" s="14" t="str">
        <f aca="false">IF($H78="","",IFERROR(INDEX(상품목록!$C$3:$C$102,MATCH($H78,상품목록!$A$3:$A$102,0)),0))</f>
        <v/>
      </c>
      <c r="K78" s="7"/>
      <c r="L78" s="14" t="str">
        <f aca="false">IF(OR($J78="",$K78=""),"",ROUND($J78*$K78,0))</f>
        <v/>
      </c>
      <c r="M78" s="9"/>
      <c r="N78" s="14" t="str">
        <f aca="false">IF($L78="","",$L78+IF($M78="",0,$M78))</f>
        <v/>
      </c>
      <c r="O78" s="13"/>
      <c r="P78" s="7"/>
      <c r="Q78" s="12" t="str">
        <f aca="false">IF($C78="","",IF($P78&lt;&gt;"","발송완료",IF($O78&lt;&gt;"","입금완료","입금대기")))</f>
        <v/>
      </c>
      <c r="R78" s="12" t="str">
        <f aca="false">IF($C78="","",COUNTIFS($C$3:$C78,$C78))</f>
        <v/>
      </c>
      <c r="S78" s="12" t="str">
        <f aca="false">IF($C78="","",$C78&amp;"|"&amp;$R78)</f>
        <v/>
      </c>
    </row>
    <row r="79" customFormat="false" ht="15" hidden="false" customHeight="true" outlineLevel="0" collapsed="false">
      <c r="A79" s="12" t="str">
        <f aca="false">IF($C79="","",TEXT($B79,"yymmdd")&amp;"-"&amp;TEXT(COUNTIFS($B$3:$B79,$B79),"000"))</f>
        <v/>
      </c>
      <c r="B79" s="13"/>
      <c r="C79" s="7"/>
      <c r="D79" s="12" t="str">
        <f aca="false">IF($C79="","",IFERROR(INDEX(고객명부!$B$3:$B$502,MATCH($C79,고객명부!$A$3:$A$502,0)),"미등록고객"))</f>
        <v/>
      </c>
      <c r="E79" s="12" t="str">
        <f aca="false">IF($C79="","",IFERROR(INDEX(고객명부!$C$3:$C$502,MATCH($C79,고객명부!$A$3:$A$502,0)),""))</f>
        <v/>
      </c>
      <c r="F79" s="12" t="str">
        <f aca="false">IF($C79="","",IFERROR(INDEX(고객명부!$D$3:$D$502,MATCH($C79,고객명부!$A$3:$A$502,0)),""))</f>
        <v/>
      </c>
      <c r="G79" s="12" t="str">
        <f aca="false">IF($C79="","",IFERROR(INDEX(고객명부!$E$3:$E$502,MATCH($C79,고객명부!$A$3:$A$502,0))&amp;" "&amp;INDEX(고객명부!$F$3:$F$502,MATCH($C79,고객명부!$A$3:$A$502,0)),""))</f>
        <v/>
      </c>
      <c r="H79" s="7"/>
      <c r="I79" s="12" t="str">
        <f aca="false">IF($H79="","",IFERROR(INDEX(상품목록!$B$3:$B$102,MATCH($H79,상품목록!$A$3:$A$102,0)),""))</f>
        <v/>
      </c>
      <c r="J79" s="14" t="str">
        <f aca="false">IF($H79="","",IFERROR(INDEX(상품목록!$C$3:$C$102,MATCH($H79,상품목록!$A$3:$A$102,0)),0))</f>
        <v/>
      </c>
      <c r="K79" s="7"/>
      <c r="L79" s="14" t="str">
        <f aca="false">IF(OR($J79="",$K79=""),"",ROUND($J79*$K79,0))</f>
        <v/>
      </c>
      <c r="M79" s="9"/>
      <c r="N79" s="14" t="str">
        <f aca="false">IF($L79="","",$L79+IF($M79="",0,$M79))</f>
        <v/>
      </c>
      <c r="O79" s="13"/>
      <c r="P79" s="7"/>
      <c r="Q79" s="12" t="str">
        <f aca="false">IF($C79="","",IF($P79&lt;&gt;"","발송완료",IF($O79&lt;&gt;"","입금완료","입금대기")))</f>
        <v/>
      </c>
      <c r="R79" s="12" t="str">
        <f aca="false">IF($C79="","",COUNTIFS($C$3:$C79,$C79))</f>
        <v/>
      </c>
      <c r="S79" s="12" t="str">
        <f aca="false">IF($C79="","",$C79&amp;"|"&amp;$R79)</f>
        <v/>
      </c>
    </row>
    <row r="80" customFormat="false" ht="15" hidden="false" customHeight="true" outlineLevel="0" collapsed="false">
      <c r="A80" s="12" t="str">
        <f aca="false">IF($C80="","",TEXT($B80,"yymmdd")&amp;"-"&amp;TEXT(COUNTIFS($B$3:$B80,$B80),"000"))</f>
        <v/>
      </c>
      <c r="B80" s="13"/>
      <c r="C80" s="7"/>
      <c r="D80" s="12" t="str">
        <f aca="false">IF($C80="","",IFERROR(INDEX(고객명부!$B$3:$B$502,MATCH($C80,고객명부!$A$3:$A$502,0)),"미등록고객"))</f>
        <v/>
      </c>
      <c r="E80" s="12" t="str">
        <f aca="false">IF($C80="","",IFERROR(INDEX(고객명부!$C$3:$C$502,MATCH($C80,고객명부!$A$3:$A$502,0)),""))</f>
        <v/>
      </c>
      <c r="F80" s="12" t="str">
        <f aca="false">IF($C80="","",IFERROR(INDEX(고객명부!$D$3:$D$502,MATCH($C80,고객명부!$A$3:$A$502,0)),""))</f>
        <v/>
      </c>
      <c r="G80" s="12" t="str">
        <f aca="false">IF($C80="","",IFERROR(INDEX(고객명부!$E$3:$E$502,MATCH($C80,고객명부!$A$3:$A$502,0))&amp;" "&amp;INDEX(고객명부!$F$3:$F$502,MATCH($C80,고객명부!$A$3:$A$502,0)),""))</f>
        <v/>
      </c>
      <c r="H80" s="7"/>
      <c r="I80" s="12" t="str">
        <f aca="false">IF($H80="","",IFERROR(INDEX(상품목록!$B$3:$B$102,MATCH($H80,상품목록!$A$3:$A$102,0)),""))</f>
        <v/>
      </c>
      <c r="J80" s="14" t="str">
        <f aca="false">IF($H80="","",IFERROR(INDEX(상품목록!$C$3:$C$102,MATCH($H80,상품목록!$A$3:$A$102,0)),0))</f>
        <v/>
      </c>
      <c r="K80" s="7"/>
      <c r="L80" s="14" t="str">
        <f aca="false">IF(OR($J80="",$K80=""),"",ROUND($J80*$K80,0))</f>
        <v/>
      </c>
      <c r="M80" s="9"/>
      <c r="N80" s="14" t="str">
        <f aca="false">IF($L80="","",$L80+IF($M80="",0,$M80))</f>
        <v/>
      </c>
      <c r="O80" s="13"/>
      <c r="P80" s="7"/>
      <c r="Q80" s="12" t="str">
        <f aca="false">IF($C80="","",IF($P80&lt;&gt;"","발송완료",IF($O80&lt;&gt;"","입금완료","입금대기")))</f>
        <v/>
      </c>
      <c r="R80" s="12" t="str">
        <f aca="false">IF($C80="","",COUNTIFS($C$3:$C80,$C80))</f>
        <v/>
      </c>
      <c r="S80" s="12" t="str">
        <f aca="false">IF($C80="","",$C80&amp;"|"&amp;$R80)</f>
        <v/>
      </c>
    </row>
    <row r="81" customFormat="false" ht="15" hidden="false" customHeight="true" outlineLevel="0" collapsed="false">
      <c r="A81" s="12" t="str">
        <f aca="false">IF($C81="","",TEXT($B81,"yymmdd")&amp;"-"&amp;TEXT(COUNTIFS($B$3:$B81,$B81),"000"))</f>
        <v/>
      </c>
      <c r="B81" s="13"/>
      <c r="C81" s="7"/>
      <c r="D81" s="12" t="str">
        <f aca="false">IF($C81="","",IFERROR(INDEX(고객명부!$B$3:$B$502,MATCH($C81,고객명부!$A$3:$A$502,0)),"미등록고객"))</f>
        <v/>
      </c>
      <c r="E81" s="12" t="str">
        <f aca="false">IF($C81="","",IFERROR(INDEX(고객명부!$C$3:$C$502,MATCH($C81,고객명부!$A$3:$A$502,0)),""))</f>
        <v/>
      </c>
      <c r="F81" s="12" t="str">
        <f aca="false">IF($C81="","",IFERROR(INDEX(고객명부!$D$3:$D$502,MATCH($C81,고객명부!$A$3:$A$502,0)),""))</f>
        <v/>
      </c>
      <c r="G81" s="12" t="str">
        <f aca="false">IF($C81="","",IFERROR(INDEX(고객명부!$E$3:$E$502,MATCH($C81,고객명부!$A$3:$A$502,0))&amp;" "&amp;INDEX(고객명부!$F$3:$F$502,MATCH($C81,고객명부!$A$3:$A$502,0)),""))</f>
        <v/>
      </c>
      <c r="H81" s="7"/>
      <c r="I81" s="12" t="str">
        <f aca="false">IF($H81="","",IFERROR(INDEX(상품목록!$B$3:$B$102,MATCH($H81,상품목록!$A$3:$A$102,0)),""))</f>
        <v/>
      </c>
      <c r="J81" s="14" t="str">
        <f aca="false">IF($H81="","",IFERROR(INDEX(상품목록!$C$3:$C$102,MATCH($H81,상품목록!$A$3:$A$102,0)),0))</f>
        <v/>
      </c>
      <c r="K81" s="7"/>
      <c r="L81" s="14" t="str">
        <f aca="false">IF(OR($J81="",$K81=""),"",ROUND($J81*$K81,0))</f>
        <v/>
      </c>
      <c r="M81" s="9"/>
      <c r="N81" s="14" t="str">
        <f aca="false">IF($L81="","",$L81+IF($M81="",0,$M81))</f>
        <v/>
      </c>
      <c r="O81" s="13"/>
      <c r="P81" s="7"/>
      <c r="Q81" s="12" t="str">
        <f aca="false">IF($C81="","",IF($P81&lt;&gt;"","발송완료",IF($O81&lt;&gt;"","입금완료","입금대기")))</f>
        <v/>
      </c>
      <c r="R81" s="12" t="str">
        <f aca="false">IF($C81="","",COUNTIFS($C$3:$C81,$C81))</f>
        <v/>
      </c>
      <c r="S81" s="12" t="str">
        <f aca="false">IF($C81="","",$C81&amp;"|"&amp;$R81)</f>
        <v/>
      </c>
    </row>
    <row r="82" customFormat="false" ht="15" hidden="false" customHeight="true" outlineLevel="0" collapsed="false">
      <c r="A82" s="12" t="str">
        <f aca="false">IF($C82="","",TEXT($B82,"yymmdd")&amp;"-"&amp;TEXT(COUNTIFS($B$3:$B82,$B82),"000"))</f>
        <v/>
      </c>
      <c r="B82" s="13"/>
      <c r="C82" s="7"/>
      <c r="D82" s="12" t="str">
        <f aca="false">IF($C82="","",IFERROR(INDEX(고객명부!$B$3:$B$502,MATCH($C82,고객명부!$A$3:$A$502,0)),"미등록고객"))</f>
        <v/>
      </c>
      <c r="E82" s="12" t="str">
        <f aca="false">IF($C82="","",IFERROR(INDEX(고객명부!$C$3:$C$502,MATCH($C82,고객명부!$A$3:$A$502,0)),""))</f>
        <v/>
      </c>
      <c r="F82" s="12" t="str">
        <f aca="false">IF($C82="","",IFERROR(INDEX(고객명부!$D$3:$D$502,MATCH($C82,고객명부!$A$3:$A$502,0)),""))</f>
        <v/>
      </c>
      <c r="G82" s="12" t="str">
        <f aca="false">IF($C82="","",IFERROR(INDEX(고객명부!$E$3:$E$502,MATCH($C82,고객명부!$A$3:$A$502,0))&amp;" "&amp;INDEX(고객명부!$F$3:$F$502,MATCH($C82,고객명부!$A$3:$A$502,0)),""))</f>
        <v/>
      </c>
      <c r="H82" s="7"/>
      <c r="I82" s="12" t="str">
        <f aca="false">IF($H82="","",IFERROR(INDEX(상품목록!$B$3:$B$102,MATCH($H82,상품목록!$A$3:$A$102,0)),""))</f>
        <v/>
      </c>
      <c r="J82" s="14" t="str">
        <f aca="false">IF($H82="","",IFERROR(INDEX(상품목록!$C$3:$C$102,MATCH($H82,상품목록!$A$3:$A$102,0)),0))</f>
        <v/>
      </c>
      <c r="K82" s="7"/>
      <c r="L82" s="14" t="str">
        <f aca="false">IF(OR($J82="",$K82=""),"",ROUND($J82*$K82,0))</f>
        <v/>
      </c>
      <c r="M82" s="9"/>
      <c r="N82" s="14" t="str">
        <f aca="false">IF($L82="","",$L82+IF($M82="",0,$M82))</f>
        <v/>
      </c>
      <c r="O82" s="13"/>
      <c r="P82" s="7"/>
      <c r="Q82" s="12" t="str">
        <f aca="false">IF($C82="","",IF($P82&lt;&gt;"","발송완료",IF($O82&lt;&gt;"","입금완료","입금대기")))</f>
        <v/>
      </c>
      <c r="R82" s="12" t="str">
        <f aca="false">IF($C82="","",COUNTIFS($C$3:$C82,$C82))</f>
        <v/>
      </c>
      <c r="S82" s="12" t="str">
        <f aca="false">IF($C82="","",$C82&amp;"|"&amp;$R82)</f>
        <v/>
      </c>
    </row>
    <row r="83" customFormat="false" ht="15" hidden="false" customHeight="true" outlineLevel="0" collapsed="false">
      <c r="A83" s="12" t="str">
        <f aca="false">IF($C83="","",TEXT($B83,"yymmdd")&amp;"-"&amp;TEXT(COUNTIFS($B$3:$B83,$B83),"000"))</f>
        <v/>
      </c>
      <c r="B83" s="13"/>
      <c r="C83" s="7"/>
      <c r="D83" s="12" t="str">
        <f aca="false">IF($C83="","",IFERROR(INDEX(고객명부!$B$3:$B$502,MATCH($C83,고객명부!$A$3:$A$502,0)),"미등록고객"))</f>
        <v/>
      </c>
      <c r="E83" s="12" t="str">
        <f aca="false">IF($C83="","",IFERROR(INDEX(고객명부!$C$3:$C$502,MATCH($C83,고객명부!$A$3:$A$502,0)),""))</f>
        <v/>
      </c>
      <c r="F83" s="12" t="str">
        <f aca="false">IF($C83="","",IFERROR(INDEX(고객명부!$D$3:$D$502,MATCH($C83,고객명부!$A$3:$A$502,0)),""))</f>
        <v/>
      </c>
      <c r="G83" s="12" t="str">
        <f aca="false">IF($C83="","",IFERROR(INDEX(고객명부!$E$3:$E$502,MATCH($C83,고객명부!$A$3:$A$502,0))&amp;" "&amp;INDEX(고객명부!$F$3:$F$502,MATCH($C83,고객명부!$A$3:$A$502,0)),""))</f>
        <v/>
      </c>
      <c r="H83" s="7"/>
      <c r="I83" s="12" t="str">
        <f aca="false">IF($H83="","",IFERROR(INDEX(상품목록!$B$3:$B$102,MATCH($H83,상품목록!$A$3:$A$102,0)),""))</f>
        <v/>
      </c>
      <c r="J83" s="14" t="str">
        <f aca="false">IF($H83="","",IFERROR(INDEX(상품목록!$C$3:$C$102,MATCH($H83,상품목록!$A$3:$A$102,0)),0))</f>
        <v/>
      </c>
      <c r="K83" s="7"/>
      <c r="L83" s="14" t="str">
        <f aca="false">IF(OR($J83="",$K83=""),"",ROUND($J83*$K83,0))</f>
        <v/>
      </c>
      <c r="M83" s="9"/>
      <c r="N83" s="14" t="str">
        <f aca="false">IF($L83="","",$L83+IF($M83="",0,$M83))</f>
        <v/>
      </c>
      <c r="O83" s="13"/>
      <c r="P83" s="7"/>
      <c r="Q83" s="12" t="str">
        <f aca="false">IF($C83="","",IF($P83&lt;&gt;"","발송완료",IF($O83&lt;&gt;"","입금완료","입금대기")))</f>
        <v/>
      </c>
      <c r="R83" s="12" t="str">
        <f aca="false">IF($C83="","",COUNTIFS($C$3:$C83,$C83))</f>
        <v/>
      </c>
      <c r="S83" s="12" t="str">
        <f aca="false">IF($C83="","",$C83&amp;"|"&amp;$R83)</f>
        <v/>
      </c>
    </row>
    <row r="84" customFormat="false" ht="15" hidden="false" customHeight="true" outlineLevel="0" collapsed="false">
      <c r="A84" s="12" t="str">
        <f aca="false">IF($C84="","",TEXT($B84,"yymmdd")&amp;"-"&amp;TEXT(COUNTIFS($B$3:$B84,$B84),"000"))</f>
        <v/>
      </c>
      <c r="B84" s="13"/>
      <c r="C84" s="7"/>
      <c r="D84" s="12" t="str">
        <f aca="false">IF($C84="","",IFERROR(INDEX(고객명부!$B$3:$B$502,MATCH($C84,고객명부!$A$3:$A$502,0)),"미등록고객"))</f>
        <v/>
      </c>
      <c r="E84" s="12" t="str">
        <f aca="false">IF($C84="","",IFERROR(INDEX(고객명부!$C$3:$C$502,MATCH($C84,고객명부!$A$3:$A$502,0)),""))</f>
        <v/>
      </c>
      <c r="F84" s="12" t="str">
        <f aca="false">IF($C84="","",IFERROR(INDEX(고객명부!$D$3:$D$502,MATCH($C84,고객명부!$A$3:$A$502,0)),""))</f>
        <v/>
      </c>
      <c r="G84" s="12" t="str">
        <f aca="false">IF($C84="","",IFERROR(INDEX(고객명부!$E$3:$E$502,MATCH($C84,고객명부!$A$3:$A$502,0))&amp;" "&amp;INDEX(고객명부!$F$3:$F$502,MATCH($C84,고객명부!$A$3:$A$502,0)),""))</f>
        <v/>
      </c>
      <c r="H84" s="7"/>
      <c r="I84" s="12" t="str">
        <f aca="false">IF($H84="","",IFERROR(INDEX(상품목록!$B$3:$B$102,MATCH($H84,상품목록!$A$3:$A$102,0)),""))</f>
        <v/>
      </c>
      <c r="J84" s="14" t="str">
        <f aca="false">IF($H84="","",IFERROR(INDEX(상품목록!$C$3:$C$102,MATCH($H84,상품목록!$A$3:$A$102,0)),0))</f>
        <v/>
      </c>
      <c r="K84" s="7"/>
      <c r="L84" s="14" t="str">
        <f aca="false">IF(OR($J84="",$K84=""),"",ROUND($J84*$K84,0))</f>
        <v/>
      </c>
      <c r="M84" s="9"/>
      <c r="N84" s="14" t="str">
        <f aca="false">IF($L84="","",$L84+IF($M84="",0,$M84))</f>
        <v/>
      </c>
      <c r="O84" s="13"/>
      <c r="P84" s="7"/>
      <c r="Q84" s="12" t="str">
        <f aca="false">IF($C84="","",IF($P84&lt;&gt;"","발송완료",IF($O84&lt;&gt;"","입금완료","입금대기")))</f>
        <v/>
      </c>
      <c r="R84" s="12" t="str">
        <f aca="false">IF($C84="","",COUNTIFS($C$3:$C84,$C84))</f>
        <v/>
      </c>
      <c r="S84" s="12" t="str">
        <f aca="false">IF($C84="","",$C84&amp;"|"&amp;$R84)</f>
        <v/>
      </c>
    </row>
    <row r="85" customFormat="false" ht="15" hidden="false" customHeight="true" outlineLevel="0" collapsed="false">
      <c r="A85" s="12" t="str">
        <f aca="false">IF($C85="","",TEXT($B85,"yymmdd")&amp;"-"&amp;TEXT(COUNTIFS($B$3:$B85,$B85),"000"))</f>
        <v/>
      </c>
      <c r="B85" s="13"/>
      <c r="C85" s="7"/>
      <c r="D85" s="12" t="str">
        <f aca="false">IF($C85="","",IFERROR(INDEX(고객명부!$B$3:$B$502,MATCH($C85,고객명부!$A$3:$A$502,0)),"미등록고객"))</f>
        <v/>
      </c>
      <c r="E85" s="12" t="str">
        <f aca="false">IF($C85="","",IFERROR(INDEX(고객명부!$C$3:$C$502,MATCH($C85,고객명부!$A$3:$A$502,0)),""))</f>
        <v/>
      </c>
      <c r="F85" s="12" t="str">
        <f aca="false">IF($C85="","",IFERROR(INDEX(고객명부!$D$3:$D$502,MATCH($C85,고객명부!$A$3:$A$502,0)),""))</f>
        <v/>
      </c>
      <c r="G85" s="12" t="str">
        <f aca="false">IF($C85="","",IFERROR(INDEX(고객명부!$E$3:$E$502,MATCH($C85,고객명부!$A$3:$A$502,0))&amp;" "&amp;INDEX(고객명부!$F$3:$F$502,MATCH($C85,고객명부!$A$3:$A$502,0)),""))</f>
        <v/>
      </c>
      <c r="H85" s="7"/>
      <c r="I85" s="12" t="str">
        <f aca="false">IF($H85="","",IFERROR(INDEX(상품목록!$B$3:$B$102,MATCH($H85,상품목록!$A$3:$A$102,0)),""))</f>
        <v/>
      </c>
      <c r="J85" s="14" t="str">
        <f aca="false">IF($H85="","",IFERROR(INDEX(상품목록!$C$3:$C$102,MATCH($H85,상품목록!$A$3:$A$102,0)),0))</f>
        <v/>
      </c>
      <c r="K85" s="7"/>
      <c r="L85" s="14" t="str">
        <f aca="false">IF(OR($J85="",$K85=""),"",ROUND($J85*$K85,0))</f>
        <v/>
      </c>
      <c r="M85" s="9"/>
      <c r="N85" s="14" t="str">
        <f aca="false">IF($L85="","",$L85+IF($M85="",0,$M85))</f>
        <v/>
      </c>
      <c r="O85" s="13"/>
      <c r="P85" s="7"/>
      <c r="Q85" s="12" t="str">
        <f aca="false">IF($C85="","",IF($P85&lt;&gt;"","발송완료",IF($O85&lt;&gt;"","입금완료","입금대기")))</f>
        <v/>
      </c>
      <c r="R85" s="12" t="str">
        <f aca="false">IF($C85="","",COUNTIFS($C$3:$C85,$C85))</f>
        <v/>
      </c>
      <c r="S85" s="12" t="str">
        <f aca="false">IF($C85="","",$C85&amp;"|"&amp;$R85)</f>
        <v/>
      </c>
    </row>
    <row r="86" customFormat="false" ht="15" hidden="false" customHeight="true" outlineLevel="0" collapsed="false">
      <c r="A86" s="12" t="str">
        <f aca="false">IF($C86="","",TEXT($B86,"yymmdd")&amp;"-"&amp;TEXT(COUNTIFS($B$3:$B86,$B86),"000"))</f>
        <v/>
      </c>
      <c r="B86" s="13"/>
      <c r="C86" s="7"/>
      <c r="D86" s="12" t="str">
        <f aca="false">IF($C86="","",IFERROR(INDEX(고객명부!$B$3:$B$502,MATCH($C86,고객명부!$A$3:$A$502,0)),"미등록고객"))</f>
        <v/>
      </c>
      <c r="E86" s="12" t="str">
        <f aca="false">IF($C86="","",IFERROR(INDEX(고객명부!$C$3:$C$502,MATCH($C86,고객명부!$A$3:$A$502,0)),""))</f>
        <v/>
      </c>
      <c r="F86" s="12" t="str">
        <f aca="false">IF($C86="","",IFERROR(INDEX(고객명부!$D$3:$D$502,MATCH($C86,고객명부!$A$3:$A$502,0)),""))</f>
        <v/>
      </c>
      <c r="G86" s="12" t="str">
        <f aca="false">IF($C86="","",IFERROR(INDEX(고객명부!$E$3:$E$502,MATCH($C86,고객명부!$A$3:$A$502,0))&amp;" "&amp;INDEX(고객명부!$F$3:$F$502,MATCH($C86,고객명부!$A$3:$A$502,0)),""))</f>
        <v/>
      </c>
      <c r="H86" s="7"/>
      <c r="I86" s="12" t="str">
        <f aca="false">IF($H86="","",IFERROR(INDEX(상품목록!$B$3:$B$102,MATCH($H86,상품목록!$A$3:$A$102,0)),""))</f>
        <v/>
      </c>
      <c r="J86" s="14" t="str">
        <f aca="false">IF($H86="","",IFERROR(INDEX(상품목록!$C$3:$C$102,MATCH($H86,상품목록!$A$3:$A$102,0)),0))</f>
        <v/>
      </c>
      <c r="K86" s="7"/>
      <c r="L86" s="14" t="str">
        <f aca="false">IF(OR($J86="",$K86=""),"",ROUND($J86*$K86,0))</f>
        <v/>
      </c>
      <c r="M86" s="9"/>
      <c r="N86" s="14" t="str">
        <f aca="false">IF($L86="","",$L86+IF($M86="",0,$M86))</f>
        <v/>
      </c>
      <c r="O86" s="13"/>
      <c r="P86" s="7"/>
      <c r="Q86" s="12" t="str">
        <f aca="false">IF($C86="","",IF($P86&lt;&gt;"","발송완료",IF($O86&lt;&gt;"","입금완료","입금대기")))</f>
        <v/>
      </c>
      <c r="R86" s="12" t="str">
        <f aca="false">IF($C86="","",COUNTIFS($C$3:$C86,$C86))</f>
        <v/>
      </c>
      <c r="S86" s="12" t="str">
        <f aca="false">IF($C86="","",$C86&amp;"|"&amp;$R86)</f>
        <v/>
      </c>
    </row>
    <row r="87" customFormat="false" ht="15" hidden="false" customHeight="true" outlineLevel="0" collapsed="false">
      <c r="A87" s="12" t="str">
        <f aca="false">IF($C87="","",TEXT($B87,"yymmdd")&amp;"-"&amp;TEXT(COUNTIFS($B$3:$B87,$B87),"000"))</f>
        <v/>
      </c>
      <c r="B87" s="13"/>
      <c r="C87" s="7"/>
      <c r="D87" s="12" t="str">
        <f aca="false">IF($C87="","",IFERROR(INDEX(고객명부!$B$3:$B$502,MATCH($C87,고객명부!$A$3:$A$502,0)),"미등록고객"))</f>
        <v/>
      </c>
      <c r="E87" s="12" t="str">
        <f aca="false">IF($C87="","",IFERROR(INDEX(고객명부!$C$3:$C$502,MATCH($C87,고객명부!$A$3:$A$502,0)),""))</f>
        <v/>
      </c>
      <c r="F87" s="12" t="str">
        <f aca="false">IF($C87="","",IFERROR(INDEX(고객명부!$D$3:$D$502,MATCH($C87,고객명부!$A$3:$A$502,0)),""))</f>
        <v/>
      </c>
      <c r="G87" s="12" t="str">
        <f aca="false">IF($C87="","",IFERROR(INDEX(고객명부!$E$3:$E$502,MATCH($C87,고객명부!$A$3:$A$502,0))&amp;" "&amp;INDEX(고객명부!$F$3:$F$502,MATCH($C87,고객명부!$A$3:$A$502,0)),""))</f>
        <v/>
      </c>
      <c r="H87" s="7"/>
      <c r="I87" s="12" t="str">
        <f aca="false">IF($H87="","",IFERROR(INDEX(상품목록!$B$3:$B$102,MATCH($H87,상품목록!$A$3:$A$102,0)),""))</f>
        <v/>
      </c>
      <c r="J87" s="14" t="str">
        <f aca="false">IF($H87="","",IFERROR(INDEX(상품목록!$C$3:$C$102,MATCH($H87,상품목록!$A$3:$A$102,0)),0))</f>
        <v/>
      </c>
      <c r="K87" s="7"/>
      <c r="L87" s="14" t="str">
        <f aca="false">IF(OR($J87="",$K87=""),"",ROUND($J87*$K87,0))</f>
        <v/>
      </c>
      <c r="M87" s="9"/>
      <c r="N87" s="14" t="str">
        <f aca="false">IF($L87="","",$L87+IF($M87="",0,$M87))</f>
        <v/>
      </c>
      <c r="O87" s="13"/>
      <c r="P87" s="7"/>
      <c r="Q87" s="12" t="str">
        <f aca="false">IF($C87="","",IF($P87&lt;&gt;"","발송완료",IF($O87&lt;&gt;"","입금완료","입금대기")))</f>
        <v/>
      </c>
      <c r="R87" s="12" t="str">
        <f aca="false">IF($C87="","",COUNTIFS($C$3:$C87,$C87))</f>
        <v/>
      </c>
      <c r="S87" s="12" t="str">
        <f aca="false">IF($C87="","",$C87&amp;"|"&amp;$R87)</f>
        <v/>
      </c>
    </row>
    <row r="88" customFormat="false" ht="15" hidden="false" customHeight="true" outlineLevel="0" collapsed="false">
      <c r="A88" s="12" t="str">
        <f aca="false">IF($C88="","",TEXT($B88,"yymmdd")&amp;"-"&amp;TEXT(COUNTIFS($B$3:$B88,$B88),"000"))</f>
        <v/>
      </c>
      <c r="B88" s="13"/>
      <c r="C88" s="7"/>
      <c r="D88" s="12" t="str">
        <f aca="false">IF($C88="","",IFERROR(INDEX(고객명부!$B$3:$B$502,MATCH($C88,고객명부!$A$3:$A$502,0)),"미등록고객"))</f>
        <v/>
      </c>
      <c r="E88" s="12" t="str">
        <f aca="false">IF($C88="","",IFERROR(INDEX(고객명부!$C$3:$C$502,MATCH($C88,고객명부!$A$3:$A$502,0)),""))</f>
        <v/>
      </c>
      <c r="F88" s="12" t="str">
        <f aca="false">IF($C88="","",IFERROR(INDEX(고객명부!$D$3:$D$502,MATCH($C88,고객명부!$A$3:$A$502,0)),""))</f>
        <v/>
      </c>
      <c r="G88" s="12" t="str">
        <f aca="false">IF($C88="","",IFERROR(INDEX(고객명부!$E$3:$E$502,MATCH($C88,고객명부!$A$3:$A$502,0))&amp;" "&amp;INDEX(고객명부!$F$3:$F$502,MATCH($C88,고객명부!$A$3:$A$502,0)),""))</f>
        <v/>
      </c>
      <c r="H88" s="7"/>
      <c r="I88" s="12" t="str">
        <f aca="false">IF($H88="","",IFERROR(INDEX(상품목록!$B$3:$B$102,MATCH($H88,상품목록!$A$3:$A$102,0)),""))</f>
        <v/>
      </c>
      <c r="J88" s="14" t="str">
        <f aca="false">IF($H88="","",IFERROR(INDEX(상품목록!$C$3:$C$102,MATCH($H88,상품목록!$A$3:$A$102,0)),0))</f>
        <v/>
      </c>
      <c r="K88" s="7"/>
      <c r="L88" s="14" t="str">
        <f aca="false">IF(OR($J88="",$K88=""),"",ROUND($J88*$K88,0))</f>
        <v/>
      </c>
      <c r="M88" s="9"/>
      <c r="N88" s="14" t="str">
        <f aca="false">IF($L88="","",$L88+IF($M88="",0,$M88))</f>
        <v/>
      </c>
      <c r="O88" s="13"/>
      <c r="P88" s="7"/>
      <c r="Q88" s="12" t="str">
        <f aca="false">IF($C88="","",IF($P88&lt;&gt;"","발송완료",IF($O88&lt;&gt;"","입금완료","입금대기")))</f>
        <v/>
      </c>
      <c r="R88" s="12" t="str">
        <f aca="false">IF($C88="","",COUNTIFS($C$3:$C88,$C88))</f>
        <v/>
      </c>
      <c r="S88" s="12" t="str">
        <f aca="false">IF($C88="","",$C88&amp;"|"&amp;$R88)</f>
        <v/>
      </c>
    </row>
    <row r="89" customFormat="false" ht="15" hidden="false" customHeight="true" outlineLevel="0" collapsed="false">
      <c r="A89" s="12" t="str">
        <f aca="false">IF($C89="","",TEXT($B89,"yymmdd")&amp;"-"&amp;TEXT(COUNTIFS($B$3:$B89,$B89),"000"))</f>
        <v/>
      </c>
      <c r="B89" s="13"/>
      <c r="C89" s="7"/>
      <c r="D89" s="12" t="str">
        <f aca="false">IF($C89="","",IFERROR(INDEX(고객명부!$B$3:$B$502,MATCH($C89,고객명부!$A$3:$A$502,0)),"미등록고객"))</f>
        <v/>
      </c>
      <c r="E89" s="12" t="str">
        <f aca="false">IF($C89="","",IFERROR(INDEX(고객명부!$C$3:$C$502,MATCH($C89,고객명부!$A$3:$A$502,0)),""))</f>
        <v/>
      </c>
      <c r="F89" s="12" t="str">
        <f aca="false">IF($C89="","",IFERROR(INDEX(고객명부!$D$3:$D$502,MATCH($C89,고객명부!$A$3:$A$502,0)),""))</f>
        <v/>
      </c>
      <c r="G89" s="12" t="str">
        <f aca="false">IF($C89="","",IFERROR(INDEX(고객명부!$E$3:$E$502,MATCH($C89,고객명부!$A$3:$A$502,0))&amp;" "&amp;INDEX(고객명부!$F$3:$F$502,MATCH($C89,고객명부!$A$3:$A$502,0)),""))</f>
        <v/>
      </c>
      <c r="H89" s="7"/>
      <c r="I89" s="12" t="str">
        <f aca="false">IF($H89="","",IFERROR(INDEX(상품목록!$B$3:$B$102,MATCH($H89,상품목록!$A$3:$A$102,0)),""))</f>
        <v/>
      </c>
      <c r="J89" s="14" t="str">
        <f aca="false">IF($H89="","",IFERROR(INDEX(상품목록!$C$3:$C$102,MATCH($H89,상품목록!$A$3:$A$102,0)),0))</f>
        <v/>
      </c>
      <c r="K89" s="7"/>
      <c r="L89" s="14" t="str">
        <f aca="false">IF(OR($J89="",$K89=""),"",ROUND($J89*$K89,0))</f>
        <v/>
      </c>
      <c r="M89" s="9"/>
      <c r="N89" s="14" t="str">
        <f aca="false">IF($L89="","",$L89+IF($M89="",0,$M89))</f>
        <v/>
      </c>
      <c r="O89" s="13"/>
      <c r="P89" s="7"/>
      <c r="Q89" s="12" t="str">
        <f aca="false">IF($C89="","",IF($P89&lt;&gt;"","발송완료",IF($O89&lt;&gt;"","입금완료","입금대기")))</f>
        <v/>
      </c>
      <c r="R89" s="12" t="str">
        <f aca="false">IF($C89="","",COUNTIFS($C$3:$C89,$C89))</f>
        <v/>
      </c>
      <c r="S89" s="12" t="str">
        <f aca="false">IF($C89="","",$C89&amp;"|"&amp;$R89)</f>
        <v/>
      </c>
    </row>
    <row r="90" customFormat="false" ht="15" hidden="false" customHeight="true" outlineLevel="0" collapsed="false">
      <c r="A90" s="12" t="str">
        <f aca="false">IF($C90="","",TEXT($B90,"yymmdd")&amp;"-"&amp;TEXT(COUNTIFS($B$3:$B90,$B90),"000"))</f>
        <v/>
      </c>
      <c r="B90" s="13"/>
      <c r="C90" s="7"/>
      <c r="D90" s="12" t="str">
        <f aca="false">IF($C90="","",IFERROR(INDEX(고객명부!$B$3:$B$502,MATCH($C90,고객명부!$A$3:$A$502,0)),"미등록고객"))</f>
        <v/>
      </c>
      <c r="E90" s="12" t="str">
        <f aca="false">IF($C90="","",IFERROR(INDEX(고객명부!$C$3:$C$502,MATCH($C90,고객명부!$A$3:$A$502,0)),""))</f>
        <v/>
      </c>
      <c r="F90" s="12" t="str">
        <f aca="false">IF($C90="","",IFERROR(INDEX(고객명부!$D$3:$D$502,MATCH($C90,고객명부!$A$3:$A$502,0)),""))</f>
        <v/>
      </c>
      <c r="G90" s="12" t="str">
        <f aca="false">IF($C90="","",IFERROR(INDEX(고객명부!$E$3:$E$502,MATCH($C90,고객명부!$A$3:$A$502,0))&amp;" "&amp;INDEX(고객명부!$F$3:$F$502,MATCH($C90,고객명부!$A$3:$A$502,0)),""))</f>
        <v/>
      </c>
      <c r="H90" s="7"/>
      <c r="I90" s="12" t="str">
        <f aca="false">IF($H90="","",IFERROR(INDEX(상품목록!$B$3:$B$102,MATCH($H90,상품목록!$A$3:$A$102,0)),""))</f>
        <v/>
      </c>
      <c r="J90" s="14" t="str">
        <f aca="false">IF($H90="","",IFERROR(INDEX(상품목록!$C$3:$C$102,MATCH($H90,상품목록!$A$3:$A$102,0)),0))</f>
        <v/>
      </c>
      <c r="K90" s="7"/>
      <c r="L90" s="14" t="str">
        <f aca="false">IF(OR($J90="",$K90=""),"",ROUND($J90*$K90,0))</f>
        <v/>
      </c>
      <c r="M90" s="9"/>
      <c r="N90" s="14" t="str">
        <f aca="false">IF($L90="","",$L90+IF($M90="",0,$M90))</f>
        <v/>
      </c>
      <c r="O90" s="13"/>
      <c r="P90" s="7"/>
      <c r="Q90" s="12" t="str">
        <f aca="false">IF($C90="","",IF($P90&lt;&gt;"","발송완료",IF($O90&lt;&gt;"","입금완료","입금대기")))</f>
        <v/>
      </c>
      <c r="R90" s="12" t="str">
        <f aca="false">IF($C90="","",COUNTIFS($C$3:$C90,$C90))</f>
        <v/>
      </c>
      <c r="S90" s="12" t="str">
        <f aca="false">IF($C90="","",$C90&amp;"|"&amp;$R90)</f>
        <v/>
      </c>
    </row>
    <row r="91" customFormat="false" ht="15" hidden="false" customHeight="true" outlineLevel="0" collapsed="false">
      <c r="A91" s="12" t="str">
        <f aca="false">IF($C91="","",TEXT($B91,"yymmdd")&amp;"-"&amp;TEXT(COUNTIFS($B$3:$B91,$B91),"000"))</f>
        <v/>
      </c>
      <c r="B91" s="13"/>
      <c r="C91" s="7"/>
      <c r="D91" s="12" t="str">
        <f aca="false">IF($C91="","",IFERROR(INDEX(고객명부!$B$3:$B$502,MATCH($C91,고객명부!$A$3:$A$502,0)),"미등록고객"))</f>
        <v/>
      </c>
      <c r="E91" s="12" t="str">
        <f aca="false">IF($C91="","",IFERROR(INDEX(고객명부!$C$3:$C$502,MATCH($C91,고객명부!$A$3:$A$502,0)),""))</f>
        <v/>
      </c>
      <c r="F91" s="12" t="str">
        <f aca="false">IF($C91="","",IFERROR(INDEX(고객명부!$D$3:$D$502,MATCH($C91,고객명부!$A$3:$A$502,0)),""))</f>
        <v/>
      </c>
      <c r="G91" s="12" t="str">
        <f aca="false">IF($C91="","",IFERROR(INDEX(고객명부!$E$3:$E$502,MATCH($C91,고객명부!$A$3:$A$502,0))&amp;" "&amp;INDEX(고객명부!$F$3:$F$502,MATCH($C91,고객명부!$A$3:$A$502,0)),""))</f>
        <v/>
      </c>
      <c r="H91" s="7"/>
      <c r="I91" s="12" t="str">
        <f aca="false">IF($H91="","",IFERROR(INDEX(상품목록!$B$3:$B$102,MATCH($H91,상품목록!$A$3:$A$102,0)),""))</f>
        <v/>
      </c>
      <c r="J91" s="14" t="str">
        <f aca="false">IF($H91="","",IFERROR(INDEX(상품목록!$C$3:$C$102,MATCH($H91,상품목록!$A$3:$A$102,0)),0))</f>
        <v/>
      </c>
      <c r="K91" s="7"/>
      <c r="L91" s="14" t="str">
        <f aca="false">IF(OR($J91="",$K91=""),"",ROUND($J91*$K91,0))</f>
        <v/>
      </c>
      <c r="M91" s="9"/>
      <c r="N91" s="14" t="str">
        <f aca="false">IF($L91="","",$L91+IF($M91="",0,$M91))</f>
        <v/>
      </c>
      <c r="O91" s="13"/>
      <c r="P91" s="7"/>
      <c r="Q91" s="12" t="str">
        <f aca="false">IF($C91="","",IF($P91&lt;&gt;"","발송완료",IF($O91&lt;&gt;"","입금완료","입금대기")))</f>
        <v/>
      </c>
      <c r="R91" s="12" t="str">
        <f aca="false">IF($C91="","",COUNTIFS($C$3:$C91,$C91))</f>
        <v/>
      </c>
      <c r="S91" s="12" t="str">
        <f aca="false">IF($C91="","",$C91&amp;"|"&amp;$R91)</f>
        <v/>
      </c>
    </row>
    <row r="92" customFormat="false" ht="15" hidden="false" customHeight="true" outlineLevel="0" collapsed="false">
      <c r="A92" s="12" t="str">
        <f aca="false">IF($C92="","",TEXT($B92,"yymmdd")&amp;"-"&amp;TEXT(COUNTIFS($B$3:$B92,$B92),"000"))</f>
        <v/>
      </c>
      <c r="B92" s="13"/>
      <c r="C92" s="7"/>
      <c r="D92" s="12" t="str">
        <f aca="false">IF($C92="","",IFERROR(INDEX(고객명부!$B$3:$B$502,MATCH($C92,고객명부!$A$3:$A$502,0)),"미등록고객"))</f>
        <v/>
      </c>
      <c r="E92" s="12" t="str">
        <f aca="false">IF($C92="","",IFERROR(INDEX(고객명부!$C$3:$C$502,MATCH($C92,고객명부!$A$3:$A$502,0)),""))</f>
        <v/>
      </c>
      <c r="F92" s="12" t="str">
        <f aca="false">IF($C92="","",IFERROR(INDEX(고객명부!$D$3:$D$502,MATCH($C92,고객명부!$A$3:$A$502,0)),""))</f>
        <v/>
      </c>
      <c r="G92" s="12" t="str">
        <f aca="false">IF($C92="","",IFERROR(INDEX(고객명부!$E$3:$E$502,MATCH($C92,고객명부!$A$3:$A$502,0))&amp;" "&amp;INDEX(고객명부!$F$3:$F$502,MATCH($C92,고객명부!$A$3:$A$502,0)),""))</f>
        <v/>
      </c>
      <c r="H92" s="7"/>
      <c r="I92" s="12" t="str">
        <f aca="false">IF($H92="","",IFERROR(INDEX(상품목록!$B$3:$B$102,MATCH($H92,상품목록!$A$3:$A$102,0)),""))</f>
        <v/>
      </c>
      <c r="J92" s="14" t="str">
        <f aca="false">IF($H92="","",IFERROR(INDEX(상품목록!$C$3:$C$102,MATCH($H92,상품목록!$A$3:$A$102,0)),0))</f>
        <v/>
      </c>
      <c r="K92" s="7"/>
      <c r="L92" s="14" t="str">
        <f aca="false">IF(OR($J92="",$K92=""),"",ROUND($J92*$K92,0))</f>
        <v/>
      </c>
      <c r="M92" s="9"/>
      <c r="N92" s="14" t="str">
        <f aca="false">IF($L92="","",$L92+IF($M92="",0,$M92))</f>
        <v/>
      </c>
      <c r="O92" s="13"/>
      <c r="P92" s="7"/>
      <c r="Q92" s="12" t="str">
        <f aca="false">IF($C92="","",IF($P92&lt;&gt;"","발송완료",IF($O92&lt;&gt;"","입금완료","입금대기")))</f>
        <v/>
      </c>
      <c r="R92" s="12" t="str">
        <f aca="false">IF($C92="","",COUNTIFS($C$3:$C92,$C92))</f>
        <v/>
      </c>
      <c r="S92" s="12" t="str">
        <f aca="false">IF($C92="","",$C92&amp;"|"&amp;$R92)</f>
        <v/>
      </c>
    </row>
    <row r="93" customFormat="false" ht="15" hidden="false" customHeight="true" outlineLevel="0" collapsed="false">
      <c r="A93" s="12" t="str">
        <f aca="false">IF($C93="","",TEXT($B93,"yymmdd")&amp;"-"&amp;TEXT(COUNTIFS($B$3:$B93,$B93),"000"))</f>
        <v/>
      </c>
      <c r="B93" s="13"/>
      <c r="C93" s="7"/>
      <c r="D93" s="12" t="str">
        <f aca="false">IF($C93="","",IFERROR(INDEX(고객명부!$B$3:$B$502,MATCH($C93,고객명부!$A$3:$A$502,0)),"미등록고객"))</f>
        <v/>
      </c>
      <c r="E93" s="12" t="str">
        <f aca="false">IF($C93="","",IFERROR(INDEX(고객명부!$C$3:$C$502,MATCH($C93,고객명부!$A$3:$A$502,0)),""))</f>
        <v/>
      </c>
      <c r="F93" s="12" t="str">
        <f aca="false">IF($C93="","",IFERROR(INDEX(고객명부!$D$3:$D$502,MATCH($C93,고객명부!$A$3:$A$502,0)),""))</f>
        <v/>
      </c>
      <c r="G93" s="12" t="str">
        <f aca="false">IF($C93="","",IFERROR(INDEX(고객명부!$E$3:$E$502,MATCH($C93,고객명부!$A$3:$A$502,0))&amp;" "&amp;INDEX(고객명부!$F$3:$F$502,MATCH($C93,고객명부!$A$3:$A$502,0)),""))</f>
        <v/>
      </c>
      <c r="H93" s="7"/>
      <c r="I93" s="12" t="str">
        <f aca="false">IF($H93="","",IFERROR(INDEX(상품목록!$B$3:$B$102,MATCH($H93,상품목록!$A$3:$A$102,0)),""))</f>
        <v/>
      </c>
      <c r="J93" s="14" t="str">
        <f aca="false">IF($H93="","",IFERROR(INDEX(상품목록!$C$3:$C$102,MATCH($H93,상품목록!$A$3:$A$102,0)),0))</f>
        <v/>
      </c>
      <c r="K93" s="7"/>
      <c r="L93" s="14" t="str">
        <f aca="false">IF(OR($J93="",$K93=""),"",ROUND($J93*$K93,0))</f>
        <v/>
      </c>
      <c r="M93" s="9"/>
      <c r="N93" s="14" t="str">
        <f aca="false">IF($L93="","",$L93+IF($M93="",0,$M93))</f>
        <v/>
      </c>
      <c r="O93" s="13"/>
      <c r="P93" s="7"/>
      <c r="Q93" s="12" t="str">
        <f aca="false">IF($C93="","",IF($P93&lt;&gt;"","발송완료",IF($O93&lt;&gt;"","입금완료","입금대기")))</f>
        <v/>
      </c>
      <c r="R93" s="12" t="str">
        <f aca="false">IF($C93="","",COUNTIFS($C$3:$C93,$C93))</f>
        <v/>
      </c>
      <c r="S93" s="12" t="str">
        <f aca="false">IF($C93="","",$C93&amp;"|"&amp;$R93)</f>
        <v/>
      </c>
    </row>
    <row r="94" customFormat="false" ht="15" hidden="false" customHeight="true" outlineLevel="0" collapsed="false">
      <c r="A94" s="12" t="str">
        <f aca="false">IF($C94="","",TEXT($B94,"yymmdd")&amp;"-"&amp;TEXT(COUNTIFS($B$3:$B94,$B94),"000"))</f>
        <v/>
      </c>
      <c r="B94" s="13"/>
      <c r="C94" s="7"/>
      <c r="D94" s="12" t="str">
        <f aca="false">IF($C94="","",IFERROR(INDEX(고객명부!$B$3:$B$502,MATCH($C94,고객명부!$A$3:$A$502,0)),"미등록고객"))</f>
        <v/>
      </c>
      <c r="E94" s="12" t="str">
        <f aca="false">IF($C94="","",IFERROR(INDEX(고객명부!$C$3:$C$502,MATCH($C94,고객명부!$A$3:$A$502,0)),""))</f>
        <v/>
      </c>
      <c r="F94" s="12" t="str">
        <f aca="false">IF($C94="","",IFERROR(INDEX(고객명부!$D$3:$D$502,MATCH($C94,고객명부!$A$3:$A$502,0)),""))</f>
        <v/>
      </c>
      <c r="G94" s="12" t="str">
        <f aca="false">IF($C94="","",IFERROR(INDEX(고객명부!$E$3:$E$502,MATCH($C94,고객명부!$A$3:$A$502,0))&amp;" "&amp;INDEX(고객명부!$F$3:$F$502,MATCH($C94,고객명부!$A$3:$A$502,0)),""))</f>
        <v/>
      </c>
      <c r="H94" s="7"/>
      <c r="I94" s="12" t="str">
        <f aca="false">IF($H94="","",IFERROR(INDEX(상품목록!$B$3:$B$102,MATCH($H94,상품목록!$A$3:$A$102,0)),""))</f>
        <v/>
      </c>
      <c r="J94" s="14" t="str">
        <f aca="false">IF($H94="","",IFERROR(INDEX(상품목록!$C$3:$C$102,MATCH($H94,상품목록!$A$3:$A$102,0)),0))</f>
        <v/>
      </c>
      <c r="K94" s="7"/>
      <c r="L94" s="14" t="str">
        <f aca="false">IF(OR($J94="",$K94=""),"",ROUND($J94*$K94,0))</f>
        <v/>
      </c>
      <c r="M94" s="9"/>
      <c r="N94" s="14" t="str">
        <f aca="false">IF($L94="","",$L94+IF($M94="",0,$M94))</f>
        <v/>
      </c>
      <c r="O94" s="13"/>
      <c r="P94" s="7"/>
      <c r="Q94" s="12" t="str">
        <f aca="false">IF($C94="","",IF($P94&lt;&gt;"","발송완료",IF($O94&lt;&gt;"","입금완료","입금대기")))</f>
        <v/>
      </c>
      <c r="R94" s="12" t="str">
        <f aca="false">IF($C94="","",COUNTIFS($C$3:$C94,$C94))</f>
        <v/>
      </c>
      <c r="S94" s="12" t="str">
        <f aca="false">IF($C94="","",$C94&amp;"|"&amp;$R94)</f>
        <v/>
      </c>
    </row>
    <row r="95" customFormat="false" ht="15" hidden="false" customHeight="true" outlineLevel="0" collapsed="false">
      <c r="A95" s="12" t="str">
        <f aca="false">IF($C95="","",TEXT($B95,"yymmdd")&amp;"-"&amp;TEXT(COUNTIFS($B$3:$B95,$B95),"000"))</f>
        <v/>
      </c>
      <c r="B95" s="13"/>
      <c r="C95" s="7"/>
      <c r="D95" s="12" t="str">
        <f aca="false">IF($C95="","",IFERROR(INDEX(고객명부!$B$3:$B$502,MATCH($C95,고객명부!$A$3:$A$502,0)),"미등록고객"))</f>
        <v/>
      </c>
      <c r="E95" s="12" t="str">
        <f aca="false">IF($C95="","",IFERROR(INDEX(고객명부!$C$3:$C$502,MATCH($C95,고객명부!$A$3:$A$502,0)),""))</f>
        <v/>
      </c>
      <c r="F95" s="12" t="str">
        <f aca="false">IF($C95="","",IFERROR(INDEX(고객명부!$D$3:$D$502,MATCH($C95,고객명부!$A$3:$A$502,0)),""))</f>
        <v/>
      </c>
      <c r="G95" s="12" t="str">
        <f aca="false">IF($C95="","",IFERROR(INDEX(고객명부!$E$3:$E$502,MATCH($C95,고객명부!$A$3:$A$502,0))&amp;" "&amp;INDEX(고객명부!$F$3:$F$502,MATCH($C95,고객명부!$A$3:$A$502,0)),""))</f>
        <v/>
      </c>
      <c r="H95" s="7"/>
      <c r="I95" s="12" t="str">
        <f aca="false">IF($H95="","",IFERROR(INDEX(상품목록!$B$3:$B$102,MATCH($H95,상품목록!$A$3:$A$102,0)),""))</f>
        <v/>
      </c>
      <c r="J95" s="14" t="str">
        <f aca="false">IF($H95="","",IFERROR(INDEX(상품목록!$C$3:$C$102,MATCH($H95,상품목록!$A$3:$A$102,0)),0))</f>
        <v/>
      </c>
      <c r="K95" s="7"/>
      <c r="L95" s="14" t="str">
        <f aca="false">IF(OR($J95="",$K95=""),"",ROUND($J95*$K95,0))</f>
        <v/>
      </c>
      <c r="M95" s="9"/>
      <c r="N95" s="14" t="str">
        <f aca="false">IF($L95="","",$L95+IF($M95="",0,$M95))</f>
        <v/>
      </c>
      <c r="O95" s="13"/>
      <c r="P95" s="7"/>
      <c r="Q95" s="12" t="str">
        <f aca="false">IF($C95="","",IF($P95&lt;&gt;"","발송완료",IF($O95&lt;&gt;"","입금완료","입금대기")))</f>
        <v/>
      </c>
      <c r="R95" s="12" t="str">
        <f aca="false">IF($C95="","",COUNTIFS($C$3:$C95,$C95))</f>
        <v/>
      </c>
      <c r="S95" s="12" t="str">
        <f aca="false">IF($C95="","",$C95&amp;"|"&amp;$R95)</f>
        <v/>
      </c>
    </row>
    <row r="96" customFormat="false" ht="15" hidden="false" customHeight="true" outlineLevel="0" collapsed="false">
      <c r="A96" s="12" t="str">
        <f aca="false">IF($C96="","",TEXT($B96,"yymmdd")&amp;"-"&amp;TEXT(COUNTIFS($B$3:$B96,$B96),"000"))</f>
        <v/>
      </c>
      <c r="B96" s="13"/>
      <c r="C96" s="7"/>
      <c r="D96" s="12" t="str">
        <f aca="false">IF($C96="","",IFERROR(INDEX(고객명부!$B$3:$B$502,MATCH($C96,고객명부!$A$3:$A$502,0)),"미등록고객"))</f>
        <v/>
      </c>
      <c r="E96" s="12" t="str">
        <f aca="false">IF($C96="","",IFERROR(INDEX(고객명부!$C$3:$C$502,MATCH($C96,고객명부!$A$3:$A$502,0)),""))</f>
        <v/>
      </c>
      <c r="F96" s="12" t="str">
        <f aca="false">IF($C96="","",IFERROR(INDEX(고객명부!$D$3:$D$502,MATCH($C96,고객명부!$A$3:$A$502,0)),""))</f>
        <v/>
      </c>
      <c r="G96" s="12" t="str">
        <f aca="false">IF($C96="","",IFERROR(INDEX(고객명부!$E$3:$E$502,MATCH($C96,고객명부!$A$3:$A$502,0))&amp;" "&amp;INDEX(고객명부!$F$3:$F$502,MATCH($C96,고객명부!$A$3:$A$502,0)),""))</f>
        <v/>
      </c>
      <c r="H96" s="7"/>
      <c r="I96" s="12" t="str">
        <f aca="false">IF($H96="","",IFERROR(INDEX(상품목록!$B$3:$B$102,MATCH($H96,상품목록!$A$3:$A$102,0)),""))</f>
        <v/>
      </c>
      <c r="J96" s="14" t="str">
        <f aca="false">IF($H96="","",IFERROR(INDEX(상품목록!$C$3:$C$102,MATCH($H96,상품목록!$A$3:$A$102,0)),0))</f>
        <v/>
      </c>
      <c r="K96" s="7"/>
      <c r="L96" s="14" t="str">
        <f aca="false">IF(OR($J96="",$K96=""),"",ROUND($J96*$K96,0))</f>
        <v/>
      </c>
      <c r="M96" s="9"/>
      <c r="N96" s="14" t="str">
        <f aca="false">IF($L96="","",$L96+IF($M96="",0,$M96))</f>
        <v/>
      </c>
      <c r="O96" s="13"/>
      <c r="P96" s="7"/>
      <c r="Q96" s="12" t="str">
        <f aca="false">IF($C96="","",IF($P96&lt;&gt;"","발송완료",IF($O96&lt;&gt;"","입금완료","입금대기")))</f>
        <v/>
      </c>
      <c r="R96" s="12" t="str">
        <f aca="false">IF($C96="","",COUNTIFS($C$3:$C96,$C96))</f>
        <v/>
      </c>
      <c r="S96" s="12" t="str">
        <f aca="false">IF($C96="","",$C96&amp;"|"&amp;$R96)</f>
        <v/>
      </c>
    </row>
    <row r="97" customFormat="false" ht="15" hidden="false" customHeight="true" outlineLevel="0" collapsed="false">
      <c r="A97" s="12" t="str">
        <f aca="false">IF($C97="","",TEXT($B97,"yymmdd")&amp;"-"&amp;TEXT(COUNTIFS($B$3:$B97,$B97),"000"))</f>
        <v/>
      </c>
      <c r="B97" s="13"/>
      <c r="C97" s="7"/>
      <c r="D97" s="12" t="str">
        <f aca="false">IF($C97="","",IFERROR(INDEX(고객명부!$B$3:$B$502,MATCH($C97,고객명부!$A$3:$A$502,0)),"미등록고객"))</f>
        <v/>
      </c>
      <c r="E97" s="12" t="str">
        <f aca="false">IF($C97="","",IFERROR(INDEX(고객명부!$C$3:$C$502,MATCH($C97,고객명부!$A$3:$A$502,0)),""))</f>
        <v/>
      </c>
      <c r="F97" s="12" t="str">
        <f aca="false">IF($C97="","",IFERROR(INDEX(고객명부!$D$3:$D$502,MATCH($C97,고객명부!$A$3:$A$502,0)),""))</f>
        <v/>
      </c>
      <c r="G97" s="12" t="str">
        <f aca="false">IF($C97="","",IFERROR(INDEX(고객명부!$E$3:$E$502,MATCH($C97,고객명부!$A$3:$A$502,0))&amp;" "&amp;INDEX(고객명부!$F$3:$F$502,MATCH($C97,고객명부!$A$3:$A$502,0)),""))</f>
        <v/>
      </c>
      <c r="H97" s="7"/>
      <c r="I97" s="12" t="str">
        <f aca="false">IF($H97="","",IFERROR(INDEX(상품목록!$B$3:$B$102,MATCH($H97,상품목록!$A$3:$A$102,0)),""))</f>
        <v/>
      </c>
      <c r="J97" s="14" t="str">
        <f aca="false">IF($H97="","",IFERROR(INDEX(상품목록!$C$3:$C$102,MATCH($H97,상품목록!$A$3:$A$102,0)),0))</f>
        <v/>
      </c>
      <c r="K97" s="7"/>
      <c r="L97" s="14" t="str">
        <f aca="false">IF(OR($J97="",$K97=""),"",ROUND($J97*$K97,0))</f>
        <v/>
      </c>
      <c r="M97" s="9"/>
      <c r="N97" s="14" t="str">
        <f aca="false">IF($L97="","",$L97+IF($M97="",0,$M97))</f>
        <v/>
      </c>
      <c r="O97" s="13"/>
      <c r="P97" s="7"/>
      <c r="Q97" s="12" t="str">
        <f aca="false">IF($C97="","",IF($P97&lt;&gt;"","발송완료",IF($O97&lt;&gt;"","입금완료","입금대기")))</f>
        <v/>
      </c>
      <c r="R97" s="12" t="str">
        <f aca="false">IF($C97="","",COUNTIFS($C$3:$C97,$C97))</f>
        <v/>
      </c>
      <c r="S97" s="12" t="str">
        <f aca="false">IF($C97="","",$C97&amp;"|"&amp;$R97)</f>
        <v/>
      </c>
    </row>
    <row r="98" customFormat="false" ht="15" hidden="false" customHeight="true" outlineLevel="0" collapsed="false">
      <c r="A98" s="12" t="str">
        <f aca="false">IF($C98="","",TEXT($B98,"yymmdd")&amp;"-"&amp;TEXT(COUNTIFS($B$3:$B98,$B98),"000"))</f>
        <v/>
      </c>
      <c r="B98" s="13"/>
      <c r="C98" s="7"/>
      <c r="D98" s="12" t="str">
        <f aca="false">IF($C98="","",IFERROR(INDEX(고객명부!$B$3:$B$502,MATCH($C98,고객명부!$A$3:$A$502,0)),"미등록고객"))</f>
        <v/>
      </c>
      <c r="E98" s="12" t="str">
        <f aca="false">IF($C98="","",IFERROR(INDEX(고객명부!$C$3:$C$502,MATCH($C98,고객명부!$A$3:$A$502,0)),""))</f>
        <v/>
      </c>
      <c r="F98" s="12" t="str">
        <f aca="false">IF($C98="","",IFERROR(INDEX(고객명부!$D$3:$D$502,MATCH($C98,고객명부!$A$3:$A$502,0)),""))</f>
        <v/>
      </c>
      <c r="G98" s="12" t="str">
        <f aca="false">IF($C98="","",IFERROR(INDEX(고객명부!$E$3:$E$502,MATCH($C98,고객명부!$A$3:$A$502,0))&amp;" "&amp;INDEX(고객명부!$F$3:$F$502,MATCH($C98,고객명부!$A$3:$A$502,0)),""))</f>
        <v/>
      </c>
      <c r="H98" s="7"/>
      <c r="I98" s="12" t="str">
        <f aca="false">IF($H98="","",IFERROR(INDEX(상품목록!$B$3:$B$102,MATCH($H98,상품목록!$A$3:$A$102,0)),""))</f>
        <v/>
      </c>
      <c r="J98" s="14" t="str">
        <f aca="false">IF($H98="","",IFERROR(INDEX(상품목록!$C$3:$C$102,MATCH($H98,상품목록!$A$3:$A$102,0)),0))</f>
        <v/>
      </c>
      <c r="K98" s="7"/>
      <c r="L98" s="14" t="str">
        <f aca="false">IF(OR($J98="",$K98=""),"",ROUND($J98*$K98,0))</f>
        <v/>
      </c>
      <c r="M98" s="9"/>
      <c r="N98" s="14" t="str">
        <f aca="false">IF($L98="","",$L98+IF($M98="",0,$M98))</f>
        <v/>
      </c>
      <c r="O98" s="13"/>
      <c r="P98" s="7"/>
      <c r="Q98" s="12" t="str">
        <f aca="false">IF($C98="","",IF($P98&lt;&gt;"","발송완료",IF($O98&lt;&gt;"","입금완료","입금대기")))</f>
        <v/>
      </c>
      <c r="R98" s="12" t="str">
        <f aca="false">IF($C98="","",COUNTIFS($C$3:$C98,$C98))</f>
        <v/>
      </c>
      <c r="S98" s="12" t="str">
        <f aca="false">IF($C98="","",$C98&amp;"|"&amp;$R98)</f>
        <v/>
      </c>
    </row>
    <row r="99" customFormat="false" ht="15" hidden="false" customHeight="true" outlineLevel="0" collapsed="false">
      <c r="A99" s="12" t="str">
        <f aca="false">IF($C99="","",TEXT($B99,"yymmdd")&amp;"-"&amp;TEXT(COUNTIFS($B$3:$B99,$B99),"000"))</f>
        <v/>
      </c>
      <c r="B99" s="13"/>
      <c r="C99" s="7"/>
      <c r="D99" s="12" t="str">
        <f aca="false">IF($C99="","",IFERROR(INDEX(고객명부!$B$3:$B$502,MATCH($C99,고객명부!$A$3:$A$502,0)),"미등록고객"))</f>
        <v/>
      </c>
      <c r="E99" s="12" t="str">
        <f aca="false">IF($C99="","",IFERROR(INDEX(고객명부!$C$3:$C$502,MATCH($C99,고객명부!$A$3:$A$502,0)),""))</f>
        <v/>
      </c>
      <c r="F99" s="12" t="str">
        <f aca="false">IF($C99="","",IFERROR(INDEX(고객명부!$D$3:$D$502,MATCH($C99,고객명부!$A$3:$A$502,0)),""))</f>
        <v/>
      </c>
      <c r="G99" s="12" t="str">
        <f aca="false">IF($C99="","",IFERROR(INDEX(고객명부!$E$3:$E$502,MATCH($C99,고객명부!$A$3:$A$502,0))&amp;" "&amp;INDEX(고객명부!$F$3:$F$502,MATCH($C99,고객명부!$A$3:$A$502,0)),""))</f>
        <v/>
      </c>
      <c r="H99" s="7"/>
      <c r="I99" s="12" t="str">
        <f aca="false">IF($H99="","",IFERROR(INDEX(상품목록!$B$3:$B$102,MATCH($H99,상품목록!$A$3:$A$102,0)),""))</f>
        <v/>
      </c>
      <c r="J99" s="14" t="str">
        <f aca="false">IF($H99="","",IFERROR(INDEX(상품목록!$C$3:$C$102,MATCH($H99,상품목록!$A$3:$A$102,0)),0))</f>
        <v/>
      </c>
      <c r="K99" s="7"/>
      <c r="L99" s="14" t="str">
        <f aca="false">IF(OR($J99="",$K99=""),"",ROUND($J99*$K99,0))</f>
        <v/>
      </c>
      <c r="M99" s="9"/>
      <c r="N99" s="14" t="str">
        <f aca="false">IF($L99="","",$L99+IF($M99="",0,$M99))</f>
        <v/>
      </c>
      <c r="O99" s="13"/>
      <c r="P99" s="7"/>
      <c r="Q99" s="12" t="str">
        <f aca="false">IF($C99="","",IF($P99&lt;&gt;"","발송완료",IF($O99&lt;&gt;"","입금완료","입금대기")))</f>
        <v/>
      </c>
      <c r="R99" s="12" t="str">
        <f aca="false">IF($C99="","",COUNTIFS($C$3:$C99,$C99))</f>
        <v/>
      </c>
      <c r="S99" s="12" t="str">
        <f aca="false">IF($C99="","",$C99&amp;"|"&amp;$R99)</f>
        <v/>
      </c>
    </row>
    <row r="100" customFormat="false" ht="15" hidden="false" customHeight="true" outlineLevel="0" collapsed="false">
      <c r="A100" s="12" t="str">
        <f aca="false">IF($C100="","",TEXT($B100,"yymmdd")&amp;"-"&amp;TEXT(COUNTIFS($B$3:$B100,$B100),"000"))</f>
        <v/>
      </c>
      <c r="B100" s="13"/>
      <c r="C100" s="7"/>
      <c r="D100" s="12" t="str">
        <f aca="false">IF($C100="","",IFERROR(INDEX(고객명부!$B$3:$B$502,MATCH($C100,고객명부!$A$3:$A$502,0)),"미등록고객"))</f>
        <v/>
      </c>
      <c r="E100" s="12" t="str">
        <f aca="false">IF($C100="","",IFERROR(INDEX(고객명부!$C$3:$C$502,MATCH($C100,고객명부!$A$3:$A$502,0)),""))</f>
        <v/>
      </c>
      <c r="F100" s="12" t="str">
        <f aca="false">IF($C100="","",IFERROR(INDEX(고객명부!$D$3:$D$502,MATCH($C100,고객명부!$A$3:$A$502,0)),""))</f>
        <v/>
      </c>
      <c r="G100" s="12" t="str">
        <f aca="false">IF($C100="","",IFERROR(INDEX(고객명부!$E$3:$E$502,MATCH($C100,고객명부!$A$3:$A$502,0))&amp;" "&amp;INDEX(고객명부!$F$3:$F$502,MATCH($C100,고객명부!$A$3:$A$502,0)),""))</f>
        <v/>
      </c>
      <c r="H100" s="7"/>
      <c r="I100" s="12" t="str">
        <f aca="false">IF($H100="","",IFERROR(INDEX(상품목록!$B$3:$B$102,MATCH($H100,상품목록!$A$3:$A$102,0)),""))</f>
        <v/>
      </c>
      <c r="J100" s="14" t="str">
        <f aca="false">IF($H100="","",IFERROR(INDEX(상품목록!$C$3:$C$102,MATCH($H100,상품목록!$A$3:$A$102,0)),0))</f>
        <v/>
      </c>
      <c r="K100" s="7"/>
      <c r="L100" s="14" t="str">
        <f aca="false">IF(OR($J100="",$K100=""),"",ROUND($J100*$K100,0))</f>
        <v/>
      </c>
      <c r="M100" s="9"/>
      <c r="N100" s="14" t="str">
        <f aca="false">IF($L100="","",$L100+IF($M100="",0,$M100))</f>
        <v/>
      </c>
      <c r="O100" s="13"/>
      <c r="P100" s="7"/>
      <c r="Q100" s="12" t="str">
        <f aca="false">IF($C100="","",IF($P100&lt;&gt;"","발송완료",IF($O100&lt;&gt;"","입금완료","입금대기")))</f>
        <v/>
      </c>
      <c r="R100" s="12" t="str">
        <f aca="false">IF($C100="","",COUNTIFS($C$3:$C100,$C100))</f>
        <v/>
      </c>
      <c r="S100" s="12" t="str">
        <f aca="false">IF($C100="","",$C100&amp;"|"&amp;$R100)</f>
        <v/>
      </c>
    </row>
    <row r="101" customFormat="false" ht="15" hidden="false" customHeight="true" outlineLevel="0" collapsed="false">
      <c r="A101" s="12" t="str">
        <f aca="false">IF($C101="","",TEXT($B101,"yymmdd")&amp;"-"&amp;TEXT(COUNTIFS($B$3:$B101,$B101),"000"))</f>
        <v/>
      </c>
      <c r="B101" s="13"/>
      <c r="C101" s="7"/>
      <c r="D101" s="12" t="str">
        <f aca="false">IF($C101="","",IFERROR(INDEX(고객명부!$B$3:$B$502,MATCH($C101,고객명부!$A$3:$A$502,0)),"미등록고객"))</f>
        <v/>
      </c>
      <c r="E101" s="12" t="str">
        <f aca="false">IF($C101="","",IFERROR(INDEX(고객명부!$C$3:$C$502,MATCH($C101,고객명부!$A$3:$A$502,0)),""))</f>
        <v/>
      </c>
      <c r="F101" s="12" t="str">
        <f aca="false">IF($C101="","",IFERROR(INDEX(고객명부!$D$3:$D$502,MATCH($C101,고객명부!$A$3:$A$502,0)),""))</f>
        <v/>
      </c>
      <c r="G101" s="12" t="str">
        <f aca="false">IF($C101="","",IFERROR(INDEX(고객명부!$E$3:$E$502,MATCH($C101,고객명부!$A$3:$A$502,0))&amp;" "&amp;INDEX(고객명부!$F$3:$F$502,MATCH($C101,고객명부!$A$3:$A$502,0)),""))</f>
        <v/>
      </c>
      <c r="H101" s="7"/>
      <c r="I101" s="12" t="str">
        <f aca="false">IF($H101="","",IFERROR(INDEX(상품목록!$B$3:$B$102,MATCH($H101,상품목록!$A$3:$A$102,0)),""))</f>
        <v/>
      </c>
      <c r="J101" s="14" t="str">
        <f aca="false">IF($H101="","",IFERROR(INDEX(상품목록!$C$3:$C$102,MATCH($H101,상품목록!$A$3:$A$102,0)),0))</f>
        <v/>
      </c>
      <c r="K101" s="7"/>
      <c r="L101" s="14" t="str">
        <f aca="false">IF(OR($J101="",$K101=""),"",ROUND($J101*$K101,0))</f>
        <v/>
      </c>
      <c r="M101" s="9"/>
      <c r="N101" s="14" t="str">
        <f aca="false">IF($L101="","",$L101+IF($M101="",0,$M101))</f>
        <v/>
      </c>
      <c r="O101" s="13"/>
      <c r="P101" s="7"/>
      <c r="Q101" s="12" t="str">
        <f aca="false">IF($C101="","",IF($P101&lt;&gt;"","발송완료",IF($O101&lt;&gt;"","입금완료","입금대기")))</f>
        <v/>
      </c>
      <c r="R101" s="12" t="str">
        <f aca="false">IF($C101="","",COUNTIFS($C$3:$C101,$C101))</f>
        <v/>
      </c>
      <c r="S101" s="12" t="str">
        <f aca="false">IF($C101="","",$C101&amp;"|"&amp;$R101)</f>
        <v/>
      </c>
    </row>
    <row r="102" customFormat="false" ht="15" hidden="false" customHeight="true" outlineLevel="0" collapsed="false">
      <c r="A102" s="12" t="str">
        <f aca="false">IF($C102="","",TEXT($B102,"yymmdd")&amp;"-"&amp;TEXT(COUNTIFS($B$3:$B102,$B102),"000"))</f>
        <v/>
      </c>
      <c r="B102" s="13"/>
      <c r="C102" s="7"/>
      <c r="D102" s="12" t="str">
        <f aca="false">IF($C102="","",IFERROR(INDEX(고객명부!$B$3:$B$502,MATCH($C102,고객명부!$A$3:$A$502,0)),"미등록고객"))</f>
        <v/>
      </c>
      <c r="E102" s="12" t="str">
        <f aca="false">IF($C102="","",IFERROR(INDEX(고객명부!$C$3:$C$502,MATCH($C102,고객명부!$A$3:$A$502,0)),""))</f>
        <v/>
      </c>
      <c r="F102" s="12" t="str">
        <f aca="false">IF($C102="","",IFERROR(INDEX(고객명부!$D$3:$D$502,MATCH($C102,고객명부!$A$3:$A$502,0)),""))</f>
        <v/>
      </c>
      <c r="G102" s="12" t="str">
        <f aca="false">IF($C102="","",IFERROR(INDEX(고객명부!$E$3:$E$502,MATCH($C102,고객명부!$A$3:$A$502,0))&amp;" "&amp;INDEX(고객명부!$F$3:$F$502,MATCH($C102,고객명부!$A$3:$A$502,0)),""))</f>
        <v/>
      </c>
      <c r="H102" s="7"/>
      <c r="I102" s="12" t="str">
        <f aca="false">IF($H102="","",IFERROR(INDEX(상품목록!$B$3:$B$102,MATCH($H102,상품목록!$A$3:$A$102,0)),""))</f>
        <v/>
      </c>
      <c r="J102" s="14" t="str">
        <f aca="false">IF($H102="","",IFERROR(INDEX(상품목록!$C$3:$C$102,MATCH($H102,상품목록!$A$3:$A$102,0)),0))</f>
        <v/>
      </c>
      <c r="K102" s="7"/>
      <c r="L102" s="14" t="str">
        <f aca="false">IF(OR($J102="",$K102=""),"",ROUND($J102*$K102,0))</f>
        <v/>
      </c>
      <c r="M102" s="9"/>
      <c r="N102" s="14" t="str">
        <f aca="false">IF($L102="","",$L102+IF($M102="",0,$M102))</f>
        <v/>
      </c>
      <c r="O102" s="13"/>
      <c r="P102" s="7"/>
      <c r="Q102" s="12" t="str">
        <f aca="false">IF($C102="","",IF($P102&lt;&gt;"","발송완료",IF($O102&lt;&gt;"","입금완료","입금대기")))</f>
        <v/>
      </c>
      <c r="R102" s="12" t="str">
        <f aca="false">IF($C102="","",COUNTIFS($C$3:$C102,$C102))</f>
        <v/>
      </c>
      <c r="S102" s="12" t="str">
        <f aca="false">IF($C102="","",$C102&amp;"|"&amp;$R102)</f>
        <v/>
      </c>
    </row>
    <row r="103" customFormat="false" ht="15" hidden="false" customHeight="true" outlineLevel="0" collapsed="false">
      <c r="A103" s="12" t="str">
        <f aca="false">IF($C103="","",TEXT($B103,"yymmdd")&amp;"-"&amp;TEXT(COUNTIFS($B$3:$B103,$B103),"000"))</f>
        <v/>
      </c>
      <c r="B103" s="13"/>
      <c r="C103" s="7"/>
      <c r="D103" s="12" t="str">
        <f aca="false">IF($C103="","",IFERROR(INDEX(고객명부!$B$3:$B$502,MATCH($C103,고객명부!$A$3:$A$502,0)),"미등록고객"))</f>
        <v/>
      </c>
      <c r="E103" s="12" t="str">
        <f aca="false">IF($C103="","",IFERROR(INDEX(고객명부!$C$3:$C$502,MATCH($C103,고객명부!$A$3:$A$502,0)),""))</f>
        <v/>
      </c>
      <c r="F103" s="12" t="str">
        <f aca="false">IF($C103="","",IFERROR(INDEX(고객명부!$D$3:$D$502,MATCH($C103,고객명부!$A$3:$A$502,0)),""))</f>
        <v/>
      </c>
      <c r="G103" s="12" t="str">
        <f aca="false">IF($C103="","",IFERROR(INDEX(고객명부!$E$3:$E$502,MATCH($C103,고객명부!$A$3:$A$502,0))&amp;" "&amp;INDEX(고객명부!$F$3:$F$502,MATCH($C103,고객명부!$A$3:$A$502,0)),""))</f>
        <v/>
      </c>
      <c r="H103" s="7"/>
      <c r="I103" s="12" t="str">
        <f aca="false">IF($H103="","",IFERROR(INDEX(상품목록!$B$3:$B$102,MATCH($H103,상품목록!$A$3:$A$102,0)),""))</f>
        <v/>
      </c>
      <c r="J103" s="14" t="str">
        <f aca="false">IF($H103="","",IFERROR(INDEX(상품목록!$C$3:$C$102,MATCH($H103,상품목록!$A$3:$A$102,0)),0))</f>
        <v/>
      </c>
      <c r="K103" s="7"/>
      <c r="L103" s="14" t="str">
        <f aca="false">IF(OR($J103="",$K103=""),"",ROUND($J103*$K103,0))</f>
        <v/>
      </c>
      <c r="M103" s="9"/>
      <c r="N103" s="14" t="str">
        <f aca="false">IF($L103="","",$L103+IF($M103="",0,$M103))</f>
        <v/>
      </c>
      <c r="O103" s="13"/>
      <c r="P103" s="7"/>
      <c r="Q103" s="12" t="str">
        <f aca="false">IF($C103="","",IF($P103&lt;&gt;"","발송완료",IF($O103&lt;&gt;"","입금완료","입금대기")))</f>
        <v/>
      </c>
      <c r="R103" s="12" t="str">
        <f aca="false">IF($C103="","",COUNTIFS($C$3:$C103,$C103))</f>
        <v/>
      </c>
      <c r="S103" s="12" t="str">
        <f aca="false">IF($C103="","",$C103&amp;"|"&amp;$R103)</f>
        <v/>
      </c>
    </row>
    <row r="104" customFormat="false" ht="15" hidden="false" customHeight="true" outlineLevel="0" collapsed="false">
      <c r="A104" s="12" t="str">
        <f aca="false">IF($C104="","",TEXT($B104,"yymmdd")&amp;"-"&amp;TEXT(COUNTIFS($B$3:$B104,$B104),"000"))</f>
        <v/>
      </c>
      <c r="B104" s="13"/>
      <c r="C104" s="7"/>
      <c r="D104" s="12" t="str">
        <f aca="false">IF($C104="","",IFERROR(INDEX(고객명부!$B$3:$B$502,MATCH($C104,고객명부!$A$3:$A$502,0)),"미등록고객"))</f>
        <v/>
      </c>
      <c r="E104" s="12" t="str">
        <f aca="false">IF($C104="","",IFERROR(INDEX(고객명부!$C$3:$C$502,MATCH($C104,고객명부!$A$3:$A$502,0)),""))</f>
        <v/>
      </c>
      <c r="F104" s="12" t="str">
        <f aca="false">IF($C104="","",IFERROR(INDEX(고객명부!$D$3:$D$502,MATCH($C104,고객명부!$A$3:$A$502,0)),""))</f>
        <v/>
      </c>
      <c r="G104" s="12" t="str">
        <f aca="false">IF($C104="","",IFERROR(INDEX(고객명부!$E$3:$E$502,MATCH($C104,고객명부!$A$3:$A$502,0))&amp;" "&amp;INDEX(고객명부!$F$3:$F$502,MATCH($C104,고객명부!$A$3:$A$502,0)),""))</f>
        <v/>
      </c>
      <c r="H104" s="7"/>
      <c r="I104" s="12" t="str">
        <f aca="false">IF($H104="","",IFERROR(INDEX(상품목록!$B$3:$B$102,MATCH($H104,상품목록!$A$3:$A$102,0)),""))</f>
        <v/>
      </c>
      <c r="J104" s="14" t="str">
        <f aca="false">IF($H104="","",IFERROR(INDEX(상품목록!$C$3:$C$102,MATCH($H104,상품목록!$A$3:$A$102,0)),0))</f>
        <v/>
      </c>
      <c r="K104" s="7"/>
      <c r="L104" s="14" t="str">
        <f aca="false">IF(OR($J104="",$K104=""),"",ROUND($J104*$K104,0))</f>
        <v/>
      </c>
      <c r="M104" s="9"/>
      <c r="N104" s="14" t="str">
        <f aca="false">IF($L104="","",$L104+IF($M104="",0,$M104))</f>
        <v/>
      </c>
      <c r="O104" s="13"/>
      <c r="P104" s="7"/>
      <c r="Q104" s="12" t="str">
        <f aca="false">IF($C104="","",IF($P104&lt;&gt;"","발송완료",IF($O104&lt;&gt;"","입금완료","입금대기")))</f>
        <v/>
      </c>
      <c r="R104" s="12" t="str">
        <f aca="false">IF($C104="","",COUNTIFS($C$3:$C104,$C104))</f>
        <v/>
      </c>
      <c r="S104" s="12" t="str">
        <f aca="false">IF($C104="","",$C104&amp;"|"&amp;$R104)</f>
        <v/>
      </c>
    </row>
    <row r="105" customFormat="false" ht="15" hidden="false" customHeight="true" outlineLevel="0" collapsed="false">
      <c r="A105" s="12" t="str">
        <f aca="false">IF($C105="","",TEXT($B105,"yymmdd")&amp;"-"&amp;TEXT(COUNTIFS($B$3:$B105,$B105),"000"))</f>
        <v/>
      </c>
      <c r="B105" s="13"/>
      <c r="C105" s="7"/>
      <c r="D105" s="12" t="str">
        <f aca="false">IF($C105="","",IFERROR(INDEX(고객명부!$B$3:$B$502,MATCH($C105,고객명부!$A$3:$A$502,0)),"미등록고객"))</f>
        <v/>
      </c>
      <c r="E105" s="12" t="str">
        <f aca="false">IF($C105="","",IFERROR(INDEX(고객명부!$C$3:$C$502,MATCH($C105,고객명부!$A$3:$A$502,0)),""))</f>
        <v/>
      </c>
      <c r="F105" s="12" t="str">
        <f aca="false">IF($C105="","",IFERROR(INDEX(고객명부!$D$3:$D$502,MATCH($C105,고객명부!$A$3:$A$502,0)),""))</f>
        <v/>
      </c>
      <c r="G105" s="12" t="str">
        <f aca="false">IF($C105="","",IFERROR(INDEX(고객명부!$E$3:$E$502,MATCH($C105,고객명부!$A$3:$A$502,0))&amp;" "&amp;INDEX(고객명부!$F$3:$F$502,MATCH($C105,고객명부!$A$3:$A$502,0)),""))</f>
        <v/>
      </c>
      <c r="H105" s="7"/>
      <c r="I105" s="12" t="str">
        <f aca="false">IF($H105="","",IFERROR(INDEX(상품목록!$B$3:$B$102,MATCH($H105,상품목록!$A$3:$A$102,0)),""))</f>
        <v/>
      </c>
      <c r="J105" s="14" t="str">
        <f aca="false">IF($H105="","",IFERROR(INDEX(상품목록!$C$3:$C$102,MATCH($H105,상품목록!$A$3:$A$102,0)),0))</f>
        <v/>
      </c>
      <c r="K105" s="7"/>
      <c r="L105" s="14" t="str">
        <f aca="false">IF(OR($J105="",$K105=""),"",ROUND($J105*$K105,0))</f>
        <v/>
      </c>
      <c r="M105" s="9"/>
      <c r="N105" s="14" t="str">
        <f aca="false">IF($L105="","",$L105+IF($M105="",0,$M105))</f>
        <v/>
      </c>
      <c r="O105" s="13"/>
      <c r="P105" s="7"/>
      <c r="Q105" s="12" t="str">
        <f aca="false">IF($C105="","",IF($P105&lt;&gt;"","발송완료",IF($O105&lt;&gt;"","입금완료","입금대기")))</f>
        <v/>
      </c>
      <c r="R105" s="12" t="str">
        <f aca="false">IF($C105="","",COUNTIFS($C$3:$C105,$C105))</f>
        <v/>
      </c>
      <c r="S105" s="12" t="str">
        <f aca="false">IF($C105="","",$C105&amp;"|"&amp;$R105)</f>
        <v/>
      </c>
    </row>
    <row r="106" customFormat="false" ht="15" hidden="false" customHeight="true" outlineLevel="0" collapsed="false">
      <c r="A106" s="12" t="str">
        <f aca="false">IF($C106="","",TEXT($B106,"yymmdd")&amp;"-"&amp;TEXT(COUNTIFS($B$3:$B106,$B106),"000"))</f>
        <v/>
      </c>
      <c r="B106" s="13"/>
      <c r="C106" s="7"/>
      <c r="D106" s="12" t="str">
        <f aca="false">IF($C106="","",IFERROR(INDEX(고객명부!$B$3:$B$502,MATCH($C106,고객명부!$A$3:$A$502,0)),"미등록고객"))</f>
        <v/>
      </c>
      <c r="E106" s="12" t="str">
        <f aca="false">IF($C106="","",IFERROR(INDEX(고객명부!$C$3:$C$502,MATCH($C106,고객명부!$A$3:$A$502,0)),""))</f>
        <v/>
      </c>
      <c r="F106" s="12" t="str">
        <f aca="false">IF($C106="","",IFERROR(INDEX(고객명부!$D$3:$D$502,MATCH($C106,고객명부!$A$3:$A$502,0)),""))</f>
        <v/>
      </c>
      <c r="G106" s="12" t="str">
        <f aca="false">IF($C106="","",IFERROR(INDEX(고객명부!$E$3:$E$502,MATCH($C106,고객명부!$A$3:$A$502,0))&amp;" "&amp;INDEX(고객명부!$F$3:$F$502,MATCH($C106,고객명부!$A$3:$A$502,0)),""))</f>
        <v/>
      </c>
      <c r="H106" s="7"/>
      <c r="I106" s="12" t="str">
        <f aca="false">IF($H106="","",IFERROR(INDEX(상품목록!$B$3:$B$102,MATCH($H106,상품목록!$A$3:$A$102,0)),""))</f>
        <v/>
      </c>
      <c r="J106" s="14" t="str">
        <f aca="false">IF($H106="","",IFERROR(INDEX(상품목록!$C$3:$C$102,MATCH($H106,상품목록!$A$3:$A$102,0)),0))</f>
        <v/>
      </c>
      <c r="K106" s="7"/>
      <c r="L106" s="14" t="str">
        <f aca="false">IF(OR($J106="",$K106=""),"",ROUND($J106*$K106,0))</f>
        <v/>
      </c>
      <c r="M106" s="9"/>
      <c r="N106" s="14" t="str">
        <f aca="false">IF($L106="","",$L106+IF($M106="",0,$M106))</f>
        <v/>
      </c>
      <c r="O106" s="13"/>
      <c r="P106" s="7"/>
      <c r="Q106" s="12" t="str">
        <f aca="false">IF($C106="","",IF($P106&lt;&gt;"","발송완료",IF($O106&lt;&gt;"","입금완료","입금대기")))</f>
        <v/>
      </c>
      <c r="R106" s="12" t="str">
        <f aca="false">IF($C106="","",COUNTIFS($C$3:$C106,$C106))</f>
        <v/>
      </c>
      <c r="S106" s="12" t="str">
        <f aca="false">IF($C106="","",$C106&amp;"|"&amp;$R106)</f>
        <v/>
      </c>
    </row>
    <row r="107" customFormat="false" ht="15" hidden="false" customHeight="true" outlineLevel="0" collapsed="false">
      <c r="A107" s="12" t="str">
        <f aca="false">IF($C107="","",TEXT($B107,"yymmdd")&amp;"-"&amp;TEXT(COUNTIFS($B$3:$B107,$B107),"000"))</f>
        <v/>
      </c>
      <c r="B107" s="13"/>
      <c r="C107" s="7"/>
      <c r="D107" s="12" t="str">
        <f aca="false">IF($C107="","",IFERROR(INDEX(고객명부!$B$3:$B$502,MATCH($C107,고객명부!$A$3:$A$502,0)),"미등록고객"))</f>
        <v/>
      </c>
      <c r="E107" s="12" t="str">
        <f aca="false">IF($C107="","",IFERROR(INDEX(고객명부!$C$3:$C$502,MATCH($C107,고객명부!$A$3:$A$502,0)),""))</f>
        <v/>
      </c>
      <c r="F107" s="12" t="str">
        <f aca="false">IF($C107="","",IFERROR(INDEX(고객명부!$D$3:$D$502,MATCH($C107,고객명부!$A$3:$A$502,0)),""))</f>
        <v/>
      </c>
      <c r="G107" s="12" t="str">
        <f aca="false">IF($C107="","",IFERROR(INDEX(고객명부!$E$3:$E$502,MATCH($C107,고객명부!$A$3:$A$502,0))&amp;" "&amp;INDEX(고객명부!$F$3:$F$502,MATCH($C107,고객명부!$A$3:$A$502,0)),""))</f>
        <v/>
      </c>
      <c r="H107" s="7"/>
      <c r="I107" s="12" t="str">
        <f aca="false">IF($H107="","",IFERROR(INDEX(상품목록!$B$3:$B$102,MATCH($H107,상품목록!$A$3:$A$102,0)),""))</f>
        <v/>
      </c>
      <c r="J107" s="14" t="str">
        <f aca="false">IF($H107="","",IFERROR(INDEX(상품목록!$C$3:$C$102,MATCH($H107,상품목록!$A$3:$A$102,0)),0))</f>
        <v/>
      </c>
      <c r="K107" s="7"/>
      <c r="L107" s="14" t="str">
        <f aca="false">IF(OR($J107="",$K107=""),"",ROUND($J107*$K107,0))</f>
        <v/>
      </c>
      <c r="M107" s="9"/>
      <c r="N107" s="14" t="str">
        <f aca="false">IF($L107="","",$L107+IF($M107="",0,$M107))</f>
        <v/>
      </c>
      <c r="O107" s="13"/>
      <c r="P107" s="7"/>
      <c r="Q107" s="12" t="str">
        <f aca="false">IF($C107="","",IF($P107&lt;&gt;"","발송완료",IF($O107&lt;&gt;"","입금완료","입금대기")))</f>
        <v/>
      </c>
      <c r="R107" s="12" t="str">
        <f aca="false">IF($C107="","",COUNTIFS($C$3:$C107,$C107))</f>
        <v/>
      </c>
      <c r="S107" s="12" t="str">
        <f aca="false">IF($C107="","",$C107&amp;"|"&amp;$R107)</f>
        <v/>
      </c>
    </row>
    <row r="108" customFormat="false" ht="15" hidden="false" customHeight="true" outlineLevel="0" collapsed="false">
      <c r="A108" s="12" t="str">
        <f aca="false">IF($C108="","",TEXT($B108,"yymmdd")&amp;"-"&amp;TEXT(COUNTIFS($B$3:$B108,$B108),"000"))</f>
        <v/>
      </c>
      <c r="B108" s="13"/>
      <c r="C108" s="7"/>
      <c r="D108" s="12" t="str">
        <f aca="false">IF($C108="","",IFERROR(INDEX(고객명부!$B$3:$B$502,MATCH($C108,고객명부!$A$3:$A$502,0)),"미등록고객"))</f>
        <v/>
      </c>
      <c r="E108" s="12" t="str">
        <f aca="false">IF($C108="","",IFERROR(INDEX(고객명부!$C$3:$C$502,MATCH($C108,고객명부!$A$3:$A$502,0)),""))</f>
        <v/>
      </c>
      <c r="F108" s="12" t="str">
        <f aca="false">IF($C108="","",IFERROR(INDEX(고객명부!$D$3:$D$502,MATCH($C108,고객명부!$A$3:$A$502,0)),""))</f>
        <v/>
      </c>
      <c r="G108" s="12" t="str">
        <f aca="false">IF($C108="","",IFERROR(INDEX(고객명부!$E$3:$E$502,MATCH($C108,고객명부!$A$3:$A$502,0))&amp;" "&amp;INDEX(고객명부!$F$3:$F$502,MATCH($C108,고객명부!$A$3:$A$502,0)),""))</f>
        <v/>
      </c>
      <c r="H108" s="7"/>
      <c r="I108" s="12" t="str">
        <f aca="false">IF($H108="","",IFERROR(INDEX(상품목록!$B$3:$B$102,MATCH($H108,상품목록!$A$3:$A$102,0)),""))</f>
        <v/>
      </c>
      <c r="J108" s="14" t="str">
        <f aca="false">IF($H108="","",IFERROR(INDEX(상품목록!$C$3:$C$102,MATCH($H108,상품목록!$A$3:$A$102,0)),0))</f>
        <v/>
      </c>
      <c r="K108" s="7"/>
      <c r="L108" s="14" t="str">
        <f aca="false">IF(OR($J108="",$K108=""),"",ROUND($J108*$K108,0))</f>
        <v/>
      </c>
      <c r="M108" s="9"/>
      <c r="N108" s="14" t="str">
        <f aca="false">IF($L108="","",$L108+IF($M108="",0,$M108))</f>
        <v/>
      </c>
      <c r="O108" s="13"/>
      <c r="P108" s="7"/>
      <c r="Q108" s="12" t="str">
        <f aca="false">IF($C108="","",IF($P108&lt;&gt;"","발송완료",IF($O108&lt;&gt;"","입금완료","입금대기")))</f>
        <v/>
      </c>
      <c r="R108" s="12" t="str">
        <f aca="false">IF($C108="","",COUNTIFS($C$3:$C108,$C108))</f>
        <v/>
      </c>
      <c r="S108" s="12" t="str">
        <f aca="false">IF($C108="","",$C108&amp;"|"&amp;$R108)</f>
        <v/>
      </c>
    </row>
    <row r="109" customFormat="false" ht="15" hidden="false" customHeight="true" outlineLevel="0" collapsed="false">
      <c r="A109" s="12" t="str">
        <f aca="false">IF($C109="","",TEXT($B109,"yymmdd")&amp;"-"&amp;TEXT(COUNTIFS($B$3:$B109,$B109),"000"))</f>
        <v/>
      </c>
      <c r="B109" s="13"/>
      <c r="C109" s="7"/>
      <c r="D109" s="12" t="str">
        <f aca="false">IF($C109="","",IFERROR(INDEX(고객명부!$B$3:$B$502,MATCH($C109,고객명부!$A$3:$A$502,0)),"미등록고객"))</f>
        <v/>
      </c>
      <c r="E109" s="12" t="str">
        <f aca="false">IF($C109="","",IFERROR(INDEX(고객명부!$C$3:$C$502,MATCH($C109,고객명부!$A$3:$A$502,0)),""))</f>
        <v/>
      </c>
      <c r="F109" s="12" t="str">
        <f aca="false">IF($C109="","",IFERROR(INDEX(고객명부!$D$3:$D$502,MATCH($C109,고객명부!$A$3:$A$502,0)),""))</f>
        <v/>
      </c>
      <c r="G109" s="12" t="str">
        <f aca="false">IF($C109="","",IFERROR(INDEX(고객명부!$E$3:$E$502,MATCH($C109,고객명부!$A$3:$A$502,0))&amp;" "&amp;INDEX(고객명부!$F$3:$F$502,MATCH($C109,고객명부!$A$3:$A$502,0)),""))</f>
        <v/>
      </c>
      <c r="H109" s="7"/>
      <c r="I109" s="12" t="str">
        <f aca="false">IF($H109="","",IFERROR(INDEX(상품목록!$B$3:$B$102,MATCH($H109,상품목록!$A$3:$A$102,0)),""))</f>
        <v/>
      </c>
      <c r="J109" s="14" t="str">
        <f aca="false">IF($H109="","",IFERROR(INDEX(상품목록!$C$3:$C$102,MATCH($H109,상품목록!$A$3:$A$102,0)),0))</f>
        <v/>
      </c>
      <c r="K109" s="7"/>
      <c r="L109" s="14" t="str">
        <f aca="false">IF(OR($J109="",$K109=""),"",ROUND($J109*$K109,0))</f>
        <v/>
      </c>
      <c r="M109" s="9"/>
      <c r="N109" s="14" t="str">
        <f aca="false">IF($L109="","",$L109+IF($M109="",0,$M109))</f>
        <v/>
      </c>
      <c r="O109" s="13"/>
      <c r="P109" s="7"/>
      <c r="Q109" s="12" t="str">
        <f aca="false">IF($C109="","",IF($P109&lt;&gt;"","발송완료",IF($O109&lt;&gt;"","입금완료","입금대기")))</f>
        <v/>
      </c>
      <c r="R109" s="12" t="str">
        <f aca="false">IF($C109="","",COUNTIFS($C$3:$C109,$C109))</f>
        <v/>
      </c>
      <c r="S109" s="12" t="str">
        <f aca="false">IF($C109="","",$C109&amp;"|"&amp;$R109)</f>
        <v/>
      </c>
    </row>
    <row r="110" customFormat="false" ht="15" hidden="false" customHeight="true" outlineLevel="0" collapsed="false">
      <c r="A110" s="12" t="str">
        <f aca="false">IF($C110="","",TEXT($B110,"yymmdd")&amp;"-"&amp;TEXT(COUNTIFS($B$3:$B110,$B110),"000"))</f>
        <v/>
      </c>
      <c r="B110" s="13"/>
      <c r="C110" s="7"/>
      <c r="D110" s="12" t="str">
        <f aca="false">IF($C110="","",IFERROR(INDEX(고객명부!$B$3:$B$502,MATCH($C110,고객명부!$A$3:$A$502,0)),"미등록고객"))</f>
        <v/>
      </c>
      <c r="E110" s="12" t="str">
        <f aca="false">IF($C110="","",IFERROR(INDEX(고객명부!$C$3:$C$502,MATCH($C110,고객명부!$A$3:$A$502,0)),""))</f>
        <v/>
      </c>
      <c r="F110" s="12" t="str">
        <f aca="false">IF($C110="","",IFERROR(INDEX(고객명부!$D$3:$D$502,MATCH($C110,고객명부!$A$3:$A$502,0)),""))</f>
        <v/>
      </c>
      <c r="G110" s="12" t="str">
        <f aca="false">IF($C110="","",IFERROR(INDEX(고객명부!$E$3:$E$502,MATCH($C110,고객명부!$A$3:$A$502,0))&amp;" "&amp;INDEX(고객명부!$F$3:$F$502,MATCH($C110,고객명부!$A$3:$A$502,0)),""))</f>
        <v/>
      </c>
      <c r="H110" s="7"/>
      <c r="I110" s="12" t="str">
        <f aca="false">IF($H110="","",IFERROR(INDEX(상품목록!$B$3:$B$102,MATCH($H110,상품목록!$A$3:$A$102,0)),""))</f>
        <v/>
      </c>
      <c r="J110" s="14" t="str">
        <f aca="false">IF($H110="","",IFERROR(INDEX(상품목록!$C$3:$C$102,MATCH($H110,상품목록!$A$3:$A$102,0)),0))</f>
        <v/>
      </c>
      <c r="K110" s="7"/>
      <c r="L110" s="14" t="str">
        <f aca="false">IF(OR($J110="",$K110=""),"",ROUND($J110*$K110,0))</f>
        <v/>
      </c>
      <c r="M110" s="9"/>
      <c r="N110" s="14" t="str">
        <f aca="false">IF($L110="","",$L110+IF($M110="",0,$M110))</f>
        <v/>
      </c>
      <c r="O110" s="13"/>
      <c r="P110" s="7"/>
      <c r="Q110" s="12" t="str">
        <f aca="false">IF($C110="","",IF($P110&lt;&gt;"","발송완료",IF($O110&lt;&gt;"","입금완료","입금대기")))</f>
        <v/>
      </c>
      <c r="R110" s="12" t="str">
        <f aca="false">IF($C110="","",COUNTIFS($C$3:$C110,$C110))</f>
        <v/>
      </c>
      <c r="S110" s="12" t="str">
        <f aca="false">IF($C110="","",$C110&amp;"|"&amp;$R110)</f>
        <v/>
      </c>
    </row>
    <row r="111" customFormat="false" ht="15" hidden="false" customHeight="true" outlineLevel="0" collapsed="false">
      <c r="A111" s="12" t="str">
        <f aca="false">IF($C111="","",TEXT($B111,"yymmdd")&amp;"-"&amp;TEXT(COUNTIFS($B$3:$B111,$B111),"000"))</f>
        <v/>
      </c>
      <c r="B111" s="13"/>
      <c r="C111" s="7"/>
      <c r="D111" s="12" t="str">
        <f aca="false">IF($C111="","",IFERROR(INDEX(고객명부!$B$3:$B$502,MATCH($C111,고객명부!$A$3:$A$502,0)),"미등록고객"))</f>
        <v/>
      </c>
      <c r="E111" s="12" t="str">
        <f aca="false">IF($C111="","",IFERROR(INDEX(고객명부!$C$3:$C$502,MATCH($C111,고객명부!$A$3:$A$502,0)),""))</f>
        <v/>
      </c>
      <c r="F111" s="12" t="str">
        <f aca="false">IF($C111="","",IFERROR(INDEX(고객명부!$D$3:$D$502,MATCH($C111,고객명부!$A$3:$A$502,0)),""))</f>
        <v/>
      </c>
      <c r="G111" s="12" t="str">
        <f aca="false">IF($C111="","",IFERROR(INDEX(고객명부!$E$3:$E$502,MATCH($C111,고객명부!$A$3:$A$502,0))&amp;" "&amp;INDEX(고객명부!$F$3:$F$502,MATCH($C111,고객명부!$A$3:$A$502,0)),""))</f>
        <v/>
      </c>
      <c r="H111" s="7"/>
      <c r="I111" s="12" t="str">
        <f aca="false">IF($H111="","",IFERROR(INDEX(상품목록!$B$3:$B$102,MATCH($H111,상품목록!$A$3:$A$102,0)),""))</f>
        <v/>
      </c>
      <c r="J111" s="14" t="str">
        <f aca="false">IF($H111="","",IFERROR(INDEX(상품목록!$C$3:$C$102,MATCH($H111,상품목록!$A$3:$A$102,0)),0))</f>
        <v/>
      </c>
      <c r="K111" s="7"/>
      <c r="L111" s="14" t="str">
        <f aca="false">IF(OR($J111="",$K111=""),"",ROUND($J111*$K111,0))</f>
        <v/>
      </c>
      <c r="M111" s="9"/>
      <c r="N111" s="14" t="str">
        <f aca="false">IF($L111="","",$L111+IF($M111="",0,$M111))</f>
        <v/>
      </c>
      <c r="O111" s="13"/>
      <c r="P111" s="7"/>
      <c r="Q111" s="12" t="str">
        <f aca="false">IF($C111="","",IF($P111&lt;&gt;"","발송완료",IF($O111&lt;&gt;"","입금완료","입금대기")))</f>
        <v/>
      </c>
      <c r="R111" s="12" t="str">
        <f aca="false">IF($C111="","",COUNTIFS($C$3:$C111,$C111))</f>
        <v/>
      </c>
      <c r="S111" s="12" t="str">
        <f aca="false">IF($C111="","",$C111&amp;"|"&amp;$R111)</f>
        <v/>
      </c>
    </row>
    <row r="112" customFormat="false" ht="15" hidden="false" customHeight="true" outlineLevel="0" collapsed="false">
      <c r="A112" s="12" t="str">
        <f aca="false">IF($C112="","",TEXT($B112,"yymmdd")&amp;"-"&amp;TEXT(COUNTIFS($B$3:$B112,$B112),"000"))</f>
        <v/>
      </c>
      <c r="B112" s="13"/>
      <c r="C112" s="7"/>
      <c r="D112" s="12" t="str">
        <f aca="false">IF($C112="","",IFERROR(INDEX(고객명부!$B$3:$B$502,MATCH($C112,고객명부!$A$3:$A$502,0)),"미등록고객"))</f>
        <v/>
      </c>
      <c r="E112" s="12" t="str">
        <f aca="false">IF($C112="","",IFERROR(INDEX(고객명부!$C$3:$C$502,MATCH($C112,고객명부!$A$3:$A$502,0)),""))</f>
        <v/>
      </c>
      <c r="F112" s="12" t="str">
        <f aca="false">IF($C112="","",IFERROR(INDEX(고객명부!$D$3:$D$502,MATCH($C112,고객명부!$A$3:$A$502,0)),""))</f>
        <v/>
      </c>
      <c r="G112" s="12" t="str">
        <f aca="false">IF($C112="","",IFERROR(INDEX(고객명부!$E$3:$E$502,MATCH($C112,고객명부!$A$3:$A$502,0))&amp;" "&amp;INDEX(고객명부!$F$3:$F$502,MATCH($C112,고객명부!$A$3:$A$502,0)),""))</f>
        <v/>
      </c>
      <c r="H112" s="7"/>
      <c r="I112" s="12" t="str">
        <f aca="false">IF($H112="","",IFERROR(INDEX(상품목록!$B$3:$B$102,MATCH($H112,상품목록!$A$3:$A$102,0)),""))</f>
        <v/>
      </c>
      <c r="J112" s="14" t="str">
        <f aca="false">IF($H112="","",IFERROR(INDEX(상품목록!$C$3:$C$102,MATCH($H112,상품목록!$A$3:$A$102,0)),0))</f>
        <v/>
      </c>
      <c r="K112" s="7"/>
      <c r="L112" s="14" t="str">
        <f aca="false">IF(OR($J112="",$K112=""),"",ROUND($J112*$K112,0))</f>
        <v/>
      </c>
      <c r="M112" s="9"/>
      <c r="N112" s="14" t="str">
        <f aca="false">IF($L112="","",$L112+IF($M112="",0,$M112))</f>
        <v/>
      </c>
      <c r="O112" s="13"/>
      <c r="P112" s="7"/>
      <c r="Q112" s="12" t="str">
        <f aca="false">IF($C112="","",IF($P112&lt;&gt;"","발송완료",IF($O112&lt;&gt;"","입금완료","입금대기")))</f>
        <v/>
      </c>
      <c r="R112" s="12" t="str">
        <f aca="false">IF($C112="","",COUNTIFS($C$3:$C112,$C112))</f>
        <v/>
      </c>
      <c r="S112" s="12" t="str">
        <f aca="false">IF($C112="","",$C112&amp;"|"&amp;$R112)</f>
        <v/>
      </c>
    </row>
    <row r="113" customFormat="false" ht="15" hidden="false" customHeight="true" outlineLevel="0" collapsed="false">
      <c r="A113" s="12" t="str">
        <f aca="false">IF($C113="","",TEXT($B113,"yymmdd")&amp;"-"&amp;TEXT(COUNTIFS($B$3:$B113,$B113),"000"))</f>
        <v/>
      </c>
      <c r="B113" s="13"/>
      <c r="C113" s="7"/>
      <c r="D113" s="12" t="str">
        <f aca="false">IF($C113="","",IFERROR(INDEX(고객명부!$B$3:$B$502,MATCH($C113,고객명부!$A$3:$A$502,0)),"미등록고객"))</f>
        <v/>
      </c>
      <c r="E113" s="12" t="str">
        <f aca="false">IF($C113="","",IFERROR(INDEX(고객명부!$C$3:$C$502,MATCH($C113,고객명부!$A$3:$A$502,0)),""))</f>
        <v/>
      </c>
      <c r="F113" s="12" t="str">
        <f aca="false">IF($C113="","",IFERROR(INDEX(고객명부!$D$3:$D$502,MATCH($C113,고객명부!$A$3:$A$502,0)),""))</f>
        <v/>
      </c>
      <c r="G113" s="12" t="str">
        <f aca="false">IF($C113="","",IFERROR(INDEX(고객명부!$E$3:$E$502,MATCH($C113,고객명부!$A$3:$A$502,0))&amp;" "&amp;INDEX(고객명부!$F$3:$F$502,MATCH($C113,고객명부!$A$3:$A$502,0)),""))</f>
        <v/>
      </c>
      <c r="H113" s="7"/>
      <c r="I113" s="12" t="str">
        <f aca="false">IF($H113="","",IFERROR(INDEX(상품목록!$B$3:$B$102,MATCH($H113,상품목록!$A$3:$A$102,0)),""))</f>
        <v/>
      </c>
      <c r="J113" s="14" t="str">
        <f aca="false">IF($H113="","",IFERROR(INDEX(상품목록!$C$3:$C$102,MATCH($H113,상품목록!$A$3:$A$102,0)),0))</f>
        <v/>
      </c>
      <c r="K113" s="7"/>
      <c r="L113" s="14" t="str">
        <f aca="false">IF(OR($J113="",$K113=""),"",ROUND($J113*$K113,0))</f>
        <v/>
      </c>
      <c r="M113" s="9"/>
      <c r="N113" s="14" t="str">
        <f aca="false">IF($L113="","",$L113+IF($M113="",0,$M113))</f>
        <v/>
      </c>
      <c r="O113" s="13"/>
      <c r="P113" s="7"/>
      <c r="Q113" s="12" t="str">
        <f aca="false">IF($C113="","",IF($P113&lt;&gt;"","발송완료",IF($O113&lt;&gt;"","입금완료","입금대기")))</f>
        <v/>
      </c>
      <c r="R113" s="12" t="str">
        <f aca="false">IF($C113="","",COUNTIFS($C$3:$C113,$C113))</f>
        <v/>
      </c>
      <c r="S113" s="12" t="str">
        <f aca="false">IF($C113="","",$C113&amp;"|"&amp;$R113)</f>
        <v/>
      </c>
    </row>
    <row r="114" customFormat="false" ht="15" hidden="false" customHeight="true" outlineLevel="0" collapsed="false">
      <c r="A114" s="12" t="str">
        <f aca="false">IF($C114="","",TEXT($B114,"yymmdd")&amp;"-"&amp;TEXT(COUNTIFS($B$3:$B114,$B114),"000"))</f>
        <v/>
      </c>
      <c r="B114" s="13"/>
      <c r="C114" s="7"/>
      <c r="D114" s="12" t="str">
        <f aca="false">IF($C114="","",IFERROR(INDEX(고객명부!$B$3:$B$502,MATCH($C114,고객명부!$A$3:$A$502,0)),"미등록고객"))</f>
        <v/>
      </c>
      <c r="E114" s="12" t="str">
        <f aca="false">IF($C114="","",IFERROR(INDEX(고객명부!$C$3:$C$502,MATCH($C114,고객명부!$A$3:$A$502,0)),""))</f>
        <v/>
      </c>
      <c r="F114" s="12" t="str">
        <f aca="false">IF($C114="","",IFERROR(INDEX(고객명부!$D$3:$D$502,MATCH($C114,고객명부!$A$3:$A$502,0)),""))</f>
        <v/>
      </c>
      <c r="G114" s="12" t="str">
        <f aca="false">IF($C114="","",IFERROR(INDEX(고객명부!$E$3:$E$502,MATCH($C114,고객명부!$A$3:$A$502,0))&amp;" "&amp;INDEX(고객명부!$F$3:$F$502,MATCH($C114,고객명부!$A$3:$A$502,0)),""))</f>
        <v/>
      </c>
      <c r="H114" s="7"/>
      <c r="I114" s="12" t="str">
        <f aca="false">IF($H114="","",IFERROR(INDEX(상품목록!$B$3:$B$102,MATCH($H114,상품목록!$A$3:$A$102,0)),""))</f>
        <v/>
      </c>
      <c r="J114" s="14" t="str">
        <f aca="false">IF($H114="","",IFERROR(INDEX(상품목록!$C$3:$C$102,MATCH($H114,상품목록!$A$3:$A$102,0)),0))</f>
        <v/>
      </c>
      <c r="K114" s="7"/>
      <c r="L114" s="14" t="str">
        <f aca="false">IF(OR($J114="",$K114=""),"",ROUND($J114*$K114,0))</f>
        <v/>
      </c>
      <c r="M114" s="9"/>
      <c r="N114" s="14" t="str">
        <f aca="false">IF($L114="","",$L114+IF($M114="",0,$M114))</f>
        <v/>
      </c>
      <c r="O114" s="13"/>
      <c r="P114" s="7"/>
      <c r="Q114" s="12" t="str">
        <f aca="false">IF($C114="","",IF($P114&lt;&gt;"","발송완료",IF($O114&lt;&gt;"","입금완료","입금대기")))</f>
        <v/>
      </c>
      <c r="R114" s="12" t="str">
        <f aca="false">IF($C114="","",COUNTIFS($C$3:$C114,$C114))</f>
        <v/>
      </c>
      <c r="S114" s="12" t="str">
        <f aca="false">IF($C114="","",$C114&amp;"|"&amp;$R114)</f>
        <v/>
      </c>
    </row>
    <row r="115" customFormat="false" ht="15" hidden="false" customHeight="true" outlineLevel="0" collapsed="false">
      <c r="A115" s="12" t="str">
        <f aca="false">IF($C115="","",TEXT($B115,"yymmdd")&amp;"-"&amp;TEXT(COUNTIFS($B$3:$B115,$B115),"000"))</f>
        <v/>
      </c>
      <c r="B115" s="13"/>
      <c r="C115" s="7"/>
      <c r="D115" s="12" t="str">
        <f aca="false">IF($C115="","",IFERROR(INDEX(고객명부!$B$3:$B$502,MATCH($C115,고객명부!$A$3:$A$502,0)),"미등록고객"))</f>
        <v/>
      </c>
      <c r="E115" s="12" t="str">
        <f aca="false">IF($C115="","",IFERROR(INDEX(고객명부!$C$3:$C$502,MATCH($C115,고객명부!$A$3:$A$502,0)),""))</f>
        <v/>
      </c>
      <c r="F115" s="12" t="str">
        <f aca="false">IF($C115="","",IFERROR(INDEX(고객명부!$D$3:$D$502,MATCH($C115,고객명부!$A$3:$A$502,0)),""))</f>
        <v/>
      </c>
      <c r="G115" s="12" t="str">
        <f aca="false">IF($C115="","",IFERROR(INDEX(고객명부!$E$3:$E$502,MATCH($C115,고객명부!$A$3:$A$502,0))&amp;" "&amp;INDEX(고객명부!$F$3:$F$502,MATCH($C115,고객명부!$A$3:$A$502,0)),""))</f>
        <v/>
      </c>
      <c r="H115" s="7"/>
      <c r="I115" s="12" t="str">
        <f aca="false">IF($H115="","",IFERROR(INDEX(상품목록!$B$3:$B$102,MATCH($H115,상품목록!$A$3:$A$102,0)),""))</f>
        <v/>
      </c>
      <c r="J115" s="14" t="str">
        <f aca="false">IF($H115="","",IFERROR(INDEX(상품목록!$C$3:$C$102,MATCH($H115,상품목록!$A$3:$A$102,0)),0))</f>
        <v/>
      </c>
      <c r="K115" s="7"/>
      <c r="L115" s="14" t="str">
        <f aca="false">IF(OR($J115="",$K115=""),"",ROUND($J115*$K115,0))</f>
        <v/>
      </c>
      <c r="M115" s="9"/>
      <c r="N115" s="14" t="str">
        <f aca="false">IF($L115="","",$L115+IF($M115="",0,$M115))</f>
        <v/>
      </c>
      <c r="O115" s="13"/>
      <c r="P115" s="7"/>
      <c r="Q115" s="12" t="str">
        <f aca="false">IF($C115="","",IF($P115&lt;&gt;"","발송완료",IF($O115&lt;&gt;"","입금완료","입금대기")))</f>
        <v/>
      </c>
      <c r="R115" s="12" t="str">
        <f aca="false">IF($C115="","",COUNTIFS($C$3:$C115,$C115))</f>
        <v/>
      </c>
      <c r="S115" s="12" t="str">
        <f aca="false">IF($C115="","",$C115&amp;"|"&amp;$R115)</f>
        <v/>
      </c>
    </row>
    <row r="116" customFormat="false" ht="15" hidden="false" customHeight="true" outlineLevel="0" collapsed="false">
      <c r="A116" s="12" t="str">
        <f aca="false">IF($C116="","",TEXT($B116,"yymmdd")&amp;"-"&amp;TEXT(COUNTIFS($B$3:$B116,$B116),"000"))</f>
        <v/>
      </c>
      <c r="B116" s="13"/>
      <c r="C116" s="7"/>
      <c r="D116" s="12" t="str">
        <f aca="false">IF($C116="","",IFERROR(INDEX(고객명부!$B$3:$B$502,MATCH($C116,고객명부!$A$3:$A$502,0)),"미등록고객"))</f>
        <v/>
      </c>
      <c r="E116" s="12" t="str">
        <f aca="false">IF($C116="","",IFERROR(INDEX(고객명부!$C$3:$C$502,MATCH($C116,고객명부!$A$3:$A$502,0)),""))</f>
        <v/>
      </c>
      <c r="F116" s="12" t="str">
        <f aca="false">IF($C116="","",IFERROR(INDEX(고객명부!$D$3:$D$502,MATCH($C116,고객명부!$A$3:$A$502,0)),""))</f>
        <v/>
      </c>
      <c r="G116" s="12" t="str">
        <f aca="false">IF($C116="","",IFERROR(INDEX(고객명부!$E$3:$E$502,MATCH($C116,고객명부!$A$3:$A$502,0))&amp;" "&amp;INDEX(고객명부!$F$3:$F$502,MATCH($C116,고객명부!$A$3:$A$502,0)),""))</f>
        <v/>
      </c>
      <c r="H116" s="7"/>
      <c r="I116" s="12" t="str">
        <f aca="false">IF($H116="","",IFERROR(INDEX(상품목록!$B$3:$B$102,MATCH($H116,상품목록!$A$3:$A$102,0)),""))</f>
        <v/>
      </c>
      <c r="J116" s="14" t="str">
        <f aca="false">IF($H116="","",IFERROR(INDEX(상품목록!$C$3:$C$102,MATCH($H116,상품목록!$A$3:$A$102,0)),0))</f>
        <v/>
      </c>
      <c r="K116" s="7"/>
      <c r="L116" s="14" t="str">
        <f aca="false">IF(OR($J116="",$K116=""),"",ROUND($J116*$K116,0))</f>
        <v/>
      </c>
      <c r="M116" s="9"/>
      <c r="N116" s="14" t="str">
        <f aca="false">IF($L116="","",$L116+IF($M116="",0,$M116))</f>
        <v/>
      </c>
      <c r="O116" s="13"/>
      <c r="P116" s="7"/>
      <c r="Q116" s="12" t="str">
        <f aca="false">IF($C116="","",IF($P116&lt;&gt;"","발송완료",IF($O116&lt;&gt;"","입금완료","입금대기")))</f>
        <v/>
      </c>
      <c r="R116" s="12" t="str">
        <f aca="false">IF($C116="","",COUNTIFS($C$3:$C116,$C116))</f>
        <v/>
      </c>
      <c r="S116" s="12" t="str">
        <f aca="false">IF($C116="","",$C116&amp;"|"&amp;$R116)</f>
        <v/>
      </c>
    </row>
    <row r="117" customFormat="false" ht="15" hidden="false" customHeight="true" outlineLevel="0" collapsed="false">
      <c r="A117" s="12" t="str">
        <f aca="false">IF($C117="","",TEXT($B117,"yymmdd")&amp;"-"&amp;TEXT(COUNTIFS($B$3:$B117,$B117),"000"))</f>
        <v/>
      </c>
      <c r="B117" s="13"/>
      <c r="C117" s="7"/>
      <c r="D117" s="12" t="str">
        <f aca="false">IF($C117="","",IFERROR(INDEX(고객명부!$B$3:$B$502,MATCH($C117,고객명부!$A$3:$A$502,0)),"미등록고객"))</f>
        <v/>
      </c>
      <c r="E117" s="12" t="str">
        <f aca="false">IF($C117="","",IFERROR(INDEX(고객명부!$C$3:$C$502,MATCH($C117,고객명부!$A$3:$A$502,0)),""))</f>
        <v/>
      </c>
      <c r="F117" s="12" t="str">
        <f aca="false">IF($C117="","",IFERROR(INDEX(고객명부!$D$3:$D$502,MATCH($C117,고객명부!$A$3:$A$502,0)),""))</f>
        <v/>
      </c>
      <c r="G117" s="12" t="str">
        <f aca="false">IF($C117="","",IFERROR(INDEX(고객명부!$E$3:$E$502,MATCH($C117,고객명부!$A$3:$A$502,0))&amp;" "&amp;INDEX(고객명부!$F$3:$F$502,MATCH($C117,고객명부!$A$3:$A$502,0)),""))</f>
        <v/>
      </c>
      <c r="H117" s="7"/>
      <c r="I117" s="12" t="str">
        <f aca="false">IF($H117="","",IFERROR(INDEX(상품목록!$B$3:$B$102,MATCH($H117,상품목록!$A$3:$A$102,0)),""))</f>
        <v/>
      </c>
      <c r="J117" s="14" t="str">
        <f aca="false">IF($H117="","",IFERROR(INDEX(상품목록!$C$3:$C$102,MATCH($H117,상품목록!$A$3:$A$102,0)),0))</f>
        <v/>
      </c>
      <c r="K117" s="7"/>
      <c r="L117" s="14" t="str">
        <f aca="false">IF(OR($J117="",$K117=""),"",ROUND($J117*$K117,0))</f>
        <v/>
      </c>
      <c r="M117" s="9"/>
      <c r="N117" s="14" t="str">
        <f aca="false">IF($L117="","",$L117+IF($M117="",0,$M117))</f>
        <v/>
      </c>
      <c r="O117" s="13"/>
      <c r="P117" s="7"/>
      <c r="Q117" s="12" t="str">
        <f aca="false">IF($C117="","",IF($P117&lt;&gt;"","발송완료",IF($O117&lt;&gt;"","입금완료","입금대기")))</f>
        <v/>
      </c>
      <c r="R117" s="12" t="str">
        <f aca="false">IF($C117="","",COUNTIFS($C$3:$C117,$C117))</f>
        <v/>
      </c>
      <c r="S117" s="12" t="str">
        <f aca="false">IF($C117="","",$C117&amp;"|"&amp;$R117)</f>
        <v/>
      </c>
    </row>
    <row r="118" customFormat="false" ht="15" hidden="false" customHeight="true" outlineLevel="0" collapsed="false">
      <c r="A118" s="12" t="str">
        <f aca="false">IF($C118="","",TEXT($B118,"yymmdd")&amp;"-"&amp;TEXT(COUNTIFS($B$3:$B118,$B118),"000"))</f>
        <v/>
      </c>
      <c r="B118" s="13"/>
      <c r="C118" s="7"/>
      <c r="D118" s="12" t="str">
        <f aca="false">IF($C118="","",IFERROR(INDEX(고객명부!$B$3:$B$502,MATCH($C118,고객명부!$A$3:$A$502,0)),"미등록고객"))</f>
        <v/>
      </c>
      <c r="E118" s="12" t="str">
        <f aca="false">IF($C118="","",IFERROR(INDEX(고객명부!$C$3:$C$502,MATCH($C118,고객명부!$A$3:$A$502,0)),""))</f>
        <v/>
      </c>
      <c r="F118" s="12" t="str">
        <f aca="false">IF($C118="","",IFERROR(INDEX(고객명부!$D$3:$D$502,MATCH($C118,고객명부!$A$3:$A$502,0)),""))</f>
        <v/>
      </c>
      <c r="G118" s="12" t="str">
        <f aca="false">IF($C118="","",IFERROR(INDEX(고객명부!$E$3:$E$502,MATCH($C118,고객명부!$A$3:$A$502,0))&amp;" "&amp;INDEX(고객명부!$F$3:$F$502,MATCH($C118,고객명부!$A$3:$A$502,0)),""))</f>
        <v/>
      </c>
      <c r="H118" s="7"/>
      <c r="I118" s="12" t="str">
        <f aca="false">IF($H118="","",IFERROR(INDEX(상품목록!$B$3:$B$102,MATCH($H118,상품목록!$A$3:$A$102,0)),""))</f>
        <v/>
      </c>
      <c r="J118" s="14" t="str">
        <f aca="false">IF($H118="","",IFERROR(INDEX(상품목록!$C$3:$C$102,MATCH($H118,상품목록!$A$3:$A$102,0)),0))</f>
        <v/>
      </c>
      <c r="K118" s="7"/>
      <c r="L118" s="14" t="str">
        <f aca="false">IF(OR($J118="",$K118=""),"",ROUND($J118*$K118,0))</f>
        <v/>
      </c>
      <c r="M118" s="9"/>
      <c r="N118" s="14" t="str">
        <f aca="false">IF($L118="","",$L118+IF($M118="",0,$M118))</f>
        <v/>
      </c>
      <c r="O118" s="13"/>
      <c r="P118" s="7"/>
      <c r="Q118" s="12" t="str">
        <f aca="false">IF($C118="","",IF($P118&lt;&gt;"","발송완료",IF($O118&lt;&gt;"","입금완료","입금대기")))</f>
        <v/>
      </c>
      <c r="R118" s="12" t="str">
        <f aca="false">IF($C118="","",COUNTIFS($C$3:$C118,$C118))</f>
        <v/>
      </c>
      <c r="S118" s="12" t="str">
        <f aca="false">IF($C118="","",$C118&amp;"|"&amp;$R118)</f>
        <v/>
      </c>
    </row>
    <row r="119" customFormat="false" ht="15" hidden="false" customHeight="true" outlineLevel="0" collapsed="false">
      <c r="A119" s="12" t="str">
        <f aca="false">IF($C119="","",TEXT($B119,"yymmdd")&amp;"-"&amp;TEXT(COUNTIFS($B$3:$B119,$B119),"000"))</f>
        <v/>
      </c>
      <c r="B119" s="13"/>
      <c r="C119" s="7"/>
      <c r="D119" s="12" t="str">
        <f aca="false">IF($C119="","",IFERROR(INDEX(고객명부!$B$3:$B$502,MATCH($C119,고객명부!$A$3:$A$502,0)),"미등록고객"))</f>
        <v/>
      </c>
      <c r="E119" s="12" t="str">
        <f aca="false">IF($C119="","",IFERROR(INDEX(고객명부!$C$3:$C$502,MATCH($C119,고객명부!$A$3:$A$502,0)),""))</f>
        <v/>
      </c>
      <c r="F119" s="12" t="str">
        <f aca="false">IF($C119="","",IFERROR(INDEX(고객명부!$D$3:$D$502,MATCH($C119,고객명부!$A$3:$A$502,0)),""))</f>
        <v/>
      </c>
      <c r="G119" s="12" t="str">
        <f aca="false">IF($C119="","",IFERROR(INDEX(고객명부!$E$3:$E$502,MATCH($C119,고객명부!$A$3:$A$502,0))&amp;" "&amp;INDEX(고객명부!$F$3:$F$502,MATCH($C119,고객명부!$A$3:$A$502,0)),""))</f>
        <v/>
      </c>
      <c r="H119" s="7"/>
      <c r="I119" s="12" t="str">
        <f aca="false">IF($H119="","",IFERROR(INDEX(상품목록!$B$3:$B$102,MATCH($H119,상품목록!$A$3:$A$102,0)),""))</f>
        <v/>
      </c>
      <c r="J119" s="14" t="str">
        <f aca="false">IF($H119="","",IFERROR(INDEX(상품목록!$C$3:$C$102,MATCH($H119,상품목록!$A$3:$A$102,0)),0))</f>
        <v/>
      </c>
      <c r="K119" s="7"/>
      <c r="L119" s="14" t="str">
        <f aca="false">IF(OR($J119="",$K119=""),"",ROUND($J119*$K119,0))</f>
        <v/>
      </c>
      <c r="M119" s="9"/>
      <c r="N119" s="14" t="str">
        <f aca="false">IF($L119="","",$L119+IF($M119="",0,$M119))</f>
        <v/>
      </c>
      <c r="O119" s="13"/>
      <c r="P119" s="7"/>
      <c r="Q119" s="12" t="str">
        <f aca="false">IF($C119="","",IF($P119&lt;&gt;"","발송완료",IF($O119&lt;&gt;"","입금완료","입금대기")))</f>
        <v/>
      </c>
      <c r="R119" s="12" t="str">
        <f aca="false">IF($C119="","",COUNTIFS($C$3:$C119,$C119))</f>
        <v/>
      </c>
      <c r="S119" s="12" t="str">
        <f aca="false">IF($C119="","",$C119&amp;"|"&amp;$R119)</f>
        <v/>
      </c>
    </row>
    <row r="120" customFormat="false" ht="15" hidden="false" customHeight="true" outlineLevel="0" collapsed="false">
      <c r="A120" s="12" t="str">
        <f aca="false">IF($C120="","",TEXT($B120,"yymmdd")&amp;"-"&amp;TEXT(COUNTIFS($B$3:$B120,$B120),"000"))</f>
        <v/>
      </c>
      <c r="B120" s="13"/>
      <c r="C120" s="7"/>
      <c r="D120" s="12" t="str">
        <f aca="false">IF($C120="","",IFERROR(INDEX(고객명부!$B$3:$B$502,MATCH($C120,고객명부!$A$3:$A$502,0)),"미등록고객"))</f>
        <v/>
      </c>
      <c r="E120" s="12" t="str">
        <f aca="false">IF($C120="","",IFERROR(INDEX(고객명부!$C$3:$C$502,MATCH($C120,고객명부!$A$3:$A$502,0)),""))</f>
        <v/>
      </c>
      <c r="F120" s="12" t="str">
        <f aca="false">IF($C120="","",IFERROR(INDEX(고객명부!$D$3:$D$502,MATCH($C120,고객명부!$A$3:$A$502,0)),""))</f>
        <v/>
      </c>
      <c r="G120" s="12" t="str">
        <f aca="false">IF($C120="","",IFERROR(INDEX(고객명부!$E$3:$E$502,MATCH($C120,고객명부!$A$3:$A$502,0))&amp;" "&amp;INDEX(고객명부!$F$3:$F$502,MATCH($C120,고객명부!$A$3:$A$502,0)),""))</f>
        <v/>
      </c>
      <c r="H120" s="7"/>
      <c r="I120" s="12" t="str">
        <f aca="false">IF($H120="","",IFERROR(INDEX(상품목록!$B$3:$B$102,MATCH($H120,상품목록!$A$3:$A$102,0)),""))</f>
        <v/>
      </c>
      <c r="J120" s="14" t="str">
        <f aca="false">IF($H120="","",IFERROR(INDEX(상품목록!$C$3:$C$102,MATCH($H120,상품목록!$A$3:$A$102,0)),0))</f>
        <v/>
      </c>
      <c r="K120" s="7"/>
      <c r="L120" s="14" t="str">
        <f aca="false">IF(OR($J120="",$K120=""),"",ROUND($J120*$K120,0))</f>
        <v/>
      </c>
      <c r="M120" s="9"/>
      <c r="N120" s="14" t="str">
        <f aca="false">IF($L120="","",$L120+IF($M120="",0,$M120))</f>
        <v/>
      </c>
      <c r="O120" s="13"/>
      <c r="P120" s="7"/>
      <c r="Q120" s="12" t="str">
        <f aca="false">IF($C120="","",IF($P120&lt;&gt;"","발송완료",IF($O120&lt;&gt;"","입금완료","입금대기")))</f>
        <v/>
      </c>
      <c r="R120" s="12" t="str">
        <f aca="false">IF($C120="","",COUNTIFS($C$3:$C120,$C120))</f>
        <v/>
      </c>
      <c r="S120" s="12" t="str">
        <f aca="false">IF($C120="","",$C120&amp;"|"&amp;$R120)</f>
        <v/>
      </c>
    </row>
    <row r="121" customFormat="false" ht="15" hidden="false" customHeight="true" outlineLevel="0" collapsed="false">
      <c r="A121" s="12" t="str">
        <f aca="false">IF($C121="","",TEXT($B121,"yymmdd")&amp;"-"&amp;TEXT(COUNTIFS($B$3:$B121,$B121),"000"))</f>
        <v/>
      </c>
      <c r="B121" s="13"/>
      <c r="C121" s="7"/>
      <c r="D121" s="12" t="str">
        <f aca="false">IF($C121="","",IFERROR(INDEX(고객명부!$B$3:$B$502,MATCH($C121,고객명부!$A$3:$A$502,0)),"미등록고객"))</f>
        <v/>
      </c>
      <c r="E121" s="12" t="str">
        <f aca="false">IF($C121="","",IFERROR(INDEX(고객명부!$C$3:$C$502,MATCH($C121,고객명부!$A$3:$A$502,0)),""))</f>
        <v/>
      </c>
      <c r="F121" s="12" t="str">
        <f aca="false">IF($C121="","",IFERROR(INDEX(고객명부!$D$3:$D$502,MATCH($C121,고객명부!$A$3:$A$502,0)),""))</f>
        <v/>
      </c>
      <c r="G121" s="12" t="str">
        <f aca="false">IF($C121="","",IFERROR(INDEX(고객명부!$E$3:$E$502,MATCH($C121,고객명부!$A$3:$A$502,0))&amp;" "&amp;INDEX(고객명부!$F$3:$F$502,MATCH($C121,고객명부!$A$3:$A$502,0)),""))</f>
        <v/>
      </c>
      <c r="H121" s="7"/>
      <c r="I121" s="12" t="str">
        <f aca="false">IF($H121="","",IFERROR(INDEX(상품목록!$B$3:$B$102,MATCH($H121,상품목록!$A$3:$A$102,0)),""))</f>
        <v/>
      </c>
      <c r="J121" s="14" t="str">
        <f aca="false">IF($H121="","",IFERROR(INDEX(상품목록!$C$3:$C$102,MATCH($H121,상품목록!$A$3:$A$102,0)),0))</f>
        <v/>
      </c>
      <c r="K121" s="7"/>
      <c r="L121" s="14" t="str">
        <f aca="false">IF(OR($J121="",$K121=""),"",ROUND($J121*$K121,0))</f>
        <v/>
      </c>
      <c r="M121" s="9"/>
      <c r="N121" s="14" t="str">
        <f aca="false">IF($L121="","",$L121+IF($M121="",0,$M121))</f>
        <v/>
      </c>
      <c r="O121" s="13"/>
      <c r="P121" s="7"/>
      <c r="Q121" s="12" t="str">
        <f aca="false">IF($C121="","",IF($P121&lt;&gt;"","발송완료",IF($O121&lt;&gt;"","입금완료","입금대기")))</f>
        <v/>
      </c>
      <c r="R121" s="12" t="str">
        <f aca="false">IF($C121="","",COUNTIFS($C$3:$C121,$C121))</f>
        <v/>
      </c>
      <c r="S121" s="12" t="str">
        <f aca="false">IF($C121="","",$C121&amp;"|"&amp;$R121)</f>
        <v/>
      </c>
    </row>
    <row r="122" customFormat="false" ht="15" hidden="false" customHeight="true" outlineLevel="0" collapsed="false">
      <c r="A122" s="12" t="str">
        <f aca="false">IF($C122="","",TEXT($B122,"yymmdd")&amp;"-"&amp;TEXT(COUNTIFS($B$3:$B122,$B122),"000"))</f>
        <v/>
      </c>
      <c r="B122" s="13"/>
      <c r="C122" s="7"/>
      <c r="D122" s="12" t="str">
        <f aca="false">IF($C122="","",IFERROR(INDEX(고객명부!$B$3:$B$502,MATCH($C122,고객명부!$A$3:$A$502,0)),"미등록고객"))</f>
        <v/>
      </c>
      <c r="E122" s="12" t="str">
        <f aca="false">IF($C122="","",IFERROR(INDEX(고객명부!$C$3:$C$502,MATCH($C122,고객명부!$A$3:$A$502,0)),""))</f>
        <v/>
      </c>
      <c r="F122" s="12" t="str">
        <f aca="false">IF($C122="","",IFERROR(INDEX(고객명부!$D$3:$D$502,MATCH($C122,고객명부!$A$3:$A$502,0)),""))</f>
        <v/>
      </c>
      <c r="G122" s="12" t="str">
        <f aca="false">IF($C122="","",IFERROR(INDEX(고객명부!$E$3:$E$502,MATCH($C122,고객명부!$A$3:$A$502,0))&amp;" "&amp;INDEX(고객명부!$F$3:$F$502,MATCH($C122,고객명부!$A$3:$A$502,0)),""))</f>
        <v/>
      </c>
      <c r="H122" s="7"/>
      <c r="I122" s="12" t="str">
        <f aca="false">IF($H122="","",IFERROR(INDEX(상품목록!$B$3:$B$102,MATCH($H122,상품목록!$A$3:$A$102,0)),""))</f>
        <v/>
      </c>
      <c r="J122" s="14" t="str">
        <f aca="false">IF($H122="","",IFERROR(INDEX(상품목록!$C$3:$C$102,MATCH($H122,상품목록!$A$3:$A$102,0)),0))</f>
        <v/>
      </c>
      <c r="K122" s="7"/>
      <c r="L122" s="14" t="str">
        <f aca="false">IF(OR($J122="",$K122=""),"",ROUND($J122*$K122,0))</f>
        <v/>
      </c>
      <c r="M122" s="9"/>
      <c r="N122" s="14" t="str">
        <f aca="false">IF($L122="","",$L122+IF($M122="",0,$M122))</f>
        <v/>
      </c>
      <c r="O122" s="13"/>
      <c r="P122" s="7"/>
      <c r="Q122" s="12" t="str">
        <f aca="false">IF($C122="","",IF($P122&lt;&gt;"","발송완료",IF($O122&lt;&gt;"","입금완료","입금대기")))</f>
        <v/>
      </c>
      <c r="R122" s="12" t="str">
        <f aca="false">IF($C122="","",COUNTIFS($C$3:$C122,$C122))</f>
        <v/>
      </c>
      <c r="S122" s="12" t="str">
        <f aca="false">IF($C122="","",$C122&amp;"|"&amp;$R122)</f>
        <v/>
      </c>
    </row>
    <row r="123" customFormat="false" ht="15" hidden="false" customHeight="true" outlineLevel="0" collapsed="false">
      <c r="A123" s="12" t="str">
        <f aca="false">IF($C123="","",TEXT($B123,"yymmdd")&amp;"-"&amp;TEXT(COUNTIFS($B$3:$B123,$B123),"000"))</f>
        <v/>
      </c>
      <c r="B123" s="13"/>
      <c r="C123" s="7"/>
      <c r="D123" s="12" t="str">
        <f aca="false">IF($C123="","",IFERROR(INDEX(고객명부!$B$3:$B$502,MATCH($C123,고객명부!$A$3:$A$502,0)),"미등록고객"))</f>
        <v/>
      </c>
      <c r="E123" s="12" t="str">
        <f aca="false">IF($C123="","",IFERROR(INDEX(고객명부!$C$3:$C$502,MATCH($C123,고객명부!$A$3:$A$502,0)),""))</f>
        <v/>
      </c>
      <c r="F123" s="12" t="str">
        <f aca="false">IF($C123="","",IFERROR(INDEX(고객명부!$D$3:$D$502,MATCH($C123,고객명부!$A$3:$A$502,0)),""))</f>
        <v/>
      </c>
      <c r="G123" s="12" t="str">
        <f aca="false">IF($C123="","",IFERROR(INDEX(고객명부!$E$3:$E$502,MATCH($C123,고객명부!$A$3:$A$502,0))&amp;" "&amp;INDEX(고객명부!$F$3:$F$502,MATCH($C123,고객명부!$A$3:$A$502,0)),""))</f>
        <v/>
      </c>
      <c r="H123" s="7"/>
      <c r="I123" s="12" t="str">
        <f aca="false">IF($H123="","",IFERROR(INDEX(상품목록!$B$3:$B$102,MATCH($H123,상품목록!$A$3:$A$102,0)),""))</f>
        <v/>
      </c>
      <c r="J123" s="14" t="str">
        <f aca="false">IF($H123="","",IFERROR(INDEX(상품목록!$C$3:$C$102,MATCH($H123,상품목록!$A$3:$A$102,0)),0))</f>
        <v/>
      </c>
      <c r="K123" s="7"/>
      <c r="L123" s="14" t="str">
        <f aca="false">IF(OR($J123="",$K123=""),"",ROUND($J123*$K123,0))</f>
        <v/>
      </c>
      <c r="M123" s="9"/>
      <c r="N123" s="14" t="str">
        <f aca="false">IF($L123="","",$L123+IF($M123="",0,$M123))</f>
        <v/>
      </c>
      <c r="O123" s="13"/>
      <c r="P123" s="7"/>
      <c r="Q123" s="12" t="str">
        <f aca="false">IF($C123="","",IF($P123&lt;&gt;"","발송완료",IF($O123&lt;&gt;"","입금완료","입금대기")))</f>
        <v/>
      </c>
      <c r="R123" s="12" t="str">
        <f aca="false">IF($C123="","",COUNTIFS($C$3:$C123,$C123))</f>
        <v/>
      </c>
      <c r="S123" s="12" t="str">
        <f aca="false">IF($C123="","",$C123&amp;"|"&amp;$R123)</f>
        <v/>
      </c>
    </row>
    <row r="124" customFormat="false" ht="15" hidden="false" customHeight="true" outlineLevel="0" collapsed="false">
      <c r="A124" s="12" t="str">
        <f aca="false">IF($C124="","",TEXT($B124,"yymmdd")&amp;"-"&amp;TEXT(COUNTIFS($B$3:$B124,$B124),"000"))</f>
        <v/>
      </c>
      <c r="B124" s="13"/>
      <c r="C124" s="7"/>
      <c r="D124" s="12" t="str">
        <f aca="false">IF($C124="","",IFERROR(INDEX(고객명부!$B$3:$B$502,MATCH($C124,고객명부!$A$3:$A$502,0)),"미등록고객"))</f>
        <v/>
      </c>
      <c r="E124" s="12" t="str">
        <f aca="false">IF($C124="","",IFERROR(INDEX(고객명부!$C$3:$C$502,MATCH($C124,고객명부!$A$3:$A$502,0)),""))</f>
        <v/>
      </c>
      <c r="F124" s="12" t="str">
        <f aca="false">IF($C124="","",IFERROR(INDEX(고객명부!$D$3:$D$502,MATCH($C124,고객명부!$A$3:$A$502,0)),""))</f>
        <v/>
      </c>
      <c r="G124" s="12" t="str">
        <f aca="false">IF($C124="","",IFERROR(INDEX(고객명부!$E$3:$E$502,MATCH($C124,고객명부!$A$3:$A$502,0))&amp;" "&amp;INDEX(고객명부!$F$3:$F$502,MATCH($C124,고객명부!$A$3:$A$502,0)),""))</f>
        <v/>
      </c>
      <c r="H124" s="7"/>
      <c r="I124" s="12" t="str">
        <f aca="false">IF($H124="","",IFERROR(INDEX(상품목록!$B$3:$B$102,MATCH($H124,상품목록!$A$3:$A$102,0)),""))</f>
        <v/>
      </c>
      <c r="J124" s="14" t="str">
        <f aca="false">IF($H124="","",IFERROR(INDEX(상품목록!$C$3:$C$102,MATCH($H124,상품목록!$A$3:$A$102,0)),0))</f>
        <v/>
      </c>
      <c r="K124" s="7"/>
      <c r="L124" s="14" t="str">
        <f aca="false">IF(OR($J124="",$K124=""),"",ROUND($J124*$K124,0))</f>
        <v/>
      </c>
      <c r="M124" s="9"/>
      <c r="N124" s="14" t="str">
        <f aca="false">IF($L124="","",$L124+IF($M124="",0,$M124))</f>
        <v/>
      </c>
      <c r="O124" s="13"/>
      <c r="P124" s="7"/>
      <c r="Q124" s="12" t="str">
        <f aca="false">IF($C124="","",IF($P124&lt;&gt;"","발송완료",IF($O124&lt;&gt;"","입금완료","입금대기")))</f>
        <v/>
      </c>
      <c r="R124" s="12" t="str">
        <f aca="false">IF($C124="","",COUNTIFS($C$3:$C124,$C124))</f>
        <v/>
      </c>
      <c r="S124" s="12" t="str">
        <f aca="false">IF($C124="","",$C124&amp;"|"&amp;$R124)</f>
        <v/>
      </c>
    </row>
    <row r="125" customFormat="false" ht="15" hidden="false" customHeight="true" outlineLevel="0" collapsed="false">
      <c r="A125" s="12" t="str">
        <f aca="false">IF($C125="","",TEXT($B125,"yymmdd")&amp;"-"&amp;TEXT(COUNTIFS($B$3:$B125,$B125),"000"))</f>
        <v/>
      </c>
      <c r="B125" s="13"/>
      <c r="C125" s="7"/>
      <c r="D125" s="12" t="str">
        <f aca="false">IF($C125="","",IFERROR(INDEX(고객명부!$B$3:$B$502,MATCH($C125,고객명부!$A$3:$A$502,0)),"미등록고객"))</f>
        <v/>
      </c>
      <c r="E125" s="12" t="str">
        <f aca="false">IF($C125="","",IFERROR(INDEX(고객명부!$C$3:$C$502,MATCH($C125,고객명부!$A$3:$A$502,0)),""))</f>
        <v/>
      </c>
      <c r="F125" s="12" t="str">
        <f aca="false">IF($C125="","",IFERROR(INDEX(고객명부!$D$3:$D$502,MATCH($C125,고객명부!$A$3:$A$502,0)),""))</f>
        <v/>
      </c>
      <c r="G125" s="12" t="str">
        <f aca="false">IF($C125="","",IFERROR(INDEX(고객명부!$E$3:$E$502,MATCH($C125,고객명부!$A$3:$A$502,0))&amp;" "&amp;INDEX(고객명부!$F$3:$F$502,MATCH($C125,고객명부!$A$3:$A$502,0)),""))</f>
        <v/>
      </c>
      <c r="H125" s="7"/>
      <c r="I125" s="12" t="str">
        <f aca="false">IF($H125="","",IFERROR(INDEX(상품목록!$B$3:$B$102,MATCH($H125,상품목록!$A$3:$A$102,0)),""))</f>
        <v/>
      </c>
      <c r="J125" s="14" t="str">
        <f aca="false">IF($H125="","",IFERROR(INDEX(상품목록!$C$3:$C$102,MATCH($H125,상품목록!$A$3:$A$102,0)),0))</f>
        <v/>
      </c>
      <c r="K125" s="7"/>
      <c r="L125" s="14" t="str">
        <f aca="false">IF(OR($J125="",$K125=""),"",ROUND($J125*$K125,0))</f>
        <v/>
      </c>
      <c r="M125" s="9"/>
      <c r="N125" s="14" t="str">
        <f aca="false">IF($L125="","",$L125+IF($M125="",0,$M125))</f>
        <v/>
      </c>
      <c r="O125" s="13"/>
      <c r="P125" s="7"/>
      <c r="Q125" s="12" t="str">
        <f aca="false">IF($C125="","",IF($P125&lt;&gt;"","발송완료",IF($O125&lt;&gt;"","입금완료","입금대기")))</f>
        <v/>
      </c>
      <c r="R125" s="12" t="str">
        <f aca="false">IF($C125="","",COUNTIFS($C$3:$C125,$C125))</f>
        <v/>
      </c>
      <c r="S125" s="12" t="str">
        <f aca="false">IF($C125="","",$C125&amp;"|"&amp;$R125)</f>
        <v/>
      </c>
    </row>
    <row r="126" customFormat="false" ht="15" hidden="false" customHeight="true" outlineLevel="0" collapsed="false">
      <c r="A126" s="12" t="str">
        <f aca="false">IF($C126="","",TEXT($B126,"yymmdd")&amp;"-"&amp;TEXT(COUNTIFS($B$3:$B126,$B126),"000"))</f>
        <v/>
      </c>
      <c r="B126" s="13"/>
      <c r="C126" s="7"/>
      <c r="D126" s="12" t="str">
        <f aca="false">IF($C126="","",IFERROR(INDEX(고객명부!$B$3:$B$502,MATCH($C126,고객명부!$A$3:$A$502,0)),"미등록고객"))</f>
        <v/>
      </c>
      <c r="E126" s="12" t="str">
        <f aca="false">IF($C126="","",IFERROR(INDEX(고객명부!$C$3:$C$502,MATCH($C126,고객명부!$A$3:$A$502,0)),""))</f>
        <v/>
      </c>
      <c r="F126" s="12" t="str">
        <f aca="false">IF($C126="","",IFERROR(INDEX(고객명부!$D$3:$D$502,MATCH($C126,고객명부!$A$3:$A$502,0)),""))</f>
        <v/>
      </c>
      <c r="G126" s="12" t="str">
        <f aca="false">IF($C126="","",IFERROR(INDEX(고객명부!$E$3:$E$502,MATCH($C126,고객명부!$A$3:$A$502,0))&amp;" "&amp;INDEX(고객명부!$F$3:$F$502,MATCH($C126,고객명부!$A$3:$A$502,0)),""))</f>
        <v/>
      </c>
      <c r="H126" s="7"/>
      <c r="I126" s="12" t="str">
        <f aca="false">IF($H126="","",IFERROR(INDEX(상품목록!$B$3:$B$102,MATCH($H126,상품목록!$A$3:$A$102,0)),""))</f>
        <v/>
      </c>
      <c r="J126" s="14" t="str">
        <f aca="false">IF($H126="","",IFERROR(INDEX(상품목록!$C$3:$C$102,MATCH($H126,상품목록!$A$3:$A$102,0)),0))</f>
        <v/>
      </c>
      <c r="K126" s="7"/>
      <c r="L126" s="14" t="str">
        <f aca="false">IF(OR($J126="",$K126=""),"",ROUND($J126*$K126,0))</f>
        <v/>
      </c>
      <c r="M126" s="9"/>
      <c r="N126" s="14" t="str">
        <f aca="false">IF($L126="","",$L126+IF($M126="",0,$M126))</f>
        <v/>
      </c>
      <c r="O126" s="13"/>
      <c r="P126" s="7"/>
      <c r="Q126" s="12" t="str">
        <f aca="false">IF($C126="","",IF($P126&lt;&gt;"","발송완료",IF($O126&lt;&gt;"","입금완료","입금대기")))</f>
        <v/>
      </c>
      <c r="R126" s="12" t="str">
        <f aca="false">IF($C126="","",COUNTIFS($C$3:$C126,$C126))</f>
        <v/>
      </c>
      <c r="S126" s="12" t="str">
        <f aca="false">IF($C126="","",$C126&amp;"|"&amp;$R126)</f>
        <v/>
      </c>
    </row>
    <row r="127" customFormat="false" ht="15" hidden="false" customHeight="true" outlineLevel="0" collapsed="false">
      <c r="A127" s="12" t="str">
        <f aca="false">IF($C127="","",TEXT($B127,"yymmdd")&amp;"-"&amp;TEXT(COUNTIFS($B$3:$B127,$B127),"000"))</f>
        <v/>
      </c>
      <c r="B127" s="13"/>
      <c r="C127" s="7"/>
      <c r="D127" s="12" t="str">
        <f aca="false">IF($C127="","",IFERROR(INDEX(고객명부!$B$3:$B$502,MATCH($C127,고객명부!$A$3:$A$502,0)),"미등록고객"))</f>
        <v/>
      </c>
      <c r="E127" s="12" t="str">
        <f aca="false">IF($C127="","",IFERROR(INDEX(고객명부!$C$3:$C$502,MATCH($C127,고객명부!$A$3:$A$502,0)),""))</f>
        <v/>
      </c>
      <c r="F127" s="12" t="str">
        <f aca="false">IF($C127="","",IFERROR(INDEX(고객명부!$D$3:$D$502,MATCH($C127,고객명부!$A$3:$A$502,0)),""))</f>
        <v/>
      </c>
      <c r="G127" s="12" t="str">
        <f aca="false">IF($C127="","",IFERROR(INDEX(고객명부!$E$3:$E$502,MATCH($C127,고객명부!$A$3:$A$502,0))&amp;" "&amp;INDEX(고객명부!$F$3:$F$502,MATCH($C127,고객명부!$A$3:$A$502,0)),""))</f>
        <v/>
      </c>
      <c r="H127" s="7"/>
      <c r="I127" s="12" t="str">
        <f aca="false">IF($H127="","",IFERROR(INDEX(상품목록!$B$3:$B$102,MATCH($H127,상품목록!$A$3:$A$102,0)),""))</f>
        <v/>
      </c>
      <c r="J127" s="14" t="str">
        <f aca="false">IF($H127="","",IFERROR(INDEX(상품목록!$C$3:$C$102,MATCH($H127,상품목록!$A$3:$A$102,0)),0))</f>
        <v/>
      </c>
      <c r="K127" s="7"/>
      <c r="L127" s="14" t="str">
        <f aca="false">IF(OR($J127="",$K127=""),"",ROUND($J127*$K127,0))</f>
        <v/>
      </c>
      <c r="M127" s="9"/>
      <c r="N127" s="14" t="str">
        <f aca="false">IF($L127="","",$L127+IF($M127="",0,$M127))</f>
        <v/>
      </c>
      <c r="O127" s="13"/>
      <c r="P127" s="7"/>
      <c r="Q127" s="12" t="str">
        <f aca="false">IF($C127="","",IF($P127&lt;&gt;"","발송완료",IF($O127&lt;&gt;"","입금완료","입금대기")))</f>
        <v/>
      </c>
      <c r="R127" s="12" t="str">
        <f aca="false">IF($C127="","",COUNTIFS($C$3:$C127,$C127))</f>
        <v/>
      </c>
      <c r="S127" s="12" t="str">
        <f aca="false">IF($C127="","",$C127&amp;"|"&amp;$R127)</f>
        <v/>
      </c>
    </row>
    <row r="128" customFormat="false" ht="15" hidden="false" customHeight="true" outlineLevel="0" collapsed="false">
      <c r="A128" s="12" t="str">
        <f aca="false">IF($C128="","",TEXT($B128,"yymmdd")&amp;"-"&amp;TEXT(COUNTIFS($B$3:$B128,$B128),"000"))</f>
        <v/>
      </c>
      <c r="B128" s="13"/>
      <c r="C128" s="7"/>
      <c r="D128" s="12" t="str">
        <f aca="false">IF($C128="","",IFERROR(INDEX(고객명부!$B$3:$B$502,MATCH($C128,고객명부!$A$3:$A$502,0)),"미등록고객"))</f>
        <v/>
      </c>
      <c r="E128" s="12" t="str">
        <f aca="false">IF($C128="","",IFERROR(INDEX(고객명부!$C$3:$C$502,MATCH($C128,고객명부!$A$3:$A$502,0)),""))</f>
        <v/>
      </c>
      <c r="F128" s="12" t="str">
        <f aca="false">IF($C128="","",IFERROR(INDEX(고객명부!$D$3:$D$502,MATCH($C128,고객명부!$A$3:$A$502,0)),""))</f>
        <v/>
      </c>
      <c r="G128" s="12" t="str">
        <f aca="false">IF($C128="","",IFERROR(INDEX(고객명부!$E$3:$E$502,MATCH($C128,고객명부!$A$3:$A$502,0))&amp;" "&amp;INDEX(고객명부!$F$3:$F$502,MATCH($C128,고객명부!$A$3:$A$502,0)),""))</f>
        <v/>
      </c>
      <c r="H128" s="7"/>
      <c r="I128" s="12" t="str">
        <f aca="false">IF($H128="","",IFERROR(INDEX(상품목록!$B$3:$B$102,MATCH($H128,상품목록!$A$3:$A$102,0)),""))</f>
        <v/>
      </c>
      <c r="J128" s="14" t="str">
        <f aca="false">IF($H128="","",IFERROR(INDEX(상품목록!$C$3:$C$102,MATCH($H128,상품목록!$A$3:$A$102,0)),0))</f>
        <v/>
      </c>
      <c r="K128" s="7"/>
      <c r="L128" s="14" t="str">
        <f aca="false">IF(OR($J128="",$K128=""),"",ROUND($J128*$K128,0))</f>
        <v/>
      </c>
      <c r="M128" s="9"/>
      <c r="N128" s="14" t="str">
        <f aca="false">IF($L128="","",$L128+IF($M128="",0,$M128))</f>
        <v/>
      </c>
      <c r="O128" s="13"/>
      <c r="P128" s="7"/>
      <c r="Q128" s="12" t="str">
        <f aca="false">IF($C128="","",IF($P128&lt;&gt;"","발송완료",IF($O128&lt;&gt;"","입금완료","입금대기")))</f>
        <v/>
      </c>
      <c r="R128" s="12" t="str">
        <f aca="false">IF($C128="","",COUNTIFS($C$3:$C128,$C128))</f>
        <v/>
      </c>
      <c r="S128" s="12" t="str">
        <f aca="false">IF($C128="","",$C128&amp;"|"&amp;$R128)</f>
        <v/>
      </c>
    </row>
    <row r="129" customFormat="false" ht="15" hidden="false" customHeight="true" outlineLevel="0" collapsed="false">
      <c r="A129" s="12" t="str">
        <f aca="false">IF($C129="","",TEXT($B129,"yymmdd")&amp;"-"&amp;TEXT(COUNTIFS($B$3:$B129,$B129),"000"))</f>
        <v/>
      </c>
      <c r="B129" s="13"/>
      <c r="C129" s="7"/>
      <c r="D129" s="12" t="str">
        <f aca="false">IF($C129="","",IFERROR(INDEX(고객명부!$B$3:$B$502,MATCH($C129,고객명부!$A$3:$A$502,0)),"미등록고객"))</f>
        <v/>
      </c>
      <c r="E129" s="12" t="str">
        <f aca="false">IF($C129="","",IFERROR(INDEX(고객명부!$C$3:$C$502,MATCH($C129,고객명부!$A$3:$A$502,0)),""))</f>
        <v/>
      </c>
      <c r="F129" s="12" t="str">
        <f aca="false">IF($C129="","",IFERROR(INDEX(고객명부!$D$3:$D$502,MATCH($C129,고객명부!$A$3:$A$502,0)),""))</f>
        <v/>
      </c>
      <c r="G129" s="12" t="str">
        <f aca="false">IF($C129="","",IFERROR(INDEX(고객명부!$E$3:$E$502,MATCH($C129,고객명부!$A$3:$A$502,0))&amp;" "&amp;INDEX(고객명부!$F$3:$F$502,MATCH($C129,고객명부!$A$3:$A$502,0)),""))</f>
        <v/>
      </c>
      <c r="H129" s="7"/>
      <c r="I129" s="12" t="str">
        <f aca="false">IF($H129="","",IFERROR(INDEX(상품목록!$B$3:$B$102,MATCH($H129,상품목록!$A$3:$A$102,0)),""))</f>
        <v/>
      </c>
      <c r="J129" s="14" t="str">
        <f aca="false">IF($H129="","",IFERROR(INDEX(상품목록!$C$3:$C$102,MATCH($H129,상품목록!$A$3:$A$102,0)),0))</f>
        <v/>
      </c>
      <c r="K129" s="7"/>
      <c r="L129" s="14" t="str">
        <f aca="false">IF(OR($J129="",$K129=""),"",ROUND($J129*$K129,0))</f>
        <v/>
      </c>
      <c r="M129" s="9"/>
      <c r="N129" s="14" t="str">
        <f aca="false">IF($L129="","",$L129+IF($M129="",0,$M129))</f>
        <v/>
      </c>
      <c r="O129" s="13"/>
      <c r="P129" s="7"/>
      <c r="Q129" s="12" t="str">
        <f aca="false">IF($C129="","",IF($P129&lt;&gt;"","발송완료",IF($O129&lt;&gt;"","입금완료","입금대기")))</f>
        <v/>
      </c>
      <c r="R129" s="12" t="str">
        <f aca="false">IF($C129="","",COUNTIFS($C$3:$C129,$C129))</f>
        <v/>
      </c>
      <c r="S129" s="12" t="str">
        <f aca="false">IF($C129="","",$C129&amp;"|"&amp;$R129)</f>
        <v/>
      </c>
    </row>
    <row r="130" customFormat="false" ht="15" hidden="false" customHeight="true" outlineLevel="0" collapsed="false">
      <c r="A130" s="12" t="str">
        <f aca="false">IF($C130="","",TEXT($B130,"yymmdd")&amp;"-"&amp;TEXT(COUNTIFS($B$3:$B130,$B130),"000"))</f>
        <v/>
      </c>
      <c r="B130" s="13"/>
      <c r="C130" s="7"/>
      <c r="D130" s="12" t="str">
        <f aca="false">IF($C130="","",IFERROR(INDEX(고객명부!$B$3:$B$502,MATCH($C130,고객명부!$A$3:$A$502,0)),"미등록고객"))</f>
        <v/>
      </c>
      <c r="E130" s="12" t="str">
        <f aca="false">IF($C130="","",IFERROR(INDEX(고객명부!$C$3:$C$502,MATCH($C130,고객명부!$A$3:$A$502,0)),""))</f>
        <v/>
      </c>
      <c r="F130" s="12" t="str">
        <f aca="false">IF($C130="","",IFERROR(INDEX(고객명부!$D$3:$D$502,MATCH($C130,고객명부!$A$3:$A$502,0)),""))</f>
        <v/>
      </c>
      <c r="G130" s="12" t="str">
        <f aca="false">IF($C130="","",IFERROR(INDEX(고객명부!$E$3:$E$502,MATCH($C130,고객명부!$A$3:$A$502,0))&amp;" "&amp;INDEX(고객명부!$F$3:$F$502,MATCH($C130,고객명부!$A$3:$A$502,0)),""))</f>
        <v/>
      </c>
      <c r="H130" s="7"/>
      <c r="I130" s="12" t="str">
        <f aca="false">IF($H130="","",IFERROR(INDEX(상품목록!$B$3:$B$102,MATCH($H130,상품목록!$A$3:$A$102,0)),""))</f>
        <v/>
      </c>
      <c r="J130" s="14" t="str">
        <f aca="false">IF($H130="","",IFERROR(INDEX(상품목록!$C$3:$C$102,MATCH($H130,상품목록!$A$3:$A$102,0)),0))</f>
        <v/>
      </c>
      <c r="K130" s="7"/>
      <c r="L130" s="14" t="str">
        <f aca="false">IF(OR($J130="",$K130=""),"",ROUND($J130*$K130,0))</f>
        <v/>
      </c>
      <c r="M130" s="9"/>
      <c r="N130" s="14" t="str">
        <f aca="false">IF($L130="","",$L130+IF($M130="",0,$M130))</f>
        <v/>
      </c>
      <c r="O130" s="13"/>
      <c r="P130" s="7"/>
      <c r="Q130" s="12" t="str">
        <f aca="false">IF($C130="","",IF($P130&lt;&gt;"","발송완료",IF($O130&lt;&gt;"","입금완료","입금대기")))</f>
        <v/>
      </c>
      <c r="R130" s="12" t="str">
        <f aca="false">IF($C130="","",COUNTIFS($C$3:$C130,$C130))</f>
        <v/>
      </c>
      <c r="S130" s="12" t="str">
        <f aca="false">IF($C130="","",$C130&amp;"|"&amp;$R130)</f>
        <v/>
      </c>
    </row>
    <row r="131" customFormat="false" ht="15" hidden="false" customHeight="true" outlineLevel="0" collapsed="false">
      <c r="A131" s="12" t="str">
        <f aca="false">IF($C131="","",TEXT($B131,"yymmdd")&amp;"-"&amp;TEXT(COUNTIFS($B$3:$B131,$B131),"000"))</f>
        <v/>
      </c>
      <c r="B131" s="13"/>
      <c r="C131" s="7"/>
      <c r="D131" s="12" t="str">
        <f aca="false">IF($C131="","",IFERROR(INDEX(고객명부!$B$3:$B$502,MATCH($C131,고객명부!$A$3:$A$502,0)),"미등록고객"))</f>
        <v/>
      </c>
      <c r="E131" s="12" t="str">
        <f aca="false">IF($C131="","",IFERROR(INDEX(고객명부!$C$3:$C$502,MATCH($C131,고객명부!$A$3:$A$502,0)),""))</f>
        <v/>
      </c>
      <c r="F131" s="12" t="str">
        <f aca="false">IF($C131="","",IFERROR(INDEX(고객명부!$D$3:$D$502,MATCH($C131,고객명부!$A$3:$A$502,0)),""))</f>
        <v/>
      </c>
      <c r="G131" s="12" t="str">
        <f aca="false">IF($C131="","",IFERROR(INDEX(고객명부!$E$3:$E$502,MATCH($C131,고객명부!$A$3:$A$502,0))&amp;" "&amp;INDEX(고객명부!$F$3:$F$502,MATCH($C131,고객명부!$A$3:$A$502,0)),""))</f>
        <v/>
      </c>
      <c r="H131" s="7"/>
      <c r="I131" s="12" t="str">
        <f aca="false">IF($H131="","",IFERROR(INDEX(상품목록!$B$3:$B$102,MATCH($H131,상품목록!$A$3:$A$102,0)),""))</f>
        <v/>
      </c>
      <c r="J131" s="14" t="str">
        <f aca="false">IF($H131="","",IFERROR(INDEX(상품목록!$C$3:$C$102,MATCH($H131,상품목록!$A$3:$A$102,0)),0))</f>
        <v/>
      </c>
      <c r="K131" s="7"/>
      <c r="L131" s="14" t="str">
        <f aca="false">IF(OR($J131="",$K131=""),"",ROUND($J131*$K131,0))</f>
        <v/>
      </c>
      <c r="M131" s="9"/>
      <c r="N131" s="14" t="str">
        <f aca="false">IF($L131="","",$L131+IF($M131="",0,$M131))</f>
        <v/>
      </c>
      <c r="O131" s="13"/>
      <c r="P131" s="7"/>
      <c r="Q131" s="12" t="str">
        <f aca="false">IF($C131="","",IF($P131&lt;&gt;"","발송완료",IF($O131&lt;&gt;"","입금완료","입금대기")))</f>
        <v/>
      </c>
      <c r="R131" s="12" t="str">
        <f aca="false">IF($C131="","",COUNTIFS($C$3:$C131,$C131))</f>
        <v/>
      </c>
      <c r="S131" s="12" t="str">
        <f aca="false">IF($C131="","",$C131&amp;"|"&amp;$R131)</f>
        <v/>
      </c>
    </row>
    <row r="132" customFormat="false" ht="15" hidden="false" customHeight="true" outlineLevel="0" collapsed="false">
      <c r="A132" s="12" t="str">
        <f aca="false">IF($C132="","",TEXT($B132,"yymmdd")&amp;"-"&amp;TEXT(COUNTIFS($B$3:$B132,$B132),"000"))</f>
        <v/>
      </c>
      <c r="B132" s="13"/>
      <c r="C132" s="7"/>
      <c r="D132" s="12" t="str">
        <f aca="false">IF($C132="","",IFERROR(INDEX(고객명부!$B$3:$B$502,MATCH($C132,고객명부!$A$3:$A$502,0)),"미등록고객"))</f>
        <v/>
      </c>
      <c r="E132" s="12" t="str">
        <f aca="false">IF($C132="","",IFERROR(INDEX(고객명부!$C$3:$C$502,MATCH($C132,고객명부!$A$3:$A$502,0)),""))</f>
        <v/>
      </c>
      <c r="F132" s="12" t="str">
        <f aca="false">IF($C132="","",IFERROR(INDEX(고객명부!$D$3:$D$502,MATCH($C132,고객명부!$A$3:$A$502,0)),""))</f>
        <v/>
      </c>
      <c r="G132" s="12" t="str">
        <f aca="false">IF($C132="","",IFERROR(INDEX(고객명부!$E$3:$E$502,MATCH($C132,고객명부!$A$3:$A$502,0))&amp;" "&amp;INDEX(고객명부!$F$3:$F$502,MATCH($C132,고객명부!$A$3:$A$502,0)),""))</f>
        <v/>
      </c>
      <c r="H132" s="7"/>
      <c r="I132" s="12" t="str">
        <f aca="false">IF($H132="","",IFERROR(INDEX(상품목록!$B$3:$B$102,MATCH($H132,상품목록!$A$3:$A$102,0)),""))</f>
        <v/>
      </c>
      <c r="J132" s="14" t="str">
        <f aca="false">IF($H132="","",IFERROR(INDEX(상품목록!$C$3:$C$102,MATCH($H132,상품목록!$A$3:$A$102,0)),0))</f>
        <v/>
      </c>
      <c r="K132" s="7"/>
      <c r="L132" s="14" t="str">
        <f aca="false">IF(OR($J132="",$K132=""),"",ROUND($J132*$K132,0))</f>
        <v/>
      </c>
      <c r="M132" s="9"/>
      <c r="N132" s="14" t="str">
        <f aca="false">IF($L132="","",$L132+IF($M132="",0,$M132))</f>
        <v/>
      </c>
      <c r="O132" s="13"/>
      <c r="P132" s="7"/>
      <c r="Q132" s="12" t="str">
        <f aca="false">IF($C132="","",IF($P132&lt;&gt;"","발송완료",IF($O132&lt;&gt;"","입금완료","입금대기")))</f>
        <v/>
      </c>
      <c r="R132" s="12" t="str">
        <f aca="false">IF($C132="","",COUNTIFS($C$3:$C132,$C132))</f>
        <v/>
      </c>
      <c r="S132" s="12" t="str">
        <f aca="false">IF($C132="","",$C132&amp;"|"&amp;$R132)</f>
        <v/>
      </c>
    </row>
    <row r="133" customFormat="false" ht="15" hidden="false" customHeight="true" outlineLevel="0" collapsed="false">
      <c r="A133" s="12" t="str">
        <f aca="false">IF($C133="","",TEXT($B133,"yymmdd")&amp;"-"&amp;TEXT(COUNTIFS($B$3:$B133,$B133),"000"))</f>
        <v/>
      </c>
      <c r="B133" s="13"/>
      <c r="C133" s="7"/>
      <c r="D133" s="12" t="str">
        <f aca="false">IF($C133="","",IFERROR(INDEX(고객명부!$B$3:$B$502,MATCH($C133,고객명부!$A$3:$A$502,0)),"미등록고객"))</f>
        <v/>
      </c>
      <c r="E133" s="12" t="str">
        <f aca="false">IF($C133="","",IFERROR(INDEX(고객명부!$C$3:$C$502,MATCH($C133,고객명부!$A$3:$A$502,0)),""))</f>
        <v/>
      </c>
      <c r="F133" s="12" t="str">
        <f aca="false">IF($C133="","",IFERROR(INDEX(고객명부!$D$3:$D$502,MATCH($C133,고객명부!$A$3:$A$502,0)),""))</f>
        <v/>
      </c>
      <c r="G133" s="12" t="str">
        <f aca="false">IF($C133="","",IFERROR(INDEX(고객명부!$E$3:$E$502,MATCH($C133,고객명부!$A$3:$A$502,0))&amp;" "&amp;INDEX(고객명부!$F$3:$F$502,MATCH($C133,고객명부!$A$3:$A$502,0)),""))</f>
        <v/>
      </c>
      <c r="H133" s="7"/>
      <c r="I133" s="12" t="str">
        <f aca="false">IF($H133="","",IFERROR(INDEX(상품목록!$B$3:$B$102,MATCH($H133,상품목록!$A$3:$A$102,0)),""))</f>
        <v/>
      </c>
      <c r="J133" s="14" t="str">
        <f aca="false">IF($H133="","",IFERROR(INDEX(상품목록!$C$3:$C$102,MATCH($H133,상품목록!$A$3:$A$102,0)),0))</f>
        <v/>
      </c>
      <c r="K133" s="7"/>
      <c r="L133" s="14" t="str">
        <f aca="false">IF(OR($J133="",$K133=""),"",ROUND($J133*$K133,0))</f>
        <v/>
      </c>
      <c r="M133" s="9"/>
      <c r="N133" s="14" t="str">
        <f aca="false">IF($L133="","",$L133+IF($M133="",0,$M133))</f>
        <v/>
      </c>
      <c r="O133" s="13"/>
      <c r="P133" s="7"/>
      <c r="Q133" s="12" t="str">
        <f aca="false">IF($C133="","",IF($P133&lt;&gt;"","발송완료",IF($O133&lt;&gt;"","입금완료","입금대기")))</f>
        <v/>
      </c>
      <c r="R133" s="12" t="str">
        <f aca="false">IF($C133="","",COUNTIFS($C$3:$C133,$C133))</f>
        <v/>
      </c>
      <c r="S133" s="12" t="str">
        <f aca="false">IF($C133="","",$C133&amp;"|"&amp;$R133)</f>
        <v/>
      </c>
    </row>
    <row r="134" customFormat="false" ht="15" hidden="false" customHeight="true" outlineLevel="0" collapsed="false">
      <c r="A134" s="12" t="str">
        <f aca="false">IF($C134="","",TEXT($B134,"yymmdd")&amp;"-"&amp;TEXT(COUNTIFS($B$3:$B134,$B134),"000"))</f>
        <v/>
      </c>
      <c r="B134" s="13"/>
      <c r="C134" s="7"/>
      <c r="D134" s="12" t="str">
        <f aca="false">IF($C134="","",IFERROR(INDEX(고객명부!$B$3:$B$502,MATCH($C134,고객명부!$A$3:$A$502,0)),"미등록고객"))</f>
        <v/>
      </c>
      <c r="E134" s="12" t="str">
        <f aca="false">IF($C134="","",IFERROR(INDEX(고객명부!$C$3:$C$502,MATCH($C134,고객명부!$A$3:$A$502,0)),""))</f>
        <v/>
      </c>
      <c r="F134" s="12" t="str">
        <f aca="false">IF($C134="","",IFERROR(INDEX(고객명부!$D$3:$D$502,MATCH($C134,고객명부!$A$3:$A$502,0)),""))</f>
        <v/>
      </c>
      <c r="G134" s="12" t="str">
        <f aca="false">IF($C134="","",IFERROR(INDEX(고객명부!$E$3:$E$502,MATCH($C134,고객명부!$A$3:$A$502,0))&amp;" "&amp;INDEX(고객명부!$F$3:$F$502,MATCH($C134,고객명부!$A$3:$A$502,0)),""))</f>
        <v/>
      </c>
      <c r="H134" s="7"/>
      <c r="I134" s="12" t="str">
        <f aca="false">IF($H134="","",IFERROR(INDEX(상품목록!$B$3:$B$102,MATCH($H134,상품목록!$A$3:$A$102,0)),""))</f>
        <v/>
      </c>
      <c r="J134" s="14" t="str">
        <f aca="false">IF($H134="","",IFERROR(INDEX(상품목록!$C$3:$C$102,MATCH($H134,상품목록!$A$3:$A$102,0)),0))</f>
        <v/>
      </c>
      <c r="K134" s="7"/>
      <c r="L134" s="14" t="str">
        <f aca="false">IF(OR($J134="",$K134=""),"",ROUND($J134*$K134,0))</f>
        <v/>
      </c>
      <c r="M134" s="9"/>
      <c r="N134" s="14" t="str">
        <f aca="false">IF($L134="","",$L134+IF($M134="",0,$M134))</f>
        <v/>
      </c>
      <c r="O134" s="13"/>
      <c r="P134" s="7"/>
      <c r="Q134" s="12" t="str">
        <f aca="false">IF($C134="","",IF($P134&lt;&gt;"","발송완료",IF($O134&lt;&gt;"","입금완료","입금대기")))</f>
        <v/>
      </c>
      <c r="R134" s="12" t="str">
        <f aca="false">IF($C134="","",COUNTIFS($C$3:$C134,$C134))</f>
        <v/>
      </c>
      <c r="S134" s="12" t="str">
        <f aca="false">IF($C134="","",$C134&amp;"|"&amp;$R134)</f>
        <v/>
      </c>
    </row>
    <row r="135" customFormat="false" ht="15" hidden="false" customHeight="true" outlineLevel="0" collapsed="false">
      <c r="A135" s="12" t="str">
        <f aca="false">IF($C135="","",TEXT($B135,"yymmdd")&amp;"-"&amp;TEXT(COUNTIFS($B$3:$B135,$B135),"000"))</f>
        <v/>
      </c>
      <c r="B135" s="13"/>
      <c r="C135" s="7"/>
      <c r="D135" s="12" t="str">
        <f aca="false">IF($C135="","",IFERROR(INDEX(고객명부!$B$3:$B$502,MATCH($C135,고객명부!$A$3:$A$502,0)),"미등록고객"))</f>
        <v/>
      </c>
      <c r="E135" s="12" t="str">
        <f aca="false">IF($C135="","",IFERROR(INDEX(고객명부!$C$3:$C$502,MATCH($C135,고객명부!$A$3:$A$502,0)),""))</f>
        <v/>
      </c>
      <c r="F135" s="12" t="str">
        <f aca="false">IF($C135="","",IFERROR(INDEX(고객명부!$D$3:$D$502,MATCH($C135,고객명부!$A$3:$A$502,0)),""))</f>
        <v/>
      </c>
      <c r="G135" s="12" t="str">
        <f aca="false">IF($C135="","",IFERROR(INDEX(고객명부!$E$3:$E$502,MATCH($C135,고객명부!$A$3:$A$502,0))&amp;" "&amp;INDEX(고객명부!$F$3:$F$502,MATCH($C135,고객명부!$A$3:$A$502,0)),""))</f>
        <v/>
      </c>
      <c r="H135" s="7"/>
      <c r="I135" s="12" t="str">
        <f aca="false">IF($H135="","",IFERROR(INDEX(상품목록!$B$3:$B$102,MATCH($H135,상품목록!$A$3:$A$102,0)),""))</f>
        <v/>
      </c>
      <c r="J135" s="14" t="str">
        <f aca="false">IF($H135="","",IFERROR(INDEX(상품목록!$C$3:$C$102,MATCH($H135,상품목록!$A$3:$A$102,0)),0))</f>
        <v/>
      </c>
      <c r="K135" s="7"/>
      <c r="L135" s="14" t="str">
        <f aca="false">IF(OR($J135="",$K135=""),"",ROUND($J135*$K135,0))</f>
        <v/>
      </c>
      <c r="M135" s="9"/>
      <c r="N135" s="14" t="str">
        <f aca="false">IF($L135="","",$L135+IF($M135="",0,$M135))</f>
        <v/>
      </c>
      <c r="O135" s="13"/>
      <c r="P135" s="7"/>
      <c r="Q135" s="12" t="str">
        <f aca="false">IF($C135="","",IF($P135&lt;&gt;"","발송완료",IF($O135&lt;&gt;"","입금완료","입금대기")))</f>
        <v/>
      </c>
      <c r="R135" s="12" t="str">
        <f aca="false">IF($C135="","",COUNTIFS($C$3:$C135,$C135))</f>
        <v/>
      </c>
      <c r="S135" s="12" t="str">
        <f aca="false">IF($C135="","",$C135&amp;"|"&amp;$R135)</f>
        <v/>
      </c>
    </row>
    <row r="136" customFormat="false" ht="15" hidden="false" customHeight="true" outlineLevel="0" collapsed="false">
      <c r="A136" s="12" t="str">
        <f aca="false">IF($C136="","",TEXT($B136,"yymmdd")&amp;"-"&amp;TEXT(COUNTIFS($B$3:$B136,$B136),"000"))</f>
        <v/>
      </c>
      <c r="B136" s="13"/>
      <c r="C136" s="7"/>
      <c r="D136" s="12" t="str">
        <f aca="false">IF($C136="","",IFERROR(INDEX(고객명부!$B$3:$B$502,MATCH($C136,고객명부!$A$3:$A$502,0)),"미등록고객"))</f>
        <v/>
      </c>
      <c r="E136" s="12" t="str">
        <f aca="false">IF($C136="","",IFERROR(INDEX(고객명부!$C$3:$C$502,MATCH($C136,고객명부!$A$3:$A$502,0)),""))</f>
        <v/>
      </c>
      <c r="F136" s="12" t="str">
        <f aca="false">IF($C136="","",IFERROR(INDEX(고객명부!$D$3:$D$502,MATCH($C136,고객명부!$A$3:$A$502,0)),""))</f>
        <v/>
      </c>
      <c r="G136" s="12" t="str">
        <f aca="false">IF($C136="","",IFERROR(INDEX(고객명부!$E$3:$E$502,MATCH($C136,고객명부!$A$3:$A$502,0))&amp;" "&amp;INDEX(고객명부!$F$3:$F$502,MATCH($C136,고객명부!$A$3:$A$502,0)),""))</f>
        <v/>
      </c>
      <c r="H136" s="7"/>
      <c r="I136" s="12" t="str">
        <f aca="false">IF($H136="","",IFERROR(INDEX(상품목록!$B$3:$B$102,MATCH($H136,상품목록!$A$3:$A$102,0)),""))</f>
        <v/>
      </c>
      <c r="J136" s="14" t="str">
        <f aca="false">IF($H136="","",IFERROR(INDEX(상품목록!$C$3:$C$102,MATCH($H136,상품목록!$A$3:$A$102,0)),0))</f>
        <v/>
      </c>
      <c r="K136" s="7"/>
      <c r="L136" s="14" t="str">
        <f aca="false">IF(OR($J136="",$K136=""),"",ROUND($J136*$K136,0))</f>
        <v/>
      </c>
      <c r="M136" s="9"/>
      <c r="N136" s="14" t="str">
        <f aca="false">IF($L136="","",$L136+IF($M136="",0,$M136))</f>
        <v/>
      </c>
      <c r="O136" s="13"/>
      <c r="P136" s="7"/>
      <c r="Q136" s="12" t="str">
        <f aca="false">IF($C136="","",IF($P136&lt;&gt;"","발송완료",IF($O136&lt;&gt;"","입금완료","입금대기")))</f>
        <v/>
      </c>
      <c r="R136" s="12" t="str">
        <f aca="false">IF($C136="","",COUNTIFS($C$3:$C136,$C136))</f>
        <v/>
      </c>
      <c r="S136" s="12" t="str">
        <f aca="false">IF($C136="","",$C136&amp;"|"&amp;$R136)</f>
        <v/>
      </c>
    </row>
    <row r="137" customFormat="false" ht="15" hidden="false" customHeight="true" outlineLevel="0" collapsed="false">
      <c r="A137" s="12" t="str">
        <f aca="false">IF($C137="","",TEXT($B137,"yymmdd")&amp;"-"&amp;TEXT(COUNTIFS($B$3:$B137,$B137),"000"))</f>
        <v/>
      </c>
      <c r="B137" s="13"/>
      <c r="C137" s="7"/>
      <c r="D137" s="12" t="str">
        <f aca="false">IF($C137="","",IFERROR(INDEX(고객명부!$B$3:$B$502,MATCH($C137,고객명부!$A$3:$A$502,0)),"미등록고객"))</f>
        <v/>
      </c>
      <c r="E137" s="12" t="str">
        <f aca="false">IF($C137="","",IFERROR(INDEX(고객명부!$C$3:$C$502,MATCH($C137,고객명부!$A$3:$A$502,0)),""))</f>
        <v/>
      </c>
      <c r="F137" s="12" t="str">
        <f aca="false">IF($C137="","",IFERROR(INDEX(고객명부!$D$3:$D$502,MATCH($C137,고객명부!$A$3:$A$502,0)),""))</f>
        <v/>
      </c>
      <c r="G137" s="12" t="str">
        <f aca="false">IF($C137="","",IFERROR(INDEX(고객명부!$E$3:$E$502,MATCH($C137,고객명부!$A$3:$A$502,0))&amp;" "&amp;INDEX(고객명부!$F$3:$F$502,MATCH($C137,고객명부!$A$3:$A$502,0)),""))</f>
        <v/>
      </c>
      <c r="H137" s="7"/>
      <c r="I137" s="12" t="str">
        <f aca="false">IF($H137="","",IFERROR(INDEX(상품목록!$B$3:$B$102,MATCH($H137,상품목록!$A$3:$A$102,0)),""))</f>
        <v/>
      </c>
      <c r="J137" s="14" t="str">
        <f aca="false">IF($H137="","",IFERROR(INDEX(상품목록!$C$3:$C$102,MATCH($H137,상품목록!$A$3:$A$102,0)),0))</f>
        <v/>
      </c>
      <c r="K137" s="7"/>
      <c r="L137" s="14" t="str">
        <f aca="false">IF(OR($J137="",$K137=""),"",ROUND($J137*$K137,0))</f>
        <v/>
      </c>
      <c r="M137" s="9"/>
      <c r="N137" s="14" t="str">
        <f aca="false">IF($L137="","",$L137+IF($M137="",0,$M137))</f>
        <v/>
      </c>
      <c r="O137" s="13"/>
      <c r="P137" s="7"/>
      <c r="Q137" s="12" t="str">
        <f aca="false">IF($C137="","",IF($P137&lt;&gt;"","발송완료",IF($O137&lt;&gt;"","입금완료","입금대기")))</f>
        <v/>
      </c>
      <c r="R137" s="12" t="str">
        <f aca="false">IF($C137="","",COUNTIFS($C$3:$C137,$C137))</f>
        <v/>
      </c>
      <c r="S137" s="12" t="str">
        <f aca="false">IF($C137="","",$C137&amp;"|"&amp;$R137)</f>
        <v/>
      </c>
    </row>
    <row r="138" customFormat="false" ht="15" hidden="false" customHeight="true" outlineLevel="0" collapsed="false">
      <c r="A138" s="12" t="str">
        <f aca="false">IF($C138="","",TEXT($B138,"yymmdd")&amp;"-"&amp;TEXT(COUNTIFS($B$3:$B138,$B138),"000"))</f>
        <v/>
      </c>
      <c r="B138" s="13"/>
      <c r="C138" s="7"/>
      <c r="D138" s="12" t="str">
        <f aca="false">IF($C138="","",IFERROR(INDEX(고객명부!$B$3:$B$502,MATCH($C138,고객명부!$A$3:$A$502,0)),"미등록고객"))</f>
        <v/>
      </c>
      <c r="E138" s="12" t="str">
        <f aca="false">IF($C138="","",IFERROR(INDEX(고객명부!$C$3:$C$502,MATCH($C138,고객명부!$A$3:$A$502,0)),""))</f>
        <v/>
      </c>
      <c r="F138" s="12" t="str">
        <f aca="false">IF($C138="","",IFERROR(INDEX(고객명부!$D$3:$D$502,MATCH($C138,고객명부!$A$3:$A$502,0)),""))</f>
        <v/>
      </c>
      <c r="G138" s="12" t="str">
        <f aca="false">IF($C138="","",IFERROR(INDEX(고객명부!$E$3:$E$502,MATCH($C138,고객명부!$A$3:$A$502,0))&amp;" "&amp;INDEX(고객명부!$F$3:$F$502,MATCH($C138,고객명부!$A$3:$A$502,0)),""))</f>
        <v/>
      </c>
      <c r="H138" s="7"/>
      <c r="I138" s="12" t="str">
        <f aca="false">IF($H138="","",IFERROR(INDEX(상품목록!$B$3:$B$102,MATCH($H138,상품목록!$A$3:$A$102,0)),""))</f>
        <v/>
      </c>
      <c r="J138" s="14" t="str">
        <f aca="false">IF($H138="","",IFERROR(INDEX(상품목록!$C$3:$C$102,MATCH($H138,상품목록!$A$3:$A$102,0)),0))</f>
        <v/>
      </c>
      <c r="K138" s="7"/>
      <c r="L138" s="14" t="str">
        <f aca="false">IF(OR($J138="",$K138=""),"",ROUND($J138*$K138,0))</f>
        <v/>
      </c>
      <c r="M138" s="9"/>
      <c r="N138" s="14" t="str">
        <f aca="false">IF($L138="","",$L138+IF($M138="",0,$M138))</f>
        <v/>
      </c>
      <c r="O138" s="13"/>
      <c r="P138" s="7"/>
      <c r="Q138" s="12" t="str">
        <f aca="false">IF($C138="","",IF($P138&lt;&gt;"","발송완료",IF($O138&lt;&gt;"","입금완료","입금대기")))</f>
        <v/>
      </c>
      <c r="R138" s="12" t="str">
        <f aca="false">IF($C138="","",COUNTIFS($C$3:$C138,$C138))</f>
        <v/>
      </c>
      <c r="S138" s="12" t="str">
        <f aca="false">IF($C138="","",$C138&amp;"|"&amp;$R138)</f>
        <v/>
      </c>
    </row>
    <row r="139" customFormat="false" ht="15" hidden="false" customHeight="true" outlineLevel="0" collapsed="false">
      <c r="A139" s="12" t="str">
        <f aca="false">IF($C139="","",TEXT($B139,"yymmdd")&amp;"-"&amp;TEXT(COUNTIFS($B$3:$B139,$B139),"000"))</f>
        <v/>
      </c>
      <c r="B139" s="13"/>
      <c r="C139" s="7"/>
      <c r="D139" s="12" t="str">
        <f aca="false">IF($C139="","",IFERROR(INDEX(고객명부!$B$3:$B$502,MATCH($C139,고객명부!$A$3:$A$502,0)),"미등록고객"))</f>
        <v/>
      </c>
      <c r="E139" s="12" t="str">
        <f aca="false">IF($C139="","",IFERROR(INDEX(고객명부!$C$3:$C$502,MATCH($C139,고객명부!$A$3:$A$502,0)),""))</f>
        <v/>
      </c>
      <c r="F139" s="12" t="str">
        <f aca="false">IF($C139="","",IFERROR(INDEX(고객명부!$D$3:$D$502,MATCH($C139,고객명부!$A$3:$A$502,0)),""))</f>
        <v/>
      </c>
      <c r="G139" s="12" t="str">
        <f aca="false">IF($C139="","",IFERROR(INDEX(고객명부!$E$3:$E$502,MATCH($C139,고객명부!$A$3:$A$502,0))&amp;" "&amp;INDEX(고객명부!$F$3:$F$502,MATCH($C139,고객명부!$A$3:$A$502,0)),""))</f>
        <v/>
      </c>
      <c r="H139" s="7"/>
      <c r="I139" s="12" t="str">
        <f aca="false">IF($H139="","",IFERROR(INDEX(상품목록!$B$3:$B$102,MATCH($H139,상품목록!$A$3:$A$102,0)),""))</f>
        <v/>
      </c>
      <c r="J139" s="14" t="str">
        <f aca="false">IF($H139="","",IFERROR(INDEX(상품목록!$C$3:$C$102,MATCH($H139,상품목록!$A$3:$A$102,0)),0))</f>
        <v/>
      </c>
      <c r="K139" s="7"/>
      <c r="L139" s="14" t="str">
        <f aca="false">IF(OR($J139="",$K139=""),"",ROUND($J139*$K139,0))</f>
        <v/>
      </c>
      <c r="M139" s="9"/>
      <c r="N139" s="14" t="str">
        <f aca="false">IF($L139="","",$L139+IF($M139="",0,$M139))</f>
        <v/>
      </c>
      <c r="O139" s="13"/>
      <c r="P139" s="7"/>
      <c r="Q139" s="12" t="str">
        <f aca="false">IF($C139="","",IF($P139&lt;&gt;"","발송완료",IF($O139&lt;&gt;"","입금완료","입금대기")))</f>
        <v/>
      </c>
      <c r="R139" s="12" t="str">
        <f aca="false">IF($C139="","",COUNTIFS($C$3:$C139,$C139))</f>
        <v/>
      </c>
      <c r="S139" s="12" t="str">
        <f aca="false">IF($C139="","",$C139&amp;"|"&amp;$R139)</f>
        <v/>
      </c>
    </row>
    <row r="140" customFormat="false" ht="15" hidden="false" customHeight="true" outlineLevel="0" collapsed="false">
      <c r="A140" s="12" t="str">
        <f aca="false">IF($C140="","",TEXT($B140,"yymmdd")&amp;"-"&amp;TEXT(COUNTIFS($B$3:$B140,$B140),"000"))</f>
        <v/>
      </c>
      <c r="B140" s="13"/>
      <c r="C140" s="7"/>
      <c r="D140" s="12" t="str">
        <f aca="false">IF($C140="","",IFERROR(INDEX(고객명부!$B$3:$B$502,MATCH($C140,고객명부!$A$3:$A$502,0)),"미등록고객"))</f>
        <v/>
      </c>
      <c r="E140" s="12" t="str">
        <f aca="false">IF($C140="","",IFERROR(INDEX(고객명부!$C$3:$C$502,MATCH($C140,고객명부!$A$3:$A$502,0)),""))</f>
        <v/>
      </c>
      <c r="F140" s="12" t="str">
        <f aca="false">IF($C140="","",IFERROR(INDEX(고객명부!$D$3:$D$502,MATCH($C140,고객명부!$A$3:$A$502,0)),""))</f>
        <v/>
      </c>
      <c r="G140" s="12" t="str">
        <f aca="false">IF($C140="","",IFERROR(INDEX(고객명부!$E$3:$E$502,MATCH($C140,고객명부!$A$3:$A$502,0))&amp;" "&amp;INDEX(고객명부!$F$3:$F$502,MATCH($C140,고객명부!$A$3:$A$502,0)),""))</f>
        <v/>
      </c>
      <c r="H140" s="7"/>
      <c r="I140" s="12" t="str">
        <f aca="false">IF($H140="","",IFERROR(INDEX(상품목록!$B$3:$B$102,MATCH($H140,상품목록!$A$3:$A$102,0)),""))</f>
        <v/>
      </c>
      <c r="J140" s="14" t="str">
        <f aca="false">IF($H140="","",IFERROR(INDEX(상품목록!$C$3:$C$102,MATCH($H140,상품목록!$A$3:$A$102,0)),0))</f>
        <v/>
      </c>
      <c r="K140" s="7"/>
      <c r="L140" s="14" t="str">
        <f aca="false">IF(OR($J140="",$K140=""),"",ROUND($J140*$K140,0))</f>
        <v/>
      </c>
      <c r="M140" s="9"/>
      <c r="N140" s="14" t="str">
        <f aca="false">IF($L140="","",$L140+IF($M140="",0,$M140))</f>
        <v/>
      </c>
      <c r="O140" s="13"/>
      <c r="P140" s="7"/>
      <c r="Q140" s="12" t="str">
        <f aca="false">IF($C140="","",IF($P140&lt;&gt;"","발송완료",IF($O140&lt;&gt;"","입금완료","입금대기")))</f>
        <v/>
      </c>
      <c r="R140" s="12" t="str">
        <f aca="false">IF($C140="","",COUNTIFS($C$3:$C140,$C140))</f>
        <v/>
      </c>
      <c r="S140" s="12" t="str">
        <f aca="false">IF($C140="","",$C140&amp;"|"&amp;$R140)</f>
        <v/>
      </c>
    </row>
    <row r="141" customFormat="false" ht="15" hidden="false" customHeight="true" outlineLevel="0" collapsed="false">
      <c r="A141" s="12" t="str">
        <f aca="false">IF($C141="","",TEXT($B141,"yymmdd")&amp;"-"&amp;TEXT(COUNTIFS($B$3:$B141,$B141),"000"))</f>
        <v/>
      </c>
      <c r="B141" s="13"/>
      <c r="C141" s="7"/>
      <c r="D141" s="12" t="str">
        <f aca="false">IF($C141="","",IFERROR(INDEX(고객명부!$B$3:$B$502,MATCH($C141,고객명부!$A$3:$A$502,0)),"미등록고객"))</f>
        <v/>
      </c>
      <c r="E141" s="12" t="str">
        <f aca="false">IF($C141="","",IFERROR(INDEX(고객명부!$C$3:$C$502,MATCH($C141,고객명부!$A$3:$A$502,0)),""))</f>
        <v/>
      </c>
      <c r="F141" s="12" t="str">
        <f aca="false">IF($C141="","",IFERROR(INDEX(고객명부!$D$3:$D$502,MATCH($C141,고객명부!$A$3:$A$502,0)),""))</f>
        <v/>
      </c>
      <c r="G141" s="12" t="str">
        <f aca="false">IF($C141="","",IFERROR(INDEX(고객명부!$E$3:$E$502,MATCH($C141,고객명부!$A$3:$A$502,0))&amp;" "&amp;INDEX(고객명부!$F$3:$F$502,MATCH($C141,고객명부!$A$3:$A$502,0)),""))</f>
        <v/>
      </c>
      <c r="H141" s="7"/>
      <c r="I141" s="12" t="str">
        <f aca="false">IF($H141="","",IFERROR(INDEX(상품목록!$B$3:$B$102,MATCH($H141,상품목록!$A$3:$A$102,0)),""))</f>
        <v/>
      </c>
      <c r="J141" s="14" t="str">
        <f aca="false">IF($H141="","",IFERROR(INDEX(상품목록!$C$3:$C$102,MATCH($H141,상품목록!$A$3:$A$102,0)),0))</f>
        <v/>
      </c>
      <c r="K141" s="7"/>
      <c r="L141" s="14" t="str">
        <f aca="false">IF(OR($J141="",$K141=""),"",ROUND($J141*$K141,0))</f>
        <v/>
      </c>
      <c r="M141" s="9"/>
      <c r="N141" s="14" t="str">
        <f aca="false">IF($L141="","",$L141+IF($M141="",0,$M141))</f>
        <v/>
      </c>
      <c r="O141" s="13"/>
      <c r="P141" s="7"/>
      <c r="Q141" s="12" t="str">
        <f aca="false">IF($C141="","",IF($P141&lt;&gt;"","발송완료",IF($O141&lt;&gt;"","입금완료","입금대기")))</f>
        <v/>
      </c>
      <c r="R141" s="12" t="str">
        <f aca="false">IF($C141="","",COUNTIFS($C$3:$C141,$C141))</f>
        <v/>
      </c>
      <c r="S141" s="12" t="str">
        <f aca="false">IF($C141="","",$C141&amp;"|"&amp;$R141)</f>
        <v/>
      </c>
    </row>
    <row r="142" customFormat="false" ht="15" hidden="false" customHeight="true" outlineLevel="0" collapsed="false">
      <c r="A142" s="12" t="str">
        <f aca="false">IF($C142="","",TEXT($B142,"yymmdd")&amp;"-"&amp;TEXT(COUNTIFS($B$3:$B142,$B142),"000"))</f>
        <v/>
      </c>
      <c r="B142" s="13"/>
      <c r="C142" s="7"/>
      <c r="D142" s="12" t="str">
        <f aca="false">IF($C142="","",IFERROR(INDEX(고객명부!$B$3:$B$502,MATCH($C142,고객명부!$A$3:$A$502,0)),"미등록고객"))</f>
        <v/>
      </c>
      <c r="E142" s="12" t="str">
        <f aca="false">IF($C142="","",IFERROR(INDEX(고객명부!$C$3:$C$502,MATCH($C142,고객명부!$A$3:$A$502,0)),""))</f>
        <v/>
      </c>
      <c r="F142" s="12" t="str">
        <f aca="false">IF($C142="","",IFERROR(INDEX(고객명부!$D$3:$D$502,MATCH($C142,고객명부!$A$3:$A$502,0)),""))</f>
        <v/>
      </c>
      <c r="G142" s="12" t="str">
        <f aca="false">IF($C142="","",IFERROR(INDEX(고객명부!$E$3:$E$502,MATCH($C142,고객명부!$A$3:$A$502,0))&amp;" "&amp;INDEX(고객명부!$F$3:$F$502,MATCH($C142,고객명부!$A$3:$A$502,0)),""))</f>
        <v/>
      </c>
      <c r="H142" s="7"/>
      <c r="I142" s="12" t="str">
        <f aca="false">IF($H142="","",IFERROR(INDEX(상품목록!$B$3:$B$102,MATCH($H142,상품목록!$A$3:$A$102,0)),""))</f>
        <v/>
      </c>
      <c r="J142" s="14" t="str">
        <f aca="false">IF($H142="","",IFERROR(INDEX(상품목록!$C$3:$C$102,MATCH($H142,상품목록!$A$3:$A$102,0)),0))</f>
        <v/>
      </c>
      <c r="K142" s="7"/>
      <c r="L142" s="14" t="str">
        <f aca="false">IF(OR($J142="",$K142=""),"",ROUND($J142*$K142,0))</f>
        <v/>
      </c>
      <c r="M142" s="9"/>
      <c r="N142" s="14" t="str">
        <f aca="false">IF($L142="","",$L142+IF($M142="",0,$M142))</f>
        <v/>
      </c>
      <c r="O142" s="13"/>
      <c r="P142" s="7"/>
      <c r="Q142" s="12" t="str">
        <f aca="false">IF($C142="","",IF($P142&lt;&gt;"","발송완료",IF($O142&lt;&gt;"","입금완료","입금대기")))</f>
        <v/>
      </c>
      <c r="R142" s="12" t="str">
        <f aca="false">IF($C142="","",COUNTIFS($C$3:$C142,$C142))</f>
        <v/>
      </c>
      <c r="S142" s="12" t="str">
        <f aca="false">IF($C142="","",$C142&amp;"|"&amp;$R142)</f>
        <v/>
      </c>
    </row>
    <row r="143" customFormat="false" ht="15" hidden="false" customHeight="true" outlineLevel="0" collapsed="false">
      <c r="A143" s="12" t="str">
        <f aca="false">IF($C143="","",TEXT($B143,"yymmdd")&amp;"-"&amp;TEXT(COUNTIFS($B$3:$B143,$B143),"000"))</f>
        <v/>
      </c>
      <c r="B143" s="13"/>
      <c r="C143" s="7"/>
      <c r="D143" s="12" t="str">
        <f aca="false">IF($C143="","",IFERROR(INDEX(고객명부!$B$3:$B$502,MATCH($C143,고객명부!$A$3:$A$502,0)),"미등록고객"))</f>
        <v/>
      </c>
      <c r="E143" s="12" t="str">
        <f aca="false">IF($C143="","",IFERROR(INDEX(고객명부!$C$3:$C$502,MATCH($C143,고객명부!$A$3:$A$502,0)),""))</f>
        <v/>
      </c>
      <c r="F143" s="12" t="str">
        <f aca="false">IF($C143="","",IFERROR(INDEX(고객명부!$D$3:$D$502,MATCH($C143,고객명부!$A$3:$A$502,0)),""))</f>
        <v/>
      </c>
      <c r="G143" s="12" t="str">
        <f aca="false">IF($C143="","",IFERROR(INDEX(고객명부!$E$3:$E$502,MATCH($C143,고객명부!$A$3:$A$502,0))&amp;" "&amp;INDEX(고객명부!$F$3:$F$502,MATCH($C143,고객명부!$A$3:$A$502,0)),""))</f>
        <v/>
      </c>
      <c r="H143" s="7"/>
      <c r="I143" s="12" t="str">
        <f aca="false">IF($H143="","",IFERROR(INDEX(상품목록!$B$3:$B$102,MATCH($H143,상품목록!$A$3:$A$102,0)),""))</f>
        <v/>
      </c>
      <c r="J143" s="14" t="str">
        <f aca="false">IF($H143="","",IFERROR(INDEX(상품목록!$C$3:$C$102,MATCH($H143,상품목록!$A$3:$A$102,0)),0))</f>
        <v/>
      </c>
      <c r="K143" s="7"/>
      <c r="L143" s="14" t="str">
        <f aca="false">IF(OR($J143="",$K143=""),"",ROUND($J143*$K143,0))</f>
        <v/>
      </c>
      <c r="M143" s="9"/>
      <c r="N143" s="14" t="str">
        <f aca="false">IF($L143="","",$L143+IF($M143="",0,$M143))</f>
        <v/>
      </c>
      <c r="O143" s="13"/>
      <c r="P143" s="7"/>
      <c r="Q143" s="12" t="str">
        <f aca="false">IF($C143="","",IF($P143&lt;&gt;"","발송완료",IF($O143&lt;&gt;"","입금완료","입금대기")))</f>
        <v/>
      </c>
      <c r="R143" s="12" t="str">
        <f aca="false">IF($C143="","",COUNTIFS($C$3:$C143,$C143))</f>
        <v/>
      </c>
      <c r="S143" s="12" t="str">
        <f aca="false">IF($C143="","",$C143&amp;"|"&amp;$R143)</f>
        <v/>
      </c>
    </row>
    <row r="144" customFormat="false" ht="15" hidden="false" customHeight="true" outlineLevel="0" collapsed="false">
      <c r="A144" s="12" t="str">
        <f aca="false">IF($C144="","",TEXT($B144,"yymmdd")&amp;"-"&amp;TEXT(COUNTIFS($B$3:$B144,$B144),"000"))</f>
        <v/>
      </c>
      <c r="B144" s="13"/>
      <c r="C144" s="7"/>
      <c r="D144" s="12" t="str">
        <f aca="false">IF($C144="","",IFERROR(INDEX(고객명부!$B$3:$B$502,MATCH($C144,고객명부!$A$3:$A$502,0)),"미등록고객"))</f>
        <v/>
      </c>
      <c r="E144" s="12" t="str">
        <f aca="false">IF($C144="","",IFERROR(INDEX(고객명부!$C$3:$C$502,MATCH($C144,고객명부!$A$3:$A$502,0)),""))</f>
        <v/>
      </c>
      <c r="F144" s="12" t="str">
        <f aca="false">IF($C144="","",IFERROR(INDEX(고객명부!$D$3:$D$502,MATCH($C144,고객명부!$A$3:$A$502,0)),""))</f>
        <v/>
      </c>
      <c r="G144" s="12" t="str">
        <f aca="false">IF($C144="","",IFERROR(INDEX(고객명부!$E$3:$E$502,MATCH($C144,고객명부!$A$3:$A$502,0))&amp;" "&amp;INDEX(고객명부!$F$3:$F$502,MATCH($C144,고객명부!$A$3:$A$502,0)),""))</f>
        <v/>
      </c>
      <c r="H144" s="7"/>
      <c r="I144" s="12" t="str">
        <f aca="false">IF($H144="","",IFERROR(INDEX(상품목록!$B$3:$B$102,MATCH($H144,상품목록!$A$3:$A$102,0)),""))</f>
        <v/>
      </c>
      <c r="J144" s="14" t="str">
        <f aca="false">IF($H144="","",IFERROR(INDEX(상품목록!$C$3:$C$102,MATCH($H144,상품목록!$A$3:$A$102,0)),0))</f>
        <v/>
      </c>
      <c r="K144" s="7"/>
      <c r="L144" s="14" t="str">
        <f aca="false">IF(OR($J144="",$K144=""),"",ROUND($J144*$K144,0))</f>
        <v/>
      </c>
      <c r="M144" s="9"/>
      <c r="N144" s="14" t="str">
        <f aca="false">IF($L144="","",$L144+IF($M144="",0,$M144))</f>
        <v/>
      </c>
      <c r="O144" s="13"/>
      <c r="P144" s="7"/>
      <c r="Q144" s="12" t="str">
        <f aca="false">IF($C144="","",IF($P144&lt;&gt;"","발송완료",IF($O144&lt;&gt;"","입금완료","입금대기")))</f>
        <v/>
      </c>
      <c r="R144" s="12" t="str">
        <f aca="false">IF($C144="","",COUNTIFS($C$3:$C144,$C144))</f>
        <v/>
      </c>
      <c r="S144" s="12" t="str">
        <f aca="false">IF($C144="","",$C144&amp;"|"&amp;$R144)</f>
        <v/>
      </c>
    </row>
    <row r="145" customFormat="false" ht="15" hidden="false" customHeight="true" outlineLevel="0" collapsed="false">
      <c r="A145" s="12" t="str">
        <f aca="false">IF($C145="","",TEXT($B145,"yymmdd")&amp;"-"&amp;TEXT(COUNTIFS($B$3:$B145,$B145),"000"))</f>
        <v/>
      </c>
      <c r="B145" s="13"/>
      <c r="C145" s="7"/>
      <c r="D145" s="12" t="str">
        <f aca="false">IF($C145="","",IFERROR(INDEX(고객명부!$B$3:$B$502,MATCH($C145,고객명부!$A$3:$A$502,0)),"미등록고객"))</f>
        <v/>
      </c>
      <c r="E145" s="12" t="str">
        <f aca="false">IF($C145="","",IFERROR(INDEX(고객명부!$C$3:$C$502,MATCH($C145,고객명부!$A$3:$A$502,0)),""))</f>
        <v/>
      </c>
      <c r="F145" s="12" t="str">
        <f aca="false">IF($C145="","",IFERROR(INDEX(고객명부!$D$3:$D$502,MATCH($C145,고객명부!$A$3:$A$502,0)),""))</f>
        <v/>
      </c>
      <c r="G145" s="12" t="str">
        <f aca="false">IF($C145="","",IFERROR(INDEX(고객명부!$E$3:$E$502,MATCH($C145,고객명부!$A$3:$A$502,0))&amp;" "&amp;INDEX(고객명부!$F$3:$F$502,MATCH($C145,고객명부!$A$3:$A$502,0)),""))</f>
        <v/>
      </c>
      <c r="H145" s="7"/>
      <c r="I145" s="12" t="str">
        <f aca="false">IF($H145="","",IFERROR(INDEX(상품목록!$B$3:$B$102,MATCH($H145,상품목록!$A$3:$A$102,0)),""))</f>
        <v/>
      </c>
      <c r="J145" s="14" t="str">
        <f aca="false">IF($H145="","",IFERROR(INDEX(상품목록!$C$3:$C$102,MATCH($H145,상품목록!$A$3:$A$102,0)),0))</f>
        <v/>
      </c>
      <c r="K145" s="7"/>
      <c r="L145" s="14" t="str">
        <f aca="false">IF(OR($J145="",$K145=""),"",ROUND($J145*$K145,0))</f>
        <v/>
      </c>
      <c r="M145" s="9"/>
      <c r="N145" s="14" t="str">
        <f aca="false">IF($L145="","",$L145+IF($M145="",0,$M145))</f>
        <v/>
      </c>
      <c r="O145" s="13"/>
      <c r="P145" s="7"/>
      <c r="Q145" s="12" t="str">
        <f aca="false">IF($C145="","",IF($P145&lt;&gt;"","발송완료",IF($O145&lt;&gt;"","입금완료","입금대기")))</f>
        <v/>
      </c>
      <c r="R145" s="12" t="str">
        <f aca="false">IF($C145="","",COUNTIFS($C$3:$C145,$C145))</f>
        <v/>
      </c>
      <c r="S145" s="12" t="str">
        <f aca="false">IF($C145="","",$C145&amp;"|"&amp;$R145)</f>
        <v/>
      </c>
    </row>
    <row r="146" customFormat="false" ht="15" hidden="false" customHeight="true" outlineLevel="0" collapsed="false">
      <c r="A146" s="12" t="str">
        <f aca="false">IF($C146="","",TEXT($B146,"yymmdd")&amp;"-"&amp;TEXT(COUNTIFS($B$3:$B146,$B146),"000"))</f>
        <v/>
      </c>
      <c r="B146" s="13"/>
      <c r="C146" s="7"/>
      <c r="D146" s="12" t="str">
        <f aca="false">IF($C146="","",IFERROR(INDEX(고객명부!$B$3:$B$502,MATCH($C146,고객명부!$A$3:$A$502,0)),"미등록고객"))</f>
        <v/>
      </c>
      <c r="E146" s="12" t="str">
        <f aca="false">IF($C146="","",IFERROR(INDEX(고객명부!$C$3:$C$502,MATCH($C146,고객명부!$A$3:$A$502,0)),""))</f>
        <v/>
      </c>
      <c r="F146" s="12" t="str">
        <f aca="false">IF($C146="","",IFERROR(INDEX(고객명부!$D$3:$D$502,MATCH($C146,고객명부!$A$3:$A$502,0)),""))</f>
        <v/>
      </c>
      <c r="G146" s="12" t="str">
        <f aca="false">IF($C146="","",IFERROR(INDEX(고객명부!$E$3:$E$502,MATCH($C146,고객명부!$A$3:$A$502,0))&amp;" "&amp;INDEX(고객명부!$F$3:$F$502,MATCH($C146,고객명부!$A$3:$A$502,0)),""))</f>
        <v/>
      </c>
      <c r="H146" s="7"/>
      <c r="I146" s="12" t="str">
        <f aca="false">IF($H146="","",IFERROR(INDEX(상품목록!$B$3:$B$102,MATCH($H146,상품목록!$A$3:$A$102,0)),""))</f>
        <v/>
      </c>
      <c r="J146" s="14" t="str">
        <f aca="false">IF($H146="","",IFERROR(INDEX(상품목록!$C$3:$C$102,MATCH($H146,상품목록!$A$3:$A$102,0)),0))</f>
        <v/>
      </c>
      <c r="K146" s="7"/>
      <c r="L146" s="14" t="str">
        <f aca="false">IF(OR($J146="",$K146=""),"",ROUND($J146*$K146,0))</f>
        <v/>
      </c>
      <c r="M146" s="9"/>
      <c r="N146" s="14" t="str">
        <f aca="false">IF($L146="","",$L146+IF($M146="",0,$M146))</f>
        <v/>
      </c>
      <c r="O146" s="13"/>
      <c r="P146" s="7"/>
      <c r="Q146" s="12" t="str">
        <f aca="false">IF($C146="","",IF($P146&lt;&gt;"","발송완료",IF($O146&lt;&gt;"","입금완료","입금대기")))</f>
        <v/>
      </c>
      <c r="R146" s="12" t="str">
        <f aca="false">IF($C146="","",COUNTIFS($C$3:$C146,$C146))</f>
        <v/>
      </c>
      <c r="S146" s="12" t="str">
        <f aca="false">IF($C146="","",$C146&amp;"|"&amp;$R146)</f>
        <v/>
      </c>
    </row>
    <row r="147" customFormat="false" ht="15" hidden="false" customHeight="true" outlineLevel="0" collapsed="false">
      <c r="A147" s="12" t="str">
        <f aca="false">IF($C147="","",TEXT($B147,"yymmdd")&amp;"-"&amp;TEXT(COUNTIFS($B$3:$B147,$B147),"000"))</f>
        <v/>
      </c>
      <c r="B147" s="13"/>
      <c r="C147" s="7"/>
      <c r="D147" s="12" t="str">
        <f aca="false">IF($C147="","",IFERROR(INDEX(고객명부!$B$3:$B$502,MATCH($C147,고객명부!$A$3:$A$502,0)),"미등록고객"))</f>
        <v/>
      </c>
      <c r="E147" s="12" t="str">
        <f aca="false">IF($C147="","",IFERROR(INDEX(고객명부!$C$3:$C$502,MATCH($C147,고객명부!$A$3:$A$502,0)),""))</f>
        <v/>
      </c>
      <c r="F147" s="12" t="str">
        <f aca="false">IF($C147="","",IFERROR(INDEX(고객명부!$D$3:$D$502,MATCH($C147,고객명부!$A$3:$A$502,0)),""))</f>
        <v/>
      </c>
      <c r="G147" s="12" t="str">
        <f aca="false">IF($C147="","",IFERROR(INDEX(고객명부!$E$3:$E$502,MATCH($C147,고객명부!$A$3:$A$502,0))&amp;" "&amp;INDEX(고객명부!$F$3:$F$502,MATCH($C147,고객명부!$A$3:$A$502,0)),""))</f>
        <v/>
      </c>
      <c r="H147" s="7"/>
      <c r="I147" s="12" t="str">
        <f aca="false">IF($H147="","",IFERROR(INDEX(상품목록!$B$3:$B$102,MATCH($H147,상품목록!$A$3:$A$102,0)),""))</f>
        <v/>
      </c>
      <c r="J147" s="14" t="str">
        <f aca="false">IF($H147="","",IFERROR(INDEX(상품목록!$C$3:$C$102,MATCH($H147,상품목록!$A$3:$A$102,0)),0))</f>
        <v/>
      </c>
      <c r="K147" s="7"/>
      <c r="L147" s="14" t="str">
        <f aca="false">IF(OR($J147="",$K147=""),"",ROUND($J147*$K147,0))</f>
        <v/>
      </c>
      <c r="M147" s="9"/>
      <c r="N147" s="14" t="str">
        <f aca="false">IF($L147="","",$L147+IF($M147="",0,$M147))</f>
        <v/>
      </c>
      <c r="O147" s="13"/>
      <c r="P147" s="7"/>
      <c r="Q147" s="12" t="str">
        <f aca="false">IF($C147="","",IF($P147&lt;&gt;"","발송완료",IF($O147&lt;&gt;"","입금완료","입금대기")))</f>
        <v/>
      </c>
      <c r="R147" s="12" t="str">
        <f aca="false">IF($C147="","",COUNTIFS($C$3:$C147,$C147))</f>
        <v/>
      </c>
      <c r="S147" s="12" t="str">
        <f aca="false">IF($C147="","",$C147&amp;"|"&amp;$R147)</f>
        <v/>
      </c>
    </row>
    <row r="148" customFormat="false" ht="15" hidden="false" customHeight="true" outlineLevel="0" collapsed="false">
      <c r="A148" s="12" t="str">
        <f aca="false">IF($C148="","",TEXT($B148,"yymmdd")&amp;"-"&amp;TEXT(COUNTIFS($B$3:$B148,$B148),"000"))</f>
        <v/>
      </c>
      <c r="B148" s="13"/>
      <c r="C148" s="7"/>
      <c r="D148" s="12" t="str">
        <f aca="false">IF($C148="","",IFERROR(INDEX(고객명부!$B$3:$B$502,MATCH($C148,고객명부!$A$3:$A$502,0)),"미등록고객"))</f>
        <v/>
      </c>
      <c r="E148" s="12" t="str">
        <f aca="false">IF($C148="","",IFERROR(INDEX(고객명부!$C$3:$C$502,MATCH($C148,고객명부!$A$3:$A$502,0)),""))</f>
        <v/>
      </c>
      <c r="F148" s="12" t="str">
        <f aca="false">IF($C148="","",IFERROR(INDEX(고객명부!$D$3:$D$502,MATCH($C148,고객명부!$A$3:$A$502,0)),""))</f>
        <v/>
      </c>
      <c r="G148" s="12" t="str">
        <f aca="false">IF($C148="","",IFERROR(INDEX(고객명부!$E$3:$E$502,MATCH($C148,고객명부!$A$3:$A$502,0))&amp;" "&amp;INDEX(고객명부!$F$3:$F$502,MATCH($C148,고객명부!$A$3:$A$502,0)),""))</f>
        <v/>
      </c>
      <c r="H148" s="7"/>
      <c r="I148" s="12" t="str">
        <f aca="false">IF($H148="","",IFERROR(INDEX(상품목록!$B$3:$B$102,MATCH($H148,상품목록!$A$3:$A$102,0)),""))</f>
        <v/>
      </c>
      <c r="J148" s="14" t="str">
        <f aca="false">IF($H148="","",IFERROR(INDEX(상품목록!$C$3:$C$102,MATCH($H148,상품목록!$A$3:$A$102,0)),0))</f>
        <v/>
      </c>
      <c r="K148" s="7"/>
      <c r="L148" s="14" t="str">
        <f aca="false">IF(OR($J148="",$K148=""),"",ROUND($J148*$K148,0))</f>
        <v/>
      </c>
      <c r="M148" s="9"/>
      <c r="N148" s="14" t="str">
        <f aca="false">IF($L148="","",$L148+IF($M148="",0,$M148))</f>
        <v/>
      </c>
      <c r="O148" s="13"/>
      <c r="P148" s="7"/>
      <c r="Q148" s="12" t="str">
        <f aca="false">IF($C148="","",IF($P148&lt;&gt;"","발송완료",IF($O148&lt;&gt;"","입금완료","입금대기")))</f>
        <v/>
      </c>
      <c r="R148" s="12" t="str">
        <f aca="false">IF($C148="","",COUNTIFS($C$3:$C148,$C148))</f>
        <v/>
      </c>
      <c r="S148" s="12" t="str">
        <f aca="false">IF($C148="","",$C148&amp;"|"&amp;$R148)</f>
        <v/>
      </c>
    </row>
    <row r="149" customFormat="false" ht="15" hidden="false" customHeight="true" outlineLevel="0" collapsed="false">
      <c r="A149" s="12" t="str">
        <f aca="false">IF($C149="","",TEXT($B149,"yymmdd")&amp;"-"&amp;TEXT(COUNTIFS($B$3:$B149,$B149),"000"))</f>
        <v/>
      </c>
      <c r="B149" s="13"/>
      <c r="C149" s="7"/>
      <c r="D149" s="12" t="str">
        <f aca="false">IF($C149="","",IFERROR(INDEX(고객명부!$B$3:$B$502,MATCH($C149,고객명부!$A$3:$A$502,0)),"미등록고객"))</f>
        <v/>
      </c>
      <c r="E149" s="12" t="str">
        <f aca="false">IF($C149="","",IFERROR(INDEX(고객명부!$C$3:$C$502,MATCH($C149,고객명부!$A$3:$A$502,0)),""))</f>
        <v/>
      </c>
      <c r="F149" s="12" t="str">
        <f aca="false">IF($C149="","",IFERROR(INDEX(고객명부!$D$3:$D$502,MATCH($C149,고객명부!$A$3:$A$502,0)),""))</f>
        <v/>
      </c>
      <c r="G149" s="12" t="str">
        <f aca="false">IF($C149="","",IFERROR(INDEX(고객명부!$E$3:$E$502,MATCH($C149,고객명부!$A$3:$A$502,0))&amp;" "&amp;INDEX(고객명부!$F$3:$F$502,MATCH($C149,고객명부!$A$3:$A$502,0)),""))</f>
        <v/>
      </c>
      <c r="H149" s="7"/>
      <c r="I149" s="12" t="str">
        <f aca="false">IF($H149="","",IFERROR(INDEX(상품목록!$B$3:$B$102,MATCH($H149,상품목록!$A$3:$A$102,0)),""))</f>
        <v/>
      </c>
      <c r="J149" s="14" t="str">
        <f aca="false">IF($H149="","",IFERROR(INDEX(상품목록!$C$3:$C$102,MATCH($H149,상품목록!$A$3:$A$102,0)),0))</f>
        <v/>
      </c>
      <c r="K149" s="7"/>
      <c r="L149" s="14" t="str">
        <f aca="false">IF(OR($J149="",$K149=""),"",ROUND($J149*$K149,0))</f>
        <v/>
      </c>
      <c r="M149" s="9"/>
      <c r="N149" s="14" t="str">
        <f aca="false">IF($L149="","",$L149+IF($M149="",0,$M149))</f>
        <v/>
      </c>
      <c r="O149" s="13"/>
      <c r="P149" s="7"/>
      <c r="Q149" s="12" t="str">
        <f aca="false">IF($C149="","",IF($P149&lt;&gt;"","발송완료",IF($O149&lt;&gt;"","입금완료","입금대기")))</f>
        <v/>
      </c>
      <c r="R149" s="12" t="str">
        <f aca="false">IF($C149="","",COUNTIFS($C$3:$C149,$C149))</f>
        <v/>
      </c>
      <c r="S149" s="12" t="str">
        <f aca="false">IF($C149="","",$C149&amp;"|"&amp;$R149)</f>
        <v/>
      </c>
    </row>
    <row r="150" customFormat="false" ht="15" hidden="false" customHeight="true" outlineLevel="0" collapsed="false">
      <c r="A150" s="12" t="str">
        <f aca="false">IF($C150="","",TEXT($B150,"yymmdd")&amp;"-"&amp;TEXT(COUNTIFS($B$3:$B150,$B150),"000"))</f>
        <v/>
      </c>
      <c r="B150" s="13"/>
      <c r="C150" s="7"/>
      <c r="D150" s="12" t="str">
        <f aca="false">IF($C150="","",IFERROR(INDEX(고객명부!$B$3:$B$502,MATCH($C150,고객명부!$A$3:$A$502,0)),"미등록고객"))</f>
        <v/>
      </c>
      <c r="E150" s="12" t="str">
        <f aca="false">IF($C150="","",IFERROR(INDEX(고객명부!$C$3:$C$502,MATCH($C150,고객명부!$A$3:$A$502,0)),""))</f>
        <v/>
      </c>
      <c r="F150" s="12" t="str">
        <f aca="false">IF($C150="","",IFERROR(INDEX(고객명부!$D$3:$D$502,MATCH($C150,고객명부!$A$3:$A$502,0)),""))</f>
        <v/>
      </c>
      <c r="G150" s="12" t="str">
        <f aca="false">IF($C150="","",IFERROR(INDEX(고객명부!$E$3:$E$502,MATCH($C150,고객명부!$A$3:$A$502,0))&amp;" "&amp;INDEX(고객명부!$F$3:$F$502,MATCH($C150,고객명부!$A$3:$A$502,0)),""))</f>
        <v/>
      </c>
      <c r="H150" s="7"/>
      <c r="I150" s="12" t="str">
        <f aca="false">IF($H150="","",IFERROR(INDEX(상품목록!$B$3:$B$102,MATCH($H150,상품목록!$A$3:$A$102,0)),""))</f>
        <v/>
      </c>
      <c r="J150" s="14" t="str">
        <f aca="false">IF($H150="","",IFERROR(INDEX(상품목록!$C$3:$C$102,MATCH($H150,상품목록!$A$3:$A$102,0)),0))</f>
        <v/>
      </c>
      <c r="K150" s="7"/>
      <c r="L150" s="14" t="str">
        <f aca="false">IF(OR($J150="",$K150=""),"",ROUND($J150*$K150,0))</f>
        <v/>
      </c>
      <c r="M150" s="9"/>
      <c r="N150" s="14" t="str">
        <f aca="false">IF($L150="","",$L150+IF($M150="",0,$M150))</f>
        <v/>
      </c>
      <c r="O150" s="13"/>
      <c r="P150" s="7"/>
      <c r="Q150" s="12" t="str">
        <f aca="false">IF($C150="","",IF($P150&lt;&gt;"","발송완료",IF($O150&lt;&gt;"","입금완료","입금대기")))</f>
        <v/>
      </c>
      <c r="R150" s="12" t="str">
        <f aca="false">IF($C150="","",COUNTIFS($C$3:$C150,$C150))</f>
        <v/>
      </c>
      <c r="S150" s="12" t="str">
        <f aca="false">IF($C150="","",$C150&amp;"|"&amp;$R150)</f>
        <v/>
      </c>
    </row>
    <row r="151" customFormat="false" ht="15" hidden="false" customHeight="true" outlineLevel="0" collapsed="false">
      <c r="A151" s="12" t="str">
        <f aca="false">IF($C151="","",TEXT($B151,"yymmdd")&amp;"-"&amp;TEXT(COUNTIFS($B$3:$B151,$B151),"000"))</f>
        <v/>
      </c>
      <c r="B151" s="13"/>
      <c r="C151" s="7"/>
      <c r="D151" s="12" t="str">
        <f aca="false">IF($C151="","",IFERROR(INDEX(고객명부!$B$3:$B$502,MATCH($C151,고객명부!$A$3:$A$502,0)),"미등록고객"))</f>
        <v/>
      </c>
      <c r="E151" s="12" t="str">
        <f aca="false">IF($C151="","",IFERROR(INDEX(고객명부!$C$3:$C$502,MATCH($C151,고객명부!$A$3:$A$502,0)),""))</f>
        <v/>
      </c>
      <c r="F151" s="12" t="str">
        <f aca="false">IF($C151="","",IFERROR(INDEX(고객명부!$D$3:$D$502,MATCH($C151,고객명부!$A$3:$A$502,0)),""))</f>
        <v/>
      </c>
      <c r="G151" s="12" t="str">
        <f aca="false">IF($C151="","",IFERROR(INDEX(고객명부!$E$3:$E$502,MATCH($C151,고객명부!$A$3:$A$502,0))&amp;" "&amp;INDEX(고객명부!$F$3:$F$502,MATCH($C151,고객명부!$A$3:$A$502,0)),""))</f>
        <v/>
      </c>
      <c r="H151" s="7"/>
      <c r="I151" s="12" t="str">
        <f aca="false">IF($H151="","",IFERROR(INDEX(상품목록!$B$3:$B$102,MATCH($H151,상품목록!$A$3:$A$102,0)),""))</f>
        <v/>
      </c>
      <c r="J151" s="14" t="str">
        <f aca="false">IF($H151="","",IFERROR(INDEX(상품목록!$C$3:$C$102,MATCH($H151,상품목록!$A$3:$A$102,0)),0))</f>
        <v/>
      </c>
      <c r="K151" s="7"/>
      <c r="L151" s="14" t="str">
        <f aca="false">IF(OR($J151="",$K151=""),"",ROUND($J151*$K151,0))</f>
        <v/>
      </c>
      <c r="M151" s="9"/>
      <c r="N151" s="14" t="str">
        <f aca="false">IF($L151="","",$L151+IF($M151="",0,$M151))</f>
        <v/>
      </c>
      <c r="O151" s="13"/>
      <c r="P151" s="7"/>
      <c r="Q151" s="12" t="str">
        <f aca="false">IF($C151="","",IF($P151&lt;&gt;"","발송완료",IF($O151&lt;&gt;"","입금완료","입금대기")))</f>
        <v/>
      </c>
      <c r="R151" s="12" t="str">
        <f aca="false">IF($C151="","",COUNTIFS($C$3:$C151,$C151))</f>
        <v/>
      </c>
      <c r="S151" s="12" t="str">
        <f aca="false">IF($C151="","",$C151&amp;"|"&amp;$R151)</f>
        <v/>
      </c>
    </row>
    <row r="152" customFormat="false" ht="15" hidden="false" customHeight="true" outlineLevel="0" collapsed="false">
      <c r="A152" s="12" t="str">
        <f aca="false">IF($C152="","",TEXT($B152,"yymmdd")&amp;"-"&amp;TEXT(COUNTIFS($B$3:$B152,$B152),"000"))</f>
        <v/>
      </c>
      <c r="B152" s="13"/>
      <c r="C152" s="7"/>
      <c r="D152" s="12" t="str">
        <f aca="false">IF($C152="","",IFERROR(INDEX(고객명부!$B$3:$B$502,MATCH($C152,고객명부!$A$3:$A$502,0)),"미등록고객"))</f>
        <v/>
      </c>
      <c r="E152" s="12" t="str">
        <f aca="false">IF($C152="","",IFERROR(INDEX(고객명부!$C$3:$C$502,MATCH($C152,고객명부!$A$3:$A$502,0)),""))</f>
        <v/>
      </c>
      <c r="F152" s="12" t="str">
        <f aca="false">IF($C152="","",IFERROR(INDEX(고객명부!$D$3:$D$502,MATCH($C152,고객명부!$A$3:$A$502,0)),""))</f>
        <v/>
      </c>
      <c r="G152" s="12" t="str">
        <f aca="false">IF($C152="","",IFERROR(INDEX(고객명부!$E$3:$E$502,MATCH($C152,고객명부!$A$3:$A$502,0))&amp;" "&amp;INDEX(고객명부!$F$3:$F$502,MATCH($C152,고객명부!$A$3:$A$502,0)),""))</f>
        <v/>
      </c>
      <c r="H152" s="7"/>
      <c r="I152" s="12" t="str">
        <f aca="false">IF($H152="","",IFERROR(INDEX(상품목록!$B$3:$B$102,MATCH($H152,상품목록!$A$3:$A$102,0)),""))</f>
        <v/>
      </c>
      <c r="J152" s="14" t="str">
        <f aca="false">IF($H152="","",IFERROR(INDEX(상품목록!$C$3:$C$102,MATCH($H152,상품목록!$A$3:$A$102,0)),0))</f>
        <v/>
      </c>
      <c r="K152" s="7"/>
      <c r="L152" s="14" t="str">
        <f aca="false">IF(OR($J152="",$K152=""),"",ROUND($J152*$K152,0))</f>
        <v/>
      </c>
      <c r="M152" s="9"/>
      <c r="N152" s="14" t="str">
        <f aca="false">IF($L152="","",$L152+IF($M152="",0,$M152))</f>
        <v/>
      </c>
      <c r="O152" s="13"/>
      <c r="P152" s="7"/>
      <c r="Q152" s="12" t="str">
        <f aca="false">IF($C152="","",IF($P152&lt;&gt;"","발송완료",IF($O152&lt;&gt;"","입금완료","입금대기")))</f>
        <v/>
      </c>
      <c r="R152" s="12" t="str">
        <f aca="false">IF($C152="","",COUNTIFS($C$3:$C152,$C152))</f>
        <v/>
      </c>
      <c r="S152" s="12" t="str">
        <f aca="false">IF($C152="","",$C152&amp;"|"&amp;$R152)</f>
        <v/>
      </c>
    </row>
    <row r="153" customFormat="false" ht="15" hidden="false" customHeight="true" outlineLevel="0" collapsed="false">
      <c r="A153" s="12" t="str">
        <f aca="false">IF($C153="","",TEXT($B153,"yymmdd")&amp;"-"&amp;TEXT(COUNTIFS($B$3:$B153,$B153),"000"))</f>
        <v/>
      </c>
      <c r="B153" s="13"/>
      <c r="C153" s="7"/>
      <c r="D153" s="12" t="str">
        <f aca="false">IF($C153="","",IFERROR(INDEX(고객명부!$B$3:$B$502,MATCH($C153,고객명부!$A$3:$A$502,0)),"미등록고객"))</f>
        <v/>
      </c>
      <c r="E153" s="12" t="str">
        <f aca="false">IF($C153="","",IFERROR(INDEX(고객명부!$C$3:$C$502,MATCH($C153,고객명부!$A$3:$A$502,0)),""))</f>
        <v/>
      </c>
      <c r="F153" s="12" t="str">
        <f aca="false">IF($C153="","",IFERROR(INDEX(고객명부!$D$3:$D$502,MATCH($C153,고객명부!$A$3:$A$502,0)),""))</f>
        <v/>
      </c>
      <c r="G153" s="12" t="str">
        <f aca="false">IF($C153="","",IFERROR(INDEX(고객명부!$E$3:$E$502,MATCH($C153,고객명부!$A$3:$A$502,0))&amp;" "&amp;INDEX(고객명부!$F$3:$F$502,MATCH($C153,고객명부!$A$3:$A$502,0)),""))</f>
        <v/>
      </c>
      <c r="H153" s="7"/>
      <c r="I153" s="12" t="str">
        <f aca="false">IF($H153="","",IFERROR(INDEX(상품목록!$B$3:$B$102,MATCH($H153,상품목록!$A$3:$A$102,0)),""))</f>
        <v/>
      </c>
      <c r="J153" s="14" t="str">
        <f aca="false">IF($H153="","",IFERROR(INDEX(상품목록!$C$3:$C$102,MATCH($H153,상품목록!$A$3:$A$102,0)),0))</f>
        <v/>
      </c>
      <c r="K153" s="7"/>
      <c r="L153" s="14" t="str">
        <f aca="false">IF(OR($J153="",$K153=""),"",ROUND($J153*$K153,0))</f>
        <v/>
      </c>
      <c r="M153" s="9"/>
      <c r="N153" s="14" t="str">
        <f aca="false">IF($L153="","",$L153+IF($M153="",0,$M153))</f>
        <v/>
      </c>
      <c r="O153" s="13"/>
      <c r="P153" s="7"/>
      <c r="Q153" s="12" t="str">
        <f aca="false">IF($C153="","",IF($P153&lt;&gt;"","발송완료",IF($O153&lt;&gt;"","입금완료","입금대기")))</f>
        <v/>
      </c>
      <c r="R153" s="12" t="str">
        <f aca="false">IF($C153="","",COUNTIFS($C$3:$C153,$C153))</f>
        <v/>
      </c>
      <c r="S153" s="12" t="str">
        <f aca="false">IF($C153="","",$C153&amp;"|"&amp;$R153)</f>
        <v/>
      </c>
    </row>
    <row r="154" customFormat="false" ht="15" hidden="false" customHeight="true" outlineLevel="0" collapsed="false">
      <c r="A154" s="12" t="str">
        <f aca="false">IF($C154="","",TEXT($B154,"yymmdd")&amp;"-"&amp;TEXT(COUNTIFS($B$3:$B154,$B154),"000"))</f>
        <v/>
      </c>
      <c r="B154" s="13"/>
      <c r="C154" s="7"/>
      <c r="D154" s="12" t="str">
        <f aca="false">IF($C154="","",IFERROR(INDEX(고객명부!$B$3:$B$502,MATCH($C154,고객명부!$A$3:$A$502,0)),"미등록고객"))</f>
        <v/>
      </c>
      <c r="E154" s="12" t="str">
        <f aca="false">IF($C154="","",IFERROR(INDEX(고객명부!$C$3:$C$502,MATCH($C154,고객명부!$A$3:$A$502,0)),""))</f>
        <v/>
      </c>
      <c r="F154" s="12" t="str">
        <f aca="false">IF($C154="","",IFERROR(INDEX(고객명부!$D$3:$D$502,MATCH($C154,고객명부!$A$3:$A$502,0)),""))</f>
        <v/>
      </c>
      <c r="G154" s="12" t="str">
        <f aca="false">IF($C154="","",IFERROR(INDEX(고객명부!$E$3:$E$502,MATCH($C154,고객명부!$A$3:$A$502,0))&amp;" "&amp;INDEX(고객명부!$F$3:$F$502,MATCH($C154,고객명부!$A$3:$A$502,0)),""))</f>
        <v/>
      </c>
      <c r="H154" s="7"/>
      <c r="I154" s="12" t="str">
        <f aca="false">IF($H154="","",IFERROR(INDEX(상품목록!$B$3:$B$102,MATCH($H154,상품목록!$A$3:$A$102,0)),""))</f>
        <v/>
      </c>
      <c r="J154" s="14" t="str">
        <f aca="false">IF($H154="","",IFERROR(INDEX(상품목록!$C$3:$C$102,MATCH($H154,상품목록!$A$3:$A$102,0)),0))</f>
        <v/>
      </c>
      <c r="K154" s="7"/>
      <c r="L154" s="14" t="str">
        <f aca="false">IF(OR($J154="",$K154=""),"",ROUND($J154*$K154,0))</f>
        <v/>
      </c>
      <c r="M154" s="9"/>
      <c r="N154" s="14" t="str">
        <f aca="false">IF($L154="","",$L154+IF($M154="",0,$M154))</f>
        <v/>
      </c>
      <c r="O154" s="13"/>
      <c r="P154" s="7"/>
      <c r="Q154" s="12" t="str">
        <f aca="false">IF($C154="","",IF($P154&lt;&gt;"","발송완료",IF($O154&lt;&gt;"","입금완료","입금대기")))</f>
        <v/>
      </c>
      <c r="R154" s="12" t="str">
        <f aca="false">IF($C154="","",COUNTIFS($C$3:$C154,$C154))</f>
        <v/>
      </c>
      <c r="S154" s="12" t="str">
        <f aca="false">IF($C154="","",$C154&amp;"|"&amp;$R154)</f>
        <v/>
      </c>
    </row>
    <row r="155" customFormat="false" ht="15" hidden="false" customHeight="true" outlineLevel="0" collapsed="false">
      <c r="A155" s="12" t="str">
        <f aca="false">IF($C155="","",TEXT($B155,"yymmdd")&amp;"-"&amp;TEXT(COUNTIFS($B$3:$B155,$B155),"000"))</f>
        <v/>
      </c>
      <c r="B155" s="13"/>
      <c r="C155" s="7"/>
      <c r="D155" s="12" t="str">
        <f aca="false">IF($C155="","",IFERROR(INDEX(고객명부!$B$3:$B$502,MATCH($C155,고객명부!$A$3:$A$502,0)),"미등록고객"))</f>
        <v/>
      </c>
      <c r="E155" s="12" t="str">
        <f aca="false">IF($C155="","",IFERROR(INDEX(고객명부!$C$3:$C$502,MATCH($C155,고객명부!$A$3:$A$502,0)),""))</f>
        <v/>
      </c>
      <c r="F155" s="12" t="str">
        <f aca="false">IF($C155="","",IFERROR(INDEX(고객명부!$D$3:$D$502,MATCH($C155,고객명부!$A$3:$A$502,0)),""))</f>
        <v/>
      </c>
      <c r="G155" s="12" t="str">
        <f aca="false">IF($C155="","",IFERROR(INDEX(고객명부!$E$3:$E$502,MATCH($C155,고객명부!$A$3:$A$502,0))&amp;" "&amp;INDEX(고객명부!$F$3:$F$502,MATCH($C155,고객명부!$A$3:$A$502,0)),""))</f>
        <v/>
      </c>
      <c r="H155" s="7"/>
      <c r="I155" s="12" t="str">
        <f aca="false">IF($H155="","",IFERROR(INDEX(상품목록!$B$3:$B$102,MATCH($H155,상품목록!$A$3:$A$102,0)),""))</f>
        <v/>
      </c>
      <c r="J155" s="14" t="str">
        <f aca="false">IF($H155="","",IFERROR(INDEX(상품목록!$C$3:$C$102,MATCH($H155,상품목록!$A$3:$A$102,0)),0))</f>
        <v/>
      </c>
      <c r="K155" s="7"/>
      <c r="L155" s="14" t="str">
        <f aca="false">IF(OR($J155="",$K155=""),"",ROUND($J155*$K155,0))</f>
        <v/>
      </c>
      <c r="M155" s="9"/>
      <c r="N155" s="14" t="str">
        <f aca="false">IF($L155="","",$L155+IF($M155="",0,$M155))</f>
        <v/>
      </c>
      <c r="O155" s="13"/>
      <c r="P155" s="7"/>
      <c r="Q155" s="12" t="str">
        <f aca="false">IF($C155="","",IF($P155&lt;&gt;"","발송완료",IF($O155&lt;&gt;"","입금완료","입금대기")))</f>
        <v/>
      </c>
      <c r="R155" s="12" t="str">
        <f aca="false">IF($C155="","",COUNTIFS($C$3:$C155,$C155))</f>
        <v/>
      </c>
      <c r="S155" s="12" t="str">
        <f aca="false">IF($C155="","",$C155&amp;"|"&amp;$R155)</f>
        <v/>
      </c>
    </row>
    <row r="156" customFormat="false" ht="15" hidden="false" customHeight="true" outlineLevel="0" collapsed="false">
      <c r="A156" s="12" t="str">
        <f aca="false">IF($C156="","",TEXT($B156,"yymmdd")&amp;"-"&amp;TEXT(COUNTIFS($B$3:$B156,$B156),"000"))</f>
        <v/>
      </c>
      <c r="B156" s="13"/>
      <c r="C156" s="7"/>
      <c r="D156" s="12" t="str">
        <f aca="false">IF($C156="","",IFERROR(INDEX(고객명부!$B$3:$B$502,MATCH($C156,고객명부!$A$3:$A$502,0)),"미등록고객"))</f>
        <v/>
      </c>
      <c r="E156" s="12" t="str">
        <f aca="false">IF($C156="","",IFERROR(INDEX(고객명부!$C$3:$C$502,MATCH($C156,고객명부!$A$3:$A$502,0)),""))</f>
        <v/>
      </c>
      <c r="F156" s="12" t="str">
        <f aca="false">IF($C156="","",IFERROR(INDEX(고객명부!$D$3:$D$502,MATCH($C156,고객명부!$A$3:$A$502,0)),""))</f>
        <v/>
      </c>
      <c r="G156" s="12" t="str">
        <f aca="false">IF($C156="","",IFERROR(INDEX(고객명부!$E$3:$E$502,MATCH($C156,고객명부!$A$3:$A$502,0))&amp;" "&amp;INDEX(고객명부!$F$3:$F$502,MATCH($C156,고객명부!$A$3:$A$502,0)),""))</f>
        <v/>
      </c>
      <c r="H156" s="7"/>
      <c r="I156" s="12" t="str">
        <f aca="false">IF($H156="","",IFERROR(INDEX(상품목록!$B$3:$B$102,MATCH($H156,상품목록!$A$3:$A$102,0)),""))</f>
        <v/>
      </c>
      <c r="J156" s="14" t="str">
        <f aca="false">IF($H156="","",IFERROR(INDEX(상품목록!$C$3:$C$102,MATCH($H156,상품목록!$A$3:$A$102,0)),0))</f>
        <v/>
      </c>
      <c r="K156" s="7"/>
      <c r="L156" s="14" t="str">
        <f aca="false">IF(OR($J156="",$K156=""),"",ROUND($J156*$K156,0))</f>
        <v/>
      </c>
      <c r="M156" s="9"/>
      <c r="N156" s="14" t="str">
        <f aca="false">IF($L156="","",$L156+IF($M156="",0,$M156))</f>
        <v/>
      </c>
      <c r="O156" s="13"/>
      <c r="P156" s="7"/>
      <c r="Q156" s="12" t="str">
        <f aca="false">IF($C156="","",IF($P156&lt;&gt;"","발송완료",IF($O156&lt;&gt;"","입금완료","입금대기")))</f>
        <v/>
      </c>
      <c r="R156" s="12" t="str">
        <f aca="false">IF($C156="","",COUNTIFS($C$3:$C156,$C156))</f>
        <v/>
      </c>
      <c r="S156" s="12" t="str">
        <f aca="false">IF($C156="","",$C156&amp;"|"&amp;$R156)</f>
        <v/>
      </c>
    </row>
    <row r="157" customFormat="false" ht="15" hidden="false" customHeight="true" outlineLevel="0" collapsed="false">
      <c r="A157" s="12" t="str">
        <f aca="false">IF($C157="","",TEXT($B157,"yymmdd")&amp;"-"&amp;TEXT(COUNTIFS($B$3:$B157,$B157),"000"))</f>
        <v/>
      </c>
      <c r="B157" s="13"/>
      <c r="C157" s="7"/>
      <c r="D157" s="12" t="str">
        <f aca="false">IF($C157="","",IFERROR(INDEX(고객명부!$B$3:$B$502,MATCH($C157,고객명부!$A$3:$A$502,0)),"미등록고객"))</f>
        <v/>
      </c>
      <c r="E157" s="12" t="str">
        <f aca="false">IF($C157="","",IFERROR(INDEX(고객명부!$C$3:$C$502,MATCH($C157,고객명부!$A$3:$A$502,0)),""))</f>
        <v/>
      </c>
      <c r="F157" s="12" t="str">
        <f aca="false">IF($C157="","",IFERROR(INDEX(고객명부!$D$3:$D$502,MATCH($C157,고객명부!$A$3:$A$502,0)),""))</f>
        <v/>
      </c>
      <c r="G157" s="12" t="str">
        <f aca="false">IF($C157="","",IFERROR(INDEX(고객명부!$E$3:$E$502,MATCH($C157,고객명부!$A$3:$A$502,0))&amp;" "&amp;INDEX(고객명부!$F$3:$F$502,MATCH($C157,고객명부!$A$3:$A$502,0)),""))</f>
        <v/>
      </c>
      <c r="H157" s="7"/>
      <c r="I157" s="12" t="str">
        <f aca="false">IF($H157="","",IFERROR(INDEX(상품목록!$B$3:$B$102,MATCH($H157,상품목록!$A$3:$A$102,0)),""))</f>
        <v/>
      </c>
      <c r="J157" s="14" t="str">
        <f aca="false">IF($H157="","",IFERROR(INDEX(상품목록!$C$3:$C$102,MATCH($H157,상품목록!$A$3:$A$102,0)),0))</f>
        <v/>
      </c>
      <c r="K157" s="7"/>
      <c r="L157" s="14" t="str">
        <f aca="false">IF(OR($J157="",$K157=""),"",ROUND($J157*$K157,0))</f>
        <v/>
      </c>
      <c r="M157" s="9"/>
      <c r="N157" s="14" t="str">
        <f aca="false">IF($L157="","",$L157+IF($M157="",0,$M157))</f>
        <v/>
      </c>
      <c r="O157" s="13"/>
      <c r="P157" s="7"/>
      <c r="Q157" s="12" t="str">
        <f aca="false">IF($C157="","",IF($P157&lt;&gt;"","발송완료",IF($O157&lt;&gt;"","입금완료","입금대기")))</f>
        <v/>
      </c>
      <c r="R157" s="12" t="str">
        <f aca="false">IF($C157="","",COUNTIFS($C$3:$C157,$C157))</f>
        <v/>
      </c>
      <c r="S157" s="12" t="str">
        <f aca="false">IF($C157="","",$C157&amp;"|"&amp;$R157)</f>
        <v/>
      </c>
    </row>
    <row r="158" customFormat="false" ht="15" hidden="false" customHeight="true" outlineLevel="0" collapsed="false">
      <c r="A158" s="12" t="str">
        <f aca="false">IF($C158="","",TEXT($B158,"yymmdd")&amp;"-"&amp;TEXT(COUNTIFS($B$3:$B158,$B158),"000"))</f>
        <v/>
      </c>
      <c r="B158" s="13"/>
      <c r="C158" s="7"/>
      <c r="D158" s="12" t="str">
        <f aca="false">IF($C158="","",IFERROR(INDEX(고객명부!$B$3:$B$502,MATCH($C158,고객명부!$A$3:$A$502,0)),"미등록고객"))</f>
        <v/>
      </c>
      <c r="E158" s="12" t="str">
        <f aca="false">IF($C158="","",IFERROR(INDEX(고객명부!$C$3:$C$502,MATCH($C158,고객명부!$A$3:$A$502,0)),""))</f>
        <v/>
      </c>
      <c r="F158" s="12" t="str">
        <f aca="false">IF($C158="","",IFERROR(INDEX(고객명부!$D$3:$D$502,MATCH($C158,고객명부!$A$3:$A$502,0)),""))</f>
        <v/>
      </c>
      <c r="G158" s="12" t="str">
        <f aca="false">IF($C158="","",IFERROR(INDEX(고객명부!$E$3:$E$502,MATCH($C158,고객명부!$A$3:$A$502,0))&amp;" "&amp;INDEX(고객명부!$F$3:$F$502,MATCH($C158,고객명부!$A$3:$A$502,0)),""))</f>
        <v/>
      </c>
      <c r="H158" s="7"/>
      <c r="I158" s="12" t="str">
        <f aca="false">IF($H158="","",IFERROR(INDEX(상품목록!$B$3:$B$102,MATCH($H158,상품목록!$A$3:$A$102,0)),""))</f>
        <v/>
      </c>
      <c r="J158" s="14" t="str">
        <f aca="false">IF($H158="","",IFERROR(INDEX(상품목록!$C$3:$C$102,MATCH($H158,상품목록!$A$3:$A$102,0)),0))</f>
        <v/>
      </c>
      <c r="K158" s="7"/>
      <c r="L158" s="14" t="str">
        <f aca="false">IF(OR($J158="",$K158=""),"",ROUND($J158*$K158,0))</f>
        <v/>
      </c>
      <c r="M158" s="9"/>
      <c r="N158" s="14" t="str">
        <f aca="false">IF($L158="","",$L158+IF($M158="",0,$M158))</f>
        <v/>
      </c>
      <c r="O158" s="13"/>
      <c r="P158" s="7"/>
      <c r="Q158" s="12" t="str">
        <f aca="false">IF($C158="","",IF($P158&lt;&gt;"","발송완료",IF($O158&lt;&gt;"","입금완료","입금대기")))</f>
        <v/>
      </c>
      <c r="R158" s="12" t="str">
        <f aca="false">IF($C158="","",COUNTIFS($C$3:$C158,$C158))</f>
        <v/>
      </c>
      <c r="S158" s="12" t="str">
        <f aca="false">IF($C158="","",$C158&amp;"|"&amp;$R158)</f>
        <v/>
      </c>
    </row>
    <row r="159" customFormat="false" ht="15" hidden="false" customHeight="true" outlineLevel="0" collapsed="false">
      <c r="A159" s="12" t="str">
        <f aca="false">IF($C159="","",TEXT($B159,"yymmdd")&amp;"-"&amp;TEXT(COUNTIFS($B$3:$B159,$B159),"000"))</f>
        <v/>
      </c>
      <c r="B159" s="13"/>
      <c r="C159" s="7"/>
      <c r="D159" s="12" t="str">
        <f aca="false">IF($C159="","",IFERROR(INDEX(고객명부!$B$3:$B$502,MATCH($C159,고객명부!$A$3:$A$502,0)),"미등록고객"))</f>
        <v/>
      </c>
      <c r="E159" s="12" t="str">
        <f aca="false">IF($C159="","",IFERROR(INDEX(고객명부!$C$3:$C$502,MATCH($C159,고객명부!$A$3:$A$502,0)),""))</f>
        <v/>
      </c>
      <c r="F159" s="12" t="str">
        <f aca="false">IF($C159="","",IFERROR(INDEX(고객명부!$D$3:$D$502,MATCH($C159,고객명부!$A$3:$A$502,0)),""))</f>
        <v/>
      </c>
      <c r="G159" s="12" t="str">
        <f aca="false">IF($C159="","",IFERROR(INDEX(고객명부!$E$3:$E$502,MATCH($C159,고객명부!$A$3:$A$502,0))&amp;" "&amp;INDEX(고객명부!$F$3:$F$502,MATCH($C159,고객명부!$A$3:$A$502,0)),""))</f>
        <v/>
      </c>
      <c r="H159" s="7"/>
      <c r="I159" s="12" t="str">
        <f aca="false">IF($H159="","",IFERROR(INDEX(상품목록!$B$3:$B$102,MATCH($H159,상품목록!$A$3:$A$102,0)),""))</f>
        <v/>
      </c>
      <c r="J159" s="14" t="str">
        <f aca="false">IF($H159="","",IFERROR(INDEX(상품목록!$C$3:$C$102,MATCH($H159,상품목록!$A$3:$A$102,0)),0))</f>
        <v/>
      </c>
      <c r="K159" s="7"/>
      <c r="L159" s="14" t="str">
        <f aca="false">IF(OR($J159="",$K159=""),"",ROUND($J159*$K159,0))</f>
        <v/>
      </c>
      <c r="M159" s="9"/>
      <c r="N159" s="14" t="str">
        <f aca="false">IF($L159="","",$L159+IF($M159="",0,$M159))</f>
        <v/>
      </c>
      <c r="O159" s="13"/>
      <c r="P159" s="7"/>
      <c r="Q159" s="12" t="str">
        <f aca="false">IF($C159="","",IF($P159&lt;&gt;"","발송완료",IF($O159&lt;&gt;"","입금완료","입금대기")))</f>
        <v/>
      </c>
      <c r="R159" s="12" t="str">
        <f aca="false">IF($C159="","",COUNTIFS($C$3:$C159,$C159))</f>
        <v/>
      </c>
      <c r="S159" s="12" t="str">
        <f aca="false">IF($C159="","",$C159&amp;"|"&amp;$R159)</f>
        <v/>
      </c>
    </row>
    <row r="160" customFormat="false" ht="15" hidden="false" customHeight="true" outlineLevel="0" collapsed="false">
      <c r="A160" s="12" t="str">
        <f aca="false">IF($C160="","",TEXT($B160,"yymmdd")&amp;"-"&amp;TEXT(COUNTIFS($B$3:$B160,$B160),"000"))</f>
        <v/>
      </c>
      <c r="B160" s="13"/>
      <c r="C160" s="7"/>
      <c r="D160" s="12" t="str">
        <f aca="false">IF($C160="","",IFERROR(INDEX(고객명부!$B$3:$B$502,MATCH($C160,고객명부!$A$3:$A$502,0)),"미등록고객"))</f>
        <v/>
      </c>
      <c r="E160" s="12" t="str">
        <f aca="false">IF($C160="","",IFERROR(INDEX(고객명부!$C$3:$C$502,MATCH($C160,고객명부!$A$3:$A$502,0)),""))</f>
        <v/>
      </c>
      <c r="F160" s="12" t="str">
        <f aca="false">IF($C160="","",IFERROR(INDEX(고객명부!$D$3:$D$502,MATCH($C160,고객명부!$A$3:$A$502,0)),""))</f>
        <v/>
      </c>
      <c r="G160" s="12" t="str">
        <f aca="false">IF($C160="","",IFERROR(INDEX(고객명부!$E$3:$E$502,MATCH($C160,고객명부!$A$3:$A$502,0))&amp;" "&amp;INDEX(고객명부!$F$3:$F$502,MATCH($C160,고객명부!$A$3:$A$502,0)),""))</f>
        <v/>
      </c>
      <c r="H160" s="7"/>
      <c r="I160" s="12" t="str">
        <f aca="false">IF($H160="","",IFERROR(INDEX(상품목록!$B$3:$B$102,MATCH($H160,상품목록!$A$3:$A$102,0)),""))</f>
        <v/>
      </c>
      <c r="J160" s="14" t="str">
        <f aca="false">IF($H160="","",IFERROR(INDEX(상품목록!$C$3:$C$102,MATCH($H160,상품목록!$A$3:$A$102,0)),0))</f>
        <v/>
      </c>
      <c r="K160" s="7"/>
      <c r="L160" s="14" t="str">
        <f aca="false">IF(OR($J160="",$K160=""),"",ROUND($J160*$K160,0))</f>
        <v/>
      </c>
      <c r="M160" s="9"/>
      <c r="N160" s="14" t="str">
        <f aca="false">IF($L160="","",$L160+IF($M160="",0,$M160))</f>
        <v/>
      </c>
      <c r="O160" s="13"/>
      <c r="P160" s="7"/>
      <c r="Q160" s="12" t="str">
        <f aca="false">IF($C160="","",IF($P160&lt;&gt;"","발송완료",IF($O160&lt;&gt;"","입금완료","입금대기")))</f>
        <v/>
      </c>
      <c r="R160" s="12" t="str">
        <f aca="false">IF($C160="","",COUNTIFS($C$3:$C160,$C160))</f>
        <v/>
      </c>
      <c r="S160" s="12" t="str">
        <f aca="false">IF($C160="","",$C160&amp;"|"&amp;$R160)</f>
        <v/>
      </c>
    </row>
    <row r="161" customFormat="false" ht="15" hidden="false" customHeight="true" outlineLevel="0" collapsed="false">
      <c r="A161" s="12" t="str">
        <f aca="false">IF($C161="","",TEXT($B161,"yymmdd")&amp;"-"&amp;TEXT(COUNTIFS($B$3:$B161,$B161),"000"))</f>
        <v/>
      </c>
      <c r="B161" s="13"/>
      <c r="C161" s="7"/>
      <c r="D161" s="12" t="str">
        <f aca="false">IF($C161="","",IFERROR(INDEX(고객명부!$B$3:$B$502,MATCH($C161,고객명부!$A$3:$A$502,0)),"미등록고객"))</f>
        <v/>
      </c>
      <c r="E161" s="12" t="str">
        <f aca="false">IF($C161="","",IFERROR(INDEX(고객명부!$C$3:$C$502,MATCH($C161,고객명부!$A$3:$A$502,0)),""))</f>
        <v/>
      </c>
      <c r="F161" s="12" t="str">
        <f aca="false">IF($C161="","",IFERROR(INDEX(고객명부!$D$3:$D$502,MATCH($C161,고객명부!$A$3:$A$502,0)),""))</f>
        <v/>
      </c>
      <c r="G161" s="12" t="str">
        <f aca="false">IF($C161="","",IFERROR(INDEX(고객명부!$E$3:$E$502,MATCH($C161,고객명부!$A$3:$A$502,0))&amp;" "&amp;INDEX(고객명부!$F$3:$F$502,MATCH($C161,고객명부!$A$3:$A$502,0)),""))</f>
        <v/>
      </c>
      <c r="H161" s="7"/>
      <c r="I161" s="12" t="str">
        <f aca="false">IF($H161="","",IFERROR(INDEX(상품목록!$B$3:$B$102,MATCH($H161,상품목록!$A$3:$A$102,0)),""))</f>
        <v/>
      </c>
      <c r="J161" s="14" t="str">
        <f aca="false">IF($H161="","",IFERROR(INDEX(상품목록!$C$3:$C$102,MATCH($H161,상품목록!$A$3:$A$102,0)),0))</f>
        <v/>
      </c>
      <c r="K161" s="7"/>
      <c r="L161" s="14" t="str">
        <f aca="false">IF(OR($J161="",$K161=""),"",ROUND($J161*$K161,0))</f>
        <v/>
      </c>
      <c r="M161" s="9"/>
      <c r="N161" s="14" t="str">
        <f aca="false">IF($L161="","",$L161+IF($M161="",0,$M161))</f>
        <v/>
      </c>
      <c r="O161" s="13"/>
      <c r="P161" s="7"/>
      <c r="Q161" s="12" t="str">
        <f aca="false">IF($C161="","",IF($P161&lt;&gt;"","발송완료",IF($O161&lt;&gt;"","입금완료","입금대기")))</f>
        <v/>
      </c>
      <c r="R161" s="12" t="str">
        <f aca="false">IF($C161="","",COUNTIFS($C$3:$C161,$C161))</f>
        <v/>
      </c>
      <c r="S161" s="12" t="str">
        <f aca="false">IF($C161="","",$C161&amp;"|"&amp;$R161)</f>
        <v/>
      </c>
    </row>
    <row r="162" customFormat="false" ht="15" hidden="false" customHeight="true" outlineLevel="0" collapsed="false">
      <c r="A162" s="12" t="str">
        <f aca="false">IF($C162="","",TEXT($B162,"yymmdd")&amp;"-"&amp;TEXT(COUNTIFS($B$3:$B162,$B162),"000"))</f>
        <v/>
      </c>
      <c r="B162" s="13"/>
      <c r="C162" s="7"/>
      <c r="D162" s="12" t="str">
        <f aca="false">IF($C162="","",IFERROR(INDEX(고객명부!$B$3:$B$502,MATCH($C162,고객명부!$A$3:$A$502,0)),"미등록고객"))</f>
        <v/>
      </c>
      <c r="E162" s="12" t="str">
        <f aca="false">IF($C162="","",IFERROR(INDEX(고객명부!$C$3:$C$502,MATCH($C162,고객명부!$A$3:$A$502,0)),""))</f>
        <v/>
      </c>
      <c r="F162" s="12" t="str">
        <f aca="false">IF($C162="","",IFERROR(INDEX(고객명부!$D$3:$D$502,MATCH($C162,고객명부!$A$3:$A$502,0)),""))</f>
        <v/>
      </c>
      <c r="G162" s="12" t="str">
        <f aca="false">IF($C162="","",IFERROR(INDEX(고객명부!$E$3:$E$502,MATCH($C162,고객명부!$A$3:$A$502,0))&amp;" "&amp;INDEX(고객명부!$F$3:$F$502,MATCH($C162,고객명부!$A$3:$A$502,0)),""))</f>
        <v/>
      </c>
      <c r="H162" s="7"/>
      <c r="I162" s="12" t="str">
        <f aca="false">IF($H162="","",IFERROR(INDEX(상품목록!$B$3:$B$102,MATCH($H162,상품목록!$A$3:$A$102,0)),""))</f>
        <v/>
      </c>
      <c r="J162" s="14" t="str">
        <f aca="false">IF($H162="","",IFERROR(INDEX(상품목록!$C$3:$C$102,MATCH($H162,상품목록!$A$3:$A$102,0)),0))</f>
        <v/>
      </c>
      <c r="K162" s="7"/>
      <c r="L162" s="14" t="str">
        <f aca="false">IF(OR($J162="",$K162=""),"",ROUND($J162*$K162,0))</f>
        <v/>
      </c>
      <c r="M162" s="9"/>
      <c r="N162" s="14" t="str">
        <f aca="false">IF($L162="","",$L162+IF($M162="",0,$M162))</f>
        <v/>
      </c>
      <c r="O162" s="13"/>
      <c r="P162" s="7"/>
      <c r="Q162" s="12" t="str">
        <f aca="false">IF($C162="","",IF($P162&lt;&gt;"","발송완료",IF($O162&lt;&gt;"","입금완료","입금대기")))</f>
        <v/>
      </c>
      <c r="R162" s="12" t="str">
        <f aca="false">IF($C162="","",COUNTIFS($C$3:$C162,$C162))</f>
        <v/>
      </c>
      <c r="S162" s="12" t="str">
        <f aca="false">IF($C162="","",$C162&amp;"|"&amp;$R162)</f>
        <v/>
      </c>
    </row>
    <row r="163" customFormat="false" ht="15" hidden="false" customHeight="true" outlineLevel="0" collapsed="false">
      <c r="A163" s="12" t="str">
        <f aca="false">IF($C163="","",TEXT($B163,"yymmdd")&amp;"-"&amp;TEXT(COUNTIFS($B$3:$B163,$B163),"000"))</f>
        <v/>
      </c>
      <c r="B163" s="13"/>
      <c r="C163" s="7"/>
      <c r="D163" s="12" t="str">
        <f aca="false">IF($C163="","",IFERROR(INDEX(고객명부!$B$3:$B$502,MATCH($C163,고객명부!$A$3:$A$502,0)),"미등록고객"))</f>
        <v/>
      </c>
      <c r="E163" s="12" t="str">
        <f aca="false">IF($C163="","",IFERROR(INDEX(고객명부!$C$3:$C$502,MATCH($C163,고객명부!$A$3:$A$502,0)),""))</f>
        <v/>
      </c>
      <c r="F163" s="12" t="str">
        <f aca="false">IF($C163="","",IFERROR(INDEX(고객명부!$D$3:$D$502,MATCH($C163,고객명부!$A$3:$A$502,0)),""))</f>
        <v/>
      </c>
      <c r="G163" s="12" t="str">
        <f aca="false">IF($C163="","",IFERROR(INDEX(고객명부!$E$3:$E$502,MATCH($C163,고객명부!$A$3:$A$502,0))&amp;" "&amp;INDEX(고객명부!$F$3:$F$502,MATCH($C163,고객명부!$A$3:$A$502,0)),""))</f>
        <v/>
      </c>
      <c r="H163" s="7"/>
      <c r="I163" s="12" t="str">
        <f aca="false">IF($H163="","",IFERROR(INDEX(상품목록!$B$3:$B$102,MATCH($H163,상품목록!$A$3:$A$102,0)),""))</f>
        <v/>
      </c>
      <c r="J163" s="14" t="str">
        <f aca="false">IF($H163="","",IFERROR(INDEX(상품목록!$C$3:$C$102,MATCH($H163,상품목록!$A$3:$A$102,0)),0))</f>
        <v/>
      </c>
      <c r="K163" s="7"/>
      <c r="L163" s="14" t="str">
        <f aca="false">IF(OR($J163="",$K163=""),"",ROUND($J163*$K163,0))</f>
        <v/>
      </c>
      <c r="M163" s="9"/>
      <c r="N163" s="14" t="str">
        <f aca="false">IF($L163="","",$L163+IF($M163="",0,$M163))</f>
        <v/>
      </c>
      <c r="O163" s="13"/>
      <c r="P163" s="7"/>
      <c r="Q163" s="12" t="str">
        <f aca="false">IF($C163="","",IF($P163&lt;&gt;"","발송완료",IF($O163&lt;&gt;"","입금완료","입금대기")))</f>
        <v/>
      </c>
      <c r="R163" s="12" t="str">
        <f aca="false">IF($C163="","",COUNTIFS($C$3:$C163,$C163))</f>
        <v/>
      </c>
      <c r="S163" s="12" t="str">
        <f aca="false">IF($C163="","",$C163&amp;"|"&amp;$R163)</f>
        <v/>
      </c>
    </row>
    <row r="164" customFormat="false" ht="15" hidden="false" customHeight="true" outlineLevel="0" collapsed="false">
      <c r="A164" s="12" t="str">
        <f aca="false">IF($C164="","",TEXT($B164,"yymmdd")&amp;"-"&amp;TEXT(COUNTIFS($B$3:$B164,$B164),"000"))</f>
        <v/>
      </c>
      <c r="B164" s="13"/>
      <c r="C164" s="7"/>
      <c r="D164" s="12" t="str">
        <f aca="false">IF($C164="","",IFERROR(INDEX(고객명부!$B$3:$B$502,MATCH($C164,고객명부!$A$3:$A$502,0)),"미등록고객"))</f>
        <v/>
      </c>
      <c r="E164" s="12" t="str">
        <f aca="false">IF($C164="","",IFERROR(INDEX(고객명부!$C$3:$C$502,MATCH($C164,고객명부!$A$3:$A$502,0)),""))</f>
        <v/>
      </c>
      <c r="F164" s="12" t="str">
        <f aca="false">IF($C164="","",IFERROR(INDEX(고객명부!$D$3:$D$502,MATCH($C164,고객명부!$A$3:$A$502,0)),""))</f>
        <v/>
      </c>
      <c r="G164" s="12" t="str">
        <f aca="false">IF($C164="","",IFERROR(INDEX(고객명부!$E$3:$E$502,MATCH($C164,고객명부!$A$3:$A$502,0))&amp;" "&amp;INDEX(고객명부!$F$3:$F$502,MATCH($C164,고객명부!$A$3:$A$502,0)),""))</f>
        <v/>
      </c>
      <c r="H164" s="7"/>
      <c r="I164" s="12" t="str">
        <f aca="false">IF($H164="","",IFERROR(INDEX(상품목록!$B$3:$B$102,MATCH($H164,상품목록!$A$3:$A$102,0)),""))</f>
        <v/>
      </c>
      <c r="J164" s="14" t="str">
        <f aca="false">IF($H164="","",IFERROR(INDEX(상품목록!$C$3:$C$102,MATCH($H164,상품목록!$A$3:$A$102,0)),0))</f>
        <v/>
      </c>
      <c r="K164" s="7"/>
      <c r="L164" s="14" t="str">
        <f aca="false">IF(OR($J164="",$K164=""),"",ROUND($J164*$K164,0))</f>
        <v/>
      </c>
      <c r="M164" s="9"/>
      <c r="N164" s="14" t="str">
        <f aca="false">IF($L164="","",$L164+IF($M164="",0,$M164))</f>
        <v/>
      </c>
      <c r="O164" s="13"/>
      <c r="P164" s="7"/>
      <c r="Q164" s="12" t="str">
        <f aca="false">IF($C164="","",IF($P164&lt;&gt;"","발송완료",IF($O164&lt;&gt;"","입금완료","입금대기")))</f>
        <v/>
      </c>
      <c r="R164" s="12" t="str">
        <f aca="false">IF($C164="","",COUNTIFS($C$3:$C164,$C164))</f>
        <v/>
      </c>
      <c r="S164" s="12" t="str">
        <f aca="false">IF($C164="","",$C164&amp;"|"&amp;$R164)</f>
        <v/>
      </c>
    </row>
    <row r="165" customFormat="false" ht="15" hidden="false" customHeight="true" outlineLevel="0" collapsed="false">
      <c r="A165" s="12" t="str">
        <f aca="false">IF($C165="","",TEXT($B165,"yymmdd")&amp;"-"&amp;TEXT(COUNTIFS($B$3:$B165,$B165),"000"))</f>
        <v/>
      </c>
      <c r="B165" s="13"/>
      <c r="C165" s="7"/>
      <c r="D165" s="12" t="str">
        <f aca="false">IF($C165="","",IFERROR(INDEX(고객명부!$B$3:$B$502,MATCH($C165,고객명부!$A$3:$A$502,0)),"미등록고객"))</f>
        <v/>
      </c>
      <c r="E165" s="12" t="str">
        <f aca="false">IF($C165="","",IFERROR(INDEX(고객명부!$C$3:$C$502,MATCH($C165,고객명부!$A$3:$A$502,0)),""))</f>
        <v/>
      </c>
      <c r="F165" s="12" t="str">
        <f aca="false">IF($C165="","",IFERROR(INDEX(고객명부!$D$3:$D$502,MATCH($C165,고객명부!$A$3:$A$502,0)),""))</f>
        <v/>
      </c>
      <c r="G165" s="12" t="str">
        <f aca="false">IF($C165="","",IFERROR(INDEX(고객명부!$E$3:$E$502,MATCH($C165,고객명부!$A$3:$A$502,0))&amp;" "&amp;INDEX(고객명부!$F$3:$F$502,MATCH($C165,고객명부!$A$3:$A$502,0)),""))</f>
        <v/>
      </c>
      <c r="H165" s="7"/>
      <c r="I165" s="12" t="str">
        <f aca="false">IF($H165="","",IFERROR(INDEX(상품목록!$B$3:$B$102,MATCH($H165,상품목록!$A$3:$A$102,0)),""))</f>
        <v/>
      </c>
      <c r="J165" s="14" t="str">
        <f aca="false">IF($H165="","",IFERROR(INDEX(상품목록!$C$3:$C$102,MATCH($H165,상품목록!$A$3:$A$102,0)),0))</f>
        <v/>
      </c>
      <c r="K165" s="7"/>
      <c r="L165" s="14" t="str">
        <f aca="false">IF(OR($J165="",$K165=""),"",ROUND($J165*$K165,0))</f>
        <v/>
      </c>
      <c r="M165" s="9"/>
      <c r="N165" s="14" t="str">
        <f aca="false">IF($L165="","",$L165+IF($M165="",0,$M165))</f>
        <v/>
      </c>
      <c r="O165" s="13"/>
      <c r="P165" s="7"/>
      <c r="Q165" s="12" t="str">
        <f aca="false">IF($C165="","",IF($P165&lt;&gt;"","발송완료",IF($O165&lt;&gt;"","입금완료","입금대기")))</f>
        <v/>
      </c>
      <c r="R165" s="12" t="str">
        <f aca="false">IF($C165="","",COUNTIFS($C$3:$C165,$C165))</f>
        <v/>
      </c>
      <c r="S165" s="12" t="str">
        <f aca="false">IF($C165="","",$C165&amp;"|"&amp;$R165)</f>
        <v/>
      </c>
    </row>
    <row r="166" customFormat="false" ht="15" hidden="false" customHeight="true" outlineLevel="0" collapsed="false">
      <c r="A166" s="12" t="str">
        <f aca="false">IF($C166="","",TEXT($B166,"yymmdd")&amp;"-"&amp;TEXT(COUNTIFS($B$3:$B166,$B166),"000"))</f>
        <v/>
      </c>
      <c r="B166" s="13"/>
      <c r="C166" s="7"/>
      <c r="D166" s="12" t="str">
        <f aca="false">IF($C166="","",IFERROR(INDEX(고객명부!$B$3:$B$502,MATCH($C166,고객명부!$A$3:$A$502,0)),"미등록고객"))</f>
        <v/>
      </c>
      <c r="E166" s="12" t="str">
        <f aca="false">IF($C166="","",IFERROR(INDEX(고객명부!$C$3:$C$502,MATCH($C166,고객명부!$A$3:$A$502,0)),""))</f>
        <v/>
      </c>
      <c r="F166" s="12" t="str">
        <f aca="false">IF($C166="","",IFERROR(INDEX(고객명부!$D$3:$D$502,MATCH($C166,고객명부!$A$3:$A$502,0)),""))</f>
        <v/>
      </c>
      <c r="G166" s="12" t="str">
        <f aca="false">IF($C166="","",IFERROR(INDEX(고객명부!$E$3:$E$502,MATCH($C166,고객명부!$A$3:$A$502,0))&amp;" "&amp;INDEX(고객명부!$F$3:$F$502,MATCH($C166,고객명부!$A$3:$A$502,0)),""))</f>
        <v/>
      </c>
      <c r="H166" s="7"/>
      <c r="I166" s="12" t="str">
        <f aca="false">IF($H166="","",IFERROR(INDEX(상품목록!$B$3:$B$102,MATCH($H166,상품목록!$A$3:$A$102,0)),""))</f>
        <v/>
      </c>
      <c r="J166" s="14" t="str">
        <f aca="false">IF($H166="","",IFERROR(INDEX(상품목록!$C$3:$C$102,MATCH($H166,상품목록!$A$3:$A$102,0)),0))</f>
        <v/>
      </c>
      <c r="K166" s="7"/>
      <c r="L166" s="14" t="str">
        <f aca="false">IF(OR($J166="",$K166=""),"",ROUND($J166*$K166,0))</f>
        <v/>
      </c>
      <c r="M166" s="9"/>
      <c r="N166" s="14" t="str">
        <f aca="false">IF($L166="","",$L166+IF($M166="",0,$M166))</f>
        <v/>
      </c>
      <c r="O166" s="13"/>
      <c r="P166" s="7"/>
      <c r="Q166" s="12" t="str">
        <f aca="false">IF($C166="","",IF($P166&lt;&gt;"","발송완료",IF($O166&lt;&gt;"","입금완료","입금대기")))</f>
        <v/>
      </c>
      <c r="R166" s="12" t="str">
        <f aca="false">IF($C166="","",COUNTIFS($C$3:$C166,$C166))</f>
        <v/>
      </c>
      <c r="S166" s="12" t="str">
        <f aca="false">IF($C166="","",$C166&amp;"|"&amp;$R166)</f>
        <v/>
      </c>
    </row>
    <row r="167" customFormat="false" ht="15" hidden="false" customHeight="true" outlineLevel="0" collapsed="false">
      <c r="A167" s="12" t="str">
        <f aca="false">IF($C167="","",TEXT($B167,"yymmdd")&amp;"-"&amp;TEXT(COUNTIFS($B$3:$B167,$B167),"000"))</f>
        <v/>
      </c>
      <c r="B167" s="13"/>
      <c r="C167" s="7"/>
      <c r="D167" s="12" t="str">
        <f aca="false">IF($C167="","",IFERROR(INDEX(고객명부!$B$3:$B$502,MATCH($C167,고객명부!$A$3:$A$502,0)),"미등록고객"))</f>
        <v/>
      </c>
      <c r="E167" s="12" t="str">
        <f aca="false">IF($C167="","",IFERROR(INDEX(고객명부!$C$3:$C$502,MATCH($C167,고객명부!$A$3:$A$502,0)),""))</f>
        <v/>
      </c>
      <c r="F167" s="12" t="str">
        <f aca="false">IF($C167="","",IFERROR(INDEX(고객명부!$D$3:$D$502,MATCH($C167,고객명부!$A$3:$A$502,0)),""))</f>
        <v/>
      </c>
      <c r="G167" s="12" t="str">
        <f aca="false">IF($C167="","",IFERROR(INDEX(고객명부!$E$3:$E$502,MATCH($C167,고객명부!$A$3:$A$502,0))&amp;" "&amp;INDEX(고객명부!$F$3:$F$502,MATCH($C167,고객명부!$A$3:$A$502,0)),""))</f>
        <v/>
      </c>
      <c r="H167" s="7"/>
      <c r="I167" s="12" t="str">
        <f aca="false">IF($H167="","",IFERROR(INDEX(상품목록!$B$3:$B$102,MATCH($H167,상품목록!$A$3:$A$102,0)),""))</f>
        <v/>
      </c>
      <c r="J167" s="14" t="str">
        <f aca="false">IF($H167="","",IFERROR(INDEX(상품목록!$C$3:$C$102,MATCH($H167,상품목록!$A$3:$A$102,0)),0))</f>
        <v/>
      </c>
      <c r="K167" s="7"/>
      <c r="L167" s="14" t="str">
        <f aca="false">IF(OR($J167="",$K167=""),"",ROUND($J167*$K167,0))</f>
        <v/>
      </c>
      <c r="M167" s="9"/>
      <c r="N167" s="14" t="str">
        <f aca="false">IF($L167="","",$L167+IF($M167="",0,$M167))</f>
        <v/>
      </c>
      <c r="O167" s="13"/>
      <c r="P167" s="7"/>
      <c r="Q167" s="12" t="str">
        <f aca="false">IF($C167="","",IF($P167&lt;&gt;"","발송완료",IF($O167&lt;&gt;"","입금완료","입금대기")))</f>
        <v/>
      </c>
      <c r="R167" s="12" t="str">
        <f aca="false">IF($C167="","",COUNTIFS($C$3:$C167,$C167))</f>
        <v/>
      </c>
      <c r="S167" s="12" t="str">
        <f aca="false">IF($C167="","",$C167&amp;"|"&amp;$R167)</f>
        <v/>
      </c>
    </row>
    <row r="168" customFormat="false" ht="15" hidden="false" customHeight="true" outlineLevel="0" collapsed="false">
      <c r="A168" s="12" t="str">
        <f aca="false">IF($C168="","",TEXT($B168,"yymmdd")&amp;"-"&amp;TEXT(COUNTIFS($B$3:$B168,$B168),"000"))</f>
        <v/>
      </c>
      <c r="B168" s="13"/>
      <c r="C168" s="7"/>
      <c r="D168" s="12" t="str">
        <f aca="false">IF($C168="","",IFERROR(INDEX(고객명부!$B$3:$B$502,MATCH($C168,고객명부!$A$3:$A$502,0)),"미등록고객"))</f>
        <v/>
      </c>
      <c r="E168" s="12" t="str">
        <f aca="false">IF($C168="","",IFERROR(INDEX(고객명부!$C$3:$C$502,MATCH($C168,고객명부!$A$3:$A$502,0)),""))</f>
        <v/>
      </c>
      <c r="F168" s="12" t="str">
        <f aca="false">IF($C168="","",IFERROR(INDEX(고객명부!$D$3:$D$502,MATCH($C168,고객명부!$A$3:$A$502,0)),""))</f>
        <v/>
      </c>
      <c r="G168" s="12" t="str">
        <f aca="false">IF($C168="","",IFERROR(INDEX(고객명부!$E$3:$E$502,MATCH($C168,고객명부!$A$3:$A$502,0))&amp;" "&amp;INDEX(고객명부!$F$3:$F$502,MATCH($C168,고객명부!$A$3:$A$502,0)),""))</f>
        <v/>
      </c>
      <c r="H168" s="7"/>
      <c r="I168" s="12" t="str">
        <f aca="false">IF($H168="","",IFERROR(INDEX(상품목록!$B$3:$B$102,MATCH($H168,상품목록!$A$3:$A$102,0)),""))</f>
        <v/>
      </c>
      <c r="J168" s="14" t="str">
        <f aca="false">IF($H168="","",IFERROR(INDEX(상품목록!$C$3:$C$102,MATCH($H168,상품목록!$A$3:$A$102,0)),0))</f>
        <v/>
      </c>
      <c r="K168" s="7"/>
      <c r="L168" s="14" t="str">
        <f aca="false">IF(OR($J168="",$K168=""),"",ROUND($J168*$K168,0))</f>
        <v/>
      </c>
      <c r="M168" s="9"/>
      <c r="N168" s="14" t="str">
        <f aca="false">IF($L168="","",$L168+IF($M168="",0,$M168))</f>
        <v/>
      </c>
      <c r="O168" s="13"/>
      <c r="P168" s="7"/>
      <c r="Q168" s="12" t="str">
        <f aca="false">IF($C168="","",IF($P168&lt;&gt;"","발송완료",IF($O168&lt;&gt;"","입금완료","입금대기")))</f>
        <v/>
      </c>
      <c r="R168" s="12" t="str">
        <f aca="false">IF($C168="","",COUNTIFS($C$3:$C168,$C168))</f>
        <v/>
      </c>
      <c r="S168" s="12" t="str">
        <f aca="false">IF($C168="","",$C168&amp;"|"&amp;$R168)</f>
        <v/>
      </c>
    </row>
    <row r="169" customFormat="false" ht="15" hidden="false" customHeight="true" outlineLevel="0" collapsed="false">
      <c r="A169" s="12" t="str">
        <f aca="false">IF($C169="","",TEXT($B169,"yymmdd")&amp;"-"&amp;TEXT(COUNTIFS($B$3:$B169,$B169),"000"))</f>
        <v/>
      </c>
      <c r="B169" s="13"/>
      <c r="C169" s="7"/>
      <c r="D169" s="12" t="str">
        <f aca="false">IF($C169="","",IFERROR(INDEX(고객명부!$B$3:$B$502,MATCH($C169,고객명부!$A$3:$A$502,0)),"미등록고객"))</f>
        <v/>
      </c>
      <c r="E169" s="12" t="str">
        <f aca="false">IF($C169="","",IFERROR(INDEX(고객명부!$C$3:$C$502,MATCH($C169,고객명부!$A$3:$A$502,0)),""))</f>
        <v/>
      </c>
      <c r="F169" s="12" t="str">
        <f aca="false">IF($C169="","",IFERROR(INDEX(고객명부!$D$3:$D$502,MATCH($C169,고객명부!$A$3:$A$502,0)),""))</f>
        <v/>
      </c>
      <c r="G169" s="12" t="str">
        <f aca="false">IF($C169="","",IFERROR(INDEX(고객명부!$E$3:$E$502,MATCH($C169,고객명부!$A$3:$A$502,0))&amp;" "&amp;INDEX(고객명부!$F$3:$F$502,MATCH($C169,고객명부!$A$3:$A$502,0)),""))</f>
        <v/>
      </c>
      <c r="H169" s="7"/>
      <c r="I169" s="12" t="str">
        <f aca="false">IF($H169="","",IFERROR(INDEX(상품목록!$B$3:$B$102,MATCH($H169,상품목록!$A$3:$A$102,0)),""))</f>
        <v/>
      </c>
      <c r="J169" s="14" t="str">
        <f aca="false">IF($H169="","",IFERROR(INDEX(상품목록!$C$3:$C$102,MATCH($H169,상품목록!$A$3:$A$102,0)),0))</f>
        <v/>
      </c>
      <c r="K169" s="7"/>
      <c r="L169" s="14" t="str">
        <f aca="false">IF(OR($J169="",$K169=""),"",ROUND($J169*$K169,0))</f>
        <v/>
      </c>
      <c r="M169" s="9"/>
      <c r="N169" s="14" t="str">
        <f aca="false">IF($L169="","",$L169+IF($M169="",0,$M169))</f>
        <v/>
      </c>
      <c r="O169" s="13"/>
      <c r="P169" s="7"/>
      <c r="Q169" s="12" t="str">
        <f aca="false">IF($C169="","",IF($P169&lt;&gt;"","발송완료",IF($O169&lt;&gt;"","입금완료","입금대기")))</f>
        <v/>
      </c>
      <c r="R169" s="12" t="str">
        <f aca="false">IF($C169="","",COUNTIFS($C$3:$C169,$C169))</f>
        <v/>
      </c>
      <c r="S169" s="12" t="str">
        <f aca="false">IF($C169="","",$C169&amp;"|"&amp;$R169)</f>
        <v/>
      </c>
    </row>
    <row r="170" customFormat="false" ht="15" hidden="false" customHeight="true" outlineLevel="0" collapsed="false">
      <c r="A170" s="12" t="str">
        <f aca="false">IF($C170="","",TEXT($B170,"yymmdd")&amp;"-"&amp;TEXT(COUNTIFS($B$3:$B170,$B170),"000"))</f>
        <v/>
      </c>
      <c r="B170" s="13"/>
      <c r="C170" s="7"/>
      <c r="D170" s="12" t="str">
        <f aca="false">IF($C170="","",IFERROR(INDEX(고객명부!$B$3:$B$502,MATCH($C170,고객명부!$A$3:$A$502,0)),"미등록고객"))</f>
        <v/>
      </c>
      <c r="E170" s="12" t="str">
        <f aca="false">IF($C170="","",IFERROR(INDEX(고객명부!$C$3:$C$502,MATCH($C170,고객명부!$A$3:$A$502,0)),""))</f>
        <v/>
      </c>
      <c r="F170" s="12" t="str">
        <f aca="false">IF($C170="","",IFERROR(INDEX(고객명부!$D$3:$D$502,MATCH($C170,고객명부!$A$3:$A$502,0)),""))</f>
        <v/>
      </c>
      <c r="G170" s="12" t="str">
        <f aca="false">IF($C170="","",IFERROR(INDEX(고객명부!$E$3:$E$502,MATCH($C170,고객명부!$A$3:$A$502,0))&amp;" "&amp;INDEX(고객명부!$F$3:$F$502,MATCH($C170,고객명부!$A$3:$A$502,0)),""))</f>
        <v/>
      </c>
      <c r="H170" s="7"/>
      <c r="I170" s="12" t="str">
        <f aca="false">IF($H170="","",IFERROR(INDEX(상품목록!$B$3:$B$102,MATCH($H170,상품목록!$A$3:$A$102,0)),""))</f>
        <v/>
      </c>
      <c r="J170" s="14" t="str">
        <f aca="false">IF($H170="","",IFERROR(INDEX(상품목록!$C$3:$C$102,MATCH($H170,상품목록!$A$3:$A$102,0)),0))</f>
        <v/>
      </c>
      <c r="K170" s="7"/>
      <c r="L170" s="14" t="str">
        <f aca="false">IF(OR($J170="",$K170=""),"",ROUND($J170*$K170,0))</f>
        <v/>
      </c>
      <c r="M170" s="9"/>
      <c r="N170" s="14" t="str">
        <f aca="false">IF($L170="","",$L170+IF($M170="",0,$M170))</f>
        <v/>
      </c>
      <c r="O170" s="13"/>
      <c r="P170" s="7"/>
      <c r="Q170" s="12" t="str">
        <f aca="false">IF($C170="","",IF($P170&lt;&gt;"","발송완료",IF($O170&lt;&gt;"","입금완료","입금대기")))</f>
        <v/>
      </c>
      <c r="R170" s="12" t="str">
        <f aca="false">IF($C170="","",COUNTIFS($C$3:$C170,$C170))</f>
        <v/>
      </c>
      <c r="S170" s="12" t="str">
        <f aca="false">IF($C170="","",$C170&amp;"|"&amp;$R170)</f>
        <v/>
      </c>
    </row>
    <row r="171" customFormat="false" ht="15" hidden="false" customHeight="true" outlineLevel="0" collapsed="false">
      <c r="A171" s="12" t="str">
        <f aca="false">IF($C171="","",TEXT($B171,"yymmdd")&amp;"-"&amp;TEXT(COUNTIFS($B$3:$B171,$B171),"000"))</f>
        <v/>
      </c>
      <c r="B171" s="13"/>
      <c r="C171" s="7"/>
      <c r="D171" s="12" t="str">
        <f aca="false">IF($C171="","",IFERROR(INDEX(고객명부!$B$3:$B$502,MATCH($C171,고객명부!$A$3:$A$502,0)),"미등록고객"))</f>
        <v/>
      </c>
      <c r="E171" s="12" t="str">
        <f aca="false">IF($C171="","",IFERROR(INDEX(고객명부!$C$3:$C$502,MATCH($C171,고객명부!$A$3:$A$502,0)),""))</f>
        <v/>
      </c>
      <c r="F171" s="12" t="str">
        <f aca="false">IF($C171="","",IFERROR(INDEX(고객명부!$D$3:$D$502,MATCH($C171,고객명부!$A$3:$A$502,0)),""))</f>
        <v/>
      </c>
      <c r="G171" s="12" t="str">
        <f aca="false">IF($C171="","",IFERROR(INDEX(고객명부!$E$3:$E$502,MATCH($C171,고객명부!$A$3:$A$502,0))&amp;" "&amp;INDEX(고객명부!$F$3:$F$502,MATCH($C171,고객명부!$A$3:$A$502,0)),""))</f>
        <v/>
      </c>
      <c r="H171" s="7"/>
      <c r="I171" s="12" t="str">
        <f aca="false">IF($H171="","",IFERROR(INDEX(상품목록!$B$3:$B$102,MATCH($H171,상품목록!$A$3:$A$102,0)),""))</f>
        <v/>
      </c>
      <c r="J171" s="14" t="str">
        <f aca="false">IF($H171="","",IFERROR(INDEX(상품목록!$C$3:$C$102,MATCH($H171,상품목록!$A$3:$A$102,0)),0))</f>
        <v/>
      </c>
      <c r="K171" s="7"/>
      <c r="L171" s="14" t="str">
        <f aca="false">IF(OR($J171="",$K171=""),"",ROUND($J171*$K171,0))</f>
        <v/>
      </c>
      <c r="M171" s="9"/>
      <c r="N171" s="14" t="str">
        <f aca="false">IF($L171="","",$L171+IF($M171="",0,$M171))</f>
        <v/>
      </c>
      <c r="O171" s="13"/>
      <c r="P171" s="7"/>
      <c r="Q171" s="12" t="str">
        <f aca="false">IF($C171="","",IF($P171&lt;&gt;"","발송완료",IF($O171&lt;&gt;"","입금완료","입금대기")))</f>
        <v/>
      </c>
      <c r="R171" s="12" t="str">
        <f aca="false">IF($C171="","",COUNTIFS($C$3:$C171,$C171))</f>
        <v/>
      </c>
      <c r="S171" s="12" t="str">
        <f aca="false">IF($C171="","",$C171&amp;"|"&amp;$R171)</f>
        <v/>
      </c>
    </row>
    <row r="172" customFormat="false" ht="15" hidden="false" customHeight="true" outlineLevel="0" collapsed="false">
      <c r="A172" s="12" t="str">
        <f aca="false">IF($C172="","",TEXT($B172,"yymmdd")&amp;"-"&amp;TEXT(COUNTIFS($B$3:$B172,$B172),"000"))</f>
        <v/>
      </c>
      <c r="B172" s="13"/>
      <c r="C172" s="7"/>
      <c r="D172" s="12" t="str">
        <f aca="false">IF($C172="","",IFERROR(INDEX(고객명부!$B$3:$B$502,MATCH($C172,고객명부!$A$3:$A$502,0)),"미등록고객"))</f>
        <v/>
      </c>
      <c r="E172" s="12" t="str">
        <f aca="false">IF($C172="","",IFERROR(INDEX(고객명부!$C$3:$C$502,MATCH($C172,고객명부!$A$3:$A$502,0)),""))</f>
        <v/>
      </c>
      <c r="F172" s="12" t="str">
        <f aca="false">IF($C172="","",IFERROR(INDEX(고객명부!$D$3:$D$502,MATCH($C172,고객명부!$A$3:$A$502,0)),""))</f>
        <v/>
      </c>
      <c r="G172" s="12" t="str">
        <f aca="false">IF($C172="","",IFERROR(INDEX(고객명부!$E$3:$E$502,MATCH($C172,고객명부!$A$3:$A$502,0))&amp;" "&amp;INDEX(고객명부!$F$3:$F$502,MATCH($C172,고객명부!$A$3:$A$502,0)),""))</f>
        <v/>
      </c>
      <c r="H172" s="7"/>
      <c r="I172" s="12" t="str">
        <f aca="false">IF($H172="","",IFERROR(INDEX(상품목록!$B$3:$B$102,MATCH($H172,상품목록!$A$3:$A$102,0)),""))</f>
        <v/>
      </c>
      <c r="J172" s="14" t="str">
        <f aca="false">IF($H172="","",IFERROR(INDEX(상품목록!$C$3:$C$102,MATCH($H172,상품목록!$A$3:$A$102,0)),0))</f>
        <v/>
      </c>
      <c r="K172" s="7"/>
      <c r="L172" s="14" t="str">
        <f aca="false">IF(OR($J172="",$K172=""),"",ROUND($J172*$K172,0))</f>
        <v/>
      </c>
      <c r="M172" s="9"/>
      <c r="N172" s="14" t="str">
        <f aca="false">IF($L172="","",$L172+IF($M172="",0,$M172))</f>
        <v/>
      </c>
      <c r="O172" s="13"/>
      <c r="P172" s="7"/>
      <c r="Q172" s="12" t="str">
        <f aca="false">IF($C172="","",IF($P172&lt;&gt;"","발송완료",IF($O172&lt;&gt;"","입금완료","입금대기")))</f>
        <v/>
      </c>
      <c r="R172" s="12" t="str">
        <f aca="false">IF($C172="","",COUNTIFS($C$3:$C172,$C172))</f>
        <v/>
      </c>
      <c r="S172" s="12" t="str">
        <f aca="false">IF($C172="","",$C172&amp;"|"&amp;$R172)</f>
        <v/>
      </c>
    </row>
    <row r="173" customFormat="false" ht="15" hidden="false" customHeight="true" outlineLevel="0" collapsed="false">
      <c r="A173" s="12" t="str">
        <f aca="false">IF($C173="","",TEXT($B173,"yymmdd")&amp;"-"&amp;TEXT(COUNTIFS($B$3:$B173,$B173),"000"))</f>
        <v/>
      </c>
      <c r="B173" s="13"/>
      <c r="C173" s="7"/>
      <c r="D173" s="12" t="str">
        <f aca="false">IF($C173="","",IFERROR(INDEX(고객명부!$B$3:$B$502,MATCH($C173,고객명부!$A$3:$A$502,0)),"미등록고객"))</f>
        <v/>
      </c>
      <c r="E173" s="12" t="str">
        <f aca="false">IF($C173="","",IFERROR(INDEX(고객명부!$C$3:$C$502,MATCH($C173,고객명부!$A$3:$A$502,0)),""))</f>
        <v/>
      </c>
      <c r="F173" s="12" t="str">
        <f aca="false">IF($C173="","",IFERROR(INDEX(고객명부!$D$3:$D$502,MATCH($C173,고객명부!$A$3:$A$502,0)),""))</f>
        <v/>
      </c>
      <c r="G173" s="12" t="str">
        <f aca="false">IF($C173="","",IFERROR(INDEX(고객명부!$E$3:$E$502,MATCH($C173,고객명부!$A$3:$A$502,0))&amp;" "&amp;INDEX(고객명부!$F$3:$F$502,MATCH($C173,고객명부!$A$3:$A$502,0)),""))</f>
        <v/>
      </c>
      <c r="H173" s="7"/>
      <c r="I173" s="12" t="str">
        <f aca="false">IF($H173="","",IFERROR(INDEX(상품목록!$B$3:$B$102,MATCH($H173,상품목록!$A$3:$A$102,0)),""))</f>
        <v/>
      </c>
      <c r="J173" s="14" t="str">
        <f aca="false">IF($H173="","",IFERROR(INDEX(상품목록!$C$3:$C$102,MATCH($H173,상품목록!$A$3:$A$102,0)),0))</f>
        <v/>
      </c>
      <c r="K173" s="7"/>
      <c r="L173" s="14" t="str">
        <f aca="false">IF(OR($J173="",$K173=""),"",ROUND($J173*$K173,0))</f>
        <v/>
      </c>
      <c r="M173" s="9"/>
      <c r="N173" s="14" t="str">
        <f aca="false">IF($L173="","",$L173+IF($M173="",0,$M173))</f>
        <v/>
      </c>
      <c r="O173" s="13"/>
      <c r="P173" s="7"/>
      <c r="Q173" s="12" t="str">
        <f aca="false">IF($C173="","",IF($P173&lt;&gt;"","발송완료",IF($O173&lt;&gt;"","입금완료","입금대기")))</f>
        <v/>
      </c>
      <c r="R173" s="12" t="str">
        <f aca="false">IF($C173="","",COUNTIFS($C$3:$C173,$C173))</f>
        <v/>
      </c>
      <c r="S173" s="12" t="str">
        <f aca="false">IF($C173="","",$C173&amp;"|"&amp;$R173)</f>
        <v/>
      </c>
    </row>
    <row r="174" customFormat="false" ht="15" hidden="false" customHeight="true" outlineLevel="0" collapsed="false">
      <c r="A174" s="12" t="str">
        <f aca="false">IF($C174="","",TEXT($B174,"yymmdd")&amp;"-"&amp;TEXT(COUNTIFS($B$3:$B174,$B174),"000"))</f>
        <v/>
      </c>
      <c r="B174" s="13"/>
      <c r="C174" s="7"/>
      <c r="D174" s="12" t="str">
        <f aca="false">IF($C174="","",IFERROR(INDEX(고객명부!$B$3:$B$502,MATCH($C174,고객명부!$A$3:$A$502,0)),"미등록고객"))</f>
        <v/>
      </c>
      <c r="E174" s="12" t="str">
        <f aca="false">IF($C174="","",IFERROR(INDEX(고객명부!$C$3:$C$502,MATCH($C174,고객명부!$A$3:$A$502,0)),""))</f>
        <v/>
      </c>
      <c r="F174" s="12" t="str">
        <f aca="false">IF($C174="","",IFERROR(INDEX(고객명부!$D$3:$D$502,MATCH($C174,고객명부!$A$3:$A$502,0)),""))</f>
        <v/>
      </c>
      <c r="G174" s="12" t="str">
        <f aca="false">IF($C174="","",IFERROR(INDEX(고객명부!$E$3:$E$502,MATCH($C174,고객명부!$A$3:$A$502,0))&amp;" "&amp;INDEX(고객명부!$F$3:$F$502,MATCH($C174,고객명부!$A$3:$A$502,0)),""))</f>
        <v/>
      </c>
      <c r="H174" s="7"/>
      <c r="I174" s="12" t="str">
        <f aca="false">IF($H174="","",IFERROR(INDEX(상품목록!$B$3:$B$102,MATCH($H174,상품목록!$A$3:$A$102,0)),""))</f>
        <v/>
      </c>
      <c r="J174" s="14" t="str">
        <f aca="false">IF($H174="","",IFERROR(INDEX(상품목록!$C$3:$C$102,MATCH($H174,상품목록!$A$3:$A$102,0)),0))</f>
        <v/>
      </c>
      <c r="K174" s="7"/>
      <c r="L174" s="14" t="str">
        <f aca="false">IF(OR($J174="",$K174=""),"",ROUND($J174*$K174,0))</f>
        <v/>
      </c>
      <c r="M174" s="9"/>
      <c r="N174" s="14" t="str">
        <f aca="false">IF($L174="","",$L174+IF($M174="",0,$M174))</f>
        <v/>
      </c>
      <c r="O174" s="13"/>
      <c r="P174" s="7"/>
      <c r="Q174" s="12" t="str">
        <f aca="false">IF($C174="","",IF($P174&lt;&gt;"","발송완료",IF($O174&lt;&gt;"","입금완료","입금대기")))</f>
        <v/>
      </c>
      <c r="R174" s="12" t="str">
        <f aca="false">IF($C174="","",COUNTIFS($C$3:$C174,$C174))</f>
        <v/>
      </c>
      <c r="S174" s="12" t="str">
        <f aca="false">IF($C174="","",$C174&amp;"|"&amp;$R174)</f>
        <v/>
      </c>
    </row>
    <row r="175" customFormat="false" ht="15" hidden="false" customHeight="true" outlineLevel="0" collapsed="false">
      <c r="A175" s="12" t="str">
        <f aca="false">IF($C175="","",TEXT($B175,"yymmdd")&amp;"-"&amp;TEXT(COUNTIFS($B$3:$B175,$B175),"000"))</f>
        <v/>
      </c>
      <c r="B175" s="13"/>
      <c r="C175" s="7"/>
      <c r="D175" s="12" t="str">
        <f aca="false">IF($C175="","",IFERROR(INDEX(고객명부!$B$3:$B$502,MATCH($C175,고객명부!$A$3:$A$502,0)),"미등록고객"))</f>
        <v/>
      </c>
      <c r="E175" s="12" t="str">
        <f aca="false">IF($C175="","",IFERROR(INDEX(고객명부!$C$3:$C$502,MATCH($C175,고객명부!$A$3:$A$502,0)),""))</f>
        <v/>
      </c>
      <c r="F175" s="12" t="str">
        <f aca="false">IF($C175="","",IFERROR(INDEX(고객명부!$D$3:$D$502,MATCH($C175,고객명부!$A$3:$A$502,0)),""))</f>
        <v/>
      </c>
      <c r="G175" s="12" t="str">
        <f aca="false">IF($C175="","",IFERROR(INDEX(고객명부!$E$3:$E$502,MATCH($C175,고객명부!$A$3:$A$502,0))&amp;" "&amp;INDEX(고객명부!$F$3:$F$502,MATCH($C175,고객명부!$A$3:$A$502,0)),""))</f>
        <v/>
      </c>
      <c r="H175" s="7"/>
      <c r="I175" s="12" t="str">
        <f aca="false">IF($H175="","",IFERROR(INDEX(상품목록!$B$3:$B$102,MATCH($H175,상품목록!$A$3:$A$102,0)),""))</f>
        <v/>
      </c>
      <c r="J175" s="14" t="str">
        <f aca="false">IF($H175="","",IFERROR(INDEX(상품목록!$C$3:$C$102,MATCH($H175,상품목록!$A$3:$A$102,0)),0))</f>
        <v/>
      </c>
      <c r="K175" s="7"/>
      <c r="L175" s="14" t="str">
        <f aca="false">IF(OR($J175="",$K175=""),"",ROUND($J175*$K175,0))</f>
        <v/>
      </c>
      <c r="M175" s="9"/>
      <c r="N175" s="14" t="str">
        <f aca="false">IF($L175="","",$L175+IF($M175="",0,$M175))</f>
        <v/>
      </c>
      <c r="O175" s="13"/>
      <c r="P175" s="7"/>
      <c r="Q175" s="12" t="str">
        <f aca="false">IF($C175="","",IF($P175&lt;&gt;"","발송완료",IF($O175&lt;&gt;"","입금완료","입금대기")))</f>
        <v/>
      </c>
      <c r="R175" s="12" t="str">
        <f aca="false">IF($C175="","",COUNTIFS($C$3:$C175,$C175))</f>
        <v/>
      </c>
      <c r="S175" s="12" t="str">
        <f aca="false">IF($C175="","",$C175&amp;"|"&amp;$R175)</f>
        <v/>
      </c>
    </row>
    <row r="176" customFormat="false" ht="15" hidden="false" customHeight="true" outlineLevel="0" collapsed="false">
      <c r="A176" s="12" t="str">
        <f aca="false">IF($C176="","",TEXT($B176,"yymmdd")&amp;"-"&amp;TEXT(COUNTIFS($B$3:$B176,$B176),"000"))</f>
        <v/>
      </c>
      <c r="B176" s="13"/>
      <c r="C176" s="7"/>
      <c r="D176" s="12" t="str">
        <f aca="false">IF($C176="","",IFERROR(INDEX(고객명부!$B$3:$B$502,MATCH($C176,고객명부!$A$3:$A$502,0)),"미등록고객"))</f>
        <v/>
      </c>
      <c r="E176" s="12" t="str">
        <f aca="false">IF($C176="","",IFERROR(INDEX(고객명부!$C$3:$C$502,MATCH($C176,고객명부!$A$3:$A$502,0)),""))</f>
        <v/>
      </c>
      <c r="F176" s="12" t="str">
        <f aca="false">IF($C176="","",IFERROR(INDEX(고객명부!$D$3:$D$502,MATCH($C176,고객명부!$A$3:$A$502,0)),""))</f>
        <v/>
      </c>
      <c r="G176" s="12" t="str">
        <f aca="false">IF($C176="","",IFERROR(INDEX(고객명부!$E$3:$E$502,MATCH($C176,고객명부!$A$3:$A$502,0))&amp;" "&amp;INDEX(고객명부!$F$3:$F$502,MATCH($C176,고객명부!$A$3:$A$502,0)),""))</f>
        <v/>
      </c>
      <c r="H176" s="7"/>
      <c r="I176" s="12" t="str">
        <f aca="false">IF($H176="","",IFERROR(INDEX(상품목록!$B$3:$B$102,MATCH($H176,상품목록!$A$3:$A$102,0)),""))</f>
        <v/>
      </c>
      <c r="J176" s="14" t="str">
        <f aca="false">IF($H176="","",IFERROR(INDEX(상품목록!$C$3:$C$102,MATCH($H176,상품목록!$A$3:$A$102,0)),0))</f>
        <v/>
      </c>
      <c r="K176" s="7"/>
      <c r="L176" s="14" t="str">
        <f aca="false">IF(OR($J176="",$K176=""),"",ROUND($J176*$K176,0))</f>
        <v/>
      </c>
      <c r="M176" s="9"/>
      <c r="N176" s="14" t="str">
        <f aca="false">IF($L176="","",$L176+IF($M176="",0,$M176))</f>
        <v/>
      </c>
      <c r="O176" s="13"/>
      <c r="P176" s="7"/>
      <c r="Q176" s="12" t="str">
        <f aca="false">IF($C176="","",IF($P176&lt;&gt;"","발송완료",IF($O176&lt;&gt;"","입금완료","입금대기")))</f>
        <v/>
      </c>
      <c r="R176" s="12" t="str">
        <f aca="false">IF($C176="","",COUNTIFS($C$3:$C176,$C176))</f>
        <v/>
      </c>
      <c r="S176" s="12" t="str">
        <f aca="false">IF($C176="","",$C176&amp;"|"&amp;$R176)</f>
        <v/>
      </c>
    </row>
    <row r="177" customFormat="false" ht="15" hidden="false" customHeight="true" outlineLevel="0" collapsed="false">
      <c r="A177" s="12" t="str">
        <f aca="false">IF($C177="","",TEXT($B177,"yymmdd")&amp;"-"&amp;TEXT(COUNTIFS($B$3:$B177,$B177),"000"))</f>
        <v/>
      </c>
      <c r="B177" s="13"/>
      <c r="C177" s="7"/>
      <c r="D177" s="12" t="str">
        <f aca="false">IF($C177="","",IFERROR(INDEX(고객명부!$B$3:$B$502,MATCH($C177,고객명부!$A$3:$A$502,0)),"미등록고객"))</f>
        <v/>
      </c>
      <c r="E177" s="12" t="str">
        <f aca="false">IF($C177="","",IFERROR(INDEX(고객명부!$C$3:$C$502,MATCH($C177,고객명부!$A$3:$A$502,0)),""))</f>
        <v/>
      </c>
      <c r="F177" s="12" t="str">
        <f aca="false">IF($C177="","",IFERROR(INDEX(고객명부!$D$3:$D$502,MATCH($C177,고객명부!$A$3:$A$502,0)),""))</f>
        <v/>
      </c>
      <c r="G177" s="12" t="str">
        <f aca="false">IF($C177="","",IFERROR(INDEX(고객명부!$E$3:$E$502,MATCH($C177,고객명부!$A$3:$A$502,0))&amp;" "&amp;INDEX(고객명부!$F$3:$F$502,MATCH($C177,고객명부!$A$3:$A$502,0)),""))</f>
        <v/>
      </c>
      <c r="H177" s="7"/>
      <c r="I177" s="12" t="str">
        <f aca="false">IF($H177="","",IFERROR(INDEX(상품목록!$B$3:$B$102,MATCH($H177,상품목록!$A$3:$A$102,0)),""))</f>
        <v/>
      </c>
      <c r="J177" s="14" t="str">
        <f aca="false">IF($H177="","",IFERROR(INDEX(상품목록!$C$3:$C$102,MATCH($H177,상품목록!$A$3:$A$102,0)),0))</f>
        <v/>
      </c>
      <c r="K177" s="7"/>
      <c r="L177" s="14" t="str">
        <f aca="false">IF(OR($J177="",$K177=""),"",ROUND($J177*$K177,0))</f>
        <v/>
      </c>
      <c r="M177" s="9"/>
      <c r="N177" s="14" t="str">
        <f aca="false">IF($L177="","",$L177+IF($M177="",0,$M177))</f>
        <v/>
      </c>
      <c r="O177" s="13"/>
      <c r="P177" s="7"/>
      <c r="Q177" s="12" t="str">
        <f aca="false">IF($C177="","",IF($P177&lt;&gt;"","발송완료",IF($O177&lt;&gt;"","입금완료","입금대기")))</f>
        <v/>
      </c>
      <c r="R177" s="12" t="str">
        <f aca="false">IF($C177="","",COUNTIFS($C$3:$C177,$C177))</f>
        <v/>
      </c>
      <c r="S177" s="12" t="str">
        <f aca="false">IF($C177="","",$C177&amp;"|"&amp;$R177)</f>
        <v/>
      </c>
    </row>
    <row r="178" customFormat="false" ht="15" hidden="false" customHeight="true" outlineLevel="0" collapsed="false">
      <c r="A178" s="12" t="str">
        <f aca="false">IF($C178="","",TEXT($B178,"yymmdd")&amp;"-"&amp;TEXT(COUNTIFS($B$3:$B178,$B178),"000"))</f>
        <v/>
      </c>
      <c r="B178" s="13"/>
      <c r="C178" s="7"/>
      <c r="D178" s="12" t="str">
        <f aca="false">IF($C178="","",IFERROR(INDEX(고객명부!$B$3:$B$502,MATCH($C178,고객명부!$A$3:$A$502,0)),"미등록고객"))</f>
        <v/>
      </c>
      <c r="E178" s="12" t="str">
        <f aca="false">IF($C178="","",IFERROR(INDEX(고객명부!$C$3:$C$502,MATCH($C178,고객명부!$A$3:$A$502,0)),""))</f>
        <v/>
      </c>
      <c r="F178" s="12" t="str">
        <f aca="false">IF($C178="","",IFERROR(INDEX(고객명부!$D$3:$D$502,MATCH($C178,고객명부!$A$3:$A$502,0)),""))</f>
        <v/>
      </c>
      <c r="G178" s="12" t="str">
        <f aca="false">IF($C178="","",IFERROR(INDEX(고객명부!$E$3:$E$502,MATCH($C178,고객명부!$A$3:$A$502,0))&amp;" "&amp;INDEX(고객명부!$F$3:$F$502,MATCH($C178,고객명부!$A$3:$A$502,0)),""))</f>
        <v/>
      </c>
      <c r="H178" s="7"/>
      <c r="I178" s="12" t="str">
        <f aca="false">IF($H178="","",IFERROR(INDEX(상품목록!$B$3:$B$102,MATCH($H178,상품목록!$A$3:$A$102,0)),""))</f>
        <v/>
      </c>
      <c r="J178" s="14" t="str">
        <f aca="false">IF($H178="","",IFERROR(INDEX(상품목록!$C$3:$C$102,MATCH($H178,상품목록!$A$3:$A$102,0)),0))</f>
        <v/>
      </c>
      <c r="K178" s="7"/>
      <c r="L178" s="14" t="str">
        <f aca="false">IF(OR($J178="",$K178=""),"",ROUND($J178*$K178,0))</f>
        <v/>
      </c>
      <c r="M178" s="9"/>
      <c r="N178" s="14" t="str">
        <f aca="false">IF($L178="","",$L178+IF($M178="",0,$M178))</f>
        <v/>
      </c>
      <c r="O178" s="13"/>
      <c r="P178" s="7"/>
      <c r="Q178" s="12" t="str">
        <f aca="false">IF($C178="","",IF($P178&lt;&gt;"","발송완료",IF($O178&lt;&gt;"","입금완료","입금대기")))</f>
        <v/>
      </c>
      <c r="R178" s="12" t="str">
        <f aca="false">IF($C178="","",COUNTIFS($C$3:$C178,$C178))</f>
        <v/>
      </c>
      <c r="S178" s="12" t="str">
        <f aca="false">IF($C178="","",$C178&amp;"|"&amp;$R178)</f>
        <v/>
      </c>
    </row>
    <row r="179" customFormat="false" ht="15" hidden="false" customHeight="true" outlineLevel="0" collapsed="false">
      <c r="A179" s="12" t="str">
        <f aca="false">IF($C179="","",TEXT($B179,"yymmdd")&amp;"-"&amp;TEXT(COUNTIFS($B$3:$B179,$B179),"000"))</f>
        <v/>
      </c>
      <c r="B179" s="13"/>
      <c r="C179" s="7"/>
      <c r="D179" s="12" t="str">
        <f aca="false">IF($C179="","",IFERROR(INDEX(고객명부!$B$3:$B$502,MATCH($C179,고객명부!$A$3:$A$502,0)),"미등록고객"))</f>
        <v/>
      </c>
      <c r="E179" s="12" t="str">
        <f aca="false">IF($C179="","",IFERROR(INDEX(고객명부!$C$3:$C$502,MATCH($C179,고객명부!$A$3:$A$502,0)),""))</f>
        <v/>
      </c>
      <c r="F179" s="12" t="str">
        <f aca="false">IF($C179="","",IFERROR(INDEX(고객명부!$D$3:$D$502,MATCH($C179,고객명부!$A$3:$A$502,0)),""))</f>
        <v/>
      </c>
      <c r="G179" s="12" t="str">
        <f aca="false">IF($C179="","",IFERROR(INDEX(고객명부!$E$3:$E$502,MATCH($C179,고객명부!$A$3:$A$502,0))&amp;" "&amp;INDEX(고객명부!$F$3:$F$502,MATCH($C179,고객명부!$A$3:$A$502,0)),""))</f>
        <v/>
      </c>
      <c r="H179" s="7"/>
      <c r="I179" s="12" t="str">
        <f aca="false">IF($H179="","",IFERROR(INDEX(상품목록!$B$3:$B$102,MATCH($H179,상품목록!$A$3:$A$102,0)),""))</f>
        <v/>
      </c>
      <c r="J179" s="14" t="str">
        <f aca="false">IF($H179="","",IFERROR(INDEX(상품목록!$C$3:$C$102,MATCH($H179,상품목록!$A$3:$A$102,0)),0))</f>
        <v/>
      </c>
      <c r="K179" s="7"/>
      <c r="L179" s="14" t="str">
        <f aca="false">IF(OR($J179="",$K179=""),"",ROUND($J179*$K179,0))</f>
        <v/>
      </c>
      <c r="M179" s="9"/>
      <c r="N179" s="14" t="str">
        <f aca="false">IF($L179="","",$L179+IF($M179="",0,$M179))</f>
        <v/>
      </c>
      <c r="O179" s="13"/>
      <c r="P179" s="7"/>
      <c r="Q179" s="12" t="str">
        <f aca="false">IF($C179="","",IF($P179&lt;&gt;"","발송완료",IF($O179&lt;&gt;"","입금완료","입금대기")))</f>
        <v/>
      </c>
      <c r="R179" s="12" t="str">
        <f aca="false">IF($C179="","",COUNTIFS($C$3:$C179,$C179))</f>
        <v/>
      </c>
      <c r="S179" s="12" t="str">
        <f aca="false">IF($C179="","",$C179&amp;"|"&amp;$R179)</f>
        <v/>
      </c>
    </row>
    <row r="180" customFormat="false" ht="15" hidden="false" customHeight="true" outlineLevel="0" collapsed="false">
      <c r="A180" s="12" t="str">
        <f aca="false">IF($C180="","",TEXT($B180,"yymmdd")&amp;"-"&amp;TEXT(COUNTIFS($B$3:$B180,$B180),"000"))</f>
        <v/>
      </c>
      <c r="B180" s="13"/>
      <c r="C180" s="7"/>
      <c r="D180" s="12" t="str">
        <f aca="false">IF($C180="","",IFERROR(INDEX(고객명부!$B$3:$B$502,MATCH($C180,고객명부!$A$3:$A$502,0)),"미등록고객"))</f>
        <v/>
      </c>
      <c r="E180" s="12" t="str">
        <f aca="false">IF($C180="","",IFERROR(INDEX(고객명부!$C$3:$C$502,MATCH($C180,고객명부!$A$3:$A$502,0)),""))</f>
        <v/>
      </c>
      <c r="F180" s="12" t="str">
        <f aca="false">IF($C180="","",IFERROR(INDEX(고객명부!$D$3:$D$502,MATCH($C180,고객명부!$A$3:$A$502,0)),""))</f>
        <v/>
      </c>
      <c r="G180" s="12" t="str">
        <f aca="false">IF($C180="","",IFERROR(INDEX(고객명부!$E$3:$E$502,MATCH($C180,고객명부!$A$3:$A$502,0))&amp;" "&amp;INDEX(고객명부!$F$3:$F$502,MATCH($C180,고객명부!$A$3:$A$502,0)),""))</f>
        <v/>
      </c>
      <c r="H180" s="7"/>
      <c r="I180" s="12" t="str">
        <f aca="false">IF($H180="","",IFERROR(INDEX(상품목록!$B$3:$B$102,MATCH($H180,상품목록!$A$3:$A$102,0)),""))</f>
        <v/>
      </c>
      <c r="J180" s="14" t="str">
        <f aca="false">IF($H180="","",IFERROR(INDEX(상품목록!$C$3:$C$102,MATCH($H180,상품목록!$A$3:$A$102,0)),0))</f>
        <v/>
      </c>
      <c r="K180" s="7"/>
      <c r="L180" s="14" t="str">
        <f aca="false">IF(OR($J180="",$K180=""),"",ROUND($J180*$K180,0))</f>
        <v/>
      </c>
      <c r="M180" s="9"/>
      <c r="N180" s="14" t="str">
        <f aca="false">IF($L180="","",$L180+IF($M180="",0,$M180))</f>
        <v/>
      </c>
      <c r="O180" s="13"/>
      <c r="P180" s="7"/>
      <c r="Q180" s="12" t="str">
        <f aca="false">IF($C180="","",IF($P180&lt;&gt;"","발송완료",IF($O180&lt;&gt;"","입금완료","입금대기")))</f>
        <v/>
      </c>
      <c r="R180" s="12" t="str">
        <f aca="false">IF($C180="","",COUNTIFS($C$3:$C180,$C180))</f>
        <v/>
      </c>
      <c r="S180" s="12" t="str">
        <f aca="false">IF($C180="","",$C180&amp;"|"&amp;$R180)</f>
        <v/>
      </c>
    </row>
    <row r="181" customFormat="false" ht="15" hidden="false" customHeight="true" outlineLevel="0" collapsed="false">
      <c r="A181" s="12" t="str">
        <f aca="false">IF($C181="","",TEXT($B181,"yymmdd")&amp;"-"&amp;TEXT(COUNTIFS($B$3:$B181,$B181),"000"))</f>
        <v/>
      </c>
      <c r="B181" s="13"/>
      <c r="C181" s="7"/>
      <c r="D181" s="12" t="str">
        <f aca="false">IF($C181="","",IFERROR(INDEX(고객명부!$B$3:$B$502,MATCH($C181,고객명부!$A$3:$A$502,0)),"미등록고객"))</f>
        <v/>
      </c>
      <c r="E181" s="12" t="str">
        <f aca="false">IF($C181="","",IFERROR(INDEX(고객명부!$C$3:$C$502,MATCH($C181,고객명부!$A$3:$A$502,0)),""))</f>
        <v/>
      </c>
      <c r="F181" s="12" t="str">
        <f aca="false">IF($C181="","",IFERROR(INDEX(고객명부!$D$3:$D$502,MATCH($C181,고객명부!$A$3:$A$502,0)),""))</f>
        <v/>
      </c>
      <c r="G181" s="12" t="str">
        <f aca="false">IF($C181="","",IFERROR(INDEX(고객명부!$E$3:$E$502,MATCH($C181,고객명부!$A$3:$A$502,0))&amp;" "&amp;INDEX(고객명부!$F$3:$F$502,MATCH($C181,고객명부!$A$3:$A$502,0)),""))</f>
        <v/>
      </c>
      <c r="H181" s="7"/>
      <c r="I181" s="12" t="str">
        <f aca="false">IF($H181="","",IFERROR(INDEX(상품목록!$B$3:$B$102,MATCH($H181,상품목록!$A$3:$A$102,0)),""))</f>
        <v/>
      </c>
      <c r="J181" s="14" t="str">
        <f aca="false">IF($H181="","",IFERROR(INDEX(상품목록!$C$3:$C$102,MATCH($H181,상품목록!$A$3:$A$102,0)),0))</f>
        <v/>
      </c>
      <c r="K181" s="7"/>
      <c r="L181" s="14" t="str">
        <f aca="false">IF(OR($J181="",$K181=""),"",ROUND($J181*$K181,0))</f>
        <v/>
      </c>
      <c r="M181" s="9"/>
      <c r="N181" s="14" t="str">
        <f aca="false">IF($L181="","",$L181+IF($M181="",0,$M181))</f>
        <v/>
      </c>
      <c r="O181" s="13"/>
      <c r="P181" s="7"/>
      <c r="Q181" s="12" t="str">
        <f aca="false">IF($C181="","",IF($P181&lt;&gt;"","발송완료",IF($O181&lt;&gt;"","입금완료","입금대기")))</f>
        <v/>
      </c>
      <c r="R181" s="12" t="str">
        <f aca="false">IF($C181="","",COUNTIFS($C$3:$C181,$C181))</f>
        <v/>
      </c>
      <c r="S181" s="12" t="str">
        <f aca="false">IF($C181="","",$C181&amp;"|"&amp;$R181)</f>
        <v/>
      </c>
    </row>
    <row r="182" customFormat="false" ht="15" hidden="false" customHeight="true" outlineLevel="0" collapsed="false">
      <c r="A182" s="12" t="str">
        <f aca="false">IF($C182="","",TEXT($B182,"yymmdd")&amp;"-"&amp;TEXT(COUNTIFS($B$3:$B182,$B182),"000"))</f>
        <v/>
      </c>
      <c r="B182" s="13"/>
      <c r="C182" s="7"/>
      <c r="D182" s="12" t="str">
        <f aca="false">IF($C182="","",IFERROR(INDEX(고객명부!$B$3:$B$502,MATCH($C182,고객명부!$A$3:$A$502,0)),"미등록고객"))</f>
        <v/>
      </c>
      <c r="E182" s="12" t="str">
        <f aca="false">IF($C182="","",IFERROR(INDEX(고객명부!$C$3:$C$502,MATCH($C182,고객명부!$A$3:$A$502,0)),""))</f>
        <v/>
      </c>
      <c r="F182" s="12" t="str">
        <f aca="false">IF($C182="","",IFERROR(INDEX(고객명부!$D$3:$D$502,MATCH($C182,고객명부!$A$3:$A$502,0)),""))</f>
        <v/>
      </c>
      <c r="G182" s="12" t="str">
        <f aca="false">IF($C182="","",IFERROR(INDEX(고객명부!$E$3:$E$502,MATCH($C182,고객명부!$A$3:$A$502,0))&amp;" "&amp;INDEX(고객명부!$F$3:$F$502,MATCH($C182,고객명부!$A$3:$A$502,0)),""))</f>
        <v/>
      </c>
      <c r="H182" s="7"/>
      <c r="I182" s="12" t="str">
        <f aca="false">IF($H182="","",IFERROR(INDEX(상품목록!$B$3:$B$102,MATCH($H182,상품목록!$A$3:$A$102,0)),""))</f>
        <v/>
      </c>
      <c r="J182" s="14" t="str">
        <f aca="false">IF($H182="","",IFERROR(INDEX(상품목록!$C$3:$C$102,MATCH($H182,상품목록!$A$3:$A$102,0)),0))</f>
        <v/>
      </c>
      <c r="K182" s="7"/>
      <c r="L182" s="14" t="str">
        <f aca="false">IF(OR($J182="",$K182=""),"",ROUND($J182*$K182,0))</f>
        <v/>
      </c>
      <c r="M182" s="9"/>
      <c r="N182" s="14" t="str">
        <f aca="false">IF($L182="","",$L182+IF($M182="",0,$M182))</f>
        <v/>
      </c>
      <c r="O182" s="13"/>
      <c r="P182" s="7"/>
      <c r="Q182" s="12" t="str">
        <f aca="false">IF($C182="","",IF($P182&lt;&gt;"","발송완료",IF($O182&lt;&gt;"","입금완료","입금대기")))</f>
        <v/>
      </c>
      <c r="R182" s="12" t="str">
        <f aca="false">IF($C182="","",COUNTIFS($C$3:$C182,$C182))</f>
        <v/>
      </c>
      <c r="S182" s="12" t="str">
        <f aca="false">IF($C182="","",$C182&amp;"|"&amp;$R182)</f>
        <v/>
      </c>
    </row>
    <row r="183" customFormat="false" ht="15" hidden="false" customHeight="true" outlineLevel="0" collapsed="false">
      <c r="A183" s="12" t="str">
        <f aca="false">IF($C183="","",TEXT($B183,"yymmdd")&amp;"-"&amp;TEXT(COUNTIFS($B$3:$B183,$B183),"000"))</f>
        <v/>
      </c>
      <c r="B183" s="13"/>
      <c r="C183" s="7"/>
      <c r="D183" s="12" t="str">
        <f aca="false">IF($C183="","",IFERROR(INDEX(고객명부!$B$3:$B$502,MATCH($C183,고객명부!$A$3:$A$502,0)),"미등록고객"))</f>
        <v/>
      </c>
      <c r="E183" s="12" t="str">
        <f aca="false">IF($C183="","",IFERROR(INDEX(고객명부!$C$3:$C$502,MATCH($C183,고객명부!$A$3:$A$502,0)),""))</f>
        <v/>
      </c>
      <c r="F183" s="12" t="str">
        <f aca="false">IF($C183="","",IFERROR(INDEX(고객명부!$D$3:$D$502,MATCH($C183,고객명부!$A$3:$A$502,0)),""))</f>
        <v/>
      </c>
      <c r="G183" s="12" t="str">
        <f aca="false">IF($C183="","",IFERROR(INDEX(고객명부!$E$3:$E$502,MATCH($C183,고객명부!$A$3:$A$502,0))&amp;" "&amp;INDEX(고객명부!$F$3:$F$502,MATCH($C183,고객명부!$A$3:$A$502,0)),""))</f>
        <v/>
      </c>
      <c r="H183" s="7"/>
      <c r="I183" s="12" t="str">
        <f aca="false">IF($H183="","",IFERROR(INDEX(상품목록!$B$3:$B$102,MATCH($H183,상품목록!$A$3:$A$102,0)),""))</f>
        <v/>
      </c>
      <c r="J183" s="14" t="str">
        <f aca="false">IF($H183="","",IFERROR(INDEX(상품목록!$C$3:$C$102,MATCH($H183,상품목록!$A$3:$A$102,0)),0))</f>
        <v/>
      </c>
      <c r="K183" s="7"/>
      <c r="L183" s="14" t="str">
        <f aca="false">IF(OR($J183="",$K183=""),"",ROUND($J183*$K183,0))</f>
        <v/>
      </c>
      <c r="M183" s="9"/>
      <c r="N183" s="14" t="str">
        <f aca="false">IF($L183="","",$L183+IF($M183="",0,$M183))</f>
        <v/>
      </c>
      <c r="O183" s="13"/>
      <c r="P183" s="7"/>
      <c r="Q183" s="12" t="str">
        <f aca="false">IF($C183="","",IF($P183&lt;&gt;"","발송완료",IF($O183&lt;&gt;"","입금완료","입금대기")))</f>
        <v/>
      </c>
      <c r="R183" s="12" t="str">
        <f aca="false">IF($C183="","",COUNTIFS($C$3:$C183,$C183))</f>
        <v/>
      </c>
      <c r="S183" s="12" t="str">
        <f aca="false">IF($C183="","",$C183&amp;"|"&amp;$R183)</f>
        <v/>
      </c>
    </row>
    <row r="184" customFormat="false" ht="15" hidden="false" customHeight="true" outlineLevel="0" collapsed="false">
      <c r="A184" s="12" t="str">
        <f aca="false">IF($C184="","",TEXT($B184,"yymmdd")&amp;"-"&amp;TEXT(COUNTIFS($B$3:$B184,$B184),"000"))</f>
        <v/>
      </c>
      <c r="B184" s="13"/>
      <c r="C184" s="7"/>
      <c r="D184" s="12" t="str">
        <f aca="false">IF($C184="","",IFERROR(INDEX(고객명부!$B$3:$B$502,MATCH($C184,고객명부!$A$3:$A$502,0)),"미등록고객"))</f>
        <v/>
      </c>
      <c r="E184" s="12" t="str">
        <f aca="false">IF($C184="","",IFERROR(INDEX(고객명부!$C$3:$C$502,MATCH($C184,고객명부!$A$3:$A$502,0)),""))</f>
        <v/>
      </c>
      <c r="F184" s="12" t="str">
        <f aca="false">IF($C184="","",IFERROR(INDEX(고객명부!$D$3:$D$502,MATCH($C184,고객명부!$A$3:$A$502,0)),""))</f>
        <v/>
      </c>
      <c r="G184" s="12" t="str">
        <f aca="false">IF($C184="","",IFERROR(INDEX(고객명부!$E$3:$E$502,MATCH($C184,고객명부!$A$3:$A$502,0))&amp;" "&amp;INDEX(고객명부!$F$3:$F$502,MATCH($C184,고객명부!$A$3:$A$502,0)),""))</f>
        <v/>
      </c>
      <c r="H184" s="7"/>
      <c r="I184" s="12" t="str">
        <f aca="false">IF($H184="","",IFERROR(INDEX(상품목록!$B$3:$B$102,MATCH($H184,상품목록!$A$3:$A$102,0)),""))</f>
        <v/>
      </c>
      <c r="J184" s="14" t="str">
        <f aca="false">IF($H184="","",IFERROR(INDEX(상품목록!$C$3:$C$102,MATCH($H184,상품목록!$A$3:$A$102,0)),0))</f>
        <v/>
      </c>
      <c r="K184" s="7"/>
      <c r="L184" s="14" t="str">
        <f aca="false">IF(OR($J184="",$K184=""),"",ROUND($J184*$K184,0))</f>
        <v/>
      </c>
      <c r="M184" s="9"/>
      <c r="N184" s="14" t="str">
        <f aca="false">IF($L184="","",$L184+IF($M184="",0,$M184))</f>
        <v/>
      </c>
      <c r="O184" s="13"/>
      <c r="P184" s="7"/>
      <c r="Q184" s="12" t="str">
        <f aca="false">IF($C184="","",IF($P184&lt;&gt;"","발송완료",IF($O184&lt;&gt;"","입금완료","입금대기")))</f>
        <v/>
      </c>
      <c r="R184" s="12" t="str">
        <f aca="false">IF($C184="","",COUNTIFS($C$3:$C184,$C184))</f>
        <v/>
      </c>
      <c r="S184" s="12" t="str">
        <f aca="false">IF($C184="","",$C184&amp;"|"&amp;$R184)</f>
        <v/>
      </c>
    </row>
    <row r="185" customFormat="false" ht="15" hidden="false" customHeight="true" outlineLevel="0" collapsed="false">
      <c r="A185" s="12" t="str">
        <f aca="false">IF($C185="","",TEXT($B185,"yymmdd")&amp;"-"&amp;TEXT(COUNTIFS($B$3:$B185,$B185),"000"))</f>
        <v/>
      </c>
      <c r="B185" s="13"/>
      <c r="C185" s="7"/>
      <c r="D185" s="12" t="str">
        <f aca="false">IF($C185="","",IFERROR(INDEX(고객명부!$B$3:$B$502,MATCH($C185,고객명부!$A$3:$A$502,0)),"미등록고객"))</f>
        <v/>
      </c>
      <c r="E185" s="12" t="str">
        <f aca="false">IF($C185="","",IFERROR(INDEX(고객명부!$C$3:$C$502,MATCH($C185,고객명부!$A$3:$A$502,0)),""))</f>
        <v/>
      </c>
      <c r="F185" s="12" t="str">
        <f aca="false">IF($C185="","",IFERROR(INDEX(고객명부!$D$3:$D$502,MATCH($C185,고객명부!$A$3:$A$502,0)),""))</f>
        <v/>
      </c>
      <c r="G185" s="12" t="str">
        <f aca="false">IF($C185="","",IFERROR(INDEX(고객명부!$E$3:$E$502,MATCH($C185,고객명부!$A$3:$A$502,0))&amp;" "&amp;INDEX(고객명부!$F$3:$F$502,MATCH($C185,고객명부!$A$3:$A$502,0)),""))</f>
        <v/>
      </c>
      <c r="H185" s="7"/>
      <c r="I185" s="12" t="str">
        <f aca="false">IF($H185="","",IFERROR(INDEX(상품목록!$B$3:$B$102,MATCH($H185,상품목록!$A$3:$A$102,0)),""))</f>
        <v/>
      </c>
      <c r="J185" s="14" t="str">
        <f aca="false">IF($H185="","",IFERROR(INDEX(상품목록!$C$3:$C$102,MATCH($H185,상품목록!$A$3:$A$102,0)),0))</f>
        <v/>
      </c>
      <c r="K185" s="7"/>
      <c r="L185" s="14" t="str">
        <f aca="false">IF(OR($J185="",$K185=""),"",ROUND($J185*$K185,0))</f>
        <v/>
      </c>
      <c r="M185" s="9"/>
      <c r="N185" s="14" t="str">
        <f aca="false">IF($L185="","",$L185+IF($M185="",0,$M185))</f>
        <v/>
      </c>
      <c r="O185" s="13"/>
      <c r="P185" s="7"/>
      <c r="Q185" s="12" t="str">
        <f aca="false">IF($C185="","",IF($P185&lt;&gt;"","발송완료",IF($O185&lt;&gt;"","입금완료","입금대기")))</f>
        <v/>
      </c>
      <c r="R185" s="12" t="str">
        <f aca="false">IF($C185="","",COUNTIFS($C$3:$C185,$C185))</f>
        <v/>
      </c>
      <c r="S185" s="12" t="str">
        <f aca="false">IF($C185="","",$C185&amp;"|"&amp;$R185)</f>
        <v/>
      </c>
    </row>
    <row r="186" customFormat="false" ht="15" hidden="false" customHeight="true" outlineLevel="0" collapsed="false">
      <c r="A186" s="12" t="str">
        <f aca="false">IF($C186="","",TEXT($B186,"yymmdd")&amp;"-"&amp;TEXT(COUNTIFS($B$3:$B186,$B186),"000"))</f>
        <v/>
      </c>
      <c r="B186" s="13"/>
      <c r="C186" s="7"/>
      <c r="D186" s="12" t="str">
        <f aca="false">IF($C186="","",IFERROR(INDEX(고객명부!$B$3:$B$502,MATCH($C186,고객명부!$A$3:$A$502,0)),"미등록고객"))</f>
        <v/>
      </c>
      <c r="E186" s="12" t="str">
        <f aca="false">IF($C186="","",IFERROR(INDEX(고객명부!$C$3:$C$502,MATCH($C186,고객명부!$A$3:$A$502,0)),""))</f>
        <v/>
      </c>
      <c r="F186" s="12" t="str">
        <f aca="false">IF($C186="","",IFERROR(INDEX(고객명부!$D$3:$D$502,MATCH($C186,고객명부!$A$3:$A$502,0)),""))</f>
        <v/>
      </c>
      <c r="G186" s="12" t="str">
        <f aca="false">IF($C186="","",IFERROR(INDEX(고객명부!$E$3:$E$502,MATCH($C186,고객명부!$A$3:$A$502,0))&amp;" "&amp;INDEX(고객명부!$F$3:$F$502,MATCH($C186,고객명부!$A$3:$A$502,0)),""))</f>
        <v/>
      </c>
      <c r="H186" s="7"/>
      <c r="I186" s="12" t="str">
        <f aca="false">IF($H186="","",IFERROR(INDEX(상품목록!$B$3:$B$102,MATCH($H186,상품목록!$A$3:$A$102,0)),""))</f>
        <v/>
      </c>
      <c r="J186" s="14" t="str">
        <f aca="false">IF($H186="","",IFERROR(INDEX(상품목록!$C$3:$C$102,MATCH($H186,상품목록!$A$3:$A$102,0)),0))</f>
        <v/>
      </c>
      <c r="K186" s="7"/>
      <c r="L186" s="14" t="str">
        <f aca="false">IF(OR($J186="",$K186=""),"",ROUND($J186*$K186,0))</f>
        <v/>
      </c>
      <c r="M186" s="9"/>
      <c r="N186" s="14" t="str">
        <f aca="false">IF($L186="","",$L186+IF($M186="",0,$M186))</f>
        <v/>
      </c>
      <c r="O186" s="13"/>
      <c r="P186" s="7"/>
      <c r="Q186" s="12" t="str">
        <f aca="false">IF($C186="","",IF($P186&lt;&gt;"","발송완료",IF($O186&lt;&gt;"","입금완료","입금대기")))</f>
        <v/>
      </c>
      <c r="R186" s="12" t="str">
        <f aca="false">IF($C186="","",COUNTIFS($C$3:$C186,$C186))</f>
        <v/>
      </c>
      <c r="S186" s="12" t="str">
        <f aca="false">IF($C186="","",$C186&amp;"|"&amp;$R186)</f>
        <v/>
      </c>
    </row>
    <row r="187" customFormat="false" ht="15" hidden="false" customHeight="true" outlineLevel="0" collapsed="false">
      <c r="A187" s="12" t="str">
        <f aca="false">IF($C187="","",TEXT($B187,"yymmdd")&amp;"-"&amp;TEXT(COUNTIFS($B$3:$B187,$B187),"000"))</f>
        <v/>
      </c>
      <c r="B187" s="13"/>
      <c r="C187" s="7"/>
      <c r="D187" s="12" t="str">
        <f aca="false">IF($C187="","",IFERROR(INDEX(고객명부!$B$3:$B$502,MATCH($C187,고객명부!$A$3:$A$502,0)),"미등록고객"))</f>
        <v/>
      </c>
      <c r="E187" s="12" t="str">
        <f aca="false">IF($C187="","",IFERROR(INDEX(고객명부!$C$3:$C$502,MATCH($C187,고객명부!$A$3:$A$502,0)),""))</f>
        <v/>
      </c>
      <c r="F187" s="12" t="str">
        <f aca="false">IF($C187="","",IFERROR(INDEX(고객명부!$D$3:$D$502,MATCH($C187,고객명부!$A$3:$A$502,0)),""))</f>
        <v/>
      </c>
      <c r="G187" s="12" t="str">
        <f aca="false">IF($C187="","",IFERROR(INDEX(고객명부!$E$3:$E$502,MATCH($C187,고객명부!$A$3:$A$502,0))&amp;" "&amp;INDEX(고객명부!$F$3:$F$502,MATCH($C187,고객명부!$A$3:$A$502,0)),""))</f>
        <v/>
      </c>
      <c r="H187" s="7"/>
      <c r="I187" s="12" t="str">
        <f aca="false">IF($H187="","",IFERROR(INDEX(상품목록!$B$3:$B$102,MATCH($H187,상품목록!$A$3:$A$102,0)),""))</f>
        <v/>
      </c>
      <c r="J187" s="14" t="str">
        <f aca="false">IF($H187="","",IFERROR(INDEX(상품목록!$C$3:$C$102,MATCH($H187,상품목록!$A$3:$A$102,0)),0))</f>
        <v/>
      </c>
      <c r="K187" s="7"/>
      <c r="L187" s="14" t="str">
        <f aca="false">IF(OR($J187="",$K187=""),"",ROUND($J187*$K187,0))</f>
        <v/>
      </c>
      <c r="M187" s="9"/>
      <c r="N187" s="14" t="str">
        <f aca="false">IF($L187="","",$L187+IF($M187="",0,$M187))</f>
        <v/>
      </c>
      <c r="O187" s="13"/>
      <c r="P187" s="7"/>
      <c r="Q187" s="12" t="str">
        <f aca="false">IF($C187="","",IF($P187&lt;&gt;"","발송완료",IF($O187&lt;&gt;"","입금완료","입금대기")))</f>
        <v/>
      </c>
      <c r="R187" s="12" t="str">
        <f aca="false">IF($C187="","",COUNTIFS($C$3:$C187,$C187))</f>
        <v/>
      </c>
      <c r="S187" s="12" t="str">
        <f aca="false">IF($C187="","",$C187&amp;"|"&amp;$R187)</f>
        <v/>
      </c>
    </row>
    <row r="188" customFormat="false" ht="15" hidden="false" customHeight="true" outlineLevel="0" collapsed="false">
      <c r="A188" s="12" t="str">
        <f aca="false">IF($C188="","",TEXT($B188,"yymmdd")&amp;"-"&amp;TEXT(COUNTIFS($B$3:$B188,$B188),"000"))</f>
        <v/>
      </c>
      <c r="B188" s="13"/>
      <c r="C188" s="7"/>
      <c r="D188" s="12" t="str">
        <f aca="false">IF($C188="","",IFERROR(INDEX(고객명부!$B$3:$B$502,MATCH($C188,고객명부!$A$3:$A$502,0)),"미등록고객"))</f>
        <v/>
      </c>
      <c r="E188" s="12" t="str">
        <f aca="false">IF($C188="","",IFERROR(INDEX(고객명부!$C$3:$C$502,MATCH($C188,고객명부!$A$3:$A$502,0)),""))</f>
        <v/>
      </c>
      <c r="F188" s="12" t="str">
        <f aca="false">IF($C188="","",IFERROR(INDEX(고객명부!$D$3:$D$502,MATCH($C188,고객명부!$A$3:$A$502,0)),""))</f>
        <v/>
      </c>
      <c r="G188" s="12" t="str">
        <f aca="false">IF($C188="","",IFERROR(INDEX(고객명부!$E$3:$E$502,MATCH($C188,고객명부!$A$3:$A$502,0))&amp;" "&amp;INDEX(고객명부!$F$3:$F$502,MATCH($C188,고객명부!$A$3:$A$502,0)),""))</f>
        <v/>
      </c>
      <c r="H188" s="7"/>
      <c r="I188" s="12" t="str">
        <f aca="false">IF($H188="","",IFERROR(INDEX(상품목록!$B$3:$B$102,MATCH($H188,상품목록!$A$3:$A$102,0)),""))</f>
        <v/>
      </c>
      <c r="J188" s="14" t="str">
        <f aca="false">IF($H188="","",IFERROR(INDEX(상품목록!$C$3:$C$102,MATCH($H188,상품목록!$A$3:$A$102,0)),0))</f>
        <v/>
      </c>
      <c r="K188" s="7"/>
      <c r="L188" s="14" t="str">
        <f aca="false">IF(OR($J188="",$K188=""),"",ROUND($J188*$K188,0))</f>
        <v/>
      </c>
      <c r="M188" s="9"/>
      <c r="N188" s="14" t="str">
        <f aca="false">IF($L188="","",$L188+IF($M188="",0,$M188))</f>
        <v/>
      </c>
      <c r="O188" s="13"/>
      <c r="P188" s="7"/>
      <c r="Q188" s="12" t="str">
        <f aca="false">IF($C188="","",IF($P188&lt;&gt;"","발송완료",IF($O188&lt;&gt;"","입금완료","입금대기")))</f>
        <v/>
      </c>
      <c r="R188" s="12" t="str">
        <f aca="false">IF($C188="","",COUNTIFS($C$3:$C188,$C188))</f>
        <v/>
      </c>
      <c r="S188" s="12" t="str">
        <f aca="false">IF($C188="","",$C188&amp;"|"&amp;$R188)</f>
        <v/>
      </c>
    </row>
    <row r="189" customFormat="false" ht="15" hidden="false" customHeight="true" outlineLevel="0" collapsed="false">
      <c r="A189" s="12" t="str">
        <f aca="false">IF($C189="","",TEXT($B189,"yymmdd")&amp;"-"&amp;TEXT(COUNTIFS($B$3:$B189,$B189),"000"))</f>
        <v/>
      </c>
      <c r="B189" s="13"/>
      <c r="C189" s="7"/>
      <c r="D189" s="12" t="str">
        <f aca="false">IF($C189="","",IFERROR(INDEX(고객명부!$B$3:$B$502,MATCH($C189,고객명부!$A$3:$A$502,0)),"미등록고객"))</f>
        <v/>
      </c>
      <c r="E189" s="12" t="str">
        <f aca="false">IF($C189="","",IFERROR(INDEX(고객명부!$C$3:$C$502,MATCH($C189,고객명부!$A$3:$A$502,0)),""))</f>
        <v/>
      </c>
      <c r="F189" s="12" t="str">
        <f aca="false">IF($C189="","",IFERROR(INDEX(고객명부!$D$3:$D$502,MATCH($C189,고객명부!$A$3:$A$502,0)),""))</f>
        <v/>
      </c>
      <c r="G189" s="12" t="str">
        <f aca="false">IF($C189="","",IFERROR(INDEX(고객명부!$E$3:$E$502,MATCH($C189,고객명부!$A$3:$A$502,0))&amp;" "&amp;INDEX(고객명부!$F$3:$F$502,MATCH($C189,고객명부!$A$3:$A$502,0)),""))</f>
        <v/>
      </c>
      <c r="H189" s="7"/>
      <c r="I189" s="12" t="str">
        <f aca="false">IF($H189="","",IFERROR(INDEX(상품목록!$B$3:$B$102,MATCH($H189,상품목록!$A$3:$A$102,0)),""))</f>
        <v/>
      </c>
      <c r="J189" s="14" t="str">
        <f aca="false">IF($H189="","",IFERROR(INDEX(상품목록!$C$3:$C$102,MATCH($H189,상품목록!$A$3:$A$102,0)),0))</f>
        <v/>
      </c>
      <c r="K189" s="7"/>
      <c r="L189" s="14" t="str">
        <f aca="false">IF(OR($J189="",$K189=""),"",ROUND($J189*$K189,0))</f>
        <v/>
      </c>
      <c r="M189" s="9"/>
      <c r="N189" s="14" t="str">
        <f aca="false">IF($L189="","",$L189+IF($M189="",0,$M189))</f>
        <v/>
      </c>
      <c r="O189" s="13"/>
      <c r="P189" s="7"/>
      <c r="Q189" s="12" t="str">
        <f aca="false">IF($C189="","",IF($P189&lt;&gt;"","발송완료",IF($O189&lt;&gt;"","입금완료","입금대기")))</f>
        <v/>
      </c>
      <c r="R189" s="12" t="str">
        <f aca="false">IF($C189="","",COUNTIFS($C$3:$C189,$C189))</f>
        <v/>
      </c>
      <c r="S189" s="12" t="str">
        <f aca="false">IF($C189="","",$C189&amp;"|"&amp;$R189)</f>
        <v/>
      </c>
    </row>
    <row r="190" customFormat="false" ht="15" hidden="false" customHeight="true" outlineLevel="0" collapsed="false">
      <c r="A190" s="12" t="str">
        <f aca="false">IF($C190="","",TEXT($B190,"yymmdd")&amp;"-"&amp;TEXT(COUNTIFS($B$3:$B190,$B190),"000"))</f>
        <v/>
      </c>
      <c r="B190" s="13"/>
      <c r="C190" s="7"/>
      <c r="D190" s="12" t="str">
        <f aca="false">IF($C190="","",IFERROR(INDEX(고객명부!$B$3:$B$502,MATCH($C190,고객명부!$A$3:$A$502,0)),"미등록고객"))</f>
        <v/>
      </c>
      <c r="E190" s="12" t="str">
        <f aca="false">IF($C190="","",IFERROR(INDEX(고객명부!$C$3:$C$502,MATCH($C190,고객명부!$A$3:$A$502,0)),""))</f>
        <v/>
      </c>
      <c r="F190" s="12" t="str">
        <f aca="false">IF($C190="","",IFERROR(INDEX(고객명부!$D$3:$D$502,MATCH($C190,고객명부!$A$3:$A$502,0)),""))</f>
        <v/>
      </c>
      <c r="G190" s="12" t="str">
        <f aca="false">IF($C190="","",IFERROR(INDEX(고객명부!$E$3:$E$502,MATCH($C190,고객명부!$A$3:$A$502,0))&amp;" "&amp;INDEX(고객명부!$F$3:$F$502,MATCH($C190,고객명부!$A$3:$A$502,0)),""))</f>
        <v/>
      </c>
      <c r="H190" s="7"/>
      <c r="I190" s="12" t="str">
        <f aca="false">IF($H190="","",IFERROR(INDEX(상품목록!$B$3:$B$102,MATCH($H190,상품목록!$A$3:$A$102,0)),""))</f>
        <v/>
      </c>
      <c r="J190" s="14" t="str">
        <f aca="false">IF($H190="","",IFERROR(INDEX(상품목록!$C$3:$C$102,MATCH($H190,상품목록!$A$3:$A$102,0)),0))</f>
        <v/>
      </c>
      <c r="K190" s="7"/>
      <c r="L190" s="14" t="str">
        <f aca="false">IF(OR($J190="",$K190=""),"",ROUND($J190*$K190,0))</f>
        <v/>
      </c>
      <c r="M190" s="9"/>
      <c r="N190" s="14" t="str">
        <f aca="false">IF($L190="","",$L190+IF($M190="",0,$M190))</f>
        <v/>
      </c>
      <c r="O190" s="13"/>
      <c r="P190" s="7"/>
      <c r="Q190" s="12" t="str">
        <f aca="false">IF($C190="","",IF($P190&lt;&gt;"","발송완료",IF($O190&lt;&gt;"","입금완료","입금대기")))</f>
        <v/>
      </c>
      <c r="R190" s="12" t="str">
        <f aca="false">IF($C190="","",COUNTIFS($C$3:$C190,$C190))</f>
        <v/>
      </c>
      <c r="S190" s="12" t="str">
        <f aca="false">IF($C190="","",$C190&amp;"|"&amp;$R190)</f>
        <v/>
      </c>
    </row>
    <row r="191" customFormat="false" ht="15" hidden="false" customHeight="true" outlineLevel="0" collapsed="false">
      <c r="A191" s="12" t="str">
        <f aca="false">IF($C191="","",TEXT($B191,"yymmdd")&amp;"-"&amp;TEXT(COUNTIFS($B$3:$B191,$B191),"000"))</f>
        <v/>
      </c>
      <c r="B191" s="13"/>
      <c r="C191" s="7"/>
      <c r="D191" s="12" t="str">
        <f aca="false">IF($C191="","",IFERROR(INDEX(고객명부!$B$3:$B$502,MATCH($C191,고객명부!$A$3:$A$502,0)),"미등록고객"))</f>
        <v/>
      </c>
      <c r="E191" s="12" t="str">
        <f aca="false">IF($C191="","",IFERROR(INDEX(고객명부!$C$3:$C$502,MATCH($C191,고객명부!$A$3:$A$502,0)),""))</f>
        <v/>
      </c>
      <c r="F191" s="12" t="str">
        <f aca="false">IF($C191="","",IFERROR(INDEX(고객명부!$D$3:$D$502,MATCH($C191,고객명부!$A$3:$A$502,0)),""))</f>
        <v/>
      </c>
      <c r="G191" s="12" t="str">
        <f aca="false">IF($C191="","",IFERROR(INDEX(고객명부!$E$3:$E$502,MATCH($C191,고객명부!$A$3:$A$502,0))&amp;" "&amp;INDEX(고객명부!$F$3:$F$502,MATCH($C191,고객명부!$A$3:$A$502,0)),""))</f>
        <v/>
      </c>
      <c r="H191" s="7"/>
      <c r="I191" s="12" t="str">
        <f aca="false">IF($H191="","",IFERROR(INDEX(상품목록!$B$3:$B$102,MATCH($H191,상품목록!$A$3:$A$102,0)),""))</f>
        <v/>
      </c>
      <c r="J191" s="14" t="str">
        <f aca="false">IF($H191="","",IFERROR(INDEX(상품목록!$C$3:$C$102,MATCH($H191,상품목록!$A$3:$A$102,0)),0))</f>
        <v/>
      </c>
      <c r="K191" s="7"/>
      <c r="L191" s="14" t="str">
        <f aca="false">IF(OR($J191="",$K191=""),"",ROUND($J191*$K191,0))</f>
        <v/>
      </c>
      <c r="M191" s="9"/>
      <c r="N191" s="14" t="str">
        <f aca="false">IF($L191="","",$L191+IF($M191="",0,$M191))</f>
        <v/>
      </c>
      <c r="O191" s="13"/>
      <c r="P191" s="7"/>
      <c r="Q191" s="12" t="str">
        <f aca="false">IF($C191="","",IF($P191&lt;&gt;"","발송완료",IF($O191&lt;&gt;"","입금완료","입금대기")))</f>
        <v/>
      </c>
      <c r="R191" s="12" t="str">
        <f aca="false">IF($C191="","",COUNTIFS($C$3:$C191,$C191))</f>
        <v/>
      </c>
      <c r="S191" s="12" t="str">
        <f aca="false">IF($C191="","",$C191&amp;"|"&amp;$R191)</f>
        <v/>
      </c>
    </row>
    <row r="192" customFormat="false" ht="15" hidden="false" customHeight="true" outlineLevel="0" collapsed="false">
      <c r="A192" s="12" t="str">
        <f aca="false">IF($C192="","",TEXT($B192,"yymmdd")&amp;"-"&amp;TEXT(COUNTIFS($B$3:$B192,$B192),"000"))</f>
        <v/>
      </c>
      <c r="B192" s="13"/>
      <c r="C192" s="7"/>
      <c r="D192" s="12" t="str">
        <f aca="false">IF($C192="","",IFERROR(INDEX(고객명부!$B$3:$B$502,MATCH($C192,고객명부!$A$3:$A$502,0)),"미등록고객"))</f>
        <v/>
      </c>
      <c r="E192" s="12" t="str">
        <f aca="false">IF($C192="","",IFERROR(INDEX(고객명부!$C$3:$C$502,MATCH($C192,고객명부!$A$3:$A$502,0)),""))</f>
        <v/>
      </c>
      <c r="F192" s="12" t="str">
        <f aca="false">IF($C192="","",IFERROR(INDEX(고객명부!$D$3:$D$502,MATCH($C192,고객명부!$A$3:$A$502,0)),""))</f>
        <v/>
      </c>
      <c r="G192" s="12" t="str">
        <f aca="false">IF($C192="","",IFERROR(INDEX(고객명부!$E$3:$E$502,MATCH($C192,고객명부!$A$3:$A$502,0))&amp;" "&amp;INDEX(고객명부!$F$3:$F$502,MATCH($C192,고객명부!$A$3:$A$502,0)),""))</f>
        <v/>
      </c>
      <c r="H192" s="7"/>
      <c r="I192" s="12" t="str">
        <f aca="false">IF($H192="","",IFERROR(INDEX(상품목록!$B$3:$B$102,MATCH($H192,상품목록!$A$3:$A$102,0)),""))</f>
        <v/>
      </c>
      <c r="J192" s="14" t="str">
        <f aca="false">IF($H192="","",IFERROR(INDEX(상품목록!$C$3:$C$102,MATCH($H192,상품목록!$A$3:$A$102,0)),0))</f>
        <v/>
      </c>
      <c r="K192" s="7"/>
      <c r="L192" s="14" t="str">
        <f aca="false">IF(OR($J192="",$K192=""),"",ROUND($J192*$K192,0))</f>
        <v/>
      </c>
      <c r="M192" s="9"/>
      <c r="N192" s="14" t="str">
        <f aca="false">IF($L192="","",$L192+IF($M192="",0,$M192))</f>
        <v/>
      </c>
      <c r="O192" s="13"/>
      <c r="P192" s="7"/>
      <c r="Q192" s="12" t="str">
        <f aca="false">IF($C192="","",IF($P192&lt;&gt;"","발송완료",IF($O192&lt;&gt;"","입금완료","입금대기")))</f>
        <v/>
      </c>
      <c r="R192" s="12" t="str">
        <f aca="false">IF($C192="","",COUNTIFS($C$3:$C192,$C192))</f>
        <v/>
      </c>
      <c r="S192" s="12" t="str">
        <f aca="false">IF($C192="","",$C192&amp;"|"&amp;$R192)</f>
        <v/>
      </c>
    </row>
    <row r="193" customFormat="false" ht="15" hidden="false" customHeight="true" outlineLevel="0" collapsed="false">
      <c r="A193" s="12" t="str">
        <f aca="false">IF($C193="","",TEXT($B193,"yymmdd")&amp;"-"&amp;TEXT(COUNTIFS($B$3:$B193,$B193),"000"))</f>
        <v/>
      </c>
      <c r="B193" s="13"/>
      <c r="C193" s="7"/>
      <c r="D193" s="12" t="str">
        <f aca="false">IF($C193="","",IFERROR(INDEX(고객명부!$B$3:$B$502,MATCH($C193,고객명부!$A$3:$A$502,0)),"미등록고객"))</f>
        <v/>
      </c>
      <c r="E193" s="12" t="str">
        <f aca="false">IF($C193="","",IFERROR(INDEX(고객명부!$C$3:$C$502,MATCH($C193,고객명부!$A$3:$A$502,0)),""))</f>
        <v/>
      </c>
      <c r="F193" s="12" t="str">
        <f aca="false">IF($C193="","",IFERROR(INDEX(고객명부!$D$3:$D$502,MATCH($C193,고객명부!$A$3:$A$502,0)),""))</f>
        <v/>
      </c>
      <c r="G193" s="12" t="str">
        <f aca="false">IF($C193="","",IFERROR(INDEX(고객명부!$E$3:$E$502,MATCH($C193,고객명부!$A$3:$A$502,0))&amp;" "&amp;INDEX(고객명부!$F$3:$F$502,MATCH($C193,고객명부!$A$3:$A$502,0)),""))</f>
        <v/>
      </c>
      <c r="H193" s="7"/>
      <c r="I193" s="12" t="str">
        <f aca="false">IF($H193="","",IFERROR(INDEX(상품목록!$B$3:$B$102,MATCH($H193,상품목록!$A$3:$A$102,0)),""))</f>
        <v/>
      </c>
      <c r="J193" s="14" t="str">
        <f aca="false">IF($H193="","",IFERROR(INDEX(상품목록!$C$3:$C$102,MATCH($H193,상품목록!$A$3:$A$102,0)),0))</f>
        <v/>
      </c>
      <c r="K193" s="7"/>
      <c r="L193" s="14" t="str">
        <f aca="false">IF(OR($J193="",$K193=""),"",ROUND($J193*$K193,0))</f>
        <v/>
      </c>
      <c r="M193" s="9"/>
      <c r="N193" s="14" t="str">
        <f aca="false">IF($L193="","",$L193+IF($M193="",0,$M193))</f>
        <v/>
      </c>
      <c r="O193" s="13"/>
      <c r="P193" s="7"/>
      <c r="Q193" s="12" t="str">
        <f aca="false">IF($C193="","",IF($P193&lt;&gt;"","발송완료",IF($O193&lt;&gt;"","입금완료","입금대기")))</f>
        <v/>
      </c>
      <c r="R193" s="12" t="str">
        <f aca="false">IF($C193="","",COUNTIFS($C$3:$C193,$C193))</f>
        <v/>
      </c>
      <c r="S193" s="12" t="str">
        <f aca="false">IF($C193="","",$C193&amp;"|"&amp;$R193)</f>
        <v/>
      </c>
    </row>
    <row r="194" customFormat="false" ht="15" hidden="false" customHeight="true" outlineLevel="0" collapsed="false">
      <c r="A194" s="12" t="str">
        <f aca="false">IF($C194="","",TEXT($B194,"yymmdd")&amp;"-"&amp;TEXT(COUNTIFS($B$3:$B194,$B194),"000"))</f>
        <v/>
      </c>
      <c r="B194" s="13"/>
      <c r="C194" s="7"/>
      <c r="D194" s="12" t="str">
        <f aca="false">IF($C194="","",IFERROR(INDEX(고객명부!$B$3:$B$502,MATCH($C194,고객명부!$A$3:$A$502,0)),"미등록고객"))</f>
        <v/>
      </c>
      <c r="E194" s="12" t="str">
        <f aca="false">IF($C194="","",IFERROR(INDEX(고객명부!$C$3:$C$502,MATCH($C194,고객명부!$A$3:$A$502,0)),""))</f>
        <v/>
      </c>
      <c r="F194" s="12" t="str">
        <f aca="false">IF($C194="","",IFERROR(INDEX(고객명부!$D$3:$D$502,MATCH($C194,고객명부!$A$3:$A$502,0)),""))</f>
        <v/>
      </c>
      <c r="G194" s="12" t="str">
        <f aca="false">IF($C194="","",IFERROR(INDEX(고객명부!$E$3:$E$502,MATCH($C194,고객명부!$A$3:$A$502,0))&amp;" "&amp;INDEX(고객명부!$F$3:$F$502,MATCH($C194,고객명부!$A$3:$A$502,0)),""))</f>
        <v/>
      </c>
      <c r="H194" s="7"/>
      <c r="I194" s="12" t="str">
        <f aca="false">IF($H194="","",IFERROR(INDEX(상품목록!$B$3:$B$102,MATCH($H194,상품목록!$A$3:$A$102,0)),""))</f>
        <v/>
      </c>
      <c r="J194" s="14" t="str">
        <f aca="false">IF($H194="","",IFERROR(INDEX(상품목록!$C$3:$C$102,MATCH($H194,상품목록!$A$3:$A$102,0)),0))</f>
        <v/>
      </c>
      <c r="K194" s="7"/>
      <c r="L194" s="14" t="str">
        <f aca="false">IF(OR($J194="",$K194=""),"",ROUND($J194*$K194,0))</f>
        <v/>
      </c>
      <c r="M194" s="9"/>
      <c r="N194" s="14" t="str">
        <f aca="false">IF($L194="","",$L194+IF($M194="",0,$M194))</f>
        <v/>
      </c>
      <c r="O194" s="13"/>
      <c r="P194" s="7"/>
      <c r="Q194" s="12" t="str">
        <f aca="false">IF($C194="","",IF($P194&lt;&gt;"","발송완료",IF($O194&lt;&gt;"","입금완료","입금대기")))</f>
        <v/>
      </c>
      <c r="R194" s="12" t="str">
        <f aca="false">IF($C194="","",COUNTIFS($C$3:$C194,$C194))</f>
        <v/>
      </c>
      <c r="S194" s="12" t="str">
        <f aca="false">IF($C194="","",$C194&amp;"|"&amp;$R194)</f>
        <v/>
      </c>
    </row>
    <row r="195" customFormat="false" ht="15" hidden="false" customHeight="true" outlineLevel="0" collapsed="false">
      <c r="A195" s="12" t="str">
        <f aca="false">IF($C195="","",TEXT($B195,"yymmdd")&amp;"-"&amp;TEXT(COUNTIFS($B$3:$B195,$B195),"000"))</f>
        <v/>
      </c>
      <c r="B195" s="13"/>
      <c r="C195" s="7"/>
      <c r="D195" s="12" t="str">
        <f aca="false">IF($C195="","",IFERROR(INDEX(고객명부!$B$3:$B$502,MATCH($C195,고객명부!$A$3:$A$502,0)),"미등록고객"))</f>
        <v/>
      </c>
      <c r="E195" s="12" t="str">
        <f aca="false">IF($C195="","",IFERROR(INDEX(고객명부!$C$3:$C$502,MATCH($C195,고객명부!$A$3:$A$502,0)),""))</f>
        <v/>
      </c>
      <c r="F195" s="12" t="str">
        <f aca="false">IF($C195="","",IFERROR(INDEX(고객명부!$D$3:$D$502,MATCH($C195,고객명부!$A$3:$A$502,0)),""))</f>
        <v/>
      </c>
      <c r="G195" s="12" t="str">
        <f aca="false">IF($C195="","",IFERROR(INDEX(고객명부!$E$3:$E$502,MATCH($C195,고객명부!$A$3:$A$502,0))&amp;" "&amp;INDEX(고객명부!$F$3:$F$502,MATCH($C195,고객명부!$A$3:$A$502,0)),""))</f>
        <v/>
      </c>
      <c r="H195" s="7"/>
      <c r="I195" s="12" t="str">
        <f aca="false">IF($H195="","",IFERROR(INDEX(상품목록!$B$3:$B$102,MATCH($H195,상품목록!$A$3:$A$102,0)),""))</f>
        <v/>
      </c>
      <c r="J195" s="14" t="str">
        <f aca="false">IF($H195="","",IFERROR(INDEX(상품목록!$C$3:$C$102,MATCH($H195,상품목록!$A$3:$A$102,0)),0))</f>
        <v/>
      </c>
      <c r="K195" s="7"/>
      <c r="L195" s="14" t="str">
        <f aca="false">IF(OR($J195="",$K195=""),"",ROUND($J195*$K195,0))</f>
        <v/>
      </c>
      <c r="M195" s="9"/>
      <c r="N195" s="14" t="str">
        <f aca="false">IF($L195="","",$L195+IF($M195="",0,$M195))</f>
        <v/>
      </c>
      <c r="O195" s="13"/>
      <c r="P195" s="7"/>
      <c r="Q195" s="12" t="str">
        <f aca="false">IF($C195="","",IF($P195&lt;&gt;"","발송완료",IF($O195&lt;&gt;"","입금완료","입금대기")))</f>
        <v/>
      </c>
      <c r="R195" s="12" t="str">
        <f aca="false">IF($C195="","",COUNTIFS($C$3:$C195,$C195))</f>
        <v/>
      </c>
      <c r="S195" s="12" t="str">
        <f aca="false">IF($C195="","",$C195&amp;"|"&amp;$R195)</f>
        <v/>
      </c>
    </row>
    <row r="196" customFormat="false" ht="15" hidden="false" customHeight="true" outlineLevel="0" collapsed="false">
      <c r="A196" s="12" t="str">
        <f aca="false">IF($C196="","",TEXT($B196,"yymmdd")&amp;"-"&amp;TEXT(COUNTIFS($B$3:$B196,$B196),"000"))</f>
        <v/>
      </c>
      <c r="B196" s="13"/>
      <c r="C196" s="7"/>
      <c r="D196" s="12" t="str">
        <f aca="false">IF($C196="","",IFERROR(INDEX(고객명부!$B$3:$B$502,MATCH($C196,고객명부!$A$3:$A$502,0)),"미등록고객"))</f>
        <v/>
      </c>
      <c r="E196" s="12" t="str">
        <f aca="false">IF($C196="","",IFERROR(INDEX(고객명부!$C$3:$C$502,MATCH($C196,고객명부!$A$3:$A$502,0)),""))</f>
        <v/>
      </c>
      <c r="F196" s="12" t="str">
        <f aca="false">IF($C196="","",IFERROR(INDEX(고객명부!$D$3:$D$502,MATCH($C196,고객명부!$A$3:$A$502,0)),""))</f>
        <v/>
      </c>
      <c r="G196" s="12" t="str">
        <f aca="false">IF($C196="","",IFERROR(INDEX(고객명부!$E$3:$E$502,MATCH($C196,고객명부!$A$3:$A$502,0))&amp;" "&amp;INDEX(고객명부!$F$3:$F$502,MATCH($C196,고객명부!$A$3:$A$502,0)),""))</f>
        <v/>
      </c>
      <c r="H196" s="7"/>
      <c r="I196" s="12" t="str">
        <f aca="false">IF($H196="","",IFERROR(INDEX(상품목록!$B$3:$B$102,MATCH($H196,상품목록!$A$3:$A$102,0)),""))</f>
        <v/>
      </c>
      <c r="J196" s="14" t="str">
        <f aca="false">IF($H196="","",IFERROR(INDEX(상품목록!$C$3:$C$102,MATCH($H196,상품목록!$A$3:$A$102,0)),0))</f>
        <v/>
      </c>
      <c r="K196" s="7"/>
      <c r="L196" s="14" t="str">
        <f aca="false">IF(OR($J196="",$K196=""),"",ROUND($J196*$K196,0))</f>
        <v/>
      </c>
      <c r="M196" s="9"/>
      <c r="N196" s="14" t="str">
        <f aca="false">IF($L196="","",$L196+IF($M196="",0,$M196))</f>
        <v/>
      </c>
      <c r="O196" s="13"/>
      <c r="P196" s="7"/>
      <c r="Q196" s="12" t="str">
        <f aca="false">IF($C196="","",IF($P196&lt;&gt;"","발송완료",IF($O196&lt;&gt;"","입금완료","입금대기")))</f>
        <v/>
      </c>
      <c r="R196" s="12" t="str">
        <f aca="false">IF($C196="","",COUNTIFS($C$3:$C196,$C196))</f>
        <v/>
      </c>
      <c r="S196" s="12" t="str">
        <f aca="false">IF($C196="","",$C196&amp;"|"&amp;$R196)</f>
        <v/>
      </c>
    </row>
    <row r="197" customFormat="false" ht="15" hidden="false" customHeight="true" outlineLevel="0" collapsed="false">
      <c r="A197" s="12" t="str">
        <f aca="false">IF($C197="","",TEXT($B197,"yymmdd")&amp;"-"&amp;TEXT(COUNTIFS($B$3:$B197,$B197),"000"))</f>
        <v/>
      </c>
      <c r="B197" s="13"/>
      <c r="C197" s="7"/>
      <c r="D197" s="12" t="str">
        <f aca="false">IF($C197="","",IFERROR(INDEX(고객명부!$B$3:$B$502,MATCH($C197,고객명부!$A$3:$A$502,0)),"미등록고객"))</f>
        <v/>
      </c>
      <c r="E197" s="12" t="str">
        <f aca="false">IF($C197="","",IFERROR(INDEX(고객명부!$C$3:$C$502,MATCH($C197,고객명부!$A$3:$A$502,0)),""))</f>
        <v/>
      </c>
      <c r="F197" s="12" t="str">
        <f aca="false">IF($C197="","",IFERROR(INDEX(고객명부!$D$3:$D$502,MATCH($C197,고객명부!$A$3:$A$502,0)),""))</f>
        <v/>
      </c>
      <c r="G197" s="12" t="str">
        <f aca="false">IF($C197="","",IFERROR(INDEX(고객명부!$E$3:$E$502,MATCH($C197,고객명부!$A$3:$A$502,0))&amp;" "&amp;INDEX(고객명부!$F$3:$F$502,MATCH($C197,고객명부!$A$3:$A$502,0)),""))</f>
        <v/>
      </c>
      <c r="H197" s="7"/>
      <c r="I197" s="12" t="str">
        <f aca="false">IF($H197="","",IFERROR(INDEX(상품목록!$B$3:$B$102,MATCH($H197,상품목록!$A$3:$A$102,0)),""))</f>
        <v/>
      </c>
      <c r="J197" s="14" t="str">
        <f aca="false">IF($H197="","",IFERROR(INDEX(상품목록!$C$3:$C$102,MATCH($H197,상품목록!$A$3:$A$102,0)),0))</f>
        <v/>
      </c>
      <c r="K197" s="7"/>
      <c r="L197" s="14" t="str">
        <f aca="false">IF(OR($J197="",$K197=""),"",ROUND($J197*$K197,0))</f>
        <v/>
      </c>
      <c r="M197" s="9"/>
      <c r="N197" s="14" t="str">
        <f aca="false">IF($L197="","",$L197+IF($M197="",0,$M197))</f>
        <v/>
      </c>
      <c r="O197" s="13"/>
      <c r="P197" s="7"/>
      <c r="Q197" s="12" t="str">
        <f aca="false">IF($C197="","",IF($P197&lt;&gt;"","발송완료",IF($O197&lt;&gt;"","입금완료","입금대기")))</f>
        <v/>
      </c>
      <c r="R197" s="12" t="str">
        <f aca="false">IF($C197="","",COUNTIFS($C$3:$C197,$C197))</f>
        <v/>
      </c>
      <c r="S197" s="12" t="str">
        <f aca="false">IF($C197="","",$C197&amp;"|"&amp;$R197)</f>
        <v/>
      </c>
    </row>
    <row r="198" customFormat="false" ht="15" hidden="false" customHeight="true" outlineLevel="0" collapsed="false">
      <c r="A198" s="12" t="str">
        <f aca="false">IF($C198="","",TEXT($B198,"yymmdd")&amp;"-"&amp;TEXT(COUNTIFS($B$3:$B198,$B198),"000"))</f>
        <v/>
      </c>
      <c r="B198" s="13"/>
      <c r="C198" s="7"/>
      <c r="D198" s="12" t="str">
        <f aca="false">IF($C198="","",IFERROR(INDEX(고객명부!$B$3:$B$502,MATCH($C198,고객명부!$A$3:$A$502,0)),"미등록고객"))</f>
        <v/>
      </c>
      <c r="E198" s="12" t="str">
        <f aca="false">IF($C198="","",IFERROR(INDEX(고객명부!$C$3:$C$502,MATCH($C198,고객명부!$A$3:$A$502,0)),""))</f>
        <v/>
      </c>
      <c r="F198" s="12" t="str">
        <f aca="false">IF($C198="","",IFERROR(INDEX(고객명부!$D$3:$D$502,MATCH($C198,고객명부!$A$3:$A$502,0)),""))</f>
        <v/>
      </c>
      <c r="G198" s="12" t="str">
        <f aca="false">IF($C198="","",IFERROR(INDEX(고객명부!$E$3:$E$502,MATCH($C198,고객명부!$A$3:$A$502,0))&amp;" "&amp;INDEX(고객명부!$F$3:$F$502,MATCH($C198,고객명부!$A$3:$A$502,0)),""))</f>
        <v/>
      </c>
      <c r="H198" s="7"/>
      <c r="I198" s="12" t="str">
        <f aca="false">IF($H198="","",IFERROR(INDEX(상품목록!$B$3:$B$102,MATCH($H198,상품목록!$A$3:$A$102,0)),""))</f>
        <v/>
      </c>
      <c r="J198" s="14" t="str">
        <f aca="false">IF($H198="","",IFERROR(INDEX(상품목록!$C$3:$C$102,MATCH($H198,상품목록!$A$3:$A$102,0)),0))</f>
        <v/>
      </c>
      <c r="K198" s="7"/>
      <c r="L198" s="14" t="str">
        <f aca="false">IF(OR($J198="",$K198=""),"",ROUND($J198*$K198,0))</f>
        <v/>
      </c>
      <c r="M198" s="9"/>
      <c r="N198" s="14" t="str">
        <f aca="false">IF($L198="","",$L198+IF($M198="",0,$M198))</f>
        <v/>
      </c>
      <c r="O198" s="13"/>
      <c r="P198" s="7"/>
      <c r="Q198" s="12" t="str">
        <f aca="false">IF($C198="","",IF($P198&lt;&gt;"","발송완료",IF($O198&lt;&gt;"","입금완료","입금대기")))</f>
        <v/>
      </c>
      <c r="R198" s="12" t="str">
        <f aca="false">IF($C198="","",COUNTIFS($C$3:$C198,$C198))</f>
        <v/>
      </c>
      <c r="S198" s="12" t="str">
        <f aca="false">IF($C198="","",$C198&amp;"|"&amp;$R198)</f>
        <v/>
      </c>
    </row>
    <row r="199" customFormat="false" ht="15" hidden="false" customHeight="true" outlineLevel="0" collapsed="false">
      <c r="A199" s="12" t="str">
        <f aca="false">IF($C199="","",TEXT($B199,"yymmdd")&amp;"-"&amp;TEXT(COUNTIFS($B$3:$B199,$B199),"000"))</f>
        <v/>
      </c>
      <c r="B199" s="13"/>
      <c r="C199" s="7"/>
      <c r="D199" s="12" t="str">
        <f aca="false">IF($C199="","",IFERROR(INDEX(고객명부!$B$3:$B$502,MATCH($C199,고객명부!$A$3:$A$502,0)),"미등록고객"))</f>
        <v/>
      </c>
      <c r="E199" s="12" t="str">
        <f aca="false">IF($C199="","",IFERROR(INDEX(고객명부!$C$3:$C$502,MATCH($C199,고객명부!$A$3:$A$502,0)),""))</f>
        <v/>
      </c>
      <c r="F199" s="12" t="str">
        <f aca="false">IF($C199="","",IFERROR(INDEX(고객명부!$D$3:$D$502,MATCH($C199,고객명부!$A$3:$A$502,0)),""))</f>
        <v/>
      </c>
      <c r="G199" s="12" t="str">
        <f aca="false">IF($C199="","",IFERROR(INDEX(고객명부!$E$3:$E$502,MATCH($C199,고객명부!$A$3:$A$502,0))&amp;" "&amp;INDEX(고객명부!$F$3:$F$502,MATCH($C199,고객명부!$A$3:$A$502,0)),""))</f>
        <v/>
      </c>
      <c r="H199" s="7"/>
      <c r="I199" s="12" t="str">
        <f aca="false">IF($H199="","",IFERROR(INDEX(상품목록!$B$3:$B$102,MATCH($H199,상품목록!$A$3:$A$102,0)),""))</f>
        <v/>
      </c>
      <c r="J199" s="14" t="str">
        <f aca="false">IF($H199="","",IFERROR(INDEX(상품목록!$C$3:$C$102,MATCH($H199,상품목록!$A$3:$A$102,0)),0))</f>
        <v/>
      </c>
      <c r="K199" s="7"/>
      <c r="L199" s="14" t="str">
        <f aca="false">IF(OR($J199="",$K199=""),"",ROUND($J199*$K199,0))</f>
        <v/>
      </c>
      <c r="M199" s="9"/>
      <c r="N199" s="14" t="str">
        <f aca="false">IF($L199="","",$L199+IF($M199="",0,$M199))</f>
        <v/>
      </c>
      <c r="O199" s="13"/>
      <c r="P199" s="7"/>
      <c r="Q199" s="12" t="str">
        <f aca="false">IF($C199="","",IF($P199&lt;&gt;"","발송완료",IF($O199&lt;&gt;"","입금완료","입금대기")))</f>
        <v/>
      </c>
      <c r="R199" s="12" t="str">
        <f aca="false">IF($C199="","",COUNTIFS($C$3:$C199,$C199))</f>
        <v/>
      </c>
      <c r="S199" s="12" t="str">
        <f aca="false">IF($C199="","",$C199&amp;"|"&amp;$R199)</f>
        <v/>
      </c>
    </row>
    <row r="200" customFormat="false" ht="15" hidden="false" customHeight="true" outlineLevel="0" collapsed="false">
      <c r="A200" s="12" t="str">
        <f aca="false">IF($C200="","",TEXT($B200,"yymmdd")&amp;"-"&amp;TEXT(COUNTIFS($B$3:$B200,$B200),"000"))</f>
        <v/>
      </c>
      <c r="B200" s="13"/>
      <c r="C200" s="7"/>
      <c r="D200" s="12" t="str">
        <f aca="false">IF($C200="","",IFERROR(INDEX(고객명부!$B$3:$B$502,MATCH($C200,고객명부!$A$3:$A$502,0)),"미등록고객"))</f>
        <v/>
      </c>
      <c r="E200" s="12" t="str">
        <f aca="false">IF($C200="","",IFERROR(INDEX(고객명부!$C$3:$C$502,MATCH($C200,고객명부!$A$3:$A$502,0)),""))</f>
        <v/>
      </c>
      <c r="F200" s="12" t="str">
        <f aca="false">IF($C200="","",IFERROR(INDEX(고객명부!$D$3:$D$502,MATCH($C200,고객명부!$A$3:$A$502,0)),""))</f>
        <v/>
      </c>
      <c r="G200" s="12" t="str">
        <f aca="false">IF($C200="","",IFERROR(INDEX(고객명부!$E$3:$E$502,MATCH($C200,고객명부!$A$3:$A$502,0))&amp;" "&amp;INDEX(고객명부!$F$3:$F$502,MATCH($C200,고객명부!$A$3:$A$502,0)),""))</f>
        <v/>
      </c>
      <c r="H200" s="7"/>
      <c r="I200" s="12" t="str">
        <f aca="false">IF($H200="","",IFERROR(INDEX(상품목록!$B$3:$B$102,MATCH($H200,상품목록!$A$3:$A$102,0)),""))</f>
        <v/>
      </c>
      <c r="J200" s="14" t="str">
        <f aca="false">IF($H200="","",IFERROR(INDEX(상품목록!$C$3:$C$102,MATCH($H200,상품목록!$A$3:$A$102,0)),0))</f>
        <v/>
      </c>
      <c r="K200" s="7"/>
      <c r="L200" s="14" t="str">
        <f aca="false">IF(OR($J200="",$K200=""),"",ROUND($J200*$K200,0))</f>
        <v/>
      </c>
      <c r="M200" s="9"/>
      <c r="N200" s="14" t="str">
        <f aca="false">IF($L200="","",$L200+IF($M200="",0,$M200))</f>
        <v/>
      </c>
      <c r="O200" s="13"/>
      <c r="P200" s="7"/>
      <c r="Q200" s="12" t="str">
        <f aca="false">IF($C200="","",IF($P200&lt;&gt;"","발송완료",IF($O200&lt;&gt;"","입금완료","입금대기")))</f>
        <v/>
      </c>
      <c r="R200" s="12" t="str">
        <f aca="false">IF($C200="","",COUNTIFS($C$3:$C200,$C200))</f>
        <v/>
      </c>
      <c r="S200" s="12" t="str">
        <f aca="false">IF($C200="","",$C200&amp;"|"&amp;$R200)</f>
        <v/>
      </c>
    </row>
    <row r="201" customFormat="false" ht="15" hidden="false" customHeight="true" outlineLevel="0" collapsed="false">
      <c r="A201" s="12" t="str">
        <f aca="false">IF($C201="","",TEXT($B201,"yymmdd")&amp;"-"&amp;TEXT(COUNTIFS($B$3:$B201,$B201),"000"))</f>
        <v/>
      </c>
      <c r="B201" s="13"/>
      <c r="C201" s="7"/>
      <c r="D201" s="12" t="str">
        <f aca="false">IF($C201="","",IFERROR(INDEX(고객명부!$B$3:$B$502,MATCH($C201,고객명부!$A$3:$A$502,0)),"미등록고객"))</f>
        <v/>
      </c>
      <c r="E201" s="12" t="str">
        <f aca="false">IF($C201="","",IFERROR(INDEX(고객명부!$C$3:$C$502,MATCH($C201,고객명부!$A$3:$A$502,0)),""))</f>
        <v/>
      </c>
      <c r="F201" s="12" t="str">
        <f aca="false">IF($C201="","",IFERROR(INDEX(고객명부!$D$3:$D$502,MATCH($C201,고객명부!$A$3:$A$502,0)),""))</f>
        <v/>
      </c>
      <c r="G201" s="12" t="str">
        <f aca="false">IF($C201="","",IFERROR(INDEX(고객명부!$E$3:$E$502,MATCH($C201,고객명부!$A$3:$A$502,0))&amp;" "&amp;INDEX(고객명부!$F$3:$F$502,MATCH($C201,고객명부!$A$3:$A$502,0)),""))</f>
        <v/>
      </c>
      <c r="H201" s="7"/>
      <c r="I201" s="12" t="str">
        <f aca="false">IF($H201="","",IFERROR(INDEX(상품목록!$B$3:$B$102,MATCH($H201,상품목록!$A$3:$A$102,0)),""))</f>
        <v/>
      </c>
      <c r="J201" s="14" t="str">
        <f aca="false">IF($H201="","",IFERROR(INDEX(상품목록!$C$3:$C$102,MATCH($H201,상품목록!$A$3:$A$102,0)),0))</f>
        <v/>
      </c>
      <c r="K201" s="7"/>
      <c r="L201" s="14" t="str">
        <f aca="false">IF(OR($J201="",$K201=""),"",ROUND($J201*$K201,0))</f>
        <v/>
      </c>
      <c r="M201" s="9"/>
      <c r="N201" s="14" t="str">
        <f aca="false">IF($L201="","",$L201+IF($M201="",0,$M201))</f>
        <v/>
      </c>
      <c r="O201" s="13"/>
      <c r="P201" s="7"/>
      <c r="Q201" s="12" t="str">
        <f aca="false">IF($C201="","",IF($P201&lt;&gt;"","발송완료",IF($O201&lt;&gt;"","입금완료","입금대기")))</f>
        <v/>
      </c>
      <c r="R201" s="12" t="str">
        <f aca="false">IF($C201="","",COUNTIFS($C$3:$C201,$C201))</f>
        <v/>
      </c>
      <c r="S201" s="12" t="str">
        <f aca="false">IF($C201="","",$C201&amp;"|"&amp;$R201)</f>
        <v/>
      </c>
    </row>
    <row r="202" customFormat="false" ht="15" hidden="false" customHeight="true" outlineLevel="0" collapsed="false">
      <c r="A202" s="12" t="str">
        <f aca="false">IF($C202="","",TEXT($B202,"yymmdd")&amp;"-"&amp;TEXT(COUNTIFS($B$3:$B202,$B202),"000"))</f>
        <v/>
      </c>
      <c r="B202" s="13"/>
      <c r="C202" s="7"/>
      <c r="D202" s="12" t="str">
        <f aca="false">IF($C202="","",IFERROR(INDEX(고객명부!$B$3:$B$502,MATCH($C202,고객명부!$A$3:$A$502,0)),"미등록고객"))</f>
        <v/>
      </c>
      <c r="E202" s="12" t="str">
        <f aca="false">IF($C202="","",IFERROR(INDEX(고객명부!$C$3:$C$502,MATCH($C202,고객명부!$A$3:$A$502,0)),""))</f>
        <v/>
      </c>
      <c r="F202" s="12" t="str">
        <f aca="false">IF($C202="","",IFERROR(INDEX(고객명부!$D$3:$D$502,MATCH($C202,고객명부!$A$3:$A$502,0)),""))</f>
        <v/>
      </c>
      <c r="G202" s="12" t="str">
        <f aca="false">IF($C202="","",IFERROR(INDEX(고객명부!$E$3:$E$502,MATCH($C202,고객명부!$A$3:$A$502,0))&amp;" "&amp;INDEX(고객명부!$F$3:$F$502,MATCH($C202,고객명부!$A$3:$A$502,0)),""))</f>
        <v/>
      </c>
      <c r="H202" s="7"/>
      <c r="I202" s="12" t="str">
        <f aca="false">IF($H202="","",IFERROR(INDEX(상품목록!$B$3:$B$102,MATCH($H202,상품목록!$A$3:$A$102,0)),""))</f>
        <v/>
      </c>
      <c r="J202" s="14" t="str">
        <f aca="false">IF($H202="","",IFERROR(INDEX(상품목록!$C$3:$C$102,MATCH($H202,상품목록!$A$3:$A$102,0)),0))</f>
        <v/>
      </c>
      <c r="K202" s="7"/>
      <c r="L202" s="14" t="str">
        <f aca="false">IF(OR($J202="",$K202=""),"",ROUND($J202*$K202,0))</f>
        <v/>
      </c>
      <c r="M202" s="9"/>
      <c r="N202" s="14" t="str">
        <f aca="false">IF($L202="","",$L202+IF($M202="",0,$M202))</f>
        <v/>
      </c>
      <c r="O202" s="13"/>
      <c r="P202" s="7"/>
      <c r="Q202" s="12" t="str">
        <f aca="false">IF($C202="","",IF($P202&lt;&gt;"","발송완료",IF($O202&lt;&gt;"","입금완료","입금대기")))</f>
        <v/>
      </c>
      <c r="R202" s="12" t="str">
        <f aca="false">IF($C202="","",COUNTIFS($C$3:$C202,$C202))</f>
        <v/>
      </c>
      <c r="S202" s="12" t="str">
        <f aca="false">IF($C202="","",$C202&amp;"|"&amp;$R202)</f>
        <v/>
      </c>
    </row>
    <row r="203" customFormat="false" ht="15" hidden="false" customHeight="true" outlineLevel="0" collapsed="false">
      <c r="A203" s="12" t="str">
        <f aca="false">IF($C203="","",TEXT($B203,"yymmdd")&amp;"-"&amp;TEXT(COUNTIFS($B$3:$B203,$B203),"000"))</f>
        <v/>
      </c>
      <c r="B203" s="13"/>
      <c r="C203" s="7"/>
      <c r="D203" s="12" t="str">
        <f aca="false">IF($C203="","",IFERROR(INDEX(고객명부!$B$3:$B$502,MATCH($C203,고객명부!$A$3:$A$502,0)),"미등록고객"))</f>
        <v/>
      </c>
      <c r="E203" s="12" t="str">
        <f aca="false">IF($C203="","",IFERROR(INDEX(고객명부!$C$3:$C$502,MATCH($C203,고객명부!$A$3:$A$502,0)),""))</f>
        <v/>
      </c>
      <c r="F203" s="12" t="str">
        <f aca="false">IF($C203="","",IFERROR(INDEX(고객명부!$D$3:$D$502,MATCH($C203,고객명부!$A$3:$A$502,0)),""))</f>
        <v/>
      </c>
      <c r="G203" s="12" t="str">
        <f aca="false">IF($C203="","",IFERROR(INDEX(고객명부!$E$3:$E$502,MATCH($C203,고객명부!$A$3:$A$502,0))&amp;" "&amp;INDEX(고객명부!$F$3:$F$502,MATCH($C203,고객명부!$A$3:$A$502,0)),""))</f>
        <v/>
      </c>
      <c r="H203" s="7"/>
      <c r="I203" s="12" t="str">
        <f aca="false">IF($H203="","",IFERROR(INDEX(상품목록!$B$3:$B$102,MATCH($H203,상품목록!$A$3:$A$102,0)),""))</f>
        <v/>
      </c>
      <c r="J203" s="14" t="str">
        <f aca="false">IF($H203="","",IFERROR(INDEX(상품목록!$C$3:$C$102,MATCH($H203,상품목록!$A$3:$A$102,0)),0))</f>
        <v/>
      </c>
      <c r="K203" s="7"/>
      <c r="L203" s="14" t="str">
        <f aca="false">IF(OR($J203="",$K203=""),"",ROUND($J203*$K203,0))</f>
        <v/>
      </c>
      <c r="M203" s="9"/>
      <c r="N203" s="14" t="str">
        <f aca="false">IF($L203="","",$L203+IF($M203="",0,$M203))</f>
        <v/>
      </c>
      <c r="O203" s="13"/>
      <c r="P203" s="7"/>
      <c r="Q203" s="12" t="str">
        <f aca="false">IF($C203="","",IF($P203&lt;&gt;"","발송완료",IF($O203&lt;&gt;"","입금완료","입금대기")))</f>
        <v/>
      </c>
      <c r="R203" s="12" t="str">
        <f aca="false">IF($C203="","",COUNTIFS($C$3:$C203,$C203))</f>
        <v/>
      </c>
      <c r="S203" s="12" t="str">
        <f aca="false">IF($C203="","",$C203&amp;"|"&amp;$R203)</f>
        <v/>
      </c>
    </row>
    <row r="204" customFormat="false" ht="15" hidden="false" customHeight="true" outlineLevel="0" collapsed="false">
      <c r="A204" s="12" t="str">
        <f aca="false">IF($C204="","",TEXT($B204,"yymmdd")&amp;"-"&amp;TEXT(COUNTIFS($B$3:$B204,$B204),"000"))</f>
        <v/>
      </c>
      <c r="B204" s="13"/>
      <c r="C204" s="7"/>
      <c r="D204" s="12" t="str">
        <f aca="false">IF($C204="","",IFERROR(INDEX(고객명부!$B$3:$B$502,MATCH($C204,고객명부!$A$3:$A$502,0)),"미등록고객"))</f>
        <v/>
      </c>
      <c r="E204" s="12" t="str">
        <f aca="false">IF($C204="","",IFERROR(INDEX(고객명부!$C$3:$C$502,MATCH($C204,고객명부!$A$3:$A$502,0)),""))</f>
        <v/>
      </c>
      <c r="F204" s="12" t="str">
        <f aca="false">IF($C204="","",IFERROR(INDEX(고객명부!$D$3:$D$502,MATCH($C204,고객명부!$A$3:$A$502,0)),""))</f>
        <v/>
      </c>
      <c r="G204" s="12" t="str">
        <f aca="false">IF($C204="","",IFERROR(INDEX(고객명부!$E$3:$E$502,MATCH($C204,고객명부!$A$3:$A$502,0))&amp;" "&amp;INDEX(고객명부!$F$3:$F$502,MATCH($C204,고객명부!$A$3:$A$502,0)),""))</f>
        <v/>
      </c>
      <c r="H204" s="7"/>
      <c r="I204" s="12" t="str">
        <f aca="false">IF($H204="","",IFERROR(INDEX(상품목록!$B$3:$B$102,MATCH($H204,상품목록!$A$3:$A$102,0)),""))</f>
        <v/>
      </c>
      <c r="J204" s="14" t="str">
        <f aca="false">IF($H204="","",IFERROR(INDEX(상품목록!$C$3:$C$102,MATCH($H204,상품목록!$A$3:$A$102,0)),0))</f>
        <v/>
      </c>
      <c r="K204" s="7"/>
      <c r="L204" s="14" t="str">
        <f aca="false">IF(OR($J204="",$K204=""),"",ROUND($J204*$K204,0))</f>
        <v/>
      </c>
      <c r="M204" s="9"/>
      <c r="N204" s="14" t="str">
        <f aca="false">IF($L204="","",$L204+IF($M204="",0,$M204))</f>
        <v/>
      </c>
      <c r="O204" s="13"/>
      <c r="P204" s="7"/>
      <c r="Q204" s="12" t="str">
        <f aca="false">IF($C204="","",IF($P204&lt;&gt;"","발송완료",IF($O204&lt;&gt;"","입금완료","입금대기")))</f>
        <v/>
      </c>
      <c r="R204" s="12" t="str">
        <f aca="false">IF($C204="","",COUNTIFS($C$3:$C204,$C204))</f>
        <v/>
      </c>
      <c r="S204" s="12" t="str">
        <f aca="false">IF($C204="","",$C204&amp;"|"&amp;$R204)</f>
        <v/>
      </c>
    </row>
    <row r="205" customFormat="false" ht="15" hidden="false" customHeight="true" outlineLevel="0" collapsed="false">
      <c r="A205" s="12" t="str">
        <f aca="false">IF($C205="","",TEXT($B205,"yymmdd")&amp;"-"&amp;TEXT(COUNTIFS($B$3:$B205,$B205),"000"))</f>
        <v/>
      </c>
      <c r="B205" s="13"/>
      <c r="C205" s="7"/>
      <c r="D205" s="12" t="str">
        <f aca="false">IF($C205="","",IFERROR(INDEX(고객명부!$B$3:$B$502,MATCH($C205,고객명부!$A$3:$A$502,0)),"미등록고객"))</f>
        <v/>
      </c>
      <c r="E205" s="12" t="str">
        <f aca="false">IF($C205="","",IFERROR(INDEX(고객명부!$C$3:$C$502,MATCH($C205,고객명부!$A$3:$A$502,0)),""))</f>
        <v/>
      </c>
      <c r="F205" s="12" t="str">
        <f aca="false">IF($C205="","",IFERROR(INDEX(고객명부!$D$3:$D$502,MATCH($C205,고객명부!$A$3:$A$502,0)),""))</f>
        <v/>
      </c>
      <c r="G205" s="12" t="str">
        <f aca="false">IF($C205="","",IFERROR(INDEX(고객명부!$E$3:$E$502,MATCH($C205,고객명부!$A$3:$A$502,0))&amp;" "&amp;INDEX(고객명부!$F$3:$F$502,MATCH($C205,고객명부!$A$3:$A$502,0)),""))</f>
        <v/>
      </c>
      <c r="H205" s="7"/>
      <c r="I205" s="12" t="str">
        <f aca="false">IF($H205="","",IFERROR(INDEX(상품목록!$B$3:$B$102,MATCH($H205,상품목록!$A$3:$A$102,0)),""))</f>
        <v/>
      </c>
      <c r="J205" s="14" t="str">
        <f aca="false">IF($H205="","",IFERROR(INDEX(상품목록!$C$3:$C$102,MATCH($H205,상품목록!$A$3:$A$102,0)),0))</f>
        <v/>
      </c>
      <c r="K205" s="7"/>
      <c r="L205" s="14" t="str">
        <f aca="false">IF(OR($J205="",$K205=""),"",ROUND($J205*$K205,0))</f>
        <v/>
      </c>
      <c r="M205" s="9"/>
      <c r="N205" s="14" t="str">
        <f aca="false">IF($L205="","",$L205+IF($M205="",0,$M205))</f>
        <v/>
      </c>
      <c r="O205" s="13"/>
      <c r="P205" s="7"/>
      <c r="Q205" s="12" t="str">
        <f aca="false">IF($C205="","",IF($P205&lt;&gt;"","발송완료",IF($O205&lt;&gt;"","입금완료","입금대기")))</f>
        <v/>
      </c>
      <c r="R205" s="12" t="str">
        <f aca="false">IF($C205="","",COUNTIFS($C$3:$C205,$C205))</f>
        <v/>
      </c>
      <c r="S205" s="12" t="str">
        <f aca="false">IF($C205="","",$C205&amp;"|"&amp;$R205)</f>
        <v/>
      </c>
    </row>
    <row r="206" customFormat="false" ht="15" hidden="false" customHeight="true" outlineLevel="0" collapsed="false">
      <c r="A206" s="12" t="str">
        <f aca="false">IF($C206="","",TEXT($B206,"yymmdd")&amp;"-"&amp;TEXT(COUNTIFS($B$3:$B206,$B206),"000"))</f>
        <v/>
      </c>
      <c r="B206" s="13"/>
      <c r="C206" s="7"/>
      <c r="D206" s="12" t="str">
        <f aca="false">IF($C206="","",IFERROR(INDEX(고객명부!$B$3:$B$502,MATCH($C206,고객명부!$A$3:$A$502,0)),"미등록고객"))</f>
        <v/>
      </c>
      <c r="E206" s="12" t="str">
        <f aca="false">IF($C206="","",IFERROR(INDEX(고객명부!$C$3:$C$502,MATCH($C206,고객명부!$A$3:$A$502,0)),""))</f>
        <v/>
      </c>
      <c r="F206" s="12" t="str">
        <f aca="false">IF($C206="","",IFERROR(INDEX(고객명부!$D$3:$D$502,MATCH($C206,고객명부!$A$3:$A$502,0)),""))</f>
        <v/>
      </c>
      <c r="G206" s="12" t="str">
        <f aca="false">IF($C206="","",IFERROR(INDEX(고객명부!$E$3:$E$502,MATCH($C206,고객명부!$A$3:$A$502,0))&amp;" "&amp;INDEX(고객명부!$F$3:$F$502,MATCH($C206,고객명부!$A$3:$A$502,0)),""))</f>
        <v/>
      </c>
      <c r="H206" s="7"/>
      <c r="I206" s="12" t="str">
        <f aca="false">IF($H206="","",IFERROR(INDEX(상품목록!$B$3:$B$102,MATCH($H206,상품목록!$A$3:$A$102,0)),""))</f>
        <v/>
      </c>
      <c r="J206" s="14" t="str">
        <f aca="false">IF($H206="","",IFERROR(INDEX(상품목록!$C$3:$C$102,MATCH($H206,상품목록!$A$3:$A$102,0)),0))</f>
        <v/>
      </c>
      <c r="K206" s="7"/>
      <c r="L206" s="14" t="str">
        <f aca="false">IF(OR($J206="",$K206=""),"",ROUND($J206*$K206,0))</f>
        <v/>
      </c>
      <c r="M206" s="9"/>
      <c r="N206" s="14" t="str">
        <f aca="false">IF($L206="","",$L206+IF($M206="",0,$M206))</f>
        <v/>
      </c>
      <c r="O206" s="13"/>
      <c r="P206" s="7"/>
      <c r="Q206" s="12" t="str">
        <f aca="false">IF($C206="","",IF($P206&lt;&gt;"","발송완료",IF($O206&lt;&gt;"","입금완료","입금대기")))</f>
        <v/>
      </c>
      <c r="R206" s="12" t="str">
        <f aca="false">IF($C206="","",COUNTIFS($C$3:$C206,$C206))</f>
        <v/>
      </c>
      <c r="S206" s="12" t="str">
        <f aca="false">IF($C206="","",$C206&amp;"|"&amp;$R206)</f>
        <v/>
      </c>
    </row>
    <row r="207" customFormat="false" ht="15" hidden="false" customHeight="true" outlineLevel="0" collapsed="false">
      <c r="A207" s="12" t="str">
        <f aca="false">IF($C207="","",TEXT($B207,"yymmdd")&amp;"-"&amp;TEXT(COUNTIFS($B$3:$B207,$B207),"000"))</f>
        <v/>
      </c>
      <c r="B207" s="13"/>
      <c r="C207" s="7"/>
      <c r="D207" s="12" t="str">
        <f aca="false">IF($C207="","",IFERROR(INDEX(고객명부!$B$3:$B$502,MATCH($C207,고객명부!$A$3:$A$502,0)),"미등록고객"))</f>
        <v/>
      </c>
      <c r="E207" s="12" t="str">
        <f aca="false">IF($C207="","",IFERROR(INDEX(고객명부!$C$3:$C$502,MATCH($C207,고객명부!$A$3:$A$502,0)),""))</f>
        <v/>
      </c>
      <c r="F207" s="12" t="str">
        <f aca="false">IF($C207="","",IFERROR(INDEX(고객명부!$D$3:$D$502,MATCH($C207,고객명부!$A$3:$A$502,0)),""))</f>
        <v/>
      </c>
      <c r="G207" s="12" t="str">
        <f aca="false">IF($C207="","",IFERROR(INDEX(고객명부!$E$3:$E$502,MATCH($C207,고객명부!$A$3:$A$502,0))&amp;" "&amp;INDEX(고객명부!$F$3:$F$502,MATCH($C207,고객명부!$A$3:$A$502,0)),""))</f>
        <v/>
      </c>
      <c r="H207" s="7"/>
      <c r="I207" s="12" t="str">
        <f aca="false">IF($H207="","",IFERROR(INDEX(상품목록!$B$3:$B$102,MATCH($H207,상품목록!$A$3:$A$102,0)),""))</f>
        <v/>
      </c>
      <c r="J207" s="14" t="str">
        <f aca="false">IF($H207="","",IFERROR(INDEX(상품목록!$C$3:$C$102,MATCH($H207,상품목록!$A$3:$A$102,0)),0))</f>
        <v/>
      </c>
      <c r="K207" s="7"/>
      <c r="L207" s="14" t="str">
        <f aca="false">IF(OR($J207="",$K207=""),"",ROUND($J207*$K207,0))</f>
        <v/>
      </c>
      <c r="M207" s="9"/>
      <c r="N207" s="14" t="str">
        <f aca="false">IF($L207="","",$L207+IF($M207="",0,$M207))</f>
        <v/>
      </c>
      <c r="O207" s="13"/>
      <c r="P207" s="7"/>
      <c r="Q207" s="12" t="str">
        <f aca="false">IF($C207="","",IF($P207&lt;&gt;"","발송완료",IF($O207&lt;&gt;"","입금완료","입금대기")))</f>
        <v/>
      </c>
      <c r="R207" s="12" t="str">
        <f aca="false">IF($C207="","",COUNTIFS($C$3:$C207,$C207))</f>
        <v/>
      </c>
      <c r="S207" s="12" t="str">
        <f aca="false">IF($C207="","",$C207&amp;"|"&amp;$R207)</f>
        <v/>
      </c>
    </row>
    <row r="208" customFormat="false" ht="15" hidden="false" customHeight="true" outlineLevel="0" collapsed="false">
      <c r="A208" s="12" t="str">
        <f aca="false">IF($C208="","",TEXT($B208,"yymmdd")&amp;"-"&amp;TEXT(COUNTIFS($B$3:$B208,$B208),"000"))</f>
        <v/>
      </c>
      <c r="B208" s="13"/>
      <c r="C208" s="7"/>
      <c r="D208" s="12" t="str">
        <f aca="false">IF($C208="","",IFERROR(INDEX(고객명부!$B$3:$B$502,MATCH($C208,고객명부!$A$3:$A$502,0)),"미등록고객"))</f>
        <v/>
      </c>
      <c r="E208" s="12" t="str">
        <f aca="false">IF($C208="","",IFERROR(INDEX(고객명부!$C$3:$C$502,MATCH($C208,고객명부!$A$3:$A$502,0)),""))</f>
        <v/>
      </c>
      <c r="F208" s="12" t="str">
        <f aca="false">IF($C208="","",IFERROR(INDEX(고객명부!$D$3:$D$502,MATCH($C208,고객명부!$A$3:$A$502,0)),""))</f>
        <v/>
      </c>
      <c r="G208" s="12" t="str">
        <f aca="false">IF($C208="","",IFERROR(INDEX(고객명부!$E$3:$E$502,MATCH($C208,고객명부!$A$3:$A$502,0))&amp;" "&amp;INDEX(고객명부!$F$3:$F$502,MATCH($C208,고객명부!$A$3:$A$502,0)),""))</f>
        <v/>
      </c>
      <c r="H208" s="7"/>
      <c r="I208" s="12" t="str">
        <f aca="false">IF($H208="","",IFERROR(INDEX(상품목록!$B$3:$B$102,MATCH($H208,상품목록!$A$3:$A$102,0)),""))</f>
        <v/>
      </c>
      <c r="J208" s="14" t="str">
        <f aca="false">IF($H208="","",IFERROR(INDEX(상품목록!$C$3:$C$102,MATCH($H208,상품목록!$A$3:$A$102,0)),0))</f>
        <v/>
      </c>
      <c r="K208" s="7"/>
      <c r="L208" s="14" t="str">
        <f aca="false">IF(OR($J208="",$K208=""),"",ROUND($J208*$K208,0))</f>
        <v/>
      </c>
      <c r="M208" s="9"/>
      <c r="N208" s="14" t="str">
        <f aca="false">IF($L208="","",$L208+IF($M208="",0,$M208))</f>
        <v/>
      </c>
      <c r="O208" s="13"/>
      <c r="P208" s="7"/>
      <c r="Q208" s="12" t="str">
        <f aca="false">IF($C208="","",IF($P208&lt;&gt;"","발송완료",IF($O208&lt;&gt;"","입금완료","입금대기")))</f>
        <v/>
      </c>
      <c r="R208" s="12" t="str">
        <f aca="false">IF($C208="","",COUNTIFS($C$3:$C208,$C208))</f>
        <v/>
      </c>
      <c r="S208" s="12" t="str">
        <f aca="false">IF($C208="","",$C208&amp;"|"&amp;$R208)</f>
        <v/>
      </c>
    </row>
    <row r="209" customFormat="false" ht="15" hidden="false" customHeight="true" outlineLevel="0" collapsed="false">
      <c r="A209" s="12" t="str">
        <f aca="false">IF($C209="","",TEXT($B209,"yymmdd")&amp;"-"&amp;TEXT(COUNTIFS($B$3:$B209,$B209),"000"))</f>
        <v/>
      </c>
      <c r="B209" s="13"/>
      <c r="C209" s="7"/>
      <c r="D209" s="12" t="str">
        <f aca="false">IF($C209="","",IFERROR(INDEX(고객명부!$B$3:$B$502,MATCH($C209,고객명부!$A$3:$A$502,0)),"미등록고객"))</f>
        <v/>
      </c>
      <c r="E209" s="12" t="str">
        <f aca="false">IF($C209="","",IFERROR(INDEX(고객명부!$C$3:$C$502,MATCH($C209,고객명부!$A$3:$A$502,0)),""))</f>
        <v/>
      </c>
      <c r="F209" s="12" t="str">
        <f aca="false">IF($C209="","",IFERROR(INDEX(고객명부!$D$3:$D$502,MATCH($C209,고객명부!$A$3:$A$502,0)),""))</f>
        <v/>
      </c>
      <c r="G209" s="12" t="str">
        <f aca="false">IF($C209="","",IFERROR(INDEX(고객명부!$E$3:$E$502,MATCH($C209,고객명부!$A$3:$A$502,0))&amp;" "&amp;INDEX(고객명부!$F$3:$F$502,MATCH($C209,고객명부!$A$3:$A$502,0)),""))</f>
        <v/>
      </c>
      <c r="H209" s="7"/>
      <c r="I209" s="12" t="str">
        <f aca="false">IF($H209="","",IFERROR(INDEX(상품목록!$B$3:$B$102,MATCH($H209,상품목록!$A$3:$A$102,0)),""))</f>
        <v/>
      </c>
      <c r="J209" s="14" t="str">
        <f aca="false">IF($H209="","",IFERROR(INDEX(상품목록!$C$3:$C$102,MATCH($H209,상품목록!$A$3:$A$102,0)),0))</f>
        <v/>
      </c>
      <c r="K209" s="7"/>
      <c r="L209" s="14" t="str">
        <f aca="false">IF(OR($J209="",$K209=""),"",ROUND($J209*$K209,0))</f>
        <v/>
      </c>
      <c r="M209" s="9"/>
      <c r="N209" s="14" t="str">
        <f aca="false">IF($L209="","",$L209+IF($M209="",0,$M209))</f>
        <v/>
      </c>
      <c r="O209" s="13"/>
      <c r="P209" s="7"/>
      <c r="Q209" s="12" t="str">
        <f aca="false">IF($C209="","",IF($P209&lt;&gt;"","발송완료",IF($O209&lt;&gt;"","입금완료","입금대기")))</f>
        <v/>
      </c>
      <c r="R209" s="12" t="str">
        <f aca="false">IF($C209="","",COUNTIFS($C$3:$C209,$C209))</f>
        <v/>
      </c>
      <c r="S209" s="12" t="str">
        <f aca="false">IF($C209="","",$C209&amp;"|"&amp;$R209)</f>
        <v/>
      </c>
    </row>
    <row r="210" customFormat="false" ht="15" hidden="false" customHeight="true" outlineLevel="0" collapsed="false">
      <c r="A210" s="12" t="str">
        <f aca="false">IF($C210="","",TEXT($B210,"yymmdd")&amp;"-"&amp;TEXT(COUNTIFS($B$3:$B210,$B210),"000"))</f>
        <v/>
      </c>
      <c r="B210" s="13"/>
      <c r="C210" s="7"/>
      <c r="D210" s="12" t="str">
        <f aca="false">IF($C210="","",IFERROR(INDEX(고객명부!$B$3:$B$502,MATCH($C210,고객명부!$A$3:$A$502,0)),"미등록고객"))</f>
        <v/>
      </c>
      <c r="E210" s="12" t="str">
        <f aca="false">IF($C210="","",IFERROR(INDEX(고객명부!$C$3:$C$502,MATCH($C210,고객명부!$A$3:$A$502,0)),""))</f>
        <v/>
      </c>
      <c r="F210" s="12" t="str">
        <f aca="false">IF($C210="","",IFERROR(INDEX(고객명부!$D$3:$D$502,MATCH($C210,고객명부!$A$3:$A$502,0)),""))</f>
        <v/>
      </c>
      <c r="G210" s="12" t="str">
        <f aca="false">IF($C210="","",IFERROR(INDEX(고객명부!$E$3:$E$502,MATCH($C210,고객명부!$A$3:$A$502,0))&amp;" "&amp;INDEX(고객명부!$F$3:$F$502,MATCH($C210,고객명부!$A$3:$A$502,0)),""))</f>
        <v/>
      </c>
      <c r="H210" s="7"/>
      <c r="I210" s="12" t="str">
        <f aca="false">IF($H210="","",IFERROR(INDEX(상품목록!$B$3:$B$102,MATCH($H210,상품목록!$A$3:$A$102,0)),""))</f>
        <v/>
      </c>
      <c r="J210" s="14" t="str">
        <f aca="false">IF($H210="","",IFERROR(INDEX(상품목록!$C$3:$C$102,MATCH($H210,상품목록!$A$3:$A$102,0)),0))</f>
        <v/>
      </c>
      <c r="K210" s="7"/>
      <c r="L210" s="14" t="str">
        <f aca="false">IF(OR($J210="",$K210=""),"",ROUND($J210*$K210,0))</f>
        <v/>
      </c>
      <c r="M210" s="9"/>
      <c r="N210" s="14" t="str">
        <f aca="false">IF($L210="","",$L210+IF($M210="",0,$M210))</f>
        <v/>
      </c>
      <c r="O210" s="13"/>
      <c r="P210" s="7"/>
      <c r="Q210" s="12" t="str">
        <f aca="false">IF($C210="","",IF($P210&lt;&gt;"","발송완료",IF($O210&lt;&gt;"","입금완료","입금대기")))</f>
        <v/>
      </c>
      <c r="R210" s="12" t="str">
        <f aca="false">IF($C210="","",COUNTIFS($C$3:$C210,$C210))</f>
        <v/>
      </c>
      <c r="S210" s="12" t="str">
        <f aca="false">IF($C210="","",$C210&amp;"|"&amp;$R210)</f>
        <v/>
      </c>
    </row>
    <row r="211" customFormat="false" ht="15" hidden="false" customHeight="true" outlineLevel="0" collapsed="false">
      <c r="A211" s="12" t="str">
        <f aca="false">IF($C211="","",TEXT($B211,"yymmdd")&amp;"-"&amp;TEXT(COUNTIFS($B$3:$B211,$B211),"000"))</f>
        <v/>
      </c>
      <c r="B211" s="13"/>
      <c r="C211" s="7"/>
      <c r="D211" s="12" t="str">
        <f aca="false">IF($C211="","",IFERROR(INDEX(고객명부!$B$3:$B$502,MATCH($C211,고객명부!$A$3:$A$502,0)),"미등록고객"))</f>
        <v/>
      </c>
      <c r="E211" s="12" t="str">
        <f aca="false">IF($C211="","",IFERROR(INDEX(고객명부!$C$3:$C$502,MATCH($C211,고객명부!$A$3:$A$502,0)),""))</f>
        <v/>
      </c>
      <c r="F211" s="12" t="str">
        <f aca="false">IF($C211="","",IFERROR(INDEX(고객명부!$D$3:$D$502,MATCH($C211,고객명부!$A$3:$A$502,0)),""))</f>
        <v/>
      </c>
      <c r="G211" s="12" t="str">
        <f aca="false">IF($C211="","",IFERROR(INDEX(고객명부!$E$3:$E$502,MATCH($C211,고객명부!$A$3:$A$502,0))&amp;" "&amp;INDEX(고객명부!$F$3:$F$502,MATCH($C211,고객명부!$A$3:$A$502,0)),""))</f>
        <v/>
      </c>
      <c r="H211" s="7"/>
      <c r="I211" s="12" t="str">
        <f aca="false">IF($H211="","",IFERROR(INDEX(상품목록!$B$3:$B$102,MATCH($H211,상품목록!$A$3:$A$102,0)),""))</f>
        <v/>
      </c>
      <c r="J211" s="14" t="str">
        <f aca="false">IF($H211="","",IFERROR(INDEX(상품목록!$C$3:$C$102,MATCH($H211,상품목록!$A$3:$A$102,0)),0))</f>
        <v/>
      </c>
      <c r="K211" s="7"/>
      <c r="L211" s="14" t="str">
        <f aca="false">IF(OR($J211="",$K211=""),"",ROUND($J211*$K211,0))</f>
        <v/>
      </c>
      <c r="M211" s="9"/>
      <c r="N211" s="14" t="str">
        <f aca="false">IF($L211="","",$L211+IF($M211="",0,$M211))</f>
        <v/>
      </c>
      <c r="O211" s="13"/>
      <c r="P211" s="7"/>
      <c r="Q211" s="12" t="str">
        <f aca="false">IF($C211="","",IF($P211&lt;&gt;"","발송완료",IF($O211&lt;&gt;"","입금완료","입금대기")))</f>
        <v/>
      </c>
      <c r="R211" s="12" t="str">
        <f aca="false">IF($C211="","",COUNTIFS($C$3:$C211,$C211))</f>
        <v/>
      </c>
      <c r="S211" s="12" t="str">
        <f aca="false">IF($C211="","",$C211&amp;"|"&amp;$R211)</f>
        <v/>
      </c>
    </row>
    <row r="212" customFormat="false" ht="15" hidden="false" customHeight="true" outlineLevel="0" collapsed="false">
      <c r="A212" s="12" t="str">
        <f aca="false">IF($C212="","",TEXT($B212,"yymmdd")&amp;"-"&amp;TEXT(COUNTIFS($B$3:$B212,$B212),"000"))</f>
        <v/>
      </c>
      <c r="B212" s="13"/>
      <c r="C212" s="7"/>
      <c r="D212" s="12" t="str">
        <f aca="false">IF($C212="","",IFERROR(INDEX(고객명부!$B$3:$B$502,MATCH($C212,고객명부!$A$3:$A$502,0)),"미등록고객"))</f>
        <v/>
      </c>
      <c r="E212" s="12" t="str">
        <f aca="false">IF($C212="","",IFERROR(INDEX(고객명부!$C$3:$C$502,MATCH($C212,고객명부!$A$3:$A$502,0)),""))</f>
        <v/>
      </c>
      <c r="F212" s="12" t="str">
        <f aca="false">IF($C212="","",IFERROR(INDEX(고객명부!$D$3:$D$502,MATCH($C212,고객명부!$A$3:$A$502,0)),""))</f>
        <v/>
      </c>
      <c r="G212" s="12" t="str">
        <f aca="false">IF($C212="","",IFERROR(INDEX(고객명부!$E$3:$E$502,MATCH($C212,고객명부!$A$3:$A$502,0))&amp;" "&amp;INDEX(고객명부!$F$3:$F$502,MATCH($C212,고객명부!$A$3:$A$502,0)),""))</f>
        <v/>
      </c>
      <c r="H212" s="7"/>
      <c r="I212" s="12" t="str">
        <f aca="false">IF($H212="","",IFERROR(INDEX(상품목록!$B$3:$B$102,MATCH($H212,상품목록!$A$3:$A$102,0)),""))</f>
        <v/>
      </c>
      <c r="J212" s="14" t="str">
        <f aca="false">IF($H212="","",IFERROR(INDEX(상품목록!$C$3:$C$102,MATCH($H212,상품목록!$A$3:$A$102,0)),0))</f>
        <v/>
      </c>
      <c r="K212" s="7"/>
      <c r="L212" s="14" t="str">
        <f aca="false">IF(OR($J212="",$K212=""),"",ROUND($J212*$K212,0))</f>
        <v/>
      </c>
      <c r="M212" s="9"/>
      <c r="N212" s="14" t="str">
        <f aca="false">IF($L212="","",$L212+IF($M212="",0,$M212))</f>
        <v/>
      </c>
      <c r="O212" s="13"/>
      <c r="P212" s="7"/>
      <c r="Q212" s="12" t="str">
        <f aca="false">IF($C212="","",IF($P212&lt;&gt;"","발송완료",IF($O212&lt;&gt;"","입금완료","입금대기")))</f>
        <v/>
      </c>
      <c r="R212" s="12" t="str">
        <f aca="false">IF($C212="","",COUNTIFS($C$3:$C212,$C212))</f>
        <v/>
      </c>
      <c r="S212" s="12" t="str">
        <f aca="false">IF($C212="","",$C212&amp;"|"&amp;$R212)</f>
        <v/>
      </c>
    </row>
    <row r="213" customFormat="false" ht="15" hidden="false" customHeight="true" outlineLevel="0" collapsed="false">
      <c r="A213" s="12" t="str">
        <f aca="false">IF($C213="","",TEXT($B213,"yymmdd")&amp;"-"&amp;TEXT(COUNTIFS($B$3:$B213,$B213),"000"))</f>
        <v/>
      </c>
      <c r="B213" s="13"/>
      <c r="C213" s="7"/>
      <c r="D213" s="12" t="str">
        <f aca="false">IF($C213="","",IFERROR(INDEX(고객명부!$B$3:$B$502,MATCH($C213,고객명부!$A$3:$A$502,0)),"미등록고객"))</f>
        <v/>
      </c>
      <c r="E213" s="12" t="str">
        <f aca="false">IF($C213="","",IFERROR(INDEX(고객명부!$C$3:$C$502,MATCH($C213,고객명부!$A$3:$A$502,0)),""))</f>
        <v/>
      </c>
      <c r="F213" s="12" t="str">
        <f aca="false">IF($C213="","",IFERROR(INDEX(고객명부!$D$3:$D$502,MATCH($C213,고객명부!$A$3:$A$502,0)),""))</f>
        <v/>
      </c>
      <c r="G213" s="12" t="str">
        <f aca="false">IF($C213="","",IFERROR(INDEX(고객명부!$E$3:$E$502,MATCH($C213,고객명부!$A$3:$A$502,0))&amp;" "&amp;INDEX(고객명부!$F$3:$F$502,MATCH($C213,고객명부!$A$3:$A$502,0)),""))</f>
        <v/>
      </c>
      <c r="H213" s="7"/>
      <c r="I213" s="12" t="str">
        <f aca="false">IF($H213="","",IFERROR(INDEX(상품목록!$B$3:$B$102,MATCH($H213,상품목록!$A$3:$A$102,0)),""))</f>
        <v/>
      </c>
      <c r="J213" s="14" t="str">
        <f aca="false">IF($H213="","",IFERROR(INDEX(상품목록!$C$3:$C$102,MATCH($H213,상품목록!$A$3:$A$102,0)),0))</f>
        <v/>
      </c>
      <c r="K213" s="7"/>
      <c r="L213" s="14" t="str">
        <f aca="false">IF(OR($J213="",$K213=""),"",ROUND($J213*$K213,0))</f>
        <v/>
      </c>
      <c r="M213" s="9"/>
      <c r="N213" s="14" t="str">
        <f aca="false">IF($L213="","",$L213+IF($M213="",0,$M213))</f>
        <v/>
      </c>
      <c r="O213" s="13"/>
      <c r="P213" s="7"/>
      <c r="Q213" s="12" t="str">
        <f aca="false">IF($C213="","",IF($P213&lt;&gt;"","발송완료",IF($O213&lt;&gt;"","입금완료","입금대기")))</f>
        <v/>
      </c>
      <c r="R213" s="12" t="str">
        <f aca="false">IF($C213="","",COUNTIFS($C$3:$C213,$C213))</f>
        <v/>
      </c>
      <c r="S213" s="12" t="str">
        <f aca="false">IF($C213="","",$C213&amp;"|"&amp;$R213)</f>
        <v/>
      </c>
    </row>
    <row r="214" customFormat="false" ht="15" hidden="false" customHeight="true" outlineLevel="0" collapsed="false">
      <c r="A214" s="12" t="str">
        <f aca="false">IF($C214="","",TEXT($B214,"yymmdd")&amp;"-"&amp;TEXT(COUNTIFS($B$3:$B214,$B214),"000"))</f>
        <v/>
      </c>
      <c r="B214" s="13"/>
      <c r="C214" s="7"/>
      <c r="D214" s="12" t="str">
        <f aca="false">IF($C214="","",IFERROR(INDEX(고객명부!$B$3:$B$502,MATCH($C214,고객명부!$A$3:$A$502,0)),"미등록고객"))</f>
        <v/>
      </c>
      <c r="E214" s="12" t="str">
        <f aca="false">IF($C214="","",IFERROR(INDEX(고객명부!$C$3:$C$502,MATCH($C214,고객명부!$A$3:$A$502,0)),""))</f>
        <v/>
      </c>
      <c r="F214" s="12" t="str">
        <f aca="false">IF($C214="","",IFERROR(INDEX(고객명부!$D$3:$D$502,MATCH($C214,고객명부!$A$3:$A$502,0)),""))</f>
        <v/>
      </c>
      <c r="G214" s="12" t="str">
        <f aca="false">IF($C214="","",IFERROR(INDEX(고객명부!$E$3:$E$502,MATCH($C214,고객명부!$A$3:$A$502,0))&amp;" "&amp;INDEX(고객명부!$F$3:$F$502,MATCH($C214,고객명부!$A$3:$A$502,0)),""))</f>
        <v/>
      </c>
      <c r="H214" s="7"/>
      <c r="I214" s="12" t="str">
        <f aca="false">IF($H214="","",IFERROR(INDEX(상품목록!$B$3:$B$102,MATCH($H214,상품목록!$A$3:$A$102,0)),""))</f>
        <v/>
      </c>
      <c r="J214" s="14" t="str">
        <f aca="false">IF($H214="","",IFERROR(INDEX(상품목록!$C$3:$C$102,MATCH($H214,상품목록!$A$3:$A$102,0)),0))</f>
        <v/>
      </c>
      <c r="K214" s="7"/>
      <c r="L214" s="14" t="str">
        <f aca="false">IF(OR($J214="",$K214=""),"",ROUND($J214*$K214,0))</f>
        <v/>
      </c>
      <c r="M214" s="9"/>
      <c r="N214" s="14" t="str">
        <f aca="false">IF($L214="","",$L214+IF($M214="",0,$M214))</f>
        <v/>
      </c>
      <c r="O214" s="13"/>
      <c r="P214" s="7"/>
      <c r="Q214" s="12" t="str">
        <f aca="false">IF($C214="","",IF($P214&lt;&gt;"","발송완료",IF($O214&lt;&gt;"","입금완료","입금대기")))</f>
        <v/>
      </c>
      <c r="R214" s="12" t="str">
        <f aca="false">IF($C214="","",COUNTIFS($C$3:$C214,$C214))</f>
        <v/>
      </c>
      <c r="S214" s="12" t="str">
        <f aca="false">IF($C214="","",$C214&amp;"|"&amp;$R214)</f>
        <v/>
      </c>
    </row>
    <row r="215" customFormat="false" ht="15" hidden="false" customHeight="true" outlineLevel="0" collapsed="false">
      <c r="A215" s="12" t="str">
        <f aca="false">IF($C215="","",TEXT($B215,"yymmdd")&amp;"-"&amp;TEXT(COUNTIFS($B$3:$B215,$B215),"000"))</f>
        <v/>
      </c>
      <c r="B215" s="13"/>
      <c r="C215" s="7"/>
      <c r="D215" s="12" t="str">
        <f aca="false">IF($C215="","",IFERROR(INDEX(고객명부!$B$3:$B$502,MATCH($C215,고객명부!$A$3:$A$502,0)),"미등록고객"))</f>
        <v/>
      </c>
      <c r="E215" s="12" t="str">
        <f aca="false">IF($C215="","",IFERROR(INDEX(고객명부!$C$3:$C$502,MATCH($C215,고객명부!$A$3:$A$502,0)),""))</f>
        <v/>
      </c>
      <c r="F215" s="12" t="str">
        <f aca="false">IF($C215="","",IFERROR(INDEX(고객명부!$D$3:$D$502,MATCH($C215,고객명부!$A$3:$A$502,0)),""))</f>
        <v/>
      </c>
      <c r="G215" s="12" t="str">
        <f aca="false">IF($C215="","",IFERROR(INDEX(고객명부!$E$3:$E$502,MATCH($C215,고객명부!$A$3:$A$502,0))&amp;" "&amp;INDEX(고객명부!$F$3:$F$502,MATCH($C215,고객명부!$A$3:$A$502,0)),""))</f>
        <v/>
      </c>
      <c r="H215" s="7"/>
      <c r="I215" s="12" t="str">
        <f aca="false">IF($H215="","",IFERROR(INDEX(상품목록!$B$3:$B$102,MATCH($H215,상품목록!$A$3:$A$102,0)),""))</f>
        <v/>
      </c>
      <c r="J215" s="14" t="str">
        <f aca="false">IF($H215="","",IFERROR(INDEX(상품목록!$C$3:$C$102,MATCH($H215,상품목록!$A$3:$A$102,0)),0))</f>
        <v/>
      </c>
      <c r="K215" s="7"/>
      <c r="L215" s="14" t="str">
        <f aca="false">IF(OR($J215="",$K215=""),"",ROUND($J215*$K215,0))</f>
        <v/>
      </c>
      <c r="M215" s="9"/>
      <c r="N215" s="14" t="str">
        <f aca="false">IF($L215="","",$L215+IF($M215="",0,$M215))</f>
        <v/>
      </c>
      <c r="O215" s="13"/>
      <c r="P215" s="7"/>
      <c r="Q215" s="12" t="str">
        <f aca="false">IF($C215="","",IF($P215&lt;&gt;"","발송완료",IF($O215&lt;&gt;"","입금완료","입금대기")))</f>
        <v/>
      </c>
      <c r="R215" s="12" t="str">
        <f aca="false">IF($C215="","",COUNTIFS($C$3:$C215,$C215))</f>
        <v/>
      </c>
      <c r="S215" s="12" t="str">
        <f aca="false">IF($C215="","",$C215&amp;"|"&amp;$R215)</f>
        <v/>
      </c>
    </row>
    <row r="216" customFormat="false" ht="15" hidden="false" customHeight="true" outlineLevel="0" collapsed="false">
      <c r="A216" s="12" t="str">
        <f aca="false">IF($C216="","",TEXT($B216,"yymmdd")&amp;"-"&amp;TEXT(COUNTIFS($B$3:$B216,$B216),"000"))</f>
        <v/>
      </c>
      <c r="B216" s="13"/>
      <c r="C216" s="7"/>
      <c r="D216" s="12" t="str">
        <f aca="false">IF($C216="","",IFERROR(INDEX(고객명부!$B$3:$B$502,MATCH($C216,고객명부!$A$3:$A$502,0)),"미등록고객"))</f>
        <v/>
      </c>
      <c r="E216" s="12" t="str">
        <f aca="false">IF($C216="","",IFERROR(INDEX(고객명부!$C$3:$C$502,MATCH($C216,고객명부!$A$3:$A$502,0)),""))</f>
        <v/>
      </c>
      <c r="F216" s="12" t="str">
        <f aca="false">IF($C216="","",IFERROR(INDEX(고객명부!$D$3:$D$502,MATCH($C216,고객명부!$A$3:$A$502,0)),""))</f>
        <v/>
      </c>
      <c r="G216" s="12" t="str">
        <f aca="false">IF($C216="","",IFERROR(INDEX(고객명부!$E$3:$E$502,MATCH($C216,고객명부!$A$3:$A$502,0))&amp;" "&amp;INDEX(고객명부!$F$3:$F$502,MATCH($C216,고객명부!$A$3:$A$502,0)),""))</f>
        <v/>
      </c>
      <c r="H216" s="7"/>
      <c r="I216" s="12" t="str">
        <f aca="false">IF($H216="","",IFERROR(INDEX(상품목록!$B$3:$B$102,MATCH($H216,상품목록!$A$3:$A$102,0)),""))</f>
        <v/>
      </c>
      <c r="J216" s="14" t="str">
        <f aca="false">IF($H216="","",IFERROR(INDEX(상품목록!$C$3:$C$102,MATCH($H216,상품목록!$A$3:$A$102,0)),0))</f>
        <v/>
      </c>
      <c r="K216" s="7"/>
      <c r="L216" s="14" t="str">
        <f aca="false">IF(OR($J216="",$K216=""),"",ROUND($J216*$K216,0))</f>
        <v/>
      </c>
      <c r="M216" s="9"/>
      <c r="N216" s="14" t="str">
        <f aca="false">IF($L216="","",$L216+IF($M216="",0,$M216))</f>
        <v/>
      </c>
      <c r="O216" s="13"/>
      <c r="P216" s="7"/>
      <c r="Q216" s="12" t="str">
        <f aca="false">IF($C216="","",IF($P216&lt;&gt;"","발송완료",IF($O216&lt;&gt;"","입금완료","입금대기")))</f>
        <v/>
      </c>
      <c r="R216" s="12" t="str">
        <f aca="false">IF($C216="","",COUNTIFS($C$3:$C216,$C216))</f>
        <v/>
      </c>
      <c r="S216" s="12" t="str">
        <f aca="false">IF($C216="","",$C216&amp;"|"&amp;$R216)</f>
        <v/>
      </c>
    </row>
    <row r="217" customFormat="false" ht="15" hidden="false" customHeight="true" outlineLevel="0" collapsed="false">
      <c r="A217" s="12" t="str">
        <f aca="false">IF($C217="","",TEXT($B217,"yymmdd")&amp;"-"&amp;TEXT(COUNTIFS($B$3:$B217,$B217),"000"))</f>
        <v/>
      </c>
      <c r="B217" s="13"/>
      <c r="C217" s="7"/>
      <c r="D217" s="12" t="str">
        <f aca="false">IF($C217="","",IFERROR(INDEX(고객명부!$B$3:$B$502,MATCH($C217,고객명부!$A$3:$A$502,0)),"미등록고객"))</f>
        <v/>
      </c>
      <c r="E217" s="12" t="str">
        <f aca="false">IF($C217="","",IFERROR(INDEX(고객명부!$C$3:$C$502,MATCH($C217,고객명부!$A$3:$A$502,0)),""))</f>
        <v/>
      </c>
      <c r="F217" s="12" t="str">
        <f aca="false">IF($C217="","",IFERROR(INDEX(고객명부!$D$3:$D$502,MATCH($C217,고객명부!$A$3:$A$502,0)),""))</f>
        <v/>
      </c>
      <c r="G217" s="12" t="str">
        <f aca="false">IF($C217="","",IFERROR(INDEX(고객명부!$E$3:$E$502,MATCH($C217,고객명부!$A$3:$A$502,0))&amp;" "&amp;INDEX(고객명부!$F$3:$F$502,MATCH($C217,고객명부!$A$3:$A$502,0)),""))</f>
        <v/>
      </c>
      <c r="H217" s="7"/>
      <c r="I217" s="12" t="str">
        <f aca="false">IF($H217="","",IFERROR(INDEX(상품목록!$B$3:$B$102,MATCH($H217,상품목록!$A$3:$A$102,0)),""))</f>
        <v/>
      </c>
      <c r="J217" s="14" t="str">
        <f aca="false">IF($H217="","",IFERROR(INDEX(상품목록!$C$3:$C$102,MATCH($H217,상품목록!$A$3:$A$102,0)),0))</f>
        <v/>
      </c>
      <c r="K217" s="7"/>
      <c r="L217" s="14" t="str">
        <f aca="false">IF(OR($J217="",$K217=""),"",ROUND($J217*$K217,0))</f>
        <v/>
      </c>
      <c r="M217" s="9"/>
      <c r="N217" s="14" t="str">
        <f aca="false">IF($L217="","",$L217+IF($M217="",0,$M217))</f>
        <v/>
      </c>
      <c r="O217" s="13"/>
      <c r="P217" s="7"/>
      <c r="Q217" s="12" t="str">
        <f aca="false">IF($C217="","",IF($P217&lt;&gt;"","발송완료",IF($O217&lt;&gt;"","입금완료","입금대기")))</f>
        <v/>
      </c>
      <c r="R217" s="12" t="str">
        <f aca="false">IF($C217="","",COUNTIFS($C$3:$C217,$C217))</f>
        <v/>
      </c>
      <c r="S217" s="12" t="str">
        <f aca="false">IF($C217="","",$C217&amp;"|"&amp;$R217)</f>
        <v/>
      </c>
    </row>
    <row r="218" customFormat="false" ht="15" hidden="false" customHeight="true" outlineLevel="0" collapsed="false">
      <c r="A218" s="12" t="str">
        <f aca="false">IF($C218="","",TEXT($B218,"yymmdd")&amp;"-"&amp;TEXT(COUNTIFS($B$3:$B218,$B218),"000"))</f>
        <v/>
      </c>
      <c r="B218" s="13"/>
      <c r="C218" s="7"/>
      <c r="D218" s="12" t="str">
        <f aca="false">IF($C218="","",IFERROR(INDEX(고객명부!$B$3:$B$502,MATCH($C218,고객명부!$A$3:$A$502,0)),"미등록고객"))</f>
        <v/>
      </c>
      <c r="E218" s="12" t="str">
        <f aca="false">IF($C218="","",IFERROR(INDEX(고객명부!$C$3:$C$502,MATCH($C218,고객명부!$A$3:$A$502,0)),""))</f>
        <v/>
      </c>
      <c r="F218" s="12" t="str">
        <f aca="false">IF($C218="","",IFERROR(INDEX(고객명부!$D$3:$D$502,MATCH($C218,고객명부!$A$3:$A$502,0)),""))</f>
        <v/>
      </c>
      <c r="G218" s="12" t="str">
        <f aca="false">IF($C218="","",IFERROR(INDEX(고객명부!$E$3:$E$502,MATCH($C218,고객명부!$A$3:$A$502,0))&amp;" "&amp;INDEX(고객명부!$F$3:$F$502,MATCH($C218,고객명부!$A$3:$A$502,0)),""))</f>
        <v/>
      </c>
      <c r="H218" s="7"/>
      <c r="I218" s="12" t="str">
        <f aca="false">IF($H218="","",IFERROR(INDEX(상품목록!$B$3:$B$102,MATCH($H218,상품목록!$A$3:$A$102,0)),""))</f>
        <v/>
      </c>
      <c r="J218" s="14" t="str">
        <f aca="false">IF($H218="","",IFERROR(INDEX(상품목록!$C$3:$C$102,MATCH($H218,상품목록!$A$3:$A$102,0)),0))</f>
        <v/>
      </c>
      <c r="K218" s="7"/>
      <c r="L218" s="14" t="str">
        <f aca="false">IF(OR($J218="",$K218=""),"",ROUND($J218*$K218,0))</f>
        <v/>
      </c>
      <c r="M218" s="9"/>
      <c r="N218" s="14" t="str">
        <f aca="false">IF($L218="","",$L218+IF($M218="",0,$M218))</f>
        <v/>
      </c>
      <c r="O218" s="13"/>
      <c r="P218" s="7"/>
      <c r="Q218" s="12" t="str">
        <f aca="false">IF($C218="","",IF($P218&lt;&gt;"","발송완료",IF($O218&lt;&gt;"","입금완료","입금대기")))</f>
        <v/>
      </c>
      <c r="R218" s="12" t="str">
        <f aca="false">IF($C218="","",COUNTIFS($C$3:$C218,$C218))</f>
        <v/>
      </c>
      <c r="S218" s="12" t="str">
        <f aca="false">IF($C218="","",$C218&amp;"|"&amp;$R218)</f>
        <v/>
      </c>
    </row>
    <row r="219" customFormat="false" ht="15" hidden="false" customHeight="true" outlineLevel="0" collapsed="false">
      <c r="A219" s="12" t="str">
        <f aca="false">IF($C219="","",TEXT($B219,"yymmdd")&amp;"-"&amp;TEXT(COUNTIFS($B$3:$B219,$B219),"000"))</f>
        <v/>
      </c>
      <c r="B219" s="13"/>
      <c r="C219" s="7"/>
      <c r="D219" s="12" t="str">
        <f aca="false">IF($C219="","",IFERROR(INDEX(고객명부!$B$3:$B$502,MATCH($C219,고객명부!$A$3:$A$502,0)),"미등록고객"))</f>
        <v/>
      </c>
      <c r="E219" s="12" t="str">
        <f aca="false">IF($C219="","",IFERROR(INDEX(고객명부!$C$3:$C$502,MATCH($C219,고객명부!$A$3:$A$502,0)),""))</f>
        <v/>
      </c>
      <c r="F219" s="12" t="str">
        <f aca="false">IF($C219="","",IFERROR(INDEX(고객명부!$D$3:$D$502,MATCH($C219,고객명부!$A$3:$A$502,0)),""))</f>
        <v/>
      </c>
      <c r="G219" s="12" t="str">
        <f aca="false">IF($C219="","",IFERROR(INDEX(고객명부!$E$3:$E$502,MATCH($C219,고객명부!$A$3:$A$502,0))&amp;" "&amp;INDEX(고객명부!$F$3:$F$502,MATCH($C219,고객명부!$A$3:$A$502,0)),""))</f>
        <v/>
      </c>
      <c r="H219" s="7"/>
      <c r="I219" s="12" t="str">
        <f aca="false">IF($H219="","",IFERROR(INDEX(상품목록!$B$3:$B$102,MATCH($H219,상품목록!$A$3:$A$102,0)),""))</f>
        <v/>
      </c>
      <c r="J219" s="14" t="str">
        <f aca="false">IF($H219="","",IFERROR(INDEX(상품목록!$C$3:$C$102,MATCH($H219,상품목록!$A$3:$A$102,0)),0))</f>
        <v/>
      </c>
      <c r="K219" s="7"/>
      <c r="L219" s="14" t="str">
        <f aca="false">IF(OR($J219="",$K219=""),"",ROUND($J219*$K219,0))</f>
        <v/>
      </c>
      <c r="M219" s="9"/>
      <c r="N219" s="14" t="str">
        <f aca="false">IF($L219="","",$L219+IF($M219="",0,$M219))</f>
        <v/>
      </c>
      <c r="O219" s="13"/>
      <c r="P219" s="7"/>
      <c r="Q219" s="12" t="str">
        <f aca="false">IF($C219="","",IF($P219&lt;&gt;"","발송완료",IF($O219&lt;&gt;"","입금완료","입금대기")))</f>
        <v/>
      </c>
      <c r="R219" s="12" t="str">
        <f aca="false">IF($C219="","",COUNTIFS($C$3:$C219,$C219))</f>
        <v/>
      </c>
      <c r="S219" s="12" t="str">
        <f aca="false">IF($C219="","",$C219&amp;"|"&amp;$R219)</f>
        <v/>
      </c>
    </row>
    <row r="220" customFormat="false" ht="15" hidden="false" customHeight="true" outlineLevel="0" collapsed="false">
      <c r="A220" s="12" t="str">
        <f aca="false">IF($C220="","",TEXT($B220,"yymmdd")&amp;"-"&amp;TEXT(COUNTIFS($B$3:$B220,$B220),"000"))</f>
        <v/>
      </c>
      <c r="B220" s="13"/>
      <c r="C220" s="7"/>
      <c r="D220" s="12" t="str">
        <f aca="false">IF($C220="","",IFERROR(INDEX(고객명부!$B$3:$B$502,MATCH($C220,고객명부!$A$3:$A$502,0)),"미등록고객"))</f>
        <v/>
      </c>
      <c r="E220" s="12" t="str">
        <f aca="false">IF($C220="","",IFERROR(INDEX(고객명부!$C$3:$C$502,MATCH($C220,고객명부!$A$3:$A$502,0)),""))</f>
        <v/>
      </c>
      <c r="F220" s="12" t="str">
        <f aca="false">IF($C220="","",IFERROR(INDEX(고객명부!$D$3:$D$502,MATCH($C220,고객명부!$A$3:$A$502,0)),""))</f>
        <v/>
      </c>
      <c r="G220" s="12" t="str">
        <f aca="false">IF($C220="","",IFERROR(INDEX(고객명부!$E$3:$E$502,MATCH($C220,고객명부!$A$3:$A$502,0))&amp;" "&amp;INDEX(고객명부!$F$3:$F$502,MATCH($C220,고객명부!$A$3:$A$502,0)),""))</f>
        <v/>
      </c>
      <c r="H220" s="7"/>
      <c r="I220" s="12" t="str">
        <f aca="false">IF($H220="","",IFERROR(INDEX(상품목록!$B$3:$B$102,MATCH($H220,상품목록!$A$3:$A$102,0)),""))</f>
        <v/>
      </c>
      <c r="J220" s="14" t="str">
        <f aca="false">IF($H220="","",IFERROR(INDEX(상품목록!$C$3:$C$102,MATCH($H220,상품목록!$A$3:$A$102,0)),0))</f>
        <v/>
      </c>
      <c r="K220" s="7"/>
      <c r="L220" s="14" t="str">
        <f aca="false">IF(OR($J220="",$K220=""),"",ROUND($J220*$K220,0))</f>
        <v/>
      </c>
      <c r="M220" s="9"/>
      <c r="N220" s="14" t="str">
        <f aca="false">IF($L220="","",$L220+IF($M220="",0,$M220))</f>
        <v/>
      </c>
      <c r="O220" s="13"/>
      <c r="P220" s="7"/>
      <c r="Q220" s="12" t="str">
        <f aca="false">IF($C220="","",IF($P220&lt;&gt;"","발송완료",IF($O220&lt;&gt;"","입금완료","입금대기")))</f>
        <v/>
      </c>
      <c r="R220" s="12" t="str">
        <f aca="false">IF($C220="","",COUNTIFS($C$3:$C220,$C220))</f>
        <v/>
      </c>
      <c r="S220" s="12" t="str">
        <f aca="false">IF($C220="","",$C220&amp;"|"&amp;$R220)</f>
        <v/>
      </c>
    </row>
    <row r="221" customFormat="false" ht="15" hidden="false" customHeight="true" outlineLevel="0" collapsed="false">
      <c r="A221" s="12" t="str">
        <f aca="false">IF($C221="","",TEXT($B221,"yymmdd")&amp;"-"&amp;TEXT(COUNTIFS($B$3:$B221,$B221),"000"))</f>
        <v/>
      </c>
      <c r="B221" s="13"/>
      <c r="C221" s="7"/>
      <c r="D221" s="12" t="str">
        <f aca="false">IF($C221="","",IFERROR(INDEX(고객명부!$B$3:$B$502,MATCH($C221,고객명부!$A$3:$A$502,0)),"미등록고객"))</f>
        <v/>
      </c>
      <c r="E221" s="12" t="str">
        <f aca="false">IF($C221="","",IFERROR(INDEX(고객명부!$C$3:$C$502,MATCH($C221,고객명부!$A$3:$A$502,0)),""))</f>
        <v/>
      </c>
      <c r="F221" s="12" t="str">
        <f aca="false">IF($C221="","",IFERROR(INDEX(고객명부!$D$3:$D$502,MATCH($C221,고객명부!$A$3:$A$502,0)),""))</f>
        <v/>
      </c>
      <c r="G221" s="12" t="str">
        <f aca="false">IF($C221="","",IFERROR(INDEX(고객명부!$E$3:$E$502,MATCH($C221,고객명부!$A$3:$A$502,0))&amp;" "&amp;INDEX(고객명부!$F$3:$F$502,MATCH($C221,고객명부!$A$3:$A$502,0)),""))</f>
        <v/>
      </c>
      <c r="H221" s="7"/>
      <c r="I221" s="12" t="str">
        <f aca="false">IF($H221="","",IFERROR(INDEX(상품목록!$B$3:$B$102,MATCH($H221,상품목록!$A$3:$A$102,0)),""))</f>
        <v/>
      </c>
      <c r="J221" s="14" t="str">
        <f aca="false">IF($H221="","",IFERROR(INDEX(상품목록!$C$3:$C$102,MATCH($H221,상품목록!$A$3:$A$102,0)),0))</f>
        <v/>
      </c>
      <c r="K221" s="7"/>
      <c r="L221" s="14" t="str">
        <f aca="false">IF(OR($J221="",$K221=""),"",ROUND($J221*$K221,0))</f>
        <v/>
      </c>
      <c r="M221" s="9"/>
      <c r="N221" s="14" t="str">
        <f aca="false">IF($L221="","",$L221+IF($M221="",0,$M221))</f>
        <v/>
      </c>
      <c r="O221" s="13"/>
      <c r="P221" s="7"/>
      <c r="Q221" s="12" t="str">
        <f aca="false">IF($C221="","",IF($P221&lt;&gt;"","발송완료",IF($O221&lt;&gt;"","입금완료","입금대기")))</f>
        <v/>
      </c>
      <c r="R221" s="12" t="str">
        <f aca="false">IF($C221="","",COUNTIFS($C$3:$C221,$C221))</f>
        <v/>
      </c>
      <c r="S221" s="12" t="str">
        <f aca="false">IF($C221="","",$C221&amp;"|"&amp;$R221)</f>
        <v/>
      </c>
    </row>
    <row r="222" customFormat="false" ht="15" hidden="false" customHeight="true" outlineLevel="0" collapsed="false">
      <c r="A222" s="12" t="str">
        <f aca="false">IF($C222="","",TEXT($B222,"yymmdd")&amp;"-"&amp;TEXT(COUNTIFS($B$3:$B222,$B222),"000"))</f>
        <v/>
      </c>
      <c r="B222" s="13"/>
      <c r="C222" s="7"/>
      <c r="D222" s="12" t="str">
        <f aca="false">IF($C222="","",IFERROR(INDEX(고객명부!$B$3:$B$502,MATCH($C222,고객명부!$A$3:$A$502,0)),"미등록고객"))</f>
        <v/>
      </c>
      <c r="E222" s="12" t="str">
        <f aca="false">IF($C222="","",IFERROR(INDEX(고객명부!$C$3:$C$502,MATCH($C222,고객명부!$A$3:$A$502,0)),""))</f>
        <v/>
      </c>
      <c r="F222" s="12" t="str">
        <f aca="false">IF($C222="","",IFERROR(INDEX(고객명부!$D$3:$D$502,MATCH($C222,고객명부!$A$3:$A$502,0)),""))</f>
        <v/>
      </c>
      <c r="G222" s="12" t="str">
        <f aca="false">IF($C222="","",IFERROR(INDEX(고객명부!$E$3:$E$502,MATCH($C222,고객명부!$A$3:$A$502,0))&amp;" "&amp;INDEX(고객명부!$F$3:$F$502,MATCH($C222,고객명부!$A$3:$A$502,0)),""))</f>
        <v/>
      </c>
      <c r="H222" s="7"/>
      <c r="I222" s="12" t="str">
        <f aca="false">IF($H222="","",IFERROR(INDEX(상품목록!$B$3:$B$102,MATCH($H222,상품목록!$A$3:$A$102,0)),""))</f>
        <v/>
      </c>
      <c r="J222" s="14" t="str">
        <f aca="false">IF($H222="","",IFERROR(INDEX(상품목록!$C$3:$C$102,MATCH($H222,상품목록!$A$3:$A$102,0)),0))</f>
        <v/>
      </c>
      <c r="K222" s="7"/>
      <c r="L222" s="14" t="str">
        <f aca="false">IF(OR($J222="",$K222=""),"",ROUND($J222*$K222,0))</f>
        <v/>
      </c>
      <c r="M222" s="9"/>
      <c r="N222" s="14" t="str">
        <f aca="false">IF($L222="","",$L222+IF($M222="",0,$M222))</f>
        <v/>
      </c>
      <c r="O222" s="13"/>
      <c r="P222" s="7"/>
      <c r="Q222" s="12" t="str">
        <f aca="false">IF($C222="","",IF($P222&lt;&gt;"","발송완료",IF($O222&lt;&gt;"","입금완료","입금대기")))</f>
        <v/>
      </c>
      <c r="R222" s="12" t="str">
        <f aca="false">IF($C222="","",COUNTIFS($C$3:$C222,$C222))</f>
        <v/>
      </c>
      <c r="S222" s="12" t="str">
        <f aca="false">IF($C222="","",$C222&amp;"|"&amp;$R222)</f>
        <v/>
      </c>
    </row>
    <row r="223" customFormat="false" ht="15" hidden="false" customHeight="true" outlineLevel="0" collapsed="false">
      <c r="A223" s="12" t="str">
        <f aca="false">IF($C223="","",TEXT($B223,"yymmdd")&amp;"-"&amp;TEXT(COUNTIFS($B$3:$B223,$B223),"000"))</f>
        <v/>
      </c>
      <c r="B223" s="13"/>
      <c r="C223" s="7"/>
      <c r="D223" s="12" t="str">
        <f aca="false">IF($C223="","",IFERROR(INDEX(고객명부!$B$3:$B$502,MATCH($C223,고객명부!$A$3:$A$502,0)),"미등록고객"))</f>
        <v/>
      </c>
      <c r="E223" s="12" t="str">
        <f aca="false">IF($C223="","",IFERROR(INDEX(고객명부!$C$3:$C$502,MATCH($C223,고객명부!$A$3:$A$502,0)),""))</f>
        <v/>
      </c>
      <c r="F223" s="12" t="str">
        <f aca="false">IF($C223="","",IFERROR(INDEX(고객명부!$D$3:$D$502,MATCH($C223,고객명부!$A$3:$A$502,0)),""))</f>
        <v/>
      </c>
      <c r="G223" s="12" t="str">
        <f aca="false">IF($C223="","",IFERROR(INDEX(고객명부!$E$3:$E$502,MATCH($C223,고객명부!$A$3:$A$502,0))&amp;" "&amp;INDEX(고객명부!$F$3:$F$502,MATCH($C223,고객명부!$A$3:$A$502,0)),""))</f>
        <v/>
      </c>
      <c r="H223" s="7"/>
      <c r="I223" s="12" t="str">
        <f aca="false">IF($H223="","",IFERROR(INDEX(상품목록!$B$3:$B$102,MATCH($H223,상품목록!$A$3:$A$102,0)),""))</f>
        <v/>
      </c>
      <c r="J223" s="14" t="str">
        <f aca="false">IF($H223="","",IFERROR(INDEX(상품목록!$C$3:$C$102,MATCH($H223,상품목록!$A$3:$A$102,0)),0))</f>
        <v/>
      </c>
      <c r="K223" s="7"/>
      <c r="L223" s="14" t="str">
        <f aca="false">IF(OR($J223="",$K223=""),"",ROUND($J223*$K223,0))</f>
        <v/>
      </c>
      <c r="M223" s="9"/>
      <c r="N223" s="14" t="str">
        <f aca="false">IF($L223="","",$L223+IF($M223="",0,$M223))</f>
        <v/>
      </c>
      <c r="O223" s="13"/>
      <c r="P223" s="7"/>
      <c r="Q223" s="12" t="str">
        <f aca="false">IF($C223="","",IF($P223&lt;&gt;"","발송완료",IF($O223&lt;&gt;"","입금완료","입금대기")))</f>
        <v/>
      </c>
      <c r="R223" s="12" t="str">
        <f aca="false">IF($C223="","",COUNTIFS($C$3:$C223,$C223))</f>
        <v/>
      </c>
      <c r="S223" s="12" t="str">
        <f aca="false">IF($C223="","",$C223&amp;"|"&amp;$R223)</f>
        <v/>
      </c>
    </row>
    <row r="224" customFormat="false" ht="15" hidden="false" customHeight="true" outlineLevel="0" collapsed="false">
      <c r="A224" s="12" t="str">
        <f aca="false">IF($C224="","",TEXT($B224,"yymmdd")&amp;"-"&amp;TEXT(COUNTIFS($B$3:$B224,$B224),"000"))</f>
        <v/>
      </c>
      <c r="B224" s="13"/>
      <c r="C224" s="7"/>
      <c r="D224" s="12" t="str">
        <f aca="false">IF($C224="","",IFERROR(INDEX(고객명부!$B$3:$B$502,MATCH($C224,고객명부!$A$3:$A$502,0)),"미등록고객"))</f>
        <v/>
      </c>
      <c r="E224" s="12" t="str">
        <f aca="false">IF($C224="","",IFERROR(INDEX(고객명부!$C$3:$C$502,MATCH($C224,고객명부!$A$3:$A$502,0)),""))</f>
        <v/>
      </c>
      <c r="F224" s="12" t="str">
        <f aca="false">IF($C224="","",IFERROR(INDEX(고객명부!$D$3:$D$502,MATCH($C224,고객명부!$A$3:$A$502,0)),""))</f>
        <v/>
      </c>
      <c r="G224" s="12" t="str">
        <f aca="false">IF($C224="","",IFERROR(INDEX(고객명부!$E$3:$E$502,MATCH($C224,고객명부!$A$3:$A$502,0))&amp;" "&amp;INDEX(고객명부!$F$3:$F$502,MATCH($C224,고객명부!$A$3:$A$502,0)),""))</f>
        <v/>
      </c>
      <c r="H224" s="7"/>
      <c r="I224" s="12" t="str">
        <f aca="false">IF($H224="","",IFERROR(INDEX(상품목록!$B$3:$B$102,MATCH($H224,상품목록!$A$3:$A$102,0)),""))</f>
        <v/>
      </c>
      <c r="J224" s="14" t="str">
        <f aca="false">IF($H224="","",IFERROR(INDEX(상품목록!$C$3:$C$102,MATCH($H224,상품목록!$A$3:$A$102,0)),0))</f>
        <v/>
      </c>
      <c r="K224" s="7"/>
      <c r="L224" s="14" t="str">
        <f aca="false">IF(OR($J224="",$K224=""),"",ROUND($J224*$K224,0))</f>
        <v/>
      </c>
      <c r="M224" s="9"/>
      <c r="N224" s="14" t="str">
        <f aca="false">IF($L224="","",$L224+IF($M224="",0,$M224))</f>
        <v/>
      </c>
      <c r="O224" s="13"/>
      <c r="P224" s="7"/>
      <c r="Q224" s="12" t="str">
        <f aca="false">IF($C224="","",IF($P224&lt;&gt;"","발송완료",IF($O224&lt;&gt;"","입금완료","입금대기")))</f>
        <v/>
      </c>
      <c r="R224" s="12" t="str">
        <f aca="false">IF($C224="","",COUNTIFS($C$3:$C224,$C224))</f>
        <v/>
      </c>
      <c r="S224" s="12" t="str">
        <f aca="false">IF($C224="","",$C224&amp;"|"&amp;$R224)</f>
        <v/>
      </c>
    </row>
    <row r="225" customFormat="false" ht="15" hidden="false" customHeight="true" outlineLevel="0" collapsed="false">
      <c r="A225" s="12" t="str">
        <f aca="false">IF($C225="","",TEXT($B225,"yymmdd")&amp;"-"&amp;TEXT(COUNTIFS($B$3:$B225,$B225),"000"))</f>
        <v/>
      </c>
      <c r="B225" s="13"/>
      <c r="C225" s="7"/>
      <c r="D225" s="12" t="str">
        <f aca="false">IF($C225="","",IFERROR(INDEX(고객명부!$B$3:$B$502,MATCH($C225,고객명부!$A$3:$A$502,0)),"미등록고객"))</f>
        <v/>
      </c>
      <c r="E225" s="12" t="str">
        <f aca="false">IF($C225="","",IFERROR(INDEX(고객명부!$C$3:$C$502,MATCH($C225,고객명부!$A$3:$A$502,0)),""))</f>
        <v/>
      </c>
      <c r="F225" s="12" t="str">
        <f aca="false">IF($C225="","",IFERROR(INDEX(고객명부!$D$3:$D$502,MATCH($C225,고객명부!$A$3:$A$502,0)),""))</f>
        <v/>
      </c>
      <c r="G225" s="12" t="str">
        <f aca="false">IF($C225="","",IFERROR(INDEX(고객명부!$E$3:$E$502,MATCH($C225,고객명부!$A$3:$A$502,0))&amp;" "&amp;INDEX(고객명부!$F$3:$F$502,MATCH($C225,고객명부!$A$3:$A$502,0)),""))</f>
        <v/>
      </c>
      <c r="H225" s="7"/>
      <c r="I225" s="12" t="str">
        <f aca="false">IF($H225="","",IFERROR(INDEX(상품목록!$B$3:$B$102,MATCH($H225,상품목록!$A$3:$A$102,0)),""))</f>
        <v/>
      </c>
      <c r="J225" s="14" t="str">
        <f aca="false">IF($H225="","",IFERROR(INDEX(상품목록!$C$3:$C$102,MATCH($H225,상품목록!$A$3:$A$102,0)),0))</f>
        <v/>
      </c>
      <c r="K225" s="7"/>
      <c r="L225" s="14" t="str">
        <f aca="false">IF(OR($J225="",$K225=""),"",ROUND($J225*$K225,0))</f>
        <v/>
      </c>
      <c r="M225" s="9"/>
      <c r="N225" s="14" t="str">
        <f aca="false">IF($L225="","",$L225+IF($M225="",0,$M225))</f>
        <v/>
      </c>
      <c r="O225" s="13"/>
      <c r="P225" s="7"/>
      <c r="Q225" s="12" t="str">
        <f aca="false">IF($C225="","",IF($P225&lt;&gt;"","발송완료",IF($O225&lt;&gt;"","입금완료","입금대기")))</f>
        <v/>
      </c>
      <c r="R225" s="12" t="str">
        <f aca="false">IF($C225="","",COUNTIFS($C$3:$C225,$C225))</f>
        <v/>
      </c>
      <c r="S225" s="12" t="str">
        <f aca="false">IF($C225="","",$C225&amp;"|"&amp;$R225)</f>
        <v/>
      </c>
    </row>
    <row r="226" customFormat="false" ht="15" hidden="false" customHeight="true" outlineLevel="0" collapsed="false">
      <c r="A226" s="12" t="str">
        <f aca="false">IF($C226="","",TEXT($B226,"yymmdd")&amp;"-"&amp;TEXT(COUNTIFS($B$3:$B226,$B226),"000"))</f>
        <v/>
      </c>
      <c r="B226" s="13"/>
      <c r="C226" s="7"/>
      <c r="D226" s="12" t="str">
        <f aca="false">IF($C226="","",IFERROR(INDEX(고객명부!$B$3:$B$502,MATCH($C226,고객명부!$A$3:$A$502,0)),"미등록고객"))</f>
        <v/>
      </c>
      <c r="E226" s="12" t="str">
        <f aca="false">IF($C226="","",IFERROR(INDEX(고객명부!$C$3:$C$502,MATCH($C226,고객명부!$A$3:$A$502,0)),""))</f>
        <v/>
      </c>
      <c r="F226" s="12" t="str">
        <f aca="false">IF($C226="","",IFERROR(INDEX(고객명부!$D$3:$D$502,MATCH($C226,고객명부!$A$3:$A$502,0)),""))</f>
        <v/>
      </c>
      <c r="G226" s="12" t="str">
        <f aca="false">IF($C226="","",IFERROR(INDEX(고객명부!$E$3:$E$502,MATCH($C226,고객명부!$A$3:$A$502,0))&amp;" "&amp;INDEX(고객명부!$F$3:$F$502,MATCH($C226,고객명부!$A$3:$A$502,0)),""))</f>
        <v/>
      </c>
      <c r="H226" s="7"/>
      <c r="I226" s="12" t="str">
        <f aca="false">IF($H226="","",IFERROR(INDEX(상품목록!$B$3:$B$102,MATCH($H226,상품목록!$A$3:$A$102,0)),""))</f>
        <v/>
      </c>
      <c r="J226" s="14" t="str">
        <f aca="false">IF($H226="","",IFERROR(INDEX(상품목록!$C$3:$C$102,MATCH($H226,상품목록!$A$3:$A$102,0)),0))</f>
        <v/>
      </c>
      <c r="K226" s="7"/>
      <c r="L226" s="14" t="str">
        <f aca="false">IF(OR($J226="",$K226=""),"",ROUND($J226*$K226,0))</f>
        <v/>
      </c>
      <c r="M226" s="9"/>
      <c r="N226" s="14" t="str">
        <f aca="false">IF($L226="","",$L226+IF($M226="",0,$M226))</f>
        <v/>
      </c>
      <c r="O226" s="13"/>
      <c r="P226" s="7"/>
      <c r="Q226" s="12" t="str">
        <f aca="false">IF($C226="","",IF($P226&lt;&gt;"","발송완료",IF($O226&lt;&gt;"","입금완료","입금대기")))</f>
        <v/>
      </c>
      <c r="R226" s="12" t="str">
        <f aca="false">IF($C226="","",COUNTIFS($C$3:$C226,$C226))</f>
        <v/>
      </c>
      <c r="S226" s="12" t="str">
        <f aca="false">IF($C226="","",$C226&amp;"|"&amp;$R226)</f>
        <v/>
      </c>
    </row>
    <row r="227" customFormat="false" ht="15" hidden="false" customHeight="true" outlineLevel="0" collapsed="false">
      <c r="A227" s="12" t="str">
        <f aca="false">IF($C227="","",TEXT($B227,"yymmdd")&amp;"-"&amp;TEXT(COUNTIFS($B$3:$B227,$B227),"000"))</f>
        <v/>
      </c>
      <c r="B227" s="13"/>
      <c r="C227" s="7"/>
      <c r="D227" s="12" t="str">
        <f aca="false">IF($C227="","",IFERROR(INDEX(고객명부!$B$3:$B$502,MATCH($C227,고객명부!$A$3:$A$502,0)),"미등록고객"))</f>
        <v/>
      </c>
      <c r="E227" s="12" t="str">
        <f aca="false">IF($C227="","",IFERROR(INDEX(고객명부!$C$3:$C$502,MATCH($C227,고객명부!$A$3:$A$502,0)),""))</f>
        <v/>
      </c>
      <c r="F227" s="12" t="str">
        <f aca="false">IF($C227="","",IFERROR(INDEX(고객명부!$D$3:$D$502,MATCH($C227,고객명부!$A$3:$A$502,0)),""))</f>
        <v/>
      </c>
      <c r="G227" s="12" t="str">
        <f aca="false">IF($C227="","",IFERROR(INDEX(고객명부!$E$3:$E$502,MATCH($C227,고객명부!$A$3:$A$502,0))&amp;" "&amp;INDEX(고객명부!$F$3:$F$502,MATCH($C227,고객명부!$A$3:$A$502,0)),""))</f>
        <v/>
      </c>
      <c r="H227" s="7"/>
      <c r="I227" s="12" t="str">
        <f aca="false">IF($H227="","",IFERROR(INDEX(상품목록!$B$3:$B$102,MATCH($H227,상품목록!$A$3:$A$102,0)),""))</f>
        <v/>
      </c>
      <c r="J227" s="14" t="str">
        <f aca="false">IF($H227="","",IFERROR(INDEX(상품목록!$C$3:$C$102,MATCH($H227,상품목록!$A$3:$A$102,0)),0))</f>
        <v/>
      </c>
      <c r="K227" s="7"/>
      <c r="L227" s="14" t="str">
        <f aca="false">IF(OR($J227="",$K227=""),"",ROUND($J227*$K227,0))</f>
        <v/>
      </c>
      <c r="M227" s="9"/>
      <c r="N227" s="14" t="str">
        <f aca="false">IF($L227="","",$L227+IF($M227="",0,$M227))</f>
        <v/>
      </c>
      <c r="O227" s="13"/>
      <c r="P227" s="7"/>
      <c r="Q227" s="12" t="str">
        <f aca="false">IF($C227="","",IF($P227&lt;&gt;"","발송완료",IF($O227&lt;&gt;"","입금완료","입금대기")))</f>
        <v/>
      </c>
      <c r="R227" s="12" t="str">
        <f aca="false">IF($C227="","",COUNTIFS($C$3:$C227,$C227))</f>
        <v/>
      </c>
      <c r="S227" s="12" t="str">
        <f aca="false">IF($C227="","",$C227&amp;"|"&amp;$R227)</f>
        <v/>
      </c>
    </row>
    <row r="228" customFormat="false" ht="15" hidden="false" customHeight="true" outlineLevel="0" collapsed="false">
      <c r="A228" s="12" t="str">
        <f aca="false">IF($C228="","",TEXT($B228,"yymmdd")&amp;"-"&amp;TEXT(COUNTIFS($B$3:$B228,$B228),"000"))</f>
        <v/>
      </c>
      <c r="B228" s="13"/>
      <c r="C228" s="7"/>
      <c r="D228" s="12" t="str">
        <f aca="false">IF($C228="","",IFERROR(INDEX(고객명부!$B$3:$B$502,MATCH($C228,고객명부!$A$3:$A$502,0)),"미등록고객"))</f>
        <v/>
      </c>
      <c r="E228" s="12" t="str">
        <f aca="false">IF($C228="","",IFERROR(INDEX(고객명부!$C$3:$C$502,MATCH($C228,고객명부!$A$3:$A$502,0)),""))</f>
        <v/>
      </c>
      <c r="F228" s="12" t="str">
        <f aca="false">IF($C228="","",IFERROR(INDEX(고객명부!$D$3:$D$502,MATCH($C228,고객명부!$A$3:$A$502,0)),""))</f>
        <v/>
      </c>
      <c r="G228" s="12" t="str">
        <f aca="false">IF($C228="","",IFERROR(INDEX(고객명부!$E$3:$E$502,MATCH($C228,고객명부!$A$3:$A$502,0))&amp;" "&amp;INDEX(고객명부!$F$3:$F$502,MATCH($C228,고객명부!$A$3:$A$502,0)),""))</f>
        <v/>
      </c>
      <c r="H228" s="7"/>
      <c r="I228" s="12" t="str">
        <f aca="false">IF($H228="","",IFERROR(INDEX(상품목록!$B$3:$B$102,MATCH($H228,상품목록!$A$3:$A$102,0)),""))</f>
        <v/>
      </c>
      <c r="J228" s="14" t="str">
        <f aca="false">IF($H228="","",IFERROR(INDEX(상품목록!$C$3:$C$102,MATCH($H228,상품목록!$A$3:$A$102,0)),0))</f>
        <v/>
      </c>
      <c r="K228" s="7"/>
      <c r="L228" s="14" t="str">
        <f aca="false">IF(OR($J228="",$K228=""),"",ROUND($J228*$K228,0))</f>
        <v/>
      </c>
      <c r="M228" s="9"/>
      <c r="N228" s="14" t="str">
        <f aca="false">IF($L228="","",$L228+IF($M228="",0,$M228))</f>
        <v/>
      </c>
      <c r="O228" s="13"/>
      <c r="P228" s="7"/>
      <c r="Q228" s="12" t="str">
        <f aca="false">IF($C228="","",IF($P228&lt;&gt;"","발송완료",IF($O228&lt;&gt;"","입금완료","입금대기")))</f>
        <v/>
      </c>
      <c r="R228" s="12" t="str">
        <f aca="false">IF($C228="","",COUNTIFS($C$3:$C228,$C228))</f>
        <v/>
      </c>
      <c r="S228" s="12" t="str">
        <f aca="false">IF($C228="","",$C228&amp;"|"&amp;$R228)</f>
        <v/>
      </c>
    </row>
    <row r="229" customFormat="false" ht="15" hidden="false" customHeight="true" outlineLevel="0" collapsed="false">
      <c r="A229" s="12" t="str">
        <f aca="false">IF($C229="","",TEXT($B229,"yymmdd")&amp;"-"&amp;TEXT(COUNTIFS($B$3:$B229,$B229),"000"))</f>
        <v/>
      </c>
      <c r="B229" s="13"/>
      <c r="C229" s="7"/>
      <c r="D229" s="12" t="str">
        <f aca="false">IF($C229="","",IFERROR(INDEX(고객명부!$B$3:$B$502,MATCH($C229,고객명부!$A$3:$A$502,0)),"미등록고객"))</f>
        <v/>
      </c>
      <c r="E229" s="12" t="str">
        <f aca="false">IF($C229="","",IFERROR(INDEX(고객명부!$C$3:$C$502,MATCH($C229,고객명부!$A$3:$A$502,0)),""))</f>
        <v/>
      </c>
      <c r="F229" s="12" t="str">
        <f aca="false">IF($C229="","",IFERROR(INDEX(고객명부!$D$3:$D$502,MATCH($C229,고객명부!$A$3:$A$502,0)),""))</f>
        <v/>
      </c>
      <c r="G229" s="12" t="str">
        <f aca="false">IF($C229="","",IFERROR(INDEX(고객명부!$E$3:$E$502,MATCH($C229,고객명부!$A$3:$A$502,0))&amp;" "&amp;INDEX(고객명부!$F$3:$F$502,MATCH($C229,고객명부!$A$3:$A$502,0)),""))</f>
        <v/>
      </c>
      <c r="H229" s="7"/>
      <c r="I229" s="12" t="str">
        <f aca="false">IF($H229="","",IFERROR(INDEX(상품목록!$B$3:$B$102,MATCH($H229,상품목록!$A$3:$A$102,0)),""))</f>
        <v/>
      </c>
      <c r="J229" s="14" t="str">
        <f aca="false">IF($H229="","",IFERROR(INDEX(상품목록!$C$3:$C$102,MATCH($H229,상품목록!$A$3:$A$102,0)),0))</f>
        <v/>
      </c>
      <c r="K229" s="7"/>
      <c r="L229" s="14" t="str">
        <f aca="false">IF(OR($J229="",$K229=""),"",ROUND($J229*$K229,0))</f>
        <v/>
      </c>
      <c r="M229" s="9"/>
      <c r="N229" s="14" t="str">
        <f aca="false">IF($L229="","",$L229+IF($M229="",0,$M229))</f>
        <v/>
      </c>
      <c r="O229" s="13"/>
      <c r="P229" s="7"/>
      <c r="Q229" s="12" t="str">
        <f aca="false">IF($C229="","",IF($P229&lt;&gt;"","발송완료",IF($O229&lt;&gt;"","입금완료","입금대기")))</f>
        <v/>
      </c>
      <c r="R229" s="12" t="str">
        <f aca="false">IF($C229="","",COUNTIFS($C$3:$C229,$C229))</f>
        <v/>
      </c>
      <c r="S229" s="12" t="str">
        <f aca="false">IF($C229="","",$C229&amp;"|"&amp;$R229)</f>
        <v/>
      </c>
    </row>
    <row r="230" customFormat="false" ht="15" hidden="false" customHeight="true" outlineLevel="0" collapsed="false">
      <c r="A230" s="12" t="str">
        <f aca="false">IF($C230="","",TEXT($B230,"yymmdd")&amp;"-"&amp;TEXT(COUNTIFS($B$3:$B230,$B230),"000"))</f>
        <v/>
      </c>
      <c r="B230" s="13"/>
      <c r="C230" s="7"/>
      <c r="D230" s="12" t="str">
        <f aca="false">IF($C230="","",IFERROR(INDEX(고객명부!$B$3:$B$502,MATCH($C230,고객명부!$A$3:$A$502,0)),"미등록고객"))</f>
        <v/>
      </c>
      <c r="E230" s="12" t="str">
        <f aca="false">IF($C230="","",IFERROR(INDEX(고객명부!$C$3:$C$502,MATCH($C230,고객명부!$A$3:$A$502,0)),""))</f>
        <v/>
      </c>
      <c r="F230" s="12" t="str">
        <f aca="false">IF($C230="","",IFERROR(INDEX(고객명부!$D$3:$D$502,MATCH($C230,고객명부!$A$3:$A$502,0)),""))</f>
        <v/>
      </c>
      <c r="G230" s="12" t="str">
        <f aca="false">IF($C230="","",IFERROR(INDEX(고객명부!$E$3:$E$502,MATCH($C230,고객명부!$A$3:$A$502,0))&amp;" "&amp;INDEX(고객명부!$F$3:$F$502,MATCH($C230,고객명부!$A$3:$A$502,0)),""))</f>
        <v/>
      </c>
      <c r="H230" s="7"/>
      <c r="I230" s="12" t="str">
        <f aca="false">IF($H230="","",IFERROR(INDEX(상품목록!$B$3:$B$102,MATCH($H230,상품목록!$A$3:$A$102,0)),""))</f>
        <v/>
      </c>
      <c r="J230" s="14" t="str">
        <f aca="false">IF($H230="","",IFERROR(INDEX(상품목록!$C$3:$C$102,MATCH($H230,상품목록!$A$3:$A$102,0)),0))</f>
        <v/>
      </c>
      <c r="K230" s="7"/>
      <c r="L230" s="14" t="str">
        <f aca="false">IF(OR($J230="",$K230=""),"",ROUND($J230*$K230,0))</f>
        <v/>
      </c>
      <c r="M230" s="9"/>
      <c r="N230" s="14" t="str">
        <f aca="false">IF($L230="","",$L230+IF($M230="",0,$M230))</f>
        <v/>
      </c>
      <c r="O230" s="13"/>
      <c r="P230" s="7"/>
      <c r="Q230" s="12" t="str">
        <f aca="false">IF($C230="","",IF($P230&lt;&gt;"","발송완료",IF($O230&lt;&gt;"","입금완료","입금대기")))</f>
        <v/>
      </c>
      <c r="R230" s="12" t="str">
        <f aca="false">IF($C230="","",COUNTIFS($C$3:$C230,$C230))</f>
        <v/>
      </c>
      <c r="S230" s="12" t="str">
        <f aca="false">IF($C230="","",$C230&amp;"|"&amp;$R230)</f>
        <v/>
      </c>
    </row>
    <row r="231" customFormat="false" ht="15" hidden="false" customHeight="true" outlineLevel="0" collapsed="false">
      <c r="A231" s="12" t="str">
        <f aca="false">IF($C231="","",TEXT($B231,"yymmdd")&amp;"-"&amp;TEXT(COUNTIFS($B$3:$B231,$B231),"000"))</f>
        <v/>
      </c>
      <c r="B231" s="13"/>
      <c r="C231" s="7"/>
      <c r="D231" s="12" t="str">
        <f aca="false">IF($C231="","",IFERROR(INDEX(고객명부!$B$3:$B$502,MATCH($C231,고객명부!$A$3:$A$502,0)),"미등록고객"))</f>
        <v/>
      </c>
      <c r="E231" s="12" t="str">
        <f aca="false">IF($C231="","",IFERROR(INDEX(고객명부!$C$3:$C$502,MATCH($C231,고객명부!$A$3:$A$502,0)),""))</f>
        <v/>
      </c>
      <c r="F231" s="12" t="str">
        <f aca="false">IF($C231="","",IFERROR(INDEX(고객명부!$D$3:$D$502,MATCH($C231,고객명부!$A$3:$A$502,0)),""))</f>
        <v/>
      </c>
      <c r="G231" s="12" t="str">
        <f aca="false">IF($C231="","",IFERROR(INDEX(고객명부!$E$3:$E$502,MATCH($C231,고객명부!$A$3:$A$502,0))&amp;" "&amp;INDEX(고객명부!$F$3:$F$502,MATCH($C231,고객명부!$A$3:$A$502,0)),""))</f>
        <v/>
      </c>
      <c r="H231" s="7"/>
      <c r="I231" s="12" t="str">
        <f aca="false">IF($H231="","",IFERROR(INDEX(상품목록!$B$3:$B$102,MATCH($H231,상품목록!$A$3:$A$102,0)),""))</f>
        <v/>
      </c>
      <c r="J231" s="14" t="str">
        <f aca="false">IF($H231="","",IFERROR(INDEX(상품목록!$C$3:$C$102,MATCH($H231,상품목록!$A$3:$A$102,0)),0))</f>
        <v/>
      </c>
      <c r="K231" s="7"/>
      <c r="L231" s="14" t="str">
        <f aca="false">IF(OR($J231="",$K231=""),"",ROUND($J231*$K231,0))</f>
        <v/>
      </c>
      <c r="M231" s="9"/>
      <c r="N231" s="14" t="str">
        <f aca="false">IF($L231="","",$L231+IF($M231="",0,$M231))</f>
        <v/>
      </c>
      <c r="O231" s="13"/>
      <c r="P231" s="7"/>
      <c r="Q231" s="12" t="str">
        <f aca="false">IF($C231="","",IF($P231&lt;&gt;"","발송완료",IF($O231&lt;&gt;"","입금완료","입금대기")))</f>
        <v/>
      </c>
      <c r="R231" s="12" t="str">
        <f aca="false">IF($C231="","",COUNTIFS($C$3:$C231,$C231))</f>
        <v/>
      </c>
      <c r="S231" s="12" t="str">
        <f aca="false">IF($C231="","",$C231&amp;"|"&amp;$R231)</f>
        <v/>
      </c>
    </row>
    <row r="232" customFormat="false" ht="15" hidden="false" customHeight="true" outlineLevel="0" collapsed="false">
      <c r="A232" s="12" t="str">
        <f aca="false">IF($C232="","",TEXT($B232,"yymmdd")&amp;"-"&amp;TEXT(COUNTIFS($B$3:$B232,$B232),"000"))</f>
        <v/>
      </c>
      <c r="B232" s="13"/>
      <c r="C232" s="7"/>
      <c r="D232" s="12" t="str">
        <f aca="false">IF($C232="","",IFERROR(INDEX(고객명부!$B$3:$B$502,MATCH($C232,고객명부!$A$3:$A$502,0)),"미등록고객"))</f>
        <v/>
      </c>
      <c r="E232" s="12" t="str">
        <f aca="false">IF($C232="","",IFERROR(INDEX(고객명부!$C$3:$C$502,MATCH($C232,고객명부!$A$3:$A$502,0)),""))</f>
        <v/>
      </c>
      <c r="F232" s="12" t="str">
        <f aca="false">IF($C232="","",IFERROR(INDEX(고객명부!$D$3:$D$502,MATCH($C232,고객명부!$A$3:$A$502,0)),""))</f>
        <v/>
      </c>
      <c r="G232" s="12" t="str">
        <f aca="false">IF($C232="","",IFERROR(INDEX(고객명부!$E$3:$E$502,MATCH($C232,고객명부!$A$3:$A$502,0))&amp;" "&amp;INDEX(고객명부!$F$3:$F$502,MATCH($C232,고객명부!$A$3:$A$502,0)),""))</f>
        <v/>
      </c>
      <c r="H232" s="7"/>
      <c r="I232" s="12" t="str">
        <f aca="false">IF($H232="","",IFERROR(INDEX(상품목록!$B$3:$B$102,MATCH($H232,상품목록!$A$3:$A$102,0)),""))</f>
        <v/>
      </c>
      <c r="J232" s="14" t="str">
        <f aca="false">IF($H232="","",IFERROR(INDEX(상품목록!$C$3:$C$102,MATCH($H232,상품목록!$A$3:$A$102,0)),0))</f>
        <v/>
      </c>
      <c r="K232" s="7"/>
      <c r="L232" s="14" t="str">
        <f aca="false">IF(OR($J232="",$K232=""),"",ROUND($J232*$K232,0))</f>
        <v/>
      </c>
      <c r="M232" s="9"/>
      <c r="N232" s="14" t="str">
        <f aca="false">IF($L232="","",$L232+IF($M232="",0,$M232))</f>
        <v/>
      </c>
      <c r="O232" s="13"/>
      <c r="P232" s="7"/>
      <c r="Q232" s="12" t="str">
        <f aca="false">IF($C232="","",IF($P232&lt;&gt;"","발송완료",IF($O232&lt;&gt;"","입금완료","입금대기")))</f>
        <v/>
      </c>
      <c r="R232" s="12" t="str">
        <f aca="false">IF($C232="","",COUNTIFS($C$3:$C232,$C232))</f>
        <v/>
      </c>
      <c r="S232" s="12" t="str">
        <f aca="false">IF($C232="","",$C232&amp;"|"&amp;$R232)</f>
        <v/>
      </c>
    </row>
    <row r="233" customFormat="false" ht="15" hidden="false" customHeight="true" outlineLevel="0" collapsed="false">
      <c r="A233" s="12" t="str">
        <f aca="false">IF($C233="","",TEXT($B233,"yymmdd")&amp;"-"&amp;TEXT(COUNTIFS($B$3:$B233,$B233),"000"))</f>
        <v/>
      </c>
      <c r="B233" s="13"/>
      <c r="C233" s="7"/>
      <c r="D233" s="12" t="str">
        <f aca="false">IF($C233="","",IFERROR(INDEX(고객명부!$B$3:$B$502,MATCH($C233,고객명부!$A$3:$A$502,0)),"미등록고객"))</f>
        <v/>
      </c>
      <c r="E233" s="12" t="str">
        <f aca="false">IF($C233="","",IFERROR(INDEX(고객명부!$C$3:$C$502,MATCH($C233,고객명부!$A$3:$A$502,0)),""))</f>
        <v/>
      </c>
      <c r="F233" s="12" t="str">
        <f aca="false">IF($C233="","",IFERROR(INDEX(고객명부!$D$3:$D$502,MATCH($C233,고객명부!$A$3:$A$502,0)),""))</f>
        <v/>
      </c>
      <c r="G233" s="12" t="str">
        <f aca="false">IF($C233="","",IFERROR(INDEX(고객명부!$E$3:$E$502,MATCH($C233,고객명부!$A$3:$A$502,0))&amp;" "&amp;INDEX(고객명부!$F$3:$F$502,MATCH($C233,고객명부!$A$3:$A$502,0)),""))</f>
        <v/>
      </c>
      <c r="H233" s="7"/>
      <c r="I233" s="12" t="str">
        <f aca="false">IF($H233="","",IFERROR(INDEX(상품목록!$B$3:$B$102,MATCH($H233,상품목록!$A$3:$A$102,0)),""))</f>
        <v/>
      </c>
      <c r="J233" s="14" t="str">
        <f aca="false">IF($H233="","",IFERROR(INDEX(상품목록!$C$3:$C$102,MATCH($H233,상품목록!$A$3:$A$102,0)),0))</f>
        <v/>
      </c>
      <c r="K233" s="7"/>
      <c r="L233" s="14" t="str">
        <f aca="false">IF(OR($J233="",$K233=""),"",ROUND($J233*$K233,0))</f>
        <v/>
      </c>
      <c r="M233" s="9"/>
      <c r="N233" s="14" t="str">
        <f aca="false">IF($L233="","",$L233+IF($M233="",0,$M233))</f>
        <v/>
      </c>
      <c r="O233" s="13"/>
      <c r="P233" s="7"/>
      <c r="Q233" s="12" t="str">
        <f aca="false">IF($C233="","",IF($P233&lt;&gt;"","발송완료",IF($O233&lt;&gt;"","입금완료","입금대기")))</f>
        <v/>
      </c>
      <c r="R233" s="12" t="str">
        <f aca="false">IF($C233="","",COUNTIFS($C$3:$C233,$C233))</f>
        <v/>
      </c>
      <c r="S233" s="12" t="str">
        <f aca="false">IF($C233="","",$C233&amp;"|"&amp;$R233)</f>
        <v/>
      </c>
    </row>
    <row r="234" customFormat="false" ht="15" hidden="false" customHeight="true" outlineLevel="0" collapsed="false">
      <c r="A234" s="12" t="str">
        <f aca="false">IF($C234="","",TEXT($B234,"yymmdd")&amp;"-"&amp;TEXT(COUNTIFS($B$3:$B234,$B234),"000"))</f>
        <v/>
      </c>
      <c r="B234" s="13"/>
      <c r="C234" s="7"/>
      <c r="D234" s="12" t="str">
        <f aca="false">IF($C234="","",IFERROR(INDEX(고객명부!$B$3:$B$502,MATCH($C234,고객명부!$A$3:$A$502,0)),"미등록고객"))</f>
        <v/>
      </c>
      <c r="E234" s="12" t="str">
        <f aca="false">IF($C234="","",IFERROR(INDEX(고객명부!$C$3:$C$502,MATCH($C234,고객명부!$A$3:$A$502,0)),""))</f>
        <v/>
      </c>
      <c r="F234" s="12" t="str">
        <f aca="false">IF($C234="","",IFERROR(INDEX(고객명부!$D$3:$D$502,MATCH($C234,고객명부!$A$3:$A$502,0)),""))</f>
        <v/>
      </c>
      <c r="G234" s="12" t="str">
        <f aca="false">IF($C234="","",IFERROR(INDEX(고객명부!$E$3:$E$502,MATCH($C234,고객명부!$A$3:$A$502,0))&amp;" "&amp;INDEX(고객명부!$F$3:$F$502,MATCH($C234,고객명부!$A$3:$A$502,0)),""))</f>
        <v/>
      </c>
      <c r="H234" s="7"/>
      <c r="I234" s="12" t="str">
        <f aca="false">IF($H234="","",IFERROR(INDEX(상품목록!$B$3:$B$102,MATCH($H234,상품목록!$A$3:$A$102,0)),""))</f>
        <v/>
      </c>
      <c r="J234" s="14" t="str">
        <f aca="false">IF($H234="","",IFERROR(INDEX(상품목록!$C$3:$C$102,MATCH($H234,상품목록!$A$3:$A$102,0)),0))</f>
        <v/>
      </c>
      <c r="K234" s="7"/>
      <c r="L234" s="14" t="str">
        <f aca="false">IF(OR($J234="",$K234=""),"",ROUND($J234*$K234,0))</f>
        <v/>
      </c>
      <c r="M234" s="9"/>
      <c r="N234" s="14" t="str">
        <f aca="false">IF($L234="","",$L234+IF($M234="",0,$M234))</f>
        <v/>
      </c>
      <c r="O234" s="13"/>
      <c r="P234" s="7"/>
      <c r="Q234" s="12" t="str">
        <f aca="false">IF($C234="","",IF($P234&lt;&gt;"","발송완료",IF($O234&lt;&gt;"","입금완료","입금대기")))</f>
        <v/>
      </c>
      <c r="R234" s="12" t="str">
        <f aca="false">IF($C234="","",COUNTIFS($C$3:$C234,$C234))</f>
        <v/>
      </c>
      <c r="S234" s="12" t="str">
        <f aca="false">IF($C234="","",$C234&amp;"|"&amp;$R234)</f>
        <v/>
      </c>
    </row>
    <row r="235" customFormat="false" ht="15" hidden="false" customHeight="true" outlineLevel="0" collapsed="false">
      <c r="A235" s="12" t="str">
        <f aca="false">IF($C235="","",TEXT($B235,"yymmdd")&amp;"-"&amp;TEXT(COUNTIFS($B$3:$B235,$B235),"000"))</f>
        <v/>
      </c>
      <c r="B235" s="13"/>
      <c r="C235" s="7"/>
      <c r="D235" s="12" t="str">
        <f aca="false">IF($C235="","",IFERROR(INDEX(고객명부!$B$3:$B$502,MATCH($C235,고객명부!$A$3:$A$502,0)),"미등록고객"))</f>
        <v/>
      </c>
      <c r="E235" s="12" t="str">
        <f aca="false">IF($C235="","",IFERROR(INDEX(고객명부!$C$3:$C$502,MATCH($C235,고객명부!$A$3:$A$502,0)),""))</f>
        <v/>
      </c>
      <c r="F235" s="12" t="str">
        <f aca="false">IF($C235="","",IFERROR(INDEX(고객명부!$D$3:$D$502,MATCH($C235,고객명부!$A$3:$A$502,0)),""))</f>
        <v/>
      </c>
      <c r="G235" s="12" t="str">
        <f aca="false">IF($C235="","",IFERROR(INDEX(고객명부!$E$3:$E$502,MATCH($C235,고객명부!$A$3:$A$502,0))&amp;" "&amp;INDEX(고객명부!$F$3:$F$502,MATCH($C235,고객명부!$A$3:$A$502,0)),""))</f>
        <v/>
      </c>
      <c r="H235" s="7"/>
      <c r="I235" s="12" t="str">
        <f aca="false">IF($H235="","",IFERROR(INDEX(상품목록!$B$3:$B$102,MATCH($H235,상품목록!$A$3:$A$102,0)),""))</f>
        <v/>
      </c>
      <c r="J235" s="14" t="str">
        <f aca="false">IF($H235="","",IFERROR(INDEX(상품목록!$C$3:$C$102,MATCH($H235,상품목록!$A$3:$A$102,0)),0))</f>
        <v/>
      </c>
      <c r="K235" s="7"/>
      <c r="L235" s="14" t="str">
        <f aca="false">IF(OR($J235="",$K235=""),"",ROUND($J235*$K235,0))</f>
        <v/>
      </c>
      <c r="M235" s="9"/>
      <c r="N235" s="14" t="str">
        <f aca="false">IF($L235="","",$L235+IF($M235="",0,$M235))</f>
        <v/>
      </c>
      <c r="O235" s="13"/>
      <c r="P235" s="7"/>
      <c r="Q235" s="12" t="str">
        <f aca="false">IF($C235="","",IF($P235&lt;&gt;"","발송완료",IF($O235&lt;&gt;"","입금완료","입금대기")))</f>
        <v/>
      </c>
      <c r="R235" s="12" t="str">
        <f aca="false">IF($C235="","",COUNTIFS($C$3:$C235,$C235))</f>
        <v/>
      </c>
      <c r="S235" s="12" t="str">
        <f aca="false">IF($C235="","",$C235&amp;"|"&amp;$R235)</f>
        <v/>
      </c>
    </row>
    <row r="236" customFormat="false" ht="15" hidden="false" customHeight="true" outlineLevel="0" collapsed="false">
      <c r="A236" s="12" t="str">
        <f aca="false">IF($C236="","",TEXT($B236,"yymmdd")&amp;"-"&amp;TEXT(COUNTIFS($B$3:$B236,$B236),"000"))</f>
        <v/>
      </c>
      <c r="B236" s="13"/>
      <c r="C236" s="7"/>
      <c r="D236" s="12" t="str">
        <f aca="false">IF($C236="","",IFERROR(INDEX(고객명부!$B$3:$B$502,MATCH($C236,고객명부!$A$3:$A$502,0)),"미등록고객"))</f>
        <v/>
      </c>
      <c r="E236" s="12" t="str">
        <f aca="false">IF($C236="","",IFERROR(INDEX(고객명부!$C$3:$C$502,MATCH($C236,고객명부!$A$3:$A$502,0)),""))</f>
        <v/>
      </c>
      <c r="F236" s="12" t="str">
        <f aca="false">IF($C236="","",IFERROR(INDEX(고객명부!$D$3:$D$502,MATCH($C236,고객명부!$A$3:$A$502,0)),""))</f>
        <v/>
      </c>
      <c r="G236" s="12" t="str">
        <f aca="false">IF($C236="","",IFERROR(INDEX(고객명부!$E$3:$E$502,MATCH($C236,고객명부!$A$3:$A$502,0))&amp;" "&amp;INDEX(고객명부!$F$3:$F$502,MATCH($C236,고객명부!$A$3:$A$502,0)),""))</f>
        <v/>
      </c>
      <c r="H236" s="7"/>
      <c r="I236" s="12" t="str">
        <f aca="false">IF($H236="","",IFERROR(INDEX(상품목록!$B$3:$B$102,MATCH($H236,상품목록!$A$3:$A$102,0)),""))</f>
        <v/>
      </c>
      <c r="J236" s="14" t="str">
        <f aca="false">IF($H236="","",IFERROR(INDEX(상품목록!$C$3:$C$102,MATCH($H236,상품목록!$A$3:$A$102,0)),0))</f>
        <v/>
      </c>
      <c r="K236" s="7"/>
      <c r="L236" s="14" t="str">
        <f aca="false">IF(OR($J236="",$K236=""),"",ROUND($J236*$K236,0))</f>
        <v/>
      </c>
      <c r="M236" s="9"/>
      <c r="N236" s="14" t="str">
        <f aca="false">IF($L236="","",$L236+IF($M236="",0,$M236))</f>
        <v/>
      </c>
      <c r="O236" s="13"/>
      <c r="P236" s="7"/>
      <c r="Q236" s="12" t="str">
        <f aca="false">IF($C236="","",IF($P236&lt;&gt;"","발송완료",IF($O236&lt;&gt;"","입금완료","입금대기")))</f>
        <v/>
      </c>
      <c r="R236" s="12" t="str">
        <f aca="false">IF($C236="","",COUNTIFS($C$3:$C236,$C236))</f>
        <v/>
      </c>
      <c r="S236" s="12" t="str">
        <f aca="false">IF($C236="","",$C236&amp;"|"&amp;$R236)</f>
        <v/>
      </c>
    </row>
    <row r="237" customFormat="false" ht="15" hidden="false" customHeight="true" outlineLevel="0" collapsed="false">
      <c r="A237" s="12" t="str">
        <f aca="false">IF($C237="","",TEXT($B237,"yymmdd")&amp;"-"&amp;TEXT(COUNTIFS($B$3:$B237,$B237),"000"))</f>
        <v/>
      </c>
      <c r="B237" s="13"/>
      <c r="C237" s="7"/>
      <c r="D237" s="12" t="str">
        <f aca="false">IF($C237="","",IFERROR(INDEX(고객명부!$B$3:$B$502,MATCH($C237,고객명부!$A$3:$A$502,0)),"미등록고객"))</f>
        <v/>
      </c>
      <c r="E237" s="12" t="str">
        <f aca="false">IF($C237="","",IFERROR(INDEX(고객명부!$C$3:$C$502,MATCH($C237,고객명부!$A$3:$A$502,0)),""))</f>
        <v/>
      </c>
      <c r="F237" s="12" t="str">
        <f aca="false">IF($C237="","",IFERROR(INDEX(고객명부!$D$3:$D$502,MATCH($C237,고객명부!$A$3:$A$502,0)),""))</f>
        <v/>
      </c>
      <c r="G237" s="12" t="str">
        <f aca="false">IF($C237="","",IFERROR(INDEX(고객명부!$E$3:$E$502,MATCH($C237,고객명부!$A$3:$A$502,0))&amp;" "&amp;INDEX(고객명부!$F$3:$F$502,MATCH($C237,고객명부!$A$3:$A$502,0)),""))</f>
        <v/>
      </c>
      <c r="H237" s="7"/>
      <c r="I237" s="12" t="str">
        <f aca="false">IF($H237="","",IFERROR(INDEX(상품목록!$B$3:$B$102,MATCH($H237,상품목록!$A$3:$A$102,0)),""))</f>
        <v/>
      </c>
      <c r="J237" s="14" t="str">
        <f aca="false">IF($H237="","",IFERROR(INDEX(상품목록!$C$3:$C$102,MATCH($H237,상품목록!$A$3:$A$102,0)),0))</f>
        <v/>
      </c>
      <c r="K237" s="7"/>
      <c r="L237" s="14" t="str">
        <f aca="false">IF(OR($J237="",$K237=""),"",ROUND($J237*$K237,0))</f>
        <v/>
      </c>
      <c r="M237" s="9"/>
      <c r="N237" s="14" t="str">
        <f aca="false">IF($L237="","",$L237+IF($M237="",0,$M237))</f>
        <v/>
      </c>
      <c r="O237" s="13"/>
      <c r="P237" s="7"/>
      <c r="Q237" s="12" t="str">
        <f aca="false">IF($C237="","",IF($P237&lt;&gt;"","발송완료",IF($O237&lt;&gt;"","입금완료","입금대기")))</f>
        <v/>
      </c>
      <c r="R237" s="12" t="str">
        <f aca="false">IF($C237="","",COUNTIFS($C$3:$C237,$C237))</f>
        <v/>
      </c>
      <c r="S237" s="12" t="str">
        <f aca="false">IF($C237="","",$C237&amp;"|"&amp;$R237)</f>
        <v/>
      </c>
    </row>
    <row r="238" customFormat="false" ht="15" hidden="false" customHeight="true" outlineLevel="0" collapsed="false">
      <c r="A238" s="12" t="str">
        <f aca="false">IF($C238="","",TEXT($B238,"yymmdd")&amp;"-"&amp;TEXT(COUNTIFS($B$3:$B238,$B238),"000"))</f>
        <v/>
      </c>
      <c r="B238" s="13"/>
      <c r="C238" s="7"/>
      <c r="D238" s="12" t="str">
        <f aca="false">IF($C238="","",IFERROR(INDEX(고객명부!$B$3:$B$502,MATCH($C238,고객명부!$A$3:$A$502,0)),"미등록고객"))</f>
        <v/>
      </c>
      <c r="E238" s="12" t="str">
        <f aca="false">IF($C238="","",IFERROR(INDEX(고객명부!$C$3:$C$502,MATCH($C238,고객명부!$A$3:$A$502,0)),""))</f>
        <v/>
      </c>
      <c r="F238" s="12" t="str">
        <f aca="false">IF($C238="","",IFERROR(INDEX(고객명부!$D$3:$D$502,MATCH($C238,고객명부!$A$3:$A$502,0)),""))</f>
        <v/>
      </c>
      <c r="G238" s="12" t="str">
        <f aca="false">IF($C238="","",IFERROR(INDEX(고객명부!$E$3:$E$502,MATCH($C238,고객명부!$A$3:$A$502,0))&amp;" "&amp;INDEX(고객명부!$F$3:$F$502,MATCH($C238,고객명부!$A$3:$A$502,0)),""))</f>
        <v/>
      </c>
      <c r="H238" s="7"/>
      <c r="I238" s="12" t="str">
        <f aca="false">IF($H238="","",IFERROR(INDEX(상품목록!$B$3:$B$102,MATCH($H238,상품목록!$A$3:$A$102,0)),""))</f>
        <v/>
      </c>
      <c r="J238" s="14" t="str">
        <f aca="false">IF($H238="","",IFERROR(INDEX(상품목록!$C$3:$C$102,MATCH($H238,상품목록!$A$3:$A$102,0)),0))</f>
        <v/>
      </c>
      <c r="K238" s="7"/>
      <c r="L238" s="14" t="str">
        <f aca="false">IF(OR($J238="",$K238=""),"",ROUND($J238*$K238,0))</f>
        <v/>
      </c>
      <c r="M238" s="9"/>
      <c r="N238" s="14" t="str">
        <f aca="false">IF($L238="","",$L238+IF($M238="",0,$M238))</f>
        <v/>
      </c>
      <c r="O238" s="13"/>
      <c r="P238" s="7"/>
      <c r="Q238" s="12" t="str">
        <f aca="false">IF($C238="","",IF($P238&lt;&gt;"","발송완료",IF($O238&lt;&gt;"","입금완료","입금대기")))</f>
        <v/>
      </c>
      <c r="R238" s="12" t="str">
        <f aca="false">IF($C238="","",COUNTIFS($C$3:$C238,$C238))</f>
        <v/>
      </c>
      <c r="S238" s="12" t="str">
        <f aca="false">IF($C238="","",$C238&amp;"|"&amp;$R238)</f>
        <v/>
      </c>
    </row>
    <row r="239" customFormat="false" ht="15" hidden="false" customHeight="true" outlineLevel="0" collapsed="false">
      <c r="A239" s="12" t="str">
        <f aca="false">IF($C239="","",TEXT($B239,"yymmdd")&amp;"-"&amp;TEXT(COUNTIFS($B$3:$B239,$B239),"000"))</f>
        <v/>
      </c>
      <c r="B239" s="13"/>
      <c r="C239" s="7"/>
      <c r="D239" s="12" t="str">
        <f aca="false">IF($C239="","",IFERROR(INDEX(고객명부!$B$3:$B$502,MATCH($C239,고객명부!$A$3:$A$502,0)),"미등록고객"))</f>
        <v/>
      </c>
      <c r="E239" s="12" t="str">
        <f aca="false">IF($C239="","",IFERROR(INDEX(고객명부!$C$3:$C$502,MATCH($C239,고객명부!$A$3:$A$502,0)),""))</f>
        <v/>
      </c>
      <c r="F239" s="12" t="str">
        <f aca="false">IF($C239="","",IFERROR(INDEX(고객명부!$D$3:$D$502,MATCH($C239,고객명부!$A$3:$A$502,0)),""))</f>
        <v/>
      </c>
      <c r="G239" s="12" t="str">
        <f aca="false">IF($C239="","",IFERROR(INDEX(고객명부!$E$3:$E$502,MATCH($C239,고객명부!$A$3:$A$502,0))&amp;" "&amp;INDEX(고객명부!$F$3:$F$502,MATCH($C239,고객명부!$A$3:$A$502,0)),""))</f>
        <v/>
      </c>
      <c r="H239" s="7"/>
      <c r="I239" s="12" t="str">
        <f aca="false">IF($H239="","",IFERROR(INDEX(상품목록!$B$3:$B$102,MATCH($H239,상품목록!$A$3:$A$102,0)),""))</f>
        <v/>
      </c>
      <c r="J239" s="14" t="str">
        <f aca="false">IF($H239="","",IFERROR(INDEX(상품목록!$C$3:$C$102,MATCH($H239,상품목록!$A$3:$A$102,0)),0))</f>
        <v/>
      </c>
      <c r="K239" s="7"/>
      <c r="L239" s="14" t="str">
        <f aca="false">IF(OR($J239="",$K239=""),"",ROUND($J239*$K239,0))</f>
        <v/>
      </c>
      <c r="M239" s="9"/>
      <c r="N239" s="14" t="str">
        <f aca="false">IF($L239="","",$L239+IF($M239="",0,$M239))</f>
        <v/>
      </c>
      <c r="O239" s="13"/>
      <c r="P239" s="7"/>
      <c r="Q239" s="12" t="str">
        <f aca="false">IF($C239="","",IF($P239&lt;&gt;"","발송완료",IF($O239&lt;&gt;"","입금완료","입금대기")))</f>
        <v/>
      </c>
      <c r="R239" s="12" t="str">
        <f aca="false">IF($C239="","",COUNTIFS($C$3:$C239,$C239))</f>
        <v/>
      </c>
      <c r="S239" s="12" t="str">
        <f aca="false">IF($C239="","",$C239&amp;"|"&amp;$R239)</f>
        <v/>
      </c>
    </row>
    <row r="240" customFormat="false" ht="15" hidden="false" customHeight="true" outlineLevel="0" collapsed="false">
      <c r="A240" s="12" t="str">
        <f aca="false">IF($C240="","",TEXT($B240,"yymmdd")&amp;"-"&amp;TEXT(COUNTIFS($B$3:$B240,$B240),"000"))</f>
        <v/>
      </c>
      <c r="B240" s="13"/>
      <c r="C240" s="7"/>
      <c r="D240" s="12" t="str">
        <f aca="false">IF($C240="","",IFERROR(INDEX(고객명부!$B$3:$B$502,MATCH($C240,고객명부!$A$3:$A$502,0)),"미등록고객"))</f>
        <v/>
      </c>
      <c r="E240" s="12" t="str">
        <f aca="false">IF($C240="","",IFERROR(INDEX(고객명부!$C$3:$C$502,MATCH($C240,고객명부!$A$3:$A$502,0)),""))</f>
        <v/>
      </c>
      <c r="F240" s="12" t="str">
        <f aca="false">IF($C240="","",IFERROR(INDEX(고객명부!$D$3:$D$502,MATCH($C240,고객명부!$A$3:$A$502,0)),""))</f>
        <v/>
      </c>
      <c r="G240" s="12" t="str">
        <f aca="false">IF($C240="","",IFERROR(INDEX(고객명부!$E$3:$E$502,MATCH($C240,고객명부!$A$3:$A$502,0))&amp;" "&amp;INDEX(고객명부!$F$3:$F$502,MATCH($C240,고객명부!$A$3:$A$502,0)),""))</f>
        <v/>
      </c>
      <c r="H240" s="7"/>
      <c r="I240" s="12" t="str">
        <f aca="false">IF($H240="","",IFERROR(INDEX(상품목록!$B$3:$B$102,MATCH($H240,상품목록!$A$3:$A$102,0)),""))</f>
        <v/>
      </c>
      <c r="J240" s="14" t="str">
        <f aca="false">IF($H240="","",IFERROR(INDEX(상품목록!$C$3:$C$102,MATCH($H240,상품목록!$A$3:$A$102,0)),0))</f>
        <v/>
      </c>
      <c r="K240" s="7"/>
      <c r="L240" s="14" t="str">
        <f aca="false">IF(OR($J240="",$K240=""),"",ROUND($J240*$K240,0))</f>
        <v/>
      </c>
      <c r="M240" s="9"/>
      <c r="N240" s="14" t="str">
        <f aca="false">IF($L240="","",$L240+IF($M240="",0,$M240))</f>
        <v/>
      </c>
      <c r="O240" s="13"/>
      <c r="P240" s="7"/>
      <c r="Q240" s="12" t="str">
        <f aca="false">IF($C240="","",IF($P240&lt;&gt;"","발송완료",IF($O240&lt;&gt;"","입금완료","입금대기")))</f>
        <v/>
      </c>
      <c r="R240" s="12" t="str">
        <f aca="false">IF($C240="","",COUNTIFS($C$3:$C240,$C240))</f>
        <v/>
      </c>
      <c r="S240" s="12" t="str">
        <f aca="false">IF($C240="","",$C240&amp;"|"&amp;$R240)</f>
        <v/>
      </c>
    </row>
    <row r="241" customFormat="false" ht="15" hidden="false" customHeight="true" outlineLevel="0" collapsed="false">
      <c r="A241" s="12" t="str">
        <f aca="false">IF($C241="","",TEXT($B241,"yymmdd")&amp;"-"&amp;TEXT(COUNTIFS($B$3:$B241,$B241),"000"))</f>
        <v/>
      </c>
      <c r="B241" s="13"/>
      <c r="C241" s="7"/>
      <c r="D241" s="12" t="str">
        <f aca="false">IF($C241="","",IFERROR(INDEX(고객명부!$B$3:$B$502,MATCH($C241,고객명부!$A$3:$A$502,0)),"미등록고객"))</f>
        <v/>
      </c>
      <c r="E241" s="12" t="str">
        <f aca="false">IF($C241="","",IFERROR(INDEX(고객명부!$C$3:$C$502,MATCH($C241,고객명부!$A$3:$A$502,0)),""))</f>
        <v/>
      </c>
      <c r="F241" s="12" t="str">
        <f aca="false">IF($C241="","",IFERROR(INDEX(고객명부!$D$3:$D$502,MATCH($C241,고객명부!$A$3:$A$502,0)),""))</f>
        <v/>
      </c>
      <c r="G241" s="12" t="str">
        <f aca="false">IF($C241="","",IFERROR(INDEX(고객명부!$E$3:$E$502,MATCH($C241,고객명부!$A$3:$A$502,0))&amp;" "&amp;INDEX(고객명부!$F$3:$F$502,MATCH($C241,고객명부!$A$3:$A$502,0)),""))</f>
        <v/>
      </c>
      <c r="H241" s="7"/>
      <c r="I241" s="12" t="str">
        <f aca="false">IF($H241="","",IFERROR(INDEX(상품목록!$B$3:$B$102,MATCH($H241,상품목록!$A$3:$A$102,0)),""))</f>
        <v/>
      </c>
      <c r="J241" s="14" t="str">
        <f aca="false">IF($H241="","",IFERROR(INDEX(상품목록!$C$3:$C$102,MATCH($H241,상품목록!$A$3:$A$102,0)),0))</f>
        <v/>
      </c>
      <c r="K241" s="7"/>
      <c r="L241" s="14" t="str">
        <f aca="false">IF(OR($J241="",$K241=""),"",ROUND($J241*$K241,0))</f>
        <v/>
      </c>
      <c r="M241" s="9"/>
      <c r="N241" s="14" t="str">
        <f aca="false">IF($L241="","",$L241+IF($M241="",0,$M241))</f>
        <v/>
      </c>
      <c r="O241" s="13"/>
      <c r="P241" s="7"/>
      <c r="Q241" s="12" t="str">
        <f aca="false">IF($C241="","",IF($P241&lt;&gt;"","발송완료",IF($O241&lt;&gt;"","입금완료","입금대기")))</f>
        <v/>
      </c>
      <c r="R241" s="12" t="str">
        <f aca="false">IF($C241="","",COUNTIFS($C$3:$C241,$C241))</f>
        <v/>
      </c>
      <c r="S241" s="12" t="str">
        <f aca="false">IF($C241="","",$C241&amp;"|"&amp;$R241)</f>
        <v/>
      </c>
    </row>
    <row r="242" customFormat="false" ht="15" hidden="false" customHeight="true" outlineLevel="0" collapsed="false">
      <c r="A242" s="12" t="str">
        <f aca="false">IF($C242="","",TEXT($B242,"yymmdd")&amp;"-"&amp;TEXT(COUNTIFS($B$3:$B242,$B242),"000"))</f>
        <v/>
      </c>
      <c r="B242" s="13"/>
      <c r="C242" s="7"/>
      <c r="D242" s="12" t="str">
        <f aca="false">IF($C242="","",IFERROR(INDEX(고객명부!$B$3:$B$502,MATCH($C242,고객명부!$A$3:$A$502,0)),"미등록고객"))</f>
        <v/>
      </c>
      <c r="E242" s="12" t="str">
        <f aca="false">IF($C242="","",IFERROR(INDEX(고객명부!$C$3:$C$502,MATCH($C242,고객명부!$A$3:$A$502,0)),""))</f>
        <v/>
      </c>
      <c r="F242" s="12" t="str">
        <f aca="false">IF($C242="","",IFERROR(INDEX(고객명부!$D$3:$D$502,MATCH($C242,고객명부!$A$3:$A$502,0)),""))</f>
        <v/>
      </c>
      <c r="G242" s="12" t="str">
        <f aca="false">IF($C242="","",IFERROR(INDEX(고객명부!$E$3:$E$502,MATCH($C242,고객명부!$A$3:$A$502,0))&amp;" "&amp;INDEX(고객명부!$F$3:$F$502,MATCH($C242,고객명부!$A$3:$A$502,0)),""))</f>
        <v/>
      </c>
      <c r="H242" s="7"/>
      <c r="I242" s="12" t="str">
        <f aca="false">IF($H242="","",IFERROR(INDEX(상품목록!$B$3:$B$102,MATCH($H242,상품목록!$A$3:$A$102,0)),""))</f>
        <v/>
      </c>
      <c r="J242" s="14" t="str">
        <f aca="false">IF($H242="","",IFERROR(INDEX(상품목록!$C$3:$C$102,MATCH($H242,상품목록!$A$3:$A$102,0)),0))</f>
        <v/>
      </c>
      <c r="K242" s="7"/>
      <c r="L242" s="14" t="str">
        <f aca="false">IF(OR($J242="",$K242=""),"",ROUND($J242*$K242,0))</f>
        <v/>
      </c>
      <c r="M242" s="9"/>
      <c r="N242" s="14" t="str">
        <f aca="false">IF($L242="","",$L242+IF($M242="",0,$M242))</f>
        <v/>
      </c>
      <c r="O242" s="13"/>
      <c r="P242" s="7"/>
      <c r="Q242" s="12" t="str">
        <f aca="false">IF($C242="","",IF($P242&lt;&gt;"","발송완료",IF($O242&lt;&gt;"","입금완료","입금대기")))</f>
        <v/>
      </c>
      <c r="R242" s="12" t="str">
        <f aca="false">IF($C242="","",COUNTIFS($C$3:$C242,$C242))</f>
        <v/>
      </c>
      <c r="S242" s="12" t="str">
        <f aca="false">IF($C242="","",$C242&amp;"|"&amp;$R242)</f>
        <v/>
      </c>
    </row>
    <row r="243" customFormat="false" ht="15" hidden="false" customHeight="true" outlineLevel="0" collapsed="false">
      <c r="A243" s="12" t="str">
        <f aca="false">IF($C243="","",TEXT($B243,"yymmdd")&amp;"-"&amp;TEXT(COUNTIFS($B$3:$B243,$B243),"000"))</f>
        <v/>
      </c>
      <c r="B243" s="13"/>
      <c r="C243" s="7"/>
      <c r="D243" s="12" t="str">
        <f aca="false">IF($C243="","",IFERROR(INDEX(고객명부!$B$3:$B$502,MATCH($C243,고객명부!$A$3:$A$502,0)),"미등록고객"))</f>
        <v/>
      </c>
      <c r="E243" s="12" t="str">
        <f aca="false">IF($C243="","",IFERROR(INDEX(고객명부!$C$3:$C$502,MATCH($C243,고객명부!$A$3:$A$502,0)),""))</f>
        <v/>
      </c>
      <c r="F243" s="12" t="str">
        <f aca="false">IF($C243="","",IFERROR(INDEX(고객명부!$D$3:$D$502,MATCH($C243,고객명부!$A$3:$A$502,0)),""))</f>
        <v/>
      </c>
      <c r="G243" s="12" t="str">
        <f aca="false">IF($C243="","",IFERROR(INDEX(고객명부!$E$3:$E$502,MATCH($C243,고객명부!$A$3:$A$502,0))&amp;" "&amp;INDEX(고객명부!$F$3:$F$502,MATCH($C243,고객명부!$A$3:$A$502,0)),""))</f>
        <v/>
      </c>
      <c r="H243" s="7"/>
      <c r="I243" s="12" t="str">
        <f aca="false">IF($H243="","",IFERROR(INDEX(상품목록!$B$3:$B$102,MATCH($H243,상품목록!$A$3:$A$102,0)),""))</f>
        <v/>
      </c>
      <c r="J243" s="14" t="str">
        <f aca="false">IF($H243="","",IFERROR(INDEX(상품목록!$C$3:$C$102,MATCH($H243,상품목록!$A$3:$A$102,0)),0))</f>
        <v/>
      </c>
      <c r="K243" s="7"/>
      <c r="L243" s="14" t="str">
        <f aca="false">IF(OR($J243="",$K243=""),"",ROUND($J243*$K243,0))</f>
        <v/>
      </c>
      <c r="M243" s="9"/>
      <c r="N243" s="14" t="str">
        <f aca="false">IF($L243="","",$L243+IF($M243="",0,$M243))</f>
        <v/>
      </c>
      <c r="O243" s="13"/>
      <c r="P243" s="7"/>
      <c r="Q243" s="12" t="str">
        <f aca="false">IF($C243="","",IF($P243&lt;&gt;"","발송완료",IF($O243&lt;&gt;"","입금완료","입금대기")))</f>
        <v/>
      </c>
      <c r="R243" s="12" t="str">
        <f aca="false">IF($C243="","",COUNTIFS($C$3:$C243,$C243))</f>
        <v/>
      </c>
      <c r="S243" s="12" t="str">
        <f aca="false">IF($C243="","",$C243&amp;"|"&amp;$R243)</f>
        <v/>
      </c>
    </row>
    <row r="244" customFormat="false" ht="15" hidden="false" customHeight="true" outlineLevel="0" collapsed="false">
      <c r="A244" s="12" t="str">
        <f aca="false">IF($C244="","",TEXT($B244,"yymmdd")&amp;"-"&amp;TEXT(COUNTIFS($B$3:$B244,$B244),"000"))</f>
        <v/>
      </c>
      <c r="B244" s="13"/>
      <c r="C244" s="7"/>
      <c r="D244" s="12" t="str">
        <f aca="false">IF($C244="","",IFERROR(INDEX(고객명부!$B$3:$B$502,MATCH($C244,고객명부!$A$3:$A$502,0)),"미등록고객"))</f>
        <v/>
      </c>
      <c r="E244" s="12" t="str">
        <f aca="false">IF($C244="","",IFERROR(INDEX(고객명부!$C$3:$C$502,MATCH($C244,고객명부!$A$3:$A$502,0)),""))</f>
        <v/>
      </c>
      <c r="F244" s="12" t="str">
        <f aca="false">IF($C244="","",IFERROR(INDEX(고객명부!$D$3:$D$502,MATCH($C244,고객명부!$A$3:$A$502,0)),""))</f>
        <v/>
      </c>
      <c r="G244" s="12" t="str">
        <f aca="false">IF($C244="","",IFERROR(INDEX(고객명부!$E$3:$E$502,MATCH($C244,고객명부!$A$3:$A$502,0))&amp;" "&amp;INDEX(고객명부!$F$3:$F$502,MATCH($C244,고객명부!$A$3:$A$502,0)),""))</f>
        <v/>
      </c>
      <c r="H244" s="7"/>
      <c r="I244" s="12" t="str">
        <f aca="false">IF($H244="","",IFERROR(INDEX(상품목록!$B$3:$B$102,MATCH($H244,상품목록!$A$3:$A$102,0)),""))</f>
        <v/>
      </c>
      <c r="J244" s="14" t="str">
        <f aca="false">IF($H244="","",IFERROR(INDEX(상품목록!$C$3:$C$102,MATCH($H244,상품목록!$A$3:$A$102,0)),0))</f>
        <v/>
      </c>
      <c r="K244" s="7"/>
      <c r="L244" s="14" t="str">
        <f aca="false">IF(OR($J244="",$K244=""),"",ROUND($J244*$K244,0))</f>
        <v/>
      </c>
      <c r="M244" s="9"/>
      <c r="N244" s="14" t="str">
        <f aca="false">IF($L244="","",$L244+IF($M244="",0,$M244))</f>
        <v/>
      </c>
      <c r="O244" s="13"/>
      <c r="P244" s="7"/>
      <c r="Q244" s="12" t="str">
        <f aca="false">IF($C244="","",IF($P244&lt;&gt;"","발송완료",IF($O244&lt;&gt;"","입금완료","입금대기")))</f>
        <v/>
      </c>
      <c r="R244" s="12" t="str">
        <f aca="false">IF($C244="","",COUNTIFS($C$3:$C244,$C244))</f>
        <v/>
      </c>
      <c r="S244" s="12" t="str">
        <f aca="false">IF($C244="","",$C244&amp;"|"&amp;$R244)</f>
        <v/>
      </c>
    </row>
    <row r="245" customFormat="false" ht="15" hidden="false" customHeight="true" outlineLevel="0" collapsed="false">
      <c r="A245" s="12" t="str">
        <f aca="false">IF($C245="","",TEXT($B245,"yymmdd")&amp;"-"&amp;TEXT(COUNTIFS($B$3:$B245,$B245),"000"))</f>
        <v/>
      </c>
      <c r="B245" s="13"/>
      <c r="C245" s="7"/>
      <c r="D245" s="12" t="str">
        <f aca="false">IF($C245="","",IFERROR(INDEX(고객명부!$B$3:$B$502,MATCH($C245,고객명부!$A$3:$A$502,0)),"미등록고객"))</f>
        <v/>
      </c>
      <c r="E245" s="12" t="str">
        <f aca="false">IF($C245="","",IFERROR(INDEX(고객명부!$C$3:$C$502,MATCH($C245,고객명부!$A$3:$A$502,0)),""))</f>
        <v/>
      </c>
      <c r="F245" s="12" t="str">
        <f aca="false">IF($C245="","",IFERROR(INDEX(고객명부!$D$3:$D$502,MATCH($C245,고객명부!$A$3:$A$502,0)),""))</f>
        <v/>
      </c>
      <c r="G245" s="12" t="str">
        <f aca="false">IF($C245="","",IFERROR(INDEX(고객명부!$E$3:$E$502,MATCH($C245,고객명부!$A$3:$A$502,0))&amp;" "&amp;INDEX(고객명부!$F$3:$F$502,MATCH($C245,고객명부!$A$3:$A$502,0)),""))</f>
        <v/>
      </c>
      <c r="H245" s="7"/>
      <c r="I245" s="12" t="str">
        <f aca="false">IF($H245="","",IFERROR(INDEX(상품목록!$B$3:$B$102,MATCH($H245,상품목록!$A$3:$A$102,0)),""))</f>
        <v/>
      </c>
      <c r="J245" s="14" t="str">
        <f aca="false">IF($H245="","",IFERROR(INDEX(상품목록!$C$3:$C$102,MATCH($H245,상품목록!$A$3:$A$102,0)),0))</f>
        <v/>
      </c>
      <c r="K245" s="7"/>
      <c r="L245" s="14" t="str">
        <f aca="false">IF(OR($J245="",$K245=""),"",ROUND($J245*$K245,0))</f>
        <v/>
      </c>
      <c r="M245" s="9"/>
      <c r="N245" s="14" t="str">
        <f aca="false">IF($L245="","",$L245+IF($M245="",0,$M245))</f>
        <v/>
      </c>
      <c r="O245" s="13"/>
      <c r="P245" s="7"/>
      <c r="Q245" s="12" t="str">
        <f aca="false">IF($C245="","",IF($P245&lt;&gt;"","발송완료",IF($O245&lt;&gt;"","입금완료","입금대기")))</f>
        <v/>
      </c>
      <c r="R245" s="12" t="str">
        <f aca="false">IF($C245="","",COUNTIFS($C$3:$C245,$C245))</f>
        <v/>
      </c>
      <c r="S245" s="12" t="str">
        <f aca="false">IF($C245="","",$C245&amp;"|"&amp;$R245)</f>
        <v/>
      </c>
    </row>
    <row r="246" customFormat="false" ht="15" hidden="false" customHeight="true" outlineLevel="0" collapsed="false">
      <c r="A246" s="12" t="str">
        <f aca="false">IF($C246="","",TEXT($B246,"yymmdd")&amp;"-"&amp;TEXT(COUNTIFS($B$3:$B246,$B246),"000"))</f>
        <v/>
      </c>
      <c r="B246" s="13"/>
      <c r="C246" s="7"/>
      <c r="D246" s="12" t="str">
        <f aca="false">IF($C246="","",IFERROR(INDEX(고객명부!$B$3:$B$502,MATCH($C246,고객명부!$A$3:$A$502,0)),"미등록고객"))</f>
        <v/>
      </c>
      <c r="E246" s="12" t="str">
        <f aca="false">IF($C246="","",IFERROR(INDEX(고객명부!$C$3:$C$502,MATCH($C246,고객명부!$A$3:$A$502,0)),""))</f>
        <v/>
      </c>
      <c r="F246" s="12" t="str">
        <f aca="false">IF($C246="","",IFERROR(INDEX(고객명부!$D$3:$D$502,MATCH($C246,고객명부!$A$3:$A$502,0)),""))</f>
        <v/>
      </c>
      <c r="G246" s="12" t="str">
        <f aca="false">IF($C246="","",IFERROR(INDEX(고객명부!$E$3:$E$502,MATCH($C246,고객명부!$A$3:$A$502,0))&amp;" "&amp;INDEX(고객명부!$F$3:$F$502,MATCH($C246,고객명부!$A$3:$A$502,0)),""))</f>
        <v/>
      </c>
      <c r="H246" s="7"/>
      <c r="I246" s="12" t="str">
        <f aca="false">IF($H246="","",IFERROR(INDEX(상품목록!$B$3:$B$102,MATCH($H246,상품목록!$A$3:$A$102,0)),""))</f>
        <v/>
      </c>
      <c r="J246" s="14" t="str">
        <f aca="false">IF($H246="","",IFERROR(INDEX(상품목록!$C$3:$C$102,MATCH($H246,상품목록!$A$3:$A$102,0)),0))</f>
        <v/>
      </c>
      <c r="K246" s="7"/>
      <c r="L246" s="14" t="str">
        <f aca="false">IF(OR($J246="",$K246=""),"",ROUND($J246*$K246,0))</f>
        <v/>
      </c>
      <c r="M246" s="9"/>
      <c r="N246" s="14" t="str">
        <f aca="false">IF($L246="","",$L246+IF($M246="",0,$M246))</f>
        <v/>
      </c>
      <c r="O246" s="13"/>
      <c r="P246" s="7"/>
      <c r="Q246" s="12" t="str">
        <f aca="false">IF($C246="","",IF($P246&lt;&gt;"","발송완료",IF($O246&lt;&gt;"","입금완료","입금대기")))</f>
        <v/>
      </c>
      <c r="R246" s="12" t="str">
        <f aca="false">IF($C246="","",COUNTIFS($C$3:$C246,$C246))</f>
        <v/>
      </c>
      <c r="S246" s="12" t="str">
        <f aca="false">IF($C246="","",$C246&amp;"|"&amp;$R246)</f>
        <v/>
      </c>
    </row>
    <row r="247" customFormat="false" ht="15" hidden="false" customHeight="true" outlineLevel="0" collapsed="false">
      <c r="A247" s="12" t="str">
        <f aca="false">IF($C247="","",TEXT($B247,"yymmdd")&amp;"-"&amp;TEXT(COUNTIFS($B$3:$B247,$B247),"000"))</f>
        <v/>
      </c>
      <c r="B247" s="13"/>
      <c r="C247" s="7"/>
      <c r="D247" s="12" t="str">
        <f aca="false">IF($C247="","",IFERROR(INDEX(고객명부!$B$3:$B$502,MATCH($C247,고객명부!$A$3:$A$502,0)),"미등록고객"))</f>
        <v/>
      </c>
      <c r="E247" s="12" t="str">
        <f aca="false">IF($C247="","",IFERROR(INDEX(고객명부!$C$3:$C$502,MATCH($C247,고객명부!$A$3:$A$502,0)),""))</f>
        <v/>
      </c>
      <c r="F247" s="12" t="str">
        <f aca="false">IF($C247="","",IFERROR(INDEX(고객명부!$D$3:$D$502,MATCH($C247,고객명부!$A$3:$A$502,0)),""))</f>
        <v/>
      </c>
      <c r="G247" s="12" t="str">
        <f aca="false">IF($C247="","",IFERROR(INDEX(고객명부!$E$3:$E$502,MATCH($C247,고객명부!$A$3:$A$502,0))&amp;" "&amp;INDEX(고객명부!$F$3:$F$502,MATCH($C247,고객명부!$A$3:$A$502,0)),""))</f>
        <v/>
      </c>
      <c r="H247" s="7"/>
      <c r="I247" s="12" t="str">
        <f aca="false">IF($H247="","",IFERROR(INDEX(상품목록!$B$3:$B$102,MATCH($H247,상품목록!$A$3:$A$102,0)),""))</f>
        <v/>
      </c>
      <c r="J247" s="14" t="str">
        <f aca="false">IF($H247="","",IFERROR(INDEX(상품목록!$C$3:$C$102,MATCH($H247,상품목록!$A$3:$A$102,0)),0))</f>
        <v/>
      </c>
      <c r="K247" s="7"/>
      <c r="L247" s="14" t="str">
        <f aca="false">IF(OR($J247="",$K247=""),"",ROUND($J247*$K247,0))</f>
        <v/>
      </c>
      <c r="M247" s="9"/>
      <c r="N247" s="14" t="str">
        <f aca="false">IF($L247="","",$L247+IF($M247="",0,$M247))</f>
        <v/>
      </c>
      <c r="O247" s="13"/>
      <c r="P247" s="7"/>
      <c r="Q247" s="12" t="str">
        <f aca="false">IF($C247="","",IF($P247&lt;&gt;"","발송완료",IF($O247&lt;&gt;"","입금완료","입금대기")))</f>
        <v/>
      </c>
      <c r="R247" s="12" t="str">
        <f aca="false">IF($C247="","",COUNTIFS($C$3:$C247,$C247))</f>
        <v/>
      </c>
      <c r="S247" s="12" t="str">
        <f aca="false">IF($C247="","",$C247&amp;"|"&amp;$R247)</f>
        <v/>
      </c>
    </row>
    <row r="248" customFormat="false" ht="15" hidden="false" customHeight="true" outlineLevel="0" collapsed="false">
      <c r="A248" s="12" t="str">
        <f aca="false">IF($C248="","",TEXT($B248,"yymmdd")&amp;"-"&amp;TEXT(COUNTIFS($B$3:$B248,$B248),"000"))</f>
        <v/>
      </c>
      <c r="B248" s="13"/>
      <c r="C248" s="7"/>
      <c r="D248" s="12" t="str">
        <f aca="false">IF($C248="","",IFERROR(INDEX(고객명부!$B$3:$B$502,MATCH($C248,고객명부!$A$3:$A$502,0)),"미등록고객"))</f>
        <v/>
      </c>
      <c r="E248" s="12" t="str">
        <f aca="false">IF($C248="","",IFERROR(INDEX(고객명부!$C$3:$C$502,MATCH($C248,고객명부!$A$3:$A$502,0)),""))</f>
        <v/>
      </c>
      <c r="F248" s="12" t="str">
        <f aca="false">IF($C248="","",IFERROR(INDEX(고객명부!$D$3:$D$502,MATCH($C248,고객명부!$A$3:$A$502,0)),""))</f>
        <v/>
      </c>
      <c r="G248" s="12" t="str">
        <f aca="false">IF($C248="","",IFERROR(INDEX(고객명부!$E$3:$E$502,MATCH($C248,고객명부!$A$3:$A$502,0))&amp;" "&amp;INDEX(고객명부!$F$3:$F$502,MATCH($C248,고객명부!$A$3:$A$502,0)),""))</f>
        <v/>
      </c>
      <c r="H248" s="7"/>
      <c r="I248" s="12" t="str">
        <f aca="false">IF($H248="","",IFERROR(INDEX(상품목록!$B$3:$B$102,MATCH($H248,상품목록!$A$3:$A$102,0)),""))</f>
        <v/>
      </c>
      <c r="J248" s="14" t="str">
        <f aca="false">IF($H248="","",IFERROR(INDEX(상품목록!$C$3:$C$102,MATCH($H248,상품목록!$A$3:$A$102,0)),0))</f>
        <v/>
      </c>
      <c r="K248" s="7"/>
      <c r="L248" s="14" t="str">
        <f aca="false">IF(OR($J248="",$K248=""),"",ROUND($J248*$K248,0))</f>
        <v/>
      </c>
      <c r="M248" s="9"/>
      <c r="N248" s="14" t="str">
        <f aca="false">IF($L248="","",$L248+IF($M248="",0,$M248))</f>
        <v/>
      </c>
      <c r="O248" s="13"/>
      <c r="P248" s="7"/>
      <c r="Q248" s="12" t="str">
        <f aca="false">IF($C248="","",IF($P248&lt;&gt;"","발송완료",IF($O248&lt;&gt;"","입금완료","입금대기")))</f>
        <v/>
      </c>
      <c r="R248" s="12" t="str">
        <f aca="false">IF($C248="","",COUNTIFS($C$3:$C248,$C248))</f>
        <v/>
      </c>
      <c r="S248" s="12" t="str">
        <f aca="false">IF($C248="","",$C248&amp;"|"&amp;$R248)</f>
        <v/>
      </c>
    </row>
    <row r="249" customFormat="false" ht="15" hidden="false" customHeight="true" outlineLevel="0" collapsed="false">
      <c r="A249" s="12" t="str">
        <f aca="false">IF($C249="","",TEXT($B249,"yymmdd")&amp;"-"&amp;TEXT(COUNTIFS($B$3:$B249,$B249),"000"))</f>
        <v/>
      </c>
      <c r="B249" s="13"/>
      <c r="C249" s="7"/>
      <c r="D249" s="12" t="str">
        <f aca="false">IF($C249="","",IFERROR(INDEX(고객명부!$B$3:$B$502,MATCH($C249,고객명부!$A$3:$A$502,0)),"미등록고객"))</f>
        <v/>
      </c>
      <c r="E249" s="12" t="str">
        <f aca="false">IF($C249="","",IFERROR(INDEX(고객명부!$C$3:$C$502,MATCH($C249,고객명부!$A$3:$A$502,0)),""))</f>
        <v/>
      </c>
      <c r="F249" s="12" t="str">
        <f aca="false">IF($C249="","",IFERROR(INDEX(고객명부!$D$3:$D$502,MATCH($C249,고객명부!$A$3:$A$502,0)),""))</f>
        <v/>
      </c>
      <c r="G249" s="12" t="str">
        <f aca="false">IF($C249="","",IFERROR(INDEX(고객명부!$E$3:$E$502,MATCH($C249,고객명부!$A$3:$A$502,0))&amp;" "&amp;INDEX(고객명부!$F$3:$F$502,MATCH($C249,고객명부!$A$3:$A$502,0)),""))</f>
        <v/>
      </c>
      <c r="H249" s="7"/>
      <c r="I249" s="12" t="str">
        <f aca="false">IF($H249="","",IFERROR(INDEX(상품목록!$B$3:$B$102,MATCH($H249,상품목록!$A$3:$A$102,0)),""))</f>
        <v/>
      </c>
      <c r="J249" s="14" t="str">
        <f aca="false">IF($H249="","",IFERROR(INDEX(상품목록!$C$3:$C$102,MATCH($H249,상품목록!$A$3:$A$102,0)),0))</f>
        <v/>
      </c>
      <c r="K249" s="7"/>
      <c r="L249" s="14" t="str">
        <f aca="false">IF(OR($J249="",$K249=""),"",ROUND($J249*$K249,0))</f>
        <v/>
      </c>
      <c r="M249" s="9"/>
      <c r="N249" s="14" t="str">
        <f aca="false">IF($L249="","",$L249+IF($M249="",0,$M249))</f>
        <v/>
      </c>
      <c r="O249" s="13"/>
      <c r="P249" s="7"/>
      <c r="Q249" s="12" t="str">
        <f aca="false">IF($C249="","",IF($P249&lt;&gt;"","발송완료",IF($O249&lt;&gt;"","입금완료","입금대기")))</f>
        <v/>
      </c>
      <c r="R249" s="12" t="str">
        <f aca="false">IF($C249="","",COUNTIFS($C$3:$C249,$C249))</f>
        <v/>
      </c>
      <c r="S249" s="12" t="str">
        <f aca="false">IF($C249="","",$C249&amp;"|"&amp;$R249)</f>
        <v/>
      </c>
    </row>
    <row r="250" customFormat="false" ht="15" hidden="false" customHeight="true" outlineLevel="0" collapsed="false">
      <c r="A250" s="12" t="str">
        <f aca="false">IF($C250="","",TEXT($B250,"yymmdd")&amp;"-"&amp;TEXT(COUNTIFS($B$3:$B250,$B250),"000"))</f>
        <v/>
      </c>
      <c r="B250" s="13"/>
      <c r="C250" s="7"/>
      <c r="D250" s="12" t="str">
        <f aca="false">IF($C250="","",IFERROR(INDEX(고객명부!$B$3:$B$502,MATCH($C250,고객명부!$A$3:$A$502,0)),"미등록고객"))</f>
        <v/>
      </c>
      <c r="E250" s="12" t="str">
        <f aca="false">IF($C250="","",IFERROR(INDEX(고객명부!$C$3:$C$502,MATCH($C250,고객명부!$A$3:$A$502,0)),""))</f>
        <v/>
      </c>
      <c r="F250" s="12" t="str">
        <f aca="false">IF($C250="","",IFERROR(INDEX(고객명부!$D$3:$D$502,MATCH($C250,고객명부!$A$3:$A$502,0)),""))</f>
        <v/>
      </c>
      <c r="G250" s="12" t="str">
        <f aca="false">IF($C250="","",IFERROR(INDEX(고객명부!$E$3:$E$502,MATCH($C250,고객명부!$A$3:$A$502,0))&amp;" "&amp;INDEX(고객명부!$F$3:$F$502,MATCH($C250,고객명부!$A$3:$A$502,0)),""))</f>
        <v/>
      </c>
      <c r="H250" s="7"/>
      <c r="I250" s="12" t="str">
        <f aca="false">IF($H250="","",IFERROR(INDEX(상품목록!$B$3:$B$102,MATCH($H250,상품목록!$A$3:$A$102,0)),""))</f>
        <v/>
      </c>
      <c r="J250" s="14" t="str">
        <f aca="false">IF($H250="","",IFERROR(INDEX(상품목록!$C$3:$C$102,MATCH($H250,상품목록!$A$3:$A$102,0)),0))</f>
        <v/>
      </c>
      <c r="K250" s="7"/>
      <c r="L250" s="14" t="str">
        <f aca="false">IF(OR($J250="",$K250=""),"",ROUND($J250*$K250,0))</f>
        <v/>
      </c>
      <c r="M250" s="9"/>
      <c r="N250" s="14" t="str">
        <f aca="false">IF($L250="","",$L250+IF($M250="",0,$M250))</f>
        <v/>
      </c>
      <c r="O250" s="13"/>
      <c r="P250" s="7"/>
      <c r="Q250" s="12" t="str">
        <f aca="false">IF($C250="","",IF($P250&lt;&gt;"","발송완료",IF($O250&lt;&gt;"","입금완료","입금대기")))</f>
        <v/>
      </c>
      <c r="R250" s="12" t="str">
        <f aca="false">IF($C250="","",COUNTIFS($C$3:$C250,$C250))</f>
        <v/>
      </c>
      <c r="S250" s="12" t="str">
        <f aca="false">IF($C250="","",$C250&amp;"|"&amp;$R250)</f>
        <v/>
      </c>
    </row>
    <row r="251" customFormat="false" ht="15" hidden="false" customHeight="true" outlineLevel="0" collapsed="false">
      <c r="A251" s="12" t="str">
        <f aca="false">IF($C251="","",TEXT($B251,"yymmdd")&amp;"-"&amp;TEXT(COUNTIFS($B$3:$B251,$B251),"000"))</f>
        <v/>
      </c>
      <c r="B251" s="13"/>
      <c r="C251" s="7"/>
      <c r="D251" s="12" t="str">
        <f aca="false">IF($C251="","",IFERROR(INDEX(고객명부!$B$3:$B$502,MATCH($C251,고객명부!$A$3:$A$502,0)),"미등록고객"))</f>
        <v/>
      </c>
      <c r="E251" s="12" t="str">
        <f aca="false">IF($C251="","",IFERROR(INDEX(고객명부!$C$3:$C$502,MATCH($C251,고객명부!$A$3:$A$502,0)),""))</f>
        <v/>
      </c>
      <c r="F251" s="12" t="str">
        <f aca="false">IF($C251="","",IFERROR(INDEX(고객명부!$D$3:$D$502,MATCH($C251,고객명부!$A$3:$A$502,0)),""))</f>
        <v/>
      </c>
      <c r="G251" s="12" t="str">
        <f aca="false">IF($C251="","",IFERROR(INDEX(고객명부!$E$3:$E$502,MATCH($C251,고객명부!$A$3:$A$502,0))&amp;" "&amp;INDEX(고객명부!$F$3:$F$502,MATCH($C251,고객명부!$A$3:$A$502,0)),""))</f>
        <v/>
      </c>
      <c r="H251" s="7"/>
      <c r="I251" s="12" t="str">
        <f aca="false">IF($H251="","",IFERROR(INDEX(상품목록!$B$3:$B$102,MATCH($H251,상품목록!$A$3:$A$102,0)),""))</f>
        <v/>
      </c>
      <c r="J251" s="14" t="str">
        <f aca="false">IF($H251="","",IFERROR(INDEX(상품목록!$C$3:$C$102,MATCH($H251,상품목록!$A$3:$A$102,0)),0))</f>
        <v/>
      </c>
      <c r="K251" s="7"/>
      <c r="L251" s="14" t="str">
        <f aca="false">IF(OR($J251="",$K251=""),"",ROUND($J251*$K251,0))</f>
        <v/>
      </c>
      <c r="M251" s="9"/>
      <c r="N251" s="14" t="str">
        <f aca="false">IF($L251="","",$L251+IF($M251="",0,$M251))</f>
        <v/>
      </c>
      <c r="O251" s="13"/>
      <c r="P251" s="7"/>
      <c r="Q251" s="12" t="str">
        <f aca="false">IF($C251="","",IF($P251&lt;&gt;"","발송완료",IF($O251&lt;&gt;"","입금완료","입금대기")))</f>
        <v/>
      </c>
      <c r="R251" s="12" t="str">
        <f aca="false">IF($C251="","",COUNTIFS($C$3:$C251,$C251))</f>
        <v/>
      </c>
      <c r="S251" s="12" t="str">
        <f aca="false">IF($C251="","",$C251&amp;"|"&amp;$R251)</f>
        <v/>
      </c>
    </row>
    <row r="252" customFormat="false" ht="15" hidden="false" customHeight="true" outlineLevel="0" collapsed="false">
      <c r="A252" s="12" t="str">
        <f aca="false">IF($C252="","",TEXT($B252,"yymmdd")&amp;"-"&amp;TEXT(COUNTIFS($B$3:$B252,$B252),"000"))</f>
        <v/>
      </c>
      <c r="B252" s="13"/>
      <c r="C252" s="7"/>
      <c r="D252" s="12" t="str">
        <f aca="false">IF($C252="","",IFERROR(INDEX(고객명부!$B$3:$B$502,MATCH($C252,고객명부!$A$3:$A$502,0)),"미등록고객"))</f>
        <v/>
      </c>
      <c r="E252" s="12" t="str">
        <f aca="false">IF($C252="","",IFERROR(INDEX(고객명부!$C$3:$C$502,MATCH($C252,고객명부!$A$3:$A$502,0)),""))</f>
        <v/>
      </c>
      <c r="F252" s="12" t="str">
        <f aca="false">IF($C252="","",IFERROR(INDEX(고객명부!$D$3:$D$502,MATCH($C252,고객명부!$A$3:$A$502,0)),""))</f>
        <v/>
      </c>
      <c r="G252" s="12" t="str">
        <f aca="false">IF($C252="","",IFERROR(INDEX(고객명부!$E$3:$E$502,MATCH($C252,고객명부!$A$3:$A$502,0))&amp;" "&amp;INDEX(고객명부!$F$3:$F$502,MATCH($C252,고객명부!$A$3:$A$502,0)),""))</f>
        <v/>
      </c>
      <c r="H252" s="7"/>
      <c r="I252" s="12" t="str">
        <f aca="false">IF($H252="","",IFERROR(INDEX(상품목록!$B$3:$B$102,MATCH($H252,상품목록!$A$3:$A$102,0)),""))</f>
        <v/>
      </c>
      <c r="J252" s="14" t="str">
        <f aca="false">IF($H252="","",IFERROR(INDEX(상품목록!$C$3:$C$102,MATCH($H252,상품목록!$A$3:$A$102,0)),0))</f>
        <v/>
      </c>
      <c r="K252" s="7"/>
      <c r="L252" s="14" t="str">
        <f aca="false">IF(OR($J252="",$K252=""),"",ROUND($J252*$K252,0))</f>
        <v/>
      </c>
      <c r="M252" s="9"/>
      <c r="N252" s="14" t="str">
        <f aca="false">IF($L252="","",$L252+IF($M252="",0,$M252))</f>
        <v/>
      </c>
      <c r="O252" s="13"/>
      <c r="P252" s="7"/>
      <c r="Q252" s="12" t="str">
        <f aca="false">IF($C252="","",IF($P252&lt;&gt;"","발송완료",IF($O252&lt;&gt;"","입금완료","입금대기")))</f>
        <v/>
      </c>
      <c r="R252" s="12" t="str">
        <f aca="false">IF($C252="","",COUNTIFS($C$3:$C252,$C252))</f>
        <v/>
      </c>
      <c r="S252" s="12" t="str">
        <f aca="false">IF($C252="","",$C252&amp;"|"&amp;$R252)</f>
        <v/>
      </c>
    </row>
    <row r="253" customFormat="false" ht="15" hidden="false" customHeight="true" outlineLevel="0" collapsed="false">
      <c r="A253" s="12" t="str">
        <f aca="false">IF($C253="","",TEXT($B253,"yymmdd")&amp;"-"&amp;TEXT(COUNTIFS($B$3:$B253,$B253),"000"))</f>
        <v/>
      </c>
      <c r="B253" s="13"/>
      <c r="C253" s="7"/>
      <c r="D253" s="12" t="str">
        <f aca="false">IF($C253="","",IFERROR(INDEX(고객명부!$B$3:$B$502,MATCH($C253,고객명부!$A$3:$A$502,0)),"미등록고객"))</f>
        <v/>
      </c>
      <c r="E253" s="12" t="str">
        <f aca="false">IF($C253="","",IFERROR(INDEX(고객명부!$C$3:$C$502,MATCH($C253,고객명부!$A$3:$A$502,0)),""))</f>
        <v/>
      </c>
      <c r="F253" s="12" t="str">
        <f aca="false">IF($C253="","",IFERROR(INDEX(고객명부!$D$3:$D$502,MATCH($C253,고객명부!$A$3:$A$502,0)),""))</f>
        <v/>
      </c>
      <c r="G253" s="12" t="str">
        <f aca="false">IF($C253="","",IFERROR(INDEX(고객명부!$E$3:$E$502,MATCH($C253,고객명부!$A$3:$A$502,0))&amp;" "&amp;INDEX(고객명부!$F$3:$F$502,MATCH($C253,고객명부!$A$3:$A$502,0)),""))</f>
        <v/>
      </c>
      <c r="H253" s="7"/>
      <c r="I253" s="12" t="str">
        <f aca="false">IF($H253="","",IFERROR(INDEX(상품목록!$B$3:$B$102,MATCH($H253,상품목록!$A$3:$A$102,0)),""))</f>
        <v/>
      </c>
      <c r="J253" s="14" t="str">
        <f aca="false">IF($H253="","",IFERROR(INDEX(상품목록!$C$3:$C$102,MATCH($H253,상품목록!$A$3:$A$102,0)),0))</f>
        <v/>
      </c>
      <c r="K253" s="7"/>
      <c r="L253" s="14" t="str">
        <f aca="false">IF(OR($J253="",$K253=""),"",ROUND($J253*$K253,0))</f>
        <v/>
      </c>
      <c r="M253" s="9"/>
      <c r="N253" s="14" t="str">
        <f aca="false">IF($L253="","",$L253+IF($M253="",0,$M253))</f>
        <v/>
      </c>
      <c r="O253" s="13"/>
      <c r="P253" s="7"/>
      <c r="Q253" s="12" t="str">
        <f aca="false">IF($C253="","",IF($P253&lt;&gt;"","발송완료",IF($O253&lt;&gt;"","입금완료","입금대기")))</f>
        <v/>
      </c>
      <c r="R253" s="12" t="str">
        <f aca="false">IF($C253="","",COUNTIFS($C$3:$C253,$C253))</f>
        <v/>
      </c>
      <c r="S253" s="12" t="str">
        <f aca="false">IF($C253="","",$C253&amp;"|"&amp;$R253)</f>
        <v/>
      </c>
    </row>
    <row r="254" customFormat="false" ht="15" hidden="false" customHeight="true" outlineLevel="0" collapsed="false">
      <c r="A254" s="12" t="str">
        <f aca="false">IF($C254="","",TEXT($B254,"yymmdd")&amp;"-"&amp;TEXT(COUNTIFS($B$3:$B254,$B254),"000"))</f>
        <v/>
      </c>
      <c r="B254" s="13"/>
      <c r="C254" s="7"/>
      <c r="D254" s="12" t="str">
        <f aca="false">IF($C254="","",IFERROR(INDEX(고객명부!$B$3:$B$502,MATCH($C254,고객명부!$A$3:$A$502,0)),"미등록고객"))</f>
        <v/>
      </c>
      <c r="E254" s="12" t="str">
        <f aca="false">IF($C254="","",IFERROR(INDEX(고객명부!$C$3:$C$502,MATCH($C254,고객명부!$A$3:$A$502,0)),""))</f>
        <v/>
      </c>
      <c r="F254" s="12" t="str">
        <f aca="false">IF($C254="","",IFERROR(INDEX(고객명부!$D$3:$D$502,MATCH($C254,고객명부!$A$3:$A$502,0)),""))</f>
        <v/>
      </c>
      <c r="G254" s="12" t="str">
        <f aca="false">IF($C254="","",IFERROR(INDEX(고객명부!$E$3:$E$502,MATCH($C254,고객명부!$A$3:$A$502,0))&amp;" "&amp;INDEX(고객명부!$F$3:$F$502,MATCH($C254,고객명부!$A$3:$A$502,0)),""))</f>
        <v/>
      </c>
      <c r="H254" s="7"/>
      <c r="I254" s="12" t="str">
        <f aca="false">IF($H254="","",IFERROR(INDEX(상품목록!$B$3:$B$102,MATCH($H254,상품목록!$A$3:$A$102,0)),""))</f>
        <v/>
      </c>
      <c r="J254" s="14" t="str">
        <f aca="false">IF($H254="","",IFERROR(INDEX(상품목록!$C$3:$C$102,MATCH($H254,상품목록!$A$3:$A$102,0)),0))</f>
        <v/>
      </c>
      <c r="K254" s="7"/>
      <c r="L254" s="14" t="str">
        <f aca="false">IF(OR($J254="",$K254=""),"",ROUND($J254*$K254,0))</f>
        <v/>
      </c>
      <c r="M254" s="9"/>
      <c r="N254" s="14" t="str">
        <f aca="false">IF($L254="","",$L254+IF($M254="",0,$M254))</f>
        <v/>
      </c>
      <c r="O254" s="13"/>
      <c r="P254" s="7"/>
      <c r="Q254" s="12" t="str">
        <f aca="false">IF($C254="","",IF($P254&lt;&gt;"","발송완료",IF($O254&lt;&gt;"","입금완료","입금대기")))</f>
        <v/>
      </c>
      <c r="R254" s="12" t="str">
        <f aca="false">IF($C254="","",COUNTIFS($C$3:$C254,$C254))</f>
        <v/>
      </c>
      <c r="S254" s="12" t="str">
        <f aca="false">IF($C254="","",$C254&amp;"|"&amp;$R254)</f>
        <v/>
      </c>
    </row>
    <row r="255" customFormat="false" ht="15" hidden="false" customHeight="true" outlineLevel="0" collapsed="false">
      <c r="A255" s="12" t="str">
        <f aca="false">IF($C255="","",TEXT($B255,"yymmdd")&amp;"-"&amp;TEXT(COUNTIFS($B$3:$B255,$B255),"000"))</f>
        <v/>
      </c>
      <c r="B255" s="13"/>
      <c r="C255" s="7"/>
      <c r="D255" s="12" t="str">
        <f aca="false">IF($C255="","",IFERROR(INDEX(고객명부!$B$3:$B$502,MATCH($C255,고객명부!$A$3:$A$502,0)),"미등록고객"))</f>
        <v/>
      </c>
      <c r="E255" s="12" t="str">
        <f aca="false">IF($C255="","",IFERROR(INDEX(고객명부!$C$3:$C$502,MATCH($C255,고객명부!$A$3:$A$502,0)),""))</f>
        <v/>
      </c>
      <c r="F255" s="12" t="str">
        <f aca="false">IF($C255="","",IFERROR(INDEX(고객명부!$D$3:$D$502,MATCH($C255,고객명부!$A$3:$A$502,0)),""))</f>
        <v/>
      </c>
      <c r="G255" s="12" t="str">
        <f aca="false">IF($C255="","",IFERROR(INDEX(고객명부!$E$3:$E$502,MATCH($C255,고객명부!$A$3:$A$502,0))&amp;" "&amp;INDEX(고객명부!$F$3:$F$502,MATCH($C255,고객명부!$A$3:$A$502,0)),""))</f>
        <v/>
      </c>
      <c r="H255" s="7"/>
      <c r="I255" s="12" t="str">
        <f aca="false">IF($H255="","",IFERROR(INDEX(상품목록!$B$3:$B$102,MATCH($H255,상품목록!$A$3:$A$102,0)),""))</f>
        <v/>
      </c>
      <c r="J255" s="14" t="str">
        <f aca="false">IF($H255="","",IFERROR(INDEX(상품목록!$C$3:$C$102,MATCH($H255,상품목록!$A$3:$A$102,0)),0))</f>
        <v/>
      </c>
      <c r="K255" s="7"/>
      <c r="L255" s="14" t="str">
        <f aca="false">IF(OR($J255="",$K255=""),"",ROUND($J255*$K255,0))</f>
        <v/>
      </c>
      <c r="M255" s="9"/>
      <c r="N255" s="14" t="str">
        <f aca="false">IF($L255="","",$L255+IF($M255="",0,$M255))</f>
        <v/>
      </c>
      <c r="O255" s="13"/>
      <c r="P255" s="7"/>
      <c r="Q255" s="12" t="str">
        <f aca="false">IF($C255="","",IF($P255&lt;&gt;"","발송완료",IF($O255&lt;&gt;"","입금완료","입금대기")))</f>
        <v/>
      </c>
      <c r="R255" s="12" t="str">
        <f aca="false">IF($C255="","",COUNTIFS($C$3:$C255,$C255))</f>
        <v/>
      </c>
      <c r="S255" s="12" t="str">
        <f aca="false">IF($C255="","",$C255&amp;"|"&amp;$R255)</f>
        <v/>
      </c>
    </row>
    <row r="256" customFormat="false" ht="15" hidden="false" customHeight="true" outlineLevel="0" collapsed="false">
      <c r="A256" s="12" t="str">
        <f aca="false">IF($C256="","",TEXT($B256,"yymmdd")&amp;"-"&amp;TEXT(COUNTIFS($B$3:$B256,$B256),"000"))</f>
        <v/>
      </c>
      <c r="B256" s="13"/>
      <c r="C256" s="7"/>
      <c r="D256" s="12" t="str">
        <f aca="false">IF($C256="","",IFERROR(INDEX(고객명부!$B$3:$B$502,MATCH($C256,고객명부!$A$3:$A$502,0)),"미등록고객"))</f>
        <v/>
      </c>
      <c r="E256" s="12" t="str">
        <f aca="false">IF($C256="","",IFERROR(INDEX(고객명부!$C$3:$C$502,MATCH($C256,고객명부!$A$3:$A$502,0)),""))</f>
        <v/>
      </c>
      <c r="F256" s="12" t="str">
        <f aca="false">IF($C256="","",IFERROR(INDEX(고객명부!$D$3:$D$502,MATCH($C256,고객명부!$A$3:$A$502,0)),""))</f>
        <v/>
      </c>
      <c r="G256" s="12" t="str">
        <f aca="false">IF($C256="","",IFERROR(INDEX(고객명부!$E$3:$E$502,MATCH($C256,고객명부!$A$3:$A$502,0))&amp;" "&amp;INDEX(고객명부!$F$3:$F$502,MATCH($C256,고객명부!$A$3:$A$502,0)),""))</f>
        <v/>
      </c>
      <c r="H256" s="7"/>
      <c r="I256" s="12" t="str">
        <f aca="false">IF($H256="","",IFERROR(INDEX(상품목록!$B$3:$B$102,MATCH($H256,상품목록!$A$3:$A$102,0)),""))</f>
        <v/>
      </c>
      <c r="J256" s="14" t="str">
        <f aca="false">IF($H256="","",IFERROR(INDEX(상품목록!$C$3:$C$102,MATCH($H256,상품목록!$A$3:$A$102,0)),0))</f>
        <v/>
      </c>
      <c r="K256" s="7"/>
      <c r="L256" s="14" t="str">
        <f aca="false">IF(OR($J256="",$K256=""),"",ROUND($J256*$K256,0))</f>
        <v/>
      </c>
      <c r="M256" s="9"/>
      <c r="N256" s="14" t="str">
        <f aca="false">IF($L256="","",$L256+IF($M256="",0,$M256))</f>
        <v/>
      </c>
      <c r="O256" s="13"/>
      <c r="P256" s="7"/>
      <c r="Q256" s="12" t="str">
        <f aca="false">IF($C256="","",IF($P256&lt;&gt;"","발송완료",IF($O256&lt;&gt;"","입금완료","입금대기")))</f>
        <v/>
      </c>
      <c r="R256" s="12" t="str">
        <f aca="false">IF($C256="","",COUNTIFS($C$3:$C256,$C256))</f>
        <v/>
      </c>
      <c r="S256" s="12" t="str">
        <f aca="false">IF($C256="","",$C256&amp;"|"&amp;$R256)</f>
        <v/>
      </c>
    </row>
    <row r="257" customFormat="false" ht="15" hidden="false" customHeight="true" outlineLevel="0" collapsed="false">
      <c r="A257" s="12" t="str">
        <f aca="false">IF($C257="","",TEXT($B257,"yymmdd")&amp;"-"&amp;TEXT(COUNTIFS($B$3:$B257,$B257),"000"))</f>
        <v/>
      </c>
      <c r="B257" s="13"/>
      <c r="C257" s="7"/>
      <c r="D257" s="12" t="str">
        <f aca="false">IF($C257="","",IFERROR(INDEX(고객명부!$B$3:$B$502,MATCH($C257,고객명부!$A$3:$A$502,0)),"미등록고객"))</f>
        <v/>
      </c>
      <c r="E257" s="12" t="str">
        <f aca="false">IF($C257="","",IFERROR(INDEX(고객명부!$C$3:$C$502,MATCH($C257,고객명부!$A$3:$A$502,0)),""))</f>
        <v/>
      </c>
      <c r="F257" s="12" t="str">
        <f aca="false">IF($C257="","",IFERROR(INDEX(고객명부!$D$3:$D$502,MATCH($C257,고객명부!$A$3:$A$502,0)),""))</f>
        <v/>
      </c>
      <c r="G257" s="12" t="str">
        <f aca="false">IF($C257="","",IFERROR(INDEX(고객명부!$E$3:$E$502,MATCH($C257,고객명부!$A$3:$A$502,0))&amp;" "&amp;INDEX(고객명부!$F$3:$F$502,MATCH($C257,고객명부!$A$3:$A$502,0)),""))</f>
        <v/>
      </c>
      <c r="H257" s="7"/>
      <c r="I257" s="12" t="str">
        <f aca="false">IF($H257="","",IFERROR(INDEX(상품목록!$B$3:$B$102,MATCH($H257,상품목록!$A$3:$A$102,0)),""))</f>
        <v/>
      </c>
      <c r="J257" s="14" t="str">
        <f aca="false">IF($H257="","",IFERROR(INDEX(상품목록!$C$3:$C$102,MATCH($H257,상품목록!$A$3:$A$102,0)),0))</f>
        <v/>
      </c>
      <c r="K257" s="7"/>
      <c r="L257" s="14" t="str">
        <f aca="false">IF(OR($J257="",$K257=""),"",ROUND($J257*$K257,0))</f>
        <v/>
      </c>
      <c r="M257" s="9"/>
      <c r="N257" s="14" t="str">
        <f aca="false">IF($L257="","",$L257+IF($M257="",0,$M257))</f>
        <v/>
      </c>
      <c r="O257" s="13"/>
      <c r="P257" s="7"/>
      <c r="Q257" s="12" t="str">
        <f aca="false">IF($C257="","",IF($P257&lt;&gt;"","발송완료",IF($O257&lt;&gt;"","입금완료","입금대기")))</f>
        <v/>
      </c>
      <c r="R257" s="12" t="str">
        <f aca="false">IF($C257="","",COUNTIFS($C$3:$C257,$C257))</f>
        <v/>
      </c>
      <c r="S257" s="12" t="str">
        <f aca="false">IF($C257="","",$C257&amp;"|"&amp;$R257)</f>
        <v/>
      </c>
    </row>
    <row r="258" customFormat="false" ht="15" hidden="false" customHeight="true" outlineLevel="0" collapsed="false">
      <c r="A258" s="12" t="str">
        <f aca="false">IF($C258="","",TEXT($B258,"yymmdd")&amp;"-"&amp;TEXT(COUNTIFS($B$3:$B258,$B258),"000"))</f>
        <v/>
      </c>
      <c r="B258" s="13"/>
      <c r="C258" s="7"/>
      <c r="D258" s="12" t="str">
        <f aca="false">IF($C258="","",IFERROR(INDEX(고객명부!$B$3:$B$502,MATCH($C258,고객명부!$A$3:$A$502,0)),"미등록고객"))</f>
        <v/>
      </c>
      <c r="E258" s="12" t="str">
        <f aca="false">IF($C258="","",IFERROR(INDEX(고객명부!$C$3:$C$502,MATCH($C258,고객명부!$A$3:$A$502,0)),""))</f>
        <v/>
      </c>
      <c r="F258" s="12" t="str">
        <f aca="false">IF($C258="","",IFERROR(INDEX(고객명부!$D$3:$D$502,MATCH($C258,고객명부!$A$3:$A$502,0)),""))</f>
        <v/>
      </c>
      <c r="G258" s="12" t="str">
        <f aca="false">IF($C258="","",IFERROR(INDEX(고객명부!$E$3:$E$502,MATCH($C258,고객명부!$A$3:$A$502,0))&amp;" "&amp;INDEX(고객명부!$F$3:$F$502,MATCH($C258,고객명부!$A$3:$A$502,0)),""))</f>
        <v/>
      </c>
      <c r="H258" s="7"/>
      <c r="I258" s="12" t="str">
        <f aca="false">IF($H258="","",IFERROR(INDEX(상품목록!$B$3:$B$102,MATCH($H258,상품목록!$A$3:$A$102,0)),""))</f>
        <v/>
      </c>
      <c r="J258" s="14" t="str">
        <f aca="false">IF($H258="","",IFERROR(INDEX(상품목록!$C$3:$C$102,MATCH($H258,상품목록!$A$3:$A$102,0)),0))</f>
        <v/>
      </c>
      <c r="K258" s="7"/>
      <c r="L258" s="14" t="str">
        <f aca="false">IF(OR($J258="",$K258=""),"",ROUND($J258*$K258,0))</f>
        <v/>
      </c>
      <c r="M258" s="9"/>
      <c r="N258" s="14" t="str">
        <f aca="false">IF($L258="","",$L258+IF($M258="",0,$M258))</f>
        <v/>
      </c>
      <c r="O258" s="13"/>
      <c r="P258" s="7"/>
      <c r="Q258" s="12" t="str">
        <f aca="false">IF($C258="","",IF($P258&lt;&gt;"","발송완료",IF($O258&lt;&gt;"","입금완료","입금대기")))</f>
        <v/>
      </c>
      <c r="R258" s="12" t="str">
        <f aca="false">IF($C258="","",COUNTIFS($C$3:$C258,$C258))</f>
        <v/>
      </c>
      <c r="S258" s="12" t="str">
        <f aca="false">IF($C258="","",$C258&amp;"|"&amp;$R258)</f>
        <v/>
      </c>
    </row>
    <row r="259" customFormat="false" ht="15" hidden="false" customHeight="true" outlineLevel="0" collapsed="false">
      <c r="A259" s="12" t="str">
        <f aca="false">IF($C259="","",TEXT($B259,"yymmdd")&amp;"-"&amp;TEXT(COUNTIFS($B$3:$B259,$B259),"000"))</f>
        <v/>
      </c>
      <c r="B259" s="13"/>
      <c r="C259" s="7"/>
      <c r="D259" s="12" t="str">
        <f aca="false">IF($C259="","",IFERROR(INDEX(고객명부!$B$3:$B$502,MATCH($C259,고객명부!$A$3:$A$502,0)),"미등록고객"))</f>
        <v/>
      </c>
      <c r="E259" s="12" t="str">
        <f aca="false">IF($C259="","",IFERROR(INDEX(고객명부!$C$3:$C$502,MATCH($C259,고객명부!$A$3:$A$502,0)),""))</f>
        <v/>
      </c>
      <c r="F259" s="12" t="str">
        <f aca="false">IF($C259="","",IFERROR(INDEX(고객명부!$D$3:$D$502,MATCH($C259,고객명부!$A$3:$A$502,0)),""))</f>
        <v/>
      </c>
      <c r="G259" s="12" t="str">
        <f aca="false">IF($C259="","",IFERROR(INDEX(고객명부!$E$3:$E$502,MATCH($C259,고객명부!$A$3:$A$502,0))&amp;" "&amp;INDEX(고객명부!$F$3:$F$502,MATCH($C259,고객명부!$A$3:$A$502,0)),""))</f>
        <v/>
      </c>
      <c r="H259" s="7"/>
      <c r="I259" s="12" t="str">
        <f aca="false">IF($H259="","",IFERROR(INDEX(상품목록!$B$3:$B$102,MATCH($H259,상품목록!$A$3:$A$102,0)),""))</f>
        <v/>
      </c>
      <c r="J259" s="14" t="str">
        <f aca="false">IF($H259="","",IFERROR(INDEX(상품목록!$C$3:$C$102,MATCH($H259,상품목록!$A$3:$A$102,0)),0))</f>
        <v/>
      </c>
      <c r="K259" s="7"/>
      <c r="L259" s="14" t="str">
        <f aca="false">IF(OR($J259="",$K259=""),"",ROUND($J259*$K259,0))</f>
        <v/>
      </c>
      <c r="M259" s="9"/>
      <c r="N259" s="14" t="str">
        <f aca="false">IF($L259="","",$L259+IF($M259="",0,$M259))</f>
        <v/>
      </c>
      <c r="O259" s="13"/>
      <c r="P259" s="7"/>
      <c r="Q259" s="12" t="str">
        <f aca="false">IF($C259="","",IF($P259&lt;&gt;"","발송완료",IF($O259&lt;&gt;"","입금완료","입금대기")))</f>
        <v/>
      </c>
      <c r="R259" s="12" t="str">
        <f aca="false">IF($C259="","",COUNTIFS($C$3:$C259,$C259))</f>
        <v/>
      </c>
      <c r="S259" s="12" t="str">
        <f aca="false">IF($C259="","",$C259&amp;"|"&amp;$R259)</f>
        <v/>
      </c>
    </row>
    <row r="260" customFormat="false" ht="15" hidden="false" customHeight="true" outlineLevel="0" collapsed="false">
      <c r="A260" s="12" t="str">
        <f aca="false">IF($C260="","",TEXT($B260,"yymmdd")&amp;"-"&amp;TEXT(COUNTIFS($B$3:$B260,$B260),"000"))</f>
        <v/>
      </c>
      <c r="B260" s="13"/>
      <c r="C260" s="7"/>
      <c r="D260" s="12" t="str">
        <f aca="false">IF($C260="","",IFERROR(INDEX(고객명부!$B$3:$B$502,MATCH($C260,고객명부!$A$3:$A$502,0)),"미등록고객"))</f>
        <v/>
      </c>
      <c r="E260" s="12" t="str">
        <f aca="false">IF($C260="","",IFERROR(INDEX(고객명부!$C$3:$C$502,MATCH($C260,고객명부!$A$3:$A$502,0)),""))</f>
        <v/>
      </c>
      <c r="F260" s="12" t="str">
        <f aca="false">IF($C260="","",IFERROR(INDEX(고객명부!$D$3:$D$502,MATCH($C260,고객명부!$A$3:$A$502,0)),""))</f>
        <v/>
      </c>
      <c r="G260" s="12" t="str">
        <f aca="false">IF($C260="","",IFERROR(INDEX(고객명부!$E$3:$E$502,MATCH($C260,고객명부!$A$3:$A$502,0))&amp;" "&amp;INDEX(고객명부!$F$3:$F$502,MATCH($C260,고객명부!$A$3:$A$502,0)),""))</f>
        <v/>
      </c>
      <c r="H260" s="7"/>
      <c r="I260" s="12" t="str">
        <f aca="false">IF($H260="","",IFERROR(INDEX(상품목록!$B$3:$B$102,MATCH($H260,상품목록!$A$3:$A$102,0)),""))</f>
        <v/>
      </c>
      <c r="J260" s="14" t="str">
        <f aca="false">IF($H260="","",IFERROR(INDEX(상품목록!$C$3:$C$102,MATCH($H260,상품목록!$A$3:$A$102,0)),0))</f>
        <v/>
      </c>
      <c r="K260" s="7"/>
      <c r="L260" s="14" t="str">
        <f aca="false">IF(OR($J260="",$K260=""),"",ROUND($J260*$K260,0))</f>
        <v/>
      </c>
      <c r="M260" s="9"/>
      <c r="N260" s="14" t="str">
        <f aca="false">IF($L260="","",$L260+IF($M260="",0,$M260))</f>
        <v/>
      </c>
      <c r="O260" s="13"/>
      <c r="P260" s="7"/>
      <c r="Q260" s="12" t="str">
        <f aca="false">IF($C260="","",IF($P260&lt;&gt;"","발송완료",IF($O260&lt;&gt;"","입금완료","입금대기")))</f>
        <v/>
      </c>
      <c r="R260" s="12" t="str">
        <f aca="false">IF($C260="","",COUNTIFS($C$3:$C260,$C260))</f>
        <v/>
      </c>
      <c r="S260" s="12" t="str">
        <f aca="false">IF($C260="","",$C260&amp;"|"&amp;$R260)</f>
        <v/>
      </c>
    </row>
    <row r="261" customFormat="false" ht="15" hidden="false" customHeight="true" outlineLevel="0" collapsed="false">
      <c r="A261" s="12" t="str">
        <f aca="false">IF($C261="","",TEXT($B261,"yymmdd")&amp;"-"&amp;TEXT(COUNTIFS($B$3:$B261,$B261),"000"))</f>
        <v/>
      </c>
      <c r="B261" s="13"/>
      <c r="C261" s="7"/>
      <c r="D261" s="12" t="str">
        <f aca="false">IF($C261="","",IFERROR(INDEX(고객명부!$B$3:$B$502,MATCH($C261,고객명부!$A$3:$A$502,0)),"미등록고객"))</f>
        <v/>
      </c>
      <c r="E261" s="12" t="str">
        <f aca="false">IF($C261="","",IFERROR(INDEX(고객명부!$C$3:$C$502,MATCH($C261,고객명부!$A$3:$A$502,0)),""))</f>
        <v/>
      </c>
      <c r="F261" s="12" t="str">
        <f aca="false">IF($C261="","",IFERROR(INDEX(고객명부!$D$3:$D$502,MATCH($C261,고객명부!$A$3:$A$502,0)),""))</f>
        <v/>
      </c>
      <c r="G261" s="12" t="str">
        <f aca="false">IF($C261="","",IFERROR(INDEX(고객명부!$E$3:$E$502,MATCH($C261,고객명부!$A$3:$A$502,0))&amp;" "&amp;INDEX(고객명부!$F$3:$F$502,MATCH($C261,고객명부!$A$3:$A$502,0)),""))</f>
        <v/>
      </c>
      <c r="H261" s="7"/>
      <c r="I261" s="12" t="str">
        <f aca="false">IF($H261="","",IFERROR(INDEX(상품목록!$B$3:$B$102,MATCH($H261,상품목록!$A$3:$A$102,0)),""))</f>
        <v/>
      </c>
      <c r="J261" s="14" t="str">
        <f aca="false">IF($H261="","",IFERROR(INDEX(상품목록!$C$3:$C$102,MATCH($H261,상품목록!$A$3:$A$102,0)),0))</f>
        <v/>
      </c>
      <c r="K261" s="7"/>
      <c r="L261" s="14" t="str">
        <f aca="false">IF(OR($J261="",$K261=""),"",ROUND($J261*$K261,0))</f>
        <v/>
      </c>
      <c r="M261" s="9"/>
      <c r="N261" s="14" t="str">
        <f aca="false">IF($L261="","",$L261+IF($M261="",0,$M261))</f>
        <v/>
      </c>
      <c r="O261" s="13"/>
      <c r="P261" s="7"/>
      <c r="Q261" s="12" t="str">
        <f aca="false">IF($C261="","",IF($P261&lt;&gt;"","발송완료",IF($O261&lt;&gt;"","입금완료","입금대기")))</f>
        <v/>
      </c>
      <c r="R261" s="12" t="str">
        <f aca="false">IF($C261="","",COUNTIFS($C$3:$C261,$C261))</f>
        <v/>
      </c>
      <c r="S261" s="12" t="str">
        <f aca="false">IF($C261="","",$C261&amp;"|"&amp;$R261)</f>
        <v/>
      </c>
    </row>
    <row r="262" customFormat="false" ht="15" hidden="false" customHeight="true" outlineLevel="0" collapsed="false">
      <c r="A262" s="12" t="str">
        <f aca="false">IF($C262="","",TEXT($B262,"yymmdd")&amp;"-"&amp;TEXT(COUNTIFS($B$3:$B262,$B262),"000"))</f>
        <v/>
      </c>
      <c r="B262" s="13"/>
      <c r="C262" s="7"/>
      <c r="D262" s="12" t="str">
        <f aca="false">IF($C262="","",IFERROR(INDEX(고객명부!$B$3:$B$502,MATCH($C262,고객명부!$A$3:$A$502,0)),"미등록고객"))</f>
        <v/>
      </c>
      <c r="E262" s="12" t="str">
        <f aca="false">IF($C262="","",IFERROR(INDEX(고객명부!$C$3:$C$502,MATCH($C262,고객명부!$A$3:$A$502,0)),""))</f>
        <v/>
      </c>
      <c r="F262" s="12" t="str">
        <f aca="false">IF($C262="","",IFERROR(INDEX(고객명부!$D$3:$D$502,MATCH($C262,고객명부!$A$3:$A$502,0)),""))</f>
        <v/>
      </c>
      <c r="G262" s="12" t="str">
        <f aca="false">IF($C262="","",IFERROR(INDEX(고객명부!$E$3:$E$502,MATCH($C262,고객명부!$A$3:$A$502,0))&amp;" "&amp;INDEX(고객명부!$F$3:$F$502,MATCH($C262,고객명부!$A$3:$A$502,0)),""))</f>
        <v/>
      </c>
      <c r="H262" s="7"/>
      <c r="I262" s="12" t="str">
        <f aca="false">IF($H262="","",IFERROR(INDEX(상품목록!$B$3:$B$102,MATCH($H262,상품목록!$A$3:$A$102,0)),""))</f>
        <v/>
      </c>
      <c r="J262" s="14" t="str">
        <f aca="false">IF($H262="","",IFERROR(INDEX(상품목록!$C$3:$C$102,MATCH($H262,상품목록!$A$3:$A$102,0)),0))</f>
        <v/>
      </c>
      <c r="K262" s="7"/>
      <c r="L262" s="14" t="str">
        <f aca="false">IF(OR($J262="",$K262=""),"",ROUND($J262*$K262,0))</f>
        <v/>
      </c>
      <c r="M262" s="9"/>
      <c r="N262" s="14" t="str">
        <f aca="false">IF($L262="","",$L262+IF($M262="",0,$M262))</f>
        <v/>
      </c>
      <c r="O262" s="13"/>
      <c r="P262" s="7"/>
      <c r="Q262" s="12" t="str">
        <f aca="false">IF($C262="","",IF($P262&lt;&gt;"","발송완료",IF($O262&lt;&gt;"","입금완료","입금대기")))</f>
        <v/>
      </c>
      <c r="R262" s="12" t="str">
        <f aca="false">IF($C262="","",COUNTIFS($C$3:$C262,$C262))</f>
        <v/>
      </c>
      <c r="S262" s="12" t="str">
        <f aca="false">IF($C262="","",$C262&amp;"|"&amp;$R262)</f>
        <v/>
      </c>
    </row>
    <row r="263" customFormat="false" ht="15" hidden="false" customHeight="true" outlineLevel="0" collapsed="false">
      <c r="A263" s="12" t="str">
        <f aca="false">IF($C263="","",TEXT($B263,"yymmdd")&amp;"-"&amp;TEXT(COUNTIFS($B$3:$B263,$B263),"000"))</f>
        <v/>
      </c>
      <c r="B263" s="13"/>
      <c r="C263" s="7"/>
      <c r="D263" s="12" t="str">
        <f aca="false">IF($C263="","",IFERROR(INDEX(고객명부!$B$3:$B$502,MATCH($C263,고객명부!$A$3:$A$502,0)),"미등록고객"))</f>
        <v/>
      </c>
      <c r="E263" s="12" t="str">
        <f aca="false">IF($C263="","",IFERROR(INDEX(고객명부!$C$3:$C$502,MATCH($C263,고객명부!$A$3:$A$502,0)),""))</f>
        <v/>
      </c>
      <c r="F263" s="12" t="str">
        <f aca="false">IF($C263="","",IFERROR(INDEX(고객명부!$D$3:$D$502,MATCH($C263,고객명부!$A$3:$A$502,0)),""))</f>
        <v/>
      </c>
      <c r="G263" s="12" t="str">
        <f aca="false">IF($C263="","",IFERROR(INDEX(고객명부!$E$3:$E$502,MATCH($C263,고객명부!$A$3:$A$502,0))&amp;" "&amp;INDEX(고객명부!$F$3:$F$502,MATCH($C263,고객명부!$A$3:$A$502,0)),""))</f>
        <v/>
      </c>
      <c r="H263" s="7"/>
      <c r="I263" s="12" t="str">
        <f aca="false">IF($H263="","",IFERROR(INDEX(상품목록!$B$3:$B$102,MATCH($H263,상품목록!$A$3:$A$102,0)),""))</f>
        <v/>
      </c>
      <c r="J263" s="14" t="str">
        <f aca="false">IF($H263="","",IFERROR(INDEX(상품목록!$C$3:$C$102,MATCH($H263,상품목록!$A$3:$A$102,0)),0))</f>
        <v/>
      </c>
      <c r="K263" s="7"/>
      <c r="L263" s="14" t="str">
        <f aca="false">IF(OR($J263="",$K263=""),"",ROUND($J263*$K263,0))</f>
        <v/>
      </c>
      <c r="M263" s="9"/>
      <c r="N263" s="14" t="str">
        <f aca="false">IF($L263="","",$L263+IF($M263="",0,$M263))</f>
        <v/>
      </c>
      <c r="O263" s="13"/>
      <c r="P263" s="7"/>
      <c r="Q263" s="12" t="str">
        <f aca="false">IF($C263="","",IF($P263&lt;&gt;"","발송완료",IF($O263&lt;&gt;"","입금완료","입금대기")))</f>
        <v/>
      </c>
      <c r="R263" s="12" t="str">
        <f aca="false">IF($C263="","",COUNTIFS($C$3:$C263,$C263))</f>
        <v/>
      </c>
      <c r="S263" s="12" t="str">
        <f aca="false">IF($C263="","",$C263&amp;"|"&amp;$R263)</f>
        <v/>
      </c>
    </row>
    <row r="264" customFormat="false" ht="15" hidden="false" customHeight="true" outlineLevel="0" collapsed="false">
      <c r="A264" s="12" t="str">
        <f aca="false">IF($C264="","",TEXT($B264,"yymmdd")&amp;"-"&amp;TEXT(COUNTIFS($B$3:$B264,$B264),"000"))</f>
        <v/>
      </c>
      <c r="B264" s="13"/>
      <c r="C264" s="7"/>
      <c r="D264" s="12" t="str">
        <f aca="false">IF($C264="","",IFERROR(INDEX(고객명부!$B$3:$B$502,MATCH($C264,고객명부!$A$3:$A$502,0)),"미등록고객"))</f>
        <v/>
      </c>
      <c r="E264" s="12" t="str">
        <f aca="false">IF($C264="","",IFERROR(INDEX(고객명부!$C$3:$C$502,MATCH($C264,고객명부!$A$3:$A$502,0)),""))</f>
        <v/>
      </c>
      <c r="F264" s="12" t="str">
        <f aca="false">IF($C264="","",IFERROR(INDEX(고객명부!$D$3:$D$502,MATCH($C264,고객명부!$A$3:$A$502,0)),""))</f>
        <v/>
      </c>
      <c r="G264" s="12" t="str">
        <f aca="false">IF($C264="","",IFERROR(INDEX(고객명부!$E$3:$E$502,MATCH($C264,고객명부!$A$3:$A$502,0))&amp;" "&amp;INDEX(고객명부!$F$3:$F$502,MATCH($C264,고객명부!$A$3:$A$502,0)),""))</f>
        <v/>
      </c>
      <c r="H264" s="7"/>
      <c r="I264" s="12" t="str">
        <f aca="false">IF($H264="","",IFERROR(INDEX(상품목록!$B$3:$B$102,MATCH($H264,상품목록!$A$3:$A$102,0)),""))</f>
        <v/>
      </c>
      <c r="J264" s="14" t="str">
        <f aca="false">IF($H264="","",IFERROR(INDEX(상품목록!$C$3:$C$102,MATCH($H264,상품목록!$A$3:$A$102,0)),0))</f>
        <v/>
      </c>
      <c r="K264" s="7"/>
      <c r="L264" s="14" t="str">
        <f aca="false">IF(OR($J264="",$K264=""),"",ROUND($J264*$K264,0))</f>
        <v/>
      </c>
      <c r="M264" s="9"/>
      <c r="N264" s="14" t="str">
        <f aca="false">IF($L264="","",$L264+IF($M264="",0,$M264))</f>
        <v/>
      </c>
      <c r="O264" s="13"/>
      <c r="P264" s="7"/>
      <c r="Q264" s="12" t="str">
        <f aca="false">IF($C264="","",IF($P264&lt;&gt;"","발송완료",IF($O264&lt;&gt;"","입금완료","입금대기")))</f>
        <v/>
      </c>
      <c r="R264" s="12" t="str">
        <f aca="false">IF($C264="","",COUNTIFS($C$3:$C264,$C264))</f>
        <v/>
      </c>
      <c r="S264" s="12" t="str">
        <f aca="false">IF($C264="","",$C264&amp;"|"&amp;$R264)</f>
        <v/>
      </c>
    </row>
    <row r="265" customFormat="false" ht="15" hidden="false" customHeight="true" outlineLevel="0" collapsed="false">
      <c r="A265" s="12" t="str">
        <f aca="false">IF($C265="","",TEXT($B265,"yymmdd")&amp;"-"&amp;TEXT(COUNTIFS($B$3:$B265,$B265),"000"))</f>
        <v/>
      </c>
      <c r="B265" s="13"/>
      <c r="C265" s="7"/>
      <c r="D265" s="12" t="str">
        <f aca="false">IF($C265="","",IFERROR(INDEX(고객명부!$B$3:$B$502,MATCH($C265,고객명부!$A$3:$A$502,0)),"미등록고객"))</f>
        <v/>
      </c>
      <c r="E265" s="12" t="str">
        <f aca="false">IF($C265="","",IFERROR(INDEX(고객명부!$C$3:$C$502,MATCH($C265,고객명부!$A$3:$A$502,0)),""))</f>
        <v/>
      </c>
      <c r="F265" s="12" t="str">
        <f aca="false">IF($C265="","",IFERROR(INDEX(고객명부!$D$3:$D$502,MATCH($C265,고객명부!$A$3:$A$502,0)),""))</f>
        <v/>
      </c>
      <c r="G265" s="12" t="str">
        <f aca="false">IF($C265="","",IFERROR(INDEX(고객명부!$E$3:$E$502,MATCH($C265,고객명부!$A$3:$A$502,0))&amp;" "&amp;INDEX(고객명부!$F$3:$F$502,MATCH($C265,고객명부!$A$3:$A$502,0)),""))</f>
        <v/>
      </c>
      <c r="H265" s="7"/>
      <c r="I265" s="12" t="str">
        <f aca="false">IF($H265="","",IFERROR(INDEX(상품목록!$B$3:$B$102,MATCH($H265,상품목록!$A$3:$A$102,0)),""))</f>
        <v/>
      </c>
      <c r="J265" s="14" t="str">
        <f aca="false">IF($H265="","",IFERROR(INDEX(상품목록!$C$3:$C$102,MATCH($H265,상품목록!$A$3:$A$102,0)),0))</f>
        <v/>
      </c>
      <c r="K265" s="7"/>
      <c r="L265" s="14" t="str">
        <f aca="false">IF(OR($J265="",$K265=""),"",ROUND($J265*$K265,0))</f>
        <v/>
      </c>
      <c r="M265" s="9"/>
      <c r="N265" s="14" t="str">
        <f aca="false">IF($L265="","",$L265+IF($M265="",0,$M265))</f>
        <v/>
      </c>
      <c r="O265" s="13"/>
      <c r="P265" s="7"/>
      <c r="Q265" s="12" t="str">
        <f aca="false">IF($C265="","",IF($P265&lt;&gt;"","발송완료",IF($O265&lt;&gt;"","입금완료","입금대기")))</f>
        <v/>
      </c>
      <c r="R265" s="12" t="str">
        <f aca="false">IF($C265="","",COUNTIFS($C$3:$C265,$C265))</f>
        <v/>
      </c>
      <c r="S265" s="12" t="str">
        <f aca="false">IF($C265="","",$C265&amp;"|"&amp;$R265)</f>
        <v/>
      </c>
    </row>
    <row r="266" customFormat="false" ht="15" hidden="false" customHeight="true" outlineLevel="0" collapsed="false">
      <c r="A266" s="12" t="str">
        <f aca="false">IF($C266="","",TEXT($B266,"yymmdd")&amp;"-"&amp;TEXT(COUNTIFS($B$3:$B266,$B266),"000"))</f>
        <v/>
      </c>
      <c r="B266" s="13"/>
      <c r="C266" s="7"/>
      <c r="D266" s="12" t="str">
        <f aca="false">IF($C266="","",IFERROR(INDEX(고객명부!$B$3:$B$502,MATCH($C266,고객명부!$A$3:$A$502,0)),"미등록고객"))</f>
        <v/>
      </c>
      <c r="E266" s="12" t="str">
        <f aca="false">IF($C266="","",IFERROR(INDEX(고객명부!$C$3:$C$502,MATCH($C266,고객명부!$A$3:$A$502,0)),""))</f>
        <v/>
      </c>
      <c r="F266" s="12" t="str">
        <f aca="false">IF($C266="","",IFERROR(INDEX(고객명부!$D$3:$D$502,MATCH($C266,고객명부!$A$3:$A$502,0)),""))</f>
        <v/>
      </c>
      <c r="G266" s="12" t="str">
        <f aca="false">IF($C266="","",IFERROR(INDEX(고객명부!$E$3:$E$502,MATCH($C266,고객명부!$A$3:$A$502,0))&amp;" "&amp;INDEX(고객명부!$F$3:$F$502,MATCH($C266,고객명부!$A$3:$A$502,0)),""))</f>
        <v/>
      </c>
      <c r="H266" s="7"/>
      <c r="I266" s="12" t="str">
        <f aca="false">IF($H266="","",IFERROR(INDEX(상품목록!$B$3:$B$102,MATCH($H266,상품목록!$A$3:$A$102,0)),""))</f>
        <v/>
      </c>
      <c r="J266" s="14" t="str">
        <f aca="false">IF($H266="","",IFERROR(INDEX(상품목록!$C$3:$C$102,MATCH($H266,상품목록!$A$3:$A$102,0)),0))</f>
        <v/>
      </c>
      <c r="K266" s="7"/>
      <c r="L266" s="14" t="str">
        <f aca="false">IF(OR($J266="",$K266=""),"",ROUND($J266*$K266,0))</f>
        <v/>
      </c>
      <c r="M266" s="9"/>
      <c r="N266" s="14" t="str">
        <f aca="false">IF($L266="","",$L266+IF($M266="",0,$M266))</f>
        <v/>
      </c>
      <c r="O266" s="13"/>
      <c r="P266" s="7"/>
      <c r="Q266" s="12" t="str">
        <f aca="false">IF($C266="","",IF($P266&lt;&gt;"","발송완료",IF($O266&lt;&gt;"","입금완료","입금대기")))</f>
        <v/>
      </c>
      <c r="R266" s="12" t="str">
        <f aca="false">IF($C266="","",COUNTIFS($C$3:$C266,$C266))</f>
        <v/>
      </c>
      <c r="S266" s="12" t="str">
        <f aca="false">IF($C266="","",$C266&amp;"|"&amp;$R266)</f>
        <v/>
      </c>
    </row>
    <row r="267" customFormat="false" ht="15" hidden="false" customHeight="true" outlineLevel="0" collapsed="false">
      <c r="A267" s="12" t="str">
        <f aca="false">IF($C267="","",TEXT($B267,"yymmdd")&amp;"-"&amp;TEXT(COUNTIFS($B$3:$B267,$B267),"000"))</f>
        <v/>
      </c>
      <c r="B267" s="13"/>
      <c r="C267" s="7"/>
      <c r="D267" s="12" t="str">
        <f aca="false">IF($C267="","",IFERROR(INDEX(고객명부!$B$3:$B$502,MATCH($C267,고객명부!$A$3:$A$502,0)),"미등록고객"))</f>
        <v/>
      </c>
      <c r="E267" s="12" t="str">
        <f aca="false">IF($C267="","",IFERROR(INDEX(고객명부!$C$3:$C$502,MATCH($C267,고객명부!$A$3:$A$502,0)),""))</f>
        <v/>
      </c>
      <c r="F267" s="12" t="str">
        <f aca="false">IF($C267="","",IFERROR(INDEX(고객명부!$D$3:$D$502,MATCH($C267,고객명부!$A$3:$A$502,0)),""))</f>
        <v/>
      </c>
      <c r="G267" s="12" t="str">
        <f aca="false">IF($C267="","",IFERROR(INDEX(고객명부!$E$3:$E$502,MATCH($C267,고객명부!$A$3:$A$502,0))&amp;" "&amp;INDEX(고객명부!$F$3:$F$502,MATCH($C267,고객명부!$A$3:$A$502,0)),""))</f>
        <v/>
      </c>
      <c r="H267" s="7"/>
      <c r="I267" s="12" t="str">
        <f aca="false">IF($H267="","",IFERROR(INDEX(상품목록!$B$3:$B$102,MATCH($H267,상품목록!$A$3:$A$102,0)),""))</f>
        <v/>
      </c>
      <c r="J267" s="14" t="str">
        <f aca="false">IF($H267="","",IFERROR(INDEX(상품목록!$C$3:$C$102,MATCH($H267,상품목록!$A$3:$A$102,0)),0))</f>
        <v/>
      </c>
      <c r="K267" s="7"/>
      <c r="L267" s="14" t="str">
        <f aca="false">IF(OR($J267="",$K267=""),"",ROUND($J267*$K267,0))</f>
        <v/>
      </c>
      <c r="M267" s="9"/>
      <c r="N267" s="14" t="str">
        <f aca="false">IF($L267="","",$L267+IF($M267="",0,$M267))</f>
        <v/>
      </c>
      <c r="O267" s="13"/>
      <c r="P267" s="7"/>
      <c r="Q267" s="12" t="str">
        <f aca="false">IF($C267="","",IF($P267&lt;&gt;"","발송완료",IF($O267&lt;&gt;"","입금완료","입금대기")))</f>
        <v/>
      </c>
      <c r="R267" s="12" t="str">
        <f aca="false">IF($C267="","",COUNTIFS($C$3:$C267,$C267))</f>
        <v/>
      </c>
      <c r="S267" s="12" t="str">
        <f aca="false">IF($C267="","",$C267&amp;"|"&amp;$R267)</f>
        <v/>
      </c>
    </row>
    <row r="268" customFormat="false" ht="15" hidden="false" customHeight="true" outlineLevel="0" collapsed="false">
      <c r="A268" s="12" t="str">
        <f aca="false">IF($C268="","",TEXT($B268,"yymmdd")&amp;"-"&amp;TEXT(COUNTIFS($B$3:$B268,$B268),"000"))</f>
        <v/>
      </c>
      <c r="B268" s="13"/>
      <c r="C268" s="7"/>
      <c r="D268" s="12" t="str">
        <f aca="false">IF($C268="","",IFERROR(INDEX(고객명부!$B$3:$B$502,MATCH($C268,고객명부!$A$3:$A$502,0)),"미등록고객"))</f>
        <v/>
      </c>
      <c r="E268" s="12" t="str">
        <f aca="false">IF($C268="","",IFERROR(INDEX(고객명부!$C$3:$C$502,MATCH($C268,고객명부!$A$3:$A$502,0)),""))</f>
        <v/>
      </c>
      <c r="F268" s="12" t="str">
        <f aca="false">IF($C268="","",IFERROR(INDEX(고객명부!$D$3:$D$502,MATCH($C268,고객명부!$A$3:$A$502,0)),""))</f>
        <v/>
      </c>
      <c r="G268" s="12" t="str">
        <f aca="false">IF($C268="","",IFERROR(INDEX(고객명부!$E$3:$E$502,MATCH($C268,고객명부!$A$3:$A$502,0))&amp;" "&amp;INDEX(고객명부!$F$3:$F$502,MATCH($C268,고객명부!$A$3:$A$502,0)),""))</f>
        <v/>
      </c>
      <c r="H268" s="7"/>
      <c r="I268" s="12" t="str">
        <f aca="false">IF($H268="","",IFERROR(INDEX(상품목록!$B$3:$B$102,MATCH($H268,상품목록!$A$3:$A$102,0)),""))</f>
        <v/>
      </c>
      <c r="J268" s="14" t="str">
        <f aca="false">IF($H268="","",IFERROR(INDEX(상품목록!$C$3:$C$102,MATCH($H268,상품목록!$A$3:$A$102,0)),0))</f>
        <v/>
      </c>
      <c r="K268" s="7"/>
      <c r="L268" s="14" t="str">
        <f aca="false">IF(OR($J268="",$K268=""),"",ROUND($J268*$K268,0))</f>
        <v/>
      </c>
      <c r="M268" s="9"/>
      <c r="N268" s="14" t="str">
        <f aca="false">IF($L268="","",$L268+IF($M268="",0,$M268))</f>
        <v/>
      </c>
      <c r="O268" s="13"/>
      <c r="P268" s="7"/>
      <c r="Q268" s="12" t="str">
        <f aca="false">IF($C268="","",IF($P268&lt;&gt;"","발송완료",IF($O268&lt;&gt;"","입금완료","입금대기")))</f>
        <v/>
      </c>
      <c r="R268" s="12" t="str">
        <f aca="false">IF($C268="","",COUNTIFS($C$3:$C268,$C268))</f>
        <v/>
      </c>
      <c r="S268" s="12" t="str">
        <f aca="false">IF($C268="","",$C268&amp;"|"&amp;$R268)</f>
        <v/>
      </c>
    </row>
    <row r="269" customFormat="false" ht="15" hidden="false" customHeight="true" outlineLevel="0" collapsed="false">
      <c r="A269" s="12" t="str">
        <f aca="false">IF($C269="","",TEXT($B269,"yymmdd")&amp;"-"&amp;TEXT(COUNTIFS($B$3:$B269,$B269),"000"))</f>
        <v/>
      </c>
      <c r="B269" s="13"/>
      <c r="C269" s="7"/>
      <c r="D269" s="12" t="str">
        <f aca="false">IF($C269="","",IFERROR(INDEX(고객명부!$B$3:$B$502,MATCH($C269,고객명부!$A$3:$A$502,0)),"미등록고객"))</f>
        <v/>
      </c>
      <c r="E269" s="12" t="str">
        <f aca="false">IF($C269="","",IFERROR(INDEX(고객명부!$C$3:$C$502,MATCH($C269,고객명부!$A$3:$A$502,0)),""))</f>
        <v/>
      </c>
      <c r="F269" s="12" t="str">
        <f aca="false">IF($C269="","",IFERROR(INDEX(고객명부!$D$3:$D$502,MATCH($C269,고객명부!$A$3:$A$502,0)),""))</f>
        <v/>
      </c>
      <c r="G269" s="12" t="str">
        <f aca="false">IF($C269="","",IFERROR(INDEX(고객명부!$E$3:$E$502,MATCH($C269,고객명부!$A$3:$A$502,0))&amp;" "&amp;INDEX(고객명부!$F$3:$F$502,MATCH($C269,고객명부!$A$3:$A$502,0)),""))</f>
        <v/>
      </c>
      <c r="H269" s="7"/>
      <c r="I269" s="12" t="str">
        <f aca="false">IF($H269="","",IFERROR(INDEX(상품목록!$B$3:$B$102,MATCH($H269,상품목록!$A$3:$A$102,0)),""))</f>
        <v/>
      </c>
      <c r="J269" s="14" t="str">
        <f aca="false">IF($H269="","",IFERROR(INDEX(상품목록!$C$3:$C$102,MATCH($H269,상품목록!$A$3:$A$102,0)),0))</f>
        <v/>
      </c>
      <c r="K269" s="7"/>
      <c r="L269" s="14" t="str">
        <f aca="false">IF(OR($J269="",$K269=""),"",ROUND($J269*$K269,0))</f>
        <v/>
      </c>
      <c r="M269" s="9"/>
      <c r="N269" s="14" t="str">
        <f aca="false">IF($L269="","",$L269+IF($M269="",0,$M269))</f>
        <v/>
      </c>
      <c r="O269" s="13"/>
      <c r="P269" s="7"/>
      <c r="Q269" s="12" t="str">
        <f aca="false">IF($C269="","",IF($P269&lt;&gt;"","발송완료",IF($O269&lt;&gt;"","입금완료","입금대기")))</f>
        <v/>
      </c>
      <c r="R269" s="12" t="str">
        <f aca="false">IF($C269="","",COUNTIFS($C$3:$C269,$C269))</f>
        <v/>
      </c>
      <c r="S269" s="12" t="str">
        <f aca="false">IF($C269="","",$C269&amp;"|"&amp;$R269)</f>
        <v/>
      </c>
    </row>
    <row r="270" customFormat="false" ht="15" hidden="false" customHeight="true" outlineLevel="0" collapsed="false">
      <c r="A270" s="12" t="str">
        <f aca="false">IF($C270="","",TEXT($B270,"yymmdd")&amp;"-"&amp;TEXT(COUNTIFS($B$3:$B270,$B270),"000"))</f>
        <v/>
      </c>
      <c r="B270" s="13"/>
      <c r="C270" s="7"/>
      <c r="D270" s="12" t="str">
        <f aca="false">IF($C270="","",IFERROR(INDEX(고객명부!$B$3:$B$502,MATCH($C270,고객명부!$A$3:$A$502,0)),"미등록고객"))</f>
        <v/>
      </c>
      <c r="E270" s="12" t="str">
        <f aca="false">IF($C270="","",IFERROR(INDEX(고객명부!$C$3:$C$502,MATCH($C270,고객명부!$A$3:$A$502,0)),""))</f>
        <v/>
      </c>
      <c r="F270" s="12" t="str">
        <f aca="false">IF($C270="","",IFERROR(INDEX(고객명부!$D$3:$D$502,MATCH($C270,고객명부!$A$3:$A$502,0)),""))</f>
        <v/>
      </c>
      <c r="G270" s="12" t="str">
        <f aca="false">IF($C270="","",IFERROR(INDEX(고객명부!$E$3:$E$502,MATCH($C270,고객명부!$A$3:$A$502,0))&amp;" "&amp;INDEX(고객명부!$F$3:$F$502,MATCH($C270,고객명부!$A$3:$A$502,0)),""))</f>
        <v/>
      </c>
      <c r="H270" s="7"/>
      <c r="I270" s="12" t="str">
        <f aca="false">IF($H270="","",IFERROR(INDEX(상품목록!$B$3:$B$102,MATCH($H270,상품목록!$A$3:$A$102,0)),""))</f>
        <v/>
      </c>
      <c r="J270" s="14" t="str">
        <f aca="false">IF($H270="","",IFERROR(INDEX(상품목록!$C$3:$C$102,MATCH($H270,상품목록!$A$3:$A$102,0)),0))</f>
        <v/>
      </c>
      <c r="K270" s="7"/>
      <c r="L270" s="14" t="str">
        <f aca="false">IF(OR($J270="",$K270=""),"",ROUND($J270*$K270,0))</f>
        <v/>
      </c>
      <c r="M270" s="9"/>
      <c r="N270" s="14" t="str">
        <f aca="false">IF($L270="","",$L270+IF($M270="",0,$M270))</f>
        <v/>
      </c>
      <c r="O270" s="13"/>
      <c r="P270" s="7"/>
      <c r="Q270" s="12" t="str">
        <f aca="false">IF($C270="","",IF($P270&lt;&gt;"","발송완료",IF($O270&lt;&gt;"","입금완료","입금대기")))</f>
        <v/>
      </c>
      <c r="R270" s="12" t="str">
        <f aca="false">IF($C270="","",COUNTIFS($C$3:$C270,$C270))</f>
        <v/>
      </c>
      <c r="S270" s="12" t="str">
        <f aca="false">IF($C270="","",$C270&amp;"|"&amp;$R270)</f>
        <v/>
      </c>
    </row>
    <row r="271" customFormat="false" ht="15" hidden="false" customHeight="true" outlineLevel="0" collapsed="false">
      <c r="A271" s="12" t="str">
        <f aca="false">IF($C271="","",TEXT($B271,"yymmdd")&amp;"-"&amp;TEXT(COUNTIFS($B$3:$B271,$B271),"000"))</f>
        <v/>
      </c>
      <c r="B271" s="13"/>
      <c r="C271" s="7"/>
      <c r="D271" s="12" t="str">
        <f aca="false">IF($C271="","",IFERROR(INDEX(고객명부!$B$3:$B$502,MATCH($C271,고객명부!$A$3:$A$502,0)),"미등록고객"))</f>
        <v/>
      </c>
      <c r="E271" s="12" t="str">
        <f aca="false">IF($C271="","",IFERROR(INDEX(고객명부!$C$3:$C$502,MATCH($C271,고객명부!$A$3:$A$502,0)),""))</f>
        <v/>
      </c>
      <c r="F271" s="12" t="str">
        <f aca="false">IF($C271="","",IFERROR(INDEX(고객명부!$D$3:$D$502,MATCH($C271,고객명부!$A$3:$A$502,0)),""))</f>
        <v/>
      </c>
      <c r="G271" s="12" t="str">
        <f aca="false">IF($C271="","",IFERROR(INDEX(고객명부!$E$3:$E$502,MATCH($C271,고객명부!$A$3:$A$502,0))&amp;" "&amp;INDEX(고객명부!$F$3:$F$502,MATCH($C271,고객명부!$A$3:$A$502,0)),""))</f>
        <v/>
      </c>
      <c r="H271" s="7"/>
      <c r="I271" s="12" t="str">
        <f aca="false">IF($H271="","",IFERROR(INDEX(상품목록!$B$3:$B$102,MATCH($H271,상품목록!$A$3:$A$102,0)),""))</f>
        <v/>
      </c>
      <c r="J271" s="14" t="str">
        <f aca="false">IF($H271="","",IFERROR(INDEX(상품목록!$C$3:$C$102,MATCH($H271,상품목록!$A$3:$A$102,0)),0))</f>
        <v/>
      </c>
      <c r="K271" s="7"/>
      <c r="L271" s="14" t="str">
        <f aca="false">IF(OR($J271="",$K271=""),"",ROUND($J271*$K271,0))</f>
        <v/>
      </c>
      <c r="M271" s="9"/>
      <c r="N271" s="14" t="str">
        <f aca="false">IF($L271="","",$L271+IF($M271="",0,$M271))</f>
        <v/>
      </c>
      <c r="O271" s="13"/>
      <c r="P271" s="7"/>
      <c r="Q271" s="12" t="str">
        <f aca="false">IF($C271="","",IF($P271&lt;&gt;"","발송완료",IF($O271&lt;&gt;"","입금완료","입금대기")))</f>
        <v/>
      </c>
      <c r="R271" s="12" t="str">
        <f aca="false">IF($C271="","",COUNTIFS($C$3:$C271,$C271))</f>
        <v/>
      </c>
      <c r="S271" s="12" t="str">
        <f aca="false">IF($C271="","",$C271&amp;"|"&amp;$R271)</f>
        <v/>
      </c>
    </row>
    <row r="272" customFormat="false" ht="15" hidden="false" customHeight="true" outlineLevel="0" collapsed="false">
      <c r="A272" s="12" t="str">
        <f aca="false">IF($C272="","",TEXT($B272,"yymmdd")&amp;"-"&amp;TEXT(COUNTIFS($B$3:$B272,$B272),"000"))</f>
        <v/>
      </c>
      <c r="B272" s="13"/>
      <c r="C272" s="7"/>
      <c r="D272" s="12" t="str">
        <f aca="false">IF($C272="","",IFERROR(INDEX(고객명부!$B$3:$B$502,MATCH($C272,고객명부!$A$3:$A$502,0)),"미등록고객"))</f>
        <v/>
      </c>
      <c r="E272" s="12" t="str">
        <f aca="false">IF($C272="","",IFERROR(INDEX(고객명부!$C$3:$C$502,MATCH($C272,고객명부!$A$3:$A$502,0)),""))</f>
        <v/>
      </c>
      <c r="F272" s="12" t="str">
        <f aca="false">IF($C272="","",IFERROR(INDEX(고객명부!$D$3:$D$502,MATCH($C272,고객명부!$A$3:$A$502,0)),""))</f>
        <v/>
      </c>
      <c r="G272" s="12" t="str">
        <f aca="false">IF($C272="","",IFERROR(INDEX(고객명부!$E$3:$E$502,MATCH($C272,고객명부!$A$3:$A$502,0))&amp;" "&amp;INDEX(고객명부!$F$3:$F$502,MATCH($C272,고객명부!$A$3:$A$502,0)),""))</f>
        <v/>
      </c>
      <c r="H272" s="7"/>
      <c r="I272" s="12" t="str">
        <f aca="false">IF($H272="","",IFERROR(INDEX(상품목록!$B$3:$B$102,MATCH($H272,상품목록!$A$3:$A$102,0)),""))</f>
        <v/>
      </c>
      <c r="J272" s="14" t="str">
        <f aca="false">IF($H272="","",IFERROR(INDEX(상품목록!$C$3:$C$102,MATCH($H272,상품목록!$A$3:$A$102,0)),0))</f>
        <v/>
      </c>
      <c r="K272" s="7"/>
      <c r="L272" s="14" t="str">
        <f aca="false">IF(OR($J272="",$K272=""),"",ROUND($J272*$K272,0))</f>
        <v/>
      </c>
      <c r="M272" s="9"/>
      <c r="N272" s="14" t="str">
        <f aca="false">IF($L272="","",$L272+IF($M272="",0,$M272))</f>
        <v/>
      </c>
      <c r="O272" s="13"/>
      <c r="P272" s="7"/>
      <c r="Q272" s="12" t="str">
        <f aca="false">IF($C272="","",IF($P272&lt;&gt;"","발송완료",IF($O272&lt;&gt;"","입금완료","입금대기")))</f>
        <v/>
      </c>
      <c r="R272" s="12" t="str">
        <f aca="false">IF($C272="","",COUNTIFS($C$3:$C272,$C272))</f>
        <v/>
      </c>
      <c r="S272" s="12" t="str">
        <f aca="false">IF($C272="","",$C272&amp;"|"&amp;$R272)</f>
        <v/>
      </c>
    </row>
    <row r="273" customFormat="false" ht="15" hidden="false" customHeight="true" outlineLevel="0" collapsed="false">
      <c r="A273" s="12" t="str">
        <f aca="false">IF($C273="","",TEXT($B273,"yymmdd")&amp;"-"&amp;TEXT(COUNTIFS($B$3:$B273,$B273),"000"))</f>
        <v/>
      </c>
      <c r="B273" s="13"/>
      <c r="C273" s="7"/>
      <c r="D273" s="12" t="str">
        <f aca="false">IF($C273="","",IFERROR(INDEX(고객명부!$B$3:$B$502,MATCH($C273,고객명부!$A$3:$A$502,0)),"미등록고객"))</f>
        <v/>
      </c>
      <c r="E273" s="12" t="str">
        <f aca="false">IF($C273="","",IFERROR(INDEX(고객명부!$C$3:$C$502,MATCH($C273,고객명부!$A$3:$A$502,0)),""))</f>
        <v/>
      </c>
      <c r="F273" s="12" t="str">
        <f aca="false">IF($C273="","",IFERROR(INDEX(고객명부!$D$3:$D$502,MATCH($C273,고객명부!$A$3:$A$502,0)),""))</f>
        <v/>
      </c>
      <c r="G273" s="12" t="str">
        <f aca="false">IF($C273="","",IFERROR(INDEX(고객명부!$E$3:$E$502,MATCH($C273,고객명부!$A$3:$A$502,0))&amp;" "&amp;INDEX(고객명부!$F$3:$F$502,MATCH($C273,고객명부!$A$3:$A$502,0)),""))</f>
        <v/>
      </c>
      <c r="H273" s="7"/>
      <c r="I273" s="12" t="str">
        <f aca="false">IF($H273="","",IFERROR(INDEX(상품목록!$B$3:$B$102,MATCH($H273,상품목록!$A$3:$A$102,0)),""))</f>
        <v/>
      </c>
      <c r="J273" s="14" t="str">
        <f aca="false">IF($H273="","",IFERROR(INDEX(상품목록!$C$3:$C$102,MATCH($H273,상품목록!$A$3:$A$102,0)),0))</f>
        <v/>
      </c>
      <c r="K273" s="7"/>
      <c r="L273" s="14" t="str">
        <f aca="false">IF(OR($J273="",$K273=""),"",ROUND($J273*$K273,0))</f>
        <v/>
      </c>
      <c r="M273" s="9"/>
      <c r="N273" s="14" t="str">
        <f aca="false">IF($L273="","",$L273+IF($M273="",0,$M273))</f>
        <v/>
      </c>
      <c r="O273" s="13"/>
      <c r="P273" s="7"/>
      <c r="Q273" s="12" t="str">
        <f aca="false">IF($C273="","",IF($P273&lt;&gt;"","발송완료",IF($O273&lt;&gt;"","입금완료","입금대기")))</f>
        <v/>
      </c>
      <c r="R273" s="12" t="str">
        <f aca="false">IF($C273="","",COUNTIFS($C$3:$C273,$C273))</f>
        <v/>
      </c>
      <c r="S273" s="12" t="str">
        <f aca="false">IF($C273="","",$C273&amp;"|"&amp;$R273)</f>
        <v/>
      </c>
    </row>
    <row r="274" customFormat="false" ht="15" hidden="false" customHeight="true" outlineLevel="0" collapsed="false">
      <c r="A274" s="12" t="str">
        <f aca="false">IF($C274="","",TEXT($B274,"yymmdd")&amp;"-"&amp;TEXT(COUNTIFS($B$3:$B274,$B274),"000"))</f>
        <v/>
      </c>
      <c r="B274" s="13"/>
      <c r="C274" s="7"/>
      <c r="D274" s="12" t="str">
        <f aca="false">IF($C274="","",IFERROR(INDEX(고객명부!$B$3:$B$502,MATCH($C274,고객명부!$A$3:$A$502,0)),"미등록고객"))</f>
        <v/>
      </c>
      <c r="E274" s="12" t="str">
        <f aca="false">IF($C274="","",IFERROR(INDEX(고객명부!$C$3:$C$502,MATCH($C274,고객명부!$A$3:$A$502,0)),""))</f>
        <v/>
      </c>
      <c r="F274" s="12" t="str">
        <f aca="false">IF($C274="","",IFERROR(INDEX(고객명부!$D$3:$D$502,MATCH($C274,고객명부!$A$3:$A$502,0)),""))</f>
        <v/>
      </c>
      <c r="G274" s="12" t="str">
        <f aca="false">IF($C274="","",IFERROR(INDEX(고객명부!$E$3:$E$502,MATCH($C274,고객명부!$A$3:$A$502,0))&amp;" "&amp;INDEX(고객명부!$F$3:$F$502,MATCH($C274,고객명부!$A$3:$A$502,0)),""))</f>
        <v/>
      </c>
      <c r="H274" s="7"/>
      <c r="I274" s="12" t="str">
        <f aca="false">IF($H274="","",IFERROR(INDEX(상품목록!$B$3:$B$102,MATCH($H274,상품목록!$A$3:$A$102,0)),""))</f>
        <v/>
      </c>
      <c r="J274" s="14" t="str">
        <f aca="false">IF($H274="","",IFERROR(INDEX(상품목록!$C$3:$C$102,MATCH($H274,상품목록!$A$3:$A$102,0)),0))</f>
        <v/>
      </c>
      <c r="K274" s="7"/>
      <c r="L274" s="14" t="str">
        <f aca="false">IF(OR($J274="",$K274=""),"",ROUND($J274*$K274,0))</f>
        <v/>
      </c>
      <c r="M274" s="9"/>
      <c r="N274" s="14" t="str">
        <f aca="false">IF($L274="","",$L274+IF($M274="",0,$M274))</f>
        <v/>
      </c>
      <c r="O274" s="13"/>
      <c r="P274" s="7"/>
      <c r="Q274" s="12" t="str">
        <f aca="false">IF($C274="","",IF($P274&lt;&gt;"","발송완료",IF($O274&lt;&gt;"","입금완료","입금대기")))</f>
        <v/>
      </c>
      <c r="R274" s="12" t="str">
        <f aca="false">IF($C274="","",COUNTIFS($C$3:$C274,$C274))</f>
        <v/>
      </c>
      <c r="S274" s="12" t="str">
        <f aca="false">IF($C274="","",$C274&amp;"|"&amp;$R274)</f>
        <v/>
      </c>
    </row>
    <row r="275" customFormat="false" ht="15" hidden="false" customHeight="true" outlineLevel="0" collapsed="false">
      <c r="A275" s="12" t="str">
        <f aca="false">IF($C275="","",TEXT($B275,"yymmdd")&amp;"-"&amp;TEXT(COUNTIFS($B$3:$B275,$B275),"000"))</f>
        <v/>
      </c>
      <c r="B275" s="13"/>
      <c r="C275" s="7"/>
      <c r="D275" s="12" t="str">
        <f aca="false">IF($C275="","",IFERROR(INDEX(고객명부!$B$3:$B$502,MATCH($C275,고객명부!$A$3:$A$502,0)),"미등록고객"))</f>
        <v/>
      </c>
      <c r="E275" s="12" t="str">
        <f aca="false">IF($C275="","",IFERROR(INDEX(고객명부!$C$3:$C$502,MATCH($C275,고객명부!$A$3:$A$502,0)),""))</f>
        <v/>
      </c>
      <c r="F275" s="12" t="str">
        <f aca="false">IF($C275="","",IFERROR(INDEX(고객명부!$D$3:$D$502,MATCH($C275,고객명부!$A$3:$A$502,0)),""))</f>
        <v/>
      </c>
      <c r="G275" s="12" t="str">
        <f aca="false">IF($C275="","",IFERROR(INDEX(고객명부!$E$3:$E$502,MATCH($C275,고객명부!$A$3:$A$502,0))&amp;" "&amp;INDEX(고객명부!$F$3:$F$502,MATCH($C275,고객명부!$A$3:$A$502,0)),""))</f>
        <v/>
      </c>
      <c r="H275" s="7"/>
      <c r="I275" s="12" t="str">
        <f aca="false">IF($H275="","",IFERROR(INDEX(상품목록!$B$3:$B$102,MATCH($H275,상품목록!$A$3:$A$102,0)),""))</f>
        <v/>
      </c>
      <c r="J275" s="14" t="str">
        <f aca="false">IF($H275="","",IFERROR(INDEX(상품목록!$C$3:$C$102,MATCH($H275,상품목록!$A$3:$A$102,0)),0))</f>
        <v/>
      </c>
      <c r="K275" s="7"/>
      <c r="L275" s="14" t="str">
        <f aca="false">IF(OR($J275="",$K275=""),"",ROUND($J275*$K275,0))</f>
        <v/>
      </c>
      <c r="M275" s="9"/>
      <c r="N275" s="14" t="str">
        <f aca="false">IF($L275="","",$L275+IF($M275="",0,$M275))</f>
        <v/>
      </c>
      <c r="O275" s="13"/>
      <c r="P275" s="7"/>
      <c r="Q275" s="12" t="str">
        <f aca="false">IF($C275="","",IF($P275&lt;&gt;"","발송완료",IF($O275&lt;&gt;"","입금완료","입금대기")))</f>
        <v/>
      </c>
      <c r="R275" s="12" t="str">
        <f aca="false">IF($C275="","",COUNTIFS($C$3:$C275,$C275))</f>
        <v/>
      </c>
      <c r="S275" s="12" t="str">
        <f aca="false">IF($C275="","",$C275&amp;"|"&amp;$R275)</f>
        <v/>
      </c>
    </row>
    <row r="276" customFormat="false" ht="15" hidden="false" customHeight="true" outlineLevel="0" collapsed="false">
      <c r="A276" s="12" t="str">
        <f aca="false">IF($C276="","",TEXT($B276,"yymmdd")&amp;"-"&amp;TEXT(COUNTIFS($B$3:$B276,$B276),"000"))</f>
        <v/>
      </c>
      <c r="B276" s="13"/>
      <c r="C276" s="7"/>
      <c r="D276" s="12" t="str">
        <f aca="false">IF($C276="","",IFERROR(INDEX(고객명부!$B$3:$B$502,MATCH($C276,고객명부!$A$3:$A$502,0)),"미등록고객"))</f>
        <v/>
      </c>
      <c r="E276" s="12" t="str">
        <f aca="false">IF($C276="","",IFERROR(INDEX(고객명부!$C$3:$C$502,MATCH($C276,고객명부!$A$3:$A$502,0)),""))</f>
        <v/>
      </c>
      <c r="F276" s="12" t="str">
        <f aca="false">IF($C276="","",IFERROR(INDEX(고객명부!$D$3:$D$502,MATCH($C276,고객명부!$A$3:$A$502,0)),""))</f>
        <v/>
      </c>
      <c r="G276" s="12" t="str">
        <f aca="false">IF($C276="","",IFERROR(INDEX(고객명부!$E$3:$E$502,MATCH($C276,고객명부!$A$3:$A$502,0))&amp;" "&amp;INDEX(고객명부!$F$3:$F$502,MATCH($C276,고객명부!$A$3:$A$502,0)),""))</f>
        <v/>
      </c>
      <c r="H276" s="7"/>
      <c r="I276" s="12" t="str">
        <f aca="false">IF($H276="","",IFERROR(INDEX(상품목록!$B$3:$B$102,MATCH($H276,상품목록!$A$3:$A$102,0)),""))</f>
        <v/>
      </c>
      <c r="J276" s="14" t="str">
        <f aca="false">IF($H276="","",IFERROR(INDEX(상품목록!$C$3:$C$102,MATCH($H276,상품목록!$A$3:$A$102,0)),0))</f>
        <v/>
      </c>
      <c r="K276" s="7"/>
      <c r="L276" s="14" t="str">
        <f aca="false">IF(OR($J276="",$K276=""),"",ROUND($J276*$K276,0))</f>
        <v/>
      </c>
      <c r="M276" s="9"/>
      <c r="N276" s="14" t="str">
        <f aca="false">IF($L276="","",$L276+IF($M276="",0,$M276))</f>
        <v/>
      </c>
      <c r="O276" s="13"/>
      <c r="P276" s="7"/>
      <c r="Q276" s="12" t="str">
        <f aca="false">IF($C276="","",IF($P276&lt;&gt;"","발송완료",IF($O276&lt;&gt;"","입금완료","입금대기")))</f>
        <v/>
      </c>
      <c r="R276" s="12" t="str">
        <f aca="false">IF($C276="","",COUNTIFS($C$3:$C276,$C276))</f>
        <v/>
      </c>
      <c r="S276" s="12" t="str">
        <f aca="false">IF($C276="","",$C276&amp;"|"&amp;$R276)</f>
        <v/>
      </c>
    </row>
    <row r="277" customFormat="false" ht="15" hidden="false" customHeight="true" outlineLevel="0" collapsed="false">
      <c r="A277" s="12" t="str">
        <f aca="false">IF($C277="","",TEXT($B277,"yymmdd")&amp;"-"&amp;TEXT(COUNTIFS($B$3:$B277,$B277),"000"))</f>
        <v/>
      </c>
      <c r="B277" s="13"/>
      <c r="C277" s="7"/>
      <c r="D277" s="12" t="str">
        <f aca="false">IF($C277="","",IFERROR(INDEX(고객명부!$B$3:$B$502,MATCH($C277,고객명부!$A$3:$A$502,0)),"미등록고객"))</f>
        <v/>
      </c>
      <c r="E277" s="12" t="str">
        <f aca="false">IF($C277="","",IFERROR(INDEX(고객명부!$C$3:$C$502,MATCH($C277,고객명부!$A$3:$A$502,0)),""))</f>
        <v/>
      </c>
      <c r="F277" s="12" t="str">
        <f aca="false">IF($C277="","",IFERROR(INDEX(고객명부!$D$3:$D$502,MATCH($C277,고객명부!$A$3:$A$502,0)),""))</f>
        <v/>
      </c>
      <c r="G277" s="12" t="str">
        <f aca="false">IF($C277="","",IFERROR(INDEX(고객명부!$E$3:$E$502,MATCH($C277,고객명부!$A$3:$A$502,0))&amp;" "&amp;INDEX(고객명부!$F$3:$F$502,MATCH($C277,고객명부!$A$3:$A$502,0)),""))</f>
        <v/>
      </c>
      <c r="H277" s="7"/>
      <c r="I277" s="12" t="str">
        <f aca="false">IF($H277="","",IFERROR(INDEX(상품목록!$B$3:$B$102,MATCH($H277,상품목록!$A$3:$A$102,0)),""))</f>
        <v/>
      </c>
      <c r="J277" s="14" t="str">
        <f aca="false">IF($H277="","",IFERROR(INDEX(상품목록!$C$3:$C$102,MATCH($H277,상품목록!$A$3:$A$102,0)),0))</f>
        <v/>
      </c>
      <c r="K277" s="7"/>
      <c r="L277" s="14" t="str">
        <f aca="false">IF(OR($J277="",$K277=""),"",ROUND($J277*$K277,0))</f>
        <v/>
      </c>
      <c r="M277" s="9"/>
      <c r="N277" s="14" t="str">
        <f aca="false">IF($L277="","",$L277+IF($M277="",0,$M277))</f>
        <v/>
      </c>
      <c r="O277" s="13"/>
      <c r="P277" s="7"/>
      <c r="Q277" s="12" t="str">
        <f aca="false">IF($C277="","",IF($P277&lt;&gt;"","발송완료",IF($O277&lt;&gt;"","입금완료","입금대기")))</f>
        <v/>
      </c>
      <c r="R277" s="12" t="str">
        <f aca="false">IF($C277="","",COUNTIFS($C$3:$C277,$C277))</f>
        <v/>
      </c>
      <c r="S277" s="12" t="str">
        <f aca="false">IF($C277="","",$C277&amp;"|"&amp;$R277)</f>
        <v/>
      </c>
    </row>
    <row r="278" customFormat="false" ht="15" hidden="false" customHeight="true" outlineLevel="0" collapsed="false">
      <c r="A278" s="12" t="str">
        <f aca="false">IF($C278="","",TEXT($B278,"yymmdd")&amp;"-"&amp;TEXT(COUNTIFS($B$3:$B278,$B278),"000"))</f>
        <v/>
      </c>
      <c r="B278" s="13"/>
      <c r="C278" s="7"/>
      <c r="D278" s="12" t="str">
        <f aca="false">IF($C278="","",IFERROR(INDEX(고객명부!$B$3:$B$502,MATCH($C278,고객명부!$A$3:$A$502,0)),"미등록고객"))</f>
        <v/>
      </c>
      <c r="E278" s="12" t="str">
        <f aca="false">IF($C278="","",IFERROR(INDEX(고객명부!$C$3:$C$502,MATCH($C278,고객명부!$A$3:$A$502,0)),""))</f>
        <v/>
      </c>
      <c r="F278" s="12" t="str">
        <f aca="false">IF($C278="","",IFERROR(INDEX(고객명부!$D$3:$D$502,MATCH($C278,고객명부!$A$3:$A$502,0)),""))</f>
        <v/>
      </c>
      <c r="G278" s="12" t="str">
        <f aca="false">IF($C278="","",IFERROR(INDEX(고객명부!$E$3:$E$502,MATCH($C278,고객명부!$A$3:$A$502,0))&amp;" "&amp;INDEX(고객명부!$F$3:$F$502,MATCH($C278,고객명부!$A$3:$A$502,0)),""))</f>
        <v/>
      </c>
      <c r="H278" s="7"/>
      <c r="I278" s="12" t="str">
        <f aca="false">IF($H278="","",IFERROR(INDEX(상품목록!$B$3:$B$102,MATCH($H278,상품목록!$A$3:$A$102,0)),""))</f>
        <v/>
      </c>
      <c r="J278" s="14" t="str">
        <f aca="false">IF($H278="","",IFERROR(INDEX(상품목록!$C$3:$C$102,MATCH($H278,상품목록!$A$3:$A$102,0)),0))</f>
        <v/>
      </c>
      <c r="K278" s="7"/>
      <c r="L278" s="14" t="str">
        <f aca="false">IF(OR($J278="",$K278=""),"",ROUND($J278*$K278,0))</f>
        <v/>
      </c>
      <c r="M278" s="9"/>
      <c r="N278" s="14" t="str">
        <f aca="false">IF($L278="","",$L278+IF($M278="",0,$M278))</f>
        <v/>
      </c>
      <c r="O278" s="13"/>
      <c r="P278" s="7"/>
      <c r="Q278" s="12" t="str">
        <f aca="false">IF($C278="","",IF($P278&lt;&gt;"","발송완료",IF($O278&lt;&gt;"","입금완료","입금대기")))</f>
        <v/>
      </c>
      <c r="R278" s="12" t="str">
        <f aca="false">IF($C278="","",COUNTIFS($C$3:$C278,$C278))</f>
        <v/>
      </c>
      <c r="S278" s="12" t="str">
        <f aca="false">IF($C278="","",$C278&amp;"|"&amp;$R278)</f>
        <v/>
      </c>
    </row>
    <row r="279" customFormat="false" ht="15" hidden="false" customHeight="true" outlineLevel="0" collapsed="false">
      <c r="A279" s="12" t="str">
        <f aca="false">IF($C279="","",TEXT($B279,"yymmdd")&amp;"-"&amp;TEXT(COUNTIFS($B$3:$B279,$B279),"000"))</f>
        <v/>
      </c>
      <c r="B279" s="13"/>
      <c r="C279" s="7"/>
      <c r="D279" s="12" t="str">
        <f aca="false">IF($C279="","",IFERROR(INDEX(고객명부!$B$3:$B$502,MATCH($C279,고객명부!$A$3:$A$502,0)),"미등록고객"))</f>
        <v/>
      </c>
      <c r="E279" s="12" t="str">
        <f aca="false">IF($C279="","",IFERROR(INDEX(고객명부!$C$3:$C$502,MATCH($C279,고객명부!$A$3:$A$502,0)),""))</f>
        <v/>
      </c>
      <c r="F279" s="12" t="str">
        <f aca="false">IF($C279="","",IFERROR(INDEX(고객명부!$D$3:$D$502,MATCH($C279,고객명부!$A$3:$A$502,0)),""))</f>
        <v/>
      </c>
      <c r="G279" s="12" t="str">
        <f aca="false">IF($C279="","",IFERROR(INDEX(고객명부!$E$3:$E$502,MATCH($C279,고객명부!$A$3:$A$502,0))&amp;" "&amp;INDEX(고객명부!$F$3:$F$502,MATCH($C279,고객명부!$A$3:$A$502,0)),""))</f>
        <v/>
      </c>
      <c r="H279" s="7"/>
      <c r="I279" s="12" t="str">
        <f aca="false">IF($H279="","",IFERROR(INDEX(상품목록!$B$3:$B$102,MATCH($H279,상품목록!$A$3:$A$102,0)),""))</f>
        <v/>
      </c>
      <c r="J279" s="14" t="str">
        <f aca="false">IF($H279="","",IFERROR(INDEX(상품목록!$C$3:$C$102,MATCH($H279,상품목록!$A$3:$A$102,0)),0))</f>
        <v/>
      </c>
      <c r="K279" s="7"/>
      <c r="L279" s="14" t="str">
        <f aca="false">IF(OR($J279="",$K279=""),"",ROUND($J279*$K279,0))</f>
        <v/>
      </c>
      <c r="M279" s="9"/>
      <c r="N279" s="14" t="str">
        <f aca="false">IF($L279="","",$L279+IF($M279="",0,$M279))</f>
        <v/>
      </c>
      <c r="O279" s="13"/>
      <c r="P279" s="7"/>
      <c r="Q279" s="12" t="str">
        <f aca="false">IF($C279="","",IF($P279&lt;&gt;"","발송완료",IF($O279&lt;&gt;"","입금완료","입금대기")))</f>
        <v/>
      </c>
      <c r="R279" s="12" t="str">
        <f aca="false">IF($C279="","",COUNTIFS($C$3:$C279,$C279))</f>
        <v/>
      </c>
      <c r="S279" s="12" t="str">
        <f aca="false">IF($C279="","",$C279&amp;"|"&amp;$R279)</f>
        <v/>
      </c>
    </row>
    <row r="280" customFormat="false" ht="15" hidden="false" customHeight="true" outlineLevel="0" collapsed="false">
      <c r="A280" s="12" t="str">
        <f aca="false">IF($C280="","",TEXT($B280,"yymmdd")&amp;"-"&amp;TEXT(COUNTIFS($B$3:$B280,$B280),"000"))</f>
        <v/>
      </c>
      <c r="B280" s="13"/>
      <c r="C280" s="7"/>
      <c r="D280" s="12" t="str">
        <f aca="false">IF($C280="","",IFERROR(INDEX(고객명부!$B$3:$B$502,MATCH($C280,고객명부!$A$3:$A$502,0)),"미등록고객"))</f>
        <v/>
      </c>
      <c r="E280" s="12" t="str">
        <f aca="false">IF($C280="","",IFERROR(INDEX(고객명부!$C$3:$C$502,MATCH($C280,고객명부!$A$3:$A$502,0)),""))</f>
        <v/>
      </c>
      <c r="F280" s="12" t="str">
        <f aca="false">IF($C280="","",IFERROR(INDEX(고객명부!$D$3:$D$502,MATCH($C280,고객명부!$A$3:$A$502,0)),""))</f>
        <v/>
      </c>
      <c r="G280" s="12" t="str">
        <f aca="false">IF($C280="","",IFERROR(INDEX(고객명부!$E$3:$E$502,MATCH($C280,고객명부!$A$3:$A$502,0))&amp;" "&amp;INDEX(고객명부!$F$3:$F$502,MATCH($C280,고객명부!$A$3:$A$502,0)),""))</f>
        <v/>
      </c>
      <c r="H280" s="7"/>
      <c r="I280" s="12" t="str">
        <f aca="false">IF($H280="","",IFERROR(INDEX(상품목록!$B$3:$B$102,MATCH($H280,상품목록!$A$3:$A$102,0)),""))</f>
        <v/>
      </c>
      <c r="J280" s="14" t="str">
        <f aca="false">IF($H280="","",IFERROR(INDEX(상품목록!$C$3:$C$102,MATCH($H280,상품목록!$A$3:$A$102,0)),0))</f>
        <v/>
      </c>
      <c r="K280" s="7"/>
      <c r="L280" s="14" t="str">
        <f aca="false">IF(OR($J280="",$K280=""),"",ROUND($J280*$K280,0))</f>
        <v/>
      </c>
      <c r="M280" s="9"/>
      <c r="N280" s="14" t="str">
        <f aca="false">IF($L280="","",$L280+IF($M280="",0,$M280))</f>
        <v/>
      </c>
      <c r="O280" s="13"/>
      <c r="P280" s="7"/>
      <c r="Q280" s="12" t="str">
        <f aca="false">IF($C280="","",IF($P280&lt;&gt;"","발송완료",IF($O280&lt;&gt;"","입금완료","입금대기")))</f>
        <v/>
      </c>
      <c r="R280" s="12" t="str">
        <f aca="false">IF($C280="","",COUNTIFS($C$3:$C280,$C280))</f>
        <v/>
      </c>
      <c r="S280" s="12" t="str">
        <f aca="false">IF($C280="","",$C280&amp;"|"&amp;$R280)</f>
        <v/>
      </c>
    </row>
    <row r="281" customFormat="false" ht="15" hidden="false" customHeight="true" outlineLevel="0" collapsed="false">
      <c r="A281" s="12" t="str">
        <f aca="false">IF($C281="","",TEXT($B281,"yymmdd")&amp;"-"&amp;TEXT(COUNTIFS($B$3:$B281,$B281),"000"))</f>
        <v/>
      </c>
      <c r="B281" s="13"/>
      <c r="C281" s="7"/>
      <c r="D281" s="12" t="str">
        <f aca="false">IF($C281="","",IFERROR(INDEX(고객명부!$B$3:$B$502,MATCH($C281,고객명부!$A$3:$A$502,0)),"미등록고객"))</f>
        <v/>
      </c>
      <c r="E281" s="12" t="str">
        <f aca="false">IF($C281="","",IFERROR(INDEX(고객명부!$C$3:$C$502,MATCH($C281,고객명부!$A$3:$A$502,0)),""))</f>
        <v/>
      </c>
      <c r="F281" s="12" t="str">
        <f aca="false">IF($C281="","",IFERROR(INDEX(고객명부!$D$3:$D$502,MATCH($C281,고객명부!$A$3:$A$502,0)),""))</f>
        <v/>
      </c>
      <c r="G281" s="12" t="str">
        <f aca="false">IF($C281="","",IFERROR(INDEX(고객명부!$E$3:$E$502,MATCH($C281,고객명부!$A$3:$A$502,0))&amp;" "&amp;INDEX(고객명부!$F$3:$F$502,MATCH($C281,고객명부!$A$3:$A$502,0)),""))</f>
        <v/>
      </c>
      <c r="H281" s="7"/>
      <c r="I281" s="12" t="str">
        <f aca="false">IF($H281="","",IFERROR(INDEX(상품목록!$B$3:$B$102,MATCH($H281,상품목록!$A$3:$A$102,0)),""))</f>
        <v/>
      </c>
      <c r="J281" s="14" t="str">
        <f aca="false">IF($H281="","",IFERROR(INDEX(상품목록!$C$3:$C$102,MATCH($H281,상품목록!$A$3:$A$102,0)),0))</f>
        <v/>
      </c>
      <c r="K281" s="7"/>
      <c r="L281" s="14" t="str">
        <f aca="false">IF(OR($J281="",$K281=""),"",ROUND($J281*$K281,0))</f>
        <v/>
      </c>
      <c r="M281" s="9"/>
      <c r="N281" s="14" t="str">
        <f aca="false">IF($L281="","",$L281+IF($M281="",0,$M281))</f>
        <v/>
      </c>
      <c r="O281" s="13"/>
      <c r="P281" s="7"/>
      <c r="Q281" s="12" t="str">
        <f aca="false">IF($C281="","",IF($P281&lt;&gt;"","발송완료",IF($O281&lt;&gt;"","입금완료","입금대기")))</f>
        <v/>
      </c>
      <c r="R281" s="12" t="str">
        <f aca="false">IF($C281="","",COUNTIFS($C$3:$C281,$C281))</f>
        <v/>
      </c>
      <c r="S281" s="12" t="str">
        <f aca="false">IF($C281="","",$C281&amp;"|"&amp;$R281)</f>
        <v/>
      </c>
    </row>
    <row r="282" customFormat="false" ht="15" hidden="false" customHeight="true" outlineLevel="0" collapsed="false">
      <c r="A282" s="12" t="str">
        <f aca="false">IF($C282="","",TEXT($B282,"yymmdd")&amp;"-"&amp;TEXT(COUNTIFS($B$3:$B282,$B282),"000"))</f>
        <v/>
      </c>
      <c r="B282" s="13"/>
      <c r="C282" s="7"/>
      <c r="D282" s="12" t="str">
        <f aca="false">IF($C282="","",IFERROR(INDEX(고객명부!$B$3:$B$502,MATCH($C282,고객명부!$A$3:$A$502,0)),"미등록고객"))</f>
        <v/>
      </c>
      <c r="E282" s="12" t="str">
        <f aca="false">IF($C282="","",IFERROR(INDEX(고객명부!$C$3:$C$502,MATCH($C282,고객명부!$A$3:$A$502,0)),""))</f>
        <v/>
      </c>
      <c r="F282" s="12" t="str">
        <f aca="false">IF($C282="","",IFERROR(INDEX(고객명부!$D$3:$D$502,MATCH($C282,고객명부!$A$3:$A$502,0)),""))</f>
        <v/>
      </c>
      <c r="G282" s="12" t="str">
        <f aca="false">IF($C282="","",IFERROR(INDEX(고객명부!$E$3:$E$502,MATCH($C282,고객명부!$A$3:$A$502,0))&amp;" "&amp;INDEX(고객명부!$F$3:$F$502,MATCH($C282,고객명부!$A$3:$A$502,0)),""))</f>
        <v/>
      </c>
      <c r="H282" s="7"/>
      <c r="I282" s="12" t="str">
        <f aca="false">IF($H282="","",IFERROR(INDEX(상품목록!$B$3:$B$102,MATCH($H282,상품목록!$A$3:$A$102,0)),""))</f>
        <v/>
      </c>
      <c r="J282" s="14" t="str">
        <f aca="false">IF($H282="","",IFERROR(INDEX(상품목록!$C$3:$C$102,MATCH($H282,상품목록!$A$3:$A$102,0)),0))</f>
        <v/>
      </c>
      <c r="K282" s="7"/>
      <c r="L282" s="14" t="str">
        <f aca="false">IF(OR($J282="",$K282=""),"",ROUND($J282*$K282,0))</f>
        <v/>
      </c>
      <c r="M282" s="9"/>
      <c r="N282" s="14" t="str">
        <f aca="false">IF($L282="","",$L282+IF($M282="",0,$M282))</f>
        <v/>
      </c>
      <c r="O282" s="13"/>
      <c r="P282" s="7"/>
      <c r="Q282" s="12" t="str">
        <f aca="false">IF($C282="","",IF($P282&lt;&gt;"","발송완료",IF($O282&lt;&gt;"","입금완료","입금대기")))</f>
        <v/>
      </c>
      <c r="R282" s="12" t="str">
        <f aca="false">IF($C282="","",COUNTIFS($C$3:$C282,$C282))</f>
        <v/>
      </c>
      <c r="S282" s="12" t="str">
        <f aca="false">IF($C282="","",$C282&amp;"|"&amp;$R282)</f>
        <v/>
      </c>
    </row>
    <row r="283" customFormat="false" ht="15" hidden="false" customHeight="true" outlineLevel="0" collapsed="false">
      <c r="A283" s="12" t="str">
        <f aca="false">IF($C283="","",TEXT($B283,"yymmdd")&amp;"-"&amp;TEXT(COUNTIFS($B$3:$B283,$B283),"000"))</f>
        <v/>
      </c>
      <c r="B283" s="13"/>
      <c r="C283" s="7"/>
      <c r="D283" s="12" t="str">
        <f aca="false">IF($C283="","",IFERROR(INDEX(고객명부!$B$3:$B$502,MATCH($C283,고객명부!$A$3:$A$502,0)),"미등록고객"))</f>
        <v/>
      </c>
      <c r="E283" s="12" t="str">
        <f aca="false">IF($C283="","",IFERROR(INDEX(고객명부!$C$3:$C$502,MATCH($C283,고객명부!$A$3:$A$502,0)),""))</f>
        <v/>
      </c>
      <c r="F283" s="12" t="str">
        <f aca="false">IF($C283="","",IFERROR(INDEX(고객명부!$D$3:$D$502,MATCH($C283,고객명부!$A$3:$A$502,0)),""))</f>
        <v/>
      </c>
      <c r="G283" s="12" t="str">
        <f aca="false">IF($C283="","",IFERROR(INDEX(고객명부!$E$3:$E$502,MATCH($C283,고객명부!$A$3:$A$502,0))&amp;" "&amp;INDEX(고객명부!$F$3:$F$502,MATCH($C283,고객명부!$A$3:$A$502,0)),""))</f>
        <v/>
      </c>
      <c r="H283" s="7"/>
      <c r="I283" s="12" t="str">
        <f aca="false">IF($H283="","",IFERROR(INDEX(상품목록!$B$3:$B$102,MATCH($H283,상품목록!$A$3:$A$102,0)),""))</f>
        <v/>
      </c>
      <c r="J283" s="14" t="str">
        <f aca="false">IF($H283="","",IFERROR(INDEX(상품목록!$C$3:$C$102,MATCH($H283,상품목록!$A$3:$A$102,0)),0))</f>
        <v/>
      </c>
      <c r="K283" s="7"/>
      <c r="L283" s="14" t="str">
        <f aca="false">IF(OR($J283="",$K283=""),"",ROUND($J283*$K283,0))</f>
        <v/>
      </c>
      <c r="M283" s="9"/>
      <c r="N283" s="14" t="str">
        <f aca="false">IF($L283="","",$L283+IF($M283="",0,$M283))</f>
        <v/>
      </c>
      <c r="O283" s="13"/>
      <c r="P283" s="7"/>
      <c r="Q283" s="12" t="str">
        <f aca="false">IF($C283="","",IF($P283&lt;&gt;"","발송완료",IF($O283&lt;&gt;"","입금완료","입금대기")))</f>
        <v/>
      </c>
      <c r="R283" s="12" t="str">
        <f aca="false">IF($C283="","",COUNTIFS($C$3:$C283,$C283))</f>
        <v/>
      </c>
      <c r="S283" s="12" t="str">
        <f aca="false">IF($C283="","",$C283&amp;"|"&amp;$R283)</f>
        <v/>
      </c>
    </row>
    <row r="284" customFormat="false" ht="15" hidden="false" customHeight="true" outlineLevel="0" collapsed="false">
      <c r="A284" s="12" t="str">
        <f aca="false">IF($C284="","",TEXT($B284,"yymmdd")&amp;"-"&amp;TEXT(COUNTIFS($B$3:$B284,$B284),"000"))</f>
        <v/>
      </c>
      <c r="B284" s="13"/>
      <c r="C284" s="7"/>
      <c r="D284" s="12" t="str">
        <f aca="false">IF($C284="","",IFERROR(INDEX(고객명부!$B$3:$B$502,MATCH($C284,고객명부!$A$3:$A$502,0)),"미등록고객"))</f>
        <v/>
      </c>
      <c r="E284" s="12" t="str">
        <f aca="false">IF($C284="","",IFERROR(INDEX(고객명부!$C$3:$C$502,MATCH($C284,고객명부!$A$3:$A$502,0)),""))</f>
        <v/>
      </c>
      <c r="F284" s="12" t="str">
        <f aca="false">IF($C284="","",IFERROR(INDEX(고객명부!$D$3:$D$502,MATCH($C284,고객명부!$A$3:$A$502,0)),""))</f>
        <v/>
      </c>
      <c r="G284" s="12" t="str">
        <f aca="false">IF($C284="","",IFERROR(INDEX(고객명부!$E$3:$E$502,MATCH($C284,고객명부!$A$3:$A$502,0))&amp;" "&amp;INDEX(고객명부!$F$3:$F$502,MATCH($C284,고객명부!$A$3:$A$502,0)),""))</f>
        <v/>
      </c>
      <c r="H284" s="7"/>
      <c r="I284" s="12" t="str">
        <f aca="false">IF($H284="","",IFERROR(INDEX(상품목록!$B$3:$B$102,MATCH($H284,상품목록!$A$3:$A$102,0)),""))</f>
        <v/>
      </c>
      <c r="J284" s="14" t="str">
        <f aca="false">IF($H284="","",IFERROR(INDEX(상품목록!$C$3:$C$102,MATCH($H284,상품목록!$A$3:$A$102,0)),0))</f>
        <v/>
      </c>
      <c r="K284" s="7"/>
      <c r="L284" s="14" t="str">
        <f aca="false">IF(OR($J284="",$K284=""),"",ROUND($J284*$K284,0))</f>
        <v/>
      </c>
      <c r="M284" s="9"/>
      <c r="N284" s="14" t="str">
        <f aca="false">IF($L284="","",$L284+IF($M284="",0,$M284))</f>
        <v/>
      </c>
      <c r="O284" s="13"/>
      <c r="P284" s="7"/>
      <c r="Q284" s="12" t="str">
        <f aca="false">IF($C284="","",IF($P284&lt;&gt;"","발송완료",IF($O284&lt;&gt;"","입금완료","입금대기")))</f>
        <v/>
      </c>
      <c r="R284" s="12" t="str">
        <f aca="false">IF($C284="","",COUNTIFS($C$3:$C284,$C284))</f>
        <v/>
      </c>
      <c r="S284" s="12" t="str">
        <f aca="false">IF($C284="","",$C284&amp;"|"&amp;$R284)</f>
        <v/>
      </c>
    </row>
    <row r="285" customFormat="false" ht="15" hidden="false" customHeight="true" outlineLevel="0" collapsed="false">
      <c r="A285" s="12" t="str">
        <f aca="false">IF($C285="","",TEXT($B285,"yymmdd")&amp;"-"&amp;TEXT(COUNTIFS($B$3:$B285,$B285),"000"))</f>
        <v/>
      </c>
      <c r="B285" s="13"/>
      <c r="C285" s="7"/>
      <c r="D285" s="12" t="str">
        <f aca="false">IF($C285="","",IFERROR(INDEX(고객명부!$B$3:$B$502,MATCH($C285,고객명부!$A$3:$A$502,0)),"미등록고객"))</f>
        <v/>
      </c>
      <c r="E285" s="12" t="str">
        <f aca="false">IF($C285="","",IFERROR(INDEX(고객명부!$C$3:$C$502,MATCH($C285,고객명부!$A$3:$A$502,0)),""))</f>
        <v/>
      </c>
      <c r="F285" s="12" t="str">
        <f aca="false">IF($C285="","",IFERROR(INDEX(고객명부!$D$3:$D$502,MATCH($C285,고객명부!$A$3:$A$502,0)),""))</f>
        <v/>
      </c>
      <c r="G285" s="12" t="str">
        <f aca="false">IF($C285="","",IFERROR(INDEX(고객명부!$E$3:$E$502,MATCH($C285,고객명부!$A$3:$A$502,0))&amp;" "&amp;INDEX(고객명부!$F$3:$F$502,MATCH($C285,고객명부!$A$3:$A$502,0)),""))</f>
        <v/>
      </c>
      <c r="H285" s="7"/>
      <c r="I285" s="12" t="str">
        <f aca="false">IF($H285="","",IFERROR(INDEX(상품목록!$B$3:$B$102,MATCH($H285,상품목록!$A$3:$A$102,0)),""))</f>
        <v/>
      </c>
      <c r="J285" s="14" t="str">
        <f aca="false">IF($H285="","",IFERROR(INDEX(상품목록!$C$3:$C$102,MATCH($H285,상품목록!$A$3:$A$102,0)),0))</f>
        <v/>
      </c>
      <c r="K285" s="7"/>
      <c r="L285" s="14" t="str">
        <f aca="false">IF(OR($J285="",$K285=""),"",ROUND($J285*$K285,0))</f>
        <v/>
      </c>
      <c r="M285" s="9"/>
      <c r="N285" s="14" t="str">
        <f aca="false">IF($L285="","",$L285+IF($M285="",0,$M285))</f>
        <v/>
      </c>
      <c r="O285" s="13"/>
      <c r="P285" s="7"/>
      <c r="Q285" s="12" t="str">
        <f aca="false">IF($C285="","",IF($P285&lt;&gt;"","발송완료",IF($O285&lt;&gt;"","입금완료","입금대기")))</f>
        <v/>
      </c>
      <c r="R285" s="12" t="str">
        <f aca="false">IF($C285="","",COUNTIFS($C$3:$C285,$C285))</f>
        <v/>
      </c>
      <c r="S285" s="12" t="str">
        <f aca="false">IF($C285="","",$C285&amp;"|"&amp;$R285)</f>
        <v/>
      </c>
    </row>
    <row r="286" customFormat="false" ht="15" hidden="false" customHeight="true" outlineLevel="0" collapsed="false">
      <c r="A286" s="12" t="str">
        <f aca="false">IF($C286="","",TEXT($B286,"yymmdd")&amp;"-"&amp;TEXT(COUNTIFS($B$3:$B286,$B286),"000"))</f>
        <v/>
      </c>
      <c r="B286" s="13"/>
      <c r="C286" s="7"/>
      <c r="D286" s="12" t="str">
        <f aca="false">IF($C286="","",IFERROR(INDEX(고객명부!$B$3:$B$502,MATCH($C286,고객명부!$A$3:$A$502,0)),"미등록고객"))</f>
        <v/>
      </c>
      <c r="E286" s="12" t="str">
        <f aca="false">IF($C286="","",IFERROR(INDEX(고객명부!$C$3:$C$502,MATCH($C286,고객명부!$A$3:$A$502,0)),""))</f>
        <v/>
      </c>
      <c r="F286" s="12" t="str">
        <f aca="false">IF($C286="","",IFERROR(INDEX(고객명부!$D$3:$D$502,MATCH($C286,고객명부!$A$3:$A$502,0)),""))</f>
        <v/>
      </c>
      <c r="G286" s="12" t="str">
        <f aca="false">IF($C286="","",IFERROR(INDEX(고객명부!$E$3:$E$502,MATCH($C286,고객명부!$A$3:$A$502,0))&amp;" "&amp;INDEX(고객명부!$F$3:$F$502,MATCH($C286,고객명부!$A$3:$A$502,0)),""))</f>
        <v/>
      </c>
      <c r="H286" s="7"/>
      <c r="I286" s="12" t="str">
        <f aca="false">IF($H286="","",IFERROR(INDEX(상품목록!$B$3:$B$102,MATCH($H286,상품목록!$A$3:$A$102,0)),""))</f>
        <v/>
      </c>
      <c r="J286" s="14" t="str">
        <f aca="false">IF($H286="","",IFERROR(INDEX(상품목록!$C$3:$C$102,MATCH($H286,상품목록!$A$3:$A$102,0)),0))</f>
        <v/>
      </c>
      <c r="K286" s="7"/>
      <c r="L286" s="14" t="str">
        <f aca="false">IF(OR($J286="",$K286=""),"",ROUND($J286*$K286,0))</f>
        <v/>
      </c>
      <c r="M286" s="9"/>
      <c r="N286" s="14" t="str">
        <f aca="false">IF($L286="","",$L286+IF($M286="",0,$M286))</f>
        <v/>
      </c>
      <c r="O286" s="13"/>
      <c r="P286" s="7"/>
      <c r="Q286" s="12" t="str">
        <f aca="false">IF($C286="","",IF($P286&lt;&gt;"","발송완료",IF($O286&lt;&gt;"","입금완료","입금대기")))</f>
        <v/>
      </c>
      <c r="R286" s="12" t="str">
        <f aca="false">IF($C286="","",COUNTIFS($C$3:$C286,$C286))</f>
        <v/>
      </c>
      <c r="S286" s="12" t="str">
        <f aca="false">IF($C286="","",$C286&amp;"|"&amp;$R286)</f>
        <v/>
      </c>
    </row>
    <row r="287" customFormat="false" ht="15" hidden="false" customHeight="true" outlineLevel="0" collapsed="false">
      <c r="A287" s="12" t="str">
        <f aca="false">IF($C287="","",TEXT($B287,"yymmdd")&amp;"-"&amp;TEXT(COUNTIFS($B$3:$B287,$B287),"000"))</f>
        <v/>
      </c>
      <c r="B287" s="13"/>
      <c r="C287" s="7"/>
      <c r="D287" s="12" t="str">
        <f aca="false">IF($C287="","",IFERROR(INDEX(고객명부!$B$3:$B$502,MATCH($C287,고객명부!$A$3:$A$502,0)),"미등록고객"))</f>
        <v/>
      </c>
      <c r="E287" s="12" t="str">
        <f aca="false">IF($C287="","",IFERROR(INDEX(고객명부!$C$3:$C$502,MATCH($C287,고객명부!$A$3:$A$502,0)),""))</f>
        <v/>
      </c>
      <c r="F287" s="12" t="str">
        <f aca="false">IF($C287="","",IFERROR(INDEX(고객명부!$D$3:$D$502,MATCH($C287,고객명부!$A$3:$A$502,0)),""))</f>
        <v/>
      </c>
      <c r="G287" s="12" t="str">
        <f aca="false">IF($C287="","",IFERROR(INDEX(고객명부!$E$3:$E$502,MATCH($C287,고객명부!$A$3:$A$502,0))&amp;" "&amp;INDEX(고객명부!$F$3:$F$502,MATCH($C287,고객명부!$A$3:$A$502,0)),""))</f>
        <v/>
      </c>
      <c r="H287" s="7"/>
      <c r="I287" s="12" t="str">
        <f aca="false">IF($H287="","",IFERROR(INDEX(상품목록!$B$3:$B$102,MATCH($H287,상품목록!$A$3:$A$102,0)),""))</f>
        <v/>
      </c>
      <c r="J287" s="14" t="str">
        <f aca="false">IF($H287="","",IFERROR(INDEX(상품목록!$C$3:$C$102,MATCH($H287,상품목록!$A$3:$A$102,0)),0))</f>
        <v/>
      </c>
      <c r="K287" s="7"/>
      <c r="L287" s="14" t="str">
        <f aca="false">IF(OR($J287="",$K287=""),"",ROUND($J287*$K287,0))</f>
        <v/>
      </c>
      <c r="M287" s="9"/>
      <c r="N287" s="14" t="str">
        <f aca="false">IF($L287="","",$L287+IF($M287="",0,$M287))</f>
        <v/>
      </c>
      <c r="O287" s="13"/>
      <c r="P287" s="7"/>
      <c r="Q287" s="12" t="str">
        <f aca="false">IF($C287="","",IF($P287&lt;&gt;"","발송완료",IF($O287&lt;&gt;"","입금완료","입금대기")))</f>
        <v/>
      </c>
      <c r="R287" s="12" t="str">
        <f aca="false">IF($C287="","",COUNTIFS($C$3:$C287,$C287))</f>
        <v/>
      </c>
      <c r="S287" s="12" t="str">
        <f aca="false">IF($C287="","",$C287&amp;"|"&amp;$R287)</f>
        <v/>
      </c>
    </row>
    <row r="288" customFormat="false" ht="15" hidden="false" customHeight="true" outlineLevel="0" collapsed="false">
      <c r="A288" s="12" t="str">
        <f aca="false">IF($C288="","",TEXT($B288,"yymmdd")&amp;"-"&amp;TEXT(COUNTIFS($B$3:$B288,$B288),"000"))</f>
        <v/>
      </c>
      <c r="B288" s="13"/>
      <c r="C288" s="7"/>
      <c r="D288" s="12" t="str">
        <f aca="false">IF($C288="","",IFERROR(INDEX(고객명부!$B$3:$B$502,MATCH($C288,고객명부!$A$3:$A$502,0)),"미등록고객"))</f>
        <v/>
      </c>
      <c r="E288" s="12" t="str">
        <f aca="false">IF($C288="","",IFERROR(INDEX(고객명부!$C$3:$C$502,MATCH($C288,고객명부!$A$3:$A$502,0)),""))</f>
        <v/>
      </c>
      <c r="F288" s="12" t="str">
        <f aca="false">IF($C288="","",IFERROR(INDEX(고객명부!$D$3:$D$502,MATCH($C288,고객명부!$A$3:$A$502,0)),""))</f>
        <v/>
      </c>
      <c r="G288" s="12" t="str">
        <f aca="false">IF($C288="","",IFERROR(INDEX(고객명부!$E$3:$E$502,MATCH($C288,고객명부!$A$3:$A$502,0))&amp;" "&amp;INDEX(고객명부!$F$3:$F$502,MATCH($C288,고객명부!$A$3:$A$502,0)),""))</f>
        <v/>
      </c>
      <c r="H288" s="7"/>
      <c r="I288" s="12" t="str">
        <f aca="false">IF($H288="","",IFERROR(INDEX(상품목록!$B$3:$B$102,MATCH($H288,상품목록!$A$3:$A$102,0)),""))</f>
        <v/>
      </c>
      <c r="J288" s="14" t="str">
        <f aca="false">IF($H288="","",IFERROR(INDEX(상품목록!$C$3:$C$102,MATCH($H288,상품목록!$A$3:$A$102,0)),0))</f>
        <v/>
      </c>
      <c r="K288" s="7"/>
      <c r="L288" s="14" t="str">
        <f aca="false">IF(OR($J288="",$K288=""),"",ROUND($J288*$K288,0))</f>
        <v/>
      </c>
      <c r="M288" s="9"/>
      <c r="N288" s="14" t="str">
        <f aca="false">IF($L288="","",$L288+IF($M288="",0,$M288))</f>
        <v/>
      </c>
      <c r="O288" s="13"/>
      <c r="P288" s="7"/>
      <c r="Q288" s="12" t="str">
        <f aca="false">IF($C288="","",IF($P288&lt;&gt;"","발송완료",IF($O288&lt;&gt;"","입금완료","입금대기")))</f>
        <v/>
      </c>
      <c r="R288" s="12" t="str">
        <f aca="false">IF($C288="","",COUNTIFS($C$3:$C288,$C288))</f>
        <v/>
      </c>
      <c r="S288" s="12" t="str">
        <f aca="false">IF($C288="","",$C288&amp;"|"&amp;$R288)</f>
        <v/>
      </c>
    </row>
    <row r="289" customFormat="false" ht="15" hidden="false" customHeight="true" outlineLevel="0" collapsed="false">
      <c r="A289" s="12" t="str">
        <f aca="false">IF($C289="","",TEXT($B289,"yymmdd")&amp;"-"&amp;TEXT(COUNTIFS($B$3:$B289,$B289),"000"))</f>
        <v/>
      </c>
      <c r="B289" s="13"/>
      <c r="C289" s="7"/>
      <c r="D289" s="12" t="str">
        <f aca="false">IF($C289="","",IFERROR(INDEX(고객명부!$B$3:$B$502,MATCH($C289,고객명부!$A$3:$A$502,0)),"미등록고객"))</f>
        <v/>
      </c>
      <c r="E289" s="12" t="str">
        <f aca="false">IF($C289="","",IFERROR(INDEX(고객명부!$C$3:$C$502,MATCH($C289,고객명부!$A$3:$A$502,0)),""))</f>
        <v/>
      </c>
      <c r="F289" s="12" t="str">
        <f aca="false">IF($C289="","",IFERROR(INDEX(고객명부!$D$3:$D$502,MATCH($C289,고객명부!$A$3:$A$502,0)),""))</f>
        <v/>
      </c>
      <c r="G289" s="12" t="str">
        <f aca="false">IF($C289="","",IFERROR(INDEX(고객명부!$E$3:$E$502,MATCH($C289,고객명부!$A$3:$A$502,0))&amp;" "&amp;INDEX(고객명부!$F$3:$F$502,MATCH($C289,고객명부!$A$3:$A$502,0)),""))</f>
        <v/>
      </c>
      <c r="H289" s="7"/>
      <c r="I289" s="12" t="str">
        <f aca="false">IF($H289="","",IFERROR(INDEX(상품목록!$B$3:$B$102,MATCH($H289,상품목록!$A$3:$A$102,0)),""))</f>
        <v/>
      </c>
      <c r="J289" s="14" t="str">
        <f aca="false">IF($H289="","",IFERROR(INDEX(상품목록!$C$3:$C$102,MATCH($H289,상품목록!$A$3:$A$102,0)),0))</f>
        <v/>
      </c>
      <c r="K289" s="7"/>
      <c r="L289" s="14" t="str">
        <f aca="false">IF(OR($J289="",$K289=""),"",ROUND($J289*$K289,0))</f>
        <v/>
      </c>
      <c r="M289" s="9"/>
      <c r="N289" s="14" t="str">
        <f aca="false">IF($L289="","",$L289+IF($M289="",0,$M289))</f>
        <v/>
      </c>
      <c r="O289" s="13"/>
      <c r="P289" s="7"/>
      <c r="Q289" s="12" t="str">
        <f aca="false">IF($C289="","",IF($P289&lt;&gt;"","발송완료",IF($O289&lt;&gt;"","입금완료","입금대기")))</f>
        <v/>
      </c>
      <c r="R289" s="12" t="str">
        <f aca="false">IF($C289="","",COUNTIFS($C$3:$C289,$C289))</f>
        <v/>
      </c>
      <c r="S289" s="12" t="str">
        <f aca="false">IF($C289="","",$C289&amp;"|"&amp;$R289)</f>
        <v/>
      </c>
    </row>
    <row r="290" customFormat="false" ht="15" hidden="false" customHeight="true" outlineLevel="0" collapsed="false">
      <c r="A290" s="12" t="str">
        <f aca="false">IF($C290="","",TEXT($B290,"yymmdd")&amp;"-"&amp;TEXT(COUNTIFS($B$3:$B290,$B290),"000"))</f>
        <v/>
      </c>
      <c r="B290" s="13"/>
      <c r="C290" s="7"/>
      <c r="D290" s="12" t="str">
        <f aca="false">IF($C290="","",IFERROR(INDEX(고객명부!$B$3:$B$502,MATCH($C290,고객명부!$A$3:$A$502,0)),"미등록고객"))</f>
        <v/>
      </c>
      <c r="E290" s="12" t="str">
        <f aca="false">IF($C290="","",IFERROR(INDEX(고객명부!$C$3:$C$502,MATCH($C290,고객명부!$A$3:$A$502,0)),""))</f>
        <v/>
      </c>
      <c r="F290" s="12" t="str">
        <f aca="false">IF($C290="","",IFERROR(INDEX(고객명부!$D$3:$D$502,MATCH($C290,고객명부!$A$3:$A$502,0)),""))</f>
        <v/>
      </c>
      <c r="G290" s="12" t="str">
        <f aca="false">IF($C290="","",IFERROR(INDEX(고객명부!$E$3:$E$502,MATCH($C290,고객명부!$A$3:$A$502,0))&amp;" "&amp;INDEX(고객명부!$F$3:$F$502,MATCH($C290,고객명부!$A$3:$A$502,0)),""))</f>
        <v/>
      </c>
      <c r="H290" s="7"/>
      <c r="I290" s="12" t="str">
        <f aca="false">IF($H290="","",IFERROR(INDEX(상품목록!$B$3:$B$102,MATCH($H290,상품목록!$A$3:$A$102,0)),""))</f>
        <v/>
      </c>
      <c r="J290" s="14" t="str">
        <f aca="false">IF($H290="","",IFERROR(INDEX(상품목록!$C$3:$C$102,MATCH($H290,상품목록!$A$3:$A$102,0)),0))</f>
        <v/>
      </c>
      <c r="K290" s="7"/>
      <c r="L290" s="14" t="str">
        <f aca="false">IF(OR($J290="",$K290=""),"",ROUND($J290*$K290,0))</f>
        <v/>
      </c>
      <c r="M290" s="9"/>
      <c r="N290" s="14" t="str">
        <f aca="false">IF($L290="","",$L290+IF($M290="",0,$M290))</f>
        <v/>
      </c>
      <c r="O290" s="13"/>
      <c r="P290" s="7"/>
      <c r="Q290" s="12" t="str">
        <f aca="false">IF($C290="","",IF($P290&lt;&gt;"","발송완료",IF($O290&lt;&gt;"","입금완료","입금대기")))</f>
        <v/>
      </c>
      <c r="R290" s="12" t="str">
        <f aca="false">IF($C290="","",COUNTIFS($C$3:$C290,$C290))</f>
        <v/>
      </c>
      <c r="S290" s="12" t="str">
        <f aca="false">IF($C290="","",$C290&amp;"|"&amp;$R290)</f>
        <v/>
      </c>
    </row>
    <row r="291" customFormat="false" ht="15" hidden="false" customHeight="true" outlineLevel="0" collapsed="false">
      <c r="A291" s="12" t="str">
        <f aca="false">IF($C291="","",TEXT($B291,"yymmdd")&amp;"-"&amp;TEXT(COUNTIFS($B$3:$B291,$B291),"000"))</f>
        <v/>
      </c>
      <c r="B291" s="13"/>
      <c r="C291" s="7"/>
      <c r="D291" s="12" t="str">
        <f aca="false">IF($C291="","",IFERROR(INDEX(고객명부!$B$3:$B$502,MATCH($C291,고객명부!$A$3:$A$502,0)),"미등록고객"))</f>
        <v/>
      </c>
      <c r="E291" s="12" t="str">
        <f aca="false">IF($C291="","",IFERROR(INDEX(고객명부!$C$3:$C$502,MATCH($C291,고객명부!$A$3:$A$502,0)),""))</f>
        <v/>
      </c>
      <c r="F291" s="12" t="str">
        <f aca="false">IF($C291="","",IFERROR(INDEX(고객명부!$D$3:$D$502,MATCH($C291,고객명부!$A$3:$A$502,0)),""))</f>
        <v/>
      </c>
      <c r="G291" s="12" t="str">
        <f aca="false">IF($C291="","",IFERROR(INDEX(고객명부!$E$3:$E$502,MATCH($C291,고객명부!$A$3:$A$502,0))&amp;" "&amp;INDEX(고객명부!$F$3:$F$502,MATCH($C291,고객명부!$A$3:$A$502,0)),""))</f>
        <v/>
      </c>
      <c r="H291" s="7"/>
      <c r="I291" s="12" t="str">
        <f aca="false">IF($H291="","",IFERROR(INDEX(상품목록!$B$3:$B$102,MATCH($H291,상품목록!$A$3:$A$102,0)),""))</f>
        <v/>
      </c>
      <c r="J291" s="14" t="str">
        <f aca="false">IF($H291="","",IFERROR(INDEX(상품목록!$C$3:$C$102,MATCH($H291,상품목록!$A$3:$A$102,0)),0))</f>
        <v/>
      </c>
      <c r="K291" s="7"/>
      <c r="L291" s="14" t="str">
        <f aca="false">IF(OR($J291="",$K291=""),"",ROUND($J291*$K291,0))</f>
        <v/>
      </c>
      <c r="M291" s="9"/>
      <c r="N291" s="14" t="str">
        <f aca="false">IF($L291="","",$L291+IF($M291="",0,$M291))</f>
        <v/>
      </c>
      <c r="O291" s="13"/>
      <c r="P291" s="7"/>
      <c r="Q291" s="12" t="str">
        <f aca="false">IF($C291="","",IF($P291&lt;&gt;"","발송완료",IF($O291&lt;&gt;"","입금완료","입금대기")))</f>
        <v/>
      </c>
      <c r="R291" s="12" t="str">
        <f aca="false">IF($C291="","",COUNTIFS($C$3:$C291,$C291))</f>
        <v/>
      </c>
      <c r="S291" s="12" t="str">
        <f aca="false">IF($C291="","",$C291&amp;"|"&amp;$R291)</f>
        <v/>
      </c>
    </row>
    <row r="292" customFormat="false" ht="15" hidden="false" customHeight="true" outlineLevel="0" collapsed="false">
      <c r="A292" s="12" t="str">
        <f aca="false">IF($C292="","",TEXT($B292,"yymmdd")&amp;"-"&amp;TEXT(COUNTIFS($B$3:$B292,$B292),"000"))</f>
        <v/>
      </c>
      <c r="B292" s="13"/>
      <c r="C292" s="7"/>
      <c r="D292" s="12" t="str">
        <f aca="false">IF($C292="","",IFERROR(INDEX(고객명부!$B$3:$B$502,MATCH($C292,고객명부!$A$3:$A$502,0)),"미등록고객"))</f>
        <v/>
      </c>
      <c r="E292" s="12" t="str">
        <f aca="false">IF($C292="","",IFERROR(INDEX(고객명부!$C$3:$C$502,MATCH($C292,고객명부!$A$3:$A$502,0)),""))</f>
        <v/>
      </c>
      <c r="F292" s="12" t="str">
        <f aca="false">IF($C292="","",IFERROR(INDEX(고객명부!$D$3:$D$502,MATCH($C292,고객명부!$A$3:$A$502,0)),""))</f>
        <v/>
      </c>
      <c r="G292" s="12" t="str">
        <f aca="false">IF($C292="","",IFERROR(INDEX(고객명부!$E$3:$E$502,MATCH($C292,고객명부!$A$3:$A$502,0))&amp;" "&amp;INDEX(고객명부!$F$3:$F$502,MATCH($C292,고객명부!$A$3:$A$502,0)),""))</f>
        <v/>
      </c>
      <c r="H292" s="7"/>
      <c r="I292" s="12" t="str">
        <f aca="false">IF($H292="","",IFERROR(INDEX(상품목록!$B$3:$B$102,MATCH($H292,상품목록!$A$3:$A$102,0)),""))</f>
        <v/>
      </c>
      <c r="J292" s="14" t="str">
        <f aca="false">IF($H292="","",IFERROR(INDEX(상품목록!$C$3:$C$102,MATCH($H292,상품목록!$A$3:$A$102,0)),0))</f>
        <v/>
      </c>
      <c r="K292" s="7"/>
      <c r="L292" s="14" t="str">
        <f aca="false">IF(OR($J292="",$K292=""),"",ROUND($J292*$K292,0))</f>
        <v/>
      </c>
      <c r="M292" s="9"/>
      <c r="N292" s="14" t="str">
        <f aca="false">IF($L292="","",$L292+IF($M292="",0,$M292))</f>
        <v/>
      </c>
      <c r="O292" s="13"/>
      <c r="P292" s="7"/>
      <c r="Q292" s="12" t="str">
        <f aca="false">IF($C292="","",IF($P292&lt;&gt;"","발송완료",IF($O292&lt;&gt;"","입금완료","입금대기")))</f>
        <v/>
      </c>
      <c r="R292" s="12" t="str">
        <f aca="false">IF($C292="","",COUNTIFS($C$3:$C292,$C292))</f>
        <v/>
      </c>
      <c r="S292" s="12" t="str">
        <f aca="false">IF($C292="","",$C292&amp;"|"&amp;$R292)</f>
        <v/>
      </c>
    </row>
    <row r="293" customFormat="false" ht="15" hidden="false" customHeight="true" outlineLevel="0" collapsed="false">
      <c r="A293" s="12" t="str">
        <f aca="false">IF($C293="","",TEXT($B293,"yymmdd")&amp;"-"&amp;TEXT(COUNTIFS($B$3:$B293,$B293),"000"))</f>
        <v/>
      </c>
      <c r="B293" s="13"/>
      <c r="C293" s="7"/>
      <c r="D293" s="12" t="str">
        <f aca="false">IF($C293="","",IFERROR(INDEX(고객명부!$B$3:$B$502,MATCH($C293,고객명부!$A$3:$A$502,0)),"미등록고객"))</f>
        <v/>
      </c>
      <c r="E293" s="12" t="str">
        <f aca="false">IF($C293="","",IFERROR(INDEX(고객명부!$C$3:$C$502,MATCH($C293,고객명부!$A$3:$A$502,0)),""))</f>
        <v/>
      </c>
      <c r="F293" s="12" t="str">
        <f aca="false">IF($C293="","",IFERROR(INDEX(고객명부!$D$3:$D$502,MATCH($C293,고객명부!$A$3:$A$502,0)),""))</f>
        <v/>
      </c>
      <c r="G293" s="12" t="str">
        <f aca="false">IF($C293="","",IFERROR(INDEX(고객명부!$E$3:$E$502,MATCH($C293,고객명부!$A$3:$A$502,0))&amp;" "&amp;INDEX(고객명부!$F$3:$F$502,MATCH($C293,고객명부!$A$3:$A$502,0)),""))</f>
        <v/>
      </c>
      <c r="H293" s="7"/>
      <c r="I293" s="12" t="str">
        <f aca="false">IF($H293="","",IFERROR(INDEX(상품목록!$B$3:$B$102,MATCH($H293,상품목록!$A$3:$A$102,0)),""))</f>
        <v/>
      </c>
      <c r="J293" s="14" t="str">
        <f aca="false">IF($H293="","",IFERROR(INDEX(상품목록!$C$3:$C$102,MATCH($H293,상품목록!$A$3:$A$102,0)),0))</f>
        <v/>
      </c>
      <c r="K293" s="7"/>
      <c r="L293" s="14" t="str">
        <f aca="false">IF(OR($J293="",$K293=""),"",ROUND($J293*$K293,0))</f>
        <v/>
      </c>
      <c r="M293" s="9"/>
      <c r="N293" s="14" t="str">
        <f aca="false">IF($L293="","",$L293+IF($M293="",0,$M293))</f>
        <v/>
      </c>
      <c r="O293" s="13"/>
      <c r="P293" s="7"/>
      <c r="Q293" s="12" t="str">
        <f aca="false">IF($C293="","",IF($P293&lt;&gt;"","발송완료",IF($O293&lt;&gt;"","입금완료","입금대기")))</f>
        <v/>
      </c>
      <c r="R293" s="12" t="str">
        <f aca="false">IF($C293="","",COUNTIFS($C$3:$C293,$C293))</f>
        <v/>
      </c>
      <c r="S293" s="12" t="str">
        <f aca="false">IF($C293="","",$C293&amp;"|"&amp;$R293)</f>
        <v/>
      </c>
    </row>
    <row r="294" customFormat="false" ht="15" hidden="false" customHeight="true" outlineLevel="0" collapsed="false">
      <c r="A294" s="12" t="str">
        <f aca="false">IF($C294="","",TEXT($B294,"yymmdd")&amp;"-"&amp;TEXT(COUNTIFS($B$3:$B294,$B294),"000"))</f>
        <v/>
      </c>
      <c r="B294" s="13"/>
      <c r="C294" s="7"/>
      <c r="D294" s="12" t="str">
        <f aca="false">IF($C294="","",IFERROR(INDEX(고객명부!$B$3:$B$502,MATCH($C294,고객명부!$A$3:$A$502,0)),"미등록고객"))</f>
        <v/>
      </c>
      <c r="E294" s="12" t="str">
        <f aca="false">IF($C294="","",IFERROR(INDEX(고객명부!$C$3:$C$502,MATCH($C294,고객명부!$A$3:$A$502,0)),""))</f>
        <v/>
      </c>
      <c r="F294" s="12" t="str">
        <f aca="false">IF($C294="","",IFERROR(INDEX(고객명부!$D$3:$D$502,MATCH($C294,고객명부!$A$3:$A$502,0)),""))</f>
        <v/>
      </c>
      <c r="G294" s="12" t="str">
        <f aca="false">IF($C294="","",IFERROR(INDEX(고객명부!$E$3:$E$502,MATCH($C294,고객명부!$A$3:$A$502,0))&amp;" "&amp;INDEX(고객명부!$F$3:$F$502,MATCH($C294,고객명부!$A$3:$A$502,0)),""))</f>
        <v/>
      </c>
      <c r="H294" s="7"/>
      <c r="I294" s="12" t="str">
        <f aca="false">IF($H294="","",IFERROR(INDEX(상품목록!$B$3:$B$102,MATCH($H294,상품목록!$A$3:$A$102,0)),""))</f>
        <v/>
      </c>
      <c r="J294" s="14" t="str">
        <f aca="false">IF($H294="","",IFERROR(INDEX(상품목록!$C$3:$C$102,MATCH($H294,상품목록!$A$3:$A$102,0)),0))</f>
        <v/>
      </c>
      <c r="K294" s="7"/>
      <c r="L294" s="14" t="str">
        <f aca="false">IF(OR($J294="",$K294=""),"",ROUND($J294*$K294,0))</f>
        <v/>
      </c>
      <c r="M294" s="9"/>
      <c r="N294" s="14" t="str">
        <f aca="false">IF($L294="","",$L294+IF($M294="",0,$M294))</f>
        <v/>
      </c>
      <c r="O294" s="13"/>
      <c r="P294" s="7"/>
      <c r="Q294" s="12" t="str">
        <f aca="false">IF($C294="","",IF($P294&lt;&gt;"","발송완료",IF($O294&lt;&gt;"","입금완료","입금대기")))</f>
        <v/>
      </c>
      <c r="R294" s="12" t="str">
        <f aca="false">IF($C294="","",COUNTIFS($C$3:$C294,$C294))</f>
        <v/>
      </c>
      <c r="S294" s="12" t="str">
        <f aca="false">IF($C294="","",$C294&amp;"|"&amp;$R294)</f>
        <v/>
      </c>
    </row>
    <row r="295" customFormat="false" ht="15" hidden="false" customHeight="true" outlineLevel="0" collapsed="false">
      <c r="A295" s="12" t="str">
        <f aca="false">IF($C295="","",TEXT($B295,"yymmdd")&amp;"-"&amp;TEXT(COUNTIFS($B$3:$B295,$B295),"000"))</f>
        <v/>
      </c>
      <c r="B295" s="13"/>
      <c r="C295" s="7"/>
      <c r="D295" s="12" t="str">
        <f aca="false">IF($C295="","",IFERROR(INDEX(고객명부!$B$3:$B$502,MATCH($C295,고객명부!$A$3:$A$502,0)),"미등록고객"))</f>
        <v/>
      </c>
      <c r="E295" s="12" t="str">
        <f aca="false">IF($C295="","",IFERROR(INDEX(고객명부!$C$3:$C$502,MATCH($C295,고객명부!$A$3:$A$502,0)),""))</f>
        <v/>
      </c>
      <c r="F295" s="12" t="str">
        <f aca="false">IF($C295="","",IFERROR(INDEX(고객명부!$D$3:$D$502,MATCH($C295,고객명부!$A$3:$A$502,0)),""))</f>
        <v/>
      </c>
      <c r="G295" s="12" t="str">
        <f aca="false">IF($C295="","",IFERROR(INDEX(고객명부!$E$3:$E$502,MATCH($C295,고객명부!$A$3:$A$502,0))&amp;" "&amp;INDEX(고객명부!$F$3:$F$502,MATCH($C295,고객명부!$A$3:$A$502,0)),""))</f>
        <v/>
      </c>
      <c r="H295" s="7"/>
      <c r="I295" s="12" t="str">
        <f aca="false">IF($H295="","",IFERROR(INDEX(상품목록!$B$3:$B$102,MATCH($H295,상품목록!$A$3:$A$102,0)),""))</f>
        <v/>
      </c>
      <c r="J295" s="14" t="str">
        <f aca="false">IF($H295="","",IFERROR(INDEX(상품목록!$C$3:$C$102,MATCH($H295,상품목록!$A$3:$A$102,0)),0))</f>
        <v/>
      </c>
      <c r="K295" s="7"/>
      <c r="L295" s="14" t="str">
        <f aca="false">IF(OR($J295="",$K295=""),"",ROUND($J295*$K295,0))</f>
        <v/>
      </c>
      <c r="M295" s="9"/>
      <c r="N295" s="14" t="str">
        <f aca="false">IF($L295="","",$L295+IF($M295="",0,$M295))</f>
        <v/>
      </c>
      <c r="O295" s="13"/>
      <c r="P295" s="7"/>
      <c r="Q295" s="12" t="str">
        <f aca="false">IF($C295="","",IF($P295&lt;&gt;"","발송완료",IF($O295&lt;&gt;"","입금완료","입금대기")))</f>
        <v/>
      </c>
      <c r="R295" s="12" t="str">
        <f aca="false">IF($C295="","",COUNTIFS($C$3:$C295,$C295))</f>
        <v/>
      </c>
      <c r="S295" s="12" t="str">
        <f aca="false">IF($C295="","",$C295&amp;"|"&amp;$R295)</f>
        <v/>
      </c>
    </row>
    <row r="296" customFormat="false" ht="15" hidden="false" customHeight="true" outlineLevel="0" collapsed="false">
      <c r="A296" s="12" t="str">
        <f aca="false">IF($C296="","",TEXT($B296,"yymmdd")&amp;"-"&amp;TEXT(COUNTIFS($B$3:$B296,$B296),"000"))</f>
        <v/>
      </c>
      <c r="B296" s="13"/>
      <c r="C296" s="7"/>
      <c r="D296" s="12" t="str">
        <f aca="false">IF($C296="","",IFERROR(INDEX(고객명부!$B$3:$B$502,MATCH($C296,고객명부!$A$3:$A$502,0)),"미등록고객"))</f>
        <v/>
      </c>
      <c r="E296" s="12" t="str">
        <f aca="false">IF($C296="","",IFERROR(INDEX(고객명부!$C$3:$C$502,MATCH($C296,고객명부!$A$3:$A$502,0)),""))</f>
        <v/>
      </c>
      <c r="F296" s="12" t="str">
        <f aca="false">IF($C296="","",IFERROR(INDEX(고객명부!$D$3:$D$502,MATCH($C296,고객명부!$A$3:$A$502,0)),""))</f>
        <v/>
      </c>
      <c r="G296" s="12" t="str">
        <f aca="false">IF($C296="","",IFERROR(INDEX(고객명부!$E$3:$E$502,MATCH($C296,고객명부!$A$3:$A$502,0))&amp;" "&amp;INDEX(고객명부!$F$3:$F$502,MATCH($C296,고객명부!$A$3:$A$502,0)),""))</f>
        <v/>
      </c>
      <c r="H296" s="7"/>
      <c r="I296" s="12" t="str">
        <f aca="false">IF($H296="","",IFERROR(INDEX(상품목록!$B$3:$B$102,MATCH($H296,상품목록!$A$3:$A$102,0)),""))</f>
        <v/>
      </c>
      <c r="J296" s="14" t="str">
        <f aca="false">IF($H296="","",IFERROR(INDEX(상품목록!$C$3:$C$102,MATCH($H296,상품목록!$A$3:$A$102,0)),0))</f>
        <v/>
      </c>
      <c r="K296" s="7"/>
      <c r="L296" s="14" t="str">
        <f aca="false">IF(OR($J296="",$K296=""),"",ROUND($J296*$K296,0))</f>
        <v/>
      </c>
      <c r="M296" s="9"/>
      <c r="N296" s="14" t="str">
        <f aca="false">IF($L296="","",$L296+IF($M296="",0,$M296))</f>
        <v/>
      </c>
      <c r="O296" s="13"/>
      <c r="P296" s="7"/>
      <c r="Q296" s="12" t="str">
        <f aca="false">IF($C296="","",IF($P296&lt;&gt;"","발송완료",IF($O296&lt;&gt;"","입금완료","입금대기")))</f>
        <v/>
      </c>
      <c r="R296" s="12" t="str">
        <f aca="false">IF($C296="","",COUNTIFS($C$3:$C296,$C296))</f>
        <v/>
      </c>
      <c r="S296" s="12" t="str">
        <f aca="false">IF($C296="","",$C296&amp;"|"&amp;$R296)</f>
        <v/>
      </c>
    </row>
    <row r="297" customFormat="false" ht="15" hidden="false" customHeight="true" outlineLevel="0" collapsed="false">
      <c r="A297" s="12" t="str">
        <f aca="false">IF($C297="","",TEXT($B297,"yymmdd")&amp;"-"&amp;TEXT(COUNTIFS($B$3:$B297,$B297),"000"))</f>
        <v/>
      </c>
      <c r="B297" s="13"/>
      <c r="C297" s="7"/>
      <c r="D297" s="12" t="str">
        <f aca="false">IF($C297="","",IFERROR(INDEX(고객명부!$B$3:$B$502,MATCH($C297,고객명부!$A$3:$A$502,0)),"미등록고객"))</f>
        <v/>
      </c>
      <c r="E297" s="12" t="str">
        <f aca="false">IF($C297="","",IFERROR(INDEX(고객명부!$C$3:$C$502,MATCH($C297,고객명부!$A$3:$A$502,0)),""))</f>
        <v/>
      </c>
      <c r="F297" s="12" t="str">
        <f aca="false">IF($C297="","",IFERROR(INDEX(고객명부!$D$3:$D$502,MATCH($C297,고객명부!$A$3:$A$502,0)),""))</f>
        <v/>
      </c>
      <c r="G297" s="12" t="str">
        <f aca="false">IF($C297="","",IFERROR(INDEX(고객명부!$E$3:$E$502,MATCH($C297,고객명부!$A$3:$A$502,0))&amp;" "&amp;INDEX(고객명부!$F$3:$F$502,MATCH($C297,고객명부!$A$3:$A$502,0)),""))</f>
        <v/>
      </c>
      <c r="H297" s="7"/>
      <c r="I297" s="12" t="str">
        <f aca="false">IF($H297="","",IFERROR(INDEX(상품목록!$B$3:$B$102,MATCH($H297,상품목록!$A$3:$A$102,0)),""))</f>
        <v/>
      </c>
      <c r="J297" s="14" t="str">
        <f aca="false">IF($H297="","",IFERROR(INDEX(상품목록!$C$3:$C$102,MATCH($H297,상품목록!$A$3:$A$102,0)),0))</f>
        <v/>
      </c>
      <c r="K297" s="7"/>
      <c r="L297" s="14" t="str">
        <f aca="false">IF(OR($J297="",$K297=""),"",ROUND($J297*$K297,0))</f>
        <v/>
      </c>
      <c r="M297" s="9"/>
      <c r="N297" s="14" t="str">
        <f aca="false">IF($L297="","",$L297+IF($M297="",0,$M297))</f>
        <v/>
      </c>
      <c r="O297" s="13"/>
      <c r="P297" s="7"/>
      <c r="Q297" s="12" t="str">
        <f aca="false">IF($C297="","",IF($P297&lt;&gt;"","발송완료",IF($O297&lt;&gt;"","입금완료","입금대기")))</f>
        <v/>
      </c>
      <c r="R297" s="12" t="str">
        <f aca="false">IF($C297="","",COUNTIFS($C$3:$C297,$C297))</f>
        <v/>
      </c>
      <c r="S297" s="12" t="str">
        <f aca="false">IF($C297="","",$C297&amp;"|"&amp;$R297)</f>
        <v/>
      </c>
    </row>
    <row r="298" customFormat="false" ht="15" hidden="false" customHeight="true" outlineLevel="0" collapsed="false">
      <c r="A298" s="12" t="str">
        <f aca="false">IF($C298="","",TEXT($B298,"yymmdd")&amp;"-"&amp;TEXT(COUNTIFS($B$3:$B298,$B298),"000"))</f>
        <v/>
      </c>
      <c r="B298" s="13"/>
      <c r="C298" s="7"/>
      <c r="D298" s="12" t="str">
        <f aca="false">IF($C298="","",IFERROR(INDEX(고객명부!$B$3:$B$502,MATCH($C298,고객명부!$A$3:$A$502,0)),"미등록고객"))</f>
        <v/>
      </c>
      <c r="E298" s="12" t="str">
        <f aca="false">IF($C298="","",IFERROR(INDEX(고객명부!$C$3:$C$502,MATCH($C298,고객명부!$A$3:$A$502,0)),""))</f>
        <v/>
      </c>
      <c r="F298" s="12" t="str">
        <f aca="false">IF($C298="","",IFERROR(INDEX(고객명부!$D$3:$D$502,MATCH($C298,고객명부!$A$3:$A$502,0)),""))</f>
        <v/>
      </c>
      <c r="G298" s="12" t="str">
        <f aca="false">IF($C298="","",IFERROR(INDEX(고객명부!$E$3:$E$502,MATCH($C298,고객명부!$A$3:$A$502,0))&amp;" "&amp;INDEX(고객명부!$F$3:$F$502,MATCH($C298,고객명부!$A$3:$A$502,0)),""))</f>
        <v/>
      </c>
      <c r="H298" s="7"/>
      <c r="I298" s="12" t="str">
        <f aca="false">IF($H298="","",IFERROR(INDEX(상품목록!$B$3:$B$102,MATCH($H298,상품목록!$A$3:$A$102,0)),""))</f>
        <v/>
      </c>
      <c r="J298" s="14" t="str">
        <f aca="false">IF($H298="","",IFERROR(INDEX(상품목록!$C$3:$C$102,MATCH($H298,상품목록!$A$3:$A$102,0)),0))</f>
        <v/>
      </c>
      <c r="K298" s="7"/>
      <c r="L298" s="14" t="str">
        <f aca="false">IF(OR($J298="",$K298=""),"",ROUND($J298*$K298,0))</f>
        <v/>
      </c>
      <c r="M298" s="9"/>
      <c r="N298" s="14" t="str">
        <f aca="false">IF($L298="","",$L298+IF($M298="",0,$M298))</f>
        <v/>
      </c>
      <c r="O298" s="13"/>
      <c r="P298" s="7"/>
      <c r="Q298" s="12" t="str">
        <f aca="false">IF($C298="","",IF($P298&lt;&gt;"","발송완료",IF($O298&lt;&gt;"","입금완료","입금대기")))</f>
        <v/>
      </c>
      <c r="R298" s="12" t="str">
        <f aca="false">IF($C298="","",COUNTIFS($C$3:$C298,$C298))</f>
        <v/>
      </c>
      <c r="S298" s="12" t="str">
        <f aca="false">IF($C298="","",$C298&amp;"|"&amp;$R298)</f>
        <v/>
      </c>
    </row>
    <row r="299" customFormat="false" ht="15" hidden="false" customHeight="true" outlineLevel="0" collapsed="false">
      <c r="A299" s="12" t="str">
        <f aca="false">IF($C299="","",TEXT($B299,"yymmdd")&amp;"-"&amp;TEXT(COUNTIFS($B$3:$B299,$B299),"000"))</f>
        <v/>
      </c>
      <c r="B299" s="13"/>
      <c r="C299" s="7"/>
      <c r="D299" s="12" t="str">
        <f aca="false">IF($C299="","",IFERROR(INDEX(고객명부!$B$3:$B$502,MATCH($C299,고객명부!$A$3:$A$502,0)),"미등록고객"))</f>
        <v/>
      </c>
      <c r="E299" s="12" t="str">
        <f aca="false">IF($C299="","",IFERROR(INDEX(고객명부!$C$3:$C$502,MATCH($C299,고객명부!$A$3:$A$502,0)),""))</f>
        <v/>
      </c>
      <c r="F299" s="12" t="str">
        <f aca="false">IF($C299="","",IFERROR(INDEX(고객명부!$D$3:$D$502,MATCH($C299,고객명부!$A$3:$A$502,0)),""))</f>
        <v/>
      </c>
      <c r="G299" s="12" t="str">
        <f aca="false">IF($C299="","",IFERROR(INDEX(고객명부!$E$3:$E$502,MATCH($C299,고객명부!$A$3:$A$502,0))&amp;" "&amp;INDEX(고객명부!$F$3:$F$502,MATCH($C299,고객명부!$A$3:$A$502,0)),""))</f>
        <v/>
      </c>
      <c r="H299" s="7"/>
      <c r="I299" s="12" t="str">
        <f aca="false">IF($H299="","",IFERROR(INDEX(상품목록!$B$3:$B$102,MATCH($H299,상품목록!$A$3:$A$102,0)),""))</f>
        <v/>
      </c>
      <c r="J299" s="14" t="str">
        <f aca="false">IF($H299="","",IFERROR(INDEX(상품목록!$C$3:$C$102,MATCH($H299,상품목록!$A$3:$A$102,0)),0))</f>
        <v/>
      </c>
      <c r="K299" s="7"/>
      <c r="L299" s="14" t="str">
        <f aca="false">IF(OR($J299="",$K299=""),"",ROUND($J299*$K299,0))</f>
        <v/>
      </c>
      <c r="M299" s="9"/>
      <c r="N299" s="14" t="str">
        <f aca="false">IF($L299="","",$L299+IF($M299="",0,$M299))</f>
        <v/>
      </c>
      <c r="O299" s="13"/>
      <c r="P299" s="7"/>
      <c r="Q299" s="12" t="str">
        <f aca="false">IF($C299="","",IF($P299&lt;&gt;"","발송완료",IF($O299&lt;&gt;"","입금완료","입금대기")))</f>
        <v/>
      </c>
      <c r="R299" s="12" t="str">
        <f aca="false">IF($C299="","",COUNTIFS($C$3:$C299,$C299))</f>
        <v/>
      </c>
      <c r="S299" s="12" t="str">
        <f aca="false">IF($C299="","",$C299&amp;"|"&amp;$R299)</f>
        <v/>
      </c>
    </row>
    <row r="300" customFormat="false" ht="15" hidden="false" customHeight="true" outlineLevel="0" collapsed="false">
      <c r="A300" s="12" t="str">
        <f aca="false">IF($C300="","",TEXT($B300,"yymmdd")&amp;"-"&amp;TEXT(COUNTIFS($B$3:$B300,$B300),"000"))</f>
        <v/>
      </c>
      <c r="B300" s="13"/>
      <c r="C300" s="7"/>
      <c r="D300" s="12" t="str">
        <f aca="false">IF($C300="","",IFERROR(INDEX(고객명부!$B$3:$B$502,MATCH($C300,고객명부!$A$3:$A$502,0)),"미등록고객"))</f>
        <v/>
      </c>
      <c r="E300" s="12" t="str">
        <f aca="false">IF($C300="","",IFERROR(INDEX(고객명부!$C$3:$C$502,MATCH($C300,고객명부!$A$3:$A$502,0)),""))</f>
        <v/>
      </c>
      <c r="F300" s="12" t="str">
        <f aca="false">IF($C300="","",IFERROR(INDEX(고객명부!$D$3:$D$502,MATCH($C300,고객명부!$A$3:$A$502,0)),""))</f>
        <v/>
      </c>
      <c r="G300" s="12" t="str">
        <f aca="false">IF($C300="","",IFERROR(INDEX(고객명부!$E$3:$E$502,MATCH($C300,고객명부!$A$3:$A$502,0))&amp;" "&amp;INDEX(고객명부!$F$3:$F$502,MATCH($C300,고객명부!$A$3:$A$502,0)),""))</f>
        <v/>
      </c>
      <c r="H300" s="7"/>
      <c r="I300" s="12" t="str">
        <f aca="false">IF($H300="","",IFERROR(INDEX(상품목록!$B$3:$B$102,MATCH($H300,상품목록!$A$3:$A$102,0)),""))</f>
        <v/>
      </c>
      <c r="J300" s="14" t="str">
        <f aca="false">IF($H300="","",IFERROR(INDEX(상품목록!$C$3:$C$102,MATCH($H300,상품목록!$A$3:$A$102,0)),0))</f>
        <v/>
      </c>
      <c r="K300" s="7"/>
      <c r="L300" s="14" t="str">
        <f aca="false">IF(OR($J300="",$K300=""),"",ROUND($J300*$K300,0))</f>
        <v/>
      </c>
      <c r="M300" s="9"/>
      <c r="N300" s="14" t="str">
        <f aca="false">IF($L300="","",$L300+IF($M300="",0,$M300))</f>
        <v/>
      </c>
      <c r="O300" s="13"/>
      <c r="P300" s="7"/>
      <c r="Q300" s="12" t="str">
        <f aca="false">IF($C300="","",IF($P300&lt;&gt;"","발송완료",IF($O300&lt;&gt;"","입금완료","입금대기")))</f>
        <v/>
      </c>
      <c r="R300" s="12" t="str">
        <f aca="false">IF($C300="","",COUNTIFS($C$3:$C300,$C300))</f>
        <v/>
      </c>
      <c r="S300" s="12" t="str">
        <f aca="false">IF($C300="","",$C300&amp;"|"&amp;$R300)</f>
        <v/>
      </c>
    </row>
    <row r="301" customFormat="false" ht="15" hidden="false" customHeight="true" outlineLevel="0" collapsed="false">
      <c r="A301" s="12" t="str">
        <f aca="false">IF($C301="","",TEXT($B301,"yymmdd")&amp;"-"&amp;TEXT(COUNTIFS($B$3:$B301,$B301),"000"))</f>
        <v/>
      </c>
      <c r="B301" s="13"/>
      <c r="C301" s="7"/>
      <c r="D301" s="12" t="str">
        <f aca="false">IF($C301="","",IFERROR(INDEX(고객명부!$B$3:$B$502,MATCH($C301,고객명부!$A$3:$A$502,0)),"미등록고객"))</f>
        <v/>
      </c>
      <c r="E301" s="12" t="str">
        <f aca="false">IF($C301="","",IFERROR(INDEX(고객명부!$C$3:$C$502,MATCH($C301,고객명부!$A$3:$A$502,0)),""))</f>
        <v/>
      </c>
      <c r="F301" s="12" t="str">
        <f aca="false">IF($C301="","",IFERROR(INDEX(고객명부!$D$3:$D$502,MATCH($C301,고객명부!$A$3:$A$502,0)),""))</f>
        <v/>
      </c>
      <c r="G301" s="12" t="str">
        <f aca="false">IF($C301="","",IFERROR(INDEX(고객명부!$E$3:$E$502,MATCH($C301,고객명부!$A$3:$A$502,0))&amp;" "&amp;INDEX(고객명부!$F$3:$F$502,MATCH($C301,고객명부!$A$3:$A$502,0)),""))</f>
        <v/>
      </c>
      <c r="H301" s="7"/>
      <c r="I301" s="12" t="str">
        <f aca="false">IF($H301="","",IFERROR(INDEX(상품목록!$B$3:$B$102,MATCH($H301,상품목록!$A$3:$A$102,0)),""))</f>
        <v/>
      </c>
      <c r="J301" s="14" t="str">
        <f aca="false">IF($H301="","",IFERROR(INDEX(상품목록!$C$3:$C$102,MATCH($H301,상품목록!$A$3:$A$102,0)),0))</f>
        <v/>
      </c>
      <c r="K301" s="7"/>
      <c r="L301" s="14" t="str">
        <f aca="false">IF(OR($J301="",$K301=""),"",ROUND($J301*$K301,0))</f>
        <v/>
      </c>
      <c r="M301" s="9"/>
      <c r="N301" s="14" t="str">
        <f aca="false">IF($L301="","",$L301+IF($M301="",0,$M301))</f>
        <v/>
      </c>
      <c r="O301" s="13"/>
      <c r="P301" s="7"/>
      <c r="Q301" s="12" t="str">
        <f aca="false">IF($C301="","",IF($P301&lt;&gt;"","발송완료",IF($O301&lt;&gt;"","입금완료","입금대기")))</f>
        <v/>
      </c>
      <c r="R301" s="12" t="str">
        <f aca="false">IF($C301="","",COUNTIFS($C$3:$C301,$C301))</f>
        <v/>
      </c>
      <c r="S301" s="12" t="str">
        <f aca="false">IF($C301="","",$C301&amp;"|"&amp;$R301)</f>
        <v/>
      </c>
    </row>
    <row r="302" customFormat="false" ht="15" hidden="false" customHeight="true" outlineLevel="0" collapsed="false">
      <c r="A302" s="12" t="str">
        <f aca="false">IF($C302="","",TEXT($B302,"yymmdd")&amp;"-"&amp;TEXT(COUNTIFS($B$3:$B302,$B302),"000"))</f>
        <v/>
      </c>
      <c r="B302" s="13"/>
      <c r="C302" s="7"/>
      <c r="D302" s="12" t="str">
        <f aca="false">IF($C302="","",IFERROR(INDEX(고객명부!$B$3:$B$502,MATCH($C302,고객명부!$A$3:$A$502,0)),"미등록고객"))</f>
        <v/>
      </c>
      <c r="E302" s="12" t="str">
        <f aca="false">IF($C302="","",IFERROR(INDEX(고객명부!$C$3:$C$502,MATCH($C302,고객명부!$A$3:$A$502,0)),""))</f>
        <v/>
      </c>
      <c r="F302" s="12" t="str">
        <f aca="false">IF($C302="","",IFERROR(INDEX(고객명부!$D$3:$D$502,MATCH($C302,고객명부!$A$3:$A$502,0)),""))</f>
        <v/>
      </c>
      <c r="G302" s="12" t="str">
        <f aca="false">IF($C302="","",IFERROR(INDEX(고객명부!$E$3:$E$502,MATCH($C302,고객명부!$A$3:$A$502,0))&amp;" "&amp;INDEX(고객명부!$F$3:$F$502,MATCH($C302,고객명부!$A$3:$A$502,0)),""))</f>
        <v/>
      </c>
      <c r="H302" s="7"/>
      <c r="I302" s="12" t="str">
        <f aca="false">IF($H302="","",IFERROR(INDEX(상품목록!$B$3:$B$102,MATCH($H302,상품목록!$A$3:$A$102,0)),""))</f>
        <v/>
      </c>
      <c r="J302" s="14" t="str">
        <f aca="false">IF($H302="","",IFERROR(INDEX(상품목록!$C$3:$C$102,MATCH($H302,상품목록!$A$3:$A$102,0)),0))</f>
        <v/>
      </c>
      <c r="K302" s="7"/>
      <c r="L302" s="14" t="str">
        <f aca="false">IF(OR($J302="",$K302=""),"",ROUND($J302*$K302,0))</f>
        <v/>
      </c>
      <c r="M302" s="9"/>
      <c r="N302" s="14" t="str">
        <f aca="false">IF($L302="","",$L302+IF($M302="",0,$M302))</f>
        <v/>
      </c>
      <c r="O302" s="13"/>
      <c r="P302" s="7"/>
      <c r="Q302" s="12" t="str">
        <f aca="false">IF($C302="","",IF($P302&lt;&gt;"","발송완료",IF($O302&lt;&gt;"","입금완료","입금대기")))</f>
        <v/>
      </c>
      <c r="R302" s="12" t="str">
        <f aca="false">IF($C302="","",COUNTIFS($C$3:$C302,$C302))</f>
        <v/>
      </c>
      <c r="S302" s="12" t="str">
        <f aca="false">IF($C302="","",$C302&amp;"|"&amp;$R302)</f>
        <v/>
      </c>
    </row>
    <row r="303" customFormat="false" ht="15" hidden="false" customHeight="true" outlineLevel="0" collapsed="false">
      <c r="A303" s="12" t="str">
        <f aca="false">IF($C303="","",TEXT($B303,"yymmdd")&amp;"-"&amp;TEXT(COUNTIFS($B$3:$B303,$B303),"000"))</f>
        <v/>
      </c>
      <c r="B303" s="13"/>
      <c r="C303" s="7"/>
      <c r="D303" s="12" t="str">
        <f aca="false">IF($C303="","",IFERROR(INDEX(고객명부!$B$3:$B$502,MATCH($C303,고객명부!$A$3:$A$502,0)),"미등록고객"))</f>
        <v/>
      </c>
      <c r="E303" s="12" t="str">
        <f aca="false">IF($C303="","",IFERROR(INDEX(고객명부!$C$3:$C$502,MATCH($C303,고객명부!$A$3:$A$502,0)),""))</f>
        <v/>
      </c>
      <c r="F303" s="12" t="str">
        <f aca="false">IF($C303="","",IFERROR(INDEX(고객명부!$D$3:$D$502,MATCH($C303,고객명부!$A$3:$A$502,0)),""))</f>
        <v/>
      </c>
      <c r="G303" s="12" t="str">
        <f aca="false">IF($C303="","",IFERROR(INDEX(고객명부!$E$3:$E$502,MATCH($C303,고객명부!$A$3:$A$502,0))&amp;" "&amp;INDEX(고객명부!$F$3:$F$502,MATCH($C303,고객명부!$A$3:$A$502,0)),""))</f>
        <v/>
      </c>
      <c r="H303" s="7"/>
      <c r="I303" s="12" t="str">
        <f aca="false">IF($H303="","",IFERROR(INDEX(상품목록!$B$3:$B$102,MATCH($H303,상품목록!$A$3:$A$102,0)),""))</f>
        <v/>
      </c>
      <c r="J303" s="14" t="str">
        <f aca="false">IF($H303="","",IFERROR(INDEX(상품목록!$C$3:$C$102,MATCH($H303,상품목록!$A$3:$A$102,0)),0))</f>
        <v/>
      </c>
      <c r="K303" s="7"/>
      <c r="L303" s="14" t="str">
        <f aca="false">IF(OR($J303="",$K303=""),"",ROUND($J303*$K303,0))</f>
        <v/>
      </c>
      <c r="M303" s="9"/>
      <c r="N303" s="14" t="str">
        <f aca="false">IF($L303="","",$L303+IF($M303="",0,$M303))</f>
        <v/>
      </c>
      <c r="O303" s="13"/>
      <c r="P303" s="7"/>
      <c r="Q303" s="12" t="str">
        <f aca="false">IF($C303="","",IF($P303&lt;&gt;"","발송완료",IF($O303&lt;&gt;"","입금완료","입금대기")))</f>
        <v/>
      </c>
      <c r="R303" s="12" t="str">
        <f aca="false">IF($C303="","",COUNTIFS($C$3:$C303,$C303))</f>
        <v/>
      </c>
      <c r="S303" s="12" t="str">
        <f aca="false">IF($C303="","",$C303&amp;"|"&amp;$R303)</f>
        <v/>
      </c>
    </row>
    <row r="304" customFormat="false" ht="15" hidden="false" customHeight="true" outlineLevel="0" collapsed="false">
      <c r="A304" s="12" t="str">
        <f aca="false">IF($C304="","",TEXT($B304,"yymmdd")&amp;"-"&amp;TEXT(COUNTIFS($B$3:$B304,$B304),"000"))</f>
        <v/>
      </c>
      <c r="B304" s="13"/>
      <c r="C304" s="7"/>
      <c r="D304" s="12" t="str">
        <f aca="false">IF($C304="","",IFERROR(INDEX(고객명부!$B$3:$B$502,MATCH($C304,고객명부!$A$3:$A$502,0)),"미등록고객"))</f>
        <v/>
      </c>
      <c r="E304" s="12" t="str">
        <f aca="false">IF($C304="","",IFERROR(INDEX(고객명부!$C$3:$C$502,MATCH($C304,고객명부!$A$3:$A$502,0)),""))</f>
        <v/>
      </c>
      <c r="F304" s="12" t="str">
        <f aca="false">IF($C304="","",IFERROR(INDEX(고객명부!$D$3:$D$502,MATCH($C304,고객명부!$A$3:$A$502,0)),""))</f>
        <v/>
      </c>
      <c r="G304" s="12" t="str">
        <f aca="false">IF($C304="","",IFERROR(INDEX(고객명부!$E$3:$E$502,MATCH($C304,고객명부!$A$3:$A$502,0))&amp;" "&amp;INDEX(고객명부!$F$3:$F$502,MATCH($C304,고객명부!$A$3:$A$502,0)),""))</f>
        <v/>
      </c>
      <c r="H304" s="7"/>
      <c r="I304" s="12" t="str">
        <f aca="false">IF($H304="","",IFERROR(INDEX(상품목록!$B$3:$B$102,MATCH($H304,상품목록!$A$3:$A$102,0)),""))</f>
        <v/>
      </c>
      <c r="J304" s="14" t="str">
        <f aca="false">IF($H304="","",IFERROR(INDEX(상품목록!$C$3:$C$102,MATCH($H304,상품목록!$A$3:$A$102,0)),0))</f>
        <v/>
      </c>
      <c r="K304" s="7"/>
      <c r="L304" s="14" t="str">
        <f aca="false">IF(OR($J304="",$K304=""),"",ROUND($J304*$K304,0))</f>
        <v/>
      </c>
      <c r="M304" s="9"/>
      <c r="N304" s="14" t="str">
        <f aca="false">IF($L304="","",$L304+IF($M304="",0,$M304))</f>
        <v/>
      </c>
      <c r="O304" s="13"/>
      <c r="P304" s="7"/>
      <c r="Q304" s="12" t="str">
        <f aca="false">IF($C304="","",IF($P304&lt;&gt;"","발송완료",IF($O304&lt;&gt;"","입금완료","입금대기")))</f>
        <v/>
      </c>
      <c r="R304" s="12" t="str">
        <f aca="false">IF($C304="","",COUNTIFS($C$3:$C304,$C304))</f>
        <v/>
      </c>
      <c r="S304" s="12" t="str">
        <f aca="false">IF($C304="","",$C304&amp;"|"&amp;$R304)</f>
        <v/>
      </c>
    </row>
    <row r="305" customFormat="false" ht="15" hidden="false" customHeight="true" outlineLevel="0" collapsed="false">
      <c r="A305" s="12" t="str">
        <f aca="false">IF($C305="","",TEXT($B305,"yymmdd")&amp;"-"&amp;TEXT(COUNTIFS($B$3:$B305,$B305),"000"))</f>
        <v/>
      </c>
      <c r="B305" s="13"/>
      <c r="C305" s="7"/>
      <c r="D305" s="12" t="str">
        <f aca="false">IF($C305="","",IFERROR(INDEX(고객명부!$B$3:$B$502,MATCH($C305,고객명부!$A$3:$A$502,0)),"미등록고객"))</f>
        <v/>
      </c>
      <c r="E305" s="12" t="str">
        <f aca="false">IF($C305="","",IFERROR(INDEX(고객명부!$C$3:$C$502,MATCH($C305,고객명부!$A$3:$A$502,0)),""))</f>
        <v/>
      </c>
      <c r="F305" s="12" t="str">
        <f aca="false">IF($C305="","",IFERROR(INDEX(고객명부!$D$3:$D$502,MATCH($C305,고객명부!$A$3:$A$502,0)),""))</f>
        <v/>
      </c>
      <c r="G305" s="12" t="str">
        <f aca="false">IF($C305="","",IFERROR(INDEX(고객명부!$E$3:$E$502,MATCH($C305,고객명부!$A$3:$A$502,0))&amp;" "&amp;INDEX(고객명부!$F$3:$F$502,MATCH($C305,고객명부!$A$3:$A$502,0)),""))</f>
        <v/>
      </c>
      <c r="H305" s="7"/>
      <c r="I305" s="12" t="str">
        <f aca="false">IF($H305="","",IFERROR(INDEX(상품목록!$B$3:$B$102,MATCH($H305,상품목록!$A$3:$A$102,0)),""))</f>
        <v/>
      </c>
      <c r="J305" s="14" t="str">
        <f aca="false">IF($H305="","",IFERROR(INDEX(상품목록!$C$3:$C$102,MATCH($H305,상품목록!$A$3:$A$102,0)),0))</f>
        <v/>
      </c>
      <c r="K305" s="7"/>
      <c r="L305" s="14" t="str">
        <f aca="false">IF(OR($J305="",$K305=""),"",ROUND($J305*$K305,0))</f>
        <v/>
      </c>
      <c r="M305" s="9"/>
      <c r="N305" s="14" t="str">
        <f aca="false">IF($L305="","",$L305+IF($M305="",0,$M305))</f>
        <v/>
      </c>
      <c r="O305" s="13"/>
      <c r="P305" s="7"/>
      <c r="Q305" s="12" t="str">
        <f aca="false">IF($C305="","",IF($P305&lt;&gt;"","발송완료",IF($O305&lt;&gt;"","입금완료","입금대기")))</f>
        <v/>
      </c>
      <c r="R305" s="12" t="str">
        <f aca="false">IF($C305="","",COUNTIFS($C$3:$C305,$C305))</f>
        <v/>
      </c>
      <c r="S305" s="12" t="str">
        <f aca="false">IF($C305="","",$C305&amp;"|"&amp;$R305)</f>
        <v/>
      </c>
    </row>
    <row r="306" customFormat="false" ht="15" hidden="false" customHeight="true" outlineLevel="0" collapsed="false">
      <c r="A306" s="12" t="str">
        <f aca="false">IF($C306="","",TEXT($B306,"yymmdd")&amp;"-"&amp;TEXT(COUNTIFS($B$3:$B306,$B306),"000"))</f>
        <v/>
      </c>
      <c r="B306" s="13"/>
      <c r="C306" s="7"/>
      <c r="D306" s="12" t="str">
        <f aca="false">IF($C306="","",IFERROR(INDEX(고객명부!$B$3:$B$502,MATCH($C306,고객명부!$A$3:$A$502,0)),"미등록고객"))</f>
        <v/>
      </c>
      <c r="E306" s="12" t="str">
        <f aca="false">IF($C306="","",IFERROR(INDEX(고객명부!$C$3:$C$502,MATCH($C306,고객명부!$A$3:$A$502,0)),""))</f>
        <v/>
      </c>
      <c r="F306" s="12" t="str">
        <f aca="false">IF($C306="","",IFERROR(INDEX(고객명부!$D$3:$D$502,MATCH($C306,고객명부!$A$3:$A$502,0)),""))</f>
        <v/>
      </c>
      <c r="G306" s="12" t="str">
        <f aca="false">IF($C306="","",IFERROR(INDEX(고객명부!$E$3:$E$502,MATCH($C306,고객명부!$A$3:$A$502,0))&amp;" "&amp;INDEX(고객명부!$F$3:$F$502,MATCH($C306,고객명부!$A$3:$A$502,0)),""))</f>
        <v/>
      </c>
      <c r="H306" s="7"/>
      <c r="I306" s="12" t="str">
        <f aca="false">IF($H306="","",IFERROR(INDEX(상품목록!$B$3:$B$102,MATCH($H306,상품목록!$A$3:$A$102,0)),""))</f>
        <v/>
      </c>
      <c r="J306" s="14" t="str">
        <f aca="false">IF($H306="","",IFERROR(INDEX(상품목록!$C$3:$C$102,MATCH($H306,상품목록!$A$3:$A$102,0)),0))</f>
        <v/>
      </c>
      <c r="K306" s="7"/>
      <c r="L306" s="14" t="str">
        <f aca="false">IF(OR($J306="",$K306=""),"",ROUND($J306*$K306,0))</f>
        <v/>
      </c>
      <c r="M306" s="9"/>
      <c r="N306" s="14" t="str">
        <f aca="false">IF($L306="","",$L306+IF($M306="",0,$M306))</f>
        <v/>
      </c>
      <c r="O306" s="13"/>
      <c r="P306" s="7"/>
      <c r="Q306" s="12" t="str">
        <f aca="false">IF($C306="","",IF($P306&lt;&gt;"","발송완료",IF($O306&lt;&gt;"","입금완료","입금대기")))</f>
        <v/>
      </c>
      <c r="R306" s="12" t="str">
        <f aca="false">IF($C306="","",COUNTIFS($C$3:$C306,$C306))</f>
        <v/>
      </c>
      <c r="S306" s="12" t="str">
        <f aca="false">IF($C306="","",$C306&amp;"|"&amp;$R306)</f>
        <v/>
      </c>
    </row>
    <row r="307" customFormat="false" ht="15" hidden="false" customHeight="true" outlineLevel="0" collapsed="false">
      <c r="A307" s="12" t="str">
        <f aca="false">IF($C307="","",TEXT($B307,"yymmdd")&amp;"-"&amp;TEXT(COUNTIFS($B$3:$B307,$B307),"000"))</f>
        <v/>
      </c>
      <c r="B307" s="13"/>
      <c r="C307" s="7"/>
      <c r="D307" s="12" t="str">
        <f aca="false">IF($C307="","",IFERROR(INDEX(고객명부!$B$3:$B$502,MATCH($C307,고객명부!$A$3:$A$502,0)),"미등록고객"))</f>
        <v/>
      </c>
      <c r="E307" s="12" t="str">
        <f aca="false">IF($C307="","",IFERROR(INDEX(고객명부!$C$3:$C$502,MATCH($C307,고객명부!$A$3:$A$502,0)),""))</f>
        <v/>
      </c>
      <c r="F307" s="12" t="str">
        <f aca="false">IF($C307="","",IFERROR(INDEX(고객명부!$D$3:$D$502,MATCH($C307,고객명부!$A$3:$A$502,0)),""))</f>
        <v/>
      </c>
      <c r="G307" s="12" t="str">
        <f aca="false">IF($C307="","",IFERROR(INDEX(고객명부!$E$3:$E$502,MATCH($C307,고객명부!$A$3:$A$502,0))&amp;" "&amp;INDEX(고객명부!$F$3:$F$502,MATCH($C307,고객명부!$A$3:$A$502,0)),""))</f>
        <v/>
      </c>
      <c r="H307" s="7"/>
      <c r="I307" s="12" t="str">
        <f aca="false">IF($H307="","",IFERROR(INDEX(상품목록!$B$3:$B$102,MATCH($H307,상품목록!$A$3:$A$102,0)),""))</f>
        <v/>
      </c>
      <c r="J307" s="14" t="str">
        <f aca="false">IF($H307="","",IFERROR(INDEX(상품목록!$C$3:$C$102,MATCH($H307,상품목록!$A$3:$A$102,0)),0))</f>
        <v/>
      </c>
      <c r="K307" s="7"/>
      <c r="L307" s="14" t="str">
        <f aca="false">IF(OR($J307="",$K307=""),"",ROUND($J307*$K307,0))</f>
        <v/>
      </c>
      <c r="M307" s="9"/>
      <c r="N307" s="14" t="str">
        <f aca="false">IF($L307="","",$L307+IF($M307="",0,$M307))</f>
        <v/>
      </c>
      <c r="O307" s="13"/>
      <c r="P307" s="7"/>
      <c r="Q307" s="12" t="str">
        <f aca="false">IF($C307="","",IF($P307&lt;&gt;"","발송완료",IF($O307&lt;&gt;"","입금완료","입금대기")))</f>
        <v/>
      </c>
      <c r="R307" s="12" t="str">
        <f aca="false">IF($C307="","",COUNTIFS($C$3:$C307,$C307))</f>
        <v/>
      </c>
      <c r="S307" s="12" t="str">
        <f aca="false">IF($C307="","",$C307&amp;"|"&amp;$R307)</f>
        <v/>
      </c>
    </row>
    <row r="308" customFormat="false" ht="15" hidden="false" customHeight="true" outlineLevel="0" collapsed="false">
      <c r="A308" s="12" t="str">
        <f aca="false">IF($C308="","",TEXT($B308,"yymmdd")&amp;"-"&amp;TEXT(COUNTIFS($B$3:$B308,$B308),"000"))</f>
        <v/>
      </c>
      <c r="B308" s="13"/>
      <c r="C308" s="7"/>
      <c r="D308" s="12" t="str">
        <f aca="false">IF($C308="","",IFERROR(INDEX(고객명부!$B$3:$B$502,MATCH($C308,고객명부!$A$3:$A$502,0)),"미등록고객"))</f>
        <v/>
      </c>
      <c r="E308" s="12" t="str">
        <f aca="false">IF($C308="","",IFERROR(INDEX(고객명부!$C$3:$C$502,MATCH($C308,고객명부!$A$3:$A$502,0)),""))</f>
        <v/>
      </c>
      <c r="F308" s="12" t="str">
        <f aca="false">IF($C308="","",IFERROR(INDEX(고객명부!$D$3:$D$502,MATCH($C308,고객명부!$A$3:$A$502,0)),""))</f>
        <v/>
      </c>
      <c r="G308" s="12" t="str">
        <f aca="false">IF($C308="","",IFERROR(INDEX(고객명부!$E$3:$E$502,MATCH($C308,고객명부!$A$3:$A$502,0))&amp;" "&amp;INDEX(고객명부!$F$3:$F$502,MATCH($C308,고객명부!$A$3:$A$502,0)),""))</f>
        <v/>
      </c>
      <c r="H308" s="7"/>
      <c r="I308" s="12" t="str">
        <f aca="false">IF($H308="","",IFERROR(INDEX(상품목록!$B$3:$B$102,MATCH($H308,상품목록!$A$3:$A$102,0)),""))</f>
        <v/>
      </c>
      <c r="J308" s="14" t="str">
        <f aca="false">IF($H308="","",IFERROR(INDEX(상품목록!$C$3:$C$102,MATCH($H308,상품목록!$A$3:$A$102,0)),0))</f>
        <v/>
      </c>
      <c r="K308" s="7"/>
      <c r="L308" s="14" t="str">
        <f aca="false">IF(OR($J308="",$K308=""),"",ROUND($J308*$K308,0))</f>
        <v/>
      </c>
      <c r="M308" s="9"/>
      <c r="N308" s="14" t="str">
        <f aca="false">IF($L308="","",$L308+IF($M308="",0,$M308))</f>
        <v/>
      </c>
      <c r="O308" s="13"/>
      <c r="P308" s="7"/>
      <c r="Q308" s="12" t="str">
        <f aca="false">IF($C308="","",IF($P308&lt;&gt;"","발송완료",IF($O308&lt;&gt;"","입금완료","입금대기")))</f>
        <v/>
      </c>
      <c r="R308" s="12" t="str">
        <f aca="false">IF($C308="","",COUNTIFS($C$3:$C308,$C308))</f>
        <v/>
      </c>
      <c r="S308" s="12" t="str">
        <f aca="false">IF($C308="","",$C308&amp;"|"&amp;$R308)</f>
        <v/>
      </c>
    </row>
    <row r="309" customFormat="false" ht="15" hidden="false" customHeight="true" outlineLevel="0" collapsed="false">
      <c r="A309" s="12" t="str">
        <f aca="false">IF($C309="","",TEXT($B309,"yymmdd")&amp;"-"&amp;TEXT(COUNTIFS($B$3:$B309,$B309),"000"))</f>
        <v/>
      </c>
      <c r="B309" s="13"/>
      <c r="C309" s="7"/>
      <c r="D309" s="12" t="str">
        <f aca="false">IF($C309="","",IFERROR(INDEX(고객명부!$B$3:$B$502,MATCH($C309,고객명부!$A$3:$A$502,0)),"미등록고객"))</f>
        <v/>
      </c>
      <c r="E309" s="12" t="str">
        <f aca="false">IF($C309="","",IFERROR(INDEX(고객명부!$C$3:$C$502,MATCH($C309,고객명부!$A$3:$A$502,0)),""))</f>
        <v/>
      </c>
      <c r="F309" s="12" t="str">
        <f aca="false">IF($C309="","",IFERROR(INDEX(고객명부!$D$3:$D$502,MATCH($C309,고객명부!$A$3:$A$502,0)),""))</f>
        <v/>
      </c>
      <c r="G309" s="12" t="str">
        <f aca="false">IF($C309="","",IFERROR(INDEX(고객명부!$E$3:$E$502,MATCH($C309,고객명부!$A$3:$A$502,0))&amp;" "&amp;INDEX(고객명부!$F$3:$F$502,MATCH($C309,고객명부!$A$3:$A$502,0)),""))</f>
        <v/>
      </c>
      <c r="H309" s="7"/>
      <c r="I309" s="12" t="str">
        <f aca="false">IF($H309="","",IFERROR(INDEX(상품목록!$B$3:$B$102,MATCH($H309,상품목록!$A$3:$A$102,0)),""))</f>
        <v/>
      </c>
      <c r="J309" s="14" t="str">
        <f aca="false">IF($H309="","",IFERROR(INDEX(상품목록!$C$3:$C$102,MATCH($H309,상품목록!$A$3:$A$102,0)),0))</f>
        <v/>
      </c>
      <c r="K309" s="7"/>
      <c r="L309" s="14" t="str">
        <f aca="false">IF(OR($J309="",$K309=""),"",ROUND($J309*$K309,0))</f>
        <v/>
      </c>
      <c r="M309" s="9"/>
      <c r="N309" s="14" t="str">
        <f aca="false">IF($L309="","",$L309+IF($M309="",0,$M309))</f>
        <v/>
      </c>
      <c r="O309" s="13"/>
      <c r="P309" s="7"/>
      <c r="Q309" s="12" t="str">
        <f aca="false">IF($C309="","",IF($P309&lt;&gt;"","발송완료",IF($O309&lt;&gt;"","입금완료","입금대기")))</f>
        <v/>
      </c>
      <c r="R309" s="12" t="str">
        <f aca="false">IF($C309="","",COUNTIFS($C$3:$C309,$C309))</f>
        <v/>
      </c>
      <c r="S309" s="12" t="str">
        <f aca="false">IF($C309="","",$C309&amp;"|"&amp;$R309)</f>
        <v/>
      </c>
    </row>
    <row r="310" customFormat="false" ht="15" hidden="false" customHeight="true" outlineLevel="0" collapsed="false">
      <c r="A310" s="12" t="str">
        <f aca="false">IF($C310="","",TEXT($B310,"yymmdd")&amp;"-"&amp;TEXT(COUNTIFS($B$3:$B310,$B310),"000"))</f>
        <v/>
      </c>
      <c r="B310" s="13"/>
      <c r="C310" s="7"/>
      <c r="D310" s="12" t="str">
        <f aca="false">IF($C310="","",IFERROR(INDEX(고객명부!$B$3:$B$502,MATCH($C310,고객명부!$A$3:$A$502,0)),"미등록고객"))</f>
        <v/>
      </c>
      <c r="E310" s="12" t="str">
        <f aca="false">IF($C310="","",IFERROR(INDEX(고객명부!$C$3:$C$502,MATCH($C310,고객명부!$A$3:$A$502,0)),""))</f>
        <v/>
      </c>
      <c r="F310" s="12" t="str">
        <f aca="false">IF($C310="","",IFERROR(INDEX(고객명부!$D$3:$D$502,MATCH($C310,고객명부!$A$3:$A$502,0)),""))</f>
        <v/>
      </c>
      <c r="G310" s="12" t="str">
        <f aca="false">IF($C310="","",IFERROR(INDEX(고객명부!$E$3:$E$502,MATCH($C310,고객명부!$A$3:$A$502,0))&amp;" "&amp;INDEX(고객명부!$F$3:$F$502,MATCH($C310,고객명부!$A$3:$A$502,0)),""))</f>
        <v/>
      </c>
      <c r="H310" s="7"/>
      <c r="I310" s="12" t="str">
        <f aca="false">IF($H310="","",IFERROR(INDEX(상품목록!$B$3:$B$102,MATCH($H310,상품목록!$A$3:$A$102,0)),""))</f>
        <v/>
      </c>
      <c r="J310" s="14" t="str">
        <f aca="false">IF($H310="","",IFERROR(INDEX(상품목록!$C$3:$C$102,MATCH($H310,상품목록!$A$3:$A$102,0)),0))</f>
        <v/>
      </c>
      <c r="K310" s="7"/>
      <c r="L310" s="14" t="str">
        <f aca="false">IF(OR($J310="",$K310=""),"",ROUND($J310*$K310,0))</f>
        <v/>
      </c>
      <c r="M310" s="9"/>
      <c r="N310" s="14" t="str">
        <f aca="false">IF($L310="","",$L310+IF($M310="",0,$M310))</f>
        <v/>
      </c>
      <c r="O310" s="13"/>
      <c r="P310" s="7"/>
      <c r="Q310" s="12" t="str">
        <f aca="false">IF($C310="","",IF($P310&lt;&gt;"","발송완료",IF($O310&lt;&gt;"","입금완료","입금대기")))</f>
        <v/>
      </c>
      <c r="R310" s="12" t="str">
        <f aca="false">IF($C310="","",COUNTIFS($C$3:$C310,$C310))</f>
        <v/>
      </c>
      <c r="S310" s="12" t="str">
        <f aca="false">IF($C310="","",$C310&amp;"|"&amp;$R310)</f>
        <v/>
      </c>
    </row>
    <row r="311" customFormat="false" ht="15" hidden="false" customHeight="true" outlineLevel="0" collapsed="false">
      <c r="A311" s="12" t="str">
        <f aca="false">IF($C311="","",TEXT($B311,"yymmdd")&amp;"-"&amp;TEXT(COUNTIFS($B$3:$B311,$B311),"000"))</f>
        <v/>
      </c>
      <c r="B311" s="13"/>
      <c r="C311" s="7"/>
      <c r="D311" s="12" t="str">
        <f aca="false">IF($C311="","",IFERROR(INDEX(고객명부!$B$3:$B$502,MATCH($C311,고객명부!$A$3:$A$502,0)),"미등록고객"))</f>
        <v/>
      </c>
      <c r="E311" s="12" t="str">
        <f aca="false">IF($C311="","",IFERROR(INDEX(고객명부!$C$3:$C$502,MATCH($C311,고객명부!$A$3:$A$502,0)),""))</f>
        <v/>
      </c>
      <c r="F311" s="12" t="str">
        <f aca="false">IF($C311="","",IFERROR(INDEX(고객명부!$D$3:$D$502,MATCH($C311,고객명부!$A$3:$A$502,0)),""))</f>
        <v/>
      </c>
      <c r="G311" s="12" t="str">
        <f aca="false">IF($C311="","",IFERROR(INDEX(고객명부!$E$3:$E$502,MATCH($C311,고객명부!$A$3:$A$502,0))&amp;" "&amp;INDEX(고객명부!$F$3:$F$502,MATCH($C311,고객명부!$A$3:$A$502,0)),""))</f>
        <v/>
      </c>
      <c r="H311" s="7"/>
      <c r="I311" s="12" t="str">
        <f aca="false">IF($H311="","",IFERROR(INDEX(상품목록!$B$3:$B$102,MATCH($H311,상품목록!$A$3:$A$102,0)),""))</f>
        <v/>
      </c>
      <c r="J311" s="14" t="str">
        <f aca="false">IF($H311="","",IFERROR(INDEX(상품목록!$C$3:$C$102,MATCH($H311,상품목록!$A$3:$A$102,0)),0))</f>
        <v/>
      </c>
      <c r="K311" s="7"/>
      <c r="L311" s="14" t="str">
        <f aca="false">IF(OR($J311="",$K311=""),"",ROUND($J311*$K311,0))</f>
        <v/>
      </c>
      <c r="M311" s="9"/>
      <c r="N311" s="14" t="str">
        <f aca="false">IF($L311="","",$L311+IF($M311="",0,$M311))</f>
        <v/>
      </c>
      <c r="O311" s="13"/>
      <c r="P311" s="7"/>
      <c r="Q311" s="12" t="str">
        <f aca="false">IF($C311="","",IF($P311&lt;&gt;"","발송완료",IF($O311&lt;&gt;"","입금완료","입금대기")))</f>
        <v/>
      </c>
      <c r="R311" s="12" t="str">
        <f aca="false">IF($C311="","",COUNTIFS($C$3:$C311,$C311))</f>
        <v/>
      </c>
      <c r="S311" s="12" t="str">
        <f aca="false">IF($C311="","",$C311&amp;"|"&amp;$R311)</f>
        <v/>
      </c>
    </row>
    <row r="312" customFormat="false" ht="15" hidden="false" customHeight="true" outlineLevel="0" collapsed="false">
      <c r="A312" s="12" t="str">
        <f aca="false">IF($C312="","",TEXT($B312,"yymmdd")&amp;"-"&amp;TEXT(COUNTIFS($B$3:$B312,$B312),"000"))</f>
        <v/>
      </c>
      <c r="B312" s="13"/>
      <c r="C312" s="7"/>
      <c r="D312" s="12" t="str">
        <f aca="false">IF($C312="","",IFERROR(INDEX(고객명부!$B$3:$B$502,MATCH($C312,고객명부!$A$3:$A$502,0)),"미등록고객"))</f>
        <v/>
      </c>
      <c r="E312" s="12" t="str">
        <f aca="false">IF($C312="","",IFERROR(INDEX(고객명부!$C$3:$C$502,MATCH($C312,고객명부!$A$3:$A$502,0)),""))</f>
        <v/>
      </c>
      <c r="F312" s="12" t="str">
        <f aca="false">IF($C312="","",IFERROR(INDEX(고객명부!$D$3:$D$502,MATCH($C312,고객명부!$A$3:$A$502,0)),""))</f>
        <v/>
      </c>
      <c r="G312" s="12" t="str">
        <f aca="false">IF($C312="","",IFERROR(INDEX(고객명부!$E$3:$E$502,MATCH($C312,고객명부!$A$3:$A$502,0))&amp;" "&amp;INDEX(고객명부!$F$3:$F$502,MATCH($C312,고객명부!$A$3:$A$502,0)),""))</f>
        <v/>
      </c>
      <c r="H312" s="7"/>
      <c r="I312" s="12" t="str">
        <f aca="false">IF($H312="","",IFERROR(INDEX(상품목록!$B$3:$B$102,MATCH($H312,상품목록!$A$3:$A$102,0)),""))</f>
        <v/>
      </c>
      <c r="J312" s="14" t="str">
        <f aca="false">IF($H312="","",IFERROR(INDEX(상품목록!$C$3:$C$102,MATCH($H312,상품목록!$A$3:$A$102,0)),0))</f>
        <v/>
      </c>
      <c r="K312" s="7"/>
      <c r="L312" s="14" t="str">
        <f aca="false">IF(OR($J312="",$K312=""),"",ROUND($J312*$K312,0))</f>
        <v/>
      </c>
      <c r="M312" s="9"/>
      <c r="N312" s="14" t="str">
        <f aca="false">IF($L312="","",$L312+IF($M312="",0,$M312))</f>
        <v/>
      </c>
      <c r="O312" s="13"/>
      <c r="P312" s="7"/>
      <c r="Q312" s="12" t="str">
        <f aca="false">IF($C312="","",IF($P312&lt;&gt;"","발송완료",IF($O312&lt;&gt;"","입금완료","입금대기")))</f>
        <v/>
      </c>
      <c r="R312" s="12" t="str">
        <f aca="false">IF($C312="","",COUNTIFS($C$3:$C312,$C312))</f>
        <v/>
      </c>
      <c r="S312" s="12" t="str">
        <f aca="false">IF($C312="","",$C312&amp;"|"&amp;$R312)</f>
        <v/>
      </c>
    </row>
    <row r="313" customFormat="false" ht="15" hidden="false" customHeight="true" outlineLevel="0" collapsed="false">
      <c r="A313" s="12" t="str">
        <f aca="false">IF($C313="","",TEXT($B313,"yymmdd")&amp;"-"&amp;TEXT(COUNTIFS($B$3:$B313,$B313),"000"))</f>
        <v/>
      </c>
      <c r="B313" s="13"/>
      <c r="C313" s="7"/>
      <c r="D313" s="12" t="str">
        <f aca="false">IF($C313="","",IFERROR(INDEX(고객명부!$B$3:$B$502,MATCH($C313,고객명부!$A$3:$A$502,0)),"미등록고객"))</f>
        <v/>
      </c>
      <c r="E313" s="12" t="str">
        <f aca="false">IF($C313="","",IFERROR(INDEX(고객명부!$C$3:$C$502,MATCH($C313,고객명부!$A$3:$A$502,0)),""))</f>
        <v/>
      </c>
      <c r="F313" s="12" t="str">
        <f aca="false">IF($C313="","",IFERROR(INDEX(고객명부!$D$3:$D$502,MATCH($C313,고객명부!$A$3:$A$502,0)),""))</f>
        <v/>
      </c>
      <c r="G313" s="12" t="str">
        <f aca="false">IF($C313="","",IFERROR(INDEX(고객명부!$E$3:$E$502,MATCH($C313,고객명부!$A$3:$A$502,0))&amp;" "&amp;INDEX(고객명부!$F$3:$F$502,MATCH($C313,고객명부!$A$3:$A$502,0)),""))</f>
        <v/>
      </c>
      <c r="H313" s="7"/>
      <c r="I313" s="12" t="str">
        <f aca="false">IF($H313="","",IFERROR(INDEX(상품목록!$B$3:$B$102,MATCH($H313,상품목록!$A$3:$A$102,0)),""))</f>
        <v/>
      </c>
      <c r="J313" s="14" t="str">
        <f aca="false">IF($H313="","",IFERROR(INDEX(상품목록!$C$3:$C$102,MATCH($H313,상품목록!$A$3:$A$102,0)),0))</f>
        <v/>
      </c>
      <c r="K313" s="7"/>
      <c r="L313" s="14" t="str">
        <f aca="false">IF(OR($J313="",$K313=""),"",ROUND($J313*$K313,0))</f>
        <v/>
      </c>
      <c r="M313" s="9"/>
      <c r="N313" s="14" t="str">
        <f aca="false">IF($L313="","",$L313+IF($M313="",0,$M313))</f>
        <v/>
      </c>
      <c r="O313" s="13"/>
      <c r="P313" s="7"/>
      <c r="Q313" s="12" t="str">
        <f aca="false">IF($C313="","",IF($P313&lt;&gt;"","발송완료",IF($O313&lt;&gt;"","입금완료","입금대기")))</f>
        <v/>
      </c>
      <c r="R313" s="12" t="str">
        <f aca="false">IF($C313="","",COUNTIFS($C$3:$C313,$C313))</f>
        <v/>
      </c>
      <c r="S313" s="12" t="str">
        <f aca="false">IF($C313="","",$C313&amp;"|"&amp;$R313)</f>
        <v/>
      </c>
    </row>
    <row r="314" customFormat="false" ht="15" hidden="false" customHeight="true" outlineLevel="0" collapsed="false">
      <c r="A314" s="12" t="str">
        <f aca="false">IF($C314="","",TEXT($B314,"yymmdd")&amp;"-"&amp;TEXT(COUNTIFS($B$3:$B314,$B314),"000"))</f>
        <v/>
      </c>
      <c r="B314" s="13"/>
      <c r="C314" s="7"/>
      <c r="D314" s="12" t="str">
        <f aca="false">IF($C314="","",IFERROR(INDEX(고객명부!$B$3:$B$502,MATCH($C314,고객명부!$A$3:$A$502,0)),"미등록고객"))</f>
        <v/>
      </c>
      <c r="E314" s="12" t="str">
        <f aca="false">IF($C314="","",IFERROR(INDEX(고객명부!$C$3:$C$502,MATCH($C314,고객명부!$A$3:$A$502,0)),""))</f>
        <v/>
      </c>
      <c r="F314" s="12" t="str">
        <f aca="false">IF($C314="","",IFERROR(INDEX(고객명부!$D$3:$D$502,MATCH($C314,고객명부!$A$3:$A$502,0)),""))</f>
        <v/>
      </c>
      <c r="G314" s="12" t="str">
        <f aca="false">IF($C314="","",IFERROR(INDEX(고객명부!$E$3:$E$502,MATCH($C314,고객명부!$A$3:$A$502,0))&amp;" "&amp;INDEX(고객명부!$F$3:$F$502,MATCH($C314,고객명부!$A$3:$A$502,0)),""))</f>
        <v/>
      </c>
      <c r="H314" s="7"/>
      <c r="I314" s="12" t="str">
        <f aca="false">IF($H314="","",IFERROR(INDEX(상품목록!$B$3:$B$102,MATCH($H314,상품목록!$A$3:$A$102,0)),""))</f>
        <v/>
      </c>
      <c r="J314" s="14" t="str">
        <f aca="false">IF($H314="","",IFERROR(INDEX(상품목록!$C$3:$C$102,MATCH($H314,상품목록!$A$3:$A$102,0)),0))</f>
        <v/>
      </c>
      <c r="K314" s="7"/>
      <c r="L314" s="14" t="str">
        <f aca="false">IF(OR($J314="",$K314=""),"",ROUND($J314*$K314,0))</f>
        <v/>
      </c>
      <c r="M314" s="9"/>
      <c r="N314" s="14" t="str">
        <f aca="false">IF($L314="","",$L314+IF($M314="",0,$M314))</f>
        <v/>
      </c>
      <c r="O314" s="13"/>
      <c r="P314" s="7"/>
      <c r="Q314" s="12" t="str">
        <f aca="false">IF($C314="","",IF($P314&lt;&gt;"","발송완료",IF($O314&lt;&gt;"","입금완료","입금대기")))</f>
        <v/>
      </c>
      <c r="R314" s="12" t="str">
        <f aca="false">IF($C314="","",COUNTIFS($C$3:$C314,$C314))</f>
        <v/>
      </c>
      <c r="S314" s="12" t="str">
        <f aca="false">IF($C314="","",$C314&amp;"|"&amp;$R314)</f>
        <v/>
      </c>
    </row>
    <row r="315" customFormat="false" ht="15" hidden="false" customHeight="true" outlineLevel="0" collapsed="false">
      <c r="A315" s="12" t="str">
        <f aca="false">IF($C315="","",TEXT($B315,"yymmdd")&amp;"-"&amp;TEXT(COUNTIFS($B$3:$B315,$B315),"000"))</f>
        <v/>
      </c>
      <c r="B315" s="13"/>
      <c r="C315" s="7"/>
      <c r="D315" s="12" t="str">
        <f aca="false">IF($C315="","",IFERROR(INDEX(고객명부!$B$3:$B$502,MATCH($C315,고객명부!$A$3:$A$502,0)),"미등록고객"))</f>
        <v/>
      </c>
      <c r="E315" s="12" t="str">
        <f aca="false">IF($C315="","",IFERROR(INDEX(고객명부!$C$3:$C$502,MATCH($C315,고객명부!$A$3:$A$502,0)),""))</f>
        <v/>
      </c>
      <c r="F315" s="12" t="str">
        <f aca="false">IF($C315="","",IFERROR(INDEX(고객명부!$D$3:$D$502,MATCH($C315,고객명부!$A$3:$A$502,0)),""))</f>
        <v/>
      </c>
      <c r="G315" s="12" t="str">
        <f aca="false">IF($C315="","",IFERROR(INDEX(고객명부!$E$3:$E$502,MATCH($C315,고객명부!$A$3:$A$502,0))&amp;" "&amp;INDEX(고객명부!$F$3:$F$502,MATCH($C315,고객명부!$A$3:$A$502,0)),""))</f>
        <v/>
      </c>
      <c r="H315" s="7"/>
      <c r="I315" s="12" t="str">
        <f aca="false">IF($H315="","",IFERROR(INDEX(상품목록!$B$3:$B$102,MATCH($H315,상품목록!$A$3:$A$102,0)),""))</f>
        <v/>
      </c>
      <c r="J315" s="14" t="str">
        <f aca="false">IF($H315="","",IFERROR(INDEX(상품목록!$C$3:$C$102,MATCH($H315,상품목록!$A$3:$A$102,0)),0))</f>
        <v/>
      </c>
      <c r="K315" s="7"/>
      <c r="L315" s="14" t="str">
        <f aca="false">IF(OR($J315="",$K315=""),"",ROUND($J315*$K315,0))</f>
        <v/>
      </c>
      <c r="M315" s="9"/>
      <c r="N315" s="14" t="str">
        <f aca="false">IF($L315="","",$L315+IF($M315="",0,$M315))</f>
        <v/>
      </c>
      <c r="O315" s="13"/>
      <c r="P315" s="7"/>
      <c r="Q315" s="12" t="str">
        <f aca="false">IF($C315="","",IF($P315&lt;&gt;"","발송완료",IF($O315&lt;&gt;"","입금완료","입금대기")))</f>
        <v/>
      </c>
      <c r="R315" s="12" t="str">
        <f aca="false">IF($C315="","",COUNTIFS($C$3:$C315,$C315))</f>
        <v/>
      </c>
      <c r="S315" s="12" t="str">
        <f aca="false">IF($C315="","",$C315&amp;"|"&amp;$R315)</f>
        <v/>
      </c>
    </row>
    <row r="316" customFormat="false" ht="15" hidden="false" customHeight="true" outlineLevel="0" collapsed="false">
      <c r="A316" s="12" t="str">
        <f aca="false">IF($C316="","",TEXT($B316,"yymmdd")&amp;"-"&amp;TEXT(COUNTIFS($B$3:$B316,$B316),"000"))</f>
        <v/>
      </c>
      <c r="B316" s="13"/>
      <c r="C316" s="7"/>
      <c r="D316" s="12" t="str">
        <f aca="false">IF($C316="","",IFERROR(INDEX(고객명부!$B$3:$B$502,MATCH($C316,고객명부!$A$3:$A$502,0)),"미등록고객"))</f>
        <v/>
      </c>
      <c r="E316" s="12" t="str">
        <f aca="false">IF($C316="","",IFERROR(INDEX(고객명부!$C$3:$C$502,MATCH($C316,고객명부!$A$3:$A$502,0)),""))</f>
        <v/>
      </c>
      <c r="F316" s="12" t="str">
        <f aca="false">IF($C316="","",IFERROR(INDEX(고객명부!$D$3:$D$502,MATCH($C316,고객명부!$A$3:$A$502,0)),""))</f>
        <v/>
      </c>
      <c r="G316" s="12" t="str">
        <f aca="false">IF($C316="","",IFERROR(INDEX(고객명부!$E$3:$E$502,MATCH($C316,고객명부!$A$3:$A$502,0))&amp;" "&amp;INDEX(고객명부!$F$3:$F$502,MATCH($C316,고객명부!$A$3:$A$502,0)),""))</f>
        <v/>
      </c>
      <c r="H316" s="7"/>
      <c r="I316" s="12" t="str">
        <f aca="false">IF($H316="","",IFERROR(INDEX(상품목록!$B$3:$B$102,MATCH($H316,상품목록!$A$3:$A$102,0)),""))</f>
        <v/>
      </c>
      <c r="J316" s="14" t="str">
        <f aca="false">IF($H316="","",IFERROR(INDEX(상품목록!$C$3:$C$102,MATCH($H316,상품목록!$A$3:$A$102,0)),0))</f>
        <v/>
      </c>
      <c r="K316" s="7"/>
      <c r="L316" s="14" t="str">
        <f aca="false">IF(OR($J316="",$K316=""),"",ROUND($J316*$K316,0))</f>
        <v/>
      </c>
      <c r="M316" s="9"/>
      <c r="N316" s="14" t="str">
        <f aca="false">IF($L316="","",$L316+IF($M316="",0,$M316))</f>
        <v/>
      </c>
      <c r="O316" s="13"/>
      <c r="P316" s="7"/>
      <c r="Q316" s="12" t="str">
        <f aca="false">IF($C316="","",IF($P316&lt;&gt;"","발송완료",IF($O316&lt;&gt;"","입금완료","입금대기")))</f>
        <v/>
      </c>
      <c r="R316" s="12" t="str">
        <f aca="false">IF($C316="","",COUNTIFS($C$3:$C316,$C316))</f>
        <v/>
      </c>
      <c r="S316" s="12" t="str">
        <f aca="false">IF($C316="","",$C316&amp;"|"&amp;$R316)</f>
        <v/>
      </c>
    </row>
    <row r="317" customFormat="false" ht="15" hidden="false" customHeight="true" outlineLevel="0" collapsed="false">
      <c r="A317" s="12" t="str">
        <f aca="false">IF($C317="","",TEXT($B317,"yymmdd")&amp;"-"&amp;TEXT(COUNTIFS($B$3:$B317,$B317),"000"))</f>
        <v/>
      </c>
      <c r="B317" s="13"/>
      <c r="C317" s="7"/>
      <c r="D317" s="12" t="str">
        <f aca="false">IF($C317="","",IFERROR(INDEX(고객명부!$B$3:$B$502,MATCH($C317,고객명부!$A$3:$A$502,0)),"미등록고객"))</f>
        <v/>
      </c>
      <c r="E317" s="12" t="str">
        <f aca="false">IF($C317="","",IFERROR(INDEX(고객명부!$C$3:$C$502,MATCH($C317,고객명부!$A$3:$A$502,0)),""))</f>
        <v/>
      </c>
      <c r="F317" s="12" t="str">
        <f aca="false">IF($C317="","",IFERROR(INDEX(고객명부!$D$3:$D$502,MATCH($C317,고객명부!$A$3:$A$502,0)),""))</f>
        <v/>
      </c>
      <c r="G317" s="12" t="str">
        <f aca="false">IF($C317="","",IFERROR(INDEX(고객명부!$E$3:$E$502,MATCH($C317,고객명부!$A$3:$A$502,0))&amp;" "&amp;INDEX(고객명부!$F$3:$F$502,MATCH($C317,고객명부!$A$3:$A$502,0)),""))</f>
        <v/>
      </c>
      <c r="H317" s="7"/>
      <c r="I317" s="12" t="str">
        <f aca="false">IF($H317="","",IFERROR(INDEX(상품목록!$B$3:$B$102,MATCH($H317,상품목록!$A$3:$A$102,0)),""))</f>
        <v/>
      </c>
      <c r="J317" s="14" t="str">
        <f aca="false">IF($H317="","",IFERROR(INDEX(상품목록!$C$3:$C$102,MATCH($H317,상품목록!$A$3:$A$102,0)),0))</f>
        <v/>
      </c>
      <c r="K317" s="7"/>
      <c r="L317" s="14" t="str">
        <f aca="false">IF(OR($J317="",$K317=""),"",ROUND($J317*$K317,0))</f>
        <v/>
      </c>
      <c r="M317" s="9"/>
      <c r="N317" s="14" t="str">
        <f aca="false">IF($L317="","",$L317+IF($M317="",0,$M317))</f>
        <v/>
      </c>
      <c r="O317" s="13"/>
      <c r="P317" s="7"/>
      <c r="Q317" s="12" t="str">
        <f aca="false">IF($C317="","",IF($P317&lt;&gt;"","발송완료",IF($O317&lt;&gt;"","입금완료","입금대기")))</f>
        <v/>
      </c>
      <c r="R317" s="12" t="str">
        <f aca="false">IF($C317="","",COUNTIFS($C$3:$C317,$C317))</f>
        <v/>
      </c>
      <c r="S317" s="12" t="str">
        <f aca="false">IF($C317="","",$C317&amp;"|"&amp;$R317)</f>
        <v/>
      </c>
    </row>
    <row r="318" customFormat="false" ht="15" hidden="false" customHeight="true" outlineLevel="0" collapsed="false">
      <c r="A318" s="12" t="str">
        <f aca="false">IF($C318="","",TEXT($B318,"yymmdd")&amp;"-"&amp;TEXT(COUNTIFS($B$3:$B318,$B318),"000"))</f>
        <v/>
      </c>
      <c r="B318" s="13"/>
      <c r="C318" s="7"/>
      <c r="D318" s="12" t="str">
        <f aca="false">IF($C318="","",IFERROR(INDEX(고객명부!$B$3:$B$502,MATCH($C318,고객명부!$A$3:$A$502,0)),"미등록고객"))</f>
        <v/>
      </c>
      <c r="E318" s="12" t="str">
        <f aca="false">IF($C318="","",IFERROR(INDEX(고객명부!$C$3:$C$502,MATCH($C318,고객명부!$A$3:$A$502,0)),""))</f>
        <v/>
      </c>
      <c r="F318" s="12" t="str">
        <f aca="false">IF($C318="","",IFERROR(INDEX(고객명부!$D$3:$D$502,MATCH($C318,고객명부!$A$3:$A$502,0)),""))</f>
        <v/>
      </c>
      <c r="G318" s="12" t="str">
        <f aca="false">IF($C318="","",IFERROR(INDEX(고객명부!$E$3:$E$502,MATCH($C318,고객명부!$A$3:$A$502,0))&amp;" "&amp;INDEX(고객명부!$F$3:$F$502,MATCH($C318,고객명부!$A$3:$A$502,0)),""))</f>
        <v/>
      </c>
      <c r="H318" s="7"/>
      <c r="I318" s="12" t="str">
        <f aca="false">IF($H318="","",IFERROR(INDEX(상품목록!$B$3:$B$102,MATCH($H318,상품목록!$A$3:$A$102,0)),""))</f>
        <v/>
      </c>
      <c r="J318" s="14" t="str">
        <f aca="false">IF($H318="","",IFERROR(INDEX(상품목록!$C$3:$C$102,MATCH($H318,상품목록!$A$3:$A$102,0)),0))</f>
        <v/>
      </c>
      <c r="K318" s="7"/>
      <c r="L318" s="14" t="str">
        <f aca="false">IF(OR($J318="",$K318=""),"",ROUND($J318*$K318,0))</f>
        <v/>
      </c>
      <c r="M318" s="9"/>
      <c r="N318" s="14" t="str">
        <f aca="false">IF($L318="","",$L318+IF($M318="",0,$M318))</f>
        <v/>
      </c>
      <c r="O318" s="13"/>
      <c r="P318" s="7"/>
      <c r="Q318" s="12" t="str">
        <f aca="false">IF($C318="","",IF($P318&lt;&gt;"","발송완료",IF($O318&lt;&gt;"","입금완료","입금대기")))</f>
        <v/>
      </c>
      <c r="R318" s="12" t="str">
        <f aca="false">IF($C318="","",COUNTIFS($C$3:$C318,$C318))</f>
        <v/>
      </c>
      <c r="S318" s="12" t="str">
        <f aca="false">IF($C318="","",$C318&amp;"|"&amp;$R318)</f>
        <v/>
      </c>
    </row>
    <row r="319" customFormat="false" ht="15" hidden="false" customHeight="true" outlineLevel="0" collapsed="false">
      <c r="A319" s="12" t="str">
        <f aca="false">IF($C319="","",TEXT($B319,"yymmdd")&amp;"-"&amp;TEXT(COUNTIFS($B$3:$B319,$B319),"000"))</f>
        <v/>
      </c>
      <c r="B319" s="13"/>
      <c r="C319" s="7"/>
      <c r="D319" s="12" t="str">
        <f aca="false">IF($C319="","",IFERROR(INDEX(고객명부!$B$3:$B$502,MATCH($C319,고객명부!$A$3:$A$502,0)),"미등록고객"))</f>
        <v/>
      </c>
      <c r="E319" s="12" t="str">
        <f aca="false">IF($C319="","",IFERROR(INDEX(고객명부!$C$3:$C$502,MATCH($C319,고객명부!$A$3:$A$502,0)),""))</f>
        <v/>
      </c>
      <c r="F319" s="12" t="str">
        <f aca="false">IF($C319="","",IFERROR(INDEX(고객명부!$D$3:$D$502,MATCH($C319,고객명부!$A$3:$A$502,0)),""))</f>
        <v/>
      </c>
      <c r="G319" s="12" t="str">
        <f aca="false">IF($C319="","",IFERROR(INDEX(고객명부!$E$3:$E$502,MATCH($C319,고객명부!$A$3:$A$502,0))&amp;" "&amp;INDEX(고객명부!$F$3:$F$502,MATCH($C319,고객명부!$A$3:$A$502,0)),""))</f>
        <v/>
      </c>
      <c r="H319" s="7"/>
      <c r="I319" s="12" t="str">
        <f aca="false">IF($H319="","",IFERROR(INDEX(상품목록!$B$3:$B$102,MATCH($H319,상품목록!$A$3:$A$102,0)),""))</f>
        <v/>
      </c>
      <c r="J319" s="14" t="str">
        <f aca="false">IF($H319="","",IFERROR(INDEX(상품목록!$C$3:$C$102,MATCH($H319,상품목록!$A$3:$A$102,0)),0))</f>
        <v/>
      </c>
      <c r="K319" s="7"/>
      <c r="L319" s="14" t="str">
        <f aca="false">IF(OR($J319="",$K319=""),"",ROUND($J319*$K319,0))</f>
        <v/>
      </c>
      <c r="M319" s="9"/>
      <c r="N319" s="14" t="str">
        <f aca="false">IF($L319="","",$L319+IF($M319="",0,$M319))</f>
        <v/>
      </c>
      <c r="O319" s="13"/>
      <c r="P319" s="7"/>
      <c r="Q319" s="12" t="str">
        <f aca="false">IF($C319="","",IF($P319&lt;&gt;"","발송완료",IF($O319&lt;&gt;"","입금완료","입금대기")))</f>
        <v/>
      </c>
      <c r="R319" s="12" t="str">
        <f aca="false">IF($C319="","",COUNTIFS($C$3:$C319,$C319))</f>
        <v/>
      </c>
      <c r="S319" s="12" t="str">
        <f aca="false">IF($C319="","",$C319&amp;"|"&amp;$R319)</f>
        <v/>
      </c>
    </row>
    <row r="320" customFormat="false" ht="15" hidden="false" customHeight="true" outlineLevel="0" collapsed="false">
      <c r="A320" s="12" t="str">
        <f aca="false">IF($C320="","",TEXT($B320,"yymmdd")&amp;"-"&amp;TEXT(COUNTIFS($B$3:$B320,$B320),"000"))</f>
        <v/>
      </c>
      <c r="B320" s="13"/>
      <c r="C320" s="7"/>
      <c r="D320" s="12" t="str">
        <f aca="false">IF($C320="","",IFERROR(INDEX(고객명부!$B$3:$B$502,MATCH($C320,고객명부!$A$3:$A$502,0)),"미등록고객"))</f>
        <v/>
      </c>
      <c r="E320" s="12" t="str">
        <f aca="false">IF($C320="","",IFERROR(INDEX(고객명부!$C$3:$C$502,MATCH($C320,고객명부!$A$3:$A$502,0)),""))</f>
        <v/>
      </c>
      <c r="F320" s="12" t="str">
        <f aca="false">IF($C320="","",IFERROR(INDEX(고객명부!$D$3:$D$502,MATCH($C320,고객명부!$A$3:$A$502,0)),""))</f>
        <v/>
      </c>
      <c r="G320" s="12" t="str">
        <f aca="false">IF($C320="","",IFERROR(INDEX(고객명부!$E$3:$E$502,MATCH($C320,고객명부!$A$3:$A$502,0))&amp;" "&amp;INDEX(고객명부!$F$3:$F$502,MATCH($C320,고객명부!$A$3:$A$502,0)),""))</f>
        <v/>
      </c>
      <c r="H320" s="7"/>
      <c r="I320" s="12" t="str">
        <f aca="false">IF($H320="","",IFERROR(INDEX(상품목록!$B$3:$B$102,MATCH($H320,상품목록!$A$3:$A$102,0)),""))</f>
        <v/>
      </c>
      <c r="J320" s="14" t="str">
        <f aca="false">IF($H320="","",IFERROR(INDEX(상품목록!$C$3:$C$102,MATCH($H320,상품목록!$A$3:$A$102,0)),0))</f>
        <v/>
      </c>
      <c r="K320" s="7"/>
      <c r="L320" s="14" t="str">
        <f aca="false">IF(OR($J320="",$K320=""),"",ROUND($J320*$K320,0))</f>
        <v/>
      </c>
      <c r="M320" s="9"/>
      <c r="N320" s="14" t="str">
        <f aca="false">IF($L320="","",$L320+IF($M320="",0,$M320))</f>
        <v/>
      </c>
      <c r="O320" s="13"/>
      <c r="P320" s="7"/>
      <c r="Q320" s="12" t="str">
        <f aca="false">IF($C320="","",IF($P320&lt;&gt;"","발송완료",IF($O320&lt;&gt;"","입금완료","입금대기")))</f>
        <v/>
      </c>
      <c r="R320" s="12" t="str">
        <f aca="false">IF($C320="","",COUNTIFS($C$3:$C320,$C320))</f>
        <v/>
      </c>
      <c r="S320" s="12" t="str">
        <f aca="false">IF($C320="","",$C320&amp;"|"&amp;$R320)</f>
        <v/>
      </c>
    </row>
    <row r="321" customFormat="false" ht="15" hidden="false" customHeight="true" outlineLevel="0" collapsed="false">
      <c r="A321" s="12" t="str">
        <f aca="false">IF($C321="","",TEXT($B321,"yymmdd")&amp;"-"&amp;TEXT(COUNTIFS($B$3:$B321,$B321),"000"))</f>
        <v/>
      </c>
      <c r="B321" s="13"/>
      <c r="C321" s="7"/>
      <c r="D321" s="12" t="str">
        <f aca="false">IF($C321="","",IFERROR(INDEX(고객명부!$B$3:$B$502,MATCH($C321,고객명부!$A$3:$A$502,0)),"미등록고객"))</f>
        <v/>
      </c>
      <c r="E321" s="12" t="str">
        <f aca="false">IF($C321="","",IFERROR(INDEX(고객명부!$C$3:$C$502,MATCH($C321,고객명부!$A$3:$A$502,0)),""))</f>
        <v/>
      </c>
      <c r="F321" s="12" t="str">
        <f aca="false">IF($C321="","",IFERROR(INDEX(고객명부!$D$3:$D$502,MATCH($C321,고객명부!$A$3:$A$502,0)),""))</f>
        <v/>
      </c>
      <c r="G321" s="12" t="str">
        <f aca="false">IF($C321="","",IFERROR(INDEX(고객명부!$E$3:$E$502,MATCH($C321,고객명부!$A$3:$A$502,0))&amp;" "&amp;INDEX(고객명부!$F$3:$F$502,MATCH($C321,고객명부!$A$3:$A$502,0)),""))</f>
        <v/>
      </c>
      <c r="H321" s="7"/>
      <c r="I321" s="12" t="str">
        <f aca="false">IF($H321="","",IFERROR(INDEX(상품목록!$B$3:$B$102,MATCH($H321,상품목록!$A$3:$A$102,0)),""))</f>
        <v/>
      </c>
      <c r="J321" s="14" t="str">
        <f aca="false">IF($H321="","",IFERROR(INDEX(상품목록!$C$3:$C$102,MATCH($H321,상품목록!$A$3:$A$102,0)),0))</f>
        <v/>
      </c>
      <c r="K321" s="7"/>
      <c r="L321" s="14" t="str">
        <f aca="false">IF(OR($J321="",$K321=""),"",ROUND($J321*$K321,0))</f>
        <v/>
      </c>
      <c r="M321" s="9"/>
      <c r="N321" s="14" t="str">
        <f aca="false">IF($L321="","",$L321+IF($M321="",0,$M321))</f>
        <v/>
      </c>
      <c r="O321" s="13"/>
      <c r="P321" s="7"/>
      <c r="Q321" s="12" t="str">
        <f aca="false">IF($C321="","",IF($P321&lt;&gt;"","발송완료",IF($O321&lt;&gt;"","입금완료","입금대기")))</f>
        <v/>
      </c>
      <c r="R321" s="12" t="str">
        <f aca="false">IF($C321="","",COUNTIFS($C$3:$C321,$C321))</f>
        <v/>
      </c>
      <c r="S321" s="12" t="str">
        <f aca="false">IF($C321="","",$C321&amp;"|"&amp;$R321)</f>
        <v/>
      </c>
    </row>
    <row r="322" customFormat="false" ht="15" hidden="false" customHeight="true" outlineLevel="0" collapsed="false">
      <c r="A322" s="12" t="str">
        <f aca="false">IF($C322="","",TEXT($B322,"yymmdd")&amp;"-"&amp;TEXT(COUNTIFS($B$3:$B322,$B322),"000"))</f>
        <v/>
      </c>
      <c r="B322" s="13"/>
      <c r="C322" s="7"/>
      <c r="D322" s="12" t="str">
        <f aca="false">IF($C322="","",IFERROR(INDEX(고객명부!$B$3:$B$502,MATCH($C322,고객명부!$A$3:$A$502,0)),"미등록고객"))</f>
        <v/>
      </c>
      <c r="E322" s="12" t="str">
        <f aca="false">IF($C322="","",IFERROR(INDEX(고객명부!$C$3:$C$502,MATCH($C322,고객명부!$A$3:$A$502,0)),""))</f>
        <v/>
      </c>
      <c r="F322" s="12" t="str">
        <f aca="false">IF($C322="","",IFERROR(INDEX(고객명부!$D$3:$D$502,MATCH($C322,고객명부!$A$3:$A$502,0)),""))</f>
        <v/>
      </c>
      <c r="G322" s="12" t="str">
        <f aca="false">IF($C322="","",IFERROR(INDEX(고객명부!$E$3:$E$502,MATCH($C322,고객명부!$A$3:$A$502,0))&amp;" "&amp;INDEX(고객명부!$F$3:$F$502,MATCH($C322,고객명부!$A$3:$A$502,0)),""))</f>
        <v/>
      </c>
      <c r="H322" s="7"/>
      <c r="I322" s="12" t="str">
        <f aca="false">IF($H322="","",IFERROR(INDEX(상품목록!$B$3:$B$102,MATCH($H322,상품목록!$A$3:$A$102,0)),""))</f>
        <v/>
      </c>
      <c r="J322" s="14" t="str">
        <f aca="false">IF($H322="","",IFERROR(INDEX(상품목록!$C$3:$C$102,MATCH($H322,상품목록!$A$3:$A$102,0)),0))</f>
        <v/>
      </c>
      <c r="K322" s="7"/>
      <c r="L322" s="14" t="str">
        <f aca="false">IF(OR($J322="",$K322=""),"",ROUND($J322*$K322,0))</f>
        <v/>
      </c>
      <c r="M322" s="9"/>
      <c r="N322" s="14" t="str">
        <f aca="false">IF($L322="","",$L322+IF($M322="",0,$M322))</f>
        <v/>
      </c>
      <c r="O322" s="13"/>
      <c r="P322" s="7"/>
      <c r="Q322" s="12" t="str">
        <f aca="false">IF($C322="","",IF($P322&lt;&gt;"","발송완료",IF($O322&lt;&gt;"","입금완료","입금대기")))</f>
        <v/>
      </c>
      <c r="R322" s="12" t="str">
        <f aca="false">IF($C322="","",COUNTIFS($C$3:$C322,$C322))</f>
        <v/>
      </c>
      <c r="S322" s="12" t="str">
        <f aca="false">IF($C322="","",$C322&amp;"|"&amp;$R322)</f>
        <v/>
      </c>
    </row>
    <row r="323" customFormat="false" ht="15" hidden="false" customHeight="true" outlineLevel="0" collapsed="false">
      <c r="A323" s="12" t="str">
        <f aca="false">IF($C323="","",TEXT($B323,"yymmdd")&amp;"-"&amp;TEXT(COUNTIFS($B$3:$B323,$B323),"000"))</f>
        <v/>
      </c>
      <c r="B323" s="13"/>
      <c r="C323" s="7"/>
      <c r="D323" s="12" t="str">
        <f aca="false">IF($C323="","",IFERROR(INDEX(고객명부!$B$3:$B$502,MATCH($C323,고객명부!$A$3:$A$502,0)),"미등록고객"))</f>
        <v/>
      </c>
      <c r="E323" s="12" t="str">
        <f aca="false">IF($C323="","",IFERROR(INDEX(고객명부!$C$3:$C$502,MATCH($C323,고객명부!$A$3:$A$502,0)),""))</f>
        <v/>
      </c>
      <c r="F323" s="12" t="str">
        <f aca="false">IF($C323="","",IFERROR(INDEX(고객명부!$D$3:$D$502,MATCH($C323,고객명부!$A$3:$A$502,0)),""))</f>
        <v/>
      </c>
      <c r="G323" s="12" t="str">
        <f aca="false">IF($C323="","",IFERROR(INDEX(고객명부!$E$3:$E$502,MATCH($C323,고객명부!$A$3:$A$502,0))&amp;" "&amp;INDEX(고객명부!$F$3:$F$502,MATCH($C323,고객명부!$A$3:$A$502,0)),""))</f>
        <v/>
      </c>
      <c r="H323" s="7"/>
      <c r="I323" s="12" t="str">
        <f aca="false">IF($H323="","",IFERROR(INDEX(상품목록!$B$3:$B$102,MATCH($H323,상품목록!$A$3:$A$102,0)),""))</f>
        <v/>
      </c>
      <c r="J323" s="14" t="str">
        <f aca="false">IF($H323="","",IFERROR(INDEX(상품목록!$C$3:$C$102,MATCH($H323,상품목록!$A$3:$A$102,0)),0))</f>
        <v/>
      </c>
      <c r="K323" s="7"/>
      <c r="L323" s="14" t="str">
        <f aca="false">IF(OR($J323="",$K323=""),"",ROUND($J323*$K323,0))</f>
        <v/>
      </c>
      <c r="M323" s="9"/>
      <c r="N323" s="14" t="str">
        <f aca="false">IF($L323="","",$L323+IF($M323="",0,$M323))</f>
        <v/>
      </c>
      <c r="O323" s="13"/>
      <c r="P323" s="7"/>
      <c r="Q323" s="12" t="str">
        <f aca="false">IF($C323="","",IF($P323&lt;&gt;"","발송완료",IF($O323&lt;&gt;"","입금완료","입금대기")))</f>
        <v/>
      </c>
      <c r="R323" s="12" t="str">
        <f aca="false">IF($C323="","",COUNTIFS($C$3:$C323,$C323))</f>
        <v/>
      </c>
      <c r="S323" s="12" t="str">
        <f aca="false">IF($C323="","",$C323&amp;"|"&amp;$R323)</f>
        <v/>
      </c>
    </row>
    <row r="324" customFormat="false" ht="15" hidden="false" customHeight="true" outlineLevel="0" collapsed="false">
      <c r="A324" s="12" t="str">
        <f aca="false">IF($C324="","",TEXT($B324,"yymmdd")&amp;"-"&amp;TEXT(COUNTIFS($B$3:$B324,$B324),"000"))</f>
        <v/>
      </c>
      <c r="B324" s="13"/>
      <c r="C324" s="7"/>
      <c r="D324" s="12" t="str">
        <f aca="false">IF($C324="","",IFERROR(INDEX(고객명부!$B$3:$B$502,MATCH($C324,고객명부!$A$3:$A$502,0)),"미등록고객"))</f>
        <v/>
      </c>
      <c r="E324" s="12" t="str">
        <f aca="false">IF($C324="","",IFERROR(INDEX(고객명부!$C$3:$C$502,MATCH($C324,고객명부!$A$3:$A$502,0)),""))</f>
        <v/>
      </c>
      <c r="F324" s="12" t="str">
        <f aca="false">IF($C324="","",IFERROR(INDEX(고객명부!$D$3:$D$502,MATCH($C324,고객명부!$A$3:$A$502,0)),""))</f>
        <v/>
      </c>
      <c r="G324" s="12" t="str">
        <f aca="false">IF($C324="","",IFERROR(INDEX(고객명부!$E$3:$E$502,MATCH($C324,고객명부!$A$3:$A$502,0))&amp;" "&amp;INDEX(고객명부!$F$3:$F$502,MATCH($C324,고객명부!$A$3:$A$502,0)),""))</f>
        <v/>
      </c>
      <c r="H324" s="7"/>
      <c r="I324" s="12" t="str">
        <f aca="false">IF($H324="","",IFERROR(INDEX(상품목록!$B$3:$B$102,MATCH($H324,상품목록!$A$3:$A$102,0)),""))</f>
        <v/>
      </c>
      <c r="J324" s="14" t="str">
        <f aca="false">IF($H324="","",IFERROR(INDEX(상품목록!$C$3:$C$102,MATCH($H324,상품목록!$A$3:$A$102,0)),0))</f>
        <v/>
      </c>
      <c r="K324" s="7"/>
      <c r="L324" s="14" t="str">
        <f aca="false">IF(OR($J324="",$K324=""),"",ROUND($J324*$K324,0))</f>
        <v/>
      </c>
      <c r="M324" s="9"/>
      <c r="N324" s="14" t="str">
        <f aca="false">IF($L324="","",$L324+IF($M324="",0,$M324))</f>
        <v/>
      </c>
      <c r="O324" s="13"/>
      <c r="P324" s="7"/>
      <c r="Q324" s="12" t="str">
        <f aca="false">IF($C324="","",IF($P324&lt;&gt;"","발송완료",IF($O324&lt;&gt;"","입금완료","입금대기")))</f>
        <v/>
      </c>
      <c r="R324" s="12" t="str">
        <f aca="false">IF($C324="","",COUNTIFS($C$3:$C324,$C324))</f>
        <v/>
      </c>
      <c r="S324" s="12" t="str">
        <f aca="false">IF($C324="","",$C324&amp;"|"&amp;$R324)</f>
        <v/>
      </c>
    </row>
    <row r="325" customFormat="false" ht="15" hidden="false" customHeight="true" outlineLevel="0" collapsed="false">
      <c r="A325" s="12" t="str">
        <f aca="false">IF($C325="","",TEXT($B325,"yymmdd")&amp;"-"&amp;TEXT(COUNTIFS($B$3:$B325,$B325),"000"))</f>
        <v/>
      </c>
      <c r="B325" s="13"/>
      <c r="C325" s="7"/>
      <c r="D325" s="12" t="str">
        <f aca="false">IF($C325="","",IFERROR(INDEX(고객명부!$B$3:$B$502,MATCH($C325,고객명부!$A$3:$A$502,0)),"미등록고객"))</f>
        <v/>
      </c>
      <c r="E325" s="12" t="str">
        <f aca="false">IF($C325="","",IFERROR(INDEX(고객명부!$C$3:$C$502,MATCH($C325,고객명부!$A$3:$A$502,0)),""))</f>
        <v/>
      </c>
      <c r="F325" s="12" t="str">
        <f aca="false">IF($C325="","",IFERROR(INDEX(고객명부!$D$3:$D$502,MATCH($C325,고객명부!$A$3:$A$502,0)),""))</f>
        <v/>
      </c>
      <c r="G325" s="12" t="str">
        <f aca="false">IF($C325="","",IFERROR(INDEX(고객명부!$E$3:$E$502,MATCH($C325,고객명부!$A$3:$A$502,0))&amp;" "&amp;INDEX(고객명부!$F$3:$F$502,MATCH($C325,고객명부!$A$3:$A$502,0)),""))</f>
        <v/>
      </c>
      <c r="H325" s="7"/>
      <c r="I325" s="12" t="str">
        <f aca="false">IF($H325="","",IFERROR(INDEX(상품목록!$B$3:$B$102,MATCH($H325,상품목록!$A$3:$A$102,0)),""))</f>
        <v/>
      </c>
      <c r="J325" s="14" t="str">
        <f aca="false">IF($H325="","",IFERROR(INDEX(상품목록!$C$3:$C$102,MATCH($H325,상품목록!$A$3:$A$102,0)),0))</f>
        <v/>
      </c>
      <c r="K325" s="7"/>
      <c r="L325" s="14" t="str">
        <f aca="false">IF(OR($J325="",$K325=""),"",ROUND($J325*$K325,0))</f>
        <v/>
      </c>
      <c r="M325" s="9"/>
      <c r="N325" s="14" t="str">
        <f aca="false">IF($L325="","",$L325+IF($M325="",0,$M325))</f>
        <v/>
      </c>
      <c r="O325" s="13"/>
      <c r="P325" s="7"/>
      <c r="Q325" s="12" t="str">
        <f aca="false">IF($C325="","",IF($P325&lt;&gt;"","발송완료",IF($O325&lt;&gt;"","입금완료","입금대기")))</f>
        <v/>
      </c>
      <c r="R325" s="12" t="str">
        <f aca="false">IF($C325="","",COUNTIFS($C$3:$C325,$C325))</f>
        <v/>
      </c>
      <c r="S325" s="12" t="str">
        <f aca="false">IF($C325="","",$C325&amp;"|"&amp;$R325)</f>
        <v/>
      </c>
    </row>
    <row r="326" customFormat="false" ht="15" hidden="false" customHeight="true" outlineLevel="0" collapsed="false">
      <c r="A326" s="12" t="str">
        <f aca="false">IF($C326="","",TEXT($B326,"yymmdd")&amp;"-"&amp;TEXT(COUNTIFS($B$3:$B326,$B326),"000"))</f>
        <v/>
      </c>
      <c r="B326" s="13"/>
      <c r="C326" s="7"/>
      <c r="D326" s="12" t="str">
        <f aca="false">IF($C326="","",IFERROR(INDEX(고객명부!$B$3:$B$502,MATCH($C326,고객명부!$A$3:$A$502,0)),"미등록고객"))</f>
        <v/>
      </c>
      <c r="E326" s="12" t="str">
        <f aca="false">IF($C326="","",IFERROR(INDEX(고객명부!$C$3:$C$502,MATCH($C326,고객명부!$A$3:$A$502,0)),""))</f>
        <v/>
      </c>
      <c r="F326" s="12" t="str">
        <f aca="false">IF($C326="","",IFERROR(INDEX(고객명부!$D$3:$D$502,MATCH($C326,고객명부!$A$3:$A$502,0)),""))</f>
        <v/>
      </c>
      <c r="G326" s="12" t="str">
        <f aca="false">IF($C326="","",IFERROR(INDEX(고객명부!$E$3:$E$502,MATCH($C326,고객명부!$A$3:$A$502,0))&amp;" "&amp;INDEX(고객명부!$F$3:$F$502,MATCH($C326,고객명부!$A$3:$A$502,0)),""))</f>
        <v/>
      </c>
      <c r="H326" s="7"/>
      <c r="I326" s="12" t="str">
        <f aca="false">IF($H326="","",IFERROR(INDEX(상품목록!$B$3:$B$102,MATCH($H326,상품목록!$A$3:$A$102,0)),""))</f>
        <v/>
      </c>
      <c r="J326" s="14" t="str">
        <f aca="false">IF($H326="","",IFERROR(INDEX(상품목록!$C$3:$C$102,MATCH($H326,상품목록!$A$3:$A$102,0)),0))</f>
        <v/>
      </c>
      <c r="K326" s="7"/>
      <c r="L326" s="14" t="str">
        <f aca="false">IF(OR($J326="",$K326=""),"",ROUND($J326*$K326,0))</f>
        <v/>
      </c>
      <c r="M326" s="9"/>
      <c r="N326" s="14" t="str">
        <f aca="false">IF($L326="","",$L326+IF($M326="",0,$M326))</f>
        <v/>
      </c>
      <c r="O326" s="13"/>
      <c r="P326" s="7"/>
      <c r="Q326" s="12" t="str">
        <f aca="false">IF($C326="","",IF($P326&lt;&gt;"","발송완료",IF($O326&lt;&gt;"","입금완료","입금대기")))</f>
        <v/>
      </c>
      <c r="R326" s="12" t="str">
        <f aca="false">IF($C326="","",COUNTIFS($C$3:$C326,$C326))</f>
        <v/>
      </c>
      <c r="S326" s="12" t="str">
        <f aca="false">IF($C326="","",$C326&amp;"|"&amp;$R326)</f>
        <v/>
      </c>
    </row>
    <row r="327" customFormat="false" ht="15" hidden="false" customHeight="true" outlineLevel="0" collapsed="false">
      <c r="A327" s="12" t="str">
        <f aca="false">IF($C327="","",TEXT($B327,"yymmdd")&amp;"-"&amp;TEXT(COUNTIFS($B$3:$B327,$B327),"000"))</f>
        <v/>
      </c>
      <c r="B327" s="13"/>
      <c r="C327" s="7"/>
      <c r="D327" s="12" t="str">
        <f aca="false">IF($C327="","",IFERROR(INDEX(고객명부!$B$3:$B$502,MATCH($C327,고객명부!$A$3:$A$502,0)),"미등록고객"))</f>
        <v/>
      </c>
      <c r="E327" s="12" t="str">
        <f aca="false">IF($C327="","",IFERROR(INDEX(고객명부!$C$3:$C$502,MATCH($C327,고객명부!$A$3:$A$502,0)),""))</f>
        <v/>
      </c>
      <c r="F327" s="12" t="str">
        <f aca="false">IF($C327="","",IFERROR(INDEX(고객명부!$D$3:$D$502,MATCH($C327,고객명부!$A$3:$A$502,0)),""))</f>
        <v/>
      </c>
      <c r="G327" s="12" t="str">
        <f aca="false">IF($C327="","",IFERROR(INDEX(고객명부!$E$3:$E$502,MATCH($C327,고객명부!$A$3:$A$502,0))&amp;" "&amp;INDEX(고객명부!$F$3:$F$502,MATCH($C327,고객명부!$A$3:$A$502,0)),""))</f>
        <v/>
      </c>
      <c r="H327" s="7"/>
      <c r="I327" s="12" t="str">
        <f aca="false">IF($H327="","",IFERROR(INDEX(상품목록!$B$3:$B$102,MATCH($H327,상품목록!$A$3:$A$102,0)),""))</f>
        <v/>
      </c>
      <c r="J327" s="14" t="str">
        <f aca="false">IF($H327="","",IFERROR(INDEX(상품목록!$C$3:$C$102,MATCH($H327,상품목록!$A$3:$A$102,0)),0))</f>
        <v/>
      </c>
      <c r="K327" s="7"/>
      <c r="L327" s="14" t="str">
        <f aca="false">IF(OR($J327="",$K327=""),"",ROUND($J327*$K327,0))</f>
        <v/>
      </c>
      <c r="M327" s="9"/>
      <c r="N327" s="14" t="str">
        <f aca="false">IF($L327="","",$L327+IF($M327="",0,$M327))</f>
        <v/>
      </c>
      <c r="O327" s="13"/>
      <c r="P327" s="7"/>
      <c r="Q327" s="12" t="str">
        <f aca="false">IF($C327="","",IF($P327&lt;&gt;"","발송완료",IF($O327&lt;&gt;"","입금완료","입금대기")))</f>
        <v/>
      </c>
      <c r="R327" s="12" t="str">
        <f aca="false">IF($C327="","",COUNTIFS($C$3:$C327,$C327))</f>
        <v/>
      </c>
      <c r="S327" s="12" t="str">
        <f aca="false">IF($C327="","",$C327&amp;"|"&amp;$R327)</f>
        <v/>
      </c>
    </row>
    <row r="328" customFormat="false" ht="15" hidden="false" customHeight="true" outlineLevel="0" collapsed="false">
      <c r="A328" s="12" t="str">
        <f aca="false">IF($C328="","",TEXT($B328,"yymmdd")&amp;"-"&amp;TEXT(COUNTIFS($B$3:$B328,$B328),"000"))</f>
        <v/>
      </c>
      <c r="B328" s="13"/>
      <c r="C328" s="7"/>
      <c r="D328" s="12" t="str">
        <f aca="false">IF($C328="","",IFERROR(INDEX(고객명부!$B$3:$B$502,MATCH($C328,고객명부!$A$3:$A$502,0)),"미등록고객"))</f>
        <v/>
      </c>
      <c r="E328" s="12" t="str">
        <f aca="false">IF($C328="","",IFERROR(INDEX(고객명부!$C$3:$C$502,MATCH($C328,고객명부!$A$3:$A$502,0)),""))</f>
        <v/>
      </c>
      <c r="F328" s="12" t="str">
        <f aca="false">IF($C328="","",IFERROR(INDEX(고객명부!$D$3:$D$502,MATCH($C328,고객명부!$A$3:$A$502,0)),""))</f>
        <v/>
      </c>
      <c r="G328" s="12" t="str">
        <f aca="false">IF($C328="","",IFERROR(INDEX(고객명부!$E$3:$E$502,MATCH($C328,고객명부!$A$3:$A$502,0))&amp;" "&amp;INDEX(고객명부!$F$3:$F$502,MATCH($C328,고객명부!$A$3:$A$502,0)),""))</f>
        <v/>
      </c>
      <c r="H328" s="7"/>
      <c r="I328" s="12" t="str">
        <f aca="false">IF($H328="","",IFERROR(INDEX(상품목록!$B$3:$B$102,MATCH($H328,상품목록!$A$3:$A$102,0)),""))</f>
        <v/>
      </c>
      <c r="J328" s="14" t="str">
        <f aca="false">IF($H328="","",IFERROR(INDEX(상품목록!$C$3:$C$102,MATCH($H328,상품목록!$A$3:$A$102,0)),0))</f>
        <v/>
      </c>
      <c r="K328" s="7"/>
      <c r="L328" s="14" t="str">
        <f aca="false">IF(OR($J328="",$K328=""),"",ROUND($J328*$K328,0))</f>
        <v/>
      </c>
      <c r="M328" s="9"/>
      <c r="N328" s="14" t="str">
        <f aca="false">IF($L328="","",$L328+IF($M328="",0,$M328))</f>
        <v/>
      </c>
      <c r="O328" s="13"/>
      <c r="P328" s="7"/>
      <c r="Q328" s="12" t="str">
        <f aca="false">IF($C328="","",IF($P328&lt;&gt;"","발송완료",IF($O328&lt;&gt;"","입금완료","입금대기")))</f>
        <v/>
      </c>
      <c r="R328" s="12" t="str">
        <f aca="false">IF($C328="","",COUNTIFS($C$3:$C328,$C328))</f>
        <v/>
      </c>
      <c r="S328" s="12" t="str">
        <f aca="false">IF($C328="","",$C328&amp;"|"&amp;$R328)</f>
        <v/>
      </c>
    </row>
    <row r="329" customFormat="false" ht="15" hidden="false" customHeight="true" outlineLevel="0" collapsed="false">
      <c r="A329" s="12" t="str">
        <f aca="false">IF($C329="","",TEXT($B329,"yymmdd")&amp;"-"&amp;TEXT(COUNTIFS($B$3:$B329,$B329),"000"))</f>
        <v/>
      </c>
      <c r="B329" s="13"/>
      <c r="C329" s="7"/>
      <c r="D329" s="12" t="str">
        <f aca="false">IF($C329="","",IFERROR(INDEX(고객명부!$B$3:$B$502,MATCH($C329,고객명부!$A$3:$A$502,0)),"미등록고객"))</f>
        <v/>
      </c>
      <c r="E329" s="12" t="str">
        <f aca="false">IF($C329="","",IFERROR(INDEX(고객명부!$C$3:$C$502,MATCH($C329,고객명부!$A$3:$A$502,0)),""))</f>
        <v/>
      </c>
      <c r="F329" s="12" t="str">
        <f aca="false">IF($C329="","",IFERROR(INDEX(고객명부!$D$3:$D$502,MATCH($C329,고객명부!$A$3:$A$502,0)),""))</f>
        <v/>
      </c>
      <c r="G329" s="12" t="str">
        <f aca="false">IF($C329="","",IFERROR(INDEX(고객명부!$E$3:$E$502,MATCH($C329,고객명부!$A$3:$A$502,0))&amp;" "&amp;INDEX(고객명부!$F$3:$F$502,MATCH($C329,고객명부!$A$3:$A$502,0)),""))</f>
        <v/>
      </c>
      <c r="H329" s="7"/>
      <c r="I329" s="12" t="str">
        <f aca="false">IF($H329="","",IFERROR(INDEX(상품목록!$B$3:$B$102,MATCH($H329,상품목록!$A$3:$A$102,0)),""))</f>
        <v/>
      </c>
      <c r="J329" s="14" t="str">
        <f aca="false">IF($H329="","",IFERROR(INDEX(상품목록!$C$3:$C$102,MATCH($H329,상품목록!$A$3:$A$102,0)),0))</f>
        <v/>
      </c>
      <c r="K329" s="7"/>
      <c r="L329" s="14" t="str">
        <f aca="false">IF(OR($J329="",$K329=""),"",ROUND($J329*$K329,0))</f>
        <v/>
      </c>
      <c r="M329" s="9"/>
      <c r="N329" s="14" t="str">
        <f aca="false">IF($L329="","",$L329+IF($M329="",0,$M329))</f>
        <v/>
      </c>
      <c r="O329" s="13"/>
      <c r="P329" s="7"/>
      <c r="Q329" s="12" t="str">
        <f aca="false">IF($C329="","",IF($P329&lt;&gt;"","발송완료",IF($O329&lt;&gt;"","입금완료","입금대기")))</f>
        <v/>
      </c>
      <c r="R329" s="12" t="str">
        <f aca="false">IF($C329="","",COUNTIFS($C$3:$C329,$C329))</f>
        <v/>
      </c>
      <c r="S329" s="12" t="str">
        <f aca="false">IF($C329="","",$C329&amp;"|"&amp;$R329)</f>
        <v/>
      </c>
    </row>
    <row r="330" customFormat="false" ht="15" hidden="false" customHeight="true" outlineLevel="0" collapsed="false">
      <c r="A330" s="12" t="str">
        <f aca="false">IF($C330="","",TEXT($B330,"yymmdd")&amp;"-"&amp;TEXT(COUNTIFS($B$3:$B330,$B330),"000"))</f>
        <v/>
      </c>
      <c r="B330" s="13"/>
      <c r="C330" s="7"/>
      <c r="D330" s="12" t="str">
        <f aca="false">IF($C330="","",IFERROR(INDEX(고객명부!$B$3:$B$502,MATCH($C330,고객명부!$A$3:$A$502,0)),"미등록고객"))</f>
        <v/>
      </c>
      <c r="E330" s="12" t="str">
        <f aca="false">IF($C330="","",IFERROR(INDEX(고객명부!$C$3:$C$502,MATCH($C330,고객명부!$A$3:$A$502,0)),""))</f>
        <v/>
      </c>
      <c r="F330" s="12" t="str">
        <f aca="false">IF($C330="","",IFERROR(INDEX(고객명부!$D$3:$D$502,MATCH($C330,고객명부!$A$3:$A$502,0)),""))</f>
        <v/>
      </c>
      <c r="G330" s="12" t="str">
        <f aca="false">IF($C330="","",IFERROR(INDEX(고객명부!$E$3:$E$502,MATCH($C330,고객명부!$A$3:$A$502,0))&amp;" "&amp;INDEX(고객명부!$F$3:$F$502,MATCH($C330,고객명부!$A$3:$A$502,0)),""))</f>
        <v/>
      </c>
      <c r="H330" s="7"/>
      <c r="I330" s="12" t="str">
        <f aca="false">IF($H330="","",IFERROR(INDEX(상품목록!$B$3:$B$102,MATCH($H330,상품목록!$A$3:$A$102,0)),""))</f>
        <v/>
      </c>
      <c r="J330" s="14" t="str">
        <f aca="false">IF($H330="","",IFERROR(INDEX(상품목록!$C$3:$C$102,MATCH($H330,상품목록!$A$3:$A$102,0)),0))</f>
        <v/>
      </c>
      <c r="K330" s="7"/>
      <c r="L330" s="14" t="str">
        <f aca="false">IF(OR($J330="",$K330=""),"",ROUND($J330*$K330,0))</f>
        <v/>
      </c>
      <c r="M330" s="9"/>
      <c r="N330" s="14" t="str">
        <f aca="false">IF($L330="","",$L330+IF($M330="",0,$M330))</f>
        <v/>
      </c>
      <c r="O330" s="13"/>
      <c r="P330" s="7"/>
      <c r="Q330" s="12" t="str">
        <f aca="false">IF($C330="","",IF($P330&lt;&gt;"","발송완료",IF($O330&lt;&gt;"","입금완료","입금대기")))</f>
        <v/>
      </c>
      <c r="R330" s="12" t="str">
        <f aca="false">IF($C330="","",COUNTIFS($C$3:$C330,$C330))</f>
        <v/>
      </c>
      <c r="S330" s="12" t="str">
        <f aca="false">IF($C330="","",$C330&amp;"|"&amp;$R330)</f>
        <v/>
      </c>
    </row>
    <row r="331" customFormat="false" ht="15" hidden="false" customHeight="true" outlineLevel="0" collapsed="false">
      <c r="A331" s="12" t="str">
        <f aca="false">IF($C331="","",TEXT($B331,"yymmdd")&amp;"-"&amp;TEXT(COUNTIFS($B$3:$B331,$B331),"000"))</f>
        <v/>
      </c>
      <c r="B331" s="13"/>
      <c r="C331" s="7"/>
      <c r="D331" s="12" t="str">
        <f aca="false">IF($C331="","",IFERROR(INDEX(고객명부!$B$3:$B$502,MATCH($C331,고객명부!$A$3:$A$502,0)),"미등록고객"))</f>
        <v/>
      </c>
      <c r="E331" s="12" t="str">
        <f aca="false">IF($C331="","",IFERROR(INDEX(고객명부!$C$3:$C$502,MATCH($C331,고객명부!$A$3:$A$502,0)),""))</f>
        <v/>
      </c>
      <c r="F331" s="12" t="str">
        <f aca="false">IF($C331="","",IFERROR(INDEX(고객명부!$D$3:$D$502,MATCH($C331,고객명부!$A$3:$A$502,0)),""))</f>
        <v/>
      </c>
      <c r="G331" s="12" t="str">
        <f aca="false">IF($C331="","",IFERROR(INDEX(고객명부!$E$3:$E$502,MATCH($C331,고객명부!$A$3:$A$502,0))&amp;" "&amp;INDEX(고객명부!$F$3:$F$502,MATCH($C331,고객명부!$A$3:$A$502,0)),""))</f>
        <v/>
      </c>
      <c r="H331" s="7"/>
      <c r="I331" s="12" t="str">
        <f aca="false">IF($H331="","",IFERROR(INDEX(상품목록!$B$3:$B$102,MATCH($H331,상품목록!$A$3:$A$102,0)),""))</f>
        <v/>
      </c>
      <c r="J331" s="14" t="str">
        <f aca="false">IF($H331="","",IFERROR(INDEX(상품목록!$C$3:$C$102,MATCH($H331,상품목록!$A$3:$A$102,0)),0))</f>
        <v/>
      </c>
      <c r="K331" s="7"/>
      <c r="L331" s="14" t="str">
        <f aca="false">IF(OR($J331="",$K331=""),"",ROUND($J331*$K331,0))</f>
        <v/>
      </c>
      <c r="M331" s="9"/>
      <c r="N331" s="14" t="str">
        <f aca="false">IF($L331="","",$L331+IF($M331="",0,$M331))</f>
        <v/>
      </c>
      <c r="O331" s="13"/>
      <c r="P331" s="7"/>
      <c r="Q331" s="12" t="str">
        <f aca="false">IF($C331="","",IF($P331&lt;&gt;"","발송완료",IF($O331&lt;&gt;"","입금완료","입금대기")))</f>
        <v/>
      </c>
      <c r="R331" s="12" t="str">
        <f aca="false">IF($C331="","",COUNTIFS($C$3:$C331,$C331))</f>
        <v/>
      </c>
      <c r="S331" s="12" t="str">
        <f aca="false">IF($C331="","",$C331&amp;"|"&amp;$R331)</f>
        <v/>
      </c>
    </row>
    <row r="332" customFormat="false" ht="15" hidden="false" customHeight="true" outlineLevel="0" collapsed="false">
      <c r="A332" s="12" t="str">
        <f aca="false">IF($C332="","",TEXT($B332,"yymmdd")&amp;"-"&amp;TEXT(COUNTIFS($B$3:$B332,$B332),"000"))</f>
        <v/>
      </c>
      <c r="B332" s="13"/>
      <c r="C332" s="7"/>
      <c r="D332" s="12" t="str">
        <f aca="false">IF($C332="","",IFERROR(INDEX(고객명부!$B$3:$B$502,MATCH($C332,고객명부!$A$3:$A$502,0)),"미등록고객"))</f>
        <v/>
      </c>
      <c r="E332" s="12" t="str">
        <f aca="false">IF($C332="","",IFERROR(INDEX(고객명부!$C$3:$C$502,MATCH($C332,고객명부!$A$3:$A$502,0)),""))</f>
        <v/>
      </c>
      <c r="F332" s="12" t="str">
        <f aca="false">IF($C332="","",IFERROR(INDEX(고객명부!$D$3:$D$502,MATCH($C332,고객명부!$A$3:$A$502,0)),""))</f>
        <v/>
      </c>
      <c r="G332" s="12" t="str">
        <f aca="false">IF($C332="","",IFERROR(INDEX(고객명부!$E$3:$E$502,MATCH($C332,고객명부!$A$3:$A$502,0))&amp;" "&amp;INDEX(고객명부!$F$3:$F$502,MATCH($C332,고객명부!$A$3:$A$502,0)),""))</f>
        <v/>
      </c>
      <c r="H332" s="7"/>
      <c r="I332" s="12" t="str">
        <f aca="false">IF($H332="","",IFERROR(INDEX(상품목록!$B$3:$B$102,MATCH($H332,상품목록!$A$3:$A$102,0)),""))</f>
        <v/>
      </c>
      <c r="J332" s="14" t="str">
        <f aca="false">IF($H332="","",IFERROR(INDEX(상품목록!$C$3:$C$102,MATCH($H332,상품목록!$A$3:$A$102,0)),0))</f>
        <v/>
      </c>
      <c r="K332" s="7"/>
      <c r="L332" s="14" t="str">
        <f aca="false">IF(OR($J332="",$K332=""),"",ROUND($J332*$K332,0))</f>
        <v/>
      </c>
      <c r="M332" s="9"/>
      <c r="N332" s="14" t="str">
        <f aca="false">IF($L332="","",$L332+IF($M332="",0,$M332))</f>
        <v/>
      </c>
      <c r="O332" s="13"/>
      <c r="P332" s="7"/>
      <c r="Q332" s="12" t="str">
        <f aca="false">IF($C332="","",IF($P332&lt;&gt;"","발송완료",IF($O332&lt;&gt;"","입금완료","입금대기")))</f>
        <v/>
      </c>
      <c r="R332" s="12" t="str">
        <f aca="false">IF($C332="","",COUNTIFS($C$3:$C332,$C332))</f>
        <v/>
      </c>
      <c r="S332" s="12" t="str">
        <f aca="false">IF($C332="","",$C332&amp;"|"&amp;$R332)</f>
        <v/>
      </c>
    </row>
    <row r="333" customFormat="false" ht="15" hidden="false" customHeight="true" outlineLevel="0" collapsed="false">
      <c r="A333" s="12" t="str">
        <f aca="false">IF($C333="","",TEXT($B333,"yymmdd")&amp;"-"&amp;TEXT(COUNTIFS($B$3:$B333,$B333),"000"))</f>
        <v/>
      </c>
      <c r="B333" s="13"/>
      <c r="C333" s="7"/>
      <c r="D333" s="12" t="str">
        <f aca="false">IF($C333="","",IFERROR(INDEX(고객명부!$B$3:$B$502,MATCH($C333,고객명부!$A$3:$A$502,0)),"미등록고객"))</f>
        <v/>
      </c>
      <c r="E333" s="12" t="str">
        <f aca="false">IF($C333="","",IFERROR(INDEX(고객명부!$C$3:$C$502,MATCH($C333,고객명부!$A$3:$A$502,0)),""))</f>
        <v/>
      </c>
      <c r="F333" s="12" t="str">
        <f aca="false">IF($C333="","",IFERROR(INDEX(고객명부!$D$3:$D$502,MATCH($C333,고객명부!$A$3:$A$502,0)),""))</f>
        <v/>
      </c>
      <c r="G333" s="12" t="str">
        <f aca="false">IF($C333="","",IFERROR(INDEX(고객명부!$E$3:$E$502,MATCH($C333,고객명부!$A$3:$A$502,0))&amp;" "&amp;INDEX(고객명부!$F$3:$F$502,MATCH($C333,고객명부!$A$3:$A$502,0)),""))</f>
        <v/>
      </c>
      <c r="H333" s="7"/>
      <c r="I333" s="12" t="str">
        <f aca="false">IF($H333="","",IFERROR(INDEX(상품목록!$B$3:$B$102,MATCH($H333,상품목록!$A$3:$A$102,0)),""))</f>
        <v/>
      </c>
      <c r="J333" s="14" t="str">
        <f aca="false">IF($H333="","",IFERROR(INDEX(상품목록!$C$3:$C$102,MATCH($H333,상품목록!$A$3:$A$102,0)),0))</f>
        <v/>
      </c>
      <c r="K333" s="7"/>
      <c r="L333" s="14" t="str">
        <f aca="false">IF(OR($J333="",$K333=""),"",ROUND($J333*$K333,0))</f>
        <v/>
      </c>
      <c r="M333" s="9"/>
      <c r="N333" s="14" t="str">
        <f aca="false">IF($L333="","",$L333+IF($M333="",0,$M333))</f>
        <v/>
      </c>
      <c r="O333" s="13"/>
      <c r="P333" s="7"/>
      <c r="Q333" s="12" t="str">
        <f aca="false">IF($C333="","",IF($P333&lt;&gt;"","발송완료",IF($O333&lt;&gt;"","입금완료","입금대기")))</f>
        <v/>
      </c>
      <c r="R333" s="12" t="str">
        <f aca="false">IF($C333="","",COUNTIFS($C$3:$C333,$C333))</f>
        <v/>
      </c>
      <c r="S333" s="12" t="str">
        <f aca="false">IF($C333="","",$C333&amp;"|"&amp;$R333)</f>
        <v/>
      </c>
    </row>
    <row r="334" customFormat="false" ht="15" hidden="false" customHeight="true" outlineLevel="0" collapsed="false">
      <c r="A334" s="12" t="str">
        <f aca="false">IF($C334="","",TEXT($B334,"yymmdd")&amp;"-"&amp;TEXT(COUNTIFS($B$3:$B334,$B334),"000"))</f>
        <v/>
      </c>
      <c r="B334" s="13"/>
      <c r="C334" s="7"/>
      <c r="D334" s="12" t="str">
        <f aca="false">IF($C334="","",IFERROR(INDEX(고객명부!$B$3:$B$502,MATCH($C334,고객명부!$A$3:$A$502,0)),"미등록고객"))</f>
        <v/>
      </c>
      <c r="E334" s="12" t="str">
        <f aca="false">IF($C334="","",IFERROR(INDEX(고객명부!$C$3:$C$502,MATCH($C334,고객명부!$A$3:$A$502,0)),""))</f>
        <v/>
      </c>
      <c r="F334" s="12" t="str">
        <f aca="false">IF($C334="","",IFERROR(INDEX(고객명부!$D$3:$D$502,MATCH($C334,고객명부!$A$3:$A$502,0)),""))</f>
        <v/>
      </c>
      <c r="G334" s="12" t="str">
        <f aca="false">IF($C334="","",IFERROR(INDEX(고객명부!$E$3:$E$502,MATCH($C334,고객명부!$A$3:$A$502,0))&amp;" "&amp;INDEX(고객명부!$F$3:$F$502,MATCH($C334,고객명부!$A$3:$A$502,0)),""))</f>
        <v/>
      </c>
      <c r="H334" s="7"/>
      <c r="I334" s="12" t="str">
        <f aca="false">IF($H334="","",IFERROR(INDEX(상품목록!$B$3:$B$102,MATCH($H334,상품목록!$A$3:$A$102,0)),""))</f>
        <v/>
      </c>
      <c r="J334" s="14" t="str">
        <f aca="false">IF($H334="","",IFERROR(INDEX(상품목록!$C$3:$C$102,MATCH($H334,상품목록!$A$3:$A$102,0)),0))</f>
        <v/>
      </c>
      <c r="K334" s="7"/>
      <c r="L334" s="14" t="str">
        <f aca="false">IF(OR($J334="",$K334=""),"",ROUND($J334*$K334,0))</f>
        <v/>
      </c>
      <c r="M334" s="9"/>
      <c r="N334" s="14" t="str">
        <f aca="false">IF($L334="","",$L334+IF($M334="",0,$M334))</f>
        <v/>
      </c>
      <c r="O334" s="13"/>
      <c r="P334" s="7"/>
      <c r="Q334" s="12" t="str">
        <f aca="false">IF($C334="","",IF($P334&lt;&gt;"","발송완료",IF($O334&lt;&gt;"","입금완료","입금대기")))</f>
        <v/>
      </c>
      <c r="R334" s="12" t="str">
        <f aca="false">IF($C334="","",COUNTIFS($C$3:$C334,$C334))</f>
        <v/>
      </c>
      <c r="S334" s="12" t="str">
        <f aca="false">IF($C334="","",$C334&amp;"|"&amp;$R334)</f>
        <v/>
      </c>
    </row>
    <row r="335" customFormat="false" ht="15" hidden="false" customHeight="true" outlineLevel="0" collapsed="false">
      <c r="A335" s="12" t="str">
        <f aca="false">IF($C335="","",TEXT($B335,"yymmdd")&amp;"-"&amp;TEXT(COUNTIFS($B$3:$B335,$B335),"000"))</f>
        <v/>
      </c>
      <c r="B335" s="13"/>
      <c r="C335" s="7"/>
      <c r="D335" s="12" t="str">
        <f aca="false">IF($C335="","",IFERROR(INDEX(고객명부!$B$3:$B$502,MATCH($C335,고객명부!$A$3:$A$502,0)),"미등록고객"))</f>
        <v/>
      </c>
      <c r="E335" s="12" t="str">
        <f aca="false">IF($C335="","",IFERROR(INDEX(고객명부!$C$3:$C$502,MATCH($C335,고객명부!$A$3:$A$502,0)),""))</f>
        <v/>
      </c>
      <c r="F335" s="12" t="str">
        <f aca="false">IF($C335="","",IFERROR(INDEX(고객명부!$D$3:$D$502,MATCH($C335,고객명부!$A$3:$A$502,0)),""))</f>
        <v/>
      </c>
      <c r="G335" s="12" t="str">
        <f aca="false">IF($C335="","",IFERROR(INDEX(고객명부!$E$3:$E$502,MATCH($C335,고객명부!$A$3:$A$502,0))&amp;" "&amp;INDEX(고객명부!$F$3:$F$502,MATCH($C335,고객명부!$A$3:$A$502,0)),""))</f>
        <v/>
      </c>
      <c r="H335" s="7"/>
      <c r="I335" s="12" t="str">
        <f aca="false">IF($H335="","",IFERROR(INDEX(상품목록!$B$3:$B$102,MATCH($H335,상품목록!$A$3:$A$102,0)),""))</f>
        <v/>
      </c>
      <c r="J335" s="14" t="str">
        <f aca="false">IF($H335="","",IFERROR(INDEX(상품목록!$C$3:$C$102,MATCH($H335,상품목록!$A$3:$A$102,0)),0))</f>
        <v/>
      </c>
      <c r="K335" s="7"/>
      <c r="L335" s="14" t="str">
        <f aca="false">IF(OR($J335="",$K335=""),"",ROUND($J335*$K335,0))</f>
        <v/>
      </c>
      <c r="M335" s="9"/>
      <c r="N335" s="14" t="str">
        <f aca="false">IF($L335="","",$L335+IF($M335="",0,$M335))</f>
        <v/>
      </c>
      <c r="O335" s="13"/>
      <c r="P335" s="7"/>
      <c r="Q335" s="12" t="str">
        <f aca="false">IF($C335="","",IF($P335&lt;&gt;"","발송완료",IF($O335&lt;&gt;"","입금완료","입금대기")))</f>
        <v/>
      </c>
      <c r="R335" s="12" t="str">
        <f aca="false">IF($C335="","",COUNTIFS($C$3:$C335,$C335))</f>
        <v/>
      </c>
      <c r="S335" s="12" t="str">
        <f aca="false">IF($C335="","",$C335&amp;"|"&amp;$R335)</f>
        <v/>
      </c>
    </row>
    <row r="336" customFormat="false" ht="15" hidden="false" customHeight="true" outlineLevel="0" collapsed="false">
      <c r="A336" s="12" t="str">
        <f aca="false">IF($C336="","",TEXT($B336,"yymmdd")&amp;"-"&amp;TEXT(COUNTIFS($B$3:$B336,$B336),"000"))</f>
        <v/>
      </c>
      <c r="B336" s="13"/>
      <c r="C336" s="7"/>
      <c r="D336" s="12" t="str">
        <f aca="false">IF($C336="","",IFERROR(INDEX(고객명부!$B$3:$B$502,MATCH($C336,고객명부!$A$3:$A$502,0)),"미등록고객"))</f>
        <v/>
      </c>
      <c r="E336" s="12" t="str">
        <f aca="false">IF($C336="","",IFERROR(INDEX(고객명부!$C$3:$C$502,MATCH($C336,고객명부!$A$3:$A$502,0)),""))</f>
        <v/>
      </c>
      <c r="F336" s="12" t="str">
        <f aca="false">IF($C336="","",IFERROR(INDEX(고객명부!$D$3:$D$502,MATCH($C336,고객명부!$A$3:$A$502,0)),""))</f>
        <v/>
      </c>
      <c r="G336" s="12" t="str">
        <f aca="false">IF($C336="","",IFERROR(INDEX(고객명부!$E$3:$E$502,MATCH($C336,고객명부!$A$3:$A$502,0))&amp;" "&amp;INDEX(고객명부!$F$3:$F$502,MATCH($C336,고객명부!$A$3:$A$502,0)),""))</f>
        <v/>
      </c>
      <c r="H336" s="7"/>
      <c r="I336" s="12" t="str">
        <f aca="false">IF($H336="","",IFERROR(INDEX(상품목록!$B$3:$B$102,MATCH($H336,상품목록!$A$3:$A$102,0)),""))</f>
        <v/>
      </c>
      <c r="J336" s="14" t="str">
        <f aca="false">IF($H336="","",IFERROR(INDEX(상품목록!$C$3:$C$102,MATCH($H336,상품목록!$A$3:$A$102,0)),0))</f>
        <v/>
      </c>
      <c r="K336" s="7"/>
      <c r="L336" s="14" t="str">
        <f aca="false">IF(OR($J336="",$K336=""),"",ROUND($J336*$K336,0))</f>
        <v/>
      </c>
      <c r="M336" s="9"/>
      <c r="N336" s="14" t="str">
        <f aca="false">IF($L336="","",$L336+IF($M336="",0,$M336))</f>
        <v/>
      </c>
      <c r="O336" s="13"/>
      <c r="P336" s="7"/>
      <c r="Q336" s="12" t="str">
        <f aca="false">IF($C336="","",IF($P336&lt;&gt;"","발송완료",IF($O336&lt;&gt;"","입금완료","입금대기")))</f>
        <v/>
      </c>
      <c r="R336" s="12" t="str">
        <f aca="false">IF($C336="","",COUNTIFS($C$3:$C336,$C336))</f>
        <v/>
      </c>
      <c r="S336" s="12" t="str">
        <f aca="false">IF($C336="","",$C336&amp;"|"&amp;$R336)</f>
        <v/>
      </c>
    </row>
    <row r="337" customFormat="false" ht="15" hidden="false" customHeight="true" outlineLevel="0" collapsed="false">
      <c r="A337" s="12" t="str">
        <f aca="false">IF($C337="","",TEXT($B337,"yymmdd")&amp;"-"&amp;TEXT(COUNTIFS($B$3:$B337,$B337),"000"))</f>
        <v/>
      </c>
      <c r="B337" s="13"/>
      <c r="C337" s="7"/>
      <c r="D337" s="12" t="str">
        <f aca="false">IF($C337="","",IFERROR(INDEX(고객명부!$B$3:$B$502,MATCH($C337,고객명부!$A$3:$A$502,0)),"미등록고객"))</f>
        <v/>
      </c>
      <c r="E337" s="12" t="str">
        <f aca="false">IF($C337="","",IFERROR(INDEX(고객명부!$C$3:$C$502,MATCH($C337,고객명부!$A$3:$A$502,0)),""))</f>
        <v/>
      </c>
      <c r="F337" s="12" t="str">
        <f aca="false">IF($C337="","",IFERROR(INDEX(고객명부!$D$3:$D$502,MATCH($C337,고객명부!$A$3:$A$502,0)),""))</f>
        <v/>
      </c>
      <c r="G337" s="12" t="str">
        <f aca="false">IF($C337="","",IFERROR(INDEX(고객명부!$E$3:$E$502,MATCH($C337,고객명부!$A$3:$A$502,0))&amp;" "&amp;INDEX(고객명부!$F$3:$F$502,MATCH($C337,고객명부!$A$3:$A$502,0)),""))</f>
        <v/>
      </c>
      <c r="H337" s="7"/>
      <c r="I337" s="12" t="str">
        <f aca="false">IF($H337="","",IFERROR(INDEX(상품목록!$B$3:$B$102,MATCH($H337,상품목록!$A$3:$A$102,0)),""))</f>
        <v/>
      </c>
      <c r="J337" s="14" t="str">
        <f aca="false">IF($H337="","",IFERROR(INDEX(상품목록!$C$3:$C$102,MATCH($H337,상품목록!$A$3:$A$102,0)),0))</f>
        <v/>
      </c>
      <c r="K337" s="7"/>
      <c r="L337" s="14" t="str">
        <f aca="false">IF(OR($J337="",$K337=""),"",ROUND($J337*$K337,0))</f>
        <v/>
      </c>
      <c r="M337" s="9"/>
      <c r="N337" s="14" t="str">
        <f aca="false">IF($L337="","",$L337+IF($M337="",0,$M337))</f>
        <v/>
      </c>
      <c r="O337" s="13"/>
      <c r="P337" s="7"/>
      <c r="Q337" s="12" t="str">
        <f aca="false">IF($C337="","",IF($P337&lt;&gt;"","발송완료",IF($O337&lt;&gt;"","입금완료","입금대기")))</f>
        <v/>
      </c>
      <c r="R337" s="12" t="str">
        <f aca="false">IF($C337="","",COUNTIFS($C$3:$C337,$C337))</f>
        <v/>
      </c>
      <c r="S337" s="12" t="str">
        <f aca="false">IF($C337="","",$C337&amp;"|"&amp;$R337)</f>
        <v/>
      </c>
    </row>
    <row r="338" customFormat="false" ht="15" hidden="false" customHeight="true" outlineLevel="0" collapsed="false">
      <c r="A338" s="12" t="str">
        <f aca="false">IF($C338="","",TEXT($B338,"yymmdd")&amp;"-"&amp;TEXT(COUNTIFS($B$3:$B338,$B338),"000"))</f>
        <v/>
      </c>
      <c r="B338" s="13"/>
      <c r="C338" s="7"/>
      <c r="D338" s="12" t="str">
        <f aca="false">IF($C338="","",IFERROR(INDEX(고객명부!$B$3:$B$502,MATCH($C338,고객명부!$A$3:$A$502,0)),"미등록고객"))</f>
        <v/>
      </c>
      <c r="E338" s="12" t="str">
        <f aca="false">IF($C338="","",IFERROR(INDEX(고객명부!$C$3:$C$502,MATCH($C338,고객명부!$A$3:$A$502,0)),""))</f>
        <v/>
      </c>
      <c r="F338" s="12" t="str">
        <f aca="false">IF($C338="","",IFERROR(INDEX(고객명부!$D$3:$D$502,MATCH($C338,고객명부!$A$3:$A$502,0)),""))</f>
        <v/>
      </c>
      <c r="G338" s="12" t="str">
        <f aca="false">IF($C338="","",IFERROR(INDEX(고객명부!$E$3:$E$502,MATCH($C338,고객명부!$A$3:$A$502,0))&amp;" "&amp;INDEX(고객명부!$F$3:$F$502,MATCH($C338,고객명부!$A$3:$A$502,0)),""))</f>
        <v/>
      </c>
      <c r="H338" s="7"/>
      <c r="I338" s="12" t="str">
        <f aca="false">IF($H338="","",IFERROR(INDEX(상품목록!$B$3:$B$102,MATCH($H338,상품목록!$A$3:$A$102,0)),""))</f>
        <v/>
      </c>
      <c r="J338" s="14" t="str">
        <f aca="false">IF($H338="","",IFERROR(INDEX(상품목록!$C$3:$C$102,MATCH($H338,상품목록!$A$3:$A$102,0)),0))</f>
        <v/>
      </c>
      <c r="K338" s="7"/>
      <c r="L338" s="14" t="str">
        <f aca="false">IF(OR($J338="",$K338=""),"",ROUND($J338*$K338,0))</f>
        <v/>
      </c>
      <c r="M338" s="9"/>
      <c r="N338" s="14" t="str">
        <f aca="false">IF($L338="","",$L338+IF($M338="",0,$M338))</f>
        <v/>
      </c>
      <c r="O338" s="13"/>
      <c r="P338" s="7"/>
      <c r="Q338" s="12" t="str">
        <f aca="false">IF($C338="","",IF($P338&lt;&gt;"","발송완료",IF($O338&lt;&gt;"","입금완료","입금대기")))</f>
        <v/>
      </c>
      <c r="R338" s="12" t="str">
        <f aca="false">IF($C338="","",COUNTIFS($C$3:$C338,$C338))</f>
        <v/>
      </c>
      <c r="S338" s="12" t="str">
        <f aca="false">IF($C338="","",$C338&amp;"|"&amp;$R338)</f>
        <v/>
      </c>
    </row>
    <row r="339" customFormat="false" ht="15" hidden="false" customHeight="true" outlineLevel="0" collapsed="false">
      <c r="A339" s="12" t="str">
        <f aca="false">IF($C339="","",TEXT($B339,"yymmdd")&amp;"-"&amp;TEXT(COUNTIFS($B$3:$B339,$B339),"000"))</f>
        <v/>
      </c>
      <c r="B339" s="13"/>
      <c r="C339" s="7"/>
      <c r="D339" s="12" t="str">
        <f aca="false">IF($C339="","",IFERROR(INDEX(고객명부!$B$3:$B$502,MATCH($C339,고객명부!$A$3:$A$502,0)),"미등록고객"))</f>
        <v/>
      </c>
      <c r="E339" s="12" t="str">
        <f aca="false">IF($C339="","",IFERROR(INDEX(고객명부!$C$3:$C$502,MATCH($C339,고객명부!$A$3:$A$502,0)),""))</f>
        <v/>
      </c>
      <c r="F339" s="12" t="str">
        <f aca="false">IF($C339="","",IFERROR(INDEX(고객명부!$D$3:$D$502,MATCH($C339,고객명부!$A$3:$A$502,0)),""))</f>
        <v/>
      </c>
      <c r="G339" s="12" t="str">
        <f aca="false">IF($C339="","",IFERROR(INDEX(고객명부!$E$3:$E$502,MATCH($C339,고객명부!$A$3:$A$502,0))&amp;" "&amp;INDEX(고객명부!$F$3:$F$502,MATCH($C339,고객명부!$A$3:$A$502,0)),""))</f>
        <v/>
      </c>
      <c r="H339" s="7"/>
      <c r="I339" s="12" t="str">
        <f aca="false">IF($H339="","",IFERROR(INDEX(상품목록!$B$3:$B$102,MATCH($H339,상품목록!$A$3:$A$102,0)),""))</f>
        <v/>
      </c>
      <c r="J339" s="14" t="str">
        <f aca="false">IF($H339="","",IFERROR(INDEX(상품목록!$C$3:$C$102,MATCH($H339,상품목록!$A$3:$A$102,0)),0))</f>
        <v/>
      </c>
      <c r="K339" s="7"/>
      <c r="L339" s="14" t="str">
        <f aca="false">IF(OR($J339="",$K339=""),"",ROUND($J339*$K339,0))</f>
        <v/>
      </c>
      <c r="M339" s="9"/>
      <c r="N339" s="14" t="str">
        <f aca="false">IF($L339="","",$L339+IF($M339="",0,$M339))</f>
        <v/>
      </c>
      <c r="O339" s="13"/>
      <c r="P339" s="7"/>
      <c r="Q339" s="12" t="str">
        <f aca="false">IF($C339="","",IF($P339&lt;&gt;"","발송완료",IF($O339&lt;&gt;"","입금완료","입금대기")))</f>
        <v/>
      </c>
      <c r="R339" s="12" t="str">
        <f aca="false">IF($C339="","",COUNTIFS($C$3:$C339,$C339))</f>
        <v/>
      </c>
      <c r="S339" s="12" t="str">
        <f aca="false">IF($C339="","",$C339&amp;"|"&amp;$R339)</f>
        <v/>
      </c>
    </row>
    <row r="340" customFormat="false" ht="15" hidden="false" customHeight="true" outlineLevel="0" collapsed="false">
      <c r="A340" s="12" t="str">
        <f aca="false">IF($C340="","",TEXT($B340,"yymmdd")&amp;"-"&amp;TEXT(COUNTIFS($B$3:$B340,$B340),"000"))</f>
        <v/>
      </c>
      <c r="B340" s="13"/>
      <c r="C340" s="7"/>
      <c r="D340" s="12" t="str">
        <f aca="false">IF($C340="","",IFERROR(INDEX(고객명부!$B$3:$B$502,MATCH($C340,고객명부!$A$3:$A$502,0)),"미등록고객"))</f>
        <v/>
      </c>
      <c r="E340" s="12" t="str">
        <f aca="false">IF($C340="","",IFERROR(INDEX(고객명부!$C$3:$C$502,MATCH($C340,고객명부!$A$3:$A$502,0)),""))</f>
        <v/>
      </c>
      <c r="F340" s="12" t="str">
        <f aca="false">IF($C340="","",IFERROR(INDEX(고객명부!$D$3:$D$502,MATCH($C340,고객명부!$A$3:$A$502,0)),""))</f>
        <v/>
      </c>
      <c r="G340" s="12" t="str">
        <f aca="false">IF($C340="","",IFERROR(INDEX(고객명부!$E$3:$E$502,MATCH($C340,고객명부!$A$3:$A$502,0))&amp;" "&amp;INDEX(고객명부!$F$3:$F$502,MATCH($C340,고객명부!$A$3:$A$502,0)),""))</f>
        <v/>
      </c>
      <c r="H340" s="7"/>
      <c r="I340" s="12" t="str">
        <f aca="false">IF($H340="","",IFERROR(INDEX(상품목록!$B$3:$B$102,MATCH($H340,상품목록!$A$3:$A$102,0)),""))</f>
        <v/>
      </c>
      <c r="J340" s="14" t="str">
        <f aca="false">IF($H340="","",IFERROR(INDEX(상품목록!$C$3:$C$102,MATCH($H340,상품목록!$A$3:$A$102,0)),0))</f>
        <v/>
      </c>
      <c r="K340" s="7"/>
      <c r="L340" s="14" t="str">
        <f aca="false">IF(OR($J340="",$K340=""),"",ROUND($J340*$K340,0))</f>
        <v/>
      </c>
      <c r="M340" s="9"/>
      <c r="N340" s="14" t="str">
        <f aca="false">IF($L340="","",$L340+IF($M340="",0,$M340))</f>
        <v/>
      </c>
      <c r="O340" s="13"/>
      <c r="P340" s="7"/>
      <c r="Q340" s="12" t="str">
        <f aca="false">IF($C340="","",IF($P340&lt;&gt;"","발송완료",IF($O340&lt;&gt;"","입금완료","입금대기")))</f>
        <v/>
      </c>
      <c r="R340" s="12" t="str">
        <f aca="false">IF($C340="","",COUNTIFS($C$3:$C340,$C340))</f>
        <v/>
      </c>
      <c r="S340" s="12" t="str">
        <f aca="false">IF($C340="","",$C340&amp;"|"&amp;$R340)</f>
        <v/>
      </c>
    </row>
    <row r="341" customFormat="false" ht="15" hidden="false" customHeight="true" outlineLevel="0" collapsed="false">
      <c r="A341" s="12" t="str">
        <f aca="false">IF($C341="","",TEXT($B341,"yymmdd")&amp;"-"&amp;TEXT(COUNTIFS($B$3:$B341,$B341),"000"))</f>
        <v/>
      </c>
      <c r="B341" s="13"/>
      <c r="C341" s="7"/>
      <c r="D341" s="12" t="str">
        <f aca="false">IF($C341="","",IFERROR(INDEX(고객명부!$B$3:$B$502,MATCH($C341,고객명부!$A$3:$A$502,0)),"미등록고객"))</f>
        <v/>
      </c>
      <c r="E341" s="12" t="str">
        <f aca="false">IF($C341="","",IFERROR(INDEX(고객명부!$C$3:$C$502,MATCH($C341,고객명부!$A$3:$A$502,0)),""))</f>
        <v/>
      </c>
      <c r="F341" s="12" t="str">
        <f aca="false">IF($C341="","",IFERROR(INDEX(고객명부!$D$3:$D$502,MATCH($C341,고객명부!$A$3:$A$502,0)),""))</f>
        <v/>
      </c>
      <c r="G341" s="12" t="str">
        <f aca="false">IF($C341="","",IFERROR(INDEX(고객명부!$E$3:$E$502,MATCH($C341,고객명부!$A$3:$A$502,0))&amp;" "&amp;INDEX(고객명부!$F$3:$F$502,MATCH($C341,고객명부!$A$3:$A$502,0)),""))</f>
        <v/>
      </c>
      <c r="H341" s="7"/>
      <c r="I341" s="12" t="str">
        <f aca="false">IF($H341="","",IFERROR(INDEX(상품목록!$B$3:$B$102,MATCH($H341,상품목록!$A$3:$A$102,0)),""))</f>
        <v/>
      </c>
      <c r="J341" s="14" t="str">
        <f aca="false">IF($H341="","",IFERROR(INDEX(상품목록!$C$3:$C$102,MATCH($H341,상품목록!$A$3:$A$102,0)),0))</f>
        <v/>
      </c>
      <c r="K341" s="7"/>
      <c r="L341" s="14" t="str">
        <f aca="false">IF(OR($J341="",$K341=""),"",ROUND($J341*$K341,0))</f>
        <v/>
      </c>
      <c r="M341" s="9"/>
      <c r="N341" s="14" t="str">
        <f aca="false">IF($L341="","",$L341+IF($M341="",0,$M341))</f>
        <v/>
      </c>
      <c r="O341" s="13"/>
      <c r="P341" s="7"/>
      <c r="Q341" s="12" t="str">
        <f aca="false">IF($C341="","",IF($P341&lt;&gt;"","발송완료",IF($O341&lt;&gt;"","입금완료","입금대기")))</f>
        <v/>
      </c>
      <c r="R341" s="12" t="str">
        <f aca="false">IF($C341="","",COUNTIFS($C$3:$C341,$C341))</f>
        <v/>
      </c>
      <c r="S341" s="12" t="str">
        <f aca="false">IF($C341="","",$C341&amp;"|"&amp;$R341)</f>
        <v/>
      </c>
    </row>
    <row r="342" customFormat="false" ht="15" hidden="false" customHeight="true" outlineLevel="0" collapsed="false">
      <c r="A342" s="12" t="str">
        <f aca="false">IF($C342="","",TEXT($B342,"yymmdd")&amp;"-"&amp;TEXT(COUNTIFS($B$3:$B342,$B342),"000"))</f>
        <v/>
      </c>
      <c r="B342" s="13"/>
      <c r="C342" s="7"/>
      <c r="D342" s="12" t="str">
        <f aca="false">IF($C342="","",IFERROR(INDEX(고객명부!$B$3:$B$502,MATCH($C342,고객명부!$A$3:$A$502,0)),"미등록고객"))</f>
        <v/>
      </c>
      <c r="E342" s="12" t="str">
        <f aca="false">IF($C342="","",IFERROR(INDEX(고객명부!$C$3:$C$502,MATCH($C342,고객명부!$A$3:$A$502,0)),""))</f>
        <v/>
      </c>
      <c r="F342" s="12" t="str">
        <f aca="false">IF($C342="","",IFERROR(INDEX(고객명부!$D$3:$D$502,MATCH($C342,고객명부!$A$3:$A$502,0)),""))</f>
        <v/>
      </c>
      <c r="G342" s="12" t="str">
        <f aca="false">IF($C342="","",IFERROR(INDEX(고객명부!$E$3:$E$502,MATCH($C342,고객명부!$A$3:$A$502,0))&amp;" "&amp;INDEX(고객명부!$F$3:$F$502,MATCH($C342,고객명부!$A$3:$A$502,0)),""))</f>
        <v/>
      </c>
      <c r="H342" s="7"/>
      <c r="I342" s="12" t="str">
        <f aca="false">IF($H342="","",IFERROR(INDEX(상품목록!$B$3:$B$102,MATCH($H342,상품목록!$A$3:$A$102,0)),""))</f>
        <v/>
      </c>
      <c r="J342" s="14" t="str">
        <f aca="false">IF($H342="","",IFERROR(INDEX(상품목록!$C$3:$C$102,MATCH($H342,상품목록!$A$3:$A$102,0)),0))</f>
        <v/>
      </c>
      <c r="K342" s="7"/>
      <c r="L342" s="14" t="str">
        <f aca="false">IF(OR($J342="",$K342=""),"",ROUND($J342*$K342,0))</f>
        <v/>
      </c>
      <c r="M342" s="9"/>
      <c r="N342" s="14" t="str">
        <f aca="false">IF($L342="","",$L342+IF($M342="",0,$M342))</f>
        <v/>
      </c>
      <c r="O342" s="13"/>
      <c r="P342" s="7"/>
      <c r="Q342" s="12" t="str">
        <f aca="false">IF($C342="","",IF($P342&lt;&gt;"","발송완료",IF($O342&lt;&gt;"","입금완료","입금대기")))</f>
        <v/>
      </c>
      <c r="R342" s="12" t="str">
        <f aca="false">IF($C342="","",COUNTIFS($C$3:$C342,$C342))</f>
        <v/>
      </c>
      <c r="S342" s="12" t="str">
        <f aca="false">IF($C342="","",$C342&amp;"|"&amp;$R342)</f>
        <v/>
      </c>
    </row>
    <row r="343" customFormat="false" ht="15" hidden="false" customHeight="true" outlineLevel="0" collapsed="false">
      <c r="A343" s="12" t="str">
        <f aca="false">IF($C343="","",TEXT($B343,"yymmdd")&amp;"-"&amp;TEXT(COUNTIFS($B$3:$B343,$B343),"000"))</f>
        <v/>
      </c>
      <c r="B343" s="13"/>
      <c r="C343" s="7"/>
      <c r="D343" s="12" t="str">
        <f aca="false">IF($C343="","",IFERROR(INDEX(고객명부!$B$3:$B$502,MATCH($C343,고객명부!$A$3:$A$502,0)),"미등록고객"))</f>
        <v/>
      </c>
      <c r="E343" s="12" t="str">
        <f aca="false">IF($C343="","",IFERROR(INDEX(고객명부!$C$3:$C$502,MATCH($C343,고객명부!$A$3:$A$502,0)),""))</f>
        <v/>
      </c>
      <c r="F343" s="12" t="str">
        <f aca="false">IF($C343="","",IFERROR(INDEX(고객명부!$D$3:$D$502,MATCH($C343,고객명부!$A$3:$A$502,0)),""))</f>
        <v/>
      </c>
      <c r="G343" s="12" t="str">
        <f aca="false">IF($C343="","",IFERROR(INDEX(고객명부!$E$3:$E$502,MATCH($C343,고객명부!$A$3:$A$502,0))&amp;" "&amp;INDEX(고객명부!$F$3:$F$502,MATCH($C343,고객명부!$A$3:$A$502,0)),""))</f>
        <v/>
      </c>
      <c r="H343" s="7"/>
      <c r="I343" s="12" t="str">
        <f aca="false">IF($H343="","",IFERROR(INDEX(상품목록!$B$3:$B$102,MATCH($H343,상품목록!$A$3:$A$102,0)),""))</f>
        <v/>
      </c>
      <c r="J343" s="14" t="str">
        <f aca="false">IF($H343="","",IFERROR(INDEX(상품목록!$C$3:$C$102,MATCH($H343,상품목록!$A$3:$A$102,0)),0))</f>
        <v/>
      </c>
      <c r="K343" s="7"/>
      <c r="L343" s="14" t="str">
        <f aca="false">IF(OR($J343="",$K343=""),"",ROUND($J343*$K343,0))</f>
        <v/>
      </c>
      <c r="M343" s="9"/>
      <c r="N343" s="14" t="str">
        <f aca="false">IF($L343="","",$L343+IF($M343="",0,$M343))</f>
        <v/>
      </c>
      <c r="O343" s="13"/>
      <c r="P343" s="7"/>
      <c r="Q343" s="12" t="str">
        <f aca="false">IF($C343="","",IF($P343&lt;&gt;"","발송완료",IF($O343&lt;&gt;"","입금완료","입금대기")))</f>
        <v/>
      </c>
      <c r="R343" s="12" t="str">
        <f aca="false">IF($C343="","",COUNTIFS($C$3:$C343,$C343))</f>
        <v/>
      </c>
      <c r="S343" s="12" t="str">
        <f aca="false">IF($C343="","",$C343&amp;"|"&amp;$R343)</f>
        <v/>
      </c>
    </row>
    <row r="344" customFormat="false" ht="15" hidden="false" customHeight="true" outlineLevel="0" collapsed="false">
      <c r="A344" s="12" t="str">
        <f aca="false">IF($C344="","",TEXT($B344,"yymmdd")&amp;"-"&amp;TEXT(COUNTIFS($B$3:$B344,$B344),"000"))</f>
        <v/>
      </c>
      <c r="B344" s="13"/>
      <c r="C344" s="7"/>
      <c r="D344" s="12" t="str">
        <f aca="false">IF($C344="","",IFERROR(INDEX(고객명부!$B$3:$B$502,MATCH($C344,고객명부!$A$3:$A$502,0)),"미등록고객"))</f>
        <v/>
      </c>
      <c r="E344" s="12" t="str">
        <f aca="false">IF($C344="","",IFERROR(INDEX(고객명부!$C$3:$C$502,MATCH($C344,고객명부!$A$3:$A$502,0)),""))</f>
        <v/>
      </c>
      <c r="F344" s="12" t="str">
        <f aca="false">IF($C344="","",IFERROR(INDEX(고객명부!$D$3:$D$502,MATCH($C344,고객명부!$A$3:$A$502,0)),""))</f>
        <v/>
      </c>
      <c r="G344" s="12" t="str">
        <f aca="false">IF($C344="","",IFERROR(INDEX(고객명부!$E$3:$E$502,MATCH($C344,고객명부!$A$3:$A$502,0))&amp;" "&amp;INDEX(고객명부!$F$3:$F$502,MATCH($C344,고객명부!$A$3:$A$502,0)),""))</f>
        <v/>
      </c>
      <c r="H344" s="7"/>
      <c r="I344" s="12" t="str">
        <f aca="false">IF($H344="","",IFERROR(INDEX(상품목록!$B$3:$B$102,MATCH($H344,상품목록!$A$3:$A$102,0)),""))</f>
        <v/>
      </c>
      <c r="J344" s="14" t="str">
        <f aca="false">IF($H344="","",IFERROR(INDEX(상품목록!$C$3:$C$102,MATCH($H344,상품목록!$A$3:$A$102,0)),0))</f>
        <v/>
      </c>
      <c r="K344" s="7"/>
      <c r="L344" s="14" t="str">
        <f aca="false">IF(OR($J344="",$K344=""),"",ROUND($J344*$K344,0))</f>
        <v/>
      </c>
      <c r="M344" s="9"/>
      <c r="N344" s="14" t="str">
        <f aca="false">IF($L344="","",$L344+IF($M344="",0,$M344))</f>
        <v/>
      </c>
      <c r="O344" s="13"/>
      <c r="P344" s="7"/>
      <c r="Q344" s="12" t="str">
        <f aca="false">IF($C344="","",IF($P344&lt;&gt;"","발송완료",IF($O344&lt;&gt;"","입금완료","입금대기")))</f>
        <v/>
      </c>
      <c r="R344" s="12" t="str">
        <f aca="false">IF($C344="","",COUNTIFS($C$3:$C344,$C344))</f>
        <v/>
      </c>
      <c r="S344" s="12" t="str">
        <f aca="false">IF($C344="","",$C344&amp;"|"&amp;$R344)</f>
        <v/>
      </c>
    </row>
    <row r="345" customFormat="false" ht="15" hidden="false" customHeight="true" outlineLevel="0" collapsed="false">
      <c r="A345" s="12" t="str">
        <f aca="false">IF($C345="","",TEXT($B345,"yymmdd")&amp;"-"&amp;TEXT(COUNTIFS($B$3:$B345,$B345),"000"))</f>
        <v/>
      </c>
      <c r="B345" s="13"/>
      <c r="C345" s="7"/>
      <c r="D345" s="12" t="str">
        <f aca="false">IF($C345="","",IFERROR(INDEX(고객명부!$B$3:$B$502,MATCH($C345,고객명부!$A$3:$A$502,0)),"미등록고객"))</f>
        <v/>
      </c>
      <c r="E345" s="12" t="str">
        <f aca="false">IF($C345="","",IFERROR(INDEX(고객명부!$C$3:$C$502,MATCH($C345,고객명부!$A$3:$A$502,0)),""))</f>
        <v/>
      </c>
      <c r="F345" s="12" t="str">
        <f aca="false">IF($C345="","",IFERROR(INDEX(고객명부!$D$3:$D$502,MATCH($C345,고객명부!$A$3:$A$502,0)),""))</f>
        <v/>
      </c>
      <c r="G345" s="12" t="str">
        <f aca="false">IF($C345="","",IFERROR(INDEX(고객명부!$E$3:$E$502,MATCH($C345,고객명부!$A$3:$A$502,0))&amp;" "&amp;INDEX(고객명부!$F$3:$F$502,MATCH($C345,고객명부!$A$3:$A$502,0)),""))</f>
        <v/>
      </c>
      <c r="H345" s="7"/>
      <c r="I345" s="12" t="str">
        <f aca="false">IF($H345="","",IFERROR(INDEX(상품목록!$B$3:$B$102,MATCH($H345,상품목록!$A$3:$A$102,0)),""))</f>
        <v/>
      </c>
      <c r="J345" s="14" t="str">
        <f aca="false">IF($H345="","",IFERROR(INDEX(상품목록!$C$3:$C$102,MATCH($H345,상품목록!$A$3:$A$102,0)),0))</f>
        <v/>
      </c>
      <c r="K345" s="7"/>
      <c r="L345" s="14" t="str">
        <f aca="false">IF(OR($J345="",$K345=""),"",ROUND($J345*$K345,0))</f>
        <v/>
      </c>
      <c r="M345" s="9"/>
      <c r="N345" s="14" t="str">
        <f aca="false">IF($L345="","",$L345+IF($M345="",0,$M345))</f>
        <v/>
      </c>
      <c r="O345" s="13"/>
      <c r="P345" s="7"/>
      <c r="Q345" s="12" t="str">
        <f aca="false">IF($C345="","",IF($P345&lt;&gt;"","발송완료",IF($O345&lt;&gt;"","입금완료","입금대기")))</f>
        <v/>
      </c>
      <c r="R345" s="12" t="str">
        <f aca="false">IF($C345="","",COUNTIFS($C$3:$C345,$C345))</f>
        <v/>
      </c>
      <c r="S345" s="12" t="str">
        <f aca="false">IF($C345="","",$C345&amp;"|"&amp;$R345)</f>
        <v/>
      </c>
    </row>
    <row r="346" customFormat="false" ht="15" hidden="false" customHeight="true" outlineLevel="0" collapsed="false">
      <c r="A346" s="12" t="str">
        <f aca="false">IF($C346="","",TEXT($B346,"yymmdd")&amp;"-"&amp;TEXT(COUNTIFS($B$3:$B346,$B346),"000"))</f>
        <v/>
      </c>
      <c r="B346" s="13"/>
      <c r="C346" s="7"/>
      <c r="D346" s="12" t="str">
        <f aca="false">IF($C346="","",IFERROR(INDEX(고객명부!$B$3:$B$502,MATCH($C346,고객명부!$A$3:$A$502,0)),"미등록고객"))</f>
        <v/>
      </c>
      <c r="E346" s="12" t="str">
        <f aca="false">IF($C346="","",IFERROR(INDEX(고객명부!$C$3:$C$502,MATCH($C346,고객명부!$A$3:$A$502,0)),""))</f>
        <v/>
      </c>
      <c r="F346" s="12" t="str">
        <f aca="false">IF($C346="","",IFERROR(INDEX(고객명부!$D$3:$D$502,MATCH($C346,고객명부!$A$3:$A$502,0)),""))</f>
        <v/>
      </c>
      <c r="G346" s="12" t="str">
        <f aca="false">IF($C346="","",IFERROR(INDEX(고객명부!$E$3:$E$502,MATCH($C346,고객명부!$A$3:$A$502,0))&amp;" "&amp;INDEX(고객명부!$F$3:$F$502,MATCH($C346,고객명부!$A$3:$A$502,0)),""))</f>
        <v/>
      </c>
      <c r="H346" s="7"/>
      <c r="I346" s="12" t="str">
        <f aca="false">IF($H346="","",IFERROR(INDEX(상품목록!$B$3:$B$102,MATCH($H346,상품목록!$A$3:$A$102,0)),""))</f>
        <v/>
      </c>
      <c r="J346" s="14" t="str">
        <f aca="false">IF($H346="","",IFERROR(INDEX(상품목록!$C$3:$C$102,MATCH($H346,상품목록!$A$3:$A$102,0)),0))</f>
        <v/>
      </c>
      <c r="K346" s="7"/>
      <c r="L346" s="14" t="str">
        <f aca="false">IF(OR($J346="",$K346=""),"",ROUND($J346*$K346,0))</f>
        <v/>
      </c>
      <c r="M346" s="9"/>
      <c r="N346" s="14" t="str">
        <f aca="false">IF($L346="","",$L346+IF($M346="",0,$M346))</f>
        <v/>
      </c>
      <c r="O346" s="13"/>
      <c r="P346" s="7"/>
      <c r="Q346" s="12" t="str">
        <f aca="false">IF($C346="","",IF($P346&lt;&gt;"","발송완료",IF($O346&lt;&gt;"","입금완료","입금대기")))</f>
        <v/>
      </c>
      <c r="R346" s="12" t="str">
        <f aca="false">IF($C346="","",COUNTIFS($C$3:$C346,$C346))</f>
        <v/>
      </c>
      <c r="S346" s="12" t="str">
        <f aca="false">IF($C346="","",$C346&amp;"|"&amp;$R346)</f>
        <v/>
      </c>
    </row>
    <row r="347" customFormat="false" ht="15" hidden="false" customHeight="true" outlineLevel="0" collapsed="false">
      <c r="A347" s="12" t="str">
        <f aca="false">IF($C347="","",TEXT($B347,"yymmdd")&amp;"-"&amp;TEXT(COUNTIFS($B$3:$B347,$B347),"000"))</f>
        <v/>
      </c>
      <c r="B347" s="13"/>
      <c r="C347" s="7"/>
      <c r="D347" s="12" t="str">
        <f aca="false">IF($C347="","",IFERROR(INDEX(고객명부!$B$3:$B$502,MATCH($C347,고객명부!$A$3:$A$502,0)),"미등록고객"))</f>
        <v/>
      </c>
      <c r="E347" s="12" t="str">
        <f aca="false">IF($C347="","",IFERROR(INDEX(고객명부!$C$3:$C$502,MATCH($C347,고객명부!$A$3:$A$502,0)),""))</f>
        <v/>
      </c>
      <c r="F347" s="12" t="str">
        <f aca="false">IF($C347="","",IFERROR(INDEX(고객명부!$D$3:$D$502,MATCH($C347,고객명부!$A$3:$A$502,0)),""))</f>
        <v/>
      </c>
      <c r="G347" s="12" t="str">
        <f aca="false">IF($C347="","",IFERROR(INDEX(고객명부!$E$3:$E$502,MATCH($C347,고객명부!$A$3:$A$502,0))&amp;" "&amp;INDEX(고객명부!$F$3:$F$502,MATCH($C347,고객명부!$A$3:$A$502,0)),""))</f>
        <v/>
      </c>
      <c r="H347" s="7"/>
      <c r="I347" s="12" t="str">
        <f aca="false">IF($H347="","",IFERROR(INDEX(상품목록!$B$3:$B$102,MATCH($H347,상품목록!$A$3:$A$102,0)),""))</f>
        <v/>
      </c>
      <c r="J347" s="14" t="str">
        <f aca="false">IF($H347="","",IFERROR(INDEX(상품목록!$C$3:$C$102,MATCH($H347,상품목록!$A$3:$A$102,0)),0))</f>
        <v/>
      </c>
      <c r="K347" s="7"/>
      <c r="L347" s="14" t="str">
        <f aca="false">IF(OR($J347="",$K347=""),"",ROUND($J347*$K347,0))</f>
        <v/>
      </c>
      <c r="M347" s="9"/>
      <c r="N347" s="14" t="str">
        <f aca="false">IF($L347="","",$L347+IF($M347="",0,$M347))</f>
        <v/>
      </c>
      <c r="O347" s="13"/>
      <c r="P347" s="7"/>
      <c r="Q347" s="12" t="str">
        <f aca="false">IF($C347="","",IF($P347&lt;&gt;"","발송완료",IF($O347&lt;&gt;"","입금완료","입금대기")))</f>
        <v/>
      </c>
      <c r="R347" s="12" t="str">
        <f aca="false">IF($C347="","",COUNTIFS($C$3:$C347,$C347))</f>
        <v/>
      </c>
      <c r="S347" s="12" t="str">
        <f aca="false">IF($C347="","",$C347&amp;"|"&amp;$R347)</f>
        <v/>
      </c>
    </row>
    <row r="348" customFormat="false" ht="15" hidden="false" customHeight="true" outlineLevel="0" collapsed="false">
      <c r="A348" s="12" t="str">
        <f aca="false">IF($C348="","",TEXT($B348,"yymmdd")&amp;"-"&amp;TEXT(COUNTIFS($B$3:$B348,$B348),"000"))</f>
        <v/>
      </c>
      <c r="B348" s="13"/>
      <c r="C348" s="7"/>
      <c r="D348" s="12" t="str">
        <f aca="false">IF($C348="","",IFERROR(INDEX(고객명부!$B$3:$B$502,MATCH($C348,고객명부!$A$3:$A$502,0)),"미등록고객"))</f>
        <v/>
      </c>
      <c r="E348" s="12" t="str">
        <f aca="false">IF($C348="","",IFERROR(INDEX(고객명부!$C$3:$C$502,MATCH($C348,고객명부!$A$3:$A$502,0)),""))</f>
        <v/>
      </c>
      <c r="F348" s="12" t="str">
        <f aca="false">IF($C348="","",IFERROR(INDEX(고객명부!$D$3:$D$502,MATCH($C348,고객명부!$A$3:$A$502,0)),""))</f>
        <v/>
      </c>
      <c r="G348" s="12" t="str">
        <f aca="false">IF($C348="","",IFERROR(INDEX(고객명부!$E$3:$E$502,MATCH($C348,고객명부!$A$3:$A$502,0))&amp;" "&amp;INDEX(고객명부!$F$3:$F$502,MATCH($C348,고객명부!$A$3:$A$502,0)),""))</f>
        <v/>
      </c>
      <c r="H348" s="7"/>
      <c r="I348" s="12" t="str">
        <f aca="false">IF($H348="","",IFERROR(INDEX(상품목록!$B$3:$B$102,MATCH($H348,상품목록!$A$3:$A$102,0)),""))</f>
        <v/>
      </c>
      <c r="J348" s="14" t="str">
        <f aca="false">IF($H348="","",IFERROR(INDEX(상품목록!$C$3:$C$102,MATCH($H348,상품목록!$A$3:$A$102,0)),0))</f>
        <v/>
      </c>
      <c r="K348" s="7"/>
      <c r="L348" s="14" t="str">
        <f aca="false">IF(OR($J348="",$K348=""),"",ROUND($J348*$K348,0))</f>
        <v/>
      </c>
      <c r="M348" s="9"/>
      <c r="N348" s="14" t="str">
        <f aca="false">IF($L348="","",$L348+IF($M348="",0,$M348))</f>
        <v/>
      </c>
      <c r="O348" s="13"/>
      <c r="P348" s="7"/>
      <c r="Q348" s="12" t="str">
        <f aca="false">IF($C348="","",IF($P348&lt;&gt;"","발송완료",IF($O348&lt;&gt;"","입금완료","입금대기")))</f>
        <v/>
      </c>
      <c r="R348" s="12" t="str">
        <f aca="false">IF($C348="","",COUNTIFS($C$3:$C348,$C348))</f>
        <v/>
      </c>
      <c r="S348" s="12" t="str">
        <f aca="false">IF($C348="","",$C348&amp;"|"&amp;$R348)</f>
        <v/>
      </c>
    </row>
    <row r="349" customFormat="false" ht="15" hidden="false" customHeight="true" outlineLevel="0" collapsed="false">
      <c r="A349" s="12" t="str">
        <f aca="false">IF($C349="","",TEXT($B349,"yymmdd")&amp;"-"&amp;TEXT(COUNTIFS($B$3:$B349,$B349),"000"))</f>
        <v/>
      </c>
      <c r="B349" s="13"/>
      <c r="C349" s="7"/>
      <c r="D349" s="12" t="str">
        <f aca="false">IF($C349="","",IFERROR(INDEX(고객명부!$B$3:$B$502,MATCH($C349,고객명부!$A$3:$A$502,0)),"미등록고객"))</f>
        <v/>
      </c>
      <c r="E349" s="12" t="str">
        <f aca="false">IF($C349="","",IFERROR(INDEX(고객명부!$C$3:$C$502,MATCH($C349,고객명부!$A$3:$A$502,0)),""))</f>
        <v/>
      </c>
      <c r="F349" s="12" t="str">
        <f aca="false">IF($C349="","",IFERROR(INDEX(고객명부!$D$3:$D$502,MATCH($C349,고객명부!$A$3:$A$502,0)),""))</f>
        <v/>
      </c>
      <c r="G349" s="12" t="str">
        <f aca="false">IF($C349="","",IFERROR(INDEX(고객명부!$E$3:$E$502,MATCH($C349,고객명부!$A$3:$A$502,0))&amp;" "&amp;INDEX(고객명부!$F$3:$F$502,MATCH($C349,고객명부!$A$3:$A$502,0)),""))</f>
        <v/>
      </c>
      <c r="H349" s="7"/>
      <c r="I349" s="12" t="str">
        <f aca="false">IF($H349="","",IFERROR(INDEX(상품목록!$B$3:$B$102,MATCH($H349,상품목록!$A$3:$A$102,0)),""))</f>
        <v/>
      </c>
      <c r="J349" s="14" t="str">
        <f aca="false">IF($H349="","",IFERROR(INDEX(상품목록!$C$3:$C$102,MATCH($H349,상품목록!$A$3:$A$102,0)),0))</f>
        <v/>
      </c>
      <c r="K349" s="7"/>
      <c r="L349" s="14" t="str">
        <f aca="false">IF(OR($J349="",$K349=""),"",ROUND($J349*$K349,0))</f>
        <v/>
      </c>
      <c r="M349" s="9"/>
      <c r="N349" s="14" t="str">
        <f aca="false">IF($L349="","",$L349+IF($M349="",0,$M349))</f>
        <v/>
      </c>
      <c r="O349" s="13"/>
      <c r="P349" s="7"/>
      <c r="Q349" s="12" t="str">
        <f aca="false">IF($C349="","",IF($P349&lt;&gt;"","발송완료",IF($O349&lt;&gt;"","입금완료","입금대기")))</f>
        <v/>
      </c>
      <c r="R349" s="12" t="str">
        <f aca="false">IF($C349="","",COUNTIFS($C$3:$C349,$C349))</f>
        <v/>
      </c>
      <c r="S349" s="12" t="str">
        <f aca="false">IF($C349="","",$C349&amp;"|"&amp;$R349)</f>
        <v/>
      </c>
    </row>
    <row r="350" customFormat="false" ht="15" hidden="false" customHeight="true" outlineLevel="0" collapsed="false">
      <c r="A350" s="12" t="str">
        <f aca="false">IF($C350="","",TEXT($B350,"yymmdd")&amp;"-"&amp;TEXT(COUNTIFS($B$3:$B350,$B350),"000"))</f>
        <v/>
      </c>
      <c r="B350" s="13"/>
      <c r="C350" s="7"/>
      <c r="D350" s="12" t="str">
        <f aca="false">IF($C350="","",IFERROR(INDEX(고객명부!$B$3:$B$502,MATCH($C350,고객명부!$A$3:$A$502,0)),"미등록고객"))</f>
        <v/>
      </c>
      <c r="E350" s="12" t="str">
        <f aca="false">IF($C350="","",IFERROR(INDEX(고객명부!$C$3:$C$502,MATCH($C350,고객명부!$A$3:$A$502,0)),""))</f>
        <v/>
      </c>
      <c r="F350" s="12" t="str">
        <f aca="false">IF($C350="","",IFERROR(INDEX(고객명부!$D$3:$D$502,MATCH($C350,고객명부!$A$3:$A$502,0)),""))</f>
        <v/>
      </c>
      <c r="G350" s="12" t="str">
        <f aca="false">IF($C350="","",IFERROR(INDEX(고객명부!$E$3:$E$502,MATCH($C350,고객명부!$A$3:$A$502,0))&amp;" "&amp;INDEX(고객명부!$F$3:$F$502,MATCH($C350,고객명부!$A$3:$A$502,0)),""))</f>
        <v/>
      </c>
      <c r="H350" s="7"/>
      <c r="I350" s="12" t="str">
        <f aca="false">IF($H350="","",IFERROR(INDEX(상품목록!$B$3:$B$102,MATCH($H350,상품목록!$A$3:$A$102,0)),""))</f>
        <v/>
      </c>
      <c r="J350" s="14" t="str">
        <f aca="false">IF($H350="","",IFERROR(INDEX(상품목록!$C$3:$C$102,MATCH($H350,상품목록!$A$3:$A$102,0)),0))</f>
        <v/>
      </c>
      <c r="K350" s="7"/>
      <c r="L350" s="14" t="str">
        <f aca="false">IF(OR($J350="",$K350=""),"",ROUND($J350*$K350,0))</f>
        <v/>
      </c>
      <c r="M350" s="9"/>
      <c r="N350" s="14" t="str">
        <f aca="false">IF($L350="","",$L350+IF($M350="",0,$M350))</f>
        <v/>
      </c>
      <c r="O350" s="13"/>
      <c r="P350" s="7"/>
      <c r="Q350" s="12" t="str">
        <f aca="false">IF($C350="","",IF($P350&lt;&gt;"","발송완료",IF($O350&lt;&gt;"","입금완료","입금대기")))</f>
        <v/>
      </c>
      <c r="R350" s="12" t="str">
        <f aca="false">IF($C350="","",COUNTIFS($C$3:$C350,$C350))</f>
        <v/>
      </c>
      <c r="S350" s="12" t="str">
        <f aca="false">IF($C350="","",$C350&amp;"|"&amp;$R350)</f>
        <v/>
      </c>
    </row>
    <row r="351" customFormat="false" ht="15" hidden="false" customHeight="true" outlineLevel="0" collapsed="false">
      <c r="A351" s="12" t="str">
        <f aca="false">IF($C351="","",TEXT($B351,"yymmdd")&amp;"-"&amp;TEXT(COUNTIFS($B$3:$B351,$B351),"000"))</f>
        <v/>
      </c>
      <c r="B351" s="13"/>
      <c r="C351" s="7"/>
      <c r="D351" s="12" t="str">
        <f aca="false">IF($C351="","",IFERROR(INDEX(고객명부!$B$3:$B$502,MATCH($C351,고객명부!$A$3:$A$502,0)),"미등록고객"))</f>
        <v/>
      </c>
      <c r="E351" s="12" t="str">
        <f aca="false">IF($C351="","",IFERROR(INDEX(고객명부!$C$3:$C$502,MATCH($C351,고객명부!$A$3:$A$502,0)),""))</f>
        <v/>
      </c>
      <c r="F351" s="12" t="str">
        <f aca="false">IF($C351="","",IFERROR(INDEX(고객명부!$D$3:$D$502,MATCH($C351,고객명부!$A$3:$A$502,0)),""))</f>
        <v/>
      </c>
      <c r="G351" s="12" t="str">
        <f aca="false">IF($C351="","",IFERROR(INDEX(고객명부!$E$3:$E$502,MATCH($C351,고객명부!$A$3:$A$502,0))&amp;" "&amp;INDEX(고객명부!$F$3:$F$502,MATCH($C351,고객명부!$A$3:$A$502,0)),""))</f>
        <v/>
      </c>
      <c r="H351" s="7"/>
      <c r="I351" s="12" t="str">
        <f aca="false">IF($H351="","",IFERROR(INDEX(상품목록!$B$3:$B$102,MATCH($H351,상품목록!$A$3:$A$102,0)),""))</f>
        <v/>
      </c>
      <c r="J351" s="14" t="str">
        <f aca="false">IF($H351="","",IFERROR(INDEX(상품목록!$C$3:$C$102,MATCH($H351,상품목록!$A$3:$A$102,0)),0))</f>
        <v/>
      </c>
      <c r="K351" s="7"/>
      <c r="L351" s="14" t="str">
        <f aca="false">IF(OR($J351="",$K351=""),"",ROUND($J351*$K351,0))</f>
        <v/>
      </c>
      <c r="M351" s="9"/>
      <c r="N351" s="14" t="str">
        <f aca="false">IF($L351="","",$L351+IF($M351="",0,$M351))</f>
        <v/>
      </c>
      <c r="O351" s="13"/>
      <c r="P351" s="7"/>
      <c r="Q351" s="12" t="str">
        <f aca="false">IF($C351="","",IF($P351&lt;&gt;"","발송완료",IF($O351&lt;&gt;"","입금완료","입금대기")))</f>
        <v/>
      </c>
      <c r="R351" s="12" t="str">
        <f aca="false">IF($C351="","",COUNTIFS($C$3:$C351,$C351))</f>
        <v/>
      </c>
      <c r="S351" s="12" t="str">
        <f aca="false">IF($C351="","",$C351&amp;"|"&amp;$R351)</f>
        <v/>
      </c>
    </row>
    <row r="352" customFormat="false" ht="15" hidden="false" customHeight="true" outlineLevel="0" collapsed="false">
      <c r="A352" s="12" t="str">
        <f aca="false">IF($C352="","",TEXT($B352,"yymmdd")&amp;"-"&amp;TEXT(COUNTIFS($B$3:$B352,$B352),"000"))</f>
        <v/>
      </c>
      <c r="B352" s="13"/>
      <c r="C352" s="7"/>
      <c r="D352" s="12" t="str">
        <f aca="false">IF($C352="","",IFERROR(INDEX(고객명부!$B$3:$B$502,MATCH($C352,고객명부!$A$3:$A$502,0)),"미등록고객"))</f>
        <v/>
      </c>
      <c r="E352" s="12" t="str">
        <f aca="false">IF($C352="","",IFERROR(INDEX(고객명부!$C$3:$C$502,MATCH($C352,고객명부!$A$3:$A$502,0)),""))</f>
        <v/>
      </c>
      <c r="F352" s="12" t="str">
        <f aca="false">IF($C352="","",IFERROR(INDEX(고객명부!$D$3:$D$502,MATCH($C352,고객명부!$A$3:$A$502,0)),""))</f>
        <v/>
      </c>
      <c r="G352" s="12" t="str">
        <f aca="false">IF($C352="","",IFERROR(INDEX(고객명부!$E$3:$E$502,MATCH($C352,고객명부!$A$3:$A$502,0))&amp;" "&amp;INDEX(고객명부!$F$3:$F$502,MATCH($C352,고객명부!$A$3:$A$502,0)),""))</f>
        <v/>
      </c>
      <c r="H352" s="7"/>
      <c r="I352" s="12" t="str">
        <f aca="false">IF($H352="","",IFERROR(INDEX(상품목록!$B$3:$B$102,MATCH($H352,상품목록!$A$3:$A$102,0)),""))</f>
        <v/>
      </c>
      <c r="J352" s="14" t="str">
        <f aca="false">IF($H352="","",IFERROR(INDEX(상품목록!$C$3:$C$102,MATCH($H352,상품목록!$A$3:$A$102,0)),0))</f>
        <v/>
      </c>
      <c r="K352" s="7"/>
      <c r="L352" s="14" t="str">
        <f aca="false">IF(OR($J352="",$K352=""),"",ROUND($J352*$K352,0))</f>
        <v/>
      </c>
      <c r="M352" s="9"/>
      <c r="N352" s="14" t="str">
        <f aca="false">IF($L352="","",$L352+IF($M352="",0,$M352))</f>
        <v/>
      </c>
      <c r="O352" s="13"/>
      <c r="P352" s="7"/>
      <c r="Q352" s="12" t="str">
        <f aca="false">IF($C352="","",IF($P352&lt;&gt;"","발송완료",IF($O352&lt;&gt;"","입금완료","입금대기")))</f>
        <v/>
      </c>
      <c r="R352" s="12" t="str">
        <f aca="false">IF($C352="","",COUNTIFS($C$3:$C352,$C352))</f>
        <v/>
      </c>
      <c r="S352" s="12" t="str">
        <f aca="false">IF($C352="","",$C352&amp;"|"&amp;$R352)</f>
        <v/>
      </c>
    </row>
    <row r="353" customFormat="false" ht="15" hidden="false" customHeight="true" outlineLevel="0" collapsed="false">
      <c r="A353" s="12" t="str">
        <f aca="false">IF($C353="","",TEXT($B353,"yymmdd")&amp;"-"&amp;TEXT(COUNTIFS($B$3:$B353,$B353),"000"))</f>
        <v/>
      </c>
      <c r="B353" s="13"/>
      <c r="C353" s="7"/>
      <c r="D353" s="12" t="str">
        <f aca="false">IF($C353="","",IFERROR(INDEX(고객명부!$B$3:$B$502,MATCH($C353,고객명부!$A$3:$A$502,0)),"미등록고객"))</f>
        <v/>
      </c>
      <c r="E353" s="12" t="str">
        <f aca="false">IF($C353="","",IFERROR(INDEX(고객명부!$C$3:$C$502,MATCH($C353,고객명부!$A$3:$A$502,0)),""))</f>
        <v/>
      </c>
      <c r="F353" s="12" t="str">
        <f aca="false">IF($C353="","",IFERROR(INDEX(고객명부!$D$3:$D$502,MATCH($C353,고객명부!$A$3:$A$502,0)),""))</f>
        <v/>
      </c>
      <c r="G353" s="12" t="str">
        <f aca="false">IF($C353="","",IFERROR(INDEX(고객명부!$E$3:$E$502,MATCH($C353,고객명부!$A$3:$A$502,0))&amp;" "&amp;INDEX(고객명부!$F$3:$F$502,MATCH($C353,고객명부!$A$3:$A$502,0)),""))</f>
        <v/>
      </c>
      <c r="H353" s="7"/>
      <c r="I353" s="12" t="str">
        <f aca="false">IF($H353="","",IFERROR(INDEX(상품목록!$B$3:$B$102,MATCH($H353,상품목록!$A$3:$A$102,0)),""))</f>
        <v/>
      </c>
      <c r="J353" s="14" t="str">
        <f aca="false">IF($H353="","",IFERROR(INDEX(상품목록!$C$3:$C$102,MATCH($H353,상품목록!$A$3:$A$102,0)),0))</f>
        <v/>
      </c>
      <c r="K353" s="7"/>
      <c r="L353" s="14" t="str">
        <f aca="false">IF(OR($J353="",$K353=""),"",ROUND($J353*$K353,0))</f>
        <v/>
      </c>
      <c r="M353" s="9"/>
      <c r="N353" s="14" t="str">
        <f aca="false">IF($L353="","",$L353+IF($M353="",0,$M353))</f>
        <v/>
      </c>
      <c r="O353" s="13"/>
      <c r="P353" s="7"/>
      <c r="Q353" s="12" t="str">
        <f aca="false">IF($C353="","",IF($P353&lt;&gt;"","발송완료",IF($O353&lt;&gt;"","입금완료","입금대기")))</f>
        <v/>
      </c>
      <c r="R353" s="12" t="str">
        <f aca="false">IF($C353="","",COUNTIFS($C$3:$C353,$C353))</f>
        <v/>
      </c>
      <c r="S353" s="12" t="str">
        <f aca="false">IF($C353="","",$C353&amp;"|"&amp;$R353)</f>
        <v/>
      </c>
    </row>
    <row r="354" customFormat="false" ht="15" hidden="false" customHeight="true" outlineLevel="0" collapsed="false">
      <c r="A354" s="12" t="str">
        <f aca="false">IF($C354="","",TEXT($B354,"yymmdd")&amp;"-"&amp;TEXT(COUNTIFS($B$3:$B354,$B354),"000"))</f>
        <v/>
      </c>
      <c r="B354" s="13"/>
      <c r="C354" s="7"/>
      <c r="D354" s="12" t="str">
        <f aca="false">IF($C354="","",IFERROR(INDEX(고객명부!$B$3:$B$502,MATCH($C354,고객명부!$A$3:$A$502,0)),"미등록고객"))</f>
        <v/>
      </c>
      <c r="E354" s="12" t="str">
        <f aca="false">IF($C354="","",IFERROR(INDEX(고객명부!$C$3:$C$502,MATCH($C354,고객명부!$A$3:$A$502,0)),""))</f>
        <v/>
      </c>
      <c r="F354" s="12" t="str">
        <f aca="false">IF($C354="","",IFERROR(INDEX(고객명부!$D$3:$D$502,MATCH($C354,고객명부!$A$3:$A$502,0)),""))</f>
        <v/>
      </c>
      <c r="G354" s="12" t="str">
        <f aca="false">IF($C354="","",IFERROR(INDEX(고객명부!$E$3:$E$502,MATCH($C354,고객명부!$A$3:$A$502,0))&amp;" "&amp;INDEX(고객명부!$F$3:$F$502,MATCH($C354,고객명부!$A$3:$A$502,0)),""))</f>
        <v/>
      </c>
      <c r="H354" s="7"/>
      <c r="I354" s="12" t="str">
        <f aca="false">IF($H354="","",IFERROR(INDEX(상품목록!$B$3:$B$102,MATCH($H354,상품목록!$A$3:$A$102,0)),""))</f>
        <v/>
      </c>
      <c r="J354" s="14" t="str">
        <f aca="false">IF($H354="","",IFERROR(INDEX(상품목록!$C$3:$C$102,MATCH($H354,상품목록!$A$3:$A$102,0)),0))</f>
        <v/>
      </c>
      <c r="K354" s="7"/>
      <c r="L354" s="14" t="str">
        <f aca="false">IF(OR($J354="",$K354=""),"",ROUND($J354*$K354,0))</f>
        <v/>
      </c>
      <c r="M354" s="9"/>
      <c r="N354" s="14" t="str">
        <f aca="false">IF($L354="","",$L354+IF($M354="",0,$M354))</f>
        <v/>
      </c>
      <c r="O354" s="13"/>
      <c r="P354" s="7"/>
      <c r="Q354" s="12" t="str">
        <f aca="false">IF($C354="","",IF($P354&lt;&gt;"","발송완료",IF($O354&lt;&gt;"","입금완료","입금대기")))</f>
        <v/>
      </c>
      <c r="R354" s="12" t="str">
        <f aca="false">IF($C354="","",COUNTIFS($C$3:$C354,$C354))</f>
        <v/>
      </c>
      <c r="S354" s="12" t="str">
        <f aca="false">IF($C354="","",$C354&amp;"|"&amp;$R354)</f>
        <v/>
      </c>
    </row>
    <row r="355" customFormat="false" ht="15" hidden="false" customHeight="true" outlineLevel="0" collapsed="false">
      <c r="A355" s="12" t="str">
        <f aca="false">IF($C355="","",TEXT($B355,"yymmdd")&amp;"-"&amp;TEXT(COUNTIFS($B$3:$B355,$B355),"000"))</f>
        <v/>
      </c>
      <c r="B355" s="13"/>
      <c r="C355" s="7"/>
      <c r="D355" s="12" t="str">
        <f aca="false">IF($C355="","",IFERROR(INDEX(고객명부!$B$3:$B$502,MATCH($C355,고객명부!$A$3:$A$502,0)),"미등록고객"))</f>
        <v/>
      </c>
      <c r="E355" s="12" t="str">
        <f aca="false">IF($C355="","",IFERROR(INDEX(고객명부!$C$3:$C$502,MATCH($C355,고객명부!$A$3:$A$502,0)),""))</f>
        <v/>
      </c>
      <c r="F355" s="12" t="str">
        <f aca="false">IF($C355="","",IFERROR(INDEX(고객명부!$D$3:$D$502,MATCH($C355,고객명부!$A$3:$A$502,0)),""))</f>
        <v/>
      </c>
      <c r="G355" s="12" t="str">
        <f aca="false">IF($C355="","",IFERROR(INDEX(고객명부!$E$3:$E$502,MATCH($C355,고객명부!$A$3:$A$502,0))&amp;" "&amp;INDEX(고객명부!$F$3:$F$502,MATCH($C355,고객명부!$A$3:$A$502,0)),""))</f>
        <v/>
      </c>
      <c r="H355" s="7"/>
      <c r="I355" s="12" t="str">
        <f aca="false">IF($H355="","",IFERROR(INDEX(상품목록!$B$3:$B$102,MATCH($H355,상품목록!$A$3:$A$102,0)),""))</f>
        <v/>
      </c>
      <c r="J355" s="14" t="str">
        <f aca="false">IF($H355="","",IFERROR(INDEX(상품목록!$C$3:$C$102,MATCH($H355,상품목록!$A$3:$A$102,0)),0))</f>
        <v/>
      </c>
      <c r="K355" s="7"/>
      <c r="L355" s="14" t="str">
        <f aca="false">IF(OR($J355="",$K355=""),"",ROUND($J355*$K355,0))</f>
        <v/>
      </c>
      <c r="M355" s="9"/>
      <c r="N355" s="14" t="str">
        <f aca="false">IF($L355="","",$L355+IF($M355="",0,$M355))</f>
        <v/>
      </c>
      <c r="O355" s="13"/>
      <c r="P355" s="7"/>
      <c r="Q355" s="12" t="str">
        <f aca="false">IF($C355="","",IF($P355&lt;&gt;"","발송완료",IF($O355&lt;&gt;"","입금완료","입금대기")))</f>
        <v/>
      </c>
      <c r="R355" s="12" t="str">
        <f aca="false">IF($C355="","",COUNTIFS($C$3:$C355,$C355))</f>
        <v/>
      </c>
      <c r="S355" s="12" t="str">
        <f aca="false">IF($C355="","",$C355&amp;"|"&amp;$R355)</f>
        <v/>
      </c>
    </row>
    <row r="356" customFormat="false" ht="15" hidden="false" customHeight="true" outlineLevel="0" collapsed="false">
      <c r="A356" s="12" t="str">
        <f aca="false">IF($C356="","",TEXT($B356,"yymmdd")&amp;"-"&amp;TEXT(COUNTIFS($B$3:$B356,$B356),"000"))</f>
        <v/>
      </c>
      <c r="B356" s="13"/>
      <c r="C356" s="7"/>
      <c r="D356" s="12" t="str">
        <f aca="false">IF($C356="","",IFERROR(INDEX(고객명부!$B$3:$B$502,MATCH($C356,고객명부!$A$3:$A$502,0)),"미등록고객"))</f>
        <v/>
      </c>
      <c r="E356" s="12" t="str">
        <f aca="false">IF($C356="","",IFERROR(INDEX(고객명부!$C$3:$C$502,MATCH($C356,고객명부!$A$3:$A$502,0)),""))</f>
        <v/>
      </c>
      <c r="F356" s="12" t="str">
        <f aca="false">IF($C356="","",IFERROR(INDEX(고객명부!$D$3:$D$502,MATCH($C356,고객명부!$A$3:$A$502,0)),""))</f>
        <v/>
      </c>
      <c r="G356" s="12" t="str">
        <f aca="false">IF($C356="","",IFERROR(INDEX(고객명부!$E$3:$E$502,MATCH($C356,고객명부!$A$3:$A$502,0))&amp;" "&amp;INDEX(고객명부!$F$3:$F$502,MATCH($C356,고객명부!$A$3:$A$502,0)),""))</f>
        <v/>
      </c>
      <c r="H356" s="7"/>
      <c r="I356" s="12" t="str">
        <f aca="false">IF($H356="","",IFERROR(INDEX(상품목록!$B$3:$B$102,MATCH($H356,상품목록!$A$3:$A$102,0)),""))</f>
        <v/>
      </c>
      <c r="J356" s="14" t="str">
        <f aca="false">IF($H356="","",IFERROR(INDEX(상품목록!$C$3:$C$102,MATCH($H356,상품목록!$A$3:$A$102,0)),0))</f>
        <v/>
      </c>
      <c r="K356" s="7"/>
      <c r="L356" s="14" t="str">
        <f aca="false">IF(OR($J356="",$K356=""),"",ROUND($J356*$K356,0))</f>
        <v/>
      </c>
      <c r="M356" s="9"/>
      <c r="N356" s="14" t="str">
        <f aca="false">IF($L356="","",$L356+IF($M356="",0,$M356))</f>
        <v/>
      </c>
      <c r="O356" s="13"/>
      <c r="P356" s="7"/>
      <c r="Q356" s="12" t="str">
        <f aca="false">IF($C356="","",IF($P356&lt;&gt;"","발송완료",IF($O356&lt;&gt;"","입금완료","입금대기")))</f>
        <v/>
      </c>
      <c r="R356" s="12" t="str">
        <f aca="false">IF($C356="","",COUNTIFS($C$3:$C356,$C356))</f>
        <v/>
      </c>
      <c r="S356" s="12" t="str">
        <f aca="false">IF($C356="","",$C356&amp;"|"&amp;$R356)</f>
        <v/>
      </c>
    </row>
    <row r="357" customFormat="false" ht="15" hidden="false" customHeight="true" outlineLevel="0" collapsed="false">
      <c r="A357" s="12" t="str">
        <f aca="false">IF($C357="","",TEXT($B357,"yymmdd")&amp;"-"&amp;TEXT(COUNTIFS($B$3:$B357,$B357),"000"))</f>
        <v/>
      </c>
      <c r="B357" s="13"/>
      <c r="C357" s="7"/>
      <c r="D357" s="12" t="str">
        <f aca="false">IF($C357="","",IFERROR(INDEX(고객명부!$B$3:$B$502,MATCH($C357,고객명부!$A$3:$A$502,0)),"미등록고객"))</f>
        <v/>
      </c>
      <c r="E357" s="12" t="str">
        <f aca="false">IF($C357="","",IFERROR(INDEX(고객명부!$C$3:$C$502,MATCH($C357,고객명부!$A$3:$A$502,0)),""))</f>
        <v/>
      </c>
      <c r="F357" s="12" t="str">
        <f aca="false">IF($C357="","",IFERROR(INDEX(고객명부!$D$3:$D$502,MATCH($C357,고객명부!$A$3:$A$502,0)),""))</f>
        <v/>
      </c>
      <c r="G357" s="12" t="str">
        <f aca="false">IF($C357="","",IFERROR(INDEX(고객명부!$E$3:$E$502,MATCH($C357,고객명부!$A$3:$A$502,0))&amp;" "&amp;INDEX(고객명부!$F$3:$F$502,MATCH($C357,고객명부!$A$3:$A$502,0)),""))</f>
        <v/>
      </c>
      <c r="H357" s="7"/>
      <c r="I357" s="12" t="str">
        <f aca="false">IF($H357="","",IFERROR(INDEX(상품목록!$B$3:$B$102,MATCH($H357,상품목록!$A$3:$A$102,0)),""))</f>
        <v/>
      </c>
      <c r="J357" s="14" t="str">
        <f aca="false">IF($H357="","",IFERROR(INDEX(상품목록!$C$3:$C$102,MATCH($H357,상품목록!$A$3:$A$102,0)),0))</f>
        <v/>
      </c>
      <c r="K357" s="7"/>
      <c r="L357" s="14" t="str">
        <f aca="false">IF(OR($J357="",$K357=""),"",ROUND($J357*$K357,0))</f>
        <v/>
      </c>
      <c r="M357" s="9"/>
      <c r="N357" s="14" t="str">
        <f aca="false">IF($L357="","",$L357+IF($M357="",0,$M357))</f>
        <v/>
      </c>
      <c r="O357" s="13"/>
      <c r="P357" s="7"/>
      <c r="Q357" s="12" t="str">
        <f aca="false">IF($C357="","",IF($P357&lt;&gt;"","발송완료",IF($O357&lt;&gt;"","입금완료","입금대기")))</f>
        <v/>
      </c>
      <c r="R357" s="12" t="str">
        <f aca="false">IF($C357="","",COUNTIFS($C$3:$C357,$C357))</f>
        <v/>
      </c>
      <c r="S357" s="12" t="str">
        <f aca="false">IF($C357="","",$C357&amp;"|"&amp;$R357)</f>
        <v/>
      </c>
    </row>
    <row r="358" customFormat="false" ht="15" hidden="false" customHeight="true" outlineLevel="0" collapsed="false">
      <c r="A358" s="12" t="str">
        <f aca="false">IF($C358="","",TEXT($B358,"yymmdd")&amp;"-"&amp;TEXT(COUNTIFS($B$3:$B358,$B358),"000"))</f>
        <v/>
      </c>
      <c r="B358" s="13"/>
      <c r="C358" s="7"/>
      <c r="D358" s="12" t="str">
        <f aca="false">IF($C358="","",IFERROR(INDEX(고객명부!$B$3:$B$502,MATCH($C358,고객명부!$A$3:$A$502,0)),"미등록고객"))</f>
        <v/>
      </c>
      <c r="E358" s="12" t="str">
        <f aca="false">IF($C358="","",IFERROR(INDEX(고객명부!$C$3:$C$502,MATCH($C358,고객명부!$A$3:$A$502,0)),""))</f>
        <v/>
      </c>
      <c r="F358" s="12" t="str">
        <f aca="false">IF($C358="","",IFERROR(INDEX(고객명부!$D$3:$D$502,MATCH($C358,고객명부!$A$3:$A$502,0)),""))</f>
        <v/>
      </c>
      <c r="G358" s="12" t="str">
        <f aca="false">IF($C358="","",IFERROR(INDEX(고객명부!$E$3:$E$502,MATCH($C358,고객명부!$A$3:$A$502,0))&amp;" "&amp;INDEX(고객명부!$F$3:$F$502,MATCH($C358,고객명부!$A$3:$A$502,0)),""))</f>
        <v/>
      </c>
      <c r="H358" s="7"/>
      <c r="I358" s="12" t="str">
        <f aca="false">IF($H358="","",IFERROR(INDEX(상품목록!$B$3:$B$102,MATCH($H358,상품목록!$A$3:$A$102,0)),""))</f>
        <v/>
      </c>
      <c r="J358" s="14" t="str">
        <f aca="false">IF($H358="","",IFERROR(INDEX(상품목록!$C$3:$C$102,MATCH($H358,상품목록!$A$3:$A$102,0)),0))</f>
        <v/>
      </c>
      <c r="K358" s="7"/>
      <c r="L358" s="14" t="str">
        <f aca="false">IF(OR($J358="",$K358=""),"",ROUND($J358*$K358,0))</f>
        <v/>
      </c>
      <c r="M358" s="9"/>
      <c r="N358" s="14" t="str">
        <f aca="false">IF($L358="","",$L358+IF($M358="",0,$M358))</f>
        <v/>
      </c>
      <c r="O358" s="13"/>
      <c r="P358" s="7"/>
      <c r="Q358" s="12" t="str">
        <f aca="false">IF($C358="","",IF($P358&lt;&gt;"","발송완료",IF($O358&lt;&gt;"","입금완료","입금대기")))</f>
        <v/>
      </c>
      <c r="R358" s="12" t="str">
        <f aca="false">IF($C358="","",COUNTIFS($C$3:$C358,$C358))</f>
        <v/>
      </c>
      <c r="S358" s="12" t="str">
        <f aca="false">IF($C358="","",$C358&amp;"|"&amp;$R358)</f>
        <v/>
      </c>
    </row>
    <row r="359" customFormat="false" ht="15" hidden="false" customHeight="true" outlineLevel="0" collapsed="false">
      <c r="A359" s="12" t="str">
        <f aca="false">IF($C359="","",TEXT($B359,"yymmdd")&amp;"-"&amp;TEXT(COUNTIFS($B$3:$B359,$B359),"000"))</f>
        <v/>
      </c>
      <c r="B359" s="13"/>
      <c r="C359" s="7"/>
      <c r="D359" s="12" t="str">
        <f aca="false">IF($C359="","",IFERROR(INDEX(고객명부!$B$3:$B$502,MATCH($C359,고객명부!$A$3:$A$502,0)),"미등록고객"))</f>
        <v/>
      </c>
      <c r="E359" s="12" t="str">
        <f aca="false">IF($C359="","",IFERROR(INDEX(고객명부!$C$3:$C$502,MATCH($C359,고객명부!$A$3:$A$502,0)),""))</f>
        <v/>
      </c>
      <c r="F359" s="12" t="str">
        <f aca="false">IF($C359="","",IFERROR(INDEX(고객명부!$D$3:$D$502,MATCH($C359,고객명부!$A$3:$A$502,0)),""))</f>
        <v/>
      </c>
      <c r="G359" s="12" t="str">
        <f aca="false">IF($C359="","",IFERROR(INDEX(고객명부!$E$3:$E$502,MATCH($C359,고객명부!$A$3:$A$502,0))&amp;" "&amp;INDEX(고객명부!$F$3:$F$502,MATCH($C359,고객명부!$A$3:$A$502,0)),""))</f>
        <v/>
      </c>
      <c r="H359" s="7"/>
      <c r="I359" s="12" t="str">
        <f aca="false">IF($H359="","",IFERROR(INDEX(상품목록!$B$3:$B$102,MATCH($H359,상품목록!$A$3:$A$102,0)),""))</f>
        <v/>
      </c>
      <c r="J359" s="14" t="str">
        <f aca="false">IF($H359="","",IFERROR(INDEX(상품목록!$C$3:$C$102,MATCH($H359,상품목록!$A$3:$A$102,0)),0))</f>
        <v/>
      </c>
      <c r="K359" s="7"/>
      <c r="L359" s="14" t="str">
        <f aca="false">IF(OR($J359="",$K359=""),"",ROUND($J359*$K359,0))</f>
        <v/>
      </c>
      <c r="M359" s="9"/>
      <c r="N359" s="14" t="str">
        <f aca="false">IF($L359="","",$L359+IF($M359="",0,$M359))</f>
        <v/>
      </c>
      <c r="O359" s="13"/>
      <c r="P359" s="7"/>
      <c r="Q359" s="12" t="str">
        <f aca="false">IF($C359="","",IF($P359&lt;&gt;"","발송완료",IF($O359&lt;&gt;"","입금완료","입금대기")))</f>
        <v/>
      </c>
      <c r="R359" s="12" t="str">
        <f aca="false">IF($C359="","",COUNTIFS($C$3:$C359,$C359))</f>
        <v/>
      </c>
      <c r="S359" s="12" t="str">
        <f aca="false">IF($C359="","",$C359&amp;"|"&amp;$R359)</f>
        <v/>
      </c>
    </row>
    <row r="360" customFormat="false" ht="15" hidden="false" customHeight="true" outlineLevel="0" collapsed="false">
      <c r="A360" s="12" t="str">
        <f aca="false">IF($C360="","",TEXT($B360,"yymmdd")&amp;"-"&amp;TEXT(COUNTIFS($B$3:$B360,$B360),"000"))</f>
        <v/>
      </c>
      <c r="B360" s="13"/>
      <c r="C360" s="7"/>
      <c r="D360" s="12" t="str">
        <f aca="false">IF($C360="","",IFERROR(INDEX(고객명부!$B$3:$B$502,MATCH($C360,고객명부!$A$3:$A$502,0)),"미등록고객"))</f>
        <v/>
      </c>
      <c r="E360" s="12" t="str">
        <f aca="false">IF($C360="","",IFERROR(INDEX(고객명부!$C$3:$C$502,MATCH($C360,고객명부!$A$3:$A$502,0)),""))</f>
        <v/>
      </c>
      <c r="F360" s="12" t="str">
        <f aca="false">IF($C360="","",IFERROR(INDEX(고객명부!$D$3:$D$502,MATCH($C360,고객명부!$A$3:$A$502,0)),""))</f>
        <v/>
      </c>
      <c r="G360" s="12" t="str">
        <f aca="false">IF($C360="","",IFERROR(INDEX(고객명부!$E$3:$E$502,MATCH($C360,고객명부!$A$3:$A$502,0))&amp;" "&amp;INDEX(고객명부!$F$3:$F$502,MATCH($C360,고객명부!$A$3:$A$502,0)),""))</f>
        <v/>
      </c>
      <c r="H360" s="7"/>
      <c r="I360" s="12" t="str">
        <f aca="false">IF($H360="","",IFERROR(INDEX(상품목록!$B$3:$B$102,MATCH($H360,상품목록!$A$3:$A$102,0)),""))</f>
        <v/>
      </c>
      <c r="J360" s="14" t="str">
        <f aca="false">IF($H360="","",IFERROR(INDEX(상품목록!$C$3:$C$102,MATCH($H360,상품목록!$A$3:$A$102,0)),0))</f>
        <v/>
      </c>
      <c r="K360" s="7"/>
      <c r="L360" s="14" t="str">
        <f aca="false">IF(OR($J360="",$K360=""),"",ROUND($J360*$K360,0))</f>
        <v/>
      </c>
      <c r="M360" s="9"/>
      <c r="N360" s="14" t="str">
        <f aca="false">IF($L360="","",$L360+IF($M360="",0,$M360))</f>
        <v/>
      </c>
      <c r="O360" s="13"/>
      <c r="P360" s="7"/>
      <c r="Q360" s="12" t="str">
        <f aca="false">IF($C360="","",IF($P360&lt;&gt;"","발송완료",IF($O360&lt;&gt;"","입금완료","입금대기")))</f>
        <v/>
      </c>
      <c r="R360" s="12" t="str">
        <f aca="false">IF($C360="","",COUNTIFS($C$3:$C360,$C360))</f>
        <v/>
      </c>
      <c r="S360" s="12" t="str">
        <f aca="false">IF($C360="","",$C360&amp;"|"&amp;$R360)</f>
        <v/>
      </c>
    </row>
    <row r="361" customFormat="false" ht="15" hidden="false" customHeight="true" outlineLevel="0" collapsed="false">
      <c r="A361" s="12" t="str">
        <f aca="false">IF($C361="","",TEXT($B361,"yymmdd")&amp;"-"&amp;TEXT(COUNTIFS($B$3:$B361,$B361),"000"))</f>
        <v/>
      </c>
      <c r="B361" s="13"/>
      <c r="C361" s="7"/>
      <c r="D361" s="12" t="str">
        <f aca="false">IF($C361="","",IFERROR(INDEX(고객명부!$B$3:$B$502,MATCH($C361,고객명부!$A$3:$A$502,0)),"미등록고객"))</f>
        <v/>
      </c>
      <c r="E361" s="12" t="str">
        <f aca="false">IF($C361="","",IFERROR(INDEX(고객명부!$C$3:$C$502,MATCH($C361,고객명부!$A$3:$A$502,0)),""))</f>
        <v/>
      </c>
      <c r="F361" s="12" t="str">
        <f aca="false">IF($C361="","",IFERROR(INDEX(고객명부!$D$3:$D$502,MATCH($C361,고객명부!$A$3:$A$502,0)),""))</f>
        <v/>
      </c>
      <c r="G361" s="12" t="str">
        <f aca="false">IF($C361="","",IFERROR(INDEX(고객명부!$E$3:$E$502,MATCH($C361,고객명부!$A$3:$A$502,0))&amp;" "&amp;INDEX(고객명부!$F$3:$F$502,MATCH($C361,고객명부!$A$3:$A$502,0)),""))</f>
        <v/>
      </c>
      <c r="H361" s="7"/>
      <c r="I361" s="12" t="str">
        <f aca="false">IF($H361="","",IFERROR(INDEX(상품목록!$B$3:$B$102,MATCH($H361,상품목록!$A$3:$A$102,0)),""))</f>
        <v/>
      </c>
      <c r="J361" s="14" t="str">
        <f aca="false">IF($H361="","",IFERROR(INDEX(상품목록!$C$3:$C$102,MATCH($H361,상품목록!$A$3:$A$102,0)),0))</f>
        <v/>
      </c>
      <c r="K361" s="7"/>
      <c r="L361" s="14" t="str">
        <f aca="false">IF(OR($J361="",$K361=""),"",ROUND($J361*$K361,0))</f>
        <v/>
      </c>
      <c r="M361" s="9"/>
      <c r="N361" s="14" t="str">
        <f aca="false">IF($L361="","",$L361+IF($M361="",0,$M361))</f>
        <v/>
      </c>
      <c r="O361" s="13"/>
      <c r="P361" s="7"/>
      <c r="Q361" s="12" t="str">
        <f aca="false">IF($C361="","",IF($P361&lt;&gt;"","발송완료",IF($O361&lt;&gt;"","입금완료","입금대기")))</f>
        <v/>
      </c>
      <c r="R361" s="12" t="str">
        <f aca="false">IF($C361="","",COUNTIFS($C$3:$C361,$C361))</f>
        <v/>
      </c>
      <c r="S361" s="12" t="str">
        <f aca="false">IF($C361="","",$C361&amp;"|"&amp;$R361)</f>
        <v/>
      </c>
    </row>
    <row r="362" customFormat="false" ht="15" hidden="false" customHeight="true" outlineLevel="0" collapsed="false">
      <c r="A362" s="12" t="str">
        <f aca="false">IF($C362="","",TEXT($B362,"yymmdd")&amp;"-"&amp;TEXT(COUNTIFS($B$3:$B362,$B362),"000"))</f>
        <v/>
      </c>
      <c r="B362" s="13"/>
      <c r="C362" s="7"/>
      <c r="D362" s="12" t="str">
        <f aca="false">IF($C362="","",IFERROR(INDEX(고객명부!$B$3:$B$502,MATCH($C362,고객명부!$A$3:$A$502,0)),"미등록고객"))</f>
        <v/>
      </c>
      <c r="E362" s="12" t="str">
        <f aca="false">IF($C362="","",IFERROR(INDEX(고객명부!$C$3:$C$502,MATCH($C362,고객명부!$A$3:$A$502,0)),""))</f>
        <v/>
      </c>
      <c r="F362" s="12" t="str">
        <f aca="false">IF($C362="","",IFERROR(INDEX(고객명부!$D$3:$D$502,MATCH($C362,고객명부!$A$3:$A$502,0)),""))</f>
        <v/>
      </c>
      <c r="G362" s="12" t="str">
        <f aca="false">IF($C362="","",IFERROR(INDEX(고객명부!$E$3:$E$502,MATCH($C362,고객명부!$A$3:$A$502,0))&amp;" "&amp;INDEX(고객명부!$F$3:$F$502,MATCH($C362,고객명부!$A$3:$A$502,0)),""))</f>
        <v/>
      </c>
      <c r="H362" s="7"/>
      <c r="I362" s="12" t="str">
        <f aca="false">IF($H362="","",IFERROR(INDEX(상품목록!$B$3:$B$102,MATCH($H362,상품목록!$A$3:$A$102,0)),""))</f>
        <v/>
      </c>
      <c r="J362" s="14" t="str">
        <f aca="false">IF($H362="","",IFERROR(INDEX(상품목록!$C$3:$C$102,MATCH($H362,상품목록!$A$3:$A$102,0)),0))</f>
        <v/>
      </c>
      <c r="K362" s="7"/>
      <c r="L362" s="14" t="str">
        <f aca="false">IF(OR($J362="",$K362=""),"",ROUND($J362*$K362,0))</f>
        <v/>
      </c>
      <c r="M362" s="9"/>
      <c r="N362" s="14" t="str">
        <f aca="false">IF($L362="","",$L362+IF($M362="",0,$M362))</f>
        <v/>
      </c>
      <c r="O362" s="13"/>
      <c r="P362" s="7"/>
      <c r="Q362" s="12" t="str">
        <f aca="false">IF($C362="","",IF($P362&lt;&gt;"","발송완료",IF($O362&lt;&gt;"","입금완료","입금대기")))</f>
        <v/>
      </c>
      <c r="R362" s="12" t="str">
        <f aca="false">IF($C362="","",COUNTIFS($C$3:$C362,$C362))</f>
        <v/>
      </c>
      <c r="S362" s="12" t="str">
        <f aca="false">IF($C362="","",$C362&amp;"|"&amp;$R362)</f>
        <v/>
      </c>
    </row>
    <row r="363" customFormat="false" ht="15" hidden="false" customHeight="true" outlineLevel="0" collapsed="false">
      <c r="A363" s="12" t="str">
        <f aca="false">IF($C363="","",TEXT($B363,"yymmdd")&amp;"-"&amp;TEXT(COUNTIFS($B$3:$B363,$B363),"000"))</f>
        <v/>
      </c>
      <c r="B363" s="13"/>
      <c r="C363" s="7"/>
      <c r="D363" s="12" t="str">
        <f aca="false">IF($C363="","",IFERROR(INDEX(고객명부!$B$3:$B$502,MATCH($C363,고객명부!$A$3:$A$502,0)),"미등록고객"))</f>
        <v/>
      </c>
      <c r="E363" s="12" t="str">
        <f aca="false">IF($C363="","",IFERROR(INDEX(고객명부!$C$3:$C$502,MATCH($C363,고객명부!$A$3:$A$502,0)),""))</f>
        <v/>
      </c>
      <c r="F363" s="12" t="str">
        <f aca="false">IF($C363="","",IFERROR(INDEX(고객명부!$D$3:$D$502,MATCH($C363,고객명부!$A$3:$A$502,0)),""))</f>
        <v/>
      </c>
      <c r="G363" s="12" t="str">
        <f aca="false">IF($C363="","",IFERROR(INDEX(고객명부!$E$3:$E$502,MATCH($C363,고객명부!$A$3:$A$502,0))&amp;" "&amp;INDEX(고객명부!$F$3:$F$502,MATCH($C363,고객명부!$A$3:$A$502,0)),""))</f>
        <v/>
      </c>
      <c r="H363" s="7"/>
      <c r="I363" s="12" t="str">
        <f aca="false">IF($H363="","",IFERROR(INDEX(상품목록!$B$3:$B$102,MATCH($H363,상품목록!$A$3:$A$102,0)),""))</f>
        <v/>
      </c>
      <c r="J363" s="14" t="str">
        <f aca="false">IF($H363="","",IFERROR(INDEX(상품목록!$C$3:$C$102,MATCH($H363,상품목록!$A$3:$A$102,0)),0))</f>
        <v/>
      </c>
      <c r="K363" s="7"/>
      <c r="L363" s="14" t="str">
        <f aca="false">IF(OR($J363="",$K363=""),"",ROUND($J363*$K363,0))</f>
        <v/>
      </c>
      <c r="M363" s="9"/>
      <c r="N363" s="14" t="str">
        <f aca="false">IF($L363="","",$L363+IF($M363="",0,$M363))</f>
        <v/>
      </c>
      <c r="O363" s="13"/>
      <c r="P363" s="7"/>
      <c r="Q363" s="12" t="str">
        <f aca="false">IF($C363="","",IF($P363&lt;&gt;"","발송완료",IF($O363&lt;&gt;"","입금완료","입금대기")))</f>
        <v/>
      </c>
      <c r="R363" s="12" t="str">
        <f aca="false">IF($C363="","",COUNTIFS($C$3:$C363,$C363))</f>
        <v/>
      </c>
      <c r="S363" s="12" t="str">
        <f aca="false">IF($C363="","",$C363&amp;"|"&amp;$R363)</f>
        <v/>
      </c>
    </row>
    <row r="364" customFormat="false" ht="15" hidden="false" customHeight="true" outlineLevel="0" collapsed="false">
      <c r="A364" s="12" t="str">
        <f aca="false">IF($C364="","",TEXT($B364,"yymmdd")&amp;"-"&amp;TEXT(COUNTIFS($B$3:$B364,$B364),"000"))</f>
        <v/>
      </c>
      <c r="B364" s="13"/>
      <c r="C364" s="7"/>
      <c r="D364" s="12" t="str">
        <f aca="false">IF($C364="","",IFERROR(INDEX(고객명부!$B$3:$B$502,MATCH($C364,고객명부!$A$3:$A$502,0)),"미등록고객"))</f>
        <v/>
      </c>
      <c r="E364" s="12" t="str">
        <f aca="false">IF($C364="","",IFERROR(INDEX(고객명부!$C$3:$C$502,MATCH($C364,고객명부!$A$3:$A$502,0)),""))</f>
        <v/>
      </c>
      <c r="F364" s="12" t="str">
        <f aca="false">IF($C364="","",IFERROR(INDEX(고객명부!$D$3:$D$502,MATCH($C364,고객명부!$A$3:$A$502,0)),""))</f>
        <v/>
      </c>
      <c r="G364" s="12" t="str">
        <f aca="false">IF($C364="","",IFERROR(INDEX(고객명부!$E$3:$E$502,MATCH($C364,고객명부!$A$3:$A$502,0))&amp;" "&amp;INDEX(고객명부!$F$3:$F$502,MATCH($C364,고객명부!$A$3:$A$502,0)),""))</f>
        <v/>
      </c>
      <c r="H364" s="7"/>
      <c r="I364" s="12" t="str">
        <f aca="false">IF($H364="","",IFERROR(INDEX(상품목록!$B$3:$B$102,MATCH($H364,상품목록!$A$3:$A$102,0)),""))</f>
        <v/>
      </c>
      <c r="J364" s="14" t="str">
        <f aca="false">IF($H364="","",IFERROR(INDEX(상품목록!$C$3:$C$102,MATCH($H364,상품목록!$A$3:$A$102,0)),0))</f>
        <v/>
      </c>
      <c r="K364" s="7"/>
      <c r="L364" s="14" t="str">
        <f aca="false">IF(OR($J364="",$K364=""),"",ROUND($J364*$K364,0))</f>
        <v/>
      </c>
      <c r="M364" s="9"/>
      <c r="N364" s="14" t="str">
        <f aca="false">IF($L364="","",$L364+IF($M364="",0,$M364))</f>
        <v/>
      </c>
      <c r="O364" s="13"/>
      <c r="P364" s="7"/>
      <c r="Q364" s="12" t="str">
        <f aca="false">IF($C364="","",IF($P364&lt;&gt;"","발송완료",IF($O364&lt;&gt;"","입금완료","입금대기")))</f>
        <v/>
      </c>
      <c r="R364" s="12" t="str">
        <f aca="false">IF($C364="","",COUNTIFS($C$3:$C364,$C364))</f>
        <v/>
      </c>
      <c r="S364" s="12" t="str">
        <f aca="false">IF($C364="","",$C364&amp;"|"&amp;$R364)</f>
        <v/>
      </c>
    </row>
    <row r="365" customFormat="false" ht="15" hidden="false" customHeight="true" outlineLevel="0" collapsed="false">
      <c r="A365" s="12" t="str">
        <f aca="false">IF($C365="","",TEXT($B365,"yymmdd")&amp;"-"&amp;TEXT(COUNTIFS($B$3:$B365,$B365),"000"))</f>
        <v/>
      </c>
      <c r="B365" s="13"/>
      <c r="C365" s="7"/>
      <c r="D365" s="12" t="str">
        <f aca="false">IF($C365="","",IFERROR(INDEX(고객명부!$B$3:$B$502,MATCH($C365,고객명부!$A$3:$A$502,0)),"미등록고객"))</f>
        <v/>
      </c>
      <c r="E365" s="12" t="str">
        <f aca="false">IF($C365="","",IFERROR(INDEX(고객명부!$C$3:$C$502,MATCH($C365,고객명부!$A$3:$A$502,0)),""))</f>
        <v/>
      </c>
      <c r="F365" s="12" t="str">
        <f aca="false">IF($C365="","",IFERROR(INDEX(고객명부!$D$3:$D$502,MATCH($C365,고객명부!$A$3:$A$502,0)),""))</f>
        <v/>
      </c>
      <c r="G365" s="12" t="str">
        <f aca="false">IF($C365="","",IFERROR(INDEX(고객명부!$E$3:$E$502,MATCH($C365,고객명부!$A$3:$A$502,0))&amp;" "&amp;INDEX(고객명부!$F$3:$F$502,MATCH($C365,고객명부!$A$3:$A$502,0)),""))</f>
        <v/>
      </c>
      <c r="H365" s="7"/>
      <c r="I365" s="12" t="str">
        <f aca="false">IF($H365="","",IFERROR(INDEX(상품목록!$B$3:$B$102,MATCH($H365,상품목록!$A$3:$A$102,0)),""))</f>
        <v/>
      </c>
      <c r="J365" s="14" t="str">
        <f aca="false">IF($H365="","",IFERROR(INDEX(상품목록!$C$3:$C$102,MATCH($H365,상품목록!$A$3:$A$102,0)),0))</f>
        <v/>
      </c>
      <c r="K365" s="7"/>
      <c r="L365" s="14" t="str">
        <f aca="false">IF(OR($J365="",$K365=""),"",ROUND($J365*$K365,0))</f>
        <v/>
      </c>
      <c r="M365" s="9"/>
      <c r="N365" s="14" t="str">
        <f aca="false">IF($L365="","",$L365+IF($M365="",0,$M365))</f>
        <v/>
      </c>
      <c r="O365" s="13"/>
      <c r="P365" s="7"/>
      <c r="Q365" s="12" t="str">
        <f aca="false">IF($C365="","",IF($P365&lt;&gt;"","발송완료",IF($O365&lt;&gt;"","입금완료","입금대기")))</f>
        <v/>
      </c>
      <c r="R365" s="12" t="str">
        <f aca="false">IF($C365="","",COUNTIFS($C$3:$C365,$C365))</f>
        <v/>
      </c>
      <c r="S365" s="12" t="str">
        <f aca="false">IF($C365="","",$C365&amp;"|"&amp;$R365)</f>
        <v/>
      </c>
    </row>
    <row r="366" customFormat="false" ht="15" hidden="false" customHeight="true" outlineLevel="0" collapsed="false">
      <c r="A366" s="12" t="str">
        <f aca="false">IF($C366="","",TEXT($B366,"yymmdd")&amp;"-"&amp;TEXT(COUNTIFS($B$3:$B366,$B366),"000"))</f>
        <v/>
      </c>
      <c r="B366" s="13"/>
      <c r="C366" s="7"/>
      <c r="D366" s="12" t="str">
        <f aca="false">IF($C366="","",IFERROR(INDEX(고객명부!$B$3:$B$502,MATCH($C366,고객명부!$A$3:$A$502,0)),"미등록고객"))</f>
        <v/>
      </c>
      <c r="E366" s="12" t="str">
        <f aca="false">IF($C366="","",IFERROR(INDEX(고객명부!$C$3:$C$502,MATCH($C366,고객명부!$A$3:$A$502,0)),""))</f>
        <v/>
      </c>
      <c r="F366" s="12" t="str">
        <f aca="false">IF($C366="","",IFERROR(INDEX(고객명부!$D$3:$D$502,MATCH($C366,고객명부!$A$3:$A$502,0)),""))</f>
        <v/>
      </c>
      <c r="G366" s="12" t="str">
        <f aca="false">IF($C366="","",IFERROR(INDEX(고객명부!$E$3:$E$502,MATCH($C366,고객명부!$A$3:$A$502,0))&amp;" "&amp;INDEX(고객명부!$F$3:$F$502,MATCH($C366,고객명부!$A$3:$A$502,0)),""))</f>
        <v/>
      </c>
      <c r="H366" s="7"/>
      <c r="I366" s="12" t="str">
        <f aca="false">IF($H366="","",IFERROR(INDEX(상품목록!$B$3:$B$102,MATCH($H366,상품목록!$A$3:$A$102,0)),""))</f>
        <v/>
      </c>
      <c r="J366" s="14" t="str">
        <f aca="false">IF($H366="","",IFERROR(INDEX(상품목록!$C$3:$C$102,MATCH($H366,상품목록!$A$3:$A$102,0)),0))</f>
        <v/>
      </c>
      <c r="K366" s="7"/>
      <c r="L366" s="14" t="str">
        <f aca="false">IF(OR($J366="",$K366=""),"",ROUND($J366*$K366,0))</f>
        <v/>
      </c>
      <c r="M366" s="9"/>
      <c r="N366" s="14" t="str">
        <f aca="false">IF($L366="","",$L366+IF($M366="",0,$M366))</f>
        <v/>
      </c>
      <c r="O366" s="13"/>
      <c r="P366" s="7"/>
      <c r="Q366" s="12" t="str">
        <f aca="false">IF($C366="","",IF($P366&lt;&gt;"","발송완료",IF($O366&lt;&gt;"","입금완료","입금대기")))</f>
        <v/>
      </c>
      <c r="R366" s="12" t="str">
        <f aca="false">IF($C366="","",COUNTIFS($C$3:$C366,$C366))</f>
        <v/>
      </c>
      <c r="S366" s="12" t="str">
        <f aca="false">IF($C366="","",$C366&amp;"|"&amp;$R366)</f>
        <v/>
      </c>
    </row>
    <row r="367" customFormat="false" ht="15" hidden="false" customHeight="true" outlineLevel="0" collapsed="false">
      <c r="A367" s="12" t="str">
        <f aca="false">IF($C367="","",TEXT($B367,"yymmdd")&amp;"-"&amp;TEXT(COUNTIFS($B$3:$B367,$B367),"000"))</f>
        <v/>
      </c>
      <c r="B367" s="13"/>
      <c r="C367" s="7"/>
      <c r="D367" s="12" t="str">
        <f aca="false">IF($C367="","",IFERROR(INDEX(고객명부!$B$3:$B$502,MATCH($C367,고객명부!$A$3:$A$502,0)),"미등록고객"))</f>
        <v/>
      </c>
      <c r="E367" s="12" t="str">
        <f aca="false">IF($C367="","",IFERROR(INDEX(고객명부!$C$3:$C$502,MATCH($C367,고객명부!$A$3:$A$502,0)),""))</f>
        <v/>
      </c>
      <c r="F367" s="12" t="str">
        <f aca="false">IF($C367="","",IFERROR(INDEX(고객명부!$D$3:$D$502,MATCH($C367,고객명부!$A$3:$A$502,0)),""))</f>
        <v/>
      </c>
      <c r="G367" s="12" t="str">
        <f aca="false">IF($C367="","",IFERROR(INDEX(고객명부!$E$3:$E$502,MATCH($C367,고객명부!$A$3:$A$502,0))&amp;" "&amp;INDEX(고객명부!$F$3:$F$502,MATCH($C367,고객명부!$A$3:$A$502,0)),""))</f>
        <v/>
      </c>
      <c r="H367" s="7"/>
      <c r="I367" s="12" t="str">
        <f aca="false">IF($H367="","",IFERROR(INDEX(상품목록!$B$3:$B$102,MATCH($H367,상품목록!$A$3:$A$102,0)),""))</f>
        <v/>
      </c>
      <c r="J367" s="14" t="str">
        <f aca="false">IF($H367="","",IFERROR(INDEX(상품목록!$C$3:$C$102,MATCH($H367,상품목록!$A$3:$A$102,0)),0))</f>
        <v/>
      </c>
      <c r="K367" s="7"/>
      <c r="L367" s="14" t="str">
        <f aca="false">IF(OR($J367="",$K367=""),"",ROUND($J367*$K367,0))</f>
        <v/>
      </c>
      <c r="M367" s="9"/>
      <c r="N367" s="14" t="str">
        <f aca="false">IF($L367="","",$L367+IF($M367="",0,$M367))</f>
        <v/>
      </c>
      <c r="O367" s="13"/>
      <c r="P367" s="7"/>
      <c r="Q367" s="12" t="str">
        <f aca="false">IF($C367="","",IF($P367&lt;&gt;"","발송완료",IF($O367&lt;&gt;"","입금완료","입금대기")))</f>
        <v/>
      </c>
      <c r="R367" s="12" t="str">
        <f aca="false">IF($C367="","",COUNTIFS($C$3:$C367,$C367))</f>
        <v/>
      </c>
      <c r="S367" s="12" t="str">
        <f aca="false">IF($C367="","",$C367&amp;"|"&amp;$R367)</f>
        <v/>
      </c>
    </row>
    <row r="368" customFormat="false" ht="15" hidden="false" customHeight="true" outlineLevel="0" collapsed="false">
      <c r="A368" s="12" t="str">
        <f aca="false">IF($C368="","",TEXT($B368,"yymmdd")&amp;"-"&amp;TEXT(COUNTIFS($B$3:$B368,$B368),"000"))</f>
        <v/>
      </c>
      <c r="B368" s="13"/>
      <c r="C368" s="7"/>
      <c r="D368" s="12" t="str">
        <f aca="false">IF($C368="","",IFERROR(INDEX(고객명부!$B$3:$B$502,MATCH($C368,고객명부!$A$3:$A$502,0)),"미등록고객"))</f>
        <v/>
      </c>
      <c r="E368" s="12" t="str">
        <f aca="false">IF($C368="","",IFERROR(INDEX(고객명부!$C$3:$C$502,MATCH($C368,고객명부!$A$3:$A$502,0)),""))</f>
        <v/>
      </c>
      <c r="F368" s="12" t="str">
        <f aca="false">IF($C368="","",IFERROR(INDEX(고객명부!$D$3:$D$502,MATCH($C368,고객명부!$A$3:$A$502,0)),""))</f>
        <v/>
      </c>
      <c r="G368" s="12" t="str">
        <f aca="false">IF($C368="","",IFERROR(INDEX(고객명부!$E$3:$E$502,MATCH($C368,고객명부!$A$3:$A$502,0))&amp;" "&amp;INDEX(고객명부!$F$3:$F$502,MATCH($C368,고객명부!$A$3:$A$502,0)),""))</f>
        <v/>
      </c>
      <c r="H368" s="7"/>
      <c r="I368" s="12" t="str">
        <f aca="false">IF($H368="","",IFERROR(INDEX(상품목록!$B$3:$B$102,MATCH($H368,상품목록!$A$3:$A$102,0)),""))</f>
        <v/>
      </c>
      <c r="J368" s="14" t="str">
        <f aca="false">IF($H368="","",IFERROR(INDEX(상품목록!$C$3:$C$102,MATCH($H368,상품목록!$A$3:$A$102,0)),0))</f>
        <v/>
      </c>
      <c r="K368" s="7"/>
      <c r="L368" s="14" t="str">
        <f aca="false">IF(OR($J368="",$K368=""),"",ROUND($J368*$K368,0))</f>
        <v/>
      </c>
      <c r="M368" s="9"/>
      <c r="N368" s="14" t="str">
        <f aca="false">IF($L368="","",$L368+IF($M368="",0,$M368))</f>
        <v/>
      </c>
      <c r="O368" s="13"/>
      <c r="P368" s="7"/>
      <c r="Q368" s="12" t="str">
        <f aca="false">IF($C368="","",IF($P368&lt;&gt;"","발송완료",IF($O368&lt;&gt;"","입금완료","입금대기")))</f>
        <v/>
      </c>
      <c r="R368" s="12" t="str">
        <f aca="false">IF($C368="","",COUNTIFS($C$3:$C368,$C368))</f>
        <v/>
      </c>
      <c r="S368" s="12" t="str">
        <f aca="false">IF($C368="","",$C368&amp;"|"&amp;$R368)</f>
        <v/>
      </c>
    </row>
    <row r="369" customFormat="false" ht="15" hidden="false" customHeight="true" outlineLevel="0" collapsed="false">
      <c r="A369" s="12" t="str">
        <f aca="false">IF($C369="","",TEXT($B369,"yymmdd")&amp;"-"&amp;TEXT(COUNTIFS($B$3:$B369,$B369),"000"))</f>
        <v/>
      </c>
      <c r="B369" s="13"/>
      <c r="C369" s="7"/>
      <c r="D369" s="12" t="str">
        <f aca="false">IF($C369="","",IFERROR(INDEX(고객명부!$B$3:$B$502,MATCH($C369,고객명부!$A$3:$A$502,0)),"미등록고객"))</f>
        <v/>
      </c>
      <c r="E369" s="12" t="str">
        <f aca="false">IF($C369="","",IFERROR(INDEX(고객명부!$C$3:$C$502,MATCH($C369,고객명부!$A$3:$A$502,0)),""))</f>
        <v/>
      </c>
      <c r="F369" s="12" t="str">
        <f aca="false">IF($C369="","",IFERROR(INDEX(고객명부!$D$3:$D$502,MATCH($C369,고객명부!$A$3:$A$502,0)),""))</f>
        <v/>
      </c>
      <c r="G369" s="12" t="str">
        <f aca="false">IF($C369="","",IFERROR(INDEX(고객명부!$E$3:$E$502,MATCH($C369,고객명부!$A$3:$A$502,0))&amp;" "&amp;INDEX(고객명부!$F$3:$F$502,MATCH($C369,고객명부!$A$3:$A$502,0)),""))</f>
        <v/>
      </c>
      <c r="H369" s="7"/>
      <c r="I369" s="12" t="str">
        <f aca="false">IF($H369="","",IFERROR(INDEX(상품목록!$B$3:$B$102,MATCH($H369,상품목록!$A$3:$A$102,0)),""))</f>
        <v/>
      </c>
      <c r="J369" s="14" t="str">
        <f aca="false">IF($H369="","",IFERROR(INDEX(상품목록!$C$3:$C$102,MATCH($H369,상품목록!$A$3:$A$102,0)),0))</f>
        <v/>
      </c>
      <c r="K369" s="7"/>
      <c r="L369" s="14" t="str">
        <f aca="false">IF(OR($J369="",$K369=""),"",ROUND($J369*$K369,0))</f>
        <v/>
      </c>
      <c r="M369" s="9"/>
      <c r="N369" s="14" t="str">
        <f aca="false">IF($L369="","",$L369+IF($M369="",0,$M369))</f>
        <v/>
      </c>
      <c r="O369" s="13"/>
      <c r="P369" s="7"/>
      <c r="Q369" s="12" t="str">
        <f aca="false">IF($C369="","",IF($P369&lt;&gt;"","발송완료",IF($O369&lt;&gt;"","입금완료","입금대기")))</f>
        <v/>
      </c>
      <c r="R369" s="12" t="str">
        <f aca="false">IF($C369="","",COUNTIFS($C$3:$C369,$C369))</f>
        <v/>
      </c>
      <c r="S369" s="12" t="str">
        <f aca="false">IF($C369="","",$C369&amp;"|"&amp;$R369)</f>
        <v/>
      </c>
    </row>
    <row r="370" customFormat="false" ht="15" hidden="false" customHeight="true" outlineLevel="0" collapsed="false">
      <c r="A370" s="12" t="str">
        <f aca="false">IF($C370="","",TEXT($B370,"yymmdd")&amp;"-"&amp;TEXT(COUNTIFS($B$3:$B370,$B370),"000"))</f>
        <v/>
      </c>
      <c r="B370" s="13"/>
      <c r="C370" s="7"/>
      <c r="D370" s="12" t="str">
        <f aca="false">IF($C370="","",IFERROR(INDEX(고객명부!$B$3:$B$502,MATCH($C370,고객명부!$A$3:$A$502,0)),"미등록고객"))</f>
        <v/>
      </c>
      <c r="E370" s="12" t="str">
        <f aca="false">IF($C370="","",IFERROR(INDEX(고객명부!$C$3:$C$502,MATCH($C370,고객명부!$A$3:$A$502,0)),""))</f>
        <v/>
      </c>
      <c r="F370" s="12" t="str">
        <f aca="false">IF($C370="","",IFERROR(INDEX(고객명부!$D$3:$D$502,MATCH($C370,고객명부!$A$3:$A$502,0)),""))</f>
        <v/>
      </c>
      <c r="G370" s="12" t="str">
        <f aca="false">IF($C370="","",IFERROR(INDEX(고객명부!$E$3:$E$502,MATCH($C370,고객명부!$A$3:$A$502,0))&amp;" "&amp;INDEX(고객명부!$F$3:$F$502,MATCH($C370,고객명부!$A$3:$A$502,0)),""))</f>
        <v/>
      </c>
      <c r="H370" s="7"/>
      <c r="I370" s="12" t="str">
        <f aca="false">IF($H370="","",IFERROR(INDEX(상품목록!$B$3:$B$102,MATCH($H370,상품목록!$A$3:$A$102,0)),""))</f>
        <v/>
      </c>
      <c r="J370" s="14" t="str">
        <f aca="false">IF($H370="","",IFERROR(INDEX(상품목록!$C$3:$C$102,MATCH($H370,상품목록!$A$3:$A$102,0)),0))</f>
        <v/>
      </c>
      <c r="K370" s="7"/>
      <c r="L370" s="14" t="str">
        <f aca="false">IF(OR($J370="",$K370=""),"",ROUND($J370*$K370,0))</f>
        <v/>
      </c>
      <c r="M370" s="9"/>
      <c r="N370" s="14" t="str">
        <f aca="false">IF($L370="","",$L370+IF($M370="",0,$M370))</f>
        <v/>
      </c>
      <c r="O370" s="13"/>
      <c r="P370" s="7"/>
      <c r="Q370" s="12" t="str">
        <f aca="false">IF($C370="","",IF($P370&lt;&gt;"","발송완료",IF($O370&lt;&gt;"","입금완료","입금대기")))</f>
        <v/>
      </c>
      <c r="R370" s="12" t="str">
        <f aca="false">IF($C370="","",COUNTIFS($C$3:$C370,$C370))</f>
        <v/>
      </c>
      <c r="S370" s="12" t="str">
        <f aca="false">IF($C370="","",$C370&amp;"|"&amp;$R370)</f>
        <v/>
      </c>
    </row>
    <row r="371" customFormat="false" ht="15" hidden="false" customHeight="true" outlineLevel="0" collapsed="false">
      <c r="A371" s="12" t="str">
        <f aca="false">IF($C371="","",TEXT($B371,"yymmdd")&amp;"-"&amp;TEXT(COUNTIFS($B$3:$B371,$B371),"000"))</f>
        <v/>
      </c>
      <c r="B371" s="13"/>
      <c r="C371" s="7"/>
      <c r="D371" s="12" t="str">
        <f aca="false">IF($C371="","",IFERROR(INDEX(고객명부!$B$3:$B$502,MATCH($C371,고객명부!$A$3:$A$502,0)),"미등록고객"))</f>
        <v/>
      </c>
      <c r="E371" s="12" t="str">
        <f aca="false">IF($C371="","",IFERROR(INDEX(고객명부!$C$3:$C$502,MATCH($C371,고객명부!$A$3:$A$502,0)),""))</f>
        <v/>
      </c>
      <c r="F371" s="12" t="str">
        <f aca="false">IF($C371="","",IFERROR(INDEX(고객명부!$D$3:$D$502,MATCH($C371,고객명부!$A$3:$A$502,0)),""))</f>
        <v/>
      </c>
      <c r="G371" s="12" t="str">
        <f aca="false">IF($C371="","",IFERROR(INDEX(고객명부!$E$3:$E$502,MATCH($C371,고객명부!$A$3:$A$502,0))&amp;" "&amp;INDEX(고객명부!$F$3:$F$502,MATCH($C371,고객명부!$A$3:$A$502,0)),""))</f>
        <v/>
      </c>
      <c r="H371" s="7"/>
      <c r="I371" s="12" t="str">
        <f aca="false">IF($H371="","",IFERROR(INDEX(상품목록!$B$3:$B$102,MATCH($H371,상품목록!$A$3:$A$102,0)),""))</f>
        <v/>
      </c>
      <c r="J371" s="14" t="str">
        <f aca="false">IF($H371="","",IFERROR(INDEX(상품목록!$C$3:$C$102,MATCH($H371,상품목록!$A$3:$A$102,0)),0))</f>
        <v/>
      </c>
      <c r="K371" s="7"/>
      <c r="L371" s="14" t="str">
        <f aca="false">IF(OR($J371="",$K371=""),"",ROUND($J371*$K371,0))</f>
        <v/>
      </c>
      <c r="M371" s="9"/>
      <c r="N371" s="14" t="str">
        <f aca="false">IF($L371="","",$L371+IF($M371="",0,$M371))</f>
        <v/>
      </c>
      <c r="O371" s="13"/>
      <c r="P371" s="7"/>
      <c r="Q371" s="12" t="str">
        <f aca="false">IF($C371="","",IF($P371&lt;&gt;"","발송완료",IF($O371&lt;&gt;"","입금완료","입금대기")))</f>
        <v/>
      </c>
      <c r="R371" s="12" t="str">
        <f aca="false">IF($C371="","",COUNTIFS($C$3:$C371,$C371))</f>
        <v/>
      </c>
      <c r="S371" s="12" t="str">
        <f aca="false">IF($C371="","",$C371&amp;"|"&amp;$R371)</f>
        <v/>
      </c>
    </row>
    <row r="372" customFormat="false" ht="15" hidden="false" customHeight="true" outlineLevel="0" collapsed="false">
      <c r="A372" s="12" t="str">
        <f aca="false">IF($C372="","",TEXT($B372,"yymmdd")&amp;"-"&amp;TEXT(COUNTIFS($B$3:$B372,$B372),"000"))</f>
        <v/>
      </c>
      <c r="B372" s="13"/>
      <c r="C372" s="7"/>
      <c r="D372" s="12" t="str">
        <f aca="false">IF($C372="","",IFERROR(INDEX(고객명부!$B$3:$B$502,MATCH($C372,고객명부!$A$3:$A$502,0)),"미등록고객"))</f>
        <v/>
      </c>
      <c r="E372" s="12" t="str">
        <f aca="false">IF($C372="","",IFERROR(INDEX(고객명부!$C$3:$C$502,MATCH($C372,고객명부!$A$3:$A$502,0)),""))</f>
        <v/>
      </c>
      <c r="F372" s="12" t="str">
        <f aca="false">IF($C372="","",IFERROR(INDEX(고객명부!$D$3:$D$502,MATCH($C372,고객명부!$A$3:$A$502,0)),""))</f>
        <v/>
      </c>
      <c r="G372" s="12" t="str">
        <f aca="false">IF($C372="","",IFERROR(INDEX(고객명부!$E$3:$E$502,MATCH($C372,고객명부!$A$3:$A$502,0))&amp;" "&amp;INDEX(고객명부!$F$3:$F$502,MATCH($C372,고객명부!$A$3:$A$502,0)),""))</f>
        <v/>
      </c>
      <c r="H372" s="7"/>
      <c r="I372" s="12" t="str">
        <f aca="false">IF($H372="","",IFERROR(INDEX(상품목록!$B$3:$B$102,MATCH($H372,상품목록!$A$3:$A$102,0)),""))</f>
        <v/>
      </c>
      <c r="J372" s="14" t="str">
        <f aca="false">IF($H372="","",IFERROR(INDEX(상품목록!$C$3:$C$102,MATCH($H372,상품목록!$A$3:$A$102,0)),0))</f>
        <v/>
      </c>
      <c r="K372" s="7"/>
      <c r="L372" s="14" t="str">
        <f aca="false">IF(OR($J372="",$K372=""),"",ROUND($J372*$K372,0))</f>
        <v/>
      </c>
      <c r="M372" s="9"/>
      <c r="N372" s="14" t="str">
        <f aca="false">IF($L372="","",$L372+IF($M372="",0,$M372))</f>
        <v/>
      </c>
      <c r="O372" s="13"/>
      <c r="P372" s="7"/>
      <c r="Q372" s="12" t="str">
        <f aca="false">IF($C372="","",IF($P372&lt;&gt;"","발송완료",IF($O372&lt;&gt;"","입금완료","입금대기")))</f>
        <v/>
      </c>
      <c r="R372" s="12" t="str">
        <f aca="false">IF($C372="","",COUNTIFS($C$3:$C372,$C372))</f>
        <v/>
      </c>
      <c r="S372" s="12" t="str">
        <f aca="false">IF($C372="","",$C372&amp;"|"&amp;$R372)</f>
        <v/>
      </c>
    </row>
    <row r="373" customFormat="false" ht="15" hidden="false" customHeight="true" outlineLevel="0" collapsed="false">
      <c r="A373" s="12" t="str">
        <f aca="false">IF($C373="","",TEXT($B373,"yymmdd")&amp;"-"&amp;TEXT(COUNTIFS($B$3:$B373,$B373),"000"))</f>
        <v/>
      </c>
      <c r="B373" s="13"/>
      <c r="C373" s="7"/>
      <c r="D373" s="12" t="str">
        <f aca="false">IF($C373="","",IFERROR(INDEX(고객명부!$B$3:$B$502,MATCH($C373,고객명부!$A$3:$A$502,0)),"미등록고객"))</f>
        <v/>
      </c>
      <c r="E373" s="12" t="str">
        <f aca="false">IF($C373="","",IFERROR(INDEX(고객명부!$C$3:$C$502,MATCH($C373,고객명부!$A$3:$A$502,0)),""))</f>
        <v/>
      </c>
      <c r="F373" s="12" t="str">
        <f aca="false">IF($C373="","",IFERROR(INDEX(고객명부!$D$3:$D$502,MATCH($C373,고객명부!$A$3:$A$502,0)),""))</f>
        <v/>
      </c>
      <c r="G373" s="12" t="str">
        <f aca="false">IF($C373="","",IFERROR(INDEX(고객명부!$E$3:$E$502,MATCH($C373,고객명부!$A$3:$A$502,0))&amp;" "&amp;INDEX(고객명부!$F$3:$F$502,MATCH($C373,고객명부!$A$3:$A$502,0)),""))</f>
        <v/>
      </c>
      <c r="H373" s="7"/>
      <c r="I373" s="12" t="str">
        <f aca="false">IF($H373="","",IFERROR(INDEX(상품목록!$B$3:$B$102,MATCH($H373,상품목록!$A$3:$A$102,0)),""))</f>
        <v/>
      </c>
      <c r="J373" s="14" t="str">
        <f aca="false">IF($H373="","",IFERROR(INDEX(상품목록!$C$3:$C$102,MATCH($H373,상품목록!$A$3:$A$102,0)),0))</f>
        <v/>
      </c>
      <c r="K373" s="7"/>
      <c r="L373" s="14" t="str">
        <f aca="false">IF(OR($J373="",$K373=""),"",ROUND($J373*$K373,0))</f>
        <v/>
      </c>
      <c r="M373" s="9"/>
      <c r="N373" s="14" t="str">
        <f aca="false">IF($L373="","",$L373+IF($M373="",0,$M373))</f>
        <v/>
      </c>
      <c r="O373" s="13"/>
      <c r="P373" s="7"/>
      <c r="Q373" s="12" t="str">
        <f aca="false">IF($C373="","",IF($P373&lt;&gt;"","발송완료",IF($O373&lt;&gt;"","입금완료","입금대기")))</f>
        <v/>
      </c>
      <c r="R373" s="12" t="str">
        <f aca="false">IF($C373="","",COUNTIFS($C$3:$C373,$C373))</f>
        <v/>
      </c>
      <c r="S373" s="12" t="str">
        <f aca="false">IF($C373="","",$C373&amp;"|"&amp;$R373)</f>
        <v/>
      </c>
    </row>
    <row r="374" customFormat="false" ht="15" hidden="false" customHeight="true" outlineLevel="0" collapsed="false">
      <c r="A374" s="12" t="str">
        <f aca="false">IF($C374="","",TEXT($B374,"yymmdd")&amp;"-"&amp;TEXT(COUNTIFS($B$3:$B374,$B374),"000"))</f>
        <v/>
      </c>
      <c r="B374" s="13"/>
      <c r="C374" s="7"/>
      <c r="D374" s="12" t="str">
        <f aca="false">IF($C374="","",IFERROR(INDEX(고객명부!$B$3:$B$502,MATCH($C374,고객명부!$A$3:$A$502,0)),"미등록고객"))</f>
        <v/>
      </c>
      <c r="E374" s="12" t="str">
        <f aca="false">IF($C374="","",IFERROR(INDEX(고객명부!$C$3:$C$502,MATCH($C374,고객명부!$A$3:$A$502,0)),""))</f>
        <v/>
      </c>
      <c r="F374" s="12" t="str">
        <f aca="false">IF($C374="","",IFERROR(INDEX(고객명부!$D$3:$D$502,MATCH($C374,고객명부!$A$3:$A$502,0)),""))</f>
        <v/>
      </c>
      <c r="G374" s="12" t="str">
        <f aca="false">IF($C374="","",IFERROR(INDEX(고객명부!$E$3:$E$502,MATCH($C374,고객명부!$A$3:$A$502,0))&amp;" "&amp;INDEX(고객명부!$F$3:$F$502,MATCH($C374,고객명부!$A$3:$A$502,0)),""))</f>
        <v/>
      </c>
      <c r="H374" s="7"/>
      <c r="I374" s="12" t="str">
        <f aca="false">IF($H374="","",IFERROR(INDEX(상품목록!$B$3:$B$102,MATCH($H374,상품목록!$A$3:$A$102,0)),""))</f>
        <v/>
      </c>
      <c r="J374" s="14" t="str">
        <f aca="false">IF($H374="","",IFERROR(INDEX(상품목록!$C$3:$C$102,MATCH($H374,상품목록!$A$3:$A$102,0)),0))</f>
        <v/>
      </c>
      <c r="K374" s="7"/>
      <c r="L374" s="14" t="str">
        <f aca="false">IF(OR($J374="",$K374=""),"",ROUND($J374*$K374,0))</f>
        <v/>
      </c>
      <c r="M374" s="9"/>
      <c r="N374" s="14" t="str">
        <f aca="false">IF($L374="","",$L374+IF($M374="",0,$M374))</f>
        <v/>
      </c>
      <c r="O374" s="13"/>
      <c r="P374" s="7"/>
      <c r="Q374" s="12" t="str">
        <f aca="false">IF($C374="","",IF($P374&lt;&gt;"","발송완료",IF($O374&lt;&gt;"","입금완료","입금대기")))</f>
        <v/>
      </c>
      <c r="R374" s="12" t="str">
        <f aca="false">IF($C374="","",COUNTIFS($C$3:$C374,$C374))</f>
        <v/>
      </c>
      <c r="S374" s="12" t="str">
        <f aca="false">IF($C374="","",$C374&amp;"|"&amp;$R374)</f>
        <v/>
      </c>
    </row>
    <row r="375" customFormat="false" ht="15" hidden="false" customHeight="true" outlineLevel="0" collapsed="false">
      <c r="A375" s="12" t="str">
        <f aca="false">IF($C375="","",TEXT($B375,"yymmdd")&amp;"-"&amp;TEXT(COUNTIFS($B$3:$B375,$B375),"000"))</f>
        <v/>
      </c>
      <c r="B375" s="13"/>
      <c r="C375" s="7"/>
      <c r="D375" s="12" t="str">
        <f aca="false">IF($C375="","",IFERROR(INDEX(고객명부!$B$3:$B$502,MATCH($C375,고객명부!$A$3:$A$502,0)),"미등록고객"))</f>
        <v/>
      </c>
      <c r="E375" s="12" t="str">
        <f aca="false">IF($C375="","",IFERROR(INDEX(고객명부!$C$3:$C$502,MATCH($C375,고객명부!$A$3:$A$502,0)),""))</f>
        <v/>
      </c>
      <c r="F375" s="12" t="str">
        <f aca="false">IF($C375="","",IFERROR(INDEX(고객명부!$D$3:$D$502,MATCH($C375,고객명부!$A$3:$A$502,0)),""))</f>
        <v/>
      </c>
      <c r="G375" s="12" t="str">
        <f aca="false">IF($C375="","",IFERROR(INDEX(고객명부!$E$3:$E$502,MATCH($C375,고객명부!$A$3:$A$502,0))&amp;" "&amp;INDEX(고객명부!$F$3:$F$502,MATCH($C375,고객명부!$A$3:$A$502,0)),""))</f>
        <v/>
      </c>
      <c r="H375" s="7"/>
      <c r="I375" s="12" t="str">
        <f aca="false">IF($H375="","",IFERROR(INDEX(상품목록!$B$3:$B$102,MATCH($H375,상품목록!$A$3:$A$102,0)),""))</f>
        <v/>
      </c>
      <c r="J375" s="14" t="str">
        <f aca="false">IF($H375="","",IFERROR(INDEX(상품목록!$C$3:$C$102,MATCH($H375,상품목록!$A$3:$A$102,0)),0))</f>
        <v/>
      </c>
      <c r="K375" s="7"/>
      <c r="L375" s="14" t="str">
        <f aca="false">IF(OR($J375="",$K375=""),"",ROUND($J375*$K375,0))</f>
        <v/>
      </c>
      <c r="M375" s="9"/>
      <c r="N375" s="14" t="str">
        <f aca="false">IF($L375="","",$L375+IF($M375="",0,$M375))</f>
        <v/>
      </c>
      <c r="O375" s="13"/>
      <c r="P375" s="7"/>
      <c r="Q375" s="12" t="str">
        <f aca="false">IF($C375="","",IF($P375&lt;&gt;"","발송완료",IF($O375&lt;&gt;"","입금완료","입금대기")))</f>
        <v/>
      </c>
      <c r="R375" s="12" t="str">
        <f aca="false">IF($C375="","",COUNTIFS($C$3:$C375,$C375))</f>
        <v/>
      </c>
      <c r="S375" s="12" t="str">
        <f aca="false">IF($C375="","",$C375&amp;"|"&amp;$R375)</f>
        <v/>
      </c>
    </row>
    <row r="376" customFormat="false" ht="15" hidden="false" customHeight="true" outlineLevel="0" collapsed="false">
      <c r="A376" s="12" t="str">
        <f aca="false">IF($C376="","",TEXT($B376,"yymmdd")&amp;"-"&amp;TEXT(COUNTIFS($B$3:$B376,$B376),"000"))</f>
        <v/>
      </c>
      <c r="B376" s="13"/>
      <c r="C376" s="7"/>
      <c r="D376" s="12" t="str">
        <f aca="false">IF($C376="","",IFERROR(INDEX(고객명부!$B$3:$B$502,MATCH($C376,고객명부!$A$3:$A$502,0)),"미등록고객"))</f>
        <v/>
      </c>
      <c r="E376" s="12" t="str">
        <f aca="false">IF($C376="","",IFERROR(INDEX(고객명부!$C$3:$C$502,MATCH($C376,고객명부!$A$3:$A$502,0)),""))</f>
        <v/>
      </c>
      <c r="F376" s="12" t="str">
        <f aca="false">IF($C376="","",IFERROR(INDEX(고객명부!$D$3:$D$502,MATCH($C376,고객명부!$A$3:$A$502,0)),""))</f>
        <v/>
      </c>
      <c r="G376" s="12" t="str">
        <f aca="false">IF($C376="","",IFERROR(INDEX(고객명부!$E$3:$E$502,MATCH($C376,고객명부!$A$3:$A$502,0))&amp;" "&amp;INDEX(고객명부!$F$3:$F$502,MATCH($C376,고객명부!$A$3:$A$502,0)),""))</f>
        <v/>
      </c>
      <c r="H376" s="7"/>
      <c r="I376" s="12" t="str">
        <f aca="false">IF($H376="","",IFERROR(INDEX(상품목록!$B$3:$B$102,MATCH($H376,상품목록!$A$3:$A$102,0)),""))</f>
        <v/>
      </c>
      <c r="J376" s="14" t="str">
        <f aca="false">IF($H376="","",IFERROR(INDEX(상품목록!$C$3:$C$102,MATCH($H376,상품목록!$A$3:$A$102,0)),0))</f>
        <v/>
      </c>
      <c r="K376" s="7"/>
      <c r="L376" s="14" t="str">
        <f aca="false">IF(OR($J376="",$K376=""),"",ROUND($J376*$K376,0))</f>
        <v/>
      </c>
      <c r="M376" s="9"/>
      <c r="N376" s="14" t="str">
        <f aca="false">IF($L376="","",$L376+IF($M376="",0,$M376))</f>
        <v/>
      </c>
      <c r="O376" s="13"/>
      <c r="P376" s="7"/>
      <c r="Q376" s="12" t="str">
        <f aca="false">IF($C376="","",IF($P376&lt;&gt;"","발송완료",IF($O376&lt;&gt;"","입금완료","입금대기")))</f>
        <v/>
      </c>
      <c r="R376" s="12" t="str">
        <f aca="false">IF($C376="","",COUNTIFS($C$3:$C376,$C376))</f>
        <v/>
      </c>
      <c r="S376" s="12" t="str">
        <f aca="false">IF($C376="","",$C376&amp;"|"&amp;$R376)</f>
        <v/>
      </c>
    </row>
    <row r="377" customFormat="false" ht="15" hidden="false" customHeight="true" outlineLevel="0" collapsed="false">
      <c r="A377" s="12" t="str">
        <f aca="false">IF($C377="","",TEXT($B377,"yymmdd")&amp;"-"&amp;TEXT(COUNTIFS($B$3:$B377,$B377),"000"))</f>
        <v/>
      </c>
      <c r="B377" s="13"/>
      <c r="C377" s="7"/>
      <c r="D377" s="12" t="str">
        <f aca="false">IF($C377="","",IFERROR(INDEX(고객명부!$B$3:$B$502,MATCH($C377,고객명부!$A$3:$A$502,0)),"미등록고객"))</f>
        <v/>
      </c>
      <c r="E377" s="12" t="str">
        <f aca="false">IF($C377="","",IFERROR(INDEX(고객명부!$C$3:$C$502,MATCH($C377,고객명부!$A$3:$A$502,0)),""))</f>
        <v/>
      </c>
      <c r="F377" s="12" t="str">
        <f aca="false">IF($C377="","",IFERROR(INDEX(고객명부!$D$3:$D$502,MATCH($C377,고객명부!$A$3:$A$502,0)),""))</f>
        <v/>
      </c>
      <c r="G377" s="12" t="str">
        <f aca="false">IF($C377="","",IFERROR(INDEX(고객명부!$E$3:$E$502,MATCH($C377,고객명부!$A$3:$A$502,0))&amp;" "&amp;INDEX(고객명부!$F$3:$F$502,MATCH($C377,고객명부!$A$3:$A$502,0)),""))</f>
        <v/>
      </c>
      <c r="H377" s="7"/>
      <c r="I377" s="12" t="str">
        <f aca="false">IF($H377="","",IFERROR(INDEX(상품목록!$B$3:$B$102,MATCH($H377,상품목록!$A$3:$A$102,0)),""))</f>
        <v/>
      </c>
      <c r="J377" s="14" t="str">
        <f aca="false">IF($H377="","",IFERROR(INDEX(상품목록!$C$3:$C$102,MATCH($H377,상품목록!$A$3:$A$102,0)),0))</f>
        <v/>
      </c>
      <c r="K377" s="7"/>
      <c r="L377" s="14" t="str">
        <f aca="false">IF(OR($J377="",$K377=""),"",ROUND($J377*$K377,0))</f>
        <v/>
      </c>
      <c r="M377" s="9"/>
      <c r="N377" s="14" t="str">
        <f aca="false">IF($L377="","",$L377+IF($M377="",0,$M377))</f>
        <v/>
      </c>
      <c r="O377" s="13"/>
      <c r="P377" s="7"/>
      <c r="Q377" s="12" t="str">
        <f aca="false">IF($C377="","",IF($P377&lt;&gt;"","발송완료",IF($O377&lt;&gt;"","입금완료","입금대기")))</f>
        <v/>
      </c>
      <c r="R377" s="12" t="str">
        <f aca="false">IF($C377="","",COUNTIFS($C$3:$C377,$C377))</f>
        <v/>
      </c>
      <c r="S377" s="12" t="str">
        <f aca="false">IF($C377="","",$C377&amp;"|"&amp;$R377)</f>
        <v/>
      </c>
    </row>
    <row r="378" customFormat="false" ht="15" hidden="false" customHeight="true" outlineLevel="0" collapsed="false">
      <c r="A378" s="12" t="str">
        <f aca="false">IF($C378="","",TEXT($B378,"yymmdd")&amp;"-"&amp;TEXT(COUNTIFS($B$3:$B378,$B378),"000"))</f>
        <v/>
      </c>
      <c r="B378" s="13"/>
      <c r="C378" s="7"/>
      <c r="D378" s="12" t="str">
        <f aca="false">IF($C378="","",IFERROR(INDEX(고객명부!$B$3:$B$502,MATCH($C378,고객명부!$A$3:$A$502,0)),"미등록고객"))</f>
        <v/>
      </c>
      <c r="E378" s="12" t="str">
        <f aca="false">IF($C378="","",IFERROR(INDEX(고객명부!$C$3:$C$502,MATCH($C378,고객명부!$A$3:$A$502,0)),""))</f>
        <v/>
      </c>
      <c r="F378" s="12" t="str">
        <f aca="false">IF($C378="","",IFERROR(INDEX(고객명부!$D$3:$D$502,MATCH($C378,고객명부!$A$3:$A$502,0)),""))</f>
        <v/>
      </c>
      <c r="G378" s="12" t="str">
        <f aca="false">IF($C378="","",IFERROR(INDEX(고객명부!$E$3:$E$502,MATCH($C378,고객명부!$A$3:$A$502,0))&amp;" "&amp;INDEX(고객명부!$F$3:$F$502,MATCH($C378,고객명부!$A$3:$A$502,0)),""))</f>
        <v/>
      </c>
      <c r="H378" s="7"/>
      <c r="I378" s="12" t="str">
        <f aca="false">IF($H378="","",IFERROR(INDEX(상품목록!$B$3:$B$102,MATCH($H378,상품목록!$A$3:$A$102,0)),""))</f>
        <v/>
      </c>
      <c r="J378" s="14" t="str">
        <f aca="false">IF($H378="","",IFERROR(INDEX(상품목록!$C$3:$C$102,MATCH($H378,상품목록!$A$3:$A$102,0)),0))</f>
        <v/>
      </c>
      <c r="K378" s="7"/>
      <c r="L378" s="14" t="str">
        <f aca="false">IF(OR($J378="",$K378=""),"",ROUND($J378*$K378,0))</f>
        <v/>
      </c>
      <c r="M378" s="9"/>
      <c r="N378" s="14" t="str">
        <f aca="false">IF($L378="","",$L378+IF($M378="",0,$M378))</f>
        <v/>
      </c>
      <c r="O378" s="13"/>
      <c r="P378" s="7"/>
      <c r="Q378" s="12" t="str">
        <f aca="false">IF($C378="","",IF($P378&lt;&gt;"","발송완료",IF($O378&lt;&gt;"","입금완료","입금대기")))</f>
        <v/>
      </c>
      <c r="R378" s="12" t="str">
        <f aca="false">IF($C378="","",COUNTIFS($C$3:$C378,$C378))</f>
        <v/>
      </c>
      <c r="S378" s="12" t="str">
        <f aca="false">IF($C378="","",$C378&amp;"|"&amp;$R378)</f>
        <v/>
      </c>
    </row>
    <row r="379" customFormat="false" ht="15" hidden="false" customHeight="true" outlineLevel="0" collapsed="false">
      <c r="A379" s="12" t="str">
        <f aca="false">IF($C379="","",TEXT($B379,"yymmdd")&amp;"-"&amp;TEXT(COUNTIFS($B$3:$B379,$B379),"000"))</f>
        <v/>
      </c>
      <c r="B379" s="13"/>
      <c r="C379" s="7"/>
      <c r="D379" s="12" t="str">
        <f aca="false">IF($C379="","",IFERROR(INDEX(고객명부!$B$3:$B$502,MATCH($C379,고객명부!$A$3:$A$502,0)),"미등록고객"))</f>
        <v/>
      </c>
      <c r="E379" s="12" t="str">
        <f aca="false">IF($C379="","",IFERROR(INDEX(고객명부!$C$3:$C$502,MATCH($C379,고객명부!$A$3:$A$502,0)),""))</f>
        <v/>
      </c>
      <c r="F379" s="12" t="str">
        <f aca="false">IF($C379="","",IFERROR(INDEX(고객명부!$D$3:$D$502,MATCH($C379,고객명부!$A$3:$A$502,0)),""))</f>
        <v/>
      </c>
      <c r="G379" s="12" t="str">
        <f aca="false">IF($C379="","",IFERROR(INDEX(고객명부!$E$3:$E$502,MATCH($C379,고객명부!$A$3:$A$502,0))&amp;" "&amp;INDEX(고객명부!$F$3:$F$502,MATCH($C379,고객명부!$A$3:$A$502,0)),""))</f>
        <v/>
      </c>
      <c r="H379" s="7"/>
      <c r="I379" s="12" t="str">
        <f aca="false">IF($H379="","",IFERROR(INDEX(상품목록!$B$3:$B$102,MATCH($H379,상품목록!$A$3:$A$102,0)),""))</f>
        <v/>
      </c>
      <c r="J379" s="14" t="str">
        <f aca="false">IF($H379="","",IFERROR(INDEX(상품목록!$C$3:$C$102,MATCH($H379,상품목록!$A$3:$A$102,0)),0))</f>
        <v/>
      </c>
      <c r="K379" s="7"/>
      <c r="L379" s="14" t="str">
        <f aca="false">IF(OR($J379="",$K379=""),"",ROUND($J379*$K379,0))</f>
        <v/>
      </c>
      <c r="M379" s="9"/>
      <c r="N379" s="14" t="str">
        <f aca="false">IF($L379="","",$L379+IF($M379="",0,$M379))</f>
        <v/>
      </c>
      <c r="O379" s="13"/>
      <c r="P379" s="7"/>
      <c r="Q379" s="12" t="str">
        <f aca="false">IF($C379="","",IF($P379&lt;&gt;"","발송완료",IF($O379&lt;&gt;"","입금완료","입금대기")))</f>
        <v/>
      </c>
      <c r="R379" s="12" t="str">
        <f aca="false">IF($C379="","",COUNTIFS($C$3:$C379,$C379))</f>
        <v/>
      </c>
      <c r="S379" s="12" t="str">
        <f aca="false">IF($C379="","",$C379&amp;"|"&amp;$R379)</f>
        <v/>
      </c>
    </row>
    <row r="380" customFormat="false" ht="15" hidden="false" customHeight="true" outlineLevel="0" collapsed="false">
      <c r="A380" s="12" t="str">
        <f aca="false">IF($C380="","",TEXT($B380,"yymmdd")&amp;"-"&amp;TEXT(COUNTIFS($B$3:$B380,$B380),"000"))</f>
        <v/>
      </c>
      <c r="B380" s="13"/>
      <c r="C380" s="7"/>
      <c r="D380" s="12" t="str">
        <f aca="false">IF($C380="","",IFERROR(INDEX(고객명부!$B$3:$B$502,MATCH($C380,고객명부!$A$3:$A$502,0)),"미등록고객"))</f>
        <v/>
      </c>
      <c r="E380" s="12" t="str">
        <f aca="false">IF($C380="","",IFERROR(INDEX(고객명부!$C$3:$C$502,MATCH($C380,고객명부!$A$3:$A$502,0)),""))</f>
        <v/>
      </c>
      <c r="F380" s="12" t="str">
        <f aca="false">IF($C380="","",IFERROR(INDEX(고객명부!$D$3:$D$502,MATCH($C380,고객명부!$A$3:$A$502,0)),""))</f>
        <v/>
      </c>
      <c r="G380" s="12" t="str">
        <f aca="false">IF($C380="","",IFERROR(INDEX(고객명부!$E$3:$E$502,MATCH($C380,고객명부!$A$3:$A$502,0))&amp;" "&amp;INDEX(고객명부!$F$3:$F$502,MATCH($C380,고객명부!$A$3:$A$502,0)),""))</f>
        <v/>
      </c>
      <c r="H380" s="7"/>
      <c r="I380" s="12" t="str">
        <f aca="false">IF($H380="","",IFERROR(INDEX(상품목록!$B$3:$B$102,MATCH($H380,상품목록!$A$3:$A$102,0)),""))</f>
        <v/>
      </c>
      <c r="J380" s="14" t="str">
        <f aca="false">IF($H380="","",IFERROR(INDEX(상품목록!$C$3:$C$102,MATCH($H380,상품목록!$A$3:$A$102,0)),0))</f>
        <v/>
      </c>
      <c r="K380" s="7"/>
      <c r="L380" s="14" t="str">
        <f aca="false">IF(OR($J380="",$K380=""),"",ROUND($J380*$K380,0))</f>
        <v/>
      </c>
      <c r="M380" s="9"/>
      <c r="N380" s="14" t="str">
        <f aca="false">IF($L380="","",$L380+IF($M380="",0,$M380))</f>
        <v/>
      </c>
      <c r="O380" s="13"/>
      <c r="P380" s="7"/>
      <c r="Q380" s="12" t="str">
        <f aca="false">IF($C380="","",IF($P380&lt;&gt;"","발송완료",IF($O380&lt;&gt;"","입금완료","입금대기")))</f>
        <v/>
      </c>
      <c r="R380" s="12" t="str">
        <f aca="false">IF($C380="","",COUNTIFS($C$3:$C380,$C380))</f>
        <v/>
      </c>
      <c r="S380" s="12" t="str">
        <f aca="false">IF($C380="","",$C380&amp;"|"&amp;$R380)</f>
        <v/>
      </c>
    </row>
    <row r="381" customFormat="false" ht="15" hidden="false" customHeight="true" outlineLevel="0" collapsed="false">
      <c r="A381" s="12" t="str">
        <f aca="false">IF($C381="","",TEXT($B381,"yymmdd")&amp;"-"&amp;TEXT(COUNTIFS($B$3:$B381,$B381),"000"))</f>
        <v/>
      </c>
      <c r="B381" s="13"/>
      <c r="C381" s="7"/>
      <c r="D381" s="12" t="str">
        <f aca="false">IF($C381="","",IFERROR(INDEX(고객명부!$B$3:$B$502,MATCH($C381,고객명부!$A$3:$A$502,0)),"미등록고객"))</f>
        <v/>
      </c>
      <c r="E381" s="12" t="str">
        <f aca="false">IF($C381="","",IFERROR(INDEX(고객명부!$C$3:$C$502,MATCH($C381,고객명부!$A$3:$A$502,0)),""))</f>
        <v/>
      </c>
      <c r="F381" s="12" t="str">
        <f aca="false">IF($C381="","",IFERROR(INDEX(고객명부!$D$3:$D$502,MATCH($C381,고객명부!$A$3:$A$502,0)),""))</f>
        <v/>
      </c>
      <c r="G381" s="12" t="str">
        <f aca="false">IF($C381="","",IFERROR(INDEX(고객명부!$E$3:$E$502,MATCH($C381,고객명부!$A$3:$A$502,0))&amp;" "&amp;INDEX(고객명부!$F$3:$F$502,MATCH($C381,고객명부!$A$3:$A$502,0)),""))</f>
        <v/>
      </c>
      <c r="H381" s="7"/>
      <c r="I381" s="12" t="str">
        <f aca="false">IF($H381="","",IFERROR(INDEX(상품목록!$B$3:$B$102,MATCH($H381,상품목록!$A$3:$A$102,0)),""))</f>
        <v/>
      </c>
      <c r="J381" s="14" t="str">
        <f aca="false">IF($H381="","",IFERROR(INDEX(상품목록!$C$3:$C$102,MATCH($H381,상품목록!$A$3:$A$102,0)),0))</f>
        <v/>
      </c>
      <c r="K381" s="7"/>
      <c r="L381" s="14" t="str">
        <f aca="false">IF(OR($J381="",$K381=""),"",ROUND($J381*$K381,0))</f>
        <v/>
      </c>
      <c r="M381" s="9"/>
      <c r="N381" s="14" t="str">
        <f aca="false">IF($L381="","",$L381+IF($M381="",0,$M381))</f>
        <v/>
      </c>
      <c r="O381" s="13"/>
      <c r="P381" s="7"/>
      <c r="Q381" s="12" t="str">
        <f aca="false">IF($C381="","",IF($P381&lt;&gt;"","발송완료",IF($O381&lt;&gt;"","입금완료","입금대기")))</f>
        <v/>
      </c>
      <c r="R381" s="12" t="str">
        <f aca="false">IF($C381="","",COUNTIFS($C$3:$C381,$C381))</f>
        <v/>
      </c>
      <c r="S381" s="12" t="str">
        <f aca="false">IF($C381="","",$C381&amp;"|"&amp;$R381)</f>
        <v/>
      </c>
    </row>
    <row r="382" customFormat="false" ht="15" hidden="false" customHeight="true" outlineLevel="0" collapsed="false">
      <c r="A382" s="12" t="str">
        <f aca="false">IF($C382="","",TEXT($B382,"yymmdd")&amp;"-"&amp;TEXT(COUNTIFS($B$3:$B382,$B382),"000"))</f>
        <v/>
      </c>
      <c r="B382" s="13"/>
      <c r="C382" s="7"/>
      <c r="D382" s="12" t="str">
        <f aca="false">IF($C382="","",IFERROR(INDEX(고객명부!$B$3:$B$502,MATCH($C382,고객명부!$A$3:$A$502,0)),"미등록고객"))</f>
        <v/>
      </c>
      <c r="E382" s="12" t="str">
        <f aca="false">IF($C382="","",IFERROR(INDEX(고객명부!$C$3:$C$502,MATCH($C382,고객명부!$A$3:$A$502,0)),""))</f>
        <v/>
      </c>
      <c r="F382" s="12" t="str">
        <f aca="false">IF($C382="","",IFERROR(INDEX(고객명부!$D$3:$D$502,MATCH($C382,고객명부!$A$3:$A$502,0)),""))</f>
        <v/>
      </c>
      <c r="G382" s="12" t="str">
        <f aca="false">IF($C382="","",IFERROR(INDEX(고객명부!$E$3:$E$502,MATCH($C382,고객명부!$A$3:$A$502,0))&amp;" "&amp;INDEX(고객명부!$F$3:$F$502,MATCH($C382,고객명부!$A$3:$A$502,0)),""))</f>
        <v/>
      </c>
      <c r="H382" s="7"/>
      <c r="I382" s="12" t="str">
        <f aca="false">IF($H382="","",IFERROR(INDEX(상품목록!$B$3:$B$102,MATCH($H382,상품목록!$A$3:$A$102,0)),""))</f>
        <v/>
      </c>
      <c r="J382" s="14" t="str">
        <f aca="false">IF($H382="","",IFERROR(INDEX(상품목록!$C$3:$C$102,MATCH($H382,상품목록!$A$3:$A$102,0)),0))</f>
        <v/>
      </c>
      <c r="K382" s="7"/>
      <c r="L382" s="14" t="str">
        <f aca="false">IF(OR($J382="",$K382=""),"",ROUND($J382*$K382,0))</f>
        <v/>
      </c>
      <c r="M382" s="9"/>
      <c r="N382" s="14" t="str">
        <f aca="false">IF($L382="","",$L382+IF($M382="",0,$M382))</f>
        <v/>
      </c>
      <c r="O382" s="13"/>
      <c r="P382" s="7"/>
      <c r="Q382" s="12" t="str">
        <f aca="false">IF($C382="","",IF($P382&lt;&gt;"","발송완료",IF($O382&lt;&gt;"","입금완료","입금대기")))</f>
        <v/>
      </c>
      <c r="R382" s="12" t="str">
        <f aca="false">IF($C382="","",COUNTIFS($C$3:$C382,$C382))</f>
        <v/>
      </c>
      <c r="S382" s="12" t="str">
        <f aca="false">IF($C382="","",$C382&amp;"|"&amp;$R382)</f>
        <v/>
      </c>
    </row>
    <row r="383" customFormat="false" ht="15" hidden="false" customHeight="true" outlineLevel="0" collapsed="false">
      <c r="A383" s="12" t="str">
        <f aca="false">IF($C383="","",TEXT($B383,"yymmdd")&amp;"-"&amp;TEXT(COUNTIFS($B$3:$B383,$B383),"000"))</f>
        <v/>
      </c>
      <c r="B383" s="13"/>
      <c r="C383" s="7"/>
      <c r="D383" s="12" t="str">
        <f aca="false">IF($C383="","",IFERROR(INDEX(고객명부!$B$3:$B$502,MATCH($C383,고객명부!$A$3:$A$502,0)),"미등록고객"))</f>
        <v/>
      </c>
      <c r="E383" s="12" t="str">
        <f aca="false">IF($C383="","",IFERROR(INDEX(고객명부!$C$3:$C$502,MATCH($C383,고객명부!$A$3:$A$502,0)),""))</f>
        <v/>
      </c>
      <c r="F383" s="12" t="str">
        <f aca="false">IF($C383="","",IFERROR(INDEX(고객명부!$D$3:$D$502,MATCH($C383,고객명부!$A$3:$A$502,0)),""))</f>
        <v/>
      </c>
      <c r="G383" s="12" t="str">
        <f aca="false">IF($C383="","",IFERROR(INDEX(고객명부!$E$3:$E$502,MATCH($C383,고객명부!$A$3:$A$502,0))&amp;" "&amp;INDEX(고객명부!$F$3:$F$502,MATCH($C383,고객명부!$A$3:$A$502,0)),""))</f>
        <v/>
      </c>
      <c r="H383" s="7"/>
      <c r="I383" s="12" t="str">
        <f aca="false">IF($H383="","",IFERROR(INDEX(상품목록!$B$3:$B$102,MATCH($H383,상품목록!$A$3:$A$102,0)),""))</f>
        <v/>
      </c>
      <c r="J383" s="14" t="str">
        <f aca="false">IF($H383="","",IFERROR(INDEX(상품목록!$C$3:$C$102,MATCH($H383,상품목록!$A$3:$A$102,0)),0))</f>
        <v/>
      </c>
      <c r="K383" s="7"/>
      <c r="L383" s="14" t="str">
        <f aca="false">IF(OR($J383="",$K383=""),"",ROUND($J383*$K383,0))</f>
        <v/>
      </c>
      <c r="M383" s="9"/>
      <c r="N383" s="14" t="str">
        <f aca="false">IF($L383="","",$L383+IF($M383="",0,$M383))</f>
        <v/>
      </c>
      <c r="O383" s="13"/>
      <c r="P383" s="7"/>
      <c r="Q383" s="12" t="str">
        <f aca="false">IF($C383="","",IF($P383&lt;&gt;"","발송완료",IF($O383&lt;&gt;"","입금완료","입금대기")))</f>
        <v/>
      </c>
      <c r="R383" s="12" t="str">
        <f aca="false">IF($C383="","",COUNTIFS($C$3:$C383,$C383))</f>
        <v/>
      </c>
      <c r="S383" s="12" t="str">
        <f aca="false">IF($C383="","",$C383&amp;"|"&amp;$R383)</f>
        <v/>
      </c>
    </row>
    <row r="384" customFormat="false" ht="15" hidden="false" customHeight="true" outlineLevel="0" collapsed="false">
      <c r="A384" s="12" t="str">
        <f aca="false">IF($C384="","",TEXT($B384,"yymmdd")&amp;"-"&amp;TEXT(COUNTIFS($B$3:$B384,$B384),"000"))</f>
        <v/>
      </c>
      <c r="B384" s="13"/>
      <c r="C384" s="7"/>
      <c r="D384" s="12" t="str">
        <f aca="false">IF($C384="","",IFERROR(INDEX(고객명부!$B$3:$B$502,MATCH($C384,고객명부!$A$3:$A$502,0)),"미등록고객"))</f>
        <v/>
      </c>
      <c r="E384" s="12" t="str">
        <f aca="false">IF($C384="","",IFERROR(INDEX(고객명부!$C$3:$C$502,MATCH($C384,고객명부!$A$3:$A$502,0)),""))</f>
        <v/>
      </c>
      <c r="F384" s="12" t="str">
        <f aca="false">IF($C384="","",IFERROR(INDEX(고객명부!$D$3:$D$502,MATCH($C384,고객명부!$A$3:$A$502,0)),""))</f>
        <v/>
      </c>
      <c r="G384" s="12" t="str">
        <f aca="false">IF($C384="","",IFERROR(INDEX(고객명부!$E$3:$E$502,MATCH($C384,고객명부!$A$3:$A$502,0))&amp;" "&amp;INDEX(고객명부!$F$3:$F$502,MATCH($C384,고객명부!$A$3:$A$502,0)),""))</f>
        <v/>
      </c>
      <c r="H384" s="7"/>
      <c r="I384" s="12" t="str">
        <f aca="false">IF($H384="","",IFERROR(INDEX(상품목록!$B$3:$B$102,MATCH($H384,상품목록!$A$3:$A$102,0)),""))</f>
        <v/>
      </c>
      <c r="J384" s="14" t="str">
        <f aca="false">IF($H384="","",IFERROR(INDEX(상품목록!$C$3:$C$102,MATCH($H384,상품목록!$A$3:$A$102,0)),0))</f>
        <v/>
      </c>
      <c r="K384" s="7"/>
      <c r="L384" s="14" t="str">
        <f aca="false">IF(OR($J384="",$K384=""),"",ROUND($J384*$K384,0))</f>
        <v/>
      </c>
      <c r="M384" s="9"/>
      <c r="N384" s="14" t="str">
        <f aca="false">IF($L384="","",$L384+IF($M384="",0,$M384))</f>
        <v/>
      </c>
      <c r="O384" s="13"/>
      <c r="P384" s="7"/>
      <c r="Q384" s="12" t="str">
        <f aca="false">IF($C384="","",IF($P384&lt;&gt;"","발송완료",IF($O384&lt;&gt;"","입금완료","입금대기")))</f>
        <v/>
      </c>
      <c r="R384" s="12" t="str">
        <f aca="false">IF($C384="","",COUNTIFS($C$3:$C384,$C384))</f>
        <v/>
      </c>
      <c r="S384" s="12" t="str">
        <f aca="false">IF($C384="","",$C384&amp;"|"&amp;$R384)</f>
        <v/>
      </c>
    </row>
    <row r="385" customFormat="false" ht="15" hidden="false" customHeight="true" outlineLevel="0" collapsed="false">
      <c r="A385" s="12" t="str">
        <f aca="false">IF($C385="","",TEXT($B385,"yymmdd")&amp;"-"&amp;TEXT(COUNTIFS($B$3:$B385,$B385),"000"))</f>
        <v/>
      </c>
      <c r="B385" s="13"/>
      <c r="C385" s="7"/>
      <c r="D385" s="12" t="str">
        <f aca="false">IF($C385="","",IFERROR(INDEX(고객명부!$B$3:$B$502,MATCH($C385,고객명부!$A$3:$A$502,0)),"미등록고객"))</f>
        <v/>
      </c>
      <c r="E385" s="12" t="str">
        <f aca="false">IF($C385="","",IFERROR(INDEX(고객명부!$C$3:$C$502,MATCH($C385,고객명부!$A$3:$A$502,0)),""))</f>
        <v/>
      </c>
      <c r="F385" s="12" t="str">
        <f aca="false">IF($C385="","",IFERROR(INDEX(고객명부!$D$3:$D$502,MATCH($C385,고객명부!$A$3:$A$502,0)),""))</f>
        <v/>
      </c>
      <c r="G385" s="12" t="str">
        <f aca="false">IF($C385="","",IFERROR(INDEX(고객명부!$E$3:$E$502,MATCH($C385,고객명부!$A$3:$A$502,0))&amp;" "&amp;INDEX(고객명부!$F$3:$F$502,MATCH($C385,고객명부!$A$3:$A$502,0)),""))</f>
        <v/>
      </c>
      <c r="H385" s="7"/>
      <c r="I385" s="12" t="str">
        <f aca="false">IF($H385="","",IFERROR(INDEX(상품목록!$B$3:$B$102,MATCH($H385,상품목록!$A$3:$A$102,0)),""))</f>
        <v/>
      </c>
      <c r="J385" s="14" t="str">
        <f aca="false">IF($H385="","",IFERROR(INDEX(상품목록!$C$3:$C$102,MATCH($H385,상품목록!$A$3:$A$102,0)),0))</f>
        <v/>
      </c>
      <c r="K385" s="7"/>
      <c r="L385" s="14" t="str">
        <f aca="false">IF(OR($J385="",$K385=""),"",ROUND($J385*$K385,0))</f>
        <v/>
      </c>
      <c r="M385" s="9"/>
      <c r="N385" s="14" t="str">
        <f aca="false">IF($L385="","",$L385+IF($M385="",0,$M385))</f>
        <v/>
      </c>
      <c r="O385" s="13"/>
      <c r="P385" s="7"/>
      <c r="Q385" s="12" t="str">
        <f aca="false">IF($C385="","",IF($P385&lt;&gt;"","발송완료",IF($O385&lt;&gt;"","입금완료","입금대기")))</f>
        <v/>
      </c>
      <c r="R385" s="12" t="str">
        <f aca="false">IF($C385="","",COUNTIFS($C$3:$C385,$C385))</f>
        <v/>
      </c>
      <c r="S385" s="12" t="str">
        <f aca="false">IF($C385="","",$C385&amp;"|"&amp;$R385)</f>
        <v/>
      </c>
    </row>
    <row r="386" customFormat="false" ht="15" hidden="false" customHeight="true" outlineLevel="0" collapsed="false">
      <c r="A386" s="12" t="str">
        <f aca="false">IF($C386="","",TEXT($B386,"yymmdd")&amp;"-"&amp;TEXT(COUNTIFS($B$3:$B386,$B386),"000"))</f>
        <v/>
      </c>
      <c r="B386" s="13"/>
      <c r="C386" s="7"/>
      <c r="D386" s="12" t="str">
        <f aca="false">IF($C386="","",IFERROR(INDEX(고객명부!$B$3:$B$502,MATCH($C386,고객명부!$A$3:$A$502,0)),"미등록고객"))</f>
        <v/>
      </c>
      <c r="E386" s="12" t="str">
        <f aca="false">IF($C386="","",IFERROR(INDEX(고객명부!$C$3:$C$502,MATCH($C386,고객명부!$A$3:$A$502,0)),""))</f>
        <v/>
      </c>
      <c r="F386" s="12" t="str">
        <f aca="false">IF($C386="","",IFERROR(INDEX(고객명부!$D$3:$D$502,MATCH($C386,고객명부!$A$3:$A$502,0)),""))</f>
        <v/>
      </c>
      <c r="G386" s="12" t="str">
        <f aca="false">IF($C386="","",IFERROR(INDEX(고객명부!$E$3:$E$502,MATCH($C386,고객명부!$A$3:$A$502,0))&amp;" "&amp;INDEX(고객명부!$F$3:$F$502,MATCH($C386,고객명부!$A$3:$A$502,0)),""))</f>
        <v/>
      </c>
      <c r="H386" s="7"/>
      <c r="I386" s="12" t="str">
        <f aca="false">IF($H386="","",IFERROR(INDEX(상품목록!$B$3:$B$102,MATCH($H386,상품목록!$A$3:$A$102,0)),""))</f>
        <v/>
      </c>
      <c r="J386" s="14" t="str">
        <f aca="false">IF($H386="","",IFERROR(INDEX(상품목록!$C$3:$C$102,MATCH($H386,상품목록!$A$3:$A$102,0)),0))</f>
        <v/>
      </c>
      <c r="K386" s="7"/>
      <c r="L386" s="14" t="str">
        <f aca="false">IF(OR($J386="",$K386=""),"",ROUND($J386*$K386,0))</f>
        <v/>
      </c>
      <c r="M386" s="9"/>
      <c r="N386" s="14" t="str">
        <f aca="false">IF($L386="","",$L386+IF($M386="",0,$M386))</f>
        <v/>
      </c>
      <c r="O386" s="13"/>
      <c r="P386" s="7"/>
      <c r="Q386" s="12" t="str">
        <f aca="false">IF($C386="","",IF($P386&lt;&gt;"","발송완료",IF($O386&lt;&gt;"","입금완료","입금대기")))</f>
        <v/>
      </c>
      <c r="R386" s="12" t="str">
        <f aca="false">IF($C386="","",COUNTIFS($C$3:$C386,$C386))</f>
        <v/>
      </c>
      <c r="S386" s="12" t="str">
        <f aca="false">IF($C386="","",$C386&amp;"|"&amp;$R386)</f>
        <v/>
      </c>
    </row>
    <row r="387" customFormat="false" ht="15" hidden="false" customHeight="true" outlineLevel="0" collapsed="false">
      <c r="A387" s="12" t="str">
        <f aca="false">IF($C387="","",TEXT($B387,"yymmdd")&amp;"-"&amp;TEXT(COUNTIFS($B$3:$B387,$B387),"000"))</f>
        <v/>
      </c>
      <c r="B387" s="13"/>
      <c r="C387" s="7"/>
      <c r="D387" s="12" t="str">
        <f aca="false">IF($C387="","",IFERROR(INDEX(고객명부!$B$3:$B$502,MATCH($C387,고객명부!$A$3:$A$502,0)),"미등록고객"))</f>
        <v/>
      </c>
      <c r="E387" s="12" t="str">
        <f aca="false">IF($C387="","",IFERROR(INDEX(고객명부!$C$3:$C$502,MATCH($C387,고객명부!$A$3:$A$502,0)),""))</f>
        <v/>
      </c>
      <c r="F387" s="12" t="str">
        <f aca="false">IF($C387="","",IFERROR(INDEX(고객명부!$D$3:$D$502,MATCH($C387,고객명부!$A$3:$A$502,0)),""))</f>
        <v/>
      </c>
      <c r="G387" s="12" t="str">
        <f aca="false">IF($C387="","",IFERROR(INDEX(고객명부!$E$3:$E$502,MATCH($C387,고객명부!$A$3:$A$502,0))&amp;" "&amp;INDEX(고객명부!$F$3:$F$502,MATCH($C387,고객명부!$A$3:$A$502,0)),""))</f>
        <v/>
      </c>
      <c r="H387" s="7"/>
      <c r="I387" s="12" t="str">
        <f aca="false">IF($H387="","",IFERROR(INDEX(상품목록!$B$3:$B$102,MATCH($H387,상품목록!$A$3:$A$102,0)),""))</f>
        <v/>
      </c>
      <c r="J387" s="14" t="str">
        <f aca="false">IF($H387="","",IFERROR(INDEX(상품목록!$C$3:$C$102,MATCH($H387,상품목록!$A$3:$A$102,0)),0))</f>
        <v/>
      </c>
      <c r="K387" s="7"/>
      <c r="L387" s="14" t="str">
        <f aca="false">IF(OR($J387="",$K387=""),"",ROUND($J387*$K387,0))</f>
        <v/>
      </c>
      <c r="M387" s="9"/>
      <c r="N387" s="14" t="str">
        <f aca="false">IF($L387="","",$L387+IF($M387="",0,$M387))</f>
        <v/>
      </c>
      <c r="O387" s="13"/>
      <c r="P387" s="7"/>
      <c r="Q387" s="12" t="str">
        <f aca="false">IF($C387="","",IF($P387&lt;&gt;"","발송완료",IF($O387&lt;&gt;"","입금완료","입금대기")))</f>
        <v/>
      </c>
      <c r="R387" s="12" t="str">
        <f aca="false">IF($C387="","",COUNTIFS($C$3:$C387,$C387))</f>
        <v/>
      </c>
      <c r="S387" s="12" t="str">
        <f aca="false">IF($C387="","",$C387&amp;"|"&amp;$R387)</f>
        <v/>
      </c>
    </row>
    <row r="388" customFormat="false" ht="15" hidden="false" customHeight="true" outlineLevel="0" collapsed="false">
      <c r="A388" s="12" t="str">
        <f aca="false">IF($C388="","",TEXT($B388,"yymmdd")&amp;"-"&amp;TEXT(COUNTIFS($B$3:$B388,$B388),"000"))</f>
        <v/>
      </c>
      <c r="B388" s="13"/>
      <c r="C388" s="7"/>
      <c r="D388" s="12" t="str">
        <f aca="false">IF($C388="","",IFERROR(INDEX(고객명부!$B$3:$B$502,MATCH($C388,고객명부!$A$3:$A$502,0)),"미등록고객"))</f>
        <v/>
      </c>
      <c r="E388" s="12" t="str">
        <f aca="false">IF($C388="","",IFERROR(INDEX(고객명부!$C$3:$C$502,MATCH($C388,고객명부!$A$3:$A$502,0)),""))</f>
        <v/>
      </c>
      <c r="F388" s="12" t="str">
        <f aca="false">IF($C388="","",IFERROR(INDEX(고객명부!$D$3:$D$502,MATCH($C388,고객명부!$A$3:$A$502,0)),""))</f>
        <v/>
      </c>
      <c r="G388" s="12" t="str">
        <f aca="false">IF($C388="","",IFERROR(INDEX(고객명부!$E$3:$E$502,MATCH($C388,고객명부!$A$3:$A$502,0))&amp;" "&amp;INDEX(고객명부!$F$3:$F$502,MATCH($C388,고객명부!$A$3:$A$502,0)),""))</f>
        <v/>
      </c>
      <c r="H388" s="7"/>
      <c r="I388" s="12" t="str">
        <f aca="false">IF($H388="","",IFERROR(INDEX(상품목록!$B$3:$B$102,MATCH($H388,상품목록!$A$3:$A$102,0)),""))</f>
        <v/>
      </c>
      <c r="J388" s="14" t="str">
        <f aca="false">IF($H388="","",IFERROR(INDEX(상품목록!$C$3:$C$102,MATCH($H388,상품목록!$A$3:$A$102,0)),0))</f>
        <v/>
      </c>
      <c r="K388" s="7"/>
      <c r="L388" s="14" t="str">
        <f aca="false">IF(OR($J388="",$K388=""),"",ROUND($J388*$K388,0))</f>
        <v/>
      </c>
      <c r="M388" s="9"/>
      <c r="N388" s="14" t="str">
        <f aca="false">IF($L388="","",$L388+IF($M388="",0,$M388))</f>
        <v/>
      </c>
      <c r="O388" s="13"/>
      <c r="P388" s="7"/>
      <c r="Q388" s="12" t="str">
        <f aca="false">IF($C388="","",IF($P388&lt;&gt;"","발송완료",IF($O388&lt;&gt;"","입금완료","입금대기")))</f>
        <v/>
      </c>
      <c r="R388" s="12" t="str">
        <f aca="false">IF($C388="","",COUNTIFS($C$3:$C388,$C388))</f>
        <v/>
      </c>
      <c r="S388" s="12" t="str">
        <f aca="false">IF($C388="","",$C388&amp;"|"&amp;$R388)</f>
        <v/>
      </c>
    </row>
    <row r="389" customFormat="false" ht="15" hidden="false" customHeight="true" outlineLevel="0" collapsed="false">
      <c r="A389" s="12" t="str">
        <f aca="false">IF($C389="","",TEXT($B389,"yymmdd")&amp;"-"&amp;TEXT(COUNTIFS($B$3:$B389,$B389),"000"))</f>
        <v/>
      </c>
      <c r="B389" s="13"/>
      <c r="C389" s="7"/>
      <c r="D389" s="12" t="str">
        <f aca="false">IF($C389="","",IFERROR(INDEX(고객명부!$B$3:$B$502,MATCH($C389,고객명부!$A$3:$A$502,0)),"미등록고객"))</f>
        <v/>
      </c>
      <c r="E389" s="12" t="str">
        <f aca="false">IF($C389="","",IFERROR(INDEX(고객명부!$C$3:$C$502,MATCH($C389,고객명부!$A$3:$A$502,0)),""))</f>
        <v/>
      </c>
      <c r="F389" s="12" t="str">
        <f aca="false">IF($C389="","",IFERROR(INDEX(고객명부!$D$3:$D$502,MATCH($C389,고객명부!$A$3:$A$502,0)),""))</f>
        <v/>
      </c>
      <c r="G389" s="12" t="str">
        <f aca="false">IF($C389="","",IFERROR(INDEX(고객명부!$E$3:$E$502,MATCH($C389,고객명부!$A$3:$A$502,0))&amp;" "&amp;INDEX(고객명부!$F$3:$F$502,MATCH($C389,고객명부!$A$3:$A$502,0)),""))</f>
        <v/>
      </c>
      <c r="H389" s="7"/>
      <c r="I389" s="12" t="str">
        <f aca="false">IF($H389="","",IFERROR(INDEX(상품목록!$B$3:$B$102,MATCH($H389,상품목록!$A$3:$A$102,0)),""))</f>
        <v/>
      </c>
      <c r="J389" s="14" t="str">
        <f aca="false">IF($H389="","",IFERROR(INDEX(상품목록!$C$3:$C$102,MATCH($H389,상품목록!$A$3:$A$102,0)),0))</f>
        <v/>
      </c>
      <c r="K389" s="7"/>
      <c r="L389" s="14" t="str">
        <f aca="false">IF(OR($J389="",$K389=""),"",ROUND($J389*$K389,0))</f>
        <v/>
      </c>
      <c r="M389" s="9"/>
      <c r="N389" s="14" t="str">
        <f aca="false">IF($L389="","",$L389+IF($M389="",0,$M389))</f>
        <v/>
      </c>
      <c r="O389" s="13"/>
      <c r="P389" s="7"/>
      <c r="Q389" s="12" t="str">
        <f aca="false">IF($C389="","",IF($P389&lt;&gt;"","발송완료",IF($O389&lt;&gt;"","입금완료","입금대기")))</f>
        <v/>
      </c>
      <c r="R389" s="12" t="str">
        <f aca="false">IF($C389="","",COUNTIFS($C$3:$C389,$C389))</f>
        <v/>
      </c>
      <c r="S389" s="12" t="str">
        <f aca="false">IF($C389="","",$C389&amp;"|"&amp;$R389)</f>
        <v/>
      </c>
    </row>
    <row r="390" customFormat="false" ht="15" hidden="false" customHeight="true" outlineLevel="0" collapsed="false">
      <c r="A390" s="12" t="str">
        <f aca="false">IF($C390="","",TEXT($B390,"yymmdd")&amp;"-"&amp;TEXT(COUNTIFS($B$3:$B390,$B390),"000"))</f>
        <v/>
      </c>
      <c r="B390" s="13"/>
      <c r="C390" s="7"/>
      <c r="D390" s="12" t="str">
        <f aca="false">IF($C390="","",IFERROR(INDEX(고객명부!$B$3:$B$502,MATCH($C390,고객명부!$A$3:$A$502,0)),"미등록고객"))</f>
        <v/>
      </c>
      <c r="E390" s="12" t="str">
        <f aca="false">IF($C390="","",IFERROR(INDEX(고객명부!$C$3:$C$502,MATCH($C390,고객명부!$A$3:$A$502,0)),""))</f>
        <v/>
      </c>
      <c r="F390" s="12" t="str">
        <f aca="false">IF($C390="","",IFERROR(INDEX(고객명부!$D$3:$D$502,MATCH($C390,고객명부!$A$3:$A$502,0)),""))</f>
        <v/>
      </c>
      <c r="G390" s="12" t="str">
        <f aca="false">IF($C390="","",IFERROR(INDEX(고객명부!$E$3:$E$502,MATCH($C390,고객명부!$A$3:$A$502,0))&amp;" "&amp;INDEX(고객명부!$F$3:$F$502,MATCH($C390,고객명부!$A$3:$A$502,0)),""))</f>
        <v/>
      </c>
      <c r="H390" s="7"/>
      <c r="I390" s="12" t="str">
        <f aca="false">IF($H390="","",IFERROR(INDEX(상품목록!$B$3:$B$102,MATCH($H390,상품목록!$A$3:$A$102,0)),""))</f>
        <v/>
      </c>
      <c r="J390" s="14" t="str">
        <f aca="false">IF($H390="","",IFERROR(INDEX(상품목록!$C$3:$C$102,MATCH($H390,상품목록!$A$3:$A$102,0)),0))</f>
        <v/>
      </c>
      <c r="K390" s="7"/>
      <c r="L390" s="14" t="str">
        <f aca="false">IF(OR($J390="",$K390=""),"",ROUND($J390*$K390,0))</f>
        <v/>
      </c>
      <c r="M390" s="9"/>
      <c r="N390" s="14" t="str">
        <f aca="false">IF($L390="","",$L390+IF($M390="",0,$M390))</f>
        <v/>
      </c>
      <c r="O390" s="13"/>
      <c r="P390" s="7"/>
      <c r="Q390" s="12" t="str">
        <f aca="false">IF($C390="","",IF($P390&lt;&gt;"","발송완료",IF($O390&lt;&gt;"","입금완료","입금대기")))</f>
        <v/>
      </c>
      <c r="R390" s="12" t="str">
        <f aca="false">IF($C390="","",COUNTIFS($C$3:$C390,$C390))</f>
        <v/>
      </c>
      <c r="S390" s="12" t="str">
        <f aca="false">IF($C390="","",$C390&amp;"|"&amp;$R390)</f>
        <v/>
      </c>
    </row>
    <row r="391" customFormat="false" ht="15" hidden="false" customHeight="true" outlineLevel="0" collapsed="false">
      <c r="A391" s="12" t="str">
        <f aca="false">IF($C391="","",TEXT($B391,"yymmdd")&amp;"-"&amp;TEXT(COUNTIFS($B$3:$B391,$B391),"000"))</f>
        <v/>
      </c>
      <c r="B391" s="13"/>
      <c r="C391" s="7"/>
      <c r="D391" s="12" t="str">
        <f aca="false">IF($C391="","",IFERROR(INDEX(고객명부!$B$3:$B$502,MATCH($C391,고객명부!$A$3:$A$502,0)),"미등록고객"))</f>
        <v/>
      </c>
      <c r="E391" s="12" t="str">
        <f aca="false">IF($C391="","",IFERROR(INDEX(고객명부!$C$3:$C$502,MATCH($C391,고객명부!$A$3:$A$502,0)),""))</f>
        <v/>
      </c>
      <c r="F391" s="12" t="str">
        <f aca="false">IF($C391="","",IFERROR(INDEX(고객명부!$D$3:$D$502,MATCH($C391,고객명부!$A$3:$A$502,0)),""))</f>
        <v/>
      </c>
      <c r="G391" s="12" t="str">
        <f aca="false">IF($C391="","",IFERROR(INDEX(고객명부!$E$3:$E$502,MATCH($C391,고객명부!$A$3:$A$502,0))&amp;" "&amp;INDEX(고객명부!$F$3:$F$502,MATCH($C391,고객명부!$A$3:$A$502,0)),""))</f>
        <v/>
      </c>
      <c r="H391" s="7"/>
      <c r="I391" s="12" t="str">
        <f aca="false">IF($H391="","",IFERROR(INDEX(상품목록!$B$3:$B$102,MATCH($H391,상품목록!$A$3:$A$102,0)),""))</f>
        <v/>
      </c>
      <c r="J391" s="14" t="str">
        <f aca="false">IF($H391="","",IFERROR(INDEX(상품목록!$C$3:$C$102,MATCH($H391,상품목록!$A$3:$A$102,0)),0))</f>
        <v/>
      </c>
      <c r="K391" s="7"/>
      <c r="L391" s="14" t="str">
        <f aca="false">IF(OR($J391="",$K391=""),"",ROUND($J391*$K391,0))</f>
        <v/>
      </c>
      <c r="M391" s="9"/>
      <c r="N391" s="14" t="str">
        <f aca="false">IF($L391="","",$L391+IF($M391="",0,$M391))</f>
        <v/>
      </c>
      <c r="O391" s="13"/>
      <c r="P391" s="7"/>
      <c r="Q391" s="12" t="str">
        <f aca="false">IF($C391="","",IF($P391&lt;&gt;"","발송완료",IF($O391&lt;&gt;"","입금완료","입금대기")))</f>
        <v/>
      </c>
      <c r="R391" s="12" t="str">
        <f aca="false">IF($C391="","",COUNTIFS($C$3:$C391,$C391))</f>
        <v/>
      </c>
      <c r="S391" s="12" t="str">
        <f aca="false">IF($C391="","",$C391&amp;"|"&amp;$R391)</f>
        <v/>
      </c>
    </row>
    <row r="392" customFormat="false" ht="15" hidden="false" customHeight="true" outlineLevel="0" collapsed="false">
      <c r="A392" s="12" t="str">
        <f aca="false">IF($C392="","",TEXT($B392,"yymmdd")&amp;"-"&amp;TEXT(COUNTIFS($B$3:$B392,$B392),"000"))</f>
        <v/>
      </c>
      <c r="B392" s="13"/>
      <c r="C392" s="7"/>
      <c r="D392" s="12" t="str">
        <f aca="false">IF($C392="","",IFERROR(INDEX(고객명부!$B$3:$B$502,MATCH($C392,고객명부!$A$3:$A$502,0)),"미등록고객"))</f>
        <v/>
      </c>
      <c r="E392" s="12" t="str">
        <f aca="false">IF($C392="","",IFERROR(INDEX(고객명부!$C$3:$C$502,MATCH($C392,고객명부!$A$3:$A$502,0)),""))</f>
        <v/>
      </c>
      <c r="F392" s="12" t="str">
        <f aca="false">IF($C392="","",IFERROR(INDEX(고객명부!$D$3:$D$502,MATCH($C392,고객명부!$A$3:$A$502,0)),""))</f>
        <v/>
      </c>
      <c r="G392" s="12" t="str">
        <f aca="false">IF($C392="","",IFERROR(INDEX(고객명부!$E$3:$E$502,MATCH($C392,고객명부!$A$3:$A$502,0))&amp;" "&amp;INDEX(고객명부!$F$3:$F$502,MATCH($C392,고객명부!$A$3:$A$502,0)),""))</f>
        <v/>
      </c>
      <c r="H392" s="7"/>
      <c r="I392" s="12" t="str">
        <f aca="false">IF($H392="","",IFERROR(INDEX(상품목록!$B$3:$B$102,MATCH($H392,상품목록!$A$3:$A$102,0)),""))</f>
        <v/>
      </c>
      <c r="J392" s="14" t="str">
        <f aca="false">IF($H392="","",IFERROR(INDEX(상품목록!$C$3:$C$102,MATCH($H392,상품목록!$A$3:$A$102,0)),0))</f>
        <v/>
      </c>
      <c r="K392" s="7"/>
      <c r="L392" s="14" t="str">
        <f aca="false">IF(OR($J392="",$K392=""),"",ROUND($J392*$K392,0))</f>
        <v/>
      </c>
      <c r="M392" s="9"/>
      <c r="N392" s="14" t="str">
        <f aca="false">IF($L392="","",$L392+IF($M392="",0,$M392))</f>
        <v/>
      </c>
      <c r="O392" s="13"/>
      <c r="P392" s="7"/>
      <c r="Q392" s="12" t="str">
        <f aca="false">IF($C392="","",IF($P392&lt;&gt;"","발송완료",IF($O392&lt;&gt;"","입금완료","입금대기")))</f>
        <v/>
      </c>
      <c r="R392" s="12" t="str">
        <f aca="false">IF($C392="","",COUNTIFS($C$3:$C392,$C392))</f>
        <v/>
      </c>
      <c r="S392" s="12" t="str">
        <f aca="false">IF($C392="","",$C392&amp;"|"&amp;$R392)</f>
        <v/>
      </c>
    </row>
    <row r="393" customFormat="false" ht="15" hidden="false" customHeight="true" outlineLevel="0" collapsed="false">
      <c r="A393" s="12" t="str">
        <f aca="false">IF($C393="","",TEXT($B393,"yymmdd")&amp;"-"&amp;TEXT(COUNTIFS($B$3:$B393,$B393),"000"))</f>
        <v/>
      </c>
      <c r="B393" s="13"/>
      <c r="C393" s="7"/>
      <c r="D393" s="12" t="str">
        <f aca="false">IF($C393="","",IFERROR(INDEX(고객명부!$B$3:$B$502,MATCH($C393,고객명부!$A$3:$A$502,0)),"미등록고객"))</f>
        <v/>
      </c>
      <c r="E393" s="12" t="str">
        <f aca="false">IF($C393="","",IFERROR(INDEX(고객명부!$C$3:$C$502,MATCH($C393,고객명부!$A$3:$A$502,0)),""))</f>
        <v/>
      </c>
      <c r="F393" s="12" t="str">
        <f aca="false">IF($C393="","",IFERROR(INDEX(고객명부!$D$3:$D$502,MATCH($C393,고객명부!$A$3:$A$502,0)),""))</f>
        <v/>
      </c>
      <c r="G393" s="12" t="str">
        <f aca="false">IF($C393="","",IFERROR(INDEX(고객명부!$E$3:$E$502,MATCH($C393,고객명부!$A$3:$A$502,0))&amp;" "&amp;INDEX(고객명부!$F$3:$F$502,MATCH($C393,고객명부!$A$3:$A$502,0)),""))</f>
        <v/>
      </c>
      <c r="H393" s="7"/>
      <c r="I393" s="12" t="str">
        <f aca="false">IF($H393="","",IFERROR(INDEX(상품목록!$B$3:$B$102,MATCH($H393,상품목록!$A$3:$A$102,0)),""))</f>
        <v/>
      </c>
      <c r="J393" s="14" t="str">
        <f aca="false">IF($H393="","",IFERROR(INDEX(상품목록!$C$3:$C$102,MATCH($H393,상품목록!$A$3:$A$102,0)),0))</f>
        <v/>
      </c>
      <c r="K393" s="7"/>
      <c r="L393" s="14" t="str">
        <f aca="false">IF(OR($J393="",$K393=""),"",ROUND($J393*$K393,0))</f>
        <v/>
      </c>
      <c r="M393" s="9"/>
      <c r="N393" s="14" t="str">
        <f aca="false">IF($L393="","",$L393+IF($M393="",0,$M393))</f>
        <v/>
      </c>
      <c r="O393" s="13"/>
      <c r="P393" s="7"/>
      <c r="Q393" s="12" t="str">
        <f aca="false">IF($C393="","",IF($P393&lt;&gt;"","발송완료",IF($O393&lt;&gt;"","입금완료","입금대기")))</f>
        <v/>
      </c>
      <c r="R393" s="12" t="str">
        <f aca="false">IF($C393="","",COUNTIFS($C$3:$C393,$C393))</f>
        <v/>
      </c>
      <c r="S393" s="12" t="str">
        <f aca="false">IF($C393="","",$C393&amp;"|"&amp;$R393)</f>
        <v/>
      </c>
    </row>
    <row r="394" customFormat="false" ht="15" hidden="false" customHeight="true" outlineLevel="0" collapsed="false">
      <c r="A394" s="12" t="str">
        <f aca="false">IF($C394="","",TEXT($B394,"yymmdd")&amp;"-"&amp;TEXT(COUNTIFS($B$3:$B394,$B394),"000"))</f>
        <v/>
      </c>
      <c r="B394" s="13"/>
      <c r="C394" s="7"/>
      <c r="D394" s="12" t="str">
        <f aca="false">IF($C394="","",IFERROR(INDEX(고객명부!$B$3:$B$502,MATCH($C394,고객명부!$A$3:$A$502,0)),"미등록고객"))</f>
        <v/>
      </c>
      <c r="E394" s="12" t="str">
        <f aca="false">IF($C394="","",IFERROR(INDEX(고객명부!$C$3:$C$502,MATCH($C394,고객명부!$A$3:$A$502,0)),""))</f>
        <v/>
      </c>
      <c r="F394" s="12" t="str">
        <f aca="false">IF($C394="","",IFERROR(INDEX(고객명부!$D$3:$D$502,MATCH($C394,고객명부!$A$3:$A$502,0)),""))</f>
        <v/>
      </c>
      <c r="G394" s="12" t="str">
        <f aca="false">IF($C394="","",IFERROR(INDEX(고객명부!$E$3:$E$502,MATCH($C394,고객명부!$A$3:$A$502,0))&amp;" "&amp;INDEX(고객명부!$F$3:$F$502,MATCH($C394,고객명부!$A$3:$A$502,0)),""))</f>
        <v/>
      </c>
      <c r="H394" s="7"/>
      <c r="I394" s="12" t="str">
        <f aca="false">IF($H394="","",IFERROR(INDEX(상품목록!$B$3:$B$102,MATCH($H394,상품목록!$A$3:$A$102,0)),""))</f>
        <v/>
      </c>
      <c r="J394" s="14" t="str">
        <f aca="false">IF($H394="","",IFERROR(INDEX(상품목록!$C$3:$C$102,MATCH($H394,상품목록!$A$3:$A$102,0)),0))</f>
        <v/>
      </c>
      <c r="K394" s="7"/>
      <c r="L394" s="14" t="str">
        <f aca="false">IF(OR($J394="",$K394=""),"",ROUND($J394*$K394,0))</f>
        <v/>
      </c>
      <c r="M394" s="9"/>
      <c r="N394" s="14" t="str">
        <f aca="false">IF($L394="","",$L394+IF($M394="",0,$M394))</f>
        <v/>
      </c>
      <c r="O394" s="13"/>
      <c r="P394" s="7"/>
      <c r="Q394" s="12" t="str">
        <f aca="false">IF($C394="","",IF($P394&lt;&gt;"","발송완료",IF($O394&lt;&gt;"","입금완료","입금대기")))</f>
        <v/>
      </c>
      <c r="R394" s="12" t="str">
        <f aca="false">IF($C394="","",COUNTIFS($C$3:$C394,$C394))</f>
        <v/>
      </c>
      <c r="S394" s="12" t="str">
        <f aca="false">IF($C394="","",$C394&amp;"|"&amp;$R394)</f>
        <v/>
      </c>
    </row>
    <row r="395" customFormat="false" ht="15" hidden="false" customHeight="true" outlineLevel="0" collapsed="false">
      <c r="A395" s="12" t="str">
        <f aca="false">IF($C395="","",TEXT($B395,"yymmdd")&amp;"-"&amp;TEXT(COUNTIFS($B$3:$B395,$B395),"000"))</f>
        <v/>
      </c>
      <c r="B395" s="13"/>
      <c r="C395" s="7"/>
      <c r="D395" s="12" t="str">
        <f aca="false">IF($C395="","",IFERROR(INDEX(고객명부!$B$3:$B$502,MATCH($C395,고객명부!$A$3:$A$502,0)),"미등록고객"))</f>
        <v/>
      </c>
      <c r="E395" s="12" t="str">
        <f aca="false">IF($C395="","",IFERROR(INDEX(고객명부!$C$3:$C$502,MATCH($C395,고객명부!$A$3:$A$502,0)),""))</f>
        <v/>
      </c>
      <c r="F395" s="12" t="str">
        <f aca="false">IF($C395="","",IFERROR(INDEX(고객명부!$D$3:$D$502,MATCH($C395,고객명부!$A$3:$A$502,0)),""))</f>
        <v/>
      </c>
      <c r="G395" s="12" t="str">
        <f aca="false">IF($C395="","",IFERROR(INDEX(고객명부!$E$3:$E$502,MATCH($C395,고객명부!$A$3:$A$502,0))&amp;" "&amp;INDEX(고객명부!$F$3:$F$502,MATCH($C395,고객명부!$A$3:$A$502,0)),""))</f>
        <v/>
      </c>
      <c r="H395" s="7"/>
      <c r="I395" s="12" t="str">
        <f aca="false">IF($H395="","",IFERROR(INDEX(상품목록!$B$3:$B$102,MATCH($H395,상품목록!$A$3:$A$102,0)),""))</f>
        <v/>
      </c>
      <c r="J395" s="14" t="str">
        <f aca="false">IF($H395="","",IFERROR(INDEX(상품목록!$C$3:$C$102,MATCH($H395,상품목록!$A$3:$A$102,0)),0))</f>
        <v/>
      </c>
      <c r="K395" s="7"/>
      <c r="L395" s="14" t="str">
        <f aca="false">IF(OR($J395="",$K395=""),"",ROUND($J395*$K395,0))</f>
        <v/>
      </c>
      <c r="M395" s="9"/>
      <c r="N395" s="14" t="str">
        <f aca="false">IF($L395="","",$L395+IF($M395="",0,$M395))</f>
        <v/>
      </c>
      <c r="O395" s="13"/>
      <c r="P395" s="7"/>
      <c r="Q395" s="12" t="str">
        <f aca="false">IF($C395="","",IF($P395&lt;&gt;"","발송완료",IF($O395&lt;&gt;"","입금완료","입금대기")))</f>
        <v/>
      </c>
      <c r="R395" s="12" t="str">
        <f aca="false">IF($C395="","",COUNTIFS($C$3:$C395,$C395))</f>
        <v/>
      </c>
      <c r="S395" s="12" t="str">
        <f aca="false">IF($C395="","",$C395&amp;"|"&amp;$R395)</f>
        <v/>
      </c>
    </row>
    <row r="396" customFormat="false" ht="15" hidden="false" customHeight="true" outlineLevel="0" collapsed="false">
      <c r="A396" s="12" t="str">
        <f aca="false">IF($C396="","",TEXT($B396,"yymmdd")&amp;"-"&amp;TEXT(COUNTIFS($B$3:$B396,$B396),"000"))</f>
        <v/>
      </c>
      <c r="B396" s="13"/>
      <c r="C396" s="7"/>
      <c r="D396" s="12" t="str">
        <f aca="false">IF($C396="","",IFERROR(INDEX(고객명부!$B$3:$B$502,MATCH($C396,고객명부!$A$3:$A$502,0)),"미등록고객"))</f>
        <v/>
      </c>
      <c r="E396" s="12" t="str">
        <f aca="false">IF($C396="","",IFERROR(INDEX(고객명부!$C$3:$C$502,MATCH($C396,고객명부!$A$3:$A$502,0)),""))</f>
        <v/>
      </c>
      <c r="F396" s="12" t="str">
        <f aca="false">IF($C396="","",IFERROR(INDEX(고객명부!$D$3:$D$502,MATCH($C396,고객명부!$A$3:$A$502,0)),""))</f>
        <v/>
      </c>
      <c r="G396" s="12" t="str">
        <f aca="false">IF($C396="","",IFERROR(INDEX(고객명부!$E$3:$E$502,MATCH($C396,고객명부!$A$3:$A$502,0))&amp;" "&amp;INDEX(고객명부!$F$3:$F$502,MATCH($C396,고객명부!$A$3:$A$502,0)),""))</f>
        <v/>
      </c>
      <c r="H396" s="7"/>
      <c r="I396" s="12" t="str">
        <f aca="false">IF($H396="","",IFERROR(INDEX(상품목록!$B$3:$B$102,MATCH($H396,상품목록!$A$3:$A$102,0)),""))</f>
        <v/>
      </c>
      <c r="J396" s="14" t="str">
        <f aca="false">IF($H396="","",IFERROR(INDEX(상품목록!$C$3:$C$102,MATCH($H396,상품목록!$A$3:$A$102,0)),0))</f>
        <v/>
      </c>
      <c r="K396" s="7"/>
      <c r="L396" s="14" t="str">
        <f aca="false">IF(OR($J396="",$K396=""),"",ROUND($J396*$K396,0))</f>
        <v/>
      </c>
      <c r="M396" s="9"/>
      <c r="N396" s="14" t="str">
        <f aca="false">IF($L396="","",$L396+IF($M396="",0,$M396))</f>
        <v/>
      </c>
      <c r="O396" s="13"/>
      <c r="P396" s="7"/>
      <c r="Q396" s="12" t="str">
        <f aca="false">IF($C396="","",IF($P396&lt;&gt;"","발송완료",IF($O396&lt;&gt;"","입금완료","입금대기")))</f>
        <v/>
      </c>
      <c r="R396" s="12" t="str">
        <f aca="false">IF($C396="","",COUNTIFS($C$3:$C396,$C396))</f>
        <v/>
      </c>
      <c r="S396" s="12" t="str">
        <f aca="false">IF($C396="","",$C396&amp;"|"&amp;$R396)</f>
        <v/>
      </c>
    </row>
    <row r="397" customFormat="false" ht="15" hidden="false" customHeight="true" outlineLevel="0" collapsed="false">
      <c r="A397" s="12" t="str">
        <f aca="false">IF($C397="","",TEXT($B397,"yymmdd")&amp;"-"&amp;TEXT(COUNTIFS($B$3:$B397,$B397),"000"))</f>
        <v/>
      </c>
      <c r="B397" s="13"/>
      <c r="C397" s="7"/>
      <c r="D397" s="12" t="str">
        <f aca="false">IF($C397="","",IFERROR(INDEX(고객명부!$B$3:$B$502,MATCH($C397,고객명부!$A$3:$A$502,0)),"미등록고객"))</f>
        <v/>
      </c>
      <c r="E397" s="12" t="str">
        <f aca="false">IF($C397="","",IFERROR(INDEX(고객명부!$C$3:$C$502,MATCH($C397,고객명부!$A$3:$A$502,0)),""))</f>
        <v/>
      </c>
      <c r="F397" s="12" t="str">
        <f aca="false">IF($C397="","",IFERROR(INDEX(고객명부!$D$3:$D$502,MATCH($C397,고객명부!$A$3:$A$502,0)),""))</f>
        <v/>
      </c>
      <c r="G397" s="12" t="str">
        <f aca="false">IF($C397="","",IFERROR(INDEX(고객명부!$E$3:$E$502,MATCH($C397,고객명부!$A$3:$A$502,0))&amp;" "&amp;INDEX(고객명부!$F$3:$F$502,MATCH($C397,고객명부!$A$3:$A$502,0)),""))</f>
        <v/>
      </c>
      <c r="H397" s="7"/>
      <c r="I397" s="12" t="str">
        <f aca="false">IF($H397="","",IFERROR(INDEX(상품목록!$B$3:$B$102,MATCH($H397,상품목록!$A$3:$A$102,0)),""))</f>
        <v/>
      </c>
      <c r="J397" s="14" t="str">
        <f aca="false">IF($H397="","",IFERROR(INDEX(상품목록!$C$3:$C$102,MATCH($H397,상품목록!$A$3:$A$102,0)),0))</f>
        <v/>
      </c>
      <c r="K397" s="7"/>
      <c r="L397" s="14" t="str">
        <f aca="false">IF(OR($J397="",$K397=""),"",ROUND($J397*$K397,0))</f>
        <v/>
      </c>
      <c r="M397" s="9"/>
      <c r="N397" s="14" t="str">
        <f aca="false">IF($L397="","",$L397+IF($M397="",0,$M397))</f>
        <v/>
      </c>
      <c r="O397" s="13"/>
      <c r="P397" s="7"/>
      <c r="Q397" s="12" t="str">
        <f aca="false">IF($C397="","",IF($P397&lt;&gt;"","발송완료",IF($O397&lt;&gt;"","입금완료","입금대기")))</f>
        <v/>
      </c>
      <c r="R397" s="12" t="str">
        <f aca="false">IF($C397="","",COUNTIFS($C$3:$C397,$C397))</f>
        <v/>
      </c>
      <c r="S397" s="12" t="str">
        <f aca="false">IF($C397="","",$C397&amp;"|"&amp;$R397)</f>
        <v/>
      </c>
    </row>
    <row r="398" customFormat="false" ht="15" hidden="false" customHeight="true" outlineLevel="0" collapsed="false">
      <c r="A398" s="12" t="str">
        <f aca="false">IF($C398="","",TEXT($B398,"yymmdd")&amp;"-"&amp;TEXT(COUNTIFS($B$3:$B398,$B398),"000"))</f>
        <v/>
      </c>
      <c r="B398" s="13"/>
      <c r="C398" s="7"/>
      <c r="D398" s="12" t="str">
        <f aca="false">IF($C398="","",IFERROR(INDEX(고객명부!$B$3:$B$502,MATCH($C398,고객명부!$A$3:$A$502,0)),"미등록고객"))</f>
        <v/>
      </c>
      <c r="E398" s="12" t="str">
        <f aca="false">IF($C398="","",IFERROR(INDEX(고객명부!$C$3:$C$502,MATCH($C398,고객명부!$A$3:$A$502,0)),""))</f>
        <v/>
      </c>
      <c r="F398" s="12" t="str">
        <f aca="false">IF($C398="","",IFERROR(INDEX(고객명부!$D$3:$D$502,MATCH($C398,고객명부!$A$3:$A$502,0)),""))</f>
        <v/>
      </c>
      <c r="G398" s="12" t="str">
        <f aca="false">IF($C398="","",IFERROR(INDEX(고객명부!$E$3:$E$502,MATCH($C398,고객명부!$A$3:$A$502,0))&amp;" "&amp;INDEX(고객명부!$F$3:$F$502,MATCH($C398,고객명부!$A$3:$A$502,0)),""))</f>
        <v/>
      </c>
      <c r="H398" s="7"/>
      <c r="I398" s="12" t="str">
        <f aca="false">IF($H398="","",IFERROR(INDEX(상품목록!$B$3:$B$102,MATCH($H398,상품목록!$A$3:$A$102,0)),""))</f>
        <v/>
      </c>
      <c r="J398" s="14" t="str">
        <f aca="false">IF($H398="","",IFERROR(INDEX(상품목록!$C$3:$C$102,MATCH($H398,상품목록!$A$3:$A$102,0)),0))</f>
        <v/>
      </c>
      <c r="K398" s="7"/>
      <c r="L398" s="14" t="str">
        <f aca="false">IF(OR($J398="",$K398=""),"",ROUND($J398*$K398,0))</f>
        <v/>
      </c>
      <c r="M398" s="9"/>
      <c r="N398" s="14" t="str">
        <f aca="false">IF($L398="","",$L398+IF($M398="",0,$M398))</f>
        <v/>
      </c>
      <c r="O398" s="13"/>
      <c r="P398" s="7"/>
      <c r="Q398" s="12" t="str">
        <f aca="false">IF($C398="","",IF($P398&lt;&gt;"","발송완료",IF($O398&lt;&gt;"","입금완료","입금대기")))</f>
        <v/>
      </c>
      <c r="R398" s="12" t="str">
        <f aca="false">IF($C398="","",COUNTIFS($C$3:$C398,$C398))</f>
        <v/>
      </c>
      <c r="S398" s="12" t="str">
        <f aca="false">IF($C398="","",$C398&amp;"|"&amp;$R398)</f>
        <v/>
      </c>
    </row>
    <row r="399" customFormat="false" ht="15" hidden="false" customHeight="true" outlineLevel="0" collapsed="false">
      <c r="A399" s="12" t="str">
        <f aca="false">IF($C399="","",TEXT($B399,"yymmdd")&amp;"-"&amp;TEXT(COUNTIFS($B$3:$B399,$B399),"000"))</f>
        <v/>
      </c>
      <c r="B399" s="13"/>
      <c r="C399" s="7"/>
      <c r="D399" s="12" t="str">
        <f aca="false">IF($C399="","",IFERROR(INDEX(고객명부!$B$3:$B$502,MATCH($C399,고객명부!$A$3:$A$502,0)),"미등록고객"))</f>
        <v/>
      </c>
      <c r="E399" s="12" t="str">
        <f aca="false">IF($C399="","",IFERROR(INDEX(고객명부!$C$3:$C$502,MATCH($C399,고객명부!$A$3:$A$502,0)),""))</f>
        <v/>
      </c>
      <c r="F399" s="12" t="str">
        <f aca="false">IF($C399="","",IFERROR(INDEX(고객명부!$D$3:$D$502,MATCH($C399,고객명부!$A$3:$A$502,0)),""))</f>
        <v/>
      </c>
      <c r="G399" s="12" t="str">
        <f aca="false">IF($C399="","",IFERROR(INDEX(고객명부!$E$3:$E$502,MATCH($C399,고객명부!$A$3:$A$502,0))&amp;" "&amp;INDEX(고객명부!$F$3:$F$502,MATCH($C399,고객명부!$A$3:$A$502,0)),""))</f>
        <v/>
      </c>
      <c r="H399" s="7"/>
      <c r="I399" s="12" t="str">
        <f aca="false">IF($H399="","",IFERROR(INDEX(상품목록!$B$3:$B$102,MATCH($H399,상품목록!$A$3:$A$102,0)),""))</f>
        <v/>
      </c>
      <c r="J399" s="14" t="str">
        <f aca="false">IF($H399="","",IFERROR(INDEX(상품목록!$C$3:$C$102,MATCH($H399,상품목록!$A$3:$A$102,0)),0))</f>
        <v/>
      </c>
      <c r="K399" s="7"/>
      <c r="L399" s="14" t="str">
        <f aca="false">IF(OR($J399="",$K399=""),"",ROUND($J399*$K399,0))</f>
        <v/>
      </c>
      <c r="M399" s="9"/>
      <c r="N399" s="14" t="str">
        <f aca="false">IF($L399="","",$L399+IF($M399="",0,$M399))</f>
        <v/>
      </c>
      <c r="O399" s="13"/>
      <c r="P399" s="7"/>
      <c r="Q399" s="12" t="str">
        <f aca="false">IF($C399="","",IF($P399&lt;&gt;"","발송완료",IF($O399&lt;&gt;"","입금완료","입금대기")))</f>
        <v/>
      </c>
      <c r="R399" s="12" t="str">
        <f aca="false">IF($C399="","",COUNTIFS($C$3:$C399,$C399))</f>
        <v/>
      </c>
      <c r="S399" s="12" t="str">
        <f aca="false">IF($C399="","",$C399&amp;"|"&amp;$R399)</f>
        <v/>
      </c>
    </row>
    <row r="400" customFormat="false" ht="15" hidden="false" customHeight="true" outlineLevel="0" collapsed="false">
      <c r="A400" s="12" t="str">
        <f aca="false">IF($C400="","",TEXT($B400,"yymmdd")&amp;"-"&amp;TEXT(COUNTIFS($B$3:$B400,$B400),"000"))</f>
        <v/>
      </c>
      <c r="B400" s="13"/>
      <c r="C400" s="7"/>
      <c r="D400" s="12" t="str">
        <f aca="false">IF($C400="","",IFERROR(INDEX(고객명부!$B$3:$B$502,MATCH($C400,고객명부!$A$3:$A$502,0)),"미등록고객"))</f>
        <v/>
      </c>
      <c r="E400" s="12" t="str">
        <f aca="false">IF($C400="","",IFERROR(INDEX(고객명부!$C$3:$C$502,MATCH($C400,고객명부!$A$3:$A$502,0)),""))</f>
        <v/>
      </c>
      <c r="F400" s="12" t="str">
        <f aca="false">IF($C400="","",IFERROR(INDEX(고객명부!$D$3:$D$502,MATCH($C400,고객명부!$A$3:$A$502,0)),""))</f>
        <v/>
      </c>
      <c r="G400" s="12" t="str">
        <f aca="false">IF($C400="","",IFERROR(INDEX(고객명부!$E$3:$E$502,MATCH($C400,고객명부!$A$3:$A$502,0))&amp;" "&amp;INDEX(고객명부!$F$3:$F$502,MATCH($C400,고객명부!$A$3:$A$502,0)),""))</f>
        <v/>
      </c>
      <c r="H400" s="7"/>
      <c r="I400" s="12" t="str">
        <f aca="false">IF($H400="","",IFERROR(INDEX(상품목록!$B$3:$B$102,MATCH($H400,상품목록!$A$3:$A$102,0)),""))</f>
        <v/>
      </c>
      <c r="J400" s="14" t="str">
        <f aca="false">IF($H400="","",IFERROR(INDEX(상품목록!$C$3:$C$102,MATCH($H400,상품목록!$A$3:$A$102,0)),0))</f>
        <v/>
      </c>
      <c r="K400" s="7"/>
      <c r="L400" s="14" t="str">
        <f aca="false">IF(OR($J400="",$K400=""),"",ROUND($J400*$K400,0))</f>
        <v/>
      </c>
      <c r="M400" s="9"/>
      <c r="N400" s="14" t="str">
        <f aca="false">IF($L400="","",$L400+IF($M400="",0,$M400))</f>
        <v/>
      </c>
      <c r="O400" s="13"/>
      <c r="P400" s="7"/>
      <c r="Q400" s="12" t="str">
        <f aca="false">IF($C400="","",IF($P400&lt;&gt;"","발송완료",IF($O400&lt;&gt;"","입금완료","입금대기")))</f>
        <v/>
      </c>
      <c r="R400" s="12" t="str">
        <f aca="false">IF($C400="","",COUNTIFS($C$3:$C400,$C400))</f>
        <v/>
      </c>
      <c r="S400" s="12" t="str">
        <f aca="false">IF($C400="","",$C400&amp;"|"&amp;$R400)</f>
        <v/>
      </c>
    </row>
    <row r="401" customFormat="false" ht="15" hidden="false" customHeight="true" outlineLevel="0" collapsed="false">
      <c r="A401" s="12" t="str">
        <f aca="false">IF($C401="","",TEXT($B401,"yymmdd")&amp;"-"&amp;TEXT(COUNTIFS($B$3:$B401,$B401),"000"))</f>
        <v/>
      </c>
      <c r="B401" s="13"/>
      <c r="C401" s="7"/>
      <c r="D401" s="12" t="str">
        <f aca="false">IF($C401="","",IFERROR(INDEX(고객명부!$B$3:$B$502,MATCH($C401,고객명부!$A$3:$A$502,0)),"미등록고객"))</f>
        <v/>
      </c>
      <c r="E401" s="12" t="str">
        <f aca="false">IF($C401="","",IFERROR(INDEX(고객명부!$C$3:$C$502,MATCH($C401,고객명부!$A$3:$A$502,0)),""))</f>
        <v/>
      </c>
      <c r="F401" s="12" t="str">
        <f aca="false">IF($C401="","",IFERROR(INDEX(고객명부!$D$3:$D$502,MATCH($C401,고객명부!$A$3:$A$502,0)),""))</f>
        <v/>
      </c>
      <c r="G401" s="12" t="str">
        <f aca="false">IF($C401="","",IFERROR(INDEX(고객명부!$E$3:$E$502,MATCH($C401,고객명부!$A$3:$A$502,0))&amp;" "&amp;INDEX(고객명부!$F$3:$F$502,MATCH($C401,고객명부!$A$3:$A$502,0)),""))</f>
        <v/>
      </c>
      <c r="H401" s="7"/>
      <c r="I401" s="12" t="str">
        <f aca="false">IF($H401="","",IFERROR(INDEX(상품목록!$B$3:$B$102,MATCH($H401,상품목록!$A$3:$A$102,0)),""))</f>
        <v/>
      </c>
      <c r="J401" s="14" t="str">
        <f aca="false">IF($H401="","",IFERROR(INDEX(상품목록!$C$3:$C$102,MATCH($H401,상품목록!$A$3:$A$102,0)),0))</f>
        <v/>
      </c>
      <c r="K401" s="7"/>
      <c r="L401" s="14" t="str">
        <f aca="false">IF(OR($J401="",$K401=""),"",ROUND($J401*$K401,0))</f>
        <v/>
      </c>
      <c r="M401" s="9"/>
      <c r="N401" s="14" t="str">
        <f aca="false">IF($L401="","",$L401+IF($M401="",0,$M401))</f>
        <v/>
      </c>
      <c r="O401" s="13"/>
      <c r="P401" s="7"/>
      <c r="Q401" s="12" t="str">
        <f aca="false">IF($C401="","",IF($P401&lt;&gt;"","발송완료",IF($O401&lt;&gt;"","입금완료","입금대기")))</f>
        <v/>
      </c>
      <c r="R401" s="12" t="str">
        <f aca="false">IF($C401="","",COUNTIFS($C$3:$C401,$C401))</f>
        <v/>
      </c>
      <c r="S401" s="12" t="str">
        <f aca="false">IF($C401="","",$C401&amp;"|"&amp;$R401)</f>
        <v/>
      </c>
    </row>
    <row r="402" customFormat="false" ht="15" hidden="false" customHeight="true" outlineLevel="0" collapsed="false">
      <c r="A402" s="12" t="str">
        <f aca="false">IF($C402="","",TEXT($B402,"yymmdd")&amp;"-"&amp;TEXT(COUNTIFS($B$3:$B402,$B402),"000"))</f>
        <v/>
      </c>
      <c r="B402" s="13"/>
      <c r="C402" s="7"/>
      <c r="D402" s="12" t="str">
        <f aca="false">IF($C402="","",IFERROR(INDEX(고객명부!$B$3:$B$502,MATCH($C402,고객명부!$A$3:$A$502,0)),"미등록고객"))</f>
        <v/>
      </c>
      <c r="E402" s="12" t="str">
        <f aca="false">IF($C402="","",IFERROR(INDEX(고객명부!$C$3:$C$502,MATCH($C402,고객명부!$A$3:$A$502,0)),""))</f>
        <v/>
      </c>
      <c r="F402" s="12" t="str">
        <f aca="false">IF($C402="","",IFERROR(INDEX(고객명부!$D$3:$D$502,MATCH($C402,고객명부!$A$3:$A$502,0)),""))</f>
        <v/>
      </c>
      <c r="G402" s="12" t="str">
        <f aca="false">IF($C402="","",IFERROR(INDEX(고객명부!$E$3:$E$502,MATCH($C402,고객명부!$A$3:$A$502,0))&amp;" "&amp;INDEX(고객명부!$F$3:$F$502,MATCH($C402,고객명부!$A$3:$A$502,0)),""))</f>
        <v/>
      </c>
      <c r="H402" s="7"/>
      <c r="I402" s="12" t="str">
        <f aca="false">IF($H402="","",IFERROR(INDEX(상품목록!$B$3:$B$102,MATCH($H402,상품목록!$A$3:$A$102,0)),""))</f>
        <v/>
      </c>
      <c r="J402" s="14" t="str">
        <f aca="false">IF($H402="","",IFERROR(INDEX(상품목록!$C$3:$C$102,MATCH($H402,상품목록!$A$3:$A$102,0)),0))</f>
        <v/>
      </c>
      <c r="K402" s="7"/>
      <c r="L402" s="14" t="str">
        <f aca="false">IF(OR($J402="",$K402=""),"",ROUND($J402*$K402,0))</f>
        <v/>
      </c>
      <c r="M402" s="9"/>
      <c r="N402" s="14" t="str">
        <f aca="false">IF($L402="","",$L402+IF($M402="",0,$M402))</f>
        <v/>
      </c>
      <c r="O402" s="13"/>
      <c r="P402" s="7"/>
      <c r="Q402" s="12" t="str">
        <f aca="false">IF($C402="","",IF($P402&lt;&gt;"","발송완료",IF($O402&lt;&gt;"","입금완료","입금대기")))</f>
        <v/>
      </c>
      <c r="R402" s="12" t="str">
        <f aca="false">IF($C402="","",COUNTIFS($C$3:$C402,$C402))</f>
        <v/>
      </c>
      <c r="S402" s="12" t="str">
        <f aca="false">IF($C402="","",$C402&amp;"|"&amp;$R402)</f>
        <v/>
      </c>
    </row>
    <row r="403" customFormat="false" ht="15" hidden="false" customHeight="true" outlineLevel="0" collapsed="false">
      <c r="A403" s="12" t="str">
        <f aca="false">IF($C403="","",TEXT($B403,"yymmdd")&amp;"-"&amp;TEXT(COUNTIFS($B$3:$B403,$B403),"000"))</f>
        <v/>
      </c>
      <c r="B403" s="13"/>
      <c r="C403" s="7"/>
      <c r="D403" s="12" t="str">
        <f aca="false">IF($C403="","",IFERROR(INDEX(고객명부!$B$3:$B$502,MATCH($C403,고객명부!$A$3:$A$502,0)),"미등록고객"))</f>
        <v/>
      </c>
      <c r="E403" s="12" t="str">
        <f aca="false">IF($C403="","",IFERROR(INDEX(고객명부!$C$3:$C$502,MATCH($C403,고객명부!$A$3:$A$502,0)),""))</f>
        <v/>
      </c>
      <c r="F403" s="12" t="str">
        <f aca="false">IF($C403="","",IFERROR(INDEX(고객명부!$D$3:$D$502,MATCH($C403,고객명부!$A$3:$A$502,0)),""))</f>
        <v/>
      </c>
      <c r="G403" s="12" t="str">
        <f aca="false">IF($C403="","",IFERROR(INDEX(고객명부!$E$3:$E$502,MATCH($C403,고객명부!$A$3:$A$502,0))&amp;" "&amp;INDEX(고객명부!$F$3:$F$502,MATCH($C403,고객명부!$A$3:$A$502,0)),""))</f>
        <v/>
      </c>
      <c r="H403" s="7"/>
      <c r="I403" s="12" t="str">
        <f aca="false">IF($H403="","",IFERROR(INDEX(상품목록!$B$3:$B$102,MATCH($H403,상품목록!$A$3:$A$102,0)),""))</f>
        <v/>
      </c>
      <c r="J403" s="14" t="str">
        <f aca="false">IF($H403="","",IFERROR(INDEX(상품목록!$C$3:$C$102,MATCH($H403,상품목록!$A$3:$A$102,0)),0))</f>
        <v/>
      </c>
      <c r="K403" s="7"/>
      <c r="L403" s="14" t="str">
        <f aca="false">IF(OR($J403="",$K403=""),"",ROUND($J403*$K403,0))</f>
        <v/>
      </c>
      <c r="M403" s="9"/>
      <c r="N403" s="14" t="str">
        <f aca="false">IF($L403="","",$L403+IF($M403="",0,$M403))</f>
        <v/>
      </c>
      <c r="O403" s="13"/>
      <c r="P403" s="7"/>
      <c r="Q403" s="12" t="str">
        <f aca="false">IF($C403="","",IF($P403&lt;&gt;"","발송완료",IF($O403&lt;&gt;"","입금완료","입금대기")))</f>
        <v/>
      </c>
      <c r="R403" s="12" t="str">
        <f aca="false">IF($C403="","",COUNTIFS($C$3:$C403,$C403))</f>
        <v/>
      </c>
      <c r="S403" s="12" t="str">
        <f aca="false">IF($C403="","",$C403&amp;"|"&amp;$R403)</f>
        <v/>
      </c>
    </row>
    <row r="404" customFormat="false" ht="15" hidden="false" customHeight="true" outlineLevel="0" collapsed="false">
      <c r="A404" s="12" t="str">
        <f aca="false">IF($C404="","",TEXT($B404,"yymmdd")&amp;"-"&amp;TEXT(COUNTIFS($B$3:$B404,$B404),"000"))</f>
        <v/>
      </c>
      <c r="B404" s="13"/>
      <c r="C404" s="7"/>
      <c r="D404" s="12" t="str">
        <f aca="false">IF($C404="","",IFERROR(INDEX(고객명부!$B$3:$B$502,MATCH($C404,고객명부!$A$3:$A$502,0)),"미등록고객"))</f>
        <v/>
      </c>
      <c r="E404" s="12" t="str">
        <f aca="false">IF($C404="","",IFERROR(INDEX(고객명부!$C$3:$C$502,MATCH($C404,고객명부!$A$3:$A$502,0)),""))</f>
        <v/>
      </c>
      <c r="F404" s="12" t="str">
        <f aca="false">IF($C404="","",IFERROR(INDEX(고객명부!$D$3:$D$502,MATCH($C404,고객명부!$A$3:$A$502,0)),""))</f>
        <v/>
      </c>
      <c r="G404" s="12" t="str">
        <f aca="false">IF($C404="","",IFERROR(INDEX(고객명부!$E$3:$E$502,MATCH($C404,고객명부!$A$3:$A$502,0))&amp;" "&amp;INDEX(고객명부!$F$3:$F$502,MATCH($C404,고객명부!$A$3:$A$502,0)),""))</f>
        <v/>
      </c>
      <c r="H404" s="7"/>
      <c r="I404" s="12" t="str">
        <f aca="false">IF($H404="","",IFERROR(INDEX(상품목록!$B$3:$B$102,MATCH($H404,상품목록!$A$3:$A$102,0)),""))</f>
        <v/>
      </c>
      <c r="J404" s="14" t="str">
        <f aca="false">IF($H404="","",IFERROR(INDEX(상품목록!$C$3:$C$102,MATCH($H404,상품목록!$A$3:$A$102,0)),0))</f>
        <v/>
      </c>
      <c r="K404" s="7"/>
      <c r="L404" s="14" t="str">
        <f aca="false">IF(OR($J404="",$K404=""),"",ROUND($J404*$K404,0))</f>
        <v/>
      </c>
      <c r="M404" s="9"/>
      <c r="N404" s="14" t="str">
        <f aca="false">IF($L404="","",$L404+IF($M404="",0,$M404))</f>
        <v/>
      </c>
      <c r="O404" s="13"/>
      <c r="P404" s="7"/>
      <c r="Q404" s="12" t="str">
        <f aca="false">IF($C404="","",IF($P404&lt;&gt;"","발송완료",IF($O404&lt;&gt;"","입금완료","입금대기")))</f>
        <v/>
      </c>
      <c r="R404" s="12" t="str">
        <f aca="false">IF($C404="","",COUNTIFS($C$3:$C404,$C404))</f>
        <v/>
      </c>
      <c r="S404" s="12" t="str">
        <f aca="false">IF($C404="","",$C404&amp;"|"&amp;$R404)</f>
        <v/>
      </c>
    </row>
    <row r="405" customFormat="false" ht="15" hidden="false" customHeight="true" outlineLevel="0" collapsed="false">
      <c r="A405" s="12" t="str">
        <f aca="false">IF($C405="","",TEXT($B405,"yymmdd")&amp;"-"&amp;TEXT(COUNTIFS($B$3:$B405,$B405),"000"))</f>
        <v/>
      </c>
      <c r="B405" s="13"/>
      <c r="C405" s="7"/>
      <c r="D405" s="12" t="str">
        <f aca="false">IF($C405="","",IFERROR(INDEX(고객명부!$B$3:$B$502,MATCH($C405,고객명부!$A$3:$A$502,0)),"미등록고객"))</f>
        <v/>
      </c>
      <c r="E405" s="12" t="str">
        <f aca="false">IF($C405="","",IFERROR(INDEX(고객명부!$C$3:$C$502,MATCH($C405,고객명부!$A$3:$A$502,0)),""))</f>
        <v/>
      </c>
      <c r="F405" s="12" t="str">
        <f aca="false">IF($C405="","",IFERROR(INDEX(고객명부!$D$3:$D$502,MATCH($C405,고객명부!$A$3:$A$502,0)),""))</f>
        <v/>
      </c>
      <c r="G405" s="12" t="str">
        <f aca="false">IF($C405="","",IFERROR(INDEX(고객명부!$E$3:$E$502,MATCH($C405,고객명부!$A$3:$A$502,0))&amp;" "&amp;INDEX(고객명부!$F$3:$F$502,MATCH($C405,고객명부!$A$3:$A$502,0)),""))</f>
        <v/>
      </c>
      <c r="H405" s="7"/>
      <c r="I405" s="12" t="str">
        <f aca="false">IF($H405="","",IFERROR(INDEX(상품목록!$B$3:$B$102,MATCH($H405,상품목록!$A$3:$A$102,0)),""))</f>
        <v/>
      </c>
      <c r="J405" s="14" t="str">
        <f aca="false">IF($H405="","",IFERROR(INDEX(상품목록!$C$3:$C$102,MATCH($H405,상품목록!$A$3:$A$102,0)),0))</f>
        <v/>
      </c>
      <c r="K405" s="7"/>
      <c r="L405" s="14" t="str">
        <f aca="false">IF(OR($J405="",$K405=""),"",ROUND($J405*$K405,0))</f>
        <v/>
      </c>
      <c r="M405" s="9"/>
      <c r="N405" s="14" t="str">
        <f aca="false">IF($L405="","",$L405+IF($M405="",0,$M405))</f>
        <v/>
      </c>
      <c r="O405" s="13"/>
      <c r="P405" s="7"/>
      <c r="Q405" s="12" t="str">
        <f aca="false">IF($C405="","",IF($P405&lt;&gt;"","발송완료",IF($O405&lt;&gt;"","입금완료","입금대기")))</f>
        <v/>
      </c>
      <c r="R405" s="12" t="str">
        <f aca="false">IF($C405="","",COUNTIFS($C$3:$C405,$C405))</f>
        <v/>
      </c>
      <c r="S405" s="12" t="str">
        <f aca="false">IF($C405="","",$C405&amp;"|"&amp;$R405)</f>
        <v/>
      </c>
    </row>
    <row r="406" customFormat="false" ht="15" hidden="false" customHeight="true" outlineLevel="0" collapsed="false">
      <c r="A406" s="12" t="str">
        <f aca="false">IF($C406="","",TEXT($B406,"yymmdd")&amp;"-"&amp;TEXT(COUNTIFS($B$3:$B406,$B406),"000"))</f>
        <v/>
      </c>
      <c r="B406" s="13"/>
      <c r="C406" s="7"/>
      <c r="D406" s="12" t="str">
        <f aca="false">IF($C406="","",IFERROR(INDEX(고객명부!$B$3:$B$502,MATCH($C406,고객명부!$A$3:$A$502,0)),"미등록고객"))</f>
        <v/>
      </c>
      <c r="E406" s="12" t="str">
        <f aca="false">IF($C406="","",IFERROR(INDEX(고객명부!$C$3:$C$502,MATCH($C406,고객명부!$A$3:$A$502,0)),""))</f>
        <v/>
      </c>
      <c r="F406" s="12" t="str">
        <f aca="false">IF($C406="","",IFERROR(INDEX(고객명부!$D$3:$D$502,MATCH($C406,고객명부!$A$3:$A$502,0)),""))</f>
        <v/>
      </c>
      <c r="G406" s="12" t="str">
        <f aca="false">IF($C406="","",IFERROR(INDEX(고객명부!$E$3:$E$502,MATCH($C406,고객명부!$A$3:$A$502,0))&amp;" "&amp;INDEX(고객명부!$F$3:$F$502,MATCH($C406,고객명부!$A$3:$A$502,0)),""))</f>
        <v/>
      </c>
      <c r="H406" s="7"/>
      <c r="I406" s="12" t="str">
        <f aca="false">IF($H406="","",IFERROR(INDEX(상품목록!$B$3:$B$102,MATCH($H406,상품목록!$A$3:$A$102,0)),""))</f>
        <v/>
      </c>
      <c r="J406" s="14" t="str">
        <f aca="false">IF($H406="","",IFERROR(INDEX(상품목록!$C$3:$C$102,MATCH($H406,상품목록!$A$3:$A$102,0)),0))</f>
        <v/>
      </c>
      <c r="K406" s="7"/>
      <c r="L406" s="14" t="str">
        <f aca="false">IF(OR($J406="",$K406=""),"",ROUND($J406*$K406,0))</f>
        <v/>
      </c>
      <c r="M406" s="9"/>
      <c r="N406" s="14" t="str">
        <f aca="false">IF($L406="","",$L406+IF($M406="",0,$M406))</f>
        <v/>
      </c>
      <c r="O406" s="13"/>
      <c r="P406" s="7"/>
      <c r="Q406" s="12" t="str">
        <f aca="false">IF($C406="","",IF($P406&lt;&gt;"","발송완료",IF($O406&lt;&gt;"","입금완료","입금대기")))</f>
        <v/>
      </c>
      <c r="R406" s="12" t="str">
        <f aca="false">IF($C406="","",COUNTIFS($C$3:$C406,$C406))</f>
        <v/>
      </c>
      <c r="S406" s="12" t="str">
        <f aca="false">IF($C406="","",$C406&amp;"|"&amp;$R406)</f>
        <v/>
      </c>
    </row>
    <row r="407" customFormat="false" ht="15" hidden="false" customHeight="true" outlineLevel="0" collapsed="false">
      <c r="A407" s="12" t="str">
        <f aca="false">IF($C407="","",TEXT($B407,"yymmdd")&amp;"-"&amp;TEXT(COUNTIFS($B$3:$B407,$B407),"000"))</f>
        <v/>
      </c>
      <c r="B407" s="13"/>
      <c r="C407" s="7"/>
      <c r="D407" s="12" t="str">
        <f aca="false">IF($C407="","",IFERROR(INDEX(고객명부!$B$3:$B$502,MATCH($C407,고객명부!$A$3:$A$502,0)),"미등록고객"))</f>
        <v/>
      </c>
      <c r="E407" s="12" t="str">
        <f aca="false">IF($C407="","",IFERROR(INDEX(고객명부!$C$3:$C$502,MATCH($C407,고객명부!$A$3:$A$502,0)),""))</f>
        <v/>
      </c>
      <c r="F407" s="12" t="str">
        <f aca="false">IF($C407="","",IFERROR(INDEX(고객명부!$D$3:$D$502,MATCH($C407,고객명부!$A$3:$A$502,0)),""))</f>
        <v/>
      </c>
      <c r="G407" s="12" t="str">
        <f aca="false">IF($C407="","",IFERROR(INDEX(고객명부!$E$3:$E$502,MATCH($C407,고객명부!$A$3:$A$502,0))&amp;" "&amp;INDEX(고객명부!$F$3:$F$502,MATCH($C407,고객명부!$A$3:$A$502,0)),""))</f>
        <v/>
      </c>
      <c r="H407" s="7"/>
      <c r="I407" s="12" t="str">
        <f aca="false">IF($H407="","",IFERROR(INDEX(상품목록!$B$3:$B$102,MATCH($H407,상품목록!$A$3:$A$102,0)),""))</f>
        <v/>
      </c>
      <c r="J407" s="14" t="str">
        <f aca="false">IF($H407="","",IFERROR(INDEX(상품목록!$C$3:$C$102,MATCH($H407,상품목록!$A$3:$A$102,0)),0))</f>
        <v/>
      </c>
      <c r="K407" s="7"/>
      <c r="L407" s="14" t="str">
        <f aca="false">IF(OR($J407="",$K407=""),"",ROUND($J407*$K407,0))</f>
        <v/>
      </c>
      <c r="M407" s="9"/>
      <c r="N407" s="14" t="str">
        <f aca="false">IF($L407="","",$L407+IF($M407="",0,$M407))</f>
        <v/>
      </c>
      <c r="O407" s="13"/>
      <c r="P407" s="7"/>
      <c r="Q407" s="12" t="str">
        <f aca="false">IF($C407="","",IF($P407&lt;&gt;"","발송완료",IF($O407&lt;&gt;"","입금완료","입금대기")))</f>
        <v/>
      </c>
      <c r="R407" s="12" t="str">
        <f aca="false">IF($C407="","",COUNTIFS($C$3:$C407,$C407))</f>
        <v/>
      </c>
      <c r="S407" s="12" t="str">
        <f aca="false">IF($C407="","",$C407&amp;"|"&amp;$R407)</f>
        <v/>
      </c>
    </row>
    <row r="408" customFormat="false" ht="15" hidden="false" customHeight="true" outlineLevel="0" collapsed="false">
      <c r="A408" s="12" t="str">
        <f aca="false">IF($C408="","",TEXT($B408,"yymmdd")&amp;"-"&amp;TEXT(COUNTIFS($B$3:$B408,$B408),"000"))</f>
        <v/>
      </c>
      <c r="B408" s="13"/>
      <c r="C408" s="7"/>
      <c r="D408" s="12" t="str">
        <f aca="false">IF($C408="","",IFERROR(INDEX(고객명부!$B$3:$B$502,MATCH($C408,고객명부!$A$3:$A$502,0)),"미등록고객"))</f>
        <v/>
      </c>
      <c r="E408" s="12" t="str">
        <f aca="false">IF($C408="","",IFERROR(INDEX(고객명부!$C$3:$C$502,MATCH($C408,고객명부!$A$3:$A$502,0)),""))</f>
        <v/>
      </c>
      <c r="F408" s="12" t="str">
        <f aca="false">IF($C408="","",IFERROR(INDEX(고객명부!$D$3:$D$502,MATCH($C408,고객명부!$A$3:$A$502,0)),""))</f>
        <v/>
      </c>
      <c r="G408" s="12" t="str">
        <f aca="false">IF($C408="","",IFERROR(INDEX(고객명부!$E$3:$E$502,MATCH($C408,고객명부!$A$3:$A$502,0))&amp;" "&amp;INDEX(고객명부!$F$3:$F$502,MATCH($C408,고객명부!$A$3:$A$502,0)),""))</f>
        <v/>
      </c>
      <c r="H408" s="7"/>
      <c r="I408" s="12" t="str">
        <f aca="false">IF($H408="","",IFERROR(INDEX(상품목록!$B$3:$B$102,MATCH($H408,상품목록!$A$3:$A$102,0)),""))</f>
        <v/>
      </c>
      <c r="J408" s="14" t="str">
        <f aca="false">IF($H408="","",IFERROR(INDEX(상품목록!$C$3:$C$102,MATCH($H408,상품목록!$A$3:$A$102,0)),0))</f>
        <v/>
      </c>
      <c r="K408" s="7"/>
      <c r="L408" s="14" t="str">
        <f aca="false">IF(OR($J408="",$K408=""),"",ROUND($J408*$K408,0))</f>
        <v/>
      </c>
      <c r="M408" s="9"/>
      <c r="N408" s="14" t="str">
        <f aca="false">IF($L408="","",$L408+IF($M408="",0,$M408))</f>
        <v/>
      </c>
      <c r="O408" s="13"/>
      <c r="P408" s="7"/>
      <c r="Q408" s="12" t="str">
        <f aca="false">IF($C408="","",IF($P408&lt;&gt;"","발송완료",IF($O408&lt;&gt;"","입금완료","입금대기")))</f>
        <v/>
      </c>
      <c r="R408" s="12" t="str">
        <f aca="false">IF($C408="","",COUNTIFS($C$3:$C408,$C408))</f>
        <v/>
      </c>
      <c r="S408" s="12" t="str">
        <f aca="false">IF($C408="","",$C408&amp;"|"&amp;$R408)</f>
        <v/>
      </c>
    </row>
    <row r="409" customFormat="false" ht="15" hidden="false" customHeight="true" outlineLevel="0" collapsed="false">
      <c r="A409" s="12" t="str">
        <f aca="false">IF($C409="","",TEXT($B409,"yymmdd")&amp;"-"&amp;TEXT(COUNTIFS($B$3:$B409,$B409),"000"))</f>
        <v/>
      </c>
      <c r="B409" s="13"/>
      <c r="C409" s="7"/>
      <c r="D409" s="12" t="str">
        <f aca="false">IF($C409="","",IFERROR(INDEX(고객명부!$B$3:$B$502,MATCH($C409,고객명부!$A$3:$A$502,0)),"미등록고객"))</f>
        <v/>
      </c>
      <c r="E409" s="12" t="str">
        <f aca="false">IF($C409="","",IFERROR(INDEX(고객명부!$C$3:$C$502,MATCH($C409,고객명부!$A$3:$A$502,0)),""))</f>
        <v/>
      </c>
      <c r="F409" s="12" t="str">
        <f aca="false">IF($C409="","",IFERROR(INDEX(고객명부!$D$3:$D$502,MATCH($C409,고객명부!$A$3:$A$502,0)),""))</f>
        <v/>
      </c>
      <c r="G409" s="12" t="str">
        <f aca="false">IF($C409="","",IFERROR(INDEX(고객명부!$E$3:$E$502,MATCH($C409,고객명부!$A$3:$A$502,0))&amp;" "&amp;INDEX(고객명부!$F$3:$F$502,MATCH($C409,고객명부!$A$3:$A$502,0)),""))</f>
        <v/>
      </c>
      <c r="H409" s="7"/>
      <c r="I409" s="12" t="str">
        <f aca="false">IF($H409="","",IFERROR(INDEX(상품목록!$B$3:$B$102,MATCH($H409,상품목록!$A$3:$A$102,0)),""))</f>
        <v/>
      </c>
      <c r="J409" s="14" t="str">
        <f aca="false">IF($H409="","",IFERROR(INDEX(상품목록!$C$3:$C$102,MATCH($H409,상품목록!$A$3:$A$102,0)),0))</f>
        <v/>
      </c>
      <c r="K409" s="7"/>
      <c r="L409" s="14" t="str">
        <f aca="false">IF(OR($J409="",$K409=""),"",ROUND($J409*$K409,0))</f>
        <v/>
      </c>
      <c r="M409" s="9"/>
      <c r="N409" s="14" t="str">
        <f aca="false">IF($L409="","",$L409+IF($M409="",0,$M409))</f>
        <v/>
      </c>
      <c r="O409" s="13"/>
      <c r="P409" s="7"/>
      <c r="Q409" s="12" t="str">
        <f aca="false">IF($C409="","",IF($P409&lt;&gt;"","발송완료",IF($O409&lt;&gt;"","입금완료","입금대기")))</f>
        <v/>
      </c>
      <c r="R409" s="12" t="str">
        <f aca="false">IF($C409="","",COUNTIFS($C$3:$C409,$C409))</f>
        <v/>
      </c>
      <c r="S409" s="12" t="str">
        <f aca="false">IF($C409="","",$C409&amp;"|"&amp;$R409)</f>
        <v/>
      </c>
    </row>
    <row r="410" customFormat="false" ht="15" hidden="false" customHeight="true" outlineLevel="0" collapsed="false">
      <c r="A410" s="12" t="str">
        <f aca="false">IF($C410="","",TEXT($B410,"yymmdd")&amp;"-"&amp;TEXT(COUNTIFS($B$3:$B410,$B410),"000"))</f>
        <v/>
      </c>
      <c r="B410" s="13"/>
      <c r="C410" s="7"/>
      <c r="D410" s="12" t="str">
        <f aca="false">IF($C410="","",IFERROR(INDEX(고객명부!$B$3:$B$502,MATCH($C410,고객명부!$A$3:$A$502,0)),"미등록고객"))</f>
        <v/>
      </c>
      <c r="E410" s="12" t="str">
        <f aca="false">IF($C410="","",IFERROR(INDEX(고객명부!$C$3:$C$502,MATCH($C410,고객명부!$A$3:$A$502,0)),""))</f>
        <v/>
      </c>
      <c r="F410" s="12" t="str">
        <f aca="false">IF($C410="","",IFERROR(INDEX(고객명부!$D$3:$D$502,MATCH($C410,고객명부!$A$3:$A$502,0)),""))</f>
        <v/>
      </c>
      <c r="G410" s="12" t="str">
        <f aca="false">IF($C410="","",IFERROR(INDEX(고객명부!$E$3:$E$502,MATCH($C410,고객명부!$A$3:$A$502,0))&amp;" "&amp;INDEX(고객명부!$F$3:$F$502,MATCH($C410,고객명부!$A$3:$A$502,0)),""))</f>
        <v/>
      </c>
      <c r="H410" s="7"/>
      <c r="I410" s="12" t="str">
        <f aca="false">IF($H410="","",IFERROR(INDEX(상품목록!$B$3:$B$102,MATCH($H410,상품목록!$A$3:$A$102,0)),""))</f>
        <v/>
      </c>
      <c r="J410" s="14" t="str">
        <f aca="false">IF($H410="","",IFERROR(INDEX(상품목록!$C$3:$C$102,MATCH($H410,상품목록!$A$3:$A$102,0)),0))</f>
        <v/>
      </c>
      <c r="K410" s="7"/>
      <c r="L410" s="14" t="str">
        <f aca="false">IF(OR($J410="",$K410=""),"",ROUND($J410*$K410,0))</f>
        <v/>
      </c>
      <c r="M410" s="9"/>
      <c r="N410" s="14" t="str">
        <f aca="false">IF($L410="","",$L410+IF($M410="",0,$M410))</f>
        <v/>
      </c>
      <c r="O410" s="13"/>
      <c r="P410" s="7"/>
      <c r="Q410" s="12" t="str">
        <f aca="false">IF($C410="","",IF($P410&lt;&gt;"","발송완료",IF($O410&lt;&gt;"","입금완료","입금대기")))</f>
        <v/>
      </c>
      <c r="R410" s="12" t="str">
        <f aca="false">IF($C410="","",COUNTIFS($C$3:$C410,$C410))</f>
        <v/>
      </c>
      <c r="S410" s="12" t="str">
        <f aca="false">IF($C410="","",$C410&amp;"|"&amp;$R410)</f>
        <v/>
      </c>
    </row>
    <row r="411" customFormat="false" ht="15" hidden="false" customHeight="true" outlineLevel="0" collapsed="false">
      <c r="A411" s="12" t="str">
        <f aca="false">IF($C411="","",TEXT($B411,"yymmdd")&amp;"-"&amp;TEXT(COUNTIFS($B$3:$B411,$B411),"000"))</f>
        <v/>
      </c>
      <c r="B411" s="13"/>
      <c r="C411" s="7"/>
      <c r="D411" s="12" t="str">
        <f aca="false">IF($C411="","",IFERROR(INDEX(고객명부!$B$3:$B$502,MATCH($C411,고객명부!$A$3:$A$502,0)),"미등록고객"))</f>
        <v/>
      </c>
      <c r="E411" s="12" t="str">
        <f aca="false">IF($C411="","",IFERROR(INDEX(고객명부!$C$3:$C$502,MATCH($C411,고객명부!$A$3:$A$502,0)),""))</f>
        <v/>
      </c>
      <c r="F411" s="12" t="str">
        <f aca="false">IF($C411="","",IFERROR(INDEX(고객명부!$D$3:$D$502,MATCH($C411,고객명부!$A$3:$A$502,0)),""))</f>
        <v/>
      </c>
      <c r="G411" s="12" t="str">
        <f aca="false">IF($C411="","",IFERROR(INDEX(고객명부!$E$3:$E$502,MATCH($C411,고객명부!$A$3:$A$502,0))&amp;" "&amp;INDEX(고객명부!$F$3:$F$502,MATCH($C411,고객명부!$A$3:$A$502,0)),""))</f>
        <v/>
      </c>
      <c r="H411" s="7"/>
      <c r="I411" s="12" t="str">
        <f aca="false">IF($H411="","",IFERROR(INDEX(상품목록!$B$3:$B$102,MATCH($H411,상품목록!$A$3:$A$102,0)),""))</f>
        <v/>
      </c>
      <c r="J411" s="14" t="str">
        <f aca="false">IF($H411="","",IFERROR(INDEX(상품목록!$C$3:$C$102,MATCH($H411,상품목록!$A$3:$A$102,0)),0))</f>
        <v/>
      </c>
      <c r="K411" s="7"/>
      <c r="L411" s="14" t="str">
        <f aca="false">IF(OR($J411="",$K411=""),"",ROUND($J411*$K411,0))</f>
        <v/>
      </c>
      <c r="M411" s="9"/>
      <c r="N411" s="14" t="str">
        <f aca="false">IF($L411="","",$L411+IF($M411="",0,$M411))</f>
        <v/>
      </c>
      <c r="O411" s="13"/>
      <c r="P411" s="7"/>
      <c r="Q411" s="12" t="str">
        <f aca="false">IF($C411="","",IF($P411&lt;&gt;"","발송완료",IF($O411&lt;&gt;"","입금완료","입금대기")))</f>
        <v/>
      </c>
      <c r="R411" s="12" t="str">
        <f aca="false">IF($C411="","",COUNTIFS($C$3:$C411,$C411))</f>
        <v/>
      </c>
      <c r="S411" s="12" t="str">
        <f aca="false">IF($C411="","",$C411&amp;"|"&amp;$R411)</f>
        <v/>
      </c>
    </row>
    <row r="412" customFormat="false" ht="15" hidden="false" customHeight="true" outlineLevel="0" collapsed="false">
      <c r="A412" s="12" t="str">
        <f aca="false">IF($C412="","",TEXT($B412,"yymmdd")&amp;"-"&amp;TEXT(COUNTIFS($B$3:$B412,$B412),"000"))</f>
        <v/>
      </c>
      <c r="B412" s="13"/>
      <c r="C412" s="7"/>
      <c r="D412" s="12" t="str">
        <f aca="false">IF($C412="","",IFERROR(INDEX(고객명부!$B$3:$B$502,MATCH($C412,고객명부!$A$3:$A$502,0)),"미등록고객"))</f>
        <v/>
      </c>
      <c r="E412" s="12" t="str">
        <f aca="false">IF($C412="","",IFERROR(INDEX(고객명부!$C$3:$C$502,MATCH($C412,고객명부!$A$3:$A$502,0)),""))</f>
        <v/>
      </c>
      <c r="F412" s="12" t="str">
        <f aca="false">IF($C412="","",IFERROR(INDEX(고객명부!$D$3:$D$502,MATCH($C412,고객명부!$A$3:$A$502,0)),""))</f>
        <v/>
      </c>
      <c r="G412" s="12" t="str">
        <f aca="false">IF($C412="","",IFERROR(INDEX(고객명부!$E$3:$E$502,MATCH($C412,고객명부!$A$3:$A$502,0))&amp;" "&amp;INDEX(고객명부!$F$3:$F$502,MATCH($C412,고객명부!$A$3:$A$502,0)),""))</f>
        <v/>
      </c>
      <c r="H412" s="7"/>
      <c r="I412" s="12" t="str">
        <f aca="false">IF($H412="","",IFERROR(INDEX(상품목록!$B$3:$B$102,MATCH($H412,상품목록!$A$3:$A$102,0)),""))</f>
        <v/>
      </c>
      <c r="J412" s="14" t="str">
        <f aca="false">IF($H412="","",IFERROR(INDEX(상품목록!$C$3:$C$102,MATCH($H412,상품목록!$A$3:$A$102,0)),0))</f>
        <v/>
      </c>
      <c r="K412" s="7"/>
      <c r="L412" s="14" t="str">
        <f aca="false">IF(OR($J412="",$K412=""),"",ROUND($J412*$K412,0))</f>
        <v/>
      </c>
      <c r="M412" s="9"/>
      <c r="N412" s="14" t="str">
        <f aca="false">IF($L412="","",$L412+IF($M412="",0,$M412))</f>
        <v/>
      </c>
      <c r="O412" s="13"/>
      <c r="P412" s="7"/>
      <c r="Q412" s="12" t="str">
        <f aca="false">IF($C412="","",IF($P412&lt;&gt;"","발송완료",IF($O412&lt;&gt;"","입금완료","입금대기")))</f>
        <v/>
      </c>
      <c r="R412" s="12" t="str">
        <f aca="false">IF($C412="","",COUNTIFS($C$3:$C412,$C412))</f>
        <v/>
      </c>
      <c r="S412" s="12" t="str">
        <f aca="false">IF($C412="","",$C412&amp;"|"&amp;$R412)</f>
        <v/>
      </c>
    </row>
    <row r="413" customFormat="false" ht="15" hidden="false" customHeight="true" outlineLevel="0" collapsed="false">
      <c r="A413" s="12" t="str">
        <f aca="false">IF($C413="","",TEXT($B413,"yymmdd")&amp;"-"&amp;TEXT(COUNTIFS($B$3:$B413,$B413),"000"))</f>
        <v/>
      </c>
      <c r="B413" s="13"/>
      <c r="C413" s="7"/>
      <c r="D413" s="12" t="str">
        <f aca="false">IF($C413="","",IFERROR(INDEX(고객명부!$B$3:$B$502,MATCH($C413,고객명부!$A$3:$A$502,0)),"미등록고객"))</f>
        <v/>
      </c>
      <c r="E413" s="12" t="str">
        <f aca="false">IF($C413="","",IFERROR(INDEX(고객명부!$C$3:$C$502,MATCH($C413,고객명부!$A$3:$A$502,0)),""))</f>
        <v/>
      </c>
      <c r="F413" s="12" t="str">
        <f aca="false">IF($C413="","",IFERROR(INDEX(고객명부!$D$3:$D$502,MATCH($C413,고객명부!$A$3:$A$502,0)),""))</f>
        <v/>
      </c>
      <c r="G413" s="12" t="str">
        <f aca="false">IF($C413="","",IFERROR(INDEX(고객명부!$E$3:$E$502,MATCH($C413,고객명부!$A$3:$A$502,0))&amp;" "&amp;INDEX(고객명부!$F$3:$F$502,MATCH($C413,고객명부!$A$3:$A$502,0)),""))</f>
        <v/>
      </c>
      <c r="H413" s="7"/>
      <c r="I413" s="12" t="str">
        <f aca="false">IF($H413="","",IFERROR(INDEX(상품목록!$B$3:$B$102,MATCH($H413,상품목록!$A$3:$A$102,0)),""))</f>
        <v/>
      </c>
      <c r="J413" s="14" t="str">
        <f aca="false">IF($H413="","",IFERROR(INDEX(상품목록!$C$3:$C$102,MATCH($H413,상품목록!$A$3:$A$102,0)),0))</f>
        <v/>
      </c>
      <c r="K413" s="7"/>
      <c r="L413" s="14" t="str">
        <f aca="false">IF(OR($J413="",$K413=""),"",ROUND($J413*$K413,0))</f>
        <v/>
      </c>
      <c r="M413" s="9"/>
      <c r="N413" s="14" t="str">
        <f aca="false">IF($L413="","",$L413+IF($M413="",0,$M413))</f>
        <v/>
      </c>
      <c r="O413" s="13"/>
      <c r="P413" s="7"/>
      <c r="Q413" s="12" t="str">
        <f aca="false">IF($C413="","",IF($P413&lt;&gt;"","발송완료",IF($O413&lt;&gt;"","입금완료","입금대기")))</f>
        <v/>
      </c>
      <c r="R413" s="12" t="str">
        <f aca="false">IF($C413="","",COUNTIFS($C$3:$C413,$C413))</f>
        <v/>
      </c>
      <c r="S413" s="12" t="str">
        <f aca="false">IF($C413="","",$C413&amp;"|"&amp;$R413)</f>
        <v/>
      </c>
    </row>
    <row r="414" customFormat="false" ht="15" hidden="false" customHeight="true" outlineLevel="0" collapsed="false">
      <c r="A414" s="12" t="str">
        <f aca="false">IF($C414="","",TEXT($B414,"yymmdd")&amp;"-"&amp;TEXT(COUNTIFS($B$3:$B414,$B414),"000"))</f>
        <v/>
      </c>
      <c r="B414" s="13"/>
      <c r="C414" s="7"/>
      <c r="D414" s="12" t="str">
        <f aca="false">IF($C414="","",IFERROR(INDEX(고객명부!$B$3:$B$502,MATCH($C414,고객명부!$A$3:$A$502,0)),"미등록고객"))</f>
        <v/>
      </c>
      <c r="E414" s="12" t="str">
        <f aca="false">IF($C414="","",IFERROR(INDEX(고객명부!$C$3:$C$502,MATCH($C414,고객명부!$A$3:$A$502,0)),""))</f>
        <v/>
      </c>
      <c r="F414" s="12" t="str">
        <f aca="false">IF($C414="","",IFERROR(INDEX(고객명부!$D$3:$D$502,MATCH($C414,고객명부!$A$3:$A$502,0)),""))</f>
        <v/>
      </c>
      <c r="G414" s="12" t="str">
        <f aca="false">IF($C414="","",IFERROR(INDEX(고객명부!$E$3:$E$502,MATCH($C414,고객명부!$A$3:$A$502,0))&amp;" "&amp;INDEX(고객명부!$F$3:$F$502,MATCH($C414,고객명부!$A$3:$A$502,0)),""))</f>
        <v/>
      </c>
      <c r="H414" s="7"/>
      <c r="I414" s="12" t="str">
        <f aca="false">IF($H414="","",IFERROR(INDEX(상품목록!$B$3:$B$102,MATCH($H414,상품목록!$A$3:$A$102,0)),""))</f>
        <v/>
      </c>
      <c r="J414" s="14" t="str">
        <f aca="false">IF($H414="","",IFERROR(INDEX(상품목록!$C$3:$C$102,MATCH($H414,상품목록!$A$3:$A$102,0)),0))</f>
        <v/>
      </c>
      <c r="K414" s="7"/>
      <c r="L414" s="14" t="str">
        <f aca="false">IF(OR($J414="",$K414=""),"",ROUND($J414*$K414,0))</f>
        <v/>
      </c>
      <c r="M414" s="9"/>
      <c r="N414" s="14" t="str">
        <f aca="false">IF($L414="","",$L414+IF($M414="",0,$M414))</f>
        <v/>
      </c>
      <c r="O414" s="13"/>
      <c r="P414" s="7"/>
      <c r="Q414" s="12" t="str">
        <f aca="false">IF($C414="","",IF($P414&lt;&gt;"","발송완료",IF($O414&lt;&gt;"","입금완료","입금대기")))</f>
        <v/>
      </c>
      <c r="R414" s="12" t="str">
        <f aca="false">IF($C414="","",COUNTIFS($C$3:$C414,$C414))</f>
        <v/>
      </c>
      <c r="S414" s="12" t="str">
        <f aca="false">IF($C414="","",$C414&amp;"|"&amp;$R414)</f>
        <v/>
      </c>
    </row>
    <row r="415" customFormat="false" ht="15" hidden="false" customHeight="true" outlineLevel="0" collapsed="false">
      <c r="A415" s="12" t="str">
        <f aca="false">IF($C415="","",TEXT($B415,"yymmdd")&amp;"-"&amp;TEXT(COUNTIFS($B$3:$B415,$B415),"000"))</f>
        <v/>
      </c>
      <c r="B415" s="13"/>
      <c r="C415" s="7"/>
      <c r="D415" s="12" t="str">
        <f aca="false">IF($C415="","",IFERROR(INDEX(고객명부!$B$3:$B$502,MATCH($C415,고객명부!$A$3:$A$502,0)),"미등록고객"))</f>
        <v/>
      </c>
      <c r="E415" s="12" t="str">
        <f aca="false">IF($C415="","",IFERROR(INDEX(고객명부!$C$3:$C$502,MATCH($C415,고객명부!$A$3:$A$502,0)),""))</f>
        <v/>
      </c>
      <c r="F415" s="12" t="str">
        <f aca="false">IF($C415="","",IFERROR(INDEX(고객명부!$D$3:$D$502,MATCH($C415,고객명부!$A$3:$A$502,0)),""))</f>
        <v/>
      </c>
      <c r="G415" s="12" t="str">
        <f aca="false">IF($C415="","",IFERROR(INDEX(고객명부!$E$3:$E$502,MATCH($C415,고객명부!$A$3:$A$502,0))&amp;" "&amp;INDEX(고객명부!$F$3:$F$502,MATCH($C415,고객명부!$A$3:$A$502,0)),""))</f>
        <v/>
      </c>
      <c r="H415" s="7"/>
      <c r="I415" s="12" t="str">
        <f aca="false">IF($H415="","",IFERROR(INDEX(상품목록!$B$3:$B$102,MATCH($H415,상품목록!$A$3:$A$102,0)),""))</f>
        <v/>
      </c>
      <c r="J415" s="14" t="str">
        <f aca="false">IF($H415="","",IFERROR(INDEX(상품목록!$C$3:$C$102,MATCH($H415,상품목록!$A$3:$A$102,0)),0))</f>
        <v/>
      </c>
      <c r="K415" s="7"/>
      <c r="L415" s="14" t="str">
        <f aca="false">IF(OR($J415="",$K415=""),"",ROUND($J415*$K415,0))</f>
        <v/>
      </c>
      <c r="M415" s="9"/>
      <c r="N415" s="14" t="str">
        <f aca="false">IF($L415="","",$L415+IF($M415="",0,$M415))</f>
        <v/>
      </c>
      <c r="O415" s="13"/>
      <c r="P415" s="7"/>
      <c r="Q415" s="12" t="str">
        <f aca="false">IF($C415="","",IF($P415&lt;&gt;"","발송완료",IF($O415&lt;&gt;"","입금완료","입금대기")))</f>
        <v/>
      </c>
      <c r="R415" s="12" t="str">
        <f aca="false">IF($C415="","",COUNTIFS($C$3:$C415,$C415))</f>
        <v/>
      </c>
      <c r="S415" s="12" t="str">
        <f aca="false">IF($C415="","",$C415&amp;"|"&amp;$R415)</f>
        <v/>
      </c>
    </row>
    <row r="416" customFormat="false" ht="15" hidden="false" customHeight="true" outlineLevel="0" collapsed="false">
      <c r="A416" s="12" t="str">
        <f aca="false">IF($C416="","",TEXT($B416,"yymmdd")&amp;"-"&amp;TEXT(COUNTIFS($B$3:$B416,$B416),"000"))</f>
        <v/>
      </c>
      <c r="B416" s="13"/>
      <c r="C416" s="7"/>
      <c r="D416" s="12" t="str">
        <f aca="false">IF($C416="","",IFERROR(INDEX(고객명부!$B$3:$B$502,MATCH($C416,고객명부!$A$3:$A$502,0)),"미등록고객"))</f>
        <v/>
      </c>
      <c r="E416" s="12" t="str">
        <f aca="false">IF($C416="","",IFERROR(INDEX(고객명부!$C$3:$C$502,MATCH($C416,고객명부!$A$3:$A$502,0)),""))</f>
        <v/>
      </c>
      <c r="F416" s="12" t="str">
        <f aca="false">IF($C416="","",IFERROR(INDEX(고객명부!$D$3:$D$502,MATCH($C416,고객명부!$A$3:$A$502,0)),""))</f>
        <v/>
      </c>
      <c r="G416" s="12" t="str">
        <f aca="false">IF($C416="","",IFERROR(INDEX(고객명부!$E$3:$E$502,MATCH($C416,고객명부!$A$3:$A$502,0))&amp;" "&amp;INDEX(고객명부!$F$3:$F$502,MATCH($C416,고객명부!$A$3:$A$502,0)),""))</f>
        <v/>
      </c>
      <c r="H416" s="7"/>
      <c r="I416" s="12" t="str">
        <f aca="false">IF($H416="","",IFERROR(INDEX(상품목록!$B$3:$B$102,MATCH($H416,상품목록!$A$3:$A$102,0)),""))</f>
        <v/>
      </c>
      <c r="J416" s="14" t="str">
        <f aca="false">IF($H416="","",IFERROR(INDEX(상품목록!$C$3:$C$102,MATCH($H416,상품목록!$A$3:$A$102,0)),0))</f>
        <v/>
      </c>
      <c r="K416" s="7"/>
      <c r="L416" s="14" t="str">
        <f aca="false">IF(OR($J416="",$K416=""),"",ROUND($J416*$K416,0))</f>
        <v/>
      </c>
      <c r="M416" s="9"/>
      <c r="N416" s="14" t="str">
        <f aca="false">IF($L416="","",$L416+IF($M416="",0,$M416))</f>
        <v/>
      </c>
      <c r="O416" s="13"/>
      <c r="P416" s="7"/>
      <c r="Q416" s="12" t="str">
        <f aca="false">IF($C416="","",IF($P416&lt;&gt;"","발송완료",IF($O416&lt;&gt;"","입금완료","입금대기")))</f>
        <v/>
      </c>
      <c r="R416" s="12" t="str">
        <f aca="false">IF($C416="","",COUNTIFS($C$3:$C416,$C416))</f>
        <v/>
      </c>
      <c r="S416" s="12" t="str">
        <f aca="false">IF($C416="","",$C416&amp;"|"&amp;$R416)</f>
        <v/>
      </c>
    </row>
    <row r="417" customFormat="false" ht="15" hidden="false" customHeight="true" outlineLevel="0" collapsed="false">
      <c r="A417" s="12" t="str">
        <f aca="false">IF($C417="","",TEXT($B417,"yymmdd")&amp;"-"&amp;TEXT(COUNTIFS($B$3:$B417,$B417),"000"))</f>
        <v/>
      </c>
      <c r="B417" s="13"/>
      <c r="C417" s="7"/>
      <c r="D417" s="12" t="str">
        <f aca="false">IF($C417="","",IFERROR(INDEX(고객명부!$B$3:$B$502,MATCH($C417,고객명부!$A$3:$A$502,0)),"미등록고객"))</f>
        <v/>
      </c>
      <c r="E417" s="12" t="str">
        <f aca="false">IF($C417="","",IFERROR(INDEX(고객명부!$C$3:$C$502,MATCH($C417,고객명부!$A$3:$A$502,0)),""))</f>
        <v/>
      </c>
      <c r="F417" s="12" t="str">
        <f aca="false">IF($C417="","",IFERROR(INDEX(고객명부!$D$3:$D$502,MATCH($C417,고객명부!$A$3:$A$502,0)),""))</f>
        <v/>
      </c>
      <c r="G417" s="12" t="str">
        <f aca="false">IF($C417="","",IFERROR(INDEX(고객명부!$E$3:$E$502,MATCH($C417,고객명부!$A$3:$A$502,0))&amp;" "&amp;INDEX(고객명부!$F$3:$F$502,MATCH($C417,고객명부!$A$3:$A$502,0)),""))</f>
        <v/>
      </c>
      <c r="H417" s="7"/>
      <c r="I417" s="12" t="str">
        <f aca="false">IF($H417="","",IFERROR(INDEX(상품목록!$B$3:$B$102,MATCH($H417,상품목록!$A$3:$A$102,0)),""))</f>
        <v/>
      </c>
      <c r="J417" s="14" t="str">
        <f aca="false">IF($H417="","",IFERROR(INDEX(상품목록!$C$3:$C$102,MATCH($H417,상품목록!$A$3:$A$102,0)),0))</f>
        <v/>
      </c>
      <c r="K417" s="7"/>
      <c r="L417" s="14" t="str">
        <f aca="false">IF(OR($J417="",$K417=""),"",ROUND($J417*$K417,0))</f>
        <v/>
      </c>
      <c r="M417" s="9"/>
      <c r="N417" s="14" t="str">
        <f aca="false">IF($L417="","",$L417+IF($M417="",0,$M417))</f>
        <v/>
      </c>
      <c r="O417" s="13"/>
      <c r="P417" s="7"/>
      <c r="Q417" s="12" t="str">
        <f aca="false">IF($C417="","",IF($P417&lt;&gt;"","발송완료",IF($O417&lt;&gt;"","입금완료","입금대기")))</f>
        <v/>
      </c>
      <c r="R417" s="12" t="str">
        <f aca="false">IF($C417="","",COUNTIFS($C$3:$C417,$C417))</f>
        <v/>
      </c>
      <c r="S417" s="12" t="str">
        <f aca="false">IF($C417="","",$C417&amp;"|"&amp;$R417)</f>
        <v/>
      </c>
    </row>
    <row r="418" customFormat="false" ht="15" hidden="false" customHeight="true" outlineLevel="0" collapsed="false">
      <c r="A418" s="12" t="str">
        <f aca="false">IF($C418="","",TEXT($B418,"yymmdd")&amp;"-"&amp;TEXT(COUNTIFS($B$3:$B418,$B418),"000"))</f>
        <v/>
      </c>
      <c r="B418" s="13"/>
      <c r="C418" s="7"/>
      <c r="D418" s="12" t="str">
        <f aca="false">IF($C418="","",IFERROR(INDEX(고객명부!$B$3:$B$502,MATCH($C418,고객명부!$A$3:$A$502,0)),"미등록고객"))</f>
        <v/>
      </c>
      <c r="E418" s="12" t="str">
        <f aca="false">IF($C418="","",IFERROR(INDEX(고객명부!$C$3:$C$502,MATCH($C418,고객명부!$A$3:$A$502,0)),""))</f>
        <v/>
      </c>
      <c r="F418" s="12" t="str">
        <f aca="false">IF($C418="","",IFERROR(INDEX(고객명부!$D$3:$D$502,MATCH($C418,고객명부!$A$3:$A$502,0)),""))</f>
        <v/>
      </c>
      <c r="G418" s="12" t="str">
        <f aca="false">IF($C418="","",IFERROR(INDEX(고객명부!$E$3:$E$502,MATCH($C418,고객명부!$A$3:$A$502,0))&amp;" "&amp;INDEX(고객명부!$F$3:$F$502,MATCH($C418,고객명부!$A$3:$A$502,0)),""))</f>
        <v/>
      </c>
      <c r="H418" s="7"/>
      <c r="I418" s="12" t="str">
        <f aca="false">IF($H418="","",IFERROR(INDEX(상품목록!$B$3:$B$102,MATCH($H418,상품목록!$A$3:$A$102,0)),""))</f>
        <v/>
      </c>
      <c r="J418" s="14" t="str">
        <f aca="false">IF($H418="","",IFERROR(INDEX(상품목록!$C$3:$C$102,MATCH($H418,상품목록!$A$3:$A$102,0)),0))</f>
        <v/>
      </c>
      <c r="K418" s="7"/>
      <c r="L418" s="14" t="str">
        <f aca="false">IF(OR($J418="",$K418=""),"",ROUND($J418*$K418,0))</f>
        <v/>
      </c>
      <c r="M418" s="9"/>
      <c r="N418" s="14" t="str">
        <f aca="false">IF($L418="","",$L418+IF($M418="",0,$M418))</f>
        <v/>
      </c>
      <c r="O418" s="13"/>
      <c r="P418" s="7"/>
      <c r="Q418" s="12" t="str">
        <f aca="false">IF($C418="","",IF($P418&lt;&gt;"","발송완료",IF($O418&lt;&gt;"","입금완료","입금대기")))</f>
        <v/>
      </c>
      <c r="R418" s="12" t="str">
        <f aca="false">IF($C418="","",COUNTIFS($C$3:$C418,$C418))</f>
        <v/>
      </c>
      <c r="S418" s="12" t="str">
        <f aca="false">IF($C418="","",$C418&amp;"|"&amp;$R418)</f>
        <v/>
      </c>
    </row>
    <row r="419" customFormat="false" ht="15" hidden="false" customHeight="true" outlineLevel="0" collapsed="false">
      <c r="A419" s="12" t="str">
        <f aca="false">IF($C419="","",TEXT($B419,"yymmdd")&amp;"-"&amp;TEXT(COUNTIFS($B$3:$B419,$B419),"000"))</f>
        <v/>
      </c>
      <c r="B419" s="13"/>
      <c r="C419" s="7"/>
      <c r="D419" s="12" t="str">
        <f aca="false">IF($C419="","",IFERROR(INDEX(고객명부!$B$3:$B$502,MATCH($C419,고객명부!$A$3:$A$502,0)),"미등록고객"))</f>
        <v/>
      </c>
      <c r="E419" s="12" t="str">
        <f aca="false">IF($C419="","",IFERROR(INDEX(고객명부!$C$3:$C$502,MATCH($C419,고객명부!$A$3:$A$502,0)),""))</f>
        <v/>
      </c>
      <c r="F419" s="12" t="str">
        <f aca="false">IF($C419="","",IFERROR(INDEX(고객명부!$D$3:$D$502,MATCH($C419,고객명부!$A$3:$A$502,0)),""))</f>
        <v/>
      </c>
      <c r="G419" s="12" t="str">
        <f aca="false">IF($C419="","",IFERROR(INDEX(고객명부!$E$3:$E$502,MATCH($C419,고객명부!$A$3:$A$502,0))&amp;" "&amp;INDEX(고객명부!$F$3:$F$502,MATCH($C419,고객명부!$A$3:$A$502,0)),""))</f>
        <v/>
      </c>
      <c r="H419" s="7"/>
      <c r="I419" s="12" t="str">
        <f aca="false">IF($H419="","",IFERROR(INDEX(상품목록!$B$3:$B$102,MATCH($H419,상품목록!$A$3:$A$102,0)),""))</f>
        <v/>
      </c>
      <c r="J419" s="14" t="str">
        <f aca="false">IF($H419="","",IFERROR(INDEX(상품목록!$C$3:$C$102,MATCH($H419,상품목록!$A$3:$A$102,0)),0))</f>
        <v/>
      </c>
      <c r="K419" s="7"/>
      <c r="L419" s="14" t="str">
        <f aca="false">IF(OR($J419="",$K419=""),"",ROUND($J419*$K419,0))</f>
        <v/>
      </c>
      <c r="M419" s="9"/>
      <c r="N419" s="14" t="str">
        <f aca="false">IF($L419="","",$L419+IF($M419="",0,$M419))</f>
        <v/>
      </c>
      <c r="O419" s="13"/>
      <c r="P419" s="7"/>
      <c r="Q419" s="12" t="str">
        <f aca="false">IF($C419="","",IF($P419&lt;&gt;"","발송완료",IF($O419&lt;&gt;"","입금완료","입금대기")))</f>
        <v/>
      </c>
      <c r="R419" s="12" t="str">
        <f aca="false">IF($C419="","",COUNTIFS($C$3:$C419,$C419))</f>
        <v/>
      </c>
      <c r="S419" s="12" t="str">
        <f aca="false">IF($C419="","",$C419&amp;"|"&amp;$R419)</f>
        <v/>
      </c>
    </row>
    <row r="420" customFormat="false" ht="15" hidden="false" customHeight="true" outlineLevel="0" collapsed="false">
      <c r="A420" s="12" t="str">
        <f aca="false">IF($C420="","",TEXT($B420,"yymmdd")&amp;"-"&amp;TEXT(COUNTIFS($B$3:$B420,$B420),"000"))</f>
        <v/>
      </c>
      <c r="B420" s="13"/>
      <c r="C420" s="7"/>
      <c r="D420" s="12" t="str">
        <f aca="false">IF($C420="","",IFERROR(INDEX(고객명부!$B$3:$B$502,MATCH($C420,고객명부!$A$3:$A$502,0)),"미등록고객"))</f>
        <v/>
      </c>
      <c r="E420" s="12" t="str">
        <f aca="false">IF($C420="","",IFERROR(INDEX(고객명부!$C$3:$C$502,MATCH($C420,고객명부!$A$3:$A$502,0)),""))</f>
        <v/>
      </c>
      <c r="F420" s="12" t="str">
        <f aca="false">IF($C420="","",IFERROR(INDEX(고객명부!$D$3:$D$502,MATCH($C420,고객명부!$A$3:$A$502,0)),""))</f>
        <v/>
      </c>
      <c r="G420" s="12" t="str">
        <f aca="false">IF($C420="","",IFERROR(INDEX(고객명부!$E$3:$E$502,MATCH($C420,고객명부!$A$3:$A$502,0))&amp;" "&amp;INDEX(고객명부!$F$3:$F$502,MATCH($C420,고객명부!$A$3:$A$502,0)),""))</f>
        <v/>
      </c>
      <c r="H420" s="7"/>
      <c r="I420" s="12" t="str">
        <f aca="false">IF($H420="","",IFERROR(INDEX(상품목록!$B$3:$B$102,MATCH($H420,상품목록!$A$3:$A$102,0)),""))</f>
        <v/>
      </c>
      <c r="J420" s="14" t="str">
        <f aca="false">IF($H420="","",IFERROR(INDEX(상품목록!$C$3:$C$102,MATCH($H420,상품목록!$A$3:$A$102,0)),0))</f>
        <v/>
      </c>
      <c r="K420" s="7"/>
      <c r="L420" s="14" t="str">
        <f aca="false">IF(OR($J420="",$K420=""),"",ROUND($J420*$K420,0))</f>
        <v/>
      </c>
      <c r="M420" s="9"/>
      <c r="N420" s="14" t="str">
        <f aca="false">IF($L420="","",$L420+IF($M420="",0,$M420))</f>
        <v/>
      </c>
      <c r="O420" s="13"/>
      <c r="P420" s="7"/>
      <c r="Q420" s="12" t="str">
        <f aca="false">IF($C420="","",IF($P420&lt;&gt;"","발송완료",IF($O420&lt;&gt;"","입금완료","입금대기")))</f>
        <v/>
      </c>
      <c r="R420" s="12" t="str">
        <f aca="false">IF($C420="","",COUNTIFS($C$3:$C420,$C420))</f>
        <v/>
      </c>
      <c r="S420" s="12" t="str">
        <f aca="false">IF($C420="","",$C420&amp;"|"&amp;$R420)</f>
        <v/>
      </c>
    </row>
    <row r="421" customFormat="false" ht="15" hidden="false" customHeight="true" outlineLevel="0" collapsed="false">
      <c r="A421" s="12" t="str">
        <f aca="false">IF($C421="","",TEXT($B421,"yymmdd")&amp;"-"&amp;TEXT(COUNTIFS($B$3:$B421,$B421),"000"))</f>
        <v/>
      </c>
      <c r="B421" s="13"/>
      <c r="C421" s="7"/>
      <c r="D421" s="12" t="str">
        <f aca="false">IF($C421="","",IFERROR(INDEX(고객명부!$B$3:$B$502,MATCH($C421,고객명부!$A$3:$A$502,0)),"미등록고객"))</f>
        <v/>
      </c>
      <c r="E421" s="12" t="str">
        <f aca="false">IF($C421="","",IFERROR(INDEX(고객명부!$C$3:$C$502,MATCH($C421,고객명부!$A$3:$A$502,0)),""))</f>
        <v/>
      </c>
      <c r="F421" s="12" t="str">
        <f aca="false">IF($C421="","",IFERROR(INDEX(고객명부!$D$3:$D$502,MATCH($C421,고객명부!$A$3:$A$502,0)),""))</f>
        <v/>
      </c>
      <c r="G421" s="12" t="str">
        <f aca="false">IF($C421="","",IFERROR(INDEX(고객명부!$E$3:$E$502,MATCH($C421,고객명부!$A$3:$A$502,0))&amp;" "&amp;INDEX(고객명부!$F$3:$F$502,MATCH($C421,고객명부!$A$3:$A$502,0)),""))</f>
        <v/>
      </c>
      <c r="H421" s="7"/>
      <c r="I421" s="12" t="str">
        <f aca="false">IF($H421="","",IFERROR(INDEX(상품목록!$B$3:$B$102,MATCH($H421,상품목록!$A$3:$A$102,0)),""))</f>
        <v/>
      </c>
      <c r="J421" s="14" t="str">
        <f aca="false">IF($H421="","",IFERROR(INDEX(상품목록!$C$3:$C$102,MATCH($H421,상품목록!$A$3:$A$102,0)),0))</f>
        <v/>
      </c>
      <c r="K421" s="7"/>
      <c r="L421" s="14" t="str">
        <f aca="false">IF(OR($J421="",$K421=""),"",ROUND($J421*$K421,0))</f>
        <v/>
      </c>
      <c r="M421" s="9"/>
      <c r="N421" s="14" t="str">
        <f aca="false">IF($L421="","",$L421+IF($M421="",0,$M421))</f>
        <v/>
      </c>
      <c r="O421" s="13"/>
      <c r="P421" s="7"/>
      <c r="Q421" s="12" t="str">
        <f aca="false">IF($C421="","",IF($P421&lt;&gt;"","발송완료",IF($O421&lt;&gt;"","입금완료","입금대기")))</f>
        <v/>
      </c>
      <c r="R421" s="12" t="str">
        <f aca="false">IF($C421="","",COUNTIFS($C$3:$C421,$C421))</f>
        <v/>
      </c>
      <c r="S421" s="12" t="str">
        <f aca="false">IF($C421="","",$C421&amp;"|"&amp;$R421)</f>
        <v/>
      </c>
    </row>
    <row r="422" customFormat="false" ht="15" hidden="false" customHeight="true" outlineLevel="0" collapsed="false">
      <c r="A422" s="12" t="str">
        <f aca="false">IF($C422="","",TEXT($B422,"yymmdd")&amp;"-"&amp;TEXT(COUNTIFS($B$3:$B422,$B422),"000"))</f>
        <v/>
      </c>
      <c r="B422" s="13"/>
      <c r="C422" s="7"/>
      <c r="D422" s="12" t="str">
        <f aca="false">IF($C422="","",IFERROR(INDEX(고객명부!$B$3:$B$502,MATCH($C422,고객명부!$A$3:$A$502,0)),"미등록고객"))</f>
        <v/>
      </c>
      <c r="E422" s="12" t="str">
        <f aca="false">IF($C422="","",IFERROR(INDEX(고객명부!$C$3:$C$502,MATCH($C422,고객명부!$A$3:$A$502,0)),""))</f>
        <v/>
      </c>
      <c r="F422" s="12" t="str">
        <f aca="false">IF($C422="","",IFERROR(INDEX(고객명부!$D$3:$D$502,MATCH($C422,고객명부!$A$3:$A$502,0)),""))</f>
        <v/>
      </c>
      <c r="G422" s="12" t="str">
        <f aca="false">IF($C422="","",IFERROR(INDEX(고객명부!$E$3:$E$502,MATCH($C422,고객명부!$A$3:$A$502,0))&amp;" "&amp;INDEX(고객명부!$F$3:$F$502,MATCH($C422,고객명부!$A$3:$A$502,0)),""))</f>
        <v/>
      </c>
      <c r="H422" s="7"/>
      <c r="I422" s="12" t="str">
        <f aca="false">IF($H422="","",IFERROR(INDEX(상품목록!$B$3:$B$102,MATCH($H422,상품목록!$A$3:$A$102,0)),""))</f>
        <v/>
      </c>
      <c r="J422" s="14" t="str">
        <f aca="false">IF($H422="","",IFERROR(INDEX(상품목록!$C$3:$C$102,MATCH($H422,상품목록!$A$3:$A$102,0)),0))</f>
        <v/>
      </c>
      <c r="K422" s="7"/>
      <c r="L422" s="14" t="str">
        <f aca="false">IF(OR($J422="",$K422=""),"",ROUND($J422*$K422,0))</f>
        <v/>
      </c>
      <c r="M422" s="9"/>
      <c r="N422" s="14" t="str">
        <f aca="false">IF($L422="","",$L422+IF($M422="",0,$M422))</f>
        <v/>
      </c>
      <c r="O422" s="13"/>
      <c r="P422" s="7"/>
      <c r="Q422" s="12" t="str">
        <f aca="false">IF($C422="","",IF($P422&lt;&gt;"","발송완료",IF($O422&lt;&gt;"","입금완료","입금대기")))</f>
        <v/>
      </c>
      <c r="R422" s="12" t="str">
        <f aca="false">IF($C422="","",COUNTIFS($C$3:$C422,$C422))</f>
        <v/>
      </c>
      <c r="S422" s="12" t="str">
        <f aca="false">IF($C422="","",$C422&amp;"|"&amp;$R422)</f>
        <v/>
      </c>
    </row>
    <row r="423" customFormat="false" ht="15" hidden="false" customHeight="true" outlineLevel="0" collapsed="false">
      <c r="A423" s="12" t="str">
        <f aca="false">IF($C423="","",TEXT($B423,"yymmdd")&amp;"-"&amp;TEXT(COUNTIFS($B$3:$B423,$B423),"000"))</f>
        <v/>
      </c>
      <c r="B423" s="13"/>
      <c r="C423" s="7"/>
      <c r="D423" s="12" t="str">
        <f aca="false">IF($C423="","",IFERROR(INDEX(고객명부!$B$3:$B$502,MATCH($C423,고객명부!$A$3:$A$502,0)),"미등록고객"))</f>
        <v/>
      </c>
      <c r="E423" s="12" t="str">
        <f aca="false">IF($C423="","",IFERROR(INDEX(고객명부!$C$3:$C$502,MATCH($C423,고객명부!$A$3:$A$502,0)),""))</f>
        <v/>
      </c>
      <c r="F423" s="12" t="str">
        <f aca="false">IF($C423="","",IFERROR(INDEX(고객명부!$D$3:$D$502,MATCH($C423,고객명부!$A$3:$A$502,0)),""))</f>
        <v/>
      </c>
      <c r="G423" s="12" t="str">
        <f aca="false">IF($C423="","",IFERROR(INDEX(고객명부!$E$3:$E$502,MATCH($C423,고객명부!$A$3:$A$502,0))&amp;" "&amp;INDEX(고객명부!$F$3:$F$502,MATCH($C423,고객명부!$A$3:$A$502,0)),""))</f>
        <v/>
      </c>
      <c r="H423" s="7"/>
      <c r="I423" s="12" t="str">
        <f aca="false">IF($H423="","",IFERROR(INDEX(상품목록!$B$3:$B$102,MATCH($H423,상품목록!$A$3:$A$102,0)),""))</f>
        <v/>
      </c>
      <c r="J423" s="14" t="str">
        <f aca="false">IF($H423="","",IFERROR(INDEX(상품목록!$C$3:$C$102,MATCH($H423,상품목록!$A$3:$A$102,0)),0))</f>
        <v/>
      </c>
      <c r="K423" s="7"/>
      <c r="L423" s="14" t="str">
        <f aca="false">IF(OR($J423="",$K423=""),"",ROUND($J423*$K423,0))</f>
        <v/>
      </c>
      <c r="M423" s="9"/>
      <c r="N423" s="14" t="str">
        <f aca="false">IF($L423="","",$L423+IF($M423="",0,$M423))</f>
        <v/>
      </c>
      <c r="O423" s="13"/>
      <c r="P423" s="7"/>
      <c r="Q423" s="12" t="str">
        <f aca="false">IF($C423="","",IF($P423&lt;&gt;"","발송완료",IF($O423&lt;&gt;"","입금완료","입금대기")))</f>
        <v/>
      </c>
      <c r="R423" s="12" t="str">
        <f aca="false">IF($C423="","",COUNTIFS($C$3:$C423,$C423))</f>
        <v/>
      </c>
      <c r="S423" s="12" t="str">
        <f aca="false">IF($C423="","",$C423&amp;"|"&amp;$R423)</f>
        <v/>
      </c>
    </row>
    <row r="424" customFormat="false" ht="15" hidden="false" customHeight="true" outlineLevel="0" collapsed="false">
      <c r="A424" s="12" t="str">
        <f aca="false">IF($C424="","",TEXT($B424,"yymmdd")&amp;"-"&amp;TEXT(COUNTIFS($B$3:$B424,$B424),"000"))</f>
        <v/>
      </c>
      <c r="B424" s="13"/>
      <c r="C424" s="7"/>
      <c r="D424" s="12" t="str">
        <f aca="false">IF($C424="","",IFERROR(INDEX(고객명부!$B$3:$B$502,MATCH($C424,고객명부!$A$3:$A$502,0)),"미등록고객"))</f>
        <v/>
      </c>
      <c r="E424" s="12" t="str">
        <f aca="false">IF($C424="","",IFERROR(INDEX(고객명부!$C$3:$C$502,MATCH($C424,고객명부!$A$3:$A$502,0)),""))</f>
        <v/>
      </c>
      <c r="F424" s="12" t="str">
        <f aca="false">IF($C424="","",IFERROR(INDEX(고객명부!$D$3:$D$502,MATCH($C424,고객명부!$A$3:$A$502,0)),""))</f>
        <v/>
      </c>
      <c r="G424" s="12" t="str">
        <f aca="false">IF($C424="","",IFERROR(INDEX(고객명부!$E$3:$E$502,MATCH($C424,고객명부!$A$3:$A$502,0))&amp;" "&amp;INDEX(고객명부!$F$3:$F$502,MATCH($C424,고객명부!$A$3:$A$502,0)),""))</f>
        <v/>
      </c>
      <c r="H424" s="7"/>
      <c r="I424" s="12" t="str">
        <f aca="false">IF($H424="","",IFERROR(INDEX(상품목록!$B$3:$B$102,MATCH($H424,상품목록!$A$3:$A$102,0)),""))</f>
        <v/>
      </c>
      <c r="J424" s="14" t="str">
        <f aca="false">IF($H424="","",IFERROR(INDEX(상품목록!$C$3:$C$102,MATCH($H424,상품목록!$A$3:$A$102,0)),0))</f>
        <v/>
      </c>
      <c r="K424" s="7"/>
      <c r="L424" s="14" t="str">
        <f aca="false">IF(OR($J424="",$K424=""),"",ROUND($J424*$K424,0))</f>
        <v/>
      </c>
      <c r="M424" s="9"/>
      <c r="N424" s="14" t="str">
        <f aca="false">IF($L424="","",$L424+IF($M424="",0,$M424))</f>
        <v/>
      </c>
      <c r="O424" s="13"/>
      <c r="P424" s="7"/>
      <c r="Q424" s="12" t="str">
        <f aca="false">IF($C424="","",IF($P424&lt;&gt;"","발송완료",IF($O424&lt;&gt;"","입금완료","입금대기")))</f>
        <v/>
      </c>
      <c r="R424" s="12" t="str">
        <f aca="false">IF($C424="","",COUNTIFS($C$3:$C424,$C424))</f>
        <v/>
      </c>
      <c r="S424" s="12" t="str">
        <f aca="false">IF($C424="","",$C424&amp;"|"&amp;$R424)</f>
        <v/>
      </c>
    </row>
    <row r="425" customFormat="false" ht="15" hidden="false" customHeight="true" outlineLevel="0" collapsed="false">
      <c r="A425" s="12" t="str">
        <f aca="false">IF($C425="","",TEXT($B425,"yymmdd")&amp;"-"&amp;TEXT(COUNTIFS($B$3:$B425,$B425),"000"))</f>
        <v/>
      </c>
      <c r="B425" s="13"/>
      <c r="C425" s="7"/>
      <c r="D425" s="12" t="str">
        <f aca="false">IF($C425="","",IFERROR(INDEX(고객명부!$B$3:$B$502,MATCH($C425,고객명부!$A$3:$A$502,0)),"미등록고객"))</f>
        <v/>
      </c>
      <c r="E425" s="12" t="str">
        <f aca="false">IF($C425="","",IFERROR(INDEX(고객명부!$C$3:$C$502,MATCH($C425,고객명부!$A$3:$A$502,0)),""))</f>
        <v/>
      </c>
      <c r="F425" s="12" t="str">
        <f aca="false">IF($C425="","",IFERROR(INDEX(고객명부!$D$3:$D$502,MATCH($C425,고객명부!$A$3:$A$502,0)),""))</f>
        <v/>
      </c>
      <c r="G425" s="12" t="str">
        <f aca="false">IF($C425="","",IFERROR(INDEX(고객명부!$E$3:$E$502,MATCH($C425,고객명부!$A$3:$A$502,0))&amp;" "&amp;INDEX(고객명부!$F$3:$F$502,MATCH($C425,고객명부!$A$3:$A$502,0)),""))</f>
        <v/>
      </c>
      <c r="H425" s="7"/>
      <c r="I425" s="12" t="str">
        <f aca="false">IF($H425="","",IFERROR(INDEX(상품목록!$B$3:$B$102,MATCH($H425,상품목록!$A$3:$A$102,0)),""))</f>
        <v/>
      </c>
      <c r="J425" s="14" t="str">
        <f aca="false">IF($H425="","",IFERROR(INDEX(상품목록!$C$3:$C$102,MATCH($H425,상품목록!$A$3:$A$102,0)),0))</f>
        <v/>
      </c>
      <c r="K425" s="7"/>
      <c r="L425" s="14" t="str">
        <f aca="false">IF(OR($J425="",$K425=""),"",ROUND($J425*$K425,0))</f>
        <v/>
      </c>
      <c r="M425" s="9"/>
      <c r="N425" s="14" t="str">
        <f aca="false">IF($L425="","",$L425+IF($M425="",0,$M425))</f>
        <v/>
      </c>
      <c r="O425" s="13"/>
      <c r="P425" s="7"/>
      <c r="Q425" s="12" t="str">
        <f aca="false">IF($C425="","",IF($P425&lt;&gt;"","발송완료",IF($O425&lt;&gt;"","입금완료","입금대기")))</f>
        <v/>
      </c>
      <c r="R425" s="12" t="str">
        <f aca="false">IF($C425="","",COUNTIFS($C$3:$C425,$C425))</f>
        <v/>
      </c>
      <c r="S425" s="12" t="str">
        <f aca="false">IF($C425="","",$C425&amp;"|"&amp;$R425)</f>
        <v/>
      </c>
    </row>
    <row r="426" customFormat="false" ht="15" hidden="false" customHeight="true" outlineLevel="0" collapsed="false">
      <c r="A426" s="12" t="str">
        <f aca="false">IF($C426="","",TEXT($B426,"yymmdd")&amp;"-"&amp;TEXT(COUNTIFS($B$3:$B426,$B426),"000"))</f>
        <v/>
      </c>
      <c r="B426" s="13"/>
      <c r="C426" s="7"/>
      <c r="D426" s="12" t="str">
        <f aca="false">IF($C426="","",IFERROR(INDEX(고객명부!$B$3:$B$502,MATCH($C426,고객명부!$A$3:$A$502,0)),"미등록고객"))</f>
        <v/>
      </c>
      <c r="E426" s="12" t="str">
        <f aca="false">IF($C426="","",IFERROR(INDEX(고객명부!$C$3:$C$502,MATCH($C426,고객명부!$A$3:$A$502,0)),""))</f>
        <v/>
      </c>
      <c r="F426" s="12" t="str">
        <f aca="false">IF($C426="","",IFERROR(INDEX(고객명부!$D$3:$D$502,MATCH($C426,고객명부!$A$3:$A$502,0)),""))</f>
        <v/>
      </c>
      <c r="G426" s="12" t="str">
        <f aca="false">IF($C426="","",IFERROR(INDEX(고객명부!$E$3:$E$502,MATCH($C426,고객명부!$A$3:$A$502,0))&amp;" "&amp;INDEX(고객명부!$F$3:$F$502,MATCH($C426,고객명부!$A$3:$A$502,0)),""))</f>
        <v/>
      </c>
      <c r="H426" s="7"/>
      <c r="I426" s="12" t="str">
        <f aca="false">IF($H426="","",IFERROR(INDEX(상품목록!$B$3:$B$102,MATCH($H426,상품목록!$A$3:$A$102,0)),""))</f>
        <v/>
      </c>
      <c r="J426" s="14" t="str">
        <f aca="false">IF($H426="","",IFERROR(INDEX(상품목록!$C$3:$C$102,MATCH($H426,상품목록!$A$3:$A$102,0)),0))</f>
        <v/>
      </c>
      <c r="K426" s="7"/>
      <c r="L426" s="14" t="str">
        <f aca="false">IF(OR($J426="",$K426=""),"",ROUND($J426*$K426,0))</f>
        <v/>
      </c>
      <c r="M426" s="9"/>
      <c r="N426" s="14" t="str">
        <f aca="false">IF($L426="","",$L426+IF($M426="",0,$M426))</f>
        <v/>
      </c>
      <c r="O426" s="13"/>
      <c r="P426" s="7"/>
      <c r="Q426" s="12" t="str">
        <f aca="false">IF($C426="","",IF($P426&lt;&gt;"","발송완료",IF($O426&lt;&gt;"","입금완료","입금대기")))</f>
        <v/>
      </c>
      <c r="R426" s="12" t="str">
        <f aca="false">IF($C426="","",COUNTIFS($C$3:$C426,$C426))</f>
        <v/>
      </c>
      <c r="S426" s="12" t="str">
        <f aca="false">IF($C426="","",$C426&amp;"|"&amp;$R426)</f>
        <v/>
      </c>
    </row>
    <row r="427" customFormat="false" ht="15" hidden="false" customHeight="true" outlineLevel="0" collapsed="false">
      <c r="A427" s="12" t="str">
        <f aca="false">IF($C427="","",TEXT($B427,"yymmdd")&amp;"-"&amp;TEXT(COUNTIFS($B$3:$B427,$B427),"000"))</f>
        <v/>
      </c>
      <c r="B427" s="13"/>
      <c r="C427" s="7"/>
      <c r="D427" s="12" t="str">
        <f aca="false">IF($C427="","",IFERROR(INDEX(고객명부!$B$3:$B$502,MATCH($C427,고객명부!$A$3:$A$502,0)),"미등록고객"))</f>
        <v/>
      </c>
      <c r="E427" s="12" t="str">
        <f aca="false">IF($C427="","",IFERROR(INDEX(고객명부!$C$3:$C$502,MATCH($C427,고객명부!$A$3:$A$502,0)),""))</f>
        <v/>
      </c>
      <c r="F427" s="12" t="str">
        <f aca="false">IF($C427="","",IFERROR(INDEX(고객명부!$D$3:$D$502,MATCH($C427,고객명부!$A$3:$A$502,0)),""))</f>
        <v/>
      </c>
      <c r="G427" s="12" t="str">
        <f aca="false">IF($C427="","",IFERROR(INDEX(고객명부!$E$3:$E$502,MATCH($C427,고객명부!$A$3:$A$502,0))&amp;" "&amp;INDEX(고객명부!$F$3:$F$502,MATCH($C427,고객명부!$A$3:$A$502,0)),""))</f>
        <v/>
      </c>
      <c r="H427" s="7"/>
      <c r="I427" s="12" t="str">
        <f aca="false">IF($H427="","",IFERROR(INDEX(상품목록!$B$3:$B$102,MATCH($H427,상품목록!$A$3:$A$102,0)),""))</f>
        <v/>
      </c>
      <c r="J427" s="14" t="str">
        <f aca="false">IF($H427="","",IFERROR(INDEX(상품목록!$C$3:$C$102,MATCH($H427,상품목록!$A$3:$A$102,0)),0))</f>
        <v/>
      </c>
      <c r="K427" s="7"/>
      <c r="L427" s="14" t="str">
        <f aca="false">IF(OR($J427="",$K427=""),"",ROUND($J427*$K427,0))</f>
        <v/>
      </c>
      <c r="M427" s="9"/>
      <c r="N427" s="14" t="str">
        <f aca="false">IF($L427="","",$L427+IF($M427="",0,$M427))</f>
        <v/>
      </c>
      <c r="O427" s="13"/>
      <c r="P427" s="7"/>
      <c r="Q427" s="12" t="str">
        <f aca="false">IF($C427="","",IF($P427&lt;&gt;"","발송완료",IF($O427&lt;&gt;"","입금완료","입금대기")))</f>
        <v/>
      </c>
      <c r="R427" s="12" t="str">
        <f aca="false">IF($C427="","",COUNTIFS($C$3:$C427,$C427))</f>
        <v/>
      </c>
      <c r="S427" s="12" t="str">
        <f aca="false">IF($C427="","",$C427&amp;"|"&amp;$R427)</f>
        <v/>
      </c>
    </row>
    <row r="428" customFormat="false" ht="15" hidden="false" customHeight="true" outlineLevel="0" collapsed="false">
      <c r="A428" s="12" t="str">
        <f aca="false">IF($C428="","",TEXT($B428,"yymmdd")&amp;"-"&amp;TEXT(COUNTIFS($B$3:$B428,$B428),"000"))</f>
        <v/>
      </c>
      <c r="B428" s="13"/>
      <c r="C428" s="7"/>
      <c r="D428" s="12" t="str">
        <f aca="false">IF($C428="","",IFERROR(INDEX(고객명부!$B$3:$B$502,MATCH($C428,고객명부!$A$3:$A$502,0)),"미등록고객"))</f>
        <v/>
      </c>
      <c r="E428" s="12" t="str">
        <f aca="false">IF($C428="","",IFERROR(INDEX(고객명부!$C$3:$C$502,MATCH($C428,고객명부!$A$3:$A$502,0)),""))</f>
        <v/>
      </c>
      <c r="F428" s="12" t="str">
        <f aca="false">IF($C428="","",IFERROR(INDEX(고객명부!$D$3:$D$502,MATCH($C428,고객명부!$A$3:$A$502,0)),""))</f>
        <v/>
      </c>
      <c r="G428" s="12" t="str">
        <f aca="false">IF($C428="","",IFERROR(INDEX(고객명부!$E$3:$E$502,MATCH($C428,고객명부!$A$3:$A$502,0))&amp;" "&amp;INDEX(고객명부!$F$3:$F$502,MATCH($C428,고객명부!$A$3:$A$502,0)),""))</f>
        <v/>
      </c>
      <c r="H428" s="7"/>
      <c r="I428" s="12" t="str">
        <f aca="false">IF($H428="","",IFERROR(INDEX(상품목록!$B$3:$B$102,MATCH($H428,상품목록!$A$3:$A$102,0)),""))</f>
        <v/>
      </c>
      <c r="J428" s="14" t="str">
        <f aca="false">IF($H428="","",IFERROR(INDEX(상품목록!$C$3:$C$102,MATCH($H428,상품목록!$A$3:$A$102,0)),0))</f>
        <v/>
      </c>
      <c r="K428" s="7"/>
      <c r="L428" s="14" t="str">
        <f aca="false">IF(OR($J428="",$K428=""),"",ROUND($J428*$K428,0))</f>
        <v/>
      </c>
      <c r="M428" s="9"/>
      <c r="N428" s="14" t="str">
        <f aca="false">IF($L428="","",$L428+IF($M428="",0,$M428))</f>
        <v/>
      </c>
      <c r="O428" s="13"/>
      <c r="P428" s="7"/>
      <c r="Q428" s="12" t="str">
        <f aca="false">IF($C428="","",IF($P428&lt;&gt;"","발송완료",IF($O428&lt;&gt;"","입금완료","입금대기")))</f>
        <v/>
      </c>
      <c r="R428" s="12" t="str">
        <f aca="false">IF($C428="","",COUNTIFS($C$3:$C428,$C428))</f>
        <v/>
      </c>
      <c r="S428" s="12" t="str">
        <f aca="false">IF($C428="","",$C428&amp;"|"&amp;$R428)</f>
        <v/>
      </c>
    </row>
    <row r="429" customFormat="false" ht="15" hidden="false" customHeight="true" outlineLevel="0" collapsed="false">
      <c r="A429" s="12" t="str">
        <f aca="false">IF($C429="","",TEXT($B429,"yymmdd")&amp;"-"&amp;TEXT(COUNTIFS($B$3:$B429,$B429),"000"))</f>
        <v/>
      </c>
      <c r="B429" s="13"/>
      <c r="C429" s="7"/>
      <c r="D429" s="12" t="str">
        <f aca="false">IF($C429="","",IFERROR(INDEX(고객명부!$B$3:$B$502,MATCH($C429,고객명부!$A$3:$A$502,0)),"미등록고객"))</f>
        <v/>
      </c>
      <c r="E429" s="12" t="str">
        <f aca="false">IF($C429="","",IFERROR(INDEX(고객명부!$C$3:$C$502,MATCH($C429,고객명부!$A$3:$A$502,0)),""))</f>
        <v/>
      </c>
      <c r="F429" s="12" t="str">
        <f aca="false">IF($C429="","",IFERROR(INDEX(고객명부!$D$3:$D$502,MATCH($C429,고객명부!$A$3:$A$502,0)),""))</f>
        <v/>
      </c>
      <c r="G429" s="12" t="str">
        <f aca="false">IF($C429="","",IFERROR(INDEX(고객명부!$E$3:$E$502,MATCH($C429,고객명부!$A$3:$A$502,0))&amp;" "&amp;INDEX(고객명부!$F$3:$F$502,MATCH($C429,고객명부!$A$3:$A$502,0)),""))</f>
        <v/>
      </c>
      <c r="H429" s="7"/>
      <c r="I429" s="12" t="str">
        <f aca="false">IF($H429="","",IFERROR(INDEX(상품목록!$B$3:$B$102,MATCH($H429,상품목록!$A$3:$A$102,0)),""))</f>
        <v/>
      </c>
      <c r="J429" s="14" t="str">
        <f aca="false">IF($H429="","",IFERROR(INDEX(상품목록!$C$3:$C$102,MATCH($H429,상품목록!$A$3:$A$102,0)),0))</f>
        <v/>
      </c>
      <c r="K429" s="7"/>
      <c r="L429" s="14" t="str">
        <f aca="false">IF(OR($J429="",$K429=""),"",ROUND($J429*$K429,0))</f>
        <v/>
      </c>
      <c r="M429" s="9"/>
      <c r="N429" s="14" t="str">
        <f aca="false">IF($L429="","",$L429+IF($M429="",0,$M429))</f>
        <v/>
      </c>
      <c r="O429" s="13"/>
      <c r="P429" s="7"/>
      <c r="Q429" s="12" t="str">
        <f aca="false">IF($C429="","",IF($P429&lt;&gt;"","발송완료",IF($O429&lt;&gt;"","입금완료","입금대기")))</f>
        <v/>
      </c>
      <c r="R429" s="12" t="str">
        <f aca="false">IF($C429="","",COUNTIFS($C$3:$C429,$C429))</f>
        <v/>
      </c>
      <c r="S429" s="12" t="str">
        <f aca="false">IF($C429="","",$C429&amp;"|"&amp;$R429)</f>
        <v/>
      </c>
    </row>
    <row r="430" customFormat="false" ht="15" hidden="false" customHeight="true" outlineLevel="0" collapsed="false">
      <c r="A430" s="12" t="str">
        <f aca="false">IF($C430="","",TEXT($B430,"yymmdd")&amp;"-"&amp;TEXT(COUNTIFS($B$3:$B430,$B430),"000"))</f>
        <v/>
      </c>
      <c r="B430" s="13"/>
      <c r="C430" s="7"/>
      <c r="D430" s="12" t="str">
        <f aca="false">IF($C430="","",IFERROR(INDEX(고객명부!$B$3:$B$502,MATCH($C430,고객명부!$A$3:$A$502,0)),"미등록고객"))</f>
        <v/>
      </c>
      <c r="E430" s="12" t="str">
        <f aca="false">IF($C430="","",IFERROR(INDEX(고객명부!$C$3:$C$502,MATCH($C430,고객명부!$A$3:$A$502,0)),""))</f>
        <v/>
      </c>
      <c r="F430" s="12" t="str">
        <f aca="false">IF($C430="","",IFERROR(INDEX(고객명부!$D$3:$D$502,MATCH($C430,고객명부!$A$3:$A$502,0)),""))</f>
        <v/>
      </c>
      <c r="G430" s="12" t="str">
        <f aca="false">IF($C430="","",IFERROR(INDEX(고객명부!$E$3:$E$502,MATCH($C430,고객명부!$A$3:$A$502,0))&amp;" "&amp;INDEX(고객명부!$F$3:$F$502,MATCH($C430,고객명부!$A$3:$A$502,0)),""))</f>
        <v/>
      </c>
      <c r="H430" s="7"/>
      <c r="I430" s="12" t="str">
        <f aca="false">IF($H430="","",IFERROR(INDEX(상품목록!$B$3:$B$102,MATCH($H430,상품목록!$A$3:$A$102,0)),""))</f>
        <v/>
      </c>
      <c r="J430" s="14" t="str">
        <f aca="false">IF($H430="","",IFERROR(INDEX(상품목록!$C$3:$C$102,MATCH($H430,상품목록!$A$3:$A$102,0)),0))</f>
        <v/>
      </c>
      <c r="K430" s="7"/>
      <c r="L430" s="14" t="str">
        <f aca="false">IF(OR($J430="",$K430=""),"",ROUND($J430*$K430,0))</f>
        <v/>
      </c>
      <c r="M430" s="9"/>
      <c r="N430" s="14" t="str">
        <f aca="false">IF($L430="","",$L430+IF($M430="",0,$M430))</f>
        <v/>
      </c>
      <c r="O430" s="13"/>
      <c r="P430" s="7"/>
      <c r="Q430" s="12" t="str">
        <f aca="false">IF($C430="","",IF($P430&lt;&gt;"","발송완료",IF($O430&lt;&gt;"","입금완료","입금대기")))</f>
        <v/>
      </c>
      <c r="R430" s="12" t="str">
        <f aca="false">IF($C430="","",COUNTIFS($C$3:$C430,$C430))</f>
        <v/>
      </c>
      <c r="S430" s="12" t="str">
        <f aca="false">IF($C430="","",$C430&amp;"|"&amp;$R430)</f>
        <v/>
      </c>
    </row>
    <row r="431" customFormat="false" ht="15" hidden="false" customHeight="true" outlineLevel="0" collapsed="false">
      <c r="A431" s="12" t="str">
        <f aca="false">IF($C431="","",TEXT($B431,"yymmdd")&amp;"-"&amp;TEXT(COUNTIFS($B$3:$B431,$B431),"000"))</f>
        <v/>
      </c>
      <c r="B431" s="13"/>
      <c r="C431" s="7"/>
      <c r="D431" s="12" t="str">
        <f aca="false">IF($C431="","",IFERROR(INDEX(고객명부!$B$3:$B$502,MATCH($C431,고객명부!$A$3:$A$502,0)),"미등록고객"))</f>
        <v/>
      </c>
      <c r="E431" s="12" t="str">
        <f aca="false">IF($C431="","",IFERROR(INDEX(고객명부!$C$3:$C$502,MATCH($C431,고객명부!$A$3:$A$502,0)),""))</f>
        <v/>
      </c>
      <c r="F431" s="12" t="str">
        <f aca="false">IF($C431="","",IFERROR(INDEX(고객명부!$D$3:$D$502,MATCH($C431,고객명부!$A$3:$A$502,0)),""))</f>
        <v/>
      </c>
      <c r="G431" s="12" t="str">
        <f aca="false">IF($C431="","",IFERROR(INDEX(고객명부!$E$3:$E$502,MATCH($C431,고객명부!$A$3:$A$502,0))&amp;" "&amp;INDEX(고객명부!$F$3:$F$502,MATCH($C431,고객명부!$A$3:$A$502,0)),""))</f>
        <v/>
      </c>
      <c r="H431" s="7"/>
      <c r="I431" s="12" t="str">
        <f aca="false">IF($H431="","",IFERROR(INDEX(상품목록!$B$3:$B$102,MATCH($H431,상품목록!$A$3:$A$102,0)),""))</f>
        <v/>
      </c>
      <c r="J431" s="14" t="str">
        <f aca="false">IF($H431="","",IFERROR(INDEX(상품목록!$C$3:$C$102,MATCH($H431,상품목록!$A$3:$A$102,0)),0))</f>
        <v/>
      </c>
      <c r="K431" s="7"/>
      <c r="L431" s="14" t="str">
        <f aca="false">IF(OR($J431="",$K431=""),"",ROUND($J431*$K431,0))</f>
        <v/>
      </c>
      <c r="M431" s="9"/>
      <c r="N431" s="14" t="str">
        <f aca="false">IF($L431="","",$L431+IF($M431="",0,$M431))</f>
        <v/>
      </c>
      <c r="O431" s="13"/>
      <c r="P431" s="7"/>
      <c r="Q431" s="12" t="str">
        <f aca="false">IF($C431="","",IF($P431&lt;&gt;"","발송완료",IF($O431&lt;&gt;"","입금완료","입금대기")))</f>
        <v/>
      </c>
      <c r="R431" s="12" t="str">
        <f aca="false">IF($C431="","",COUNTIFS($C$3:$C431,$C431))</f>
        <v/>
      </c>
      <c r="S431" s="12" t="str">
        <f aca="false">IF($C431="","",$C431&amp;"|"&amp;$R431)</f>
        <v/>
      </c>
    </row>
    <row r="432" customFormat="false" ht="15" hidden="false" customHeight="true" outlineLevel="0" collapsed="false">
      <c r="A432" s="12" t="str">
        <f aca="false">IF($C432="","",TEXT($B432,"yymmdd")&amp;"-"&amp;TEXT(COUNTIFS($B$3:$B432,$B432),"000"))</f>
        <v/>
      </c>
      <c r="B432" s="13"/>
      <c r="C432" s="7"/>
      <c r="D432" s="12" t="str">
        <f aca="false">IF($C432="","",IFERROR(INDEX(고객명부!$B$3:$B$502,MATCH($C432,고객명부!$A$3:$A$502,0)),"미등록고객"))</f>
        <v/>
      </c>
      <c r="E432" s="12" t="str">
        <f aca="false">IF($C432="","",IFERROR(INDEX(고객명부!$C$3:$C$502,MATCH($C432,고객명부!$A$3:$A$502,0)),""))</f>
        <v/>
      </c>
      <c r="F432" s="12" t="str">
        <f aca="false">IF($C432="","",IFERROR(INDEX(고객명부!$D$3:$D$502,MATCH($C432,고객명부!$A$3:$A$502,0)),""))</f>
        <v/>
      </c>
      <c r="G432" s="12" t="str">
        <f aca="false">IF($C432="","",IFERROR(INDEX(고객명부!$E$3:$E$502,MATCH($C432,고객명부!$A$3:$A$502,0))&amp;" "&amp;INDEX(고객명부!$F$3:$F$502,MATCH($C432,고객명부!$A$3:$A$502,0)),""))</f>
        <v/>
      </c>
      <c r="H432" s="7"/>
      <c r="I432" s="12" t="str">
        <f aca="false">IF($H432="","",IFERROR(INDEX(상품목록!$B$3:$B$102,MATCH($H432,상품목록!$A$3:$A$102,0)),""))</f>
        <v/>
      </c>
      <c r="J432" s="14" t="str">
        <f aca="false">IF($H432="","",IFERROR(INDEX(상품목록!$C$3:$C$102,MATCH($H432,상품목록!$A$3:$A$102,0)),0))</f>
        <v/>
      </c>
      <c r="K432" s="7"/>
      <c r="L432" s="14" t="str">
        <f aca="false">IF(OR($J432="",$K432=""),"",ROUND($J432*$K432,0))</f>
        <v/>
      </c>
      <c r="M432" s="9"/>
      <c r="N432" s="14" t="str">
        <f aca="false">IF($L432="","",$L432+IF($M432="",0,$M432))</f>
        <v/>
      </c>
      <c r="O432" s="13"/>
      <c r="P432" s="7"/>
      <c r="Q432" s="12" t="str">
        <f aca="false">IF($C432="","",IF($P432&lt;&gt;"","발송완료",IF($O432&lt;&gt;"","입금완료","입금대기")))</f>
        <v/>
      </c>
      <c r="R432" s="12" t="str">
        <f aca="false">IF($C432="","",COUNTIFS($C$3:$C432,$C432))</f>
        <v/>
      </c>
      <c r="S432" s="12" t="str">
        <f aca="false">IF($C432="","",$C432&amp;"|"&amp;$R432)</f>
        <v/>
      </c>
    </row>
    <row r="433" customFormat="false" ht="15" hidden="false" customHeight="true" outlineLevel="0" collapsed="false">
      <c r="A433" s="12" t="str">
        <f aca="false">IF($C433="","",TEXT($B433,"yymmdd")&amp;"-"&amp;TEXT(COUNTIFS($B$3:$B433,$B433),"000"))</f>
        <v/>
      </c>
      <c r="B433" s="13"/>
      <c r="C433" s="7"/>
      <c r="D433" s="12" t="str">
        <f aca="false">IF($C433="","",IFERROR(INDEX(고객명부!$B$3:$B$502,MATCH($C433,고객명부!$A$3:$A$502,0)),"미등록고객"))</f>
        <v/>
      </c>
      <c r="E433" s="12" t="str">
        <f aca="false">IF($C433="","",IFERROR(INDEX(고객명부!$C$3:$C$502,MATCH($C433,고객명부!$A$3:$A$502,0)),""))</f>
        <v/>
      </c>
      <c r="F433" s="12" t="str">
        <f aca="false">IF($C433="","",IFERROR(INDEX(고객명부!$D$3:$D$502,MATCH($C433,고객명부!$A$3:$A$502,0)),""))</f>
        <v/>
      </c>
      <c r="G433" s="12" t="str">
        <f aca="false">IF($C433="","",IFERROR(INDEX(고객명부!$E$3:$E$502,MATCH($C433,고객명부!$A$3:$A$502,0))&amp;" "&amp;INDEX(고객명부!$F$3:$F$502,MATCH($C433,고객명부!$A$3:$A$502,0)),""))</f>
        <v/>
      </c>
      <c r="H433" s="7"/>
      <c r="I433" s="12" t="str">
        <f aca="false">IF($H433="","",IFERROR(INDEX(상품목록!$B$3:$B$102,MATCH($H433,상품목록!$A$3:$A$102,0)),""))</f>
        <v/>
      </c>
      <c r="J433" s="14" t="str">
        <f aca="false">IF($H433="","",IFERROR(INDEX(상품목록!$C$3:$C$102,MATCH($H433,상품목록!$A$3:$A$102,0)),0))</f>
        <v/>
      </c>
      <c r="K433" s="7"/>
      <c r="L433" s="14" t="str">
        <f aca="false">IF(OR($J433="",$K433=""),"",ROUND($J433*$K433,0))</f>
        <v/>
      </c>
      <c r="M433" s="9"/>
      <c r="N433" s="14" t="str">
        <f aca="false">IF($L433="","",$L433+IF($M433="",0,$M433))</f>
        <v/>
      </c>
      <c r="O433" s="13"/>
      <c r="P433" s="7"/>
      <c r="Q433" s="12" t="str">
        <f aca="false">IF($C433="","",IF($P433&lt;&gt;"","발송완료",IF($O433&lt;&gt;"","입금완료","입금대기")))</f>
        <v/>
      </c>
      <c r="R433" s="12" t="str">
        <f aca="false">IF($C433="","",COUNTIFS($C$3:$C433,$C433))</f>
        <v/>
      </c>
      <c r="S433" s="12" t="str">
        <f aca="false">IF($C433="","",$C433&amp;"|"&amp;$R433)</f>
        <v/>
      </c>
    </row>
    <row r="434" customFormat="false" ht="15" hidden="false" customHeight="true" outlineLevel="0" collapsed="false">
      <c r="A434" s="12" t="str">
        <f aca="false">IF($C434="","",TEXT($B434,"yymmdd")&amp;"-"&amp;TEXT(COUNTIFS($B$3:$B434,$B434),"000"))</f>
        <v/>
      </c>
      <c r="B434" s="13"/>
      <c r="C434" s="7"/>
      <c r="D434" s="12" t="str">
        <f aca="false">IF($C434="","",IFERROR(INDEX(고객명부!$B$3:$B$502,MATCH($C434,고객명부!$A$3:$A$502,0)),"미등록고객"))</f>
        <v/>
      </c>
      <c r="E434" s="12" t="str">
        <f aca="false">IF($C434="","",IFERROR(INDEX(고객명부!$C$3:$C$502,MATCH($C434,고객명부!$A$3:$A$502,0)),""))</f>
        <v/>
      </c>
      <c r="F434" s="12" t="str">
        <f aca="false">IF($C434="","",IFERROR(INDEX(고객명부!$D$3:$D$502,MATCH($C434,고객명부!$A$3:$A$502,0)),""))</f>
        <v/>
      </c>
      <c r="G434" s="12" t="str">
        <f aca="false">IF($C434="","",IFERROR(INDEX(고객명부!$E$3:$E$502,MATCH($C434,고객명부!$A$3:$A$502,0))&amp;" "&amp;INDEX(고객명부!$F$3:$F$502,MATCH($C434,고객명부!$A$3:$A$502,0)),""))</f>
        <v/>
      </c>
      <c r="H434" s="7"/>
      <c r="I434" s="12" t="str">
        <f aca="false">IF($H434="","",IFERROR(INDEX(상품목록!$B$3:$B$102,MATCH($H434,상품목록!$A$3:$A$102,0)),""))</f>
        <v/>
      </c>
      <c r="J434" s="14" t="str">
        <f aca="false">IF($H434="","",IFERROR(INDEX(상품목록!$C$3:$C$102,MATCH($H434,상품목록!$A$3:$A$102,0)),0))</f>
        <v/>
      </c>
      <c r="K434" s="7"/>
      <c r="L434" s="14" t="str">
        <f aca="false">IF(OR($J434="",$K434=""),"",ROUND($J434*$K434,0))</f>
        <v/>
      </c>
      <c r="M434" s="9"/>
      <c r="N434" s="14" t="str">
        <f aca="false">IF($L434="","",$L434+IF($M434="",0,$M434))</f>
        <v/>
      </c>
      <c r="O434" s="13"/>
      <c r="P434" s="7"/>
      <c r="Q434" s="12" t="str">
        <f aca="false">IF($C434="","",IF($P434&lt;&gt;"","발송완료",IF($O434&lt;&gt;"","입금완료","입금대기")))</f>
        <v/>
      </c>
      <c r="R434" s="12" t="str">
        <f aca="false">IF($C434="","",COUNTIFS($C$3:$C434,$C434))</f>
        <v/>
      </c>
      <c r="S434" s="12" t="str">
        <f aca="false">IF($C434="","",$C434&amp;"|"&amp;$R434)</f>
        <v/>
      </c>
    </row>
    <row r="435" customFormat="false" ht="15" hidden="false" customHeight="true" outlineLevel="0" collapsed="false">
      <c r="A435" s="12" t="str">
        <f aca="false">IF($C435="","",TEXT($B435,"yymmdd")&amp;"-"&amp;TEXT(COUNTIFS($B$3:$B435,$B435),"000"))</f>
        <v/>
      </c>
      <c r="B435" s="13"/>
      <c r="C435" s="7"/>
      <c r="D435" s="12" t="str">
        <f aca="false">IF($C435="","",IFERROR(INDEX(고객명부!$B$3:$B$502,MATCH($C435,고객명부!$A$3:$A$502,0)),"미등록고객"))</f>
        <v/>
      </c>
      <c r="E435" s="12" t="str">
        <f aca="false">IF($C435="","",IFERROR(INDEX(고객명부!$C$3:$C$502,MATCH($C435,고객명부!$A$3:$A$502,0)),""))</f>
        <v/>
      </c>
      <c r="F435" s="12" t="str">
        <f aca="false">IF($C435="","",IFERROR(INDEX(고객명부!$D$3:$D$502,MATCH($C435,고객명부!$A$3:$A$502,0)),""))</f>
        <v/>
      </c>
      <c r="G435" s="12" t="str">
        <f aca="false">IF($C435="","",IFERROR(INDEX(고객명부!$E$3:$E$502,MATCH($C435,고객명부!$A$3:$A$502,0))&amp;" "&amp;INDEX(고객명부!$F$3:$F$502,MATCH($C435,고객명부!$A$3:$A$502,0)),""))</f>
        <v/>
      </c>
      <c r="H435" s="7"/>
      <c r="I435" s="12" t="str">
        <f aca="false">IF($H435="","",IFERROR(INDEX(상품목록!$B$3:$B$102,MATCH($H435,상품목록!$A$3:$A$102,0)),""))</f>
        <v/>
      </c>
      <c r="J435" s="14" t="str">
        <f aca="false">IF($H435="","",IFERROR(INDEX(상품목록!$C$3:$C$102,MATCH($H435,상품목록!$A$3:$A$102,0)),0))</f>
        <v/>
      </c>
      <c r="K435" s="7"/>
      <c r="L435" s="14" t="str">
        <f aca="false">IF(OR($J435="",$K435=""),"",ROUND($J435*$K435,0))</f>
        <v/>
      </c>
      <c r="M435" s="9"/>
      <c r="N435" s="14" t="str">
        <f aca="false">IF($L435="","",$L435+IF($M435="",0,$M435))</f>
        <v/>
      </c>
      <c r="O435" s="13"/>
      <c r="P435" s="7"/>
      <c r="Q435" s="12" t="str">
        <f aca="false">IF($C435="","",IF($P435&lt;&gt;"","발송완료",IF($O435&lt;&gt;"","입금완료","입금대기")))</f>
        <v/>
      </c>
      <c r="R435" s="12" t="str">
        <f aca="false">IF($C435="","",COUNTIFS($C$3:$C435,$C435))</f>
        <v/>
      </c>
      <c r="S435" s="12" t="str">
        <f aca="false">IF($C435="","",$C435&amp;"|"&amp;$R435)</f>
        <v/>
      </c>
    </row>
    <row r="436" customFormat="false" ht="15" hidden="false" customHeight="true" outlineLevel="0" collapsed="false">
      <c r="A436" s="12" t="str">
        <f aca="false">IF($C436="","",TEXT($B436,"yymmdd")&amp;"-"&amp;TEXT(COUNTIFS($B$3:$B436,$B436),"000"))</f>
        <v/>
      </c>
      <c r="B436" s="13"/>
      <c r="C436" s="7"/>
      <c r="D436" s="12" t="str">
        <f aca="false">IF($C436="","",IFERROR(INDEX(고객명부!$B$3:$B$502,MATCH($C436,고객명부!$A$3:$A$502,0)),"미등록고객"))</f>
        <v/>
      </c>
      <c r="E436" s="12" t="str">
        <f aca="false">IF($C436="","",IFERROR(INDEX(고객명부!$C$3:$C$502,MATCH($C436,고객명부!$A$3:$A$502,0)),""))</f>
        <v/>
      </c>
      <c r="F436" s="12" t="str">
        <f aca="false">IF($C436="","",IFERROR(INDEX(고객명부!$D$3:$D$502,MATCH($C436,고객명부!$A$3:$A$502,0)),""))</f>
        <v/>
      </c>
      <c r="G436" s="12" t="str">
        <f aca="false">IF($C436="","",IFERROR(INDEX(고객명부!$E$3:$E$502,MATCH($C436,고객명부!$A$3:$A$502,0))&amp;" "&amp;INDEX(고객명부!$F$3:$F$502,MATCH($C436,고객명부!$A$3:$A$502,0)),""))</f>
        <v/>
      </c>
      <c r="H436" s="7"/>
      <c r="I436" s="12" t="str">
        <f aca="false">IF($H436="","",IFERROR(INDEX(상품목록!$B$3:$B$102,MATCH($H436,상품목록!$A$3:$A$102,0)),""))</f>
        <v/>
      </c>
      <c r="J436" s="14" t="str">
        <f aca="false">IF($H436="","",IFERROR(INDEX(상품목록!$C$3:$C$102,MATCH($H436,상품목록!$A$3:$A$102,0)),0))</f>
        <v/>
      </c>
      <c r="K436" s="7"/>
      <c r="L436" s="14" t="str">
        <f aca="false">IF(OR($J436="",$K436=""),"",ROUND($J436*$K436,0))</f>
        <v/>
      </c>
      <c r="M436" s="9"/>
      <c r="N436" s="14" t="str">
        <f aca="false">IF($L436="","",$L436+IF($M436="",0,$M436))</f>
        <v/>
      </c>
      <c r="O436" s="13"/>
      <c r="P436" s="7"/>
      <c r="Q436" s="12" t="str">
        <f aca="false">IF($C436="","",IF($P436&lt;&gt;"","발송완료",IF($O436&lt;&gt;"","입금완료","입금대기")))</f>
        <v/>
      </c>
      <c r="R436" s="12" t="str">
        <f aca="false">IF($C436="","",COUNTIFS($C$3:$C436,$C436))</f>
        <v/>
      </c>
      <c r="S436" s="12" t="str">
        <f aca="false">IF($C436="","",$C436&amp;"|"&amp;$R436)</f>
        <v/>
      </c>
    </row>
    <row r="437" customFormat="false" ht="15" hidden="false" customHeight="true" outlineLevel="0" collapsed="false">
      <c r="A437" s="12" t="str">
        <f aca="false">IF($C437="","",TEXT($B437,"yymmdd")&amp;"-"&amp;TEXT(COUNTIFS($B$3:$B437,$B437),"000"))</f>
        <v/>
      </c>
      <c r="B437" s="13"/>
      <c r="C437" s="7"/>
      <c r="D437" s="12" t="str">
        <f aca="false">IF($C437="","",IFERROR(INDEX(고객명부!$B$3:$B$502,MATCH($C437,고객명부!$A$3:$A$502,0)),"미등록고객"))</f>
        <v/>
      </c>
      <c r="E437" s="12" t="str">
        <f aca="false">IF($C437="","",IFERROR(INDEX(고객명부!$C$3:$C$502,MATCH($C437,고객명부!$A$3:$A$502,0)),""))</f>
        <v/>
      </c>
      <c r="F437" s="12" t="str">
        <f aca="false">IF($C437="","",IFERROR(INDEX(고객명부!$D$3:$D$502,MATCH($C437,고객명부!$A$3:$A$502,0)),""))</f>
        <v/>
      </c>
      <c r="G437" s="12" t="str">
        <f aca="false">IF($C437="","",IFERROR(INDEX(고객명부!$E$3:$E$502,MATCH($C437,고객명부!$A$3:$A$502,0))&amp;" "&amp;INDEX(고객명부!$F$3:$F$502,MATCH($C437,고객명부!$A$3:$A$502,0)),""))</f>
        <v/>
      </c>
      <c r="H437" s="7"/>
      <c r="I437" s="12" t="str">
        <f aca="false">IF($H437="","",IFERROR(INDEX(상품목록!$B$3:$B$102,MATCH($H437,상품목록!$A$3:$A$102,0)),""))</f>
        <v/>
      </c>
      <c r="J437" s="14" t="str">
        <f aca="false">IF($H437="","",IFERROR(INDEX(상품목록!$C$3:$C$102,MATCH($H437,상품목록!$A$3:$A$102,0)),0))</f>
        <v/>
      </c>
      <c r="K437" s="7"/>
      <c r="L437" s="14" t="str">
        <f aca="false">IF(OR($J437="",$K437=""),"",ROUND($J437*$K437,0))</f>
        <v/>
      </c>
      <c r="M437" s="9"/>
      <c r="N437" s="14" t="str">
        <f aca="false">IF($L437="","",$L437+IF($M437="",0,$M437))</f>
        <v/>
      </c>
      <c r="O437" s="13"/>
      <c r="P437" s="7"/>
      <c r="Q437" s="12" t="str">
        <f aca="false">IF($C437="","",IF($P437&lt;&gt;"","발송완료",IF($O437&lt;&gt;"","입금완료","입금대기")))</f>
        <v/>
      </c>
      <c r="R437" s="12" t="str">
        <f aca="false">IF($C437="","",COUNTIFS($C$3:$C437,$C437))</f>
        <v/>
      </c>
      <c r="S437" s="12" t="str">
        <f aca="false">IF($C437="","",$C437&amp;"|"&amp;$R437)</f>
        <v/>
      </c>
    </row>
    <row r="438" customFormat="false" ht="15" hidden="false" customHeight="true" outlineLevel="0" collapsed="false">
      <c r="A438" s="12" t="str">
        <f aca="false">IF($C438="","",TEXT($B438,"yymmdd")&amp;"-"&amp;TEXT(COUNTIFS($B$3:$B438,$B438),"000"))</f>
        <v/>
      </c>
      <c r="B438" s="13"/>
      <c r="C438" s="7"/>
      <c r="D438" s="12" t="str">
        <f aca="false">IF($C438="","",IFERROR(INDEX(고객명부!$B$3:$B$502,MATCH($C438,고객명부!$A$3:$A$502,0)),"미등록고객"))</f>
        <v/>
      </c>
      <c r="E438" s="12" t="str">
        <f aca="false">IF($C438="","",IFERROR(INDEX(고객명부!$C$3:$C$502,MATCH($C438,고객명부!$A$3:$A$502,0)),""))</f>
        <v/>
      </c>
      <c r="F438" s="12" t="str">
        <f aca="false">IF($C438="","",IFERROR(INDEX(고객명부!$D$3:$D$502,MATCH($C438,고객명부!$A$3:$A$502,0)),""))</f>
        <v/>
      </c>
      <c r="G438" s="12" t="str">
        <f aca="false">IF($C438="","",IFERROR(INDEX(고객명부!$E$3:$E$502,MATCH($C438,고객명부!$A$3:$A$502,0))&amp;" "&amp;INDEX(고객명부!$F$3:$F$502,MATCH($C438,고객명부!$A$3:$A$502,0)),""))</f>
        <v/>
      </c>
      <c r="H438" s="7"/>
      <c r="I438" s="12" t="str">
        <f aca="false">IF($H438="","",IFERROR(INDEX(상품목록!$B$3:$B$102,MATCH($H438,상품목록!$A$3:$A$102,0)),""))</f>
        <v/>
      </c>
      <c r="J438" s="14" t="str">
        <f aca="false">IF($H438="","",IFERROR(INDEX(상품목록!$C$3:$C$102,MATCH($H438,상품목록!$A$3:$A$102,0)),0))</f>
        <v/>
      </c>
      <c r="K438" s="7"/>
      <c r="L438" s="14" t="str">
        <f aca="false">IF(OR($J438="",$K438=""),"",ROUND($J438*$K438,0))</f>
        <v/>
      </c>
      <c r="M438" s="9"/>
      <c r="N438" s="14" t="str">
        <f aca="false">IF($L438="","",$L438+IF($M438="",0,$M438))</f>
        <v/>
      </c>
      <c r="O438" s="13"/>
      <c r="P438" s="7"/>
      <c r="Q438" s="12" t="str">
        <f aca="false">IF($C438="","",IF($P438&lt;&gt;"","발송완료",IF($O438&lt;&gt;"","입금완료","입금대기")))</f>
        <v/>
      </c>
      <c r="R438" s="12" t="str">
        <f aca="false">IF($C438="","",COUNTIFS($C$3:$C438,$C438))</f>
        <v/>
      </c>
      <c r="S438" s="12" t="str">
        <f aca="false">IF($C438="","",$C438&amp;"|"&amp;$R438)</f>
        <v/>
      </c>
    </row>
    <row r="439" customFormat="false" ht="15" hidden="false" customHeight="true" outlineLevel="0" collapsed="false">
      <c r="A439" s="12" t="str">
        <f aca="false">IF($C439="","",TEXT($B439,"yymmdd")&amp;"-"&amp;TEXT(COUNTIFS($B$3:$B439,$B439),"000"))</f>
        <v/>
      </c>
      <c r="B439" s="13"/>
      <c r="C439" s="7"/>
      <c r="D439" s="12" t="str">
        <f aca="false">IF($C439="","",IFERROR(INDEX(고객명부!$B$3:$B$502,MATCH($C439,고객명부!$A$3:$A$502,0)),"미등록고객"))</f>
        <v/>
      </c>
      <c r="E439" s="12" t="str">
        <f aca="false">IF($C439="","",IFERROR(INDEX(고객명부!$C$3:$C$502,MATCH($C439,고객명부!$A$3:$A$502,0)),""))</f>
        <v/>
      </c>
      <c r="F439" s="12" t="str">
        <f aca="false">IF($C439="","",IFERROR(INDEX(고객명부!$D$3:$D$502,MATCH($C439,고객명부!$A$3:$A$502,0)),""))</f>
        <v/>
      </c>
      <c r="G439" s="12" t="str">
        <f aca="false">IF($C439="","",IFERROR(INDEX(고객명부!$E$3:$E$502,MATCH($C439,고객명부!$A$3:$A$502,0))&amp;" "&amp;INDEX(고객명부!$F$3:$F$502,MATCH($C439,고객명부!$A$3:$A$502,0)),""))</f>
        <v/>
      </c>
      <c r="H439" s="7"/>
      <c r="I439" s="12" t="str">
        <f aca="false">IF($H439="","",IFERROR(INDEX(상품목록!$B$3:$B$102,MATCH($H439,상품목록!$A$3:$A$102,0)),""))</f>
        <v/>
      </c>
      <c r="J439" s="14" t="str">
        <f aca="false">IF($H439="","",IFERROR(INDEX(상품목록!$C$3:$C$102,MATCH($H439,상품목록!$A$3:$A$102,0)),0))</f>
        <v/>
      </c>
      <c r="K439" s="7"/>
      <c r="L439" s="14" t="str">
        <f aca="false">IF(OR($J439="",$K439=""),"",ROUND($J439*$K439,0))</f>
        <v/>
      </c>
      <c r="M439" s="9"/>
      <c r="N439" s="14" t="str">
        <f aca="false">IF($L439="","",$L439+IF($M439="",0,$M439))</f>
        <v/>
      </c>
      <c r="O439" s="13"/>
      <c r="P439" s="7"/>
      <c r="Q439" s="12" t="str">
        <f aca="false">IF($C439="","",IF($P439&lt;&gt;"","발송완료",IF($O439&lt;&gt;"","입금완료","입금대기")))</f>
        <v/>
      </c>
      <c r="R439" s="12" t="str">
        <f aca="false">IF($C439="","",COUNTIFS($C$3:$C439,$C439))</f>
        <v/>
      </c>
      <c r="S439" s="12" t="str">
        <f aca="false">IF($C439="","",$C439&amp;"|"&amp;$R439)</f>
        <v/>
      </c>
    </row>
    <row r="440" customFormat="false" ht="15" hidden="false" customHeight="true" outlineLevel="0" collapsed="false">
      <c r="A440" s="12" t="str">
        <f aca="false">IF($C440="","",TEXT($B440,"yymmdd")&amp;"-"&amp;TEXT(COUNTIFS($B$3:$B440,$B440),"000"))</f>
        <v/>
      </c>
      <c r="B440" s="13"/>
      <c r="C440" s="7"/>
      <c r="D440" s="12" t="str">
        <f aca="false">IF($C440="","",IFERROR(INDEX(고객명부!$B$3:$B$502,MATCH($C440,고객명부!$A$3:$A$502,0)),"미등록고객"))</f>
        <v/>
      </c>
      <c r="E440" s="12" t="str">
        <f aca="false">IF($C440="","",IFERROR(INDEX(고객명부!$C$3:$C$502,MATCH($C440,고객명부!$A$3:$A$502,0)),""))</f>
        <v/>
      </c>
      <c r="F440" s="12" t="str">
        <f aca="false">IF($C440="","",IFERROR(INDEX(고객명부!$D$3:$D$502,MATCH($C440,고객명부!$A$3:$A$502,0)),""))</f>
        <v/>
      </c>
      <c r="G440" s="12" t="str">
        <f aca="false">IF($C440="","",IFERROR(INDEX(고객명부!$E$3:$E$502,MATCH($C440,고객명부!$A$3:$A$502,0))&amp;" "&amp;INDEX(고객명부!$F$3:$F$502,MATCH($C440,고객명부!$A$3:$A$502,0)),""))</f>
        <v/>
      </c>
      <c r="H440" s="7"/>
      <c r="I440" s="12" t="str">
        <f aca="false">IF($H440="","",IFERROR(INDEX(상품목록!$B$3:$B$102,MATCH($H440,상품목록!$A$3:$A$102,0)),""))</f>
        <v/>
      </c>
      <c r="J440" s="14" t="str">
        <f aca="false">IF($H440="","",IFERROR(INDEX(상품목록!$C$3:$C$102,MATCH($H440,상품목록!$A$3:$A$102,0)),0))</f>
        <v/>
      </c>
      <c r="K440" s="7"/>
      <c r="L440" s="14" t="str">
        <f aca="false">IF(OR($J440="",$K440=""),"",ROUND($J440*$K440,0))</f>
        <v/>
      </c>
      <c r="M440" s="9"/>
      <c r="N440" s="14" t="str">
        <f aca="false">IF($L440="","",$L440+IF($M440="",0,$M440))</f>
        <v/>
      </c>
      <c r="O440" s="13"/>
      <c r="P440" s="7"/>
      <c r="Q440" s="12" t="str">
        <f aca="false">IF($C440="","",IF($P440&lt;&gt;"","발송완료",IF($O440&lt;&gt;"","입금완료","입금대기")))</f>
        <v/>
      </c>
      <c r="R440" s="12" t="str">
        <f aca="false">IF($C440="","",COUNTIFS($C$3:$C440,$C440))</f>
        <v/>
      </c>
      <c r="S440" s="12" t="str">
        <f aca="false">IF($C440="","",$C440&amp;"|"&amp;$R440)</f>
        <v/>
      </c>
    </row>
    <row r="441" customFormat="false" ht="15" hidden="false" customHeight="true" outlineLevel="0" collapsed="false">
      <c r="A441" s="12" t="str">
        <f aca="false">IF($C441="","",TEXT($B441,"yymmdd")&amp;"-"&amp;TEXT(COUNTIFS($B$3:$B441,$B441),"000"))</f>
        <v/>
      </c>
      <c r="B441" s="13"/>
      <c r="C441" s="7"/>
      <c r="D441" s="12" t="str">
        <f aca="false">IF($C441="","",IFERROR(INDEX(고객명부!$B$3:$B$502,MATCH($C441,고객명부!$A$3:$A$502,0)),"미등록고객"))</f>
        <v/>
      </c>
      <c r="E441" s="12" t="str">
        <f aca="false">IF($C441="","",IFERROR(INDEX(고객명부!$C$3:$C$502,MATCH($C441,고객명부!$A$3:$A$502,0)),""))</f>
        <v/>
      </c>
      <c r="F441" s="12" t="str">
        <f aca="false">IF($C441="","",IFERROR(INDEX(고객명부!$D$3:$D$502,MATCH($C441,고객명부!$A$3:$A$502,0)),""))</f>
        <v/>
      </c>
      <c r="G441" s="12" t="str">
        <f aca="false">IF($C441="","",IFERROR(INDEX(고객명부!$E$3:$E$502,MATCH($C441,고객명부!$A$3:$A$502,0))&amp;" "&amp;INDEX(고객명부!$F$3:$F$502,MATCH($C441,고객명부!$A$3:$A$502,0)),""))</f>
        <v/>
      </c>
      <c r="H441" s="7"/>
      <c r="I441" s="12" t="str">
        <f aca="false">IF($H441="","",IFERROR(INDEX(상품목록!$B$3:$B$102,MATCH($H441,상품목록!$A$3:$A$102,0)),""))</f>
        <v/>
      </c>
      <c r="J441" s="14" t="str">
        <f aca="false">IF($H441="","",IFERROR(INDEX(상품목록!$C$3:$C$102,MATCH($H441,상품목록!$A$3:$A$102,0)),0))</f>
        <v/>
      </c>
      <c r="K441" s="7"/>
      <c r="L441" s="14" t="str">
        <f aca="false">IF(OR($J441="",$K441=""),"",ROUND($J441*$K441,0))</f>
        <v/>
      </c>
      <c r="M441" s="9"/>
      <c r="N441" s="14" t="str">
        <f aca="false">IF($L441="","",$L441+IF($M441="",0,$M441))</f>
        <v/>
      </c>
      <c r="O441" s="13"/>
      <c r="P441" s="7"/>
      <c r="Q441" s="12" t="str">
        <f aca="false">IF($C441="","",IF($P441&lt;&gt;"","발송완료",IF($O441&lt;&gt;"","입금완료","입금대기")))</f>
        <v/>
      </c>
      <c r="R441" s="12" t="str">
        <f aca="false">IF($C441="","",COUNTIFS($C$3:$C441,$C441))</f>
        <v/>
      </c>
      <c r="S441" s="12" t="str">
        <f aca="false">IF($C441="","",$C441&amp;"|"&amp;$R441)</f>
        <v/>
      </c>
    </row>
    <row r="442" customFormat="false" ht="15" hidden="false" customHeight="true" outlineLevel="0" collapsed="false">
      <c r="A442" s="12" t="str">
        <f aca="false">IF($C442="","",TEXT($B442,"yymmdd")&amp;"-"&amp;TEXT(COUNTIFS($B$3:$B442,$B442),"000"))</f>
        <v/>
      </c>
      <c r="B442" s="13"/>
      <c r="C442" s="7"/>
      <c r="D442" s="12" t="str">
        <f aca="false">IF($C442="","",IFERROR(INDEX(고객명부!$B$3:$B$502,MATCH($C442,고객명부!$A$3:$A$502,0)),"미등록고객"))</f>
        <v/>
      </c>
      <c r="E442" s="12" t="str">
        <f aca="false">IF($C442="","",IFERROR(INDEX(고객명부!$C$3:$C$502,MATCH($C442,고객명부!$A$3:$A$502,0)),""))</f>
        <v/>
      </c>
      <c r="F442" s="12" t="str">
        <f aca="false">IF($C442="","",IFERROR(INDEX(고객명부!$D$3:$D$502,MATCH($C442,고객명부!$A$3:$A$502,0)),""))</f>
        <v/>
      </c>
      <c r="G442" s="12" t="str">
        <f aca="false">IF($C442="","",IFERROR(INDEX(고객명부!$E$3:$E$502,MATCH($C442,고객명부!$A$3:$A$502,0))&amp;" "&amp;INDEX(고객명부!$F$3:$F$502,MATCH($C442,고객명부!$A$3:$A$502,0)),""))</f>
        <v/>
      </c>
      <c r="H442" s="7"/>
      <c r="I442" s="12" t="str">
        <f aca="false">IF($H442="","",IFERROR(INDEX(상품목록!$B$3:$B$102,MATCH($H442,상품목록!$A$3:$A$102,0)),""))</f>
        <v/>
      </c>
      <c r="J442" s="14" t="str">
        <f aca="false">IF($H442="","",IFERROR(INDEX(상품목록!$C$3:$C$102,MATCH($H442,상품목록!$A$3:$A$102,0)),0))</f>
        <v/>
      </c>
      <c r="K442" s="7"/>
      <c r="L442" s="14" t="str">
        <f aca="false">IF(OR($J442="",$K442=""),"",ROUND($J442*$K442,0))</f>
        <v/>
      </c>
      <c r="M442" s="9"/>
      <c r="N442" s="14" t="str">
        <f aca="false">IF($L442="","",$L442+IF($M442="",0,$M442))</f>
        <v/>
      </c>
      <c r="O442" s="13"/>
      <c r="P442" s="7"/>
      <c r="Q442" s="12" t="str">
        <f aca="false">IF($C442="","",IF($P442&lt;&gt;"","발송완료",IF($O442&lt;&gt;"","입금완료","입금대기")))</f>
        <v/>
      </c>
      <c r="R442" s="12" t="str">
        <f aca="false">IF($C442="","",COUNTIFS($C$3:$C442,$C442))</f>
        <v/>
      </c>
      <c r="S442" s="12" t="str">
        <f aca="false">IF($C442="","",$C442&amp;"|"&amp;$R442)</f>
        <v/>
      </c>
    </row>
    <row r="443" customFormat="false" ht="15" hidden="false" customHeight="true" outlineLevel="0" collapsed="false">
      <c r="A443" s="12" t="str">
        <f aca="false">IF($C443="","",TEXT($B443,"yymmdd")&amp;"-"&amp;TEXT(COUNTIFS($B$3:$B443,$B443),"000"))</f>
        <v/>
      </c>
      <c r="B443" s="13"/>
      <c r="C443" s="7"/>
      <c r="D443" s="12" t="str">
        <f aca="false">IF($C443="","",IFERROR(INDEX(고객명부!$B$3:$B$502,MATCH($C443,고객명부!$A$3:$A$502,0)),"미등록고객"))</f>
        <v/>
      </c>
      <c r="E443" s="12" t="str">
        <f aca="false">IF($C443="","",IFERROR(INDEX(고객명부!$C$3:$C$502,MATCH($C443,고객명부!$A$3:$A$502,0)),""))</f>
        <v/>
      </c>
      <c r="F443" s="12" t="str">
        <f aca="false">IF($C443="","",IFERROR(INDEX(고객명부!$D$3:$D$502,MATCH($C443,고객명부!$A$3:$A$502,0)),""))</f>
        <v/>
      </c>
      <c r="G443" s="12" t="str">
        <f aca="false">IF($C443="","",IFERROR(INDEX(고객명부!$E$3:$E$502,MATCH($C443,고객명부!$A$3:$A$502,0))&amp;" "&amp;INDEX(고객명부!$F$3:$F$502,MATCH($C443,고객명부!$A$3:$A$502,0)),""))</f>
        <v/>
      </c>
      <c r="H443" s="7"/>
      <c r="I443" s="12" t="str">
        <f aca="false">IF($H443="","",IFERROR(INDEX(상품목록!$B$3:$B$102,MATCH($H443,상품목록!$A$3:$A$102,0)),""))</f>
        <v/>
      </c>
      <c r="J443" s="14" t="str">
        <f aca="false">IF($H443="","",IFERROR(INDEX(상품목록!$C$3:$C$102,MATCH($H443,상품목록!$A$3:$A$102,0)),0))</f>
        <v/>
      </c>
      <c r="K443" s="7"/>
      <c r="L443" s="14" t="str">
        <f aca="false">IF(OR($J443="",$K443=""),"",ROUND($J443*$K443,0))</f>
        <v/>
      </c>
      <c r="M443" s="9"/>
      <c r="N443" s="14" t="str">
        <f aca="false">IF($L443="","",$L443+IF($M443="",0,$M443))</f>
        <v/>
      </c>
      <c r="O443" s="13"/>
      <c r="P443" s="7"/>
      <c r="Q443" s="12" t="str">
        <f aca="false">IF($C443="","",IF($P443&lt;&gt;"","발송완료",IF($O443&lt;&gt;"","입금완료","입금대기")))</f>
        <v/>
      </c>
      <c r="R443" s="12" t="str">
        <f aca="false">IF($C443="","",COUNTIFS($C$3:$C443,$C443))</f>
        <v/>
      </c>
      <c r="S443" s="12" t="str">
        <f aca="false">IF($C443="","",$C443&amp;"|"&amp;$R443)</f>
        <v/>
      </c>
    </row>
    <row r="444" customFormat="false" ht="15" hidden="false" customHeight="true" outlineLevel="0" collapsed="false">
      <c r="A444" s="12" t="str">
        <f aca="false">IF($C444="","",TEXT($B444,"yymmdd")&amp;"-"&amp;TEXT(COUNTIFS($B$3:$B444,$B444),"000"))</f>
        <v/>
      </c>
      <c r="B444" s="13"/>
      <c r="C444" s="7"/>
      <c r="D444" s="12" t="str">
        <f aca="false">IF($C444="","",IFERROR(INDEX(고객명부!$B$3:$B$502,MATCH($C444,고객명부!$A$3:$A$502,0)),"미등록고객"))</f>
        <v/>
      </c>
      <c r="E444" s="12" t="str">
        <f aca="false">IF($C444="","",IFERROR(INDEX(고객명부!$C$3:$C$502,MATCH($C444,고객명부!$A$3:$A$502,0)),""))</f>
        <v/>
      </c>
      <c r="F444" s="12" t="str">
        <f aca="false">IF($C444="","",IFERROR(INDEX(고객명부!$D$3:$D$502,MATCH($C444,고객명부!$A$3:$A$502,0)),""))</f>
        <v/>
      </c>
      <c r="G444" s="12" t="str">
        <f aca="false">IF($C444="","",IFERROR(INDEX(고객명부!$E$3:$E$502,MATCH($C444,고객명부!$A$3:$A$502,0))&amp;" "&amp;INDEX(고객명부!$F$3:$F$502,MATCH($C444,고객명부!$A$3:$A$502,0)),""))</f>
        <v/>
      </c>
      <c r="H444" s="7"/>
      <c r="I444" s="12" t="str">
        <f aca="false">IF($H444="","",IFERROR(INDEX(상품목록!$B$3:$B$102,MATCH($H444,상품목록!$A$3:$A$102,0)),""))</f>
        <v/>
      </c>
      <c r="J444" s="14" t="str">
        <f aca="false">IF($H444="","",IFERROR(INDEX(상품목록!$C$3:$C$102,MATCH($H444,상품목록!$A$3:$A$102,0)),0))</f>
        <v/>
      </c>
      <c r="K444" s="7"/>
      <c r="L444" s="14" t="str">
        <f aca="false">IF(OR($J444="",$K444=""),"",ROUND($J444*$K444,0))</f>
        <v/>
      </c>
      <c r="M444" s="9"/>
      <c r="N444" s="14" t="str">
        <f aca="false">IF($L444="","",$L444+IF($M444="",0,$M444))</f>
        <v/>
      </c>
      <c r="O444" s="13"/>
      <c r="P444" s="7"/>
      <c r="Q444" s="12" t="str">
        <f aca="false">IF($C444="","",IF($P444&lt;&gt;"","발송완료",IF($O444&lt;&gt;"","입금완료","입금대기")))</f>
        <v/>
      </c>
      <c r="R444" s="12" t="str">
        <f aca="false">IF($C444="","",COUNTIFS($C$3:$C444,$C444))</f>
        <v/>
      </c>
      <c r="S444" s="12" t="str">
        <f aca="false">IF($C444="","",$C444&amp;"|"&amp;$R444)</f>
        <v/>
      </c>
    </row>
    <row r="445" customFormat="false" ht="15" hidden="false" customHeight="true" outlineLevel="0" collapsed="false">
      <c r="A445" s="12" t="str">
        <f aca="false">IF($C445="","",TEXT($B445,"yymmdd")&amp;"-"&amp;TEXT(COUNTIFS($B$3:$B445,$B445),"000"))</f>
        <v/>
      </c>
      <c r="B445" s="13"/>
      <c r="C445" s="7"/>
      <c r="D445" s="12" t="str">
        <f aca="false">IF($C445="","",IFERROR(INDEX(고객명부!$B$3:$B$502,MATCH($C445,고객명부!$A$3:$A$502,0)),"미등록고객"))</f>
        <v/>
      </c>
      <c r="E445" s="12" t="str">
        <f aca="false">IF($C445="","",IFERROR(INDEX(고객명부!$C$3:$C$502,MATCH($C445,고객명부!$A$3:$A$502,0)),""))</f>
        <v/>
      </c>
      <c r="F445" s="12" t="str">
        <f aca="false">IF($C445="","",IFERROR(INDEX(고객명부!$D$3:$D$502,MATCH($C445,고객명부!$A$3:$A$502,0)),""))</f>
        <v/>
      </c>
      <c r="G445" s="12" t="str">
        <f aca="false">IF($C445="","",IFERROR(INDEX(고객명부!$E$3:$E$502,MATCH($C445,고객명부!$A$3:$A$502,0))&amp;" "&amp;INDEX(고객명부!$F$3:$F$502,MATCH($C445,고객명부!$A$3:$A$502,0)),""))</f>
        <v/>
      </c>
      <c r="H445" s="7"/>
      <c r="I445" s="12" t="str">
        <f aca="false">IF($H445="","",IFERROR(INDEX(상품목록!$B$3:$B$102,MATCH($H445,상품목록!$A$3:$A$102,0)),""))</f>
        <v/>
      </c>
      <c r="J445" s="14" t="str">
        <f aca="false">IF($H445="","",IFERROR(INDEX(상품목록!$C$3:$C$102,MATCH($H445,상품목록!$A$3:$A$102,0)),0))</f>
        <v/>
      </c>
      <c r="K445" s="7"/>
      <c r="L445" s="14" t="str">
        <f aca="false">IF(OR($J445="",$K445=""),"",ROUND($J445*$K445,0))</f>
        <v/>
      </c>
      <c r="M445" s="9"/>
      <c r="N445" s="14" t="str">
        <f aca="false">IF($L445="","",$L445+IF($M445="",0,$M445))</f>
        <v/>
      </c>
      <c r="O445" s="13"/>
      <c r="P445" s="7"/>
      <c r="Q445" s="12" t="str">
        <f aca="false">IF($C445="","",IF($P445&lt;&gt;"","발송완료",IF($O445&lt;&gt;"","입금완료","입금대기")))</f>
        <v/>
      </c>
      <c r="R445" s="12" t="str">
        <f aca="false">IF($C445="","",COUNTIFS($C$3:$C445,$C445))</f>
        <v/>
      </c>
      <c r="S445" s="12" t="str">
        <f aca="false">IF($C445="","",$C445&amp;"|"&amp;$R445)</f>
        <v/>
      </c>
    </row>
    <row r="446" customFormat="false" ht="15" hidden="false" customHeight="true" outlineLevel="0" collapsed="false">
      <c r="A446" s="12" t="str">
        <f aca="false">IF($C446="","",TEXT($B446,"yymmdd")&amp;"-"&amp;TEXT(COUNTIFS($B$3:$B446,$B446),"000"))</f>
        <v/>
      </c>
      <c r="B446" s="13"/>
      <c r="C446" s="7"/>
      <c r="D446" s="12" t="str">
        <f aca="false">IF($C446="","",IFERROR(INDEX(고객명부!$B$3:$B$502,MATCH($C446,고객명부!$A$3:$A$502,0)),"미등록고객"))</f>
        <v/>
      </c>
      <c r="E446" s="12" t="str">
        <f aca="false">IF($C446="","",IFERROR(INDEX(고객명부!$C$3:$C$502,MATCH($C446,고객명부!$A$3:$A$502,0)),""))</f>
        <v/>
      </c>
      <c r="F446" s="12" t="str">
        <f aca="false">IF($C446="","",IFERROR(INDEX(고객명부!$D$3:$D$502,MATCH($C446,고객명부!$A$3:$A$502,0)),""))</f>
        <v/>
      </c>
      <c r="G446" s="12" t="str">
        <f aca="false">IF($C446="","",IFERROR(INDEX(고객명부!$E$3:$E$502,MATCH($C446,고객명부!$A$3:$A$502,0))&amp;" "&amp;INDEX(고객명부!$F$3:$F$502,MATCH($C446,고객명부!$A$3:$A$502,0)),""))</f>
        <v/>
      </c>
      <c r="H446" s="7"/>
      <c r="I446" s="12" t="str">
        <f aca="false">IF($H446="","",IFERROR(INDEX(상품목록!$B$3:$B$102,MATCH($H446,상품목록!$A$3:$A$102,0)),""))</f>
        <v/>
      </c>
      <c r="J446" s="14" t="str">
        <f aca="false">IF($H446="","",IFERROR(INDEX(상품목록!$C$3:$C$102,MATCH($H446,상품목록!$A$3:$A$102,0)),0))</f>
        <v/>
      </c>
      <c r="K446" s="7"/>
      <c r="L446" s="14" t="str">
        <f aca="false">IF(OR($J446="",$K446=""),"",ROUND($J446*$K446,0))</f>
        <v/>
      </c>
      <c r="M446" s="9"/>
      <c r="N446" s="14" t="str">
        <f aca="false">IF($L446="","",$L446+IF($M446="",0,$M446))</f>
        <v/>
      </c>
      <c r="O446" s="13"/>
      <c r="P446" s="7"/>
      <c r="Q446" s="12" t="str">
        <f aca="false">IF($C446="","",IF($P446&lt;&gt;"","발송완료",IF($O446&lt;&gt;"","입금완료","입금대기")))</f>
        <v/>
      </c>
      <c r="R446" s="12" t="str">
        <f aca="false">IF($C446="","",COUNTIFS($C$3:$C446,$C446))</f>
        <v/>
      </c>
      <c r="S446" s="12" t="str">
        <f aca="false">IF($C446="","",$C446&amp;"|"&amp;$R446)</f>
        <v/>
      </c>
    </row>
    <row r="447" customFormat="false" ht="15" hidden="false" customHeight="true" outlineLevel="0" collapsed="false">
      <c r="A447" s="12" t="str">
        <f aca="false">IF($C447="","",TEXT($B447,"yymmdd")&amp;"-"&amp;TEXT(COUNTIFS($B$3:$B447,$B447),"000"))</f>
        <v/>
      </c>
      <c r="B447" s="13"/>
      <c r="C447" s="7"/>
      <c r="D447" s="12" t="str">
        <f aca="false">IF($C447="","",IFERROR(INDEX(고객명부!$B$3:$B$502,MATCH($C447,고객명부!$A$3:$A$502,0)),"미등록고객"))</f>
        <v/>
      </c>
      <c r="E447" s="12" t="str">
        <f aca="false">IF($C447="","",IFERROR(INDEX(고객명부!$C$3:$C$502,MATCH($C447,고객명부!$A$3:$A$502,0)),""))</f>
        <v/>
      </c>
      <c r="F447" s="12" t="str">
        <f aca="false">IF($C447="","",IFERROR(INDEX(고객명부!$D$3:$D$502,MATCH($C447,고객명부!$A$3:$A$502,0)),""))</f>
        <v/>
      </c>
      <c r="G447" s="12" t="str">
        <f aca="false">IF($C447="","",IFERROR(INDEX(고객명부!$E$3:$E$502,MATCH($C447,고객명부!$A$3:$A$502,0))&amp;" "&amp;INDEX(고객명부!$F$3:$F$502,MATCH($C447,고객명부!$A$3:$A$502,0)),""))</f>
        <v/>
      </c>
      <c r="H447" s="7"/>
      <c r="I447" s="12" t="str">
        <f aca="false">IF($H447="","",IFERROR(INDEX(상품목록!$B$3:$B$102,MATCH($H447,상품목록!$A$3:$A$102,0)),""))</f>
        <v/>
      </c>
      <c r="J447" s="14" t="str">
        <f aca="false">IF($H447="","",IFERROR(INDEX(상품목록!$C$3:$C$102,MATCH($H447,상품목록!$A$3:$A$102,0)),0))</f>
        <v/>
      </c>
      <c r="K447" s="7"/>
      <c r="L447" s="14" t="str">
        <f aca="false">IF(OR($J447="",$K447=""),"",ROUND($J447*$K447,0))</f>
        <v/>
      </c>
      <c r="M447" s="9"/>
      <c r="N447" s="14" t="str">
        <f aca="false">IF($L447="","",$L447+IF($M447="",0,$M447))</f>
        <v/>
      </c>
      <c r="O447" s="13"/>
      <c r="P447" s="7"/>
      <c r="Q447" s="12" t="str">
        <f aca="false">IF($C447="","",IF($P447&lt;&gt;"","발송완료",IF($O447&lt;&gt;"","입금완료","입금대기")))</f>
        <v/>
      </c>
      <c r="R447" s="12" t="str">
        <f aca="false">IF($C447="","",COUNTIFS($C$3:$C447,$C447))</f>
        <v/>
      </c>
      <c r="S447" s="12" t="str">
        <f aca="false">IF($C447="","",$C447&amp;"|"&amp;$R447)</f>
        <v/>
      </c>
    </row>
    <row r="448" customFormat="false" ht="15" hidden="false" customHeight="true" outlineLevel="0" collapsed="false">
      <c r="A448" s="12" t="str">
        <f aca="false">IF($C448="","",TEXT($B448,"yymmdd")&amp;"-"&amp;TEXT(COUNTIFS($B$3:$B448,$B448),"000"))</f>
        <v/>
      </c>
      <c r="B448" s="13"/>
      <c r="C448" s="7"/>
      <c r="D448" s="12" t="str">
        <f aca="false">IF($C448="","",IFERROR(INDEX(고객명부!$B$3:$B$502,MATCH($C448,고객명부!$A$3:$A$502,0)),"미등록고객"))</f>
        <v/>
      </c>
      <c r="E448" s="12" t="str">
        <f aca="false">IF($C448="","",IFERROR(INDEX(고객명부!$C$3:$C$502,MATCH($C448,고객명부!$A$3:$A$502,0)),""))</f>
        <v/>
      </c>
      <c r="F448" s="12" t="str">
        <f aca="false">IF($C448="","",IFERROR(INDEX(고객명부!$D$3:$D$502,MATCH($C448,고객명부!$A$3:$A$502,0)),""))</f>
        <v/>
      </c>
      <c r="G448" s="12" t="str">
        <f aca="false">IF($C448="","",IFERROR(INDEX(고객명부!$E$3:$E$502,MATCH($C448,고객명부!$A$3:$A$502,0))&amp;" "&amp;INDEX(고객명부!$F$3:$F$502,MATCH($C448,고객명부!$A$3:$A$502,0)),""))</f>
        <v/>
      </c>
      <c r="H448" s="7"/>
      <c r="I448" s="12" t="str">
        <f aca="false">IF($H448="","",IFERROR(INDEX(상품목록!$B$3:$B$102,MATCH($H448,상품목록!$A$3:$A$102,0)),""))</f>
        <v/>
      </c>
      <c r="J448" s="14" t="str">
        <f aca="false">IF($H448="","",IFERROR(INDEX(상품목록!$C$3:$C$102,MATCH($H448,상품목록!$A$3:$A$102,0)),0))</f>
        <v/>
      </c>
      <c r="K448" s="7"/>
      <c r="L448" s="14" t="str">
        <f aca="false">IF(OR($J448="",$K448=""),"",ROUND($J448*$K448,0))</f>
        <v/>
      </c>
      <c r="M448" s="9"/>
      <c r="N448" s="14" t="str">
        <f aca="false">IF($L448="","",$L448+IF($M448="",0,$M448))</f>
        <v/>
      </c>
      <c r="O448" s="13"/>
      <c r="P448" s="7"/>
      <c r="Q448" s="12" t="str">
        <f aca="false">IF($C448="","",IF($P448&lt;&gt;"","발송완료",IF($O448&lt;&gt;"","입금완료","입금대기")))</f>
        <v/>
      </c>
      <c r="R448" s="12" t="str">
        <f aca="false">IF($C448="","",COUNTIFS($C$3:$C448,$C448))</f>
        <v/>
      </c>
      <c r="S448" s="12" t="str">
        <f aca="false">IF($C448="","",$C448&amp;"|"&amp;$R448)</f>
        <v/>
      </c>
    </row>
    <row r="449" customFormat="false" ht="15" hidden="false" customHeight="true" outlineLevel="0" collapsed="false">
      <c r="A449" s="12" t="str">
        <f aca="false">IF($C449="","",TEXT($B449,"yymmdd")&amp;"-"&amp;TEXT(COUNTIFS($B$3:$B449,$B449),"000"))</f>
        <v/>
      </c>
      <c r="B449" s="13"/>
      <c r="C449" s="7"/>
      <c r="D449" s="12" t="str">
        <f aca="false">IF($C449="","",IFERROR(INDEX(고객명부!$B$3:$B$502,MATCH($C449,고객명부!$A$3:$A$502,0)),"미등록고객"))</f>
        <v/>
      </c>
      <c r="E449" s="12" t="str">
        <f aca="false">IF($C449="","",IFERROR(INDEX(고객명부!$C$3:$C$502,MATCH($C449,고객명부!$A$3:$A$502,0)),""))</f>
        <v/>
      </c>
      <c r="F449" s="12" t="str">
        <f aca="false">IF($C449="","",IFERROR(INDEX(고객명부!$D$3:$D$502,MATCH($C449,고객명부!$A$3:$A$502,0)),""))</f>
        <v/>
      </c>
      <c r="G449" s="12" t="str">
        <f aca="false">IF($C449="","",IFERROR(INDEX(고객명부!$E$3:$E$502,MATCH($C449,고객명부!$A$3:$A$502,0))&amp;" "&amp;INDEX(고객명부!$F$3:$F$502,MATCH($C449,고객명부!$A$3:$A$502,0)),""))</f>
        <v/>
      </c>
      <c r="H449" s="7"/>
      <c r="I449" s="12" t="str">
        <f aca="false">IF($H449="","",IFERROR(INDEX(상품목록!$B$3:$B$102,MATCH($H449,상품목록!$A$3:$A$102,0)),""))</f>
        <v/>
      </c>
      <c r="J449" s="14" t="str">
        <f aca="false">IF($H449="","",IFERROR(INDEX(상품목록!$C$3:$C$102,MATCH($H449,상품목록!$A$3:$A$102,0)),0))</f>
        <v/>
      </c>
      <c r="K449" s="7"/>
      <c r="L449" s="14" t="str">
        <f aca="false">IF(OR($J449="",$K449=""),"",ROUND($J449*$K449,0))</f>
        <v/>
      </c>
      <c r="M449" s="9"/>
      <c r="N449" s="14" t="str">
        <f aca="false">IF($L449="","",$L449+IF($M449="",0,$M449))</f>
        <v/>
      </c>
      <c r="O449" s="13"/>
      <c r="P449" s="7"/>
      <c r="Q449" s="12" t="str">
        <f aca="false">IF($C449="","",IF($P449&lt;&gt;"","발송완료",IF($O449&lt;&gt;"","입금완료","입금대기")))</f>
        <v/>
      </c>
      <c r="R449" s="12" t="str">
        <f aca="false">IF($C449="","",COUNTIFS($C$3:$C449,$C449))</f>
        <v/>
      </c>
      <c r="S449" s="12" t="str">
        <f aca="false">IF($C449="","",$C449&amp;"|"&amp;$R449)</f>
        <v/>
      </c>
    </row>
    <row r="450" customFormat="false" ht="15" hidden="false" customHeight="true" outlineLevel="0" collapsed="false">
      <c r="A450" s="12" t="str">
        <f aca="false">IF($C450="","",TEXT($B450,"yymmdd")&amp;"-"&amp;TEXT(COUNTIFS($B$3:$B450,$B450),"000"))</f>
        <v/>
      </c>
      <c r="B450" s="13"/>
      <c r="C450" s="7"/>
      <c r="D450" s="12" t="str">
        <f aca="false">IF($C450="","",IFERROR(INDEX(고객명부!$B$3:$B$502,MATCH($C450,고객명부!$A$3:$A$502,0)),"미등록고객"))</f>
        <v/>
      </c>
      <c r="E450" s="12" t="str">
        <f aca="false">IF($C450="","",IFERROR(INDEX(고객명부!$C$3:$C$502,MATCH($C450,고객명부!$A$3:$A$502,0)),""))</f>
        <v/>
      </c>
      <c r="F450" s="12" t="str">
        <f aca="false">IF($C450="","",IFERROR(INDEX(고객명부!$D$3:$D$502,MATCH($C450,고객명부!$A$3:$A$502,0)),""))</f>
        <v/>
      </c>
      <c r="G450" s="12" t="str">
        <f aca="false">IF($C450="","",IFERROR(INDEX(고객명부!$E$3:$E$502,MATCH($C450,고객명부!$A$3:$A$502,0))&amp;" "&amp;INDEX(고객명부!$F$3:$F$502,MATCH($C450,고객명부!$A$3:$A$502,0)),""))</f>
        <v/>
      </c>
      <c r="H450" s="7"/>
      <c r="I450" s="12" t="str">
        <f aca="false">IF($H450="","",IFERROR(INDEX(상품목록!$B$3:$B$102,MATCH($H450,상품목록!$A$3:$A$102,0)),""))</f>
        <v/>
      </c>
      <c r="J450" s="14" t="str">
        <f aca="false">IF($H450="","",IFERROR(INDEX(상품목록!$C$3:$C$102,MATCH($H450,상품목록!$A$3:$A$102,0)),0))</f>
        <v/>
      </c>
      <c r="K450" s="7"/>
      <c r="L450" s="14" t="str">
        <f aca="false">IF(OR($J450="",$K450=""),"",ROUND($J450*$K450,0))</f>
        <v/>
      </c>
      <c r="M450" s="9"/>
      <c r="N450" s="14" t="str">
        <f aca="false">IF($L450="","",$L450+IF($M450="",0,$M450))</f>
        <v/>
      </c>
      <c r="O450" s="13"/>
      <c r="P450" s="7"/>
      <c r="Q450" s="12" t="str">
        <f aca="false">IF($C450="","",IF($P450&lt;&gt;"","발송완료",IF($O450&lt;&gt;"","입금완료","입금대기")))</f>
        <v/>
      </c>
      <c r="R450" s="12" t="str">
        <f aca="false">IF($C450="","",COUNTIFS($C$3:$C450,$C450))</f>
        <v/>
      </c>
      <c r="S450" s="12" t="str">
        <f aca="false">IF($C450="","",$C450&amp;"|"&amp;$R450)</f>
        <v/>
      </c>
    </row>
    <row r="451" customFormat="false" ht="15" hidden="false" customHeight="true" outlineLevel="0" collapsed="false">
      <c r="A451" s="12" t="str">
        <f aca="false">IF($C451="","",TEXT($B451,"yymmdd")&amp;"-"&amp;TEXT(COUNTIFS($B$3:$B451,$B451),"000"))</f>
        <v/>
      </c>
      <c r="B451" s="13"/>
      <c r="C451" s="7"/>
      <c r="D451" s="12" t="str">
        <f aca="false">IF($C451="","",IFERROR(INDEX(고객명부!$B$3:$B$502,MATCH($C451,고객명부!$A$3:$A$502,0)),"미등록고객"))</f>
        <v/>
      </c>
      <c r="E451" s="12" t="str">
        <f aca="false">IF($C451="","",IFERROR(INDEX(고객명부!$C$3:$C$502,MATCH($C451,고객명부!$A$3:$A$502,0)),""))</f>
        <v/>
      </c>
      <c r="F451" s="12" t="str">
        <f aca="false">IF($C451="","",IFERROR(INDEX(고객명부!$D$3:$D$502,MATCH($C451,고객명부!$A$3:$A$502,0)),""))</f>
        <v/>
      </c>
      <c r="G451" s="12" t="str">
        <f aca="false">IF($C451="","",IFERROR(INDEX(고객명부!$E$3:$E$502,MATCH($C451,고객명부!$A$3:$A$502,0))&amp;" "&amp;INDEX(고객명부!$F$3:$F$502,MATCH($C451,고객명부!$A$3:$A$502,0)),""))</f>
        <v/>
      </c>
      <c r="H451" s="7"/>
      <c r="I451" s="12" t="str">
        <f aca="false">IF($H451="","",IFERROR(INDEX(상품목록!$B$3:$B$102,MATCH($H451,상품목록!$A$3:$A$102,0)),""))</f>
        <v/>
      </c>
      <c r="J451" s="14" t="str">
        <f aca="false">IF($H451="","",IFERROR(INDEX(상품목록!$C$3:$C$102,MATCH($H451,상품목록!$A$3:$A$102,0)),0))</f>
        <v/>
      </c>
      <c r="K451" s="7"/>
      <c r="L451" s="14" t="str">
        <f aca="false">IF(OR($J451="",$K451=""),"",ROUND($J451*$K451,0))</f>
        <v/>
      </c>
      <c r="M451" s="9"/>
      <c r="N451" s="14" t="str">
        <f aca="false">IF($L451="","",$L451+IF($M451="",0,$M451))</f>
        <v/>
      </c>
      <c r="O451" s="13"/>
      <c r="P451" s="7"/>
      <c r="Q451" s="12" t="str">
        <f aca="false">IF($C451="","",IF($P451&lt;&gt;"","발송완료",IF($O451&lt;&gt;"","입금완료","입금대기")))</f>
        <v/>
      </c>
      <c r="R451" s="12" t="str">
        <f aca="false">IF($C451="","",COUNTIFS($C$3:$C451,$C451))</f>
        <v/>
      </c>
      <c r="S451" s="12" t="str">
        <f aca="false">IF($C451="","",$C451&amp;"|"&amp;$R451)</f>
        <v/>
      </c>
    </row>
    <row r="452" customFormat="false" ht="15" hidden="false" customHeight="true" outlineLevel="0" collapsed="false">
      <c r="A452" s="12" t="str">
        <f aca="false">IF($C452="","",TEXT($B452,"yymmdd")&amp;"-"&amp;TEXT(COUNTIFS($B$3:$B452,$B452),"000"))</f>
        <v/>
      </c>
      <c r="B452" s="13"/>
      <c r="C452" s="7"/>
      <c r="D452" s="12" t="str">
        <f aca="false">IF($C452="","",IFERROR(INDEX(고객명부!$B$3:$B$502,MATCH($C452,고객명부!$A$3:$A$502,0)),"미등록고객"))</f>
        <v/>
      </c>
      <c r="E452" s="12" t="str">
        <f aca="false">IF($C452="","",IFERROR(INDEX(고객명부!$C$3:$C$502,MATCH($C452,고객명부!$A$3:$A$502,0)),""))</f>
        <v/>
      </c>
      <c r="F452" s="12" t="str">
        <f aca="false">IF($C452="","",IFERROR(INDEX(고객명부!$D$3:$D$502,MATCH($C452,고객명부!$A$3:$A$502,0)),""))</f>
        <v/>
      </c>
      <c r="G452" s="12" t="str">
        <f aca="false">IF($C452="","",IFERROR(INDEX(고객명부!$E$3:$E$502,MATCH($C452,고객명부!$A$3:$A$502,0))&amp;" "&amp;INDEX(고객명부!$F$3:$F$502,MATCH($C452,고객명부!$A$3:$A$502,0)),""))</f>
        <v/>
      </c>
      <c r="H452" s="7"/>
      <c r="I452" s="12" t="str">
        <f aca="false">IF($H452="","",IFERROR(INDEX(상품목록!$B$3:$B$102,MATCH($H452,상품목록!$A$3:$A$102,0)),""))</f>
        <v/>
      </c>
      <c r="J452" s="14" t="str">
        <f aca="false">IF($H452="","",IFERROR(INDEX(상품목록!$C$3:$C$102,MATCH($H452,상품목록!$A$3:$A$102,0)),0))</f>
        <v/>
      </c>
      <c r="K452" s="7"/>
      <c r="L452" s="14" t="str">
        <f aca="false">IF(OR($J452="",$K452=""),"",ROUND($J452*$K452,0))</f>
        <v/>
      </c>
      <c r="M452" s="9"/>
      <c r="N452" s="14" t="str">
        <f aca="false">IF($L452="","",$L452+IF($M452="",0,$M452))</f>
        <v/>
      </c>
      <c r="O452" s="13"/>
      <c r="P452" s="7"/>
      <c r="Q452" s="12" t="str">
        <f aca="false">IF($C452="","",IF($P452&lt;&gt;"","발송완료",IF($O452&lt;&gt;"","입금완료","입금대기")))</f>
        <v/>
      </c>
      <c r="R452" s="12" t="str">
        <f aca="false">IF($C452="","",COUNTIFS($C$3:$C452,$C452))</f>
        <v/>
      </c>
      <c r="S452" s="12" t="str">
        <f aca="false">IF($C452="","",$C452&amp;"|"&amp;$R452)</f>
        <v/>
      </c>
    </row>
    <row r="453" customFormat="false" ht="15" hidden="false" customHeight="true" outlineLevel="0" collapsed="false">
      <c r="A453" s="12" t="str">
        <f aca="false">IF($C453="","",TEXT($B453,"yymmdd")&amp;"-"&amp;TEXT(COUNTIFS($B$3:$B453,$B453),"000"))</f>
        <v/>
      </c>
      <c r="B453" s="13"/>
      <c r="C453" s="7"/>
      <c r="D453" s="12" t="str">
        <f aca="false">IF($C453="","",IFERROR(INDEX(고객명부!$B$3:$B$502,MATCH($C453,고객명부!$A$3:$A$502,0)),"미등록고객"))</f>
        <v/>
      </c>
      <c r="E453" s="12" t="str">
        <f aca="false">IF($C453="","",IFERROR(INDEX(고객명부!$C$3:$C$502,MATCH($C453,고객명부!$A$3:$A$502,0)),""))</f>
        <v/>
      </c>
      <c r="F453" s="12" t="str">
        <f aca="false">IF($C453="","",IFERROR(INDEX(고객명부!$D$3:$D$502,MATCH($C453,고객명부!$A$3:$A$502,0)),""))</f>
        <v/>
      </c>
      <c r="G453" s="12" t="str">
        <f aca="false">IF($C453="","",IFERROR(INDEX(고객명부!$E$3:$E$502,MATCH($C453,고객명부!$A$3:$A$502,0))&amp;" "&amp;INDEX(고객명부!$F$3:$F$502,MATCH($C453,고객명부!$A$3:$A$502,0)),""))</f>
        <v/>
      </c>
      <c r="H453" s="7"/>
      <c r="I453" s="12" t="str">
        <f aca="false">IF($H453="","",IFERROR(INDEX(상품목록!$B$3:$B$102,MATCH($H453,상품목록!$A$3:$A$102,0)),""))</f>
        <v/>
      </c>
      <c r="J453" s="14" t="str">
        <f aca="false">IF($H453="","",IFERROR(INDEX(상품목록!$C$3:$C$102,MATCH($H453,상품목록!$A$3:$A$102,0)),0))</f>
        <v/>
      </c>
      <c r="K453" s="7"/>
      <c r="L453" s="14" t="str">
        <f aca="false">IF(OR($J453="",$K453=""),"",ROUND($J453*$K453,0))</f>
        <v/>
      </c>
      <c r="M453" s="9"/>
      <c r="N453" s="14" t="str">
        <f aca="false">IF($L453="","",$L453+IF($M453="",0,$M453))</f>
        <v/>
      </c>
      <c r="O453" s="13"/>
      <c r="P453" s="7"/>
      <c r="Q453" s="12" t="str">
        <f aca="false">IF($C453="","",IF($P453&lt;&gt;"","발송완료",IF($O453&lt;&gt;"","입금완료","입금대기")))</f>
        <v/>
      </c>
      <c r="R453" s="12" t="str">
        <f aca="false">IF($C453="","",COUNTIFS($C$3:$C453,$C453))</f>
        <v/>
      </c>
      <c r="S453" s="12" t="str">
        <f aca="false">IF($C453="","",$C453&amp;"|"&amp;$R453)</f>
        <v/>
      </c>
    </row>
    <row r="454" customFormat="false" ht="15" hidden="false" customHeight="true" outlineLevel="0" collapsed="false">
      <c r="A454" s="12" t="str">
        <f aca="false">IF($C454="","",TEXT($B454,"yymmdd")&amp;"-"&amp;TEXT(COUNTIFS($B$3:$B454,$B454),"000"))</f>
        <v/>
      </c>
      <c r="B454" s="13"/>
      <c r="C454" s="7"/>
      <c r="D454" s="12" t="str">
        <f aca="false">IF($C454="","",IFERROR(INDEX(고객명부!$B$3:$B$502,MATCH($C454,고객명부!$A$3:$A$502,0)),"미등록고객"))</f>
        <v/>
      </c>
      <c r="E454" s="12" t="str">
        <f aca="false">IF($C454="","",IFERROR(INDEX(고객명부!$C$3:$C$502,MATCH($C454,고객명부!$A$3:$A$502,0)),""))</f>
        <v/>
      </c>
      <c r="F454" s="12" t="str">
        <f aca="false">IF($C454="","",IFERROR(INDEX(고객명부!$D$3:$D$502,MATCH($C454,고객명부!$A$3:$A$502,0)),""))</f>
        <v/>
      </c>
      <c r="G454" s="12" t="str">
        <f aca="false">IF($C454="","",IFERROR(INDEX(고객명부!$E$3:$E$502,MATCH($C454,고객명부!$A$3:$A$502,0))&amp;" "&amp;INDEX(고객명부!$F$3:$F$502,MATCH($C454,고객명부!$A$3:$A$502,0)),""))</f>
        <v/>
      </c>
      <c r="H454" s="7"/>
      <c r="I454" s="12" t="str">
        <f aca="false">IF($H454="","",IFERROR(INDEX(상품목록!$B$3:$B$102,MATCH($H454,상품목록!$A$3:$A$102,0)),""))</f>
        <v/>
      </c>
      <c r="J454" s="14" t="str">
        <f aca="false">IF($H454="","",IFERROR(INDEX(상품목록!$C$3:$C$102,MATCH($H454,상품목록!$A$3:$A$102,0)),0))</f>
        <v/>
      </c>
      <c r="K454" s="7"/>
      <c r="L454" s="14" t="str">
        <f aca="false">IF(OR($J454="",$K454=""),"",ROUND($J454*$K454,0))</f>
        <v/>
      </c>
      <c r="M454" s="9"/>
      <c r="N454" s="14" t="str">
        <f aca="false">IF($L454="","",$L454+IF($M454="",0,$M454))</f>
        <v/>
      </c>
      <c r="O454" s="13"/>
      <c r="P454" s="7"/>
      <c r="Q454" s="12" t="str">
        <f aca="false">IF($C454="","",IF($P454&lt;&gt;"","발송완료",IF($O454&lt;&gt;"","입금완료","입금대기")))</f>
        <v/>
      </c>
      <c r="R454" s="12" t="str">
        <f aca="false">IF($C454="","",COUNTIFS($C$3:$C454,$C454))</f>
        <v/>
      </c>
      <c r="S454" s="12" t="str">
        <f aca="false">IF($C454="","",$C454&amp;"|"&amp;$R454)</f>
        <v/>
      </c>
    </row>
    <row r="455" customFormat="false" ht="15" hidden="false" customHeight="true" outlineLevel="0" collapsed="false">
      <c r="A455" s="12" t="str">
        <f aca="false">IF($C455="","",TEXT($B455,"yymmdd")&amp;"-"&amp;TEXT(COUNTIFS($B$3:$B455,$B455),"000"))</f>
        <v/>
      </c>
      <c r="B455" s="13"/>
      <c r="C455" s="7"/>
      <c r="D455" s="12" t="str">
        <f aca="false">IF($C455="","",IFERROR(INDEX(고객명부!$B$3:$B$502,MATCH($C455,고객명부!$A$3:$A$502,0)),"미등록고객"))</f>
        <v/>
      </c>
      <c r="E455" s="12" t="str">
        <f aca="false">IF($C455="","",IFERROR(INDEX(고객명부!$C$3:$C$502,MATCH($C455,고객명부!$A$3:$A$502,0)),""))</f>
        <v/>
      </c>
      <c r="F455" s="12" t="str">
        <f aca="false">IF($C455="","",IFERROR(INDEX(고객명부!$D$3:$D$502,MATCH($C455,고객명부!$A$3:$A$502,0)),""))</f>
        <v/>
      </c>
      <c r="G455" s="12" t="str">
        <f aca="false">IF($C455="","",IFERROR(INDEX(고객명부!$E$3:$E$502,MATCH($C455,고객명부!$A$3:$A$502,0))&amp;" "&amp;INDEX(고객명부!$F$3:$F$502,MATCH($C455,고객명부!$A$3:$A$502,0)),""))</f>
        <v/>
      </c>
      <c r="H455" s="7"/>
      <c r="I455" s="12" t="str">
        <f aca="false">IF($H455="","",IFERROR(INDEX(상품목록!$B$3:$B$102,MATCH($H455,상품목록!$A$3:$A$102,0)),""))</f>
        <v/>
      </c>
      <c r="J455" s="14" t="str">
        <f aca="false">IF($H455="","",IFERROR(INDEX(상품목록!$C$3:$C$102,MATCH($H455,상품목록!$A$3:$A$102,0)),0))</f>
        <v/>
      </c>
      <c r="K455" s="7"/>
      <c r="L455" s="14" t="str">
        <f aca="false">IF(OR($J455="",$K455=""),"",ROUND($J455*$K455,0))</f>
        <v/>
      </c>
      <c r="M455" s="9"/>
      <c r="N455" s="14" t="str">
        <f aca="false">IF($L455="","",$L455+IF($M455="",0,$M455))</f>
        <v/>
      </c>
      <c r="O455" s="13"/>
      <c r="P455" s="7"/>
      <c r="Q455" s="12" t="str">
        <f aca="false">IF($C455="","",IF($P455&lt;&gt;"","발송완료",IF($O455&lt;&gt;"","입금완료","입금대기")))</f>
        <v/>
      </c>
      <c r="R455" s="12" t="str">
        <f aca="false">IF($C455="","",COUNTIFS($C$3:$C455,$C455))</f>
        <v/>
      </c>
      <c r="S455" s="12" t="str">
        <f aca="false">IF($C455="","",$C455&amp;"|"&amp;$R455)</f>
        <v/>
      </c>
    </row>
    <row r="456" customFormat="false" ht="15" hidden="false" customHeight="true" outlineLevel="0" collapsed="false">
      <c r="A456" s="12" t="str">
        <f aca="false">IF($C456="","",TEXT($B456,"yymmdd")&amp;"-"&amp;TEXT(COUNTIFS($B$3:$B456,$B456),"000"))</f>
        <v/>
      </c>
      <c r="B456" s="13"/>
      <c r="C456" s="7"/>
      <c r="D456" s="12" t="str">
        <f aca="false">IF($C456="","",IFERROR(INDEX(고객명부!$B$3:$B$502,MATCH($C456,고객명부!$A$3:$A$502,0)),"미등록고객"))</f>
        <v/>
      </c>
      <c r="E456" s="12" t="str">
        <f aca="false">IF($C456="","",IFERROR(INDEX(고객명부!$C$3:$C$502,MATCH($C456,고객명부!$A$3:$A$502,0)),""))</f>
        <v/>
      </c>
      <c r="F456" s="12" t="str">
        <f aca="false">IF($C456="","",IFERROR(INDEX(고객명부!$D$3:$D$502,MATCH($C456,고객명부!$A$3:$A$502,0)),""))</f>
        <v/>
      </c>
      <c r="G456" s="12" t="str">
        <f aca="false">IF($C456="","",IFERROR(INDEX(고객명부!$E$3:$E$502,MATCH($C456,고객명부!$A$3:$A$502,0))&amp;" "&amp;INDEX(고객명부!$F$3:$F$502,MATCH($C456,고객명부!$A$3:$A$502,0)),""))</f>
        <v/>
      </c>
      <c r="H456" s="7"/>
      <c r="I456" s="12" t="str">
        <f aca="false">IF($H456="","",IFERROR(INDEX(상품목록!$B$3:$B$102,MATCH($H456,상품목록!$A$3:$A$102,0)),""))</f>
        <v/>
      </c>
      <c r="J456" s="14" t="str">
        <f aca="false">IF($H456="","",IFERROR(INDEX(상품목록!$C$3:$C$102,MATCH($H456,상품목록!$A$3:$A$102,0)),0))</f>
        <v/>
      </c>
      <c r="K456" s="7"/>
      <c r="L456" s="14" t="str">
        <f aca="false">IF(OR($J456="",$K456=""),"",ROUND($J456*$K456,0))</f>
        <v/>
      </c>
      <c r="M456" s="9"/>
      <c r="N456" s="14" t="str">
        <f aca="false">IF($L456="","",$L456+IF($M456="",0,$M456))</f>
        <v/>
      </c>
      <c r="O456" s="13"/>
      <c r="P456" s="7"/>
      <c r="Q456" s="12" t="str">
        <f aca="false">IF($C456="","",IF($P456&lt;&gt;"","발송완료",IF($O456&lt;&gt;"","입금완료","입금대기")))</f>
        <v/>
      </c>
      <c r="R456" s="12" t="str">
        <f aca="false">IF($C456="","",COUNTIFS($C$3:$C456,$C456))</f>
        <v/>
      </c>
      <c r="S456" s="12" t="str">
        <f aca="false">IF($C456="","",$C456&amp;"|"&amp;$R456)</f>
        <v/>
      </c>
    </row>
    <row r="457" customFormat="false" ht="15" hidden="false" customHeight="true" outlineLevel="0" collapsed="false">
      <c r="A457" s="12" t="str">
        <f aca="false">IF($C457="","",TEXT($B457,"yymmdd")&amp;"-"&amp;TEXT(COUNTIFS($B$3:$B457,$B457),"000"))</f>
        <v/>
      </c>
      <c r="B457" s="13"/>
      <c r="C457" s="7"/>
      <c r="D457" s="12" t="str">
        <f aca="false">IF($C457="","",IFERROR(INDEX(고객명부!$B$3:$B$502,MATCH($C457,고객명부!$A$3:$A$502,0)),"미등록고객"))</f>
        <v/>
      </c>
      <c r="E457" s="12" t="str">
        <f aca="false">IF($C457="","",IFERROR(INDEX(고객명부!$C$3:$C$502,MATCH($C457,고객명부!$A$3:$A$502,0)),""))</f>
        <v/>
      </c>
      <c r="F457" s="12" t="str">
        <f aca="false">IF($C457="","",IFERROR(INDEX(고객명부!$D$3:$D$502,MATCH($C457,고객명부!$A$3:$A$502,0)),""))</f>
        <v/>
      </c>
      <c r="G457" s="12" t="str">
        <f aca="false">IF($C457="","",IFERROR(INDEX(고객명부!$E$3:$E$502,MATCH($C457,고객명부!$A$3:$A$502,0))&amp;" "&amp;INDEX(고객명부!$F$3:$F$502,MATCH($C457,고객명부!$A$3:$A$502,0)),""))</f>
        <v/>
      </c>
      <c r="H457" s="7"/>
      <c r="I457" s="12" t="str">
        <f aca="false">IF($H457="","",IFERROR(INDEX(상품목록!$B$3:$B$102,MATCH($H457,상품목록!$A$3:$A$102,0)),""))</f>
        <v/>
      </c>
      <c r="J457" s="14" t="str">
        <f aca="false">IF($H457="","",IFERROR(INDEX(상품목록!$C$3:$C$102,MATCH($H457,상품목록!$A$3:$A$102,0)),0))</f>
        <v/>
      </c>
      <c r="K457" s="7"/>
      <c r="L457" s="14" t="str">
        <f aca="false">IF(OR($J457="",$K457=""),"",ROUND($J457*$K457,0))</f>
        <v/>
      </c>
      <c r="M457" s="9"/>
      <c r="N457" s="14" t="str">
        <f aca="false">IF($L457="","",$L457+IF($M457="",0,$M457))</f>
        <v/>
      </c>
      <c r="O457" s="13"/>
      <c r="P457" s="7"/>
      <c r="Q457" s="12" t="str">
        <f aca="false">IF($C457="","",IF($P457&lt;&gt;"","발송완료",IF($O457&lt;&gt;"","입금완료","입금대기")))</f>
        <v/>
      </c>
      <c r="R457" s="12" t="str">
        <f aca="false">IF($C457="","",COUNTIFS($C$3:$C457,$C457))</f>
        <v/>
      </c>
      <c r="S457" s="12" t="str">
        <f aca="false">IF($C457="","",$C457&amp;"|"&amp;$R457)</f>
        <v/>
      </c>
    </row>
    <row r="458" customFormat="false" ht="15" hidden="false" customHeight="true" outlineLevel="0" collapsed="false">
      <c r="A458" s="12" t="str">
        <f aca="false">IF($C458="","",TEXT($B458,"yymmdd")&amp;"-"&amp;TEXT(COUNTIFS($B$3:$B458,$B458),"000"))</f>
        <v/>
      </c>
      <c r="B458" s="13"/>
      <c r="C458" s="7"/>
      <c r="D458" s="12" t="str">
        <f aca="false">IF($C458="","",IFERROR(INDEX(고객명부!$B$3:$B$502,MATCH($C458,고객명부!$A$3:$A$502,0)),"미등록고객"))</f>
        <v/>
      </c>
      <c r="E458" s="12" t="str">
        <f aca="false">IF($C458="","",IFERROR(INDEX(고객명부!$C$3:$C$502,MATCH($C458,고객명부!$A$3:$A$502,0)),""))</f>
        <v/>
      </c>
      <c r="F458" s="12" t="str">
        <f aca="false">IF($C458="","",IFERROR(INDEX(고객명부!$D$3:$D$502,MATCH($C458,고객명부!$A$3:$A$502,0)),""))</f>
        <v/>
      </c>
      <c r="G458" s="12" t="str">
        <f aca="false">IF($C458="","",IFERROR(INDEX(고객명부!$E$3:$E$502,MATCH($C458,고객명부!$A$3:$A$502,0))&amp;" "&amp;INDEX(고객명부!$F$3:$F$502,MATCH($C458,고객명부!$A$3:$A$502,0)),""))</f>
        <v/>
      </c>
      <c r="H458" s="7"/>
      <c r="I458" s="12" t="str">
        <f aca="false">IF($H458="","",IFERROR(INDEX(상품목록!$B$3:$B$102,MATCH($H458,상품목록!$A$3:$A$102,0)),""))</f>
        <v/>
      </c>
      <c r="J458" s="14" t="str">
        <f aca="false">IF($H458="","",IFERROR(INDEX(상품목록!$C$3:$C$102,MATCH($H458,상품목록!$A$3:$A$102,0)),0))</f>
        <v/>
      </c>
      <c r="K458" s="7"/>
      <c r="L458" s="14" t="str">
        <f aca="false">IF(OR($J458="",$K458=""),"",ROUND($J458*$K458,0))</f>
        <v/>
      </c>
      <c r="M458" s="9"/>
      <c r="N458" s="14" t="str">
        <f aca="false">IF($L458="","",$L458+IF($M458="",0,$M458))</f>
        <v/>
      </c>
      <c r="O458" s="13"/>
      <c r="P458" s="7"/>
      <c r="Q458" s="12" t="str">
        <f aca="false">IF($C458="","",IF($P458&lt;&gt;"","발송완료",IF($O458&lt;&gt;"","입금완료","입금대기")))</f>
        <v/>
      </c>
      <c r="R458" s="12" t="str">
        <f aca="false">IF($C458="","",COUNTIFS($C$3:$C458,$C458))</f>
        <v/>
      </c>
      <c r="S458" s="12" t="str">
        <f aca="false">IF($C458="","",$C458&amp;"|"&amp;$R458)</f>
        <v/>
      </c>
    </row>
    <row r="459" customFormat="false" ht="15" hidden="false" customHeight="true" outlineLevel="0" collapsed="false">
      <c r="A459" s="12" t="str">
        <f aca="false">IF($C459="","",TEXT($B459,"yymmdd")&amp;"-"&amp;TEXT(COUNTIFS($B$3:$B459,$B459),"000"))</f>
        <v/>
      </c>
      <c r="B459" s="13"/>
      <c r="C459" s="7"/>
      <c r="D459" s="12" t="str">
        <f aca="false">IF($C459="","",IFERROR(INDEX(고객명부!$B$3:$B$502,MATCH($C459,고객명부!$A$3:$A$502,0)),"미등록고객"))</f>
        <v/>
      </c>
      <c r="E459" s="12" t="str">
        <f aca="false">IF($C459="","",IFERROR(INDEX(고객명부!$C$3:$C$502,MATCH($C459,고객명부!$A$3:$A$502,0)),""))</f>
        <v/>
      </c>
      <c r="F459" s="12" t="str">
        <f aca="false">IF($C459="","",IFERROR(INDEX(고객명부!$D$3:$D$502,MATCH($C459,고객명부!$A$3:$A$502,0)),""))</f>
        <v/>
      </c>
      <c r="G459" s="12" t="str">
        <f aca="false">IF($C459="","",IFERROR(INDEX(고객명부!$E$3:$E$502,MATCH($C459,고객명부!$A$3:$A$502,0))&amp;" "&amp;INDEX(고객명부!$F$3:$F$502,MATCH($C459,고객명부!$A$3:$A$502,0)),""))</f>
        <v/>
      </c>
      <c r="H459" s="7"/>
      <c r="I459" s="12" t="str">
        <f aca="false">IF($H459="","",IFERROR(INDEX(상품목록!$B$3:$B$102,MATCH($H459,상품목록!$A$3:$A$102,0)),""))</f>
        <v/>
      </c>
      <c r="J459" s="14" t="str">
        <f aca="false">IF($H459="","",IFERROR(INDEX(상품목록!$C$3:$C$102,MATCH($H459,상품목록!$A$3:$A$102,0)),0))</f>
        <v/>
      </c>
      <c r="K459" s="7"/>
      <c r="L459" s="14" t="str">
        <f aca="false">IF(OR($J459="",$K459=""),"",ROUND($J459*$K459,0))</f>
        <v/>
      </c>
      <c r="M459" s="9"/>
      <c r="N459" s="14" t="str">
        <f aca="false">IF($L459="","",$L459+IF($M459="",0,$M459))</f>
        <v/>
      </c>
      <c r="O459" s="13"/>
      <c r="P459" s="7"/>
      <c r="Q459" s="12" t="str">
        <f aca="false">IF($C459="","",IF($P459&lt;&gt;"","발송완료",IF($O459&lt;&gt;"","입금완료","입금대기")))</f>
        <v/>
      </c>
      <c r="R459" s="12" t="str">
        <f aca="false">IF($C459="","",COUNTIFS($C$3:$C459,$C459))</f>
        <v/>
      </c>
      <c r="S459" s="12" t="str">
        <f aca="false">IF($C459="","",$C459&amp;"|"&amp;$R459)</f>
        <v/>
      </c>
    </row>
    <row r="460" customFormat="false" ht="15" hidden="false" customHeight="true" outlineLevel="0" collapsed="false">
      <c r="A460" s="12" t="str">
        <f aca="false">IF($C460="","",TEXT($B460,"yymmdd")&amp;"-"&amp;TEXT(COUNTIFS($B$3:$B460,$B460),"000"))</f>
        <v/>
      </c>
      <c r="B460" s="13"/>
      <c r="C460" s="7"/>
      <c r="D460" s="12" t="str">
        <f aca="false">IF($C460="","",IFERROR(INDEX(고객명부!$B$3:$B$502,MATCH($C460,고객명부!$A$3:$A$502,0)),"미등록고객"))</f>
        <v/>
      </c>
      <c r="E460" s="12" t="str">
        <f aca="false">IF($C460="","",IFERROR(INDEX(고객명부!$C$3:$C$502,MATCH($C460,고객명부!$A$3:$A$502,0)),""))</f>
        <v/>
      </c>
      <c r="F460" s="12" t="str">
        <f aca="false">IF($C460="","",IFERROR(INDEX(고객명부!$D$3:$D$502,MATCH($C460,고객명부!$A$3:$A$502,0)),""))</f>
        <v/>
      </c>
      <c r="G460" s="12" t="str">
        <f aca="false">IF($C460="","",IFERROR(INDEX(고객명부!$E$3:$E$502,MATCH($C460,고객명부!$A$3:$A$502,0))&amp;" "&amp;INDEX(고객명부!$F$3:$F$502,MATCH($C460,고객명부!$A$3:$A$502,0)),""))</f>
        <v/>
      </c>
      <c r="H460" s="7"/>
      <c r="I460" s="12" t="str">
        <f aca="false">IF($H460="","",IFERROR(INDEX(상품목록!$B$3:$B$102,MATCH($H460,상품목록!$A$3:$A$102,0)),""))</f>
        <v/>
      </c>
      <c r="J460" s="14" t="str">
        <f aca="false">IF($H460="","",IFERROR(INDEX(상품목록!$C$3:$C$102,MATCH($H460,상품목록!$A$3:$A$102,0)),0))</f>
        <v/>
      </c>
      <c r="K460" s="7"/>
      <c r="L460" s="14" t="str">
        <f aca="false">IF(OR($J460="",$K460=""),"",ROUND($J460*$K460,0))</f>
        <v/>
      </c>
      <c r="M460" s="9"/>
      <c r="N460" s="14" t="str">
        <f aca="false">IF($L460="","",$L460+IF($M460="",0,$M460))</f>
        <v/>
      </c>
      <c r="O460" s="13"/>
      <c r="P460" s="7"/>
      <c r="Q460" s="12" t="str">
        <f aca="false">IF($C460="","",IF($P460&lt;&gt;"","발송완료",IF($O460&lt;&gt;"","입금완료","입금대기")))</f>
        <v/>
      </c>
      <c r="R460" s="12" t="str">
        <f aca="false">IF($C460="","",COUNTIFS($C$3:$C460,$C460))</f>
        <v/>
      </c>
      <c r="S460" s="12" t="str">
        <f aca="false">IF($C460="","",$C460&amp;"|"&amp;$R460)</f>
        <v/>
      </c>
    </row>
    <row r="461" customFormat="false" ht="15" hidden="false" customHeight="true" outlineLevel="0" collapsed="false">
      <c r="A461" s="12" t="str">
        <f aca="false">IF($C461="","",TEXT($B461,"yymmdd")&amp;"-"&amp;TEXT(COUNTIFS($B$3:$B461,$B461),"000"))</f>
        <v/>
      </c>
      <c r="B461" s="13"/>
      <c r="C461" s="7"/>
      <c r="D461" s="12" t="str">
        <f aca="false">IF($C461="","",IFERROR(INDEX(고객명부!$B$3:$B$502,MATCH($C461,고객명부!$A$3:$A$502,0)),"미등록고객"))</f>
        <v/>
      </c>
      <c r="E461" s="12" t="str">
        <f aca="false">IF($C461="","",IFERROR(INDEX(고객명부!$C$3:$C$502,MATCH($C461,고객명부!$A$3:$A$502,0)),""))</f>
        <v/>
      </c>
      <c r="F461" s="12" t="str">
        <f aca="false">IF($C461="","",IFERROR(INDEX(고객명부!$D$3:$D$502,MATCH($C461,고객명부!$A$3:$A$502,0)),""))</f>
        <v/>
      </c>
      <c r="G461" s="12" t="str">
        <f aca="false">IF($C461="","",IFERROR(INDEX(고객명부!$E$3:$E$502,MATCH($C461,고객명부!$A$3:$A$502,0))&amp;" "&amp;INDEX(고객명부!$F$3:$F$502,MATCH($C461,고객명부!$A$3:$A$502,0)),""))</f>
        <v/>
      </c>
      <c r="H461" s="7"/>
      <c r="I461" s="12" t="str">
        <f aca="false">IF($H461="","",IFERROR(INDEX(상품목록!$B$3:$B$102,MATCH($H461,상품목록!$A$3:$A$102,0)),""))</f>
        <v/>
      </c>
      <c r="J461" s="14" t="str">
        <f aca="false">IF($H461="","",IFERROR(INDEX(상품목록!$C$3:$C$102,MATCH($H461,상품목록!$A$3:$A$102,0)),0))</f>
        <v/>
      </c>
      <c r="K461" s="7"/>
      <c r="L461" s="14" t="str">
        <f aca="false">IF(OR($J461="",$K461=""),"",ROUND($J461*$K461,0))</f>
        <v/>
      </c>
      <c r="M461" s="9"/>
      <c r="N461" s="14" t="str">
        <f aca="false">IF($L461="","",$L461+IF($M461="",0,$M461))</f>
        <v/>
      </c>
      <c r="O461" s="13"/>
      <c r="P461" s="7"/>
      <c r="Q461" s="12" t="str">
        <f aca="false">IF($C461="","",IF($P461&lt;&gt;"","발송완료",IF($O461&lt;&gt;"","입금완료","입금대기")))</f>
        <v/>
      </c>
      <c r="R461" s="12" t="str">
        <f aca="false">IF($C461="","",COUNTIFS($C$3:$C461,$C461))</f>
        <v/>
      </c>
      <c r="S461" s="12" t="str">
        <f aca="false">IF($C461="","",$C461&amp;"|"&amp;$R461)</f>
        <v/>
      </c>
    </row>
    <row r="462" customFormat="false" ht="15" hidden="false" customHeight="true" outlineLevel="0" collapsed="false">
      <c r="A462" s="12" t="str">
        <f aca="false">IF($C462="","",TEXT($B462,"yymmdd")&amp;"-"&amp;TEXT(COUNTIFS($B$3:$B462,$B462),"000"))</f>
        <v/>
      </c>
      <c r="B462" s="13"/>
      <c r="C462" s="7"/>
      <c r="D462" s="12" t="str">
        <f aca="false">IF($C462="","",IFERROR(INDEX(고객명부!$B$3:$B$502,MATCH($C462,고객명부!$A$3:$A$502,0)),"미등록고객"))</f>
        <v/>
      </c>
      <c r="E462" s="12" t="str">
        <f aca="false">IF($C462="","",IFERROR(INDEX(고객명부!$C$3:$C$502,MATCH($C462,고객명부!$A$3:$A$502,0)),""))</f>
        <v/>
      </c>
      <c r="F462" s="12" t="str">
        <f aca="false">IF($C462="","",IFERROR(INDEX(고객명부!$D$3:$D$502,MATCH($C462,고객명부!$A$3:$A$502,0)),""))</f>
        <v/>
      </c>
      <c r="G462" s="12" t="str">
        <f aca="false">IF($C462="","",IFERROR(INDEX(고객명부!$E$3:$E$502,MATCH($C462,고객명부!$A$3:$A$502,0))&amp;" "&amp;INDEX(고객명부!$F$3:$F$502,MATCH($C462,고객명부!$A$3:$A$502,0)),""))</f>
        <v/>
      </c>
      <c r="H462" s="7"/>
      <c r="I462" s="12" t="str">
        <f aca="false">IF($H462="","",IFERROR(INDEX(상품목록!$B$3:$B$102,MATCH($H462,상품목록!$A$3:$A$102,0)),""))</f>
        <v/>
      </c>
      <c r="J462" s="14" t="str">
        <f aca="false">IF($H462="","",IFERROR(INDEX(상품목록!$C$3:$C$102,MATCH($H462,상품목록!$A$3:$A$102,0)),0))</f>
        <v/>
      </c>
      <c r="K462" s="7"/>
      <c r="L462" s="14" t="str">
        <f aca="false">IF(OR($J462="",$K462=""),"",ROUND($J462*$K462,0))</f>
        <v/>
      </c>
      <c r="M462" s="9"/>
      <c r="N462" s="14" t="str">
        <f aca="false">IF($L462="","",$L462+IF($M462="",0,$M462))</f>
        <v/>
      </c>
      <c r="O462" s="13"/>
      <c r="P462" s="7"/>
      <c r="Q462" s="12" t="str">
        <f aca="false">IF($C462="","",IF($P462&lt;&gt;"","발송완료",IF($O462&lt;&gt;"","입금완료","입금대기")))</f>
        <v/>
      </c>
      <c r="R462" s="12" t="str">
        <f aca="false">IF($C462="","",COUNTIFS($C$3:$C462,$C462))</f>
        <v/>
      </c>
      <c r="S462" s="12" t="str">
        <f aca="false">IF($C462="","",$C462&amp;"|"&amp;$R462)</f>
        <v/>
      </c>
    </row>
    <row r="463" customFormat="false" ht="15" hidden="false" customHeight="true" outlineLevel="0" collapsed="false">
      <c r="A463" s="12" t="str">
        <f aca="false">IF($C463="","",TEXT($B463,"yymmdd")&amp;"-"&amp;TEXT(COUNTIFS($B$3:$B463,$B463),"000"))</f>
        <v/>
      </c>
      <c r="B463" s="13"/>
      <c r="C463" s="7"/>
      <c r="D463" s="12" t="str">
        <f aca="false">IF($C463="","",IFERROR(INDEX(고객명부!$B$3:$B$502,MATCH($C463,고객명부!$A$3:$A$502,0)),"미등록고객"))</f>
        <v/>
      </c>
      <c r="E463" s="12" t="str">
        <f aca="false">IF($C463="","",IFERROR(INDEX(고객명부!$C$3:$C$502,MATCH($C463,고객명부!$A$3:$A$502,0)),""))</f>
        <v/>
      </c>
      <c r="F463" s="12" t="str">
        <f aca="false">IF($C463="","",IFERROR(INDEX(고객명부!$D$3:$D$502,MATCH($C463,고객명부!$A$3:$A$502,0)),""))</f>
        <v/>
      </c>
      <c r="G463" s="12" t="str">
        <f aca="false">IF($C463="","",IFERROR(INDEX(고객명부!$E$3:$E$502,MATCH($C463,고객명부!$A$3:$A$502,0))&amp;" "&amp;INDEX(고객명부!$F$3:$F$502,MATCH($C463,고객명부!$A$3:$A$502,0)),""))</f>
        <v/>
      </c>
      <c r="H463" s="7"/>
      <c r="I463" s="12" t="str">
        <f aca="false">IF($H463="","",IFERROR(INDEX(상품목록!$B$3:$B$102,MATCH($H463,상품목록!$A$3:$A$102,0)),""))</f>
        <v/>
      </c>
      <c r="J463" s="14" t="str">
        <f aca="false">IF($H463="","",IFERROR(INDEX(상품목록!$C$3:$C$102,MATCH($H463,상품목록!$A$3:$A$102,0)),0))</f>
        <v/>
      </c>
      <c r="K463" s="7"/>
      <c r="L463" s="14" t="str">
        <f aca="false">IF(OR($J463="",$K463=""),"",ROUND($J463*$K463,0))</f>
        <v/>
      </c>
      <c r="M463" s="9"/>
      <c r="N463" s="14" t="str">
        <f aca="false">IF($L463="","",$L463+IF($M463="",0,$M463))</f>
        <v/>
      </c>
      <c r="O463" s="13"/>
      <c r="P463" s="7"/>
      <c r="Q463" s="12" t="str">
        <f aca="false">IF($C463="","",IF($P463&lt;&gt;"","발송완료",IF($O463&lt;&gt;"","입금완료","입금대기")))</f>
        <v/>
      </c>
      <c r="R463" s="12" t="str">
        <f aca="false">IF($C463="","",COUNTIFS($C$3:$C463,$C463))</f>
        <v/>
      </c>
      <c r="S463" s="12" t="str">
        <f aca="false">IF($C463="","",$C463&amp;"|"&amp;$R463)</f>
        <v/>
      </c>
    </row>
    <row r="464" customFormat="false" ht="15" hidden="false" customHeight="true" outlineLevel="0" collapsed="false">
      <c r="A464" s="12" t="str">
        <f aca="false">IF($C464="","",TEXT($B464,"yymmdd")&amp;"-"&amp;TEXT(COUNTIFS($B$3:$B464,$B464),"000"))</f>
        <v/>
      </c>
      <c r="B464" s="13"/>
      <c r="C464" s="7"/>
      <c r="D464" s="12" t="str">
        <f aca="false">IF($C464="","",IFERROR(INDEX(고객명부!$B$3:$B$502,MATCH($C464,고객명부!$A$3:$A$502,0)),"미등록고객"))</f>
        <v/>
      </c>
      <c r="E464" s="12" t="str">
        <f aca="false">IF($C464="","",IFERROR(INDEX(고객명부!$C$3:$C$502,MATCH($C464,고객명부!$A$3:$A$502,0)),""))</f>
        <v/>
      </c>
      <c r="F464" s="12" t="str">
        <f aca="false">IF($C464="","",IFERROR(INDEX(고객명부!$D$3:$D$502,MATCH($C464,고객명부!$A$3:$A$502,0)),""))</f>
        <v/>
      </c>
      <c r="G464" s="12" t="str">
        <f aca="false">IF($C464="","",IFERROR(INDEX(고객명부!$E$3:$E$502,MATCH($C464,고객명부!$A$3:$A$502,0))&amp;" "&amp;INDEX(고객명부!$F$3:$F$502,MATCH($C464,고객명부!$A$3:$A$502,0)),""))</f>
        <v/>
      </c>
      <c r="H464" s="7"/>
      <c r="I464" s="12" t="str">
        <f aca="false">IF($H464="","",IFERROR(INDEX(상품목록!$B$3:$B$102,MATCH($H464,상품목록!$A$3:$A$102,0)),""))</f>
        <v/>
      </c>
      <c r="J464" s="14" t="str">
        <f aca="false">IF($H464="","",IFERROR(INDEX(상품목록!$C$3:$C$102,MATCH($H464,상품목록!$A$3:$A$102,0)),0))</f>
        <v/>
      </c>
      <c r="K464" s="7"/>
      <c r="L464" s="14" t="str">
        <f aca="false">IF(OR($J464="",$K464=""),"",ROUND($J464*$K464,0))</f>
        <v/>
      </c>
      <c r="M464" s="9"/>
      <c r="N464" s="14" t="str">
        <f aca="false">IF($L464="","",$L464+IF($M464="",0,$M464))</f>
        <v/>
      </c>
      <c r="O464" s="13"/>
      <c r="P464" s="7"/>
      <c r="Q464" s="12" t="str">
        <f aca="false">IF($C464="","",IF($P464&lt;&gt;"","발송완료",IF($O464&lt;&gt;"","입금완료","입금대기")))</f>
        <v/>
      </c>
      <c r="R464" s="12" t="str">
        <f aca="false">IF($C464="","",COUNTIFS($C$3:$C464,$C464))</f>
        <v/>
      </c>
      <c r="S464" s="12" t="str">
        <f aca="false">IF($C464="","",$C464&amp;"|"&amp;$R464)</f>
        <v/>
      </c>
    </row>
    <row r="465" customFormat="false" ht="15" hidden="false" customHeight="true" outlineLevel="0" collapsed="false">
      <c r="A465" s="12" t="str">
        <f aca="false">IF($C465="","",TEXT($B465,"yymmdd")&amp;"-"&amp;TEXT(COUNTIFS($B$3:$B465,$B465),"000"))</f>
        <v/>
      </c>
      <c r="B465" s="13"/>
      <c r="C465" s="7"/>
      <c r="D465" s="12" t="str">
        <f aca="false">IF($C465="","",IFERROR(INDEX(고객명부!$B$3:$B$502,MATCH($C465,고객명부!$A$3:$A$502,0)),"미등록고객"))</f>
        <v/>
      </c>
      <c r="E465" s="12" t="str">
        <f aca="false">IF($C465="","",IFERROR(INDEX(고객명부!$C$3:$C$502,MATCH($C465,고객명부!$A$3:$A$502,0)),""))</f>
        <v/>
      </c>
      <c r="F465" s="12" t="str">
        <f aca="false">IF($C465="","",IFERROR(INDEX(고객명부!$D$3:$D$502,MATCH($C465,고객명부!$A$3:$A$502,0)),""))</f>
        <v/>
      </c>
      <c r="G465" s="12" t="str">
        <f aca="false">IF($C465="","",IFERROR(INDEX(고객명부!$E$3:$E$502,MATCH($C465,고객명부!$A$3:$A$502,0))&amp;" "&amp;INDEX(고객명부!$F$3:$F$502,MATCH($C465,고객명부!$A$3:$A$502,0)),""))</f>
        <v/>
      </c>
      <c r="H465" s="7"/>
      <c r="I465" s="12" t="str">
        <f aca="false">IF($H465="","",IFERROR(INDEX(상품목록!$B$3:$B$102,MATCH($H465,상품목록!$A$3:$A$102,0)),""))</f>
        <v/>
      </c>
      <c r="J465" s="14" t="str">
        <f aca="false">IF($H465="","",IFERROR(INDEX(상품목록!$C$3:$C$102,MATCH($H465,상품목록!$A$3:$A$102,0)),0))</f>
        <v/>
      </c>
      <c r="K465" s="7"/>
      <c r="L465" s="14" t="str">
        <f aca="false">IF(OR($J465="",$K465=""),"",ROUND($J465*$K465,0))</f>
        <v/>
      </c>
      <c r="M465" s="9"/>
      <c r="N465" s="14" t="str">
        <f aca="false">IF($L465="","",$L465+IF($M465="",0,$M465))</f>
        <v/>
      </c>
      <c r="O465" s="13"/>
      <c r="P465" s="7"/>
      <c r="Q465" s="12" t="str">
        <f aca="false">IF($C465="","",IF($P465&lt;&gt;"","발송완료",IF($O465&lt;&gt;"","입금완료","입금대기")))</f>
        <v/>
      </c>
      <c r="R465" s="12" t="str">
        <f aca="false">IF($C465="","",COUNTIFS($C$3:$C465,$C465))</f>
        <v/>
      </c>
      <c r="S465" s="12" t="str">
        <f aca="false">IF($C465="","",$C465&amp;"|"&amp;$R465)</f>
        <v/>
      </c>
    </row>
    <row r="466" customFormat="false" ht="15" hidden="false" customHeight="true" outlineLevel="0" collapsed="false">
      <c r="A466" s="12" t="str">
        <f aca="false">IF($C466="","",TEXT($B466,"yymmdd")&amp;"-"&amp;TEXT(COUNTIFS($B$3:$B466,$B466),"000"))</f>
        <v/>
      </c>
      <c r="B466" s="13"/>
      <c r="C466" s="7"/>
      <c r="D466" s="12" t="str">
        <f aca="false">IF($C466="","",IFERROR(INDEX(고객명부!$B$3:$B$502,MATCH($C466,고객명부!$A$3:$A$502,0)),"미등록고객"))</f>
        <v/>
      </c>
      <c r="E466" s="12" t="str">
        <f aca="false">IF($C466="","",IFERROR(INDEX(고객명부!$C$3:$C$502,MATCH($C466,고객명부!$A$3:$A$502,0)),""))</f>
        <v/>
      </c>
      <c r="F466" s="12" t="str">
        <f aca="false">IF($C466="","",IFERROR(INDEX(고객명부!$D$3:$D$502,MATCH($C466,고객명부!$A$3:$A$502,0)),""))</f>
        <v/>
      </c>
      <c r="G466" s="12" t="str">
        <f aca="false">IF($C466="","",IFERROR(INDEX(고객명부!$E$3:$E$502,MATCH($C466,고객명부!$A$3:$A$502,0))&amp;" "&amp;INDEX(고객명부!$F$3:$F$502,MATCH($C466,고객명부!$A$3:$A$502,0)),""))</f>
        <v/>
      </c>
      <c r="H466" s="7"/>
      <c r="I466" s="12" t="str">
        <f aca="false">IF($H466="","",IFERROR(INDEX(상품목록!$B$3:$B$102,MATCH($H466,상품목록!$A$3:$A$102,0)),""))</f>
        <v/>
      </c>
      <c r="J466" s="14" t="str">
        <f aca="false">IF($H466="","",IFERROR(INDEX(상품목록!$C$3:$C$102,MATCH($H466,상품목록!$A$3:$A$102,0)),0))</f>
        <v/>
      </c>
      <c r="K466" s="7"/>
      <c r="L466" s="14" t="str">
        <f aca="false">IF(OR($J466="",$K466=""),"",ROUND($J466*$K466,0))</f>
        <v/>
      </c>
      <c r="M466" s="9"/>
      <c r="N466" s="14" t="str">
        <f aca="false">IF($L466="","",$L466+IF($M466="",0,$M466))</f>
        <v/>
      </c>
      <c r="O466" s="13"/>
      <c r="P466" s="7"/>
      <c r="Q466" s="12" t="str">
        <f aca="false">IF($C466="","",IF($P466&lt;&gt;"","발송완료",IF($O466&lt;&gt;"","입금완료","입금대기")))</f>
        <v/>
      </c>
      <c r="R466" s="12" t="str">
        <f aca="false">IF($C466="","",COUNTIFS($C$3:$C466,$C466))</f>
        <v/>
      </c>
      <c r="S466" s="12" t="str">
        <f aca="false">IF($C466="","",$C466&amp;"|"&amp;$R466)</f>
        <v/>
      </c>
    </row>
    <row r="467" customFormat="false" ht="15" hidden="false" customHeight="true" outlineLevel="0" collapsed="false">
      <c r="A467" s="12" t="str">
        <f aca="false">IF($C467="","",TEXT($B467,"yymmdd")&amp;"-"&amp;TEXT(COUNTIFS($B$3:$B467,$B467),"000"))</f>
        <v/>
      </c>
      <c r="B467" s="13"/>
      <c r="C467" s="7"/>
      <c r="D467" s="12" t="str">
        <f aca="false">IF($C467="","",IFERROR(INDEX(고객명부!$B$3:$B$502,MATCH($C467,고객명부!$A$3:$A$502,0)),"미등록고객"))</f>
        <v/>
      </c>
      <c r="E467" s="12" t="str">
        <f aca="false">IF($C467="","",IFERROR(INDEX(고객명부!$C$3:$C$502,MATCH($C467,고객명부!$A$3:$A$502,0)),""))</f>
        <v/>
      </c>
      <c r="F467" s="12" t="str">
        <f aca="false">IF($C467="","",IFERROR(INDEX(고객명부!$D$3:$D$502,MATCH($C467,고객명부!$A$3:$A$502,0)),""))</f>
        <v/>
      </c>
      <c r="G467" s="12" t="str">
        <f aca="false">IF($C467="","",IFERROR(INDEX(고객명부!$E$3:$E$502,MATCH($C467,고객명부!$A$3:$A$502,0))&amp;" "&amp;INDEX(고객명부!$F$3:$F$502,MATCH($C467,고객명부!$A$3:$A$502,0)),""))</f>
        <v/>
      </c>
      <c r="H467" s="7"/>
      <c r="I467" s="12" t="str">
        <f aca="false">IF($H467="","",IFERROR(INDEX(상품목록!$B$3:$B$102,MATCH($H467,상품목록!$A$3:$A$102,0)),""))</f>
        <v/>
      </c>
      <c r="J467" s="14" t="str">
        <f aca="false">IF($H467="","",IFERROR(INDEX(상품목록!$C$3:$C$102,MATCH($H467,상품목록!$A$3:$A$102,0)),0))</f>
        <v/>
      </c>
      <c r="K467" s="7"/>
      <c r="L467" s="14" t="str">
        <f aca="false">IF(OR($J467="",$K467=""),"",ROUND($J467*$K467,0))</f>
        <v/>
      </c>
      <c r="M467" s="9"/>
      <c r="N467" s="14" t="str">
        <f aca="false">IF($L467="","",$L467+IF($M467="",0,$M467))</f>
        <v/>
      </c>
      <c r="O467" s="13"/>
      <c r="P467" s="7"/>
      <c r="Q467" s="12" t="str">
        <f aca="false">IF($C467="","",IF($P467&lt;&gt;"","발송완료",IF($O467&lt;&gt;"","입금완료","입금대기")))</f>
        <v/>
      </c>
      <c r="R467" s="12" t="str">
        <f aca="false">IF($C467="","",COUNTIFS($C$3:$C467,$C467))</f>
        <v/>
      </c>
      <c r="S467" s="12" t="str">
        <f aca="false">IF($C467="","",$C467&amp;"|"&amp;$R467)</f>
        <v/>
      </c>
    </row>
    <row r="468" customFormat="false" ht="15" hidden="false" customHeight="true" outlineLevel="0" collapsed="false">
      <c r="A468" s="12" t="str">
        <f aca="false">IF($C468="","",TEXT($B468,"yymmdd")&amp;"-"&amp;TEXT(COUNTIFS($B$3:$B468,$B468),"000"))</f>
        <v/>
      </c>
      <c r="B468" s="13"/>
      <c r="C468" s="7"/>
      <c r="D468" s="12" t="str">
        <f aca="false">IF($C468="","",IFERROR(INDEX(고객명부!$B$3:$B$502,MATCH($C468,고객명부!$A$3:$A$502,0)),"미등록고객"))</f>
        <v/>
      </c>
      <c r="E468" s="12" t="str">
        <f aca="false">IF($C468="","",IFERROR(INDEX(고객명부!$C$3:$C$502,MATCH($C468,고객명부!$A$3:$A$502,0)),""))</f>
        <v/>
      </c>
      <c r="F468" s="12" t="str">
        <f aca="false">IF($C468="","",IFERROR(INDEX(고객명부!$D$3:$D$502,MATCH($C468,고객명부!$A$3:$A$502,0)),""))</f>
        <v/>
      </c>
      <c r="G468" s="12" t="str">
        <f aca="false">IF($C468="","",IFERROR(INDEX(고객명부!$E$3:$E$502,MATCH($C468,고객명부!$A$3:$A$502,0))&amp;" "&amp;INDEX(고객명부!$F$3:$F$502,MATCH($C468,고객명부!$A$3:$A$502,0)),""))</f>
        <v/>
      </c>
      <c r="H468" s="7"/>
      <c r="I468" s="12" t="str">
        <f aca="false">IF($H468="","",IFERROR(INDEX(상품목록!$B$3:$B$102,MATCH($H468,상품목록!$A$3:$A$102,0)),""))</f>
        <v/>
      </c>
      <c r="J468" s="14" t="str">
        <f aca="false">IF($H468="","",IFERROR(INDEX(상품목록!$C$3:$C$102,MATCH($H468,상품목록!$A$3:$A$102,0)),0))</f>
        <v/>
      </c>
      <c r="K468" s="7"/>
      <c r="L468" s="14" t="str">
        <f aca="false">IF(OR($J468="",$K468=""),"",ROUND($J468*$K468,0))</f>
        <v/>
      </c>
      <c r="M468" s="9"/>
      <c r="N468" s="14" t="str">
        <f aca="false">IF($L468="","",$L468+IF($M468="",0,$M468))</f>
        <v/>
      </c>
      <c r="O468" s="13"/>
      <c r="P468" s="7"/>
      <c r="Q468" s="12" t="str">
        <f aca="false">IF($C468="","",IF($P468&lt;&gt;"","발송완료",IF($O468&lt;&gt;"","입금완료","입금대기")))</f>
        <v/>
      </c>
      <c r="R468" s="12" t="str">
        <f aca="false">IF($C468="","",COUNTIFS($C$3:$C468,$C468))</f>
        <v/>
      </c>
      <c r="S468" s="12" t="str">
        <f aca="false">IF($C468="","",$C468&amp;"|"&amp;$R468)</f>
        <v/>
      </c>
    </row>
    <row r="469" customFormat="false" ht="15" hidden="false" customHeight="true" outlineLevel="0" collapsed="false">
      <c r="A469" s="12" t="str">
        <f aca="false">IF($C469="","",TEXT($B469,"yymmdd")&amp;"-"&amp;TEXT(COUNTIFS($B$3:$B469,$B469),"000"))</f>
        <v/>
      </c>
      <c r="B469" s="13"/>
      <c r="C469" s="7"/>
      <c r="D469" s="12" t="str">
        <f aca="false">IF($C469="","",IFERROR(INDEX(고객명부!$B$3:$B$502,MATCH($C469,고객명부!$A$3:$A$502,0)),"미등록고객"))</f>
        <v/>
      </c>
      <c r="E469" s="12" t="str">
        <f aca="false">IF($C469="","",IFERROR(INDEX(고객명부!$C$3:$C$502,MATCH($C469,고객명부!$A$3:$A$502,0)),""))</f>
        <v/>
      </c>
      <c r="F469" s="12" t="str">
        <f aca="false">IF($C469="","",IFERROR(INDEX(고객명부!$D$3:$D$502,MATCH($C469,고객명부!$A$3:$A$502,0)),""))</f>
        <v/>
      </c>
      <c r="G469" s="12" t="str">
        <f aca="false">IF($C469="","",IFERROR(INDEX(고객명부!$E$3:$E$502,MATCH($C469,고객명부!$A$3:$A$502,0))&amp;" "&amp;INDEX(고객명부!$F$3:$F$502,MATCH($C469,고객명부!$A$3:$A$502,0)),""))</f>
        <v/>
      </c>
      <c r="H469" s="7"/>
      <c r="I469" s="12" t="str">
        <f aca="false">IF($H469="","",IFERROR(INDEX(상품목록!$B$3:$B$102,MATCH($H469,상품목록!$A$3:$A$102,0)),""))</f>
        <v/>
      </c>
      <c r="J469" s="14" t="str">
        <f aca="false">IF($H469="","",IFERROR(INDEX(상품목록!$C$3:$C$102,MATCH($H469,상품목록!$A$3:$A$102,0)),0))</f>
        <v/>
      </c>
      <c r="K469" s="7"/>
      <c r="L469" s="14" t="str">
        <f aca="false">IF(OR($J469="",$K469=""),"",ROUND($J469*$K469,0))</f>
        <v/>
      </c>
      <c r="M469" s="9"/>
      <c r="N469" s="14" t="str">
        <f aca="false">IF($L469="","",$L469+IF($M469="",0,$M469))</f>
        <v/>
      </c>
      <c r="O469" s="13"/>
      <c r="P469" s="7"/>
      <c r="Q469" s="12" t="str">
        <f aca="false">IF($C469="","",IF($P469&lt;&gt;"","발송완료",IF($O469&lt;&gt;"","입금완료","입금대기")))</f>
        <v/>
      </c>
      <c r="R469" s="12" t="str">
        <f aca="false">IF($C469="","",COUNTIFS($C$3:$C469,$C469))</f>
        <v/>
      </c>
      <c r="S469" s="12" t="str">
        <f aca="false">IF($C469="","",$C469&amp;"|"&amp;$R469)</f>
        <v/>
      </c>
    </row>
    <row r="470" customFormat="false" ht="15" hidden="false" customHeight="true" outlineLevel="0" collapsed="false">
      <c r="A470" s="12" t="str">
        <f aca="false">IF($C470="","",TEXT($B470,"yymmdd")&amp;"-"&amp;TEXT(COUNTIFS($B$3:$B470,$B470),"000"))</f>
        <v/>
      </c>
      <c r="B470" s="13"/>
      <c r="C470" s="7"/>
      <c r="D470" s="12" t="str">
        <f aca="false">IF($C470="","",IFERROR(INDEX(고객명부!$B$3:$B$502,MATCH($C470,고객명부!$A$3:$A$502,0)),"미등록고객"))</f>
        <v/>
      </c>
      <c r="E470" s="12" t="str">
        <f aca="false">IF($C470="","",IFERROR(INDEX(고객명부!$C$3:$C$502,MATCH($C470,고객명부!$A$3:$A$502,0)),""))</f>
        <v/>
      </c>
      <c r="F470" s="12" t="str">
        <f aca="false">IF($C470="","",IFERROR(INDEX(고객명부!$D$3:$D$502,MATCH($C470,고객명부!$A$3:$A$502,0)),""))</f>
        <v/>
      </c>
      <c r="G470" s="12" t="str">
        <f aca="false">IF($C470="","",IFERROR(INDEX(고객명부!$E$3:$E$502,MATCH($C470,고객명부!$A$3:$A$502,0))&amp;" "&amp;INDEX(고객명부!$F$3:$F$502,MATCH($C470,고객명부!$A$3:$A$502,0)),""))</f>
        <v/>
      </c>
      <c r="H470" s="7"/>
      <c r="I470" s="12" t="str">
        <f aca="false">IF($H470="","",IFERROR(INDEX(상품목록!$B$3:$B$102,MATCH($H470,상품목록!$A$3:$A$102,0)),""))</f>
        <v/>
      </c>
      <c r="J470" s="14" t="str">
        <f aca="false">IF($H470="","",IFERROR(INDEX(상품목록!$C$3:$C$102,MATCH($H470,상품목록!$A$3:$A$102,0)),0))</f>
        <v/>
      </c>
      <c r="K470" s="7"/>
      <c r="L470" s="14" t="str">
        <f aca="false">IF(OR($J470="",$K470=""),"",ROUND($J470*$K470,0))</f>
        <v/>
      </c>
      <c r="M470" s="9"/>
      <c r="N470" s="14" t="str">
        <f aca="false">IF($L470="","",$L470+IF($M470="",0,$M470))</f>
        <v/>
      </c>
      <c r="O470" s="13"/>
      <c r="P470" s="7"/>
      <c r="Q470" s="12" t="str">
        <f aca="false">IF($C470="","",IF($P470&lt;&gt;"","발송완료",IF($O470&lt;&gt;"","입금완료","입금대기")))</f>
        <v/>
      </c>
      <c r="R470" s="12" t="str">
        <f aca="false">IF($C470="","",COUNTIFS($C$3:$C470,$C470))</f>
        <v/>
      </c>
      <c r="S470" s="12" t="str">
        <f aca="false">IF($C470="","",$C470&amp;"|"&amp;$R470)</f>
        <v/>
      </c>
    </row>
    <row r="471" customFormat="false" ht="15" hidden="false" customHeight="true" outlineLevel="0" collapsed="false">
      <c r="A471" s="12" t="str">
        <f aca="false">IF($C471="","",TEXT($B471,"yymmdd")&amp;"-"&amp;TEXT(COUNTIFS($B$3:$B471,$B471),"000"))</f>
        <v/>
      </c>
      <c r="B471" s="13"/>
      <c r="C471" s="7"/>
      <c r="D471" s="12" t="str">
        <f aca="false">IF($C471="","",IFERROR(INDEX(고객명부!$B$3:$B$502,MATCH($C471,고객명부!$A$3:$A$502,0)),"미등록고객"))</f>
        <v/>
      </c>
      <c r="E471" s="12" t="str">
        <f aca="false">IF($C471="","",IFERROR(INDEX(고객명부!$C$3:$C$502,MATCH($C471,고객명부!$A$3:$A$502,0)),""))</f>
        <v/>
      </c>
      <c r="F471" s="12" t="str">
        <f aca="false">IF($C471="","",IFERROR(INDEX(고객명부!$D$3:$D$502,MATCH($C471,고객명부!$A$3:$A$502,0)),""))</f>
        <v/>
      </c>
      <c r="G471" s="12" t="str">
        <f aca="false">IF($C471="","",IFERROR(INDEX(고객명부!$E$3:$E$502,MATCH($C471,고객명부!$A$3:$A$502,0))&amp;" "&amp;INDEX(고객명부!$F$3:$F$502,MATCH($C471,고객명부!$A$3:$A$502,0)),""))</f>
        <v/>
      </c>
      <c r="H471" s="7"/>
      <c r="I471" s="12" t="str">
        <f aca="false">IF($H471="","",IFERROR(INDEX(상품목록!$B$3:$B$102,MATCH($H471,상품목록!$A$3:$A$102,0)),""))</f>
        <v/>
      </c>
      <c r="J471" s="14" t="str">
        <f aca="false">IF($H471="","",IFERROR(INDEX(상품목록!$C$3:$C$102,MATCH($H471,상품목록!$A$3:$A$102,0)),0))</f>
        <v/>
      </c>
      <c r="K471" s="7"/>
      <c r="L471" s="14" t="str">
        <f aca="false">IF(OR($J471="",$K471=""),"",ROUND($J471*$K471,0))</f>
        <v/>
      </c>
      <c r="M471" s="9"/>
      <c r="N471" s="14" t="str">
        <f aca="false">IF($L471="","",$L471+IF($M471="",0,$M471))</f>
        <v/>
      </c>
      <c r="O471" s="13"/>
      <c r="P471" s="7"/>
      <c r="Q471" s="12" t="str">
        <f aca="false">IF($C471="","",IF($P471&lt;&gt;"","발송완료",IF($O471&lt;&gt;"","입금완료","입금대기")))</f>
        <v/>
      </c>
      <c r="R471" s="12" t="str">
        <f aca="false">IF($C471="","",COUNTIFS($C$3:$C471,$C471))</f>
        <v/>
      </c>
      <c r="S471" s="12" t="str">
        <f aca="false">IF($C471="","",$C471&amp;"|"&amp;$R471)</f>
        <v/>
      </c>
    </row>
    <row r="472" customFormat="false" ht="15" hidden="false" customHeight="true" outlineLevel="0" collapsed="false">
      <c r="A472" s="12" t="str">
        <f aca="false">IF($C472="","",TEXT($B472,"yymmdd")&amp;"-"&amp;TEXT(COUNTIFS($B$3:$B472,$B472),"000"))</f>
        <v/>
      </c>
      <c r="B472" s="13"/>
      <c r="C472" s="7"/>
      <c r="D472" s="12" t="str">
        <f aca="false">IF($C472="","",IFERROR(INDEX(고객명부!$B$3:$B$502,MATCH($C472,고객명부!$A$3:$A$502,0)),"미등록고객"))</f>
        <v/>
      </c>
      <c r="E472" s="12" t="str">
        <f aca="false">IF($C472="","",IFERROR(INDEX(고객명부!$C$3:$C$502,MATCH($C472,고객명부!$A$3:$A$502,0)),""))</f>
        <v/>
      </c>
      <c r="F472" s="12" t="str">
        <f aca="false">IF($C472="","",IFERROR(INDEX(고객명부!$D$3:$D$502,MATCH($C472,고객명부!$A$3:$A$502,0)),""))</f>
        <v/>
      </c>
      <c r="G472" s="12" t="str">
        <f aca="false">IF($C472="","",IFERROR(INDEX(고객명부!$E$3:$E$502,MATCH($C472,고객명부!$A$3:$A$502,0))&amp;" "&amp;INDEX(고객명부!$F$3:$F$502,MATCH($C472,고객명부!$A$3:$A$502,0)),""))</f>
        <v/>
      </c>
      <c r="H472" s="7"/>
      <c r="I472" s="12" t="str">
        <f aca="false">IF($H472="","",IFERROR(INDEX(상품목록!$B$3:$B$102,MATCH($H472,상품목록!$A$3:$A$102,0)),""))</f>
        <v/>
      </c>
      <c r="J472" s="14" t="str">
        <f aca="false">IF($H472="","",IFERROR(INDEX(상품목록!$C$3:$C$102,MATCH($H472,상품목록!$A$3:$A$102,0)),0))</f>
        <v/>
      </c>
      <c r="K472" s="7"/>
      <c r="L472" s="14" t="str">
        <f aca="false">IF(OR($J472="",$K472=""),"",ROUND($J472*$K472,0))</f>
        <v/>
      </c>
      <c r="M472" s="9"/>
      <c r="N472" s="14" t="str">
        <f aca="false">IF($L472="","",$L472+IF($M472="",0,$M472))</f>
        <v/>
      </c>
      <c r="O472" s="13"/>
      <c r="P472" s="7"/>
      <c r="Q472" s="12" t="str">
        <f aca="false">IF($C472="","",IF($P472&lt;&gt;"","발송완료",IF($O472&lt;&gt;"","입금완료","입금대기")))</f>
        <v/>
      </c>
      <c r="R472" s="12" t="str">
        <f aca="false">IF($C472="","",COUNTIFS($C$3:$C472,$C472))</f>
        <v/>
      </c>
      <c r="S472" s="12" t="str">
        <f aca="false">IF($C472="","",$C472&amp;"|"&amp;$R472)</f>
        <v/>
      </c>
    </row>
    <row r="473" customFormat="false" ht="15" hidden="false" customHeight="true" outlineLevel="0" collapsed="false">
      <c r="A473" s="12" t="str">
        <f aca="false">IF($C473="","",TEXT($B473,"yymmdd")&amp;"-"&amp;TEXT(COUNTIFS($B$3:$B473,$B473),"000"))</f>
        <v/>
      </c>
      <c r="B473" s="13"/>
      <c r="C473" s="7"/>
      <c r="D473" s="12" t="str">
        <f aca="false">IF($C473="","",IFERROR(INDEX(고객명부!$B$3:$B$502,MATCH($C473,고객명부!$A$3:$A$502,0)),"미등록고객"))</f>
        <v/>
      </c>
      <c r="E473" s="12" t="str">
        <f aca="false">IF($C473="","",IFERROR(INDEX(고객명부!$C$3:$C$502,MATCH($C473,고객명부!$A$3:$A$502,0)),""))</f>
        <v/>
      </c>
      <c r="F473" s="12" t="str">
        <f aca="false">IF($C473="","",IFERROR(INDEX(고객명부!$D$3:$D$502,MATCH($C473,고객명부!$A$3:$A$502,0)),""))</f>
        <v/>
      </c>
      <c r="G473" s="12" t="str">
        <f aca="false">IF($C473="","",IFERROR(INDEX(고객명부!$E$3:$E$502,MATCH($C473,고객명부!$A$3:$A$502,0))&amp;" "&amp;INDEX(고객명부!$F$3:$F$502,MATCH($C473,고객명부!$A$3:$A$502,0)),""))</f>
        <v/>
      </c>
      <c r="H473" s="7"/>
      <c r="I473" s="12" t="str">
        <f aca="false">IF($H473="","",IFERROR(INDEX(상품목록!$B$3:$B$102,MATCH($H473,상품목록!$A$3:$A$102,0)),""))</f>
        <v/>
      </c>
      <c r="J473" s="14" t="str">
        <f aca="false">IF($H473="","",IFERROR(INDEX(상품목록!$C$3:$C$102,MATCH($H473,상품목록!$A$3:$A$102,0)),0))</f>
        <v/>
      </c>
      <c r="K473" s="7"/>
      <c r="L473" s="14" t="str">
        <f aca="false">IF(OR($J473="",$K473=""),"",ROUND($J473*$K473,0))</f>
        <v/>
      </c>
      <c r="M473" s="9"/>
      <c r="N473" s="14" t="str">
        <f aca="false">IF($L473="","",$L473+IF($M473="",0,$M473))</f>
        <v/>
      </c>
      <c r="O473" s="13"/>
      <c r="P473" s="7"/>
      <c r="Q473" s="12" t="str">
        <f aca="false">IF($C473="","",IF($P473&lt;&gt;"","발송완료",IF($O473&lt;&gt;"","입금완료","입금대기")))</f>
        <v/>
      </c>
      <c r="R473" s="12" t="str">
        <f aca="false">IF($C473="","",COUNTIFS($C$3:$C473,$C473))</f>
        <v/>
      </c>
      <c r="S473" s="12" t="str">
        <f aca="false">IF($C473="","",$C473&amp;"|"&amp;$R473)</f>
        <v/>
      </c>
    </row>
    <row r="474" customFormat="false" ht="15" hidden="false" customHeight="true" outlineLevel="0" collapsed="false">
      <c r="A474" s="12" t="str">
        <f aca="false">IF($C474="","",TEXT($B474,"yymmdd")&amp;"-"&amp;TEXT(COUNTIFS($B$3:$B474,$B474),"000"))</f>
        <v/>
      </c>
      <c r="B474" s="13"/>
      <c r="C474" s="7"/>
      <c r="D474" s="12" t="str">
        <f aca="false">IF($C474="","",IFERROR(INDEX(고객명부!$B$3:$B$502,MATCH($C474,고객명부!$A$3:$A$502,0)),"미등록고객"))</f>
        <v/>
      </c>
      <c r="E474" s="12" t="str">
        <f aca="false">IF($C474="","",IFERROR(INDEX(고객명부!$C$3:$C$502,MATCH($C474,고객명부!$A$3:$A$502,0)),""))</f>
        <v/>
      </c>
      <c r="F474" s="12" t="str">
        <f aca="false">IF($C474="","",IFERROR(INDEX(고객명부!$D$3:$D$502,MATCH($C474,고객명부!$A$3:$A$502,0)),""))</f>
        <v/>
      </c>
      <c r="G474" s="12" t="str">
        <f aca="false">IF($C474="","",IFERROR(INDEX(고객명부!$E$3:$E$502,MATCH($C474,고객명부!$A$3:$A$502,0))&amp;" "&amp;INDEX(고객명부!$F$3:$F$502,MATCH($C474,고객명부!$A$3:$A$502,0)),""))</f>
        <v/>
      </c>
      <c r="H474" s="7"/>
      <c r="I474" s="12" t="str">
        <f aca="false">IF($H474="","",IFERROR(INDEX(상품목록!$B$3:$B$102,MATCH($H474,상품목록!$A$3:$A$102,0)),""))</f>
        <v/>
      </c>
      <c r="J474" s="14" t="str">
        <f aca="false">IF($H474="","",IFERROR(INDEX(상품목록!$C$3:$C$102,MATCH($H474,상품목록!$A$3:$A$102,0)),0))</f>
        <v/>
      </c>
      <c r="K474" s="7"/>
      <c r="L474" s="14" t="str">
        <f aca="false">IF(OR($J474="",$K474=""),"",ROUND($J474*$K474,0))</f>
        <v/>
      </c>
      <c r="M474" s="9"/>
      <c r="N474" s="14" t="str">
        <f aca="false">IF($L474="","",$L474+IF($M474="",0,$M474))</f>
        <v/>
      </c>
      <c r="O474" s="13"/>
      <c r="P474" s="7"/>
      <c r="Q474" s="12" t="str">
        <f aca="false">IF($C474="","",IF($P474&lt;&gt;"","발송완료",IF($O474&lt;&gt;"","입금완료","입금대기")))</f>
        <v/>
      </c>
      <c r="R474" s="12" t="str">
        <f aca="false">IF($C474="","",COUNTIFS($C$3:$C474,$C474))</f>
        <v/>
      </c>
      <c r="S474" s="12" t="str">
        <f aca="false">IF($C474="","",$C474&amp;"|"&amp;$R474)</f>
        <v/>
      </c>
    </row>
    <row r="475" customFormat="false" ht="15" hidden="false" customHeight="true" outlineLevel="0" collapsed="false">
      <c r="A475" s="12" t="str">
        <f aca="false">IF($C475="","",TEXT($B475,"yymmdd")&amp;"-"&amp;TEXT(COUNTIFS($B$3:$B475,$B475),"000"))</f>
        <v/>
      </c>
      <c r="B475" s="13"/>
      <c r="C475" s="7"/>
      <c r="D475" s="12" t="str">
        <f aca="false">IF($C475="","",IFERROR(INDEX(고객명부!$B$3:$B$502,MATCH($C475,고객명부!$A$3:$A$502,0)),"미등록고객"))</f>
        <v/>
      </c>
      <c r="E475" s="12" t="str">
        <f aca="false">IF($C475="","",IFERROR(INDEX(고객명부!$C$3:$C$502,MATCH($C475,고객명부!$A$3:$A$502,0)),""))</f>
        <v/>
      </c>
      <c r="F475" s="12" t="str">
        <f aca="false">IF($C475="","",IFERROR(INDEX(고객명부!$D$3:$D$502,MATCH($C475,고객명부!$A$3:$A$502,0)),""))</f>
        <v/>
      </c>
      <c r="G475" s="12" t="str">
        <f aca="false">IF($C475="","",IFERROR(INDEX(고객명부!$E$3:$E$502,MATCH($C475,고객명부!$A$3:$A$502,0))&amp;" "&amp;INDEX(고객명부!$F$3:$F$502,MATCH($C475,고객명부!$A$3:$A$502,0)),""))</f>
        <v/>
      </c>
      <c r="H475" s="7"/>
      <c r="I475" s="12" t="str">
        <f aca="false">IF($H475="","",IFERROR(INDEX(상품목록!$B$3:$B$102,MATCH($H475,상품목록!$A$3:$A$102,0)),""))</f>
        <v/>
      </c>
      <c r="J475" s="14" t="str">
        <f aca="false">IF($H475="","",IFERROR(INDEX(상품목록!$C$3:$C$102,MATCH($H475,상품목록!$A$3:$A$102,0)),0))</f>
        <v/>
      </c>
      <c r="K475" s="7"/>
      <c r="L475" s="14" t="str">
        <f aca="false">IF(OR($J475="",$K475=""),"",ROUND($J475*$K475,0))</f>
        <v/>
      </c>
      <c r="M475" s="9"/>
      <c r="N475" s="14" t="str">
        <f aca="false">IF($L475="","",$L475+IF($M475="",0,$M475))</f>
        <v/>
      </c>
      <c r="O475" s="13"/>
      <c r="P475" s="7"/>
      <c r="Q475" s="12" t="str">
        <f aca="false">IF($C475="","",IF($P475&lt;&gt;"","발송완료",IF($O475&lt;&gt;"","입금완료","입금대기")))</f>
        <v/>
      </c>
      <c r="R475" s="12" t="str">
        <f aca="false">IF($C475="","",COUNTIFS($C$3:$C475,$C475))</f>
        <v/>
      </c>
      <c r="S475" s="12" t="str">
        <f aca="false">IF($C475="","",$C475&amp;"|"&amp;$R475)</f>
        <v/>
      </c>
    </row>
    <row r="476" customFormat="false" ht="15" hidden="false" customHeight="true" outlineLevel="0" collapsed="false">
      <c r="A476" s="12" t="str">
        <f aca="false">IF($C476="","",TEXT($B476,"yymmdd")&amp;"-"&amp;TEXT(COUNTIFS($B$3:$B476,$B476),"000"))</f>
        <v/>
      </c>
      <c r="B476" s="13"/>
      <c r="C476" s="7"/>
      <c r="D476" s="12" t="str">
        <f aca="false">IF($C476="","",IFERROR(INDEX(고객명부!$B$3:$B$502,MATCH($C476,고객명부!$A$3:$A$502,0)),"미등록고객"))</f>
        <v/>
      </c>
      <c r="E476" s="12" t="str">
        <f aca="false">IF($C476="","",IFERROR(INDEX(고객명부!$C$3:$C$502,MATCH($C476,고객명부!$A$3:$A$502,0)),""))</f>
        <v/>
      </c>
      <c r="F476" s="12" t="str">
        <f aca="false">IF($C476="","",IFERROR(INDEX(고객명부!$D$3:$D$502,MATCH($C476,고객명부!$A$3:$A$502,0)),""))</f>
        <v/>
      </c>
      <c r="G476" s="12" t="str">
        <f aca="false">IF($C476="","",IFERROR(INDEX(고객명부!$E$3:$E$502,MATCH($C476,고객명부!$A$3:$A$502,0))&amp;" "&amp;INDEX(고객명부!$F$3:$F$502,MATCH($C476,고객명부!$A$3:$A$502,0)),""))</f>
        <v/>
      </c>
      <c r="H476" s="7"/>
      <c r="I476" s="12" t="str">
        <f aca="false">IF($H476="","",IFERROR(INDEX(상품목록!$B$3:$B$102,MATCH($H476,상품목록!$A$3:$A$102,0)),""))</f>
        <v/>
      </c>
      <c r="J476" s="14" t="str">
        <f aca="false">IF($H476="","",IFERROR(INDEX(상품목록!$C$3:$C$102,MATCH($H476,상품목록!$A$3:$A$102,0)),0))</f>
        <v/>
      </c>
      <c r="K476" s="7"/>
      <c r="L476" s="14" t="str">
        <f aca="false">IF(OR($J476="",$K476=""),"",ROUND($J476*$K476,0))</f>
        <v/>
      </c>
      <c r="M476" s="9"/>
      <c r="N476" s="14" t="str">
        <f aca="false">IF($L476="","",$L476+IF($M476="",0,$M476))</f>
        <v/>
      </c>
      <c r="O476" s="13"/>
      <c r="P476" s="7"/>
      <c r="Q476" s="12" t="str">
        <f aca="false">IF($C476="","",IF($P476&lt;&gt;"","발송완료",IF($O476&lt;&gt;"","입금완료","입금대기")))</f>
        <v/>
      </c>
      <c r="R476" s="12" t="str">
        <f aca="false">IF($C476="","",COUNTIFS($C$3:$C476,$C476))</f>
        <v/>
      </c>
      <c r="S476" s="12" t="str">
        <f aca="false">IF($C476="","",$C476&amp;"|"&amp;$R476)</f>
        <v/>
      </c>
    </row>
    <row r="477" customFormat="false" ht="15" hidden="false" customHeight="true" outlineLevel="0" collapsed="false">
      <c r="A477" s="12" t="str">
        <f aca="false">IF($C477="","",TEXT($B477,"yymmdd")&amp;"-"&amp;TEXT(COUNTIFS($B$3:$B477,$B477),"000"))</f>
        <v/>
      </c>
      <c r="B477" s="13"/>
      <c r="C477" s="7"/>
      <c r="D477" s="12" t="str">
        <f aca="false">IF($C477="","",IFERROR(INDEX(고객명부!$B$3:$B$502,MATCH($C477,고객명부!$A$3:$A$502,0)),"미등록고객"))</f>
        <v/>
      </c>
      <c r="E477" s="12" t="str">
        <f aca="false">IF($C477="","",IFERROR(INDEX(고객명부!$C$3:$C$502,MATCH($C477,고객명부!$A$3:$A$502,0)),""))</f>
        <v/>
      </c>
      <c r="F477" s="12" t="str">
        <f aca="false">IF($C477="","",IFERROR(INDEX(고객명부!$D$3:$D$502,MATCH($C477,고객명부!$A$3:$A$502,0)),""))</f>
        <v/>
      </c>
      <c r="G477" s="12" t="str">
        <f aca="false">IF($C477="","",IFERROR(INDEX(고객명부!$E$3:$E$502,MATCH($C477,고객명부!$A$3:$A$502,0))&amp;" "&amp;INDEX(고객명부!$F$3:$F$502,MATCH($C477,고객명부!$A$3:$A$502,0)),""))</f>
        <v/>
      </c>
      <c r="H477" s="7"/>
      <c r="I477" s="12" t="str">
        <f aca="false">IF($H477="","",IFERROR(INDEX(상품목록!$B$3:$B$102,MATCH($H477,상품목록!$A$3:$A$102,0)),""))</f>
        <v/>
      </c>
      <c r="J477" s="14" t="str">
        <f aca="false">IF($H477="","",IFERROR(INDEX(상품목록!$C$3:$C$102,MATCH($H477,상품목록!$A$3:$A$102,0)),0))</f>
        <v/>
      </c>
      <c r="K477" s="7"/>
      <c r="L477" s="14" t="str">
        <f aca="false">IF(OR($J477="",$K477=""),"",ROUND($J477*$K477,0))</f>
        <v/>
      </c>
      <c r="M477" s="9"/>
      <c r="N477" s="14" t="str">
        <f aca="false">IF($L477="","",$L477+IF($M477="",0,$M477))</f>
        <v/>
      </c>
      <c r="O477" s="13"/>
      <c r="P477" s="7"/>
      <c r="Q477" s="12" t="str">
        <f aca="false">IF($C477="","",IF($P477&lt;&gt;"","발송완료",IF($O477&lt;&gt;"","입금완료","입금대기")))</f>
        <v/>
      </c>
      <c r="R477" s="12" t="str">
        <f aca="false">IF($C477="","",COUNTIFS($C$3:$C477,$C477))</f>
        <v/>
      </c>
      <c r="S477" s="12" t="str">
        <f aca="false">IF($C477="","",$C477&amp;"|"&amp;$R477)</f>
        <v/>
      </c>
    </row>
    <row r="478" customFormat="false" ht="15" hidden="false" customHeight="true" outlineLevel="0" collapsed="false">
      <c r="A478" s="12" t="str">
        <f aca="false">IF($C478="","",TEXT($B478,"yymmdd")&amp;"-"&amp;TEXT(COUNTIFS($B$3:$B478,$B478),"000"))</f>
        <v/>
      </c>
      <c r="B478" s="13"/>
      <c r="C478" s="7"/>
      <c r="D478" s="12" t="str">
        <f aca="false">IF($C478="","",IFERROR(INDEX(고객명부!$B$3:$B$502,MATCH($C478,고객명부!$A$3:$A$502,0)),"미등록고객"))</f>
        <v/>
      </c>
      <c r="E478" s="12" t="str">
        <f aca="false">IF($C478="","",IFERROR(INDEX(고객명부!$C$3:$C$502,MATCH($C478,고객명부!$A$3:$A$502,0)),""))</f>
        <v/>
      </c>
      <c r="F478" s="12" t="str">
        <f aca="false">IF($C478="","",IFERROR(INDEX(고객명부!$D$3:$D$502,MATCH($C478,고객명부!$A$3:$A$502,0)),""))</f>
        <v/>
      </c>
      <c r="G478" s="12" t="str">
        <f aca="false">IF($C478="","",IFERROR(INDEX(고객명부!$E$3:$E$502,MATCH($C478,고객명부!$A$3:$A$502,0))&amp;" "&amp;INDEX(고객명부!$F$3:$F$502,MATCH($C478,고객명부!$A$3:$A$502,0)),""))</f>
        <v/>
      </c>
      <c r="H478" s="7"/>
      <c r="I478" s="12" t="str">
        <f aca="false">IF($H478="","",IFERROR(INDEX(상품목록!$B$3:$B$102,MATCH($H478,상품목록!$A$3:$A$102,0)),""))</f>
        <v/>
      </c>
      <c r="J478" s="14" t="str">
        <f aca="false">IF($H478="","",IFERROR(INDEX(상품목록!$C$3:$C$102,MATCH($H478,상품목록!$A$3:$A$102,0)),0))</f>
        <v/>
      </c>
      <c r="K478" s="7"/>
      <c r="L478" s="14" t="str">
        <f aca="false">IF(OR($J478="",$K478=""),"",ROUND($J478*$K478,0))</f>
        <v/>
      </c>
      <c r="M478" s="9"/>
      <c r="N478" s="14" t="str">
        <f aca="false">IF($L478="","",$L478+IF($M478="",0,$M478))</f>
        <v/>
      </c>
      <c r="O478" s="13"/>
      <c r="P478" s="7"/>
      <c r="Q478" s="12" t="str">
        <f aca="false">IF($C478="","",IF($P478&lt;&gt;"","발송완료",IF($O478&lt;&gt;"","입금완료","입금대기")))</f>
        <v/>
      </c>
      <c r="R478" s="12" t="str">
        <f aca="false">IF($C478="","",COUNTIFS($C$3:$C478,$C478))</f>
        <v/>
      </c>
      <c r="S478" s="12" t="str">
        <f aca="false">IF($C478="","",$C478&amp;"|"&amp;$R478)</f>
        <v/>
      </c>
    </row>
    <row r="479" customFormat="false" ht="15" hidden="false" customHeight="true" outlineLevel="0" collapsed="false">
      <c r="A479" s="12" t="str">
        <f aca="false">IF($C479="","",TEXT($B479,"yymmdd")&amp;"-"&amp;TEXT(COUNTIFS($B$3:$B479,$B479),"000"))</f>
        <v/>
      </c>
      <c r="B479" s="13"/>
      <c r="C479" s="7"/>
      <c r="D479" s="12" t="str">
        <f aca="false">IF($C479="","",IFERROR(INDEX(고객명부!$B$3:$B$502,MATCH($C479,고객명부!$A$3:$A$502,0)),"미등록고객"))</f>
        <v/>
      </c>
      <c r="E479" s="12" t="str">
        <f aca="false">IF($C479="","",IFERROR(INDEX(고객명부!$C$3:$C$502,MATCH($C479,고객명부!$A$3:$A$502,0)),""))</f>
        <v/>
      </c>
      <c r="F479" s="12" t="str">
        <f aca="false">IF($C479="","",IFERROR(INDEX(고객명부!$D$3:$D$502,MATCH($C479,고객명부!$A$3:$A$502,0)),""))</f>
        <v/>
      </c>
      <c r="G479" s="12" t="str">
        <f aca="false">IF($C479="","",IFERROR(INDEX(고객명부!$E$3:$E$502,MATCH($C479,고객명부!$A$3:$A$502,0))&amp;" "&amp;INDEX(고객명부!$F$3:$F$502,MATCH($C479,고객명부!$A$3:$A$502,0)),""))</f>
        <v/>
      </c>
      <c r="H479" s="7"/>
      <c r="I479" s="12" t="str">
        <f aca="false">IF($H479="","",IFERROR(INDEX(상품목록!$B$3:$B$102,MATCH($H479,상품목록!$A$3:$A$102,0)),""))</f>
        <v/>
      </c>
      <c r="J479" s="14" t="str">
        <f aca="false">IF($H479="","",IFERROR(INDEX(상품목록!$C$3:$C$102,MATCH($H479,상품목록!$A$3:$A$102,0)),0))</f>
        <v/>
      </c>
      <c r="K479" s="7"/>
      <c r="L479" s="14" t="str">
        <f aca="false">IF(OR($J479="",$K479=""),"",ROUND($J479*$K479,0))</f>
        <v/>
      </c>
      <c r="M479" s="9"/>
      <c r="N479" s="14" t="str">
        <f aca="false">IF($L479="","",$L479+IF($M479="",0,$M479))</f>
        <v/>
      </c>
      <c r="O479" s="13"/>
      <c r="P479" s="7"/>
      <c r="Q479" s="12" t="str">
        <f aca="false">IF($C479="","",IF($P479&lt;&gt;"","발송완료",IF($O479&lt;&gt;"","입금완료","입금대기")))</f>
        <v/>
      </c>
      <c r="R479" s="12" t="str">
        <f aca="false">IF($C479="","",COUNTIFS($C$3:$C479,$C479))</f>
        <v/>
      </c>
      <c r="S479" s="12" t="str">
        <f aca="false">IF($C479="","",$C479&amp;"|"&amp;$R479)</f>
        <v/>
      </c>
    </row>
    <row r="480" customFormat="false" ht="15" hidden="false" customHeight="true" outlineLevel="0" collapsed="false">
      <c r="A480" s="12" t="str">
        <f aca="false">IF($C480="","",TEXT($B480,"yymmdd")&amp;"-"&amp;TEXT(COUNTIFS($B$3:$B480,$B480),"000"))</f>
        <v/>
      </c>
      <c r="B480" s="13"/>
      <c r="C480" s="7"/>
      <c r="D480" s="12" t="str">
        <f aca="false">IF($C480="","",IFERROR(INDEX(고객명부!$B$3:$B$502,MATCH($C480,고객명부!$A$3:$A$502,0)),"미등록고객"))</f>
        <v/>
      </c>
      <c r="E480" s="12" t="str">
        <f aca="false">IF($C480="","",IFERROR(INDEX(고객명부!$C$3:$C$502,MATCH($C480,고객명부!$A$3:$A$502,0)),""))</f>
        <v/>
      </c>
      <c r="F480" s="12" t="str">
        <f aca="false">IF($C480="","",IFERROR(INDEX(고객명부!$D$3:$D$502,MATCH($C480,고객명부!$A$3:$A$502,0)),""))</f>
        <v/>
      </c>
      <c r="G480" s="12" t="str">
        <f aca="false">IF($C480="","",IFERROR(INDEX(고객명부!$E$3:$E$502,MATCH($C480,고객명부!$A$3:$A$502,0))&amp;" "&amp;INDEX(고객명부!$F$3:$F$502,MATCH($C480,고객명부!$A$3:$A$502,0)),""))</f>
        <v/>
      </c>
      <c r="H480" s="7"/>
      <c r="I480" s="12" t="str">
        <f aca="false">IF($H480="","",IFERROR(INDEX(상품목록!$B$3:$B$102,MATCH($H480,상품목록!$A$3:$A$102,0)),""))</f>
        <v/>
      </c>
      <c r="J480" s="14" t="str">
        <f aca="false">IF($H480="","",IFERROR(INDEX(상품목록!$C$3:$C$102,MATCH($H480,상품목록!$A$3:$A$102,0)),0))</f>
        <v/>
      </c>
      <c r="K480" s="7"/>
      <c r="L480" s="14" t="str">
        <f aca="false">IF(OR($J480="",$K480=""),"",ROUND($J480*$K480,0))</f>
        <v/>
      </c>
      <c r="M480" s="9"/>
      <c r="N480" s="14" t="str">
        <f aca="false">IF($L480="","",$L480+IF($M480="",0,$M480))</f>
        <v/>
      </c>
      <c r="O480" s="13"/>
      <c r="P480" s="7"/>
      <c r="Q480" s="12" t="str">
        <f aca="false">IF($C480="","",IF($P480&lt;&gt;"","발송완료",IF($O480&lt;&gt;"","입금완료","입금대기")))</f>
        <v/>
      </c>
      <c r="R480" s="12" t="str">
        <f aca="false">IF($C480="","",COUNTIFS($C$3:$C480,$C480))</f>
        <v/>
      </c>
      <c r="S480" s="12" t="str">
        <f aca="false">IF($C480="","",$C480&amp;"|"&amp;$R480)</f>
        <v/>
      </c>
    </row>
    <row r="481" customFormat="false" ht="15" hidden="false" customHeight="true" outlineLevel="0" collapsed="false">
      <c r="A481" s="12" t="str">
        <f aca="false">IF($C481="","",TEXT($B481,"yymmdd")&amp;"-"&amp;TEXT(COUNTIFS($B$3:$B481,$B481),"000"))</f>
        <v/>
      </c>
      <c r="B481" s="13"/>
      <c r="C481" s="7"/>
      <c r="D481" s="12" t="str">
        <f aca="false">IF($C481="","",IFERROR(INDEX(고객명부!$B$3:$B$502,MATCH($C481,고객명부!$A$3:$A$502,0)),"미등록고객"))</f>
        <v/>
      </c>
      <c r="E481" s="12" t="str">
        <f aca="false">IF($C481="","",IFERROR(INDEX(고객명부!$C$3:$C$502,MATCH($C481,고객명부!$A$3:$A$502,0)),""))</f>
        <v/>
      </c>
      <c r="F481" s="12" t="str">
        <f aca="false">IF($C481="","",IFERROR(INDEX(고객명부!$D$3:$D$502,MATCH($C481,고객명부!$A$3:$A$502,0)),""))</f>
        <v/>
      </c>
      <c r="G481" s="12" t="str">
        <f aca="false">IF($C481="","",IFERROR(INDEX(고객명부!$E$3:$E$502,MATCH($C481,고객명부!$A$3:$A$502,0))&amp;" "&amp;INDEX(고객명부!$F$3:$F$502,MATCH($C481,고객명부!$A$3:$A$502,0)),""))</f>
        <v/>
      </c>
      <c r="H481" s="7"/>
      <c r="I481" s="12" t="str">
        <f aca="false">IF($H481="","",IFERROR(INDEX(상품목록!$B$3:$B$102,MATCH($H481,상품목록!$A$3:$A$102,0)),""))</f>
        <v/>
      </c>
      <c r="J481" s="14" t="str">
        <f aca="false">IF($H481="","",IFERROR(INDEX(상품목록!$C$3:$C$102,MATCH($H481,상품목록!$A$3:$A$102,0)),0))</f>
        <v/>
      </c>
      <c r="K481" s="7"/>
      <c r="L481" s="14" t="str">
        <f aca="false">IF(OR($J481="",$K481=""),"",ROUND($J481*$K481,0))</f>
        <v/>
      </c>
      <c r="M481" s="9"/>
      <c r="N481" s="14" t="str">
        <f aca="false">IF($L481="","",$L481+IF($M481="",0,$M481))</f>
        <v/>
      </c>
      <c r="O481" s="13"/>
      <c r="P481" s="7"/>
      <c r="Q481" s="12" t="str">
        <f aca="false">IF($C481="","",IF($P481&lt;&gt;"","발송완료",IF($O481&lt;&gt;"","입금완료","입금대기")))</f>
        <v/>
      </c>
      <c r="R481" s="12" t="str">
        <f aca="false">IF($C481="","",COUNTIFS($C$3:$C481,$C481))</f>
        <v/>
      </c>
      <c r="S481" s="12" t="str">
        <f aca="false">IF($C481="","",$C481&amp;"|"&amp;$R481)</f>
        <v/>
      </c>
    </row>
    <row r="482" customFormat="false" ht="15" hidden="false" customHeight="true" outlineLevel="0" collapsed="false">
      <c r="A482" s="12" t="str">
        <f aca="false">IF($C482="","",TEXT($B482,"yymmdd")&amp;"-"&amp;TEXT(COUNTIFS($B$3:$B482,$B482),"000"))</f>
        <v/>
      </c>
      <c r="B482" s="13"/>
      <c r="C482" s="7"/>
      <c r="D482" s="12" t="str">
        <f aca="false">IF($C482="","",IFERROR(INDEX(고객명부!$B$3:$B$502,MATCH($C482,고객명부!$A$3:$A$502,0)),"미등록고객"))</f>
        <v/>
      </c>
      <c r="E482" s="12" t="str">
        <f aca="false">IF($C482="","",IFERROR(INDEX(고객명부!$C$3:$C$502,MATCH($C482,고객명부!$A$3:$A$502,0)),""))</f>
        <v/>
      </c>
      <c r="F482" s="12" t="str">
        <f aca="false">IF($C482="","",IFERROR(INDEX(고객명부!$D$3:$D$502,MATCH($C482,고객명부!$A$3:$A$502,0)),""))</f>
        <v/>
      </c>
      <c r="G482" s="12" t="str">
        <f aca="false">IF($C482="","",IFERROR(INDEX(고객명부!$E$3:$E$502,MATCH($C482,고객명부!$A$3:$A$502,0))&amp;" "&amp;INDEX(고객명부!$F$3:$F$502,MATCH($C482,고객명부!$A$3:$A$502,0)),""))</f>
        <v/>
      </c>
      <c r="H482" s="7"/>
      <c r="I482" s="12" t="str">
        <f aca="false">IF($H482="","",IFERROR(INDEX(상품목록!$B$3:$B$102,MATCH($H482,상품목록!$A$3:$A$102,0)),""))</f>
        <v/>
      </c>
      <c r="J482" s="14" t="str">
        <f aca="false">IF($H482="","",IFERROR(INDEX(상품목록!$C$3:$C$102,MATCH($H482,상품목록!$A$3:$A$102,0)),0))</f>
        <v/>
      </c>
      <c r="K482" s="7"/>
      <c r="L482" s="14" t="str">
        <f aca="false">IF(OR($J482="",$K482=""),"",ROUND($J482*$K482,0))</f>
        <v/>
      </c>
      <c r="M482" s="9"/>
      <c r="N482" s="14" t="str">
        <f aca="false">IF($L482="","",$L482+IF($M482="",0,$M482))</f>
        <v/>
      </c>
      <c r="O482" s="13"/>
      <c r="P482" s="7"/>
      <c r="Q482" s="12" t="str">
        <f aca="false">IF($C482="","",IF($P482&lt;&gt;"","발송완료",IF($O482&lt;&gt;"","입금완료","입금대기")))</f>
        <v/>
      </c>
      <c r="R482" s="12" t="str">
        <f aca="false">IF($C482="","",COUNTIFS($C$3:$C482,$C482))</f>
        <v/>
      </c>
      <c r="S482" s="12" t="str">
        <f aca="false">IF($C482="","",$C482&amp;"|"&amp;$R482)</f>
        <v/>
      </c>
    </row>
    <row r="483" customFormat="false" ht="15" hidden="false" customHeight="true" outlineLevel="0" collapsed="false">
      <c r="A483" s="12" t="str">
        <f aca="false">IF($C483="","",TEXT($B483,"yymmdd")&amp;"-"&amp;TEXT(COUNTIFS($B$3:$B483,$B483),"000"))</f>
        <v/>
      </c>
      <c r="B483" s="13"/>
      <c r="C483" s="7"/>
      <c r="D483" s="12" t="str">
        <f aca="false">IF($C483="","",IFERROR(INDEX(고객명부!$B$3:$B$502,MATCH($C483,고객명부!$A$3:$A$502,0)),"미등록고객"))</f>
        <v/>
      </c>
      <c r="E483" s="12" t="str">
        <f aca="false">IF($C483="","",IFERROR(INDEX(고객명부!$C$3:$C$502,MATCH($C483,고객명부!$A$3:$A$502,0)),""))</f>
        <v/>
      </c>
      <c r="F483" s="12" t="str">
        <f aca="false">IF($C483="","",IFERROR(INDEX(고객명부!$D$3:$D$502,MATCH($C483,고객명부!$A$3:$A$502,0)),""))</f>
        <v/>
      </c>
      <c r="G483" s="12" t="str">
        <f aca="false">IF($C483="","",IFERROR(INDEX(고객명부!$E$3:$E$502,MATCH($C483,고객명부!$A$3:$A$502,0))&amp;" "&amp;INDEX(고객명부!$F$3:$F$502,MATCH($C483,고객명부!$A$3:$A$502,0)),""))</f>
        <v/>
      </c>
      <c r="H483" s="7"/>
      <c r="I483" s="12" t="str">
        <f aca="false">IF($H483="","",IFERROR(INDEX(상품목록!$B$3:$B$102,MATCH($H483,상품목록!$A$3:$A$102,0)),""))</f>
        <v/>
      </c>
      <c r="J483" s="14" t="str">
        <f aca="false">IF($H483="","",IFERROR(INDEX(상품목록!$C$3:$C$102,MATCH($H483,상품목록!$A$3:$A$102,0)),0))</f>
        <v/>
      </c>
      <c r="K483" s="7"/>
      <c r="L483" s="14" t="str">
        <f aca="false">IF(OR($J483="",$K483=""),"",ROUND($J483*$K483,0))</f>
        <v/>
      </c>
      <c r="M483" s="9"/>
      <c r="N483" s="14" t="str">
        <f aca="false">IF($L483="","",$L483+IF($M483="",0,$M483))</f>
        <v/>
      </c>
      <c r="O483" s="13"/>
      <c r="P483" s="7"/>
      <c r="Q483" s="12" t="str">
        <f aca="false">IF($C483="","",IF($P483&lt;&gt;"","발송완료",IF($O483&lt;&gt;"","입금완료","입금대기")))</f>
        <v/>
      </c>
      <c r="R483" s="12" t="str">
        <f aca="false">IF($C483="","",COUNTIFS($C$3:$C483,$C483))</f>
        <v/>
      </c>
      <c r="S483" s="12" t="str">
        <f aca="false">IF($C483="","",$C483&amp;"|"&amp;$R483)</f>
        <v/>
      </c>
    </row>
    <row r="484" customFormat="false" ht="15" hidden="false" customHeight="true" outlineLevel="0" collapsed="false">
      <c r="A484" s="12" t="str">
        <f aca="false">IF($C484="","",TEXT($B484,"yymmdd")&amp;"-"&amp;TEXT(COUNTIFS($B$3:$B484,$B484),"000"))</f>
        <v/>
      </c>
      <c r="B484" s="13"/>
      <c r="C484" s="7"/>
      <c r="D484" s="12" t="str">
        <f aca="false">IF($C484="","",IFERROR(INDEX(고객명부!$B$3:$B$502,MATCH($C484,고객명부!$A$3:$A$502,0)),"미등록고객"))</f>
        <v/>
      </c>
      <c r="E484" s="12" t="str">
        <f aca="false">IF($C484="","",IFERROR(INDEX(고객명부!$C$3:$C$502,MATCH($C484,고객명부!$A$3:$A$502,0)),""))</f>
        <v/>
      </c>
      <c r="F484" s="12" t="str">
        <f aca="false">IF($C484="","",IFERROR(INDEX(고객명부!$D$3:$D$502,MATCH($C484,고객명부!$A$3:$A$502,0)),""))</f>
        <v/>
      </c>
      <c r="G484" s="12" t="str">
        <f aca="false">IF($C484="","",IFERROR(INDEX(고객명부!$E$3:$E$502,MATCH($C484,고객명부!$A$3:$A$502,0))&amp;" "&amp;INDEX(고객명부!$F$3:$F$502,MATCH($C484,고객명부!$A$3:$A$502,0)),""))</f>
        <v/>
      </c>
      <c r="H484" s="7"/>
      <c r="I484" s="12" t="str">
        <f aca="false">IF($H484="","",IFERROR(INDEX(상품목록!$B$3:$B$102,MATCH($H484,상품목록!$A$3:$A$102,0)),""))</f>
        <v/>
      </c>
      <c r="J484" s="14" t="str">
        <f aca="false">IF($H484="","",IFERROR(INDEX(상품목록!$C$3:$C$102,MATCH($H484,상품목록!$A$3:$A$102,0)),0))</f>
        <v/>
      </c>
      <c r="K484" s="7"/>
      <c r="L484" s="14" t="str">
        <f aca="false">IF(OR($J484="",$K484=""),"",ROUND($J484*$K484,0))</f>
        <v/>
      </c>
      <c r="M484" s="9"/>
      <c r="N484" s="14" t="str">
        <f aca="false">IF($L484="","",$L484+IF($M484="",0,$M484))</f>
        <v/>
      </c>
      <c r="O484" s="13"/>
      <c r="P484" s="7"/>
      <c r="Q484" s="12" t="str">
        <f aca="false">IF($C484="","",IF($P484&lt;&gt;"","발송완료",IF($O484&lt;&gt;"","입금완료","입금대기")))</f>
        <v/>
      </c>
      <c r="R484" s="12" t="str">
        <f aca="false">IF($C484="","",COUNTIFS($C$3:$C484,$C484))</f>
        <v/>
      </c>
      <c r="S484" s="12" t="str">
        <f aca="false">IF($C484="","",$C484&amp;"|"&amp;$R484)</f>
        <v/>
      </c>
    </row>
    <row r="485" customFormat="false" ht="15" hidden="false" customHeight="true" outlineLevel="0" collapsed="false">
      <c r="A485" s="12" t="str">
        <f aca="false">IF($C485="","",TEXT($B485,"yymmdd")&amp;"-"&amp;TEXT(COUNTIFS($B$3:$B485,$B485),"000"))</f>
        <v/>
      </c>
      <c r="B485" s="13"/>
      <c r="C485" s="7"/>
      <c r="D485" s="12" t="str">
        <f aca="false">IF($C485="","",IFERROR(INDEX(고객명부!$B$3:$B$502,MATCH($C485,고객명부!$A$3:$A$502,0)),"미등록고객"))</f>
        <v/>
      </c>
      <c r="E485" s="12" t="str">
        <f aca="false">IF($C485="","",IFERROR(INDEX(고객명부!$C$3:$C$502,MATCH($C485,고객명부!$A$3:$A$502,0)),""))</f>
        <v/>
      </c>
      <c r="F485" s="12" t="str">
        <f aca="false">IF($C485="","",IFERROR(INDEX(고객명부!$D$3:$D$502,MATCH($C485,고객명부!$A$3:$A$502,0)),""))</f>
        <v/>
      </c>
      <c r="G485" s="12" t="str">
        <f aca="false">IF($C485="","",IFERROR(INDEX(고객명부!$E$3:$E$502,MATCH($C485,고객명부!$A$3:$A$502,0))&amp;" "&amp;INDEX(고객명부!$F$3:$F$502,MATCH($C485,고객명부!$A$3:$A$502,0)),""))</f>
        <v/>
      </c>
      <c r="H485" s="7"/>
      <c r="I485" s="12" t="str">
        <f aca="false">IF($H485="","",IFERROR(INDEX(상품목록!$B$3:$B$102,MATCH($H485,상품목록!$A$3:$A$102,0)),""))</f>
        <v/>
      </c>
      <c r="J485" s="14" t="str">
        <f aca="false">IF($H485="","",IFERROR(INDEX(상품목록!$C$3:$C$102,MATCH($H485,상품목록!$A$3:$A$102,0)),0))</f>
        <v/>
      </c>
      <c r="K485" s="7"/>
      <c r="L485" s="14" t="str">
        <f aca="false">IF(OR($J485="",$K485=""),"",ROUND($J485*$K485,0))</f>
        <v/>
      </c>
      <c r="M485" s="9"/>
      <c r="N485" s="14" t="str">
        <f aca="false">IF($L485="","",$L485+IF($M485="",0,$M485))</f>
        <v/>
      </c>
      <c r="O485" s="13"/>
      <c r="P485" s="7"/>
      <c r="Q485" s="12" t="str">
        <f aca="false">IF($C485="","",IF($P485&lt;&gt;"","발송완료",IF($O485&lt;&gt;"","입금완료","입금대기")))</f>
        <v/>
      </c>
      <c r="R485" s="12" t="str">
        <f aca="false">IF($C485="","",COUNTIFS($C$3:$C485,$C485))</f>
        <v/>
      </c>
      <c r="S485" s="12" t="str">
        <f aca="false">IF($C485="","",$C485&amp;"|"&amp;$R485)</f>
        <v/>
      </c>
    </row>
    <row r="486" customFormat="false" ht="15" hidden="false" customHeight="true" outlineLevel="0" collapsed="false">
      <c r="A486" s="12" t="str">
        <f aca="false">IF($C486="","",TEXT($B486,"yymmdd")&amp;"-"&amp;TEXT(COUNTIFS($B$3:$B486,$B486),"000"))</f>
        <v/>
      </c>
      <c r="B486" s="13"/>
      <c r="C486" s="7"/>
      <c r="D486" s="12" t="str">
        <f aca="false">IF($C486="","",IFERROR(INDEX(고객명부!$B$3:$B$502,MATCH($C486,고객명부!$A$3:$A$502,0)),"미등록고객"))</f>
        <v/>
      </c>
      <c r="E486" s="12" t="str">
        <f aca="false">IF($C486="","",IFERROR(INDEX(고객명부!$C$3:$C$502,MATCH($C486,고객명부!$A$3:$A$502,0)),""))</f>
        <v/>
      </c>
      <c r="F486" s="12" t="str">
        <f aca="false">IF($C486="","",IFERROR(INDEX(고객명부!$D$3:$D$502,MATCH($C486,고객명부!$A$3:$A$502,0)),""))</f>
        <v/>
      </c>
      <c r="G486" s="12" t="str">
        <f aca="false">IF($C486="","",IFERROR(INDEX(고객명부!$E$3:$E$502,MATCH($C486,고객명부!$A$3:$A$502,0))&amp;" "&amp;INDEX(고객명부!$F$3:$F$502,MATCH($C486,고객명부!$A$3:$A$502,0)),""))</f>
        <v/>
      </c>
      <c r="H486" s="7"/>
      <c r="I486" s="12" t="str">
        <f aca="false">IF($H486="","",IFERROR(INDEX(상품목록!$B$3:$B$102,MATCH($H486,상품목록!$A$3:$A$102,0)),""))</f>
        <v/>
      </c>
      <c r="J486" s="14" t="str">
        <f aca="false">IF($H486="","",IFERROR(INDEX(상품목록!$C$3:$C$102,MATCH($H486,상품목록!$A$3:$A$102,0)),0))</f>
        <v/>
      </c>
      <c r="K486" s="7"/>
      <c r="L486" s="14" t="str">
        <f aca="false">IF(OR($J486="",$K486=""),"",ROUND($J486*$K486,0))</f>
        <v/>
      </c>
      <c r="M486" s="9"/>
      <c r="N486" s="14" t="str">
        <f aca="false">IF($L486="","",$L486+IF($M486="",0,$M486))</f>
        <v/>
      </c>
      <c r="O486" s="13"/>
      <c r="P486" s="7"/>
      <c r="Q486" s="12" t="str">
        <f aca="false">IF($C486="","",IF($P486&lt;&gt;"","발송완료",IF($O486&lt;&gt;"","입금완료","입금대기")))</f>
        <v/>
      </c>
      <c r="R486" s="12" t="str">
        <f aca="false">IF($C486="","",COUNTIFS($C$3:$C486,$C486))</f>
        <v/>
      </c>
      <c r="S486" s="12" t="str">
        <f aca="false">IF($C486="","",$C486&amp;"|"&amp;$R486)</f>
        <v/>
      </c>
    </row>
    <row r="487" customFormat="false" ht="15" hidden="false" customHeight="true" outlineLevel="0" collapsed="false">
      <c r="A487" s="12" t="str">
        <f aca="false">IF($C487="","",TEXT($B487,"yymmdd")&amp;"-"&amp;TEXT(COUNTIFS($B$3:$B487,$B487),"000"))</f>
        <v/>
      </c>
      <c r="B487" s="13"/>
      <c r="C487" s="7"/>
      <c r="D487" s="12" t="str">
        <f aca="false">IF($C487="","",IFERROR(INDEX(고객명부!$B$3:$B$502,MATCH($C487,고객명부!$A$3:$A$502,0)),"미등록고객"))</f>
        <v/>
      </c>
      <c r="E487" s="12" t="str">
        <f aca="false">IF($C487="","",IFERROR(INDEX(고객명부!$C$3:$C$502,MATCH($C487,고객명부!$A$3:$A$502,0)),""))</f>
        <v/>
      </c>
      <c r="F487" s="12" t="str">
        <f aca="false">IF($C487="","",IFERROR(INDEX(고객명부!$D$3:$D$502,MATCH($C487,고객명부!$A$3:$A$502,0)),""))</f>
        <v/>
      </c>
      <c r="G487" s="12" t="str">
        <f aca="false">IF($C487="","",IFERROR(INDEX(고객명부!$E$3:$E$502,MATCH($C487,고객명부!$A$3:$A$502,0))&amp;" "&amp;INDEX(고객명부!$F$3:$F$502,MATCH($C487,고객명부!$A$3:$A$502,0)),""))</f>
        <v/>
      </c>
      <c r="H487" s="7"/>
      <c r="I487" s="12" t="str">
        <f aca="false">IF($H487="","",IFERROR(INDEX(상품목록!$B$3:$B$102,MATCH($H487,상품목록!$A$3:$A$102,0)),""))</f>
        <v/>
      </c>
      <c r="J487" s="14" t="str">
        <f aca="false">IF($H487="","",IFERROR(INDEX(상품목록!$C$3:$C$102,MATCH($H487,상품목록!$A$3:$A$102,0)),0))</f>
        <v/>
      </c>
      <c r="K487" s="7"/>
      <c r="L487" s="14" t="str">
        <f aca="false">IF(OR($J487="",$K487=""),"",ROUND($J487*$K487,0))</f>
        <v/>
      </c>
      <c r="M487" s="9"/>
      <c r="N487" s="14" t="str">
        <f aca="false">IF($L487="","",$L487+IF($M487="",0,$M487))</f>
        <v/>
      </c>
      <c r="O487" s="13"/>
      <c r="P487" s="7"/>
      <c r="Q487" s="12" t="str">
        <f aca="false">IF($C487="","",IF($P487&lt;&gt;"","발송완료",IF($O487&lt;&gt;"","입금완료","입금대기")))</f>
        <v/>
      </c>
      <c r="R487" s="12" t="str">
        <f aca="false">IF($C487="","",COUNTIFS($C$3:$C487,$C487))</f>
        <v/>
      </c>
      <c r="S487" s="12" t="str">
        <f aca="false">IF($C487="","",$C487&amp;"|"&amp;$R487)</f>
        <v/>
      </c>
    </row>
    <row r="488" customFormat="false" ht="15" hidden="false" customHeight="true" outlineLevel="0" collapsed="false">
      <c r="A488" s="12" t="str">
        <f aca="false">IF($C488="","",TEXT($B488,"yymmdd")&amp;"-"&amp;TEXT(COUNTIFS($B$3:$B488,$B488),"000"))</f>
        <v/>
      </c>
      <c r="B488" s="13"/>
      <c r="C488" s="7"/>
      <c r="D488" s="12" t="str">
        <f aca="false">IF($C488="","",IFERROR(INDEX(고객명부!$B$3:$B$502,MATCH($C488,고객명부!$A$3:$A$502,0)),"미등록고객"))</f>
        <v/>
      </c>
      <c r="E488" s="12" t="str">
        <f aca="false">IF($C488="","",IFERROR(INDEX(고객명부!$C$3:$C$502,MATCH($C488,고객명부!$A$3:$A$502,0)),""))</f>
        <v/>
      </c>
      <c r="F488" s="12" t="str">
        <f aca="false">IF($C488="","",IFERROR(INDEX(고객명부!$D$3:$D$502,MATCH($C488,고객명부!$A$3:$A$502,0)),""))</f>
        <v/>
      </c>
      <c r="G488" s="12" t="str">
        <f aca="false">IF($C488="","",IFERROR(INDEX(고객명부!$E$3:$E$502,MATCH($C488,고객명부!$A$3:$A$502,0))&amp;" "&amp;INDEX(고객명부!$F$3:$F$502,MATCH($C488,고객명부!$A$3:$A$502,0)),""))</f>
        <v/>
      </c>
      <c r="H488" s="7"/>
      <c r="I488" s="12" t="str">
        <f aca="false">IF($H488="","",IFERROR(INDEX(상품목록!$B$3:$B$102,MATCH($H488,상품목록!$A$3:$A$102,0)),""))</f>
        <v/>
      </c>
      <c r="J488" s="14" t="str">
        <f aca="false">IF($H488="","",IFERROR(INDEX(상품목록!$C$3:$C$102,MATCH($H488,상품목록!$A$3:$A$102,0)),0))</f>
        <v/>
      </c>
      <c r="K488" s="7"/>
      <c r="L488" s="14" t="str">
        <f aca="false">IF(OR($J488="",$K488=""),"",ROUND($J488*$K488,0))</f>
        <v/>
      </c>
      <c r="M488" s="9"/>
      <c r="N488" s="14" t="str">
        <f aca="false">IF($L488="","",$L488+IF($M488="",0,$M488))</f>
        <v/>
      </c>
      <c r="O488" s="13"/>
      <c r="P488" s="7"/>
      <c r="Q488" s="12" t="str">
        <f aca="false">IF($C488="","",IF($P488&lt;&gt;"","발송완료",IF($O488&lt;&gt;"","입금완료","입금대기")))</f>
        <v/>
      </c>
      <c r="R488" s="12" t="str">
        <f aca="false">IF($C488="","",COUNTIFS($C$3:$C488,$C488))</f>
        <v/>
      </c>
      <c r="S488" s="12" t="str">
        <f aca="false">IF($C488="","",$C488&amp;"|"&amp;$R488)</f>
        <v/>
      </c>
    </row>
    <row r="489" customFormat="false" ht="15" hidden="false" customHeight="true" outlineLevel="0" collapsed="false">
      <c r="A489" s="12" t="str">
        <f aca="false">IF($C489="","",TEXT($B489,"yymmdd")&amp;"-"&amp;TEXT(COUNTIFS($B$3:$B489,$B489),"000"))</f>
        <v/>
      </c>
      <c r="B489" s="13"/>
      <c r="C489" s="7"/>
      <c r="D489" s="12" t="str">
        <f aca="false">IF($C489="","",IFERROR(INDEX(고객명부!$B$3:$B$502,MATCH($C489,고객명부!$A$3:$A$502,0)),"미등록고객"))</f>
        <v/>
      </c>
      <c r="E489" s="12" t="str">
        <f aca="false">IF($C489="","",IFERROR(INDEX(고객명부!$C$3:$C$502,MATCH($C489,고객명부!$A$3:$A$502,0)),""))</f>
        <v/>
      </c>
      <c r="F489" s="12" t="str">
        <f aca="false">IF($C489="","",IFERROR(INDEX(고객명부!$D$3:$D$502,MATCH($C489,고객명부!$A$3:$A$502,0)),""))</f>
        <v/>
      </c>
      <c r="G489" s="12" t="str">
        <f aca="false">IF($C489="","",IFERROR(INDEX(고객명부!$E$3:$E$502,MATCH($C489,고객명부!$A$3:$A$502,0))&amp;" "&amp;INDEX(고객명부!$F$3:$F$502,MATCH($C489,고객명부!$A$3:$A$502,0)),""))</f>
        <v/>
      </c>
      <c r="H489" s="7"/>
      <c r="I489" s="12" t="str">
        <f aca="false">IF($H489="","",IFERROR(INDEX(상품목록!$B$3:$B$102,MATCH($H489,상품목록!$A$3:$A$102,0)),""))</f>
        <v/>
      </c>
      <c r="J489" s="14" t="str">
        <f aca="false">IF($H489="","",IFERROR(INDEX(상품목록!$C$3:$C$102,MATCH($H489,상품목록!$A$3:$A$102,0)),0))</f>
        <v/>
      </c>
      <c r="K489" s="7"/>
      <c r="L489" s="14" t="str">
        <f aca="false">IF(OR($J489="",$K489=""),"",ROUND($J489*$K489,0))</f>
        <v/>
      </c>
      <c r="M489" s="9"/>
      <c r="N489" s="14" t="str">
        <f aca="false">IF($L489="","",$L489+IF($M489="",0,$M489))</f>
        <v/>
      </c>
      <c r="O489" s="13"/>
      <c r="P489" s="7"/>
      <c r="Q489" s="12" t="str">
        <f aca="false">IF($C489="","",IF($P489&lt;&gt;"","발송완료",IF($O489&lt;&gt;"","입금완료","입금대기")))</f>
        <v/>
      </c>
      <c r="R489" s="12" t="str">
        <f aca="false">IF($C489="","",COUNTIFS($C$3:$C489,$C489))</f>
        <v/>
      </c>
      <c r="S489" s="12" t="str">
        <f aca="false">IF($C489="","",$C489&amp;"|"&amp;$R489)</f>
        <v/>
      </c>
    </row>
    <row r="490" customFormat="false" ht="15" hidden="false" customHeight="true" outlineLevel="0" collapsed="false">
      <c r="A490" s="12" t="str">
        <f aca="false">IF($C490="","",TEXT($B490,"yymmdd")&amp;"-"&amp;TEXT(COUNTIFS($B$3:$B490,$B490),"000"))</f>
        <v/>
      </c>
      <c r="B490" s="13"/>
      <c r="C490" s="7"/>
      <c r="D490" s="12" t="str">
        <f aca="false">IF($C490="","",IFERROR(INDEX(고객명부!$B$3:$B$502,MATCH($C490,고객명부!$A$3:$A$502,0)),"미등록고객"))</f>
        <v/>
      </c>
      <c r="E490" s="12" t="str">
        <f aca="false">IF($C490="","",IFERROR(INDEX(고객명부!$C$3:$C$502,MATCH($C490,고객명부!$A$3:$A$502,0)),""))</f>
        <v/>
      </c>
      <c r="F490" s="12" t="str">
        <f aca="false">IF($C490="","",IFERROR(INDEX(고객명부!$D$3:$D$502,MATCH($C490,고객명부!$A$3:$A$502,0)),""))</f>
        <v/>
      </c>
      <c r="G490" s="12" t="str">
        <f aca="false">IF($C490="","",IFERROR(INDEX(고객명부!$E$3:$E$502,MATCH($C490,고객명부!$A$3:$A$502,0))&amp;" "&amp;INDEX(고객명부!$F$3:$F$502,MATCH($C490,고객명부!$A$3:$A$502,0)),""))</f>
        <v/>
      </c>
      <c r="H490" s="7"/>
      <c r="I490" s="12" t="str">
        <f aca="false">IF($H490="","",IFERROR(INDEX(상품목록!$B$3:$B$102,MATCH($H490,상품목록!$A$3:$A$102,0)),""))</f>
        <v/>
      </c>
      <c r="J490" s="14" t="str">
        <f aca="false">IF($H490="","",IFERROR(INDEX(상품목록!$C$3:$C$102,MATCH($H490,상품목록!$A$3:$A$102,0)),0))</f>
        <v/>
      </c>
      <c r="K490" s="7"/>
      <c r="L490" s="14" t="str">
        <f aca="false">IF(OR($J490="",$K490=""),"",ROUND($J490*$K490,0))</f>
        <v/>
      </c>
      <c r="M490" s="9"/>
      <c r="N490" s="14" t="str">
        <f aca="false">IF($L490="","",$L490+IF($M490="",0,$M490))</f>
        <v/>
      </c>
      <c r="O490" s="13"/>
      <c r="P490" s="7"/>
      <c r="Q490" s="12" t="str">
        <f aca="false">IF($C490="","",IF($P490&lt;&gt;"","발송완료",IF($O490&lt;&gt;"","입금완료","입금대기")))</f>
        <v/>
      </c>
      <c r="R490" s="12" t="str">
        <f aca="false">IF($C490="","",COUNTIFS($C$3:$C490,$C490))</f>
        <v/>
      </c>
      <c r="S490" s="12" t="str">
        <f aca="false">IF($C490="","",$C490&amp;"|"&amp;$R490)</f>
        <v/>
      </c>
    </row>
    <row r="491" customFormat="false" ht="15" hidden="false" customHeight="true" outlineLevel="0" collapsed="false">
      <c r="A491" s="12" t="str">
        <f aca="false">IF($C491="","",TEXT($B491,"yymmdd")&amp;"-"&amp;TEXT(COUNTIFS($B$3:$B491,$B491),"000"))</f>
        <v/>
      </c>
      <c r="B491" s="13"/>
      <c r="C491" s="7"/>
      <c r="D491" s="12" t="str">
        <f aca="false">IF($C491="","",IFERROR(INDEX(고객명부!$B$3:$B$502,MATCH($C491,고객명부!$A$3:$A$502,0)),"미등록고객"))</f>
        <v/>
      </c>
      <c r="E491" s="12" t="str">
        <f aca="false">IF($C491="","",IFERROR(INDEX(고객명부!$C$3:$C$502,MATCH($C491,고객명부!$A$3:$A$502,0)),""))</f>
        <v/>
      </c>
      <c r="F491" s="12" t="str">
        <f aca="false">IF($C491="","",IFERROR(INDEX(고객명부!$D$3:$D$502,MATCH($C491,고객명부!$A$3:$A$502,0)),""))</f>
        <v/>
      </c>
      <c r="G491" s="12" t="str">
        <f aca="false">IF($C491="","",IFERROR(INDEX(고객명부!$E$3:$E$502,MATCH($C491,고객명부!$A$3:$A$502,0))&amp;" "&amp;INDEX(고객명부!$F$3:$F$502,MATCH($C491,고객명부!$A$3:$A$502,0)),""))</f>
        <v/>
      </c>
      <c r="H491" s="7"/>
      <c r="I491" s="12" t="str">
        <f aca="false">IF($H491="","",IFERROR(INDEX(상품목록!$B$3:$B$102,MATCH($H491,상품목록!$A$3:$A$102,0)),""))</f>
        <v/>
      </c>
      <c r="J491" s="14" t="str">
        <f aca="false">IF($H491="","",IFERROR(INDEX(상품목록!$C$3:$C$102,MATCH($H491,상품목록!$A$3:$A$102,0)),0))</f>
        <v/>
      </c>
      <c r="K491" s="7"/>
      <c r="L491" s="14" t="str">
        <f aca="false">IF(OR($J491="",$K491=""),"",ROUND($J491*$K491,0))</f>
        <v/>
      </c>
      <c r="M491" s="9"/>
      <c r="N491" s="14" t="str">
        <f aca="false">IF($L491="","",$L491+IF($M491="",0,$M491))</f>
        <v/>
      </c>
      <c r="O491" s="13"/>
      <c r="P491" s="7"/>
      <c r="Q491" s="12" t="str">
        <f aca="false">IF($C491="","",IF($P491&lt;&gt;"","발송완료",IF($O491&lt;&gt;"","입금완료","입금대기")))</f>
        <v/>
      </c>
      <c r="R491" s="12" t="str">
        <f aca="false">IF($C491="","",COUNTIFS($C$3:$C491,$C491))</f>
        <v/>
      </c>
      <c r="S491" s="12" t="str">
        <f aca="false">IF($C491="","",$C491&amp;"|"&amp;$R491)</f>
        <v/>
      </c>
    </row>
    <row r="492" customFormat="false" ht="15" hidden="false" customHeight="true" outlineLevel="0" collapsed="false">
      <c r="A492" s="12" t="str">
        <f aca="false">IF($C492="","",TEXT($B492,"yymmdd")&amp;"-"&amp;TEXT(COUNTIFS($B$3:$B492,$B492),"000"))</f>
        <v/>
      </c>
      <c r="B492" s="13"/>
      <c r="C492" s="7"/>
      <c r="D492" s="12" t="str">
        <f aca="false">IF($C492="","",IFERROR(INDEX(고객명부!$B$3:$B$502,MATCH($C492,고객명부!$A$3:$A$502,0)),"미등록고객"))</f>
        <v/>
      </c>
      <c r="E492" s="12" t="str">
        <f aca="false">IF($C492="","",IFERROR(INDEX(고객명부!$C$3:$C$502,MATCH($C492,고객명부!$A$3:$A$502,0)),""))</f>
        <v/>
      </c>
      <c r="F492" s="12" t="str">
        <f aca="false">IF($C492="","",IFERROR(INDEX(고객명부!$D$3:$D$502,MATCH($C492,고객명부!$A$3:$A$502,0)),""))</f>
        <v/>
      </c>
      <c r="G492" s="12" t="str">
        <f aca="false">IF($C492="","",IFERROR(INDEX(고객명부!$E$3:$E$502,MATCH($C492,고객명부!$A$3:$A$502,0))&amp;" "&amp;INDEX(고객명부!$F$3:$F$502,MATCH($C492,고객명부!$A$3:$A$502,0)),""))</f>
        <v/>
      </c>
      <c r="H492" s="7"/>
      <c r="I492" s="12" t="str">
        <f aca="false">IF($H492="","",IFERROR(INDEX(상품목록!$B$3:$B$102,MATCH($H492,상품목록!$A$3:$A$102,0)),""))</f>
        <v/>
      </c>
      <c r="J492" s="14" t="str">
        <f aca="false">IF($H492="","",IFERROR(INDEX(상품목록!$C$3:$C$102,MATCH($H492,상품목록!$A$3:$A$102,0)),0))</f>
        <v/>
      </c>
      <c r="K492" s="7"/>
      <c r="L492" s="14" t="str">
        <f aca="false">IF(OR($J492="",$K492=""),"",ROUND($J492*$K492,0))</f>
        <v/>
      </c>
      <c r="M492" s="9"/>
      <c r="N492" s="14" t="str">
        <f aca="false">IF($L492="","",$L492+IF($M492="",0,$M492))</f>
        <v/>
      </c>
      <c r="O492" s="13"/>
      <c r="P492" s="7"/>
      <c r="Q492" s="12" t="str">
        <f aca="false">IF($C492="","",IF($P492&lt;&gt;"","발송완료",IF($O492&lt;&gt;"","입금완료","입금대기")))</f>
        <v/>
      </c>
      <c r="R492" s="12" t="str">
        <f aca="false">IF($C492="","",COUNTIFS($C$3:$C492,$C492))</f>
        <v/>
      </c>
      <c r="S492" s="12" t="str">
        <f aca="false">IF($C492="","",$C492&amp;"|"&amp;$R492)</f>
        <v/>
      </c>
    </row>
    <row r="493" customFormat="false" ht="15" hidden="false" customHeight="true" outlineLevel="0" collapsed="false">
      <c r="A493" s="12" t="str">
        <f aca="false">IF($C493="","",TEXT($B493,"yymmdd")&amp;"-"&amp;TEXT(COUNTIFS($B$3:$B493,$B493),"000"))</f>
        <v/>
      </c>
      <c r="B493" s="13"/>
      <c r="C493" s="7"/>
      <c r="D493" s="12" t="str">
        <f aca="false">IF($C493="","",IFERROR(INDEX(고객명부!$B$3:$B$502,MATCH($C493,고객명부!$A$3:$A$502,0)),"미등록고객"))</f>
        <v/>
      </c>
      <c r="E493" s="12" t="str">
        <f aca="false">IF($C493="","",IFERROR(INDEX(고객명부!$C$3:$C$502,MATCH($C493,고객명부!$A$3:$A$502,0)),""))</f>
        <v/>
      </c>
      <c r="F493" s="12" t="str">
        <f aca="false">IF($C493="","",IFERROR(INDEX(고객명부!$D$3:$D$502,MATCH($C493,고객명부!$A$3:$A$502,0)),""))</f>
        <v/>
      </c>
      <c r="G493" s="12" t="str">
        <f aca="false">IF($C493="","",IFERROR(INDEX(고객명부!$E$3:$E$502,MATCH($C493,고객명부!$A$3:$A$502,0))&amp;" "&amp;INDEX(고객명부!$F$3:$F$502,MATCH($C493,고객명부!$A$3:$A$502,0)),""))</f>
        <v/>
      </c>
      <c r="H493" s="7"/>
      <c r="I493" s="12" t="str">
        <f aca="false">IF($H493="","",IFERROR(INDEX(상품목록!$B$3:$B$102,MATCH($H493,상품목록!$A$3:$A$102,0)),""))</f>
        <v/>
      </c>
      <c r="J493" s="14" t="str">
        <f aca="false">IF($H493="","",IFERROR(INDEX(상품목록!$C$3:$C$102,MATCH($H493,상품목록!$A$3:$A$102,0)),0))</f>
        <v/>
      </c>
      <c r="K493" s="7"/>
      <c r="L493" s="14" t="str">
        <f aca="false">IF(OR($J493="",$K493=""),"",ROUND($J493*$K493,0))</f>
        <v/>
      </c>
      <c r="M493" s="9"/>
      <c r="N493" s="14" t="str">
        <f aca="false">IF($L493="","",$L493+IF($M493="",0,$M493))</f>
        <v/>
      </c>
      <c r="O493" s="13"/>
      <c r="P493" s="7"/>
      <c r="Q493" s="12" t="str">
        <f aca="false">IF($C493="","",IF($P493&lt;&gt;"","발송완료",IF($O493&lt;&gt;"","입금완료","입금대기")))</f>
        <v/>
      </c>
      <c r="R493" s="12" t="str">
        <f aca="false">IF($C493="","",COUNTIFS($C$3:$C493,$C493))</f>
        <v/>
      </c>
      <c r="S493" s="12" t="str">
        <f aca="false">IF($C493="","",$C493&amp;"|"&amp;$R493)</f>
        <v/>
      </c>
    </row>
    <row r="494" customFormat="false" ht="15" hidden="false" customHeight="true" outlineLevel="0" collapsed="false">
      <c r="A494" s="12" t="str">
        <f aca="false">IF($C494="","",TEXT($B494,"yymmdd")&amp;"-"&amp;TEXT(COUNTIFS($B$3:$B494,$B494),"000"))</f>
        <v/>
      </c>
      <c r="B494" s="13"/>
      <c r="C494" s="7"/>
      <c r="D494" s="12" t="str">
        <f aca="false">IF($C494="","",IFERROR(INDEX(고객명부!$B$3:$B$502,MATCH($C494,고객명부!$A$3:$A$502,0)),"미등록고객"))</f>
        <v/>
      </c>
      <c r="E494" s="12" t="str">
        <f aca="false">IF($C494="","",IFERROR(INDEX(고객명부!$C$3:$C$502,MATCH($C494,고객명부!$A$3:$A$502,0)),""))</f>
        <v/>
      </c>
      <c r="F494" s="12" t="str">
        <f aca="false">IF($C494="","",IFERROR(INDEX(고객명부!$D$3:$D$502,MATCH($C494,고객명부!$A$3:$A$502,0)),""))</f>
        <v/>
      </c>
      <c r="G494" s="12" t="str">
        <f aca="false">IF($C494="","",IFERROR(INDEX(고객명부!$E$3:$E$502,MATCH($C494,고객명부!$A$3:$A$502,0))&amp;" "&amp;INDEX(고객명부!$F$3:$F$502,MATCH($C494,고객명부!$A$3:$A$502,0)),""))</f>
        <v/>
      </c>
      <c r="H494" s="7"/>
      <c r="I494" s="12" t="str">
        <f aca="false">IF($H494="","",IFERROR(INDEX(상품목록!$B$3:$B$102,MATCH($H494,상품목록!$A$3:$A$102,0)),""))</f>
        <v/>
      </c>
      <c r="J494" s="14" t="str">
        <f aca="false">IF($H494="","",IFERROR(INDEX(상품목록!$C$3:$C$102,MATCH($H494,상품목록!$A$3:$A$102,0)),0))</f>
        <v/>
      </c>
      <c r="K494" s="7"/>
      <c r="L494" s="14" t="str">
        <f aca="false">IF(OR($J494="",$K494=""),"",ROUND($J494*$K494,0))</f>
        <v/>
      </c>
      <c r="M494" s="9"/>
      <c r="N494" s="14" t="str">
        <f aca="false">IF($L494="","",$L494+IF($M494="",0,$M494))</f>
        <v/>
      </c>
      <c r="O494" s="13"/>
      <c r="P494" s="7"/>
      <c r="Q494" s="12" t="str">
        <f aca="false">IF($C494="","",IF($P494&lt;&gt;"","발송완료",IF($O494&lt;&gt;"","입금완료","입금대기")))</f>
        <v/>
      </c>
      <c r="R494" s="12" t="str">
        <f aca="false">IF($C494="","",COUNTIFS($C$3:$C494,$C494))</f>
        <v/>
      </c>
      <c r="S494" s="12" t="str">
        <f aca="false">IF($C494="","",$C494&amp;"|"&amp;$R494)</f>
        <v/>
      </c>
    </row>
    <row r="495" customFormat="false" ht="15" hidden="false" customHeight="true" outlineLevel="0" collapsed="false">
      <c r="A495" s="12" t="str">
        <f aca="false">IF($C495="","",TEXT($B495,"yymmdd")&amp;"-"&amp;TEXT(COUNTIFS($B$3:$B495,$B495),"000"))</f>
        <v/>
      </c>
      <c r="B495" s="13"/>
      <c r="C495" s="7"/>
      <c r="D495" s="12" t="str">
        <f aca="false">IF($C495="","",IFERROR(INDEX(고객명부!$B$3:$B$502,MATCH($C495,고객명부!$A$3:$A$502,0)),"미등록고객"))</f>
        <v/>
      </c>
      <c r="E495" s="12" t="str">
        <f aca="false">IF($C495="","",IFERROR(INDEX(고객명부!$C$3:$C$502,MATCH($C495,고객명부!$A$3:$A$502,0)),""))</f>
        <v/>
      </c>
      <c r="F495" s="12" t="str">
        <f aca="false">IF($C495="","",IFERROR(INDEX(고객명부!$D$3:$D$502,MATCH($C495,고객명부!$A$3:$A$502,0)),""))</f>
        <v/>
      </c>
      <c r="G495" s="12" t="str">
        <f aca="false">IF($C495="","",IFERROR(INDEX(고객명부!$E$3:$E$502,MATCH($C495,고객명부!$A$3:$A$502,0))&amp;" "&amp;INDEX(고객명부!$F$3:$F$502,MATCH($C495,고객명부!$A$3:$A$502,0)),""))</f>
        <v/>
      </c>
      <c r="H495" s="7"/>
      <c r="I495" s="12" t="str">
        <f aca="false">IF($H495="","",IFERROR(INDEX(상품목록!$B$3:$B$102,MATCH($H495,상품목록!$A$3:$A$102,0)),""))</f>
        <v/>
      </c>
      <c r="J495" s="14" t="str">
        <f aca="false">IF($H495="","",IFERROR(INDEX(상품목록!$C$3:$C$102,MATCH($H495,상품목록!$A$3:$A$102,0)),0))</f>
        <v/>
      </c>
      <c r="K495" s="7"/>
      <c r="L495" s="14" t="str">
        <f aca="false">IF(OR($J495="",$K495=""),"",ROUND($J495*$K495,0))</f>
        <v/>
      </c>
      <c r="M495" s="9"/>
      <c r="N495" s="14" t="str">
        <f aca="false">IF($L495="","",$L495+IF($M495="",0,$M495))</f>
        <v/>
      </c>
      <c r="O495" s="13"/>
      <c r="P495" s="7"/>
      <c r="Q495" s="12" t="str">
        <f aca="false">IF($C495="","",IF($P495&lt;&gt;"","발송완료",IF($O495&lt;&gt;"","입금완료","입금대기")))</f>
        <v/>
      </c>
      <c r="R495" s="12" t="str">
        <f aca="false">IF($C495="","",COUNTIFS($C$3:$C495,$C495))</f>
        <v/>
      </c>
      <c r="S495" s="12" t="str">
        <f aca="false">IF($C495="","",$C495&amp;"|"&amp;$R495)</f>
        <v/>
      </c>
    </row>
    <row r="496" customFormat="false" ht="15" hidden="false" customHeight="true" outlineLevel="0" collapsed="false">
      <c r="A496" s="12" t="str">
        <f aca="false">IF($C496="","",TEXT($B496,"yymmdd")&amp;"-"&amp;TEXT(COUNTIFS($B$3:$B496,$B496),"000"))</f>
        <v/>
      </c>
      <c r="B496" s="13"/>
      <c r="C496" s="7"/>
      <c r="D496" s="12" t="str">
        <f aca="false">IF($C496="","",IFERROR(INDEX(고객명부!$B$3:$B$502,MATCH($C496,고객명부!$A$3:$A$502,0)),"미등록고객"))</f>
        <v/>
      </c>
      <c r="E496" s="12" t="str">
        <f aca="false">IF($C496="","",IFERROR(INDEX(고객명부!$C$3:$C$502,MATCH($C496,고객명부!$A$3:$A$502,0)),""))</f>
        <v/>
      </c>
      <c r="F496" s="12" t="str">
        <f aca="false">IF($C496="","",IFERROR(INDEX(고객명부!$D$3:$D$502,MATCH($C496,고객명부!$A$3:$A$502,0)),""))</f>
        <v/>
      </c>
      <c r="G496" s="12" t="str">
        <f aca="false">IF($C496="","",IFERROR(INDEX(고객명부!$E$3:$E$502,MATCH($C496,고객명부!$A$3:$A$502,0))&amp;" "&amp;INDEX(고객명부!$F$3:$F$502,MATCH($C496,고객명부!$A$3:$A$502,0)),""))</f>
        <v/>
      </c>
      <c r="H496" s="7"/>
      <c r="I496" s="12" t="str">
        <f aca="false">IF($H496="","",IFERROR(INDEX(상품목록!$B$3:$B$102,MATCH($H496,상품목록!$A$3:$A$102,0)),""))</f>
        <v/>
      </c>
      <c r="J496" s="14" t="str">
        <f aca="false">IF($H496="","",IFERROR(INDEX(상품목록!$C$3:$C$102,MATCH($H496,상품목록!$A$3:$A$102,0)),0))</f>
        <v/>
      </c>
      <c r="K496" s="7"/>
      <c r="L496" s="14" t="str">
        <f aca="false">IF(OR($J496="",$K496=""),"",ROUND($J496*$K496,0))</f>
        <v/>
      </c>
      <c r="M496" s="9"/>
      <c r="N496" s="14" t="str">
        <f aca="false">IF($L496="","",$L496+IF($M496="",0,$M496))</f>
        <v/>
      </c>
      <c r="O496" s="13"/>
      <c r="P496" s="7"/>
      <c r="Q496" s="12" t="str">
        <f aca="false">IF($C496="","",IF($P496&lt;&gt;"","발송완료",IF($O496&lt;&gt;"","입금완료","입금대기")))</f>
        <v/>
      </c>
      <c r="R496" s="12" t="str">
        <f aca="false">IF($C496="","",COUNTIFS($C$3:$C496,$C496))</f>
        <v/>
      </c>
      <c r="S496" s="12" t="str">
        <f aca="false">IF($C496="","",$C496&amp;"|"&amp;$R496)</f>
        <v/>
      </c>
    </row>
    <row r="497" customFormat="false" ht="15" hidden="false" customHeight="true" outlineLevel="0" collapsed="false">
      <c r="A497" s="12" t="str">
        <f aca="false">IF($C497="","",TEXT($B497,"yymmdd")&amp;"-"&amp;TEXT(COUNTIFS($B$3:$B497,$B497),"000"))</f>
        <v/>
      </c>
      <c r="B497" s="13"/>
      <c r="C497" s="7"/>
      <c r="D497" s="12" t="str">
        <f aca="false">IF($C497="","",IFERROR(INDEX(고객명부!$B$3:$B$502,MATCH($C497,고객명부!$A$3:$A$502,0)),"미등록고객"))</f>
        <v/>
      </c>
      <c r="E497" s="12" t="str">
        <f aca="false">IF($C497="","",IFERROR(INDEX(고객명부!$C$3:$C$502,MATCH($C497,고객명부!$A$3:$A$502,0)),""))</f>
        <v/>
      </c>
      <c r="F497" s="12" t="str">
        <f aca="false">IF($C497="","",IFERROR(INDEX(고객명부!$D$3:$D$502,MATCH($C497,고객명부!$A$3:$A$502,0)),""))</f>
        <v/>
      </c>
      <c r="G497" s="12" t="str">
        <f aca="false">IF($C497="","",IFERROR(INDEX(고객명부!$E$3:$E$502,MATCH($C497,고객명부!$A$3:$A$502,0))&amp;" "&amp;INDEX(고객명부!$F$3:$F$502,MATCH($C497,고객명부!$A$3:$A$502,0)),""))</f>
        <v/>
      </c>
      <c r="H497" s="7"/>
      <c r="I497" s="12" t="str">
        <f aca="false">IF($H497="","",IFERROR(INDEX(상품목록!$B$3:$B$102,MATCH($H497,상품목록!$A$3:$A$102,0)),""))</f>
        <v/>
      </c>
      <c r="J497" s="14" t="str">
        <f aca="false">IF($H497="","",IFERROR(INDEX(상품목록!$C$3:$C$102,MATCH($H497,상품목록!$A$3:$A$102,0)),0))</f>
        <v/>
      </c>
      <c r="K497" s="7"/>
      <c r="L497" s="14" t="str">
        <f aca="false">IF(OR($J497="",$K497=""),"",ROUND($J497*$K497,0))</f>
        <v/>
      </c>
      <c r="M497" s="9"/>
      <c r="N497" s="14" t="str">
        <f aca="false">IF($L497="","",$L497+IF($M497="",0,$M497))</f>
        <v/>
      </c>
      <c r="O497" s="13"/>
      <c r="P497" s="7"/>
      <c r="Q497" s="12" t="str">
        <f aca="false">IF($C497="","",IF($P497&lt;&gt;"","발송완료",IF($O497&lt;&gt;"","입금완료","입금대기")))</f>
        <v/>
      </c>
      <c r="R497" s="12" t="str">
        <f aca="false">IF($C497="","",COUNTIFS($C$3:$C497,$C497))</f>
        <v/>
      </c>
      <c r="S497" s="12" t="str">
        <f aca="false">IF($C497="","",$C497&amp;"|"&amp;$R497)</f>
        <v/>
      </c>
    </row>
    <row r="498" customFormat="false" ht="15" hidden="false" customHeight="true" outlineLevel="0" collapsed="false">
      <c r="A498" s="12" t="str">
        <f aca="false">IF($C498="","",TEXT($B498,"yymmdd")&amp;"-"&amp;TEXT(COUNTIFS($B$3:$B498,$B498),"000"))</f>
        <v/>
      </c>
      <c r="B498" s="13"/>
      <c r="C498" s="7"/>
      <c r="D498" s="12" t="str">
        <f aca="false">IF($C498="","",IFERROR(INDEX(고객명부!$B$3:$B$502,MATCH($C498,고객명부!$A$3:$A$502,0)),"미등록고객"))</f>
        <v/>
      </c>
      <c r="E498" s="12" t="str">
        <f aca="false">IF($C498="","",IFERROR(INDEX(고객명부!$C$3:$C$502,MATCH($C498,고객명부!$A$3:$A$502,0)),""))</f>
        <v/>
      </c>
      <c r="F498" s="12" t="str">
        <f aca="false">IF($C498="","",IFERROR(INDEX(고객명부!$D$3:$D$502,MATCH($C498,고객명부!$A$3:$A$502,0)),""))</f>
        <v/>
      </c>
      <c r="G498" s="12" t="str">
        <f aca="false">IF($C498="","",IFERROR(INDEX(고객명부!$E$3:$E$502,MATCH($C498,고객명부!$A$3:$A$502,0))&amp;" "&amp;INDEX(고객명부!$F$3:$F$502,MATCH($C498,고객명부!$A$3:$A$502,0)),""))</f>
        <v/>
      </c>
      <c r="H498" s="7"/>
      <c r="I498" s="12" t="str">
        <f aca="false">IF($H498="","",IFERROR(INDEX(상품목록!$B$3:$B$102,MATCH($H498,상품목록!$A$3:$A$102,0)),""))</f>
        <v/>
      </c>
      <c r="J498" s="14" t="str">
        <f aca="false">IF($H498="","",IFERROR(INDEX(상품목록!$C$3:$C$102,MATCH($H498,상품목록!$A$3:$A$102,0)),0))</f>
        <v/>
      </c>
      <c r="K498" s="7"/>
      <c r="L498" s="14" t="str">
        <f aca="false">IF(OR($J498="",$K498=""),"",ROUND($J498*$K498,0))</f>
        <v/>
      </c>
      <c r="M498" s="9"/>
      <c r="N498" s="14" t="str">
        <f aca="false">IF($L498="","",$L498+IF($M498="",0,$M498))</f>
        <v/>
      </c>
      <c r="O498" s="13"/>
      <c r="P498" s="7"/>
      <c r="Q498" s="12" t="str">
        <f aca="false">IF($C498="","",IF($P498&lt;&gt;"","발송완료",IF($O498&lt;&gt;"","입금완료","입금대기")))</f>
        <v/>
      </c>
      <c r="R498" s="12" t="str">
        <f aca="false">IF($C498="","",COUNTIFS($C$3:$C498,$C498))</f>
        <v/>
      </c>
      <c r="S498" s="12" t="str">
        <f aca="false">IF($C498="","",$C498&amp;"|"&amp;$R498)</f>
        <v/>
      </c>
    </row>
    <row r="499" customFormat="false" ht="15" hidden="false" customHeight="true" outlineLevel="0" collapsed="false">
      <c r="A499" s="12" t="str">
        <f aca="false">IF($C499="","",TEXT($B499,"yymmdd")&amp;"-"&amp;TEXT(COUNTIFS($B$3:$B499,$B499),"000"))</f>
        <v/>
      </c>
      <c r="B499" s="13"/>
      <c r="C499" s="7"/>
      <c r="D499" s="12" t="str">
        <f aca="false">IF($C499="","",IFERROR(INDEX(고객명부!$B$3:$B$502,MATCH($C499,고객명부!$A$3:$A$502,0)),"미등록고객"))</f>
        <v/>
      </c>
      <c r="E499" s="12" t="str">
        <f aca="false">IF($C499="","",IFERROR(INDEX(고객명부!$C$3:$C$502,MATCH($C499,고객명부!$A$3:$A$502,0)),""))</f>
        <v/>
      </c>
      <c r="F499" s="12" t="str">
        <f aca="false">IF($C499="","",IFERROR(INDEX(고객명부!$D$3:$D$502,MATCH($C499,고객명부!$A$3:$A$502,0)),""))</f>
        <v/>
      </c>
      <c r="G499" s="12" t="str">
        <f aca="false">IF($C499="","",IFERROR(INDEX(고객명부!$E$3:$E$502,MATCH($C499,고객명부!$A$3:$A$502,0))&amp;" "&amp;INDEX(고객명부!$F$3:$F$502,MATCH($C499,고객명부!$A$3:$A$502,0)),""))</f>
        <v/>
      </c>
      <c r="H499" s="7"/>
      <c r="I499" s="12" t="str">
        <f aca="false">IF($H499="","",IFERROR(INDEX(상품목록!$B$3:$B$102,MATCH($H499,상품목록!$A$3:$A$102,0)),""))</f>
        <v/>
      </c>
      <c r="J499" s="14" t="str">
        <f aca="false">IF($H499="","",IFERROR(INDEX(상품목록!$C$3:$C$102,MATCH($H499,상품목록!$A$3:$A$102,0)),0))</f>
        <v/>
      </c>
      <c r="K499" s="7"/>
      <c r="L499" s="14" t="str">
        <f aca="false">IF(OR($J499="",$K499=""),"",ROUND($J499*$K499,0))</f>
        <v/>
      </c>
      <c r="M499" s="9"/>
      <c r="N499" s="14" t="str">
        <f aca="false">IF($L499="","",$L499+IF($M499="",0,$M499))</f>
        <v/>
      </c>
      <c r="O499" s="13"/>
      <c r="P499" s="7"/>
      <c r="Q499" s="12" t="str">
        <f aca="false">IF($C499="","",IF($P499&lt;&gt;"","발송완료",IF($O499&lt;&gt;"","입금완료","입금대기")))</f>
        <v/>
      </c>
      <c r="R499" s="12" t="str">
        <f aca="false">IF($C499="","",COUNTIFS($C$3:$C499,$C499))</f>
        <v/>
      </c>
      <c r="S499" s="12" t="str">
        <f aca="false">IF($C499="","",$C499&amp;"|"&amp;$R499)</f>
        <v/>
      </c>
    </row>
    <row r="500" customFormat="false" ht="15" hidden="false" customHeight="true" outlineLevel="0" collapsed="false">
      <c r="A500" s="12" t="str">
        <f aca="false">IF($C500="","",TEXT($B500,"yymmdd")&amp;"-"&amp;TEXT(COUNTIFS($B$3:$B500,$B500),"000"))</f>
        <v/>
      </c>
      <c r="B500" s="13"/>
      <c r="C500" s="7"/>
      <c r="D500" s="12" t="str">
        <f aca="false">IF($C500="","",IFERROR(INDEX(고객명부!$B$3:$B$502,MATCH($C500,고객명부!$A$3:$A$502,0)),"미등록고객"))</f>
        <v/>
      </c>
      <c r="E500" s="12" t="str">
        <f aca="false">IF($C500="","",IFERROR(INDEX(고객명부!$C$3:$C$502,MATCH($C500,고객명부!$A$3:$A$502,0)),""))</f>
        <v/>
      </c>
      <c r="F500" s="12" t="str">
        <f aca="false">IF($C500="","",IFERROR(INDEX(고객명부!$D$3:$D$502,MATCH($C500,고객명부!$A$3:$A$502,0)),""))</f>
        <v/>
      </c>
      <c r="G500" s="12" t="str">
        <f aca="false">IF($C500="","",IFERROR(INDEX(고객명부!$E$3:$E$502,MATCH($C500,고객명부!$A$3:$A$502,0))&amp;" "&amp;INDEX(고객명부!$F$3:$F$502,MATCH($C500,고객명부!$A$3:$A$502,0)),""))</f>
        <v/>
      </c>
      <c r="H500" s="7"/>
      <c r="I500" s="12" t="str">
        <f aca="false">IF($H500="","",IFERROR(INDEX(상품목록!$B$3:$B$102,MATCH($H500,상품목록!$A$3:$A$102,0)),""))</f>
        <v/>
      </c>
      <c r="J500" s="14" t="str">
        <f aca="false">IF($H500="","",IFERROR(INDEX(상품목록!$C$3:$C$102,MATCH($H500,상품목록!$A$3:$A$102,0)),0))</f>
        <v/>
      </c>
      <c r="K500" s="7"/>
      <c r="L500" s="14" t="str">
        <f aca="false">IF(OR($J500="",$K500=""),"",ROUND($J500*$K500,0))</f>
        <v/>
      </c>
      <c r="M500" s="9"/>
      <c r="N500" s="14" t="str">
        <f aca="false">IF($L500="","",$L500+IF($M500="",0,$M500))</f>
        <v/>
      </c>
      <c r="O500" s="13"/>
      <c r="P500" s="7"/>
      <c r="Q500" s="12" t="str">
        <f aca="false">IF($C500="","",IF($P500&lt;&gt;"","발송완료",IF($O500&lt;&gt;"","입금완료","입금대기")))</f>
        <v/>
      </c>
      <c r="R500" s="12" t="str">
        <f aca="false">IF($C500="","",COUNTIFS($C$3:$C500,$C500))</f>
        <v/>
      </c>
      <c r="S500" s="12" t="str">
        <f aca="false">IF($C500="","",$C500&amp;"|"&amp;$R500)</f>
        <v/>
      </c>
    </row>
    <row r="501" customFormat="false" ht="15" hidden="false" customHeight="true" outlineLevel="0" collapsed="false">
      <c r="A501" s="12" t="str">
        <f aca="false">IF($C501="","",TEXT($B501,"yymmdd")&amp;"-"&amp;TEXT(COUNTIFS($B$3:$B501,$B501),"000"))</f>
        <v/>
      </c>
      <c r="B501" s="13"/>
      <c r="C501" s="7"/>
      <c r="D501" s="12" t="str">
        <f aca="false">IF($C501="","",IFERROR(INDEX(고객명부!$B$3:$B$502,MATCH($C501,고객명부!$A$3:$A$502,0)),"미등록고객"))</f>
        <v/>
      </c>
      <c r="E501" s="12" t="str">
        <f aca="false">IF($C501="","",IFERROR(INDEX(고객명부!$C$3:$C$502,MATCH($C501,고객명부!$A$3:$A$502,0)),""))</f>
        <v/>
      </c>
      <c r="F501" s="12" t="str">
        <f aca="false">IF($C501="","",IFERROR(INDEX(고객명부!$D$3:$D$502,MATCH($C501,고객명부!$A$3:$A$502,0)),""))</f>
        <v/>
      </c>
      <c r="G501" s="12" t="str">
        <f aca="false">IF($C501="","",IFERROR(INDEX(고객명부!$E$3:$E$502,MATCH($C501,고객명부!$A$3:$A$502,0))&amp;" "&amp;INDEX(고객명부!$F$3:$F$502,MATCH($C501,고객명부!$A$3:$A$502,0)),""))</f>
        <v/>
      </c>
      <c r="H501" s="7"/>
      <c r="I501" s="12" t="str">
        <f aca="false">IF($H501="","",IFERROR(INDEX(상품목록!$B$3:$B$102,MATCH($H501,상품목록!$A$3:$A$102,0)),""))</f>
        <v/>
      </c>
      <c r="J501" s="14" t="str">
        <f aca="false">IF($H501="","",IFERROR(INDEX(상품목록!$C$3:$C$102,MATCH($H501,상품목록!$A$3:$A$102,0)),0))</f>
        <v/>
      </c>
      <c r="K501" s="7"/>
      <c r="L501" s="14" t="str">
        <f aca="false">IF(OR($J501="",$K501=""),"",ROUND($J501*$K501,0))</f>
        <v/>
      </c>
      <c r="M501" s="9"/>
      <c r="N501" s="14" t="str">
        <f aca="false">IF($L501="","",$L501+IF($M501="",0,$M501))</f>
        <v/>
      </c>
      <c r="O501" s="13"/>
      <c r="P501" s="7"/>
      <c r="Q501" s="12" t="str">
        <f aca="false">IF($C501="","",IF($P501&lt;&gt;"","발송완료",IF($O501&lt;&gt;"","입금완료","입금대기")))</f>
        <v/>
      </c>
      <c r="R501" s="12" t="str">
        <f aca="false">IF($C501="","",COUNTIFS($C$3:$C501,$C501))</f>
        <v/>
      </c>
      <c r="S501" s="12" t="str">
        <f aca="false">IF($C501="","",$C501&amp;"|"&amp;$R501)</f>
        <v/>
      </c>
    </row>
    <row r="502" customFormat="false" ht="15" hidden="false" customHeight="true" outlineLevel="0" collapsed="false">
      <c r="A502" s="12" t="str">
        <f aca="false">IF($C502="","",TEXT($B502,"yymmdd")&amp;"-"&amp;TEXT(COUNTIFS($B$3:$B502,$B502),"000"))</f>
        <v/>
      </c>
      <c r="B502" s="13"/>
      <c r="C502" s="7"/>
      <c r="D502" s="12" t="str">
        <f aca="false">IF($C502="","",IFERROR(INDEX(고객명부!$B$3:$B$502,MATCH($C502,고객명부!$A$3:$A$502,0)),"미등록고객"))</f>
        <v/>
      </c>
      <c r="E502" s="12" t="str">
        <f aca="false">IF($C502="","",IFERROR(INDEX(고객명부!$C$3:$C$502,MATCH($C502,고객명부!$A$3:$A$502,0)),""))</f>
        <v/>
      </c>
      <c r="F502" s="12" t="str">
        <f aca="false">IF($C502="","",IFERROR(INDEX(고객명부!$D$3:$D$502,MATCH($C502,고객명부!$A$3:$A$502,0)),""))</f>
        <v/>
      </c>
      <c r="G502" s="12" t="str">
        <f aca="false">IF($C502="","",IFERROR(INDEX(고객명부!$E$3:$E$502,MATCH($C502,고객명부!$A$3:$A$502,0))&amp;" "&amp;INDEX(고객명부!$F$3:$F$502,MATCH($C502,고객명부!$A$3:$A$502,0)),""))</f>
        <v/>
      </c>
      <c r="H502" s="7"/>
      <c r="I502" s="12" t="str">
        <f aca="false">IF($H502="","",IFERROR(INDEX(상품목록!$B$3:$B$102,MATCH($H502,상품목록!$A$3:$A$102,0)),""))</f>
        <v/>
      </c>
      <c r="J502" s="14" t="str">
        <f aca="false">IF($H502="","",IFERROR(INDEX(상품목록!$C$3:$C$102,MATCH($H502,상품목록!$A$3:$A$102,0)),0))</f>
        <v/>
      </c>
      <c r="K502" s="7"/>
      <c r="L502" s="14" t="str">
        <f aca="false">IF(OR($J502="",$K502=""),"",ROUND($J502*$K502,0))</f>
        <v/>
      </c>
      <c r="M502" s="9"/>
      <c r="N502" s="14" t="str">
        <f aca="false">IF($L502="","",$L502+IF($M502="",0,$M502))</f>
        <v/>
      </c>
      <c r="O502" s="13"/>
      <c r="P502" s="7"/>
      <c r="Q502" s="12" t="str">
        <f aca="false">IF($C502="","",IF($P502&lt;&gt;"","발송완료",IF($O502&lt;&gt;"","입금완료","입금대기")))</f>
        <v/>
      </c>
      <c r="R502" s="12" t="str">
        <f aca="false">IF($C502="","",COUNTIFS($C$3:$C502,$C502))</f>
        <v/>
      </c>
      <c r="S502" s="12" t="str">
        <f aca="false">IF($C502="","",$C502&amp;"|"&amp;$R502)</f>
        <v/>
      </c>
    </row>
    <row r="503" customFormat="false" ht="15" hidden="false" customHeight="true" outlineLevel="0" collapsed="false">
      <c r="A503" s="12" t="str">
        <f aca="false">IF($C503="","",TEXT($B503,"yymmdd")&amp;"-"&amp;TEXT(COUNTIFS($B$3:$B503,$B503),"000"))</f>
        <v/>
      </c>
      <c r="B503" s="13"/>
      <c r="C503" s="7"/>
      <c r="D503" s="12" t="str">
        <f aca="false">IF($C503="","",IFERROR(INDEX(고객명부!$B$3:$B$502,MATCH($C503,고객명부!$A$3:$A$502,0)),"미등록고객"))</f>
        <v/>
      </c>
      <c r="E503" s="12" t="str">
        <f aca="false">IF($C503="","",IFERROR(INDEX(고객명부!$C$3:$C$502,MATCH($C503,고객명부!$A$3:$A$502,0)),""))</f>
        <v/>
      </c>
      <c r="F503" s="12" t="str">
        <f aca="false">IF($C503="","",IFERROR(INDEX(고객명부!$D$3:$D$502,MATCH($C503,고객명부!$A$3:$A$502,0)),""))</f>
        <v/>
      </c>
      <c r="G503" s="12" t="str">
        <f aca="false">IF($C503="","",IFERROR(INDEX(고객명부!$E$3:$E$502,MATCH($C503,고객명부!$A$3:$A$502,0))&amp;" "&amp;INDEX(고객명부!$F$3:$F$502,MATCH($C503,고객명부!$A$3:$A$502,0)),""))</f>
        <v/>
      </c>
      <c r="H503" s="7"/>
      <c r="I503" s="12" t="str">
        <f aca="false">IF($H503="","",IFERROR(INDEX(상품목록!$B$3:$B$102,MATCH($H503,상품목록!$A$3:$A$102,0)),""))</f>
        <v/>
      </c>
      <c r="J503" s="14" t="str">
        <f aca="false">IF($H503="","",IFERROR(INDEX(상품목록!$C$3:$C$102,MATCH($H503,상품목록!$A$3:$A$102,0)),0))</f>
        <v/>
      </c>
      <c r="K503" s="7"/>
      <c r="L503" s="14" t="str">
        <f aca="false">IF(OR($J503="",$K503=""),"",ROUND($J503*$K503,0))</f>
        <v/>
      </c>
      <c r="M503" s="9"/>
      <c r="N503" s="14" t="str">
        <f aca="false">IF($L503="","",$L503+IF($M503="",0,$M503))</f>
        <v/>
      </c>
      <c r="O503" s="13"/>
      <c r="P503" s="7"/>
      <c r="Q503" s="12" t="str">
        <f aca="false">IF($C503="","",IF($P503&lt;&gt;"","발송완료",IF($O503&lt;&gt;"","입금완료","입금대기")))</f>
        <v/>
      </c>
      <c r="R503" s="12" t="str">
        <f aca="false">IF($C503="","",COUNTIFS($C$3:$C503,$C503))</f>
        <v/>
      </c>
      <c r="S503" s="12" t="str">
        <f aca="false">IF($C503="","",$C503&amp;"|"&amp;$R503)</f>
        <v/>
      </c>
    </row>
    <row r="504" customFormat="false" ht="15" hidden="false" customHeight="true" outlineLevel="0" collapsed="false">
      <c r="A504" s="12" t="str">
        <f aca="false">IF($C504="","",TEXT($B504,"yymmdd")&amp;"-"&amp;TEXT(COUNTIFS($B$3:$B504,$B504),"000"))</f>
        <v/>
      </c>
      <c r="B504" s="13"/>
      <c r="C504" s="7"/>
      <c r="D504" s="12" t="str">
        <f aca="false">IF($C504="","",IFERROR(INDEX(고객명부!$B$3:$B$502,MATCH($C504,고객명부!$A$3:$A$502,0)),"미등록고객"))</f>
        <v/>
      </c>
      <c r="E504" s="12" t="str">
        <f aca="false">IF($C504="","",IFERROR(INDEX(고객명부!$C$3:$C$502,MATCH($C504,고객명부!$A$3:$A$502,0)),""))</f>
        <v/>
      </c>
      <c r="F504" s="12" t="str">
        <f aca="false">IF($C504="","",IFERROR(INDEX(고객명부!$D$3:$D$502,MATCH($C504,고객명부!$A$3:$A$502,0)),""))</f>
        <v/>
      </c>
      <c r="G504" s="12" t="str">
        <f aca="false">IF($C504="","",IFERROR(INDEX(고객명부!$E$3:$E$502,MATCH($C504,고객명부!$A$3:$A$502,0))&amp;" "&amp;INDEX(고객명부!$F$3:$F$502,MATCH($C504,고객명부!$A$3:$A$502,0)),""))</f>
        <v/>
      </c>
      <c r="H504" s="7"/>
      <c r="I504" s="12" t="str">
        <f aca="false">IF($H504="","",IFERROR(INDEX(상품목록!$B$3:$B$102,MATCH($H504,상품목록!$A$3:$A$102,0)),""))</f>
        <v/>
      </c>
      <c r="J504" s="14" t="str">
        <f aca="false">IF($H504="","",IFERROR(INDEX(상품목록!$C$3:$C$102,MATCH($H504,상품목록!$A$3:$A$102,0)),0))</f>
        <v/>
      </c>
      <c r="K504" s="7"/>
      <c r="L504" s="14" t="str">
        <f aca="false">IF(OR($J504="",$K504=""),"",ROUND($J504*$K504,0))</f>
        <v/>
      </c>
      <c r="M504" s="9"/>
      <c r="N504" s="14" t="str">
        <f aca="false">IF($L504="","",$L504+IF($M504="",0,$M504))</f>
        <v/>
      </c>
      <c r="O504" s="13"/>
      <c r="P504" s="7"/>
      <c r="Q504" s="12" t="str">
        <f aca="false">IF($C504="","",IF($P504&lt;&gt;"","발송완료",IF($O504&lt;&gt;"","입금완료","입금대기")))</f>
        <v/>
      </c>
      <c r="R504" s="12" t="str">
        <f aca="false">IF($C504="","",COUNTIFS($C$3:$C504,$C504))</f>
        <v/>
      </c>
      <c r="S504" s="12" t="str">
        <f aca="false">IF($C504="","",$C504&amp;"|"&amp;$R504)</f>
        <v/>
      </c>
    </row>
    <row r="505" customFormat="false" ht="15" hidden="false" customHeight="true" outlineLevel="0" collapsed="false">
      <c r="A505" s="12" t="str">
        <f aca="false">IF($C505="","",TEXT($B505,"yymmdd")&amp;"-"&amp;TEXT(COUNTIFS($B$3:$B505,$B505),"000"))</f>
        <v/>
      </c>
      <c r="B505" s="13"/>
      <c r="C505" s="7"/>
      <c r="D505" s="12" t="str">
        <f aca="false">IF($C505="","",IFERROR(INDEX(고객명부!$B$3:$B$502,MATCH($C505,고객명부!$A$3:$A$502,0)),"미등록고객"))</f>
        <v/>
      </c>
      <c r="E505" s="12" t="str">
        <f aca="false">IF($C505="","",IFERROR(INDEX(고객명부!$C$3:$C$502,MATCH($C505,고객명부!$A$3:$A$502,0)),""))</f>
        <v/>
      </c>
      <c r="F505" s="12" t="str">
        <f aca="false">IF($C505="","",IFERROR(INDEX(고객명부!$D$3:$D$502,MATCH($C505,고객명부!$A$3:$A$502,0)),""))</f>
        <v/>
      </c>
      <c r="G505" s="12" t="str">
        <f aca="false">IF($C505="","",IFERROR(INDEX(고객명부!$E$3:$E$502,MATCH($C505,고객명부!$A$3:$A$502,0))&amp;" "&amp;INDEX(고객명부!$F$3:$F$502,MATCH($C505,고객명부!$A$3:$A$502,0)),""))</f>
        <v/>
      </c>
      <c r="H505" s="7"/>
      <c r="I505" s="12" t="str">
        <f aca="false">IF($H505="","",IFERROR(INDEX(상품목록!$B$3:$B$102,MATCH($H505,상품목록!$A$3:$A$102,0)),""))</f>
        <v/>
      </c>
      <c r="J505" s="14" t="str">
        <f aca="false">IF($H505="","",IFERROR(INDEX(상품목록!$C$3:$C$102,MATCH($H505,상품목록!$A$3:$A$102,0)),0))</f>
        <v/>
      </c>
      <c r="K505" s="7"/>
      <c r="L505" s="14" t="str">
        <f aca="false">IF(OR($J505="",$K505=""),"",ROUND($J505*$K505,0))</f>
        <v/>
      </c>
      <c r="M505" s="9"/>
      <c r="N505" s="14" t="str">
        <f aca="false">IF($L505="","",$L505+IF($M505="",0,$M505))</f>
        <v/>
      </c>
      <c r="O505" s="13"/>
      <c r="P505" s="7"/>
      <c r="Q505" s="12" t="str">
        <f aca="false">IF($C505="","",IF($P505&lt;&gt;"","발송완료",IF($O505&lt;&gt;"","입금완료","입금대기")))</f>
        <v/>
      </c>
      <c r="R505" s="12" t="str">
        <f aca="false">IF($C505="","",COUNTIFS($C$3:$C505,$C505))</f>
        <v/>
      </c>
      <c r="S505" s="12" t="str">
        <f aca="false">IF($C505="","",$C505&amp;"|"&amp;$R505)</f>
        <v/>
      </c>
    </row>
    <row r="506" customFormat="false" ht="15" hidden="false" customHeight="true" outlineLevel="0" collapsed="false">
      <c r="A506" s="12" t="str">
        <f aca="false">IF($C506="","",TEXT($B506,"yymmdd")&amp;"-"&amp;TEXT(COUNTIFS($B$3:$B506,$B506),"000"))</f>
        <v/>
      </c>
      <c r="B506" s="13"/>
      <c r="C506" s="7"/>
      <c r="D506" s="12" t="str">
        <f aca="false">IF($C506="","",IFERROR(INDEX(고객명부!$B$3:$B$502,MATCH($C506,고객명부!$A$3:$A$502,0)),"미등록고객"))</f>
        <v/>
      </c>
      <c r="E506" s="12" t="str">
        <f aca="false">IF($C506="","",IFERROR(INDEX(고객명부!$C$3:$C$502,MATCH($C506,고객명부!$A$3:$A$502,0)),""))</f>
        <v/>
      </c>
      <c r="F506" s="12" t="str">
        <f aca="false">IF($C506="","",IFERROR(INDEX(고객명부!$D$3:$D$502,MATCH($C506,고객명부!$A$3:$A$502,0)),""))</f>
        <v/>
      </c>
      <c r="G506" s="12" t="str">
        <f aca="false">IF($C506="","",IFERROR(INDEX(고객명부!$E$3:$E$502,MATCH($C506,고객명부!$A$3:$A$502,0))&amp;" "&amp;INDEX(고객명부!$F$3:$F$502,MATCH($C506,고객명부!$A$3:$A$502,0)),""))</f>
        <v/>
      </c>
      <c r="H506" s="7"/>
      <c r="I506" s="12" t="str">
        <f aca="false">IF($H506="","",IFERROR(INDEX(상품목록!$B$3:$B$102,MATCH($H506,상품목록!$A$3:$A$102,0)),""))</f>
        <v/>
      </c>
      <c r="J506" s="14" t="str">
        <f aca="false">IF($H506="","",IFERROR(INDEX(상품목록!$C$3:$C$102,MATCH($H506,상품목록!$A$3:$A$102,0)),0))</f>
        <v/>
      </c>
      <c r="K506" s="7"/>
      <c r="L506" s="14" t="str">
        <f aca="false">IF(OR($J506="",$K506=""),"",ROUND($J506*$K506,0))</f>
        <v/>
      </c>
      <c r="M506" s="9"/>
      <c r="N506" s="14" t="str">
        <f aca="false">IF($L506="","",$L506+IF($M506="",0,$M506))</f>
        <v/>
      </c>
      <c r="O506" s="13"/>
      <c r="P506" s="7"/>
      <c r="Q506" s="12" t="str">
        <f aca="false">IF($C506="","",IF($P506&lt;&gt;"","발송완료",IF($O506&lt;&gt;"","입금완료","입금대기")))</f>
        <v/>
      </c>
      <c r="R506" s="12" t="str">
        <f aca="false">IF($C506="","",COUNTIFS($C$3:$C506,$C506))</f>
        <v/>
      </c>
      <c r="S506" s="12" t="str">
        <f aca="false">IF($C506="","",$C506&amp;"|"&amp;$R506)</f>
        <v/>
      </c>
    </row>
    <row r="507" customFormat="false" ht="15" hidden="false" customHeight="true" outlineLevel="0" collapsed="false">
      <c r="A507" s="12" t="str">
        <f aca="false">IF($C507="","",TEXT($B507,"yymmdd")&amp;"-"&amp;TEXT(COUNTIFS($B$3:$B507,$B507),"000"))</f>
        <v/>
      </c>
      <c r="B507" s="13"/>
      <c r="C507" s="7"/>
      <c r="D507" s="12" t="str">
        <f aca="false">IF($C507="","",IFERROR(INDEX(고객명부!$B$3:$B$502,MATCH($C507,고객명부!$A$3:$A$502,0)),"미등록고객"))</f>
        <v/>
      </c>
      <c r="E507" s="12" t="str">
        <f aca="false">IF($C507="","",IFERROR(INDEX(고객명부!$C$3:$C$502,MATCH($C507,고객명부!$A$3:$A$502,0)),""))</f>
        <v/>
      </c>
      <c r="F507" s="12" t="str">
        <f aca="false">IF($C507="","",IFERROR(INDEX(고객명부!$D$3:$D$502,MATCH($C507,고객명부!$A$3:$A$502,0)),""))</f>
        <v/>
      </c>
      <c r="G507" s="12" t="str">
        <f aca="false">IF($C507="","",IFERROR(INDEX(고객명부!$E$3:$E$502,MATCH($C507,고객명부!$A$3:$A$502,0))&amp;" "&amp;INDEX(고객명부!$F$3:$F$502,MATCH($C507,고객명부!$A$3:$A$502,0)),""))</f>
        <v/>
      </c>
      <c r="H507" s="7"/>
      <c r="I507" s="12" t="str">
        <f aca="false">IF($H507="","",IFERROR(INDEX(상품목록!$B$3:$B$102,MATCH($H507,상품목록!$A$3:$A$102,0)),""))</f>
        <v/>
      </c>
      <c r="J507" s="14" t="str">
        <f aca="false">IF($H507="","",IFERROR(INDEX(상품목록!$C$3:$C$102,MATCH($H507,상품목록!$A$3:$A$102,0)),0))</f>
        <v/>
      </c>
      <c r="K507" s="7"/>
      <c r="L507" s="14" t="str">
        <f aca="false">IF(OR($J507="",$K507=""),"",ROUND($J507*$K507,0))</f>
        <v/>
      </c>
      <c r="M507" s="9"/>
      <c r="N507" s="14" t="str">
        <f aca="false">IF($L507="","",$L507+IF($M507="",0,$M507))</f>
        <v/>
      </c>
      <c r="O507" s="13"/>
      <c r="P507" s="7"/>
      <c r="Q507" s="12" t="str">
        <f aca="false">IF($C507="","",IF($P507&lt;&gt;"","발송완료",IF($O507&lt;&gt;"","입금완료","입금대기")))</f>
        <v/>
      </c>
      <c r="R507" s="12" t="str">
        <f aca="false">IF($C507="","",COUNTIFS($C$3:$C507,$C507))</f>
        <v/>
      </c>
      <c r="S507" s="12" t="str">
        <f aca="false">IF($C507="","",$C507&amp;"|"&amp;$R507)</f>
        <v/>
      </c>
    </row>
    <row r="508" customFormat="false" ht="15" hidden="false" customHeight="true" outlineLevel="0" collapsed="false">
      <c r="A508" s="12" t="str">
        <f aca="false">IF($C508="","",TEXT($B508,"yymmdd")&amp;"-"&amp;TEXT(COUNTIFS($B$3:$B508,$B508),"000"))</f>
        <v/>
      </c>
      <c r="B508" s="13"/>
      <c r="C508" s="7"/>
      <c r="D508" s="12" t="str">
        <f aca="false">IF($C508="","",IFERROR(INDEX(고객명부!$B$3:$B$502,MATCH($C508,고객명부!$A$3:$A$502,0)),"미등록고객"))</f>
        <v/>
      </c>
      <c r="E508" s="12" t="str">
        <f aca="false">IF($C508="","",IFERROR(INDEX(고객명부!$C$3:$C$502,MATCH($C508,고객명부!$A$3:$A$502,0)),""))</f>
        <v/>
      </c>
      <c r="F508" s="12" t="str">
        <f aca="false">IF($C508="","",IFERROR(INDEX(고객명부!$D$3:$D$502,MATCH($C508,고객명부!$A$3:$A$502,0)),""))</f>
        <v/>
      </c>
      <c r="G508" s="12" t="str">
        <f aca="false">IF($C508="","",IFERROR(INDEX(고객명부!$E$3:$E$502,MATCH($C508,고객명부!$A$3:$A$502,0))&amp;" "&amp;INDEX(고객명부!$F$3:$F$502,MATCH($C508,고객명부!$A$3:$A$502,0)),""))</f>
        <v/>
      </c>
      <c r="H508" s="7"/>
      <c r="I508" s="12" t="str">
        <f aca="false">IF($H508="","",IFERROR(INDEX(상품목록!$B$3:$B$102,MATCH($H508,상품목록!$A$3:$A$102,0)),""))</f>
        <v/>
      </c>
      <c r="J508" s="14" t="str">
        <f aca="false">IF($H508="","",IFERROR(INDEX(상품목록!$C$3:$C$102,MATCH($H508,상품목록!$A$3:$A$102,0)),0))</f>
        <v/>
      </c>
      <c r="K508" s="7"/>
      <c r="L508" s="14" t="str">
        <f aca="false">IF(OR($J508="",$K508=""),"",ROUND($J508*$K508,0))</f>
        <v/>
      </c>
      <c r="M508" s="9"/>
      <c r="N508" s="14" t="str">
        <f aca="false">IF($L508="","",$L508+IF($M508="",0,$M508))</f>
        <v/>
      </c>
      <c r="O508" s="13"/>
      <c r="P508" s="7"/>
      <c r="Q508" s="12" t="str">
        <f aca="false">IF($C508="","",IF($P508&lt;&gt;"","발송완료",IF($O508&lt;&gt;"","입금완료","입금대기")))</f>
        <v/>
      </c>
      <c r="R508" s="12" t="str">
        <f aca="false">IF($C508="","",COUNTIFS($C$3:$C508,$C508))</f>
        <v/>
      </c>
      <c r="S508" s="12" t="str">
        <f aca="false">IF($C508="","",$C508&amp;"|"&amp;$R508)</f>
        <v/>
      </c>
    </row>
    <row r="509" customFormat="false" ht="15" hidden="false" customHeight="true" outlineLevel="0" collapsed="false">
      <c r="A509" s="12" t="str">
        <f aca="false">IF($C509="","",TEXT($B509,"yymmdd")&amp;"-"&amp;TEXT(COUNTIFS($B$3:$B509,$B509),"000"))</f>
        <v/>
      </c>
      <c r="B509" s="13"/>
      <c r="C509" s="7"/>
      <c r="D509" s="12" t="str">
        <f aca="false">IF($C509="","",IFERROR(INDEX(고객명부!$B$3:$B$502,MATCH($C509,고객명부!$A$3:$A$502,0)),"미등록고객"))</f>
        <v/>
      </c>
      <c r="E509" s="12" t="str">
        <f aca="false">IF($C509="","",IFERROR(INDEX(고객명부!$C$3:$C$502,MATCH($C509,고객명부!$A$3:$A$502,0)),""))</f>
        <v/>
      </c>
      <c r="F509" s="12" t="str">
        <f aca="false">IF($C509="","",IFERROR(INDEX(고객명부!$D$3:$D$502,MATCH($C509,고객명부!$A$3:$A$502,0)),""))</f>
        <v/>
      </c>
      <c r="G509" s="12" t="str">
        <f aca="false">IF($C509="","",IFERROR(INDEX(고객명부!$E$3:$E$502,MATCH($C509,고객명부!$A$3:$A$502,0))&amp;" "&amp;INDEX(고객명부!$F$3:$F$502,MATCH($C509,고객명부!$A$3:$A$502,0)),""))</f>
        <v/>
      </c>
      <c r="H509" s="7"/>
      <c r="I509" s="12" t="str">
        <f aca="false">IF($H509="","",IFERROR(INDEX(상품목록!$B$3:$B$102,MATCH($H509,상품목록!$A$3:$A$102,0)),""))</f>
        <v/>
      </c>
      <c r="J509" s="14" t="str">
        <f aca="false">IF($H509="","",IFERROR(INDEX(상품목록!$C$3:$C$102,MATCH($H509,상품목록!$A$3:$A$102,0)),0))</f>
        <v/>
      </c>
      <c r="K509" s="7"/>
      <c r="L509" s="14" t="str">
        <f aca="false">IF(OR($J509="",$K509=""),"",ROUND($J509*$K509,0))</f>
        <v/>
      </c>
      <c r="M509" s="9"/>
      <c r="N509" s="14" t="str">
        <f aca="false">IF($L509="","",$L509+IF($M509="",0,$M509))</f>
        <v/>
      </c>
      <c r="O509" s="13"/>
      <c r="P509" s="7"/>
      <c r="Q509" s="12" t="str">
        <f aca="false">IF($C509="","",IF($P509&lt;&gt;"","발송완료",IF($O509&lt;&gt;"","입금완료","입금대기")))</f>
        <v/>
      </c>
      <c r="R509" s="12" t="str">
        <f aca="false">IF($C509="","",COUNTIFS($C$3:$C509,$C509))</f>
        <v/>
      </c>
      <c r="S509" s="12" t="str">
        <f aca="false">IF($C509="","",$C509&amp;"|"&amp;$R509)</f>
        <v/>
      </c>
    </row>
    <row r="510" customFormat="false" ht="15" hidden="false" customHeight="true" outlineLevel="0" collapsed="false">
      <c r="A510" s="12" t="str">
        <f aca="false">IF($C510="","",TEXT($B510,"yymmdd")&amp;"-"&amp;TEXT(COUNTIFS($B$3:$B510,$B510),"000"))</f>
        <v/>
      </c>
      <c r="B510" s="13"/>
      <c r="C510" s="7"/>
      <c r="D510" s="12" t="str">
        <f aca="false">IF($C510="","",IFERROR(INDEX(고객명부!$B$3:$B$502,MATCH($C510,고객명부!$A$3:$A$502,0)),"미등록고객"))</f>
        <v/>
      </c>
      <c r="E510" s="12" t="str">
        <f aca="false">IF($C510="","",IFERROR(INDEX(고객명부!$C$3:$C$502,MATCH($C510,고객명부!$A$3:$A$502,0)),""))</f>
        <v/>
      </c>
      <c r="F510" s="12" t="str">
        <f aca="false">IF($C510="","",IFERROR(INDEX(고객명부!$D$3:$D$502,MATCH($C510,고객명부!$A$3:$A$502,0)),""))</f>
        <v/>
      </c>
      <c r="G510" s="12" t="str">
        <f aca="false">IF($C510="","",IFERROR(INDEX(고객명부!$E$3:$E$502,MATCH($C510,고객명부!$A$3:$A$502,0))&amp;" "&amp;INDEX(고객명부!$F$3:$F$502,MATCH($C510,고객명부!$A$3:$A$502,0)),""))</f>
        <v/>
      </c>
      <c r="H510" s="7"/>
      <c r="I510" s="12" t="str">
        <f aca="false">IF($H510="","",IFERROR(INDEX(상품목록!$B$3:$B$102,MATCH($H510,상품목록!$A$3:$A$102,0)),""))</f>
        <v/>
      </c>
      <c r="J510" s="14" t="str">
        <f aca="false">IF($H510="","",IFERROR(INDEX(상품목록!$C$3:$C$102,MATCH($H510,상품목록!$A$3:$A$102,0)),0))</f>
        <v/>
      </c>
      <c r="K510" s="7"/>
      <c r="L510" s="14" t="str">
        <f aca="false">IF(OR($J510="",$K510=""),"",ROUND($J510*$K510,0))</f>
        <v/>
      </c>
      <c r="M510" s="9"/>
      <c r="N510" s="14" t="str">
        <f aca="false">IF($L510="","",$L510+IF($M510="",0,$M510))</f>
        <v/>
      </c>
      <c r="O510" s="13"/>
      <c r="P510" s="7"/>
      <c r="Q510" s="12" t="str">
        <f aca="false">IF($C510="","",IF($P510&lt;&gt;"","발송완료",IF($O510&lt;&gt;"","입금완료","입금대기")))</f>
        <v/>
      </c>
      <c r="R510" s="12" t="str">
        <f aca="false">IF($C510="","",COUNTIFS($C$3:$C510,$C510))</f>
        <v/>
      </c>
      <c r="S510" s="12" t="str">
        <f aca="false">IF($C510="","",$C510&amp;"|"&amp;$R510)</f>
        <v/>
      </c>
    </row>
    <row r="511" customFormat="false" ht="15" hidden="false" customHeight="true" outlineLevel="0" collapsed="false">
      <c r="A511" s="12" t="str">
        <f aca="false">IF($C511="","",TEXT($B511,"yymmdd")&amp;"-"&amp;TEXT(COUNTIFS($B$3:$B511,$B511),"000"))</f>
        <v/>
      </c>
      <c r="B511" s="13"/>
      <c r="C511" s="7"/>
      <c r="D511" s="12" t="str">
        <f aca="false">IF($C511="","",IFERROR(INDEX(고객명부!$B$3:$B$502,MATCH($C511,고객명부!$A$3:$A$502,0)),"미등록고객"))</f>
        <v/>
      </c>
      <c r="E511" s="12" t="str">
        <f aca="false">IF($C511="","",IFERROR(INDEX(고객명부!$C$3:$C$502,MATCH($C511,고객명부!$A$3:$A$502,0)),""))</f>
        <v/>
      </c>
      <c r="F511" s="12" t="str">
        <f aca="false">IF($C511="","",IFERROR(INDEX(고객명부!$D$3:$D$502,MATCH($C511,고객명부!$A$3:$A$502,0)),""))</f>
        <v/>
      </c>
      <c r="G511" s="12" t="str">
        <f aca="false">IF($C511="","",IFERROR(INDEX(고객명부!$E$3:$E$502,MATCH($C511,고객명부!$A$3:$A$502,0))&amp;" "&amp;INDEX(고객명부!$F$3:$F$502,MATCH($C511,고객명부!$A$3:$A$502,0)),""))</f>
        <v/>
      </c>
      <c r="H511" s="7"/>
      <c r="I511" s="12" t="str">
        <f aca="false">IF($H511="","",IFERROR(INDEX(상품목록!$B$3:$B$102,MATCH($H511,상품목록!$A$3:$A$102,0)),""))</f>
        <v/>
      </c>
      <c r="J511" s="14" t="str">
        <f aca="false">IF($H511="","",IFERROR(INDEX(상품목록!$C$3:$C$102,MATCH($H511,상품목록!$A$3:$A$102,0)),0))</f>
        <v/>
      </c>
      <c r="K511" s="7"/>
      <c r="L511" s="14" t="str">
        <f aca="false">IF(OR($J511="",$K511=""),"",ROUND($J511*$K511,0))</f>
        <v/>
      </c>
      <c r="M511" s="9"/>
      <c r="N511" s="14" t="str">
        <f aca="false">IF($L511="","",$L511+IF($M511="",0,$M511))</f>
        <v/>
      </c>
      <c r="O511" s="13"/>
      <c r="P511" s="7"/>
      <c r="Q511" s="12" t="str">
        <f aca="false">IF($C511="","",IF($P511&lt;&gt;"","발송완료",IF($O511&lt;&gt;"","입금완료","입금대기")))</f>
        <v/>
      </c>
      <c r="R511" s="12" t="str">
        <f aca="false">IF($C511="","",COUNTIFS($C$3:$C511,$C511))</f>
        <v/>
      </c>
      <c r="S511" s="12" t="str">
        <f aca="false">IF($C511="","",$C511&amp;"|"&amp;$R511)</f>
        <v/>
      </c>
    </row>
    <row r="512" customFormat="false" ht="15" hidden="false" customHeight="true" outlineLevel="0" collapsed="false">
      <c r="A512" s="12" t="str">
        <f aca="false">IF($C512="","",TEXT($B512,"yymmdd")&amp;"-"&amp;TEXT(COUNTIFS($B$3:$B512,$B512),"000"))</f>
        <v/>
      </c>
      <c r="B512" s="13"/>
      <c r="C512" s="7"/>
      <c r="D512" s="12" t="str">
        <f aca="false">IF($C512="","",IFERROR(INDEX(고객명부!$B$3:$B$502,MATCH($C512,고객명부!$A$3:$A$502,0)),"미등록고객"))</f>
        <v/>
      </c>
      <c r="E512" s="12" t="str">
        <f aca="false">IF($C512="","",IFERROR(INDEX(고객명부!$C$3:$C$502,MATCH($C512,고객명부!$A$3:$A$502,0)),""))</f>
        <v/>
      </c>
      <c r="F512" s="12" t="str">
        <f aca="false">IF($C512="","",IFERROR(INDEX(고객명부!$D$3:$D$502,MATCH($C512,고객명부!$A$3:$A$502,0)),""))</f>
        <v/>
      </c>
      <c r="G512" s="12" t="str">
        <f aca="false">IF($C512="","",IFERROR(INDEX(고객명부!$E$3:$E$502,MATCH($C512,고객명부!$A$3:$A$502,0))&amp;" "&amp;INDEX(고객명부!$F$3:$F$502,MATCH($C512,고객명부!$A$3:$A$502,0)),""))</f>
        <v/>
      </c>
      <c r="H512" s="7"/>
      <c r="I512" s="12" t="str">
        <f aca="false">IF($H512="","",IFERROR(INDEX(상품목록!$B$3:$B$102,MATCH($H512,상품목록!$A$3:$A$102,0)),""))</f>
        <v/>
      </c>
      <c r="J512" s="14" t="str">
        <f aca="false">IF($H512="","",IFERROR(INDEX(상품목록!$C$3:$C$102,MATCH($H512,상품목록!$A$3:$A$102,0)),0))</f>
        <v/>
      </c>
      <c r="K512" s="7"/>
      <c r="L512" s="14" t="str">
        <f aca="false">IF(OR($J512="",$K512=""),"",ROUND($J512*$K512,0))</f>
        <v/>
      </c>
      <c r="M512" s="9"/>
      <c r="N512" s="14" t="str">
        <f aca="false">IF($L512="","",$L512+IF($M512="",0,$M512))</f>
        <v/>
      </c>
      <c r="O512" s="13"/>
      <c r="P512" s="7"/>
      <c r="Q512" s="12" t="str">
        <f aca="false">IF($C512="","",IF($P512&lt;&gt;"","발송완료",IF($O512&lt;&gt;"","입금완료","입금대기")))</f>
        <v/>
      </c>
      <c r="R512" s="12" t="str">
        <f aca="false">IF($C512="","",COUNTIFS($C$3:$C512,$C512))</f>
        <v/>
      </c>
      <c r="S512" s="12" t="str">
        <f aca="false">IF($C512="","",$C512&amp;"|"&amp;$R512)</f>
        <v/>
      </c>
    </row>
    <row r="513" customFormat="false" ht="15" hidden="false" customHeight="true" outlineLevel="0" collapsed="false">
      <c r="A513" s="12" t="str">
        <f aca="false">IF($C513="","",TEXT($B513,"yymmdd")&amp;"-"&amp;TEXT(COUNTIFS($B$3:$B513,$B513),"000"))</f>
        <v/>
      </c>
      <c r="B513" s="13"/>
      <c r="C513" s="7"/>
      <c r="D513" s="12" t="str">
        <f aca="false">IF($C513="","",IFERROR(INDEX(고객명부!$B$3:$B$502,MATCH($C513,고객명부!$A$3:$A$502,0)),"미등록고객"))</f>
        <v/>
      </c>
      <c r="E513" s="12" t="str">
        <f aca="false">IF($C513="","",IFERROR(INDEX(고객명부!$C$3:$C$502,MATCH($C513,고객명부!$A$3:$A$502,0)),""))</f>
        <v/>
      </c>
      <c r="F513" s="12" t="str">
        <f aca="false">IF($C513="","",IFERROR(INDEX(고객명부!$D$3:$D$502,MATCH($C513,고객명부!$A$3:$A$502,0)),""))</f>
        <v/>
      </c>
      <c r="G513" s="12" t="str">
        <f aca="false">IF($C513="","",IFERROR(INDEX(고객명부!$E$3:$E$502,MATCH($C513,고객명부!$A$3:$A$502,0))&amp;" "&amp;INDEX(고객명부!$F$3:$F$502,MATCH($C513,고객명부!$A$3:$A$502,0)),""))</f>
        <v/>
      </c>
      <c r="H513" s="7"/>
      <c r="I513" s="12" t="str">
        <f aca="false">IF($H513="","",IFERROR(INDEX(상품목록!$B$3:$B$102,MATCH($H513,상품목록!$A$3:$A$102,0)),""))</f>
        <v/>
      </c>
      <c r="J513" s="14" t="str">
        <f aca="false">IF($H513="","",IFERROR(INDEX(상품목록!$C$3:$C$102,MATCH($H513,상품목록!$A$3:$A$102,0)),0))</f>
        <v/>
      </c>
      <c r="K513" s="7"/>
      <c r="L513" s="14" t="str">
        <f aca="false">IF(OR($J513="",$K513=""),"",ROUND($J513*$K513,0))</f>
        <v/>
      </c>
      <c r="M513" s="9"/>
      <c r="N513" s="14" t="str">
        <f aca="false">IF($L513="","",$L513+IF($M513="",0,$M513))</f>
        <v/>
      </c>
      <c r="O513" s="13"/>
      <c r="P513" s="7"/>
      <c r="Q513" s="12" t="str">
        <f aca="false">IF($C513="","",IF($P513&lt;&gt;"","발송완료",IF($O513&lt;&gt;"","입금완료","입금대기")))</f>
        <v/>
      </c>
      <c r="R513" s="12" t="str">
        <f aca="false">IF($C513="","",COUNTIFS($C$3:$C513,$C513))</f>
        <v/>
      </c>
      <c r="S513" s="12" t="str">
        <f aca="false">IF($C513="","",$C513&amp;"|"&amp;$R513)</f>
        <v/>
      </c>
    </row>
    <row r="514" customFormat="false" ht="15" hidden="false" customHeight="true" outlineLevel="0" collapsed="false">
      <c r="A514" s="12" t="str">
        <f aca="false">IF($C514="","",TEXT($B514,"yymmdd")&amp;"-"&amp;TEXT(COUNTIFS($B$3:$B514,$B514),"000"))</f>
        <v/>
      </c>
      <c r="B514" s="13"/>
      <c r="C514" s="7"/>
      <c r="D514" s="12" t="str">
        <f aca="false">IF($C514="","",IFERROR(INDEX(고객명부!$B$3:$B$502,MATCH($C514,고객명부!$A$3:$A$502,0)),"미등록고객"))</f>
        <v/>
      </c>
      <c r="E514" s="12" t="str">
        <f aca="false">IF($C514="","",IFERROR(INDEX(고객명부!$C$3:$C$502,MATCH($C514,고객명부!$A$3:$A$502,0)),""))</f>
        <v/>
      </c>
      <c r="F514" s="12" t="str">
        <f aca="false">IF($C514="","",IFERROR(INDEX(고객명부!$D$3:$D$502,MATCH($C514,고객명부!$A$3:$A$502,0)),""))</f>
        <v/>
      </c>
      <c r="G514" s="12" t="str">
        <f aca="false">IF($C514="","",IFERROR(INDEX(고객명부!$E$3:$E$502,MATCH($C514,고객명부!$A$3:$A$502,0))&amp;" "&amp;INDEX(고객명부!$F$3:$F$502,MATCH($C514,고객명부!$A$3:$A$502,0)),""))</f>
        <v/>
      </c>
      <c r="H514" s="7"/>
      <c r="I514" s="12" t="str">
        <f aca="false">IF($H514="","",IFERROR(INDEX(상품목록!$B$3:$B$102,MATCH($H514,상품목록!$A$3:$A$102,0)),""))</f>
        <v/>
      </c>
      <c r="J514" s="14" t="str">
        <f aca="false">IF($H514="","",IFERROR(INDEX(상품목록!$C$3:$C$102,MATCH($H514,상품목록!$A$3:$A$102,0)),0))</f>
        <v/>
      </c>
      <c r="K514" s="7"/>
      <c r="L514" s="14" t="str">
        <f aca="false">IF(OR($J514="",$K514=""),"",ROUND($J514*$K514,0))</f>
        <v/>
      </c>
      <c r="M514" s="9"/>
      <c r="N514" s="14" t="str">
        <f aca="false">IF($L514="","",$L514+IF($M514="",0,$M514))</f>
        <v/>
      </c>
      <c r="O514" s="13"/>
      <c r="P514" s="7"/>
      <c r="Q514" s="12" t="str">
        <f aca="false">IF($C514="","",IF($P514&lt;&gt;"","발송완료",IF($O514&lt;&gt;"","입금완료","입금대기")))</f>
        <v/>
      </c>
      <c r="R514" s="12" t="str">
        <f aca="false">IF($C514="","",COUNTIFS($C$3:$C514,$C514))</f>
        <v/>
      </c>
      <c r="S514" s="12" t="str">
        <f aca="false">IF($C514="","",$C514&amp;"|"&amp;$R514)</f>
        <v/>
      </c>
    </row>
    <row r="515" customFormat="false" ht="15" hidden="false" customHeight="true" outlineLevel="0" collapsed="false">
      <c r="A515" s="12" t="str">
        <f aca="false">IF($C515="","",TEXT($B515,"yymmdd")&amp;"-"&amp;TEXT(COUNTIFS($B$3:$B515,$B515),"000"))</f>
        <v/>
      </c>
      <c r="B515" s="13"/>
      <c r="C515" s="7"/>
      <c r="D515" s="12" t="str">
        <f aca="false">IF($C515="","",IFERROR(INDEX(고객명부!$B$3:$B$502,MATCH($C515,고객명부!$A$3:$A$502,0)),"미등록고객"))</f>
        <v/>
      </c>
      <c r="E515" s="12" t="str">
        <f aca="false">IF($C515="","",IFERROR(INDEX(고객명부!$C$3:$C$502,MATCH($C515,고객명부!$A$3:$A$502,0)),""))</f>
        <v/>
      </c>
      <c r="F515" s="12" t="str">
        <f aca="false">IF($C515="","",IFERROR(INDEX(고객명부!$D$3:$D$502,MATCH($C515,고객명부!$A$3:$A$502,0)),""))</f>
        <v/>
      </c>
      <c r="G515" s="12" t="str">
        <f aca="false">IF($C515="","",IFERROR(INDEX(고객명부!$E$3:$E$502,MATCH($C515,고객명부!$A$3:$A$502,0))&amp;" "&amp;INDEX(고객명부!$F$3:$F$502,MATCH($C515,고객명부!$A$3:$A$502,0)),""))</f>
        <v/>
      </c>
      <c r="H515" s="7"/>
      <c r="I515" s="12" t="str">
        <f aca="false">IF($H515="","",IFERROR(INDEX(상품목록!$B$3:$B$102,MATCH($H515,상품목록!$A$3:$A$102,0)),""))</f>
        <v/>
      </c>
      <c r="J515" s="14" t="str">
        <f aca="false">IF($H515="","",IFERROR(INDEX(상품목록!$C$3:$C$102,MATCH($H515,상품목록!$A$3:$A$102,0)),0))</f>
        <v/>
      </c>
      <c r="K515" s="7"/>
      <c r="L515" s="14" t="str">
        <f aca="false">IF(OR($J515="",$K515=""),"",ROUND($J515*$K515,0))</f>
        <v/>
      </c>
      <c r="M515" s="9"/>
      <c r="N515" s="14" t="str">
        <f aca="false">IF($L515="","",$L515+IF($M515="",0,$M515))</f>
        <v/>
      </c>
      <c r="O515" s="13"/>
      <c r="P515" s="7"/>
      <c r="Q515" s="12" t="str">
        <f aca="false">IF($C515="","",IF($P515&lt;&gt;"","발송완료",IF($O515&lt;&gt;"","입금완료","입금대기")))</f>
        <v/>
      </c>
      <c r="R515" s="12" t="str">
        <f aca="false">IF($C515="","",COUNTIFS($C$3:$C515,$C515))</f>
        <v/>
      </c>
      <c r="S515" s="12" t="str">
        <f aca="false">IF($C515="","",$C515&amp;"|"&amp;$R515)</f>
        <v/>
      </c>
    </row>
    <row r="516" customFormat="false" ht="15" hidden="false" customHeight="true" outlineLevel="0" collapsed="false">
      <c r="A516" s="12" t="str">
        <f aca="false">IF($C516="","",TEXT($B516,"yymmdd")&amp;"-"&amp;TEXT(COUNTIFS($B$3:$B516,$B516),"000"))</f>
        <v/>
      </c>
      <c r="B516" s="13"/>
      <c r="C516" s="7"/>
      <c r="D516" s="12" t="str">
        <f aca="false">IF($C516="","",IFERROR(INDEX(고객명부!$B$3:$B$502,MATCH($C516,고객명부!$A$3:$A$502,0)),"미등록고객"))</f>
        <v/>
      </c>
      <c r="E516" s="12" t="str">
        <f aca="false">IF($C516="","",IFERROR(INDEX(고객명부!$C$3:$C$502,MATCH($C516,고객명부!$A$3:$A$502,0)),""))</f>
        <v/>
      </c>
      <c r="F516" s="12" t="str">
        <f aca="false">IF($C516="","",IFERROR(INDEX(고객명부!$D$3:$D$502,MATCH($C516,고객명부!$A$3:$A$502,0)),""))</f>
        <v/>
      </c>
      <c r="G516" s="12" t="str">
        <f aca="false">IF($C516="","",IFERROR(INDEX(고객명부!$E$3:$E$502,MATCH($C516,고객명부!$A$3:$A$502,0))&amp;" "&amp;INDEX(고객명부!$F$3:$F$502,MATCH($C516,고객명부!$A$3:$A$502,0)),""))</f>
        <v/>
      </c>
      <c r="H516" s="7"/>
      <c r="I516" s="12" t="str">
        <f aca="false">IF($H516="","",IFERROR(INDEX(상품목록!$B$3:$B$102,MATCH($H516,상품목록!$A$3:$A$102,0)),""))</f>
        <v/>
      </c>
      <c r="J516" s="14" t="str">
        <f aca="false">IF($H516="","",IFERROR(INDEX(상품목록!$C$3:$C$102,MATCH($H516,상품목록!$A$3:$A$102,0)),0))</f>
        <v/>
      </c>
      <c r="K516" s="7"/>
      <c r="L516" s="14" t="str">
        <f aca="false">IF(OR($J516="",$K516=""),"",ROUND($J516*$K516,0))</f>
        <v/>
      </c>
      <c r="M516" s="9"/>
      <c r="N516" s="14" t="str">
        <f aca="false">IF($L516="","",$L516+IF($M516="",0,$M516))</f>
        <v/>
      </c>
      <c r="O516" s="13"/>
      <c r="P516" s="7"/>
      <c r="Q516" s="12" t="str">
        <f aca="false">IF($C516="","",IF($P516&lt;&gt;"","발송완료",IF($O516&lt;&gt;"","입금완료","입금대기")))</f>
        <v/>
      </c>
      <c r="R516" s="12" t="str">
        <f aca="false">IF($C516="","",COUNTIFS($C$3:$C516,$C516))</f>
        <v/>
      </c>
      <c r="S516" s="12" t="str">
        <f aca="false">IF($C516="","",$C516&amp;"|"&amp;$R516)</f>
        <v/>
      </c>
    </row>
    <row r="517" customFormat="false" ht="15" hidden="false" customHeight="true" outlineLevel="0" collapsed="false">
      <c r="A517" s="12" t="str">
        <f aca="false">IF($C517="","",TEXT($B517,"yymmdd")&amp;"-"&amp;TEXT(COUNTIFS($B$3:$B517,$B517),"000"))</f>
        <v/>
      </c>
      <c r="B517" s="13"/>
      <c r="C517" s="7"/>
      <c r="D517" s="12" t="str">
        <f aca="false">IF($C517="","",IFERROR(INDEX(고객명부!$B$3:$B$502,MATCH($C517,고객명부!$A$3:$A$502,0)),"미등록고객"))</f>
        <v/>
      </c>
      <c r="E517" s="12" t="str">
        <f aca="false">IF($C517="","",IFERROR(INDEX(고객명부!$C$3:$C$502,MATCH($C517,고객명부!$A$3:$A$502,0)),""))</f>
        <v/>
      </c>
      <c r="F517" s="12" t="str">
        <f aca="false">IF($C517="","",IFERROR(INDEX(고객명부!$D$3:$D$502,MATCH($C517,고객명부!$A$3:$A$502,0)),""))</f>
        <v/>
      </c>
      <c r="G517" s="12" t="str">
        <f aca="false">IF($C517="","",IFERROR(INDEX(고객명부!$E$3:$E$502,MATCH($C517,고객명부!$A$3:$A$502,0))&amp;" "&amp;INDEX(고객명부!$F$3:$F$502,MATCH($C517,고객명부!$A$3:$A$502,0)),""))</f>
        <v/>
      </c>
      <c r="H517" s="7"/>
      <c r="I517" s="12" t="str">
        <f aca="false">IF($H517="","",IFERROR(INDEX(상품목록!$B$3:$B$102,MATCH($H517,상품목록!$A$3:$A$102,0)),""))</f>
        <v/>
      </c>
      <c r="J517" s="14" t="str">
        <f aca="false">IF($H517="","",IFERROR(INDEX(상품목록!$C$3:$C$102,MATCH($H517,상품목록!$A$3:$A$102,0)),0))</f>
        <v/>
      </c>
      <c r="K517" s="7"/>
      <c r="L517" s="14" t="str">
        <f aca="false">IF(OR($J517="",$K517=""),"",ROUND($J517*$K517,0))</f>
        <v/>
      </c>
      <c r="M517" s="9"/>
      <c r="N517" s="14" t="str">
        <f aca="false">IF($L517="","",$L517+IF($M517="",0,$M517))</f>
        <v/>
      </c>
      <c r="O517" s="13"/>
      <c r="P517" s="7"/>
      <c r="Q517" s="12" t="str">
        <f aca="false">IF($C517="","",IF($P517&lt;&gt;"","발송완료",IF($O517&lt;&gt;"","입금완료","입금대기")))</f>
        <v/>
      </c>
      <c r="R517" s="12" t="str">
        <f aca="false">IF($C517="","",COUNTIFS($C$3:$C517,$C517))</f>
        <v/>
      </c>
      <c r="S517" s="12" t="str">
        <f aca="false">IF($C517="","",$C517&amp;"|"&amp;$R517)</f>
        <v/>
      </c>
    </row>
    <row r="518" customFormat="false" ht="15" hidden="false" customHeight="true" outlineLevel="0" collapsed="false">
      <c r="A518" s="12" t="str">
        <f aca="false">IF($C518="","",TEXT($B518,"yymmdd")&amp;"-"&amp;TEXT(COUNTIFS($B$3:$B518,$B518),"000"))</f>
        <v/>
      </c>
      <c r="B518" s="13"/>
      <c r="C518" s="7"/>
      <c r="D518" s="12" t="str">
        <f aca="false">IF($C518="","",IFERROR(INDEX(고객명부!$B$3:$B$502,MATCH($C518,고객명부!$A$3:$A$502,0)),"미등록고객"))</f>
        <v/>
      </c>
      <c r="E518" s="12" t="str">
        <f aca="false">IF($C518="","",IFERROR(INDEX(고객명부!$C$3:$C$502,MATCH($C518,고객명부!$A$3:$A$502,0)),""))</f>
        <v/>
      </c>
      <c r="F518" s="12" t="str">
        <f aca="false">IF($C518="","",IFERROR(INDEX(고객명부!$D$3:$D$502,MATCH($C518,고객명부!$A$3:$A$502,0)),""))</f>
        <v/>
      </c>
      <c r="G518" s="12" t="str">
        <f aca="false">IF($C518="","",IFERROR(INDEX(고객명부!$E$3:$E$502,MATCH($C518,고객명부!$A$3:$A$502,0))&amp;" "&amp;INDEX(고객명부!$F$3:$F$502,MATCH($C518,고객명부!$A$3:$A$502,0)),""))</f>
        <v/>
      </c>
      <c r="H518" s="7"/>
      <c r="I518" s="12" t="str">
        <f aca="false">IF($H518="","",IFERROR(INDEX(상품목록!$B$3:$B$102,MATCH($H518,상품목록!$A$3:$A$102,0)),""))</f>
        <v/>
      </c>
      <c r="J518" s="14" t="str">
        <f aca="false">IF($H518="","",IFERROR(INDEX(상품목록!$C$3:$C$102,MATCH($H518,상품목록!$A$3:$A$102,0)),0))</f>
        <v/>
      </c>
      <c r="K518" s="7"/>
      <c r="L518" s="14" t="str">
        <f aca="false">IF(OR($J518="",$K518=""),"",ROUND($J518*$K518,0))</f>
        <v/>
      </c>
      <c r="M518" s="9"/>
      <c r="N518" s="14" t="str">
        <f aca="false">IF($L518="","",$L518+IF($M518="",0,$M518))</f>
        <v/>
      </c>
      <c r="O518" s="13"/>
      <c r="P518" s="7"/>
      <c r="Q518" s="12" t="str">
        <f aca="false">IF($C518="","",IF($P518&lt;&gt;"","발송완료",IF($O518&lt;&gt;"","입금완료","입금대기")))</f>
        <v/>
      </c>
      <c r="R518" s="12" t="str">
        <f aca="false">IF($C518="","",COUNTIFS($C$3:$C518,$C518))</f>
        <v/>
      </c>
      <c r="S518" s="12" t="str">
        <f aca="false">IF($C518="","",$C518&amp;"|"&amp;$R518)</f>
        <v/>
      </c>
    </row>
    <row r="519" customFormat="false" ht="15" hidden="false" customHeight="true" outlineLevel="0" collapsed="false">
      <c r="A519" s="12" t="str">
        <f aca="false">IF($C519="","",TEXT($B519,"yymmdd")&amp;"-"&amp;TEXT(COUNTIFS($B$3:$B519,$B519),"000"))</f>
        <v/>
      </c>
      <c r="B519" s="13"/>
      <c r="C519" s="7"/>
      <c r="D519" s="12" t="str">
        <f aca="false">IF($C519="","",IFERROR(INDEX(고객명부!$B$3:$B$502,MATCH($C519,고객명부!$A$3:$A$502,0)),"미등록고객"))</f>
        <v/>
      </c>
      <c r="E519" s="12" t="str">
        <f aca="false">IF($C519="","",IFERROR(INDEX(고객명부!$C$3:$C$502,MATCH($C519,고객명부!$A$3:$A$502,0)),""))</f>
        <v/>
      </c>
      <c r="F519" s="12" t="str">
        <f aca="false">IF($C519="","",IFERROR(INDEX(고객명부!$D$3:$D$502,MATCH($C519,고객명부!$A$3:$A$502,0)),""))</f>
        <v/>
      </c>
      <c r="G519" s="12" t="str">
        <f aca="false">IF($C519="","",IFERROR(INDEX(고객명부!$E$3:$E$502,MATCH($C519,고객명부!$A$3:$A$502,0))&amp;" "&amp;INDEX(고객명부!$F$3:$F$502,MATCH($C519,고객명부!$A$3:$A$502,0)),""))</f>
        <v/>
      </c>
      <c r="H519" s="7"/>
      <c r="I519" s="12" t="str">
        <f aca="false">IF($H519="","",IFERROR(INDEX(상품목록!$B$3:$B$102,MATCH($H519,상품목록!$A$3:$A$102,0)),""))</f>
        <v/>
      </c>
      <c r="J519" s="14" t="str">
        <f aca="false">IF($H519="","",IFERROR(INDEX(상품목록!$C$3:$C$102,MATCH($H519,상품목록!$A$3:$A$102,0)),0))</f>
        <v/>
      </c>
      <c r="K519" s="7"/>
      <c r="L519" s="14" t="str">
        <f aca="false">IF(OR($J519="",$K519=""),"",ROUND($J519*$K519,0))</f>
        <v/>
      </c>
      <c r="M519" s="9"/>
      <c r="N519" s="14" t="str">
        <f aca="false">IF($L519="","",$L519+IF($M519="",0,$M519))</f>
        <v/>
      </c>
      <c r="O519" s="13"/>
      <c r="P519" s="7"/>
      <c r="Q519" s="12" t="str">
        <f aca="false">IF($C519="","",IF($P519&lt;&gt;"","발송완료",IF($O519&lt;&gt;"","입금완료","입금대기")))</f>
        <v/>
      </c>
      <c r="R519" s="12" t="str">
        <f aca="false">IF($C519="","",COUNTIFS($C$3:$C519,$C519))</f>
        <v/>
      </c>
      <c r="S519" s="12" t="str">
        <f aca="false">IF($C519="","",$C519&amp;"|"&amp;$R519)</f>
        <v/>
      </c>
    </row>
    <row r="520" customFormat="false" ht="15" hidden="false" customHeight="true" outlineLevel="0" collapsed="false">
      <c r="A520" s="12" t="str">
        <f aca="false">IF($C520="","",TEXT($B520,"yymmdd")&amp;"-"&amp;TEXT(COUNTIFS($B$3:$B520,$B520),"000"))</f>
        <v/>
      </c>
      <c r="B520" s="13"/>
      <c r="C520" s="7"/>
      <c r="D520" s="12" t="str">
        <f aca="false">IF($C520="","",IFERROR(INDEX(고객명부!$B$3:$B$502,MATCH($C520,고객명부!$A$3:$A$502,0)),"미등록고객"))</f>
        <v/>
      </c>
      <c r="E520" s="12" t="str">
        <f aca="false">IF($C520="","",IFERROR(INDEX(고객명부!$C$3:$C$502,MATCH($C520,고객명부!$A$3:$A$502,0)),""))</f>
        <v/>
      </c>
      <c r="F520" s="12" t="str">
        <f aca="false">IF($C520="","",IFERROR(INDEX(고객명부!$D$3:$D$502,MATCH($C520,고객명부!$A$3:$A$502,0)),""))</f>
        <v/>
      </c>
      <c r="G520" s="12" t="str">
        <f aca="false">IF($C520="","",IFERROR(INDEX(고객명부!$E$3:$E$502,MATCH($C520,고객명부!$A$3:$A$502,0))&amp;" "&amp;INDEX(고객명부!$F$3:$F$502,MATCH($C520,고객명부!$A$3:$A$502,0)),""))</f>
        <v/>
      </c>
      <c r="H520" s="7"/>
      <c r="I520" s="12" t="str">
        <f aca="false">IF($H520="","",IFERROR(INDEX(상품목록!$B$3:$B$102,MATCH($H520,상품목록!$A$3:$A$102,0)),""))</f>
        <v/>
      </c>
      <c r="J520" s="14" t="str">
        <f aca="false">IF($H520="","",IFERROR(INDEX(상품목록!$C$3:$C$102,MATCH($H520,상품목록!$A$3:$A$102,0)),0))</f>
        <v/>
      </c>
      <c r="K520" s="7"/>
      <c r="L520" s="14" t="str">
        <f aca="false">IF(OR($J520="",$K520=""),"",ROUND($J520*$K520,0))</f>
        <v/>
      </c>
      <c r="M520" s="9"/>
      <c r="N520" s="14" t="str">
        <f aca="false">IF($L520="","",$L520+IF($M520="",0,$M520))</f>
        <v/>
      </c>
      <c r="O520" s="13"/>
      <c r="P520" s="7"/>
      <c r="Q520" s="12" t="str">
        <f aca="false">IF($C520="","",IF($P520&lt;&gt;"","발송완료",IF($O520&lt;&gt;"","입금완료","입금대기")))</f>
        <v/>
      </c>
      <c r="R520" s="12" t="str">
        <f aca="false">IF($C520="","",COUNTIFS($C$3:$C520,$C520))</f>
        <v/>
      </c>
      <c r="S520" s="12" t="str">
        <f aca="false">IF($C520="","",$C520&amp;"|"&amp;$R520)</f>
        <v/>
      </c>
    </row>
    <row r="521" customFormat="false" ht="15" hidden="false" customHeight="true" outlineLevel="0" collapsed="false">
      <c r="A521" s="12" t="str">
        <f aca="false">IF($C521="","",TEXT($B521,"yymmdd")&amp;"-"&amp;TEXT(COUNTIFS($B$3:$B521,$B521),"000"))</f>
        <v/>
      </c>
      <c r="B521" s="13"/>
      <c r="C521" s="7"/>
      <c r="D521" s="12" t="str">
        <f aca="false">IF($C521="","",IFERROR(INDEX(고객명부!$B$3:$B$502,MATCH($C521,고객명부!$A$3:$A$502,0)),"미등록고객"))</f>
        <v/>
      </c>
      <c r="E521" s="12" t="str">
        <f aca="false">IF($C521="","",IFERROR(INDEX(고객명부!$C$3:$C$502,MATCH($C521,고객명부!$A$3:$A$502,0)),""))</f>
        <v/>
      </c>
      <c r="F521" s="12" t="str">
        <f aca="false">IF($C521="","",IFERROR(INDEX(고객명부!$D$3:$D$502,MATCH($C521,고객명부!$A$3:$A$502,0)),""))</f>
        <v/>
      </c>
      <c r="G521" s="12" t="str">
        <f aca="false">IF($C521="","",IFERROR(INDEX(고객명부!$E$3:$E$502,MATCH($C521,고객명부!$A$3:$A$502,0))&amp;" "&amp;INDEX(고객명부!$F$3:$F$502,MATCH($C521,고객명부!$A$3:$A$502,0)),""))</f>
        <v/>
      </c>
      <c r="H521" s="7"/>
      <c r="I521" s="12" t="str">
        <f aca="false">IF($H521="","",IFERROR(INDEX(상품목록!$B$3:$B$102,MATCH($H521,상품목록!$A$3:$A$102,0)),""))</f>
        <v/>
      </c>
      <c r="J521" s="14" t="str">
        <f aca="false">IF($H521="","",IFERROR(INDEX(상품목록!$C$3:$C$102,MATCH($H521,상품목록!$A$3:$A$102,0)),0))</f>
        <v/>
      </c>
      <c r="K521" s="7"/>
      <c r="L521" s="14" t="str">
        <f aca="false">IF(OR($J521="",$K521=""),"",ROUND($J521*$K521,0))</f>
        <v/>
      </c>
      <c r="M521" s="9"/>
      <c r="N521" s="14" t="str">
        <f aca="false">IF($L521="","",$L521+IF($M521="",0,$M521))</f>
        <v/>
      </c>
      <c r="O521" s="13"/>
      <c r="P521" s="7"/>
      <c r="Q521" s="12" t="str">
        <f aca="false">IF($C521="","",IF($P521&lt;&gt;"","발송완료",IF($O521&lt;&gt;"","입금완료","입금대기")))</f>
        <v/>
      </c>
      <c r="R521" s="12" t="str">
        <f aca="false">IF($C521="","",COUNTIFS($C$3:$C521,$C521))</f>
        <v/>
      </c>
      <c r="S521" s="12" t="str">
        <f aca="false">IF($C521="","",$C521&amp;"|"&amp;$R521)</f>
        <v/>
      </c>
    </row>
    <row r="522" customFormat="false" ht="15" hidden="false" customHeight="true" outlineLevel="0" collapsed="false">
      <c r="A522" s="12" t="str">
        <f aca="false">IF($C522="","",TEXT($B522,"yymmdd")&amp;"-"&amp;TEXT(COUNTIFS($B$3:$B522,$B522),"000"))</f>
        <v/>
      </c>
      <c r="B522" s="13"/>
      <c r="C522" s="7"/>
      <c r="D522" s="12" t="str">
        <f aca="false">IF($C522="","",IFERROR(INDEX(고객명부!$B$3:$B$502,MATCH($C522,고객명부!$A$3:$A$502,0)),"미등록고객"))</f>
        <v/>
      </c>
      <c r="E522" s="12" t="str">
        <f aca="false">IF($C522="","",IFERROR(INDEX(고객명부!$C$3:$C$502,MATCH($C522,고객명부!$A$3:$A$502,0)),""))</f>
        <v/>
      </c>
      <c r="F522" s="12" t="str">
        <f aca="false">IF($C522="","",IFERROR(INDEX(고객명부!$D$3:$D$502,MATCH($C522,고객명부!$A$3:$A$502,0)),""))</f>
        <v/>
      </c>
      <c r="G522" s="12" t="str">
        <f aca="false">IF($C522="","",IFERROR(INDEX(고객명부!$E$3:$E$502,MATCH($C522,고객명부!$A$3:$A$502,0))&amp;" "&amp;INDEX(고객명부!$F$3:$F$502,MATCH($C522,고객명부!$A$3:$A$502,0)),""))</f>
        <v/>
      </c>
      <c r="H522" s="7"/>
      <c r="I522" s="12" t="str">
        <f aca="false">IF($H522="","",IFERROR(INDEX(상품목록!$B$3:$B$102,MATCH($H522,상품목록!$A$3:$A$102,0)),""))</f>
        <v/>
      </c>
      <c r="J522" s="14" t="str">
        <f aca="false">IF($H522="","",IFERROR(INDEX(상품목록!$C$3:$C$102,MATCH($H522,상품목록!$A$3:$A$102,0)),0))</f>
        <v/>
      </c>
      <c r="K522" s="7"/>
      <c r="L522" s="14" t="str">
        <f aca="false">IF(OR($J522="",$K522=""),"",ROUND($J522*$K522,0))</f>
        <v/>
      </c>
      <c r="M522" s="9"/>
      <c r="N522" s="14" t="str">
        <f aca="false">IF($L522="","",$L522+IF($M522="",0,$M522))</f>
        <v/>
      </c>
      <c r="O522" s="13"/>
      <c r="P522" s="7"/>
      <c r="Q522" s="12" t="str">
        <f aca="false">IF($C522="","",IF($P522&lt;&gt;"","발송완료",IF($O522&lt;&gt;"","입금완료","입금대기")))</f>
        <v/>
      </c>
      <c r="R522" s="12" t="str">
        <f aca="false">IF($C522="","",COUNTIFS($C$3:$C522,$C522))</f>
        <v/>
      </c>
      <c r="S522" s="12" t="str">
        <f aca="false">IF($C522="","",$C522&amp;"|"&amp;$R522)</f>
        <v/>
      </c>
    </row>
    <row r="523" customFormat="false" ht="15" hidden="false" customHeight="true" outlineLevel="0" collapsed="false">
      <c r="A523" s="12" t="str">
        <f aca="false">IF($C523="","",TEXT($B523,"yymmdd")&amp;"-"&amp;TEXT(COUNTIFS($B$3:$B523,$B523),"000"))</f>
        <v/>
      </c>
      <c r="B523" s="13"/>
      <c r="C523" s="7"/>
      <c r="D523" s="12" t="str">
        <f aca="false">IF($C523="","",IFERROR(INDEX(고객명부!$B$3:$B$502,MATCH($C523,고객명부!$A$3:$A$502,0)),"미등록고객"))</f>
        <v/>
      </c>
      <c r="E523" s="12" t="str">
        <f aca="false">IF($C523="","",IFERROR(INDEX(고객명부!$C$3:$C$502,MATCH($C523,고객명부!$A$3:$A$502,0)),""))</f>
        <v/>
      </c>
      <c r="F523" s="12" t="str">
        <f aca="false">IF($C523="","",IFERROR(INDEX(고객명부!$D$3:$D$502,MATCH($C523,고객명부!$A$3:$A$502,0)),""))</f>
        <v/>
      </c>
      <c r="G523" s="12" t="str">
        <f aca="false">IF($C523="","",IFERROR(INDEX(고객명부!$E$3:$E$502,MATCH($C523,고객명부!$A$3:$A$502,0))&amp;" "&amp;INDEX(고객명부!$F$3:$F$502,MATCH($C523,고객명부!$A$3:$A$502,0)),""))</f>
        <v/>
      </c>
      <c r="H523" s="7"/>
      <c r="I523" s="12" t="str">
        <f aca="false">IF($H523="","",IFERROR(INDEX(상품목록!$B$3:$B$102,MATCH($H523,상품목록!$A$3:$A$102,0)),""))</f>
        <v/>
      </c>
      <c r="J523" s="14" t="str">
        <f aca="false">IF($H523="","",IFERROR(INDEX(상품목록!$C$3:$C$102,MATCH($H523,상품목록!$A$3:$A$102,0)),0))</f>
        <v/>
      </c>
      <c r="K523" s="7"/>
      <c r="L523" s="14" t="str">
        <f aca="false">IF(OR($J523="",$K523=""),"",ROUND($J523*$K523,0))</f>
        <v/>
      </c>
      <c r="M523" s="9"/>
      <c r="N523" s="14" t="str">
        <f aca="false">IF($L523="","",$L523+IF($M523="",0,$M523))</f>
        <v/>
      </c>
      <c r="O523" s="13"/>
      <c r="P523" s="7"/>
      <c r="Q523" s="12" t="str">
        <f aca="false">IF($C523="","",IF($P523&lt;&gt;"","발송완료",IF($O523&lt;&gt;"","입금완료","입금대기")))</f>
        <v/>
      </c>
      <c r="R523" s="12" t="str">
        <f aca="false">IF($C523="","",COUNTIFS($C$3:$C523,$C523))</f>
        <v/>
      </c>
      <c r="S523" s="12" t="str">
        <f aca="false">IF($C523="","",$C523&amp;"|"&amp;$R523)</f>
        <v/>
      </c>
    </row>
    <row r="524" customFormat="false" ht="15" hidden="false" customHeight="true" outlineLevel="0" collapsed="false">
      <c r="A524" s="12" t="str">
        <f aca="false">IF($C524="","",TEXT($B524,"yymmdd")&amp;"-"&amp;TEXT(COUNTIFS($B$3:$B524,$B524),"000"))</f>
        <v/>
      </c>
      <c r="B524" s="13"/>
      <c r="C524" s="7"/>
      <c r="D524" s="12" t="str">
        <f aca="false">IF($C524="","",IFERROR(INDEX(고객명부!$B$3:$B$502,MATCH($C524,고객명부!$A$3:$A$502,0)),"미등록고객"))</f>
        <v/>
      </c>
      <c r="E524" s="12" t="str">
        <f aca="false">IF($C524="","",IFERROR(INDEX(고객명부!$C$3:$C$502,MATCH($C524,고객명부!$A$3:$A$502,0)),""))</f>
        <v/>
      </c>
      <c r="F524" s="12" t="str">
        <f aca="false">IF($C524="","",IFERROR(INDEX(고객명부!$D$3:$D$502,MATCH($C524,고객명부!$A$3:$A$502,0)),""))</f>
        <v/>
      </c>
      <c r="G524" s="12" t="str">
        <f aca="false">IF($C524="","",IFERROR(INDEX(고객명부!$E$3:$E$502,MATCH($C524,고객명부!$A$3:$A$502,0))&amp;" "&amp;INDEX(고객명부!$F$3:$F$502,MATCH($C524,고객명부!$A$3:$A$502,0)),""))</f>
        <v/>
      </c>
      <c r="H524" s="7"/>
      <c r="I524" s="12" t="str">
        <f aca="false">IF($H524="","",IFERROR(INDEX(상품목록!$B$3:$B$102,MATCH($H524,상품목록!$A$3:$A$102,0)),""))</f>
        <v/>
      </c>
      <c r="J524" s="14" t="str">
        <f aca="false">IF($H524="","",IFERROR(INDEX(상품목록!$C$3:$C$102,MATCH($H524,상품목록!$A$3:$A$102,0)),0))</f>
        <v/>
      </c>
      <c r="K524" s="7"/>
      <c r="L524" s="14" t="str">
        <f aca="false">IF(OR($J524="",$K524=""),"",ROUND($J524*$K524,0))</f>
        <v/>
      </c>
      <c r="M524" s="9"/>
      <c r="N524" s="14" t="str">
        <f aca="false">IF($L524="","",$L524+IF($M524="",0,$M524))</f>
        <v/>
      </c>
      <c r="O524" s="13"/>
      <c r="P524" s="7"/>
      <c r="Q524" s="12" t="str">
        <f aca="false">IF($C524="","",IF($P524&lt;&gt;"","발송완료",IF($O524&lt;&gt;"","입금완료","입금대기")))</f>
        <v/>
      </c>
      <c r="R524" s="12" t="str">
        <f aca="false">IF($C524="","",COUNTIFS($C$3:$C524,$C524))</f>
        <v/>
      </c>
      <c r="S524" s="12" t="str">
        <f aca="false">IF($C524="","",$C524&amp;"|"&amp;$R524)</f>
        <v/>
      </c>
    </row>
    <row r="525" customFormat="false" ht="15" hidden="false" customHeight="true" outlineLevel="0" collapsed="false">
      <c r="A525" s="12" t="str">
        <f aca="false">IF($C525="","",TEXT($B525,"yymmdd")&amp;"-"&amp;TEXT(COUNTIFS($B$3:$B525,$B525),"000"))</f>
        <v/>
      </c>
      <c r="B525" s="13"/>
      <c r="C525" s="7"/>
      <c r="D525" s="12" t="str">
        <f aca="false">IF($C525="","",IFERROR(INDEX(고객명부!$B$3:$B$502,MATCH($C525,고객명부!$A$3:$A$502,0)),"미등록고객"))</f>
        <v/>
      </c>
      <c r="E525" s="12" t="str">
        <f aca="false">IF($C525="","",IFERROR(INDEX(고객명부!$C$3:$C$502,MATCH($C525,고객명부!$A$3:$A$502,0)),""))</f>
        <v/>
      </c>
      <c r="F525" s="12" t="str">
        <f aca="false">IF($C525="","",IFERROR(INDEX(고객명부!$D$3:$D$502,MATCH($C525,고객명부!$A$3:$A$502,0)),""))</f>
        <v/>
      </c>
      <c r="G525" s="12" t="str">
        <f aca="false">IF($C525="","",IFERROR(INDEX(고객명부!$E$3:$E$502,MATCH($C525,고객명부!$A$3:$A$502,0))&amp;" "&amp;INDEX(고객명부!$F$3:$F$502,MATCH($C525,고객명부!$A$3:$A$502,0)),""))</f>
        <v/>
      </c>
      <c r="H525" s="7"/>
      <c r="I525" s="12" t="str">
        <f aca="false">IF($H525="","",IFERROR(INDEX(상품목록!$B$3:$B$102,MATCH($H525,상품목록!$A$3:$A$102,0)),""))</f>
        <v/>
      </c>
      <c r="J525" s="14" t="str">
        <f aca="false">IF($H525="","",IFERROR(INDEX(상품목록!$C$3:$C$102,MATCH($H525,상품목록!$A$3:$A$102,0)),0))</f>
        <v/>
      </c>
      <c r="K525" s="7"/>
      <c r="L525" s="14" t="str">
        <f aca="false">IF(OR($J525="",$K525=""),"",ROUND($J525*$K525,0))</f>
        <v/>
      </c>
      <c r="M525" s="9"/>
      <c r="N525" s="14" t="str">
        <f aca="false">IF($L525="","",$L525+IF($M525="",0,$M525))</f>
        <v/>
      </c>
      <c r="O525" s="13"/>
      <c r="P525" s="7"/>
      <c r="Q525" s="12" t="str">
        <f aca="false">IF($C525="","",IF($P525&lt;&gt;"","발송완료",IF($O525&lt;&gt;"","입금완료","입금대기")))</f>
        <v/>
      </c>
      <c r="R525" s="12" t="str">
        <f aca="false">IF($C525="","",COUNTIFS($C$3:$C525,$C525))</f>
        <v/>
      </c>
      <c r="S525" s="12" t="str">
        <f aca="false">IF($C525="","",$C525&amp;"|"&amp;$R525)</f>
        <v/>
      </c>
    </row>
    <row r="526" customFormat="false" ht="15" hidden="false" customHeight="true" outlineLevel="0" collapsed="false">
      <c r="A526" s="12" t="str">
        <f aca="false">IF($C526="","",TEXT($B526,"yymmdd")&amp;"-"&amp;TEXT(COUNTIFS($B$3:$B526,$B526),"000"))</f>
        <v/>
      </c>
      <c r="B526" s="13"/>
      <c r="C526" s="7"/>
      <c r="D526" s="12" t="str">
        <f aca="false">IF($C526="","",IFERROR(INDEX(고객명부!$B$3:$B$502,MATCH($C526,고객명부!$A$3:$A$502,0)),"미등록고객"))</f>
        <v/>
      </c>
      <c r="E526" s="12" t="str">
        <f aca="false">IF($C526="","",IFERROR(INDEX(고객명부!$C$3:$C$502,MATCH($C526,고객명부!$A$3:$A$502,0)),""))</f>
        <v/>
      </c>
      <c r="F526" s="12" t="str">
        <f aca="false">IF($C526="","",IFERROR(INDEX(고객명부!$D$3:$D$502,MATCH($C526,고객명부!$A$3:$A$502,0)),""))</f>
        <v/>
      </c>
      <c r="G526" s="12" t="str">
        <f aca="false">IF($C526="","",IFERROR(INDEX(고객명부!$E$3:$E$502,MATCH($C526,고객명부!$A$3:$A$502,0))&amp;" "&amp;INDEX(고객명부!$F$3:$F$502,MATCH($C526,고객명부!$A$3:$A$502,0)),""))</f>
        <v/>
      </c>
      <c r="H526" s="7"/>
      <c r="I526" s="12" t="str">
        <f aca="false">IF($H526="","",IFERROR(INDEX(상품목록!$B$3:$B$102,MATCH($H526,상품목록!$A$3:$A$102,0)),""))</f>
        <v/>
      </c>
      <c r="J526" s="14" t="str">
        <f aca="false">IF($H526="","",IFERROR(INDEX(상품목록!$C$3:$C$102,MATCH($H526,상품목록!$A$3:$A$102,0)),0))</f>
        <v/>
      </c>
      <c r="K526" s="7"/>
      <c r="L526" s="14" t="str">
        <f aca="false">IF(OR($J526="",$K526=""),"",ROUND($J526*$K526,0))</f>
        <v/>
      </c>
      <c r="M526" s="9"/>
      <c r="N526" s="14" t="str">
        <f aca="false">IF($L526="","",$L526+IF($M526="",0,$M526))</f>
        <v/>
      </c>
      <c r="O526" s="13"/>
      <c r="P526" s="7"/>
      <c r="Q526" s="12" t="str">
        <f aca="false">IF($C526="","",IF($P526&lt;&gt;"","발송완료",IF($O526&lt;&gt;"","입금완료","입금대기")))</f>
        <v/>
      </c>
      <c r="R526" s="12" t="str">
        <f aca="false">IF($C526="","",COUNTIFS($C$3:$C526,$C526))</f>
        <v/>
      </c>
      <c r="S526" s="12" t="str">
        <f aca="false">IF($C526="","",$C526&amp;"|"&amp;$R526)</f>
        <v/>
      </c>
    </row>
    <row r="527" customFormat="false" ht="15" hidden="false" customHeight="true" outlineLevel="0" collapsed="false">
      <c r="A527" s="12" t="str">
        <f aca="false">IF($C527="","",TEXT($B527,"yymmdd")&amp;"-"&amp;TEXT(COUNTIFS($B$3:$B527,$B527),"000"))</f>
        <v/>
      </c>
      <c r="B527" s="13"/>
      <c r="C527" s="7"/>
      <c r="D527" s="12" t="str">
        <f aca="false">IF($C527="","",IFERROR(INDEX(고객명부!$B$3:$B$502,MATCH($C527,고객명부!$A$3:$A$502,0)),"미등록고객"))</f>
        <v/>
      </c>
      <c r="E527" s="12" t="str">
        <f aca="false">IF($C527="","",IFERROR(INDEX(고객명부!$C$3:$C$502,MATCH($C527,고객명부!$A$3:$A$502,0)),""))</f>
        <v/>
      </c>
      <c r="F527" s="12" t="str">
        <f aca="false">IF($C527="","",IFERROR(INDEX(고객명부!$D$3:$D$502,MATCH($C527,고객명부!$A$3:$A$502,0)),""))</f>
        <v/>
      </c>
      <c r="G527" s="12" t="str">
        <f aca="false">IF($C527="","",IFERROR(INDEX(고객명부!$E$3:$E$502,MATCH($C527,고객명부!$A$3:$A$502,0))&amp;" "&amp;INDEX(고객명부!$F$3:$F$502,MATCH($C527,고객명부!$A$3:$A$502,0)),""))</f>
        <v/>
      </c>
      <c r="H527" s="7"/>
      <c r="I527" s="12" t="str">
        <f aca="false">IF($H527="","",IFERROR(INDEX(상품목록!$B$3:$B$102,MATCH($H527,상품목록!$A$3:$A$102,0)),""))</f>
        <v/>
      </c>
      <c r="J527" s="14" t="str">
        <f aca="false">IF($H527="","",IFERROR(INDEX(상품목록!$C$3:$C$102,MATCH($H527,상품목록!$A$3:$A$102,0)),0))</f>
        <v/>
      </c>
      <c r="K527" s="7"/>
      <c r="L527" s="14" t="str">
        <f aca="false">IF(OR($J527="",$K527=""),"",ROUND($J527*$K527,0))</f>
        <v/>
      </c>
      <c r="M527" s="9"/>
      <c r="N527" s="14" t="str">
        <f aca="false">IF($L527="","",$L527+IF($M527="",0,$M527))</f>
        <v/>
      </c>
      <c r="O527" s="13"/>
      <c r="P527" s="7"/>
      <c r="Q527" s="12" t="str">
        <f aca="false">IF($C527="","",IF($P527&lt;&gt;"","발송완료",IF($O527&lt;&gt;"","입금완료","입금대기")))</f>
        <v/>
      </c>
      <c r="R527" s="12" t="str">
        <f aca="false">IF($C527="","",COUNTIFS($C$3:$C527,$C527))</f>
        <v/>
      </c>
      <c r="S527" s="12" t="str">
        <f aca="false">IF($C527="","",$C527&amp;"|"&amp;$R527)</f>
        <v/>
      </c>
    </row>
    <row r="528" customFormat="false" ht="15" hidden="false" customHeight="true" outlineLevel="0" collapsed="false">
      <c r="A528" s="12" t="str">
        <f aca="false">IF($C528="","",TEXT($B528,"yymmdd")&amp;"-"&amp;TEXT(COUNTIFS($B$3:$B528,$B528),"000"))</f>
        <v/>
      </c>
      <c r="B528" s="13"/>
      <c r="C528" s="7"/>
      <c r="D528" s="12" t="str">
        <f aca="false">IF($C528="","",IFERROR(INDEX(고객명부!$B$3:$B$502,MATCH($C528,고객명부!$A$3:$A$502,0)),"미등록고객"))</f>
        <v/>
      </c>
      <c r="E528" s="12" t="str">
        <f aca="false">IF($C528="","",IFERROR(INDEX(고객명부!$C$3:$C$502,MATCH($C528,고객명부!$A$3:$A$502,0)),""))</f>
        <v/>
      </c>
      <c r="F528" s="12" t="str">
        <f aca="false">IF($C528="","",IFERROR(INDEX(고객명부!$D$3:$D$502,MATCH($C528,고객명부!$A$3:$A$502,0)),""))</f>
        <v/>
      </c>
      <c r="G528" s="12" t="str">
        <f aca="false">IF($C528="","",IFERROR(INDEX(고객명부!$E$3:$E$502,MATCH($C528,고객명부!$A$3:$A$502,0))&amp;" "&amp;INDEX(고객명부!$F$3:$F$502,MATCH($C528,고객명부!$A$3:$A$502,0)),""))</f>
        <v/>
      </c>
      <c r="H528" s="7"/>
      <c r="I528" s="12" t="str">
        <f aca="false">IF($H528="","",IFERROR(INDEX(상품목록!$B$3:$B$102,MATCH($H528,상품목록!$A$3:$A$102,0)),""))</f>
        <v/>
      </c>
      <c r="J528" s="14" t="str">
        <f aca="false">IF($H528="","",IFERROR(INDEX(상품목록!$C$3:$C$102,MATCH($H528,상품목록!$A$3:$A$102,0)),0))</f>
        <v/>
      </c>
      <c r="K528" s="7"/>
      <c r="L528" s="14" t="str">
        <f aca="false">IF(OR($J528="",$K528=""),"",ROUND($J528*$K528,0))</f>
        <v/>
      </c>
      <c r="M528" s="9"/>
      <c r="N528" s="14" t="str">
        <f aca="false">IF($L528="","",$L528+IF($M528="",0,$M528))</f>
        <v/>
      </c>
      <c r="O528" s="13"/>
      <c r="P528" s="7"/>
      <c r="Q528" s="12" t="str">
        <f aca="false">IF($C528="","",IF($P528&lt;&gt;"","발송완료",IF($O528&lt;&gt;"","입금완료","입금대기")))</f>
        <v/>
      </c>
      <c r="R528" s="12" t="str">
        <f aca="false">IF($C528="","",COUNTIFS($C$3:$C528,$C528))</f>
        <v/>
      </c>
      <c r="S528" s="12" t="str">
        <f aca="false">IF($C528="","",$C528&amp;"|"&amp;$R528)</f>
        <v/>
      </c>
    </row>
    <row r="529" customFormat="false" ht="15" hidden="false" customHeight="true" outlineLevel="0" collapsed="false">
      <c r="A529" s="12" t="str">
        <f aca="false">IF($C529="","",TEXT($B529,"yymmdd")&amp;"-"&amp;TEXT(COUNTIFS($B$3:$B529,$B529),"000"))</f>
        <v/>
      </c>
      <c r="B529" s="13"/>
      <c r="C529" s="7"/>
      <c r="D529" s="12" t="str">
        <f aca="false">IF($C529="","",IFERROR(INDEX(고객명부!$B$3:$B$502,MATCH($C529,고객명부!$A$3:$A$502,0)),"미등록고객"))</f>
        <v/>
      </c>
      <c r="E529" s="12" t="str">
        <f aca="false">IF($C529="","",IFERROR(INDEX(고객명부!$C$3:$C$502,MATCH($C529,고객명부!$A$3:$A$502,0)),""))</f>
        <v/>
      </c>
      <c r="F529" s="12" t="str">
        <f aca="false">IF($C529="","",IFERROR(INDEX(고객명부!$D$3:$D$502,MATCH($C529,고객명부!$A$3:$A$502,0)),""))</f>
        <v/>
      </c>
      <c r="G529" s="12" t="str">
        <f aca="false">IF($C529="","",IFERROR(INDEX(고객명부!$E$3:$E$502,MATCH($C529,고객명부!$A$3:$A$502,0))&amp;" "&amp;INDEX(고객명부!$F$3:$F$502,MATCH($C529,고객명부!$A$3:$A$502,0)),""))</f>
        <v/>
      </c>
      <c r="H529" s="7"/>
      <c r="I529" s="12" t="str">
        <f aca="false">IF($H529="","",IFERROR(INDEX(상품목록!$B$3:$B$102,MATCH($H529,상품목록!$A$3:$A$102,0)),""))</f>
        <v/>
      </c>
      <c r="J529" s="14" t="str">
        <f aca="false">IF($H529="","",IFERROR(INDEX(상품목록!$C$3:$C$102,MATCH($H529,상품목록!$A$3:$A$102,0)),0))</f>
        <v/>
      </c>
      <c r="K529" s="7"/>
      <c r="L529" s="14" t="str">
        <f aca="false">IF(OR($J529="",$K529=""),"",ROUND($J529*$K529,0))</f>
        <v/>
      </c>
      <c r="M529" s="9"/>
      <c r="N529" s="14" t="str">
        <f aca="false">IF($L529="","",$L529+IF($M529="",0,$M529))</f>
        <v/>
      </c>
      <c r="O529" s="13"/>
      <c r="P529" s="7"/>
      <c r="Q529" s="12" t="str">
        <f aca="false">IF($C529="","",IF($P529&lt;&gt;"","발송완료",IF($O529&lt;&gt;"","입금완료","입금대기")))</f>
        <v/>
      </c>
      <c r="R529" s="12" t="str">
        <f aca="false">IF($C529="","",COUNTIFS($C$3:$C529,$C529))</f>
        <v/>
      </c>
      <c r="S529" s="12" t="str">
        <f aca="false">IF($C529="","",$C529&amp;"|"&amp;$R529)</f>
        <v/>
      </c>
    </row>
    <row r="530" customFormat="false" ht="15" hidden="false" customHeight="true" outlineLevel="0" collapsed="false">
      <c r="A530" s="12" t="str">
        <f aca="false">IF($C530="","",TEXT($B530,"yymmdd")&amp;"-"&amp;TEXT(COUNTIFS($B$3:$B530,$B530),"000"))</f>
        <v/>
      </c>
      <c r="B530" s="13"/>
      <c r="C530" s="7"/>
      <c r="D530" s="12" t="str">
        <f aca="false">IF($C530="","",IFERROR(INDEX(고객명부!$B$3:$B$502,MATCH($C530,고객명부!$A$3:$A$502,0)),"미등록고객"))</f>
        <v/>
      </c>
      <c r="E530" s="12" t="str">
        <f aca="false">IF($C530="","",IFERROR(INDEX(고객명부!$C$3:$C$502,MATCH($C530,고객명부!$A$3:$A$502,0)),""))</f>
        <v/>
      </c>
      <c r="F530" s="12" t="str">
        <f aca="false">IF($C530="","",IFERROR(INDEX(고객명부!$D$3:$D$502,MATCH($C530,고객명부!$A$3:$A$502,0)),""))</f>
        <v/>
      </c>
      <c r="G530" s="12" t="str">
        <f aca="false">IF($C530="","",IFERROR(INDEX(고객명부!$E$3:$E$502,MATCH($C530,고객명부!$A$3:$A$502,0))&amp;" "&amp;INDEX(고객명부!$F$3:$F$502,MATCH($C530,고객명부!$A$3:$A$502,0)),""))</f>
        <v/>
      </c>
      <c r="H530" s="7"/>
      <c r="I530" s="12" t="str">
        <f aca="false">IF($H530="","",IFERROR(INDEX(상품목록!$B$3:$B$102,MATCH($H530,상품목록!$A$3:$A$102,0)),""))</f>
        <v/>
      </c>
      <c r="J530" s="14" t="str">
        <f aca="false">IF($H530="","",IFERROR(INDEX(상품목록!$C$3:$C$102,MATCH($H530,상품목록!$A$3:$A$102,0)),0))</f>
        <v/>
      </c>
      <c r="K530" s="7"/>
      <c r="L530" s="14" t="str">
        <f aca="false">IF(OR($J530="",$K530=""),"",ROUND($J530*$K530,0))</f>
        <v/>
      </c>
      <c r="M530" s="9"/>
      <c r="N530" s="14" t="str">
        <f aca="false">IF($L530="","",$L530+IF($M530="",0,$M530))</f>
        <v/>
      </c>
      <c r="O530" s="13"/>
      <c r="P530" s="7"/>
      <c r="Q530" s="12" t="str">
        <f aca="false">IF($C530="","",IF($P530&lt;&gt;"","발송완료",IF($O530&lt;&gt;"","입금완료","입금대기")))</f>
        <v/>
      </c>
      <c r="R530" s="12" t="str">
        <f aca="false">IF($C530="","",COUNTIFS($C$3:$C530,$C530))</f>
        <v/>
      </c>
      <c r="S530" s="12" t="str">
        <f aca="false">IF($C530="","",$C530&amp;"|"&amp;$R530)</f>
        <v/>
      </c>
    </row>
    <row r="531" customFormat="false" ht="15" hidden="false" customHeight="true" outlineLevel="0" collapsed="false">
      <c r="A531" s="12" t="str">
        <f aca="false">IF($C531="","",TEXT($B531,"yymmdd")&amp;"-"&amp;TEXT(COUNTIFS($B$3:$B531,$B531),"000"))</f>
        <v/>
      </c>
      <c r="B531" s="13"/>
      <c r="C531" s="7"/>
      <c r="D531" s="12" t="str">
        <f aca="false">IF($C531="","",IFERROR(INDEX(고객명부!$B$3:$B$502,MATCH($C531,고객명부!$A$3:$A$502,0)),"미등록고객"))</f>
        <v/>
      </c>
      <c r="E531" s="12" t="str">
        <f aca="false">IF($C531="","",IFERROR(INDEX(고객명부!$C$3:$C$502,MATCH($C531,고객명부!$A$3:$A$502,0)),""))</f>
        <v/>
      </c>
      <c r="F531" s="12" t="str">
        <f aca="false">IF($C531="","",IFERROR(INDEX(고객명부!$D$3:$D$502,MATCH($C531,고객명부!$A$3:$A$502,0)),""))</f>
        <v/>
      </c>
      <c r="G531" s="12" t="str">
        <f aca="false">IF($C531="","",IFERROR(INDEX(고객명부!$E$3:$E$502,MATCH($C531,고객명부!$A$3:$A$502,0))&amp;" "&amp;INDEX(고객명부!$F$3:$F$502,MATCH($C531,고객명부!$A$3:$A$502,0)),""))</f>
        <v/>
      </c>
      <c r="H531" s="7"/>
      <c r="I531" s="12" t="str">
        <f aca="false">IF($H531="","",IFERROR(INDEX(상품목록!$B$3:$B$102,MATCH($H531,상품목록!$A$3:$A$102,0)),""))</f>
        <v/>
      </c>
      <c r="J531" s="14" t="str">
        <f aca="false">IF($H531="","",IFERROR(INDEX(상품목록!$C$3:$C$102,MATCH($H531,상품목록!$A$3:$A$102,0)),0))</f>
        <v/>
      </c>
      <c r="K531" s="7"/>
      <c r="L531" s="14" t="str">
        <f aca="false">IF(OR($J531="",$K531=""),"",ROUND($J531*$K531,0))</f>
        <v/>
      </c>
      <c r="M531" s="9"/>
      <c r="N531" s="14" t="str">
        <f aca="false">IF($L531="","",$L531+IF($M531="",0,$M531))</f>
        <v/>
      </c>
      <c r="O531" s="13"/>
      <c r="P531" s="7"/>
      <c r="Q531" s="12" t="str">
        <f aca="false">IF($C531="","",IF($P531&lt;&gt;"","발송완료",IF($O531&lt;&gt;"","입금완료","입금대기")))</f>
        <v/>
      </c>
      <c r="R531" s="12" t="str">
        <f aca="false">IF($C531="","",COUNTIFS($C$3:$C531,$C531))</f>
        <v/>
      </c>
      <c r="S531" s="12" t="str">
        <f aca="false">IF($C531="","",$C531&amp;"|"&amp;$R531)</f>
        <v/>
      </c>
    </row>
    <row r="532" customFormat="false" ht="15" hidden="false" customHeight="true" outlineLevel="0" collapsed="false">
      <c r="A532" s="12" t="str">
        <f aca="false">IF($C532="","",TEXT($B532,"yymmdd")&amp;"-"&amp;TEXT(COUNTIFS($B$3:$B532,$B532),"000"))</f>
        <v/>
      </c>
      <c r="B532" s="13"/>
      <c r="C532" s="7"/>
      <c r="D532" s="12" t="str">
        <f aca="false">IF($C532="","",IFERROR(INDEX(고객명부!$B$3:$B$502,MATCH($C532,고객명부!$A$3:$A$502,0)),"미등록고객"))</f>
        <v/>
      </c>
      <c r="E532" s="12" t="str">
        <f aca="false">IF($C532="","",IFERROR(INDEX(고객명부!$C$3:$C$502,MATCH($C532,고객명부!$A$3:$A$502,0)),""))</f>
        <v/>
      </c>
      <c r="F532" s="12" t="str">
        <f aca="false">IF($C532="","",IFERROR(INDEX(고객명부!$D$3:$D$502,MATCH($C532,고객명부!$A$3:$A$502,0)),""))</f>
        <v/>
      </c>
      <c r="G532" s="12" t="str">
        <f aca="false">IF($C532="","",IFERROR(INDEX(고객명부!$E$3:$E$502,MATCH($C532,고객명부!$A$3:$A$502,0))&amp;" "&amp;INDEX(고객명부!$F$3:$F$502,MATCH($C532,고객명부!$A$3:$A$502,0)),""))</f>
        <v/>
      </c>
      <c r="H532" s="7"/>
      <c r="I532" s="12" t="str">
        <f aca="false">IF($H532="","",IFERROR(INDEX(상품목록!$B$3:$B$102,MATCH($H532,상품목록!$A$3:$A$102,0)),""))</f>
        <v/>
      </c>
      <c r="J532" s="14" t="str">
        <f aca="false">IF($H532="","",IFERROR(INDEX(상품목록!$C$3:$C$102,MATCH($H532,상품목록!$A$3:$A$102,0)),0))</f>
        <v/>
      </c>
      <c r="K532" s="7"/>
      <c r="L532" s="14" t="str">
        <f aca="false">IF(OR($J532="",$K532=""),"",ROUND($J532*$K532,0))</f>
        <v/>
      </c>
      <c r="M532" s="9"/>
      <c r="N532" s="14" t="str">
        <f aca="false">IF($L532="","",$L532+IF($M532="",0,$M532))</f>
        <v/>
      </c>
      <c r="O532" s="13"/>
      <c r="P532" s="7"/>
      <c r="Q532" s="12" t="str">
        <f aca="false">IF($C532="","",IF($P532&lt;&gt;"","발송완료",IF($O532&lt;&gt;"","입금완료","입금대기")))</f>
        <v/>
      </c>
      <c r="R532" s="12" t="str">
        <f aca="false">IF($C532="","",COUNTIFS($C$3:$C532,$C532))</f>
        <v/>
      </c>
      <c r="S532" s="12" t="str">
        <f aca="false">IF($C532="","",$C532&amp;"|"&amp;$R532)</f>
        <v/>
      </c>
    </row>
    <row r="533" customFormat="false" ht="15" hidden="false" customHeight="true" outlineLevel="0" collapsed="false">
      <c r="A533" s="12" t="str">
        <f aca="false">IF($C533="","",TEXT($B533,"yymmdd")&amp;"-"&amp;TEXT(COUNTIFS($B$3:$B533,$B533),"000"))</f>
        <v/>
      </c>
      <c r="B533" s="13"/>
      <c r="C533" s="7"/>
      <c r="D533" s="12" t="str">
        <f aca="false">IF($C533="","",IFERROR(INDEX(고객명부!$B$3:$B$502,MATCH($C533,고객명부!$A$3:$A$502,0)),"미등록고객"))</f>
        <v/>
      </c>
      <c r="E533" s="12" t="str">
        <f aca="false">IF($C533="","",IFERROR(INDEX(고객명부!$C$3:$C$502,MATCH($C533,고객명부!$A$3:$A$502,0)),""))</f>
        <v/>
      </c>
      <c r="F533" s="12" t="str">
        <f aca="false">IF($C533="","",IFERROR(INDEX(고객명부!$D$3:$D$502,MATCH($C533,고객명부!$A$3:$A$502,0)),""))</f>
        <v/>
      </c>
      <c r="G533" s="12" t="str">
        <f aca="false">IF($C533="","",IFERROR(INDEX(고객명부!$E$3:$E$502,MATCH($C533,고객명부!$A$3:$A$502,0))&amp;" "&amp;INDEX(고객명부!$F$3:$F$502,MATCH($C533,고객명부!$A$3:$A$502,0)),""))</f>
        <v/>
      </c>
      <c r="H533" s="7"/>
      <c r="I533" s="12" t="str">
        <f aca="false">IF($H533="","",IFERROR(INDEX(상품목록!$B$3:$B$102,MATCH($H533,상품목록!$A$3:$A$102,0)),""))</f>
        <v/>
      </c>
      <c r="J533" s="14" t="str">
        <f aca="false">IF($H533="","",IFERROR(INDEX(상품목록!$C$3:$C$102,MATCH($H533,상품목록!$A$3:$A$102,0)),0))</f>
        <v/>
      </c>
      <c r="K533" s="7"/>
      <c r="L533" s="14" t="str">
        <f aca="false">IF(OR($J533="",$K533=""),"",ROUND($J533*$K533,0))</f>
        <v/>
      </c>
      <c r="M533" s="9"/>
      <c r="N533" s="14" t="str">
        <f aca="false">IF($L533="","",$L533+IF($M533="",0,$M533))</f>
        <v/>
      </c>
      <c r="O533" s="13"/>
      <c r="P533" s="7"/>
      <c r="Q533" s="12" t="str">
        <f aca="false">IF($C533="","",IF($P533&lt;&gt;"","발송완료",IF($O533&lt;&gt;"","입금완료","입금대기")))</f>
        <v/>
      </c>
      <c r="R533" s="12" t="str">
        <f aca="false">IF($C533="","",COUNTIFS($C$3:$C533,$C533))</f>
        <v/>
      </c>
      <c r="S533" s="12" t="str">
        <f aca="false">IF($C533="","",$C533&amp;"|"&amp;$R533)</f>
        <v/>
      </c>
    </row>
    <row r="534" customFormat="false" ht="15" hidden="false" customHeight="true" outlineLevel="0" collapsed="false">
      <c r="A534" s="12" t="str">
        <f aca="false">IF($C534="","",TEXT($B534,"yymmdd")&amp;"-"&amp;TEXT(COUNTIFS($B$3:$B534,$B534),"000"))</f>
        <v/>
      </c>
      <c r="B534" s="13"/>
      <c r="C534" s="7"/>
      <c r="D534" s="12" t="str">
        <f aca="false">IF($C534="","",IFERROR(INDEX(고객명부!$B$3:$B$502,MATCH($C534,고객명부!$A$3:$A$502,0)),"미등록고객"))</f>
        <v/>
      </c>
      <c r="E534" s="12" t="str">
        <f aca="false">IF($C534="","",IFERROR(INDEX(고객명부!$C$3:$C$502,MATCH($C534,고객명부!$A$3:$A$502,0)),""))</f>
        <v/>
      </c>
      <c r="F534" s="12" t="str">
        <f aca="false">IF($C534="","",IFERROR(INDEX(고객명부!$D$3:$D$502,MATCH($C534,고객명부!$A$3:$A$502,0)),""))</f>
        <v/>
      </c>
      <c r="G534" s="12" t="str">
        <f aca="false">IF($C534="","",IFERROR(INDEX(고객명부!$E$3:$E$502,MATCH($C534,고객명부!$A$3:$A$502,0))&amp;" "&amp;INDEX(고객명부!$F$3:$F$502,MATCH($C534,고객명부!$A$3:$A$502,0)),""))</f>
        <v/>
      </c>
      <c r="H534" s="7"/>
      <c r="I534" s="12" t="str">
        <f aca="false">IF($H534="","",IFERROR(INDEX(상품목록!$B$3:$B$102,MATCH($H534,상품목록!$A$3:$A$102,0)),""))</f>
        <v/>
      </c>
      <c r="J534" s="14" t="str">
        <f aca="false">IF($H534="","",IFERROR(INDEX(상품목록!$C$3:$C$102,MATCH($H534,상품목록!$A$3:$A$102,0)),0))</f>
        <v/>
      </c>
      <c r="K534" s="7"/>
      <c r="L534" s="14" t="str">
        <f aca="false">IF(OR($J534="",$K534=""),"",ROUND($J534*$K534,0))</f>
        <v/>
      </c>
      <c r="M534" s="9"/>
      <c r="N534" s="14" t="str">
        <f aca="false">IF($L534="","",$L534+IF($M534="",0,$M534))</f>
        <v/>
      </c>
      <c r="O534" s="13"/>
      <c r="P534" s="7"/>
      <c r="Q534" s="12" t="str">
        <f aca="false">IF($C534="","",IF($P534&lt;&gt;"","발송완료",IF($O534&lt;&gt;"","입금완료","입금대기")))</f>
        <v/>
      </c>
      <c r="R534" s="12" t="str">
        <f aca="false">IF($C534="","",COUNTIFS($C$3:$C534,$C534))</f>
        <v/>
      </c>
      <c r="S534" s="12" t="str">
        <f aca="false">IF($C534="","",$C534&amp;"|"&amp;$R534)</f>
        <v/>
      </c>
    </row>
    <row r="535" customFormat="false" ht="15" hidden="false" customHeight="true" outlineLevel="0" collapsed="false">
      <c r="A535" s="12" t="str">
        <f aca="false">IF($C535="","",TEXT($B535,"yymmdd")&amp;"-"&amp;TEXT(COUNTIFS($B$3:$B535,$B535),"000"))</f>
        <v/>
      </c>
      <c r="B535" s="13"/>
      <c r="C535" s="7"/>
      <c r="D535" s="12" t="str">
        <f aca="false">IF($C535="","",IFERROR(INDEX(고객명부!$B$3:$B$502,MATCH($C535,고객명부!$A$3:$A$502,0)),"미등록고객"))</f>
        <v/>
      </c>
      <c r="E535" s="12" t="str">
        <f aca="false">IF($C535="","",IFERROR(INDEX(고객명부!$C$3:$C$502,MATCH($C535,고객명부!$A$3:$A$502,0)),""))</f>
        <v/>
      </c>
      <c r="F535" s="12" t="str">
        <f aca="false">IF($C535="","",IFERROR(INDEX(고객명부!$D$3:$D$502,MATCH($C535,고객명부!$A$3:$A$502,0)),""))</f>
        <v/>
      </c>
      <c r="G535" s="12" t="str">
        <f aca="false">IF($C535="","",IFERROR(INDEX(고객명부!$E$3:$E$502,MATCH($C535,고객명부!$A$3:$A$502,0))&amp;" "&amp;INDEX(고객명부!$F$3:$F$502,MATCH($C535,고객명부!$A$3:$A$502,0)),""))</f>
        <v/>
      </c>
      <c r="H535" s="7"/>
      <c r="I535" s="12" t="str">
        <f aca="false">IF($H535="","",IFERROR(INDEX(상품목록!$B$3:$B$102,MATCH($H535,상품목록!$A$3:$A$102,0)),""))</f>
        <v/>
      </c>
      <c r="J535" s="14" t="str">
        <f aca="false">IF($H535="","",IFERROR(INDEX(상품목록!$C$3:$C$102,MATCH($H535,상품목록!$A$3:$A$102,0)),0))</f>
        <v/>
      </c>
      <c r="K535" s="7"/>
      <c r="L535" s="14" t="str">
        <f aca="false">IF(OR($J535="",$K535=""),"",ROUND($J535*$K535,0))</f>
        <v/>
      </c>
      <c r="M535" s="9"/>
      <c r="N535" s="14" t="str">
        <f aca="false">IF($L535="","",$L535+IF($M535="",0,$M535))</f>
        <v/>
      </c>
      <c r="O535" s="13"/>
      <c r="P535" s="7"/>
      <c r="Q535" s="12" t="str">
        <f aca="false">IF($C535="","",IF($P535&lt;&gt;"","발송완료",IF($O535&lt;&gt;"","입금완료","입금대기")))</f>
        <v/>
      </c>
      <c r="R535" s="12" t="str">
        <f aca="false">IF($C535="","",COUNTIFS($C$3:$C535,$C535))</f>
        <v/>
      </c>
      <c r="S535" s="12" t="str">
        <f aca="false">IF($C535="","",$C535&amp;"|"&amp;$R535)</f>
        <v/>
      </c>
    </row>
    <row r="536" customFormat="false" ht="15" hidden="false" customHeight="true" outlineLevel="0" collapsed="false">
      <c r="A536" s="12" t="str">
        <f aca="false">IF($C536="","",TEXT($B536,"yymmdd")&amp;"-"&amp;TEXT(COUNTIFS($B$3:$B536,$B536),"000"))</f>
        <v/>
      </c>
      <c r="B536" s="13"/>
      <c r="C536" s="7"/>
      <c r="D536" s="12" t="str">
        <f aca="false">IF($C536="","",IFERROR(INDEX(고객명부!$B$3:$B$502,MATCH($C536,고객명부!$A$3:$A$502,0)),"미등록고객"))</f>
        <v/>
      </c>
      <c r="E536" s="12" t="str">
        <f aca="false">IF($C536="","",IFERROR(INDEX(고객명부!$C$3:$C$502,MATCH($C536,고객명부!$A$3:$A$502,0)),""))</f>
        <v/>
      </c>
      <c r="F536" s="12" t="str">
        <f aca="false">IF($C536="","",IFERROR(INDEX(고객명부!$D$3:$D$502,MATCH($C536,고객명부!$A$3:$A$502,0)),""))</f>
        <v/>
      </c>
      <c r="G536" s="12" t="str">
        <f aca="false">IF($C536="","",IFERROR(INDEX(고객명부!$E$3:$E$502,MATCH($C536,고객명부!$A$3:$A$502,0))&amp;" "&amp;INDEX(고객명부!$F$3:$F$502,MATCH($C536,고객명부!$A$3:$A$502,0)),""))</f>
        <v/>
      </c>
      <c r="H536" s="7"/>
      <c r="I536" s="12" t="str">
        <f aca="false">IF($H536="","",IFERROR(INDEX(상품목록!$B$3:$B$102,MATCH($H536,상품목록!$A$3:$A$102,0)),""))</f>
        <v/>
      </c>
      <c r="J536" s="14" t="str">
        <f aca="false">IF($H536="","",IFERROR(INDEX(상품목록!$C$3:$C$102,MATCH($H536,상품목록!$A$3:$A$102,0)),0))</f>
        <v/>
      </c>
      <c r="K536" s="7"/>
      <c r="L536" s="14" t="str">
        <f aca="false">IF(OR($J536="",$K536=""),"",ROUND($J536*$K536,0))</f>
        <v/>
      </c>
      <c r="M536" s="9"/>
      <c r="N536" s="14" t="str">
        <f aca="false">IF($L536="","",$L536+IF($M536="",0,$M536))</f>
        <v/>
      </c>
      <c r="O536" s="13"/>
      <c r="P536" s="7"/>
      <c r="Q536" s="12" t="str">
        <f aca="false">IF($C536="","",IF($P536&lt;&gt;"","발송완료",IF($O536&lt;&gt;"","입금완료","입금대기")))</f>
        <v/>
      </c>
      <c r="R536" s="12" t="str">
        <f aca="false">IF($C536="","",COUNTIFS($C$3:$C536,$C536))</f>
        <v/>
      </c>
      <c r="S536" s="12" t="str">
        <f aca="false">IF($C536="","",$C536&amp;"|"&amp;$R536)</f>
        <v/>
      </c>
    </row>
    <row r="537" customFormat="false" ht="15" hidden="false" customHeight="true" outlineLevel="0" collapsed="false">
      <c r="A537" s="12" t="str">
        <f aca="false">IF($C537="","",TEXT($B537,"yymmdd")&amp;"-"&amp;TEXT(COUNTIFS($B$3:$B537,$B537),"000"))</f>
        <v/>
      </c>
      <c r="B537" s="13"/>
      <c r="C537" s="7"/>
      <c r="D537" s="12" t="str">
        <f aca="false">IF($C537="","",IFERROR(INDEX(고객명부!$B$3:$B$502,MATCH($C537,고객명부!$A$3:$A$502,0)),"미등록고객"))</f>
        <v/>
      </c>
      <c r="E537" s="12" t="str">
        <f aca="false">IF($C537="","",IFERROR(INDEX(고객명부!$C$3:$C$502,MATCH($C537,고객명부!$A$3:$A$502,0)),""))</f>
        <v/>
      </c>
      <c r="F537" s="12" t="str">
        <f aca="false">IF($C537="","",IFERROR(INDEX(고객명부!$D$3:$D$502,MATCH($C537,고객명부!$A$3:$A$502,0)),""))</f>
        <v/>
      </c>
      <c r="G537" s="12" t="str">
        <f aca="false">IF($C537="","",IFERROR(INDEX(고객명부!$E$3:$E$502,MATCH($C537,고객명부!$A$3:$A$502,0))&amp;" "&amp;INDEX(고객명부!$F$3:$F$502,MATCH($C537,고객명부!$A$3:$A$502,0)),""))</f>
        <v/>
      </c>
      <c r="H537" s="7"/>
      <c r="I537" s="12" t="str">
        <f aca="false">IF($H537="","",IFERROR(INDEX(상품목록!$B$3:$B$102,MATCH($H537,상품목록!$A$3:$A$102,0)),""))</f>
        <v/>
      </c>
      <c r="J537" s="14" t="str">
        <f aca="false">IF($H537="","",IFERROR(INDEX(상품목록!$C$3:$C$102,MATCH($H537,상품목록!$A$3:$A$102,0)),0))</f>
        <v/>
      </c>
      <c r="K537" s="7"/>
      <c r="L537" s="14" t="str">
        <f aca="false">IF(OR($J537="",$K537=""),"",ROUND($J537*$K537,0))</f>
        <v/>
      </c>
      <c r="M537" s="9"/>
      <c r="N537" s="14" t="str">
        <f aca="false">IF($L537="","",$L537+IF($M537="",0,$M537))</f>
        <v/>
      </c>
      <c r="O537" s="13"/>
      <c r="P537" s="7"/>
      <c r="Q537" s="12" t="str">
        <f aca="false">IF($C537="","",IF($P537&lt;&gt;"","발송완료",IF($O537&lt;&gt;"","입금완료","입금대기")))</f>
        <v/>
      </c>
      <c r="R537" s="12" t="str">
        <f aca="false">IF($C537="","",COUNTIFS($C$3:$C537,$C537))</f>
        <v/>
      </c>
      <c r="S537" s="12" t="str">
        <f aca="false">IF($C537="","",$C537&amp;"|"&amp;$R537)</f>
        <v/>
      </c>
    </row>
    <row r="538" customFormat="false" ht="15" hidden="false" customHeight="true" outlineLevel="0" collapsed="false">
      <c r="A538" s="12" t="str">
        <f aca="false">IF($C538="","",TEXT($B538,"yymmdd")&amp;"-"&amp;TEXT(COUNTIFS($B$3:$B538,$B538),"000"))</f>
        <v/>
      </c>
      <c r="B538" s="13"/>
      <c r="C538" s="7"/>
      <c r="D538" s="12" t="str">
        <f aca="false">IF($C538="","",IFERROR(INDEX(고객명부!$B$3:$B$502,MATCH($C538,고객명부!$A$3:$A$502,0)),"미등록고객"))</f>
        <v/>
      </c>
      <c r="E538" s="12" t="str">
        <f aca="false">IF($C538="","",IFERROR(INDEX(고객명부!$C$3:$C$502,MATCH($C538,고객명부!$A$3:$A$502,0)),""))</f>
        <v/>
      </c>
      <c r="F538" s="12" t="str">
        <f aca="false">IF($C538="","",IFERROR(INDEX(고객명부!$D$3:$D$502,MATCH($C538,고객명부!$A$3:$A$502,0)),""))</f>
        <v/>
      </c>
      <c r="G538" s="12" t="str">
        <f aca="false">IF($C538="","",IFERROR(INDEX(고객명부!$E$3:$E$502,MATCH($C538,고객명부!$A$3:$A$502,0))&amp;" "&amp;INDEX(고객명부!$F$3:$F$502,MATCH($C538,고객명부!$A$3:$A$502,0)),""))</f>
        <v/>
      </c>
      <c r="H538" s="7"/>
      <c r="I538" s="12" t="str">
        <f aca="false">IF($H538="","",IFERROR(INDEX(상품목록!$B$3:$B$102,MATCH($H538,상품목록!$A$3:$A$102,0)),""))</f>
        <v/>
      </c>
      <c r="J538" s="14" t="str">
        <f aca="false">IF($H538="","",IFERROR(INDEX(상품목록!$C$3:$C$102,MATCH($H538,상품목록!$A$3:$A$102,0)),0))</f>
        <v/>
      </c>
      <c r="K538" s="7"/>
      <c r="L538" s="14" t="str">
        <f aca="false">IF(OR($J538="",$K538=""),"",ROUND($J538*$K538,0))</f>
        <v/>
      </c>
      <c r="M538" s="9"/>
      <c r="N538" s="14" t="str">
        <f aca="false">IF($L538="","",$L538+IF($M538="",0,$M538))</f>
        <v/>
      </c>
      <c r="O538" s="13"/>
      <c r="P538" s="7"/>
      <c r="Q538" s="12" t="str">
        <f aca="false">IF($C538="","",IF($P538&lt;&gt;"","발송완료",IF($O538&lt;&gt;"","입금완료","입금대기")))</f>
        <v/>
      </c>
      <c r="R538" s="12" t="str">
        <f aca="false">IF($C538="","",COUNTIFS($C$3:$C538,$C538))</f>
        <v/>
      </c>
      <c r="S538" s="12" t="str">
        <f aca="false">IF($C538="","",$C538&amp;"|"&amp;$R538)</f>
        <v/>
      </c>
    </row>
    <row r="539" customFormat="false" ht="15" hidden="false" customHeight="true" outlineLevel="0" collapsed="false">
      <c r="A539" s="12" t="str">
        <f aca="false">IF($C539="","",TEXT($B539,"yymmdd")&amp;"-"&amp;TEXT(COUNTIFS($B$3:$B539,$B539),"000"))</f>
        <v/>
      </c>
      <c r="B539" s="13"/>
      <c r="C539" s="7"/>
      <c r="D539" s="12" t="str">
        <f aca="false">IF($C539="","",IFERROR(INDEX(고객명부!$B$3:$B$502,MATCH($C539,고객명부!$A$3:$A$502,0)),"미등록고객"))</f>
        <v/>
      </c>
      <c r="E539" s="12" t="str">
        <f aca="false">IF($C539="","",IFERROR(INDEX(고객명부!$C$3:$C$502,MATCH($C539,고객명부!$A$3:$A$502,0)),""))</f>
        <v/>
      </c>
      <c r="F539" s="12" t="str">
        <f aca="false">IF($C539="","",IFERROR(INDEX(고객명부!$D$3:$D$502,MATCH($C539,고객명부!$A$3:$A$502,0)),""))</f>
        <v/>
      </c>
      <c r="G539" s="12" t="str">
        <f aca="false">IF($C539="","",IFERROR(INDEX(고객명부!$E$3:$E$502,MATCH($C539,고객명부!$A$3:$A$502,0))&amp;" "&amp;INDEX(고객명부!$F$3:$F$502,MATCH($C539,고객명부!$A$3:$A$502,0)),""))</f>
        <v/>
      </c>
      <c r="H539" s="7"/>
      <c r="I539" s="12" t="str">
        <f aca="false">IF($H539="","",IFERROR(INDEX(상품목록!$B$3:$B$102,MATCH($H539,상품목록!$A$3:$A$102,0)),""))</f>
        <v/>
      </c>
      <c r="J539" s="14" t="str">
        <f aca="false">IF($H539="","",IFERROR(INDEX(상품목록!$C$3:$C$102,MATCH($H539,상품목록!$A$3:$A$102,0)),0))</f>
        <v/>
      </c>
      <c r="K539" s="7"/>
      <c r="L539" s="14" t="str">
        <f aca="false">IF(OR($J539="",$K539=""),"",ROUND($J539*$K539,0))</f>
        <v/>
      </c>
      <c r="M539" s="9"/>
      <c r="N539" s="14" t="str">
        <f aca="false">IF($L539="","",$L539+IF($M539="",0,$M539))</f>
        <v/>
      </c>
      <c r="O539" s="13"/>
      <c r="P539" s="7"/>
      <c r="Q539" s="12" t="str">
        <f aca="false">IF($C539="","",IF($P539&lt;&gt;"","발송완료",IF($O539&lt;&gt;"","입금완료","입금대기")))</f>
        <v/>
      </c>
      <c r="R539" s="12" t="str">
        <f aca="false">IF($C539="","",COUNTIFS($C$3:$C539,$C539))</f>
        <v/>
      </c>
      <c r="S539" s="12" t="str">
        <f aca="false">IF($C539="","",$C539&amp;"|"&amp;$R539)</f>
        <v/>
      </c>
    </row>
    <row r="540" customFormat="false" ht="15" hidden="false" customHeight="true" outlineLevel="0" collapsed="false">
      <c r="A540" s="12" t="str">
        <f aca="false">IF($C540="","",TEXT($B540,"yymmdd")&amp;"-"&amp;TEXT(COUNTIFS($B$3:$B540,$B540),"000"))</f>
        <v/>
      </c>
      <c r="B540" s="13"/>
      <c r="C540" s="7"/>
      <c r="D540" s="12" t="str">
        <f aca="false">IF($C540="","",IFERROR(INDEX(고객명부!$B$3:$B$502,MATCH($C540,고객명부!$A$3:$A$502,0)),"미등록고객"))</f>
        <v/>
      </c>
      <c r="E540" s="12" t="str">
        <f aca="false">IF($C540="","",IFERROR(INDEX(고객명부!$C$3:$C$502,MATCH($C540,고객명부!$A$3:$A$502,0)),""))</f>
        <v/>
      </c>
      <c r="F540" s="12" t="str">
        <f aca="false">IF($C540="","",IFERROR(INDEX(고객명부!$D$3:$D$502,MATCH($C540,고객명부!$A$3:$A$502,0)),""))</f>
        <v/>
      </c>
      <c r="G540" s="12" t="str">
        <f aca="false">IF($C540="","",IFERROR(INDEX(고객명부!$E$3:$E$502,MATCH($C540,고객명부!$A$3:$A$502,0))&amp;" "&amp;INDEX(고객명부!$F$3:$F$502,MATCH($C540,고객명부!$A$3:$A$502,0)),""))</f>
        <v/>
      </c>
      <c r="H540" s="7"/>
      <c r="I540" s="12" t="str">
        <f aca="false">IF($H540="","",IFERROR(INDEX(상품목록!$B$3:$B$102,MATCH($H540,상품목록!$A$3:$A$102,0)),""))</f>
        <v/>
      </c>
      <c r="J540" s="14" t="str">
        <f aca="false">IF($H540="","",IFERROR(INDEX(상품목록!$C$3:$C$102,MATCH($H540,상품목록!$A$3:$A$102,0)),0))</f>
        <v/>
      </c>
      <c r="K540" s="7"/>
      <c r="L540" s="14" t="str">
        <f aca="false">IF(OR($J540="",$K540=""),"",ROUND($J540*$K540,0))</f>
        <v/>
      </c>
      <c r="M540" s="9"/>
      <c r="N540" s="14" t="str">
        <f aca="false">IF($L540="","",$L540+IF($M540="",0,$M540))</f>
        <v/>
      </c>
      <c r="O540" s="13"/>
      <c r="P540" s="7"/>
      <c r="Q540" s="12" t="str">
        <f aca="false">IF($C540="","",IF($P540&lt;&gt;"","발송완료",IF($O540&lt;&gt;"","입금완료","입금대기")))</f>
        <v/>
      </c>
      <c r="R540" s="12" t="str">
        <f aca="false">IF($C540="","",COUNTIFS($C$3:$C540,$C540))</f>
        <v/>
      </c>
      <c r="S540" s="12" t="str">
        <f aca="false">IF($C540="","",$C540&amp;"|"&amp;$R540)</f>
        <v/>
      </c>
    </row>
    <row r="541" customFormat="false" ht="15" hidden="false" customHeight="true" outlineLevel="0" collapsed="false">
      <c r="A541" s="12" t="str">
        <f aca="false">IF($C541="","",TEXT($B541,"yymmdd")&amp;"-"&amp;TEXT(COUNTIFS($B$3:$B541,$B541),"000"))</f>
        <v/>
      </c>
      <c r="B541" s="13"/>
      <c r="C541" s="7"/>
      <c r="D541" s="12" t="str">
        <f aca="false">IF($C541="","",IFERROR(INDEX(고객명부!$B$3:$B$502,MATCH($C541,고객명부!$A$3:$A$502,0)),"미등록고객"))</f>
        <v/>
      </c>
      <c r="E541" s="12" t="str">
        <f aca="false">IF($C541="","",IFERROR(INDEX(고객명부!$C$3:$C$502,MATCH($C541,고객명부!$A$3:$A$502,0)),""))</f>
        <v/>
      </c>
      <c r="F541" s="12" t="str">
        <f aca="false">IF($C541="","",IFERROR(INDEX(고객명부!$D$3:$D$502,MATCH($C541,고객명부!$A$3:$A$502,0)),""))</f>
        <v/>
      </c>
      <c r="G541" s="12" t="str">
        <f aca="false">IF($C541="","",IFERROR(INDEX(고객명부!$E$3:$E$502,MATCH($C541,고객명부!$A$3:$A$502,0))&amp;" "&amp;INDEX(고객명부!$F$3:$F$502,MATCH($C541,고객명부!$A$3:$A$502,0)),""))</f>
        <v/>
      </c>
      <c r="H541" s="7"/>
      <c r="I541" s="12" t="str">
        <f aca="false">IF($H541="","",IFERROR(INDEX(상품목록!$B$3:$B$102,MATCH($H541,상품목록!$A$3:$A$102,0)),""))</f>
        <v/>
      </c>
      <c r="J541" s="14" t="str">
        <f aca="false">IF($H541="","",IFERROR(INDEX(상품목록!$C$3:$C$102,MATCH($H541,상품목록!$A$3:$A$102,0)),0))</f>
        <v/>
      </c>
      <c r="K541" s="7"/>
      <c r="L541" s="14" t="str">
        <f aca="false">IF(OR($J541="",$K541=""),"",ROUND($J541*$K541,0))</f>
        <v/>
      </c>
      <c r="M541" s="9"/>
      <c r="N541" s="14" t="str">
        <f aca="false">IF($L541="","",$L541+IF($M541="",0,$M541))</f>
        <v/>
      </c>
      <c r="O541" s="13"/>
      <c r="P541" s="7"/>
      <c r="Q541" s="12" t="str">
        <f aca="false">IF($C541="","",IF($P541&lt;&gt;"","발송완료",IF($O541&lt;&gt;"","입금완료","입금대기")))</f>
        <v/>
      </c>
      <c r="R541" s="12" t="str">
        <f aca="false">IF($C541="","",COUNTIFS($C$3:$C541,$C541))</f>
        <v/>
      </c>
      <c r="S541" s="12" t="str">
        <f aca="false">IF($C541="","",$C541&amp;"|"&amp;$R541)</f>
        <v/>
      </c>
    </row>
    <row r="542" customFormat="false" ht="15" hidden="false" customHeight="true" outlineLevel="0" collapsed="false">
      <c r="A542" s="12" t="str">
        <f aca="false">IF($C542="","",TEXT($B542,"yymmdd")&amp;"-"&amp;TEXT(COUNTIFS($B$3:$B542,$B542),"000"))</f>
        <v/>
      </c>
      <c r="B542" s="13"/>
      <c r="C542" s="7"/>
      <c r="D542" s="12" t="str">
        <f aca="false">IF($C542="","",IFERROR(INDEX(고객명부!$B$3:$B$502,MATCH($C542,고객명부!$A$3:$A$502,0)),"미등록고객"))</f>
        <v/>
      </c>
      <c r="E542" s="12" t="str">
        <f aca="false">IF($C542="","",IFERROR(INDEX(고객명부!$C$3:$C$502,MATCH($C542,고객명부!$A$3:$A$502,0)),""))</f>
        <v/>
      </c>
      <c r="F542" s="12" t="str">
        <f aca="false">IF($C542="","",IFERROR(INDEX(고객명부!$D$3:$D$502,MATCH($C542,고객명부!$A$3:$A$502,0)),""))</f>
        <v/>
      </c>
      <c r="G542" s="12" t="str">
        <f aca="false">IF($C542="","",IFERROR(INDEX(고객명부!$E$3:$E$502,MATCH($C542,고객명부!$A$3:$A$502,0))&amp;" "&amp;INDEX(고객명부!$F$3:$F$502,MATCH($C542,고객명부!$A$3:$A$502,0)),""))</f>
        <v/>
      </c>
      <c r="H542" s="7"/>
      <c r="I542" s="12" t="str">
        <f aca="false">IF($H542="","",IFERROR(INDEX(상품목록!$B$3:$B$102,MATCH($H542,상품목록!$A$3:$A$102,0)),""))</f>
        <v/>
      </c>
      <c r="J542" s="14" t="str">
        <f aca="false">IF($H542="","",IFERROR(INDEX(상품목록!$C$3:$C$102,MATCH($H542,상품목록!$A$3:$A$102,0)),0))</f>
        <v/>
      </c>
      <c r="K542" s="7"/>
      <c r="L542" s="14" t="str">
        <f aca="false">IF(OR($J542="",$K542=""),"",ROUND($J542*$K542,0))</f>
        <v/>
      </c>
      <c r="M542" s="9"/>
      <c r="N542" s="14" t="str">
        <f aca="false">IF($L542="","",$L542+IF($M542="",0,$M542))</f>
        <v/>
      </c>
      <c r="O542" s="13"/>
      <c r="P542" s="7"/>
      <c r="Q542" s="12" t="str">
        <f aca="false">IF($C542="","",IF($P542&lt;&gt;"","발송완료",IF($O542&lt;&gt;"","입금완료","입금대기")))</f>
        <v/>
      </c>
      <c r="R542" s="12" t="str">
        <f aca="false">IF($C542="","",COUNTIFS($C$3:$C542,$C542))</f>
        <v/>
      </c>
      <c r="S542" s="12" t="str">
        <f aca="false">IF($C542="","",$C542&amp;"|"&amp;$R542)</f>
        <v/>
      </c>
    </row>
    <row r="543" customFormat="false" ht="15" hidden="false" customHeight="true" outlineLevel="0" collapsed="false">
      <c r="A543" s="12" t="str">
        <f aca="false">IF($C543="","",TEXT($B543,"yymmdd")&amp;"-"&amp;TEXT(COUNTIFS($B$3:$B543,$B543),"000"))</f>
        <v/>
      </c>
      <c r="B543" s="13"/>
      <c r="C543" s="7"/>
      <c r="D543" s="12" t="str">
        <f aca="false">IF($C543="","",IFERROR(INDEX(고객명부!$B$3:$B$502,MATCH($C543,고객명부!$A$3:$A$502,0)),"미등록고객"))</f>
        <v/>
      </c>
      <c r="E543" s="12" t="str">
        <f aca="false">IF($C543="","",IFERROR(INDEX(고객명부!$C$3:$C$502,MATCH($C543,고객명부!$A$3:$A$502,0)),""))</f>
        <v/>
      </c>
      <c r="F543" s="12" t="str">
        <f aca="false">IF($C543="","",IFERROR(INDEX(고객명부!$D$3:$D$502,MATCH($C543,고객명부!$A$3:$A$502,0)),""))</f>
        <v/>
      </c>
      <c r="G543" s="12" t="str">
        <f aca="false">IF($C543="","",IFERROR(INDEX(고객명부!$E$3:$E$502,MATCH($C543,고객명부!$A$3:$A$502,0))&amp;" "&amp;INDEX(고객명부!$F$3:$F$502,MATCH($C543,고객명부!$A$3:$A$502,0)),""))</f>
        <v/>
      </c>
      <c r="H543" s="7"/>
      <c r="I543" s="12" t="str">
        <f aca="false">IF($H543="","",IFERROR(INDEX(상품목록!$B$3:$B$102,MATCH($H543,상품목록!$A$3:$A$102,0)),""))</f>
        <v/>
      </c>
      <c r="J543" s="14" t="str">
        <f aca="false">IF($H543="","",IFERROR(INDEX(상품목록!$C$3:$C$102,MATCH($H543,상품목록!$A$3:$A$102,0)),0))</f>
        <v/>
      </c>
      <c r="K543" s="7"/>
      <c r="L543" s="14" t="str">
        <f aca="false">IF(OR($J543="",$K543=""),"",ROUND($J543*$K543,0))</f>
        <v/>
      </c>
      <c r="M543" s="9"/>
      <c r="N543" s="14" t="str">
        <f aca="false">IF($L543="","",$L543+IF($M543="",0,$M543))</f>
        <v/>
      </c>
      <c r="O543" s="13"/>
      <c r="P543" s="7"/>
      <c r="Q543" s="12" t="str">
        <f aca="false">IF($C543="","",IF($P543&lt;&gt;"","발송완료",IF($O543&lt;&gt;"","입금완료","입금대기")))</f>
        <v/>
      </c>
      <c r="R543" s="12" t="str">
        <f aca="false">IF($C543="","",COUNTIFS($C$3:$C543,$C543))</f>
        <v/>
      </c>
      <c r="S543" s="12" t="str">
        <f aca="false">IF($C543="","",$C543&amp;"|"&amp;$R543)</f>
        <v/>
      </c>
    </row>
    <row r="544" customFormat="false" ht="15" hidden="false" customHeight="true" outlineLevel="0" collapsed="false">
      <c r="A544" s="12" t="str">
        <f aca="false">IF($C544="","",TEXT($B544,"yymmdd")&amp;"-"&amp;TEXT(COUNTIFS($B$3:$B544,$B544),"000"))</f>
        <v/>
      </c>
      <c r="B544" s="13"/>
      <c r="C544" s="7"/>
      <c r="D544" s="12" t="str">
        <f aca="false">IF($C544="","",IFERROR(INDEX(고객명부!$B$3:$B$502,MATCH($C544,고객명부!$A$3:$A$502,0)),"미등록고객"))</f>
        <v/>
      </c>
      <c r="E544" s="12" t="str">
        <f aca="false">IF($C544="","",IFERROR(INDEX(고객명부!$C$3:$C$502,MATCH($C544,고객명부!$A$3:$A$502,0)),""))</f>
        <v/>
      </c>
      <c r="F544" s="12" t="str">
        <f aca="false">IF($C544="","",IFERROR(INDEX(고객명부!$D$3:$D$502,MATCH($C544,고객명부!$A$3:$A$502,0)),""))</f>
        <v/>
      </c>
      <c r="G544" s="12" t="str">
        <f aca="false">IF($C544="","",IFERROR(INDEX(고객명부!$E$3:$E$502,MATCH($C544,고객명부!$A$3:$A$502,0))&amp;" "&amp;INDEX(고객명부!$F$3:$F$502,MATCH($C544,고객명부!$A$3:$A$502,0)),""))</f>
        <v/>
      </c>
      <c r="H544" s="7"/>
      <c r="I544" s="12" t="str">
        <f aca="false">IF($H544="","",IFERROR(INDEX(상품목록!$B$3:$B$102,MATCH($H544,상품목록!$A$3:$A$102,0)),""))</f>
        <v/>
      </c>
      <c r="J544" s="14" t="str">
        <f aca="false">IF($H544="","",IFERROR(INDEX(상품목록!$C$3:$C$102,MATCH($H544,상품목록!$A$3:$A$102,0)),0))</f>
        <v/>
      </c>
      <c r="K544" s="7"/>
      <c r="L544" s="14" t="str">
        <f aca="false">IF(OR($J544="",$K544=""),"",ROUND($J544*$K544,0))</f>
        <v/>
      </c>
      <c r="M544" s="9"/>
      <c r="N544" s="14" t="str">
        <f aca="false">IF($L544="","",$L544+IF($M544="",0,$M544))</f>
        <v/>
      </c>
      <c r="O544" s="13"/>
      <c r="P544" s="7"/>
      <c r="Q544" s="12" t="str">
        <f aca="false">IF($C544="","",IF($P544&lt;&gt;"","발송완료",IF($O544&lt;&gt;"","입금완료","입금대기")))</f>
        <v/>
      </c>
      <c r="R544" s="12" t="str">
        <f aca="false">IF($C544="","",COUNTIFS($C$3:$C544,$C544))</f>
        <v/>
      </c>
      <c r="S544" s="12" t="str">
        <f aca="false">IF($C544="","",$C544&amp;"|"&amp;$R544)</f>
        <v/>
      </c>
    </row>
    <row r="545" customFormat="false" ht="15" hidden="false" customHeight="true" outlineLevel="0" collapsed="false">
      <c r="A545" s="12" t="str">
        <f aca="false">IF($C545="","",TEXT($B545,"yymmdd")&amp;"-"&amp;TEXT(COUNTIFS($B$3:$B545,$B545),"000"))</f>
        <v/>
      </c>
      <c r="B545" s="13"/>
      <c r="C545" s="7"/>
      <c r="D545" s="12" t="str">
        <f aca="false">IF($C545="","",IFERROR(INDEX(고객명부!$B$3:$B$502,MATCH($C545,고객명부!$A$3:$A$502,0)),"미등록고객"))</f>
        <v/>
      </c>
      <c r="E545" s="12" t="str">
        <f aca="false">IF($C545="","",IFERROR(INDEX(고객명부!$C$3:$C$502,MATCH($C545,고객명부!$A$3:$A$502,0)),""))</f>
        <v/>
      </c>
      <c r="F545" s="12" t="str">
        <f aca="false">IF($C545="","",IFERROR(INDEX(고객명부!$D$3:$D$502,MATCH($C545,고객명부!$A$3:$A$502,0)),""))</f>
        <v/>
      </c>
      <c r="G545" s="12" t="str">
        <f aca="false">IF($C545="","",IFERROR(INDEX(고객명부!$E$3:$E$502,MATCH($C545,고객명부!$A$3:$A$502,0))&amp;" "&amp;INDEX(고객명부!$F$3:$F$502,MATCH($C545,고객명부!$A$3:$A$502,0)),""))</f>
        <v/>
      </c>
      <c r="H545" s="7"/>
      <c r="I545" s="12" t="str">
        <f aca="false">IF($H545="","",IFERROR(INDEX(상품목록!$B$3:$B$102,MATCH($H545,상품목록!$A$3:$A$102,0)),""))</f>
        <v/>
      </c>
      <c r="J545" s="14" t="str">
        <f aca="false">IF($H545="","",IFERROR(INDEX(상품목록!$C$3:$C$102,MATCH($H545,상품목록!$A$3:$A$102,0)),0))</f>
        <v/>
      </c>
      <c r="K545" s="7"/>
      <c r="L545" s="14" t="str">
        <f aca="false">IF(OR($J545="",$K545=""),"",ROUND($J545*$K545,0))</f>
        <v/>
      </c>
      <c r="M545" s="9"/>
      <c r="N545" s="14" t="str">
        <f aca="false">IF($L545="","",$L545+IF($M545="",0,$M545))</f>
        <v/>
      </c>
      <c r="O545" s="13"/>
      <c r="P545" s="7"/>
      <c r="Q545" s="12" t="str">
        <f aca="false">IF($C545="","",IF($P545&lt;&gt;"","발송완료",IF($O545&lt;&gt;"","입금완료","입금대기")))</f>
        <v/>
      </c>
      <c r="R545" s="12" t="str">
        <f aca="false">IF($C545="","",COUNTIFS($C$3:$C545,$C545))</f>
        <v/>
      </c>
      <c r="S545" s="12" t="str">
        <f aca="false">IF($C545="","",$C545&amp;"|"&amp;$R545)</f>
        <v/>
      </c>
    </row>
    <row r="546" customFormat="false" ht="15" hidden="false" customHeight="true" outlineLevel="0" collapsed="false">
      <c r="A546" s="12" t="str">
        <f aca="false">IF($C546="","",TEXT($B546,"yymmdd")&amp;"-"&amp;TEXT(COUNTIFS($B$3:$B546,$B546),"000"))</f>
        <v/>
      </c>
      <c r="B546" s="13"/>
      <c r="C546" s="7"/>
      <c r="D546" s="12" t="str">
        <f aca="false">IF($C546="","",IFERROR(INDEX(고객명부!$B$3:$B$502,MATCH($C546,고객명부!$A$3:$A$502,0)),"미등록고객"))</f>
        <v/>
      </c>
      <c r="E546" s="12" t="str">
        <f aca="false">IF($C546="","",IFERROR(INDEX(고객명부!$C$3:$C$502,MATCH($C546,고객명부!$A$3:$A$502,0)),""))</f>
        <v/>
      </c>
      <c r="F546" s="12" t="str">
        <f aca="false">IF($C546="","",IFERROR(INDEX(고객명부!$D$3:$D$502,MATCH($C546,고객명부!$A$3:$A$502,0)),""))</f>
        <v/>
      </c>
      <c r="G546" s="12" t="str">
        <f aca="false">IF($C546="","",IFERROR(INDEX(고객명부!$E$3:$E$502,MATCH($C546,고객명부!$A$3:$A$502,0))&amp;" "&amp;INDEX(고객명부!$F$3:$F$502,MATCH($C546,고객명부!$A$3:$A$502,0)),""))</f>
        <v/>
      </c>
      <c r="H546" s="7"/>
      <c r="I546" s="12" t="str">
        <f aca="false">IF($H546="","",IFERROR(INDEX(상품목록!$B$3:$B$102,MATCH($H546,상품목록!$A$3:$A$102,0)),""))</f>
        <v/>
      </c>
      <c r="J546" s="14" t="str">
        <f aca="false">IF($H546="","",IFERROR(INDEX(상품목록!$C$3:$C$102,MATCH($H546,상품목록!$A$3:$A$102,0)),0))</f>
        <v/>
      </c>
      <c r="K546" s="7"/>
      <c r="L546" s="14" t="str">
        <f aca="false">IF(OR($J546="",$K546=""),"",ROUND($J546*$K546,0))</f>
        <v/>
      </c>
      <c r="M546" s="9"/>
      <c r="N546" s="14" t="str">
        <f aca="false">IF($L546="","",$L546+IF($M546="",0,$M546))</f>
        <v/>
      </c>
      <c r="O546" s="13"/>
      <c r="P546" s="7"/>
      <c r="Q546" s="12" t="str">
        <f aca="false">IF($C546="","",IF($P546&lt;&gt;"","발송완료",IF($O546&lt;&gt;"","입금완료","입금대기")))</f>
        <v/>
      </c>
      <c r="R546" s="12" t="str">
        <f aca="false">IF($C546="","",COUNTIFS($C$3:$C546,$C546))</f>
        <v/>
      </c>
      <c r="S546" s="12" t="str">
        <f aca="false">IF($C546="","",$C546&amp;"|"&amp;$R546)</f>
        <v/>
      </c>
    </row>
    <row r="547" customFormat="false" ht="15" hidden="false" customHeight="true" outlineLevel="0" collapsed="false">
      <c r="A547" s="12" t="str">
        <f aca="false">IF($C547="","",TEXT($B547,"yymmdd")&amp;"-"&amp;TEXT(COUNTIFS($B$3:$B547,$B547),"000"))</f>
        <v/>
      </c>
      <c r="B547" s="13"/>
      <c r="C547" s="7"/>
      <c r="D547" s="12" t="str">
        <f aca="false">IF($C547="","",IFERROR(INDEX(고객명부!$B$3:$B$502,MATCH($C547,고객명부!$A$3:$A$502,0)),"미등록고객"))</f>
        <v/>
      </c>
      <c r="E547" s="12" t="str">
        <f aca="false">IF($C547="","",IFERROR(INDEX(고객명부!$C$3:$C$502,MATCH($C547,고객명부!$A$3:$A$502,0)),""))</f>
        <v/>
      </c>
      <c r="F547" s="12" t="str">
        <f aca="false">IF($C547="","",IFERROR(INDEX(고객명부!$D$3:$D$502,MATCH($C547,고객명부!$A$3:$A$502,0)),""))</f>
        <v/>
      </c>
      <c r="G547" s="12" t="str">
        <f aca="false">IF($C547="","",IFERROR(INDEX(고객명부!$E$3:$E$502,MATCH($C547,고객명부!$A$3:$A$502,0))&amp;" "&amp;INDEX(고객명부!$F$3:$F$502,MATCH($C547,고객명부!$A$3:$A$502,0)),""))</f>
        <v/>
      </c>
      <c r="H547" s="7"/>
      <c r="I547" s="12" t="str">
        <f aca="false">IF($H547="","",IFERROR(INDEX(상품목록!$B$3:$B$102,MATCH($H547,상품목록!$A$3:$A$102,0)),""))</f>
        <v/>
      </c>
      <c r="J547" s="14" t="str">
        <f aca="false">IF($H547="","",IFERROR(INDEX(상품목록!$C$3:$C$102,MATCH($H547,상품목록!$A$3:$A$102,0)),0))</f>
        <v/>
      </c>
      <c r="K547" s="7"/>
      <c r="L547" s="14" t="str">
        <f aca="false">IF(OR($J547="",$K547=""),"",ROUND($J547*$K547,0))</f>
        <v/>
      </c>
      <c r="M547" s="9"/>
      <c r="N547" s="14" t="str">
        <f aca="false">IF($L547="","",$L547+IF($M547="",0,$M547))</f>
        <v/>
      </c>
      <c r="O547" s="13"/>
      <c r="P547" s="7"/>
      <c r="Q547" s="12" t="str">
        <f aca="false">IF($C547="","",IF($P547&lt;&gt;"","발송완료",IF($O547&lt;&gt;"","입금완료","입금대기")))</f>
        <v/>
      </c>
      <c r="R547" s="12" t="str">
        <f aca="false">IF($C547="","",COUNTIFS($C$3:$C547,$C547))</f>
        <v/>
      </c>
      <c r="S547" s="12" t="str">
        <f aca="false">IF($C547="","",$C547&amp;"|"&amp;$R547)</f>
        <v/>
      </c>
    </row>
    <row r="548" customFormat="false" ht="15" hidden="false" customHeight="true" outlineLevel="0" collapsed="false">
      <c r="A548" s="12" t="str">
        <f aca="false">IF($C548="","",TEXT($B548,"yymmdd")&amp;"-"&amp;TEXT(COUNTIFS($B$3:$B548,$B548),"000"))</f>
        <v/>
      </c>
      <c r="B548" s="13"/>
      <c r="C548" s="7"/>
      <c r="D548" s="12" t="str">
        <f aca="false">IF($C548="","",IFERROR(INDEX(고객명부!$B$3:$B$502,MATCH($C548,고객명부!$A$3:$A$502,0)),"미등록고객"))</f>
        <v/>
      </c>
      <c r="E548" s="12" t="str">
        <f aca="false">IF($C548="","",IFERROR(INDEX(고객명부!$C$3:$C$502,MATCH($C548,고객명부!$A$3:$A$502,0)),""))</f>
        <v/>
      </c>
      <c r="F548" s="12" t="str">
        <f aca="false">IF($C548="","",IFERROR(INDEX(고객명부!$D$3:$D$502,MATCH($C548,고객명부!$A$3:$A$502,0)),""))</f>
        <v/>
      </c>
      <c r="G548" s="12" t="str">
        <f aca="false">IF($C548="","",IFERROR(INDEX(고객명부!$E$3:$E$502,MATCH($C548,고객명부!$A$3:$A$502,0))&amp;" "&amp;INDEX(고객명부!$F$3:$F$502,MATCH($C548,고객명부!$A$3:$A$502,0)),""))</f>
        <v/>
      </c>
      <c r="H548" s="7"/>
      <c r="I548" s="12" t="str">
        <f aca="false">IF($H548="","",IFERROR(INDEX(상품목록!$B$3:$B$102,MATCH($H548,상품목록!$A$3:$A$102,0)),""))</f>
        <v/>
      </c>
      <c r="J548" s="14" t="str">
        <f aca="false">IF($H548="","",IFERROR(INDEX(상품목록!$C$3:$C$102,MATCH($H548,상품목록!$A$3:$A$102,0)),0))</f>
        <v/>
      </c>
      <c r="K548" s="7"/>
      <c r="L548" s="14" t="str">
        <f aca="false">IF(OR($J548="",$K548=""),"",ROUND($J548*$K548,0))</f>
        <v/>
      </c>
      <c r="M548" s="9"/>
      <c r="N548" s="14" t="str">
        <f aca="false">IF($L548="","",$L548+IF($M548="",0,$M548))</f>
        <v/>
      </c>
      <c r="O548" s="13"/>
      <c r="P548" s="7"/>
      <c r="Q548" s="12" t="str">
        <f aca="false">IF($C548="","",IF($P548&lt;&gt;"","발송완료",IF($O548&lt;&gt;"","입금완료","입금대기")))</f>
        <v/>
      </c>
      <c r="R548" s="12" t="str">
        <f aca="false">IF($C548="","",COUNTIFS($C$3:$C548,$C548))</f>
        <v/>
      </c>
      <c r="S548" s="12" t="str">
        <f aca="false">IF($C548="","",$C548&amp;"|"&amp;$R548)</f>
        <v/>
      </c>
    </row>
    <row r="549" customFormat="false" ht="15" hidden="false" customHeight="true" outlineLevel="0" collapsed="false">
      <c r="A549" s="12" t="str">
        <f aca="false">IF($C549="","",TEXT($B549,"yymmdd")&amp;"-"&amp;TEXT(COUNTIFS($B$3:$B549,$B549),"000"))</f>
        <v/>
      </c>
      <c r="B549" s="13"/>
      <c r="C549" s="7"/>
      <c r="D549" s="12" t="str">
        <f aca="false">IF($C549="","",IFERROR(INDEX(고객명부!$B$3:$B$502,MATCH($C549,고객명부!$A$3:$A$502,0)),"미등록고객"))</f>
        <v/>
      </c>
      <c r="E549" s="12" t="str">
        <f aca="false">IF($C549="","",IFERROR(INDEX(고객명부!$C$3:$C$502,MATCH($C549,고객명부!$A$3:$A$502,0)),""))</f>
        <v/>
      </c>
      <c r="F549" s="12" t="str">
        <f aca="false">IF($C549="","",IFERROR(INDEX(고객명부!$D$3:$D$502,MATCH($C549,고객명부!$A$3:$A$502,0)),""))</f>
        <v/>
      </c>
      <c r="G549" s="12" t="str">
        <f aca="false">IF($C549="","",IFERROR(INDEX(고객명부!$E$3:$E$502,MATCH($C549,고객명부!$A$3:$A$502,0))&amp;" "&amp;INDEX(고객명부!$F$3:$F$502,MATCH($C549,고객명부!$A$3:$A$502,0)),""))</f>
        <v/>
      </c>
      <c r="H549" s="7"/>
      <c r="I549" s="12" t="str">
        <f aca="false">IF($H549="","",IFERROR(INDEX(상품목록!$B$3:$B$102,MATCH($H549,상품목록!$A$3:$A$102,0)),""))</f>
        <v/>
      </c>
      <c r="J549" s="14" t="str">
        <f aca="false">IF($H549="","",IFERROR(INDEX(상품목록!$C$3:$C$102,MATCH($H549,상품목록!$A$3:$A$102,0)),0))</f>
        <v/>
      </c>
      <c r="K549" s="7"/>
      <c r="L549" s="14" t="str">
        <f aca="false">IF(OR($J549="",$K549=""),"",ROUND($J549*$K549,0))</f>
        <v/>
      </c>
      <c r="M549" s="9"/>
      <c r="N549" s="14" t="str">
        <f aca="false">IF($L549="","",$L549+IF($M549="",0,$M549))</f>
        <v/>
      </c>
      <c r="O549" s="13"/>
      <c r="P549" s="7"/>
      <c r="Q549" s="12" t="str">
        <f aca="false">IF($C549="","",IF($P549&lt;&gt;"","발송완료",IF($O549&lt;&gt;"","입금완료","입금대기")))</f>
        <v/>
      </c>
      <c r="R549" s="12" t="str">
        <f aca="false">IF($C549="","",COUNTIFS($C$3:$C549,$C549))</f>
        <v/>
      </c>
      <c r="S549" s="12" t="str">
        <f aca="false">IF($C549="","",$C549&amp;"|"&amp;$R549)</f>
        <v/>
      </c>
    </row>
    <row r="550" customFormat="false" ht="15" hidden="false" customHeight="true" outlineLevel="0" collapsed="false">
      <c r="A550" s="12" t="str">
        <f aca="false">IF($C550="","",TEXT($B550,"yymmdd")&amp;"-"&amp;TEXT(COUNTIFS($B$3:$B550,$B550),"000"))</f>
        <v/>
      </c>
      <c r="B550" s="13"/>
      <c r="C550" s="7"/>
      <c r="D550" s="12" t="str">
        <f aca="false">IF($C550="","",IFERROR(INDEX(고객명부!$B$3:$B$502,MATCH($C550,고객명부!$A$3:$A$502,0)),"미등록고객"))</f>
        <v/>
      </c>
      <c r="E550" s="12" t="str">
        <f aca="false">IF($C550="","",IFERROR(INDEX(고객명부!$C$3:$C$502,MATCH($C550,고객명부!$A$3:$A$502,0)),""))</f>
        <v/>
      </c>
      <c r="F550" s="12" t="str">
        <f aca="false">IF($C550="","",IFERROR(INDEX(고객명부!$D$3:$D$502,MATCH($C550,고객명부!$A$3:$A$502,0)),""))</f>
        <v/>
      </c>
      <c r="G550" s="12" t="str">
        <f aca="false">IF($C550="","",IFERROR(INDEX(고객명부!$E$3:$E$502,MATCH($C550,고객명부!$A$3:$A$502,0))&amp;" "&amp;INDEX(고객명부!$F$3:$F$502,MATCH($C550,고객명부!$A$3:$A$502,0)),""))</f>
        <v/>
      </c>
      <c r="H550" s="7"/>
      <c r="I550" s="12" t="str">
        <f aca="false">IF($H550="","",IFERROR(INDEX(상품목록!$B$3:$B$102,MATCH($H550,상품목록!$A$3:$A$102,0)),""))</f>
        <v/>
      </c>
      <c r="J550" s="14" t="str">
        <f aca="false">IF($H550="","",IFERROR(INDEX(상품목록!$C$3:$C$102,MATCH($H550,상품목록!$A$3:$A$102,0)),0))</f>
        <v/>
      </c>
      <c r="K550" s="7"/>
      <c r="L550" s="14" t="str">
        <f aca="false">IF(OR($J550="",$K550=""),"",ROUND($J550*$K550,0))</f>
        <v/>
      </c>
      <c r="M550" s="9"/>
      <c r="N550" s="14" t="str">
        <f aca="false">IF($L550="","",$L550+IF($M550="",0,$M550))</f>
        <v/>
      </c>
      <c r="O550" s="13"/>
      <c r="P550" s="7"/>
      <c r="Q550" s="12" t="str">
        <f aca="false">IF($C550="","",IF($P550&lt;&gt;"","발송완료",IF($O550&lt;&gt;"","입금완료","입금대기")))</f>
        <v/>
      </c>
      <c r="R550" s="12" t="str">
        <f aca="false">IF($C550="","",COUNTIFS($C$3:$C550,$C550))</f>
        <v/>
      </c>
      <c r="S550" s="12" t="str">
        <f aca="false">IF($C550="","",$C550&amp;"|"&amp;$R550)</f>
        <v/>
      </c>
    </row>
    <row r="551" customFormat="false" ht="15" hidden="false" customHeight="true" outlineLevel="0" collapsed="false">
      <c r="A551" s="12" t="str">
        <f aca="false">IF($C551="","",TEXT($B551,"yymmdd")&amp;"-"&amp;TEXT(COUNTIFS($B$3:$B551,$B551),"000"))</f>
        <v/>
      </c>
      <c r="B551" s="13"/>
      <c r="C551" s="7"/>
      <c r="D551" s="12" t="str">
        <f aca="false">IF($C551="","",IFERROR(INDEX(고객명부!$B$3:$B$502,MATCH($C551,고객명부!$A$3:$A$502,0)),"미등록고객"))</f>
        <v/>
      </c>
      <c r="E551" s="12" t="str">
        <f aca="false">IF($C551="","",IFERROR(INDEX(고객명부!$C$3:$C$502,MATCH($C551,고객명부!$A$3:$A$502,0)),""))</f>
        <v/>
      </c>
      <c r="F551" s="12" t="str">
        <f aca="false">IF($C551="","",IFERROR(INDEX(고객명부!$D$3:$D$502,MATCH($C551,고객명부!$A$3:$A$502,0)),""))</f>
        <v/>
      </c>
      <c r="G551" s="12" t="str">
        <f aca="false">IF($C551="","",IFERROR(INDEX(고객명부!$E$3:$E$502,MATCH($C551,고객명부!$A$3:$A$502,0))&amp;" "&amp;INDEX(고객명부!$F$3:$F$502,MATCH($C551,고객명부!$A$3:$A$502,0)),""))</f>
        <v/>
      </c>
      <c r="H551" s="7"/>
      <c r="I551" s="12" t="str">
        <f aca="false">IF($H551="","",IFERROR(INDEX(상품목록!$B$3:$B$102,MATCH($H551,상품목록!$A$3:$A$102,0)),""))</f>
        <v/>
      </c>
      <c r="J551" s="14" t="str">
        <f aca="false">IF($H551="","",IFERROR(INDEX(상품목록!$C$3:$C$102,MATCH($H551,상품목록!$A$3:$A$102,0)),0))</f>
        <v/>
      </c>
      <c r="K551" s="7"/>
      <c r="L551" s="14" t="str">
        <f aca="false">IF(OR($J551="",$K551=""),"",ROUND($J551*$K551,0))</f>
        <v/>
      </c>
      <c r="M551" s="9"/>
      <c r="N551" s="14" t="str">
        <f aca="false">IF($L551="","",$L551+IF($M551="",0,$M551))</f>
        <v/>
      </c>
      <c r="O551" s="13"/>
      <c r="P551" s="7"/>
      <c r="Q551" s="12" t="str">
        <f aca="false">IF($C551="","",IF($P551&lt;&gt;"","발송완료",IF($O551&lt;&gt;"","입금완료","입금대기")))</f>
        <v/>
      </c>
      <c r="R551" s="12" t="str">
        <f aca="false">IF($C551="","",COUNTIFS($C$3:$C551,$C551))</f>
        <v/>
      </c>
      <c r="S551" s="12" t="str">
        <f aca="false">IF($C551="","",$C551&amp;"|"&amp;$R551)</f>
        <v/>
      </c>
    </row>
    <row r="552" customFormat="false" ht="15" hidden="false" customHeight="true" outlineLevel="0" collapsed="false">
      <c r="A552" s="12" t="str">
        <f aca="false">IF($C552="","",TEXT($B552,"yymmdd")&amp;"-"&amp;TEXT(COUNTIFS($B$3:$B552,$B552),"000"))</f>
        <v/>
      </c>
      <c r="B552" s="13"/>
      <c r="C552" s="7"/>
      <c r="D552" s="12" t="str">
        <f aca="false">IF($C552="","",IFERROR(INDEX(고객명부!$B$3:$B$502,MATCH($C552,고객명부!$A$3:$A$502,0)),"미등록고객"))</f>
        <v/>
      </c>
      <c r="E552" s="12" t="str">
        <f aca="false">IF($C552="","",IFERROR(INDEX(고객명부!$C$3:$C$502,MATCH($C552,고객명부!$A$3:$A$502,0)),""))</f>
        <v/>
      </c>
      <c r="F552" s="12" t="str">
        <f aca="false">IF($C552="","",IFERROR(INDEX(고객명부!$D$3:$D$502,MATCH($C552,고객명부!$A$3:$A$502,0)),""))</f>
        <v/>
      </c>
      <c r="G552" s="12" t="str">
        <f aca="false">IF($C552="","",IFERROR(INDEX(고객명부!$E$3:$E$502,MATCH($C552,고객명부!$A$3:$A$502,0))&amp;" "&amp;INDEX(고객명부!$F$3:$F$502,MATCH($C552,고객명부!$A$3:$A$502,0)),""))</f>
        <v/>
      </c>
      <c r="H552" s="7"/>
      <c r="I552" s="12" t="str">
        <f aca="false">IF($H552="","",IFERROR(INDEX(상품목록!$B$3:$B$102,MATCH($H552,상품목록!$A$3:$A$102,0)),""))</f>
        <v/>
      </c>
      <c r="J552" s="14" t="str">
        <f aca="false">IF($H552="","",IFERROR(INDEX(상품목록!$C$3:$C$102,MATCH($H552,상품목록!$A$3:$A$102,0)),0))</f>
        <v/>
      </c>
      <c r="K552" s="7"/>
      <c r="L552" s="14" t="str">
        <f aca="false">IF(OR($J552="",$K552=""),"",ROUND($J552*$K552,0))</f>
        <v/>
      </c>
      <c r="M552" s="9"/>
      <c r="N552" s="14" t="str">
        <f aca="false">IF($L552="","",$L552+IF($M552="",0,$M552))</f>
        <v/>
      </c>
      <c r="O552" s="13"/>
      <c r="P552" s="7"/>
      <c r="Q552" s="12" t="str">
        <f aca="false">IF($C552="","",IF($P552&lt;&gt;"","발송완료",IF($O552&lt;&gt;"","입금완료","입금대기")))</f>
        <v/>
      </c>
      <c r="R552" s="12" t="str">
        <f aca="false">IF($C552="","",COUNTIFS($C$3:$C552,$C552))</f>
        <v/>
      </c>
      <c r="S552" s="12" t="str">
        <f aca="false">IF($C552="","",$C552&amp;"|"&amp;$R552)</f>
        <v/>
      </c>
    </row>
    <row r="553" customFormat="false" ht="15" hidden="false" customHeight="true" outlineLevel="0" collapsed="false">
      <c r="A553" s="12" t="str">
        <f aca="false">IF($C553="","",TEXT($B553,"yymmdd")&amp;"-"&amp;TEXT(COUNTIFS($B$3:$B553,$B553),"000"))</f>
        <v/>
      </c>
      <c r="B553" s="13"/>
      <c r="C553" s="7"/>
      <c r="D553" s="12" t="str">
        <f aca="false">IF($C553="","",IFERROR(INDEX(고객명부!$B$3:$B$502,MATCH($C553,고객명부!$A$3:$A$502,0)),"미등록고객"))</f>
        <v/>
      </c>
      <c r="E553" s="12" t="str">
        <f aca="false">IF($C553="","",IFERROR(INDEX(고객명부!$C$3:$C$502,MATCH($C553,고객명부!$A$3:$A$502,0)),""))</f>
        <v/>
      </c>
      <c r="F553" s="12" t="str">
        <f aca="false">IF($C553="","",IFERROR(INDEX(고객명부!$D$3:$D$502,MATCH($C553,고객명부!$A$3:$A$502,0)),""))</f>
        <v/>
      </c>
      <c r="G553" s="12" t="str">
        <f aca="false">IF($C553="","",IFERROR(INDEX(고객명부!$E$3:$E$502,MATCH($C553,고객명부!$A$3:$A$502,0))&amp;" "&amp;INDEX(고객명부!$F$3:$F$502,MATCH($C553,고객명부!$A$3:$A$502,0)),""))</f>
        <v/>
      </c>
      <c r="H553" s="7"/>
      <c r="I553" s="12" t="str">
        <f aca="false">IF($H553="","",IFERROR(INDEX(상품목록!$B$3:$B$102,MATCH($H553,상품목록!$A$3:$A$102,0)),""))</f>
        <v/>
      </c>
      <c r="J553" s="14" t="str">
        <f aca="false">IF($H553="","",IFERROR(INDEX(상품목록!$C$3:$C$102,MATCH($H553,상품목록!$A$3:$A$102,0)),0))</f>
        <v/>
      </c>
      <c r="K553" s="7"/>
      <c r="L553" s="14" t="str">
        <f aca="false">IF(OR($J553="",$K553=""),"",ROUND($J553*$K553,0))</f>
        <v/>
      </c>
      <c r="M553" s="9"/>
      <c r="N553" s="14" t="str">
        <f aca="false">IF($L553="","",$L553+IF($M553="",0,$M553))</f>
        <v/>
      </c>
      <c r="O553" s="13"/>
      <c r="P553" s="7"/>
      <c r="Q553" s="12" t="str">
        <f aca="false">IF($C553="","",IF($P553&lt;&gt;"","발송완료",IF($O553&lt;&gt;"","입금완료","입금대기")))</f>
        <v/>
      </c>
      <c r="R553" s="12" t="str">
        <f aca="false">IF($C553="","",COUNTIFS($C$3:$C553,$C553))</f>
        <v/>
      </c>
      <c r="S553" s="12" t="str">
        <f aca="false">IF($C553="","",$C553&amp;"|"&amp;$R553)</f>
        <v/>
      </c>
    </row>
    <row r="554" customFormat="false" ht="15" hidden="false" customHeight="true" outlineLevel="0" collapsed="false">
      <c r="A554" s="12" t="str">
        <f aca="false">IF($C554="","",TEXT($B554,"yymmdd")&amp;"-"&amp;TEXT(COUNTIFS($B$3:$B554,$B554),"000"))</f>
        <v/>
      </c>
      <c r="B554" s="13"/>
      <c r="C554" s="7"/>
      <c r="D554" s="12" t="str">
        <f aca="false">IF($C554="","",IFERROR(INDEX(고객명부!$B$3:$B$502,MATCH($C554,고객명부!$A$3:$A$502,0)),"미등록고객"))</f>
        <v/>
      </c>
      <c r="E554" s="12" t="str">
        <f aca="false">IF($C554="","",IFERROR(INDEX(고객명부!$C$3:$C$502,MATCH($C554,고객명부!$A$3:$A$502,0)),""))</f>
        <v/>
      </c>
      <c r="F554" s="12" t="str">
        <f aca="false">IF($C554="","",IFERROR(INDEX(고객명부!$D$3:$D$502,MATCH($C554,고객명부!$A$3:$A$502,0)),""))</f>
        <v/>
      </c>
      <c r="G554" s="12" t="str">
        <f aca="false">IF($C554="","",IFERROR(INDEX(고객명부!$E$3:$E$502,MATCH($C554,고객명부!$A$3:$A$502,0))&amp;" "&amp;INDEX(고객명부!$F$3:$F$502,MATCH($C554,고객명부!$A$3:$A$502,0)),""))</f>
        <v/>
      </c>
      <c r="H554" s="7"/>
      <c r="I554" s="12" t="str">
        <f aca="false">IF($H554="","",IFERROR(INDEX(상품목록!$B$3:$B$102,MATCH($H554,상품목록!$A$3:$A$102,0)),""))</f>
        <v/>
      </c>
      <c r="J554" s="14" t="str">
        <f aca="false">IF($H554="","",IFERROR(INDEX(상품목록!$C$3:$C$102,MATCH($H554,상품목록!$A$3:$A$102,0)),0))</f>
        <v/>
      </c>
      <c r="K554" s="7"/>
      <c r="L554" s="14" t="str">
        <f aca="false">IF(OR($J554="",$K554=""),"",ROUND($J554*$K554,0))</f>
        <v/>
      </c>
      <c r="M554" s="9"/>
      <c r="N554" s="14" t="str">
        <f aca="false">IF($L554="","",$L554+IF($M554="",0,$M554))</f>
        <v/>
      </c>
      <c r="O554" s="13"/>
      <c r="P554" s="7"/>
      <c r="Q554" s="12" t="str">
        <f aca="false">IF($C554="","",IF($P554&lt;&gt;"","발송완료",IF($O554&lt;&gt;"","입금완료","입금대기")))</f>
        <v/>
      </c>
      <c r="R554" s="12" t="str">
        <f aca="false">IF($C554="","",COUNTIFS($C$3:$C554,$C554))</f>
        <v/>
      </c>
      <c r="S554" s="12" t="str">
        <f aca="false">IF($C554="","",$C554&amp;"|"&amp;$R554)</f>
        <v/>
      </c>
    </row>
    <row r="555" customFormat="false" ht="15" hidden="false" customHeight="true" outlineLevel="0" collapsed="false">
      <c r="A555" s="12" t="str">
        <f aca="false">IF($C555="","",TEXT($B555,"yymmdd")&amp;"-"&amp;TEXT(COUNTIFS($B$3:$B555,$B555),"000"))</f>
        <v/>
      </c>
      <c r="B555" s="13"/>
      <c r="C555" s="7"/>
      <c r="D555" s="12" t="str">
        <f aca="false">IF($C555="","",IFERROR(INDEX(고객명부!$B$3:$B$502,MATCH($C555,고객명부!$A$3:$A$502,0)),"미등록고객"))</f>
        <v/>
      </c>
      <c r="E555" s="12" t="str">
        <f aca="false">IF($C555="","",IFERROR(INDEX(고객명부!$C$3:$C$502,MATCH($C555,고객명부!$A$3:$A$502,0)),""))</f>
        <v/>
      </c>
      <c r="F555" s="12" t="str">
        <f aca="false">IF($C555="","",IFERROR(INDEX(고객명부!$D$3:$D$502,MATCH($C555,고객명부!$A$3:$A$502,0)),""))</f>
        <v/>
      </c>
      <c r="G555" s="12" t="str">
        <f aca="false">IF($C555="","",IFERROR(INDEX(고객명부!$E$3:$E$502,MATCH($C555,고객명부!$A$3:$A$502,0))&amp;" "&amp;INDEX(고객명부!$F$3:$F$502,MATCH($C555,고객명부!$A$3:$A$502,0)),""))</f>
        <v/>
      </c>
      <c r="H555" s="7"/>
      <c r="I555" s="12" t="str">
        <f aca="false">IF($H555="","",IFERROR(INDEX(상품목록!$B$3:$B$102,MATCH($H555,상품목록!$A$3:$A$102,0)),""))</f>
        <v/>
      </c>
      <c r="J555" s="14" t="str">
        <f aca="false">IF($H555="","",IFERROR(INDEX(상품목록!$C$3:$C$102,MATCH($H555,상품목록!$A$3:$A$102,0)),0))</f>
        <v/>
      </c>
      <c r="K555" s="7"/>
      <c r="L555" s="14" t="str">
        <f aca="false">IF(OR($J555="",$K555=""),"",ROUND($J555*$K555,0))</f>
        <v/>
      </c>
      <c r="M555" s="9"/>
      <c r="N555" s="14" t="str">
        <f aca="false">IF($L555="","",$L555+IF($M555="",0,$M555))</f>
        <v/>
      </c>
      <c r="O555" s="13"/>
      <c r="P555" s="7"/>
      <c r="Q555" s="12" t="str">
        <f aca="false">IF($C555="","",IF($P555&lt;&gt;"","발송완료",IF($O555&lt;&gt;"","입금완료","입금대기")))</f>
        <v/>
      </c>
      <c r="R555" s="12" t="str">
        <f aca="false">IF($C555="","",COUNTIFS($C$3:$C555,$C555))</f>
        <v/>
      </c>
      <c r="S555" s="12" t="str">
        <f aca="false">IF($C555="","",$C555&amp;"|"&amp;$R555)</f>
        <v/>
      </c>
    </row>
    <row r="556" customFormat="false" ht="15" hidden="false" customHeight="true" outlineLevel="0" collapsed="false">
      <c r="A556" s="12" t="str">
        <f aca="false">IF($C556="","",TEXT($B556,"yymmdd")&amp;"-"&amp;TEXT(COUNTIFS($B$3:$B556,$B556),"000"))</f>
        <v/>
      </c>
      <c r="B556" s="13"/>
      <c r="C556" s="7"/>
      <c r="D556" s="12" t="str">
        <f aca="false">IF($C556="","",IFERROR(INDEX(고객명부!$B$3:$B$502,MATCH($C556,고객명부!$A$3:$A$502,0)),"미등록고객"))</f>
        <v/>
      </c>
      <c r="E556" s="12" t="str">
        <f aca="false">IF($C556="","",IFERROR(INDEX(고객명부!$C$3:$C$502,MATCH($C556,고객명부!$A$3:$A$502,0)),""))</f>
        <v/>
      </c>
      <c r="F556" s="12" t="str">
        <f aca="false">IF($C556="","",IFERROR(INDEX(고객명부!$D$3:$D$502,MATCH($C556,고객명부!$A$3:$A$502,0)),""))</f>
        <v/>
      </c>
      <c r="G556" s="12" t="str">
        <f aca="false">IF($C556="","",IFERROR(INDEX(고객명부!$E$3:$E$502,MATCH($C556,고객명부!$A$3:$A$502,0))&amp;" "&amp;INDEX(고객명부!$F$3:$F$502,MATCH($C556,고객명부!$A$3:$A$502,0)),""))</f>
        <v/>
      </c>
      <c r="H556" s="7"/>
      <c r="I556" s="12" t="str">
        <f aca="false">IF($H556="","",IFERROR(INDEX(상품목록!$B$3:$B$102,MATCH($H556,상품목록!$A$3:$A$102,0)),""))</f>
        <v/>
      </c>
      <c r="J556" s="14" t="str">
        <f aca="false">IF($H556="","",IFERROR(INDEX(상품목록!$C$3:$C$102,MATCH($H556,상품목록!$A$3:$A$102,0)),0))</f>
        <v/>
      </c>
      <c r="K556" s="7"/>
      <c r="L556" s="14" t="str">
        <f aca="false">IF(OR($J556="",$K556=""),"",ROUND($J556*$K556,0))</f>
        <v/>
      </c>
      <c r="M556" s="9"/>
      <c r="N556" s="14" t="str">
        <f aca="false">IF($L556="","",$L556+IF($M556="",0,$M556))</f>
        <v/>
      </c>
      <c r="O556" s="13"/>
      <c r="P556" s="7"/>
      <c r="Q556" s="12" t="str">
        <f aca="false">IF($C556="","",IF($P556&lt;&gt;"","발송완료",IF($O556&lt;&gt;"","입금완료","입금대기")))</f>
        <v/>
      </c>
      <c r="R556" s="12" t="str">
        <f aca="false">IF($C556="","",COUNTIFS($C$3:$C556,$C556))</f>
        <v/>
      </c>
      <c r="S556" s="12" t="str">
        <f aca="false">IF($C556="","",$C556&amp;"|"&amp;$R556)</f>
        <v/>
      </c>
    </row>
    <row r="557" customFormat="false" ht="15" hidden="false" customHeight="true" outlineLevel="0" collapsed="false">
      <c r="A557" s="12" t="str">
        <f aca="false">IF($C557="","",TEXT($B557,"yymmdd")&amp;"-"&amp;TEXT(COUNTIFS($B$3:$B557,$B557),"000"))</f>
        <v/>
      </c>
      <c r="B557" s="13"/>
      <c r="C557" s="7"/>
      <c r="D557" s="12" t="str">
        <f aca="false">IF($C557="","",IFERROR(INDEX(고객명부!$B$3:$B$502,MATCH($C557,고객명부!$A$3:$A$502,0)),"미등록고객"))</f>
        <v/>
      </c>
      <c r="E557" s="12" t="str">
        <f aca="false">IF($C557="","",IFERROR(INDEX(고객명부!$C$3:$C$502,MATCH($C557,고객명부!$A$3:$A$502,0)),""))</f>
        <v/>
      </c>
      <c r="F557" s="12" t="str">
        <f aca="false">IF($C557="","",IFERROR(INDEX(고객명부!$D$3:$D$502,MATCH($C557,고객명부!$A$3:$A$502,0)),""))</f>
        <v/>
      </c>
      <c r="G557" s="12" t="str">
        <f aca="false">IF($C557="","",IFERROR(INDEX(고객명부!$E$3:$E$502,MATCH($C557,고객명부!$A$3:$A$502,0))&amp;" "&amp;INDEX(고객명부!$F$3:$F$502,MATCH($C557,고객명부!$A$3:$A$502,0)),""))</f>
        <v/>
      </c>
      <c r="H557" s="7"/>
      <c r="I557" s="12" t="str">
        <f aca="false">IF($H557="","",IFERROR(INDEX(상품목록!$B$3:$B$102,MATCH($H557,상품목록!$A$3:$A$102,0)),""))</f>
        <v/>
      </c>
      <c r="J557" s="14" t="str">
        <f aca="false">IF($H557="","",IFERROR(INDEX(상품목록!$C$3:$C$102,MATCH($H557,상품목록!$A$3:$A$102,0)),0))</f>
        <v/>
      </c>
      <c r="K557" s="7"/>
      <c r="L557" s="14" t="str">
        <f aca="false">IF(OR($J557="",$K557=""),"",ROUND($J557*$K557,0))</f>
        <v/>
      </c>
      <c r="M557" s="9"/>
      <c r="N557" s="14" t="str">
        <f aca="false">IF($L557="","",$L557+IF($M557="",0,$M557))</f>
        <v/>
      </c>
      <c r="O557" s="13"/>
      <c r="P557" s="7"/>
      <c r="Q557" s="12" t="str">
        <f aca="false">IF($C557="","",IF($P557&lt;&gt;"","발송완료",IF($O557&lt;&gt;"","입금완료","입금대기")))</f>
        <v/>
      </c>
      <c r="R557" s="12" t="str">
        <f aca="false">IF($C557="","",COUNTIFS($C$3:$C557,$C557))</f>
        <v/>
      </c>
      <c r="S557" s="12" t="str">
        <f aca="false">IF($C557="","",$C557&amp;"|"&amp;$R557)</f>
        <v/>
      </c>
    </row>
    <row r="558" customFormat="false" ht="15" hidden="false" customHeight="true" outlineLevel="0" collapsed="false">
      <c r="A558" s="12" t="str">
        <f aca="false">IF($C558="","",TEXT($B558,"yymmdd")&amp;"-"&amp;TEXT(COUNTIFS($B$3:$B558,$B558),"000"))</f>
        <v/>
      </c>
      <c r="B558" s="13"/>
      <c r="C558" s="7"/>
      <c r="D558" s="12" t="str">
        <f aca="false">IF($C558="","",IFERROR(INDEX(고객명부!$B$3:$B$502,MATCH($C558,고객명부!$A$3:$A$502,0)),"미등록고객"))</f>
        <v/>
      </c>
      <c r="E558" s="12" t="str">
        <f aca="false">IF($C558="","",IFERROR(INDEX(고객명부!$C$3:$C$502,MATCH($C558,고객명부!$A$3:$A$502,0)),""))</f>
        <v/>
      </c>
      <c r="F558" s="12" t="str">
        <f aca="false">IF($C558="","",IFERROR(INDEX(고객명부!$D$3:$D$502,MATCH($C558,고객명부!$A$3:$A$502,0)),""))</f>
        <v/>
      </c>
      <c r="G558" s="12" t="str">
        <f aca="false">IF($C558="","",IFERROR(INDEX(고객명부!$E$3:$E$502,MATCH($C558,고객명부!$A$3:$A$502,0))&amp;" "&amp;INDEX(고객명부!$F$3:$F$502,MATCH($C558,고객명부!$A$3:$A$502,0)),""))</f>
        <v/>
      </c>
      <c r="H558" s="7"/>
      <c r="I558" s="12" t="str">
        <f aca="false">IF($H558="","",IFERROR(INDEX(상품목록!$B$3:$B$102,MATCH($H558,상품목록!$A$3:$A$102,0)),""))</f>
        <v/>
      </c>
      <c r="J558" s="14" t="str">
        <f aca="false">IF($H558="","",IFERROR(INDEX(상품목록!$C$3:$C$102,MATCH($H558,상품목록!$A$3:$A$102,0)),0))</f>
        <v/>
      </c>
      <c r="K558" s="7"/>
      <c r="L558" s="14" t="str">
        <f aca="false">IF(OR($J558="",$K558=""),"",ROUND($J558*$K558,0))</f>
        <v/>
      </c>
      <c r="M558" s="9"/>
      <c r="N558" s="14" t="str">
        <f aca="false">IF($L558="","",$L558+IF($M558="",0,$M558))</f>
        <v/>
      </c>
      <c r="O558" s="13"/>
      <c r="P558" s="7"/>
      <c r="Q558" s="12" t="str">
        <f aca="false">IF($C558="","",IF($P558&lt;&gt;"","발송완료",IF($O558&lt;&gt;"","입금완료","입금대기")))</f>
        <v/>
      </c>
      <c r="R558" s="12" t="str">
        <f aca="false">IF($C558="","",COUNTIFS($C$3:$C558,$C558))</f>
        <v/>
      </c>
      <c r="S558" s="12" t="str">
        <f aca="false">IF($C558="","",$C558&amp;"|"&amp;$R558)</f>
        <v/>
      </c>
    </row>
    <row r="559" customFormat="false" ht="15" hidden="false" customHeight="true" outlineLevel="0" collapsed="false">
      <c r="A559" s="12" t="str">
        <f aca="false">IF($C559="","",TEXT($B559,"yymmdd")&amp;"-"&amp;TEXT(COUNTIFS($B$3:$B559,$B559),"000"))</f>
        <v/>
      </c>
      <c r="B559" s="13"/>
      <c r="C559" s="7"/>
      <c r="D559" s="12" t="str">
        <f aca="false">IF($C559="","",IFERROR(INDEX(고객명부!$B$3:$B$502,MATCH($C559,고객명부!$A$3:$A$502,0)),"미등록고객"))</f>
        <v/>
      </c>
      <c r="E559" s="12" t="str">
        <f aca="false">IF($C559="","",IFERROR(INDEX(고객명부!$C$3:$C$502,MATCH($C559,고객명부!$A$3:$A$502,0)),""))</f>
        <v/>
      </c>
      <c r="F559" s="12" t="str">
        <f aca="false">IF($C559="","",IFERROR(INDEX(고객명부!$D$3:$D$502,MATCH($C559,고객명부!$A$3:$A$502,0)),""))</f>
        <v/>
      </c>
      <c r="G559" s="12" t="str">
        <f aca="false">IF($C559="","",IFERROR(INDEX(고객명부!$E$3:$E$502,MATCH($C559,고객명부!$A$3:$A$502,0))&amp;" "&amp;INDEX(고객명부!$F$3:$F$502,MATCH($C559,고객명부!$A$3:$A$502,0)),""))</f>
        <v/>
      </c>
      <c r="H559" s="7"/>
      <c r="I559" s="12" t="str">
        <f aca="false">IF($H559="","",IFERROR(INDEX(상품목록!$B$3:$B$102,MATCH($H559,상품목록!$A$3:$A$102,0)),""))</f>
        <v/>
      </c>
      <c r="J559" s="14" t="str">
        <f aca="false">IF($H559="","",IFERROR(INDEX(상품목록!$C$3:$C$102,MATCH($H559,상품목록!$A$3:$A$102,0)),0))</f>
        <v/>
      </c>
      <c r="K559" s="7"/>
      <c r="L559" s="14" t="str">
        <f aca="false">IF(OR($J559="",$K559=""),"",ROUND($J559*$K559,0))</f>
        <v/>
      </c>
      <c r="M559" s="9"/>
      <c r="N559" s="14" t="str">
        <f aca="false">IF($L559="","",$L559+IF($M559="",0,$M559))</f>
        <v/>
      </c>
      <c r="O559" s="13"/>
      <c r="P559" s="7"/>
      <c r="Q559" s="12" t="str">
        <f aca="false">IF($C559="","",IF($P559&lt;&gt;"","발송완료",IF($O559&lt;&gt;"","입금완료","입금대기")))</f>
        <v/>
      </c>
      <c r="R559" s="12" t="str">
        <f aca="false">IF($C559="","",COUNTIFS($C$3:$C559,$C559))</f>
        <v/>
      </c>
      <c r="S559" s="12" t="str">
        <f aca="false">IF($C559="","",$C559&amp;"|"&amp;$R559)</f>
        <v/>
      </c>
    </row>
    <row r="560" customFormat="false" ht="15" hidden="false" customHeight="true" outlineLevel="0" collapsed="false">
      <c r="A560" s="12" t="str">
        <f aca="false">IF($C560="","",TEXT($B560,"yymmdd")&amp;"-"&amp;TEXT(COUNTIFS($B$3:$B560,$B560),"000"))</f>
        <v/>
      </c>
      <c r="B560" s="13"/>
      <c r="C560" s="7"/>
      <c r="D560" s="12" t="str">
        <f aca="false">IF($C560="","",IFERROR(INDEX(고객명부!$B$3:$B$502,MATCH($C560,고객명부!$A$3:$A$502,0)),"미등록고객"))</f>
        <v/>
      </c>
      <c r="E560" s="12" t="str">
        <f aca="false">IF($C560="","",IFERROR(INDEX(고객명부!$C$3:$C$502,MATCH($C560,고객명부!$A$3:$A$502,0)),""))</f>
        <v/>
      </c>
      <c r="F560" s="12" t="str">
        <f aca="false">IF($C560="","",IFERROR(INDEX(고객명부!$D$3:$D$502,MATCH($C560,고객명부!$A$3:$A$502,0)),""))</f>
        <v/>
      </c>
      <c r="G560" s="12" t="str">
        <f aca="false">IF($C560="","",IFERROR(INDEX(고객명부!$E$3:$E$502,MATCH($C560,고객명부!$A$3:$A$502,0))&amp;" "&amp;INDEX(고객명부!$F$3:$F$502,MATCH($C560,고객명부!$A$3:$A$502,0)),""))</f>
        <v/>
      </c>
      <c r="H560" s="7"/>
      <c r="I560" s="12" t="str">
        <f aca="false">IF($H560="","",IFERROR(INDEX(상품목록!$B$3:$B$102,MATCH($H560,상품목록!$A$3:$A$102,0)),""))</f>
        <v/>
      </c>
      <c r="J560" s="14" t="str">
        <f aca="false">IF($H560="","",IFERROR(INDEX(상품목록!$C$3:$C$102,MATCH($H560,상품목록!$A$3:$A$102,0)),0))</f>
        <v/>
      </c>
      <c r="K560" s="7"/>
      <c r="L560" s="14" t="str">
        <f aca="false">IF(OR($J560="",$K560=""),"",ROUND($J560*$K560,0))</f>
        <v/>
      </c>
      <c r="M560" s="9"/>
      <c r="N560" s="14" t="str">
        <f aca="false">IF($L560="","",$L560+IF($M560="",0,$M560))</f>
        <v/>
      </c>
      <c r="O560" s="13"/>
      <c r="P560" s="7"/>
      <c r="Q560" s="12" t="str">
        <f aca="false">IF($C560="","",IF($P560&lt;&gt;"","발송완료",IF($O560&lt;&gt;"","입금완료","입금대기")))</f>
        <v/>
      </c>
      <c r="R560" s="12" t="str">
        <f aca="false">IF($C560="","",COUNTIFS($C$3:$C560,$C560))</f>
        <v/>
      </c>
      <c r="S560" s="12" t="str">
        <f aca="false">IF($C560="","",$C560&amp;"|"&amp;$R560)</f>
        <v/>
      </c>
    </row>
    <row r="561" customFormat="false" ht="15" hidden="false" customHeight="true" outlineLevel="0" collapsed="false">
      <c r="A561" s="12" t="str">
        <f aca="false">IF($C561="","",TEXT($B561,"yymmdd")&amp;"-"&amp;TEXT(COUNTIFS($B$3:$B561,$B561),"000"))</f>
        <v/>
      </c>
      <c r="B561" s="13"/>
      <c r="C561" s="7"/>
      <c r="D561" s="12" t="str">
        <f aca="false">IF($C561="","",IFERROR(INDEX(고객명부!$B$3:$B$502,MATCH($C561,고객명부!$A$3:$A$502,0)),"미등록고객"))</f>
        <v/>
      </c>
      <c r="E561" s="12" t="str">
        <f aca="false">IF($C561="","",IFERROR(INDEX(고객명부!$C$3:$C$502,MATCH($C561,고객명부!$A$3:$A$502,0)),""))</f>
        <v/>
      </c>
      <c r="F561" s="12" t="str">
        <f aca="false">IF($C561="","",IFERROR(INDEX(고객명부!$D$3:$D$502,MATCH($C561,고객명부!$A$3:$A$502,0)),""))</f>
        <v/>
      </c>
      <c r="G561" s="12" t="str">
        <f aca="false">IF($C561="","",IFERROR(INDEX(고객명부!$E$3:$E$502,MATCH($C561,고객명부!$A$3:$A$502,0))&amp;" "&amp;INDEX(고객명부!$F$3:$F$502,MATCH($C561,고객명부!$A$3:$A$502,0)),""))</f>
        <v/>
      </c>
      <c r="H561" s="7"/>
      <c r="I561" s="12" t="str">
        <f aca="false">IF($H561="","",IFERROR(INDEX(상품목록!$B$3:$B$102,MATCH($H561,상품목록!$A$3:$A$102,0)),""))</f>
        <v/>
      </c>
      <c r="J561" s="14" t="str">
        <f aca="false">IF($H561="","",IFERROR(INDEX(상품목록!$C$3:$C$102,MATCH($H561,상품목록!$A$3:$A$102,0)),0))</f>
        <v/>
      </c>
      <c r="K561" s="7"/>
      <c r="L561" s="14" t="str">
        <f aca="false">IF(OR($J561="",$K561=""),"",ROUND($J561*$K561,0))</f>
        <v/>
      </c>
      <c r="M561" s="9"/>
      <c r="N561" s="14" t="str">
        <f aca="false">IF($L561="","",$L561+IF($M561="",0,$M561))</f>
        <v/>
      </c>
      <c r="O561" s="13"/>
      <c r="P561" s="7"/>
      <c r="Q561" s="12" t="str">
        <f aca="false">IF($C561="","",IF($P561&lt;&gt;"","발송완료",IF($O561&lt;&gt;"","입금완료","입금대기")))</f>
        <v/>
      </c>
      <c r="R561" s="12" t="str">
        <f aca="false">IF($C561="","",COUNTIFS($C$3:$C561,$C561))</f>
        <v/>
      </c>
      <c r="S561" s="12" t="str">
        <f aca="false">IF($C561="","",$C561&amp;"|"&amp;$R561)</f>
        <v/>
      </c>
    </row>
    <row r="562" customFormat="false" ht="15" hidden="false" customHeight="true" outlineLevel="0" collapsed="false">
      <c r="A562" s="12" t="str">
        <f aca="false">IF($C562="","",TEXT($B562,"yymmdd")&amp;"-"&amp;TEXT(COUNTIFS($B$3:$B562,$B562),"000"))</f>
        <v/>
      </c>
      <c r="B562" s="13"/>
      <c r="C562" s="7"/>
      <c r="D562" s="12" t="str">
        <f aca="false">IF($C562="","",IFERROR(INDEX(고객명부!$B$3:$B$502,MATCH($C562,고객명부!$A$3:$A$502,0)),"미등록고객"))</f>
        <v/>
      </c>
      <c r="E562" s="12" t="str">
        <f aca="false">IF($C562="","",IFERROR(INDEX(고객명부!$C$3:$C$502,MATCH($C562,고객명부!$A$3:$A$502,0)),""))</f>
        <v/>
      </c>
      <c r="F562" s="12" t="str">
        <f aca="false">IF($C562="","",IFERROR(INDEX(고객명부!$D$3:$D$502,MATCH($C562,고객명부!$A$3:$A$502,0)),""))</f>
        <v/>
      </c>
      <c r="G562" s="12" t="str">
        <f aca="false">IF($C562="","",IFERROR(INDEX(고객명부!$E$3:$E$502,MATCH($C562,고객명부!$A$3:$A$502,0))&amp;" "&amp;INDEX(고객명부!$F$3:$F$502,MATCH($C562,고객명부!$A$3:$A$502,0)),""))</f>
        <v/>
      </c>
      <c r="H562" s="7"/>
      <c r="I562" s="12" t="str">
        <f aca="false">IF($H562="","",IFERROR(INDEX(상품목록!$B$3:$B$102,MATCH($H562,상품목록!$A$3:$A$102,0)),""))</f>
        <v/>
      </c>
      <c r="J562" s="14" t="str">
        <f aca="false">IF($H562="","",IFERROR(INDEX(상품목록!$C$3:$C$102,MATCH($H562,상품목록!$A$3:$A$102,0)),0))</f>
        <v/>
      </c>
      <c r="K562" s="7"/>
      <c r="L562" s="14" t="str">
        <f aca="false">IF(OR($J562="",$K562=""),"",ROUND($J562*$K562,0))</f>
        <v/>
      </c>
      <c r="M562" s="9"/>
      <c r="N562" s="14" t="str">
        <f aca="false">IF($L562="","",$L562+IF($M562="",0,$M562))</f>
        <v/>
      </c>
      <c r="O562" s="13"/>
      <c r="P562" s="7"/>
      <c r="Q562" s="12" t="str">
        <f aca="false">IF($C562="","",IF($P562&lt;&gt;"","발송완료",IF($O562&lt;&gt;"","입금완료","입금대기")))</f>
        <v/>
      </c>
      <c r="R562" s="12" t="str">
        <f aca="false">IF($C562="","",COUNTIFS($C$3:$C562,$C562))</f>
        <v/>
      </c>
      <c r="S562" s="12" t="str">
        <f aca="false">IF($C562="","",$C562&amp;"|"&amp;$R562)</f>
        <v/>
      </c>
    </row>
    <row r="563" customFormat="false" ht="15" hidden="false" customHeight="true" outlineLevel="0" collapsed="false">
      <c r="A563" s="12" t="str">
        <f aca="false">IF($C563="","",TEXT($B563,"yymmdd")&amp;"-"&amp;TEXT(COUNTIFS($B$3:$B563,$B563),"000"))</f>
        <v/>
      </c>
      <c r="B563" s="13"/>
      <c r="C563" s="7"/>
      <c r="D563" s="12" t="str">
        <f aca="false">IF($C563="","",IFERROR(INDEX(고객명부!$B$3:$B$502,MATCH($C563,고객명부!$A$3:$A$502,0)),"미등록고객"))</f>
        <v/>
      </c>
      <c r="E563" s="12" t="str">
        <f aca="false">IF($C563="","",IFERROR(INDEX(고객명부!$C$3:$C$502,MATCH($C563,고객명부!$A$3:$A$502,0)),""))</f>
        <v/>
      </c>
      <c r="F563" s="12" t="str">
        <f aca="false">IF($C563="","",IFERROR(INDEX(고객명부!$D$3:$D$502,MATCH($C563,고객명부!$A$3:$A$502,0)),""))</f>
        <v/>
      </c>
      <c r="G563" s="12" t="str">
        <f aca="false">IF($C563="","",IFERROR(INDEX(고객명부!$E$3:$E$502,MATCH($C563,고객명부!$A$3:$A$502,0))&amp;" "&amp;INDEX(고객명부!$F$3:$F$502,MATCH($C563,고객명부!$A$3:$A$502,0)),""))</f>
        <v/>
      </c>
      <c r="H563" s="7"/>
      <c r="I563" s="12" t="str">
        <f aca="false">IF($H563="","",IFERROR(INDEX(상품목록!$B$3:$B$102,MATCH($H563,상품목록!$A$3:$A$102,0)),""))</f>
        <v/>
      </c>
      <c r="J563" s="14" t="str">
        <f aca="false">IF($H563="","",IFERROR(INDEX(상품목록!$C$3:$C$102,MATCH($H563,상품목록!$A$3:$A$102,0)),0))</f>
        <v/>
      </c>
      <c r="K563" s="7"/>
      <c r="L563" s="14" t="str">
        <f aca="false">IF(OR($J563="",$K563=""),"",ROUND($J563*$K563,0))</f>
        <v/>
      </c>
      <c r="M563" s="9"/>
      <c r="N563" s="14" t="str">
        <f aca="false">IF($L563="","",$L563+IF($M563="",0,$M563))</f>
        <v/>
      </c>
      <c r="O563" s="13"/>
      <c r="P563" s="7"/>
      <c r="Q563" s="12" t="str">
        <f aca="false">IF($C563="","",IF($P563&lt;&gt;"","발송완료",IF($O563&lt;&gt;"","입금완료","입금대기")))</f>
        <v/>
      </c>
      <c r="R563" s="12" t="str">
        <f aca="false">IF($C563="","",COUNTIFS($C$3:$C563,$C563))</f>
        <v/>
      </c>
      <c r="S563" s="12" t="str">
        <f aca="false">IF($C563="","",$C563&amp;"|"&amp;$R563)</f>
        <v/>
      </c>
    </row>
    <row r="564" customFormat="false" ht="15" hidden="false" customHeight="true" outlineLevel="0" collapsed="false">
      <c r="A564" s="12" t="str">
        <f aca="false">IF($C564="","",TEXT($B564,"yymmdd")&amp;"-"&amp;TEXT(COUNTIFS($B$3:$B564,$B564),"000"))</f>
        <v/>
      </c>
      <c r="B564" s="13"/>
      <c r="C564" s="7"/>
      <c r="D564" s="12" t="str">
        <f aca="false">IF($C564="","",IFERROR(INDEX(고객명부!$B$3:$B$502,MATCH($C564,고객명부!$A$3:$A$502,0)),"미등록고객"))</f>
        <v/>
      </c>
      <c r="E564" s="12" t="str">
        <f aca="false">IF($C564="","",IFERROR(INDEX(고객명부!$C$3:$C$502,MATCH($C564,고객명부!$A$3:$A$502,0)),""))</f>
        <v/>
      </c>
      <c r="F564" s="12" t="str">
        <f aca="false">IF($C564="","",IFERROR(INDEX(고객명부!$D$3:$D$502,MATCH($C564,고객명부!$A$3:$A$502,0)),""))</f>
        <v/>
      </c>
      <c r="G564" s="12" t="str">
        <f aca="false">IF($C564="","",IFERROR(INDEX(고객명부!$E$3:$E$502,MATCH($C564,고객명부!$A$3:$A$502,0))&amp;" "&amp;INDEX(고객명부!$F$3:$F$502,MATCH($C564,고객명부!$A$3:$A$502,0)),""))</f>
        <v/>
      </c>
      <c r="H564" s="7"/>
      <c r="I564" s="12" t="str">
        <f aca="false">IF($H564="","",IFERROR(INDEX(상품목록!$B$3:$B$102,MATCH($H564,상품목록!$A$3:$A$102,0)),""))</f>
        <v/>
      </c>
      <c r="J564" s="14" t="str">
        <f aca="false">IF($H564="","",IFERROR(INDEX(상품목록!$C$3:$C$102,MATCH($H564,상품목록!$A$3:$A$102,0)),0))</f>
        <v/>
      </c>
      <c r="K564" s="7"/>
      <c r="L564" s="14" t="str">
        <f aca="false">IF(OR($J564="",$K564=""),"",ROUND($J564*$K564,0))</f>
        <v/>
      </c>
      <c r="M564" s="9"/>
      <c r="N564" s="14" t="str">
        <f aca="false">IF($L564="","",$L564+IF($M564="",0,$M564))</f>
        <v/>
      </c>
      <c r="O564" s="13"/>
      <c r="P564" s="7"/>
      <c r="Q564" s="12" t="str">
        <f aca="false">IF($C564="","",IF($P564&lt;&gt;"","발송완료",IF($O564&lt;&gt;"","입금완료","입금대기")))</f>
        <v/>
      </c>
      <c r="R564" s="12" t="str">
        <f aca="false">IF($C564="","",COUNTIFS($C$3:$C564,$C564))</f>
        <v/>
      </c>
      <c r="S564" s="12" t="str">
        <f aca="false">IF($C564="","",$C564&amp;"|"&amp;$R564)</f>
        <v/>
      </c>
    </row>
    <row r="565" customFormat="false" ht="15" hidden="false" customHeight="true" outlineLevel="0" collapsed="false">
      <c r="A565" s="12" t="str">
        <f aca="false">IF($C565="","",TEXT($B565,"yymmdd")&amp;"-"&amp;TEXT(COUNTIFS($B$3:$B565,$B565),"000"))</f>
        <v/>
      </c>
      <c r="B565" s="13"/>
      <c r="C565" s="7"/>
      <c r="D565" s="12" t="str">
        <f aca="false">IF($C565="","",IFERROR(INDEX(고객명부!$B$3:$B$502,MATCH($C565,고객명부!$A$3:$A$502,0)),"미등록고객"))</f>
        <v/>
      </c>
      <c r="E565" s="12" t="str">
        <f aca="false">IF($C565="","",IFERROR(INDEX(고객명부!$C$3:$C$502,MATCH($C565,고객명부!$A$3:$A$502,0)),""))</f>
        <v/>
      </c>
      <c r="F565" s="12" t="str">
        <f aca="false">IF($C565="","",IFERROR(INDEX(고객명부!$D$3:$D$502,MATCH($C565,고객명부!$A$3:$A$502,0)),""))</f>
        <v/>
      </c>
      <c r="G565" s="12" t="str">
        <f aca="false">IF($C565="","",IFERROR(INDEX(고객명부!$E$3:$E$502,MATCH($C565,고객명부!$A$3:$A$502,0))&amp;" "&amp;INDEX(고객명부!$F$3:$F$502,MATCH($C565,고객명부!$A$3:$A$502,0)),""))</f>
        <v/>
      </c>
      <c r="H565" s="7"/>
      <c r="I565" s="12" t="str">
        <f aca="false">IF($H565="","",IFERROR(INDEX(상품목록!$B$3:$B$102,MATCH($H565,상품목록!$A$3:$A$102,0)),""))</f>
        <v/>
      </c>
      <c r="J565" s="14" t="str">
        <f aca="false">IF($H565="","",IFERROR(INDEX(상품목록!$C$3:$C$102,MATCH($H565,상품목록!$A$3:$A$102,0)),0))</f>
        <v/>
      </c>
      <c r="K565" s="7"/>
      <c r="L565" s="14" t="str">
        <f aca="false">IF(OR($J565="",$K565=""),"",ROUND($J565*$K565,0))</f>
        <v/>
      </c>
      <c r="M565" s="9"/>
      <c r="N565" s="14" t="str">
        <f aca="false">IF($L565="","",$L565+IF($M565="",0,$M565))</f>
        <v/>
      </c>
      <c r="O565" s="13"/>
      <c r="P565" s="7"/>
      <c r="Q565" s="12" t="str">
        <f aca="false">IF($C565="","",IF($P565&lt;&gt;"","발송완료",IF($O565&lt;&gt;"","입금완료","입금대기")))</f>
        <v/>
      </c>
      <c r="R565" s="12" t="str">
        <f aca="false">IF($C565="","",COUNTIFS($C$3:$C565,$C565))</f>
        <v/>
      </c>
      <c r="S565" s="12" t="str">
        <f aca="false">IF($C565="","",$C565&amp;"|"&amp;$R565)</f>
        <v/>
      </c>
    </row>
    <row r="566" customFormat="false" ht="15" hidden="false" customHeight="true" outlineLevel="0" collapsed="false">
      <c r="A566" s="12" t="str">
        <f aca="false">IF($C566="","",TEXT($B566,"yymmdd")&amp;"-"&amp;TEXT(COUNTIFS($B$3:$B566,$B566),"000"))</f>
        <v/>
      </c>
      <c r="B566" s="13"/>
      <c r="C566" s="7"/>
      <c r="D566" s="12" t="str">
        <f aca="false">IF($C566="","",IFERROR(INDEX(고객명부!$B$3:$B$502,MATCH($C566,고객명부!$A$3:$A$502,0)),"미등록고객"))</f>
        <v/>
      </c>
      <c r="E566" s="12" t="str">
        <f aca="false">IF($C566="","",IFERROR(INDEX(고객명부!$C$3:$C$502,MATCH($C566,고객명부!$A$3:$A$502,0)),""))</f>
        <v/>
      </c>
      <c r="F566" s="12" t="str">
        <f aca="false">IF($C566="","",IFERROR(INDEX(고객명부!$D$3:$D$502,MATCH($C566,고객명부!$A$3:$A$502,0)),""))</f>
        <v/>
      </c>
      <c r="G566" s="12" t="str">
        <f aca="false">IF($C566="","",IFERROR(INDEX(고객명부!$E$3:$E$502,MATCH($C566,고객명부!$A$3:$A$502,0))&amp;" "&amp;INDEX(고객명부!$F$3:$F$502,MATCH($C566,고객명부!$A$3:$A$502,0)),""))</f>
        <v/>
      </c>
      <c r="H566" s="7"/>
      <c r="I566" s="12" t="str">
        <f aca="false">IF($H566="","",IFERROR(INDEX(상품목록!$B$3:$B$102,MATCH($H566,상품목록!$A$3:$A$102,0)),""))</f>
        <v/>
      </c>
      <c r="J566" s="14" t="str">
        <f aca="false">IF($H566="","",IFERROR(INDEX(상품목록!$C$3:$C$102,MATCH($H566,상품목록!$A$3:$A$102,0)),0))</f>
        <v/>
      </c>
      <c r="K566" s="7"/>
      <c r="L566" s="14" t="str">
        <f aca="false">IF(OR($J566="",$K566=""),"",ROUND($J566*$K566,0))</f>
        <v/>
      </c>
      <c r="M566" s="9"/>
      <c r="N566" s="14" t="str">
        <f aca="false">IF($L566="","",$L566+IF($M566="",0,$M566))</f>
        <v/>
      </c>
      <c r="O566" s="13"/>
      <c r="P566" s="7"/>
      <c r="Q566" s="12" t="str">
        <f aca="false">IF($C566="","",IF($P566&lt;&gt;"","발송완료",IF($O566&lt;&gt;"","입금완료","입금대기")))</f>
        <v/>
      </c>
      <c r="R566" s="12" t="str">
        <f aca="false">IF($C566="","",COUNTIFS($C$3:$C566,$C566))</f>
        <v/>
      </c>
      <c r="S566" s="12" t="str">
        <f aca="false">IF($C566="","",$C566&amp;"|"&amp;$R566)</f>
        <v/>
      </c>
    </row>
    <row r="567" customFormat="false" ht="15" hidden="false" customHeight="true" outlineLevel="0" collapsed="false">
      <c r="A567" s="12" t="str">
        <f aca="false">IF($C567="","",TEXT($B567,"yymmdd")&amp;"-"&amp;TEXT(COUNTIFS($B$3:$B567,$B567),"000"))</f>
        <v/>
      </c>
      <c r="B567" s="13"/>
      <c r="C567" s="7"/>
      <c r="D567" s="12" t="str">
        <f aca="false">IF($C567="","",IFERROR(INDEX(고객명부!$B$3:$B$502,MATCH($C567,고객명부!$A$3:$A$502,0)),"미등록고객"))</f>
        <v/>
      </c>
      <c r="E567" s="12" t="str">
        <f aca="false">IF($C567="","",IFERROR(INDEX(고객명부!$C$3:$C$502,MATCH($C567,고객명부!$A$3:$A$502,0)),""))</f>
        <v/>
      </c>
      <c r="F567" s="12" t="str">
        <f aca="false">IF($C567="","",IFERROR(INDEX(고객명부!$D$3:$D$502,MATCH($C567,고객명부!$A$3:$A$502,0)),""))</f>
        <v/>
      </c>
      <c r="G567" s="12" t="str">
        <f aca="false">IF($C567="","",IFERROR(INDEX(고객명부!$E$3:$E$502,MATCH($C567,고객명부!$A$3:$A$502,0))&amp;" "&amp;INDEX(고객명부!$F$3:$F$502,MATCH($C567,고객명부!$A$3:$A$502,0)),""))</f>
        <v/>
      </c>
      <c r="H567" s="7"/>
      <c r="I567" s="12" t="str">
        <f aca="false">IF($H567="","",IFERROR(INDEX(상품목록!$B$3:$B$102,MATCH($H567,상품목록!$A$3:$A$102,0)),""))</f>
        <v/>
      </c>
      <c r="J567" s="14" t="str">
        <f aca="false">IF($H567="","",IFERROR(INDEX(상품목록!$C$3:$C$102,MATCH($H567,상품목록!$A$3:$A$102,0)),0))</f>
        <v/>
      </c>
      <c r="K567" s="7"/>
      <c r="L567" s="14" t="str">
        <f aca="false">IF(OR($J567="",$K567=""),"",ROUND($J567*$K567,0))</f>
        <v/>
      </c>
      <c r="M567" s="9"/>
      <c r="N567" s="14" t="str">
        <f aca="false">IF($L567="","",$L567+IF($M567="",0,$M567))</f>
        <v/>
      </c>
      <c r="O567" s="13"/>
      <c r="P567" s="7"/>
      <c r="Q567" s="12" t="str">
        <f aca="false">IF($C567="","",IF($P567&lt;&gt;"","발송완료",IF($O567&lt;&gt;"","입금완료","입금대기")))</f>
        <v/>
      </c>
      <c r="R567" s="12" t="str">
        <f aca="false">IF($C567="","",COUNTIFS($C$3:$C567,$C567))</f>
        <v/>
      </c>
      <c r="S567" s="12" t="str">
        <f aca="false">IF($C567="","",$C567&amp;"|"&amp;$R567)</f>
        <v/>
      </c>
    </row>
    <row r="568" customFormat="false" ht="15" hidden="false" customHeight="true" outlineLevel="0" collapsed="false">
      <c r="A568" s="12" t="str">
        <f aca="false">IF($C568="","",TEXT($B568,"yymmdd")&amp;"-"&amp;TEXT(COUNTIFS($B$3:$B568,$B568),"000"))</f>
        <v/>
      </c>
      <c r="B568" s="13"/>
      <c r="C568" s="7"/>
      <c r="D568" s="12" t="str">
        <f aca="false">IF($C568="","",IFERROR(INDEX(고객명부!$B$3:$B$502,MATCH($C568,고객명부!$A$3:$A$502,0)),"미등록고객"))</f>
        <v/>
      </c>
      <c r="E568" s="12" t="str">
        <f aca="false">IF($C568="","",IFERROR(INDEX(고객명부!$C$3:$C$502,MATCH($C568,고객명부!$A$3:$A$502,0)),""))</f>
        <v/>
      </c>
      <c r="F568" s="12" t="str">
        <f aca="false">IF($C568="","",IFERROR(INDEX(고객명부!$D$3:$D$502,MATCH($C568,고객명부!$A$3:$A$502,0)),""))</f>
        <v/>
      </c>
      <c r="G568" s="12" t="str">
        <f aca="false">IF($C568="","",IFERROR(INDEX(고객명부!$E$3:$E$502,MATCH($C568,고객명부!$A$3:$A$502,0))&amp;" "&amp;INDEX(고객명부!$F$3:$F$502,MATCH($C568,고객명부!$A$3:$A$502,0)),""))</f>
        <v/>
      </c>
      <c r="H568" s="7"/>
      <c r="I568" s="12" t="str">
        <f aca="false">IF($H568="","",IFERROR(INDEX(상품목록!$B$3:$B$102,MATCH($H568,상품목록!$A$3:$A$102,0)),""))</f>
        <v/>
      </c>
      <c r="J568" s="14" t="str">
        <f aca="false">IF($H568="","",IFERROR(INDEX(상품목록!$C$3:$C$102,MATCH($H568,상품목록!$A$3:$A$102,0)),0))</f>
        <v/>
      </c>
      <c r="K568" s="7"/>
      <c r="L568" s="14" t="str">
        <f aca="false">IF(OR($J568="",$K568=""),"",ROUND($J568*$K568,0))</f>
        <v/>
      </c>
      <c r="M568" s="9"/>
      <c r="N568" s="14" t="str">
        <f aca="false">IF($L568="","",$L568+IF($M568="",0,$M568))</f>
        <v/>
      </c>
      <c r="O568" s="13"/>
      <c r="P568" s="7"/>
      <c r="Q568" s="12" t="str">
        <f aca="false">IF($C568="","",IF($P568&lt;&gt;"","발송완료",IF($O568&lt;&gt;"","입금완료","입금대기")))</f>
        <v/>
      </c>
      <c r="R568" s="12" t="str">
        <f aca="false">IF($C568="","",COUNTIFS($C$3:$C568,$C568))</f>
        <v/>
      </c>
      <c r="S568" s="12" t="str">
        <f aca="false">IF($C568="","",$C568&amp;"|"&amp;$R568)</f>
        <v/>
      </c>
    </row>
    <row r="569" customFormat="false" ht="15" hidden="false" customHeight="true" outlineLevel="0" collapsed="false">
      <c r="A569" s="12" t="str">
        <f aca="false">IF($C569="","",TEXT($B569,"yymmdd")&amp;"-"&amp;TEXT(COUNTIFS($B$3:$B569,$B569),"000"))</f>
        <v/>
      </c>
      <c r="B569" s="13"/>
      <c r="C569" s="7"/>
      <c r="D569" s="12" t="str">
        <f aca="false">IF($C569="","",IFERROR(INDEX(고객명부!$B$3:$B$502,MATCH($C569,고객명부!$A$3:$A$502,0)),"미등록고객"))</f>
        <v/>
      </c>
      <c r="E569" s="12" t="str">
        <f aca="false">IF($C569="","",IFERROR(INDEX(고객명부!$C$3:$C$502,MATCH($C569,고객명부!$A$3:$A$502,0)),""))</f>
        <v/>
      </c>
      <c r="F569" s="12" t="str">
        <f aca="false">IF($C569="","",IFERROR(INDEX(고객명부!$D$3:$D$502,MATCH($C569,고객명부!$A$3:$A$502,0)),""))</f>
        <v/>
      </c>
      <c r="G569" s="12" t="str">
        <f aca="false">IF($C569="","",IFERROR(INDEX(고객명부!$E$3:$E$502,MATCH($C569,고객명부!$A$3:$A$502,0))&amp;" "&amp;INDEX(고객명부!$F$3:$F$502,MATCH($C569,고객명부!$A$3:$A$502,0)),""))</f>
        <v/>
      </c>
      <c r="H569" s="7"/>
      <c r="I569" s="12" t="str">
        <f aca="false">IF($H569="","",IFERROR(INDEX(상품목록!$B$3:$B$102,MATCH($H569,상품목록!$A$3:$A$102,0)),""))</f>
        <v/>
      </c>
      <c r="J569" s="14" t="str">
        <f aca="false">IF($H569="","",IFERROR(INDEX(상품목록!$C$3:$C$102,MATCH($H569,상품목록!$A$3:$A$102,0)),0))</f>
        <v/>
      </c>
      <c r="K569" s="7"/>
      <c r="L569" s="14" t="str">
        <f aca="false">IF(OR($J569="",$K569=""),"",ROUND($J569*$K569,0))</f>
        <v/>
      </c>
      <c r="M569" s="9"/>
      <c r="N569" s="14" t="str">
        <f aca="false">IF($L569="","",$L569+IF($M569="",0,$M569))</f>
        <v/>
      </c>
      <c r="O569" s="13"/>
      <c r="P569" s="7"/>
      <c r="Q569" s="12" t="str">
        <f aca="false">IF($C569="","",IF($P569&lt;&gt;"","발송완료",IF($O569&lt;&gt;"","입금완료","입금대기")))</f>
        <v/>
      </c>
      <c r="R569" s="12" t="str">
        <f aca="false">IF($C569="","",COUNTIFS($C$3:$C569,$C569))</f>
        <v/>
      </c>
      <c r="S569" s="12" t="str">
        <f aca="false">IF($C569="","",$C569&amp;"|"&amp;$R569)</f>
        <v/>
      </c>
    </row>
    <row r="570" customFormat="false" ht="15" hidden="false" customHeight="true" outlineLevel="0" collapsed="false">
      <c r="A570" s="12" t="str">
        <f aca="false">IF($C570="","",TEXT($B570,"yymmdd")&amp;"-"&amp;TEXT(COUNTIFS($B$3:$B570,$B570),"000"))</f>
        <v/>
      </c>
      <c r="B570" s="13"/>
      <c r="C570" s="7"/>
      <c r="D570" s="12" t="str">
        <f aca="false">IF($C570="","",IFERROR(INDEX(고객명부!$B$3:$B$502,MATCH($C570,고객명부!$A$3:$A$502,0)),"미등록고객"))</f>
        <v/>
      </c>
      <c r="E570" s="12" t="str">
        <f aca="false">IF($C570="","",IFERROR(INDEX(고객명부!$C$3:$C$502,MATCH($C570,고객명부!$A$3:$A$502,0)),""))</f>
        <v/>
      </c>
      <c r="F570" s="12" t="str">
        <f aca="false">IF($C570="","",IFERROR(INDEX(고객명부!$D$3:$D$502,MATCH($C570,고객명부!$A$3:$A$502,0)),""))</f>
        <v/>
      </c>
      <c r="G570" s="12" t="str">
        <f aca="false">IF($C570="","",IFERROR(INDEX(고객명부!$E$3:$E$502,MATCH($C570,고객명부!$A$3:$A$502,0))&amp;" "&amp;INDEX(고객명부!$F$3:$F$502,MATCH($C570,고객명부!$A$3:$A$502,0)),""))</f>
        <v/>
      </c>
      <c r="H570" s="7"/>
      <c r="I570" s="12" t="str">
        <f aca="false">IF($H570="","",IFERROR(INDEX(상품목록!$B$3:$B$102,MATCH($H570,상품목록!$A$3:$A$102,0)),""))</f>
        <v/>
      </c>
      <c r="J570" s="14" t="str">
        <f aca="false">IF($H570="","",IFERROR(INDEX(상품목록!$C$3:$C$102,MATCH($H570,상품목록!$A$3:$A$102,0)),0))</f>
        <v/>
      </c>
      <c r="K570" s="7"/>
      <c r="L570" s="14" t="str">
        <f aca="false">IF(OR($J570="",$K570=""),"",ROUND($J570*$K570,0))</f>
        <v/>
      </c>
      <c r="M570" s="9"/>
      <c r="N570" s="14" t="str">
        <f aca="false">IF($L570="","",$L570+IF($M570="",0,$M570))</f>
        <v/>
      </c>
      <c r="O570" s="13"/>
      <c r="P570" s="7"/>
      <c r="Q570" s="12" t="str">
        <f aca="false">IF($C570="","",IF($P570&lt;&gt;"","발송완료",IF($O570&lt;&gt;"","입금완료","입금대기")))</f>
        <v/>
      </c>
      <c r="R570" s="12" t="str">
        <f aca="false">IF($C570="","",COUNTIFS($C$3:$C570,$C570))</f>
        <v/>
      </c>
      <c r="S570" s="12" t="str">
        <f aca="false">IF($C570="","",$C570&amp;"|"&amp;$R570)</f>
        <v/>
      </c>
    </row>
    <row r="571" customFormat="false" ht="15" hidden="false" customHeight="true" outlineLevel="0" collapsed="false">
      <c r="A571" s="12" t="str">
        <f aca="false">IF($C571="","",TEXT($B571,"yymmdd")&amp;"-"&amp;TEXT(COUNTIFS($B$3:$B571,$B571),"000"))</f>
        <v/>
      </c>
      <c r="B571" s="13"/>
      <c r="C571" s="7"/>
      <c r="D571" s="12" t="str">
        <f aca="false">IF($C571="","",IFERROR(INDEX(고객명부!$B$3:$B$502,MATCH($C571,고객명부!$A$3:$A$502,0)),"미등록고객"))</f>
        <v/>
      </c>
      <c r="E571" s="12" t="str">
        <f aca="false">IF($C571="","",IFERROR(INDEX(고객명부!$C$3:$C$502,MATCH($C571,고객명부!$A$3:$A$502,0)),""))</f>
        <v/>
      </c>
      <c r="F571" s="12" t="str">
        <f aca="false">IF($C571="","",IFERROR(INDEX(고객명부!$D$3:$D$502,MATCH($C571,고객명부!$A$3:$A$502,0)),""))</f>
        <v/>
      </c>
      <c r="G571" s="12" t="str">
        <f aca="false">IF($C571="","",IFERROR(INDEX(고객명부!$E$3:$E$502,MATCH($C571,고객명부!$A$3:$A$502,0))&amp;" "&amp;INDEX(고객명부!$F$3:$F$502,MATCH($C571,고객명부!$A$3:$A$502,0)),""))</f>
        <v/>
      </c>
      <c r="H571" s="7"/>
      <c r="I571" s="12" t="str">
        <f aca="false">IF($H571="","",IFERROR(INDEX(상품목록!$B$3:$B$102,MATCH($H571,상품목록!$A$3:$A$102,0)),""))</f>
        <v/>
      </c>
      <c r="J571" s="14" t="str">
        <f aca="false">IF($H571="","",IFERROR(INDEX(상품목록!$C$3:$C$102,MATCH($H571,상품목록!$A$3:$A$102,0)),0))</f>
        <v/>
      </c>
      <c r="K571" s="7"/>
      <c r="L571" s="14" t="str">
        <f aca="false">IF(OR($J571="",$K571=""),"",ROUND($J571*$K571,0))</f>
        <v/>
      </c>
      <c r="M571" s="9"/>
      <c r="N571" s="14" t="str">
        <f aca="false">IF($L571="","",$L571+IF($M571="",0,$M571))</f>
        <v/>
      </c>
      <c r="O571" s="13"/>
      <c r="P571" s="7"/>
      <c r="Q571" s="12" t="str">
        <f aca="false">IF($C571="","",IF($P571&lt;&gt;"","발송완료",IF($O571&lt;&gt;"","입금완료","입금대기")))</f>
        <v/>
      </c>
      <c r="R571" s="12" t="str">
        <f aca="false">IF($C571="","",COUNTIFS($C$3:$C571,$C571))</f>
        <v/>
      </c>
      <c r="S571" s="12" t="str">
        <f aca="false">IF($C571="","",$C571&amp;"|"&amp;$R571)</f>
        <v/>
      </c>
    </row>
    <row r="572" customFormat="false" ht="15" hidden="false" customHeight="true" outlineLevel="0" collapsed="false">
      <c r="A572" s="12" t="str">
        <f aca="false">IF($C572="","",TEXT($B572,"yymmdd")&amp;"-"&amp;TEXT(COUNTIFS($B$3:$B572,$B572),"000"))</f>
        <v/>
      </c>
      <c r="B572" s="13"/>
      <c r="C572" s="7"/>
      <c r="D572" s="12" t="str">
        <f aca="false">IF($C572="","",IFERROR(INDEX(고객명부!$B$3:$B$502,MATCH($C572,고객명부!$A$3:$A$502,0)),"미등록고객"))</f>
        <v/>
      </c>
      <c r="E572" s="12" t="str">
        <f aca="false">IF($C572="","",IFERROR(INDEX(고객명부!$C$3:$C$502,MATCH($C572,고객명부!$A$3:$A$502,0)),""))</f>
        <v/>
      </c>
      <c r="F572" s="12" t="str">
        <f aca="false">IF($C572="","",IFERROR(INDEX(고객명부!$D$3:$D$502,MATCH($C572,고객명부!$A$3:$A$502,0)),""))</f>
        <v/>
      </c>
      <c r="G572" s="12" t="str">
        <f aca="false">IF($C572="","",IFERROR(INDEX(고객명부!$E$3:$E$502,MATCH($C572,고객명부!$A$3:$A$502,0))&amp;" "&amp;INDEX(고객명부!$F$3:$F$502,MATCH($C572,고객명부!$A$3:$A$502,0)),""))</f>
        <v/>
      </c>
      <c r="H572" s="7"/>
      <c r="I572" s="12" t="str">
        <f aca="false">IF($H572="","",IFERROR(INDEX(상품목록!$B$3:$B$102,MATCH($H572,상품목록!$A$3:$A$102,0)),""))</f>
        <v/>
      </c>
      <c r="J572" s="14" t="str">
        <f aca="false">IF($H572="","",IFERROR(INDEX(상품목록!$C$3:$C$102,MATCH($H572,상품목록!$A$3:$A$102,0)),0))</f>
        <v/>
      </c>
      <c r="K572" s="7"/>
      <c r="L572" s="14" t="str">
        <f aca="false">IF(OR($J572="",$K572=""),"",ROUND($J572*$K572,0))</f>
        <v/>
      </c>
      <c r="M572" s="9"/>
      <c r="N572" s="14" t="str">
        <f aca="false">IF($L572="","",$L572+IF($M572="",0,$M572))</f>
        <v/>
      </c>
      <c r="O572" s="13"/>
      <c r="P572" s="7"/>
      <c r="Q572" s="12" t="str">
        <f aca="false">IF($C572="","",IF($P572&lt;&gt;"","발송완료",IF($O572&lt;&gt;"","입금완료","입금대기")))</f>
        <v/>
      </c>
      <c r="R572" s="12" t="str">
        <f aca="false">IF($C572="","",COUNTIFS($C$3:$C572,$C572))</f>
        <v/>
      </c>
      <c r="S572" s="12" t="str">
        <f aca="false">IF($C572="","",$C572&amp;"|"&amp;$R572)</f>
        <v/>
      </c>
    </row>
    <row r="573" customFormat="false" ht="15" hidden="false" customHeight="true" outlineLevel="0" collapsed="false">
      <c r="A573" s="12" t="str">
        <f aca="false">IF($C573="","",TEXT($B573,"yymmdd")&amp;"-"&amp;TEXT(COUNTIFS($B$3:$B573,$B573),"000"))</f>
        <v/>
      </c>
      <c r="B573" s="13"/>
      <c r="C573" s="7"/>
      <c r="D573" s="12" t="str">
        <f aca="false">IF($C573="","",IFERROR(INDEX(고객명부!$B$3:$B$502,MATCH($C573,고객명부!$A$3:$A$502,0)),"미등록고객"))</f>
        <v/>
      </c>
      <c r="E573" s="12" t="str">
        <f aca="false">IF($C573="","",IFERROR(INDEX(고객명부!$C$3:$C$502,MATCH($C573,고객명부!$A$3:$A$502,0)),""))</f>
        <v/>
      </c>
      <c r="F573" s="12" t="str">
        <f aca="false">IF($C573="","",IFERROR(INDEX(고객명부!$D$3:$D$502,MATCH($C573,고객명부!$A$3:$A$502,0)),""))</f>
        <v/>
      </c>
      <c r="G573" s="12" t="str">
        <f aca="false">IF($C573="","",IFERROR(INDEX(고객명부!$E$3:$E$502,MATCH($C573,고객명부!$A$3:$A$502,0))&amp;" "&amp;INDEX(고객명부!$F$3:$F$502,MATCH($C573,고객명부!$A$3:$A$502,0)),""))</f>
        <v/>
      </c>
      <c r="H573" s="7"/>
      <c r="I573" s="12" t="str">
        <f aca="false">IF($H573="","",IFERROR(INDEX(상품목록!$B$3:$B$102,MATCH($H573,상품목록!$A$3:$A$102,0)),""))</f>
        <v/>
      </c>
      <c r="J573" s="14" t="str">
        <f aca="false">IF($H573="","",IFERROR(INDEX(상품목록!$C$3:$C$102,MATCH($H573,상품목록!$A$3:$A$102,0)),0))</f>
        <v/>
      </c>
      <c r="K573" s="7"/>
      <c r="L573" s="14" t="str">
        <f aca="false">IF(OR($J573="",$K573=""),"",ROUND($J573*$K573,0))</f>
        <v/>
      </c>
      <c r="M573" s="9"/>
      <c r="N573" s="14" t="str">
        <f aca="false">IF($L573="","",$L573+IF($M573="",0,$M573))</f>
        <v/>
      </c>
      <c r="O573" s="13"/>
      <c r="P573" s="7"/>
      <c r="Q573" s="12" t="str">
        <f aca="false">IF($C573="","",IF($P573&lt;&gt;"","발송완료",IF($O573&lt;&gt;"","입금완료","입금대기")))</f>
        <v/>
      </c>
      <c r="R573" s="12" t="str">
        <f aca="false">IF($C573="","",COUNTIFS($C$3:$C573,$C573))</f>
        <v/>
      </c>
      <c r="S573" s="12" t="str">
        <f aca="false">IF($C573="","",$C573&amp;"|"&amp;$R573)</f>
        <v/>
      </c>
    </row>
    <row r="574" customFormat="false" ht="15" hidden="false" customHeight="true" outlineLevel="0" collapsed="false">
      <c r="A574" s="12" t="str">
        <f aca="false">IF($C574="","",TEXT($B574,"yymmdd")&amp;"-"&amp;TEXT(COUNTIFS($B$3:$B574,$B574),"000"))</f>
        <v/>
      </c>
      <c r="B574" s="13"/>
      <c r="C574" s="7"/>
      <c r="D574" s="12" t="str">
        <f aca="false">IF($C574="","",IFERROR(INDEX(고객명부!$B$3:$B$502,MATCH($C574,고객명부!$A$3:$A$502,0)),"미등록고객"))</f>
        <v/>
      </c>
      <c r="E574" s="12" t="str">
        <f aca="false">IF($C574="","",IFERROR(INDEX(고객명부!$C$3:$C$502,MATCH($C574,고객명부!$A$3:$A$502,0)),""))</f>
        <v/>
      </c>
      <c r="F574" s="12" t="str">
        <f aca="false">IF($C574="","",IFERROR(INDEX(고객명부!$D$3:$D$502,MATCH($C574,고객명부!$A$3:$A$502,0)),""))</f>
        <v/>
      </c>
      <c r="G574" s="12" t="str">
        <f aca="false">IF($C574="","",IFERROR(INDEX(고객명부!$E$3:$E$502,MATCH($C574,고객명부!$A$3:$A$502,0))&amp;" "&amp;INDEX(고객명부!$F$3:$F$502,MATCH($C574,고객명부!$A$3:$A$502,0)),""))</f>
        <v/>
      </c>
      <c r="H574" s="7"/>
      <c r="I574" s="12" t="str">
        <f aca="false">IF($H574="","",IFERROR(INDEX(상품목록!$B$3:$B$102,MATCH($H574,상품목록!$A$3:$A$102,0)),""))</f>
        <v/>
      </c>
      <c r="J574" s="14" t="str">
        <f aca="false">IF($H574="","",IFERROR(INDEX(상품목록!$C$3:$C$102,MATCH($H574,상품목록!$A$3:$A$102,0)),0))</f>
        <v/>
      </c>
      <c r="K574" s="7"/>
      <c r="L574" s="14" t="str">
        <f aca="false">IF(OR($J574="",$K574=""),"",ROUND($J574*$K574,0))</f>
        <v/>
      </c>
      <c r="M574" s="9"/>
      <c r="N574" s="14" t="str">
        <f aca="false">IF($L574="","",$L574+IF($M574="",0,$M574))</f>
        <v/>
      </c>
      <c r="O574" s="13"/>
      <c r="P574" s="7"/>
      <c r="Q574" s="12" t="str">
        <f aca="false">IF($C574="","",IF($P574&lt;&gt;"","발송완료",IF($O574&lt;&gt;"","입금완료","입금대기")))</f>
        <v/>
      </c>
      <c r="R574" s="12" t="str">
        <f aca="false">IF($C574="","",COUNTIFS($C$3:$C574,$C574))</f>
        <v/>
      </c>
      <c r="S574" s="12" t="str">
        <f aca="false">IF($C574="","",$C574&amp;"|"&amp;$R574)</f>
        <v/>
      </c>
    </row>
    <row r="575" customFormat="false" ht="15" hidden="false" customHeight="true" outlineLevel="0" collapsed="false">
      <c r="A575" s="12" t="str">
        <f aca="false">IF($C575="","",TEXT($B575,"yymmdd")&amp;"-"&amp;TEXT(COUNTIFS($B$3:$B575,$B575),"000"))</f>
        <v/>
      </c>
      <c r="B575" s="13"/>
      <c r="C575" s="7"/>
      <c r="D575" s="12" t="str">
        <f aca="false">IF($C575="","",IFERROR(INDEX(고객명부!$B$3:$B$502,MATCH($C575,고객명부!$A$3:$A$502,0)),"미등록고객"))</f>
        <v/>
      </c>
      <c r="E575" s="12" t="str">
        <f aca="false">IF($C575="","",IFERROR(INDEX(고객명부!$C$3:$C$502,MATCH($C575,고객명부!$A$3:$A$502,0)),""))</f>
        <v/>
      </c>
      <c r="F575" s="12" t="str">
        <f aca="false">IF($C575="","",IFERROR(INDEX(고객명부!$D$3:$D$502,MATCH($C575,고객명부!$A$3:$A$502,0)),""))</f>
        <v/>
      </c>
      <c r="G575" s="12" t="str">
        <f aca="false">IF($C575="","",IFERROR(INDEX(고객명부!$E$3:$E$502,MATCH($C575,고객명부!$A$3:$A$502,0))&amp;" "&amp;INDEX(고객명부!$F$3:$F$502,MATCH($C575,고객명부!$A$3:$A$502,0)),""))</f>
        <v/>
      </c>
      <c r="H575" s="7"/>
      <c r="I575" s="12" t="str">
        <f aca="false">IF($H575="","",IFERROR(INDEX(상품목록!$B$3:$B$102,MATCH($H575,상품목록!$A$3:$A$102,0)),""))</f>
        <v/>
      </c>
      <c r="J575" s="14" t="str">
        <f aca="false">IF($H575="","",IFERROR(INDEX(상품목록!$C$3:$C$102,MATCH($H575,상품목록!$A$3:$A$102,0)),0))</f>
        <v/>
      </c>
      <c r="K575" s="7"/>
      <c r="L575" s="14" t="str">
        <f aca="false">IF(OR($J575="",$K575=""),"",ROUND($J575*$K575,0))</f>
        <v/>
      </c>
      <c r="M575" s="9"/>
      <c r="N575" s="14" t="str">
        <f aca="false">IF($L575="","",$L575+IF($M575="",0,$M575))</f>
        <v/>
      </c>
      <c r="O575" s="13"/>
      <c r="P575" s="7"/>
      <c r="Q575" s="12" t="str">
        <f aca="false">IF($C575="","",IF($P575&lt;&gt;"","발송완료",IF($O575&lt;&gt;"","입금완료","입금대기")))</f>
        <v/>
      </c>
      <c r="R575" s="12" t="str">
        <f aca="false">IF($C575="","",COUNTIFS($C$3:$C575,$C575))</f>
        <v/>
      </c>
      <c r="S575" s="12" t="str">
        <f aca="false">IF($C575="","",$C575&amp;"|"&amp;$R575)</f>
        <v/>
      </c>
    </row>
    <row r="576" customFormat="false" ht="15" hidden="false" customHeight="true" outlineLevel="0" collapsed="false">
      <c r="A576" s="12" t="str">
        <f aca="false">IF($C576="","",TEXT($B576,"yymmdd")&amp;"-"&amp;TEXT(COUNTIFS($B$3:$B576,$B576),"000"))</f>
        <v/>
      </c>
      <c r="B576" s="13"/>
      <c r="C576" s="7"/>
      <c r="D576" s="12" t="str">
        <f aca="false">IF($C576="","",IFERROR(INDEX(고객명부!$B$3:$B$502,MATCH($C576,고객명부!$A$3:$A$502,0)),"미등록고객"))</f>
        <v/>
      </c>
      <c r="E576" s="12" t="str">
        <f aca="false">IF($C576="","",IFERROR(INDEX(고객명부!$C$3:$C$502,MATCH($C576,고객명부!$A$3:$A$502,0)),""))</f>
        <v/>
      </c>
      <c r="F576" s="12" t="str">
        <f aca="false">IF($C576="","",IFERROR(INDEX(고객명부!$D$3:$D$502,MATCH($C576,고객명부!$A$3:$A$502,0)),""))</f>
        <v/>
      </c>
      <c r="G576" s="12" t="str">
        <f aca="false">IF($C576="","",IFERROR(INDEX(고객명부!$E$3:$E$502,MATCH($C576,고객명부!$A$3:$A$502,0))&amp;" "&amp;INDEX(고객명부!$F$3:$F$502,MATCH($C576,고객명부!$A$3:$A$502,0)),""))</f>
        <v/>
      </c>
      <c r="H576" s="7"/>
      <c r="I576" s="12" t="str">
        <f aca="false">IF($H576="","",IFERROR(INDEX(상품목록!$B$3:$B$102,MATCH($H576,상품목록!$A$3:$A$102,0)),""))</f>
        <v/>
      </c>
      <c r="J576" s="14" t="str">
        <f aca="false">IF($H576="","",IFERROR(INDEX(상품목록!$C$3:$C$102,MATCH($H576,상품목록!$A$3:$A$102,0)),0))</f>
        <v/>
      </c>
      <c r="K576" s="7"/>
      <c r="L576" s="14" t="str">
        <f aca="false">IF(OR($J576="",$K576=""),"",ROUND($J576*$K576,0))</f>
        <v/>
      </c>
      <c r="M576" s="9"/>
      <c r="N576" s="14" t="str">
        <f aca="false">IF($L576="","",$L576+IF($M576="",0,$M576))</f>
        <v/>
      </c>
      <c r="O576" s="13"/>
      <c r="P576" s="7"/>
      <c r="Q576" s="12" t="str">
        <f aca="false">IF($C576="","",IF($P576&lt;&gt;"","발송완료",IF($O576&lt;&gt;"","입금완료","입금대기")))</f>
        <v/>
      </c>
      <c r="R576" s="12" t="str">
        <f aca="false">IF($C576="","",COUNTIFS($C$3:$C576,$C576))</f>
        <v/>
      </c>
      <c r="S576" s="12" t="str">
        <f aca="false">IF($C576="","",$C576&amp;"|"&amp;$R576)</f>
        <v/>
      </c>
    </row>
    <row r="577" customFormat="false" ht="15" hidden="false" customHeight="true" outlineLevel="0" collapsed="false">
      <c r="A577" s="12" t="str">
        <f aca="false">IF($C577="","",TEXT($B577,"yymmdd")&amp;"-"&amp;TEXT(COUNTIFS($B$3:$B577,$B577),"000"))</f>
        <v/>
      </c>
      <c r="B577" s="13"/>
      <c r="C577" s="7"/>
      <c r="D577" s="12" t="str">
        <f aca="false">IF($C577="","",IFERROR(INDEX(고객명부!$B$3:$B$502,MATCH($C577,고객명부!$A$3:$A$502,0)),"미등록고객"))</f>
        <v/>
      </c>
      <c r="E577" s="12" t="str">
        <f aca="false">IF($C577="","",IFERROR(INDEX(고객명부!$C$3:$C$502,MATCH($C577,고객명부!$A$3:$A$502,0)),""))</f>
        <v/>
      </c>
      <c r="F577" s="12" t="str">
        <f aca="false">IF($C577="","",IFERROR(INDEX(고객명부!$D$3:$D$502,MATCH($C577,고객명부!$A$3:$A$502,0)),""))</f>
        <v/>
      </c>
      <c r="G577" s="12" t="str">
        <f aca="false">IF($C577="","",IFERROR(INDEX(고객명부!$E$3:$E$502,MATCH($C577,고객명부!$A$3:$A$502,0))&amp;" "&amp;INDEX(고객명부!$F$3:$F$502,MATCH($C577,고객명부!$A$3:$A$502,0)),""))</f>
        <v/>
      </c>
      <c r="H577" s="7"/>
      <c r="I577" s="12" t="str">
        <f aca="false">IF($H577="","",IFERROR(INDEX(상품목록!$B$3:$B$102,MATCH($H577,상품목록!$A$3:$A$102,0)),""))</f>
        <v/>
      </c>
      <c r="J577" s="14" t="str">
        <f aca="false">IF($H577="","",IFERROR(INDEX(상품목록!$C$3:$C$102,MATCH($H577,상품목록!$A$3:$A$102,0)),0))</f>
        <v/>
      </c>
      <c r="K577" s="7"/>
      <c r="L577" s="14" t="str">
        <f aca="false">IF(OR($J577="",$K577=""),"",ROUND($J577*$K577,0))</f>
        <v/>
      </c>
      <c r="M577" s="9"/>
      <c r="N577" s="14" t="str">
        <f aca="false">IF($L577="","",$L577+IF($M577="",0,$M577))</f>
        <v/>
      </c>
      <c r="O577" s="13"/>
      <c r="P577" s="7"/>
      <c r="Q577" s="12" t="str">
        <f aca="false">IF($C577="","",IF($P577&lt;&gt;"","발송완료",IF($O577&lt;&gt;"","입금완료","입금대기")))</f>
        <v/>
      </c>
      <c r="R577" s="12" t="str">
        <f aca="false">IF($C577="","",COUNTIFS($C$3:$C577,$C577))</f>
        <v/>
      </c>
      <c r="S577" s="12" t="str">
        <f aca="false">IF($C577="","",$C577&amp;"|"&amp;$R577)</f>
        <v/>
      </c>
    </row>
    <row r="578" customFormat="false" ht="15" hidden="false" customHeight="true" outlineLevel="0" collapsed="false">
      <c r="A578" s="12" t="str">
        <f aca="false">IF($C578="","",TEXT($B578,"yymmdd")&amp;"-"&amp;TEXT(COUNTIFS($B$3:$B578,$B578),"000"))</f>
        <v/>
      </c>
      <c r="B578" s="13"/>
      <c r="C578" s="7"/>
      <c r="D578" s="12" t="str">
        <f aca="false">IF($C578="","",IFERROR(INDEX(고객명부!$B$3:$B$502,MATCH($C578,고객명부!$A$3:$A$502,0)),"미등록고객"))</f>
        <v/>
      </c>
      <c r="E578" s="12" t="str">
        <f aca="false">IF($C578="","",IFERROR(INDEX(고객명부!$C$3:$C$502,MATCH($C578,고객명부!$A$3:$A$502,0)),""))</f>
        <v/>
      </c>
      <c r="F578" s="12" t="str">
        <f aca="false">IF($C578="","",IFERROR(INDEX(고객명부!$D$3:$D$502,MATCH($C578,고객명부!$A$3:$A$502,0)),""))</f>
        <v/>
      </c>
      <c r="G578" s="12" t="str">
        <f aca="false">IF($C578="","",IFERROR(INDEX(고객명부!$E$3:$E$502,MATCH($C578,고객명부!$A$3:$A$502,0))&amp;" "&amp;INDEX(고객명부!$F$3:$F$502,MATCH($C578,고객명부!$A$3:$A$502,0)),""))</f>
        <v/>
      </c>
      <c r="H578" s="7"/>
      <c r="I578" s="12" t="str">
        <f aca="false">IF($H578="","",IFERROR(INDEX(상품목록!$B$3:$B$102,MATCH($H578,상품목록!$A$3:$A$102,0)),""))</f>
        <v/>
      </c>
      <c r="J578" s="14" t="str">
        <f aca="false">IF($H578="","",IFERROR(INDEX(상품목록!$C$3:$C$102,MATCH($H578,상품목록!$A$3:$A$102,0)),0))</f>
        <v/>
      </c>
      <c r="K578" s="7"/>
      <c r="L578" s="14" t="str">
        <f aca="false">IF(OR($J578="",$K578=""),"",ROUND($J578*$K578,0))</f>
        <v/>
      </c>
      <c r="M578" s="9"/>
      <c r="N578" s="14" t="str">
        <f aca="false">IF($L578="","",$L578+IF($M578="",0,$M578))</f>
        <v/>
      </c>
      <c r="O578" s="13"/>
      <c r="P578" s="7"/>
      <c r="Q578" s="12" t="str">
        <f aca="false">IF($C578="","",IF($P578&lt;&gt;"","발송완료",IF($O578&lt;&gt;"","입금완료","입금대기")))</f>
        <v/>
      </c>
      <c r="R578" s="12" t="str">
        <f aca="false">IF($C578="","",COUNTIFS($C$3:$C578,$C578))</f>
        <v/>
      </c>
      <c r="S578" s="12" t="str">
        <f aca="false">IF($C578="","",$C578&amp;"|"&amp;$R578)</f>
        <v/>
      </c>
    </row>
    <row r="579" customFormat="false" ht="15" hidden="false" customHeight="true" outlineLevel="0" collapsed="false">
      <c r="A579" s="12" t="str">
        <f aca="false">IF($C579="","",TEXT($B579,"yymmdd")&amp;"-"&amp;TEXT(COUNTIFS($B$3:$B579,$B579),"000"))</f>
        <v/>
      </c>
      <c r="B579" s="13"/>
      <c r="C579" s="7"/>
      <c r="D579" s="12" t="str">
        <f aca="false">IF($C579="","",IFERROR(INDEX(고객명부!$B$3:$B$502,MATCH($C579,고객명부!$A$3:$A$502,0)),"미등록고객"))</f>
        <v/>
      </c>
      <c r="E579" s="12" t="str">
        <f aca="false">IF($C579="","",IFERROR(INDEX(고객명부!$C$3:$C$502,MATCH($C579,고객명부!$A$3:$A$502,0)),""))</f>
        <v/>
      </c>
      <c r="F579" s="12" t="str">
        <f aca="false">IF($C579="","",IFERROR(INDEX(고객명부!$D$3:$D$502,MATCH($C579,고객명부!$A$3:$A$502,0)),""))</f>
        <v/>
      </c>
      <c r="G579" s="12" t="str">
        <f aca="false">IF($C579="","",IFERROR(INDEX(고객명부!$E$3:$E$502,MATCH($C579,고객명부!$A$3:$A$502,0))&amp;" "&amp;INDEX(고객명부!$F$3:$F$502,MATCH($C579,고객명부!$A$3:$A$502,0)),""))</f>
        <v/>
      </c>
      <c r="H579" s="7"/>
      <c r="I579" s="12" t="str">
        <f aca="false">IF($H579="","",IFERROR(INDEX(상품목록!$B$3:$B$102,MATCH($H579,상품목록!$A$3:$A$102,0)),""))</f>
        <v/>
      </c>
      <c r="J579" s="14" t="str">
        <f aca="false">IF($H579="","",IFERROR(INDEX(상품목록!$C$3:$C$102,MATCH($H579,상품목록!$A$3:$A$102,0)),0))</f>
        <v/>
      </c>
      <c r="K579" s="7"/>
      <c r="L579" s="14" t="str">
        <f aca="false">IF(OR($J579="",$K579=""),"",ROUND($J579*$K579,0))</f>
        <v/>
      </c>
      <c r="M579" s="9"/>
      <c r="N579" s="14" t="str">
        <f aca="false">IF($L579="","",$L579+IF($M579="",0,$M579))</f>
        <v/>
      </c>
      <c r="O579" s="13"/>
      <c r="P579" s="7"/>
      <c r="Q579" s="12" t="str">
        <f aca="false">IF($C579="","",IF($P579&lt;&gt;"","발송완료",IF($O579&lt;&gt;"","입금완료","입금대기")))</f>
        <v/>
      </c>
      <c r="R579" s="12" t="str">
        <f aca="false">IF($C579="","",COUNTIFS($C$3:$C579,$C579))</f>
        <v/>
      </c>
      <c r="S579" s="12" t="str">
        <f aca="false">IF($C579="","",$C579&amp;"|"&amp;$R579)</f>
        <v/>
      </c>
    </row>
    <row r="580" customFormat="false" ht="15" hidden="false" customHeight="true" outlineLevel="0" collapsed="false">
      <c r="A580" s="12" t="str">
        <f aca="false">IF($C580="","",TEXT($B580,"yymmdd")&amp;"-"&amp;TEXT(COUNTIFS($B$3:$B580,$B580),"000"))</f>
        <v/>
      </c>
      <c r="B580" s="13"/>
      <c r="C580" s="7"/>
      <c r="D580" s="12" t="str">
        <f aca="false">IF($C580="","",IFERROR(INDEX(고객명부!$B$3:$B$502,MATCH($C580,고객명부!$A$3:$A$502,0)),"미등록고객"))</f>
        <v/>
      </c>
      <c r="E580" s="12" t="str">
        <f aca="false">IF($C580="","",IFERROR(INDEX(고객명부!$C$3:$C$502,MATCH($C580,고객명부!$A$3:$A$502,0)),""))</f>
        <v/>
      </c>
      <c r="F580" s="12" t="str">
        <f aca="false">IF($C580="","",IFERROR(INDEX(고객명부!$D$3:$D$502,MATCH($C580,고객명부!$A$3:$A$502,0)),""))</f>
        <v/>
      </c>
      <c r="G580" s="12" t="str">
        <f aca="false">IF($C580="","",IFERROR(INDEX(고객명부!$E$3:$E$502,MATCH($C580,고객명부!$A$3:$A$502,0))&amp;" "&amp;INDEX(고객명부!$F$3:$F$502,MATCH($C580,고객명부!$A$3:$A$502,0)),""))</f>
        <v/>
      </c>
      <c r="H580" s="7"/>
      <c r="I580" s="12" t="str">
        <f aca="false">IF($H580="","",IFERROR(INDEX(상품목록!$B$3:$B$102,MATCH($H580,상품목록!$A$3:$A$102,0)),""))</f>
        <v/>
      </c>
      <c r="J580" s="14" t="str">
        <f aca="false">IF($H580="","",IFERROR(INDEX(상품목록!$C$3:$C$102,MATCH($H580,상품목록!$A$3:$A$102,0)),0))</f>
        <v/>
      </c>
      <c r="K580" s="7"/>
      <c r="L580" s="14" t="str">
        <f aca="false">IF(OR($J580="",$K580=""),"",ROUND($J580*$K580,0))</f>
        <v/>
      </c>
      <c r="M580" s="9"/>
      <c r="N580" s="14" t="str">
        <f aca="false">IF($L580="","",$L580+IF($M580="",0,$M580))</f>
        <v/>
      </c>
      <c r="O580" s="13"/>
      <c r="P580" s="7"/>
      <c r="Q580" s="12" t="str">
        <f aca="false">IF($C580="","",IF($P580&lt;&gt;"","발송완료",IF($O580&lt;&gt;"","입금완료","입금대기")))</f>
        <v/>
      </c>
      <c r="R580" s="12" t="str">
        <f aca="false">IF($C580="","",COUNTIFS($C$3:$C580,$C580))</f>
        <v/>
      </c>
      <c r="S580" s="12" t="str">
        <f aca="false">IF($C580="","",$C580&amp;"|"&amp;$R580)</f>
        <v/>
      </c>
    </row>
    <row r="581" customFormat="false" ht="15" hidden="false" customHeight="true" outlineLevel="0" collapsed="false">
      <c r="A581" s="12" t="str">
        <f aca="false">IF($C581="","",TEXT($B581,"yymmdd")&amp;"-"&amp;TEXT(COUNTIFS($B$3:$B581,$B581),"000"))</f>
        <v/>
      </c>
      <c r="B581" s="13"/>
      <c r="C581" s="7"/>
      <c r="D581" s="12" t="str">
        <f aca="false">IF($C581="","",IFERROR(INDEX(고객명부!$B$3:$B$502,MATCH($C581,고객명부!$A$3:$A$502,0)),"미등록고객"))</f>
        <v/>
      </c>
      <c r="E581" s="12" t="str">
        <f aca="false">IF($C581="","",IFERROR(INDEX(고객명부!$C$3:$C$502,MATCH($C581,고객명부!$A$3:$A$502,0)),""))</f>
        <v/>
      </c>
      <c r="F581" s="12" t="str">
        <f aca="false">IF($C581="","",IFERROR(INDEX(고객명부!$D$3:$D$502,MATCH($C581,고객명부!$A$3:$A$502,0)),""))</f>
        <v/>
      </c>
      <c r="G581" s="12" t="str">
        <f aca="false">IF($C581="","",IFERROR(INDEX(고객명부!$E$3:$E$502,MATCH($C581,고객명부!$A$3:$A$502,0))&amp;" "&amp;INDEX(고객명부!$F$3:$F$502,MATCH($C581,고객명부!$A$3:$A$502,0)),""))</f>
        <v/>
      </c>
      <c r="H581" s="7"/>
      <c r="I581" s="12" t="str">
        <f aca="false">IF($H581="","",IFERROR(INDEX(상품목록!$B$3:$B$102,MATCH($H581,상품목록!$A$3:$A$102,0)),""))</f>
        <v/>
      </c>
      <c r="J581" s="14" t="str">
        <f aca="false">IF($H581="","",IFERROR(INDEX(상품목록!$C$3:$C$102,MATCH($H581,상품목록!$A$3:$A$102,0)),0))</f>
        <v/>
      </c>
      <c r="K581" s="7"/>
      <c r="L581" s="14" t="str">
        <f aca="false">IF(OR($J581="",$K581=""),"",ROUND($J581*$K581,0))</f>
        <v/>
      </c>
      <c r="M581" s="9"/>
      <c r="N581" s="14" t="str">
        <f aca="false">IF($L581="","",$L581+IF($M581="",0,$M581))</f>
        <v/>
      </c>
      <c r="O581" s="13"/>
      <c r="P581" s="7"/>
      <c r="Q581" s="12" t="str">
        <f aca="false">IF($C581="","",IF($P581&lt;&gt;"","발송완료",IF($O581&lt;&gt;"","입금완료","입금대기")))</f>
        <v/>
      </c>
      <c r="R581" s="12" t="str">
        <f aca="false">IF($C581="","",COUNTIFS($C$3:$C581,$C581))</f>
        <v/>
      </c>
      <c r="S581" s="12" t="str">
        <f aca="false">IF($C581="","",$C581&amp;"|"&amp;$R581)</f>
        <v/>
      </c>
    </row>
    <row r="582" customFormat="false" ht="15" hidden="false" customHeight="true" outlineLevel="0" collapsed="false">
      <c r="A582" s="12" t="str">
        <f aca="false">IF($C582="","",TEXT($B582,"yymmdd")&amp;"-"&amp;TEXT(COUNTIFS($B$3:$B582,$B582),"000"))</f>
        <v/>
      </c>
      <c r="B582" s="13"/>
      <c r="C582" s="7"/>
      <c r="D582" s="12" t="str">
        <f aca="false">IF($C582="","",IFERROR(INDEX(고객명부!$B$3:$B$502,MATCH($C582,고객명부!$A$3:$A$502,0)),"미등록고객"))</f>
        <v/>
      </c>
      <c r="E582" s="12" t="str">
        <f aca="false">IF($C582="","",IFERROR(INDEX(고객명부!$C$3:$C$502,MATCH($C582,고객명부!$A$3:$A$502,0)),""))</f>
        <v/>
      </c>
      <c r="F582" s="12" t="str">
        <f aca="false">IF($C582="","",IFERROR(INDEX(고객명부!$D$3:$D$502,MATCH($C582,고객명부!$A$3:$A$502,0)),""))</f>
        <v/>
      </c>
      <c r="G582" s="12" t="str">
        <f aca="false">IF($C582="","",IFERROR(INDEX(고객명부!$E$3:$E$502,MATCH($C582,고객명부!$A$3:$A$502,0))&amp;" "&amp;INDEX(고객명부!$F$3:$F$502,MATCH($C582,고객명부!$A$3:$A$502,0)),""))</f>
        <v/>
      </c>
      <c r="H582" s="7"/>
      <c r="I582" s="12" t="str">
        <f aca="false">IF($H582="","",IFERROR(INDEX(상품목록!$B$3:$B$102,MATCH($H582,상품목록!$A$3:$A$102,0)),""))</f>
        <v/>
      </c>
      <c r="J582" s="14" t="str">
        <f aca="false">IF($H582="","",IFERROR(INDEX(상품목록!$C$3:$C$102,MATCH($H582,상품목록!$A$3:$A$102,0)),0))</f>
        <v/>
      </c>
      <c r="K582" s="7"/>
      <c r="L582" s="14" t="str">
        <f aca="false">IF(OR($J582="",$K582=""),"",ROUND($J582*$K582,0))</f>
        <v/>
      </c>
      <c r="M582" s="9"/>
      <c r="N582" s="14" t="str">
        <f aca="false">IF($L582="","",$L582+IF($M582="",0,$M582))</f>
        <v/>
      </c>
      <c r="O582" s="13"/>
      <c r="P582" s="7"/>
      <c r="Q582" s="12" t="str">
        <f aca="false">IF($C582="","",IF($P582&lt;&gt;"","발송완료",IF($O582&lt;&gt;"","입금완료","입금대기")))</f>
        <v/>
      </c>
      <c r="R582" s="12" t="str">
        <f aca="false">IF($C582="","",COUNTIFS($C$3:$C582,$C582))</f>
        <v/>
      </c>
      <c r="S582" s="12" t="str">
        <f aca="false">IF($C582="","",$C582&amp;"|"&amp;$R582)</f>
        <v/>
      </c>
    </row>
    <row r="583" customFormat="false" ht="15" hidden="false" customHeight="true" outlineLevel="0" collapsed="false">
      <c r="A583" s="12" t="str">
        <f aca="false">IF($C583="","",TEXT($B583,"yymmdd")&amp;"-"&amp;TEXT(COUNTIFS($B$3:$B583,$B583),"000"))</f>
        <v/>
      </c>
      <c r="B583" s="13"/>
      <c r="C583" s="7"/>
      <c r="D583" s="12" t="str">
        <f aca="false">IF($C583="","",IFERROR(INDEX(고객명부!$B$3:$B$502,MATCH($C583,고객명부!$A$3:$A$502,0)),"미등록고객"))</f>
        <v/>
      </c>
      <c r="E583" s="12" t="str">
        <f aca="false">IF($C583="","",IFERROR(INDEX(고객명부!$C$3:$C$502,MATCH($C583,고객명부!$A$3:$A$502,0)),""))</f>
        <v/>
      </c>
      <c r="F583" s="12" t="str">
        <f aca="false">IF($C583="","",IFERROR(INDEX(고객명부!$D$3:$D$502,MATCH($C583,고객명부!$A$3:$A$502,0)),""))</f>
        <v/>
      </c>
      <c r="G583" s="12" t="str">
        <f aca="false">IF($C583="","",IFERROR(INDEX(고객명부!$E$3:$E$502,MATCH($C583,고객명부!$A$3:$A$502,0))&amp;" "&amp;INDEX(고객명부!$F$3:$F$502,MATCH($C583,고객명부!$A$3:$A$502,0)),""))</f>
        <v/>
      </c>
      <c r="H583" s="7"/>
      <c r="I583" s="12" t="str">
        <f aca="false">IF($H583="","",IFERROR(INDEX(상품목록!$B$3:$B$102,MATCH($H583,상품목록!$A$3:$A$102,0)),""))</f>
        <v/>
      </c>
      <c r="J583" s="14" t="str">
        <f aca="false">IF($H583="","",IFERROR(INDEX(상품목록!$C$3:$C$102,MATCH($H583,상품목록!$A$3:$A$102,0)),0))</f>
        <v/>
      </c>
      <c r="K583" s="7"/>
      <c r="L583" s="14" t="str">
        <f aca="false">IF(OR($J583="",$K583=""),"",ROUND($J583*$K583,0))</f>
        <v/>
      </c>
      <c r="M583" s="9"/>
      <c r="N583" s="14" t="str">
        <f aca="false">IF($L583="","",$L583+IF($M583="",0,$M583))</f>
        <v/>
      </c>
      <c r="O583" s="13"/>
      <c r="P583" s="7"/>
      <c r="Q583" s="12" t="str">
        <f aca="false">IF($C583="","",IF($P583&lt;&gt;"","발송완료",IF($O583&lt;&gt;"","입금완료","입금대기")))</f>
        <v/>
      </c>
      <c r="R583" s="12" t="str">
        <f aca="false">IF($C583="","",COUNTIFS($C$3:$C583,$C583))</f>
        <v/>
      </c>
      <c r="S583" s="12" t="str">
        <f aca="false">IF($C583="","",$C583&amp;"|"&amp;$R583)</f>
        <v/>
      </c>
    </row>
    <row r="584" customFormat="false" ht="15" hidden="false" customHeight="true" outlineLevel="0" collapsed="false">
      <c r="A584" s="12" t="str">
        <f aca="false">IF($C584="","",TEXT($B584,"yymmdd")&amp;"-"&amp;TEXT(COUNTIFS($B$3:$B584,$B584),"000"))</f>
        <v/>
      </c>
      <c r="B584" s="13"/>
      <c r="C584" s="7"/>
      <c r="D584" s="12" t="str">
        <f aca="false">IF($C584="","",IFERROR(INDEX(고객명부!$B$3:$B$502,MATCH($C584,고객명부!$A$3:$A$502,0)),"미등록고객"))</f>
        <v/>
      </c>
      <c r="E584" s="12" t="str">
        <f aca="false">IF($C584="","",IFERROR(INDEX(고객명부!$C$3:$C$502,MATCH($C584,고객명부!$A$3:$A$502,0)),""))</f>
        <v/>
      </c>
      <c r="F584" s="12" t="str">
        <f aca="false">IF($C584="","",IFERROR(INDEX(고객명부!$D$3:$D$502,MATCH($C584,고객명부!$A$3:$A$502,0)),""))</f>
        <v/>
      </c>
      <c r="G584" s="12" t="str">
        <f aca="false">IF($C584="","",IFERROR(INDEX(고객명부!$E$3:$E$502,MATCH($C584,고객명부!$A$3:$A$502,0))&amp;" "&amp;INDEX(고객명부!$F$3:$F$502,MATCH($C584,고객명부!$A$3:$A$502,0)),""))</f>
        <v/>
      </c>
      <c r="H584" s="7"/>
      <c r="I584" s="12" t="str">
        <f aca="false">IF($H584="","",IFERROR(INDEX(상품목록!$B$3:$B$102,MATCH($H584,상품목록!$A$3:$A$102,0)),""))</f>
        <v/>
      </c>
      <c r="J584" s="14" t="str">
        <f aca="false">IF($H584="","",IFERROR(INDEX(상품목록!$C$3:$C$102,MATCH($H584,상품목록!$A$3:$A$102,0)),0))</f>
        <v/>
      </c>
      <c r="K584" s="7"/>
      <c r="L584" s="14" t="str">
        <f aca="false">IF(OR($J584="",$K584=""),"",ROUND($J584*$K584,0))</f>
        <v/>
      </c>
      <c r="M584" s="9"/>
      <c r="N584" s="14" t="str">
        <f aca="false">IF($L584="","",$L584+IF($M584="",0,$M584))</f>
        <v/>
      </c>
      <c r="O584" s="13"/>
      <c r="P584" s="7"/>
      <c r="Q584" s="12" t="str">
        <f aca="false">IF($C584="","",IF($P584&lt;&gt;"","발송완료",IF($O584&lt;&gt;"","입금완료","입금대기")))</f>
        <v/>
      </c>
      <c r="R584" s="12" t="str">
        <f aca="false">IF($C584="","",COUNTIFS($C$3:$C584,$C584))</f>
        <v/>
      </c>
      <c r="S584" s="12" t="str">
        <f aca="false">IF($C584="","",$C584&amp;"|"&amp;$R584)</f>
        <v/>
      </c>
    </row>
    <row r="585" customFormat="false" ht="15" hidden="false" customHeight="true" outlineLevel="0" collapsed="false">
      <c r="A585" s="12" t="str">
        <f aca="false">IF($C585="","",TEXT($B585,"yymmdd")&amp;"-"&amp;TEXT(COUNTIFS($B$3:$B585,$B585),"000"))</f>
        <v/>
      </c>
      <c r="B585" s="13"/>
      <c r="C585" s="7"/>
      <c r="D585" s="12" t="str">
        <f aca="false">IF($C585="","",IFERROR(INDEX(고객명부!$B$3:$B$502,MATCH($C585,고객명부!$A$3:$A$502,0)),"미등록고객"))</f>
        <v/>
      </c>
      <c r="E585" s="12" t="str">
        <f aca="false">IF($C585="","",IFERROR(INDEX(고객명부!$C$3:$C$502,MATCH($C585,고객명부!$A$3:$A$502,0)),""))</f>
        <v/>
      </c>
      <c r="F585" s="12" t="str">
        <f aca="false">IF($C585="","",IFERROR(INDEX(고객명부!$D$3:$D$502,MATCH($C585,고객명부!$A$3:$A$502,0)),""))</f>
        <v/>
      </c>
      <c r="G585" s="12" t="str">
        <f aca="false">IF($C585="","",IFERROR(INDEX(고객명부!$E$3:$E$502,MATCH($C585,고객명부!$A$3:$A$502,0))&amp;" "&amp;INDEX(고객명부!$F$3:$F$502,MATCH($C585,고객명부!$A$3:$A$502,0)),""))</f>
        <v/>
      </c>
      <c r="H585" s="7"/>
      <c r="I585" s="12" t="str">
        <f aca="false">IF($H585="","",IFERROR(INDEX(상품목록!$B$3:$B$102,MATCH($H585,상품목록!$A$3:$A$102,0)),""))</f>
        <v/>
      </c>
      <c r="J585" s="14" t="str">
        <f aca="false">IF($H585="","",IFERROR(INDEX(상품목록!$C$3:$C$102,MATCH($H585,상품목록!$A$3:$A$102,0)),0))</f>
        <v/>
      </c>
      <c r="K585" s="7"/>
      <c r="L585" s="14" t="str">
        <f aca="false">IF(OR($J585="",$K585=""),"",ROUND($J585*$K585,0))</f>
        <v/>
      </c>
      <c r="M585" s="9"/>
      <c r="N585" s="14" t="str">
        <f aca="false">IF($L585="","",$L585+IF($M585="",0,$M585))</f>
        <v/>
      </c>
      <c r="O585" s="13"/>
      <c r="P585" s="7"/>
      <c r="Q585" s="12" t="str">
        <f aca="false">IF($C585="","",IF($P585&lt;&gt;"","발송완료",IF($O585&lt;&gt;"","입금완료","입금대기")))</f>
        <v/>
      </c>
      <c r="R585" s="12" t="str">
        <f aca="false">IF($C585="","",COUNTIFS($C$3:$C585,$C585))</f>
        <v/>
      </c>
      <c r="S585" s="12" t="str">
        <f aca="false">IF($C585="","",$C585&amp;"|"&amp;$R585)</f>
        <v/>
      </c>
    </row>
    <row r="586" customFormat="false" ht="15" hidden="false" customHeight="true" outlineLevel="0" collapsed="false">
      <c r="A586" s="12" t="str">
        <f aca="false">IF($C586="","",TEXT($B586,"yymmdd")&amp;"-"&amp;TEXT(COUNTIFS($B$3:$B586,$B586),"000"))</f>
        <v/>
      </c>
      <c r="B586" s="13"/>
      <c r="C586" s="7"/>
      <c r="D586" s="12" t="str">
        <f aca="false">IF($C586="","",IFERROR(INDEX(고객명부!$B$3:$B$502,MATCH($C586,고객명부!$A$3:$A$502,0)),"미등록고객"))</f>
        <v/>
      </c>
      <c r="E586" s="12" t="str">
        <f aca="false">IF($C586="","",IFERROR(INDEX(고객명부!$C$3:$C$502,MATCH($C586,고객명부!$A$3:$A$502,0)),""))</f>
        <v/>
      </c>
      <c r="F586" s="12" t="str">
        <f aca="false">IF($C586="","",IFERROR(INDEX(고객명부!$D$3:$D$502,MATCH($C586,고객명부!$A$3:$A$502,0)),""))</f>
        <v/>
      </c>
      <c r="G586" s="12" t="str">
        <f aca="false">IF($C586="","",IFERROR(INDEX(고객명부!$E$3:$E$502,MATCH($C586,고객명부!$A$3:$A$502,0))&amp;" "&amp;INDEX(고객명부!$F$3:$F$502,MATCH($C586,고객명부!$A$3:$A$502,0)),""))</f>
        <v/>
      </c>
      <c r="H586" s="7"/>
      <c r="I586" s="12" t="str">
        <f aca="false">IF($H586="","",IFERROR(INDEX(상품목록!$B$3:$B$102,MATCH($H586,상품목록!$A$3:$A$102,0)),""))</f>
        <v/>
      </c>
      <c r="J586" s="14" t="str">
        <f aca="false">IF($H586="","",IFERROR(INDEX(상품목록!$C$3:$C$102,MATCH($H586,상품목록!$A$3:$A$102,0)),0))</f>
        <v/>
      </c>
      <c r="K586" s="7"/>
      <c r="L586" s="14" t="str">
        <f aca="false">IF(OR($J586="",$K586=""),"",ROUND($J586*$K586,0))</f>
        <v/>
      </c>
      <c r="M586" s="9"/>
      <c r="N586" s="14" t="str">
        <f aca="false">IF($L586="","",$L586+IF($M586="",0,$M586))</f>
        <v/>
      </c>
      <c r="O586" s="13"/>
      <c r="P586" s="7"/>
      <c r="Q586" s="12" t="str">
        <f aca="false">IF($C586="","",IF($P586&lt;&gt;"","발송완료",IF($O586&lt;&gt;"","입금완료","입금대기")))</f>
        <v/>
      </c>
      <c r="R586" s="12" t="str">
        <f aca="false">IF($C586="","",COUNTIFS($C$3:$C586,$C586))</f>
        <v/>
      </c>
      <c r="S586" s="12" t="str">
        <f aca="false">IF($C586="","",$C586&amp;"|"&amp;$R586)</f>
        <v/>
      </c>
    </row>
    <row r="587" customFormat="false" ht="15" hidden="false" customHeight="true" outlineLevel="0" collapsed="false">
      <c r="A587" s="12" t="str">
        <f aca="false">IF($C587="","",TEXT($B587,"yymmdd")&amp;"-"&amp;TEXT(COUNTIFS($B$3:$B587,$B587),"000"))</f>
        <v/>
      </c>
      <c r="B587" s="13"/>
      <c r="C587" s="7"/>
      <c r="D587" s="12" t="str">
        <f aca="false">IF($C587="","",IFERROR(INDEX(고객명부!$B$3:$B$502,MATCH($C587,고객명부!$A$3:$A$502,0)),"미등록고객"))</f>
        <v/>
      </c>
      <c r="E587" s="12" t="str">
        <f aca="false">IF($C587="","",IFERROR(INDEX(고객명부!$C$3:$C$502,MATCH($C587,고객명부!$A$3:$A$502,0)),""))</f>
        <v/>
      </c>
      <c r="F587" s="12" t="str">
        <f aca="false">IF($C587="","",IFERROR(INDEX(고객명부!$D$3:$D$502,MATCH($C587,고객명부!$A$3:$A$502,0)),""))</f>
        <v/>
      </c>
      <c r="G587" s="12" t="str">
        <f aca="false">IF($C587="","",IFERROR(INDEX(고객명부!$E$3:$E$502,MATCH($C587,고객명부!$A$3:$A$502,0))&amp;" "&amp;INDEX(고객명부!$F$3:$F$502,MATCH($C587,고객명부!$A$3:$A$502,0)),""))</f>
        <v/>
      </c>
      <c r="H587" s="7"/>
      <c r="I587" s="12" t="str">
        <f aca="false">IF($H587="","",IFERROR(INDEX(상품목록!$B$3:$B$102,MATCH($H587,상품목록!$A$3:$A$102,0)),""))</f>
        <v/>
      </c>
      <c r="J587" s="14" t="str">
        <f aca="false">IF($H587="","",IFERROR(INDEX(상품목록!$C$3:$C$102,MATCH($H587,상품목록!$A$3:$A$102,0)),0))</f>
        <v/>
      </c>
      <c r="K587" s="7"/>
      <c r="L587" s="14" t="str">
        <f aca="false">IF(OR($J587="",$K587=""),"",ROUND($J587*$K587,0))</f>
        <v/>
      </c>
      <c r="M587" s="9"/>
      <c r="N587" s="14" t="str">
        <f aca="false">IF($L587="","",$L587+IF($M587="",0,$M587))</f>
        <v/>
      </c>
      <c r="O587" s="13"/>
      <c r="P587" s="7"/>
      <c r="Q587" s="12" t="str">
        <f aca="false">IF($C587="","",IF($P587&lt;&gt;"","발송완료",IF($O587&lt;&gt;"","입금완료","입금대기")))</f>
        <v/>
      </c>
      <c r="R587" s="12" t="str">
        <f aca="false">IF($C587="","",COUNTIFS($C$3:$C587,$C587))</f>
        <v/>
      </c>
      <c r="S587" s="12" t="str">
        <f aca="false">IF($C587="","",$C587&amp;"|"&amp;$R587)</f>
        <v/>
      </c>
    </row>
    <row r="588" customFormat="false" ht="15" hidden="false" customHeight="true" outlineLevel="0" collapsed="false">
      <c r="A588" s="12" t="str">
        <f aca="false">IF($C588="","",TEXT($B588,"yymmdd")&amp;"-"&amp;TEXT(COUNTIFS($B$3:$B588,$B588),"000"))</f>
        <v/>
      </c>
      <c r="B588" s="13"/>
      <c r="C588" s="7"/>
      <c r="D588" s="12" t="str">
        <f aca="false">IF($C588="","",IFERROR(INDEX(고객명부!$B$3:$B$502,MATCH($C588,고객명부!$A$3:$A$502,0)),"미등록고객"))</f>
        <v/>
      </c>
      <c r="E588" s="12" t="str">
        <f aca="false">IF($C588="","",IFERROR(INDEX(고객명부!$C$3:$C$502,MATCH($C588,고객명부!$A$3:$A$502,0)),""))</f>
        <v/>
      </c>
      <c r="F588" s="12" t="str">
        <f aca="false">IF($C588="","",IFERROR(INDEX(고객명부!$D$3:$D$502,MATCH($C588,고객명부!$A$3:$A$502,0)),""))</f>
        <v/>
      </c>
      <c r="G588" s="12" t="str">
        <f aca="false">IF($C588="","",IFERROR(INDEX(고객명부!$E$3:$E$502,MATCH($C588,고객명부!$A$3:$A$502,0))&amp;" "&amp;INDEX(고객명부!$F$3:$F$502,MATCH($C588,고객명부!$A$3:$A$502,0)),""))</f>
        <v/>
      </c>
      <c r="H588" s="7"/>
      <c r="I588" s="12" t="str">
        <f aca="false">IF($H588="","",IFERROR(INDEX(상품목록!$B$3:$B$102,MATCH($H588,상품목록!$A$3:$A$102,0)),""))</f>
        <v/>
      </c>
      <c r="J588" s="14" t="str">
        <f aca="false">IF($H588="","",IFERROR(INDEX(상품목록!$C$3:$C$102,MATCH($H588,상품목록!$A$3:$A$102,0)),0))</f>
        <v/>
      </c>
      <c r="K588" s="7"/>
      <c r="L588" s="14" t="str">
        <f aca="false">IF(OR($J588="",$K588=""),"",ROUND($J588*$K588,0))</f>
        <v/>
      </c>
      <c r="M588" s="9"/>
      <c r="N588" s="14" t="str">
        <f aca="false">IF($L588="","",$L588+IF($M588="",0,$M588))</f>
        <v/>
      </c>
      <c r="O588" s="13"/>
      <c r="P588" s="7"/>
      <c r="Q588" s="12" t="str">
        <f aca="false">IF($C588="","",IF($P588&lt;&gt;"","발송완료",IF($O588&lt;&gt;"","입금완료","입금대기")))</f>
        <v/>
      </c>
      <c r="R588" s="12" t="str">
        <f aca="false">IF($C588="","",COUNTIFS($C$3:$C588,$C588))</f>
        <v/>
      </c>
      <c r="S588" s="12" t="str">
        <f aca="false">IF($C588="","",$C588&amp;"|"&amp;$R588)</f>
        <v/>
      </c>
    </row>
    <row r="589" customFormat="false" ht="15" hidden="false" customHeight="true" outlineLevel="0" collapsed="false">
      <c r="A589" s="12" t="str">
        <f aca="false">IF($C589="","",TEXT($B589,"yymmdd")&amp;"-"&amp;TEXT(COUNTIFS($B$3:$B589,$B589),"000"))</f>
        <v/>
      </c>
      <c r="B589" s="13"/>
      <c r="C589" s="7"/>
      <c r="D589" s="12" t="str">
        <f aca="false">IF($C589="","",IFERROR(INDEX(고객명부!$B$3:$B$502,MATCH($C589,고객명부!$A$3:$A$502,0)),"미등록고객"))</f>
        <v/>
      </c>
      <c r="E589" s="12" t="str">
        <f aca="false">IF($C589="","",IFERROR(INDEX(고객명부!$C$3:$C$502,MATCH($C589,고객명부!$A$3:$A$502,0)),""))</f>
        <v/>
      </c>
      <c r="F589" s="12" t="str">
        <f aca="false">IF($C589="","",IFERROR(INDEX(고객명부!$D$3:$D$502,MATCH($C589,고객명부!$A$3:$A$502,0)),""))</f>
        <v/>
      </c>
      <c r="G589" s="12" t="str">
        <f aca="false">IF($C589="","",IFERROR(INDEX(고객명부!$E$3:$E$502,MATCH($C589,고객명부!$A$3:$A$502,0))&amp;" "&amp;INDEX(고객명부!$F$3:$F$502,MATCH($C589,고객명부!$A$3:$A$502,0)),""))</f>
        <v/>
      </c>
      <c r="H589" s="7"/>
      <c r="I589" s="12" t="str">
        <f aca="false">IF($H589="","",IFERROR(INDEX(상품목록!$B$3:$B$102,MATCH($H589,상품목록!$A$3:$A$102,0)),""))</f>
        <v/>
      </c>
      <c r="J589" s="14" t="str">
        <f aca="false">IF($H589="","",IFERROR(INDEX(상품목록!$C$3:$C$102,MATCH($H589,상품목록!$A$3:$A$102,0)),0))</f>
        <v/>
      </c>
      <c r="K589" s="7"/>
      <c r="L589" s="14" t="str">
        <f aca="false">IF(OR($J589="",$K589=""),"",ROUND($J589*$K589,0))</f>
        <v/>
      </c>
      <c r="M589" s="9"/>
      <c r="N589" s="14" t="str">
        <f aca="false">IF($L589="","",$L589+IF($M589="",0,$M589))</f>
        <v/>
      </c>
      <c r="O589" s="13"/>
      <c r="P589" s="7"/>
      <c r="Q589" s="12" t="str">
        <f aca="false">IF($C589="","",IF($P589&lt;&gt;"","발송완료",IF($O589&lt;&gt;"","입금완료","입금대기")))</f>
        <v/>
      </c>
      <c r="R589" s="12" t="str">
        <f aca="false">IF($C589="","",COUNTIFS($C$3:$C589,$C589))</f>
        <v/>
      </c>
      <c r="S589" s="12" t="str">
        <f aca="false">IF($C589="","",$C589&amp;"|"&amp;$R589)</f>
        <v/>
      </c>
    </row>
    <row r="590" customFormat="false" ht="15" hidden="false" customHeight="true" outlineLevel="0" collapsed="false">
      <c r="A590" s="12" t="str">
        <f aca="false">IF($C590="","",TEXT($B590,"yymmdd")&amp;"-"&amp;TEXT(COUNTIFS($B$3:$B590,$B590),"000"))</f>
        <v/>
      </c>
      <c r="B590" s="13"/>
      <c r="C590" s="7"/>
      <c r="D590" s="12" t="str">
        <f aca="false">IF($C590="","",IFERROR(INDEX(고객명부!$B$3:$B$502,MATCH($C590,고객명부!$A$3:$A$502,0)),"미등록고객"))</f>
        <v/>
      </c>
      <c r="E590" s="12" t="str">
        <f aca="false">IF($C590="","",IFERROR(INDEX(고객명부!$C$3:$C$502,MATCH($C590,고객명부!$A$3:$A$502,0)),""))</f>
        <v/>
      </c>
      <c r="F590" s="12" t="str">
        <f aca="false">IF($C590="","",IFERROR(INDEX(고객명부!$D$3:$D$502,MATCH($C590,고객명부!$A$3:$A$502,0)),""))</f>
        <v/>
      </c>
      <c r="G590" s="12" t="str">
        <f aca="false">IF($C590="","",IFERROR(INDEX(고객명부!$E$3:$E$502,MATCH($C590,고객명부!$A$3:$A$502,0))&amp;" "&amp;INDEX(고객명부!$F$3:$F$502,MATCH($C590,고객명부!$A$3:$A$502,0)),""))</f>
        <v/>
      </c>
      <c r="H590" s="7"/>
      <c r="I590" s="12" t="str">
        <f aca="false">IF($H590="","",IFERROR(INDEX(상품목록!$B$3:$B$102,MATCH($H590,상품목록!$A$3:$A$102,0)),""))</f>
        <v/>
      </c>
      <c r="J590" s="14" t="str">
        <f aca="false">IF($H590="","",IFERROR(INDEX(상품목록!$C$3:$C$102,MATCH($H590,상품목록!$A$3:$A$102,0)),0))</f>
        <v/>
      </c>
      <c r="K590" s="7"/>
      <c r="L590" s="14" t="str">
        <f aca="false">IF(OR($J590="",$K590=""),"",ROUND($J590*$K590,0))</f>
        <v/>
      </c>
      <c r="M590" s="9"/>
      <c r="N590" s="14" t="str">
        <f aca="false">IF($L590="","",$L590+IF($M590="",0,$M590))</f>
        <v/>
      </c>
      <c r="O590" s="13"/>
      <c r="P590" s="7"/>
      <c r="Q590" s="12" t="str">
        <f aca="false">IF($C590="","",IF($P590&lt;&gt;"","발송완료",IF($O590&lt;&gt;"","입금완료","입금대기")))</f>
        <v/>
      </c>
      <c r="R590" s="12" t="str">
        <f aca="false">IF($C590="","",COUNTIFS($C$3:$C590,$C590))</f>
        <v/>
      </c>
      <c r="S590" s="12" t="str">
        <f aca="false">IF($C590="","",$C590&amp;"|"&amp;$R590)</f>
        <v/>
      </c>
    </row>
    <row r="591" customFormat="false" ht="15" hidden="false" customHeight="true" outlineLevel="0" collapsed="false">
      <c r="A591" s="12" t="str">
        <f aca="false">IF($C591="","",TEXT($B591,"yymmdd")&amp;"-"&amp;TEXT(COUNTIFS($B$3:$B591,$B591),"000"))</f>
        <v/>
      </c>
      <c r="B591" s="13"/>
      <c r="C591" s="7"/>
      <c r="D591" s="12" t="str">
        <f aca="false">IF($C591="","",IFERROR(INDEX(고객명부!$B$3:$B$502,MATCH($C591,고객명부!$A$3:$A$502,0)),"미등록고객"))</f>
        <v/>
      </c>
      <c r="E591" s="12" t="str">
        <f aca="false">IF($C591="","",IFERROR(INDEX(고객명부!$C$3:$C$502,MATCH($C591,고객명부!$A$3:$A$502,0)),""))</f>
        <v/>
      </c>
      <c r="F591" s="12" t="str">
        <f aca="false">IF($C591="","",IFERROR(INDEX(고객명부!$D$3:$D$502,MATCH($C591,고객명부!$A$3:$A$502,0)),""))</f>
        <v/>
      </c>
      <c r="G591" s="12" t="str">
        <f aca="false">IF($C591="","",IFERROR(INDEX(고객명부!$E$3:$E$502,MATCH($C591,고객명부!$A$3:$A$502,0))&amp;" "&amp;INDEX(고객명부!$F$3:$F$502,MATCH($C591,고객명부!$A$3:$A$502,0)),""))</f>
        <v/>
      </c>
      <c r="H591" s="7"/>
      <c r="I591" s="12" t="str">
        <f aca="false">IF($H591="","",IFERROR(INDEX(상품목록!$B$3:$B$102,MATCH($H591,상품목록!$A$3:$A$102,0)),""))</f>
        <v/>
      </c>
      <c r="J591" s="14" t="str">
        <f aca="false">IF($H591="","",IFERROR(INDEX(상품목록!$C$3:$C$102,MATCH($H591,상품목록!$A$3:$A$102,0)),0))</f>
        <v/>
      </c>
      <c r="K591" s="7"/>
      <c r="L591" s="14" t="str">
        <f aca="false">IF(OR($J591="",$K591=""),"",ROUND($J591*$K591,0))</f>
        <v/>
      </c>
      <c r="M591" s="9"/>
      <c r="N591" s="14" t="str">
        <f aca="false">IF($L591="","",$L591+IF($M591="",0,$M591))</f>
        <v/>
      </c>
      <c r="O591" s="13"/>
      <c r="P591" s="7"/>
      <c r="Q591" s="12" t="str">
        <f aca="false">IF($C591="","",IF($P591&lt;&gt;"","발송완료",IF($O591&lt;&gt;"","입금완료","입금대기")))</f>
        <v/>
      </c>
      <c r="R591" s="12" t="str">
        <f aca="false">IF($C591="","",COUNTIFS($C$3:$C591,$C591))</f>
        <v/>
      </c>
      <c r="S591" s="12" t="str">
        <f aca="false">IF($C591="","",$C591&amp;"|"&amp;$R591)</f>
        <v/>
      </c>
    </row>
    <row r="592" customFormat="false" ht="15" hidden="false" customHeight="true" outlineLevel="0" collapsed="false">
      <c r="A592" s="12" t="str">
        <f aca="false">IF($C592="","",TEXT($B592,"yymmdd")&amp;"-"&amp;TEXT(COUNTIFS($B$3:$B592,$B592),"000"))</f>
        <v/>
      </c>
      <c r="B592" s="13"/>
      <c r="C592" s="7"/>
      <c r="D592" s="12" t="str">
        <f aca="false">IF($C592="","",IFERROR(INDEX(고객명부!$B$3:$B$502,MATCH($C592,고객명부!$A$3:$A$502,0)),"미등록고객"))</f>
        <v/>
      </c>
      <c r="E592" s="12" t="str">
        <f aca="false">IF($C592="","",IFERROR(INDEX(고객명부!$C$3:$C$502,MATCH($C592,고객명부!$A$3:$A$502,0)),""))</f>
        <v/>
      </c>
      <c r="F592" s="12" t="str">
        <f aca="false">IF($C592="","",IFERROR(INDEX(고객명부!$D$3:$D$502,MATCH($C592,고객명부!$A$3:$A$502,0)),""))</f>
        <v/>
      </c>
      <c r="G592" s="12" t="str">
        <f aca="false">IF($C592="","",IFERROR(INDEX(고객명부!$E$3:$E$502,MATCH($C592,고객명부!$A$3:$A$502,0))&amp;" "&amp;INDEX(고객명부!$F$3:$F$502,MATCH($C592,고객명부!$A$3:$A$502,0)),""))</f>
        <v/>
      </c>
      <c r="H592" s="7"/>
      <c r="I592" s="12" t="str">
        <f aca="false">IF($H592="","",IFERROR(INDEX(상품목록!$B$3:$B$102,MATCH($H592,상품목록!$A$3:$A$102,0)),""))</f>
        <v/>
      </c>
      <c r="J592" s="14" t="str">
        <f aca="false">IF($H592="","",IFERROR(INDEX(상품목록!$C$3:$C$102,MATCH($H592,상품목록!$A$3:$A$102,0)),0))</f>
        <v/>
      </c>
      <c r="K592" s="7"/>
      <c r="L592" s="14" t="str">
        <f aca="false">IF(OR($J592="",$K592=""),"",ROUND($J592*$K592,0))</f>
        <v/>
      </c>
      <c r="M592" s="9"/>
      <c r="N592" s="14" t="str">
        <f aca="false">IF($L592="","",$L592+IF($M592="",0,$M592))</f>
        <v/>
      </c>
      <c r="O592" s="13"/>
      <c r="P592" s="7"/>
      <c r="Q592" s="12" t="str">
        <f aca="false">IF($C592="","",IF($P592&lt;&gt;"","발송완료",IF($O592&lt;&gt;"","입금완료","입금대기")))</f>
        <v/>
      </c>
      <c r="R592" s="12" t="str">
        <f aca="false">IF($C592="","",COUNTIFS($C$3:$C592,$C592))</f>
        <v/>
      </c>
      <c r="S592" s="12" t="str">
        <f aca="false">IF($C592="","",$C592&amp;"|"&amp;$R592)</f>
        <v/>
      </c>
    </row>
    <row r="593" customFormat="false" ht="15" hidden="false" customHeight="true" outlineLevel="0" collapsed="false">
      <c r="A593" s="12" t="str">
        <f aca="false">IF($C593="","",TEXT($B593,"yymmdd")&amp;"-"&amp;TEXT(COUNTIFS($B$3:$B593,$B593),"000"))</f>
        <v/>
      </c>
      <c r="B593" s="13"/>
      <c r="C593" s="7"/>
      <c r="D593" s="12" t="str">
        <f aca="false">IF($C593="","",IFERROR(INDEX(고객명부!$B$3:$B$502,MATCH($C593,고객명부!$A$3:$A$502,0)),"미등록고객"))</f>
        <v/>
      </c>
      <c r="E593" s="12" t="str">
        <f aca="false">IF($C593="","",IFERROR(INDEX(고객명부!$C$3:$C$502,MATCH($C593,고객명부!$A$3:$A$502,0)),""))</f>
        <v/>
      </c>
      <c r="F593" s="12" t="str">
        <f aca="false">IF($C593="","",IFERROR(INDEX(고객명부!$D$3:$D$502,MATCH($C593,고객명부!$A$3:$A$502,0)),""))</f>
        <v/>
      </c>
      <c r="G593" s="12" t="str">
        <f aca="false">IF($C593="","",IFERROR(INDEX(고객명부!$E$3:$E$502,MATCH($C593,고객명부!$A$3:$A$502,0))&amp;" "&amp;INDEX(고객명부!$F$3:$F$502,MATCH($C593,고객명부!$A$3:$A$502,0)),""))</f>
        <v/>
      </c>
      <c r="H593" s="7"/>
      <c r="I593" s="12" t="str">
        <f aca="false">IF($H593="","",IFERROR(INDEX(상품목록!$B$3:$B$102,MATCH($H593,상품목록!$A$3:$A$102,0)),""))</f>
        <v/>
      </c>
      <c r="J593" s="14" t="str">
        <f aca="false">IF($H593="","",IFERROR(INDEX(상품목록!$C$3:$C$102,MATCH($H593,상품목록!$A$3:$A$102,0)),0))</f>
        <v/>
      </c>
      <c r="K593" s="7"/>
      <c r="L593" s="14" t="str">
        <f aca="false">IF(OR($J593="",$K593=""),"",ROUND($J593*$K593,0))</f>
        <v/>
      </c>
      <c r="M593" s="9"/>
      <c r="N593" s="14" t="str">
        <f aca="false">IF($L593="","",$L593+IF($M593="",0,$M593))</f>
        <v/>
      </c>
      <c r="O593" s="13"/>
      <c r="P593" s="7"/>
      <c r="Q593" s="12" t="str">
        <f aca="false">IF($C593="","",IF($P593&lt;&gt;"","발송완료",IF($O593&lt;&gt;"","입금완료","입금대기")))</f>
        <v/>
      </c>
      <c r="R593" s="12" t="str">
        <f aca="false">IF($C593="","",COUNTIFS($C$3:$C593,$C593))</f>
        <v/>
      </c>
      <c r="S593" s="12" t="str">
        <f aca="false">IF($C593="","",$C593&amp;"|"&amp;$R593)</f>
        <v/>
      </c>
    </row>
    <row r="594" customFormat="false" ht="15" hidden="false" customHeight="true" outlineLevel="0" collapsed="false">
      <c r="A594" s="12" t="str">
        <f aca="false">IF($C594="","",TEXT($B594,"yymmdd")&amp;"-"&amp;TEXT(COUNTIFS($B$3:$B594,$B594),"000"))</f>
        <v/>
      </c>
      <c r="B594" s="13"/>
      <c r="C594" s="7"/>
      <c r="D594" s="12" t="str">
        <f aca="false">IF($C594="","",IFERROR(INDEX(고객명부!$B$3:$B$502,MATCH($C594,고객명부!$A$3:$A$502,0)),"미등록고객"))</f>
        <v/>
      </c>
      <c r="E594" s="12" t="str">
        <f aca="false">IF($C594="","",IFERROR(INDEX(고객명부!$C$3:$C$502,MATCH($C594,고객명부!$A$3:$A$502,0)),""))</f>
        <v/>
      </c>
      <c r="F594" s="12" t="str">
        <f aca="false">IF($C594="","",IFERROR(INDEX(고객명부!$D$3:$D$502,MATCH($C594,고객명부!$A$3:$A$502,0)),""))</f>
        <v/>
      </c>
      <c r="G594" s="12" t="str">
        <f aca="false">IF($C594="","",IFERROR(INDEX(고객명부!$E$3:$E$502,MATCH($C594,고객명부!$A$3:$A$502,0))&amp;" "&amp;INDEX(고객명부!$F$3:$F$502,MATCH($C594,고객명부!$A$3:$A$502,0)),""))</f>
        <v/>
      </c>
      <c r="H594" s="7"/>
      <c r="I594" s="12" t="str">
        <f aca="false">IF($H594="","",IFERROR(INDEX(상품목록!$B$3:$B$102,MATCH($H594,상품목록!$A$3:$A$102,0)),""))</f>
        <v/>
      </c>
      <c r="J594" s="14" t="str">
        <f aca="false">IF($H594="","",IFERROR(INDEX(상품목록!$C$3:$C$102,MATCH($H594,상품목록!$A$3:$A$102,0)),0))</f>
        <v/>
      </c>
      <c r="K594" s="7"/>
      <c r="L594" s="14" t="str">
        <f aca="false">IF(OR($J594="",$K594=""),"",ROUND($J594*$K594,0))</f>
        <v/>
      </c>
      <c r="M594" s="9"/>
      <c r="N594" s="14" t="str">
        <f aca="false">IF($L594="","",$L594+IF($M594="",0,$M594))</f>
        <v/>
      </c>
      <c r="O594" s="13"/>
      <c r="P594" s="7"/>
      <c r="Q594" s="12" t="str">
        <f aca="false">IF($C594="","",IF($P594&lt;&gt;"","발송완료",IF($O594&lt;&gt;"","입금완료","입금대기")))</f>
        <v/>
      </c>
      <c r="R594" s="12" t="str">
        <f aca="false">IF($C594="","",COUNTIFS($C$3:$C594,$C594))</f>
        <v/>
      </c>
      <c r="S594" s="12" t="str">
        <f aca="false">IF($C594="","",$C594&amp;"|"&amp;$R594)</f>
        <v/>
      </c>
    </row>
    <row r="595" customFormat="false" ht="15" hidden="false" customHeight="true" outlineLevel="0" collapsed="false">
      <c r="A595" s="12" t="str">
        <f aca="false">IF($C595="","",TEXT($B595,"yymmdd")&amp;"-"&amp;TEXT(COUNTIFS($B$3:$B595,$B595),"000"))</f>
        <v/>
      </c>
      <c r="B595" s="13"/>
      <c r="C595" s="7"/>
      <c r="D595" s="12" t="str">
        <f aca="false">IF($C595="","",IFERROR(INDEX(고객명부!$B$3:$B$502,MATCH($C595,고객명부!$A$3:$A$502,0)),"미등록고객"))</f>
        <v/>
      </c>
      <c r="E595" s="12" t="str">
        <f aca="false">IF($C595="","",IFERROR(INDEX(고객명부!$C$3:$C$502,MATCH($C595,고객명부!$A$3:$A$502,0)),""))</f>
        <v/>
      </c>
      <c r="F595" s="12" t="str">
        <f aca="false">IF($C595="","",IFERROR(INDEX(고객명부!$D$3:$D$502,MATCH($C595,고객명부!$A$3:$A$502,0)),""))</f>
        <v/>
      </c>
      <c r="G595" s="12" t="str">
        <f aca="false">IF($C595="","",IFERROR(INDEX(고객명부!$E$3:$E$502,MATCH($C595,고객명부!$A$3:$A$502,0))&amp;" "&amp;INDEX(고객명부!$F$3:$F$502,MATCH($C595,고객명부!$A$3:$A$502,0)),""))</f>
        <v/>
      </c>
      <c r="H595" s="7"/>
      <c r="I595" s="12" t="str">
        <f aca="false">IF($H595="","",IFERROR(INDEX(상품목록!$B$3:$B$102,MATCH($H595,상품목록!$A$3:$A$102,0)),""))</f>
        <v/>
      </c>
      <c r="J595" s="14" t="str">
        <f aca="false">IF($H595="","",IFERROR(INDEX(상품목록!$C$3:$C$102,MATCH($H595,상품목록!$A$3:$A$102,0)),0))</f>
        <v/>
      </c>
      <c r="K595" s="7"/>
      <c r="L595" s="14" t="str">
        <f aca="false">IF(OR($J595="",$K595=""),"",ROUND($J595*$K595,0))</f>
        <v/>
      </c>
      <c r="M595" s="9"/>
      <c r="N595" s="14" t="str">
        <f aca="false">IF($L595="","",$L595+IF($M595="",0,$M595))</f>
        <v/>
      </c>
      <c r="O595" s="13"/>
      <c r="P595" s="7"/>
      <c r="Q595" s="12" t="str">
        <f aca="false">IF($C595="","",IF($P595&lt;&gt;"","발송완료",IF($O595&lt;&gt;"","입금완료","입금대기")))</f>
        <v/>
      </c>
      <c r="R595" s="12" t="str">
        <f aca="false">IF($C595="","",COUNTIFS($C$3:$C595,$C595))</f>
        <v/>
      </c>
      <c r="S595" s="12" t="str">
        <f aca="false">IF($C595="","",$C595&amp;"|"&amp;$R595)</f>
        <v/>
      </c>
    </row>
    <row r="596" customFormat="false" ht="15" hidden="false" customHeight="true" outlineLevel="0" collapsed="false">
      <c r="A596" s="12" t="str">
        <f aca="false">IF($C596="","",TEXT($B596,"yymmdd")&amp;"-"&amp;TEXT(COUNTIFS($B$3:$B596,$B596),"000"))</f>
        <v/>
      </c>
      <c r="B596" s="13"/>
      <c r="C596" s="7"/>
      <c r="D596" s="12" t="str">
        <f aca="false">IF($C596="","",IFERROR(INDEX(고객명부!$B$3:$B$502,MATCH($C596,고객명부!$A$3:$A$502,0)),"미등록고객"))</f>
        <v/>
      </c>
      <c r="E596" s="12" t="str">
        <f aca="false">IF($C596="","",IFERROR(INDEX(고객명부!$C$3:$C$502,MATCH($C596,고객명부!$A$3:$A$502,0)),""))</f>
        <v/>
      </c>
      <c r="F596" s="12" t="str">
        <f aca="false">IF($C596="","",IFERROR(INDEX(고객명부!$D$3:$D$502,MATCH($C596,고객명부!$A$3:$A$502,0)),""))</f>
        <v/>
      </c>
      <c r="G596" s="12" t="str">
        <f aca="false">IF($C596="","",IFERROR(INDEX(고객명부!$E$3:$E$502,MATCH($C596,고객명부!$A$3:$A$502,0))&amp;" "&amp;INDEX(고객명부!$F$3:$F$502,MATCH($C596,고객명부!$A$3:$A$502,0)),""))</f>
        <v/>
      </c>
      <c r="H596" s="7"/>
      <c r="I596" s="12" t="str">
        <f aca="false">IF($H596="","",IFERROR(INDEX(상품목록!$B$3:$B$102,MATCH($H596,상품목록!$A$3:$A$102,0)),""))</f>
        <v/>
      </c>
      <c r="J596" s="14" t="str">
        <f aca="false">IF($H596="","",IFERROR(INDEX(상품목록!$C$3:$C$102,MATCH($H596,상품목록!$A$3:$A$102,0)),0))</f>
        <v/>
      </c>
      <c r="K596" s="7"/>
      <c r="L596" s="14" t="str">
        <f aca="false">IF(OR($J596="",$K596=""),"",ROUND($J596*$K596,0))</f>
        <v/>
      </c>
      <c r="M596" s="9"/>
      <c r="N596" s="14" t="str">
        <f aca="false">IF($L596="","",$L596+IF($M596="",0,$M596))</f>
        <v/>
      </c>
      <c r="O596" s="13"/>
      <c r="P596" s="7"/>
      <c r="Q596" s="12" t="str">
        <f aca="false">IF($C596="","",IF($P596&lt;&gt;"","발송완료",IF($O596&lt;&gt;"","입금완료","입금대기")))</f>
        <v/>
      </c>
      <c r="R596" s="12" t="str">
        <f aca="false">IF($C596="","",COUNTIFS($C$3:$C596,$C596))</f>
        <v/>
      </c>
      <c r="S596" s="12" t="str">
        <f aca="false">IF($C596="","",$C596&amp;"|"&amp;$R596)</f>
        <v/>
      </c>
    </row>
    <row r="597" customFormat="false" ht="15" hidden="false" customHeight="true" outlineLevel="0" collapsed="false">
      <c r="A597" s="12" t="str">
        <f aca="false">IF($C597="","",TEXT($B597,"yymmdd")&amp;"-"&amp;TEXT(COUNTIFS($B$3:$B597,$B597),"000"))</f>
        <v/>
      </c>
      <c r="B597" s="13"/>
      <c r="C597" s="7"/>
      <c r="D597" s="12" t="str">
        <f aca="false">IF($C597="","",IFERROR(INDEX(고객명부!$B$3:$B$502,MATCH($C597,고객명부!$A$3:$A$502,0)),"미등록고객"))</f>
        <v/>
      </c>
      <c r="E597" s="12" t="str">
        <f aca="false">IF($C597="","",IFERROR(INDEX(고객명부!$C$3:$C$502,MATCH($C597,고객명부!$A$3:$A$502,0)),""))</f>
        <v/>
      </c>
      <c r="F597" s="12" t="str">
        <f aca="false">IF($C597="","",IFERROR(INDEX(고객명부!$D$3:$D$502,MATCH($C597,고객명부!$A$3:$A$502,0)),""))</f>
        <v/>
      </c>
      <c r="G597" s="12" t="str">
        <f aca="false">IF($C597="","",IFERROR(INDEX(고객명부!$E$3:$E$502,MATCH($C597,고객명부!$A$3:$A$502,0))&amp;" "&amp;INDEX(고객명부!$F$3:$F$502,MATCH($C597,고객명부!$A$3:$A$502,0)),""))</f>
        <v/>
      </c>
      <c r="H597" s="7"/>
      <c r="I597" s="12" t="str">
        <f aca="false">IF($H597="","",IFERROR(INDEX(상품목록!$B$3:$B$102,MATCH($H597,상품목록!$A$3:$A$102,0)),""))</f>
        <v/>
      </c>
      <c r="J597" s="14" t="str">
        <f aca="false">IF($H597="","",IFERROR(INDEX(상품목록!$C$3:$C$102,MATCH($H597,상품목록!$A$3:$A$102,0)),0))</f>
        <v/>
      </c>
      <c r="K597" s="7"/>
      <c r="L597" s="14" t="str">
        <f aca="false">IF(OR($J597="",$K597=""),"",ROUND($J597*$K597,0))</f>
        <v/>
      </c>
      <c r="M597" s="9"/>
      <c r="N597" s="14" t="str">
        <f aca="false">IF($L597="","",$L597+IF($M597="",0,$M597))</f>
        <v/>
      </c>
      <c r="O597" s="13"/>
      <c r="P597" s="7"/>
      <c r="Q597" s="12" t="str">
        <f aca="false">IF($C597="","",IF($P597&lt;&gt;"","발송완료",IF($O597&lt;&gt;"","입금완료","입금대기")))</f>
        <v/>
      </c>
      <c r="R597" s="12" t="str">
        <f aca="false">IF($C597="","",COUNTIFS($C$3:$C597,$C597))</f>
        <v/>
      </c>
      <c r="S597" s="12" t="str">
        <f aca="false">IF($C597="","",$C597&amp;"|"&amp;$R597)</f>
        <v/>
      </c>
    </row>
    <row r="598" customFormat="false" ht="15" hidden="false" customHeight="true" outlineLevel="0" collapsed="false">
      <c r="A598" s="12" t="str">
        <f aca="false">IF($C598="","",TEXT($B598,"yymmdd")&amp;"-"&amp;TEXT(COUNTIFS($B$3:$B598,$B598),"000"))</f>
        <v/>
      </c>
      <c r="B598" s="13"/>
      <c r="C598" s="7"/>
      <c r="D598" s="12" t="str">
        <f aca="false">IF($C598="","",IFERROR(INDEX(고객명부!$B$3:$B$502,MATCH($C598,고객명부!$A$3:$A$502,0)),"미등록고객"))</f>
        <v/>
      </c>
      <c r="E598" s="12" t="str">
        <f aca="false">IF($C598="","",IFERROR(INDEX(고객명부!$C$3:$C$502,MATCH($C598,고객명부!$A$3:$A$502,0)),""))</f>
        <v/>
      </c>
      <c r="F598" s="12" t="str">
        <f aca="false">IF($C598="","",IFERROR(INDEX(고객명부!$D$3:$D$502,MATCH($C598,고객명부!$A$3:$A$502,0)),""))</f>
        <v/>
      </c>
      <c r="G598" s="12" t="str">
        <f aca="false">IF($C598="","",IFERROR(INDEX(고객명부!$E$3:$E$502,MATCH($C598,고객명부!$A$3:$A$502,0))&amp;" "&amp;INDEX(고객명부!$F$3:$F$502,MATCH($C598,고객명부!$A$3:$A$502,0)),""))</f>
        <v/>
      </c>
      <c r="H598" s="7"/>
      <c r="I598" s="12" t="str">
        <f aca="false">IF($H598="","",IFERROR(INDEX(상품목록!$B$3:$B$102,MATCH($H598,상품목록!$A$3:$A$102,0)),""))</f>
        <v/>
      </c>
      <c r="J598" s="14" t="str">
        <f aca="false">IF($H598="","",IFERROR(INDEX(상품목록!$C$3:$C$102,MATCH($H598,상품목록!$A$3:$A$102,0)),0))</f>
        <v/>
      </c>
      <c r="K598" s="7"/>
      <c r="L598" s="14" t="str">
        <f aca="false">IF(OR($J598="",$K598=""),"",ROUND($J598*$K598,0))</f>
        <v/>
      </c>
      <c r="M598" s="9"/>
      <c r="N598" s="14" t="str">
        <f aca="false">IF($L598="","",$L598+IF($M598="",0,$M598))</f>
        <v/>
      </c>
      <c r="O598" s="13"/>
      <c r="P598" s="7"/>
      <c r="Q598" s="12" t="str">
        <f aca="false">IF($C598="","",IF($P598&lt;&gt;"","발송완료",IF($O598&lt;&gt;"","입금완료","입금대기")))</f>
        <v/>
      </c>
      <c r="R598" s="12" t="str">
        <f aca="false">IF($C598="","",COUNTIFS($C$3:$C598,$C598))</f>
        <v/>
      </c>
      <c r="S598" s="12" t="str">
        <f aca="false">IF($C598="","",$C598&amp;"|"&amp;$R598)</f>
        <v/>
      </c>
    </row>
    <row r="599" customFormat="false" ht="15" hidden="false" customHeight="true" outlineLevel="0" collapsed="false">
      <c r="A599" s="12" t="str">
        <f aca="false">IF($C599="","",TEXT($B599,"yymmdd")&amp;"-"&amp;TEXT(COUNTIFS($B$3:$B599,$B599),"000"))</f>
        <v/>
      </c>
      <c r="B599" s="13"/>
      <c r="C599" s="7"/>
      <c r="D599" s="12" t="str">
        <f aca="false">IF($C599="","",IFERROR(INDEX(고객명부!$B$3:$B$502,MATCH($C599,고객명부!$A$3:$A$502,0)),"미등록고객"))</f>
        <v/>
      </c>
      <c r="E599" s="12" t="str">
        <f aca="false">IF($C599="","",IFERROR(INDEX(고객명부!$C$3:$C$502,MATCH($C599,고객명부!$A$3:$A$502,0)),""))</f>
        <v/>
      </c>
      <c r="F599" s="12" t="str">
        <f aca="false">IF($C599="","",IFERROR(INDEX(고객명부!$D$3:$D$502,MATCH($C599,고객명부!$A$3:$A$502,0)),""))</f>
        <v/>
      </c>
      <c r="G599" s="12" t="str">
        <f aca="false">IF($C599="","",IFERROR(INDEX(고객명부!$E$3:$E$502,MATCH($C599,고객명부!$A$3:$A$502,0))&amp;" "&amp;INDEX(고객명부!$F$3:$F$502,MATCH($C599,고객명부!$A$3:$A$502,0)),""))</f>
        <v/>
      </c>
      <c r="H599" s="7"/>
      <c r="I599" s="12" t="str">
        <f aca="false">IF($H599="","",IFERROR(INDEX(상품목록!$B$3:$B$102,MATCH($H599,상품목록!$A$3:$A$102,0)),""))</f>
        <v/>
      </c>
      <c r="J599" s="14" t="str">
        <f aca="false">IF($H599="","",IFERROR(INDEX(상품목록!$C$3:$C$102,MATCH($H599,상품목록!$A$3:$A$102,0)),0))</f>
        <v/>
      </c>
      <c r="K599" s="7"/>
      <c r="L599" s="14" t="str">
        <f aca="false">IF(OR($J599="",$K599=""),"",ROUND($J599*$K599,0))</f>
        <v/>
      </c>
      <c r="M599" s="9"/>
      <c r="N599" s="14" t="str">
        <f aca="false">IF($L599="","",$L599+IF($M599="",0,$M599))</f>
        <v/>
      </c>
      <c r="O599" s="13"/>
      <c r="P599" s="7"/>
      <c r="Q599" s="12" t="str">
        <f aca="false">IF($C599="","",IF($P599&lt;&gt;"","발송완료",IF($O599&lt;&gt;"","입금완료","입금대기")))</f>
        <v/>
      </c>
      <c r="R599" s="12" t="str">
        <f aca="false">IF($C599="","",COUNTIFS($C$3:$C599,$C599))</f>
        <v/>
      </c>
      <c r="S599" s="12" t="str">
        <f aca="false">IF($C599="","",$C599&amp;"|"&amp;$R599)</f>
        <v/>
      </c>
    </row>
    <row r="600" customFormat="false" ht="15" hidden="false" customHeight="true" outlineLevel="0" collapsed="false">
      <c r="A600" s="12" t="str">
        <f aca="false">IF($C600="","",TEXT($B600,"yymmdd")&amp;"-"&amp;TEXT(COUNTIFS($B$3:$B600,$B600),"000"))</f>
        <v/>
      </c>
      <c r="B600" s="13"/>
      <c r="C600" s="7"/>
      <c r="D600" s="12" t="str">
        <f aca="false">IF($C600="","",IFERROR(INDEX(고객명부!$B$3:$B$502,MATCH($C600,고객명부!$A$3:$A$502,0)),"미등록고객"))</f>
        <v/>
      </c>
      <c r="E600" s="12" t="str">
        <f aca="false">IF($C600="","",IFERROR(INDEX(고객명부!$C$3:$C$502,MATCH($C600,고객명부!$A$3:$A$502,0)),""))</f>
        <v/>
      </c>
      <c r="F600" s="12" t="str">
        <f aca="false">IF($C600="","",IFERROR(INDEX(고객명부!$D$3:$D$502,MATCH($C600,고객명부!$A$3:$A$502,0)),""))</f>
        <v/>
      </c>
      <c r="G600" s="12" t="str">
        <f aca="false">IF($C600="","",IFERROR(INDEX(고객명부!$E$3:$E$502,MATCH($C600,고객명부!$A$3:$A$502,0))&amp;" "&amp;INDEX(고객명부!$F$3:$F$502,MATCH($C600,고객명부!$A$3:$A$502,0)),""))</f>
        <v/>
      </c>
      <c r="H600" s="7"/>
      <c r="I600" s="12" t="str">
        <f aca="false">IF($H600="","",IFERROR(INDEX(상품목록!$B$3:$B$102,MATCH($H600,상품목록!$A$3:$A$102,0)),""))</f>
        <v/>
      </c>
      <c r="J600" s="14" t="str">
        <f aca="false">IF($H600="","",IFERROR(INDEX(상품목록!$C$3:$C$102,MATCH($H600,상품목록!$A$3:$A$102,0)),0))</f>
        <v/>
      </c>
      <c r="K600" s="7"/>
      <c r="L600" s="14" t="str">
        <f aca="false">IF(OR($J600="",$K600=""),"",ROUND($J600*$K600,0))</f>
        <v/>
      </c>
      <c r="M600" s="9"/>
      <c r="N600" s="14" t="str">
        <f aca="false">IF($L600="","",$L600+IF($M600="",0,$M600))</f>
        <v/>
      </c>
      <c r="O600" s="13"/>
      <c r="P600" s="7"/>
      <c r="Q600" s="12" t="str">
        <f aca="false">IF($C600="","",IF($P600&lt;&gt;"","발송완료",IF($O600&lt;&gt;"","입금완료","입금대기")))</f>
        <v/>
      </c>
      <c r="R600" s="12" t="str">
        <f aca="false">IF($C600="","",COUNTIFS($C$3:$C600,$C600))</f>
        <v/>
      </c>
      <c r="S600" s="12" t="str">
        <f aca="false">IF($C600="","",$C600&amp;"|"&amp;$R600)</f>
        <v/>
      </c>
    </row>
    <row r="601" customFormat="false" ht="15" hidden="false" customHeight="true" outlineLevel="0" collapsed="false">
      <c r="A601" s="12" t="str">
        <f aca="false">IF($C601="","",TEXT($B601,"yymmdd")&amp;"-"&amp;TEXT(COUNTIFS($B$3:$B601,$B601),"000"))</f>
        <v/>
      </c>
      <c r="B601" s="13"/>
      <c r="C601" s="7"/>
      <c r="D601" s="12" t="str">
        <f aca="false">IF($C601="","",IFERROR(INDEX(고객명부!$B$3:$B$502,MATCH($C601,고객명부!$A$3:$A$502,0)),"미등록고객"))</f>
        <v/>
      </c>
      <c r="E601" s="12" t="str">
        <f aca="false">IF($C601="","",IFERROR(INDEX(고객명부!$C$3:$C$502,MATCH($C601,고객명부!$A$3:$A$502,0)),""))</f>
        <v/>
      </c>
      <c r="F601" s="12" t="str">
        <f aca="false">IF($C601="","",IFERROR(INDEX(고객명부!$D$3:$D$502,MATCH($C601,고객명부!$A$3:$A$502,0)),""))</f>
        <v/>
      </c>
      <c r="G601" s="12" t="str">
        <f aca="false">IF($C601="","",IFERROR(INDEX(고객명부!$E$3:$E$502,MATCH($C601,고객명부!$A$3:$A$502,0))&amp;" "&amp;INDEX(고객명부!$F$3:$F$502,MATCH($C601,고객명부!$A$3:$A$502,0)),""))</f>
        <v/>
      </c>
      <c r="H601" s="7"/>
      <c r="I601" s="12" t="str">
        <f aca="false">IF($H601="","",IFERROR(INDEX(상품목록!$B$3:$B$102,MATCH($H601,상품목록!$A$3:$A$102,0)),""))</f>
        <v/>
      </c>
      <c r="J601" s="14" t="str">
        <f aca="false">IF($H601="","",IFERROR(INDEX(상품목록!$C$3:$C$102,MATCH($H601,상품목록!$A$3:$A$102,0)),0))</f>
        <v/>
      </c>
      <c r="K601" s="7"/>
      <c r="L601" s="14" t="str">
        <f aca="false">IF(OR($J601="",$K601=""),"",ROUND($J601*$K601,0))</f>
        <v/>
      </c>
      <c r="M601" s="9"/>
      <c r="N601" s="14" t="str">
        <f aca="false">IF($L601="","",$L601+IF($M601="",0,$M601))</f>
        <v/>
      </c>
      <c r="O601" s="13"/>
      <c r="P601" s="7"/>
      <c r="Q601" s="12" t="str">
        <f aca="false">IF($C601="","",IF($P601&lt;&gt;"","발송완료",IF($O601&lt;&gt;"","입금완료","입금대기")))</f>
        <v/>
      </c>
      <c r="R601" s="12" t="str">
        <f aca="false">IF($C601="","",COUNTIFS($C$3:$C601,$C601))</f>
        <v/>
      </c>
      <c r="S601" s="12" t="str">
        <f aca="false">IF($C601="","",$C601&amp;"|"&amp;$R601)</f>
        <v/>
      </c>
    </row>
    <row r="602" customFormat="false" ht="15" hidden="false" customHeight="true" outlineLevel="0" collapsed="false">
      <c r="A602" s="12" t="str">
        <f aca="false">IF($C602="","",TEXT($B602,"yymmdd")&amp;"-"&amp;TEXT(COUNTIFS($B$3:$B602,$B602),"000"))</f>
        <v/>
      </c>
      <c r="B602" s="13"/>
      <c r="C602" s="7"/>
      <c r="D602" s="12" t="str">
        <f aca="false">IF($C602="","",IFERROR(INDEX(고객명부!$B$3:$B$502,MATCH($C602,고객명부!$A$3:$A$502,0)),"미등록고객"))</f>
        <v/>
      </c>
      <c r="E602" s="12" t="str">
        <f aca="false">IF($C602="","",IFERROR(INDEX(고객명부!$C$3:$C$502,MATCH($C602,고객명부!$A$3:$A$502,0)),""))</f>
        <v/>
      </c>
      <c r="F602" s="12" t="str">
        <f aca="false">IF($C602="","",IFERROR(INDEX(고객명부!$D$3:$D$502,MATCH($C602,고객명부!$A$3:$A$502,0)),""))</f>
        <v/>
      </c>
      <c r="G602" s="12" t="str">
        <f aca="false">IF($C602="","",IFERROR(INDEX(고객명부!$E$3:$E$502,MATCH($C602,고객명부!$A$3:$A$502,0))&amp;" "&amp;INDEX(고객명부!$F$3:$F$502,MATCH($C602,고객명부!$A$3:$A$502,0)),""))</f>
        <v/>
      </c>
      <c r="H602" s="7"/>
      <c r="I602" s="12" t="str">
        <f aca="false">IF($H602="","",IFERROR(INDEX(상품목록!$B$3:$B$102,MATCH($H602,상품목록!$A$3:$A$102,0)),""))</f>
        <v/>
      </c>
      <c r="J602" s="14" t="str">
        <f aca="false">IF($H602="","",IFERROR(INDEX(상품목록!$C$3:$C$102,MATCH($H602,상품목록!$A$3:$A$102,0)),0))</f>
        <v/>
      </c>
      <c r="K602" s="7"/>
      <c r="L602" s="14" t="str">
        <f aca="false">IF(OR($J602="",$K602=""),"",ROUND($J602*$K602,0))</f>
        <v/>
      </c>
      <c r="M602" s="9"/>
      <c r="N602" s="14" t="str">
        <f aca="false">IF($L602="","",$L602+IF($M602="",0,$M602))</f>
        <v/>
      </c>
      <c r="O602" s="13"/>
      <c r="P602" s="7"/>
      <c r="Q602" s="12" t="str">
        <f aca="false">IF($C602="","",IF($P602&lt;&gt;"","발송완료",IF($O602&lt;&gt;"","입금완료","입금대기")))</f>
        <v/>
      </c>
      <c r="R602" s="12" t="str">
        <f aca="false">IF($C602="","",COUNTIFS($C$3:$C602,$C602))</f>
        <v/>
      </c>
      <c r="S602" s="12" t="str">
        <f aca="false">IF($C602="","",$C602&amp;"|"&amp;$R602)</f>
        <v/>
      </c>
    </row>
  </sheetData>
  <mergeCells count="1">
    <mergeCell ref="A1:Q1"/>
  </mergeCells>
  <conditionalFormatting sqref="A3:Q602">
    <cfRule type="expression" priority="2" aboveAverage="0" equalAverage="0" bottom="0" percent="0" rank="0" text="" dxfId="0">
      <formula>$Q3="입금대기"</formula>
    </cfRule>
    <cfRule type="expression" priority="3" aboveAverage="0" equalAverage="0" bottom="0" percent="0" rank="0" text="" dxfId="1">
      <formula>$Q3="발송완료"</formula>
    </cfRule>
  </conditionalFormatting>
  <dataValidations count="2">
    <dataValidation allowBlank="true" errorStyle="stop" operator="between" showDropDown="false" showErrorMessage="false" showInputMessage="false" sqref="C3:C602" type="list">
      <formula1>고객명부!$A$3:$A$502</formula1>
      <formula2>0</formula2>
    </dataValidation>
    <dataValidation allowBlank="true" errorStyle="stop" operator="between" showDropDown="false" showErrorMessage="false" showInputMessage="false" sqref="H3:H602" type="list">
      <formula1>상품목록!$A$3:$A$102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30"/>
    <col collapsed="false" customWidth="true" hidden="false" outlineLevel="0" max="5" min="5" style="1" width="4"/>
  </cols>
  <sheetData>
    <row r="1" customFormat="false" ht="37.5" hidden="false" customHeight="true" outlineLevel="0" collapsed="false">
      <c r="A1" s="15" t="s">
        <v>63</v>
      </c>
      <c r="B1" s="15"/>
      <c r="C1" s="15"/>
      <c r="D1" s="15"/>
    </row>
    <row r="3" customFormat="false" ht="15" hidden="false" customHeight="true" outlineLevel="0" collapsed="false">
      <c r="A3" s="3" t="s">
        <v>18</v>
      </c>
      <c r="B3" s="16" t="inlineStr">
        <is>
          <t>260903-001</t>
        </is>
      </c>
      <c r="C3" s="17" t="s">
        <v>65</v>
      </c>
    </row>
    <row r="5" customFormat="false" ht="24" hidden="false" customHeight="true" outlineLevel="0" collapsed="false">
      <c r="A5" s="18" t="s">
        <v>66</v>
      </c>
      <c r="B5" s="19" t="str">
        <f aca="false">IFERROR(INDEX(주문접수!$D$3:$D$602,MATCH($B$3,주문접수!$A$3:$A$602,0)),"")</f>
        <v>김고객</v>
      </c>
      <c r="C5" s="19"/>
      <c r="D5" s="19"/>
    </row>
    <row r="6" customFormat="false" ht="24" hidden="false" customHeight="true" outlineLevel="0" collapsed="false">
      <c r="A6" s="18" t="s">
        <v>24</v>
      </c>
      <c r="B6" s="19" t="str">
        <f aca="false">IFERROR(INDEX(주문접수!$E$3:$E$602,MATCH($B$3,주문접수!$A$3:$A$602,0)),"")</f>
        <v>010-0000-0000</v>
      </c>
      <c r="C6" s="19"/>
      <c r="D6" s="19"/>
    </row>
    <row r="7" customFormat="false" ht="24" hidden="false" customHeight="true" outlineLevel="0" collapsed="false">
      <c r="A7" s="18" t="s">
        <v>25</v>
      </c>
      <c r="B7" s="19" t="str">
        <f aca="false">IFERROR(INDEX(주문접수!$F$3:$F$602,MATCH($B$3,주문접수!$A$3:$A$602,0)),"")</f>
        <v>12345</v>
      </c>
      <c r="C7" s="19"/>
      <c r="D7" s="19"/>
    </row>
    <row r="8" customFormat="false" ht="24" hidden="false" customHeight="true" outlineLevel="0" collapsed="false">
      <c r="A8" s="18" t="s">
        <v>26</v>
      </c>
      <c r="B8" s="19" t="str">
        <f aca="false">IFERROR(INDEX(주문접수!$G$3:$G$602,MATCH($B$3,주문접수!$A$3:$A$602,0)),"")</f>
        <v>서울시 ○○구 ○○로 10 101동 101호</v>
      </c>
      <c r="C8" s="19"/>
      <c r="D8" s="19"/>
    </row>
    <row r="9" customFormat="false" ht="24" hidden="false" customHeight="true" outlineLevel="0" collapsed="false">
      <c r="A9" s="18" t="s">
        <v>67</v>
      </c>
      <c r="B9" s="19" t="str">
        <f aca="false">IFERROR(INDEX(주문접수!$H$3:$H$602,MATCH($B$3,주문접수!$A$3:$A$602,0))&amp;" / "&amp;INDEX(주문접수!$I$3:$I$602,MATCH($B$3,주문접수!$A$3:$A$602,0)),"")</f>
        <v>사과 부사 5kg / 5kg (특)</v>
      </c>
      <c r="C9" s="19"/>
      <c r="D9" s="19"/>
    </row>
    <row r="10" customFormat="false" ht="24" hidden="false" customHeight="true" outlineLevel="0" collapsed="false">
      <c r="A10" s="18" t="s">
        <v>54</v>
      </c>
      <c r="B10" s="19" t="n">
        <f aca="false">IFERROR(INDEX(주문접수!$K$3:$K$602,MATCH($B$3,주문접수!$A$3:$A$602,0)),"")</f>
        <v>2</v>
      </c>
      <c r="C10" s="19"/>
      <c r="D10" s="19"/>
    </row>
    <row r="11" customFormat="false" ht="24" hidden="false" customHeight="true" outlineLevel="0" collapsed="false">
      <c r="A11" s="18" t="s">
        <v>68</v>
      </c>
      <c r="B11" s="19" t="str">
        <f aca="false">IFERROR(INDEX(주문접수!$Q$3:$Q$602,MATCH($B$3,주문접수!$A$3:$A$602,0)),"")</f>
        <v>발송완료</v>
      </c>
      <c r="C11" s="19"/>
      <c r="D11" s="19"/>
    </row>
    <row r="13" customFormat="false" ht="15" hidden="false" customHeight="true" outlineLevel="0" collapsed="false">
      <c r="A13" s="18" t="s">
        <v>69</v>
      </c>
      <c r="B13" s="20" t="s">
        <v>70</v>
      </c>
      <c r="C13" s="20"/>
      <c r="D13" s="20"/>
    </row>
    <row r="15" customFormat="false" ht="15" hidden="false" customHeight="true" outlineLevel="0" collapsed="false">
      <c r="A15" s="17" t="s">
        <v>71</v>
      </c>
    </row>
  </sheetData>
  <mergeCells count="9">
    <mergeCell ref="A1:D1"/>
    <mergeCell ref="B5:D5"/>
    <mergeCell ref="B6:D6"/>
    <mergeCell ref="B7:D7"/>
    <mergeCell ref="B8:D8"/>
    <mergeCell ref="B9:D9"/>
    <mergeCell ref="B10:D10"/>
    <mergeCell ref="B11:D11"/>
    <mergeCell ref="B13:D13"/>
  </mergeCells>
  <dataValidations count="1">
    <dataValidation allowBlank="true" errorStyle="stop" operator="between" showDropDown="false" showErrorMessage="false" showInputMessage="false" sqref="B3" type="list">
      <formula1>주문접수!$A$3:$A$602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15"/>
    <col collapsed="false" customWidth="true" hidden="false" outlineLevel="0" max="4" min="4" style="1" width="26"/>
    <col collapsed="false" customWidth="true" hidden="false" outlineLevel="0" max="5" min="5" style="1" width="9"/>
    <col collapsed="false" customWidth="true" hidden="false" outlineLevel="0" max="6" min="6" style="1" width="15"/>
    <col collapsed="false" customWidth="true" hidden="false" outlineLevel="0" max="7" min="7" style="1" width="13"/>
  </cols>
  <sheetData>
    <row r="1" customFormat="false" ht="25.5" hidden="false" customHeight="true" outlineLevel="0" collapsed="false">
      <c r="A1" s="2" t="s">
        <v>72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22</v>
      </c>
      <c r="B3" s="21" t="n">
        <v>1001</v>
      </c>
      <c r="C3" s="22" t="str">
        <f aca="false">IFERROR(INDEX(고객명부!$B$3:$B$502,MATCH($B$3,고객명부!$A$3:$A$502,0)),"")</f>
        <v>김고객</v>
      </c>
      <c r="D3" s="17" t="s">
        <v>73</v>
      </c>
    </row>
    <row r="5" customFormat="false" ht="15" hidden="false" customHeight="true" outlineLevel="0" collapsed="false">
      <c r="A5" s="23" t="s">
        <v>74</v>
      </c>
      <c r="B5" s="24"/>
      <c r="C5" s="23" t="s">
        <v>75</v>
      </c>
      <c r="D5" s="25"/>
      <c r="E5" s="23" t="s">
        <v>76</v>
      </c>
      <c r="F5" s="24"/>
    </row>
    <row r="6" customFormat="false" ht="15" hidden="false" customHeight="false" outlineLevel="0" collapsed="false">
      <c r="A6" s="26" t="n">
        <f aca="false">COUNTIFS(주문접수!$C$3:$C$602,$B$3)</f>
        <v>2</v>
      </c>
      <c r="C6" s="27" t="n">
        <f aca="false">SUMIFS(주문접수!$N$3:$N$602,주문접수!$C$3:$C$602,$B$3)</f>
        <v>132000</v>
      </c>
      <c r="E6" s="26" t="n">
        <f aca="false">COUNTIFS(주문접수!$C$3:$C$602,$B$3,주문접수!$Q$3:$Q$602,"입금대기")</f>
        <v>0</v>
      </c>
    </row>
    <row r="7" customFormat="false" ht="15" hidden="false" customHeight="true" outlineLevel="0" collapsed="false">
      <c r="A7" s="28" t="s">
        <v>77</v>
      </c>
      <c r="B7" s="6" t="s">
        <v>47</v>
      </c>
      <c r="C7" s="6" t="s">
        <v>18</v>
      </c>
      <c r="D7" s="6" t="s">
        <v>36</v>
      </c>
      <c r="E7" s="6" t="s">
        <v>54</v>
      </c>
      <c r="F7" s="6" t="s">
        <v>78</v>
      </c>
      <c r="G7" s="6" t="s">
        <v>79</v>
      </c>
    </row>
    <row r="8" customFormat="false" ht="15" hidden="false" customHeight="true" outlineLevel="0" collapsed="false">
      <c r="A8" s="29" t="n">
        <v>1</v>
      </c>
      <c r="B8" s="30" t="n">
        <f aca="false">IFERROR(INDEX(주문접수!$B$3:$B$602,MATCH($B$3&amp;"|"&amp;1,주문접수!$S$3:$S$602,0)),"")</f>
        <v>46268</v>
      </c>
      <c r="C8" s="12" t="str">
        <f aca="false">IF($B8="","",IFERROR(INDEX(주문접수!$A$3:$A$602,MATCH($B$3&amp;"|"&amp;1,주문접수!$S$3:$S$602,0)),""))</f>
        <v>260903-001</v>
      </c>
      <c r="D8" s="12" t="str">
        <f aca="false">IF($B8="","",IFERROR(INDEX(주문접수!$H$3:$H$602,MATCH($B$3&amp;"|"&amp;1,주문접수!$S$3:$S$602,0)),""))</f>
        <v>사과 부사 5kg</v>
      </c>
      <c r="E8" s="12" t="n">
        <f aca="false">IF($B8="","",IFERROR(INDEX(주문접수!$K$3:$K$602,MATCH($B$3&amp;"|"&amp;1,주문접수!$S$3:$S$602,0)),""))</f>
        <v>2</v>
      </c>
      <c r="F8" s="14" t="n">
        <f aca="false">IF($B8="","",IFERROR(INDEX(주문접수!$N$3:$N$602,MATCH($B$3&amp;"|"&amp;1,주문접수!$S$3:$S$602,0)),""))</f>
        <v>73500</v>
      </c>
      <c r="G8" s="12" t="str">
        <f aca="false">IF($B8="","",IFERROR(INDEX(주문접수!$Q$3:$Q$602,MATCH($B$3&amp;"|"&amp;1,주문접수!$S$3:$S$602,0)),""))</f>
        <v>발송완료</v>
      </c>
    </row>
    <row r="9" customFormat="false" ht="15" hidden="false" customHeight="true" outlineLevel="0" collapsed="false">
      <c r="A9" s="29" t="n">
        <v>2</v>
      </c>
      <c r="B9" s="30" t="n">
        <f aca="false">IFERROR(INDEX(주문접수!$B$3:$B$602,MATCH($B$3&amp;"|"&amp;2,주문접수!$S$3:$S$602,0)),"")</f>
        <v>46274</v>
      </c>
      <c r="C9" s="12" t="str">
        <f aca="false">IF($B9="","",IFERROR(INDEX(주문접수!$A$3:$A$602,MATCH($B$3&amp;"|"&amp;2,주문접수!$S$3:$S$602,0)),""))</f>
        <v>260909-001</v>
      </c>
      <c r="D9" s="12" t="str">
        <f aca="false">IF($B9="","",IFERROR(INDEX(주문접수!$H$3:$H$602,MATCH($B$3&amp;"|"&amp;2,주문접수!$S$3:$S$602,0)),""))</f>
        <v>사과 부사 10kg</v>
      </c>
      <c r="E9" s="12" t="n">
        <f aca="false">IF($B9="","",IFERROR(INDEX(주문접수!$K$3:$K$602,MATCH($B$3&amp;"|"&amp;2,주문접수!$S$3:$S$602,0)),""))</f>
        <v>1</v>
      </c>
      <c r="F9" s="14" t="n">
        <f aca="false">IF($B9="","",IFERROR(INDEX(주문접수!$N$3:$N$602,MATCH($B$3&amp;"|"&amp;2,주문접수!$S$3:$S$602,0)),""))</f>
        <v>58500</v>
      </c>
      <c r="G9" s="12" t="str">
        <f aca="false">IF($B9="","",IFERROR(INDEX(주문접수!$Q$3:$Q$602,MATCH($B$3&amp;"|"&amp;2,주문접수!$S$3:$S$602,0)),""))</f>
        <v>입금완료</v>
      </c>
    </row>
    <row r="10" customFormat="false" ht="15" hidden="false" customHeight="true" outlineLevel="0" collapsed="false">
      <c r="A10" s="29" t="n">
        <v>3</v>
      </c>
      <c r="B10" s="30" t="str">
        <f aca="false">IFERROR(INDEX(주문접수!$B$3:$B$602,MATCH($B$3&amp;"|"&amp;3,주문접수!$S$3:$S$602,0)),"")</f>
        <v/>
      </c>
      <c r="C10" s="12" t="str">
        <f aca="false">IF($B10="","",IFERROR(INDEX(주문접수!$A$3:$A$602,MATCH($B$3&amp;"|"&amp;3,주문접수!$S$3:$S$602,0)),""))</f>
        <v/>
      </c>
      <c r="D10" s="12" t="str">
        <f aca="false">IF($B10="","",IFERROR(INDEX(주문접수!$H$3:$H$602,MATCH($B$3&amp;"|"&amp;3,주문접수!$S$3:$S$602,0)),""))</f>
        <v/>
      </c>
      <c r="E10" s="12" t="str">
        <f aca="false">IF($B10="","",IFERROR(INDEX(주문접수!$K$3:$K$602,MATCH($B$3&amp;"|"&amp;3,주문접수!$S$3:$S$602,0)),""))</f>
        <v/>
      </c>
      <c r="F10" s="14" t="str">
        <f aca="false">IF($B10="","",IFERROR(INDEX(주문접수!$N$3:$N$602,MATCH($B$3&amp;"|"&amp;3,주문접수!$S$3:$S$602,0)),""))</f>
        <v/>
      </c>
      <c r="G10" s="12" t="str">
        <f aca="false">IF($B10="","",IFERROR(INDEX(주문접수!$Q$3:$Q$602,MATCH($B$3&amp;"|"&amp;3,주문접수!$S$3:$S$602,0)),""))</f>
        <v/>
      </c>
    </row>
    <row r="11" customFormat="false" ht="15" hidden="false" customHeight="true" outlineLevel="0" collapsed="false">
      <c r="A11" s="29" t="n">
        <v>4</v>
      </c>
      <c r="B11" s="30" t="str">
        <f aca="false">IFERROR(INDEX(주문접수!$B$3:$B$602,MATCH($B$3&amp;"|"&amp;4,주문접수!$S$3:$S$602,0)),"")</f>
        <v/>
      </c>
      <c r="C11" s="12" t="str">
        <f aca="false">IF($B11="","",IFERROR(INDEX(주문접수!$A$3:$A$602,MATCH($B$3&amp;"|"&amp;4,주문접수!$S$3:$S$602,0)),""))</f>
        <v/>
      </c>
      <c r="D11" s="12" t="str">
        <f aca="false">IF($B11="","",IFERROR(INDEX(주문접수!$H$3:$H$602,MATCH($B$3&amp;"|"&amp;4,주문접수!$S$3:$S$602,0)),""))</f>
        <v/>
      </c>
      <c r="E11" s="12" t="str">
        <f aca="false">IF($B11="","",IFERROR(INDEX(주문접수!$K$3:$K$602,MATCH($B$3&amp;"|"&amp;4,주문접수!$S$3:$S$602,0)),""))</f>
        <v/>
      </c>
      <c r="F11" s="14" t="str">
        <f aca="false">IF($B11="","",IFERROR(INDEX(주문접수!$N$3:$N$602,MATCH($B$3&amp;"|"&amp;4,주문접수!$S$3:$S$602,0)),""))</f>
        <v/>
      </c>
      <c r="G11" s="12" t="str">
        <f aca="false">IF($B11="","",IFERROR(INDEX(주문접수!$Q$3:$Q$602,MATCH($B$3&amp;"|"&amp;4,주문접수!$S$3:$S$602,0)),""))</f>
        <v/>
      </c>
    </row>
    <row r="12" customFormat="false" ht="15" hidden="false" customHeight="true" outlineLevel="0" collapsed="false">
      <c r="A12" s="29" t="n">
        <v>5</v>
      </c>
      <c r="B12" s="30" t="str">
        <f aca="false">IFERROR(INDEX(주문접수!$B$3:$B$602,MATCH($B$3&amp;"|"&amp;5,주문접수!$S$3:$S$602,0)),"")</f>
        <v/>
      </c>
      <c r="C12" s="12" t="str">
        <f aca="false">IF($B12="","",IFERROR(INDEX(주문접수!$A$3:$A$602,MATCH($B$3&amp;"|"&amp;5,주문접수!$S$3:$S$602,0)),""))</f>
        <v/>
      </c>
      <c r="D12" s="12" t="str">
        <f aca="false">IF($B12="","",IFERROR(INDEX(주문접수!$H$3:$H$602,MATCH($B$3&amp;"|"&amp;5,주문접수!$S$3:$S$602,0)),""))</f>
        <v/>
      </c>
      <c r="E12" s="12" t="str">
        <f aca="false">IF($B12="","",IFERROR(INDEX(주문접수!$K$3:$K$602,MATCH($B$3&amp;"|"&amp;5,주문접수!$S$3:$S$602,0)),""))</f>
        <v/>
      </c>
      <c r="F12" s="14" t="str">
        <f aca="false">IF($B12="","",IFERROR(INDEX(주문접수!$N$3:$N$602,MATCH($B$3&amp;"|"&amp;5,주문접수!$S$3:$S$602,0)),""))</f>
        <v/>
      </c>
      <c r="G12" s="12" t="str">
        <f aca="false">IF($B12="","",IFERROR(INDEX(주문접수!$Q$3:$Q$602,MATCH($B$3&amp;"|"&amp;5,주문접수!$S$3:$S$602,0)),""))</f>
        <v/>
      </c>
    </row>
    <row r="13" customFormat="false" ht="15" hidden="false" customHeight="true" outlineLevel="0" collapsed="false">
      <c r="A13" s="29" t="n">
        <v>6</v>
      </c>
      <c r="B13" s="30" t="str">
        <f aca="false">IFERROR(INDEX(주문접수!$B$3:$B$602,MATCH($B$3&amp;"|"&amp;6,주문접수!$S$3:$S$602,0)),"")</f>
        <v/>
      </c>
      <c r="C13" s="12" t="str">
        <f aca="false">IF($B13="","",IFERROR(INDEX(주문접수!$A$3:$A$602,MATCH($B$3&amp;"|"&amp;6,주문접수!$S$3:$S$602,0)),""))</f>
        <v/>
      </c>
      <c r="D13" s="12" t="str">
        <f aca="false">IF($B13="","",IFERROR(INDEX(주문접수!$H$3:$H$602,MATCH($B$3&amp;"|"&amp;6,주문접수!$S$3:$S$602,0)),""))</f>
        <v/>
      </c>
      <c r="E13" s="12" t="str">
        <f aca="false">IF($B13="","",IFERROR(INDEX(주문접수!$K$3:$K$602,MATCH($B$3&amp;"|"&amp;6,주문접수!$S$3:$S$602,0)),""))</f>
        <v/>
      </c>
      <c r="F13" s="14" t="str">
        <f aca="false">IF($B13="","",IFERROR(INDEX(주문접수!$N$3:$N$602,MATCH($B$3&amp;"|"&amp;6,주문접수!$S$3:$S$602,0)),""))</f>
        <v/>
      </c>
      <c r="G13" s="12" t="str">
        <f aca="false">IF($B13="","",IFERROR(INDEX(주문접수!$Q$3:$Q$602,MATCH($B$3&amp;"|"&amp;6,주문접수!$S$3:$S$602,0)),""))</f>
        <v/>
      </c>
    </row>
    <row r="14" customFormat="false" ht="15" hidden="false" customHeight="true" outlineLevel="0" collapsed="false">
      <c r="A14" s="29" t="n">
        <v>7</v>
      </c>
      <c r="B14" s="30" t="str">
        <f aca="false">IFERROR(INDEX(주문접수!$B$3:$B$602,MATCH($B$3&amp;"|"&amp;7,주문접수!$S$3:$S$602,0)),"")</f>
        <v/>
      </c>
      <c r="C14" s="12" t="str">
        <f aca="false">IF($B14="","",IFERROR(INDEX(주문접수!$A$3:$A$602,MATCH($B$3&amp;"|"&amp;7,주문접수!$S$3:$S$602,0)),""))</f>
        <v/>
      </c>
      <c r="D14" s="12" t="str">
        <f aca="false">IF($B14="","",IFERROR(INDEX(주문접수!$H$3:$H$602,MATCH($B$3&amp;"|"&amp;7,주문접수!$S$3:$S$602,0)),""))</f>
        <v/>
      </c>
      <c r="E14" s="12" t="str">
        <f aca="false">IF($B14="","",IFERROR(INDEX(주문접수!$K$3:$K$602,MATCH($B$3&amp;"|"&amp;7,주문접수!$S$3:$S$602,0)),""))</f>
        <v/>
      </c>
      <c r="F14" s="14" t="str">
        <f aca="false">IF($B14="","",IFERROR(INDEX(주문접수!$N$3:$N$602,MATCH($B$3&amp;"|"&amp;7,주문접수!$S$3:$S$602,0)),""))</f>
        <v/>
      </c>
      <c r="G14" s="12" t="str">
        <f aca="false">IF($B14="","",IFERROR(INDEX(주문접수!$Q$3:$Q$602,MATCH($B$3&amp;"|"&amp;7,주문접수!$S$3:$S$602,0)),""))</f>
        <v/>
      </c>
    </row>
    <row r="15" customFormat="false" ht="15" hidden="false" customHeight="true" outlineLevel="0" collapsed="false">
      <c r="A15" s="29" t="n">
        <v>8</v>
      </c>
      <c r="B15" s="30" t="str">
        <f aca="false">IFERROR(INDEX(주문접수!$B$3:$B$602,MATCH($B$3&amp;"|"&amp;8,주문접수!$S$3:$S$602,0)),"")</f>
        <v/>
      </c>
      <c r="C15" s="12" t="str">
        <f aca="false">IF($B15="","",IFERROR(INDEX(주문접수!$A$3:$A$602,MATCH($B$3&amp;"|"&amp;8,주문접수!$S$3:$S$602,0)),""))</f>
        <v/>
      </c>
      <c r="D15" s="12" t="str">
        <f aca="false">IF($B15="","",IFERROR(INDEX(주문접수!$H$3:$H$602,MATCH($B$3&amp;"|"&amp;8,주문접수!$S$3:$S$602,0)),""))</f>
        <v/>
      </c>
      <c r="E15" s="12" t="str">
        <f aca="false">IF($B15="","",IFERROR(INDEX(주문접수!$K$3:$K$602,MATCH($B$3&amp;"|"&amp;8,주문접수!$S$3:$S$602,0)),""))</f>
        <v/>
      </c>
      <c r="F15" s="14" t="str">
        <f aca="false">IF($B15="","",IFERROR(INDEX(주문접수!$N$3:$N$602,MATCH($B$3&amp;"|"&amp;8,주문접수!$S$3:$S$602,0)),""))</f>
        <v/>
      </c>
      <c r="G15" s="12" t="str">
        <f aca="false">IF($B15="","",IFERROR(INDEX(주문접수!$Q$3:$Q$602,MATCH($B$3&amp;"|"&amp;8,주문접수!$S$3:$S$602,0)),""))</f>
        <v/>
      </c>
    </row>
    <row r="16" customFormat="false" ht="15" hidden="false" customHeight="true" outlineLevel="0" collapsed="false">
      <c r="A16" s="29" t="n">
        <v>9</v>
      </c>
      <c r="B16" s="30" t="str">
        <f aca="false">IFERROR(INDEX(주문접수!$B$3:$B$602,MATCH($B$3&amp;"|"&amp;9,주문접수!$S$3:$S$602,0)),"")</f>
        <v/>
      </c>
      <c r="C16" s="12" t="str">
        <f aca="false">IF($B16="","",IFERROR(INDEX(주문접수!$A$3:$A$602,MATCH($B$3&amp;"|"&amp;9,주문접수!$S$3:$S$602,0)),""))</f>
        <v/>
      </c>
      <c r="D16" s="12" t="str">
        <f aca="false">IF($B16="","",IFERROR(INDEX(주문접수!$H$3:$H$602,MATCH($B$3&amp;"|"&amp;9,주문접수!$S$3:$S$602,0)),""))</f>
        <v/>
      </c>
      <c r="E16" s="12" t="str">
        <f aca="false">IF($B16="","",IFERROR(INDEX(주문접수!$K$3:$K$602,MATCH($B$3&amp;"|"&amp;9,주문접수!$S$3:$S$602,0)),""))</f>
        <v/>
      </c>
      <c r="F16" s="14" t="str">
        <f aca="false">IF($B16="","",IFERROR(INDEX(주문접수!$N$3:$N$602,MATCH($B$3&amp;"|"&amp;9,주문접수!$S$3:$S$602,0)),""))</f>
        <v/>
      </c>
      <c r="G16" s="12" t="str">
        <f aca="false">IF($B16="","",IFERROR(INDEX(주문접수!$Q$3:$Q$602,MATCH($B$3&amp;"|"&amp;9,주문접수!$S$3:$S$602,0)),""))</f>
        <v/>
      </c>
    </row>
    <row r="17" customFormat="false" ht="15" hidden="false" customHeight="true" outlineLevel="0" collapsed="false">
      <c r="A17" s="29" t="n">
        <v>10</v>
      </c>
      <c r="B17" s="30" t="str">
        <f aca="false">IFERROR(INDEX(주문접수!$B$3:$B$602,MATCH($B$3&amp;"|"&amp;10,주문접수!$S$3:$S$602,0)),"")</f>
        <v/>
      </c>
      <c r="C17" s="12" t="str">
        <f aca="false">IF($B17="","",IFERROR(INDEX(주문접수!$A$3:$A$602,MATCH($B$3&amp;"|"&amp;10,주문접수!$S$3:$S$602,0)),""))</f>
        <v/>
      </c>
      <c r="D17" s="12" t="str">
        <f aca="false">IF($B17="","",IFERROR(INDEX(주문접수!$H$3:$H$602,MATCH($B$3&amp;"|"&amp;10,주문접수!$S$3:$S$602,0)),""))</f>
        <v/>
      </c>
      <c r="E17" s="12" t="str">
        <f aca="false">IF($B17="","",IFERROR(INDEX(주문접수!$K$3:$K$602,MATCH($B$3&amp;"|"&amp;10,주문접수!$S$3:$S$602,0)),""))</f>
        <v/>
      </c>
      <c r="F17" s="14" t="str">
        <f aca="false">IF($B17="","",IFERROR(INDEX(주문접수!$N$3:$N$602,MATCH($B$3&amp;"|"&amp;10,주문접수!$S$3:$S$602,0)),""))</f>
        <v/>
      </c>
      <c r="G17" s="12" t="str">
        <f aca="false">IF($B17="","",IFERROR(INDEX(주문접수!$Q$3:$Q$602,MATCH($B$3&amp;"|"&amp;10,주문접수!$S$3:$S$602,0)),""))</f>
        <v/>
      </c>
    </row>
    <row r="18" customFormat="false" ht="15" hidden="false" customHeight="true" outlineLevel="0" collapsed="false">
      <c r="A18" s="29" t="n">
        <v>11</v>
      </c>
      <c r="B18" s="30" t="str">
        <f aca="false">IFERROR(INDEX(주문접수!$B$3:$B$602,MATCH($B$3&amp;"|"&amp;11,주문접수!$S$3:$S$602,0)),"")</f>
        <v/>
      </c>
      <c r="C18" s="12" t="str">
        <f aca="false">IF($B18="","",IFERROR(INDEX(주문접수!$A$3:$A$602,MATCH($B$3&amp;"|"&amp;11,주문접수!$S$3:$S$602,0)),""))</f>
        <v/>
      </c>
      <c r="D18" s="12" t="str">
        <f aca="false">IF($B18="","",IFERROR(INDEX(주문접수!$H$3:$H$602,MATCH($B$3&amp;"|"&amp;11,주문접수!$S$3:$S$602,0)),""))</f>
        <v/>
      </c>
      <c r="E18" s="12" t="str">
        <f aca="false">IF($B18="","",IFERROR(INDEX(주문접수!$K$3:$K$602,MATCH($B$3&amp;"|"&amp;11,주문접수!$S$3:$S$602,0)),""))</f>
        <v/>
      </c>
      <c r="F18" s="14" t="str">
        <f aca="false">IF($B18="","",IFERROR(INDEX(주문접수!$N$3:$N$602,MATCH($B$3&amp;"|"&amp;11,주문접수!$S$3:$S$602,0)),""))</f>
        <v/>
      </c>
      <c r="G18" s="12" t="str">
        <f aca="false">IF($B18="","",IFERROR(INDEX(주문접수!$Q$3:$Q$602,MATCH($B$3&amp;"|"&amp;11,주문접수!$S$3:$S$602,0)),""))</f>
        <v/>
      </c>
    </row>
    <row r="19" customFormat="false" ht="15" hidden="false" customHeight="true" outlineLevel="0" collapsed="false">
      <c r="A19" s="29" t="n">
        <v>12</v>
      </c>
      <c r="B19" s="30" t="str">
        <f aca="false">IFERROR(INDEX(주문접수!$B$3:$B$602,MATCH($B$3&amp;"|"&amp;12,주문접수!$S$3:$S$602,0)),"")</f>
        <v/>
      </c>
      <c r="C19" s="12" t="str">
        <f aca="false">IF($B19="","",IFERROR(INDEX(주문접수!$A$3:$A$602,MATCH($B$3&amp;"|"&amp;12,주문접수!$S$3:$S$602,0)),""))</f>
        <v/>
      </c>
      <c r="D19" s="12" t="str">
        <f aca="false">IF($B19="","",IFERROR(INDEX(주문접수!$H$3:$H$602,MATCH($B$3&amp;"|"&amp;12,주문접수!$S$3:$S$602,0)),""))</f>
        <v/>
      </c>
      <c r="E19" s="12" t="str">
        <f aca="false">IF($B19="","",IFERROR(INDEX(주문접수!$K$3:$K$602,MATCH($B$3&amp;"|"&amp;12,주문접수!$S$3:$S$602,0)),""))</f>
        <v/>
      </c>
      <c r="F19" s="14" t="str">
        <f aca="false">IF($B19="","",IFERROR(INDEX(주문접수!$N$3:$N$602,MATCH($B$3&amp;"|"&amp;12,주문접수!$S$3:$S$602,0)),""))</f>
        <v/>
      </c>
      <c r="G19" s="12" t="str">
        <f aca="false">IF($B19="","",IFERROR(INDEX(주문접수!$Q$3:$Q$602,MATCH($B$3&amp;"|"&amp;12,주문접수!$S$3:$S$602,0)),""))</f>
        <v/>
      </c>
    </row>
    <row r="20" customFormat="false" ht="15" hidden="false" customHeight="true" outlineLevel="0" collapsed="false">
      <c r="A20" s="29" t="n">
        <v>13</v>
      </c>
      <c r="B20" s="30" t="str">
        <f aca="false">IFERROR(INDEX(주문접수!$B$3:$B$602,MATCH($B$3&amp;"|"&amp;13,주문접수!$S$3:$S$602,0)),"")</f>
        <v/>
      </c>
      <c r="C20" s="12" t="str">
        <f aca="false">IF($B20="","",IFERROR(INDEX(주문접수!$A$3:$A$602,MATCH($B$3&amp;"|"&amp;13,주문접수!$S$3:$S$602,0)),""))</f>
        <v/>
      </c>
      <c r="D20" s="12" t="str">
        <f aca="false">IF($B20="","",IFERROR(INDEX(주문접수!$H$3:$H$602,MATCH($B$3&amp;"|"&amp;13,주문접수!$S$3:$S$602,0)),""))</f>
        <v/>
      </c>
      <c r="E20" s="12" t="str">
        <f aca="false">IF($B20="","",IFERROR(INDEX(주문접수!$K$3:$K$602,MATCH($B$3&amp;"|"&amp;13,주문접수!$S$3:$S$602,0)),""))</f>
        <v/>
      </c>
      <c r="F20" s="14" t="str">
        <f aca="false">IF($B20="","",IFERROR(INDEX(주문접수!$N$3:$N$602,MATCH($B$3&amp;"|"&amp;13,주문접수!$S$3:$S$602,0)),""))</f>
        <v/>
      </c>
      <c r="G20" s="12" t="str">
        <f aca="false">IF($B20="","",IFERROR(INDEX(주문접수!$Q$3:$Q$602,MATCH($B$3&amp;"|"&amp;13,주문접수!$S$3:$S$602,0)),""))</f>
        <v/>
      </c>
    </row>
    <row r="21" customFormat="false" ht="15" hidden="false" customHeight="true" outlineLevel="0" collapsed="false">
      <c r="A21" s="29" t="n">
        <v>14</v>
      </c>
      <c r="B21" s="30" t="str">
        <f aca="false">IFERROR(INDEX(주문접수!$B$3:$B$602,MATCH($B$3&amp;"|"&amp;14,주문접수!$S$3:$S$602,0)),"")</f>
        <v/>
      </c>
      <c r="C21" s="12" t="str">
        <f aca="false">IF($B21="","",IFERROR(INDEX(주문접수!$A$3:$A$602,MATCH($B$3&amp;"|"&amp;14,주문접수!$S$3:$S$602,0)),""))</f>
        <v/>
      </c>
      <c r="D21" s="12" t="str">
        <f aca="false">IF($B21="","",IFERROR(INDEX(주문접수!$H$3:$H$602,MATCH($B$3&amp;"|"&amp;14,주문접수!$S$3:$S$602,0)),""))</f>
        <v/>
      </c>
      <c r="E21" s="12" t="str">
        <f aca="false">IF($B21="","",IFERROR(INDEX(주문접수!$K$3:$K$602,MATCH($B$3&amp;"|"&amp;14,주문접수!$S$3:$S$602,0)),""))</f>
        <v/>
      </c>
      <c r="F21" s="14" t="str">
        <f aca="false">IF($B21="","",IFERROR(INDEX(주문접수!$N$3:$N$602,MATCH($B$3&amp;"|"&amp;14,주문접수!$S$3:$S$602,0)),""))</f>
        <v/>
      </c>
      <c r="G21" s="12" t="str">
        <f aca="false">IF($B21="","",IFERROR(INDEX(주문접수!$Q$3:$Q$602,MATCH($B$3&amp;"|"&amp;14,주문접수!$S$3:$S$602,0)),""))</f>
        <v/>
      </c>
    </row>
    <row r="22" customFormat="false" ht="15" hidden="false" customHeight="true" outlineLevel="0" collapsed="false">
      <c r="A22" s="29" t="n">
        <v>15</v>
      </c>
      <c r="B22" s="30" t="str">
        <f aca="false">IFERROR(INDEX(주문접수!$B$3:$B$602,MATCH($B$3&amp;"|"&amp;15,주문접수!$S$3:$S$602,0)),"")</f>
        <v/>
      </c>
      <c r="C22" s="12" t="str">
        <f aca="false">IF($B22="","",IFERROR(INDEX(주문접수!$A$3:$A$602,MATCH($B$3&amp;"|"&amp;15,주문접수!$S$3:$S$602,0)),""))</f>
        <v/>
      </c>
      <c r="D22" s="12" t="str">
        <f aca="false">IF($B22="","",IFERROR(INDEX(주문접수!$H$3:$H$602,MATCH($B$3&amp;"|"&amp;15,주문접수!$S$3:$S$602,0)),""))</f>
        <v/>
      </c>
      <c r="E22" s="12" t="str">
        <f aca="false">IF($B22="","",IFERROR(INDEX(주문접수!$K$3:$K$602,MATCH($B$3&amp;"|"&amp;15,주문접수!$S$3:$S$602,0)),""))</f>
        <v/>
      </c>
      <c r="F22" s="14" t="str">
        <f aca="false">IF($B22="","",IFERROR(INDEX(주문접수!$N$3:$N$602,MATCH($B$3&amp;"|"&amp;15,주문접수!$S$3:$S$602,0)),""))</f>
        <v/>
      </c>
      <c r="G22" s="12" t="str">
        <f aca="false">IF($B22="","",IFERROR(INDEX(주문접수!$Q$3:$Q$602,MATCH($B$3&amp;"|"&amp;15,주문접수!$S$3:$S$602,0)),""))</f>
        <v/>
      </c>
    </row>
    <row r="23" customFormat="false" ht="15" hidden="false" customHeight="true" outlineLevel="0" collapsed="false">
      <c r="A23" s="29" t="n">
        <v>16</v>
      </c>
      <c r="B23" s="30" t="str">
        <f aca="false">IFERROR(INDEX(주문접수!$B$3:$B$602,MATCH($B$3&amp;"|"&amp;16,주문접수!$S$3:$S$602,0)),"")</f>
        <v/>
      </c>
      <c r="C23" s="12" t="str">
        <f aca="false">IF($B23="","",IFERROR(INDEX(주문접수!$A$3:$A$602,MATCH($B$3&amp;"|"&amp;16,주문접수!$S$3:$S$602,0)),""))</f>
        <v/>
      </c>
      <c r="D23" s="12" t="str">
        <f aca="false">IF($B23="","",IFERROR(INDEX(주문접수!$H$3:$H$602,MATCH($B$3&amp;"|"&amp;16,주문접수!$S$3:$S$602,0)),""))</f>
        <v/>
      </c>
      <c r="E23" s="12" t="str">
        <f aca="false">IF($B23="","",IFERROR(INDEX(주문접수!$K$3:$K$602,MATCH($B$3&amp;"|"&amp;16,주문접수!$S$3:$S$602,0)),""))</f>
        <v/>
      </c>
      <c r="F23" s="14" t="str">
        <f aca="false">IF($B23="","",IFERROR(INDEX(주문접수!$N$3:$N$602,MATCH($B$3&amp;"|"&amp;16,주문접수!$S$3:$S$602,0)),""))</f>
        <v/>
      </c>
      <c r="G23" s="12" t="str">
        <f aca="false">IF($B23="","",IFERROR(INDEX(주문접수!$Q$3:$Q$602,MATCH($B$3&amp;"|"&amp;16,주문접수!$S$3:$S$602,0)),""))</f>
        <v/>
      </c>
    </row>
    <row r="24" customFormat="false" ht="15" hidden="false" customHeight="true" outlineLevel="0" collapsed="false">
      <c r="A24" s="29" t="n">
        <v>17</v>
      </c>
      <c r="B24" s="30" t="str">
        <f aca="false">IFERROR(INDEX(주문접수!$B$3:$B$602,MATCH($B$3&amp;"|"&amp;17,주문접수!$S$3:$S$602,0)),"")</f>
        <v/>
      </c>
      <c r="C24" s="12" t="str">
        <f aca="false">IF($B24="","",IFERROR(INDEX(주문접수!$A$3:$A$602,MATCH($B$3&amp;"|"&amp;17,주문접수!$S$3:$S$602,0)),""))</f>
        <v/>
      </c>
      <c r="D24" s="12" t="str">
        <f aca="false">IF($B24="","",IFERROR(INDEX(주문접수!$H$3:$H$602,MATCH($B$3&amp;"|"&amp;17,주문접수!$S$3:$S$602,0)),""))</f>
        <v/>
      </c>
      <c r="E24" s="12" t="str">
        <f aca="false">IF($B24="","",IFERROR(INDEX(주문접수!$K$3:$K$602,MATCH($B$3&amp;"|"&amp;17,주문접수!$S$3:$S$602,0)),""))</f>
        <v/>
      </c>
      <c r="F24" s="14" t="str">
        <f aca="false">IF($B24="","",IFERROR(INDEX(주문접수!$N$3:$N$602,MATCH($B$3&amp;"|"&amp;17,주문접수!$S$3:$S$602,0)),""))</f>
        <v/>
      </c>
      <c r="G24" s="12" t="str">
        <f aca="false">IF($B24="","",IFERROR(INDEX(주문접수!$Q$3:$Q$602,MATCH($B$3&amp;"|"&amp;17,주문접수!$S$3:$S$602,0)),""))</f>
        <v/>
      </c>
    </row>
    <row r="25" customFormat="false" ht="15" hidden="false" customHeight="true" outlineLevel="0" collapsed="false">
      <c r="A25" s="29" t="n">
        <v>18</v>
      </c>
      <c r="B25" s="30" t="str">
        <f aca="false">IFERROR(INDEX(주문접수!$B$3:$B$602,MATCH($B$3&amp;"|"&amp;18,주문접수!$S$3:$S$602,0)),"")</f>
        <v/>
      </c>
      <c r="C25" s="12" t="str">
        <f aca="false">IF($B25="","",IFERROR(INDEX(주문접수!$A$3:$A$602,MATCH($B$3&amp;"|"&amp;18,주문접수!$S$3:$S$602,0)),""))</f>
        <v/>
      </c>
      <c r="D25" s="12" t="str">
        <f aca="false">IF($B25="","",IFERROR(INDEX(주문접수!$H$3:$H$602,MATCH($B$3&amp;"|"&amp;18,주문접수!$S$3:$S$602,0)),""))</f>
        <v/>
      </c>
      <c r="E25" s="12" t="str">
        <f aca="false">IF($B25="","",IFERROR(INDEX(주문접수!$K$3:$K$602,MATCH($B$3&amp;"|"&amp;18,주문접수!$S$3:$S$602,0)),""))</f>
        <v/>
      </c>
      <c r="F25" s="14" t="str">
        <f aca="false">IF($B25="","",IFERROR(INDEX(주문접수!$N$3:$N$602,MATCH($B$3&amp;"|"&amp;18,주문접수!$S$3:$S$602,0)),""))</f>
        <v/>
      </c>
      <c r="G25" s="12" t="str">
        <f aca="false">IF($B25="","",IFERROR(INDEX(주문접수!$Q$3:$Q$602,MATCH($B$3&amp;"|"&amp;18,주문접수!$S$3:$S$602,0)),""))</f>
        <v/>
      </c>
    </row>
    <row r="26" customFormat="false" ht="15" hidden="false" customHeight="true" outlineLevel="0" collapsed="false">
      <c r="A26" s="29" t="n">
        <v>19</v>
      </c>
      <c r="B26" s="30" t="str">
        <f aca="false">IFERROR(INDEX(주문접수!$B$3:$B$602,MATCH($B$3&amp;"|"&amp;19,주문접수!$S$3:$S$602,0)),"")</f>
        <v/>
      </c>
      <c r="C26" s="12" t="str">
        <f aca="false">IF($B26="","",IFERROR(INDEX(주문접수!$A$3:$A$602,MATCH($B$3&amp;"|"&amp;19,주문접수!$S$3:$S$602,0)),""))</f>
        <v/>
      </c>
      <c r="D26" s="12" t="str">
        <f aca="false">IF($B26="","",IFERROR(INDEX(주문접수!$H$3:$H$602,MATCH($B$3&amp;"|"&amp;19,주문접수!$S$3:$S$602,0)),""))</f>
        <v/>
      </c>
      <c r="E26" s="12" t="str">
        <f aca="false">IF($B26="","",IFERROR(INDEX(주문접수!$K$3:$K$602,MATCH($B$3&amp;"|"&amp;19,주문접수!$S$3:$S$602,0)),""))</f>
        <v/>
      </c>
      <c r="F26" s="14" t="str">
        <f aca="false">IF($B26="","",IFERROR(INDEX(주문접수!$N$3:$N$602,MATCH($B$3&amp;"|"&amp;19,주문접수!$S$3:$S$602,0)),""))</f>
        <v/>
      </c>
      <c r="G26" s="12" t="str">
        <f aca="false">IF($B26="","",IFERROR(INDEX(주문접수!$Q$3:$Q$602,MATCH($B$3&amp;"|"&amp;19,주문접수!$S$3:$S$602,0)),""))</f>
        <v/>
      </c>
    </row>
    <row r="27" customFormat="false" ht="15" hidden="false" customHeight="true" outlineLevel="0" collapsed="false">
      <c r="A27" s="29" t="n">
        <v>20</v>
      </c>
      <c r="B27" s="30" t="str">
        <f aca="false">IFERROR(INDEX(주문접수!$B$3:$B$602,MATCH($B$3&amp;"|"&amp;20,주문접수!$S$3:$S$602,0)),"")</f>
        <v/>
      </c>
      <c r="C27" s="12" t="str">
        <f aca="false">IF($B27="","",IFERROR(INDEX(주문접수!$A$3:$A$602,MATCH($B$3&amp;"|"&amp;20,주문접수!$S$3:$S$602,0)),""))</f>
        <v/>
      </c>
      <c r="D27" s="12" t="str">
        <f aca="false">IF($B27="","",IFERROR(INDEX(주문접수!$H$3:$H$602,MATCH($B$3&amp;"|"&amp;20,주문접수!$S$3:$S$602,0)),""))</f>
        <v/>
      </c>
      <c r="E27" s="12" t="str">
        <f aca="false">IF($B27="","",IFERROR(INDEX(주문접수!$K$3:$K$602,MATCH($B$3&amp;"|"&amp;20,주문접수!$S$3:$S$602,0)),""))</f>
        <v/>
      </c>
      <c r="F27" s="14" t="str">
        <f aca="false">IF($B27="","",IFERROR(INDEX(주문접수!$N$3:$N$602,MATCH($B$3&amp;"|"&amp;20,주문접수!$S$3:$S$602,0)),""))</f>
        <v/>
      </c>
      <c r="G27" s="12" t="str">
        <f aca="false">IF($B27="","",IFERROR(INDEX(주문접수!$Q$3:$Q$602,MATCH($B$3&amp;"|"&amp;20,주문접수!$S$3:$S$602,0)),""))</f>
        <v/>
      </c>
    </row>
    <row r="28" customFormat="false" ht="15" hidden="false" customHeight="true" outlineLevel="0" collapsed="false">
      <c r="A28" s="29" t="n">
        <v>21</v>
      </c>
      <c r="B28" s="30" t="str">
        <f aca="false">IFERROR(INDEX(주문접수!$B$3:$B$602,MATCH($B$3&amp;"|"&amp;21,주문접수!$S$3:$S$602,0)),"")</f>
        <v/>
      </c>
      <c r="C28" s="12" t="str">
        <f aca="false">IF($B28="","",IFERROR(INDEX(주문접수!$A$3:$A$602,MATCH($B$3&amp;"|"&amp;21,주문접수!$S$3:$S$602,0)),""))</f>
        <v/>
      </c>
      <c r="D28" s="12" t="str">
        <f aca="false">IF($B28="","",IFERROR(INDEX(주문접수!$H$3:$H$602,MATCH($B$3&amp;"|"&amp;21,주문접수!$S$3:$S$602,0)),""))</f>
        <v/>
      </c>
      <c r="E28" s="12" t="str">
        <f aca="false">IF($B28="","",IFERROR(INDEX(주문접수!$K$3:$K$602,MATCH($B$3&amp;"|"&amp;21,주문접수!$S$3:$S$602,0)),""))</f>
        <v/>
      </c>
      <c r="F28" s="14" t="str">
        <f aca="false">IF($B28="","",IFERROR(INDEX(주문접수!$N$3:$N$602,MATCH($B$3&amp;"|"&amp;21,주문접수!$S$3:$S$602,0)),""))</f>
        <v/>
      </c>
      <c r="G28" s="12" t="str">
        <f aca="false">IF($B28="","",IFERROR(INDEX(주문접수!$Q$3:$Q$602,MATCH($B$3&amp;"|"&amp;21,주문접수!$S$3:$S$602,0)),""))</f>
        <v/>
      </c>
    </row>
    <row r="29" customFormat="false" ht="15" hidden="false" customHeight="true" outlineLevel="0" collapsed="false">
      <c r="A29" s="29" t="n">
        <v>22</v>
      </c>
      <c r="B29" s="30" t="str">
        <f aca="false">IFERROR(INDEX(주문접수!$B$3:$B$602,MATCH($B$3&amp;"|"&amp;22,주문접수!$S$3:$S$602,0)),"")</f>
        <v/>
      </c>
      <c r="C29" s="12" t="str">
        <f aca="false">IF($B29="","",IFERROR(INDEX(주문접수!$A$3:$A$602,MATCH($B$3&amp;"|"&amp;22,주문접수!$S$3:$S$602,0)),""))</f>
        <v/>
      </c>
      <c r="D29" s="12" t="str">
        <f aca="false">IF($B29="","",IFERROR(INDEX(주문접수!$H$3:$H$602,MATCH($B$3&amp;"|"&amp;22,주문접수!$S$3:$S$602,0)),""))</f>
        <v/>
      </c>
      <c r="E29" s="12" t="str">
        <f aca="false">IF($B29="","",IFERROR(INDEX(주문접수!$K$3:$K$602,MATCH($B$3&amp;"|"&amp;22,주문접수!$S$3:$S$602,0)),""))</f>
        <v/>
      </c>
      <c r="F29" s="14" t="str">
        <f aca="false">IF($B29="","",IFERROR(INDEX(주문접수!$N$3:$N$602,MATCH($B$3&amp;"|"&amp;22,주문접수!$S$3:$S$602,0)),""))</f>
        <v/>
      </c>
      <c r="G29" s="12" t="str">
        <f aca="false">IF($B29="","",IFERROR(INDEX(주문접수!$Q$3:$Q$602,MATCH($B$3&amp;"|"&amp;22,주문접수!$S$3:$S$602,0)),""))</f>
        <v/>
      </c>
    </row>
    <row r="30" customFormat="false" ht="15" hidden="false" customHeight="true" outlineLevel="0" collapsed="false">
      <c r="A30" s="29" t="n">
        <v>23</v>
      </c>
      <c r="B30" s="30" t="str">
        <f aca="false">IFERROR(INDEX(주문접수!$B$3:$B$602,MATCH($B$3&amp;"|"&amp;23,주문접수!$S$3:$S$602,0)),"")</f>
        <v/>
      </c>
      <c r="C30" s="12" t="str">
        <f aca="false">IF($B30="","",IFERROR(INDEX(주문접수!$A$3:$A$602,MATCH($B$3&amp;"|"&amp;23,주문접수!$S$3:$S$602,0)),""))</f>
        <v/>
      </c>
      <c r="D30" s="12" t="str">
        <f aca="false">IF($B30="","",IFERROR(INDEX(주문접수!$H$3:$H$602,MATCH($B$3&amp;"|"&amp;23,주문접수!$S$3:$S$602,0)),""))</f>
        <v/>
      </c>
      <c r="E30" s="12" t="str">
        <f aca="false">IF($B30="","",IFERROR(INDEX(주문접수!$K$3:$K$602,MATCH($B$3&amp;"|"&amp;23,주문접수!$S$3:$S$602,0)),""))</f>
        <v/>
      </c>
      <c r="F30" s="14" t="str">
        <f aca="false">IF($B30="","",IFERROR(INDEX(주문접수!$N$3:$N$602,MATCH($B$3&amp;"|"&amp;23,주문접수!$S$3:$S$602,0)),""))</f>
        <v/>
      </c>
      <c r="G30" s="12" t="str">
        <f aca="false">IF($B30="","",IFERROR(INDEX(주문접수!$Q$3:$Q$602,MATCH($B$3&amp;"|"&amp;23,주문접수!$S$3:$S$602,0)),""))</f>
        <v/>
      </c>
    </row>
    <row r="31" customFormat="false" ht="15" hidden="false" customHeight="true" outlineLevel="0" collapsed="false">
      <c r="A31" s="29" t="n">
        <v>24</v>
      </c>
      <c r="B31" s="30" t="str">
        <f aca="false">IFERROR(INDEX(주문접수!$B$3:$B$602,MATCH($B$3&amp;"|"&amp;24,주문접수!$S$3:$S$602,0)),"")</f>
        <v/>
      </c>
      <c r="C31" s="12" t="str">
        <f aca="false">IF($B31="","",IFERROR(INDEX(주문접수!$A$3:$A$602,MATCH($B$3&amp;"|"&amp;24,주문접수!$S$3:$S$602,0)),""))</f>
        <v/>
      </c>
      <c r="D31" s="12" t="str">
        <f aca="false">IF($B31="","",IFERROR(INDEX(주문접수!$H$3:$H$602,MATCH($B$3&amp;"|"&amp;24,주문접수!$S$3:$S$602,0)),""))</f>
        <v/>
      </c>
      <c r="E31" s="12" t="str">
        <f aca="false">IF($B31="","",IFERROR(INDEX(주문접수!$K$3:$K$602,MATCH($B$3&amp;"|"&amp;24,주문접수!$S$3:$S$602,0)),""))</f>
        <v/>
      </c>
      <c r="F31" s="14" t="str">
        <f aca="false">IF($B31="","",IFERROR(INDEX(주문접수!$N$3:$N$602,MATCH($B$3&amp;"|"&amp;24,주문접수!$S$3:$S$602,0)),""))</f>
        <v/>
      </c>
      <c r="G31" s="12" t="str">
        <f aca="false">IF($B31="","",IFERROR(INDEX(주문접수!$Q$3:$Q$602,MATCH($B$3&amp;"|"&amp;24,주문접수!$S$3:$S$602,0)),""))</f>
        <v/>
      </c>
    </row>
    <row r="32" customFormat="false" ht="15" hidden="false" customHeight="true" outlineLevel="0" collapsed="false">
      <c r="A32" s="29" t="n">
        <v>25</v>
      </c>
      <c r="B32" s="30" t="str">
        <f aca="false">IFERROR(INDEX(주문접수!$B$3:$B$602,MATCH($B$3&amp;"|"&amp;25,주문접수!$S$3:$S$602,0)),"")</f>
        <v/>
      </c>
      <c r="C32" s="12" t="str">
        <f aca="false">IF($B32="","",IFERROR(INDEX(주문접수!$A$3:$A$602,MATCH($B$3&amp;"|"&amp;25,주문접수!$S$3:$S$602,0)),""))</f>
        <v/>
      </c>
      <c r="D32" s="12" t="str">
        <f aca="false">IF($B32="","",IFERROR(INDEX(주문접수!$H$3:$H$602,MATCH($B$3&amp;"|"&amp;25,주문접수!$S$3:$S$602,0)),""))</f>
        <v/>
      </c>
      <c r="E32" s="12" t="str">
        <f aca="false">IF($B32="","",IFERROR(INDEX(주문접수!$K$3:$K$602,MATCH($B$3&amp;"|"&amp;25,주문접수!$S$3:$S$602,0)),""))</f>
        <v/>
      </c>
      <c r="F32" s="14" t="str">
        <f aca="false">IF($B32="","",IFERROR(INDEX(주문접수!$N$3:$N$602,MATCH($B$3&amp;"|"&amp;25,주문접수!$S$3:$S$602,0)),""))</f>
        <v/>
      </c>
      <c r="G32" s="12" t="str">
        <f aca="false">IF($B32="","",IFERROR(INDEX(주문접수!$Q$3:$Q$602,MATCH($B$3&amp;"|"&amp;25,주문접수!$S$3:$S$602,0)),""))</f>
        <v/>
      </c>
    </row>
    <row r="33" customFormat="false" ht="15" hidden="false" customHeight="true" outlineLevel="0" collapsed="false">
      <c r="A33" s="29" t="n">
        <v>26</v>
      </c>
      <c r="B33" s="30" t="str">
        <f aca="false">IFERROR(INDEX(주문접수!$B$3:$B$602,MATCH($B$3&amp;"|"&amp;26,주문접수!$S$3:$S$602,0)),"")</f>
        <v/>
      </c>
      <c r="C33" s="12" t="str">
        <f aca="false">IF($B33="","",IFERROR(INDEX(주문접수!$A$3:$A$602,MATCH($B$3&amp;"|"&amp;26,주문접수!$S$3:$S$602,0)),""))</f>
        <v/>
      </c>
      <c r="D33" s="12" t="str">
        <f aca="false">IF($B33="","",IFERROR(INDEX(주문접수!$H$3:$H$602,MATCH($B$3&amp;"|"&amp;26,주문접수!$S$3:$S$602,0)),""))</f>
        <v/>
      </c>
      <c r="E33" s="12" t="str">
        <f aca="false">IF($B33="","",IFERROR(INDEX(주문접수!$K$3:$K$602,MATCH($B$3&amp;"|"&amp;26,주문접수!$S$3:$S$602,0)),""))</f>
        <v/>
      </c>
      <c r="F33" s="14" t="str">
        <f aca="false">IF($B33="","",IFERROR(INDEX(주문접수!$N$3:$N$602,MATCH($B$3&amp;"|"&amp;26,주문접수!$S$3:$S$602,0)),""))</f>
        <v/>
      </c>
      <c r="G33" s="12" t="str">
        <f aca="false">IF($B33="","",IFERROR(INDEX(주문접수!$Q$3:$Q$602,MATCH($B$3&amp;"|"&amp;26,주문접수!$S$3:$S$602,0)),""))</f>
        <v/>
      </c>
    </row>
    <row r="34" customFormat="false" ht="15" hidden="false" customHeight="true" outlineLevel="0" collapsed="false">
      <c r="A34" s="29" t="n">
        <v>27</v>
      </c>
      <c r="B34" s="30" t="str">
        <f aca="false">IFERROR(INDEX(주문접수!$B$3:$B$602,MATCH($B$3&amp;"|"&amp;27,주문접수!$S$3:$S$602,0)),"")</f>
        <v/>
      </c>
      <c r="C34" s="12" t="str">
        <f aca="false">IF($B34="","",IFERROR(INDEX(주문접수!$A$3:$A$602,MATCH($B$3&amp;"|"&amp;27,주문접수!$S$3:$S$602,0)),""))</f>
        <v/>
      </c>
      <c r="D34" s="12" t="str">
        <f aca="false">IF($B34="","",IFERROR(INDEX(주문접수!$H$3:$H$602,MATCH($B$3&amp;"|"&amp;27,주문접수!$S$3:$S$602,0)),""))</f>
        <v/>
      </c>
      <c r="E34" s="12" t="str">
        <f aca="false">IF($B34="","",IFERROR(INDEX(주문접수!$K$3:$K$602,MATCH($B$3&amp;"|"&amp;27,주문접수!$S$3:$S$602,0)),""))</f>
        <v/>
      </c>
      <c r="F34" s="14" t="str">
        <f aca="false">IF($B34="","",IFERROR(INDEX(주문접수!$N$3:$N$602,MATCH($B$3&amp;"|"&amp;27,주문접수!$S$3:$S$602,0)),""))</f>
        <v/>
      </c>
      <c r="G34" s="12" t="str">
        <f aca="false">IF($B34="","",IFERROR(INDEX(주문접수!$Q$3:$Q$602,MATCH($B$3&amp;"|"&amp;27,주문접수!$S$3:$S$602,0)),""))</f>
        <v/>
      </c>
    </row>
    <row r="35" customFormat="false" ht="15" hidden="false" customHeight="true" outlineLevel="0" collapsed="false">
      <c r="A35" s="29" t="n">
        <v>28</v>
      </c>
      <c r="B35" s="30" t="str">
        <f aca="false">IFERROR(INDEX(주문접수!$B$3:$B$602,MATCH($B$3&amp;"|"&amp;28,주문접수!$S$3:$S$602,0)),"")</f>
        <v/>
      </c>
      <c r="C35" s="12" t="str">
        <f aca="false">IF($B35="","",IFERROR(INDEX(주문접수!$A$3:$A$602,MATCH($B$3&amp;"|"&amp;28,주문접수!$S$3:$S$602,0)),""))</f>
        <v/>
      </c>
      <c r="D35" s="12" t="str">
        <f aca="false">IF($B35="","",IFERROR(INDEX(주문접수!$H$3:$H$602,MATCH($B$3&amp;"|"&amp;28,주문접수!$S$3:$S$602,0)),""))</f>
        <v/>
      </c>
      <c r="E35" s="12" t="str">
        <f aca="false">IF($B35="","",IFERROR(INDEX(주문접수!$K$3:$K$602,MATCH($B$3&amp;"|"&amp;28,주문접수!$S$3:$S$602,0)),""))</f>
        <v/>
      </c>
      <c r="F35" s="14" t="str">
        <f aca="false">IF($B35="","",IFERROR(INDEX(주문접수!$N$3:$N$602,MATCH($B$3&amp;"|"&amp;28,주문접수!$S$3:$S$602,0)),""))</f>
        <v/>
      </c>
      <c r="G35" s="12" t="str">
        <f aca="false">IF($B35="","",IFERROR(INDEX(주문접수!$Q$3:$Q$602,MATCH($B$3&amp;"|"&amp;28,주문접수!$S$3:$S$602,0)),""))</f>
        <v/>
      </c>
    </row>
    <row r="36" customFormat="false" ht="15" hidden="false" customHeight="true" outlineLevel="0" collapsed="false">
      <c r="A36" s="29" t="n">
        <v>29</v>
      </c>
      <c r="B36" s="30" t="str">
        <f aca="false">IFERROR(INDEX(주문접수!$B$3:$B$602,MATCH($B$3&amp;"|"&amp;29,주문접수!$S$3:$S$602,0)),"")</f>
        <v/>
      </c>
      <c r="C36" s="12" t="str">
        <f aca="false">IF($B36="","",IFERROR(INDEX(주문접수!$A$3:$A$602,MATCH($B$3&amp;"|"&amp;29,주문접수!$S$3:$S$602,0)),""))</f>
        <v/>
      </c>
      <c r="D36" s="12" t="str">
        <f aca="false">IF($B36="","",IFERROR(INDEX(주문접수!$H$3:$H$602,MATCH($B$3&amp;"|"&amp;29,주문접수!$S$3:$S$602,0)),""))</f>
        <v/>
      </c>
      <c r="E36" s="12" t="str">
        <f aca="false">IF($B36="","",IFERROR(INDEX(주문접수!$K$3:$K$602,MATCH($B$3&amp;"|"&amp;29,주문접수!$S$3:$S$602,0)),""))</f>
        <v/>
      </c>
      <c r="F36" s="14" t="str">
        <f aca="false">IF($B36="","",IFERROR(INDEX(주문접수!$N$3:$N$602,MATCH($B$3&amp;"|"&amp;29,주문접수!$S$3:$S$602,0)),""))</f>
        <v/>
      </c>
      <c r="G36" s="12" t="str">
        <f aca="false">IF($B36="","",IFERROR(INDEX(주문접수!$Q$3:$Q$602,MATCH($B$3&amp;"|"&amp;29,주문접수!$S$3:$S$602,0)),""))</f>
        <v/>
      </c>
    </row>
    <row r="37" customFormat="false" ht="15" hidden="false" customHeight="true" outlineLevel="0" collapsed="false">
      <c r="A37" s="29" t="n">
        <v>30</v>
      </c>
      <c r="B37" s="30" t="str">
        <f aca="false">IFERROR(INDEX(주문접수!$B$3:$B$602,MATCH($B$3&amp;"|"&amp;30,주문접수!$S$3:$S$602,0)),"")</f>
        <v/>
      </c>
      <c r="C37" s="12" t="str">
        <f aca="false">IF($B37="","",IFERROR(INDEX(주문접수!$A$3:$A$602,MATCH($B$3&amp;"|"&amp;30,주문접수!$S$3:$S$602,0)),""))</f>
        <v/>
      </c>
      <c r="D37" s="12" t="str">
        <f aca="false">IF($B37="","",IFERROR(INDEX(주문접수!$H$3:$H$602,MATCH($B$3&amp;"|"&amp;30,주문접수!$S$3:$S$602,0)),""))</f>
        <v/>
      </c>
      <c r="E37" s="12" t="str">
        <f aca="false">IF($B37="","",IFERROR(INDEX(주문접수!$K$3:$K$602,MATCH($B$3&amp;"|"&amp;30,주문접수!$S$3:$S$602,0)),""))</f>
        <v/>
      </c>
      <c r="F37" s="14" t="str">
        <f aca="false">IF($B37="","",IFERROR(INDEX(주문접수!$N$3:$N$602,MATCH($B$3&amp;"|"&amp;30,주문접수!$S$3:$S$602,0)),""))</f>
        <v/>
      </c>
      <c r="G37" s="12" t="str">
        <f aca="false">IF($B37="","",IFERROR(INDEX(주문접수!$Q$3:$Q$602,MATCH($B$3&amp;"|"&amp;30,주문접수!$S$3:$S$602,0)),""))</f>
        <v/>
      </c>
    </row>
    <row r="38" customFormat="false" ht="15" hidden="false" customHeight="true" outlineLevel="0" collapsed="false">
      <c r="A38" s="29" t="n">
        <v>31</v>
      </c>
      <c r="B38" s="30" t="str">
        <f aca="false">IFERROR(INDEX(주문접수!$B$3:$B$602,MATCH($B$3&amp;"|"&amp;31,주문접수!$S$3:$S$602,0)),"")</f>
        <v/>
      </c>
      <c r="C38" s="12" t="str">
        <f aca="false">IF($B38="","",IFERROR(INDEX(주문접수!$A$3:$A$602,MATCH($B$3&amp;"|"&amp;31,주문접수!$S$3:$S$602,0)),""))</f>
        <v/>
      </c>
      <c r="D38" s="12" t="str">
        <f aca="false">IF($B38="","",IFERROR(INDEX(주문접수!$H$3:$H$602,MATCH($B$3&amp;"|"&amp;31,주문접수!$S$3:$S$602,0)),""))</f>
        <v/>
      </c>
      <c r="E38" s="12" t="str">
        <f aca="false">IF($B38="","",IFERROR(INDEX(주문접수!$K$3:$K$602,MATCH($B$3&amp;"|"&amp;31,주문접수!$S$3:$S$602,0)),""))</f>
        <v/>
      </c>
      <c r="F38" s="14" t="str">
        <f aca="false">IF($B38="","",IFERROR(INDEX(주문접수!$N$3:$N$602,MATCH($B$3&amp;"|"&amp;31,주문접수!$S$3:$S$602,0)),""))</f>
        <v/>
      </c>
      <c r="G38" s="12" t="str">
        <f aca="false">IF($B38="","",IFERROR(INDEX(주문접수!$Q$3:$Q$602,MATCH($B$3&amp;"|"&amp;31,주문접수!$S$3:$S$602,0)),""))</f>
        <v/>
      </c>
    </row>
    <row r="39" customFormat="false" ht="15" hidden="false" customHeight="true" outlineLevel="0" collapsed="false">
      <c r="A39" s="29" t="n">
        <v>32</v>
      </c>
      <c r="B39" s="30" t="str">
        <f aca="false">IFERROR(INDEX(주문접수!$B$3:$B$602,MATCH($B$3&amp;"|"&amp;32,주문접수!$S$3:$S$602,0)),"")</f>
        <v/>
      </c>
      <c r="C39" s="12" t="str">
        <f aca="false">IF($B39="","",IFERROR(INDEX(주문접수!$A$3:$A$602,MATCH($B$3&amp;"|"&amp;32,주문접수!$S$3:$S$602,0)),""))</f>
        <v/>
      </c>
      <c r="D39" s="12" t="str">
        <f aca="false">IF($B39="","",IFERROR(INDEX(주문접수!$H$3:$H$602,MATCH($B$3&amp;"|"&amp;32,주문접수!$S$3:$S$602,0)),""))</f>
        <v/>
      </c>
      <c r="E39" s="12" t="str">
        <f aca="false">IF($B39="","",IFERROR(INDEX(주문접수!$K$3:$K$602,MATCH($B$3&amp;"|"&amp;32,주문접수!$S$3:$S$602,0)),""))</f>
        <v/>
      </c>
      <c r="F39" s="14" t="str">
        <f aca="false">IF($B39="","",IFERROR(INDEX(주문접수!$N$3:$N$602,MATCH($B$3&amp;"|"&amp;32,주문접수!$S$3:$S$602,0)),""))</f>
        <v/>
      </c>
      <c r="G39" s="12" t="str">
        <f aca="false">IF($B39="","",IFERROR(INDEX(주문접수!$Q$3:$Q$602,MATCH($B$3&amp;"|"&amp;32,주문접수!$S$3:$S$602,0)),""))</f>
        <v/>
      </c>
    </row>
    <row r="40" customFormat="false" ht="15" hidden="false" customHeight="true" outlineLevel="0" collapsed="false">
      <c r="A40" s="29" t="n">
        <v>33</v>
      </c>
      <c r="B40" s="30" t="str">
        <f aca="false">IFERROR(INDEX(주문접수!$B$3:$B$602,MATCH($B$3&amp;"|"&amp;33,주문접수!$S$3:$S$602,0)),"")</f>
        <v/>
      </c>
      <c r="C40" s="12" t="str">
        <f aca="false">IF($B40="","",IFERROR(INDEX(주문접수!$A$3:$A$602,MATCH($B$3&amp;"|"&amp;33,주문접수!$S$3:$S$602,0)),""))</f>
        <v/>
      </c>
      <c r="D40" s="12" t="str">
        <f aca="false">IF($B40="","",IFERROR(INDEX(주문접수!$H$3:$H$602,MATCH($B$3&amp;"|"&amp;33,주문접수!$S$3:$S$602,0)),""))</f>
        <v/>
      </c>
      <c r="E40" s="12" t="str">
        <f aca="false">IF($B40="","",IFERROR(INDEX(주문접수!$K$3:$K$602,MATCH($B$3&amp;"|"&amp;33,주문접수!$S$3:$S$602,0)),""))</f>
        <v/>
      </c>
      <c r="F40" s="14" t="str">
        <f aca="false">IF($B40="","",IFERROR(INDEX(주문접수!$N$3:$N$602,MATCH($B$3&amp;"|"&amp;33,주문접수!$S$3:$S$602,0)),""))</f>
        <v/>
      </c>
      <c r="G40" s="12" t="str">
        <f aca="false">IF($B40="","",IFERROR(INDEX(주문접수!$Q$3:$Q$602,MATCH($B$3&amp;"|"&amp;33,주문접수!$S$3:$S$602,0)),""))</f>
        <v/>
      </c>
    </row>
    <row r="41" customFormat="false" ht="15" hidden="false" customHeight="true" outlineLevel="0" collapsed="false">
      <c r="A41" s="29" t="n">
        <v>34</v>
      </c>
      <c r="B41" s="30" t="str">
        <f aca="false">IFERROR(INDEX(주문접수!$B$3:$B$602,MATCH($B$3&amp;"|"&amp;34,주문접수!$S$3:$S$602,0)),"")</f>
        <v/>
      </c>
      <c r="C41" s="12" t="str">
        <f aca="false">IF($B41="","",IFERROR(INDEX(주문접수!$A$3:$A$602,MATCH($B$3&amp;"|"&amp;34,주문접수!$S$3:$S$602,0)),""))</f>
        <v/>
      </c>
      <c r="D41" s="12" t="str">
        <f aca="false">IF($B41="","",IFERROR(INDEX(주문접수!$H$3:$H$602,MATCH($B$3&amp;"|"&amp;34,주문접수!$S$3:$S$602,0)),""))</f>
        <v/>
      </c>
      <c r="E41" s="12" t="str">
        <f aca="false">IF($B41="","",IFERROR(INDEX(주문접수!$K$3:$K$602,MATCH($B$3&amp;"|"&amp;34,주문접수!$S$3:$S$602,0)),""))</f>
        <v/>
      </c>
      <c r="F41" s="14" t="str">
        <f aca="false">IF($B41="","",IFERROR(INDEX(주문접수!$N$3:$N$602,MATCH($B$3&amp;"|"&amp;34,주문접수!$S$3:$S$602,0)),""))</f>
        <v/>
      </c>
      <c r="G41" s="12" t="str">
        <f aca="false">IF($B41="","",IFERROR(INDEX(주문접수!$Q$3:$Q$602,MATCH($B$3&amp;"|"&amp;34,주문접수!$S$3:$S$602,0)),""))</f>
        <v/>
      </c>
    </row>
    <row r="42" customFormat="false" ht="15" hidden="false" customHeight="true" outlineLevel="0" collapsed="false">
      <c r="A42" s="29" t="n">
        <v>35</v>
      </c>
      <c r="B42" s="30" t="str">
        <f aca="false">IFERROR(INDEX(주문접수!$B$3:$B$602,MATCH($B$3&amp;"|"&amp;35,주문접수!$S$3:$S$602,0)),"")</f>
        <v/>
      </c>
      <c r="C42" s="12" t="str">
        <f aca="false">IF($B42="","",IFERROR(INDEX(주문접수!$A$3:$A$602,MATCH($B$3&amp;"|"&amp;35,주문접수!$S$3:$S$602,0)),""))</f>
        <v/>
      </c>
      <c r="D42" s="12" t="str">
        <f aca="false">IF($B42="","",IFERROR(INDEX(주문접수!$H$3:$H$602,MATCH($B$3&amp;"|"&amp;35,주문접수!$S$3:$S$602,0)),""))</f>
        <v/>
      </c>
      <c r="E42" s="12" t="str">
        <f aca="false">IF($B42="","",IFERROR(INDEX(주문접수!$K$3:$K$602,MATCH($B$3&amp;"|"&amp;35,주문접수!$S$3:$S$602,0)),""))</f>
        <v/>
      </c>
      <c r="F42" s="14" t="str">
        <f aca="false">IF($B42="","",IFERROR(INDEX(주문접수!$N$3:$N$602,MATCH($B$3&amp;"|"&amp;35,주문접수!$S$3:$S$602,0)),""))</f>
        <v/>
      </c>
      <c r="G42" s="12" t="str">
        <f aca="false">IF($B42="","",IFERROR(INDEX(주문접수!$Q$3:$Q$602,MATCH($B$3&amp;"|"&amp;35,주문접수!$S$3:$S$602,0)),""))</f>
        <v/>
      </c>
    </row>
    <row r="43" customFormat="false" ht="15" hidden="false" customHeight="true" outlineLevel="0" collapsed="false">
      <c r="A43" s="29" t="n">
        <v>36</v>
      </c>
      <c r="B43" s="30" t="str">
        <f aca="false">IFERROR(INDEX(주문접수!$B$3:$B$602,MATCH($B$3&amp;"|"&amp;36,주문접수!$S$3:$S$602,0)),"")</f>
        <v/>
      </c>
      <c r="C43" s="12" t="str">
        <f aca="false">IF($B43="","",IFERROR(INDEX(주문접수!$A$3:$A$602,MATCH($B$3&amp;"|"&amp;36,주문접수!$S$3:$S$602,0)),""))</f>
        <v/>
      </c>
      <c r="D43" s="12" t="str">
        <f aca="false">IF($B43="","",IFERROR(INDEX(주문접수!$H$3:$H$602,MATCH($B$3&amp;"|"&amp;36,주문접수!$S$3:$S$602,0)),""))</f>
        <v/>
      </c>
      <c r="E43" s="12" t="str">
        <f aca="false">IF($B43="","",IFERROR(INDEX(주문접수!$K$3:$K$602,MATCH($B$3&amp;"|"&amp;36,주문접수!$S$3:$S$602,0)),""))</f>
        <v/>
      </c>
      <c r="F43" s="14" t="str">
        <f aca="false">IF($B43="","",IFERROR(INDEX(주문접수!$N$3:$N$602,MATCH($B$3&amp;"|"&amp;36,주문접수!$S$3:$S$602,0)),""))</f>
        <v/>
      </c>
      <c r="G43" s="12" t="str">
        <f aca="false">IF($B43="","",IFERROR(INDEX(주문접수!$Q$3:$Q$602,MATCH($B$3&amp;"|"&amp;36,주문접수!$S$3:$S$602,0)),""))</f>
        <v/>
      </c>
    </row>
    <row r="44" customFormat="false" ht="15" hidden="false" customHeight="true" outlineLevel="0" collapsed="false">
      <c r="A44" s="29" t="n">
        <v>37</v>
      </c>
      <c r="B44" s="30" t="str">
        <f aca="false">IFERROR(INDEX(주문접수!$B$3:$B$602,MATCH($B$3&amp;"|"&amp;37,주문접수!$S$3:$S$602,0)),"")</f>
        <v/>
      </c>
      <c r="C44" s="12" t="str">
        <f aca="false">IF($B44="","",IFERROR(INDEX(주문접수!$A$3:$A$602,MATCH($B$3&amp;"|"&amp;37,주문접수!$S$3:$S$602,0)),""))</f>
        <v/>
      </c>
      <c r="D44" s="12" t="str">
        <f aca="false">IF($B44="","",IFERROR(INDEX(주문접수!$H$3:$H$602,MATCH($B$3&amp;"|"&amp;37,주문접수!$S$3:$S$602,0)),""))</f>
        <v/>
      </c>
      <c r="E44" s="12" t="str">
        <f aca="false">IF($B44="","",IFERROR(INDEX(주문접수!$K$3:$K$602,MATCH($B$3&amp;"|"&amp;37,주문접수!$S$3:$S$602,0)),""))</f>
        <v/>
      </c>
      <c r="F44" s="14" t="str">
        <f aca="false">IF($B44="","",IFERROR(INDEX(주문접수!$N$3:$N$602,MATCH($B$3&amp;"|"&amp;37,주문접수!$S$3:$S$602,0)),""))</f>
        <v/>
      </c>
      <c r="G44" s="12" t="str">
        <f aca="false">IF($B44="","",IFERROR(INDEX(주문접수!$Q$3:$Q$602,MATCH($B$3&amp;"|"&amp;37,주문접수!$S$3:$S$602,0)),""))</f>
        <v/>
      </c>
    </row>
    <row r="45" customFormat="false" ht="15" hidden="false" customHeight="true" outlineLevel="0" collapsed="false">
      <c r="A45" s="29" t="n">
        <v>38</v>
      </c>
      <c r="B45" s="30" t="str">
        <f aca="false">IFERROR(INDEX(주문접수!$B$3:$B$602,MATCH($B$3&amp;"|"&amp;38,주문접수!$S$3:$S$602,0)),"")</f>
        <v/>
      </c>
      <c r="C45" s="12" t="str">
        <f aca="false">IF($B45="","",IFERROR(INDEX(주문접수!$A$3:$A$602,MATCH($B$3&amp;"|"&amp;38,주문접수!$S$3:$S$602,0)),""))</f>
        <v/>
      </c>
      <c r="D45" s="12" t="str">
        <f aca="false">IF($B45="","",IFERROR(INDEX(주문접수!$H$3:$H$602,MATCH($B$3&amp;"|"&amp;38,주문접수!$S$3:$S$602,0)),""))</f>
        <v/>
      </c>
      <c r="E45" s="12" t="str">
        <f aca="false">IF($B45="","",IFERROR(INDEX(주문접수!$K$3:$K$602,MATCH($B$3&amp;"|"&amp;38,주문접수!$S$3:$S$602,0)),""))</f>
        <v/>
      </c>
      <c r="F45" s="14" t="str">
        <f aca="false">IF($B45="","",IFERROR(INDEX(주문접수!$N$3:$N$602,MATCH($B$3&amp;"|"&amp;38,주문접수!$S$3:$S$602,0)),""))</f>
        <v/>
      </c>
      <c r="G45" s="12" t="str">
        <f aca="false">IF($B45="","",IFERROR(INDEX(주문접수!$Q$3:$Q$602,MATCH($B$3&amp;"|"&amp;38,주문접수!$S$3:$S$602,0)),""))</f>
        <v/>
      </c>
    </row>
    <row r="46" customFormat="false" ht="15" hidden="false" customHeight="true" outlineLevel="0" collapsed="false">
      <c r="A46" s="29" t="n">
        <v>39</v>
      </c>
      <c r="B46" s="30" t="str">
        <f aca="false">IFERROR(INDEX(주문접수!$B$3:$B$602,MATCH($B$3&amp;"|"&amp;39,주문접수!$S$3:$S$602,0)),"")</f>
        <v/>
      </c>
      <c r="C46" s="12" t="str">
        <f aca="false">IF($B46="","",IFERROR(INDEX(주문접수!$A$3:$A$602,MATCH($B$3&amp;"|"&amp;39,주문접수!$S$3:$S$602,0)),""))</f>
        <v/>
      </c>
      <c r="D46" s="12" t="str">
        <f aca="false">IF($B46="","",IFERROR(INDEX(주문접수!$H$3:$H$602,MATCH($B$3&amp;"|"&amp;39,주문접수!$S$3:$S$602,0)),""))</f>
        <v/>
      </c>
      <c r="E46" s="12" t="str">
        <f aca="false">IF($B46="","",IFERROR(INDEX(주문접수!$K$3:$K$602,MATCH($B$3&amp;"|"&amp;39,주문접수!$S$3:$S$602,0)),""))</f>
        <v/>
      </c>
      <c r="F46" s="14" t="str">
        <f aca="false">IF($B46="","",IFERROR(INDEX(주문접수!$N$3:$N$602,MATCH($B$3&amp;"|"&amp;39,주문접수!$S$3:$S$602,0)),""))</f>
        <v/>
      </c>
      <c r="G46" s="12" t="str">
        <f aca="false">IF($B46="","",IFERROR(INDEX(주문접수!$Q$3:$Q$602,MATCH($B$3&amp;"|"&amp;39,주문접수!$S$3:$S$602,0)),""))</f>
        <v/>
      </c>
    </row>
    <row r="47" customFormat="false" ht="15" hidden="false" customHeight="true" outlineLevel="0" collapsed="false">
      <c r="A47" s="29" t="n">
        <v>40</v>
      </c>
      <c r="B47" s="30" t="str">
        <f aca="false">IFERROR(INDEX(주문접수!$B$3:$B$602,MATCH($B$3&amp;"|"&amp;40,주문접수!$S$3:$S$602,0)),"")</f>
        <v/>
      </c>
      <c r="C47" s="12" t="str">
        <f aca="false">IF($B47="","",IFERROR(INDEX(주문접수!$A$3:$A$602,MATCH($B$3&amp;"|"&amp;40,주문접수!$S$3:$S$602,0)),""))</f>
        <v/>
      </c>
      <c r="D47" s="12" t="str">
        <f aca="false">IF($B47="","",IFERROR(INDEX(주문접수!$H$3:$H$602,MATCH($B$3&amp;"|"&amp;40,주문접수!$S$3:$S$602,0)),""))</f>
        <v/>
      </c>
      <c r="E47" s="12" t="str">
        <f aca="false">IF($B47="","",IFERROR(INDEX(주문접수!$K$3:$K$602,MATCH($B$3&amp;"|"&amp;40,주문접수!$S$3:$S$602,0)),""))</f>
        <v/>
      </c>
      <c r="F47" s="14" t="str">
        <f aca="false">IF($B47="","",IFERROR(INDEX(주문접수!$N$3:$N$602,MATCH($B$3&amp;"|"&amp;40,주문접수!$S$3:$S$602,0)),""))</f>
        <v/>
      </c>
      <c r="G47" s="12" t="str">
        <f aca="false">IF($B47="","",IFERROR(INDEX(주문접수!$Q$3:$Q$602,MATCH($B$3&amp;"|"&amp;40,주문접수!$S$3:$S$602,0)),""))</f>
        <v/>
      </c>
    </row>
    <row r="50" customFormat="false" ht="15" hidden="false" customHeight="true" outlineLevel="0" collapsed="false">
      <c r="A50" s="17" t="s">
        <v>80</v>
      </c>
    </row>
  </sheetData>
  <mergeCells count="1">
    <mergeCell ref="A1:G1"/>
  </mergeCells>
  <dataValidations count="1">
    <dataValidation allowBlank="true" errorStyle="stop" operator="between" showDropDown="false" showErrorMessage="false" showInputMessage="false" sqref="B3" type="list">
      <formula1>고객명부!$A$3:$A$502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4"/>
  </cols>
  <sheetData>
    <row r="1" customFormat="false" ht="25.5" hidden="false" customHeight="true" outlineLevel="0" collapsed="false">
      <c r="A1" s="2" t="s">
        <v>81</v>
      </c>
      <c r="B1" s="2"/>
      <c r="C1" s="2"/>
      <c r="D1" s="2"/>
      <c r="E1" s="2"/>
    </row>
    <row r="3" customFormat="false" ht="15" hidden="false" customHeight="true" outlineLevel="0" collapsed="false">
      <c r="A3" s="3" t="s">
        <v>82</v>
      </c>
      <c r="B3" s="31" t="n">
        <v>46268</v>
      </c>
      <c r="C3" s="17" t="s">
        <v>65</v>
      </c>
    </row>
    <row r="5" customFormat="false" ht="15" hidden="false" customHeight="true" outlineLevel="0" collapsed="false">
      <c r="A5" s="18" t="s">
        <v>83</v>
      </c>
      <c r="B5" s="32" t="n">
        <f aca="false">COUNTIFS(주문접수!$B$3:$B$602,$B$3)</f>
        <v>2</v>
      </c>
    </row>
    <row r="6" customFormat="false" ht="15" hidden="false" customHeight="true" outlineLevel="0" collapsed="false">
      <c r="A6" s="18" t="s">
        <v>84</v>
      </c>
      <c r="B6" s="33" t="n">
        <f aca="false">SUMIFS(주문접수!$N$3:$N$602,주문접수!$B$3:$B$602,$B$3)</f>
        <v>125000</v>
      </c>
    </row>
    <row r="7" customFormat="false" ht="15" hidden="false" customHeight="true" outlineLevel="0" collapsed="false">
      <c r="A7" s="18" t="s">
        <v>85</v>
      </c>
      <c r="B7" s="32" t="n">
        <f aca="false">COUNTIFS(주문접수!$O$3:$O$602,$B$3)</f>
        <v>1</v>
      </c>
    </row>
    <row r="8" customFormat="false" ht="15" hidden="false" customHeight="true" outlineLevel="0" collapsed="false">
      <c r="A8" s="18" t="s">
        <v>86</v>
      </c>
      <c r="B8" s="33" t="n">
        <f aca="false">SUMIFS(주문접수!$N$3:$N$602,주문접수!$O$3:$O$602,$B$3)</f>
        <v>73500</v>
      </c>
    </row>
    <row r="9" customFormat="false" ht="15" hidden="false" customHeight="true" outlineLevel="0" collapsed="false">
      <c r="A9" s="18" t="s">
        <v>87</v>
      </c>
      <c r="B9" s="32" t="n">
        <f aca="false">COUNTIFS(주문접수!$Q$3:$Q$602,"입금대기")</f>
        <v>1</v>
      </c>
    </row>
    <row r="10" customFormat="false" ht="15" hidden="false" customHeight="true" outlineLevel="0" collapsed="false">
      <c r="A10" s="18" t="s">
        <v>88</v>
      </c>
      <c r="B10" s="33" t="n">
        <f aca="false">SUMIFS(주문접수!$N$3:$N$602,주문접수!$Q$3:$Q$602,"입금대기")</f>
        <v>105000</v>
      </c>
    </row>
    <row r="11" customFormat="false" ht="15" hidden="false" customHeight="true" outlineLevel="0" collapsed="false">
      <c r="A11" s="18" t="s">
        <v>89</v>
      </c>
      <c r="B11" s="32" t="n">
        <f aca="false">COUNTIFS(주문접수!$Q$3:$Q$602,"입금완료")</f>
        <v>1</v>
      </c>
    </row>
    <row r="12" customFormat="false" ht="15" hidden="false" customHeight="true" outlineLevel="0" collapsed="false">
      <c r="A12" s="18" t="s">
        <v>90</v>
      </c>
      <c r="B12" s="32" t="n">
        <f aca="false">COUNTIFS(주문접수!$Q$3:$Q$602,"발송완료")</f>
        <v>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2026-09-13T10:42:28Z</dcterms:created>
  <dc:creator>openpyxl</dc:creator>
  <dc:description/>
  <dc:language>en-US</dc:language>
  <cp:lastModifiedBy/>
  <dcterms:modified xsi:type="dcterms:W3CDTF">2026-09-13T14:21:44Z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